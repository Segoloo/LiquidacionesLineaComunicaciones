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SEPTIEMBRE/"/>
    </mc:Choice>
  </mc:AlternateContent>
  <xr:revisionPtr revIDLastSave="1226" documentId="13_ncr:1_{72B9FF82-0A10-47C3-AB3B-D48B89094946}" xr6:coauthVersionLast="47" xr6:coauthVersionMax="47" xr10:uidLastSave="{7B09176A-D219-490D-8E61-4F35C429E4C4}"/>
  <bookViews>
    <workbookView xWindow="28680" yWindow="-120" windowWidth="29040" windowHeight="15720" tabRatio="940" activeTab="2" xr2:uid="{00000000-000D-0000-FFFF-FFFF00000000}"/>
  </bookViews>
  <sheets>
    <sheet name="RESUMEN" sheetId="2" r:id="rId1"/>
    <sheet name="BASE DE LIQUIDACION 2025" sheetId="5" state="hidden" r:id="rId2"/>
    <sheet name="Tabla dinámica" sheetId="131" r:id="rId3"/>
    <sheet name="PUBLICIDAD APERTURAS" sheetId="128" r:id="rId4"/>
    <sheet name="PUBLICIDAD OC" sheetId="127" r:id="rId5"/>
    <sheet name="TIPOLOGIA" sheetId="130" state="hidden" r:id="rId6"/>
    <sheet name="CENTRO DE COSTOS" sheetId="12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6" hidden="1">'CENTRO DE COSTOS'!$A$1:$D$23</definedName>
    <definedName name="_xlnm._FilterDatabase" localSheetId="3" hidden="1">'PUBLICIDAD APERTURAS'!$A$1:$AE$229</definedName>
    <definedName name="_xlnm._FilterDatabase" localSheetId="4" hidden="1">'PUBLICIDAD OC'!$A$1:$AF$111</definedName>
    <definedName name="_xlnm._FilterDatabase" localSheetId="0" hidden="1">RESUMEN!$O$32:$P$32</definedName>
    <definedName name="A" localSheetId="6">#REF!</definedName>
    <definedName name="A">#REF!</definedName>
    <definedName name="ACTIVIDAD" localSheetId="6">[1]Hoja2!$P$2:$P$30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6">[6]Clientes!$A$2:$A$100</definedName>
    <definedName name="Clientes">[2]Clientes!$A$2:$A$100</definedName>
    <definedName name="COORDINADOR">[1]Hoja2!$D$2:$D$30</definedName>
    <definedName name="Coordinadores" localSheetId="6">[7]Coordinadores!$A$2:$A$1000</definedName>
    <definedName name="Coordinadores">[2]Coordinadores!$A$2:$A$1000</definedName>
    <definedName name="DOCUMENTADOR">[1]Hoja2!$A$2:$A$30</definedName>
    <definedName name="ES">[1]Hoja2!$K$2:$K$30</definedName>
    <definedName name="ESS">[1]Hoja2!$K$2:$K$30</definedName>
    <definedName name="Estado" localSheetId="6">[6]Formulas!$K$2:$K$5000</definedName>
    <definedName name="Estado">[2]Formulas!$K$2:$K$5000</definedName>
    <definedName name="ESTADOACTIVIDAD">[1]Hoja2!$M$2:$M$30</definedName>
    <definedName name="ESTADOS" localSheetId="6">'[8]Listas desplegables'!$B$1:$D$1</definedName>
    <definedName name="ESTADOS">'[9]Listas desplegables'!$B$1:$D$1</definedName>
    <definedName name="ESTADOSCIERRES">'[10]lista desplegable'!$CX$1:$DA$1</definedName>
    <definedName name="Facturacion">'[11]Listas desplegables'!$AO$1:$AR$1</definedName>
    <definedName name="FACTURACIÓN" localSheetId="6">'[8]Listas desplegables'!$Y$1:$AB$1</definedName>
    <definedName name="FACTURACIÓN">'[9]Listas desplegables'!$Y$1:$AB$1</definedName>
    <definedName name="falla">#REF!</definedName>
    <definedName name="Fallas" localSheetId="6">'[12]Listas desplegables'!$F$2:$L$2</definedName>
    <definedName name="Fallas">'[13]Listas desplegables'!$F$2:$L$2</definedName>
    <definedName name="Grupo_Falla" localSheetId="6">'[14]Listas Desplegables'!$CH$2:$CH$5</definedName>
    <definedName name="Grupo_Falla">'[15]Listas Desplegables'!$CH$2:$CH$5</definedName>
    <definedName name="inconservmanager" localSheetId="6">'[16]Listas desplegables'!$BC$2:$BC$100</definedName>
    <definedName name="inconservmanager">'[4]Listas desplegables'!$BC$2:$BC$100</definedName>
    <definedName name="INCUMPLIMIENTO" localSheetId="6">'[4]Listas desplegables'!$AK$1:$AN$1</definedName>
    <definedName name="INCUMPLIMIENTO">'[17]Listas desplegables'!$AT$1:$AX$1</definedName>
    <definedName name="LISTA" localSheetId="6">[18]Dptos!$A$1139:$A$1171</definedName>
    <definedName name="LISTA">[19]Dptos!$A$1139:$A$1171</definedName>
    <definedName name="LISTA2" localSheetId="6">#REF!</definedName>
    <definedName name="LISTA2">[20]Hoja3!$A$1:$A$26</definedName>
    <definedName name="LOLO">[21]Coordinadores!$A$2:$A$1000</definedName>
    <definedName name="solicitudes" localSheetId="6">'[11]Listas desplegables'!$U$1:$AF$1</definedName>
    <definedName name="solicitudes">'[11]Listas desplegables'!$U$1:$AF$1</definedName>
    <definedName name="Tecnicos" localSheetId="6">[6]Tecnicos!$A$2:$A$1000</definedName>
    <definedName name="Tecnicos">[2]Tecnicos!$A$2:$A$1000</definedName>
    <definedName name="Version" localSheetId="6">[22]Formulas!$I$2:$I$3</definedName>
    <definedName name="Version">[2]Formulas!$I$2:$I$3</definedName>
  </definedNames>
  <calcPr calcId="191028"/>
  <pivotCaches>
    <pivotCache cacheId="4719" r:id="rId30"/>
    <pivotCache cacheId="4724" r:id="rId31"/>
    <pivotCache cacheId="4729"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1" i="128" l="1"/>
  <c r="C201" i="128"/>
  <c r="B202" i="128"/>
  <c r="C202" i="128"/>
  <c r="B203" i="128"/>
  <c r="C203" i="128"/>
  <c r="B204" i="128"/>
  <c r="C204" i="128"/>
  <c r="B205" i="128"/>
  <c r="C205" i="128"/>
  <c r="B206" i="128"/>
  <c r="C206" i="128"/>
  <c r="B207" i="128"/>
  <c r="C207" i="128"/>
  <c r="B208" i="128"/>
  <c r="C208" i="128"/>
  <c r="B209" i="128"/>
  <c r="C209" i="128"/>
  <c r="B210" i="128"/>
  <c r="C210" i="128"/>
  <c r="B211" i="128"/>
  <c r="C211" i="128"/>
  <c r="B212" i="128"/>
  <c r="C212" i="128"/>
  <c r="B213" i="128"/>
  <c r="C213" i="128"/>
  <c r="B214" i="128"/>
  <c r="C214" i="128"/>
  <c r="B215" i="128"/>
  <c r="C215" i="128"/>
  <c r="B216" i="128"/>
  <c r="C216" i="128"/>
  <c r="B217" i="128"/>
  <c r="C217" i="128"/>
  <c r="B218" i="128"/>
  <c r="C218" i="128"/>
  <c r="B219" i="128"/>
  <c r="C219" i="128"/>
  <c r="B220" i="128"/>
  <c r="C220" i="128"/>
  <c r="B221" i="128"/>
  <c r="C221" i="128"/>
  <c r="B222" i="128"/>
  <c r="C222" i="128"/>
  <c r="B223" i="128"/>
  <c r="C223" i="128"/>
  <c r="B224" i="128"/>
  <c r="C224" i="128"/>
  <c r="B225" i="128"/>
  <c r="C225" i="128"/>
  <c r="B226" i="128"/>
  <c r="C226" i="128"/>
  <c r="B227" i="128"/>
  <c r="C227" i="128"/>
  <c r="B228" i="128"/>
  <c r="C228" i="128"/>
  <c r="L18" i="2"/>
  <c r="M14" i="2"/>
  <c r="N14" i="2" s="1"/>
  <c r="M15" i="2"/>
  <c r="N15" i="2" s="1"/>
  <c r="M16" i="2"/>
  <c r="N16" i="2" s="1"/>
  <c r="B3" i="127"/>
  <c r="C3" i="127"/>
  <c r="B4" i="127"/>
  <c r="C4" i="127"/>
  <c r="B5" i="127"/>
  <c r="C5" i="127"/>
  <c r="B6" i="127"/>
  <c r="C6" i="127"/>
  <c r="B7" i="127"/>
  <c r="C7" i="127"/>
  <c r="B8" i="127"/>
  <c r="C8" i="127"/>
  <c r="B9" i="127"/>
  <c r="C9" i="127"/>
  <c r="B10" i="127"/>
  <c r="C10" i="127"/>
  <c r="B11" i="127"/>
  <c r="C11" i="127"/>
  <c r="B12" i="127"/>
  <c r="C12" i="127"/>
  <c r="B13" i="127"/>
  <c r="C13" i="127"/>
  <c r="B14" i="127"/>
  <c r="C14" i="127"/>
  <c r="B15" i="127"/>
  <c r="C15" i="127"/>
  <c r="B16" i="127"/>
  <c r="C16" i="127"/>
  <c r="B17" i="127"/>
  <c r="C17" i="127"/>
  <c r="B18" i="127"/>
  <c r="C18" i="127"/>
  <c r="B19" i="127"/>
  <c r="C19" i="127"/>
  <c r="B20" i="127"/>
  <c r="C20" i="127"/>
  <c r="B21" i="127"/>
  <c r="C21" i="127"/>
  <c r="B22" i="127"/>
  <c r="C22" i="127"/>
  <c r="B23" i="127"/>
  <c r="C23" i="127"/>
  <c r="B24" i="127"/>
  <c r="C24" i="127"/>
  <c r="B25" i="127"/>
  <c r="C25" i="127"/>
  <c r="B26" i="127"/>
  <c r="C26" i="127"/>
  <c r="B27" i="127"/>
  <c r="C27" i="127"/>
  <c r="B28" i="127"/>
  <c r="C28" i="127"/>
  <c r="B29" i="127"/>
  <c r="C29" i="127"/>
  <c r="B30" i="127"/>
  <c r="C30" i="127"/>
  <c r="B31" i="127"/>
  <c r="C31" i="127"/>
  <c r="B32" i="127"/>
  <c r="C32" i="127"/>
  <c r="B33" i="127"/>
  <c r="C33" i="127"/>
  <c r="B34" i="127"/>
  <c r="C34" i="127"/>
  <c r="B35" i="127"/>
  <c r="C35" i="127"/>
  <c r="B36" i="127"/>
  <c r="C36" i="127"/>
  <c r="B37" i="127"/>
  <c r="C37" i="127"/>
  <c r="B38" i="127"/>
  <c r="C38" i="127"/>
  <c r="B39" i="127"/>
  <c r="C39" i="127"/>
  <c r="B40" i="127"/>
  <c r="C40" i="127"/>
  <c r="B41" i="127"/>
  <c r="C41" i="127"/>
  <c r="B42" i="127"/>
  <c r="C42" i="127"/>
  <c r="B43" i="127"/>
  <c r="C43" i="127"/>
  <c r="B44" i="127"/>
  <c r="C44" i="127"/>
  <c r="B45" i="127"/>
  <c r="C45" i="127"/>
  <c r="B46" i="127"/>
  <c r="C46" i="127"/>
  <c r="B47" i="127"/>
  <c r="C47" i="127"/>
  <c r="B48" i="127"/>
  <c r="C48" i="127"/>
  <c r="B49" i="127"/>
  <c r="C49" i="127"/>
  <c r="B50" i="127"/>
  <c r="C50" i="127"/>
  <c r="B51" i="127"/>
  <c r="C51" i="127"/>
  <c r="B52" i="127"/>
  <c r="C52" i="127"/>
  <c r="B53" i="127"/>
  <c r="C53" i="127"/>
  <c r="B54" i="127"/>
  <c r="C54" i="127"/>
  <c r="B55" i="127"/>
  <c r="C55" i="127"/>
  <c r="B56" i="127"/>
  <c r="C56" i="127"/>
  <c r="B57" i="127"/>
  <c r="C57" i="127"/>
  <c r="B58" i="127"/>
  <c r="C58" i="127"/>
  <c r="B59" i="127"/>
  <c r="C59" i="127"/>
  <c r="B60" i="127"/>
  <c r="C60" i="127"/>
  <c r="B61" i="127"/>
  <c r="C61" i="127"/>
  <c r="B62" i="127"/>
  <c r="C62" i="127"/>
  <c r="B63" i="127"/>
  <c r="C63" i="127"/>
  <c r="B64" i="127"/>
  <c r="C64" i="127"/>
  <c r="B65" i="127"/>
  <c r="C65" i="127"/>
  <c r="B66" i="127"/>
  <c r="C66" i="127"/>
  <c r="B67" i="127"/>
  <c r="C67" i="127"/>
  <c r="B68" i="127"/>
  <c r="C68" i="127"/>
  <c r="B69" i="127"/>
  <c r="C69" i="127"/>
  <c r="B70" i="127"/>
  <c r="C70" i="127"/>
  <c r="B71" i="127"/>
  <c r="C71" i="127"/>
  <c r="B72" i="127"/>
  <c r="C72" i="127"/>
  <c r="B73" i="127"/>
  <c r="C73" i="127"/>
  <c r="B74" i="127"/>
  <c r="C74" i="127"/>
  <c r="B75" i="127"/>
  <c r="C75" i="127"/>
  <c r="B76" i="127"/>
  <c r="C76" i="127"/>
  <c r="B77" i="127"/>
  <c r="C77" i="127"/>
  <c r="B78" i="127"/>
  <c r="C78" i="127"/>
  <c r="B79" i="127"/>
  <c r="C79" i="127"/>
  <c r="B80" i="127"/>
  <c r="C80" i="127"/>
  <c r="B81" i="127"/>
  <c r="C81" i="127"/>
  <c r="B82" i="127"/>
  <c r="C82" i="127"/>
  <c r="B83" i="127"/>
  <c r="C83" i="127"/>
  <c r="B84" i="127"/>
  <c r="C84" i="127"/>
  <c r="B85" i="127"/>
  <c r="C85" i="127"/>
  <c r="B86" i="127"/>
  <c r="C86" i="127"/>
  <c r="B87" i="127"/>
  <c r="C87" i="127"/>
  <c r="B88" i="127"/>
  <c r="C88" i="127"/>
  <c r="B89" i="127"/>
  <c r="C89" i="127"/>
  <c r="B90" i="127"/>
  <c r="C90" i="127"/>
  <c r="B91" i="127"/>
  <c r="C91" i="127"/>
  <c r="B92" i="127"/>
  <c r="C92" i="127"/>
  <c r="B93" i="127"/>
  <c r="C93" i="127"/>
  <c r="B94" i="127"/>
  <c r="C94" i="127"/>
  <c r="B95" i="127"/>
  <c r="C95" i="127"/>
  <c r="B96" i="127"/>
  <c r="C96" i="127"/>
  <c r="B97" i="127"/>
  <c r="C97" i="127"/>
  <c r="B98" i="127"/>
  <c r="C98" i="127"/>
  <c r="B99" i="127"/>
  <c r="C99" i="127"/>
  <c r="B100" i="127"/>
  <c r="C100" i="127"/>
  <c r="B101" i="127"/>
  <c r="C101" i="127"/>
  <c r="B102" i="127"/>
  <c r="C102" i="127"/>
  <c r="B103" i="127"/>
  <c r="C103" i="127"/>
  <c r="B104" i="127"/>
  <c r="C104" i="127"/>
  <c r="B105" i="127"/>
  <c r="C105" i="127"/>
  <c r="B106" i="127"/>
  <c r="C106" i="127"/>
  <c r="B107" i="127"/>
  <c r="C107" i="127"/>
  <c r="B108" i="127"/>
  <c r="C108" i="127"/>
  <c r="B109" i="127"/>
  <c r="C109" i="127"/>
  <c r="B110" i="127"/>
  <c r="C110" i="127"/>
  <c r="M17" i="2"/>
  <c r="N17" i="2" s="1"/>
  <c r="M12" i="2"/>
  <c r="N12" i="2" s="1"/>
  <c r="M4" i="2" l="1"/>
  <c r="N4" i="2" s="1"/>
  <c r="M5" i="2"/>
  <c r="N5" i="2" s="1"/>
  <c r="M6" i="2"/>
  <c r="N6" i="2" s="1"/>
  <c r="M7" i="2"/>
  <c r="N7" i="2" s="1"/>
  <c r="M8" i="2"/>
  <c r="N8" i="2" s="1"/>
  <c r="M9" i="2"/>
  <c r="N9" i="2" s="1"/>
  <c r="M10" i="2"/>
  <c r="N10" i="2" s="1"/>
  <c r="M11" i="2"/>
  <c r="N11" i="2" s="1"/>
  <c r="M13" i="2"/>
  <c r="N13" i="2" s="1"/>
  <c r="B3" i="128" l="1"/>
  <c r="C3" i="128"/>
  <c r="B4" i="128"/>
  <c r="C4" i="128"/>
  <c r="B5" i="128"/>
  <c r="C5" i="128"/>
  <c r="B6" i="128"/>
  <c r="C6" i="128"/>
  <c r="B7" i="128"/>
  <c r="C7" i="128"/>
  <c r="B8" i="128"/>
  <c r="C8" i="128"/>
  <c r="B9" i="128"/>
  <c r="C9" i="128"/>
  <c r="B10" i="128"/>
  <c r="C10" i="128"/>
  <c r="B11" i="128"/>
  <c r="C11" i="128"/>
  <c r="B12" i="128"/>
  <c r="C12" i="128"/>
  <c r="B13" i="128"/>
  <c r="C13" i="128"/>
  <c r="B14" i="128"/>
  <c r="C14" i="128"/>
  <c r="B15" i="128"/>
  <c r="C15" i="128"/>
  <c r="B16" i="128"/>
  <c r="C16" i="128"/>
  <c r="B17" i="128"/>
  <c r="C17" i="128"/>
  <c r="B18" i="128"/>
  <c r="C18" i="128"/>
  <c r="B19" i="128"/>
  <c r="C19" i="128"/>
  <c r="B20" i="128"/>
  <c r="C20" i="128"/>
  <c r="B21" i="128"/>
  <c r="C21" i="128"/>
  <c r="B22" i="128"/>
  <c r="C22" i="128"/>
  <c r="B23" i="128"/>
  <c r="C23" i="128"/>
  <c r="B24" i="128"/>
  <c r="C24" i="128"/>
  <c r="B25" i="128"/>
  <c r="C25" i="128"/>
  <c r="B26" i="128"/>
  <c r="C26" i="128"/>
  <c r="B27" i="128"/>
  <c r="C27" i="128"/>
  <c r="B28" i="128"/>
  <c r="C28" i="128"/>
  <c r="B29" i="128"/>
  <c r="C29" i="128"/>
  <c r="B30" i="128"/>
  <c r="C30" i="128"/>
  <c r="B31" i="128"/>
  <c r="C31" i="128"/>
  <c r="B32" i="128"/>
  <c r="C32" i="128"/>
  <c r="B33" i="128"/>
  <c r="C33" i="128"/>
  <c r="B34" i="128"/>
  <c r="C34" i="128"/>
  <c r="B35" i="128"/>
  <c r="C35" i="128"/>
  <c r="B36" i="128"/>
  <c r="C36" i="128"/>
  <c r="B37" i="128"/>
  <c r="C37" i="128"/>
  <c r="B38" i="128"/>
  <c r="C38" i="128"/>
  <c r="B39" i="128"/>
  <c r="C39" i="128"/>
  <c r="B40" i="128"/>
  <c r="C40" i="128"/>
  <c r="B41" i="128"/>
  <c r="C41" i="128"/>
  <c r="B42" i="128"/>
  <c r="C42" i="128"/>
  <c r="B43" i="128"/>
  <c r="C43" i="128"/>
  <c r="B44" i="128"/>
  <c r="C44" i="128"/>
  <c r="B45" i="128"/>
  <c r="C45" i="128"/>
  <c r="B46" i="128"/>
  <c r="C46" i="128"/>
  <c r="B47" i="128"/>
  <c r="C47" i="128"/>
  <c r="B48" i="128"/>
  <c r="C48" i="128"/>
  <c r="B49" i="128"/>
  <c r="C49" i="128"/>
  <c r="B50" i="128"/>
  <c r="C50" i="128"/>
  <c r="B51" i="128"/>
  <c r="C51" i="128"/>
  <c r="B52" i="128"/>
  <c r="C52" i="128"/>
  <c r="B53" i="128"/>
  <c r="C53" i="128"/>
  <c r="B54" i="128"/>
  <c r="C54" i="128"/>
  <c r="B55" i="128"/>
  <c r="C55" i="128"/>
  <c r="B56" i="128"/>
  <c r="C56" i="128"/>
  <c r="B57" i="128"/>
  <c r="C57" i="128"/>
  <c r="B58" i="128"/>
  <c r="C58" i="128"/>
  <c r="B59" i="128"/>
  <c r="C59" i="128"/>
  <c r="B60" i="128"/>
  <c r="C60" i="128"/>
  <c r="B61" i="128"/>
  <c r="C61" i="128"/>
  <c r="B62" i="128"/>
  <c r="C62" i="128"/>
  <c r="B63" i="128"/>
  <c r="C63" i="128"/>
  <c r="B64" i="128"/>
  <c r="C64" i="128"/>
  <c r="B65" i="128"/>
  <c r="C65" i="128"/>
  <c r="B66" i="128"/>
  <c r="C66" i="128"/>
  <c r="B67" i="128"/>
  <c r="C67" i="128"/>
  <c r="B68" i="128"/>
  <c r="C68" i="128"/>
  <c r="B69" i="128"/>
  <c r="C69" i="128"/>
  <c r="B70" i="128"/>
  <c r="C70" i="128"/>
  <c r="B71" i="128"/>
  <c r="C71" i="128"/>
  <c r="B72" i="128"/>
  <c r="C72" i="128"/>
  <c r="B73" i="128"/>
  <c r="C73" i="128"/>
  <c r="B74" i="128"/>
  <c r="C74" i="128"/>
  <c r="B75" i="128"/>
  <c r="C75" i="128"/>
  <c r="B76" i="128"/>
  <c r="C76" i="128"/>
  <c r="B77" i="128"/>
  <c r="C77" i="128"/>
  <c r="B78" i="128"/>
  <c r="C78" i="128"/>
  <c r="B79" i="128"/>
  <c r="C79" i="128"/>
  <c r="B80" i="128"/>
  <c r="C80" i="128"/>
  <c r="B81" i="128"/>
  <c r="C81" i="128"/>
  <c r="B82" i="128"/>
  <c r="C82" i="128"/>
  <c r="B83" i="128"/>
  <c r="C83" i="128"/>
  <c r="B84" i="128"/>
  <c r="C84" i="128"/>
  <c r="B85" i="128"/>
  <c r="C85" i="128"/>
  <c r="B86" i="128"/>
  <c r="C86" i="128"/>
  <c r="B87" i="128"/>
  <c r="C87" i="128"/>
  <c r="B88" i="128"/>
  <c r="C88" i="128"/>
  <c r="B89" i="128"/>
  <c r="C89" i="128"/>
  <c r="B90" i="128"/>
  <c r="C90" i="128"/>
  <c r="B91" i="128"/>
  <c r="C91" i="128"/>
  <c r="B92" i="128"/>
  <c r="C92" i="128"/>
  <c r="B93" i="128"/>
  <c r="C93" i="128"/>
  <c r="B94" i="128"/>
  <c r="C94" i="128"/>
  <c r="B95" i="128"/>
  <c r="C95" i="128"/>
  <c r="B96" i="128"/>
  <c r="C96" i="128"/>
  <c r="B97" i="128"/>
  <c r="C97" i="128"/>
  <c r="B98" i="128"/>
  <c r="C98" i="128"/>
  <c r="B99" i="128"/>
  <c r="C99" i="128"/>
  <c r="B100" i="128"/>
  <c r="C100" i="128"/>
  <c r="B101" i="128"/>
  <c r="C101" i="128"/>
  <c r="B102" i="128"/>
  <c r="C102" i="128"/>
  <c r="B103" i="128"/>
  <c r="C103" i="128"/>
  <c r="B104" i="128"/>
  <c r="C104" i="128"/>
  <c r="B105" i="128"/>
  <c r="C105" i="128"/>
  <c r="B106" i="128"/>
  <c r="C106" i="128"/>
  <c r="B107" i="128"/>
  <c r="C107" i="128"/>
  <c r="B108" i="128"/>
  <c r="C108" i="128"/>
  <c r="B109" i="128"/>
  <c r="C109" i="128"/>
  <c r="B110" i="128"/>
  <c r="C110" i="128"/>
  <c r="B111" i="128"/>
  <c r="C111" i="128"/>
  <c r="B112" i="128"/>
  <c r="C112" i="128"/>
  <c r="B113" i="128"/>
  <c r="C113" i="128"/>
  <c r="B114" i="128"/>
  <c r="C114" i="128"/>
  <c r="B115" i="128"/>
  <c r="C115" i="128"/>
  <c r="B116" i="128"/>
  <c r="C116" i="128"/>
  <c r="B117" i="128"/>
  <c r="C117" i="128"/>
  <c r="B118" i="128"/>
  <c r="C118" i="128"/>
  <c r="B119" i="128"/>
  <c r="C119" i="128"/>
  <c r="B120" i="128"/>
  <c r="C120" i="128"/>
  <c r="B121" i="128"/>
  <c r="C121" i="128"/>
  <c r="B122" i="128"/>
  <c r="C122" i="128"/>
  <c r="B123" i="128"/>
  <c r="C123" i="128"/>
  <c r="B124" i="128"/>
  <c r="C124" i="128"/>
  <c r="B125" i="128"/>
  <c r="C125" i="128"/>
  <c r="B126" i="128"/>
  <c r="C126" i="128"/>
  <c r="B127" i="128"/>
  <c r="C127" i="128"/>
  <c r="B128" i="128"/>
  <c r="C128" i="128"/>
  <c r="B129" i="128"/>
  <c r="C129" i="128"/>
  <c r="B130" i="128"/>
  <c r="C130" i="128"/>
  <c r="B131" i="128"/>
  <c r="C131" i="128"/>
  <c r="B132" i="128"/>
  <c r="C132" i="128"/>
  <c r="B133" i="128"/>
  <c r="C133" i="128"/>
  <c r="B134" i="128"/>
  <c r="C134" i="128"/>
  <c r="B135" i="128"/>
  <c r="C135" i="128"/>
  <c r="B136" i="128"/>
  <c r="C136" i="128"/>
  <c r="B137" i="128"/>
  <c r="C137" i="128"/>
  <c r="B138" i="128"/>
  <c r="C138" i="128"/>
  <c r="B139" i="128"/>
  <c r="C139" i="128"/>
  <c r="B140" i="128"/>
  <c r="C140" i="128"/>
  <c r="B141" i="128"/>
  <c r="C141" i="128"/>
  <c r="B142" i="128"/>
  <c r="C142" i="128"/>
  <c r="B143" i="128"/>
  <c r="C143" i="128"/>
  <c r="B144" i="128"/>
  <c r="C144" i="128"/>
  <c r="B145" i="128"/>
  <c r="C145" i="128"/>
  <c r="B146" i="128"/>
  <c r="C146" i="128"/>
  <c r="B147" i="128"/>
  <c r="C147" i="128"/>
  <c r="B148" i="128"/>
  <c r="C148" i="128"/>
  <c r="B149" i="128"/>
  <c r="C149" i="128"/>
  <c r="B150" i="128"/>
  <c r="C150" i="128"/>
  <c r="B151" i="128"/>
  <c r="C151" i="128"/>
  <c r="B152" i="128"/>
  <c r="C152" i="128"/>
  <c r="B153" i="128"/>
  <c r="C153" i="128"/>
  <c r="B154" i="128"/>
  <c r="C154" i="128"/>
  <c r="B155" i="128"/>
  <c r="C155" i="128"/>
  <c r="B156" i="128"/>
  <c r="C156" i="128"/>
  <c r="B157" i="128"/>
  <c r="C157" i="128"/>
  <c r="B158" i="128"/>
  <c r="C158" i="128"/>
  <c r="B159" i="128"/>
  <c r="C159" i="128"/>
  <c r="B160" i="128"/>
  <c r="C160" i="128"/>
  <c r="B161" i="128"/>
  <c r="C161" i="128"/>
  <c r="B162" i="128"/>
  <c r="C162" i="128"/>
  <c r="B163" i="128"/>
  <c r="C163" i="128"/>
  <c r="B164" i="128"/>
  <c r="C164" i="128"/>
  <c r="B165" i="128"/>
  <c r="C165" i="128"/>
  <c r="B166" i="128"/>
  <c r="C166" i="128"/>
  <c r="B167" i="128"/>
  <c r="C167" i="128"/>
  <c r="B168" i="128"/>
  <c r="C168" i="128"/>
  <c r="B169" i="128"/>
  <c r="C169" i="128"/>
  <c r="B170" i="128"/>
  <c r="C170" i="128"/>
  <c r="B171" i="128"/>
  <c r="C171" i="128"/>
  <c r="B172" i="128"/>
  <c r="C172" i="128"/>
  <c r="B173" i="128"/>
  <c r="C173" i="128"/>
  <c r="B174" i="128"/>
  <c r="C174" i="128"/>
  <c r="B175" i="128"/>
  <c r="C175" i="128"/>
  <c r="B176" i="128"/>
  <c r="C176" i="128"/>
  <c r="B177" i="128"/>
  <c r="C177" i="128"/>
  <c r="B178" i="128"/>
  <c r="C178" i="128"/>
  <c r="B179" i="128"/>
  <c r="C179" i="128"/>
  <c r="B180" i="128"/>
  <c r="C180" i="128"/>
  <c r="B181" i="128"/>
  <c r="C181" i="128"/>
  <c r="B182" i="128"/>
  <c r="C182" i="128"/>
  <c r="B183" i="128"/>
  <c r="C183" i="128"/>
  <c r="B184" i="128"/>
  <c r="C184" i="128"/>
  <c r="B185" i="128"/>
  <c r="C185" i="128"/>
  <c r="B186" i="128"/>
  <c r="C186" i="128"/>
  <c r="B187" i="128"/>
  <c r="C187" i="128"/>
  <c r="B188" i="128"/>
  <c r="C188" i="128"/>
  <c r="B189" i="128"/>
  <c r="C189" i="128"/>
  <c r="B190" i="128"/>
  <c r="C190" i="128"/>
  <c r="B191" i="128"/>
  <c r="C191" i="128"/>
  <c r="B192" i="128"/>
  <c r="C192" i="128"/>
  <c r="B193" i="128"/>
  <c r="C193" i="128"/>
  <c r="B194" i="128"/>
  <c r="C194" i="128"/>
  <c r="B195" i="128"/>
  <c r="C195" i="128"/>
  <c r="B196" i="128"/>
  <c r="C196" i="128"/>
  <c r="B197" i="128"/>
  <c r="C197" i="128"/>
  <c r="B198" i="128"/>
  <c r="C198" i="128"/>
  <c r="B199" i="128"/>
  <c r="C199" i="128"/>
  <c r="B200" i="128"/>
  <c r="C200" i="128"/>
  <c r="L8" i="5"/>
  <c r="L7" i="5"/>
  <c r="L6" i="5"/>
  <c r="L5" i="5"/>
  <c r="L4" i="5"/>
  <c r="AF17" i="127" s="1"/>
  <c r="K8" i="5"/>
  <c r="K7" i="5"/>
  <c r="K6" i="5"/>
  <c r="K5" i="5"/>
  <c r="K4" i="5"/>
  <c r="J8" i="5"/>
  <c r="J7" i="5"/>
  <c r="J6" i="5"/>
  <c r="J5" i="5"/>
  <c r="J4" i="5"/>
  <c r="I8" i="5"/>
  <c r="I7" i="5"/>
  <c r="I6" i="5"/>
  <c r="I5" i="5"/>
  <c r="I4" i="5"/>
  <c r="E3" i="5"/>
  <c r="E4" i="5"/>
  <c r="D4" i="5"/>
  <c r="D3" i="5"/>
  <c r="C4" i="5"/>
  <c r="C3" i="5"/>
  <c r="B4" i="5"/>
  <c r="B3" i="5"/>
  <c r="F28" i="131"/>
  <c r="E28" i="131"/>
  <c r="F27" i="131"/>
  <c r="E27" i="131"/>
  <c r="F26" i="131"/>
  <c r="E26" i="131"/>
  <c r="F25" i="131"/>
  <c r="E25" i="131"/>
  <c r="F24" i="131"/>
  <c r="E24" i="131"/>
  <c r="F23" i="131"/>
  <c r="E23" i="131"/>
  <c r="F22" i="131"/>
  <c r="E22" i="131"/>
  <c r="E5" i="131"/>
  <c r="E6" i="131"/>
  <c r="E7" i="131"/>
  <c r="E8" i="131"/>
  <c r="E9" i="131"/>
  <c r="E10" i="131"/>
  <c r="E4" i="131"/>
  <c r="F5" i="131"/>
  <c r="F6" i="131"/>
  <c r="F7" i="131"/>
  <c r="F8" i="131"/>
  <c r="F9" i="131"/>
  <c r="F10" i="131"/>
  <c r="F4" i="131"/>
  <c r="AD2" i="127"/>
  <c r="AE2" i="127"/>
  <c r="AB201" i="128" l="1"/>
  <c r="AB202" i="128"/>
  <c r="AB203" i="128"/>
  <c r="AB204" i="128"/>
  <c r="AB205" i="128"/>
  <c r="AB206" i="128"/>
  <c r="AB209" i="128"/>
  <c r="AB213" i="128"/>
  <c r="AB214" i="128"/>
  <c r="AB215" i="128"/>
  <c r="AB216" i="128"/>
  <c r="AB217" i="128"/>
  <c r="AB218" i="128"/>
  <c r="AB219" i="128"/>
  <c r="AB220" i="128"/>
  <c r="AB221" i="128"/>
  <c r="AB222" i="128"/>
  <c r="AB223" i="128"/>
  <c r="AB224" i="128"/>
  <c r="AB225" i="128"/>
  <c r="AB226" i="128"/>
  <c r="AB227" i="128"/>
  <c r="AB228" i="128"/>
  <c r="AB207" i="128"/>
  <c r="AB208" i="128"/>
  <c r="AB210" i="128"/>
  <c r="AB211" i="128"/>
  <c r="AB212" i="128"/>
  <c r="AC201" i="128"/>
  <c r="AC202" i="128"/>
  <c r="AC203" i="128"/>
  <c r="AC204" i="128"/>
  <c r="AC205" i="128"/>
  <c r="AC206" i="128"/>
  <c r="AC209" i="128"/>
  <c r="AC213" i="128"/>
  <c r="AC214" i="128"/>
  <c r="AC215" i="128"/>
  <c r="AC216" i="128"/>
  <c r="AC217" i="128"/>
  <c r="AC218" i="128"/>
  <c r="AC219" i="128"/>
  <c r="AC220" i="128"/>
  <c r="AC221" i="128"/>
  <c r="AC222" i="128"/>
  <c r="AC223" i="128"/>
  <c r="AC224" i="128"/>
  <c r="AC225" i="128"/>
  <c r="AC226" i="128"/>
  <c r="AC227" i="128"/>
  <c r="AC228" i="128"/>
  <c r="AC207" i="128"/>
  <c r="AC208" i="128"/>
  <c r="AC210" i="128"/>
  <c r="AC211" i="128"/>
  <c r="AC212" i="128"/>
  <c r="AD201" i="128"/>
  <c r="AD202" i="128"/>
  <c r="AD203" i="128"/>
  <c r="AD204" i="128"/>
  <c r="AD205" i="128"/>
  <c r="AD206" i="128"/>
  <c r="AD209" i="128"/>
  <c r="AD213" i="128"/>
  <c r="AD214" i="128"/>
  <c r="AD215" i="128"/>
  <c r="AD216" i="128"/>
  <c r="AD217" i="128"/>
  <c r="AD218" i="128"/>
  <c r="AD219" i="128"/>
  <c r="AD220" i="128"/>
  <c r="AD221" i="128"/>
  <c r="AD222" i="128"/>
  <c r="AD223" i="128"/>
  <c r="AD224" i="128"/>
  <c r="AD225" i="128"/>
  <c r="AD226" i="128"/>
  <c r="AD227" i="128"/>
  <c r="AD228" i="128"/>
  <c r="AD207" i="128"/>
  <c r="AD208" i="128"/>
  <c r="AD210" i="128"/>
  <c r="AD211" i="128"/>
  <c r="AD212" i="128"/>
  <c r="AD82" i="127"/>
  <c r="AD49" i="127"/>
  <c r="AE82" i="127"/>
  <c r="AE49" i="127"/>
  <c r="AD3" i="127"/>
  <c r="AD4" i="127"/>
  <c r="AD6" i="127"/>
  <c r="AD7" i="127"/>
  <c r="AD9" i="127"/>
  <c r="AD12" i="127"/>
  <c r="AD13" i="127"/>
  <c r="AD14" i="127"/>
  <c r="AD15" i="127"/>
  <c r="AD16" i="127"/>
  <c r="AD17" i="127"/>
  <c r="AD18" i="127"/>
  <c r="AD20" i="127"/>
  <c r="AD21" i="127"/>
  <c r="AD22" i="127"/>
  <c r="AD23" i="127"/>
  <c r="AD24" i="127"/>
  <c r="AD25" i="127"/>
  <c r="AD27" i="127"/>
  <c r="AD29" i="127"/>
  <c r="AD31" i="127"/>
  <c r="AD36" i="127"/>
  <c r="AD37" i="127"/>
  <c r="AD38" i="127"/>
  <c r="AD40" i="127"/>
  <c r="AD42" i="127"/>
  <c r="AD43" i="127"/>
  <c r="AD44" i="127"/>
  <c r="AD46" i="127"/>
  <c r="AD48" i="127"/>
  <c r="AD51" i="127"/>
  <c r="AD52" i="127"/>
  <c r="AD53" i="127"/>
  <c r="AD54" i="127"/>
  <c r="AD56" i="127"/>
  <c r="AD57" i="127"/>
  <c r="AD58" i="127"/>
  <c r="AD60" i="127"/>
  <c r="AD62" i="127"/>
  <c r="AD63" i="127"/>
  <c r="AD64" i="127"/>
  <c r="AD66" i="127"/>
  <c r="AD68" i="127"/>
  <c r="AD70" i="127"/>
  <c r="AD71" i="127"/>
  <c r="AD72" i="127"/>
  <c r="AD73" i="127"/>
  <c r="AD74" i="127"/>
  <c r="AD75" i="127"/>
  <c r="AD77" i="127"/>
  <c r="AD78" i="127"/>
  <c r="AD79" i="127"/>
  <c r="AD80" i="127"/>
  <c r="AD81" i="127"/>
  <c r="AD83" i="127"/>
  <c r="AD85" i="127"/>
  <c r="AD87" i="127"/>
  <c r="AD88" i="127"/>
  <c r="AD90" i="127"/>
  <c r="AD92" i="127"/>
  <c r="AD93" i="127"/>
  <c r="AD95" i="127"/>
  <c r="AD97" i="127"/>
  <c r="AD100" i="127"/>
  <c r="AD101" i="127"/>
  <c r="AD102" i="127"/>
  <c r="AD104" i="127"/>
  <c r="AD105" i="127"/>
  <c r="AD106" i="127"/>
  <c r="AD107" i="127"/>
  <c r="AD109" i="127"/>
  <c r="AD5" i="127"/>
  <c r="AD8" i="127"/>
  <c r="AD11" i="127"/>
  <c r="AD19" i="127"/>
  <c r="AD26" i="127"/>
  <c r="AD28" i="127"/>
  <c r="AD30" i="127"/>
  <c r="AD32" i="127"/>
  <c r="AD33" i="127"/>
  <c r="AD45" i="127"/>
  <c r="AD50" i="127"/>
  <c r="AD55" i="127"/>
  <c r="AD61" i="127"/>
  <c r="AD65" i="127"/>
  <c r="AD67" i="127"/>
  <c r="AD69" i="127"/>
  <c r="AD76" i="127"/>
  <c r="AD84" i="127"/>
  <c r="AD89" i="127"/>
  <c r="AD91" i="127"/>
  <c r="AD94" i="127"/>
  <c r="AD96" i="127"/>
  <c r="AD98" i="127"/>
  <c r="AD99" i="127"/>
  <c r="AD103" i="127"/>
  <c r="AD110" i="127"/>
  <c r="AD10" i="127"/>
  <c r="AD59" i="127"/>
  <c r="AD86" i="127"/>
  <c r="AD34" i="127"/>
  <c r="AD35" i="127"/>
  <c r="AD39" i="127"/>
  <c r="AD41" i="127"/>
  <c r="AD47" i="127"/>
  <c r="AD108" i="127"/>
  <c r="AE3" i="127"/>
  <c r="AE4" i="127"/>
  <c r="AE6" i="127"/>
  <c r="AE7" i="127"/>
  <c r="AE9" i="127"/>
  <c r="AE12" i="127"/>
  <c r="AE13" i="127"/>
  <c r="AE14" i="127"/>
  <c r="AE15" i="127"/>
  <c r="AE16" i="127"/>
  <c r="AE17" i="127"/>
  <c r="AE18" i="127"/>
  <c r="AE20" i="127"/>
  <c r="AE21" i="127"/>
  <c r="AE22" i="127"/>
  <c r="AE23" i="127"/>
  <c r="AE24" i="127"/>
  <c r="AE25" i="127"/>
  <c r="AE27" i="127"/>
  <c r="AE29" i="127"/>
  <c r="AE31" i="127"/>
  <c r="AE36" i="127"/>
  <c r="AE37" i="127"/>
  <c r="AE38" i="127"/>
  <c r="AE40" i="127"/>
  <c r="AE42" i="127"/>
  <c r="AE43" i="127"/>
  <c r="AE44" i="127"/>
  <c r="AE46" i="127"/>
  <c r="AE48" i="127"/>
  <c r="AE51" i="127"/>
  <c r="AE52" i="127"/>
  <c r="AE53" i="127"/>
  <c r="AE54" i="127"/>
  <c r="AE56" i="127"/>
  <c r="AE57" i="127"/>
  <c r="AE58" i="127"/>
  <c r="AE60" i="127"/>
  <c r="AE62" i="127"/>
  <c r="AE63" i="127"/>
  <c r="AE64" i="127"/>
  <c r="AE66" i="127"/>
  <c r="AE68" i="127"/>
  <c r="AE70" i="127"/>
  <c r="AE71" i="127"/>
  <c r="AE72" i="127"/>
  <c r="AE73" i="127"/>
  <c r="AE74" i="127"/>
  <c r="AE75" i="127"/>
  <c r="AE77" i="127"/>
  <c r="AE78" i="127"/>
  <c r="AE79" i="127"/>
  <c r="AE80" i="127"/>
  <c r="AE81" i="127"/>
  <c r="AE83" i="127"/>
  <c r="AE85" i="127"/>
  <c r="AE87" i="127"/>
  <c r="AE88" i="127"/>
  <c r="AE90" i="127"/>
  <c r="AE92" i="127"/>
  <c r="AE93" i="127"/>
  <c r="AE95" i="127"/>
  <c r="AE97" i="127"/>
  <c r="AE100" i="127"/>
  <c r="AE101" i="127"/>
  <c r="AE102" i="127"/>
  <c r="AE104" i="127"/>
  <c r="AE105" i="127"/>
  <c r="AE106" i="127"/>
  <c r="AE107" i="127"/>
  <c r="AE109" i="127"/>
  <c r="AE5" i="127"/>
  <c r="AE8" i="127"/>
  <c r="AE11" i="127"/>
  <c r="AE19" i="127"/>
  <c r="AE26" i="127"/>
  <c r="AE28" i="127"/>
  <c r="AE30" i="127"/>
  <c r="AE32" i="127"/>
  <c r="AE33" i="127"/>
  <c r="AE45" i="127"/>
  <c r="AE50" i="127"/>
  <c r="AE55" i="127"/>
  <c r="AE61" i="127"/>
  <c r="AE65" i="127"/>
  <c r="AE67" i="127"/>
  <c r="AE69" i="127"/>
  <c r="AE76" i="127"/>
  <c r="AE84" i="127"/>
  <c r="AE89" i="127"/>
  <c r="AE91" i="127"/>
  <c r="AE94" i="127"/>
  <c r="AE96" i="127"/>
  <c r="AE98" i="127"/>
  <c r="AE99" i="127"/>
  <c r="AE103" i="127"/>
  <c r="AE110" i="127"/>
  <c r="AE10" i="127"/>
  <c r="AE59" i="127"/>
  <c r="AE86" i="127"/>
  <c r="AE34" i="127"/>
  <c r="AE35" i="127"/>
  <c r="AE39" i="127"/>
  <c r="AE41" i="127"/>
  <c r="AE47" i="127"/>
  <c r="AE108" i="127"/>
  <c r="AB8" i="128"/>
  <c r="AB10" i="128"/>
  <c r="AB12" i="128"/>
  <c r="AB14" i="128"/>
  <c r="AB15" i="128"/>
  <c r="AB18" i="128"/>
  <c r="AB19" i="128"/>
  <c r="AB23" i="128"/>
  <c r="AB24" i="128"/>
  <c r="AB26" i="128"/>
  <c r="AB28" i="128"/>
  <c r="AB29" i="128"/>
  <c r="AB33" i="128"/>
  <c r="AB36" i="128"/>
  <c r="AB39" i="128"/>
  <c r="AB40" i="128"/>
  <c r="AB42" i="128"/>
  <c r="AB43" i="128"/>
  <c r="AB44" i="128"/>
  <c r="AB45" i="128"/>
  <c r="AB46" i="128"/>
  <c r="AB47" i="128"/>
  <c r="AB48" i="128"/>
  <c r="AB49" i="128"/>
  <c r="AB50" i="128"/>
  <c r="AB51" i="128"/>
  <c r="AB52" i="128"/>
  <c r="AB53" i="128"/>
  <c r="AB54" i="128"/>
  <c r="AB55" i="128"/>
  <c r="AB56" i="128"/>
  <c r="AB59" i="128"/>
  <c r="AB64" i="128"/>
  <c r="AB65" i="128"/>
  <c r="AB66" i="128"/>
  <c r="AB68" i="128"/>
  <c r="AB69" i="128"/>
  <c r="AB70" i="128"/>
  <c r="AB71" i="128"/>
  <c r="AB72" i="128"/>
  <c r="AB73" i="128"/>
  <c r="AB74" i="128"/>
  <c r="AB75" i="128"/>
  <c r="AB76" i="128"/>
  <c r="AB77" i="128"/>
  <c r="AB80" i="128"/>
  <c r="AB87" i="128"/>
  <c r="AB89" i="128"/>
  <c r="AB90" i="128"/>
  <c r="AB92" i="128"/>
  <c r="AB95" i="128"/>
  <c r="AB97" i="128"/>
  <c r="AB100" i="128"/>
  <c r="AB101" i="128"/>
  <c r="AB104" i="128"/>
  <c r="AB105" i="128"/>
  <c r="AB106" i="128"/>
  <c r="AB107" i="128"/>
  <c r="AB109" i="128"/>
  <c r="AB119" i="128"/>
  <c r="AB120" i="128"/>
  <c r="AB122" i="128"/>
  <c r="AB127" i="128"/>
  <c r="AB133" i="128"/>
  <c r="AB135" i="128"/>
  <c r="AB138" i="128"/>
  <c r="AB143" i="128"/>
  <c r="AB144" i="128"/>
  <c r="AB145" i="128"/>
  <c r="AB148" i="128"/>
  <c r="AB149" i="128"/>
  <c r="AB150" i="128"/>
  <c r="AB151" i="128"/>
  <c r="AB153" i="128"/>
  <c r="AB158" i="128"/>
  <c r="AB163" i="128"/>
  <c r="AB165" i="128"/>
  <c r="AB166" i="128"/>
  <c r="AB167" i="128"/>
  <c r="AB168" i="128"/>
  <c r="AB169" i="128"/>
  <c r="AB170" i="128"/>
  <c r="AB173" i="128"/>
  <c r="AB176" i="128"/>
  <c r="AB177" i="128"/>
  <c r="AB179" i="128"/>
  <c r="AB181" i="128"/>
  <c r="AB182" i="128"/>
  <c r="AB185" i="128"/>
  <c r="AB186" i="128"/>
  <c r="AB187" i="128"/>
  <c r="AB188" i="128"/>
  <c r="AB196" i="128"/>
  <c r="AB198" i="128"/>
  <c r="AB199" i="128"/>
  <c r="AB200" i="128"/>
  <c r="AB3" i="128"/>
  <c r="AB4" i="128"/>
  <c r="AB5" i="128"/>
  <c r="AB6" i="128"/>
  <c r="AB7" i="128"/>
  <c r="AB9" i="128"/>
  <c r="AB11" i="128"/>
  <c r="AB13" i="128"/>
  <c r="AB16" i="128"/>
  <c r="AB17" i="128"/>
  <c r="AB20" i="128"/>
  <c r="AB21" i="128"/>
  <c r="AB22" i="128"/>
  <c r="AB25" i="128"/>
  <c r="AB27" i="128"/>
  <c r="AB30" i="128"/>
  <c r="AB31" i="128"/>
  <c r="AB32" i="128"/>
  <c r="AB34" i="128"/>
  <c r="AB35" i="128"/>
  <c r="AB37" i="128"/>
  <c r="AB38" i="128"/>
  <c r="AB41" i="128"/>
  <c r="AB57" i="128"/>
  <c r="AB58" i="128"/>
  <c r="AB60" i="128"/>
  <c r="AB61" i="128"/>
  <c r="AB62" i="128"/>
  <c r="AB63" i="128"/>
  <c r="AB67" i="128"/>
  <c r="AB78" i="128"/>
  <c r="AB79" i="128"/>
  <c r="AB81" i="128"/>
  <c r="AB82" i="128"/>
  <c r="AB83" i="128"/>
  <c r="AB84" i="128"/>
  <c r="AB85" i="128"/>
  <c r="AB86" i="128"/>
  <c r="AB88" i="128"/>
  <c r="AB91" i="128"/>
  <c r="AB93" i="128"/>
  <c r="AB94" i="128"/>
  <c r="AB96" i="128"/>
  <c r="AB98" i="128"/>
  <c r="AB99" i="128"/>
  <c r="AB102" i="128"/>
  <c r="AB103" i="128"/>
  <c r="AB108" i="128"/>
  <c r="AB110" i="128"/>
  <c r="AB111" i="128"/>
  <c r="AB112" i="128"/>
  <c r="AB113" i="128"/>
  <c r="AB114" i="128"/>
  <c r="AB115" i="128"/>
  <c r="AB116" i="128"/>
  <c r="AB117" i="128"/>
  <c r="AB118" i="128"/>
  <c r="AB121" i="128"/>
  <c r="AB123" i="128"/>
  <c r="AB124" i="128"/>
  <c r="AB125" i="128"/>
  <c r="AB126" i="128"/>
  <c r="AB128" i="128"/>
  <c r="AB129" i="128"/>
  <c r="AB130" i="128"/>
  <c r="AB131" i="128"/>
  <c r="AB132" i="128"/>
  <c r="AB134" i="128"/>
  <c r="AB136" i="128"/>
  <c r="AB137" i="128"/>
  <c r="AB139" i="128"/>
  <c r="AB140" i="128"/>
  <c r="AB141" i="128"/>
  <c r="AB142" i="128"/>
  <c r="AB146" i="128"/>
  <c r="AB147" i="128"/>
  <c r="AB152" i="128"/>
  <c r="AB154" i="128"/>
  <c r="AB155" i="128"/>
  <c r="AB156" i="128"/>
  <c r="AB157" i="128"/>
  <c r="AB159" i="128"/>
  <c r="AB160" i="128"/>
  <c r="AB161" i="128"/>
  <c r="AB162" i="128"/>
  <c r="AB164" i="128"/>
  <c r="AB171" i="128"/>
  <c r="AB172" i="128"/>
  <c r="AB174" i="128"/>
  <c r="AB175" i="128"/>
  <c r="AB178" i="128"/>
  <c r="AB180" i="128"/>
  <c r="AB183" i="128"/>
  <c r="AB184" i="128"/>
  <c r="AB189" i="128"/>
  <c r="AB190" i="128"/>
  <c r="AB191" i="128"/>
  <c r="AB192" i="128"/>
  <c r="AB193" i="128"/>
  <c r="AB194" i="128"/>
  <c r="AB195" i="128"/>
  <c r="AB197" i="128"/>
  <c r="AC8" i="128"/>
  <c r="AC10" i="128"/>
  <c r="AC12" i="128"/>
  <c r="AC14" i="128"/>
  <c r="AC15" i="128"/>
  <c r="AC18" i="128"/>
  <c r="AC19" i="128"/>
  <c r="AC23" i="128"/>
  <c r="AC24" i="128"/>
  <c r="AC26" i="128"/>
  <c r="AC28" i="128"/>
  <c r="AC29" i="128"/>
  <c r="AC33" i="128"/>
  <c r="AC36" i="128"/>
  <c r="AC39" i="128"/>
  <c r="AC40" i="128"/>
  <c r="AC42" i="128"/>
  <c r="AC43" i="128"/>
  <c r="AC44" i="128"/>
  <c r="AC45" i="128"/>
  <c r="AC46" i="128"/>
  <c r="AC47" i="128"/>
  <c r="AC48" i="128"/>
  <c r="AC49" i="128"/>
  <c r="AC50" i="128"/>
  <c r="AC51" i="128"/>
  <c r="AC52" i="128"/>
  <c r="AC53" i="128"/>
  <c r="AC54" i="128"/>
  <c r="AC55" i="128"/>
  <c r="AC56" i="128"/>
  <c r="AC59" i="128"/>
  <c r="AC64" i="128"/>
  <c r="AC65" i="128"/>
  <c r="AC66" i="128"/>
  <c r="AC68" i="128"/>
  <c r="AC69" i="128"/>
  <c r="AC70" i="128"/>
  <c r="AC71" i="128"/>
  <c r="AC72" i="128"/>
  <c r="AC73" i="128"/>
  <c r="AC74" i="128"/>
  <c r="AC75" i="128"/>
  <c r="AC76" i="128"/>
  <c r="AC77" i="128"/>
  <c r="AC80" i="128"/>
  <c r="AC87" i="128"/>
  <c r="AC89" i="128"/>
  <c r="AC90" i="128"/>
  <c r="AC92" i="128"/>
  <c r="AC95" i="128"/>
  <c r="AC97" i="128"/>
  <c r="AC100" i="128"/>
  <c r="AC101" i="128"/>
  <c r="AC104" i="128"/>
  <c r="AC105" i="128"/>
  <c r="AC106" i="128"/>
  <c r="AC107" i="128"/>
  <c r="AC109" i="128"/>
  <c r="AC119" i="128"/>
  <c r="AC120" i="128"/>
  <c r="AC122" i="128"/>
  <c r="AC127" i="128"/>
  <c r="AC133" i="128"/>
  <c r="AC135" i="128"/>
  <c r="AC138" i="128"/>
  <c r="AC143" i="128"/>
  <c r="AC144" i="128"/>
  <c r="AC145" i="128"/>
  <c r="AC148" i="128"/>
  <c r="AC149" i="128"/>
  <c r="AC150" i="128"/>
  <c r="AC151" i="128"/>
  <c r="AC153" i="128"/>
  <c r="AC158" i="128"/>
  <c r="AC163" i="128"/>
  <c r="AC165" i="128"/>
  <c r="AC166" i="128"/>
  <c r="AC167" i="128"/>
  <c r="AC168" i="128"/>
  <c r="AC169" i="128"/>
  <c r="AC170" i="128"/>
  <c r="AC173" i="128"/>
  <c r="AC176" i="128"/>
  <c r="AC177" i="128"/>
  <c r="AC179" i="128"/>
  <c r="AC181" i="128"/>
  <c r="AC182" i="128"/>
  <c r="AC185" i="128"/>
  <c r="AC186" i="128"/>
  <c r="AC187" i="128"/>
  <c r="AC188" i="128"/>
  <c r="AC196" i="128"/>
  <c r="AC198" i="128"/>
  <c r="AC199" i="128"/>
  <c r="AC200" i="128"/>
  <c r="AC3" i="128"/>
  <c r="AC4" i="128"/>
  <c r="AC5" i="128"/>
  <c r="AC6" i="128"/>
  <c r="AC7" i="128"/>
  <c r="AC9" i="128"/>
  <c r="AC11" i="128"/>
  <c r="AC13" i="128"/>
  <c r="AC16" i="128"/>
  <c r="AC17" i="128"/>
  <c r="AC20" i="128"/>
  <c r="AC21" i="128"/>
  <c r="AC22" i="128"/>
  <c r="AC25" i="128"/>
  <c r="AC27" i="128"/>
  <c r="AC30" i="128"/>
  <c r="AC31" i="128"/>
  <c r="AC32" i="128"/>
  <c r="AC34" i="128"/>
  <c r="AC35" i="128"/>
  <c r="AC37" i="128"/>
  <c r="AC38" i="128"/>
  <c r="AC41" i="128"/>
  <c r="AC57" i="128"/>
  <c r="AC58" i="128"/>
  <c r="AC60" i="128"/>
  <c r="AC61" i="128"/>
  <c r="AC62" i="128"/>
  <c r="AC63" i="128"/>
  <c r="AC67" i="128"/>
  <c r="AC78" i="128"/>
  <c r="AC79" i="128"/>
  <c r="AC81" i="128"/>
  <c r="AC82" i="128"/>
  <c r="AC83" i="128"/>
  <c r="AC84" i="128"/>
  <c r="AC85" i="128"/>
  <c r="AC86" i="128"/>
  <c r="AC88" i="128"/>
  <c r="AC91" i="128"/>
  <c r="AC93" i="128"/>
  <c r="AC94" i="128"/>
  <c r="AC96" i="128"/>
  <c r="AC98" i="128"/>
  <c r="AC99" i="128"/>
  <c r="AC102" i="128"/>
  <c r="AC103" i="128"/>
  <c r="AC108" i="128"/>
  <c r="AC110" i="128"/>
  <c r="AC111" i="128"/>
  <c r="AC112" i="128"/>
  <c r="AC113" i="128"/>
  <c r="AC114" i="128"/>
  <c r="AC115" i="128"/>
  <c r="AC116" i="128"/>
  <c r="AC117" i="128"/>
  <c r="AC118" i="128"/>
  <c r="AC121" i="128"/>
  <c r="AC123" i="128"/>
  <c r="AC124" i="128"/>
  <c r="AC125" i="128"/>
  <c r="AC126" i="128"/>
  <c r="AC128" i="128"/>
  <c r="AC129" i="128"/>
  <c r="AC130" i="128"/>
  <c r="AC131" i="128"/>
  <c r="AC132" i="128"/>
  <c r="AC134" i="128"/>
  <c r="AC136" i="128"/>
  <c r="AC137" i="128"/>
  <c r="AC139" i="128"/>
  <c r="AC140" i="128"/>
  <c r="AC141" i="128"/>
  <c r="AC142" i="128"/>
  <c r="AC146" i="128"/>
  <c r="AC147" i="128"/>
  <c r="AC152" i="128"/>
  <c r="AC154" i="128"/>
  <c r="AC155" i="128"/>
  <c r="AC156" i="128"/>
  <c r="AC157" i="128"/>
  <c r="AC159" i="128"/>
  <c r="AC160" i="128"/>
  <c r="AC161" i="128"/>
  <c r="AC162" i="128"/>
  <c r="AC164" i="128"/>
  <c r="AC171" i="128"/>
  <c r="AC172" i="128"/>
  <c r="AC174" i="128"/>
  <c r="AC175" i="128"/>
  <c r="AC178" i="128"/>
  <c r="AC180" i="128"/>
  <c r="AC183" i="128"/>
  <c r="AC184" i="128"/>
  <c r="AC189" i="128"/>
  <c r="AC190" i="128"/>
  <c r="AC191" i="128"/>
  <c r="AC192" i="128"/>
  <c r="AC193" i="128"/>
  <c r="AC194" i="128"/>
  <c r="AC195" i="128"/>
  <c r="AC197" i="128"/>
  <c r="AD8" i="128"/>
  <c r="AD10" i="128"/>
  <c r="AD12" i="128"/>
  <c r="AD14" i="128"/>
  <c r="AD15" i="128"/>
  <c r="AD18" i="128"/>
  <c r="AD19" i="128"/>
  <c r="AD23" i="128"/>
  <c r="AD24" i="128"/>
  <c r="AD26" i="128"/>
  <c r="AD28" i="128"/>
  <c r="AD29" i="128"/>
  <c r="AD33" i="128"/>
  <c r="AD36" i="128"/>
  <c r="AD39" i="128"/>
  <c r="AD40" i="128"/>
  <c r="AD42" i="128"/>
  <c r="AD43" i="128"/>
  <c r="AD44" i="128"/>
  <c r="AD45" i="128"/>
  <c r="AD46" i="128"/>
  <c r="AD47" i="128"/>
  <c r="AD48" i="128"/>
  <c r="AD49" i="128"/>
  <c r="AD50" i="128"/>
  <c r="AD51" i="128"/>
  <c r="AD52" i="128"/>
  <c r="AD53" i="128"/>
  <c r="AD54" i="128"/>
  <c r="AD55" i="128"/>
  <c r="AD56" i="128"/>
  <c r="AD59" i="128"/>
  <c r="AD64" i="128"/>
  <c r="AD65" i="128"/>
  <c r="AD66" i="128"/>
  <c r="AD68" i="128"/>
  <c r="AD69" i="128"/>
  <c r="AD70" i="128"/>
  <c r="AD71" i="128"/>
  <c r="AD72" i="128"/>
  <c r="AD73" i="128"/>
  <c r="AD74" i="128"/>
  <c r="AD75" i="128"/>
  <c r="AD76" i="128"/>
  <c r="AD77" i="128"/>
  <c r="AD80" i="128"/>
  <c r="AD87" i="128"/>
  <c r="AD89" i="128"/>
  <c r="AD90" i="128"/>
  <c r="AD92" i="128"/>
  <c r="AD95" i="128"/>
  <c r="AD97" i="128"/>
  <c r="AD100" i="128"/>
  <c r="AD101" i="128"/>
  <c r="AD104" i="128"/>
  <c r="AD105" i="128"/>
  <c r="AD106" i="128"/>
  <c r="AD107" i="128"/>
  <c r="AD109" i="128"/>
  <c r="AD119" i="128"/>
  <c r="AD120" i="128"/>
  <c r="AD122" i="128"/>
  <c r="AD127" i="128"/>
  <c r="AD133" i="128"/>
  <c r="AD135" i="128"/>
  <c r="AD138" i="128"/>
  <c r="AD143" i="128"/>
  <c r="AD144" i="128"/>
  <c r="AD145" i="128"/>
  <c r="AD148" i="128"/>
  <c r="AD149" i="128"/>
  <c r="AD150" i="128"/>
  <c r="AD151" i="128"/>
  <c r="AD153" i="128"/>
  <c r="AD158" i="128"/>
  <c r="AD163" i="128"/>
  <c r="AD165" i="128"/>
  <c r="AD166" i="128"/>
  <c r="AD167" i="128"/>
  <c r="AD168" i="128"/>
  <c r="AD169" i="128"/>
  <c r="AD170" i="128"/>
  <c r="AD173" i="128"/>
  <c r="AD176" i="128"/>
  <c r="AD177" i="128"/>
  <c r="AD179" i="128"/>
  <c r="AD181" i="128"/>
  <c r="AD182" i="128"/>
  <c r="AD185" i="128"/>
  <c r="AD186" i="128"/>
  <c r="AD187" i="128"/>
  <c r="AD188" i="128"/>
  <c r="AD196" i="128"/>
  <c r="AD198" i="128"/>
  <c r="AD199" i="128"/>
  <c r="AD200" i="128"/>
  <c r="AD3" i="128"/>
  <c r="AD4" i="128"/>
  <c r="AD5" i="128"/>
  <c r="AD6" i="128"/>
  <c r="AD7" i="128"/>
  <c r="AD9" i="128"/>
  <c r="AD11" i="128"/>
  <c r="AD13" i="128"/>
  <c r="AD16" i="128"/>
  <c r="AD17" i="128"/>
  <c r="AD20" i="128"/>
  <c r="AD21" i="128"/>
  <c r="AD22" i="128"/>
  <c r="AD25" i="128"/>
  <c r="AD27" i="128"/>
  <c r="AD30" i="128"/>
  <c r="AD31" i="128"/>
  <c r="AD32" i="128"/>
  <c r="AD34" i="128"/>
  <c r="AD35" i="128"/>
  <c r="AD37" i="128"/>
  <c r="AD38" i="128"/>
  <c r="AD41" i="128"/>
  <c r="AD57" i="128"/>
  <c r="AD58" i="128"/>
  <c r="AD60" i="128"/>
  <c r="AD61" i="128"/>
  <c r="AD62" i="128"/>
  <c r="AD63" i="128"/>
  <c r="AD67" i="128"/>
  <c r="AD78" i="128"/>
  <c r="AD79" i="128"/>
  <c r="AD81" i="128"/>
  <c r="AD82" i="128"/>
  <c r="AD83" i="128"/>
  <c r="AD84" i="128"/>
  <c r="AD85" i="128"/>
  <c r="AD86" i="128"/>
  <c r="AD88" i="128"/>
  <c r="AD91" i="128"/>
  <c r="AD93" i="128"/>
  <c r="AD94" i="128"/>
  <c r="AD96" i="128"/>
  <c r="AD98" i="128"/>
  <c r="AD99" i="128"/>
  <c r="AD102" i="128"/>
  <c r="AD103" i="128"/>
  <c r="AD108" i="128"/>
  <c r="AD110" i="128"/>
  <c r="AD111" i="128"/>
  <c r="AD112" i="128"/>
  <c r="AD113" i="128"/>
  <c r="AD114" i="128"/>
  <c r="AD115" i="128"/>
  <c r="AD116" i="128"/>
  <c r="AD117" i="128"/>
  <c r="AD118" i="128"/>
  <c r="AD121" i="128"/>
  <c r="AD123" i="128"/>
  <c r="AD124" i="128"/>
  <c r="AD125" i="128"/>
  <c r="AD126" i="128"/>
  <c r="AD128" i="128"/>
  <c r="AD129" i="128"/>
  <c r="AD130" i="128"/>
  <c r="AD131" i="128"/>
  <c r="AD132" i="128"/>
  <c r="AD134" i="128"/>
  <c r="AD136" i="128"/>
  <c r="AD137" i="128"/>
  <c r="AD139" i="128"/>
  <c r="AD140" i="128"/>
  <c r="AD141" i="128"/>
  <c r="AD142" i="128"/>
  <c r="AD146" i="128"/>
  <c r="AD147" i="128"/>
  <c r="AD152" i="128"/>
  <c r="AD154" i="128"/>
  <c r="AD155" i="128"/>
  <c r="AD156" i="128"/>
  <c r="AD157" i="128"/>
  <c r="AD159" i="128"/>
  <c r="AD160" i="128"/>
  <c r="AD161" i="128"/>
  <c r="AD162" i="128"/>
  <c r="AD164" i="128"/>
  <c r="AD171" i="128"/>
  <c r="AD172" i="128"/>
  <c r="AD174" i="128"/>
  <c r="AD175" i="128"/>
  <c r="AD178" i="128"/>
  <c r="AD180" i="128"/>
  <c r="AD183" i="128"/>
  <c r="AD184" i="128"/>
  <c r="AD189" i="128"/>
  <c r="AD190" i="128"/>
  <c r="AD191" i="128"/>
  <c r="AD192" i="128"/>
  <c r="AD193" i="128"/>
  <c r="AD194" i="128"/>
  <c r="AD195" i="128"/>
  <c r="AD197" i="128"/>
  <c r="M3" i="2"/>
  <c r="M18" i="2" s="1"/>
  <c r="AF2" i="127"/>
  <c r="AF41" i="127" l="1"/>
  <c r="AF39" i="127"/>
  <c r="AF35" i="127"/>
  <c r="AF34" i="127"/>
  <c r="AF86" i="127"/>
  <c r="AF10" i="127"/>
  <c r="AF94" i="127"/>
  <c r="AF91" i="127"/>
  <c r="AF89" i="127"/>
  <c r="AF84" i="127"/>
  <c r="AF76" i="127"/>
  <c r="AF67" i="127"/>
  <c r="AF33" i="127"/>
  <c r="AF32" i="127"/>
  <c r="AF30" i="127"/>
  <c r="AF28" i="127"/>
  <c r="AF26" i="127"/>
  <c r="AF11" i="127"/>
  <c r="AF105" i="127"/>
  <c r="AF104" i="127"/>
  <c r="AF102" i="127"/>
  <c r="AF101" i="127"/>
  <c r="AF95" i="127"/>
  <c r="AF85" i="127"/>
  <c r="AF83" i="127"/>
  <c r="AF81" i="127"/>
  <c r="AF80" i="127"/>
  <c r="AF77" i="127"/>
  <c r="AF70" i="127"/>
  <c r="AF68" i="127"/>
  <c r="AF66" i="127"/>
  <c r="AF64" i="127"/>
  <c r="AF60" i="127"/>
  <c r="AF52" i="127"/>
  <c r="AF51" i="127"/>
  <c r="AF48" i="127"/>
  <c r="AF46" i="127"/>
  <c r="AF42" i="127"/>
  <c r="AF29" i="127"/>
  <c r="AF27" i="127"/>
  <c r="AF25" i="127"/>
  <c r="AF24" i="127"/>
  <c r="AF21" i="127"/>
  <c r="AF14" i="127"/>
  <c r="AF13" i="127"/>
  <c r="AF12" i="127"/>
  <c r="AF9" i="127"/>
  <c r="AF100" i="127"/>
  <c r="AF79" i="127"/>
  <c r="AF63" i="127"/>
  <c r="AF44" i="127"/>
  <c r="AF23" i="127"/>
  <c r="AF7" i="127"/>
  <c r="AF59" i="127"/>
  <c r="AF69" i="127"/>
  <c r="AF19" i="127"/>
  <c r="AF97" i="127"/>
  <c r="AF78" i="127"/>
  <c r="AF4" i="127"/>
  <c r="AF62" i="127"/>
  <c r="AF43" i="127"/>
  <c r="AF22" i="127"/>
  <c r="AF6" i="127"/>
  <c r="AF99" i="127"/>
  <c r="AF55" i="127"/>
  <c r="AF109" i="127"/>
  <c r="AF90" i="127"/>
  <c r="AF73" i="127"/>
  <c r="AF56" i="127"/>
  <c r="AF37" i="127"/>
  <c r="AF49" i="127"/>
  <c r="AF110" i="127"/>
  <c r="AF65" i="127"/>
  <c r="AF8" i="127"/>
  <c r="AF93" i="127"/>
  <c r="AF75" i="127"/>
  <c r="AF58" i="127"/>
  <c r="AF40" i="127"/>
  <c r="AF20" i="127"/>
  <c r="AF3" i="127"/>
  <c r="AF103" i="127"/>
  <c r="AF61" i="127"/>
  <c r="AF5" i="127"/>
  <c r="AF92" i="127"/>
  <c r="AF74" i="127"/>
  <c r="AF57" i="127"/>
  <c r="AF38" i="127"/>
  <c r="AF18" i="127"/>
  <c r="AF108" i="127"/>
  <c r="AF98" i="127"/>
  <c r="AF50" i="127"/>
  <c r="AF107" i="127"/>
  <c r="AF88" i="127"/>
  <c r="AF72" i="127"/>
  <c r="AF54" i="127"/>
  <c r="AF36" i="127"/>
  <c r="AF16" i="127"/>
  <c r="AF47" i="127"/>
  <c r="AF96" i="127"/>
  <c r="AF45" i="127"/>
  <c r="AF106" i="127"/>
  <c r="AF87" i="127"/>
  <c r="AF71" i="127"/>
  <c r="AF53" i="127"/>
  <c r="AF31" i="127"/>
  <c r="AF15" i="127"/>
  <c r="AF82" i="127"/>
  <c r="AE223" i="128"/>
  <c r="AE215" i="128"/>
  <c r="AE201" i="128"/>
  <c r="AE212" i="128"/>
  <c r="AE211" i="128"/>
  <c r="AE210" i="128"/>
  <c r="AE208" i="128"/>
  <c r="AE207" i="128"/>
  <c r="AE228" i="128"/>
  <c r="AE227" i="128"/>
  <c r="AE226" i="128"/>
  <c r="AE225" i="128"/>
  <c r="AE224" i="128"/>
  <c r="AE222" i="128"/>
  <c r="AE221" i="128"/>
  <c r="AE220" i="128"/>
  <c r="AE219" i="128"/>
  <c r="AE218" i="128"/>
  <c r="AE217" i="128"/>
  <c r="AE216" i="128"/>
  <c r="AE214" i="128"/>
  <c r="AE213" i="128"/>
  <c r="AE209" i="128"/>
  <c r="AE206" i="128"/>
  <c r="AE205" i="128"/>
  <c r="AE204" i="128"/>
  <c r="AE203" i="128"/>
  <c r="AE202" i="128"/>
  <c r="AE194" i="128"/>
  <c r="AE163" i="128"/>
  <c r="AE146" i="128"/>
  <c r="AE158" i="128"/>
  <c r="AE111" i="128"/>
  <c r="AE122" i="128"/>
  <c r="AE162" i="128"/>
  <c r="AE125" i="128"/>
  <c r="AE58" i="128"/>
  <c r="AE3" i="128"/>
  <c r="AE177" i="128"/>
  <c r="AE69" i="128"/>
  <c r="AE33" i="128"/>
  <c r="AE190" i="128"/>
  <c r="AE161" i="128"/>
  <c r="AE140" i="128"/>
  <c r="AE124" i="128"/>
  <c r="AE108" i="128"/>
  <c r="AE84" i="128"/>
  <c r="AE57" i="128"/>
  <c r="AE21" i="128"/>
  <c r="AE200" i="128"/>
  <c r="AE176" i="128"/>
  <c r="AE150" i="128"/>
  <c r="AE119" i="128"/>
  <c r="AE89" i="128"/>
  <c r="AE68" i="128"/>
  <c r="AE49" i="128"/>
  <c r="AE29" i="128"/>
  <c r="AE172" i="128"/>
  <c r="AE133" i="128"/>
  <c r="AE171" i="128"/>
  <c r="AE95" i="128"/>
  <c r="AE60" i="128"/>
  <c r="AE70" i="128"/>
  <c r="AE191" i="128"/>
  <c r="AE141" i="128"/>
  <c r="AE110" i="128"/>
  <c r="AE85" i="128"/>
  <c r="AE22" i="128"/>
  <c r="AE151" i="128"/>
  <c r="AE90" i="128"/>
  <c r="AE50" i="128"/>
  <c r="AE189" i="128"/>
  <c r="AE160" i="128"/>
  <c r="AE139" i="128"/>
  <c r="AE123" i="128"/>
  <c r="AE103" i="128"/>
  <c r="AE83" i="128"/>
  <c r="AE41" i="128"/>
  <c r="AE20" i="128"/>
  <c r="AE199" i="128"/>
  <c r="AE173" i="128"/>
  <c r="AE149" i="128"/>
  <c r="AE109" i="128"/>
  <c r="AE87" i="128"/>
  <c r="AE66" i="128"/>
  <c r="AE48" i="128"/>
  <c r="AE28" i="128"/>
  <c r="AE147" i="128"/>
  <c r="AE91" i="128"/>
  <c r="AE30" i="128"/>
  <c r="AE97" i="128"/>
  <c r="AE40" i="128"/>
  <c r="AE112" i="128"/>
  <c r="AE61" i="128"/>
  <c r="AE5" i="128"/>
  <c r="AE71" i="128"/>
  <c r="AE12" i="128"/>
  <c r="AE142" i="128"/>
  <c r="AE86" i="128"/>
  <c r="AE179" i="128"/>
  <c r="AE92" i="128"/>
  <c r="AE10" i="128"/>
  <c r="AE159" i="128"/>
  <c r="AE102" i="128"/>
  <c r="AE38" i="128"/>
  <c r="AE170" i="128"/>
  <c r="AE107" i="128"/>
  <c r="AE47" i="128"/>
  <c r="AE157" i="128"/>
  <c r="AE118" i="128"/>
  <c r="AE196" i="128"/>
  <c r="AE156" i="128"/>
  <c r="AE98" i="128"/>
  <c r="AE35" i="128"/>
  <c r="AE188" i="128"/>
  <c r="AE168" i="128"/>
  <c r="AE144" i="128"/>
  <c r="AE105" i="128"/>
  <c r="AE76" i="128"/>
  <c r="AE59" i="128"/>
  <c r="AE45" i="128"/>
  <c r="AE23" i="128"/>
  <c r="AE178" i="128"/>
  <c r="AE155" i="128"/>
  <c r="AE132" i="128"/>
  <c r="AE116" i="128"/>
  <c r="AE96" i="128"/>
  <c r="AE78" i="128"/>
  <c r="AE34" i="128"/>
  <c r="AE11" i="128"/>
  <c r="AE187" i="128"/>
  <c r="AE167" i="128"/>
  <c r="AE143" i="128"/>
  <c r="AE104" i="128"/>
  <c r="AE75" i="128"/>
  <c r="AE56" i="128"/>
  <c r="AE44" i="128"/>
  <c r="AE19" i="128"/>
  <c r="AE113" i="128"/>
  <c r="AE127" i="128"/>
  <c r="AE25" i="128"/>
  <c r="AE51" i="128"/>
  <c r="AE137" i="128"/>
  <c r="AE17" i="128"/>
  <c r="AE65" i="128"/>
  <c r="AE183" i="128"/>
  <c r="AE81" i="128"/>
  <c r="AE169" i="128"/>
  <c r="AE64" i="128"/>
  <c r="AE180" i="128"/>
  <c r="AE79" i="128"/>
  <c r="AE197" i="128"/>
  <c r="AE175" i="128"/>
  <c r="AE154" i="128"/>
  <c r="AE131" i="128"/>
  <c r="AE115" i="128"/>
  <c r="AE94" i="128"/>
  <c r="AE67" i="128"/>
  <c r="AE32" i="128"/>
  <c r="AE9" i="128"/>
  <c r="AE186" i="128"/>
  <c r="AE166" i="128"/>
  <c r="AE138" i="128"/>
  <c r="AE101" i="128"/>
  <c r="AE74" i="128"/>
  <c r="AE43" i="128"/>
  <c r="AE129" i="128"/>
  <c r="AE62" i="128"/>
  <c r="AE6" i="128"/>
  <c r="AE72" i="128"/>
  <c r="AE53" i="128"/>
  <c r="AE14" i="128"/>
  <c r="AE193" i="128"/>
  <c r="AE88" i="128"/>
  <c r="AE27" i="128"/>
  <c r="AE181" i="128"/>
  <c r="AE52" i="128"/>
  <c r="AE39" i="128"/>
  <c r="AE192" i="128"/>
  <c r="AE164" i="128"/>
  <c r="AE126" i="128"/>
  <c r="AE4" i="128"/>
  <c r="AE153" i="128"/>
  <c r="AE36" i="128"/>
  <c r="AE184" i="128"/>
  <c r="AE121" i="128"/>
  <c r="AE82" i="128"/>
  <c r="AE198" i="128"/>
  <c r="AE148" i="128"/>
  <c r="AE80" i="128"/>
  <c r="AE26" i="128"/>
  <c r="AE136" i="128"/>
  <c r="AE99" i="128"/>
  <c r="AE37" i="128"/>
  <c r="AE16" i="128"/>
  <c r="AE145" i="128"/>
  <c r="AE106" i="128"/>
  <c r="AE77" i="128"/>
  <c r="AE46" i="128"/>
  <c r="AE24" i="128"/>
  <c r="AE134" i="128"/>
  <c r="AE117" i="128"/>
  <c r="AE195" i="128"/>
  <c r="AE174" i="128"/>
  <c r="AE152" i="128"/>
  <c r="AE130" i="128"/>
  <c r="AE114" i="128"/>
  <c r="AE93" i="128"/>
  <c r="AE63" i="128"/>
  <c r="AE31" i="128"/>
  <c r="AE7" i="128"/>
  <c r="AE185" i="128"/>
  <c r="AE135" i="128"/>
  <c r="AE100" i="128"/>
  <c r="AE73" i="128"/>
  <c r="AE54" i="128"/>
  <c r="AE42" i="128"/>
  <c r="AE15" i="128"/>
  <c r="N3" i="2"/>
  <c r="N18" i="2" s="1"/>
  <c r="AE120" i="128"/>
  <c r="AE182" i="128"/>
  <c r="AE55" i="128"/>
  <c r="AE13" i="128"/>
  <c r="AE18" i="128"/>
  <c r="AE8" i="128"/>
  <c r="AE128" i="128"/>
  <c r="AE165" i="128"/>
  <c r="AF111" i="127" l="1"/>
  <c r="G4" i="2" s="1"/>
  <c r="C2" i="127" l="1"/>
  <c r="B2" i="127"/>
  <c r="AD2" i="128"/>
  <c r="AC2" i="128"/>
  <c r="AB2" i="128"/>
  <c r="C2" i="128"/>
  <c r="B2" i="128"/>
  <c r="AE2" i="128" l="1"/>
  <c r="AE229" i="128" s="1"/>
  <c r="A1" i="2" l="1"/>
  <c r="A4" i="2"/>
  <c r="A5" i="2" s="1"/>
  <c r="F4" i="2"/>
  <c r="H4" i="2" l="1"/>
  <c r="F3" i="2"/>
  <c r="F6" i="2" s="1"/>
  <c r="G5" i="2" l="1"/>
  <c r="H5" i="2" l="1"/>
  <c r="G3" i="2" l="1"/>
  <c r="G6" i="2" s="1"/>
  <c r="H3" i="2" l="1"/>
  <c r="H6" i="2" s="1"/>
</calcChain>
</file>

<file path=xl/sharedStrings.xml><?xml version="1.0" encoding="utf-8"?>
<sst xmlns="http://schemas.openxmlformats.org/spreadsheetml/2006/main" count="11933" uniqueCount="2649">
  <si>
    <t>FACTURACIÓN CORRESPONSALES BANCARIOS TIQUIETES AEREOS</t>
  </si>
  <si>
    <t>MES</t>
  </si>
  <si>
    <t>NIT Proveedor</t>
  </si>
  <si>
    <t>Nombre Proveedor (el proveedor ya debe estar creado para el Grupo Bancolombia)</t>
  </si>
  <si>
    <t>Concepto Facturación</t>
  </si>
  <si>
    <t>Público al que le instalo la publicidad</t>
  </si>
  <si>
    <t>No. personas impactadas</t>
  </si>
  <si>
    <t>Valor a Facturar sin IVA</t>
  </si>
  <si>
    <t>Valor a Facturar con IVA</t>
  </si>
  <si>
    <t>CONCEPTOS</t>
  </si>
  <si>
    <t>TRAYECTOS</t>
  </si>
  <si>
    <t>TOTAL</t>
  </si>
  <si>
    <t xml:space="preserve">% Administración </t>
  </si>
  <si>
    <t>SEPTIEMBRE DE 2025</t>
  </si>
  <si>
    <t>811013990-5</t>
  </si>
  <si>
    <t>LINEA COMUNICACIONES S.A.S</t>
  </si>
  <si>
    <t>INSTALACION PUBLICIDAD APERTURAS CORRESPONSALES BANCARIOS</t>
  </si>
  <si>
    <t xml:space="preserve">OPERADOR DEL CORRESPONSAL BANCARIO </t>
  </si>
  <si>
    <t>APERTURA CB 81154</t>
  </si>
  <si>
    <t>PASTO-ROBERTO PAYAN-PASTO</t>
  </si>
  <si>
    <t>ORDENES DE CAMBIO POR DEMANDA</t>
  </si>
  <si>
    <t>APERTURA CB 81252</t>
  </si>
  <si>
    <t>CALI-TIMBIQUI-CALI</t>
  </si>
  <si>
    <t>TRAYECTOS ESPECIALES OC</t>
  </si>
  <si>
    <t>APERTURA CB 81208</t>
  </si>
  <si>
    <t>VILLAVICENCIO-LA MACARENA-VILLAVICENCIO</t>
  </si>
  <si>
    <t>TOTAL A FACTURAR</t>
  </si>
  <si>
    <t>APERTURA CB 81351</t>
  </si>
  <si>
    <t>PASTO-PUERTO LEGUIZAMO-PASTO</t>
  </si>
  <si>
    <t>APERTURA CB 81508</t>
  </si>
  <si>
    <t>BUCARAMANGA-SAN PABLO-BUCARAMANGA</t>
  </si>
  <si>
    <t>APERTURA CB 81510-81511</t>
  </si>
  <si>
    <t>BUCARAMANGA-SANTA ROSA DEL SUR-BUCARAMANGA</t>
  </si>
  <si>
    <t>APERTURA CB 81512</t>
  </si>
  <si>
    <t>BUCARAMANGA-SARAVENA</t>
  </si>
  <si>
    <t>APERTURA CB 81492</t>
  </si>
  <si>
    <t>ARAUCA-BUCARAMANGA</t>
  </si>
  <si>
    <t>APERTURA CB 81683</t>
  </si>
  <si>
    <t>BUCARAMANGA-SARAVENA-BUCARAMANGA</t>
  </si>
  <si>
    <t>APERTURA CB 81682</t>
  </si>
  <si>
    <t>APERTURA CB 81633</t>
  </si>
  <si>
    <t>APARTADO-RIOSUCIO-APARTADO</t>
  </si>
  <si>
    <t>OC CB 46851</t>
  </si>
  <si>
    <t>MEDELLIN-ISTMINA-MEDELLIN</t>
  </si>
  <si>
    <t>OC CB 53794</t>
  </si>
  <si>
    <t>OC CB 76512</t>
  </si>
  <si>
    <t>VILLAVICENCIO-SANTA ROSALIA-VILLAVICENCIO</t>
  </si>
  <si>
    <t>TARIFAS AÑO 2025</t>
  </si>
  <si>
    <t>Incremento 2025</t>
  </si>
  <si>
    <t>TIPOLOGÍA</t>
  </si>
  <si>
    <t>Instalación de avisos internos</t>
  </si>
  <si>
    <t>Instalación de avisos EXTERNOS</t>
  </si>
  <si>
    <t>Transporte de señalización y aviso de 1,50m x 50 cm.</t>
  </si>
  <si>
    <t>Total Valor Actividad</t>
  </si>
  <si>
    <t>ORDENES DE CAMBIO</t>
  </si>
  <si>
    <t>TIPO I</t>
  </si>
  <si>
    <t xml:space="preserve">Tipificación </t>
  </si>
  <si>
    <t>Descripción</t>
  </si>
  <si>
    <t>Dia actividad</t>
  </si>
  <si>
    <t>Transporte</t>
  </si>
  <si>
    <t>Envio operador Logistico</t>
  </si>
  <si>
    <t>Gestión telefónica</t>
  </si>
  <si>
    <t>TIPO II - TIPO III - TIPO IV</t>
  </si>
  <si>
    <t>Tipo I</t>
  </si>
  <si>
    <t>Metropolitano</t>
  </si>
  <si>
    <t>Tipo II</t>
  </si>
  <si>
    <t>Hasta 3 horas</t>
  </si>
  <si>
    <t>Tipo III</t>
  </si>
  <si>
    <t>De 3 a 5 horas</t>
  </si>
  <si>
    <t>Tipo IV</t>
  </si>
  <si>
    <t>Más de 5 horas</t>
  </si>
  <si>
    <t>Destino Aereo*</t>
  </si>
  <si>
    <t>Viaje en Avión</t>
  </si>
  <si>
    <t>* donde se requiera transporte aéreo o fluvial se factura adicional a tarifa TIPO IV el valor del tiquete + el 12% de admon</t>
  </si>
  <si>
    <t>PUBLICIDAD APERTURAS</t>
  </si>
  <si>
    <t>NOMBRE CC</t>
  </si>
  <si>
    <t>Suma de VALOR</t>
  </si>
  <si>
    <t>Suma de VALOR2</t>
  </si>
  <si>
    <t>COORDINADOR</t>
  </si>
  <si>
    <t>CENTRO DE COSTOS LÍNEACOM</t>
  </si>
  <si>
    <t>%</t>
  </si>
  <si>
    <t>$</t>
  </si>
  <si>
    <t>VALOR</t>
  </si>
  <si>
    <t>Redeban Centro ( Bogotá)</t>
  </si>
  <si>
    <t>DIEGO FERNANDO HENAO CARDONA</t>
  </si>
  <si>
    <t>0004-0002</t>
  </si>
  <si>
    <t>Redeban Costa (Barranqullla)</t>
  </si>
  <si>
    <t>0004-0003</t>
  </si>
  <si>
    <t>Redeban Eje Cafetero (Pereira)</t>
  </si>
  <si>
    <t>JOSE MAURICIO HERNANDEZ ROJAS</t>
  </si>
  <si>
    <t>0004-0001</t>
  </si>
  <si>
    <t>Redeban Noroccidente (Medellín)</t>
  </si>
  <si>
    <t>JUAN SEBASTIÁN RÍOS CASTRILLÓN</t>
  </si>
  <si>
    <t>0004-0005</t>
  </si>
  <si>
    <t>Redeban Oriente (Otros)</t>
  </si>
  <si>
    <t>KEVIN ALEXIS CORZO BUSTOS</t>
  </si>
  <si>
    <t>0004-0007</t>
  </si>
  <si>
    <t>Redeban Santander</t>
  </si>
  <si>
    <t>MIGUEL JULIÁN HERNÁNDEZ GUARÍN</t>
  </si>
  <si>
    <t>0004-0008</t>
  </si>
  <si>
    <t>Redeban Suroccidente (Cali)</t>
  </si>
  <si>
    <t>WILLIAM ASDRUBAL ROZO ROZO</t>
  </si>
  <si>
    <t>0004-0004</t>
  </si>
  <si>
    <t>Total general</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</si>
  <si>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</si>
  <si>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</si>
  <si>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</si>
  <si>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</si>
  <si>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</si>
  <si>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</si>
  <si>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</si>
  <si>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</si>
  <si>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</si>
  <si>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</si>
  <si>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</si>
  <si>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</si>
  <si>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</si>
  <si>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</si>
  <si>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</si>
  <si>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</si>
  <si>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</si>
  <si>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</si>
  <si>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</si>
  <si>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</si>
  <si>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</si>
  <si>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</si>
  <si>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FLANGER, DISPLAY LEGAL, DISPLAY CARTA O TABLOIDE</t>
  </si>
  <si>
    <t xml:space="preserve">INSTALACIÓN DE AVISOS EXTERNOS </t>
  </si>
  <si>
    <t>TRANSPORTE DE AVISO  POR INSTALACION O POR NO INSTALACION (IDA-REGRESO)</t>
  </si>
  <si>
    <t>VALOR FLANGER, SEPARADOR, STICKER, DISPLAY</t>
  </si>
  <si>
    <t xml:space="preserve">VALOR INSTALACIÓN DE AVISOS EXTERNOS </t>
  </si>
  <si>
    <t>VALOR TRANSPORTE DE AVISO</t>
  </si>
  <si>
    <t>VALOR TOTAL INSTALACION DE PUBLICIDAD</t>
  </si>
  <si>
    <t>PASTO</t>
  </si>
  <si>
    <t>TA-25-992136</t>
  </si>
  <si>
    <t>APERTURA</t>
  </si>
  <si>
    <t>CB CRECIMIENTO - NUEVO</t>
  </si>
  <si>
    <t>NARIÑO</t>
  </si>
  <si>
    <t>ROBERTO PAYAN</t>
  </si>
  <si>
    <t>BARRIO EL VILLA HORIZONTE ROBERTO PAYAN</t>
  </si>
  <si>
    <t>REDEBAN</t>
  </si>
  <si>
    <t>FO-25-1402263</t>
  </si>
  <si>
    <t>UNO A UNO</t>
  </si>
  <si>
    <t>EJECUTADO</t>
  </si>
  <si>
    <t>21-08 SE REALIZA CONTACTO CON EL CLIENTE VIA WHATSAPP, SE HABLA CON LA SRA MARIA ELVIRA PARRA ARTUNDUAGA AL NÚMERO 3236143368 SE VALIDA DIRECCIÓN OK, CANAL OK, DISPONIBILIDAD TOTAL, LLAMAR EL DIA DE LA INSTALACIÓN PARA CONFIRMAR VISITA, AVISO EXTERIOR ALTURA APROX 8 METROS; TOMACORRIENTE CERCANO: SI; TIENE CABINA DE SEGURIDAD; SI 01-09 SE INICIO DESPLAZAMIENTO PERO SOLO HOY SE LLEGO HASTA BARBACOAS, SE VALIDA Y SE DEBE TOMAR LANCHA EL DIA DE MAÑANA  2/09/2025 SE REALIZA INSTALACIÓN DE CORRESPONSAL, SE INSTALAN EQUIPOS CON PRUEBAS EXITOSAS, SE CAPACITA Y SE EVALÚA AL CLIENTE, SE INSTALA PUBLICIDAD COMPLETA, CB QUEDA OPERATIVO. USUARIO SOMOS BANCOLOMBIA ACTIVO</t>
  </si>
  <si>
    <t>VISITA_TÉCNICA</t>
  </si>
  <si>
    <t>SIZZZ900</t>
  </si>
  <si>
    <t>TIPO IV ESPECIAL</t>
  </si>
  <si>
    <t>FLUVIAL</t>
  </si>
  <si>
    <t>PAZ MARTINEZ RICHARD HUMBERTO</t>
  </si>
  <si>
    <t>CALI</t>
  </si>
  <si>
    <t>TA-25-992167</t>
  </si>
  <si>
    <t>CAUCA</t>
  </si>
  <si>
    <t>EL TAMBO</t>
  </si>
  <si>
    <t>BARRIO PLAYA RICA EL TAMBO 1</t>
  </si>
  <si>
    <t>FO-25-1402365</t>
  </si>
  <si>
    <t>21-08 SE REALIZA LLAMADA AL CLIENTE, SE HABLA CON LA SRA YUDY MILENA CALVACHE HERNANDEZ SE VALIDA DIRECCIÓN OK, CANAL OK, DISPONIBILIDAD TOTAL, LLAMAR EL DÍA LA INSTALACIÓN PARA CONFIRMAR VISITA, AVISO EXTERIOR ALTURA: NO INDICA ALTURA ; TOMACORRIENTE CERCANO: SI; TIENE CABINA DE SEGURIDAD: NO 25-08 DADO PROBLEMAS DE TRANSPORTE HACIA EL CORREGIMIENTO NO ES POSIBLE EL DESPLAZAMIENTO EL DIA DE HOY , SE VALIDARA EL DIA DE MAÑANA. 26-08 SE REALIZA LLAMADA CON EL CLIENTE, QUIEN INFORMA QUE PARA PODER REALIZAR EL INGRESO A LA ZONA ES NECESARIO DILIGENCIAR UNOS PERMISOS ESPECIALES, YA QUE SE TRATA DE UNA ZONA CON PRESENCIA GUERRILLERA. DEBIDO A ESTA SITUACIÓN, SE ACUERDA REPROGRAMAR LA APERTURA. 02-09 SE REALIZA INSTALACIÓN DE CORRESPONSAL, SE INSTALAN EQUIPOS CON PRUEBAS EXITOSAS, SE CAPACITA Y SE EVALÚA AL CLIENTE, SE INSTALA PUBLICIDAD COMPLETA, CB QUEDA OPERATIVO. USUARIO SOMOS BANCOLOMBIA ACTIVO</t>
  </si>
  <si>
    <t>SIZZZ915</t>
  </si>
  <si>
    <t>TIPO III</t>
  </si>
  <si>
    <t>TERRESTRE</t>
  </si>
  <si>
    <t>GIMBUEL LASSO LUIS GERMAN</t>
  </si>
  <si>
    <t>TA-25-1033974</t>
  </si>
  <si>
    <t>BARBACOAS</t>
  </si>
  <si>
    <t>BARRIO GUAYACAL BARBACOAS</t>
  </si>
  <si>
    <t>FO-25-1432981</t>
  </si>
  <si>
    <t>27-08 SE REALIZA LLAMADA AL CLIENTE, SE HABLA CON LA SRA YULIS FIORELA PORTILLA CABEZAS SE VALIDA DIRECCIÓN OK, CANAL OK, DISPONIBILIDAD TOTAL, LLAMAR EL DÍA LA INSTALACIÓN PARA CONFIRMAR VISITA, AVISO EXTERIOR ALTURA APROX 2 METROS; TOMACORRIENTE CERCANO: SI; TIENE CABINA DE SEGURIDAD: NO - COMUNICACIÓN POR WPP / EL MODEM ESTA A 4 MT 29/08/2025 POR DISPONIBILIDAD DE TRASNPORTE NO ES POSIBLE REALIZAR LA ACTIVIDAD EL DIA DE HOY, SE VIAJARA EL DIA LUNES  01-09 SE LLEGO A BARBACOAS, SE ESTA REALIZANDO LA IMPLEMENTACIÓN EL DIA DE MAÑANA  02-09 SE REALIZA INSTALACIÓN DE CORRESPONSAL, SE INSTALAN EQUIPOS CON PRUEBAS EXITOSAS, SE CAPACITA Y SE EVALÚA AL CLIENTE, SE INSTALA PUBLICIDAD COMPLETA, CB QUEDA OPERATIVO. USUARIO SOMOS BANCOLOMBIA ACTIVO</t>
  </si>
  <si>
    <t>FKZZZ635</t>
  </si>
  <si>
    <t>TIPO IV</t>
  </si>
  <si>
    <t>PEREIRA</t>
  </si>
  <si>
    <t>TA-25-1033985</t>
  </si>
  <si>
    <t>RISARALDA</t>
  </si>
  <si>
    <t>BARRIO CENTRO PEREIRA 55</t>
  </si>
  <si>
    <t>FO-25-1433027</t>
  </si>
  <si>
    <t>27-08-2025 SE REALIZA LLAMADA AL CLIENTE, SE HABLA CON LA SRA JULIANA ECHEVERRY GALVEZ SE VALIDA DIRECCIÓN OK, CANAL OK, DISPONIBILIDAD TOTAL, LLAMAR EL DÍA LA INSTALACIÓN PARA CONFIRMAR VISITA, AVISO EXTERIOR ALTURA APROX 2 METROS; TOMACORRIENTE CERCANO: SI; TIENE CABINA DE SEGURIDAD: NO // CONTACTO REALIZADO POR LA APP 29-08 REALIZAMOS LLAMADA A LA SRA JULIANA LA CUAL NOS INDICA QUE EL DÍA DE HOY NO ES POSIBLE ATENDERNOS YA QUE TIENE UN COMPROMISO QUE POR FAVOR REPROGRAMAR LA VISITA PARA LA OTRA SEMANA. 1/09/2025 SE REALIZA INSTALACIÓN DE CORRESPONSAL, SE INSTALAN EQUIPOS, SE CAPACITA Y SE EVALÚA AL CLIENTE, SE INSTALA PUBLICIDAD COMPLETA, CB QUEDA OPERATIVO. USUARIO SOMOS BANCOLOMBIA ACTIVO. NOTA: SOLO SE REALIZAN PRUEBA DE CONSULTA DE SALDO YA QUE EL CLIENTE NO TIENE TARJETA PARA HACER LAS PRUEBAS DE DEPOSITO, RETIRO, RECAUDO Y TRANSFERENCIA</t>
  </si>
  <si>
    <t>FKZZZ643</t>
  </si>
  <si>
    <t>ARROYAVE CANO MANUEL GUILLERMO</t>
  </si>
  <si>
    <t>MONTERIA</t>
  </si>
  <si>
    <t>TA-25-1033987</t>
  </si>
  <si>
    <t>CORDOBA</t>
  </si>
  <si>
    <t>BARRIO POLICARPA MONTERIA 3</t>
  </si>
  <si>
    <t>FO-25-1433037</t>
  </si>
  <si>
    <t>26-08 SE REALIZA LLAMADA AL CLIENTE, SE HABLA CON LA SRA  SIDNEY PATRICIA VILLEGAS VILORIA SE VALIDA DIRECCIÓN OK, CANAL OK, DISPONIBILIDAD TOTAL, LLAMAR EL DÍA DE LA INSTALACIÓN PARA CONFIRMAR VISITA, AVISO EXTERIOR NO INDICA ALTURA; TOMACORRIENTE CERCANO: SI; TIENE CABINA DE SEGURIDAD: SI 28-08 SE REALIZÓ LLAMADA DE VALIDACIÓN Y LA SEÑORA SIDNEY PATRICIA VILLEGAS VILORIA, INFORMA QUE POR LAS FUERTE LLUVIA Y BRISA DE ANOCHE SE CAYERON VARIOS ÁRBOLES Y ESTÁ SIN FLUIDO ELÉCTRICO Y DAÑOS EN EL INTERNET. PIDE POR FAVOR ESPERAR A QUE LE SOLUCIONEN PARA RECIBIR LA INSTALACIÓN. 29-08 SE REALIZÓ LLAMADA DE VALIDACIÓN Y EL CLIENTE INFORMA QUE TODAVÍA TIENE PROBLEMAS CON EL CANAL DE COMUNICACIÓN, QUE NO HAN REALIZADO LOS ARREGLOS EN LA ZONA. 30-08 LA ACTIVIDAD SE REAGENDA PARA EL DÍA LUNES 01-09-25. 1/09/2025 SE ESCALA CASO, DONDE SE LLEVA A COMERCIO DE LA PAPELERÍA, PERO EL LOCAL NO CUENTA CON EL NOMBRE DE COMERCIO EN FACHADA, CABE ACLARAR QUE LA MERCANCÍA SI TIENE RELACIÓN CON PAPELERIA, // POR FAVOR, PROCEDAMOS CON LA IMPLANTACIÓN CORRESPONDIENTE Y DEJEMOS COMO EVIDENCIA LA CÁMARA DE COMERCIO, ASÍ COMO LA DOCUMENTACIÓN DE LA NOVEDAD PRESENTADA. 01-09 SE REALIZA INSTALACIÓN DE CORRESPONSAL, SE INSTALAN EQUIPOS CON PRUEBAS EXITOSAS, SE CAPACITA Y SE EVALÚA AL CLIENTE, SE INSTALA PUBLICIDAD COMPLETA, CB QUEDA OPERATIVO. USUARIO SOMOS BANCOLOMBIA ACTIVO. NO SÉ REALIZÓ PRUEBAS DE RECAUDO PORQUE EL CLIENTE NO IBA A PAGAR FACTURA EN EL MOMENTO Y LA DE TRANSFERENCIA EL CLIENTE NO TIENE MÁS CUENTA</t>
  </si>
  <si>
    <t>FKZZZ646</t>
  </si>
  <si>
    <t>CALDERA SALCEDO CARLOS JULIO</t>
  </si>
  <si>
    <t>TA-25-1033991</t>
  </si>
  <si>
    <t>TIMBIQUI</t>
  </si>
  <si>
    <t>BARRIO UNION DE VIVIENDAS TIMBIQUI</t>
  </si>
  <si>
    <t>FO-25-1433056</t>
  </si>
  <si>
    <t>27-08-2025 SE REALIZA LLAMADA AL CLIENTE, SE HABLA CON LA SRA  IRLANDA VENTE CONGOLINO SE VALIDA DIRECCIÓN OK, CANAL OK, DISPONIBILIDAD TOTAL, LLAMAR EL DÍA LA INSTALACIÓN PARA CONFIRMAR VISITA, AVISO EXTERIOR ALTURA APROX 3 METROS; TOMACORRIENTE CERCANO: SI; TIENE CABINA DE SEGURIDAD: SI  04-09 SE REALIZA INSTALACIÓN DE CORRESPONSAL, SE INSTALAN EQUIPOS CON PRUEBAS EXITOSAS, SE CAPACITA Y SE EVALÚA AL CLIENTE, SE INSTALA PUBLICIDAD COMPLETA, CB QUEDA OPERATIVO. USUARIO SOMOS BANCOLOMBIA ACTIVO</t>
  </si>
  <si>
    <t>FKZZZ649</t>
  </si>
  <si>
    <t>AEREO</t>
  </si>
  <si>
    <t>PAREDES CASTILLO DIEGO</t>
  </si>
  <si>
    <t>TA-25-1034011</t>
  </si>
  <si>
    <t>SAN LORENZO</t>
  </si>
  <si>
    <t>BARRIO EL CENTRO SAN LORENZO</t>
  </si>
  <si>
    <t>FO-25-1433131</t>
  </si>
  <si>
    <t>EJECUTADO/CANCELADO</t>
  </si>
  <si>
    <t>27-08-2025 SE REALIZA LLAMADA AL CLIENTE, SE HABLA CON EL SR HECTOR ROSENDO ESPAÑA RODRIGUEZ  SE VALIDA DIRECCIÓN OK, CANAL OK, DISPONIBILIDAD TOTAL, LLAMAR EL DÍA LA INSTALACIÓN PARA CONFIRMAR VISITA, AVISO EXTERIOR ALTURA APROX 3 METROS; TOMACORRIENTE CERCANO: SI; TIENE CABINA DE SEGURIDAD: NO 28-09 SE REALIZÓ COMUNICACIÓN TELEFÓNICA CON USUARIO E INFORMA QUE DEBIDO A CELEBRACIÓN DE FIESTAS EN EL MUNICIPIO ES COMPLICADO EL TRANSPORTE Y LA ATENCIÓN DE LA VISITA. SOLICITA QUE ESTA SEA REALIZADA EN LA SIGUIENTE SEMANA CUANDO YA SE HAYA NORMALIZADO TODO. 3/09/2025 SE VISITA EL COMERCIO PARA REALIZAR APERTURA PERO NO ES POSIBLE YA QUE EN EL COMERCIO FUNCIONA CORRESPONSAL DE BANCO AGRARIO POR LO QUE NO SE APERTURA YA QUE SE ESTARÍA VIOLANDO PRINCIPIO DE EXCLUSIVIDAD DE BANCOLOMBIA.</t>
  </si>
  <si>
    <t>FKZZZ662</t>
  </si>
  <si>
    <t>TIPO II</t>
  </si>
  <si>
    <t>GUERRERO RAMIREZ OSCAR DARIO</t>
  </si>
  <si>
    <t>NEIVA</t>
  </si>
  <si>
    <t>TA-25-1034017</t>
  </si>
  <si>
    <t>CAQUETA</t>
  </si>
  <si>
    <t>SOLITA</t>
  </si>
  <si>
    <t>BARRIO JORDAN SOLITA</t>
  </si>
  <si>
    <t>FO-25-1433151</t>
  </si>
  <si>
    <t>27-08 SE REALIZA LLAMADA AL CLIENTE, SE HABLA CON LA SRA IDARYI CANO PINZON  SE VALIDA DIRECCIÓN OK, CANAL OK, DISPONIBILIDAD TOTAL, LLAMAR EL DÍA LA INSTALACIÓN PARA CONFIRMAR VISITA, AVISO EXTERIOR ALTURA APROX 2 METROS; TOMACORRIENTE CERCANO: SI; TIENE CABINA DE SEGURIDAD: NO - EL MODEM ESTA 5 MT  01-09  EN COMUNICACIÓN CON LA CLIENTA PARA CONFIRMAR LA INSTALACIÓN EL DÍA DE HOY, CLIENTE MANIFIESTO QUE NO ES POSIBLE ATENDER LA VISITA YA QUE POR MOTIVOS PERSONALES ESTÁ EN FLORENCIA REALIZANDO UNAS DILIGENCIAS, MANIFESTÓ ATENDER LA VISITA EL DÍA DE MAÑANA 02 DE SEPTIEMBRE EN EL TRANSCURSO DEL DÍA. 2/09/2025 SE REALIZA INSTALACIÓN DE CORRESPONSAL, SE INSTALAN EQUIPOS CON PRUEBAS EXITOSAS, SE CAPACITA Y SE EVALÚA AL CLIENTE, SE INSTALA PUBLICIDAD COMPLETA, CB QUEDA OPERATIVO. USUARIO SOMOS BANCOLOMBIA ACTIVO</t>
  </si>
  <si>
    <t>FKZZZ665</t>
  </si>
  <si>
    <t>BERMUDEZ SANCHEZ JOSE NEYBER</t>
  </si>
  <si>
    <t>VILLAVICENCIO</t>
  </si>
  <si>
    <t>TA-25-1034022</t>
  </si>
  <si>
    <t>META</t>
  </si>
  <si>
    <t>LA MACARENA</t>
  </si>
  <si>
    <t>BARRIO CENTRO LA MACARENA 9</t>
  </si>
  <si>
    <t>FO-25-1433176</t>
  </si>
  <si>
    <t>27-08 SE REALIZA LLAMADA AL CLIENTE, SE HABLA CON LA SR RICARDO FLOREZ ARENAS  SE VALIDA DIRECCIÓN OK, CANAL OK, DISPONIBILIDAD TOTAL, LLAMAR EL DÍA LA INSTALACIÓN PARA CONFIRMAR VISITA, AVISO EXTERIOR ALTURA APROX 2 METROS; TOMACORRIENTE CERCANO: SI; TIENE CABINA DE SEGURIDAD: NO - COMUNICACIÓN POR WPP / EL MODEM ESTA A 5 MT  Y NO TIENE PUERTO DISPONIBLES ( LLEVAR SWITCH) 03-09 SE REALIZA INSTALACIÓN DE CORRESPONSAL, SE INSTALAN EQUIPOS CON PRUEBAS EXITOSAS, SE CAPACITA Y SE EVALÚA AL CLIENTE, SE INSTALA PUBLICIDAD COMPLETA, CB QUEDA OPERATIVO. USUARIO SOMOS BANCOLOMBIA ACTIVO</t>
  </si>
  <si>
    <t>FKZZZ669</t>
  </si>
  <si>
    <t>ROZO JIMENEZ EDGAR ARMANDO</t>
  </si>
  <si>
    <t>BUCARAMANGA</t>
  </si>
  <si>
    <t>TA-25-1034026</t>
  </si>
  <si>
    <t>SANTANDER</t>
  </si>
  <si>
    <t>SAN GIL</t>
  </si>
  <si>
    <t>BARRIO CIUDAD FUTURO ETAPA  3 SAN GIL</t>
  </si>
  <si>
    <t>FO-25-1433206</t>
  </si>
  <si>
    <t>27-08 SE REALIZA LLAMADA AL CLIENTE, SE HABLA CON LA SRA OLGA PATRICIA SARMIENTO OTERO  SE VALIDA DIRECCIÓN OK, CANAL OK, DISPONIBILIDAD TOTAL, LLAMAR EL DÍA LA INSTALACIÓN PARA CONFIRMAR VISITA, AVISO EXTERIOR ALTURA APROX 2 METROS; TOMACORRIENTE CERCANO: SI; TIENE CABINA DE SEGURIDAD: NO - SE PROGRAMA PARA DICHA FECHA POR SOLITUD DEL USUARIO 01-09 SE REALIZA INSTALACIÓN DE CORRESPONSAL, SE INSTALAN EQUIPOS CON PRUEBAS EXITOSAS, SE CAPACITA Y SE EVALÚA AL CLIENTE, SE INSTALA PUBLICIDAD COMPLETA, CB QUEDA OPERATIVO. USUARIO SOMOS BANCOLOMBIA ACTIVO</t>
  </si>
  <si>
    <t>FKZZZ672</t>
  </si>
  <si>
    <t>GELVEZ MOGOLLON JOSE ELISEO</t>
  </si>
  <si>
    <t>TA-25-1034027</t>
  </si>
  <si>
    <t>VALLE DEL CAUCA</t>
  </si>
  <si>
    <t>BARRIO BENAJAMIN HERRERA CALI</t>
  </si>
  <si>
    <t>FO-25-1433211</t>
  </si>
  <si>
    <t>27-08 SE REALIZA LLAMADA AL CLIENTE, SE HABLA CON LA SRA MALLERLY RUBIANO LOPEZ  SE VALIDA DIRECCIÓN OK, CANAL OK, DISPONIBILIDAD TOTAL, LLAMAR EL DÍA LA INSTALACIÓN PARA CONFIRMAR VISITA, AVISO EXTERIOR ALTURA: NO INDICA ALTURA; TOMACORRIENTE CERCANO: SI; TIENE CABINA DE SEGURIDAD: NO 29/08/2025 SE LLAMA AL CLIENTE AL NÚMERO 3104237740 HABLO CON LA SEÑORA MALLERLY INFORMA QUE EL DÍA DE HOY NO PUEDE ATENDER LA INSTALACIÓN TODO EL PERSONAL DE LA DROGUERÍA ESTÁ EN INVENTARIO NO ALGUIEN MÁS QUE NOS ATIENDA LA ACTIVIDAD NO SE PUEDE REPROGRAMAR VENCE EL HOY, SE LE INDICA AL CLIENTE QUE SE CANCELA LA INSTALACIÓN 01-09 SE LLAMO EL CLIENTE PERO NO CONTESTO, SE REALIZARA LLAMADA EL DIA DE MAÑANA PARA VALIDAR DISPONIBILIDAD 02-09 SE REALIZA INSTALACIÓN DE CORRESPONSAL, SE INSTALAN EQUIPOS CON PRUEBAS EXITOSAS, SE CAPACITA Y SE EVALÚA AL CLIENTE, SE INSTALA PUBLICIDAD COMPLETA, CB QUEDA OPERATIVO. USUARIO SOMOS BANCOLOMBIA ACTIVO</t>
  </si>
  <si>
    <t>FKZZZ673</t>
  </si>
  <si>
    <t>TA-25-1034461</t>
  </si>
  <si>
    <t>CB CRECIMIENTO ALIANZA - NUEVO</t>
  </si>
  <si>
    <t>SAN VICENTE DEL CAGUAN</t>
  </si>
  <si>
    <t>DISTRICOL SURTICELL EMILY</t>
  </si>
  <si>
    <t>FO-25-1433896</t>
  </si>
  <si>
    <t>AGREGADOR</t>
  </si>
  <si>
    <t>DISTRICOL</t>
  </si>
  <si>
    <t>27-08 PROGRAMACIÓN REALIZADA POR LA ALIANZA 5/09/2025 SE REALIZA VISITA PARA IMPLEMENTACIÓN CB DISTRICOL 81230, PERO SE EVIDENCIA QUE APROXIMADAMENTE A 40MTS HAY UN CB AGREGADOR PTM SAN VICENTE DEL CAGUAN 50792, POR FAVOR NOS INDICA COMO PROCEDER. / ENTIDAD SOLICITA CANCELAR ACTIVIDAD</t>
  </si>
  <si>
    <t>FKZZZ688</t>
  </si>
  <si>
    <t>TERRESTRE / AEREO</t>
  </si>
  <si>
    <t>TA-25-1034476</t>
  </si>
  <si>
    <t>PUTUMAYO</t>
  </si>
  <si>
    <t>PUERTO ASIS</t>
  </si>
  <si>
    <t>DISTRICOL LADY PERFUMERIA</t>
  </si>
  <si>
    <t>FO-25-1433932</t>
  </si>
  <si>
    <t>27-08 PROGRAMACIÓN REALIZADA POR LA ALIANZA 29/08/2025 POR DISPONIBILIDAD DE TRASNPORTE NO ES POSIBLE REALIZAR LA ACTIVIDAD EL DIA DE HOY, SE VIAJARA EL DIA LUNES 01-09 POR RETRASOS DEBIDO A ARREGLOS EN LA VÍA AL PUTUMAYO NO SE ALCANZA A REALIZAR VISITA EL DÍA DE HOY. SE INFORMA A CLIENTE QUE SE VISITARÁ MAÑANA DESPUÉS DE MEDIO DÍA. SEÑORA RUBIELA PIDE SE LA VISITE A LAS 3 PM 2/09/2025 SE REALIZA INSTALACIÓN DE CORRESPONSAL, SE INSTALAN EQUIPOS CON PRUEBAS EXITOSAS, SE CAPACITA Y SE EVALÚA AL CLIENTE, SE INSTALA PUBLICIDAD COMPLETA, CB QUEDA OPERATIVO. USUARIO SOMOS BANCOLOMBIA ACTIVO</t>
  </si>
  <si>
    <t>FKZZZ695</t>
  </si>
  <si>
    <t>CASTILLO HERRERA ALEX RICARDO</t>
  </si>
  <si>
    <t>TA-25-1040105</t>
  </si>
  <si>
    <t>ANTIOQUIA</t>
  </si>
  <si>
    <t>EL BAGRE</t>
  </si>
  <si>
    <t>DISTRICOL DROGUERIA G&amp;P</t>
  </si>
  <si>
    <t>FO-25-1444555</t>
  </si>
  <si>
    <t>29-08 PROGRAMACIÓN REALIZADA POR LA ALIANZA 2/09/2025 SE REALIZA INSTALACIÓN DE CORRESPONSAL, SE INSTALAN EQUIPOS CON PRUEBAS EXITOSAS, SE CAPACITA Y SE EVALÚA AL CLIENTE, SE INSTALA PUBLICIDAD COMPLETA, CB QUEDA OPERATIVO. USUARIO SOMOS BANCOLOMBIA ACTIVO. LAS PRUEBAS DE RECAUDO Y TRANSFERENCIA NO SE REALIZARON PORQUE EL CLIENTE NO TIENE OTRA CUENTA Y NO HAY FACTURAS PARA HACER RECAUDOS</t>
  </si>
  <si>
    <t>SKZZZ566</t>
  </si>
  <si>
    <t>APARTADO</t>
  </si>
  <si>
    <t>TA-25-1040106</t>
  </si>
  <si>
    <t>TURBO</t>
  </si>
  <si>
    <t>DISTRICOL VARIEDADES VIANYS</t>
  </si>
  <si>
    <t>FO-25-1444558</t>
  </si>
  <si>
    <t>29-08 PROGRAMACIÓN REALIZADA POR LA ALIANZA 2/09/2025 SE REALIZA INSTALACIÓN DE CORRESPONSAL, SE INSTALAN EQUIPOS CON PRUEBAS EXITOSAS, SE CAPACITA Y SE EVALÚA AL CLIENTE, SE INSTALA PUBLICIDAD COMPLETA, CB QUEDA OPERATIVO. USUARIO SOMOS BANCOLOMBIA ACTIVO</t>
  </si>
  <si>
    <t>SKZZZ567</t>
  </si>
  <si>
    <t>SALDARRIAGA MIRANDA SANTIAGO</t>
  </si>
  <si>
    <t>MEDELLIN</t>
  </si>
  <si>
    <t>TA-25-1040107</t>
  </si>
  <si>
    <t>VALDIVIA</t>
  </si>
  <si>
    <t>DISTRICOL AGROABARROTES EL 15</t>
  </si>
  <si>
    <t>FO-25-1444562</t>
  </si>
  <si>
    <t>SKZZZ568</t>
  </si>
  <si>
    <t>BARRIENTOS HERNANDEZ CRISTIAN HORACIO</t>
  </si>
  <si>
    <t>TUNJA</t>
  </si>
  <si>
    <t>TA-25-1040108</t>
  </si>
  <si>
    <t>BOYACA</t>
  </si>
  <si>
    <t>DISTRICOL TIENDA KEVINS</t>
  </si>
  <si>
    <t>FO-25-1444565</t>
  </si>
  <si>
    <t>29-08 PROGRAMACIÓN REALIZADA POR LA ALIANZA 1/09/2025 SE ESCALA NOVEDAD DE IMPLEMENTACIÓN. SE IDENTIFICA EL PUNTO DE CORRESPONSAL CON AVAL 90117612. SE PROCEDE A CANCELAR EL PUNTO DE INSTALACIÓN.</t>
  </si>
  <si>
    <t>SKZZZ569</t>
  </si>
  <si>
    <t>SOLER HOYOS CRISTIAN LEONARDO</t>
  </si>
  <si>
    <t>MANIZALES</t>
  </si>
  <si>
    <t>TA-25-1040109</t>
  </si>
  <si>
    <t>CALDAS</t>
  </si>
  <si>
    <t>RIOSUCIO</t>
  </si>
  <si>
    <t>DISTRICOL CACHARR MIL COSAS</t>
  </si>
  <si>
    <t>FO-25-1444574</t>
  </si>
  <si>
    <t>29-08 PROGRAMACIÓN REALIZADA POR LA ALIANZA 01-08 SE REALIZA INSTALACIÓN DE CORRESPONSAL, SE INSTALAN EQUIPOS CON PRUEBAS EXITOSAS, SE CAPACITA Y SE EVALÚA AL CLIENTE, SE INSTALA PUBLICIDAD COMPLETA, CB QUEDA OPERATIVO. USUARIO SOMOS BANCOLOMBIA ACTIVO. NO SE CONTABA CON LOS RECURSOS PARA HACER PRUEBAS TRANSFERENCIA</t>
  </si>
  <si>
    <t>SKZZZ570</t>
  </si>
  <si>
    <t>FRANCO CAÑAVERAL YAMID RAUL</t>
  </si>
  <si>
    <t>TA-25-1040111</t>
  </si>
  <si>
    <t>DISTRICOL DROGUERIA PAOLA</t>
  </si>
  <si>
    <t>FO-25-1444579</t>
  </si>
  <si>
    <t>29-08 PROGRAMACIÓN REALIZADA POR LA ALIANZA 01-09 NO SE LOGRA LLEGAR AL SITIO, YA QUE DEBIDO LA HORA NO HAY TRANSPORTE PARA LA ZONA, SE LLAMA AL CLIENTE Y SE LE INDICA QUE SE VISITA A PRIMERA HORA. 2/09/2025 SE REALIZA INSTALACIÓN DE CORRESPONSAL, SE INSTALAN EQUIPOS CON PRUEBAS EXITOSAS, SE CAPACITA Y SE EVALÚA AL CLIENTE, SE INSTALA PUBLICIDAD COMPLETA, CB QUEDA OPERATIVO. USUARIO SOMOS BANCOLOMBIA ACTIVO. NO SE ANEXA PRUEBA DE RETIRO, NI TRANSFERENCIA, YA QUE EL CLIENTE NO CUENTA CON TARJETA BANCOLOMBIA.</t>
  </si>
  <si>
    <t>SKZZZ571</t>
  </si>
  <si>
    <t>TA-25-1040112</t>
  </si>
  <si>
    <t>SALAMINA</t>
  </si>
  <si>
    <t>DISTRICOL MUL TIENDA SAN FELIX</t>
  </si>
  <si>
    <t>FO-25-1444582</t>
  </si>
  <si>
    <t>29-08 PROGRAMACIÓN REALIZADA POR LA ALIANZA 02-09 SE REALIZA INSTALACIÓN DE CORRESPONSAL, SE INSTALAN EQUIPOS CON PRUEBAS EXITOSAS, SE CAPACITA Y SE EVALÚA AL CLIENTE, SE INSTALA PUBLICIDAD COMPLETA, CB QUEDA OPERATIVO. USUARIO SOMOS BANCOLOMBIA ACTIVO. SE HACEN PRUEBA DE CONSULTA DE SALDO SOLAMENTE YA QUE USUARIO NO CUENTA CON LOS MEDIOS PARA REALIZAR DEMAS PRUEBAS (RETIRO, CONSIGNACIÓN, RECAUDO) SERVICIO OK</t>
  </si>
  <si>
    <t>SKZZZ572</t>
  </si>
  <si>
    <t>AGUIRRE HENAO RAUL EDUARDO</t>
  </si>
  <si>
    <t>TA-25-1040113</t>
  </si>
  <si>
    <t>LA UNION</t>
  </si>
  <si>
    <t>DISTRICOL ARCADIA T. BELLEZA</t>
  </si>
  <si>
    <t>FO-25-1444586</t>
  </si>
  <si>
    <t>29-08 PROGRAMACIÓN REALIZADA POR LA ALIANZA 2/09/2025 SE REALIZA INSTALACIÓN DE CORRESPONSAL, SE INSTALAN EQUIPOS CON PRUEBAS EXITOSAS, SE CAPACITA Y SE EVALÚA AL CLIENTE, SE INSTALA PUBLICIDAD COMPLETA, CB QUEDA OPERATIVO. USUARIO SOMOS BANCOLOMBIA ACTIVO. PRUEBAS EXCEPTO RECAUDO POR NO TENER ELEMENTOS PARA HACERLA</t>
  </si>
  <si>
    <t>SKZZZ573</t>
  </si>
  <si>
    <t>CUCUTA</t>
  </si>
  <si>
    <t>TA-25-1040114</t>
  </si>
  <si>
    <t>NORTE DE SANTANDER</t>
  </si>
  <si>
    <t>DISTRICOL GIO CAFE</t>
  </si>
  <si>
    <t>FO-25-1444592</t>
  </si>
  <si>
    <t>29-08 PROGRAMACIÓN REALIZADA POR LA ALIANZA 01-09 SE PROGRAMA VISITA PARA EL DÍA DE MAÑANA 02-09-25 ME INFORMAN EL ENCARGADO DE BODEGA QUE LAS TERMINALES TUVIERON UNA NOVEDAD Y NO QUEDARON PRE INSTALADAS PARA EL DÍA DE HOY, SE PROGRAMA VISITA PARA EL DÍA DE MAÑANA PARA DESPUÉS DE LAS 09:00 POR DISPONIBILIDAD DEL CLIENTE 2/09/2025 SE REALIZA INSTALACIÓN DE CORRESPONSAL, SE INSTALAN EQUIPOS CON PRUEBAS EXITOSAS, SE CAPACITA Y SE EVALÚA AL CLIENTE, SE INSTALA PUBLICIDAD COMPLETA, CB QUEDA OPERATIVO. USUARIO SOMOS BANCOLOMBIA ACTIVO</t>
  </si>
  <si>
    <t>SKZZZ718</t>
  </si>
  <si>
    <t>DURAN ACOSTA FRANK YONNY</t>
  </si>
  <si>
    <t>TA-25-1040116</t>
  </si>
  <si>
    <t>DISTRICOL COSMETICOS JHUR</t>
  </si>
  <si>
    <t>FO-25-1444597</t>
  </si>
  <si>
    <t>29-08 PROGRAMACIÓN REALIZADA POR LA ALIANZA 1/09/2025 AL LLEGAR AL SITIO, SE IDENTIFICA QUE NO CUENTA CON AVISO DE FUNCIONAMIENTO VISIBLE. ADEMÁS, SE OBSERVA QUE EL NOMBRE COMERCIAL REGISTRADO NO CORRESPONDE CON LA ACTIVIDAD QUE SE REALIZA EN EL ESTABLECIMIENTO. EN EL PUNTO SE IDENTIFICA QUE SE TRATA DE UN NEGOCIO TIPO TIENDA. SIN EMBARGO, EL CLIENTE INDICA QUE LOS COSMÉTICOS SE VENDEN ÚNICAMENTE POR CATÁLOGO. / POR FAVOR, PROCEDAMOS CON LA IMPLEMENTACIÓN DEL CB 81258. ES IMPORTANTE QUE AL MOMENTO DE CERRAR LA ACTIVIDAD SE INDIQUE LA NOVEDAD, YA QUE SE EVIDENCIA QUE EL ESTABLECIMIENTO NO CUENTA CON AVISO CON EL NOMBRE. 01-09 SE VISITA CB SE REALIZA INSTALACION, SE PRESENTA NOVEDAD CON LA PLACA ASIGNADA YA QUE LOS CU NO ESTAN  CON TERMINAL PROCESADAS, SE LE INFORMA AL CLIENTE QUE SE VISITA MAÑANA PARA TERMINAR  LA INSTALACION DE CB. 2/09/2025 SE REALIZA INSTALACIÓN DE CORRESPONSAL, SE INSTALAN EQUIPOS CON PRUEBAS EXITOSAS, SE CAPACITA Y SE EVALÚA AL CLIENTE, SE INSTALA PUBLICIDAD COMPLETA, CB QUEDA OPERATIVO. USUARIO SOMOS BANCOLOMBIA ACTIVO. RECAUDO NO HAY CONVENIO. TRANSFERENCIA CLIENTE NO TIENE CUENTAS.</t>
  </si>
  <si>
    <t>SKZZZ719</t>
  </si>
  <si>
    <t>NARANJO AFANADOR RUBEN JESUS</t>
  </si>
  <si>
    <t>TA-25-1040117</t>
  </si>
  <si>
    <t>DISTRICOL VARIEDADES JOSLEY</t>
  </si>
  <si>
    <t>FO-25-1444601</t>
  </si>
  <si>
    <t>29-08 PROGRAMACIÓN REALIZADA POR LA ALIANZA 01-09 SE CONTACTA EL SEÑOR JHOAN CARDENAS, ME INFORMA QUE SE LE PRESENTO UN INCONVENIENTE Y NO PUEDE ATENDER LA INSTALACIÓN EL DÍA DE HOY, SOLICITA QUE SE REAGENDE LA VISITA PARA EL DÍA 02/09 EN LA TARDE. SE REAGENDA VISITA POR SOLICITUD DEL CLIENTE. 02-09 SE REALIZA INSTALACIÓN DE CORRESPONSAL, SE INSTALAN EQUIPOS CON PRUEBAS EXITOSAS, SE CAPACITA Y SE EVALÚA AL CLIENTE, SE INSTALA PUBLICIDAD COMPLETA, CB QUEDA OPERATIVO. USUARIO SOMOS BANCOLOMBIA ACTIVO</t>
  </si>
  <si>
    <t>SKZZZ574</t>
  </si>
  <si>
    <t>TA-25-1040119</t>
  </si>
  <si>
    <t>CONVENCION</t>
  </si>
  <si>
    <t>DISTRICOL TIENDA LOS LLANOS</t>
  </si>
  <si>
    <t>FO-25-1520722</t>
  </si>
  <si>
    <t>29-08 PROGRAMACIÓN REALIZADA POR LA ALIANZA 2/09/2025 IMPOSIBILIDAD DE REALIZAR VISITA DE APERTURA – VEREDA LOS LLANOS, MUNICIPIO DE CONVENCIÓN. SE INFORMA QUE LA VISITA DE APERTURA HACE PARTE DEL MUNICIPIO DE CONVENCIÓN, EL CUAL SE ENCUENTRA AFECTADO POR LA PRESENCIA DE GRUPOS AL MARGEN DE LA LEY. ADICIONALMENTE, SE HA IDENTIFICADO QUE LA IMPLEMENTACIÓN SE REALIZARÁ EN LA VEREDA LOS LLANOS, UNA ZONA DE DIFÍCIL ACCESO Y CONSIDERABLEMENTE ALEJADA DEL CASCO URBANO DEL MUNICIPIO. TENIENDO EN CUENTA LA UBICACIÓN GEOGRÁFICA Y LA ACTUAL SITUACIÓN DE ORDEN PÚBLICO EN LA REGIÓN DEL CATATUMBO, Y CON EL FIN DE PRESERVAR LA SEGURIDAD DEL PERSONAL TÉCNICO, SE COMUNICA QUE NO ES POSIBLE ASUMIR RIESGOS EN ESTE MOMENTO PARA LLEVAR A CABO DICHA VISITA. / TENIENDO EN CUENTA LO QUE NOS INFORMAN QUE EL INGRESO DEL TÉCNICO A LA ZONA NO ES SEGURA POR FAVOR CANCELAR LA IMPLEMENTACIÓN, SERÁ INFORMADA AL ALIADO. / 12/09/2025 DESPUES DE CANCELADA LA ACTIVIDAD SOLICITAN REALIZAR LA INSTALACIÓN POR EN UN PUNTO INTERMEDIO (OCAÑA) Y ENTREGAR EQUIPOS  Y PUBLICIDAD AL USUARIO Y CAPACITAR VIRTUAL 15-09 EN COMUNICACIÓN CON EL CLIENTE ME INFORMA LA JOHANNA GARCÍA 3209400635 QUE SI ESTÁ DE ACUERDO EN RECIBIR LOS EQUIPOS Y PUBLICIDAD EN OCAÑA POR EL ORDEN PÚBLICO EN LA ZONA DEL CATATUMBO,INDICA TENER UN COMERCIO DE UN FAMILIAR PARA REALIZAR LA ACTIVACIÓN Y CAPACITACIÓN DEL DATAFONO , SE PROGRAMA VISITA A LA ESPERA DE RESPUESTA POR PARTE DE LA ENTIDAD PARA PROGRAMAR VIAJE 17/09/2025 SE CONFIRMA LA VISITA CON LA SEÑORA JOHANNA SANJUÁN GARCÍA, IDENTIFICADA CON CÉDULA NÚMERO 1.007.282.907. DIRECCIÓN: KDX 404-460, BARRIO LIBARDO ALONZO PARTE ALTA FECHA Y HORA: 17-09 A LAS 2:30 P.M., SEGÚN LO ACORDADO PREVIAMENTE CON LA USUARIA 320 940 0635 / SE ENTREGÓ PUBLICIDAD Y EQUIPOS AL USUARIO. ADICIONALMENTE, SE REALIZÓ UNA CAPACITACIÓN SOBRE EL MANEJO DEL CB EN OCAÑA. ACTUALMENTE, SE ESTÁ A LA ESPERA DE QUE EL USUARIO SE ENCUENTRE EN SITIO Y ENVÍE LOS REGISTROS FOTOGRÁFICOS DEL CORRESPONSAL INSTALADO. 19-08 USUARIO ENVIA REGISTRO FOTOGRAFICO DEL CORRESPONSAL INSTALADO. SE DOCUMENTAR LAS COORDENADAS ENVIADAS POR EL MISMO / SE REGISTRAN LAS COORDENADAS ENVIADAS POR EL USUARIO</t>
  </si>
  <si>
    <t>SKZZZ720</t>
  </si>
  <si>
    <t>GONZALEZ ESTUPIÑAN YEISON WALTER ANTONIO</t>
  </si>
  <si>
    <t>TA-25-1040123</t>
  </si>
  <si>
    <t>VILLA DEL ROSARIO</t>
  </si>
  <si>
    <t>DISTRICOL MISCELANEAGRANPARADA</t>
  </si>
  <si>
    <t>FO-25-1444619</t>
  </si>
  <si>
    <t>29-08 PROGRAMACIÓN REALIZADA POR LA ALIANZA  2/09/2025 SE REALIZA INSTALACIÓN DE CORRESPONSAL, SE INSTALAN EQUIPOS CON PRUEBAS EXITOSAS, SE CAPACITA Y SE EVALÚA AL CLIENTE, SE INSTALA PUBLICIDAD COMPLETA, CB QUEDA OPERATIVO. USUARIO SOMOS BANCOLOMBIA ACTIVO</t>
  </si>
  <si>
    <t>SKZZZ575</t>
  </si>
  <si>
    <t>PACHECO BUITRAGO JAVIER ALONSO</t>
  </si>
  <si>
    <t>TA-25-1040167</t>
  </si>
  <si>
    <t>DISTRICOL VARIEDADMARIANAPLUS</t>
  </si>
  <si>
    <t>FO-25-1444686</t>
  </si>
  <si>
    <t>29-08 PROGRAMACIÓN REALIZADA POR LA ALIANZA 02-09 SE REALIZA INSTALACIÓN DE CORRESPONSAL, SE INSTALAN EQUIPOS CON PRUEBAS EXITOSAS, SE CAPACITA Y SE EVALÚA AL CLIENTE, SE INSTALA PUBLICIDAD COMPLETA, CB QUEDA OPERATIVO. USUARIO SOMOS BANCOLOMBIA ACTIVO</t>
  </si>
  <si>
    <t>SKZZZ576</t>
  </si>
  <si>
    <t>SINCELEJO</t>
  </si>
  <si>
    <t>TA-25-1040132</t>
  </si>
  <si>
    <t>SUCRE</t>
  </si>
  <si>
    <t>COROZAL</t>
  </si>
  <si>
    <t>DISTRICOL G.M.A</t>
  </si>
  <si>
    <t>FO-25-1444642</t>
  </si>
  <si>
    <t>29-08 PROGRAMACIÓN REALIZADA POR LA ALIANZA 01-09 NO SE REALIZA INSTALACIÓN YA QUE CU NO ESTÁ PROCESADO Y POR ESO NO SE CREA LA TERMINAL, SE LE NOTIFICA AL CLIENTE Y SE LE INFORMA QUE LA INSTALACIÓN QUEDA PARA EL DÍA DE MAÑANA. 2/09/2025 SE REALIZA INSTALACIÓN DE CORRESPONSAL, SE INSTALAN EQUIPOS CON PRUEBAS EXITOSAS, SE CAPACITA Y SE EVALÚA AL CLIENTE, SE INSTALA PUBLICIDAD COMPLETA, CB QUEDA OPERATIVO. USUARIO SOMOS BANCOLOMBIA ACTIVO</t>
  </si>
  <si>
    <t>SKZZZ721</t>
  </si>
  <si>
    <t>CACERES HERNANDEZ ANDRES</t>
  </si>
  <si>
    <t>TA-25-1040137</t>
  </si>
  <si>
    <t>TULUA</t>
  </si>
  <si>
    <t>DISTRICOL PAGOS Y MAX</t>
  </si>
  <si>
    <t>FO-25-1444654</t>
  </si>
  <si>
    <t>29-08 PROGRAMACIÓN REALIZADA POR LA ALIANZA 1/09/2025 SE REALIZA INSTALACIÓN DE CORRESPONSAL, SE INSTALAN EQUIPOS CON PRUEBAS EXITOSAS, SE CAPACITA Y SE EVALÚA AL CLIENTE, SE INSTALA PUBLICIDAD COMPLETA, CB QUEDA OPERATIVO. USUARIO SOMOS BANCOLOMBIA ACTIVO</t>
  </si>
  <si>
    <t>SKZZZ577</t>
  </si>
  <si>
    <t>TORRES GARCIA JENDRY JOSE</t>
  </si>
  <si>
    <t>TA-25-1040140</t>
  </si>
  <si>
    <t>DISTRICOL SWISS LUXURY</t>
  </si>
  <si>
    <t>FO-25-1444664</t>
  </si>
  <si>
    <t>29-08 PROGRAMACIÓN REALIZADA POR LA ALIANZA 01-09 NO SE PUDO REALIZAR ACTIVIDAD POR FALTA DE TERMINAL, SE PROGRAMA VISITA PARA EL DIA MIERCOLES 03-09 SE REALIZA INSTALACIÓN DE CORRESPONSAL, SE INSTALAN EQUIPOS CON PRUEBAS EXITOSAS, SE CAPACITA Y SE EVALÚA AL CLIENTE, SE INSTALA PUBLICIDAD COMPLETA, CB QUEDA OPERATIVO. USUARIO SOMOS BANCOLOMBIA ACTIVO</t>
  </si>
  <si>
    <t>SKZZZ722</t>
  </si>
  <si>
    <t>TA-25-1040146</t>
  </si>
  <si>
    <t>DATAFONO ADICIONAL - ALIANZA</t>
  </si>
  <si>
    <t>ITAGUI</t>
  </si>
  <si>
    <t xml:space="preserve">PAGAFACIL - PLAZA MAYORISTA </t>
  </si>
  <si>
    <t>FO-25-1444672</t>
  </si>
  <si>
    <t>ROBUSTO</t>
  </si>
  <si>
    <t>PAGAFACIL</t>
  </si>
  <si>
    <t xml:space="preserve">29-08 SE REALIZA LLAMADA AL CLIENTE, SE HABLA CON LA SRA PAULA OSPINA SE VALIDA DIRECCIÓN OK, CANAL OK, DISPONIBILIDAD TOTAL, LLAMAR EL DÍA LA INSTALACIÓN PARA CONFIRMAR VISITA - COMUNICACIÓN POR WPP 02-09 SE REALIZA INSTALACIÓN DE DAT ADICIONAL, NO SE TIENIEN LAS HERRAMIENTAS NECESARIAS PARA HACER LAS PRUEBAS SUFICIENTE, SE PREGUNTAN AL COMERCIO, Y TAMPOCO TIENEN DISPONIBLE </t>
  </si>
  <si>
    <t>SKZZZ578</t>
  </si>
  <si>
    <t>CARDONA MOLINA BROLIN STIVEN</t>
  </si>
  <si>
    <t>TA-25-1054540</t>
  </si>
  <si>
    <t>PTM MEDELLLIN MINIMERCADO PA´Q</t>
  </si>
  <si>
    <t>FO-25-1467769</t>
  </si>
  <si>
    <t>COMCARD - PTM</t>
  </si>
  <si>
    <t>03-09  PROGRAMACIÓN REALIZADA POR LA ALIANZA 5/09/2025 SE REALIZA INSTALACIÓN DE CORRESPONSAL, SE INSTALAN EQUIPOS CON PRUEBAS EXITOSAS, SE CAPACITA Y SE EVALÚA AL CLIENTE, SE INSTALA PUBLICIDAD COMPLETA, CB QUEDA OPERATIVO. USUARIO SOMOS BANCOLOMBIA ACTIVO</t>
  </si>
  <si>
    <t>SMZZZ262</t>
  </si>
  <si>
    <t>CASTAÑEDA PALACIO CARLOS FELIPE</t>
  </si>
  <si>
    <t>TA-25-1054548</t>
  </si>
  <si>
    <t>PTM MEDELLIN MERKE FRUVER LA P</t>
  </si>
  <si>
    <t>FO-25-1467776</t>
  </si>
  <si>
    <t xml:space="preserve">03-09  PROGRAMACIÓN REALIZADA POR LA ALIANZA 5/09/2025 SE REALIZA INSTALACIÓN DE CORRESPONSAL, SE INSTALAN EQUIPOS CON PRUEBAS EXITOSAS, SE CAPACITA Y SE EVALÚA AL CLIENTE, SE INSTALA PUBLICIDAD COMPLETA, CB QUEDA OPERATIVO. USUARIO SOMOS BANCOLOMBIA ACTIVO. NO SE REALIZAN TRANSACCIONES COMPLETAS YA QUE NO SE TIENE HERRAMIENTAS COMO HACERLAS, SE LE PREGUNTA A CLIENTE Y TAMPOCO TIENEN </t>
  </si>
  <si>
    <t>SMZZZ263</t>
  </si>
  <si>
    <t>BADEL ACUÑA LUIS ALBERTO</t>
  </si>
  <si>
    <t>TA-25-1054554</t>
  </si>
  <si>
    <t>PTM MEDELLIN DROGUERIA TRIPLE</t>
  </si>
  <si>
    <t>FO-25-1467787</t>
  </si>
  <si>
    <t>SMZZZ264</t>
  </si>
  <si>
    <t>TA-25-1054556</t>
  </si>
  <si>
    <t>PTM MEDELLIN VARIEDADES LUZ ME</t>
  </si>
  <si>
    <t>FO-25-1467795</t>
  </si>
  <si>
    <t>SMZZZ266</t>
  </si>
  <si>
    <t>TA-25-1054559</t>
  </si>
  <si>
    <t>BELLO</t>
  </si>
  <si>
    <t>PTM BELLO PAPELERIA GRAN AVENI</t>
  </si>
  <si>
    <t>FO-25-1467800</t>
  </si>
  <si>
    <t>03-09  PROGRAMACIÓN REALIZADA POR LA ALIANZA 4/09/2025 SE REALIZA INSTALACIÓN DE CORRESPONSAL, SE INSTALAN EQUIPOS CON PRUEBAS EXITOSAS, SE CAPACITA Y SE EVALÚA AL CLIENTE, SE INSTALA PUBLICIDAD COMPLETA, CB QUEDA OPERATIVO. USUARIO SOMOS BANCOLOMBIA ACTIVO. NO SE REALIZAN LAS PRUEBAS POR FALTA DE LAS HERRAMIENTAS CORRESPONDIENTES, SE INDICA AL CLIENTE Y ESTE TAMPOCO CUENTA CON DICHAS HERRAMIENTAS</t>
  </si>
  <si>
    <t>SMZZZ267</t>
  </si>
  <si>
    <t>TA-25-1054565</t>
  </si>
  <si>
    <t>PTM BELLO PECADOS GOURMET</t>
  </si>
  <si>
    <t>FO-25-1467813</t>
  </si>
  <si>
    <t>03-09  PROGRAMACIÓN REALIZADA POR LA ALIANZA 04-09 SE REALIZA INSTALACIÓN DE CORRESPONSAL, SE INSTALAN EQUIPOS CON PRUEBAS EXITOSAS, SE CAPACITA Y SE EVALÚA AL CLIENTE, SE INSTALA PUBLICIDAD COMPLETA, CB QUEDA OPERATIVO. USUARIO SOMOS BANCOLOMBIA ACTIVO</t>
  </si>
  <si>
    <t>SMZZZ268</t>
  </si>
  <si>
    <t>TA-25-1054569</t>
  </si>
  <si>
    <t>ENVIGADO</t>
  </si>
  <si>
    <t>PTM ENVIGADO ALVARO DAVID VANE</t>
  </si>
  <si>
    <t>FO-25-1467824</t>
  </si>
  <si>
    <t>03-09  PROGRAMACIÓN REALIZADA POR LA ALIANZA 4/09/2025 SE REALIZA INSTALACIÓN DE CORRESPONSAL, SE INSTALAN EQUIPOS CON PRUEBAS EXITOSAS, SE CAPACITA Y SE EVALÚA AL CLIENTE, SE INSTALA PUBLICIDAD COMPLETA, CB QUEDA OPERATIVO. USUARIO SOMOS BANCOLOMBIA ACTIVO</t>
  </si>
  <si>
    <t>SMZZZ269</t>
  </si>
  <si>
    <t>DIAZ ZABALA FRANCIS DUBAN</t>
  </si>
  <si>
    <t>TA-25-1054571</t>
  </si>
  <si>
    <t>PTM TURBO CROGUERIA JYZA ESPEC</t>
  </si>
  <si>
    <t>FO-25-1467831</t>
  </si>
  <si>
    <t>SMZZZ270</t>
  </si>
  <si>
    <t>TA-25-1054574</t>
  </si>
  <si>
    <t>TIBANA</t>
  </si>
  <si>
    <t>PTM TIBANA D' TODITO LA SEXTA</t>
  </si>
  <si>
    <t>FO-25-1467837</t>
  </si>
  <si>
    <t>SMZZZ272</t>
  </si>
  <si>
    <t>RODRIGUEZ MURCIA YERSON IVAN</t>
  </si>
  <si>
    <t>TA-25-1054576</t>
  </si>
  <si>
    <t>FLORENCIA</t>
  </si>
  <si>
    <t>PTM FLORENCIA DROGUERIA MIIA</t>
  </si>
  <si>
    <t>FO-25-1467843</t>
  </si>
  <si>
    <t>SMZZZ273</t>
  </si>
  <si>
    <t>BOGOTA</t>
  </si>
  <si>
    <t>TA-25-1054579</t>
  </si>
  <si>
    <t>CUNDINAMARCA</t>
  </si>
  <si>
    <t>SOACHA</t>
  </si>
  <si>
    <t>PTM SOACHA MEGAINTERNET LA PUL</t>
  </si>
  <si>
    <t>FO-25-1467849</t>
  </si>
  <si>
    <t>SMZZZ274</t>
  </si>
  <si>
    <t>BUSTOS MORA DIEGO MANUEL</t>
  </si>
  <si>
    <t>TA-25-1054583</t>
  </si>
  <si>
    <t>TABIO</t>
  </si>
  <si>
    <t>PTM TABIO SUPERMARKET LA PRIME</t>
  </si>
  <si>
    <t>FO-25-1467853</t>
  </si>
  <si>
    <t>SMZZZ275</t>
  </si>
  <si>
    <t>MURCIA HERNANDEZ HARVEY IGNACIO</t>
  </si>
  <si>
    <t>TA-25-1054585</t>
  </si>
  <si>
    <t>HUILA</t>
  </si>
  <si>
    <t>LA PLATA</t>
  </si>
  <si>
    <t>PTM LA PLATA SUPER REPUESTOS D</t>
  </si>
  <si>
    <t>FO-25-1467858</t>
  </si>
  <si>
    <t>03-09  PROGRAMACIÓN REALIZADA POR LA ALIANZA 05-09 SE REALIZA INSTALACIÓN DE CORRESPONSAL, SE INSTALAN EQUIPOS CON PRUEBAS EXITOSAS, SE CAPACITA Y SE EVALÚA AL CLIENTE, SE INSTALA PUBLICIDAD COMPLETA, CB QUEDA OPERATIVO. USUARIO SOMOS BANCOLOMBIA ACTIVO</t>
  </si>
  <si>
    <t>SMZZZ276</t>
  </si>
  <si>
    <t>DEVIA REINOSO JUAN CARLOS</t>
  </si>
  <si>
    <t>SANTA MARTA</t>
  </si>
  <si>
    <t>TA-25-1054588</t>
  </si>
  <si>
    <t>MAGDALENA</t>
  </si>
  <si>
    <t>PTM SANTA MARTA VARIEDADES FUT</t>
  </si>
  <si>
    <t>FO-25-1467863</t>
  </si>
  <si>
    <t>SMZZZ278</t>
  </si>
  <si>
    <t>THOMAS  CAMPO SIGIFREDO SEGUNDO</t>
  </si>
  <si>
    <t>TA-25-1054595</t>
  </si>
  <si>
    <t>ALGARROBO</t>
  </si>
  <si>
    <t>PTM ALGARROBO SUPERMERCADO EL</t>
  </si>
  <si>
    <t>FO-25-1467869</t>
  </si>
  <si>
    <t>SMZZZ279</t>
  </si>
  <si>
    <t>TA-25-1054597</t>
  </si>
  <si>
    <t>LA LLANADA</t>
  </si>
  <si>
    <t>PTM LLANADA VARIEDADES LOREN V</t>
  </si>
  <si>
    <t>FO-25-1467873</t>
  </si>
  <si>
    <t>SMZZZ280</t>
  </si>
  <si>
    <t>TA-25-1054600</t>
  </si>
  <si>
    <t>TUQUERRES</t>
  </si>
  <si>
    <t>PTM TUQUERRES QUITO DROGUERIAS</t>
  </si>
  <si>
    <t>FO-25-1467878</t>
  </si>
  <si>
    <t>SMZZZ281</t>
  </si>
  <si>
    <t>TA-25-1054602</t>
  </si>
  <si>
    <t>PTM CUCUTA PARKIN MOTO CENTER</t>
  </si>
  <si>
    <t>FO-25-1467882</t>
  </si>
  <si>
    <t>SMZZZ283</t>
  </si>
  <si>
    <t>TA-25-1054606</t>
  </si>
  <si>
    <t>PTM CUCUTA INTERNET Y PAPELERI</t>
  </si>
  <si>
    <t>FO-25-1467888</t>
  </si>
  <si>
    <t>SMZZZ284</t>
  </si>
  <si>
    <t>MORA VEGA JEAMPIER</t>
  </si>
  <si>
    <t>TA-25-1054624</t>
  </si>
  <si>
    <t>PTM CUCUTA DROGUERIA FARMABLUE</t>
  </si>
  <si>
    <t>FO-25-1467894</t>
  </si>
  <si>
    <t>SMZZZ285</t>
  </si>
  <si>
    <t>TA-25-1054676</t>
  </si>
  <si>
    <t>BOCHALEMA</t>
  </si>
  <si>
    <t>PTM NORTE DE SANTANDER ABASTOS</t>
  </si>
  <si>
    <t>FO-25-1467901</t>
  </si>
  <si>
    <t>SMZZZ286</t>
  </si>
  <si>
    <t>TA-25-1054754</t>
  </si>
  <si>
    <t>PTM BUCARAMANGA SUPERMERCADO M</t>
  </si>
  <si>
    <t>FO-25-1467917</t>
  </si>
  <si>
    <t>SMZZZ287</t>
  </si>
  <si>
    <t>REYES RAMIREZ DIEGO ALEXANDER</t>
  </si>
  <si>
    <t>TA-25-1054855</t>
  </si>
  <si>
    <t>GIRON</t>
  </si>
  <si>
    <t>PTM GIRON MULTISERVICIOS LOS C</t>
  </si>
  <si>
    <t>FO-25-1467930</t>
  </si>
  <si>
    <t>03-09  PROGRAMACIÓN REALIZADA POR LA ALIANZA4/09/2025 NOS PERMITIMOS INFORMARLE QUE, TRAS REALIZAR LA RESPECTIVA VERIFICACIÓN EN CAMPO, IDENTIFICAMOS QUE EL PUNTO A INSTALAR EN LA DIRECCIÓN CRA 19A NO 25-11 LC 1, BARRIO VILLA CAMPESTRE 1 (CÓDIGO 81327), SE ENCUENTRA A UNA DISTANCIA APROXIMADA DE 50 METROS DEL PUNTO YA INSTALADO EN LA DIRECCIÓN CAR 21 #22-124, VILLA CAMPESTRE 3ª ETAPA (CÓDIGO 77310). TENIENDO EN CUENTA LA CERCANÍA ENTRE AMBOS PUNTOS, SOLICITAMOS SU AUTORIZACIÓN PARA PROCEDER CON LA IMPLEMENTACIÓN EN LA DIRECCIÓN MENCIONADA, GARANTIZANDO QUE SE PARÁMETROS TÉCNICOS Y OPERATIVOS ESTABLECIDOS. / ENTIDAD SOLICITAN CANCELAR INSTALACIÓN</t>
  </si>
  <si>
    <t>SMZZZ288</t>
  </si>
  <si>
    <t>SANTOS GONZALEZ JOHAN FABIAN</t>
  </si>
  <si>
    <t>TA-25-1054948</t>
  </si>
  <si>
    <t>MALAGA</t>
  </si>
  <si>
    <t>PTM MALAGA DISTRIBUIDORA MAYOR</t>
  </si>
  <si>
    <t>FO-25-1467942</t>
  </si>
  <si>
    <t>SMZZZ289</t>
  </si>
  <si>
    <t>MARIÑO PABON JORGE ENRIQUE</t>
  </si>
  <si>
    <t>TA-25-1055041</t>
  </si>
  <si>
    <t>VETAS</t>
  </si>
  <si>
    <t>PTM VETAS INTER.COM</t>
  </si>
  <si>
    <t>FO-25-1467954</t>
  </si>
  <si>
    <t>03-09  PROGRAMACIÓN REALIZADA POR LA ALIANZA 4/09/2025 EN COMUNICACIÓN CON LA SEÑORA EMILCE DELGADO AL NÚMERO DE CONTACTO 3108070167, NOS COMENTA QUE DEBIDO A LAS FALLAS GEOLÓGICAS REGISTRADAS EN LA VÍA QUE COMUNICA EL MUNICIPIO DE CALIFORNIA CON VETAS, NOS HACE LA RECOMENDACIÓN DE QUE HAGAMOS EL DESPLAZAMIENTO BUCARAMANGA- BERLÍN, BERLÍN- VETAS,  DADO QUE EL TRANSPORTE QUE SALE HACIA DICHA ZONA SALE EL DÍA DE MAÑANA VIERNES 5 DE SEPTIEMBRE 6 DE LA MAÑANA MOTIVO HAREMOS LA APERTURA EL DÍA DE MAÑANA EN EL TRANSCURSO DEL DÍA 5/09/2025 SE REALIZA INSTALACIÓN DE CORRESPONSAL, SE INSTALAN EQUIPOS CON PRUEBAS EXITOSAS, SE CAPACITA Y SE EVALÚA AL CLIENTE, SE INSTALA PUBLICIDAD COMPLETA, CB QUEDA OPERATIVO. USUARIO SOMOS BANCOLOMBIA ACTIVO</t>
  </si>
  <si>
    <t>SMZZZ290</t>
  </si>
  <si>
    <t>IBAGUE</t>
  </si>
  <si>
    <t>TA-25-1055125</t>
  </si>
  <si>
    <t>TOLIMA</t>
  </si>
  <si>
    <t>PTM IBAGUE DISPHARMA JA PLUS</t>
  </si>
  <si>
    <t>FO-25-1467964</t>
  </si>
  <si>
    <t>SMZZZ291</t>
  </si>
  <si>
    <t>BARRAGAN TAFUR EDWIN ESTEBAN</t>
  </si>
  <si>
    <t>TA-25-1055203</t>
  </si>
  <si>
    <t>PTM IBAGUE JYV DOPRGUERIAS MON</t>
  </si>
  <si>
    <t>FO-25-1467971</t>
  </si>
  <si>
    <t>SMZZZ292</t>
  </si>
  <si>
    <t>GUTIERREZ  CAMILO ANDRES</t>
  </si>
  <si>
    <t>TA-25-1055292</t>
  </si>
  <si>
    <t>PTM IBAGUE VARIEDADES Y ACCESO</t>
  </si>
  <si>
    <t>FO-25-1467991</t>
  </si>
  <si>
    <t>SMZZZ293</t>
  </si>
  <si>
    <t>TA-25-1055365</t>
  </si>
  <si>
    <t>PTM CALI MINIMARKET BAM BAM</t>
  </si>
  <si>
    <t>FO-25-1468002</t>
  </si>
  <si>
    <t>SMZZZ294</t>
  </si>
  <si>
    <t>HERRERA MONAR GEOVANNY</t>
  </si>
  <si>
    <t>TA-25-1055511</t>
  </si>
  <si>
    <t>PTM CALI MAXI FRUVER ALANA</t>
  </si>
  <si>
    <t>FO-25-1468026</t>
  </si>
  <si>
    <t>SMZZZ295</t>
  </si>
  <si>
    <t>TA-25-1055602</t>
  </si>
  <si>
    <t>PTM CALI MULTICOPIAS LA 12</t>
  </si>
  <si>
    <t>FO-25-1468042</t>
  </si>
  <si>
    <t>SMZZZ296</t>
  </si>
  <si>
    <t>BOLAÑOS TABORDA JORGE ENRIQUE</t>
  </si>
  <si>
    <t>TA-25-1055700</t>
  </si>
  <si>
    <t>PTM CALI COLMENA SIEMPRE DIVAS</t>
  </si>
  <si>
    <t>FO-25-1468054</t>
  </si>
  <si>
    <t>03-09  PROGRAMACIÓN REALIZADA POR LA ALIANZA 4/09/2025 SE REALIZA INSTALACIÓN DE CORRESPONSAL, SE INSTALAN EQUIPOS CON PRUEBAS EXITOSAS, SE CAPACITA Y SE EVALÚA AL CLIENTE, SE INSTALA PUBLICIDAD COMPLETA, CB QUEDA OPERATIVO. USUARIO SOMOS BANCOLOMBIA ACTIVO. TRANSACCIONES DE PRUEBA EXITOSAS( SE REALIZAN LAS QUE EL CLIENTE TIENE DISPONIBLE).</t>
  </si>
  <si>
    <t>SMZZZ298</t>
  </si>
  <si>
    <t>TA-25-1055830</t>
  </si>
  <si>
    <t>PTM CALI VARIEDADES LOS MILAGR</t>
  </si>
  <si>
    <t>FO-25-1468070</t>
  </si>
  <si>
    <t>SMZZZ299</t>
  </si>
  <si>
    <t>SANCHEZ URREGO ROBINSON DAVID</t>
  </si>
  <si>
    <t>TA-25-1055986</t>
  </si>
  <si>
    <t>PTM CALI TIENDA Y LICORES HERR</t>
  </si>
  <si>
    <t>FO-25-1468092</t>
  </si>
  <si>
    <t>SMZZZ300</t>
  </si>
  <si>
    <t>TA-25-1056114</t>
  </si>
  <si>
    <t>PTM BOGOTA CIGARRERIA EMBAJADO</t>
  </si>
  <si>
    <t>FO-25-1468114</t>
  </si>
  <si>
    <t>03-09  PROGRAMACIÓN REALIZADA POR LA ALIANZA 4/09/2025 ESTANDO EN SITIO PARA REALIZAR APERTURA REDEBAN CB 3007081313  PTM BOGOTA CIGARRERIA EMBAJADO, EL COMERCIO NO TIENE EL NOMBRE DEL ESTABLECIMIENTO EN LA FACHADA, ADJUNTO CÁMARA DE COMERCIO + REGISTRO FOTOGRÁFICO./PROCEDER CON LA IMPLEMENTACIÓN CORRESPONDIENTE Y DEJAR LA NOVEDAD DOCUMENTADA EN LOS ARCHIVOS, PARA POSTERIORMENTE SER REPORTADA A LA ENTIDAD. 04-09 SE REALIZA INSTALACIÓN DE CORRESPONSAL, SE INSTALAN EQUIPOS CON PRUEBAS EXITOSAS, SE CAPACITA Y SE EVALÚA AL CLIENTE, SE INSTALA PUBLICIDAD COMPLETA, CB QUEDA OPERATIVO. USUARIO SOMOS BANCOLOMBIA ACTIVO</t>
  </si>
  <si>
    <t>SMZZZ301</t>
  </si>
  <si>
    <t>VEGA MANRIQUE JONATAN MAURICIO</t>
  </si>
  <si>
    <t>TA-25-1056313</t>
  </si>
  <si>
    <t>PTM BOGOTA DAVITEL COMUNICACIO</t>
  </si>
  <si>
    <t>FO-25-1468145</t>
  </si>
  <si>
    <t>SMZZZ302</t>
  </si>
  <si>
    <t>ORTIZ MARTINEZ STIVEN</t>
  </si>
  <si>
    <t>TA-25-1056505</t>
  </si>
  <si>
    <t>PTM BOGOTA PAPELERIA MI LIBERT</t>
  </si>
  <si>
    <t>FO-25-1468166</t>
  </si>
  <si>
    <t>SMZZZ304</t>
  </si>
  <si>
    <t>LOZADA ROJAS CHRISTIAN ANDRES</t>
  </si>
  <si>
    <t>TA-25-1056673</t>
  </si>
  <si>
    <t>PTM BOGOTA VARIEDADES MB</t>
  </si>
  <si>
    <t>FO-25-1468187</t>
  </si>
  <si>
    <t>03-09  PROGRAMACIÓN REALIZADA POR LA ALIANZA 4/09/2025  ESTANDO EN SITIO PARA REALIZAR APERTURA REDEBAN CB 3007081311 PTM BOGOTA VARIEDADES MB, EL COMERCIO NO TIENE EL NOMBRE DEL ESTABLECIMIENTO EN LA FACHADA, ADJUNTO CÁMARA DE COMERCIO + REGISTRO FOTOGRÁFICO / POR FAVOR REALICEMOS LA IMPLEMENTACIÓN Y DOCUMENTEMOS LA NOVEDAD. 04-09 SE REALIZA INSTALACIÓN DE CORRESPONSAL, SE INSTALAN EQUIPOS CON PRUEBAS EXITOSAS, SE CAPACITA Y SE EVALÚA AL CLIENTE, SE INSTALA PUBLICIDAD COMPLETA, CB QUEDA OPERATIVO. USUARIO SOMOS BANCOLOMBIA ACTIVO</t>
  </si>
  <si>
    <t>SMZZZ305</t>
  </si>
  <si>
    <t>TA-25-1056800</t>
  </si>
  <si>
    <t>PTM BOGOTA DROGUERIA J.R.G</t>
  </si>
  <si>
    <t>FO-25-1468211</t>
  </si>
  <si>
    <t>SMZZZ306</t>
  </si>
  <si>
    <t>GALEANO SORIANO JUAN DAVID</t>
  </si>
  <si>
    <t>TA-25-1056911</t>
  </si>
  <si>
    <t>PTM BOGOTA DROGUERIA GRAN SALU</t>
  </si>
  <si>
    <t>FO-25-1468221</t>
  </si>
  <si>
    <t>SMZZZ307</t>
  </si>
  <si>
    <t>HERNANDEZ NARANJO OSCAR EDUARDO</t>
  </si>
  <si>
    <t>TA-25-1078766</t>
  </si>
  <si>
    <t>DISTRICOL ALUMIACEROS</t>
  </si>
  <si>
    <t>FO-25-1496124</t>
  </si>
  <si>
    <t>08-09 PROGRAMACIÓN REALIZADA POR LA ALIANZA 9/09/2025 SE REALIZA INSTALACIÓN DE CORRESPONSAL, SE INSTALAN EQUIPOS CON PRUEBAS EXITOSAS, SE CAPACITA Y SE EVALÚA AL CLIENTE, SE INSTALA PUBLICIDAD COMPLETA, CB QUEDA OPERATIVO. USUARIO SOMOS BANCOLOMBIA ACTIVO. CLIENTE PIDE NO INSTALAR BASE YA QUE SE ENCUENTRA EN ADECUACIONES LOCATIVAS PERO SE DEJA</t>
  </si>
  <si>
    <t>VGZZZ801</t>
  </si>
  <si>
    <t>TA-25-1078792</t>
  </si>
  <si>
    <t>GUATAPE</t>
  </si>
  <si>
    <t>DISTRICOL AUTOSERVICIO JAIMITO</t>
  </si>
  <si>
    <t>FO-25-1496138</t>
  </si>
  <si>
    <t>08-09 PROGRAMACIÓN REALIZADA POR LA ALIANZA 10/09/2025 SE REALIZA INSTALACIÓN DE CORRESPONSAL, SE INSTALAN EQUIPOS CON PRUEBAS EXITOSAS, SE CAPACITA Y SE EVALÚA AL CLIENTE, SE INSTALA PUBLICIDAD COMPLETA, CB QUEDA OPERATIVO. USUARIO SOMOS BANCOLOMBIA ACTIVO</t>
  </si>
  <si>
    <t>VGZZZ802</t>
  </si>
  <si>
    <t>PAREJA ECHAVARRIA JHON DAVID</t>
  </si>
  <si>
    <t>TA-25-1078807</t>
  </si>
  <si>
    <t>SAN PEDRO DE LOS MILAGROS</t>
  </si>
  <si>
    <t>DISTRICOL  SOLUCIONES INTEGRAL</t>
  </si>
  <si>
    <t>FO-25-1496147</t>
  </si>
  <si>
    <t>08-09 PROGRAMACIÓN REALIZADA POR LA ALIANZA 9/09/2025 SE REALIZA INSTALACIÓN DE CORRESPONSAL, SE INSTALAN EQUIPOS CON PRUEBAS EXITOSAS, SE CAPACITA Y SE EVALÚA AL CLIENTE, SE INSTALA PUBLICIDAD COMPLETA, CB QUEDA OPERATIVO. USUARIO SOMOS BANCOLOMBIA ACTIVO. NO SE REALIZA TRANSFERENCIA YA QUE NO HAY CUENTA PARA REALIZARLA</t>
  </si>
  <si>
    <t>VGZZZ803</t>
  </si>
  <si>
    <t>TA-25-1078817</t>
  </si>
  <si>
    <t>SEGOVIA</t>
  </si>
  <si>
    <t>DISTRICOL JOSE27BOUTIQUE</t>
  </si>
  <si>
    <t>FO-25-1496158</t>
  </si>
  <si>
    <t>VGZZZ804</t>
  </si>
  <si>
    <t>TA-25-1078831</t>
  </si>
  <si>
    <t>DISTRICOL ELECTRODOMESTICOS</t>
  </si>
  <si>
    <t>FO-25-1496168</t>
  </si>
  <si>
    <t>08-09 PROGRAMACIÓN REALIZADA POR LA ALIANZA 9/09/2025 SE REALIZA INSTALACIÓN DE CORRESPONSAL, SE INSTALAN EQUIPOS CON PRUEBAS EXITOSAS, SE CAPACITA Y SE EVALÚA AL CLIENTE, SE INSTALA PUBLICIDAD COMPLETA, CB QUEDA OPERATIVO. USUARIO SOMOS BANCOLOMBIA ACTIVO</t>
  </si>
  <si>
    <t>VGZZZ805</t>
  </si>
  <si>
    <t>VALLEDUPAR</t>
  </si>
  <si>
    <t>TA-25-1078847</t>
  </si>
  <si>
    <t>CESAR</t>
  </si>
  <si>
    <t>DISTRICOLSOLUCIONSERVICIOSPLAY</t>
  </si>
  <si>
    <t>FO-25-1496179</t>
  </si>
  <si>
    <t>VGZZZ806</t>
  </si>
  <si>
    <t>MAESTRE MENGUAL EDGAR ENRIQUE</t>
  </si>
  <si>
    <t>TA-25-1078859</t>
  </si>
  <si>
    <t>PLANETA RICA</t>
  </si>
  <si>
    <t>DISTRICOL ISHATIENDAMULTIMARCA</t>
  </si>
  <si>
    <t>FO-25-1496188</t>
  </si>
  <si>
    <t>08-09 PROGRAMACIÓN REALIZADA POR LA ALIANZA 10/09/2025 SE ESCALA EL SIGUIENTE CASO DE APERTURA CB 81363, DONDE SE LLEGA A SITIO, PERO NO CUENTA CON AVISO CON EL NOMBRE COMERCIAL, LA DIRECCION SI ES LA CORRECTA / DAMOS VB PARA LA APERTURA YA QUE SE EVIDENCIA QUE FUNCIONA UN LOCAL COMERCIAL. 10-09 SE REALIZA INSTALACIÓN DE CORRESPONSAL, SE INSTALAN EQUIPOS CON PRUEBAS EXITOSAS, SE CAPACITA Y SE EVALÚA AL CLIENTE, SE INSTALA PUBLICIDAD COMPLETA, CB QUEDA OPERATIVO. USUARIO SOMOS BANCOLOMBIA ACTIVO</t>
  </si>
  <si>
    <t>VGZZZ807</t>
  </si>
  <si>
    <t>COGOLLO ROSSO CAMILO ANDRES</t>
  </si>
  <si>
    <t>TA-25-1078867</t>
  </si>
  <si>
    <t>NEMOCON</t>
  </si>
  <si>
    <t>DISTRICOL NEMORED</t>
  </si>
  <si>
    <t>FO-25-1496196</t>
  </si>
  <si>
    <t>VGZZZ808</t>
  </si>
  <si>
    <t>TA-25-1078883</t>
  </si>
  <si>
    <t>TENA</t>
  </si>
  <si>
    <t>DISTRICOL MILLANITO</t>
  </si>
  <si>
    <t>FO-25-1496212</t>
  </si>
  <si>
    <t>08-09 PROGRAMACIÓN REALIZADA POR LA ALIANZA 9/09/2025 SE REALIZA INSTALACIÓN DE CORRESPONSAL, SE INSTALAN EQUIPOS CON PRUEBAS EXITOSAS, SE CAPACITA Y SE EVALÚA AL CLIENTE, SE INSTALA PUBLICIDAD COMPLETA, CB QUEDA OPERATIVO. USUARIO SOMOS BANCOLOMBIA ACTIVO. SOLO SE REALIZA PRUEBA DE CONSULTA DE SALDO, NO HAY CUENTA PARA CONSIGNAR O RETIRAR</t>
  </si>
  <si>
    <t>VGZZZ809</t>
  </si>
  <si>
    <t>TA-25-1078896</t>
  </si>
  <si>
    <t>DISTRICOL COLFARMA Y MINIMARK</t>
  </si>
  <si>
    <t>FO-25-1496224</t>
  </si>
  <si>
    <t>VGZZZ810</t>
  </si>
  <si>
    <t>TA-25-1078901</t>
  </si>
  <si>
    <t>VELEZ</t>
  </si>
  <si>
    <t>DISTRICOL SIGMA DISTRIBUCIONE</t>
  </si>
  <si>
    <t>FO-25-1496236</t>
  </si>
  <si>
    <t>VGZZZ811</t>
  </si>
  <si>
    <t>GONZALEZ GONZALEZ MARIO ALBERTO</t>
  </si>
  <si>
    <t>TA-25-1078902</t>
  </si>
  <si>
    <t>LIBANO</t>
  </si>
  <si>
    <t>DISTRICOL LUJOS AUTOS Y MOTOS</t>
  </si>
  <si>
    <t>FO-25-1496248</t>
  </si>
  <si>
    <t>VGZZZ812</t>
  </si>
  <si>
    <t>TA-25-1078904</t>
  </si>
  <si>
    <t>PUERTO LEGUIZAMO</t>
  </si>
  <si>
    <t>DISTRICOL AFROELECTRICOS SOLAR</t>
  </si>
  <si>
    <t>FO-25-1496262</t>
  </si>
  <si>
    <t>VGZZZ813</t>
  </si>
  <si>
    <t>TA-25-1078907</t>
  </si>
  <si>
    <t>VALLE DEL GUAMUEZ</t>
  </si>
  <si>
    <t>DISTRICOL LA ECONOMIA AYS</t>
  </si>
  <si>
    <t>FO-25-1496272</t>
  </si>
  <si>
    <t>VGZZZ814</t>
  </si>
  <si>
    <t>TA-25-1078910</t>
  </si>
  <si>
    <t>DISTRICOL APARTABURGUER</t>
  </si>
  <si>
    <t>FO-25-1496280</t>
  </si>
  <si>
    <t>VGZZZ815</t>
  </si>
  <si>
    <t>CASTRO HENAO DANIEL ESTEBAN</t>
  </si>
  <si>
    <t>TA-25-1078913</t>
  </si>
  <si>
    <t>EL BANCO</t>
  </si>
  <si>
    <t>PTM EL BANCO  VARIEDADES DOMIX</t>
  </si>
  <si>
    <t>FO-25-1496300</t>
  </si>
  <si>
    <t>08-09 PROGRAMACIÓN REALIZADA POR LA ALIANZA 10/09/2025 SE REALIZA INSTALACIÓN DE DAT ADICIONAL, PRUEBAS EXITOSAS,  CB QUEDA OPERATIVO. QUIÉN NOS ATIENDE LA VISITA NOS INDICA QUE NO TIENE CUENTA BANCOLOMBIA PARA REALIZAR PRUEBA DE DEPÓSITO Y TRANSFERENCIA</t>
  </si>
  <si>
    <t>VGZZZ816</t>
  </si>
  <si>
    <t>TA-25-1099856</t>
  </si>
  <si>
    <t>VALENCIA</t>
  </si>
  <si>
    <t>PTM VALENCIA BARUEK CAFETERIA</t>
  </si>
  <si>
    <t>FO-25-1520432</t>
  </si>
  <si>
    <t>12-09 PROGRAMACIÓN REALIZADA POR LA ALIANZA 15-09 NO ES POSIBLE REALIZAR LA ACTIVIDAD POR BLOQUEO DE LA VÍA MONTERÍA - TIERRALTA POR EL CORREGIMIENTO TRES PIEDRAS. 17/09/2025 SE REALIZA INSTALACIÓN DE CORRESPONSAL, SE INSTALAN EQUIPOS CON PRUEBAS EXITOSAS, SE CAPACITA Y SE EVALÚA AL CLIENTE, SE INSTALA PUBLICIDAD COMPLETA, CB QUEDA OPERATIVO. USUARIO SOMOS BANCOLOMBIA ACTIVO</t>
  </si>
  <si>
    <t>VJZZZ943</t>
  </si>
  <si>
    <t>TA-25-1099857</t>
  </si>
  <si>
    <t>PTM MEDELLIN REALFARMA FARMACI</t>
  </si>
  <si>
    <t>FO-25-1520436</t>
  </si>
  <si>
    <t>12-09 PROGRAMACIÓN REALIZADA POR LA ALIANZA 16/09/2025 SE REALIZA INSTALACIÓN DE CORRESPONSAL, SE INSTALAN EQUIPOS CON PRUEBAS EXITOSAS, SE CAPACITA Y SE EVALÚA AL CLIENTE, SE INSTALA PUBLICIDAD COMPLETA, CB QUEDA OPERATIVO. USUARIO SOMOS BANCOLOMBIA ACTIVO</t>
  </si>
  <si>
    <t>VJZZZ909</t>
  </si>
  <si>
    <t>TA-25-1099862</t>
  </si>
  <si>
    <t>PTM MEDELLIN  TIENDA EL PRIMO</t>
  </si>
  <si>
    <t>FO-25-1520446</t>
  </si>
  <si>
    <t>VJZZZ910</t>
  </si>
  <si>
    <t>TA-25-1099871</t>
  </si>
  <si>
    <t>PTM BELLO PARIS TIENDA DE BELL</t>
  </si>
  <si>
    <t>FO-25-1520454</t>
  </si>
  <si>
    <t>VJZZZ911</t>
  </si>
  <si>
    <t>ZAPATA LOPEZ EDWARD ASDRUBAL</t>
  </si>
  <si>
    <t>TA-25-1099874</t>
  </si>
  <si>
    <t>PTM ITAGUI MERCADOS MEDUSA</t>
  </si>
  <si>
    <t>FO-25-1520462</t>
  </si>
  <si>
    <t>VJZZZ912</t>
  </si>
  <si>
    <t>QUINTERO SANCHEZ JUAN SEBASTIAN</t>
  </si>
  <si>
    <t>TA-25-1099876</t>
  </si>
  <si>
    <t>PTM ITAGUI PAPELERIA AGAPE SAN</t>
  </si>
  <si>
    <t>FO-25-1520466</t>
  </si>
  <si>
    <t>VJZZZ913</t>
  </si>
  <si>
    <t>CARTAGENA</t>
  </si>
  <si>
    <t>TA-25-1099877</t>
  </si>
  <si>
    <t>BOLIVAR</t>
  </si>
  <si>
    <t>PTM CARTAGENA REYNET CARTAGENA</t>
  </si>
  <si>
    <t>FO-25-1520469</t>
  </si>
  <si>
    <t>12-09 PROGRAMACIÓN REALIZADA POR LA ALIANZA 15/09/2025 SE REALIZA INSTALACIÓN DE CORRESPONSAL, SE INSTALAN EQUIPOS CON PRUEBAS EXITOSAS, SE CAPACITA Y SE EVALÚA AL CLIENTE, SE INSTALA PUBLICIDAD COMPLETA, CB QUEDA OPERATIVO. USUARIO SOMOS BANCOLOMBIA ACTIVO</t>
  </si>
  <si>
    <t>VJZZZ915</t>
  </si>
  <si>
    <t>CANEDO HERRERA ALEXANDER</t>
  </si>
  <si>
    <t>TA-25-1099879</t>
  </si>
  <si>
    <t>POPAYAN</t>
  </si>
  <si>
    <t>PTM POPAYAN TIENDA Y PAPELERIA</t>
  </si>
  <si>
    <t>FO-25-1520473</t>
  </si>
  <si>
    <t>VJZZZ917</t>
  </si>
  <si>
    <t>TA-25-1099880</t>
  </si>
  <si>
    <t>COTA</t>
  </si>
  <si>
    <t>PTM COTA ROBERT YAN CASTIBLANC</t>
  </si>
  <si>
    <t>FO-25-1520476</t>
  </si>
  <si>
    <t>VJZZZ919</t>
  </si>
  <si>
    <t>TA-25-1099882</t>
  </si>
  <si>
    <t>MOSQUERA</t>
  </si>
  <si>
    <t>PTM MOSQUERA JOYA VERSATIL</t>
  </si>
  <si>
    <t>FO-25-1520479</t>
  </si>
  <si>
    <t>VJZZZ920</t>
  </si>
  <si>
    <t>TA-25-1099886</t>
  </si>
  <si>
    <t>LA GUAJIRA</t>
  </si>
  <si>
    <t>MAICAO</t>
  </si>
  <si>
    <t>PTM MAICAO TIENDA PUERTO ESTRE</t>
  </si>
  <si>
    <t>FO-25-1520488</t>
  </si>
  <si>
    <t>VJZZZ921</t>
  </si>
  <si>
    <t>TA-25-1099890</t>
  </si>
  <si>
    <t>PTM TAMASAGRA II DROGUERIA GAL</t>
  </si>
  <si>
    <t>FO-25-1520493</t>
  </si>
  <si>
    <t>VJZZZ922</t>
  </si>
  <si>
    <t>TA-25-1099893</t>
  </si>
  <si>
    <t>PTM CUCUTA TIENDA MIXTA AILINE</t>
  </si>
  <si>
    <t>FO-25-1520498</t>
  </si>
  <si>
    <t>12-09 PROGRAMACIÓN REALIZADA POR LA ALIANZA 15-09 SE CONTACTA TELEFÓNICAMENTE AL CLIENTE, LA SEÑORA AIDE ROMERO ME INFORMA QUE TUVO QUE SALIR Y NO PUEDE ATENDER LA INSTALACIÓN, SOLICITA QUE SE REAGENDE LA VISITA PARA EL DÍA DE MAÑANA 16/09 A LAS 9AM 16-09 SE REALIZA INSTALACIÓN DE CORRESPONSAL, SE INSTALAN EQUIPOS CON PRUEBAS EXITOSAS, SE CAPACITA Y SE EVALÚA AL CLIENTE, SE INSTALA PUBLICIDAD COMPLETA, CB QUEDA OPERATIVO. USUARIO SOMOS BANCOLOMBIA ACTIVO</t>
  </si>
  <si>
    <t>VJZZZ923</t>
  </si>
  <si>
    <t>TA-25-1099896</t>
  </si>
  <si>
    <t>PTM CUCUTA DROGUERIA NORFARSAL</t>
  </si>
  <si>
    <t>FO-25-1520504</t>
  </si>
  <si>
    <t>VJZZZ924</t>
  </si>
  <si>
    <t>TA-25-1099903</t>
  </si>
  <si>
    <t>TEORAMA</t>
  </si>
  <si>
    <t>PTM VDA SAN PABLO TEORAMA IDEA</t>
  </si>
  <si>
    <t>FO-25-1520516</t>
  </si>
  <si>
    <t>12-09 PROGRAMACIÓN REALIZADA POR LA ALIANZA 16-09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22/09/2025 AUTORIZAN LA ENTREGA DE LOS EQUIPOS Y PUBLICDAD EN OCAÑA: POR FAVOR PROCEDER CON LA ENTREGA DE LOS EQUIPOS Y DE LA PUBLICIDAD SEGÚN LO INDICADO. ES IMPORTANTE TENER EN CUENTA QUE, AL MOMENTO DE REALIZAR LA ENTREGA AL CB, SE DEBE BLOQUEAR EL PUNTO CORRESPONDIENTE. ASIMISMO, LAS COORDENADAS DEBEN TOMARSE DIRECTAMENTE EN EL ESTABLECIMIENTO DEL CB, AL IGUAL QUE EL CIERRE DE LA ACTIVIDAD. 23/09/2025 POR MEDIO DEL PRESENTE, SE CONFIRMA LA ENTREGA DE LOS EQUIPOS DE PUBLICIDAD Y LA CAPACITACIÓN EXITOSA DEL PERSONAL CORRESPONDIENTE. SOLICITAMOS, POR FAVOR, EL BLOQUEO DE LA TERMINAL VJZZZ925. 24/09/2025 SE REALIZA INSTALACIÓN DE CORRESPONSAL, SE INSTALAN EQUIPOS CON PRUEBAS EXITOSAS, SE CAPACITA Y SE EVALÚA AL CLIENTE, SE INSTALA PUBLICIDAD COMPLETA, CB QUEDA OPERATIVO. USUARIO SOMOS BANCOLOMBIA ACTIVO. SE DOCUMENTAN COORDENADAS ENVIADAS POR EL USUARIO</t>
  </si>
  <si>
    <t>VJZZZ925</t>
  </si>
  <si>
    <t>TORRES MANTILLA JOSE DANIEL</t>
  </si>
  <si>
    <t>TA-25-1099912</t>
  </si>
  <si>
    <t>QUINDIO</t>
  </si>
  <si>
    <t>ARMENIA</t>
  </si>
  <si>
    <t>PTM ARMENIA PAPELERIA  SAMY TM</t>
  </si>
  <si>
    <t>FO-25-1520524</t>
  </si>
  <si>
    <t>VJZZZ926</t>
  </si>
  <si>
    <t>SANCHEZ SOLORZANO JUAN SEBASTIAN</t>
  </si>
  <si>
    <t>TA-25-1099913</t>
  </si>
  <si>
    <t>PTM BUCARAMANGA AUTOSERVICIO M</t>
  </si>
  <si>
    <t>FO-25-1520527</t>
  </si>
  <si>
    <t>VJZZZ927</t>
  </si>
  <si>
    <t>TA-25-1099915</t>
  </si>
  <si>
    <t>PIEDECUESTA</t>
  </si>
  <si>
    <t>PTM PIEDECUESTA MICROMERCADO Y</t>
  </si>
  <si>
    <t>FO-25-1520532</t>
  </si>
  <si>
    <t>VJZZZ928</t>
  </si>
  <si>
    <t>PEÑA DIAZ IVAN YESID</t>
  </si>
  <si>
    <t>TA-25-1099917</t>
  </si>
  <si>
    <t>VILLANUEVA</t>
  </si>
  <si>
    <t>PTM VILLANUEVA BENYI STORE</t>
  </si>
  <si>
    <t>FO-25-1520536</t>
  </si>
  <si>
    <t>12-09 PROGRAMACIÓN REALIZADA POR LA ALIANZA 16-09 EN COMUNICACIÓN CON EL SEÑOR ANDRES AL. MOVIL 3108839586, SE CONFIRMA DISPONIBILIDAD DE ATENCIÓN DEL CLIENTE PARA EL DÍA DE MAÑANA MIÉRCOLES 17 DE SEPTIEMBRE DESPUÉS DE LAS 8AM. 17/09/2025 SE REALIZA INSTALACIÓN DE CORRESPONSAL, SE INSTALAN EQUIPOS CON PRUEBAS EXITOSAS, SE CAPACITA Y SE EVALÚA AL CLIENTE, SE INSTALA PUBLICIDAD COMPLETA, CB QUEDA OPERATIVO. USUARIO SOMOS BANCOLOMBIA ACTIVO</t>
  </si>
  <si>
    <t>VJZZZ929</t>
  </si>
  <si>
    <t>TA-25-1099927</t>
  </si>
  <si>
    <t>PTM IBAGUE ZIBA</t>
  </si>
  <si>
    <t>FO-25-1520545</t>
  </si>
  <si>
    <t>12-09 PROGRAMACIÓN REALIZADA POR LA ALIANZA 15/09/2025 SE REALIZA INSTALACIÓN DE CORRESPONSAL, SE INSTALAN EQUIPOS CON PRUEBAS EXITOSAS, SE CAPACITA Y SE EVALÚA AL CLIENTE, SE INSTALA PUBLICIDAD COMPLETA, CB QUEDA OPERATIVO. USUARIO SOMOS BANCOLOMBIA ACTIVO. SE INSTALA AVISO EXTERIOR SIN MARCO DE ALUMINIO EN LA APERTURA DEL CB 81475, PUESTO QUE LA FACHADA DEL COMERCIO ES EN VIDRIO AUTORIZADO POR REDEBAN.</t>
  </si>
  <si>
    <t>VJZZZ930</t>
  </si>
  <si>
    <t>VARGAS HERRERA JHON JAIRO</t>
  </si>
  <si>
    <t>TA-25-1099933</t>
  </si>
  <si>
    <t>BUENAVENTURA</t>
  </si>
  <si>
    <t>PTM BUENAVENTURA AUTOSERVICIO</t>
  </si>
  <si>
    <t>FO-25-1520552</t>
  </si>
  <si>
    <t>VJZZZ931</t>
  </si>
  <si>
    <t>TA-25-1099934</t>
  </si>
  <si>
    <t>JAMUNDI</t>
  </si>
  <si>
    <t>PTM JAMUNDI TIENDA Y PAPELERIA</t>
  </si>
  <si>
    <t>FO-25-1520555</t>
  </si>
  <si>
    <t>VJZZZ932</t>
  </si>
  <si>
    <t>TA-25-1099936</t>
  </si>
  <si>
    <t>PTM TULUA RAPITIENDA LA 32</t>
  </si>
  <si>
    <t>FO-25-1520560</t>
  </si>
  <si>
    <t>VJZZZ933</t>
  </si>
  <si>
    <t>TA-25-1099944</t>
  </si>
  <si>
    <t>YUMBO</t>
  </si>
  <si>
    <t>PTM YUMBO  ESTACIÓN DE SERVICI</t>
  </si>
  <si>
    <t>FO-25-1520568</t>
  </si>
  <si>
    <t>VJZZZ934</t>
  </si>
  <si>
    <t>TA-25-1099954</t>
  </si>
  <si>
    <t>PTM BOGOTA DROGUERIA TIBABUYES</t>
  </si>
  <si>
    <t>FO-25-1520576</t>
  </si>
  <si>
    <t>VJZZZ935</t>
  </si>
  <si>
    <t>TA-25-1099955</t>
  </si>
  <si>
    <t>PTM BOGOTA PAPELERIA LIAM +</t>
  </si>
  <si>
    <t>FO-25-1520579</t>
  </si>
  <si>
    <t>VJZZZ936</t>
  </si>
  <si>
    <t>TA-25-1099956</t>
  </si>
  <si>
    <t>PTM BOGOTA DISTRIBUIDORA DE CO</t>
  </si>
  <si>
    <t>FO-25-1520583</t>
  </si>
  <si>
    <t>VJZZZ938</t>
  </si>
  <si>
    <t>GALINDO ROJAS LUIS FELIPE</t>
  </si>
  <si>
    <t>TA-25-1117892</t>
  </si>
  <si>
    <t>ENTRERRIOS</t>
  </si>
  <si>
    <t>DISTRICOL  AMERICA  STORE AG</t>
  </si>
  <si>
    <t>FO-25-1543476</t>
  </si>
  <si>
    <t>17-09 PROGRAMACIÓN REALIZADA POR LA ALIANZA 18/09/2025 SE REALIZA INSTALACIÓN DE CORRESPONSAL, SE INSTALAN EQUIPOS CON PRUEBAS EXITOSAS, SE CAPACITA Y SE EVALÚA AL CLIENTE, SE INSTALA PUBLICIDAD COMPLETA, CB QUEDA OPERATIVO. USUARIO SOMOS BANCOLOMBIA ACTIVO</t>
  </si>
  <si>
    <t>FSZZZ873</t>
  </si>
  <si>
    <t>TA-25-1117894</t>
  </si>
  <si>
    <t>MARINILLA</t>
  </si>
  <si>
    <t>DISTRICOL SCENTI SOLUCIONES</t>
  </si>
  <si>
    <t>FO-25-1543480</t>
  </si>
  <si>
    <t>FSZZZ874</t>
  </si>
  <si>
    <t>ALVAREZ ARENAS VICTOR HUGO</t>
  </si>
  <si>
    <t>TA-25-1117895</t>
  </si>
  <si>
    <t>DISTRICOL DROGUERIA SANTANDER</t>
  </si>
  <si>
    <t>FO-25-1543483</t>
  </si>
  <si>
    <t>FSZZZ875</t>
  </si>
  <si>
    <t>TA-25-1118169</t>
  </si>
  <si>
    <t>DISTRICOL TECNOLOGIA NEXUS</t>
  </si>
  <si>
    <t>FO-25-1543625</t>
  </si>
  <si>
    <t>17-09 PROGRAMACIÓN REALIZADA POR LA ALIANZA 19/09/2025 SE REALIZA INSTALACIÓN DE CORRESPONSAL, SE INSTALAN EQUIPOS CON PRUEBAS EXITOSAS, SE CAPACITA Y SE EVALÚA AL CLIENTE, SE INSTALA PUBLICIDAD COMPLETA, CB QUEDA OPERATIVO. USUARIO SOMOS BANCOLOMBIA ACTIVO</t>
  </si>
  <si>
    <t>FSZZZ876</t>
  </si>
  <si>
    <t>TA-25-1117897</t>
  </si>
  <si>
    <t>DISTRICOL TIENDA GINES ROPA Y ACCESORIOS</t>
  </si>
  <si>
    <t>FO-25-1543491</t>
  </si>
  <si>
    <t>17-09 PROGRAMACIÓN REALIZADA POR LA ALIANZA 19/09/2025 VISITAMOS DIRECCIÓN RELACIONADA EN CUADRO ENCONTRANDO QUE NO HAY COMERCIO EN ESTA. SEGÚN VALIDACIONES DE PERSONAL TÉCNICO EL COMERCIO ESTÁ UBICADO REALMENTE EN DIRECCIÓN CARRERA 30 # 22-30 COMO MUESTRA UN RECIBO DE SERVICIOS PÚBLICOS.</t>
  </si>
  <si>
    <t>FSZZZ877</t>
  </si>
  <si>
    <t>TA-25-1117901</t>
  </si>
  <si>
    <t>ZARAGOZA</t>
  </si>
  <si>
    <t>DISTRICOL INNOVATECH Z</t>
  </si>
  <si>
    <t>FO-25-1543503</t>
  </si>
  <si>
    <t>FSZZZ878</t>
  </si>
  <si>
    <t>TA-25-1117904</t>
  </si>
  <si>
    <t>SAN PABLO</t>
  </si>
  <si>
    <t>DISTRICOL ELECTRO LUNA</t>
  </si>
  <si>
    <t>FO-25-1543509</t>
  </si>
  <si>
    <t>FSZZZ879</t>
  </si>
  <si>
    <t>TERRESTRE/FLUVIAL</t>
  </si>
  <si>
    <t>TA-25-1117911</t>
  </si>
  <si>
    <t>SANTA ROSA DEL SUR</t>
  </si>
  <si>
    <t>DISTRICOL SOLICIONES ANPA</t>
  </si>
  <si>
    <t>FO-25-1543512</t>
  </si>
  <si>
    <t>17-09 PROGRAMACIÓN REALIZADA POR LA ALIANZA 18-09 EN COMUNICACIÓN CON LA SEÑORA ANGELA DÍAZ AL NÚMERO 3172336820 NOS INDICA QUE EL DÍA DE HOY NO TIENE LA DISPONIBILIDAD DE ATENDERNOS QUE EL DÍA DE MAÑANA ESTÁ DISPONIBLE A PARTIR DE LAS 8 AM 19/09/2025 SE REALIZA INSTALACIÓN DE CORRESPONSAL, SE INSTALAN EQUIPOS CON PRUEBAS EXITOSAS, SE CAPACITA Y SE EVALÚA AL CLIENTE, SE INSTALA PUBLICIDAD COMPLETA, CB QUEDA OPERATIVO. USUARIO SOMOS BANCOLOMBIA ACTIVO</t>
  </si>
  <si>
    <t>FSZZZ880</t>
  </si>
  <si>
    <t>TA-25-1117921</t>
  </si>
  <si>
    <t>DISTRICOL VARIEDADES LAS FERIA</t>
  </si>
  <si>
    <t>FO-25-1543517</t>
  </si>
  <si>
    <t>17-09 PROGRAMACIÓN REALIZADA POR LA ALIANZA 18-09 EN COMUNICACIÓN CON LA SEÑORA MARTHA CUERVO HIDALGO AL NÚMERO 3154002504 NOS INDICA QUE EL DÍA DE HOY NO TIENE LA DISPONIBILIDAD DE ATENDERNOS QUE EL DÍA DE MAÑANA ESTÁ DISPONIBLE A PARTIR DE LAS 9 AM 19/09/2025 SE REALIZA INSTALACIÓN DE CORRESPONSAL, SE INSTALAN EQUIPOS CON PRUEBAS EXITOSAS, SE CAPACITA Y SE EVALÚA AL CLIENTE, SE INSTALA PUBLICIDAD COMPLETA, CB QUEDA OPERATIVO. USUARIO SOMOS BANCOLOMBIA ACTIVO</t>
  </si>
  <si>
    <t>FSZZZ881</t>
  </si>
  <si>
    <t>TA-25-1117930</t>
  </si>
  <si>
    <t>CHIQUINQUIRA</t>
  </si>
  <si>
    <t>DISTRICOL TECHNOWORLD CHIQUINQ</t>
  </si>
  <si>
    <t>FO-25-1543521</t>
  </si>
  <si>
    <t>FSZZZ882</t>
  </si>
  <si>
    <t>HERRERA GARZON JEYSON STEVENT</t>
  </si>
  <si>
    <t>TA-25-1117941</t>
  </si>
  <si>
    <t>VILLAMARIA</t>
  </si>
  <si>
    <t>DISTRICOL VAR VILLA PETS</t>
  </si>
  <si>
    <t>FO-25-1543524</t>
  </si>
  <si>
    <t>FSZZZ883</t>
  </si>
  <si>
    <t>TA-25-1117968</t>
  </si>
  <si>
    <t>DISTRICOL PAÑ Y VAR LAURITA</t>
  </si>
  <si>
    <t>FO-25-1543532</t>
  </si>
  <si>
    <t>FSZZZ884</t>
  </si>
  <si>
    <t>REMICIO AMADO JOHN HEBER</t>
  </si>
  <si>
    <t>TA-25-1118001</t>
  </si>
  <si>
    <t>IPIALES</t>
  </si>
  <si>
    <t>DISTRICOL VAR SEBASTIAN JM</t>
  </si>
  <si>
    <t>FO-25-1543540</t>
  </si>
  <si>
    <t>17-09 PROGRAMACIÓN REALIZADA POR LA ALIANZA 18/09/2025 SE REALIZÓ VISITA AL COMERCIO PARA LA APERTURA DEL CB PERO NO ES POSIBLE YA QUE EL COMERCIO NO CUENTA CON CONEXIÓN A INTERNET, QUEDA PENDIENTE QUE EL USUARIO ADQUIERA EL SERVICIO PARA PODER INSTALAR EL CB</t>
  </si>
  <si>
    <t>FSZZZ885</t>
  </si>
  <si>
    <t>TA-25-1118025</t>
  </si>
  <si>
    <t>SAMANIEGO</t>
  </si>
  <si>
    <t>DISTRICOL SANA MENTE</t>
  </si>
  <si>
    <t>FO-25-1543544</t>
  </si>
  <si>
    <t>17-09 PROGRAMACIÓN REALIZADA POR LA ALIANZA 19-09 NO FUE POSIBLE VIAJAR AL MUNICIPIO POR PROBLEMAS EN EL TRANSPORTE, SE SEPARA BUS PARA EL DIA LUNES 22/09/2025 SE REALIZA INSTALACIÓN DE CORRESPONSAL, SE INSTALAN EQUIPOS CON PRUEBAS EXITOSAS, SE CAPACITA Y SE EVALÚA AL CLIENTE, SE INSTALA PUBLICIDAD COMPLETA, CB QUEDA OPERATIVO. USUARIO SOMOS BANCOLOMBIA ACTIVO</t>
  </si>
  <si>
    <t>FSZZZ886</t>
  </si>
  <si>
    <t>TA-25-1118045</t>
  </si>
  <si>
    <t>SANDONA</t>
  </si>
  <si>
    <t>DISTRICOL DROG NUEVO AMANECER</t>
  </si>
  <si>
    <t>FO-25-1543553</t>
  </si>
  <si>
    <t>FSZZZ887</t>
  </si>
  <si>
    <t>TA-25-1118072</t>
  </si>
  <si>
    <t>ZARZAL</t>
  </si>
  <si>
    <t>DISTRICOL DRO ECONOFARMA LA 10</t>
  </si>
  <si>
    <t>FO-25-1543558</t>
  </si>
  <si>
    <t>FSZZZ888</t>
  </si>
  <si>
    <t>TA-25-1118079</t>
  </si>
  <si>
    <t>ARAUCA</t>
  </si>
  <si>
    <t>DISTRICOL MI TESORO</t>
  </si>
  <si>
    <t>FO-25-1543564</t>
  </si>
  <si>
    <t>17-09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t>
  </si>
  <si>
    <t>FSZZZ889</t>
  </si>
  <si>
    <t>HERRERA LUQUE SAUL JAVIER</t>
  </si>
  <si>
    <t>TA-25-1118087</t>
  </si>
  <si>
    <t>SARAVENA</t>
  </si>
  <si>
    <t>DISTRICOL INTERBANS</t>
  </si>
  <si>
    <t>FO-25-1543569</t>
  </si>
  <si>
    <t>17-09 PROGRAMACIÓN REALIZADA POR LA ALIANZA 23/09/2025 SE REALIZA INSTALACIÓN DE CORRESPONSAL, SE INSTALAN EQUIPOS CON PRUEBAS EXITOSAS, SE CAPACITA Y SE EVALÚA AL CLIENTE, SE INSTALA PUBLICIDAD COMPLETA, CB QUEDA OPERATIVO. USUARIO SOMOS BANCOLOMBIA ACTIVO</t>
  </si>
  <si>
    <t>FSZZZ890</t>
  </si>
  <si>
    <t>YOPAL</t>
  </si>
  <si>
    <t>TA-25-1118097</t>
  </si>
  <si>
    <t>CASANARE</t>
  </si>
  <si>
    <t>DISTRICOL DROGUERIA FENIX</t>
  </si>
  <si>
    <t>FO-25-1543573</t>
  </si>
  <si>
    <t>FSZZZ891</t>
  </si>
  <si>
    <t>TA-25-1118107</t>
  </si>
  <si>
    <t>DISTRICOL MULTISERVIS CLIKGO</t>
  </si>
  <si>
    <t>FO-25-1543578</t>
  </si>
  <si>
    <t>FSZZZ892</t>
  </si>
  <si>
    <t>TA-25-1118118</t>
  </si>
  <si>
    <t>AGUAZUL</t>
  </si>
  <si>
    <t>DISTRICOL CACHARRERIA MAVIS</t>
  </si>
  <si>
    <t>FO-25-1543582</t>
  </si>
  <si>
    <t>FSZZZ893</t>
  </si>
  <si>
    <t>TA-25-1118128</t>
  </si>
  <si>
    <t>NUNCHIA</t>
  </si>
  <si>
    <t>DISTRICOL FERRETERIA 5 ESTRELL</t>
  </si>
  <si>
    <t>FO-25-1543585</t>
  </si>
  <si>
    <t>FSZZZ894</t>
  </si>
  <si>
    <t>TA-25-1118136</t>
  </si>
  <si>
    <t>SIBUNDOY</t>
  </si>
  <si>
    <t>DISTRICOL POLLOS PUNTO FRESCO</t>
  </si>
  <si>
    <t>FO-25-1543590</t>
  </si>
  <si>
    <t>FSZZZ895</t>
  </si>
  <si>
    <t>TA-25-1118145</t>
  </si>
  <si>
    <t>DISTRICOL FERROUNO</t>
  </si>
  <si>
    <t>FO-25-1543593</t>
  </si>
  <si>
    <t>17-09 PROGRAMACIÓN REALIZADA POR LA ALIANZA 19/09/2025 SE LLAMA AL USUARIO PARA CONFIRMAR VISITA Y NOS CONTESTA UN TRABAJADOR INFORMANDO QUE EL ENCARGADO SOLO ESTÁ EN DE 8-10 AM Y 2-4 PM SE LOGRA COMUNICAR CON EL USUARIO ENCARGADO Y NOS MANIFIESTA QUE SI PODEMOS DEJAR LA INSTALACIÓN PARA EL DÍA MIÉRCOLES DE LA OTRA SEMANA EN HORAS DE LA MAÑANA YA QUE SE LE INDICA QUE SE NECESITA DISPONIBILIDAD DE TIEMPO PARA PODER HACER LA INSTALACIÓN Y PODER DAR LA CAPACITACIÓN DE MANEJO DE TODO EL SISTEMA 24-09 SE REALIZA INSTALACIÓN DE CORRESPONSAL, SE INSTALAN EQUIPOS CON PRUEBAS EXITOSAS, SE CAPACITA Y SE EVALÚA AL CLIENTE, SE INSTALA PUBLICIDAD COMPLETA, CB QUEDA OPERATIVO. USUARIO SOMOS BANCOLOMBIA ACTIVO</t>
  </si>
  <si>
    <t>FSZZZ896</t>
  </si>
  <si>
    <t>TA-25-1118154</t>
  </si>
  <si>
    <t>DISTRICOL DROGUERIA MACROSALUD ETICA</t>
  </si>
  <si>
    <t>FO-25-1543596</t>
  </si>
  <si>
    <t>FSZZZ897</t>
  </si>
  <si>
    <t>TA-25-1118161</t>
  </si>
  <si>
    <t>DISTRICOL MADURITOS DE LUPE</t>
  </si>
  <si>
    <t>FO-25-1543600</t>
  </si>
  <si>
    <t>FSZZZ898</t>
  </si>
  <si>
    <t>TA-25-1118162</t>
  </si>
  <si>
    <t>DISTRICOL PAPELERIA JUANES E&amp;E</t>
  </si>
  <si>
    <t>FO-25-1543603</t>
  </si>
  <si>
    <t>FSZZZ899</t>
  </si>
  <si>
    <t>TA-25-1118163</t>
  </si>
  <si>
    <t>DISTRICOL TODO EN UNO</t>
  </si>
  <si>
    <t>FO-25-1543607</t>
  </si>
  <si>
    <t>FSZZZ900</t>
  </si>
  <si>
    <t>TA-25-1118164</t>
  </si>
  <si>
    <t>DISTRICOL PRACTIPAGOS LA Y</t>
  </si>
  <si>
    <t>FO-25-1543611</t>
  </si>
  <si>
    <t>FSZZZ901</t>
  </si>
  <si>
    <t>ARIAS QUILINDO JULIAN</t>
  </si>
  <si>
    <t>TA-25-1120952</t>
  </si>
  <si>
    <t>CHOCO</t>
  </si>
  <si>
    <t>NUEVO BELEN DE BAJIRA</t>
  </si>
  <si>
    <t>DISTRICOL DONDE CAMILA F</t>
  </si>
  <si>
    <t>FO-25-1546404</t>
  </si>
  <si>
    <t>17-09 EL SITIO NO HA PROCESADO EN SEI, SE APLAZA INSTALACIÓN HASTA RECIBIR NUEVA INDICACIÓN POR PARTE DE REDEBAN 18/09/2025 REDEBAN INDICA QUE EL PUNTO YA PROCESO, SE PROCEDE CON LA PROGRAMACIÓN 23/09/2025 SE REALIZA INSTALACIÓN DE CORRESPONSAL, SE INSTALAN EQUIPOS CON PRUEBAS EXITOSAS, SE CAPACITA Y SE EVALÚA AL CLIENTE, SE INSTALA PUBLICIDAD COMPLETA, CB QUEDA OPERATIVO. USUARIO SOMOS BANCOLOMBIA ACTIVO</t>
  </si>
  <si>
    <t>FTZZZ084</t>
  </si>
  <si>
    <t>TA-25-1118165</t>
  </si>
  <si>
    <t>PTM SOACHA TIENDA TRES REYES</t>
  </si>
  <si>
    <t>FO-25-1543615</t>
  </si>
  <si>
    <t>17-09 PROGRAMACIÓN REALIZADA POR LA ALIANZA 18/09/2025 SE REALIZA INSTALACIÓN DE DAT ADICIONAL, PRUEBAS EXITOSAS, CB QUEDA OPERATIVO</t>
  </si>
  <si>
    <t>FSZZZ902</t>
  </si>
  <si>
    <t>TA-25-1125548</t>
  </si>
  <si>
    <t>PTM MEDELLIN DROGUERIA FARMALA</t>
  </si>
  <si>
    <t>FO-25-1553663</t>
  </si>
  <si>
    <t>19-09 PROGRAMACIÓN REALIZADA POR LA ALIANZA 22/09/2025 SE REALIZA INSTALACIÓN DE CORRESPONSAL, SE INSTALAN EQUIPOS CON PRUEBAS EXITOSAS, SE CAPACITA Y SE EVALÚA AL CLIENTE, SE INSTALA PUBLICIDAD COMPLETA, CB QUEDA OPERATIVO. USUARIO SOMOS BANCOLOMBIA ACTIVO</t>
  </si>
  <si>
    <t>SPZZZ321</t>
  </si>
  <si>
    <t>TA-25-1125554</t>
  </si>
  <si>
    <t>PTM MEDELLIN DISTRIBUIDORA JAL</t>
  </si>
  <si>
    <t>FO-25-1553676</t>
  </si>
  <si>
    <t>SPZZZ322</t>
  </si>
  <si>
    <t>TA-25-1125567</t>
  </si>
  <si>
    <t>PTM BELLO ANGELA MARIA RESTREP</t>
  </si>
  <si>
    <t>FO-25-1553687</t>
  </si>
  <si>
    <t>19-09 PROGRAMACIÓN REALIZADA POR LA ALIANZA 23/09/2025 SE REALIZA INSTALACIÓN DE CORRESPONSAL, SE INSTALAN EQUIPOS CON PRUEBAS EXITOSAS, SE CAPACITA Y SE EVALÚA AL CLIENTE, SE INSTALA PUBLICIDAD COMPLETA, CB QUEDA OPERATIVO. USUARIO SOMOS BANCOLOMBIA ACTIVO</t>
  </si>
  <si>
    <t>SPZZZ323</t>
  </si>
  <si>
    <t>TA-25-1125576</t>
  </si>
  <si>
    <t>PTM BELLO FARMASOLUCIONES BELL</t>
  </si>
  <si>
    <t>FO-25-1553700</t>
  </si>
  <si>
    <t>SPZZZ324</t>
  </si>
  <si>
    <t>TA-25-1125589</t>
  </si>
  <si>
    <t>PTM CALDAS ABARROTES DON BERRI</t>
  </si>
  <si>
    <t>FO-25-1553712</t>
  </si>
  <si>
    <t>SPZZZ325</t>
  </si>
  <si>
    <t>TA-25-1125599</t>
  </si>
  <si>
    <t>REMEDIOS</t>
  </si>
  <si>
    <t>PTM REMEDIOS Y &amp; M MINI MARKET</t>
  </si>
  <si>
    <t>FO-25-1553723</t>
  </si>
  <si>
    <t>SPZZZ326</t>
  </si>
  <si>
    <t>TA-25-1125610</t>
  </si>
  <si>
    <t>GARZON</t>
  </si>
  <si>
    <t>PTM GARZON SOLUCIONES DE CENTR</t>
  </si>
  <si>
    <t>FO-25-1553735</t>
  </si>
  <si>
    <t>SPZZZ327</t>
  </si>
  <si>
    <t>TA-25-1125620</t>
  </si>
  <si>
    <t>LEBRIJA</t>
  </si>
  <si>
    <t>PTM LEBRIJA TIENDA J.V</t>
  </si>
  <si>
    <t>FO-25-1553745</t>
  </si>
  <si>
    <t>SPZZZ328</t>
  </si>
  <si>
    <t>TA-25-1125631</t>
  </si>
  <si>
    <t>PTM IBAGUE AMIGOS PELUDITO'S P</t>
  </si>
  <si>
    <t>FO-25-1553756</t>
  </si>
  <si>
    <t>SPZZZ329</t>
  </si>
  <si>
    <t>TA-25-1125636</t>
  </si>
  <si>
    <t>PTM ARMENIA DACAFE HOGAR Y FER</t>
  </si>
  <si>
    <t>FO-25-1553767</t>
  </si>
  <si>
    <t>SPZZZ330</t>
  </si>
  <si>
    <t>MARTINEZ TOVAR OSCAR DAVID</t>
  </si>
  <si>
    <t>TA-25-1125647</t>
  </si>
  <si>
    <t>PTM BOGOTA MISCELANIA Y PAPELE</t>
  </si>
  <si>
    <t>FO-25-1553779</t>
  </si>
  <si>
    <t>SPZZZ331</t>
  </si>
  <si>
    <t>TA-25-1125655</t>
  </si>
  <si>
    <t>PTM BOGOTA MI TIENDA 258</t>
  </si>
  <si>
    <t>FO-25-1553790</t>
  </si>
  <si>
    <t>SPZZZ332</t>
  </si>
  <si>
    <t>TA-25-1145358</t>
  </si>
  <si>
    <t>DISTRICOL VARIEDADES ITZAMARA</t>
  </si>
  <si>
    <t>FO-25-1577269</t>
  </si>
  <si>
    <t>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t>
  </si>
  <si>
    <t>FWZZZ430</t>
  </si>
  <si>
    <t>TA-25-1145359</t>
  </si>
  <si>
    <t>PTM MEDELLIN DROGUERIA COMUSAL</t>
  </si>
  <si>
    <t>FO-25-1577275</t>
  </si>
  <si>
    <t>FWZZZ431</t>
  </si>
  <si>
    <t>TA-25-1145361</t>
  </si>
  <si>
    <t>DISTRICOL PAPELERIA Y VAR. S&amp;J</t>
  </si>
  <si>
    <t>FO-25-1577279</t>
  </si>
  <si>
    <t>24-09 PROGRAMACIÓN REALIZADA POR LA ALIANZA 26/09/2025 SE REALIZA INSTALACIÓN DE CORRESPONSAL, SE INSTALAN EQUIPOS CON PRUEBAS EXITOSAS, SE CAPACITA Y SE EVALÚA AL CLIENTE, SE INSTALA PUBLICIDAD COMPLETA, CB QUEDA OPERATIVO. USUARIO SOMOS BANCOLOMBIA ACTIVO</t>
  </si>
  <si>
    <t>FWZZZ432</t>
  </si>
  <si>
    <t>TA-25-1145363</t>
  </si>
  <si>
    <t>PTM BELLO BUEN PRECIO DE LA 61</t>
  </si>
  <si>
    <t>FO-25-1577284</t>
  </si>
  <si>
    <t>FWZZZ433</t>
  </si>
  <si>
    <t>TA-25-1145366</t>
  </si>
  <si>
    <t>CAREPA</t>
  </si>
  <si>
    <t>DISTRICOL TIENDA MAYELE G&amp;C</t>
  </si>
  <si>
    <t>FO-25-1577290</t>
  </si>
  <si>
    <t>FWZZZ434</t>
  </si>
  <si>
    <t>TA-25-1145367</t>
  </si>
  <si>
    <t>LA CEJA</t>
  </si>
  <si>
    <t>PTM LA CEJA PAWS PLANET</t>
  </si>
  <si>
    <t>FO-25-1577294</t>
  </si>
  <si>
    <t>FWZZZ436</t>
  </si>
  <si>
    <t>TA-25-1145368</t>
  </si>
  <si>
    <t>DISTRICOL MUNDO PELUQUERO R</t>
  </si>
  <si>
    <t>FO-25-1585234</t>
  </si>
  <si>
    <t>24-09 PROGRAMACIÓN REALIZADA POR LA ALIANZA 25/09/2025 VISITAMOS PUNTO ENCONTRANDO QUE COMERCIO ESTÁ EN DIRECCIÓN DISTINTA A LA RELACIONADA EN LISTA DE CHEQUEO. LA DIRECCIÓN REAL EN LA QUE ESTÁ EL COMERCIO ES CALLE 11 # 13 – 86. ESCALAMOS POR NOVEDAD DE DIRECCIÓN. 25/09/2025 POR FAVOR PROCEDER CON LA CANCELACIÓN DE LA IMPLEMENTACIÓN, YA QUE EL CB NO SE ENCUENTRA EN LA DIRECCIÓN REGISTRADA EN LA LISTA DE CHEQUEO.</t>
  </si>
  <si>
    <t>FWZZZ437</t>
  </si>
  <si>
    <t>TA-25-1145371</t>
  </si>
  <si>
    <t>RIONEGRO</t>
  </si>
  <si>
    <t>DISTRICOL IXCLOUDS</t>
  </si>
  <si>
    <t>FO-25-1577303</t>
  </si>
  <si>
    <t>24-09 PROGRAMACIÓN REALIZADA POR LA ALIANZA 25/09/2025 SE REALIZA INSTALACIÓN DE CORRESPONSAL, SE INSTALAN EQUIPOS CON PRUEBAS EXITOSAS, SE CAPACITA Y SE EVALÚA AL CLIENTE, SE INSTALA PUBLICIDAD COMPLETA, CB QUEDA OPERATIVO. USUARIO SOMOS BANCOLOMBIA ACTIVO</t>
  </si>
  <si>
    <t>FWZZZ438</t>
  </si>
  <si>
    <t>TA-25-1145374</t>
  </si>
  <si>
    <t>DISTRICOL MEGA MARKET OFERTON</t>
  </si>
  <si>
    <t>FO-25-1577308</t>
  </si>
  <si>
    <t>24-09 PROGRAMACIÓN REALIZADA POR LA ALIANZA 26/09/2025 ESCALAMOS NOVEDAD DE CERCANÍA. VISITAMOS DIRECCIÓN ENCONTRANDO COMERCIO CERCANO CON CODIGO 3007068151LA BANCA SEGOVIA 1 CON DIRECCIÓN CR 53 49 77 COMERCIO EXISTENTE COORDENADAS 7.080806 -74.702343 COMERCIO A INSTALAR COORDENADAS 7.080554 -74.702437 / ENTIDAD APRUEBA INSTALACIÓN 26/09/2025 SE REALIZA INSTALACIÓN DE CORRESPONSAL, SE INSTALAN EQUIPOS CON PRUEBAS EXITOSAS, SE CAPACITA Y SE EVALÚA AL CLIENTE, SE INSTALA PUBLICIDAD COMPLETA, CB QUEDA OPERATIVO. USUARIO SOMOS BANCOLOMBIA ACTIVO</t>
  </si>
  <si>
    <t>FWZZZ439</t>
  </si>
  <si>
    <t>TA-25-1145375</t>
  </si>
  <si>
    <t>DISTRICOL FARMARIVAS</t>
  </si>
  <si>
    <t>FO-25-1577311</t>
  </si>
  <si>
    <t>FWZZZ440</t>
  </si>
  <si>
    <t>TA-25-1145377</t>
  </si>
  <si>
    <t>DISTRICOL EL PRIMO</t>
  </si>
  <si>
    <t>FO-25-1577318</t>
  </si>
  <si>
    <t>FWZZZ441</t>
  </si>
  <si>
    <t>BARRANQUILLA</t>
  </si>
  <si>
    <t>TA-25-1145378</t>
  </si>
  <si>
    <t>ATLANTICO</t>
  </si>
  <si>
    <t>PTM BARRANQUILLA DROGUERÍA LA</t>
  </si>
  <si>
    <t>FO-25-1577323</t>
  </si>
  <si>
    <t>FWZZZ442</t>
  </si>
  <si>
    <t>PORRAS CASTRO DARLON NASCK</t>
  </si>
  <si>
    <t>TA-25-1145379</t>
  </si>
  <si>
    <t>SOLEDAD</t>
  </si>
  <si>
    <t>PTM SOLEDAD TIENDA EL TESORO D</t>
  </si>
  <si>
    <t>FO-25-1577328</t>
  </si>
  <si>
    <t>FWZZZ443</t>
  </si>
  <si>
    <t>TA-25-1145382</t>
  </si>
  <si>
    <t>DISTRICOL SERVIPARK &amp; WASH</t>
  </si>
  <si>
    <t>FO-25-1577333</t>
  </si>
  <si>
    <t>24-09 PROGRAMACIÓN REALIZADA POR LA ALIANZA 30/09/2025 SE REALIZA INSTALACIÓN DE CORRESPONSAL, SE INSTALAN EQUIPOS CON PRUEBAS EXITOSAS, SE CAPACITA Y SE EVALÚA AL CLIENTE, SE INSTALA PUBLICIDAD COMPLETA, CB QUEDA OPERATIVO. USUARIO SOMOS BANCOLOMBIA ACTIVO</t>
  </si>
  <si>
    <t>FWZZZ444</t>
  </si>
  <si>
    <t>TA-25-1145386</t>
  </si>
  <si>
    <t>PTM CHIQUINQUIRA VARIEDADES LA</t>
  </si>
  <si>
    <t>FO-25-1577338</t>
  </si>
  <si>
    <t>FWZZZ445</t>
  </si>
  <si>
    <t>TA-25-1145387</t>
  </si>
  <si>
    <t>SOGAMOSO</t>
  </si>
  <si>
    <t>DISTRICOL LIZZMORE BABYS</t>
  </si>
  <si>
    <t>FO-25-1577341</t>
  </si>
  <si>
    <t>FWZZZ446</t>
  </si>
  <si>
    <t>TA-25-1145396</t>
  </si>
  <si>
    <t>DISTRICOL TIEND MELISA Y CESAR</t>
  </si>
  <si>
    <t>FO-25-1577353</t>
  </si>
  <si>
    <t>FWZZZ447</t>
  </si>
  <si>
    <t>TA-25-1145401</t>
  </si>
  <si>
    <t>AGUACHICA</t>
  </si>
  <si>
    <t>DISTRICOL DROGUERIA REB FARMA</t>
  </si>
  <si>
    <t>FO-25-1577360</t>
  </si>
  <si>
    <t>FWZZZ448</t>
  </si>
  <si>
    <t>MONTES DIAZ JOHN FRED</t>
  </si>
  <si>
    <t>TA-25-1145403</t>
  </si>
  <si>
    <t>PTM MONTERIA MISCELANEA Y PAPE</t>
  </si>
  <si>
    <t>FO-25-1586004</t>
  </si>
  <si>
    <t>24-09 PROGRAMACIÓN REALIZADA POR LA ALIANZA 25/09/2025 NO ES POSIBLE INSTALAR EL CB POR MOTIVOS DE LA TERMINAL YA QUE NO ESTÁ ACTIVA PARA EL CORRESPONSAL Y REDEBAN NOS INDICO QUE TENÍAN FALLAS CON LA WEB Y NO PUDO SER ASOCIADA LA TERMINAL EL DÍA DE HOY, POR ESE MOTIVO SE REPROGRAMA LA VISITA PARA EL DÍA DE MAÑANA FECHA 26/09/2025 26-09 REDEBAN INFORMA QUE LA VISITA PARA LA APERTURA, SE REALICE EL DÍA LUNES EN HORAS DE LA TARDE FECHA 29/09/2025 YA QUE NO HAN PODIDO SOLUCIONAR LA FALLA CON LA TERMINAL 29-09 EN COMUNICACIÓN CON ALEJANDRA SILVA DE REDEBAN INDICAN QUE NO SE A PODIDO SOLUCIONAR EL TEMA DE ASOCIACIÓN DE TERMINALES, EL DÍA DE HOY NO SE PODRÁ REALIZAR LA INSTALACIÓN YA QUE NO SE HAN ASOCIADO LAS TERMINALES, SIGUEN EN PROCESO DE SOLUCION 30/09/2025 SE REALIZA INSTALACIÓN DE CORRESPONSAL, SE INSTALAN EQUIPOS CON PRUEBAS EXITOSAS, SE CAPACITA Y SE EVALÚA AL CLIENTE, SE INSTALA PUBLICIDAD COMPLETA, CB QUEDA OPERATIVO. USUARIO SOMOS BANCOLOMBIA ACTIVO</t>
  </si>
  <si>
    <t>FWZZZ449</t>
  </si>
  <si>
    <t>GONZALEZ FERRER JESUS ALEXANDER</t>
  </si>
  <si>
    <t>TA-25-1145405</t>
  </si>
  <si>
    <t>LA APARTADA</t>
  </si>
  <si>
    <t>DISTRICOL MUNDO REPUESTOS</t>
  </si>
  <si>
    <t>FO-25-1577370</t>
  </si>
  <si>
    <t>FWZZZ450</t>
  </si>
  <si>
    <t>TA-25-1145407</t>
  </si>
  <si>
    <t>SAHAGUN</t>
  </si>
  <si>
    <t>DISTRICOL EL ROSARIO</t>
  </si>
  <si>
    <t>FO-25-1577374</t>
  </si>
  <si>
    <t>FWZZZ451</t>
  </si>
  <si>
    <t>TA-25-1145408</t>
  </si>
  <si>
    <t>SAN PELAYO</t>
  </si>
  <si>
    <t>DISTRICOL ZONA SMART SP</t>
  </si>
  <si>
    <t>FO-25-1577378</t>
  </si>
  <si>
    <t>FWZZZ453</t>
  </si>
  <si>
    <t>TA-25-1145433</t>
  </si>
  <si>
    <t>DISTRICOL AGROINSUMOS LA FINCA</t>
  </si>
  <si>
    <t>FO-25-1577388</t>
  </si>
  <si>
    <t>FWZZZ455</t>
  </si>
  <si>
    <t>TA-25-1145459</t>
  </si>
  <si>
    <t>PTM VILLAVICENCIO  DROGAS VILL</t>
  </si>
  <si>
    <t>FO-25-1577404</t>
  </si>
  <si>
    <t>24-09 PROGRAMACIÓN REALIZADA POR LA ALIANZA 26/09/2025 SE ESCALA CASO DE APERTURA CB 3007081695 - PTM VILLAVICENCIO DROGAS VILLAVICENCIO CB A INSTALAR PTM 81695 - CALLE 10 NO 12 C - 111 ESTERO CB INSTALADO WOMPI 77610 - CALLE 10 NO 12 C – 112 BARRIO ESTERO / ENTIDAD SOLICITA CANCELAR INSTALACIÓN</t>
  </si>
  <si>
    <t>FWZZZ460</t>
  </si>
  <si>
    <t>CASTRILLON URREA LONDIER LEANDRO</t>
  </si>
  <si>
    <t>TA-25-1145487</t>
  </si>
  <si>
    <t>DISTRICOL DROGUERIA SAMU</t>
  </si>
  <si>
    <t>FO-25-1577426</t>
  </si>
  <si>
    <t>FWZZZ463</t>
  </si>
  <si>
    <t>TA-25-1145512</t>
  </si>
  <si>
    <t>BUESACO</t>
  </si>
  <si>
    <t>DISTRICOL DROG LA PRESENTACION</t>
  </si>
  <si>
    <t>FO-25-1577439</t>
  </si>
  <si>
    <t>FWZZZ465</t>
  </si>
  <si>
    <t>TA-25-1145545</t>
  </si>
  <si>
    <t>DISTRICOL MARCELAS CHIP STORE</t>
  </si>
  <si>
    <t>FO-25-1577462</t>
  </si>
  <si>
    <t>FWZZZ468</t>
  </si>
  <si>
    <t>TA-25-1145582</t>
  </si>
  <si>
    <t>DISTRICOL COMIDA RAPIDA NICHE2</t>
  </si>
  <si>
    <t>FO-25-1577485</t>
  </si>
  <si>
    <t>FWZZZ469</t>
  </si>
  <si>
    <t>TA-25-1145621</t>
  </si>
  <si>
    <t>DISTRICOL CAFETERIA ASHLEY</t>
  </si>
  <si>
    <t>FO-25-1577509</t>
  </si>
  <si>
    <t>FWZZZ470</t>
  </si>
  <si>
    <t>TA-25-1145654</t>
  </si>
  <si>
    <t>LOS PATIOS</t>
  </si>
  <si>
    <t>DISTRICOL TU ENSUEÑO</t>
  </si>
  <si>
    <t>FO-25-1577531</t>
  </si>
  <si>
    <t>FWZZZ471</t>
  </si>
  <si>
    <t>TA-25-1145684</t>
  </si>
  <si>
    <t>OCAÑA</t>
  </si>
  <si>
    <t>DISTRICOL QUALITY SHOP COL</t>
  </si>
  <si>
    <t>FO-25-1577553</t>
  </si>
  <si>
    <t>FWZZZ472</t>
  </si>
  <si>
    <t>MARTINEZ FLOREZ DONIS ALBERTO</t>
  </si>
  <si>
    <t>TA-25-1145712</t>
  </si>
  <si>
    <t>LA VIRGINIA</t>
  </si>
  <si>
    <t>DISTRICOL NAUTIMOTOS TITO</t>
  </si>
  <si>
    <t>FO-25-1577574</t>
  </si>
  <si>
    <t>FWZZZ473</t>
  </si>
  <si>
    <t>TA-25-1145744</t>
  </si>
  <si>
    <t>DISTRICOL MICROMERCADO GAMBOA</t>
  </si>
  <si>
    <t>FO-25-1577595</t>
  </si>
  <si>
    <t>FWZZZ474</t>
  </si>
  <si>
    <t>TA-25-1145774</t>
  </si>
  <si>
    <t>DISTRICOL INVERSIONES EMG</t>
  </si>
  <si>
    <t>FO-25-1577616</t>
  </si>
  <si>
    <t>FWZZZ475</t>
  </si>
  <si>
    <t>TA-25-1145805</t>
  </si>
  <si>
    <t>PTM LEBRIJA BODEGA EMY AUTOSER</t>
  </si>
  <si>
    <t>FO-25-1577634</t>
  </si>
  <si>
    <t>FWZZZ476</t>
  </si>
  <si>
    <t>TA-25-1145806</t>
  </si>
  <si>
    <t>DISTRICOL LA GRANJA VILLANUEVA</t>
  </si>
  <si>
    <t>FO-25-1577644</t>
  </si>
  <si>
    <t>FWZZZ477</t>
  </si>
  <si>
    <t>TA-25-1145807</t>
  </si>
  <si>
    <t>DISTRICOL D&amp;V MED FARMA</t>
  </si>
  <si>
    <t>FO-25-1577648</t>
  </si>
  <si>
    <t>FWZZZ478</t>
  </si>
  <si>
    <t>SANTOS GUZMAN CHRISTIAN FELIPE</t>
  </si>
  <si>
    <t>TA-25-1145914</t>
  </si>
  <si>
    <t>DISTRICOL FARMAVID</t>
  </si>
  <si>
    <t>FO-25-1577768</t>
  </si>
  <si>
    <t>FWZZZ479</t>
  </si>
  <si>
    <t>TA-25-1145809</t>
  </si>
  <si>
    <t>DISTRICOL MINIMARKET 1</t>
  </si>
  <si>
    <t>FO-25-1577656</t>
  </si>
  <si>
    <t>FWZZZ480</t>
  </si>
  <si>
    <t>TA-25-1145810</t>
  </si>
  <si>
    <t>DISTRICOL KARENA VARIEDADES</t>
  </si>
  <si>
    <t>FO-25-1577659</t>
  </si>
  <si>
    <t>FWZZZ481</t>
  </si>
  <si>
    <t>TA-25-1145814</t>
  </si>
  <si>
    <t>DISTRICOL BRYART ARTE DIGITAL</t>
  </si>
  <si>
    <t>FO-25-1577663</t>
  </si>
  <si>
    <t>FWZZZ482</t>
  </si>
  <si>
    <t>TA-25-1145817</t>
  </si>
  <si>
    <t>DISTRICOL DYSAR</t>
  </si>
  <si>
    <t>FO-25-1577667</t>
  </si>
  <si>
    <t>24-09 PROGRAMACIÓN REALIZADA POR LA ALIANZA  25/09/2025 SE REALIZA INSTALACIÓN DE CORRESPONSAL, SE INSTALAN EQUIPOS CON PRUEBAS EXITOSAS, SE CAPACITA Y SE EVALÚA AL CLIENTE, SE INSTALA PUBLICIDAD COMPLETA, CB QUEDA OPERATIVO. USUARIO SOMOS BANCOLOMBIA ACTIVO</t>
  </si>
  <si>
    <t>FWZZZ483</t>
  </si>
  <si>
    <t>TA-25-1145818</t>
  </si>
  <si>
    <t>PTM CALI PASAJE EXPRESS</t>
  </si>
  <si>
    <t>FO-25-1577670</t>
  </si>
  <si>
    <t>FWZZZ484</t>
  </si>
  <si>
    <t>TA-25-1145821</t>
  </si>
  <si>
    <t>PTM CALI MAXITECNO</t>
  </si>
  <si>
    <t>FO-25-1577673</t>
  </si>
  <si>
    <t>FWZZZ485</t>
  </si>
  <si>
    <t>TA-25-1145822</t>
  </si>
  <si>
    <t>PTM CALI MULTI TIENDA EL BILLE</t>
  </si>
  <si>
    <t>FO-25-1577676</t>
  </si>
  <si>
    <t>FWZZZ486</t>
  </si>
  <si>
    <t>TA-25-1145823</t>
  </si>
  <si>
    <t>PTM CALI CIBERNET PAPELERIA Y</t>
  </si>
  <si>
    <t>FO-25-1577679</t>
  </si>
  <si>
    <t>FWZZZ487</t>
  </si>
  <si>
    <t>MONTERO MUESES GIAN CARLO</t>
  </si>
  <si>
    <t>TA-25-1145827</t>
  </si>
  <si>
    <t>CARTAGO</t>
  </si>
  <si>
    <t>DISTRICOL DROG MEDICAR CARTAGO</t>
  </si>
  <si>
    <t>FO-25-1577688</t>
  </si>
  <si>
    <t>FWZZZ488</t>
  </si>
  <si>
    <t>TA-25-1145828</t>
  </si>
  <si>
    <t>PALMIRA</t>
  </si>
  <si>
    <t>DISTRICOL VARIEDADES JOSUE</t>
  </si>
  <si>
    <t>FO-25-1577691</t>
  </si>
  <si>
    <t>FWZZZ489</t>
  </si>
  <si>
    <t>TA-25-1145829</t>
  </si>
  <si>
    <t>PTM TULUA ALMACEN Y VARIEDADES</t>
  </si>
  <si>
    <t>FO-25-1577694</t>
  </si>
  <si>
    <t>FWZZZ490</t>
  </si>
  <si>
    <t>TA-25-1145833</t>
  </si>
  <si>
    <t>DISTRICOL VICTORIOSA SHOP</t>
  </si>
  <si>
    <t>FO-25-1577704</t>
  </si>
  <si>
    <t>FWZZZ491</t>
  </si>
  <si>
    <t>TA-25-1145837</t>
  </si>
  <si>
    <t>DISTRICOL MINI MARK SOFIA</t>
  </si>
  <si>
    <t>FO-25-1577725</t>
  </si>
  <si>
    <t>FWZZZ492</t>
  </si>
  <si>
    <t>TA-25-1145838</t>
  </si>
  <si>
    <t>PTM VILLANUEVA DROGUERIA J&amp;C F</t>
  </si>
  <si>
    <t>FO-25-1577736</t>
  </si>
  <si>
    <t>FWZZZ493</t>
  </si>
  <si>
    <t>MOLINA CASTRO JAVIER ALBERTO</t>
  </si>
  <si>
    <t>TA-25-1145844</t>
  </si>
  <si>
    <t>MOCOA</t>
  </si>
  <si>
    <t>DISTRICOL  COPYMAX CM</t>
  </si>
  <si>
    <t>FO-25-1577739</t>
  </si>
  <si>
    <t>FWZZZ494</t>
  </si>
  <si>
    <t>TA-25-1145940</t>
  </si>
  <si>
    <t>DISTRICOL MILAN LA MARCA ERES</t>
  </si>
  <si>
    <t>FO-25-1577863</t>
  </si>
  <si>
    <t>24-09 PROGRAMACIÓN REALIZADA POR LA ALIANZA 29-09 POR FUERTES LLUVIAS EN LA VÍA SE RETRASA EL TRANSPORTE. SE ATENDERÁ MAÑANA EN HORAS DE LA TARDE 30/09/2025 SE REALIZA INSTALACIÓN DE CORRESPONSAL, SE INSTALAN EQUIPOS CON PRUEBAS EXITOSAS, SE CAPACITA Y SE EVALÚA AL CLIENTE, SE INSTALA PUBLICIDAD COMPLETA, CB QUEDA OPERATIVO. USUARIO SOMOS BANCOLOMBIA ACTIVO</t>
  </si>
  <si>
    <t>FWZZZ501</t>
  </si>
  <si>
    <t>TA-25-1145941</t>
  </si>
  <si>
    <t>DISTRICOL DROGUERÍA COMERCIAL</t>
  </si>
  <si>
    <t>FO-25-1577885</t>
  </si>
  <si>
    <t>FWZZZ502</t>
  </si>
  <si>
    <t>TA-25-1145944</t>
  </si>
  <si>
    <t>DISTRICOL FERROMATERIALES AGUD</t>
  </si>
  <si>
    <t>FO-25-1577897</t>
  </si>
  <si>
    <t>FWZZZ503</t>
  </si>
  <si>
    <t>TA-25-1145946</t>
  </si>
  <si>
    <t>PTM BOGOTA PAPELERIA GAMER CEN</t>
  </si>
  <si>
    <t>FO-25-1577903</t>
  </si>
  <si>
    <t>FWZZZ504</t>
  </si>
  <si>
    <t>TA-25-1145950</t>
  </si>
  <si>
    <t>PTM BOGOTA MI PAPELERIA Y MAS</t>
  </si>
  <si>
    <t>FO-25-1577909</t>
  </si>
  <si>
    <t>FWZZZ505</t>
  </si>
  <si>
    <t>TA-25-1145952</t>
  </si>
  <si>
    <t>PTM BOGOTA TIENDA SANTI LA SEP</t>
  </si>
  <si>
    <t>FO-25-1589721</t>
  </si>
  <si>
    <t>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t>
  </si>
  <si>
    <t>FWZZZ506</t>
  </si>
  <si>
    <t>TA-25-1145953</t>
  </si>
  <si>
    <t>PTM BOGOTA PAGANINI 1A</t>
  </si>
  <si>
    <t>FO-25-1577918</t>
  </si>
  <si>
    <t>FWZZZ507</t>
  </si>
  <si>
    <t>TA-25-1146548</t>
  </si>
  <si>
    <t>MULTIPAGAS  CARRERA OCTAVA</t>
  </si>
  <si>
    <t>FO-25-1578552</t>
  </si>
  <si>
    <t>MULTIPAGAS</t>
  </si>
  <si>
    <t>24-09 SE REALIZA LLAMADA AL CLIENTE, SE HABLA CON LA SRA NIDIA ESTUPIÑAN SE VALIDA DIRECCIÓN OK, CANAL OK, DISPONIBILIDAD TOTAL.COMUNICACIÓ POR WPP 26/09/2025 SE REALIZA INSTALACIÓN DE DAT ADICIONAL, PRUEBAS EXITOSAS, CB QUEDA OPERATIVO</t>
  </si>
  <si>
    <t>FWZZZ508</t>
  </si>
  <si>
    <t>GARCIA PASTRANA KEVIN FERNANDO</t>
  </si>
  <si>
    <t>TA-25-1152931</t>
  </si>
  <si>
    <t>PTM ARJHOCRIS CIBER VARIEDADES</t>
  </si>
  <si>
    <t>FO-25-1587317</t>
  </si>
  <si>
    <t>26-09 PROGRAMACIÓN REALIZADA POR LA ALIANZA 29-09 SE REALIZA INSTALACIÓN DE DATAFONO ADICIONAL, PRUEBAS EXITOSAS, CB QUEDA OPERATIVO</t>
  </si>
  <si>
    <t>FXZZZ509</t>
  </si>
  <si>
    <t>MARTINEZ SALGUEDO ANDRES AUGUSTO</t>
  </si>
  <si>
    <t>TA-25-1152932</t>
  </si>
  <si>
    <t>PTM CALI  RIZOS Y LISOS PERFEC</t>
  </si>
  <si>
    <t>FO-25-1587322</t>
  </si>
  <si>
    <t>26-09 PROGRAMACIÓN REALIZADA POR LA ALIANZA 30/09/2025 SE REALIZA INSTALACIÓN DE DAT ADICIONAL, PRUEBAS EXITOSAS, CB QUEDA OPERATIVO</t>
  </si>
  <si>
    <t>FXZZZ510</t>
  </si>
  <si>
    <t>TA-25-1157216</t>
  </si>
  <si>
    <t>DISTRICOL LA ESPERANZA</t>
  </si>
  <si>
    <t>FO-25-1598618</t>
  </si>
  <si>
    <t>29-09 PROGRAMACIÓN REALIZADA POR LA ALIANZA 30/09/2025 SE REALIZA INSTALACIÓN DE CORRESPONSAL, SE INSTALAN EQUIPOS CON PRUEBAS EXITOSAS, SE CAPACITA Y SE EVALÚA AL CLIENTE, SE INSTALA PUBLICIDAD COMPLETA, CB QUEDA OPERATIVO. USUARIO SOMOS BANCOLOMBIA ACTIVO</t>
  </si>
  <si>
    <t>FYZZZ185</t>
  </si>
  <si>
    <t>TA-25-1157217</t>
  </si>
  <si>
    <t>DISTRICOL TIENDA EL NIDO</t>
  </si>
  <si>
    <t>FO-25-1598624</t>
  </si>
  <si>
    <t>FYZZZ186</t>
  </si>
  <si>
    <t>TA-25-1157224</t>
  </si>
  <si>
    <t>DISTRICOL TIENDA EL MONO</t>
  </si>
  <si>
    <t>FO-25-1598639</t>
  </si>
  <si>
    <t>FYZZZ189</t>
  </si>
  <si>
    <t>TA-25-1157226</t>
  </si>
  <si>
    <t>DISTRICOL PAP ANGEL AGUALONGO</t>
  </si>
  <si>
    <t>FO-25-1598646</t>
  </si>
  <si>
    <t>FYZZZ190</t>
  </si>
  <si>
    <t>TA-25-1157228</t>
  </si>
  <si>
    <t>DISTRICOL BONGA BG</t>
  </si>
  <si>
    <t>FO-25-1598659</t>
  </si>
  <si>
    <t>FYZZZ192</t>
  </si>
  <si>
    <t>TA-25-1157233</t>
  </si>
  <si>
    <t>DISTRICOL MUEBLERIA CALIFORNIA</t>
  </si>
  <si>
    <t>FO-25-1598673</t>
  </si>
  <si>
    <t>FYZZZ195</t>
  </si>
  <si>
    <t>TA-25-1157235</t>
  </si>
  <si>
    <t>DISTRICOL OPULENCE SHOES</t>
  </si>
  <si>
    <t>FO-25-1598678</t>
  </si>
  <si>
    <t>FYZZZ196</t>
  </si>
  <si>
    <t>FECHA ASIGNACION A LINEA COMUNICACIONES</t>
  </si>
  <si>
    <t>FECHA DEL CIERRE DEL TICKET (DD/MM/AAAA)</t>
  </si>
  <si>
    <t>ACOMETIDA</t>
  </si>
  <si>
    <t>SOLICITUD</t>
  </si>
  <si>
    <t>DESCRIPCIÓN</t>
  </si>
  <si>
    <t>CAUSAL ESTADO</t>
  </si>
  <si>
    <t>OBSERVACION</t>
  </si>
  <si>
    <t xml:space="preserve">TERMINAL </t>
  </si>
  <si>
    <t>DIAS DE VISITA</t>
  </si>
  <si>
    <t>TRANSPORTE AVISO EXTERIOR</t>
  </si>
  <si>
    <t>VALOR ACTIVIDAD</t>
  </si>
  <si>
    <t>VALOR TRANSPORTE AVISO</t>
  </si>
  <si>
    <t>ORDEN DE CAMBIO</t>
  </si>
  <si>
    <t>BARRIO EL PRADO BUCARAMANGA 3</t>
  </si>
  <si>
    <t>FO-25-1602638</t>
  </si>
  <si>
    <t>PUBLICIDAD</t>
  </si>
  <si>
    <t>AVISO EXTERIOR</t>
  </si>
  <si>
    <t>CB UNO A UNO</t>
  </si>
  <si>
    <t>EJECUTADO_EXITOSO</t>
  </si>
  <si>
    <t>EJECUTADO EXITOSO</t>
  </si>
  <si>
    <t>30/09/2025 POR FAVOR, COMUNICARSE CON USUARIO PARA CONFIRMAR UBICACION, SOLICITUD Y PROGRAMAR VISITA TECNICA | 30/09/2025 SE REALIZA INSTALACIÓN DE AVISO EXTERIOR 1.50 NO SE MANIPULA TERMINAL</t>
  </si>
  <si>
    <t>BARRIO BOSA BETANIA BOGOTA 1</t>
  </si>
  <si>
    <t>FO-25-1597058</t>
  </si>
  <si>
    <t>29/09/2025 POR FAVOR, COMUNICARSE CON USUARIO PARA CONFIRMAR UBICACION, SOLICITUD Y PROGRAMAR VISITA TECNICA | 30/09/2025 SE REALIZA VISITA SE REALIZA INSTALACIÓN DE AVISO PUBLICIDAD EXITOSA</t>
  </si>
  <si>
    <t>JAIMES VALERO NELSON RICARDO</t>
  </si>
  <si>
    <t>DISTRICOL DIGINET</t>
  </si>
  <si>
    <t>FO-25-1594810</t>
  </si>
  <si>
    <t>28/09/2025 POR FAVOR, COMUNICARSE CON USUARIO PARA CONFIRMAR UBICACION, SOLICITUD Y PROGRAMAR VISITA TECNICA | 29/09/2025 SE REALIZA DESMONTE DE AVISO EN MAL ESTADO Y SE INSTALA AVISO NUEVO</t>
  </si>
  <si>
    <t>BARRIO VILLAVICENCIO PAREIRA</t>
  </si>
  <si>
    <t>FO-25-1592982</t>
  </si>
  <si>
    <t>29/09/2025 SE VISITA COMERCIO SE REALIZA INSTALACIÓN DE PUBLICIDAD SE INSTALA AL INTERIOR DE REJA POR MOTIVO DE ROBO DE ALUMINIO DEL MARCO</t>
  </si>
  <si>
    <t>LOAIZA LOPEZ JHON FREDDY</t>
  </si>
  <si>
    <t>FUSAGASUGA</t>
  </si>
  <si>
    <t>BARRIO SECTOR CARIBE FUSAGASUGA</t>
  </si>
  <si>
    <t>FO-25-1592155</t>
  </si>
  <si>
    <t>28/09/2025 POR FAVOR, COMUNICARSE CON USUARIO PARA CONFIRMAR UBICACION, SOLICITUD Y PROGRAMAR VISITA TECNICA | 29/09/2025 SE REALIZA INSTALACIÓN DE AVISO EXTERIOR EN LUGAR INDICADO POR COMERCIO NO SE MANIPULA EQUIPOS  SIN NOVEDAD EN INSTALACIÓN</t>
  </si>
  <si>
    <t>BARRIO CALARCA IV IBAGUE</t>
  </si>
  <si>
    <t>FO-25-1590659</t>
  </si>
  <si>
    <t>26/09/2025 POR FAVOR, COMUNICARSE CON USUARIO PARA CONFIRMAR UBICACION, SOLICITUD Y PROGRAMAR VISITA TECNICA | 27/09/2025 SE INSTALA AVISO EXTERIOR SIN NOVEDAD, PORQUE EL ANTERIOR SE PARTIÓ.</t>
  </si>
  <si>
    <t>GRANADA</t>
  </si>
  <si>
    <t>BARRIO CENTRO GRANADA 17</t>
  </si>
  <si>
    <t>FO-25-1593758 | FO-25-1589329</t>
  </si>
  <si>
    <t>26/09/2025 POR FAVOR, COMUNICARSE CON USUARIO PARA CONFIRMAR UBICACION, SOLICITUD Y PROGRAMAR VISITA TECNICA | 27/09/2025 SE REALIZA VISITA A CB COMERCIO CERRADO SE REALIZA CONTACTO TELEFÓNICO CON LA SEÑORA VALENTINA MANIFIESTA NOS PUEDE ATENDER EL DÍA LUNES
29/09/2025 SE INSTALA AVISO EXTERIOR OK SIN NOVEDAD</t>
  </si>
  <si>
    <t>BARRIO SERREZUELA MOSQUERA</t>
  </si>
  <si>
    <t>FO-25-1589314</t>
  </si>
  <si>
    <t>26/09/2025 POR FAVOR, COMUNICARSE CON USUARIO PARA CONFIRMAR UBICACION, SOLICITUD Y PROGRAMAR VISITA TECNICA | 29/09/2025 INSTALACIÓN DE AVISO EXTERIOR OK NO SE MANIPULAN EQUIPOS</t>
  </si>
  <si>
    <t>PEÑOL</t>
  </si>
  <si>
    <t>BARRIO PENOL PENOL 1</t>
  </si>
  <si>
    <t>FO-25-1588775</t>
  </si>
  <si>
    <t>26/09/2025 POR FAVOR, COMUNICARSE CON USUARIO PARA CONFIRMAR UBICACION, SOLICITUD Y PROGRAMAR VISITA TECNICA | 30/09/2025 SE INSTALA AVISO EXTERIOR</t>
  </si>
  <si>
    <t>DISTRICOL RAPITIENDA LOS PAISA</t>
  </si>
  <si>
    <t>FO-25-1588006</t>
  </si>
  <si>
    <t>26/09/2025 POR FAVOR, COMUNICARSE CON USUARIO PARA CONFIRMAR UBICACION, SOLICITUD Y PROGRAMAR VISITA TECNICA | 27/09/2025 EN LA VISITA TÉCNICA SE REALIZÓ LA INSTALACIÓN DE LA PUBLICIDAD EXTERIOR YA QUE LA ANTERIOR SE CAYÓ Y SE PARTIÓ.</t>
  </si>
  <si>
    <t>BARRIO CENTRO PALMIRA 3</t>
  </si>
  <si>
    <t>FO-25-1587223</t>
  </si>
  <si>
    <t>30/09/2025 EN LA VISITA TÉCNICA SE REALIZÓ LA INSTALACIÓN DE LA PUBLICIDAD EXTERIOR YA QUE LA ANTERIOR SE LA HABÍAN ROBADO.</t>
  </si>
  <si>
    <t>BARRIO I TRISTE MEDELLIN ANTIO</t>
  </si>
  <si>
    <t>FO-25-1583870</t>
  </si>
  <si>
    <t>25/09/2025 POR FAVOR, COMUNICARSE CON USUARIO PARA CONFIRMAR UBICACION, SOLICITUD Y PROGRAMAR VISITA TECNICA | 26/09/2025 INSTALACIÓN DE AVISO EXTERIOR OK</t>
  </si>
  <si>
    <t>ZIPAQUIRA</t>
  </si>
  <si>
    <t>BARRIO CENTRO ZIPAQUIRA 10</t>
  </si>
  <si>
    <t>FO-25-1579427</t>
  </si>
  <si>
    <t>24/09/2025 POR FAVOR, COMUNICARSE CON USUARIO PARA CONFIRMAR UBICACION, SOLICITUD Y PROGRAMAR VISITA TECNICA | 26/09/2025 SE REALIZA INSTALACIÓN DE AVISO EXTERIOR EN LUGAR INDICADO POR COMERCIO NO SE MANIPULA EQUIPOS  SIN NOVEDAD EN INSTALACIÓN</t>
  </si>
  <si>
    <t>MOSQUERA VILLA MARCELA</t>
  </si>
  <si>
    <t>FO-25-1576959</t>
  </si>
  <si>
    <t>24/09/2025 POR FAVOR, COMUNICARSE CON USUARIO PARA CONFIRMAR UBICACION, SOLICITUD Y PROGRAMAR VISITA TECNICA | 25/09/2025 INSTALACIÓN DE AVISO YA QUE SE LES CAYÓ Y SE ROMPIÓ</t>
  </si>
  <si>
    <t>GOMEZ VEGA DAVID SNEYDER</t>
  </si>
  <si>
    <t>LA PAZ ZIPAQUIRA 4</t>
  </si>
  <si>
    <t>FO-25-1576547</t>
  </si>
  <si>
    <t>POLICARPA</t>
  </si>
  <si>
    <t>BARRIO VEREDA SANTA ROSA POLIC</t>
  </si>
  <si>
    <t>FO-25-1574691</t>
  </si>
  <si>
    <t>EJECUTADO_CANCELADO</t>
  </si>
  <si>
    <t>PETICIÓN USUARIO</t>
  </si>
  <si>
    <t>04/09/2025 POR FAVOR, COMUNICARSE CON USUARIO PARA CONFIRMAR UBICACION, SOLICITUD Y PROGRAMAR VISITA TECNICA | 27/09/2025 SE REALIZA VALIDACIÓN CON EL CLIENTE PERO INDICA QUE NO REQUIERE EL AVISO EXTERIOR PUES INDICA QUE EL AVISO SE HABÍA ZAFADO Y DAÑADO ESTABA BIEN POR QUE LO QUE LO FIJARON DE NUEVO , INDICA QUE NO HAY NECESIDAD DE  IR CON UN NUEVO AVISO ADICIONAL POR QUE ESTA ZONA ES GUERRILLERA Y POR AHORA EL INGRESO ES MUY COMPLICADO ENTONCES NO VE LA NECESIDAD</t>
  </si>
  <si>
    <t>SOPORTE_TELEFÓNICO</t>
  </si>
  <si>
    <t>HENAO CARDONA DIEGO FERNANDO</t>
  </si>
  <si>
    <t>BARRIO SANTA RITA TUNJA 4</t>
  </si>
  <si>
    <t>FO-25-1574692</t>
  </si>
  <si>
    <t>04/09/2025 POR FAVOR, COMUNICARSE CON USUARIO PARA CONFIRMAR UBICACION, SOLICITUD Y PROGRAMAR VISITA TECNICA | 24/09/2025 INSTALACIÓN DE AVISO EXTERIOR EXITOSO. TIRILLA SUMINISTRADA POR EL CLIENTE</t>
  </si>
  <si>
    <t>BUENAVISTA</t>
  </si>
  <si>
    <t>BUENAVISTA II - SUCRE</t>
  </si>
  <si>
    <t>FO-25-1574092</t>
  </si>
  <si>
    <t>23/09/2025 POR FAVOR, COMUNICARSE CON USUARIO PARA CONFIRMAR UBICACION, SOLICITUD Y PROGRAMAR VISITA TECNICA | 29/09/2025 SE VISITA COMERCIO Y SE HACE INSTALACIÓN DE AVISÓ EXTERIOR YA QUE UNA TORMENTA SE LO PARTIÓ.</t>
  </si>
  <si>
    <t>BARRIO OLIMPICO VILLACENCIO</t>
  </si>
  <si>
    <t>FO-25-1573899</t>
  </si>
  <si>
    <t>23/09/2025 POR FAVOR, COMUNICARSE CON USUARIO PARA CONFIRMAR UBICACION, SOLICITUD Y PROGRAMAR VISITA TECNICA | 26/09/2025 SE INSTALA AVISO EXTERIOR OK SIN NOVEDADES</t>
  </si>
  <si>
    <t>NECHI</t>
  </si>
  <si>
    <t>DISTRICOL ALMACEN Y TALLER KFC</t>
  </si>
  <si>
    <t>FO-25-1566282</t>
  </si>
  <si>
    <t>22/09/2025 POR FAVOR, COMUNICARSE CON USUARIO PARA CONFIRMAR UBICACION, SOLICITUD Y PROGRAMAR VISITA TECNICA | 24/09/2025 SE REALIZA INSTALACIÓN DE AVISO EXTERIOR, NO SE ENCONTRÓ AVISO EXTERIOR EN EL PUNTO, NUEVO AVISO INSTALADO VISIBLE AL PÚBLICO OK</t>
  </si>
  <si>
    <t>PTM BUCARAMANGA PAPELERIA ART</t>
  </si>
  <si>
    <t>FO-25-1561075</t>
  </si>
  <si>
    <t>21/09/2025 POR FAVOR, COMUNICARSE CON USUARIO PARA CONFIRMAR UBICACION, SOLICITUD Y PROGRAMAR VISITA TECNICA | 22/09/2025 SE REALIZA VISITA AL COMERCIO SE INSTALA AVISO EXTERIOR</t>
  </si>
  <si>
    <t>GUAMAL</t>
  </si>
  <si>
    <t>BARRIO CENTRO GUAMAL 1</t>
  </si>
  <si>
    <t>FO-25-1558491</t>
  </si>
  <si>
    <t>20/09/2025 POR FAVOR, COMUNICARSE CON USUARIO PARA CONFIRMAR UBICACION, SOLICITUD Y PROGRAMAR VISITA TECNICA | 23/09/2025 SE INSTALA AVISO EXTERIOR SIN NOVEDADES</t>
  </si>
  <si>
    <t>PUERTO GAITAN</t>
  </si>
  <si>
    <t>BARRIO CORPOMECAVI PUERTO GAIT</t>
  </si>
  <si>
    <t>FO-25-1558495</t>
  </si>
  <si>
    <t>20/09/2025 SE INTENTA COMUNICACION AL NUMERO 3137535747 NO ES POSIBLE VALIDAR SOLICITUD POR FAVOR VALIDAR ANTES DE VISITAR | 25/09/2025 SE REALIZA INSTALACIÓN DE AVISO EXTERIOR OK SIN NOVEDADES</t>
  </si>
  <si>
    <t>SABANETA</t>
  </si>
  <si>
    <t>DISTRICOL MERCADOS JUSTO AQUI</t>
  </si>
  <si>
    <t>FO-25-1557637</t>
  </si>
  <si>
    <t>20/09/2025 POR FAVOR, COMUNICARSE CON USUARIO PARA CONFIRMAR UBICACION, SOLICITUD Y PROGRAMAR VISITA TECNICA | 24/09/2025 SE VISITA PUNTO Y SE NOTA QUÉ YA TIENEN AVISO EXTERIOR MONTADO, SOLICITUD ERA PARA PEGAR FLANGER QUÉ SE CAYO, SE PEGA OK</t>
  </si>
  <si>
    <t>CALARCA</t>
  </si>
  <si>
    <t>BARRIO CENTRO CALARCA</t>
  </si>
  <si>
    <t>FO-25-1556750</t>
  </si>
  <si>
    <t>19/09/2025 POR FAVOR, COMUNICARSE CON USUARIO PARA CONFIRMAR UBICACION, SOLICITUD Y PROGRAMAR VISITA TECNICA | 22/09/2025 SE VISITA COMERCIO SE REALIZA INSTALACIÓN DE AVISO EXTERIOR SE INSTALA SIN MARCO POR SOLICITUD DE USUARIA POR HURTO DE ALUMINIO DEL MARCO</t>
  </si>
  <si>
    <t>BARRIO MOCHILA SINCELEJO</t>
  </si>
  <si>
    <t>FO-25-1556127</t>
  </si>
  <si>
    <t>19/08/2025 POR FAVOR, COMUNICARSE CON USUARIO PARA CONFIRMAR UBICACION, SOLICITUD Y PROGRAMAR VISITA TECNICA | 20/09/2025 SE VISITA COMERCIO Y SE HACE INSTALACIÓN DE AVISÓ EXTERIOR YA QUE UNA TORMENTA SE LO PARTIÓ.</t>
  </si>
  <si>
    <t>DOSQUEBRADAS</t>
  </si>
  <si>
    <t>DOSQUEBRADAS CAMPESTRE A</t>
  </si>
  <si>
    <t>FO-25-1552978</t>
  </si>
  <si>
    <t>19/09/2025 POR FAVOR, COMUNICARSE CON USUARIO PARA CONFIRMAR UBICACION, SOLICITUD Y PROGRAMAR VISITA TECNICA | 20/09/2025 VISITAMOS COMERCIO REALIZAMOS INSTALACIÓN DE AVISO EXTERIOR YA QUE EL OTRO SE LE CAYÓ Y SE PARTIÓ.</t>
  </si>
  <si>
    <t>BARRIO RETIRO VILLAVICENCIO 6</t>
  </si>
  <si>
    <t>FO-25-1552510</t>
  </si>
  <si>
    <t>19/09/2025 POR FAVOR, COMUNICARSE CON USUARIO PARA CONFIRMAR UBICACION, SOLICITUD Y PROGRAMAR VISITA TECNICA | 20/09/2025 SE REALIZA INSTALACION DE AVISO EXTERIOR</t>
  </si>
  <si>
    <t>PEDREROS CONTRERAS MICHAEL STEVENS</t>
  </si>
  <si>
    <t>BARRIO LA PRIMAVERA CALI  1</t>
  </si>
  <si>
    <t>FO-25-1548947</t>
  </si>
  <si>
    <t>18/09/2025 POR FAVOR, COMUNICARSE CON USUARIO PARA CONFIRMAR UBICACION, SOLICITUD Y PROGRAMAR VISITA TECNICA | 19/09/2025 SE VISITA EL COMERCIO, EL CLIENTE INFORMA QUE SE LE ROBAN EL AVISO EXTERIOR POR EL MARCO DE ALUMINIO POR LO QUE SE INSTALA AVISO EXTERIOR SIN MARCO POR LOS CONTINUOS ROBOS</t>
  </si>
  <si>
    <t>ISTMINA</t>
  </si>
  <si>
    <t>DISTRICOL ZONA W ASESORIAS</t>
  </si>
  <si>
    <t>FO-25-1547242</t>
  </si>
  <si>
    <t>PETICIÓN BANCOLOMBIA</t>
  </si>
  <si>
    <t>18/09/2025 POR FAVOR, COMUNICARSE CON USUARIO PARA CONFIRMAR UBICACION, SOLICITUD Y PROGRAMAR VISITA TECNICA | 24/09/2025 SE REALIZA VISITA, SE ENCUENTRA COMERCIO CERRADA Y SE EVIDENCIA QUE EL COMERCIO CUENTA CON AVISO, NO SE PROCEDE INSTALAR PUBLICIDAD</t>
  </si>
  <si>
    <t>ROBLEDO DIAZ ANDRES FELIPE</t>
  </si>
  <si>
    <t>BARRIO CIUDAD PORFIA VILLAVICE</t>
  </si>
  <si>
    <t>FO-25-1546032</t>
  </si>
  <si>
    <t>18/09/2025 EN COMUNICACIÓN  AL NUMERO  3225901675  CON CB SE CONFIRMAN DATOS DE LA SOLICITUD ESCALA PARA VISITA | 19/09/2025 SE REALIZA VISITA AL CB POR SOLICITUD DE AVISO EXTERIOR SE INSTALA SIN NOVEDAD TODO OK</t>
  </si>
  <si>
    <t>BARRIO RICAURTE PARTE BAJA IBA</t>
  </si>
  <si>
    <t>FO-25-1546060</t>
  </si>
  <si>
    <t>18/09/2025 SE INTENTA COMUNICACIÓN CON CB 3022327753 NO ES POSIBLE VALIDAR SOLICITUD POR FAVOR LLAMAR ANTES DE DESPLAZARSE | 18/09/2025 SE LLEGA AL SITIO PARA REALIZAR INSTALACIÓN DE AVISO EXTERIOR, PERO SE EVIDENCIA QUE EL COMERCIO YA CUENTA CON AVISÓ EXISTENTE; SE LE INFORMA AL CLIENTE QUE NO PUEDE TENER 2 AVISOS EN LA FACHADA.</t>
  </si>
  <si>
    <t>DISTRICOL TIENDA Y CAF KINGKNO</t>
  </si>
  <si>
    <t>FO-25-1544483</t>
  </si>
  <si>
    <t>17/09/2025 EN COMUNICACIÓN  AL NUMERO  3206917500 CON CB SE CONFIRMAN DATOS DE LA SOLICITUD ESCALA PARA VISITA | 22/09/2025 SE REALIZA INSTALACIÓN DE AVISO EXTERIOR YA QUE EL ANTERIOR SE CAYO Y SE DAÑO INDICA USUARIO</t>
  </si>
  <si>
    <t>BARRIO CAMPO VALDEZ MEDELLIN 2</t>
  </si>
  <si>
    <t>FO-25-1543734</t>
  </si>
  <si>
    <t>17/09/2025 EN COMUNICACIÓN  AL NUMERO  3225901675  CON CB SE CONFIRMAN DATOS DE LA SOLICITUD ESCALA PARA VISITA | 20/09/2025 INSTALACIÓN DE AVISO EXTERIOR OK</t>
  </si>
  <si>
    <t>PUERTO TRIUNFO</t>
  </si>
  <si>
    <t>BARRIO LA ESPERANZA PUERTO TRI</t>
  </si>
  <si>
    <t>FO-25-1542721</t>
  </si>
  <si>
    <t>17/09/2025 POR FAVOR, COMUNICARSE CON USUARIO PARA CONFIRMAR UBICACION, SOLICITUD Y PROGRAMAR VISITA TECNICA | 24/09/2025 EL ENVIÓ DEL AVISO SE HIZO EL DÍA DE AYER , PERO POR CAUSAS AJENAS A NOSOTROS LA TRANSPORTADORA INDICA QUE ESTÁ APENAS LLEGANDO EL DÍA DE HOY DESPUÉS DE LAS 2 DE LA TARDE , ESTOY EN EL MUNICIPIO ESPERANDO EL AVISO PARA PODER HACER LA VISITA | 24/09/2025 SE INSTALA AVISO EXTERIOR OK</t>
  </si>
  <si>
    <t>MONTOYA VELEZ ANDRES FELIPE</t>
  </si>
  <si>
    <t>GUAVIARE</t>
  </si>
  <si>
    <t>SAN JOSE DEL GUAVIARE</t>
  </si>
  <si>
    <t>BARRIO EL CENTRO SAN JOSE DEL</t>
  </si>
  <si>
    <t>FO-25-1542728</t>
  </si>
  <si>
    <t>17/09/2025 POR FAVOR, COMUNICARSE CON USUARIO PARA CONFIRMAR UBICACION, SOLICITUD Y PROGRAMAR VISITA TECNICA | 22/09/2025 SE REALIZA VISTA AL CB POR SOLICITUD DE AVISO EXTERIOR SE HACE LA RESPECTIVA INSTALACIÓN SIN NOVEDAD TODO OK</t>
  </si>
  <si>
    <t>VILLAVICENCIO POPULAR</t>
  </si>
  <si>
    <t>FO-25-1542739</t>
  </si>
  <si>
    <t>17/09/2025 POR FAVOR, COMUNICARSE CON USUARIO PARA CONFIRMAR UBICACION, SOLICITUD Y PROGRAMAR VISITA TECNICA | 18/09/2025 SE INSTALA AVISO EXTERIOR OK SIN NOVEDAD</t>
  </si>
  <si>
    <t>BARRIO BOSA PORVENIR BOGOTA 7</t>
  </si>
  <si>
    <t>FO-25-1540750</t>
  </si>
  <si>
    <t>17/09/2025 POR FAVOR, COMUNICARSE CON USUARIO PARA CONFIRMAR UBICACION, SOLICITUD Y PROGRAMAR VISITA TECNICA | 18/09/2025 SE INSTALA AVISO EXTERIOR</t>
  </si>
  <si>
    <t>GONZALEZ FANDIÑO SANTIAGO ERNESTO</t>
  </si>
  <si>
    <t>BARRIO CHUCHURUBI MONTERIA 9</t>
  </si>
  <si>
    <t>FO-25-1540756</t>
  </si>
  <si>
    <t>17/09/2025 POR FAVOR, COMUNICARSE CON USUARIO PARA CONFIRMAR UBICACION, SOLICITUD Y PROGRAMAR VISITA TECNICA | 18/09/2025 SE REALIZÓ INSTALACIÓN DE AVISO EXTERIOR OK.</t>
  </si>
  <si>
    <t>FO-25-1536839</t>
  </si>
  <si>
    <t>16/09/2025 POR FAVOR, COMUNICARSE CON USUARIO PARA CONFIRMAR UBICACION, SOLICITUD Y PROGRAMAR VISITA TECNICA | 17/09/2025 SE REALIZA INSTALACIÓN DE AVISO EXTERIOR OK</t>
  </si>
  <si>
    <t>DISTRICOL SUBURBAN OFI</t>
  </si>
  <si>
    <t>FO-25-1536284</t>
  </si>
  <si>
    <t>16/09/2025 POR FAVOR, COMUNICARSE CON USUARIO PARA CONFIRMAR UBICACION, SOLICITUD Y PROGRAMAR VISITA TECNICA | 18/09/2025 SE VISITA COMERCIO SE REALIZA INSTALACIÓN DE PUBLICIDAD NUEVA</t>
  </si>
  <si>
    <t>BARRIO LAS GRANJAS NEIVA 2</t>
  </si>
  <si>
    <t>FO-25-1533115</t>
  </si>
  <si>
    <t>15/09/2025 POR FAVOR, COMUNICARSE CON USUARIO PARA CONFIRMAR UBICACION, SOLICITUD Y PROGRAMAR VISITA TECNICA | 16/09/2025 SE REALIZA INSTALACIÓN DE AVISO EXTERIOR</t>
  </si>
  <si>
    <t>DIAZ VARGAS JONATHAN MIGUEL</t>
  </si>
  <si>
    <t>BARRIO PUEBLO NUEVO CUCUTA</t>
  </si>
  <si>
    <t>FO-25-1532394</t>
  </si>
  <si>
    <t>15/09/2025 POR FAVOR, COMUNICARSE CON USUARIO PARA CONFIRMAR UBICACION, SOLICITUD Y PROGRAMAR VISITA TECNICA | 17/09/2025 SE INSTALA AVISO EXTERIOR</t>
  </si>
  <si>
    <t>BARRIO VILLA ORTIZ VILLAVICENC</t>
  </si>
  <si>
    <t>FO-25-1531920</t>
  </si>
  <si>
    <t>15/09/2025 POR FAVOR, COMUNICARSE CON USUARIO PARA CONFIRMAR UBICACION, SOLICITUD Y PROGRAMAR VISITA TECNICA | 16/09/2025 SE REALIZA VISTA AL CB POR SOLICITUD DE INSTALACIÓN AVISO EXTERIOR SE INSTALA SIN NOVEDAD QUEDA TODO OK</t>
  </si>
  <si>
    <t>BARRIO CARVAJAL BOGOTA 13</t>
  </si>
  <si>
    <t>FO-25-1531925</t>
  </si>
  <si>
    <t>BARRIO CHAPINERO BOGOTA 28</t>
  </si>
  <si>
    <t>FO-25-1531504</t>
  </si>
  <si>
    <t>15/09/2025 POR FAVOR, COMUNICARSE CON USUARIO PARA CONFIRMAR UBICACION, SOLICITUD Y PROGRAMAR VISITA TECNICA | 17/09/2025 SE REALIZA INSTALACIÓN DE AVISO EXTERIOR</t>
  </si>
  <si>
    <t>COMCARD MED RED PARAISO MASCOT</t>
  </si>
  <si>
    <t>FO-25-1531100</t>
  </si>
  <si>
    <t>15/09/2025 POR FAVOR, COMUNICARSE CON USUARIO PARA CONFIRMAR UBICACION, SOLICITUD Y PROGRAMAR VISITA TECNICA | 16/09/2025 SE REALIZA LA INSTALACIÓN DEL NUEVO AVISO EXTERIOR EN EL PUNTO DEL CORRESPONSAL BANCOLOMBIA, REEMPLAZANDO EL ANTERIOR QUE FUE DESPRENDIDO POR LA BRISA Y PRESENTABA SIGNOS EVIDENTES DE DETERIORO. EL NUEVO AVISO QUEDA FIJADO CONFORME A LAS INDICACIONES DEL CLIENTE, ASEGURANDO VISIBILIDAD ÓPTIMA DESDE EL EXTERIOR Y UNA PRESENTACIÓN ACORDE CON LA IMAGEN INSTITUCIONAL.</t>
  </si>
  <si>
    <t>VEGACHI</t>
  </si>
  <si>
    <t>BARRIO VEGACHÍ CENTRO</t>
  </si>
  <si>
    <t>FO-25-1531105</t>
  </si>
  <si>
    <t>15/09/2025 POR FAVOR, COMUNICARSE CON USUARIO PARA CONFIRMAR UBICACION, SOLICITUD Y PROGRAMAR VISITA TECNICA | 20/09/2025 SE INSTALA AVISO EXTERIOR A PETICIÓN DEL USUARIO</t>
  </si>
  <si>
    <t>RIOHACHA</t>
  </si>
  <si>
    <t>BARRIO EL PROGRESO RIOHACHA</t>
  </si>
  <si>
    <t>FO-25-1531106</t>
  </si>
  <si>
    <t>15/09/2025 POR FAVOR, COMUNICARSE CON USUARIO PARA CONFIRMAR UBICACION, SOLICITUD Y PROGRAMAR VISITA TECNICA | 17/09/2025 SE REALIZA INSTALACIÓN DE AVISO EXTERIOR A SATISFACCIÓN DEL CLIENTE</t>
  </si>
  <si>
    <t>BARRIO CAMPESTRE CARTAGENA DE</t>
  </si>
  <si>
    <t>FO-25-1526514</t>
  </si>
  <si>
    <t>14/09/2025 POR FAVOR, COMUNICARSE CON USUARIO PARA CONFIRMAR UBICACION, SOLICITUD Y PROGRAMAR VISITA TECNICA | 15/09/2025 SE REALIZA INSTALACIÓN DE AVISO EXTERIOR POR DAÑO DEL ANTERIOR QUEDA TODO OK</t>
  </si>
  <si>
    <t>EL ZULIA</t>
  </si>
  <si>
    <t>BARRIO FUERA DEL MUNICIPIO DE</t>
  </si>
  <si>
    <t>FO-25-1524620</t>
  </si>
  <si>
    <t>13/09/2025 POR FAVOR, COMUNICARSE CON USUARIO PARA CONFIRMAR UBICACION, SOLICITUD Y PROGRAMAR VISITA TECNICA | 19/09/2025 POR TEMAS DE ORDEN PUBLICO Y DESPLAZAMIENTO A LA ZONA, SE PROGRAMA VISITA EN HORAS DE LA TARDE YA QUE NO SE ENCUENTRA TRANSPORTE  QUE SALGA EN HORAS AM. | 19/09/2025 SE INSTALA AVISO EXTERIOR EXITOSO</t>
  </si>
  <si>
    <t>BARRIO LEBRIJA LEBRIJA 1</t>
  </si>
  <si>
    <t>FO-25-1520231</t>
  </si>
  <si>
    <t>12/09/2025 POR FAVOR, COMUNICARSE CON USUARIO PARA CONFIRMAR UBICACION, SOLICITUD Y PROGRAMAR VISITA TECNICA | 17/09/2025 SE INSTALA AVISO EXTERIOR OK</t>
  </si>
  <si>
    <t>PTM CALI STARMARKET GUADALUPE</t>
  </si>
  <si>
    <t>FO-25-1518936</t>
  </si>
  <si>
    <t>12/09/2025 POR FAVOR, COMUNICARSE CON USUARIO PARA CONFIRMAR UBICACION, SOLICITUD Y PROGRAMAR VISITA TECNICA | 13/09/2025 SE REALIZA INSTALACIÓN DE NUEVO AVISO EXTERIOR POR DAÑO, EL CLIENTE PIDE QUE EL AVISO SEA INSTALADO SIN EL MARCO YA QUE DEBE QUEDAR SOBRE UN VIDRIO. CLIENTE INFORMA QUE LA PERSONA ENCARGADA DE LA OPERACIÓN DEL CB NO SE ENCUENTRA EN EL MOMENTO Y NO ES POSIBLE SUMINISTRARME UNA TIRILLA.</t>
  </si>
  <si>
    <t>BARRIO PRIMAVERA VILLAVICENCIO</t>
  </si>
  <si>
    <t>FO-25-1516583</t>
  </si>
  <si>
    <t>11/09/2025 POR FAVOR, COMUNICARSE CON USUARIO PARA CONFIRMAR UBICACION, SOLICITUD Y PROGRAMAR VISITA TECNICA | 12/09/2025 SE REALIZA VISITA A CB POR SOLICITUD DE AVISO SE INSTALA SIN NOVEDAD</t>
  </si>
  <si>
    <t>BARRIO TINAJAS PEREIRA</t>
  </si>
  <si>
    <t>FO-25-1515700</t>
  </si>
  <si>
    <t>11/09/2025 POR FAVOR, COMUNICARSE CON USUARIO PARA CONFIRMAR UBICACION, SOLICITUD Y PROGRAMAR VISITA TECNICA | 12/09/2025 SE INSTALA AVISO EXTERIOR.</t>
  </si>
  <si>
    <t>PTM IBAGUE TIENDA LA ECONOMIA</t>
  </si>
  <si>
    <t>FO-25-1514419</t>
  </si>
  <si>
    <t>11/09/2025 POR FAVOR, COMUNICARSE CON USUARIO PARA CONFIRMAR UBICACION, SOLICITUD Y PROGRAMAR VISITA TECNICA | 15/09/2025 SE INSTALA AVISO EXTERIOR SIN PROBLEMA, YA QUE EL ANTERIOR SE LO ROBARON.</t>
  </si>
  <si>
    <t>NOBSA</t>
  </si>
  <si>
    <t>BARRIO VEREDAPUNTALARGA NOBSA</t>
  </si>
  <si>
    <t>FO-25-1511504</t>
  </si>
  <si>
    <t>11/09/2025 POR FAVOR, COMUNICARSE CON USUARIO PARA CONFIRMAR UBICACION, SOLICITUD Y PROGRAMAR VISITA TECNICA | 12/09/2025 SE REALIZA INSTALACIÓN AVISÓ EXTERIOR 1.50 METROS A SOLICITUD DEL CLIENTE YA QUE EL QUE TENÍA SE CAYO Y SE ROMPIO</t>
  </si>
  <si>
    <t>ALVARADO MORENO CRISTHIAN</t>
  </si>
  <si>
    <t>CHACHAGUI</t>
  </si>
  <si>
    <t>PTM CHCHAGUI NARINO DROGUERIA</t>
  </si>
  <si>
    <t>FO-25-1511505</t>
  </si>
  <si>
    <t>11/09/2025 POR FAVOR, COMUNICARSE CON USUARIO PARA CONFIRMAR UBICACION, SOLICITUD Y PROGRAMAR VISITA TECNICA | 13/09/2025 SE REALIZA INSTALACIÓN DE AVISO EXTERIOR POR MOTIVO DE ROBO</t>
  </si>
  <si>
    <t>DISTRICOL DROGUERIA MARIA SALU</t>
  </si>
  <si>
    <t>FO-25-1510056</t>
  </si>
  <si>
    <t>10/09/2025 EN COMUNICACIÓN CON LA SEÑORA PATRICIA AL NÚMERO 3135593904 VÍA WHATSAPP CONFIRMA SOLICITUD, DATOS CORRECTOS. SE ESCALA PARA VISITA | 11/09/2025 SE REALIZA INSTALACIÓN DE AVISO EXTERIOR, YA QUE EL ANTERIOR AVISO SE PARTIÓ POR FUERTE TORMENTA, SE DEJA NUEVAMENTE AVISO OK.</t>
  </si>
  <si>
    <t>CASSIANI PEREZ RAUL RAMIRO</t>
  </si>
  <si>
    <t>BARRIO CENTRO SANTA MARTA 11</t>
  </si>
  <si>
    <t>FO-25-1507044</t>
  </si>
  <si>
    <t>10/09/2025 POR FAVOR, COMUNICARSE CON USUARIO PARA CONFIRMAR UBICACION, SOLICITUD Y PROGRAMAR VISITA TECNICA | 10/09/2025 SE REALIZA INSTALACIÓN DE AVISO EXTERIOR A SATISFACCIÓN DEL CLIENTE</t>
  </si>
  <si>
    <t>BARRIO FUNDADORES IV VALLEDUPA</t>
  </si>
  <si>
    <t>FO-25-1507051</t>
  </si>
  <si>
    <t>10/09/2025 POR FAVOR, COMUNICARSE CON USUARIO PARA CONFIRMAR UBICACION, SOLICITUD Y PROGRAMAR VISITA TECNICA | 11/09/2025 BUENAS TARDES SE VISITA CB PARA INSTALAR AVISO PERO EL CLIENTE INFORMA QUE LOGRÓ RECUPERAR LA PUBLICIDAD E INSTALAR EN EL SITIO, EFECTIVAMENTE SE ENCUENTRA AVISO YA INSTALADO</t>
  </si>
  <si>
    <t>BENITEZ CARVAJAL ALVARO JAVIER</t>
  </si>
  <si>
    <t>VENTAQUEMADA</t>
  </si>
  <si>
    <t>BARRIO VEREDA PUENTE DE BOYACA</t>
  </si>
  <si>
    <t>FO-25-1507057</t>
  </si>
  <si>
    <t>10/09/2025 POR FAVOR, COMUNICARSE CON USUARIO PARA CONFIRMAR UBICACION, SOLICITUD Y PROGRAMAR VISITA TECNICA | 10/09/2025 SE VISITA CB INSTALACION DE AVISO EXTERIOR</t>
  </si>
  <si>
    <t>BARRIO GARUPAL ETAPA 3 VALLEDU</t>
  </si>
  <si>
    <t>FO-25-1507059</t>
  </si>
  <si>
    <t>10/09/2025 POR FAVOR, COMUNICARSE CON USUARIO PARA CONFIRMAR UBICACION, SOLICITUD Y PROGRAMAR VISITA TECNICA | 12/09/2025 BUENOS DÍAS SE VISITA CB Y SE LE HACE INSTALACIÓN DE AVISO EXTERIOR YA QUE EL ANTERIOR SE LO ROBARON</t>
  </si>
  <si>
    <t>BARRIO PRADO LAS GRANJAS BELLO</t>
  </si>
  <si>
    <t>FO-25-1504613</t>
  </si>
  <si>
    <t>09/09/2025 POR FAVOR, COMUNICARSE CON USUARIO PARA CONFIRMAR UBICACION, SOLICITUD Y PROGRAMAR VISITA TECNICA | 11/09/2025 SE REALIZA INSTALACIÓN DE AVISO EXTERIOR OK</t>
  </si>
  <si>
    <t>PTM BOGOTA FERREIMAN</t>
  </si>
  <si>
    <t>FO-25-1502538</t>
  </si>
  <si>
    <t>09/09/2025 POR FAVOR, COMUNICARSE CON USUARIO PARA CONFIRMAR UBICACION, SOLICITUD Y PROGRAMAR VISITA TECNICA | 10/09/2025 SE REALIZA INSTALACIÓN DE AVISO EXTERIOR SIN MARCO DE ALUMINIO, AUTORIZA REDEBAN</t>
  </si>
  <si>
    <t>BARRIO EL PRADO PASTO 1</t>
  </si>
  <si>
    <t>FO-25-1502540</t>
  </si>
  <si>
    <t>09/09/2025 POR FAVOR, COMUNICARSE CON USUARIO PARA CONFIRMAR UBICACION, SOLICITUD Y PROGRAMAR VISITA TECNICA | 15/09/2025 SE REALIZÓ LA INSTALACIÓN DE AVISO EXTERNO POR ROBO SE INSTALÓ SIN MARCO YA QUE VAN 3 VECES QUE LE ROBAN EL LETRERO A PESAR DE QUE SE LE HAGA AJUSTES Y ASEGURAMIENTO EN LOCAL, NO SE MANIPULA CB CLIENTE INFORMA QUE SE ENCUENTRA OPERATIVO.</t>
  </si>
  <si>
    <t>BARRIO DANGON VALLEDUPAR</t>
  </si>
  <si>
    <t>FO-25-1502543</t>
  </si>
  <si>
    <t>09/09/2025 POR FAVOR, COMUNICARSE CON USUARIO PARA CONFIRMAR UBICACION, SOLICITUD Y PROGRAMAR VISITA TECNICA | 11/09/2025 BUENAS TARDES SE VISITA CB Y SE LE HACE INSTALACIÓN DE AVISO EXTERIOR YA QUE EL QUE ESTABA UNA FUERTE BRISA LO BAJÓ</t>
  </si>
  <si>
    <t>PTM  BOGOTA  JUANCHO VALDEZ CA</t>
  </si>
  <si>
    <t>FO-25-1501053</t>
  </si>
  <si>
    <t>09/09/2025 POR FAVOR, COMUNICARSE CON USUARIO PARA CONFIRMAR UBICACION, SOLICITUD Y PROGRAMAR VISITA TECNICA | 11/09/2025 SE REALIZA LA ENTREGA E INSTALACIÓN DE AVISO EXTERIOR BANCOLOMBIA SIN NOVEDAD NO SE MANIPULAR DATAFONO</t>
  </si>
  <si>
    <t>PARAMO</t>
  </si>
  <si>
    <t>PARAMO II - SANTANDER</t>
  </si>
  <si>
    <t>FO-25-1512493 | FO-25-1498198</t>
  </si>
  <si>
    <t>08/09/2025 EN COMUNICACIÓN CON LA SRA DORIS CASTRO AL NÚMERO 3213639678 CONFIRMA SOLICITUD Y RED. SE ESCALA PARA VISITA | 09/09/2025 EN COMUNICACIÓN CON LA ADMINISTRADORA DORIS CASTRO CELIS AL CELULAR 3213639678, INFORMA QUE EL DÍA DE HOY NO TIENE DISPONIBILIDAD YA QUE TIENE AL PAPÁ ENFERMO Y HOY LO ESTÁ CUIDANDO QUE PODEMOS PASAR A PARTIR DE MAÑANA MIÉRCOLES 10 DE SEPTIEMBRE DEL 2025. | 10/09/2025 SE LLEGA A SITIO Y CORRESPONSAL CUENTA CON PUBLICIDAD DE AVISO EXTERIOR ANTIGUO DE COLOR AMARILLO Y ESTÁ INSTALADO A UNA ALTURA APROXIMADA DE 4 METROS, SE HACE GESTIÓN DE ESCALERA EN EL CORREGIMIENTO, SE AVERIGUA EN FERRETERÍAS, BOMBEROS Y NO SE ENCONTRÓ ESCALERA PARA DESINSTALAR EL AVISO ANTIGUO Y INSTALAR EL NUEVO, SE ESCALA CASO A COORDINADOR DE ZONA EL CUAL INFORMA QUE SE DEBE DESINSTALAR Y DESTRUIR EL ANTIGUO PARA PODER INSTALAR EN NUEVO, SE REALIZARÁN COTIZACIÓN DE ESCALERA Y TRANSPORTE EN EL MUNICIPIO DE SANGIL PARA REPROGRAMAR Y PROCEDER CON LA DESINTACION E INSTALACIÓN DEL AVISO EXTERIOR.
11</t>
  </si>
  <si>
    <t>BARRIO BOLIVAR BUCARAMANGA 3</t>
  </si>
  <si>
    <t>FO-25-1494383</t>
  </si>
  <si>
    <t>08/09/2025 POR FAVOR, COMUNICARSE CON USUARIO PARA CONFIRMAR UBICACION, SOLICITUD Y PROGRAMAR VISITA TECNICA | 08/09/2025 SE INSTALA AVISO EXTERIOR DONDE CLIENTE INDICA</t>
  </si>
  <si>
    <t>GACHETA</t>
  </si>
  <si>
    <t>BARRIO CENTRO GACHETA 1</t>
  </si>
  <si>
    <t>FO-25-1494385</t>
  </si>
  <si>
    <t>08/09/2025 EN COMUNICACIÓN CON EL SEÑOR GERMAN RICARDI MELO AL NÚMERO 3143490468 CONFIRMA SOLICITUD, DATOS CORRECTO. SE ESCALA PARA VISITA | 12/09/2025 INSTALACIÓN DE AVISO EXTERIOR ROBADO PRUEBAS OK</t>
  </si>
  <si>
    <t>BARRIO BARRIO BENJAMIN HIDALGO</t>
  </si>
  <si>
    <t>FO-25-1494390</t>
  </si>
  <si>
    <t>08/09/2025 EN COMUNICACIÓN CON EL SEÑOR JHON FREDY WALDO  AL NÚMERO 3135598320 CONFIRMA SOLICITUD, DATOS CORRECTO. SE ESCALA PARA VISITA | 10/09/2025 SE INSTALA PUBLICIDAD NUEVA YA QUE LA ANTERIOR SE QUEMÓ POR UN INCENDIO EN COMERCIOS ALEDAÑOS</t>
  </si>
  <si>
    <t>BUENOS AIRES</t>
  </si>
  <si>
    <t>BARRIO CENTRO BUENOS AIRES 1</t>
  </si>
  <si>
    <t>FO-25-1489858</t>
  </si>
  <si>
    <t>06/09/2025 POR FAVOR, COMUNICARSE CON USUARIO PARA CONFIRMAR UBICACION, SOLICITUD Y PROGRAMAR VISITA TECNICA | 08/09/2025 SE REALIZA INSTALACIÓN DE AVISÓ EXTERIOR, CB BANCOLOMBIA</t>
  </si>
  <si>
    <t>BARRIO SAN FRANCISCO FLORENCIA</t>
  </si>
  <si>
    <t>FO-25-1480228</t>
  </si>
  <si>
    <t>04/09/2025 POR FAVOR, COMUNICARSE CON USUARIO PARA CONFIRMAR UBICACION, SOLICITUD Y PROGRAMAR VISITA TECNICA | 09/09/2025 SE REALIZA VISITA AL CORRESPONSAL Y CORRESPOSAL YA CUENTA CON PUBLICIDAD, NO SE DEJA INSTALADA, SE LE INDICA AL CLIENTE QUE POR POLÍTICAS DEL BANCO NO SE PUEDEN DEJAR DOS AVISOS EXTERIORES.</t>
  </si>
  <si>
    <t>PTM BOGOTA GLAMOUR COSMETICOS</t>
  </si>
  <si>
    <t>FO-25-1476788</t>
  </si>
  <si>
    <t>04/09/2025 POR FAVOR, COMUNICARSE CON USUARIO PARA CONFIRMAR UBICACION, SOLICITUD Y PROGRAMAR VISITA TECNICA | 09/09/2025 INSTALACIÓN DE AVISO EXTERIOR ROBADO</t>
  </si>
  <si>
    <t>ARIGUANI</t>
  </si>
  <si>
    <t>EL DIFICIL ARIGUANI</t>
  </si>
  <si>
    <t>FO-25-1476792</t>
  </si>
  <si>
    <t>04/09/2025 POR FAVOR, COMUNICARSE CON USUARIO PARA CONFIRMAR UBICACION, SOLICITUD Y PROGRAMAR VISITA TECNICA | 05/09/2025 BUENOS DÍAS SE VISITA CB Y SE HACE LA INSTALACIÓN DE UN NUEVO AVISO YA QUE EL ANTERIOR SE ENCUENTRA PARTIDO EN LAS PUNTAS DEBIDO A UNA FUERTE BRISA</t>
  </si>
  <si>
    <t>BARRIO LAS NIEVES TUNJA  2</t>
  </si>
  <si>
    <t>FO-25-1473782</t>
  </si>
  <si>
    <t>05/09/2025 INSTALACION DE AVISO EXTERIOR EXITOSA</t>
  </si>
  <si>
    <t>BARRIO HIPODROMO IBAGUE 6</t>
  </si>
  <si>
    <t>FO-25-1470400</t>
  </si>
  <si>
    <t>03/09/2025 POR FAVOR, COMUNICARSE CON USUARIO PARA CONFIRMAR UBICACION, SOLICITUD Y PROGRAMAR VISITA TECNICA | 05/09/2025 SE LLEGA AL COMERCIO Y SE EVIDENCIA QUE TIENE UN AVISO EXTERIOR INSTALADO AL LADO IZQUIERDO DE LA CARPA. QUIERE QUE SE INSTALE EL NUEVO AVISO EXTERIOR EN EL FRENTE, SE LE EXPLICA QUE NO SE PUEDE POR POLÍTICA DE BANCOLOMBIA, QUE SOLO SE DEBE TENER UN SOLO AVISO EXTERIOR.</t>
  </si>
  <si>
    <t>BARRIO ESPERANZA VILLAVICENCIO</t>
  </si>
  <si>
    <t>FO-25-1470399</t>
  </si>
  <si>
    <t>03/09/2025 POR FAVOR, COMUNICARSE CON USUARIO PARA CONFIRMAR UBICACION, SOLICITUD Y PROGRAMAR VISITA TECNICA | 04/09/2025 SE REALIZA VISITA AL CB PARA INSTALACIÓN DE AVISO EXTERIOR SE INSTALA TODO OK</t>
  </si>
  <si>
    <t>DISTRICOL SERVIVISION NARINO</t>
  </si>
  <si>
    <t>FO-25-1470396</t>
  </si>
  <si>
    <t>03/09/2025 POR FAVOR, COMUNICARSE CON USUARIO PARA CONFIRMAR UBICACION, SOLICITUD Y PROGRAMAR VISITA TECNICA | 05/09/2025 SE REALIZA INSTALACIÓN DE AVISO EXTERIOR POR MOTIVO DE ROBO</t>
  </si>
  <si>
    <t>BARRIO ALAMOS BOGOTA 10</t>
  </si>
  <si>
    <t>FO-25-1470385</t>
  </si>
  <si>
    <t>03/09/2025 POR FAVOR, COMUNICARSE CON USUARIO PARA CONFIRMAR UBICACION, SOLICITUD Y PROGRAMAR VISITA TECNICA | 10/09/2025 SE REALIZA COMUNICACIÓN PARA CONFIRMAR VISITA E INSTALACIÓN DE AVISÓ CLIENTE CONFORMA VISITA ,CUANDO SE VISITA A CB SE EVIDENCIA QUE TIENE YA UN AVISO INSTALADO CLIENTE INFORMA QUE TENÍA DOS INSTALADO Y QUE DESEA QUE LE INSTALEN EL OTRO ,SE LE INDICA QUE POR POLÍTICAS DE BANCOLOMBIA BSOLO ESTÁ AUTORIZADO UNO ,SE REALIZA DEVOLUCIÓN DE AVISO EXTERIOR EN TAXI A BODEGA Y SE PROCEDE A CANCELAR VISITA</t>
  </si>
  <si>
    <t>BARRIO CERRITOS PEREIRA 4</t>
  </si>
  <si>
    <t>FO-25-1463565</t>
  </si>
  <si>
    <t>02/09/2025 POR FAVOR, COMUNICARSE CON USUARIO PARA CONFIRMAR UBICACION, SOLICITUD Y PROGRAMAR VISITA TECNICA | 09/09/2025 SE INSTALA AVISO EXTERIOR</t>
  </si>
  <si>
    <t>PTM  JAMUNDI PAPELERIA BISUTE</t>
  </si>
  <si>
    <t>FO-25-1461245</t>
  </si>
  <si>
    <t>03/09/2025 SE VISITA CORRESPONSAL Y SE REEMPLAZA AVISO EXTERIOR POR DETERIORO.</t>
  </si>
  <si>
    <t>MATERIALES EMO    VILLAVICENCI</t>
  </si>
  <si>
    <t>FO-25-1461238</t>
  </si>
  <si>
    <t>03/09/2025 SE REALIZA VISITA AL CB POR SOLICITUD DE AVISO EXTERIOR EL USUARIO NOS INFORMA QUE SE LO INSTALEMOS SIN EL ALUMINIO PORQUE TIENEN A ROBÁRSELO, ESCALÓ EL CASO CON EL COORDINADOR DE ZONA ME APRUEBA LA INSTALACIÓN Y TODO OK</t>
  </si>
  <si>
    <t>DISTRICOL DEPOSITO LA VIRGEN</t>
  </si>
  <si>
    <t>FO-25-1461235</t>
  </si>
  <si>
    <t>05/09/2025 DESCRIPCIÓN DE INTERVENCIÓN:  SE REALIZA LA INSTALACIÓN EXITOSA DEL AVISO EXTERIOR SEGÚN LOS LINEAMIENTOS ESTABLECIDOS. DURANTE LA VISITA, EL USUARIO INFORMA QUE EL AVISO PREVIAMENTE INSTALADO FUE SUSTRAÍDO. EN RESPUESTA, SE PROCEDE CON LA REINSTALACIÓN DEL AVISO CONFORME A LAS INDICACIONES DEL CLIENTE, ASEGURANDO SU CORRECTA FIJACIÓN Y VISIBILIDAD.</t>
  </si>
  <si>
    <t>VICHADA</t>
  </si>
  <si>
    <t>SANTA ROSALIA</t>
  </si>
  <si>
    <t>BARRIO CENTRO SANTA ROSALIA 3</t>
  </si>
  <si>
    <t>FO-25-1460067</t>
  </si>
  <si>
    <t>02/09/2025 POR FAVOR, COMUNICARSE CON USUARIO PARA CONFIRMAR UBICACION, SOLICITUD Y PROGRAMAR VISITA TECNICA | 09/09/2025 POR DISPONIBILIDAD DE VUELO, ESTA PROGRAMADO PARA EL 25/09/2025. | 25/09/2025 SE REALIZA VISTA AL CB POR SOLICITUD DE AVISO EXTERIOR SE REALIZA LA INSTALACIÓN TODO OK</t>
  </si>
  <si>
    <t>DISTRICOL DROGUERIA Y PERFUMER</t>
  </si>
  <si>
    <t>FO-25-1460057</t>
  </si>
  <si>
    <t>02/09/2025 POR FAVOR, COMUNICARSE CON USUARIO PARA CONFIRMAR UBICACION, SOLICITUD Y PROGRAMAR VISITA TECNICA | 03/09/2025 SE REALIZÓ VISITA AL COMERCIO Y SE INSTALA AVISO EXTERIOR POR MOTIVO DE ROBO</t>
  </si>
  <si>
    <t>BARRIO RESTREPO</t>
  </si>
  <si>
    <t>FO-25-1460049</t>
  </si>
  <si>
    <t>02/09/2025 POR FAVOR, COMUNICARSE CON USUARIO PARA CONFIRMAR UBICACION, SOLICITUD Y PROGRAMAR VISITA TECNICA | 03/09/2025 SE INSTALA AVISO EXTERIOR POR ROBO</t>
  </si>
  <si>
    <t>BARRIO ESTADIO URDANETA ARBELA</t>
  </si>
  <si>
    <t>FO-25-1456124</t>
  </si>
  <si>
    <t>01/09/2025 POR FAVOR, COMUNICARSE CON USUARIO PARA CONFIRMAR UBICACION, SOLICITUD Y PROGRAMAR VISITA TECNICA | 02/09/2025 SE INSTALA AVISO EXTERIOR SIN MARCO POR PREVIO AVISO A COORDINADOR , COMENTANDO QUE ES UNA ZONA DE BASTANTE INDIGENTES Y PERSONAS DE CALLE Y CLIENTE INDICA O SOLICITA QUE SE INSTALE SIN EL MARCO</t>
  </si>
  <si>
    <t>ANDRADE HERNANDEZ JUAN CARLOS</t>
  </si>
  <si>
    <t>BARRIO DON CARMELO VALLEDUPAR</t>
  </si>
  <si>
    <t>FO-25-1456123</t>
  </si>
  <si>
    <t>01/09/2025 POR FAVOR, COMUNICARSE CON USUARIO PARA CONFIRMAR UBICACION, SOLICITUD Y PROGRAMAR VISITA TECNICA | 02/09/2025 SE REALIZA INSTALACIÓN DE AVISO EXTERIOR EN DIRECCIÓN DE CB, SE INSTALA SIN BASE DE ALUMINIO YA QUE EL AVISO ANTERIOR FUE HURTADO POR QUITARLE LA PIEZA DE ALUMINIO</t>
  </si>
  <si>
    <t>BARRIO HACARITAMA VILLAVICENCI</t>
  </si>
  <si>
    <t>FO-25-1454200</t>
  </si>
  <si>
    <t>01/09/2025 POR FAVOR, COMUNICARSE CON USUARIO PARA CONFIRMAR UBICACION, SOLICITUD Y PROGRAMAR VISITA TECNICA | 02/09/2025 SE REALIZA VISITA AL CB POR SOLICITUD DE PUBLICIDAD EXTERIOR, SE INSTALA Y TODO QUEDA OK</t>
  </si>
  <si>
    <t>BARRIO QUIRIGUA BOGOTA 9</t>
  </si>
  <si>
    <t>FO-25-1453842</t>
  </si>
  <si>
    <t>01/09/2025 POR FAVOR, COMUNICARSE CON USUARIO PARA CONFIRMAR UBICACION, SOLICITUD Y PROGRAMAR VISITA TECNICA | 01/09/2025 SE VISITA COMERCIO PARA INSTALACIÓN DE AVISO EXTERIOR POR ROBO DEL EXISTENTE SE PROCEDE CON INSTALACIÓN Y SE DEJA CB OPERANDO SIN NOVEDAD</t>
  </si>
  <si>
    <t>ROMERO ROJAS BREIDY JHOHAN</t>
  </si>
  <si>
    <t>BARRIO CHAPINERO BOGOTA</t>
  </si>
  <si>
    <t>FO-25-1453838</t>
  </si>
  <si>
    <t>01/09/2025 POR FAVOR, COMUNICARSE CON USUARIO PARA CONFIRMAR UBICACION, SOLICITUD Y PROGRAMAR VISITA TECNICA | 01/09/2025 INSTALACIÓN DE AVISO EXTERIOR OK NO SE MANIPULAN EQUIPOS</t>
  </si>
  <si>
    <t>BARRIO AY MI LLANURA VILLAVICE</t>
  </si>
  <si>
    <t>FO-25-1453836</t>
  </si>
  <si>
    <t>01/09/2025 POR FAVOR, COMUNICARSE CON USUARIO PARA CONFIRMAR UBICACION, SOLICITUD Y PROGRAMAR VISITA TECNICA | 02/09/2025 SE REALIZA VISITA AL CB POR SOLICITUD DE PUBLICIDAD EXTERIOR SE INSTALA TODO OK</t>
  </si>
  <si>
    <t>MONGUA</t>
  </si>
  <si>
    <t>BARRIO CENTRO MONGUA</t>
  </si>
  <si>
    <t>FO-25-1449877</t>
  </si>
  <si>
    <t>30/08/2025 POR FAVOR, COMUNICARSE CON USUARIO PARA CONFIRMAR UBICACION, SOLICITUD Y PROGRAMAR VISITA TECNICA | 01/09/2025 SE REALIZA INSTALACIÓN DE AVISO EXTERIOR ,</t>
  </si>
  <si>
    <t>PTM MED LUBRICANTES F Y J SAS</t>
  </si>
  <si>
    <t>FO-25-1447092</t>
  </si>
  <si>
    <t>29/08/2025 POR FAVOR, COMUNICARSE CON USUARIO PARA CONFIRMAR UBICACION, SOLICITUD Y PROGRAMAR VISITA TECNICA | 01/09/2025 INSTALACIÓN DE AVISO EXTERIOR OK</t>
  </si>
  <si>
    <t>BARRIO LOMA LOS BERNAL MEDELLI</t>
  </si>
  <si>
    <t>FO-25-1447091</t>
  </si>
  <si>
    <t>COMCARD MED MI GENTE ROBLEDO</t>
  </si>
  <si>
    <t>FO-25-1447090</t>
  </si>
  <si>
    <t>29/08/2025 POR FAVOR, COMUNICARSE CON USUARIO PARA CONFIRMAR UBICACION, SOLICITUD Y PROGRAMAR VISITA TECNICA | 01/09/2025 SE REALIZA EXITOSAMENTE LA INSTALACIÓN DEL AVISO EXTERIOR DEL CORRESPONSAL BANCOLOMBIA, CONFORME A LAS INDICACIONES DEL CLIENTE.  LA INTERVENCIÓN SE LLEVÓ A CABO DEBIDO A QUE EL AVISO ANTERIOR FUE DESPRENDIDO POR ACCIÓN DEL VIENTO, PRESENTANDO DETERIORO VISIBLE EN SU ESTRUCTURA.  EL NUEVO AVISO FUE FIJADO CON REFUERZOS ADECUADOS PARA GARANTIZAR MAYOR ESTABILIDAD Y RESISTENCIA ANTE CONDICIONES CLIMÁTICAS ADVERSAS.</t>
  </si>
  <si>
    <t>BARRIO ARMENIA QUINDIO 1</t>
  </si>
  <si>
    <t>FO-25-1447089</t>
  </si>
  <si>
    <t>29/08/2025 POR FAVOR, COMUNICARSE CON USUARIO PARA CONFIRMAR UBICACION, SOLICITUD Y PROGRAMAR VISITA TECNICA | 05/09/2025 VISITAMOS COMERCIO PERO NO REALIZAMOS ACTUALIZACIÓN INSTALACIÓN DE AVISO EXTERIOR YA QUE EL COMERCIO TIENE UNO INSTALADO ADEMÁS TIENE EFECTY TAMBIÉN.</t>
  </si>
  <si>
    <t>AOMCARD MEDELLIN MIRAMAR</t>
  </si>
  <si>
    <t>FO-25-1447088</t>
  </si>
  <si>
    <t>30/08/2025 POR FAVOR, COMUNICARSE CON USUARIO PARA CONFIRMAR UBICACION, SOLICITUD Y PROGRAMAR VISITA TECNICA | 01/09/2025 SE REALIZA LA INSTALACIÓN DEL NUEVO AVISO EXTERIOR CONFORME A LO SOLICITADO POR EL CLIENTE, REEMPLAZANDO EL ANTERIOR QUE FUE SUSTRAÍDO. LA UBICACIÓN FUE DEFINIDA DIRECTAMENTE POR EL CLIENTE, Y SE PROCEDE CON LA FIJACIÓN EN EL PUNTO INDICADO, GARANTIZANDO VISIBILIDAD Y SEGURIDAD. EL PROCESO SE EJECUTA SIN CONTRATIEMPOS Y QUEDA DEBIDAMENTE DOCUMENTADO.</t>
  </si>
  <si>
    <t>PTM IBAGUE  SMARTV SOLUCIONES</t>
  </si>
  <si>
    <t>FO-25-1442420</t>
  </si>
  <si>
    <t>29/08/2025 POR FAVOR, COMUNICARSE CON USUARIO PARA CONFIRMAR UBICACION, SOLICITUD Y PROGRAMAR VISITA TECNICA | 02/09/2025 SE INSTALA AVISO EXTERIOR SIN MARCO POR SOLICITUD DEL CLIENTE.</t>
  </si>
  <si>
    <t>BARRIO TERCER MILENIO NEIVA 1</t>
  </si>
  <si>
    <t>FO-25-1442415</t>
  </si>
  <si>
    <t>29/08/2025 POR FAVOR, COMUNICARSE CON USUARIO PARA CONFIRMAR UBICACION, SOLICITUD Y PROGRAMAR VISITA TECNICA | 02/09/2025 SE LLEGA A SITO, SE REALIZA INSTALACIÓN DE AVISO EXTERIOR</t>
  </si>
  <si>
    <t>BARRIO JARDIN NEIVA 2</t>
  </si>
  <si>
    <t>FO-25-1441062</t>
  </si>
  <si>
    <t>28/08/2025 POR FAVOR, COMUNICARSE CON USUARIO PARA CONFIRMAR UBICACION, SOLICITUD Y PROGRAMAR VISITA TECNICA | 02/09/2025 SE REALIZA VISITA AL PUNTO, SE IMPLEMENTA AVISO EXTERIOR . POR ROBO.</t>
  </si>
  <si>
    <t>BARRIO CLASS ROMA KENNEDY BOGOTA</t>
  </si>
  <si>
    <t>FO-25-1450084 | FO-25-1440813</t>
  </si>
  <si>
    <t>28/08/2025 POR FAVOR, COMUNICARSE CON USUARIO PARA CONFIRMAR UBICACION, SOLICITUD Y PROGRAMAR VISITA TECNICA | 30/08/2025 SE LLEGA EL AIRE SE INDICA Y SE ENCUENTRA COMERCIO CERRADO SE INTENTA COMUNICACIÓN AL NÚMERO 3003099807 PERO NO ES POSIBLE
01/09/2025 SE REALIZA ENTREGA E INSTALACIÓN DE AVISO PUBLICIDAD BANCOLOMBIA. POR ROBO. SIN NOVEDAD</t>
  </si>
  <si>
    <t>BARRIO CENTRO MOCOA 3</t>
  </si>
  <si>
    <t>FO-25-1439804</t>
  </si>
  <si>
    <t>28/08/2025 POR FAVOR, COMUNICARSE CON USUARIO PARA CONFIRMAR UBICACION, SOLICITUD Y PROGRAMAR VISITA TECNICA | 02/09/2025 SE VISITA CB. SE REALIZA INSTALACIÓN DE AVISO EXTERIOR. CLIENTE INFORMA QUE EL DATAFONO FUNCIONA CORRECTAMENTE. NO SÉ MANIPULA DATAFONO</t>
  </si>
  <si>
    <t>BARRIO GUALANDAY NEIVA 3</t>
  </si>
  <si>
    <t>FO-25-1438961</t>
  </si>
  <si>
    <t>28/08/2025 POR FAVOR, COMUNICARSE CON USUARIO PARA CONFIRMAR UBICACION, SOLICITUD Y PROGRAMAR VISITA TECNICA | 02/09/2025 SE REALIZA VISITA AL PUNTO, SE IMPLEMENTA AVISO EXTERIOR.EL CUAL SE HABIA CAÍDO Y DAÑADO .</t>
  </si>
  <si>
    <t>BARRIO TIMANCO NEIVA 1</t>
  </si>
  <si>
    <t>FO-25-1434038</t>
  </si>
  <si>
    <t>27/08/2025 POR FAVOR, COMUNICARSE CON USUARIO PARA CONFIRMAR UBICACION, SOLICITUD Y PROGRAMAR VISITA TECNICA | 02/09/2025 SE LLEGA A SITIO, SE REALIZA INSTALACIÓN DE AVISO EXTERIOR</t>
  </si>
  <si>
    <t>SAN ANDRES DE TUMACO</t>
  </si>
  <si>
    <t>PTM TUMACO TIENDA DON LUIS JC</t>
  </si>
  <si>
    <t>FO-25-1432481</t>
  </si>
  <si>
    <t>27/08/2025 POR FAVOR, COMUNICARSE CON USUARIO PARA CONFIRMAR UBICACION, SOLICITUD Y PROGRAMAR VISITA TECNICA | 03/09/2025 SE REALIZA INSTALACIÓN DE AVISO EXTERIOR POR MOTIVO DE QUE EL QUE TENÍA SE PARTIÓ A LA MITAD</t>
  </si>
  <si>
    <t>BARRIO SANTA HELENITA BOGOTA 5</t>
  </si>
  <si>
    <t>FO-25-1424765</t>
  </si>
  <si>
    <t>26/08/2025 POR FAVOR, COMUNICARSE CON USUARIO PARA CONFIRMAR UBICACION, SOLICITUD Y PROGRAMAR VISITA TECNICA | 01/09/2025 SE VISITA COMERCIO CB BANCOLOMBIA, SE INSTALA AVISÓ EXTERIOR SOLICITADO, NO SE MANIPULAN EQUIPOS, SERVICIO OK</t>
  </si>
  <si>
    <t>COD. CIUDAD</t>
  </si>
  <si>
    <t>DESDE DONDE SE ATIENDE</t>
  </si>
  <si>
    <t>TIPO DE TRAYECTO NUEVO</t>
  </si>
  <si>
    <t>TIPOLOGIA NUEVA</t>
  </si>
  <si>
    <t>LA VICTORIA</t>
  </si>
  <si>
    <t>AMAZONAS</t>
  </si>
  <si>
    <t>PUERTO SANTANDER</t>
  </si>
  <si>
    <t>EL ENCANTO</t>
  </si>
  <si>
    <t>LA CHORRERA</t>
  </si>
  <si>
    <t>LA PEDRERA</t>
  </si>
  <si>
    <t>LETICIA</t>
  </si>
  <si>
    <t>MIRITI - PARANA</t>
  </si>
  <si>
    <t>PUERTO ALEGRIA</t>
  </si>
  <si>
    <t>PUERTO ARICA</t>
  </si>
  <si>
    <t>PUERTO NARIÑO</t>
  </si>
  <si>
    <t>TARAPACA</t>
  </si>
  <si>
    <t>ARGELIA</t>
  </si>
  <si>
    <t>BARBOSA</t>
  </si>
  <si>
    <t>BETULIA</t>
  </si>
  <si>
    <t>BRICEÑO</t>
  </si>
  <si>
    <t>CONCEPCION</t>
  </si>
  <si>
    <t>CONCORDIA</t>
  </si>
  <si>
    <t>GUADALUPE</t>
  </si>
  <si>
    <t>JERICO</t>
  </si>
  <si>
    <t>SABANALARGA</t>
  </si>
  <si>
    <t>SAN CARLOS</t>
  </si>
  <si>
    <t>SAN FRANCISCO</t>
  </si>
  <si>
    <t>SAN LUIS</t>
  </si>
  <si>
    <t>SANTA BARBARA</t>
  </si>
  <si>
    <t>TOLEDO</t>
  </si>
  <si>
    <t>VALPARAISO</t>
  </si>
  <si>
    <t>VENECIA</t>
  </si>
  <si>
    <t>ABEJORRAL</t>
  </si>
  <si>
    <t>ABRIAQUI</t>
  </si>
  <si>
    <t>ALEJANDRIA</t>
  </si>
  <si>
    <t>AMAGA</t>
  </si>
  <si>
    <t>AMALFI</t>
  </si>
  <si>
    <t>ANDES</t>
  </si>
  <si>
    <t>ANGELOPOLIS</t>
  </si>
  <si>
    <t>ANGOSTURA</t>
  </si>
  <si>
    <t>ANORI</t>
  </si>
  <si>
    <t>ANZA</t>
  </si>
  <si>
    <t>ARBOLETES</t>
  </si>
  <si>
    <t>BELMIRA</t>
  </si>
  <si>
    <t>BETANIA</t>
  </si>
  <si>
    <t>BURITICA</t>
  </si>
  <si>
    <t>CACERES</t>
  </si>
  <si>
    <t>CAICEDO</t>
  </si>
  <si>
    <t>CAMPAMENTO</t>
  </si>
  <si>
    <t>CAÑASGORDAS</t>
  </si>
  <si>
    <t>CARACOLI</t>
  </si>
  <si>
    <t>CARAMANTA</t>
  </si>
  <si>
    <t>CAROLINA</t>
  </si>
  <si>
    <t>CAUCASIA</t>
  </si>
  <si>
    <t>CHIGORODO</t>
  </si>
  <si>
    <t>CISNEROS</t>
  </si>
  <si>
    <t>CIUDAD BOLIVAR</t>
  </si>
  <si>
    <t>COCORNA</t>
  </si>
  <si>
    <t>COPACABANA</t>
  </si>
  <si>
    <t>DABEIBA</t>
  </si>
  <si>
    <t>DON MATIAS</t>
  </si>
  <si>
    <t>EBEJICO</t>
  </si>
  <si>
    <t>EL CARMEN DE VIBORAL</t>
  </si>
  <si>
    <t>EL SANTUARIO</t>
  </si>
  <si>
    <t>FREDONIA</t>
  </si>
  <si>
    <t>FRONTINO</t>
  </si>
  <si>
    <t>GIRALDO</t>
  </si>
  <si>
    <t>GIRARDOTA</t>
  </si>
  <si>
    <t>GOMEZ PLATA</t>
  </si>
  <si>
    <t>GUARNE</t>
  </si>
  <si>
    <t>HELICONIA</t>
  </si>
  <si>
    <t>HISPANIA</t>
  </si>
  <si>
    <t>ITUANGO</t>
  </si>
  <si>
    <t>JARDIN</t>
  </si>
  <si>
    <t>LA ESTRELLA</t>
  </si>
  <si>
    <t>LA PINTADA</t>
  </si>
  <si>
    <t>LIBORINA</t>
  </si>
  <si>
    <t>MACEO</t>
  </si>
  <si>
    <t>MONTEBELLO</t>
  </si>
  <si>
    <t>MURINDO</t>
  </si>
  <si>
    <t>MUTATA</t>
  </si>
  <si>
    <t>NECOCLI</t>
  </si>
  <si>
    <t>OLAYA</t>
  </si>
  <si>
    <t>PEQUE</t>
  </si>
  <si>
    <t>PUEBLORRICO</t>
  </si>
  <si>
    <t>PUERTO BERRIO</t>
  </si>
  <si>
    <t>PUERTO NARE</t>
  </si>
  <si>
    <t>RETIRO</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</si>
  <si>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</si>
  <si>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</si>
  <si>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</si>
  <si>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</si>
  <si>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</si>
  <si>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</si>
  <si>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</si>
  <si>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</si>
  <si>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</si>
  <si>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</si>
  <si>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</si>
  <si>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</si>
  <si>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SONSON</t>
  </si>
  <si>
    <t>SOPETRAN</t>
  </si>
  <si>
    <t>TAMESIS</t>
  </si>
  <si>
    <t>TARAZA</t>
  </si>
  <si>
    <t>TARSO</t>
  </si>
  <si>
    <t>TITIRIBI</t>
  </si>
  <si>
    <t>URAMITA</t>
  </si>
  <si>
    <t>URRAO</t>
  </si>
  <si>
    <t>VIGIA DEL FUERTE</t>
  </si>
  <si>
    <t>YALI</t>
  </si>
  <si>
    <t>YARUMAL</t>
  </si>
  <si>
    <t>YOLOMBO</t>
  </si>
  <si>
    <t>YONDO</t>
  </si>
  <si>
    <t>ARAUQUITA</t>
  </si>
  <si>
    <t>CRAVO NORTE</t>
  </si>
  <si>
    <t>FORTUL</t>
  </si>
  <si>
    <t>PUERTO RONDON</t>
  </si>
  <si>
    <t>TAME</t>
  </si>
  <si>
    <t>CANDELARIA</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</si>
  <si>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</si>
  <si>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</si>
  <si>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</si>
  <si>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</si>
  <si>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</si>
  <si>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</si>
  <si>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</si>
  <si>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</si>
  <si>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</si>
  <si>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</si>
  <si>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</si>
  <si>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</si>
  <si>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</si>
  <si>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</si>
  <si>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</si>
  <si>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</si>
  <si>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SUAN</t>
  </si>
  <si>
    <t>TUBARA</t>
  </si>
  <si>
    <t>USIACURI</t>
  </si>
  <si>
    <t>CALAMAR</t>
  </si>
  <si>
    <t>EL PEÑON</t>
  </si>
  <si>
    <t>MORALES</t>
  </si>
  <si>
    <t>SANTA ROSA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</si>
  <si>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</si>
  <si>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</si>
  <si>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</si>
  <si>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</si>
  <si>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</si>
  <si>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</si>
  <si>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</si>
  <si>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</si>
  <si>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</si>
  <si>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</si>
  <si>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</si>
  <si>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</si>
  <si>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</si>
  <si>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</si>
  <si>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</si>
  <si>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</si>
  <si>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</si>
  <si>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</si>
  <si>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</si>
  <si>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</si>
  <si>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</si>
  <si>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</si>
  <si>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</si>
  <si>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</si>
  <si>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</si>
  <si>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</si>
  <si>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</si>
  <si>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</si>
  <si>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</si>
  <si>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</si>
  <si>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SIMITI</t>
  </si>
  <si>
    <t>SOPLAVIENTO</t>
  </si>
  <si>
    <t>TALAIGUA NUEVO</t>
  </si>
  <si>
    <t>TIQUISIO</t>
  </si>
  <si>
    <t>TURBACO</t>
  </si>
  <si>
    <t>TURBANA</t>
  </si>
  <si>
    <t>ZAMBRANO</t>
  </si>
  <si>
    <t>BELEN</t>
  </si>
  <si>
    <t>CIENAGA</t>
  </si>
  <si>
    <t>MIRAFLORES</t>
  </si>
  <si>
    <t>PAEZ</t>
  </si>
  <si>
    <t>SANTA MARIA</t>
  </si>
  <si>
    <t>ALMEIDA</t>
  </si>
  <si>
    <t>AQUITANIA</t>
  </si>
  <si>
    <t>ARCABUCO</t>
  </si>
  <si>
    <t>BERBEO</t>
  </si>
  <si>
    <t>BETEITIVA</t>
  </si>
  <si>
    <t>BOAVITA</t>
  </si>
  <si>
    <t>BUSBANZA</t>
  </si>
  <si>
    <t>CAMPOHERMOSO</t>
  </si>
  <si>
    <t>CERINZA</t>
  </si>
  <si>
    <t>CHINAVITA</t>
  </si>
  <si>
    <t>CHIQUIZA</t>
  </si>
  <si>
    <t>CHISCAS</t>
  </si>
  <si>
    <t>CHITA</t>
  </si>
  <si>
    <t>CHITARAQUE</t>
  </si>
  <si>
    <t>CHIVATA</t>
  </si>
  <si>
    <t>CHIVOR</t>
  </si>
  <si>
    <t>COMBITA</t>
  </si>
  <si>
    <t>COPER</t>
  </si>
  <si>
    <t>CORRALES</t>
  </si>
  <si>
    <t>COVARACHIA</t>
  </si>
  <si>
    <t>CUBARA</t>
  </si>
  <si>
    <t>CUCAITA</t>
  </si>
  <si>
    <t>CUITIVA</t>
  </si>
  <si>
    <t>DUITAMA</t>
  </si>
  <si>
    <t>EL COCUY</t>
  </si>
  <si>
    <t>EL ESPINO</t>
  </si>
  <si>
    <t>FIRAVITOBA</t>
  </si>
  <si>
    <t>FLORESTA</t>
  </si>
  <si>
    <t>GACHANTIVA</t>
  </si>
  <si>
    <t>GAMEZA</t>
  </si>
  <si>
    <t>GARAGOA</t>
  </si>
  <si>
    <t>GUACAMAYAS</t>
  </si>
  <si>
    <t>GUATEQUE</t>
  </si>
  <si>
    <t>GUAYATA</t>
  </si>
  <si>
    <t>GUICAN</t>
  </si>
  <si>
    <t>IZA</t>
  </si>
  <si>
    <t>JENESANO</t>
  </si>
  <si>
    <t>LA CAPILLA</t>
  </si>
  <si>
    <t>LA UVITA</t>
  </si>
  <si>
    <t>LABRANZAGRANDE</t>
  </si>
  <si>
    <t>MACANAL</t>
  </si>
  <si>
    <t>MARIPI</t>
  </si>
  <si>
    <t>MONGUI</t>
  </si>
  <si>
    <t>MONIQUIRA</t>
  </si>
  <si>
    <t>MOTAVITA</t>
  </si>
  <si>
    <t>MUZO</t>
  </si>
  <si>
    <t>NUEVO COLON</t>
  </si>
  <si>
    <t>OICATA</t>
  </si>
  <si>
    <t>OTANCHE</t>
  </si>
  <si>
    <t>PACHAVITA</t>
  </si>
  <si>
    <t>PAIPA</t>
  </si>
  <si>
    <t>PAJARITO</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</si>
  <si>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</si>
  <si>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</si>
  <si>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</si>
  <si>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</si>
  <si>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</si>
  <si>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</si>
  <si>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</si>
  <si>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</si>
  <si>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</si>
  <si>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</si>
  <si>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</si>
  <si>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</si>
  <si>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</si>
  <si>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</si>
  <si>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</si>
  <si>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</si>
  <si>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</si>
  <si>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</si>
  <si>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</si>
  <si>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</si>
  <si>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</si>
  <si>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</si>
  <si>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</si>
  <si>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</si>
  <si>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</si>
  <si>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</si>
  <si>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</si>
  <si>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</si>
  <si>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</si>
  <si>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SOMONDOCO</t>
  </si>
  <si>
    <t>SORA</t>
  </si>
  <si>
    <t>SORACA</t>
  </si>
  <si>
    <t>SOTAQUIRA</t>
  </si>
  <si>
    <t>SUSACON</t>
  </si>
  <si>
    <t>SUTAMARCHAN</t>
  </si>
  <si>
    <t>SUTATENZA</t>
  </si>
  <si>
    <t>TASCO</t>
  </si>
  <si>
    <t>TENZA</t>
  </si>
  <si>
    <t>TIBASOSA</t>
  </si>
  <si>
    <t>TINJACA</t>
  </si>
  <si>
    <t>TIPACOQUE</t>
  </si>
  <si>
    <t>TOCA</t>
  </si>
  <si>
    <t>TOGÜI</t>
  </si>
  <si>
    <t>TOPAGA</t>
  </si>
  <si>
    <t>TOTA</t>
  </si>
  <si>
    <t>TUNUNGUA</t>
  </si>
  <si>
    <t>TURMEQUE</t>
  </si>
  <si>
    <t>TUTA</t>
  </si>
  <si>
    <t>TUTAZA</t>
  </si>
  <si>
    <t>UMBITA</t>
  </si>
  <si>
    <t>VILLA DE LEYVA</t>
  </si>
  <si>
    <t>VIRACACHA</t>
  </si>
  <si>
    <t>ZETAQUIRA</t>
  </si>
  <si>
    <t>PALESTINA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</si>
  <si>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</si>
  <si>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</si>
  <si>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</si>
  <si>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</si>
  <si>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</si>
  <si>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</si>
  <si>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</si>
  <si>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</si>
  <si>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</si>
  <si>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</si>
  <si>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</si>
  <si>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</si>
  <si>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</si>
  <si>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</si>
  <si>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</si>
  <si>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</si>
  <si>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SAMANA</t>
  </si>
  <si>
    <t>SAN JOSE</t>
  </si>
  <si>
    <t>SUPIA</t>
  </si>
  <si>
    <t>VICTORIA</t>
  </si>
  <si>
    <t>VITERBO</t>
  </si>
  <si>
    <t>ALBANIA</t>
  </si>
  <si>
    <t>PUERTO RICO</t>
  </si>
  <si>
    <t>BELEN DE LOS ANDAQUIES</t>
  </si>
  <si>
    <t>CARTAGENA DEL CHAIRA</t>
  </si>
  <si>
    <t>CURILLO</t>
  </si>
  <si>
    <t>EL DONCELLO</t>
  </si>
  <si>
    <t>EL PAUJIL</t>
  </si>
  <si>
    <t>LA MONTAÑITA</t>
  </si>
  <si>
    <t>MILAN</t>
  </si>
  <si>
    <t>MORELIA</t>
  </si>
  <si>
    <t>SAN JOSE DEL FRAGUA</t>
  </si>
  <si>
    <t>SOLANO</t>
  </si>
  <si>
    <t>CHAMEZA</t>
  </si>
  <si>
    <t>HATO COROZAL</t>
  </si>
  <si>
    <t>LA SALINA</t>
  </si>
  <si>
    <t>MANI</t>
  </si>
  <si>
    <t>MONTERREY</t>
  </si>
  <si>
    <t>OROCUE</t>
  </si>
  <si>
    <t>PAZ DE ARIPORO</t>
  </si>
  <si>
    <t>PORE</t>
  </si>
  <si>
    <t>RECETOR</t>
  </si>
  <si>
    <t>SACAMA</t>
  </si>
  <si>
    <t>SAN LUIS DE PALENQUE</t>
  </si>
  <si>
    <t>TAMARA</t>
  </si>
  <si>
    <t>TAURAMENA</t>
  </si>
  <si>
    <t>TRINIDAD</t>
  </si>
  <si>
    <t>BALBOA</t>
  </si>
  <si>
    <t>LA VEGA</t>
  </si>
  <si>
    <t>SUAREZ</t>
  </si>
  <si>
    <t>ALMAGUER</t>
  </si>
  <si>
    <t>CAJIBIO</t>
  </si>
  <si>
    <t>CALDONO</t>
  </si>
  <si>
    <t>CALOTO</t>
  </si>
  <si>
    <t>CORINTO</t>
  </si>
  <si>
    <t>GUACHENE</t>
  </si>
  <si>
    <t>GUAPI</t>
  </si>
  <si>
    <t>INZA</t>
  </si>
  <si>
    <t>JAMBALO</t>
  </si>
  <si>
    <t>LA SIERRA</t>
  </si>
  <si>
    <t>LOPEZ</t>
  </si>
  <si>
    <t>MERCADERES</t>
  </si>
  <si>
    <t>MIRANDA</t>
  </si>
  <si>
    <t>PADILLA</t>
  </si>
  <si>
    <t>PATIA</t>
  </si>
  <si>
    <t>PIAMONTE</t>
  </si>
  <si>
    <t>PIENDAMO</t>
  </si>
  <si>
    <t>PUERTO TEJADA</t>
  </si>
  <si>
    <t>PURACE</t>
  </si>
  <si>
    <t>ROSAS</t>
  </si>
  <si>
    <t>SAN SEBASTIAN</t>
  </si>
  <si>
    <t>SANTANDER DE QUILICHAO</t>
  </si>
  <si>
    <t>SILVIA</t>
  </si>
  <si>
    <t>SOTARA</t>
  </si>
  <si>
    <t>TIMBIO</t>
  </si>
  <si>
    <t>TORIBIO</t>
  </si>
  <si>
    <t>TOTORO</t>
  </si>
  <si>
    <t>VILLA RICA</t>
  </si>
  <si>
    <t>LA PAZ</t>
  </si>
  <si>
    <t>MANAURE</t>
  </si>
  <si>
    <t>SAN MARTIN</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</si>
  <si>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</si>
  <si>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</si>
  <si>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</si>
  <si>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</si>
  <si>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</si>
  <si>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</si>
  <si>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</si>
  <si>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</si>
  <si>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</si>
  <si>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</si>
  <si>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</si>
  <si>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</si>
  <si>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</si>
  <si>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</si>
  <si>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</si>
  <si>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</si>
  <si>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</si>
  <si>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</si>
  <si>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</si>
  <si>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</si>
  <si>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</si>
  <si>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</si>
  <si>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</si>
  <si>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</si>
  <si>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</si>
  <si>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</si>
  <si>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</si>
  <si>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</si>
  <si>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</si>
  <si>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</si>
  <si>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</si>
  <si>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</si>
  <si>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</si>
  <si>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</si>
  <si>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</si>
  <si>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</si>
  <si>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</si>
  <si>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</si>
  <si>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</si>
  <si>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</si>
  <si>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</si>
  <si>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</si>
  <si>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</si>
  <si>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</si>
  <si>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</si>
  <si>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</si>
  <si>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</si>
  <si>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</si>
  <si>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</si>
  <si>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</si>
  <si>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</si>
  <si>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</si>
  <si>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</si>
  <si>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</si>
  <si>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</si>
  <si>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</si>
  <si>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</si>
  <si>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LORICA</t>
  </si>
  <si>
    <t>LOS CORDOBAS</t>
  </si>
  <si>
    <t>MOMIL</t>
  </si>
  <si>
    <t>MONTELIBANO</t>
  </si>
  <si>
    <t>MOÑITOS</t>
  </si>
  <si>
    <t>PUEBLO NUEVO</t>
  </si>
  <si>
    <t>PUERTO ESCONDIDO</t>
  </si>
  <si>
    <t>PUERTO LIBERTADOR</t>
  </si>
  <si>
    <t>PURISIMA</t>
  </si>
  <si>
    <t>SAN ANDRES SOTAVENTO</t>
  </si>
  <si>
    <t>SAN ANTERO</t>
  </si>
  <si>
    <t>SAN BERNARDO DEL VIENTO</t>
  </si>
  <si>
    <t>TIERRALTA</t>
  </si>
  <si>
    <t>ALBAN</t>
  </si>
  <si>
    <t>CABRERA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</si>
  <si>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</si>
  <si>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</si>
  <si>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</si>
  <si>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</si>
  <si>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</si>
  <si>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</si>
  <si>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</si>
  <si>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</si>
  <si>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</si>
  <si>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</si>
  <si>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</si>
  <si>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</si>
  <si>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</si>
  <si>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</si>
  <si>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</si>
  <si>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</si>
  <si>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</si>
  <si>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</si>
  <si>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</si>
  <si>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</si>
  <si>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</si>
  <si>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</si>
  <si>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CUCUNUBA</t>
  </si>
  <si>
    <t>EL COLEGIO</t>
  </si>
  <si>
    <t>EL ROSAL</t>
  </si>
  <si>
    <t>FACATATIVA</t>
  </si>
  <si>
    <t>FOMEQUE</t>
  </si>
  <si>
    <t>FOSCA</t>
  </si>
  <si>
    <t>FUNZA</t>
  </si>
  <si>
    <t>FUQUENE</t>
  </si>
  <si>
    <t>GACHALA</t>
  </si>
  <si>
    <t>GACHANCIPA</t>
  </si>
  <si>
    <t>GAMA</t>
  </si>
  <si>
    <t>GIRARDOT</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</si>
  <si>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</si>
  <si>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</si>
  <si>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</si>
  <si>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</si>
  <si>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</si>
  <si>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</si>
  <si>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</si>
  <si>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</si>
  <si>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</si>
  <si>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</si>
  <si>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</si>
  <si>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</si>
  <si>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</si>
  <si>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</si>
  <si>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</si>
  <si>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</si>
  <si>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</si>
  <si>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</si>
  <si>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</si>
  <si>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</si>
  <si>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</si>
  <si>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</si>
  <si>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</si>
  <si>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</si>
  <si>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</si>
  <si>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</si>
  <si>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</si>
  <si>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</si>
  <si>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</si>
  <si>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</si>
  <si>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</si>
  <si>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</si>
  <si>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</si>
  <si>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</si>
  <si>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</si>
  <si>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</si>
  <si>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</si>
  <si>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</si>
  <si>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</si>
  <si>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SOPO</t>
  </si>
  <si>
    <t>SUBACHOQUE</t>
  </si>
  <si>
    <t>SUESCA</t>
  </si>
  <si>
    <t>SUPATA</t>
  </si>
  <si>
    <t>SUSA</t>
  </si>
  <si>
    <t>SUTATAUSA</t>
  </si>
  <si>
    <t>TAUSA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</si>
  <si>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</si>
  <si>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</si>
  <si>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</si>
  <si>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</si>
  <si>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</si>
  <si>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</si>
  <si>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</si>
  <si>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</si>
  <si>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</si>
  <si>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</si>
  <si>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</si>
  <si>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</si>
  <si>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</si>
  <si>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</si>
  <si>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</si>
  <si>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</si>
  <si>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</si>
  <si>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</si>
  <si>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</si>
  <si>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GUAINIA</t>
  </si>
  <si>
    <t>BARRANCO MINAS</t>
  </si>
  <si>
    <t>CACAHUAL</t>
  </si>
  <si>
    <t>INIRIDA</t>
  </si>
  <si>
    <t>LA GUADALUPE</t>
  </si>
  <si>
    <t>MAPIRIPANA</t>
  </si>
  <si>
    <t>MORICHAL</t>
  </si>
  <si>
    <t>PANA PANA</t>
  </si>
  <si>
    <t>SAN FELIPE</t>
  </si>
  <si>
    <t>EL RETORNO</t>
  </si>
  <si>
    <t>ACEVEDO</t>
  </si>
  <si>
    <t>AGRADO</t>
  </si>
  <si>
    <t>AIPE</t>
  </si>
  <si>
    <t>ALGECIRAS</t>
  </si>
  <si>
    <t>ALTAMIRA</t>
  </si>
  <si>
    <t>BARAYA</t>
  </si>
  <si>
    <t>CAMPOALEGRE</t>
  </si>
  <si>
    <t>COLOMBIA</t>
  </si>
  <si>
    <t>ELIAS</t>
  </si>
  <si>
    <t>GIGANTE</t>
  </si>
  <si>
    <t>HOBO</t>
  </si>
  <si>
    <t>IQUIRA</t>
  </si>
  <si>
    <t>ISNOS</t>
  </si>
  <si>
    <t>LA ARGENTINA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</si>
  <si>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</si>
  <si>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</si>
  <si>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</si>
  <si>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</si>
  <si>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</si>
  <si>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</si>
  <si>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</si>
  <si>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</si>
  <si>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</si>
  <si>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</si>
  <si>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</si>
  <si>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</si>
  <si>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</si>
  <si>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</si>
  <si>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</si>
  <si>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</si>
  <si>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</si>
  <si>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BARRANCAS</t>
  </si>
  <si>
    <t>DIBULLA</t>
  </si>
  <si>
    <t>DISTRACCION</t>
  </si>
  <si>
    <t>EL MOLINO</t>
  </si>
  <si>
    <t>FONSECA</t>
  </si>
  <si>
    <t>HATONUEVO</t>
  </si>
  <si>
    <t>LA JAGUA DEL PILAR</t>
  </si>
  <si>
    <t>SAN JUAN DEL CESAR</t>
  </si>
  <si>
    <t>URIBIA</t>
  </si>
  <si>
    <t>URUMITA</t>
  </si>
  <si>
    <t>ARACATACA</t>
  </si>
  <si>
    <t>CERRO SAN ANTONIO</t>
  </si>
  <si>
    <t>CHIBOLO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</si>
  <si>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</si>
  <si>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</si>
  <si>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</si>
  <si>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</si>
  <si>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</si>
  <si>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</si>
  <si>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</si>
  <si>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</si>
  <si>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</si>
  <si>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</si>
  <si>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</si>
  <si>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</si>
  <si>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</si>
  <si>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</si>
  <si>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</si>
  <si>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</si>
  <si>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</si>
  <si>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</si>
  <si>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</si>
  <si>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RESTREPO</t>
  </si>
  <si>
    <t>ACACIAS</t>
  </si>
  <si>
    <t>BARRANCA DE UPIA</t>
  </si>
  <si>
    <t>CABUYARO</t>
  </si>
  <si>
    <t>CASTILLA LA NUEVA</t>
  </si>
  <si>
    <t>CUBARRAL</t>
  </si>
  <si>
    <t>CUMARAL</t>
  </si>
  <si>
    <t>EL CALVARIO</t>
  </si>
  <si>
    <t>EL CASTILLO</t>
  </si>
  <si>
    <t>EL DORADO</t>
  </si>
  <si>
    <t>FUENTE DE ORO</t>
  </si>
  <si>
    <t>LEJANIAS</t>
  </si>
  <si>
    <t>MAPIRIPAN</t>
  </si>
  <si>
    <t>MESETAS</t>
  </si>
  <si>
    <t>PUERTO CONCORDIA</t>
  </si>
  <si>
    <t>PUERTO LLERAS</t>
  </si>
  <si>
    <t>PUERTO LOPEZ</t>
  </si>
  <si>
    <t>SAN CARLOS DE GUAROA</t>
  </si>
  <si>
    <t>SAN JUAN DE ARAMA</t>
  </si>
  <si>
    <t>SAN JUANITO</t>
  </si>
  <si>
    <t>URIBE</t>
  </si>
  <si>
    <t>VISTAHERMOSA</t>
  </si>
  <si>
    <t>COLON</t>
  </si>
  <si>
    <t>PROVIDENCIA</t>
  </si>
  <si>
    <t>ALDANA</t>
  </si>
  <si>
    <t>ANCUYA</t>
  </si>
  <si>
    <t>ARBOLEDA</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</si>
  <si>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</si>
  <si>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</si>
  <si>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</si>
  <si>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</si>
  <si>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</si>
  <si>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</si>
  <si>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</si>
  <si>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</si>
  <si>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</si>
  <si>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</si>
  <si>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</si>
  <si>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</si>
  <si>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</si>
  <si>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</si>
  <si>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</si>
  <si>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</si>
  <si>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LA CRUZ</t>
  </si>
  <si>
    <t>LA FLORIDA</t>
  </si>
  <si>
    <t>LA TOLA</t>
  </si>
  <si>
    <t>LEIVA</t>
  </si>
  <si>
    <t>LINARES</t>
  </si>
  <si>
    <t>LOS ANDES</t>
  </si>
  <si>
    <t>MAGUI</t>
  </si>
  <si>
    <t>MALLAMA</t>
  </si>
  <si>
    <t>OLAYA HERRERA</t>
  </si>
  <si>
    <t>OSPINA</t>
  </si>
  <si>
    <t>POTOSI</t>
  </si>
  <si>
    <t>PUERRES</t>
  </si>
  <si>
    <t>PUPIALES</t>
  </si>
  <si>
    <t>SAN PEDRO DE CARTAGO</t>
  </si>
  <si>
    <t>SANTACRUZ</t>
  </si>
  <si>
    <t>SAPUYES</t>
  </si>
  <si>
    <t>TAMINANGO</t>
  </si>
  <si>
    <t>TANGUA</t>
  </si>
  <si>
    <t>YACUANQUER</t>
  </si>
  <si>
    <t>SANTIAGO</t>
  </si>
  <si>
    <t>ABREGO</t>
  </si>
  <si>
    <t>ARBOLEDAS</t>
  </si>
  <si>
    <t>BUCARASICA</t>
  </si>
  <si>
    <t>CACHIRA</t>
  </si>
  <si>
    <t>CACOTA</t>
  </si>
  <si>
    <t>CHINACOTA</t>
  </si>
  <si>
    <t>CHITAGA</t>
  </si>
  <si>
    <t>CUCUTILLA</t>
  </si>
  <si>
    <t>DURANIA</t>
  </si>
  <si>
    <t>EL CARMEN</t>
  </si>
  <si>
    <t>EL TARRA</t>
  </si>
  <si>
    <t>GRAMALOTE</t>
  </si>
  <si>
    <t>HACARI</t>
  </si>
  <si>
    <t>HERRAN</t>
  </si>
  <si>
    <t>LA ESPERANZA</t>
  </si>
  <si>
    <t>LA PLAYA</t>
  </si>
  <si>
    <t>LABATECA</t>
  </si>
  <si>
    <t>LOURDES</t>
  </si>
  <si>
    <t>MUTISCUA</t>
  </si>
  <si>
    <t>PAMPLONA</t>
  </si>
  <si>
    <t>PAMPLONITA</t>
  </si>
  <si>
    <t>RAGONVALIA</t>
  </si>
  <si>
    <t>SALAZAR</t>
  </si>
  <si>
    <t>SAN CALIXTO</t>
  </si>
  <si>
    <t>SARDINATA</t>
  </si>
  <si>
    <t>SILOS</t>
  </si>
  <si>
    <t>TIBU</t>
  </si>
  <si>
    <t>VILLA CARO</t>
  </si>
  <si>
    <t>SAN MIGUEL</t>
  </si>
  <si>
    <t>LEGUIZAMO</t>
  </si>
  <si>
    <t>ORITO</t>
  </si>
  <si>
    <t>PUERTO CAICEDO</t>
  </si>
  <si>
    <t>PUERTO GUZMAN</t>
  </si>
  <si>
    <t>VILLAGARZON</t>
  </si>
  <si>
    <t>CIRCASIA</t>
  </si>
  <si>
    <t>FILANDIA</t>
  </si>
  <si>
    <t>GENOVA</t>
  </si>
  <si>
    <t>LA TEBAIDA</t>
  </si>
  <si>
    <t>MONTENEGRO</t>
  </si>
  <si>
    <t>PIJAO</t>
  </si>
  <si>
    <t>QUIMBAYA</t>
  </si>
  <si>
    <t>SALENTO</t>
  </si>
  <si>
    <t>APIA</t>
  </si>
  <si>
    <t>BELEN DE UMBRIA</t>
  </si>
  <si>
    <t>GUATICA</t>
  </si>
  <si>
    <t>LA CELIA</t>
  </si>
  <si>
    <t>MARSELLA</t>
  </si>
  <si>
    <t>MISTRATO</t>
  </si>
  <si>
    <t>PUEBLO RICO</t>
  </si>
  <si>
    <t>QUINCHIA</t>
  </si>
  <si>
    <t>SANTA ROSA DE CABAL</t>
  </si>
  <si>
    <t>SANTUARIO</t>
  </si>
  <si>
    <t>ARCHIPIELAGO DE SAN ANDRES Y PROVIDENCIA</t>
  </si>
  <si>
    <t>SAN ANDRES</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</si>
  <si>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</si>
  <si>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</si>
  <si>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</si>
  <si>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</si>
  <si>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</si>
  <si>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</si>
  <si>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</si>
  <si>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</si>
  <si>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</si>
  <si>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</si>
  <si>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</si>
  <si>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</si>
  <si>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</si>
  <si>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</si>
  <si>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</si>
  <si>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</si>
  <si>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</si>
  <si>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</si>
  <si>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</si>
  <si>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</si>
  <si>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</si>
  <si>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</si>
  <si>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</si>
  <si>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</si>
  <si>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</si>
  <si>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</si>
  <si>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GUACA</t>
  </si>
  <si>
    <t>GUAPOTA</t>
  </si>
  <si>
    <t>GUAVATA</t>
  </si>
  <si>
    <t>GUEPSA</t>
  </si>
  <si>
    <t>HATO</t>
  </si>
  <si>
    <t>JESUS MARIA</t>
  </si>
  <si>
    <t>JORDAN</t>
  </si>
  <si>
    <t>LA BELLEZA</t>
  </si>
  <si>
    <t>LANDAZURI</t>
  </si>
  <si>
    <t>LOS SANTOS</t>
  </si>
  <si>
    <t>MACARAVITA</t>
  </si>
  <si>
    <t>MATANZA</t>
  </si>
  <si>
    <t>MOGOTES</t>
  </si>
  <si>
    <t>MOLAGAVITA</t>
  </si>
  <si>
    <t>OCAMONTE</t>
  </si>
  <si>
    <t>OIBA</t>
  </si>
  <si>
    <t>ONZAGA</t>
  </si>
  <si>
    <t>PALMAR</t>
  </si>
  <si>
    <t>PALMAS DEL SOCORRO</t>
  </si>
  <si>
    <t>PINCHOTE</t>
  </si>
  <si>
    <t>PUENTE NACIONAL</t>
  </si>
  <si>
    <t>PUERTO PARRA</t>
  </si>
  <si>
    <t>PUERTO WILCHES</t>
  </si>
  <si>
    <t>SABANA DE TORRES</t>
  </si>
  <si>
    <t>SAN BENITO</t>
  </si>
  <si>
    <t>SAN JOAQUIN</t>
  </si>
  <si>
    <t>SAN JOSE DE MIRANDA</t>
  </si>
  <si>
    <t>SAN VICENTE DE CHUCURI</t>
  </si>
  <si>
    <t>SANTA HELENA DEL OPON</t>
  </si>
  <si>
    <t>SIMACOTA</t>
  </si>
  <si>
    <t>SOCORRO</t>
  </si>
  <si>
    <t>SUAITA</t>
  </si>
  <si>
    <t>SURATA</t>
  </si>
  <si>
    <t>TONA</t>
  </si>
  <si>
    <t>VALLE DE SAN JOSE</t>
  </si>
  <si>
    <t>ZAPATOCA</t>
  </si>
  <si>
    <t>SAN PEDRO</t>
  </si>
  <si>
    <t>CAIMITO</t>
  </si>
  <si>
    <t>CHALAN</t>
  </si>
  <si>
    <t>COLOSO</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</si>
  <si>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</si>
  <si>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</si>
  <si>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</si>
  <si>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</si>
  <si>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</si>
  <si>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</si>
  <si>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</si>
  <si>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</si>
  <si>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</si>
  <si>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</si>
  <si>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</si>
  <si>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</si>
  <si>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</si>
  <si>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</si>
  <si>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</si>
  <si>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</si>
  <si>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</si>
  <si>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</si>
  <si>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</si>
  <si>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</si>
  <si>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</si>
  <si>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</si>
  <si>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</si>
  <si>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</si>
  <si>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</si>
  <si>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</si>
  <si>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</si>
  <si>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</si>
  <si>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</si>
  <si>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</si>
  <si>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</si>
  <si>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</si>
  <si>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</si>
  <si>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</si>
  <si>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</si>
  <si>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</si>
  <si>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</si>
  <si>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</si>
  <si>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</si>
  <si>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</si>
  <si>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</si>
  <si>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</si>
  <si>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</si>
  <si>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</si>
  <si>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</si>
  <si>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</si>
  <si>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</si>
  <si>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</si>
  <si>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</si>
  <si>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</si>
  <si>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</si>
  <si>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</si>
  <si>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</si>
  <si>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</si>
  <si>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</si>
  <si>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</si>
  <si>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</si>
  <si>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</si>
  <si>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</si>
  <si>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</si>
  <si>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ALCALA</t>
  </si>
  <si>
    <t>ANDALUCIA</t>
  </si>
  <si>
    <t>ANSERMANUEVO</t>
  </si>
  <si>
    <t>BUGALAGRANDE</t>
  </si>
  <si>
    <t>CAICEDONIA</t>
  </si>
  <si>
    <t>CALIMA</t>
  </si>
  <si>
    <t>DAGUA</t>
  </si>
  <si>
    <t>EL AGUILA</t>
  </si>
  <si>
    <t>EL CAIRO</t>
  </si>
  <si>
    <t>EL CERRITO</t>
  </si>
  <si>
    <t>EL DOVIO</t>
  </si>
  <si>
    <t>FLORIDA</t>
  </si>
  <si>
    <t>GINEBRA</t>
  </si>
  <si>
    <t>GUACARI</t>
  </si>
  <si>
    <t>GUADALAJARA DE BUGA</t>
  </si>
  <si>
    <t>LA CUMBRE</t>
  </si>
  <si>
    <t>OBANDO</t>
  </si>
  <si>
    <t>PRADERA</t>
  </si>
  <si>
    <t>RIOFRIO</t>
  </si>
  <si>
    <t>ROLDANILLO</t>
  </si>
  <si>
    <t>SEVILLA</t>
  </si>
  <si>
    <t>TORO</t>
  </si>
  <si>
    <t>TRUJILLO</t>
  </si>
  <si>
    <t>ULLOA</t>
  </si>
  <si>
    <t>VERSALLES</t>
  </si>
  <si>
    <t>VIJES</t>
  </si>
  <si>
    <t>YOTOCO</t>
  </si>
  <si>
    <t>CARURU</t>
  </si>
  <si>
    <t>VAUPES</t>
  </si>
  <si>
    <t>MITU</t>
  </si>
  <si>
    <t>PACOA</t>
  </si>
  <si>
    <t>PAPUNAUA</t>
  </si>
  <si>
    <t>TARAIRA</t>
  </si>
  <si>
    <t>YAVARATE</t>
  </si>
  <si>
    <t>CUMARIBO</t>
  </si>
  <si>
    <t>LA PRIMAVERA</t>
  </si>
  <si>
    <t>PUERTO CARREÑO</t>
  </si>
  <si>
    <t>TUCHIN</t>
  </si>
  <si>
    <t>SAN JOSE DE URE</t>
  </si>
  <si>
    <t>CENTRO_COSTO</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</si>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</sst>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 #,##0.00\ _€_-;\-* #,##0.00\ _€_-;_-* &quot;-&quot;??\ _€_-;_-@_-"/>
    <numFmt numFmtId="165" formatCode="_(&quot;$&quot;\ * #,##0.00_);_(&quot;$&quot;\ * \(#,##0.00\);_(&quot;$&quot;\ * &quot;-&quot;??_);_(@_)"/>
    <numFmt numFmtId="166" formatCode="&quot;$&quot;#,##0.00;\-&quot;$&quot;#,##0.00"/>
    <numFmt numFmtId="167" formatCode="_-&quot;$&quot;* #,##0.00_-;\-&quot;$&quot;* #,##0.00_-;_-&quot;$&quot;* &quot;-&quot;??_-;_-@_-"/>
    <numFmt numFmtId="168" formatCode="[$-240A]dddd\,\ dd&quot; de &quot;mmmm&quot; de &quot;yyyy"/>
    <numFmt numFmtId="169" formatCode="_(&quot;$&quot;\ * #,##0_);_(&quot;$&quot;\ * \(#,##0\);_(&quot;$&quot;\ * &quot;-&quot;??_);_(@_)"/>
    <numFmt numFmtId="170" formatCode="_-&quot;$&quot;* #,##0_-;\-&quot;$&quot;* #,##0_-;_-&quot;$&quot;* &quot;-&quot;??_-;_-@_-"/>
    <numFmt numFmtId="171" formatCode="[$-409]d\-m\-yy\ h:mm\ AM/PM;@"/>
    <numFmt numFmtId="172" formatCode="_-&quot;$&quot;* #,##0_-;\-&quot;$&quot;* #,##0_-;_-&quot;$&quot;* &quot;-&quot;_-;_-@_-"/>
    <numFmt numFmtId="173" formatCode="_ &quot;$&quot;\ * #,##0_ ;_ &quot;$&quot;\ * \-#,##0_ ;_ &quot;$&quot;\ * &quot;-&quot;??_ ;_ @_ "/>
    <numFmt numFmtId="174" formatCode="_ * #,##0.00_ ;_ * \-#,##0.00_ ;_ * &quot;-&quot;??_ ;_ @_ "/>
    <numFmt numFmtId="175" formatCode="&quot;$&quot;\ #,##0"/>
    <numFmt numFmtId="176" formatCode="_-[$$-240A]\ * #,##0_-;\-[$$-240A]\ * #,##0_-;_-[$$-240A]\ * &quot;-&quot;_-;_-@_-"/>
    <numFmt numFmtId="177" formatCode="dd/mm/yyyy;@"/>
    <numFmt numFmtId="178" formatCode="dd/mm/yyyy"/>
    <numFmt numFmtId="179" formatCode="dd/mm/yyyy\ hh:mm"/>
  </numFmts>
  <fonts count="26">
    <font>
      <sz val="11"/>
      <color theme="1"/>
      <name val="Calibri"/>
      <family val="2"/>
      <scheme val="minor"/>
    </font>
    <font>
      <sz val="11"/>
      <color theme="1"/>
      <name val="Calibri"/>
      <family val="2"/>
      <scheme val="minor"/>
    </font>
    <font>
      <sz val="10"/>
      <name val="Arial"/>
      <family val="2"/>
    </font>
    <font>
      <sz val="10"/>
      <color theme="1"/>
      <name val="Apex"/>
      <family val="2"/>
    </font>
    <font>
      <sz val="8"/>
      <color theme="1"/>
      <name val="Century Gothic"/>
      <family val="2"/>
    </font>
    <font>
      <sz val="11"/>
      <color indexed="8"/>
      <name val="Calibri"/>
      <family val="2"/>
    </font>
    <font>
      <sz val="10"/>
      <color rgb="FF000000"/>
      <name val="Arial"/>
      <family val="2"/>
    </font>
    <font>
      <u/>
      <sz val="11"/>
      <color theme="10"/>
      <name val="Calibri"/>
      <family val="2"/>
      <scheme val="minor"/>
    </font>
    <font>
      <sz val="12"/>
      <color theme="1"/>
      <name val="Trebuchet MS"/>
      <family val="2"/>
    </font>
    <font>
      <b/>
      <sz val="11"/>
      <color theme="1"/>
      <name val="Gelion Thin"/>
    </font>
    <font>
      <b/>
      <sz val="8"/>
      <name val="Gelion Thin"/>
    </font>
    <font>
      <sz val="8"/>
      <color rgb="FF000000"/>
      <name val="Gelion Thin"/>
    </font>
    <font>
      <sz val="8"/>
      <color theme="1"/>
      <name val="Gelion Thin"/>
    </font>
    <font>
      <b/>
      <sz val="1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10"/>
      <name val="Gelion Thin"/>
    </font>
    <font>
      <b/>
      <sz val="10"/>
      <name val="Gelion Thin"/>
    </font>
    <font>
      <b/>
      <sz val="10"/>
      <color rgb="FFC00000"/>
      <name val="Gelion Thin"/>
    </font>
    <font>
      <sz val="10"/>
      <color rgb="FFC00000"/>
      <name val="Gelion Thin"/>
    </font>
    <font>
      <sz val="11"/>
      <color rgb="FFC00000"/>
      <name val="Calibri"/>
      <family val="2"/>
      <scheme val="minor"/>
    </font>
    <font>
      <b/>
      <sz val="9"/>
      <color rgb="FFC00000"/>
      <name val="Gelion Thin"/>
    </font>
    <font>
      <sz val="10"/>
      <color theme="1"/>
      <name val="Gelion Thin"/>
    </font>
    <font>
      <sz val="8"/>
      <name val="Gelion Thin"/>
    </font>
  </fonts>
  <fills count="11">
    <fill>
      <patternFill patternType="none"/>
    </fill>
    <fill>
      <patternFill patternType="gray125"/>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B0F70A"/>
        <bgColor indexed="64"/>
      </patternFill>
    </fill>
    <fill>
      <patternFill patternType="solid">
        <fgColor theme="6"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85">
    <xf numFmtId="0" fontId="0" fillId="0" borderId="0"/>
    <xf numFmtId="167" fontId="1" fillId="0" borderId="0" applyFont="0" applyFill="0" applyBorder="0" applyAlignment="0" applyProtection="0"/>
    <xf numFmtId="165" fontId="1" fillId="0" borderId="0" applyFont="0" applyFill="0" applyBorder="0" applyAlignment="0" applyProtection="0"/>
    <xf numFmtId="0" fontId="2"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0" fontId="1" fillId="0" borderId="0"/>
    <xf numFmtId="165" fontId="2" fillId="0" borderId="0" applyFont="0" applyFill="0" applyBorder="0" applyAlignment="0" applyProtection="0"/>
    <xf numFmtId="0" fontId="3" fillId="0" borderId="0"/>
    <xf numFmtId="0" fontId="1" fillId="0" borderId="0"/>
    <xf numFmtId="0" fontId="2" fillId="0" borderId="0"/>
    <xf numFmtId="0" fontId="2" fillId="0" borderId="0"/>
    <xf numFmtId="171" fontId="2" fillId="0" borderId="0"/>
    <xf numFmtId="173" fontId="2" fillId="0" borderId="0" applyFont="0" applyFill="0" applyBorder="0" applyAlignment="0" applyProtection="0"/>
    <xf numFmtId="0" fontId="2" fillId="0" borderId="0"/>
    <xf numFmtId="0" fontId="2" fillId="0" borderId="0"/>
    <xf numFmtId="0" fontId="1" fillId="0" borderId="0"/>
    <xf numFmtId="0" fontId="2" fillId="0" borderId="0"/>
    <xf numFmtId="171" fontId="1" fillId="0" borderId="0"/>
    <xf numFmtId="0" fontId="5" fillId="0" borderId="0"/>
    <xf numFmtId="168" fontId="2" fillId="0" borderId="0"/>
    <xf numFmtId="171" fontId="1" fillId="0" borderId="0"/>
    <xf numFmtId="0" fontId="6" fillId="0" borderId="0"/>
    <xf numFmtId="0" fontId="6" fillId="0" borderId="0"/>
    <xf numFmtId="0" fontId="1" fillId="0" borderId="0"/>
    <xf numFmtId="0" fontId="1" fillId="0" borderId="0"/>
    <xf numFmtId="0" fontId="1" fillId="0" borderId="0"/>
    <xf numFmtId="43" fontId="1" fillId="0" borderId="0" applyFont="0" applyFill="0" applyBorder="0" applyAlignment="0" applyProtection="0"/>
    <xf numFmtId="0" fontId="2" fillId="0" borderId="0"/>
    <xf numFmtId="174" fontId="2" fillId="0" borderId="0" applyFont="0" applyFill="0" applyBorder="0" applyAlignment="0" applyProtection="0"/>
    <xf numFmtId="171" fontId="2" fillId="0" borderId="0"/>
    <xf numFmtId="0" fontId="1" fillId="0" borderId="0"/>
    <xf numFmtId="171" fontId="2" fillId="0" borderId="0"/>
    <xf numFmtId="0" fontId="2" fillId="0" borderId="0"/>
    <xf numFmtId="0" fontId="1" fillId="0" borderId="0"/>
    <xf numFmtId="0" fontId="1" fillId="0" borderId="0"/>
    <xf numFmtId="0" fontId="2" fillId="0" borderId="0"/>
    <xf numFmtId="43" fontId="2" fillId="0" borderId="0" applyFont="0" applyFill="0" applyBorder="0" applyAlignment="0" applyProtection="0"/>
    <xf numFmtId="0" fontId="2" fillId="0" borderId="0"/>
    <xf numFmtId="0" fontId="3" fillId="0" borderId="0"/>
    <xf numFmtId="0" fontId="1" fillId="0" borderId="0"/>
    <xf numFmtId="171" fontId="1" fillId="0" borderId="0"/>
    <xf numFmtId="0" fontId="1" fillId="0" borderId="0"/>
    <xf numFmtId="0" fontId="1" fillId="0" borderId="0"/>
    <xf numFmtId="174" fontId="2" fillId="0" borderId="0" applyFont="0" applyFill="0" applyBorder="0" applyAlignment="0" applyProtection="0"/>
    <xf numFmtId="0" fontId="1" fillId="0" borderId="0"/>
    <xf numFmtId="0" fontId="1" fillId="0" borderId="0"/>
    <xf numFmtId="0" fontId="1" fillId="0" borderId="0"/>
    <xf numFmtId="0" fontId="1" fillId="0" borderId="0"/>
    <xf numFmtId="0" fontId="7" fillId="0" borderId="0" applyNumberForma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167" fontId="3" fillId="0" borderId="0" applyFont="0" applyFill="0" applyBorder="0" applyAlignment="0" applyProtection="0"/>
    <xf numFmtId="165" fontId="1" fillId="0" borderId="0" applyFont="0" applyFill="0" applyBorder="0" applyAlignment="0" applyProtection="0"/>
    <xf numFmtId="171"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71" fontId="2" fillId="0" borderId="0"/>
    <xf numFmtId="174" fontId="2" fillId="0" borderId="0" applyFont="0" applyFill="0" applyBorder="0" applyAlignment="0" applyProtection="0"/>
    <xf numFmtId="0" fontId="1" fillId="0" borderId="0"/>
    <xf numFmtId="172" fontId="2"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cellStyleXfs>
  <cellXfs count="110">
    <xf numFmtId="0" fontId="0" fillId="0" borderId="0" xfId="0"/>
    <xf numFmtId="0" fontId="4" fillId="0" borderId="0" xfId="0" applyFont="1"/>
    <xf numFmtId="43" fontId="0" fillId="0" borderId="0" xfId="0" applyNumberFormat="1"/>
    <xf numFmtId="170" fontId="0" fillId="0" borderId="0" xfId="0" applyNumberFormat="1"/>
    <xf numFmtId="0" fontId="11" fillId="0" borderId="1" xfId="0" applyFont="1" applyBorder="1" applyAlignment="1">
      <alignment vertical="center" wrapText="1"/>
    </xf>
    <xf numFmtId="0" fontId="11" fillId="0" borderId="1" xfId="0" applyFont="1" applyBorder="1" applyAlignment="1">
      <alignment horizontal="center" vertical="center" wrapText="1"/>
    </xf>
    <xf numFmtId="170" fontId="11" fillId="0" borderId="1" xfId="0" applyNumberFormat="1" applyFont="1" applyBorder="1" applyAlignment="1">
      <alignment vertical="center" wrapText="1"/>
    </xf>
    <xf numFmtId="0" fontId="12" fillId="0" borderId="0" xfId="0" applyFont="1"/>
    <xf numFmtId="165" fontId="12" fillId="0" borderId="1" xfId="4"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169" fontId="12" fillId="0" borderId="0" xfId="0" applyNumberFormat="1" applyFont="1"/>
    <xf numFmtId="0" fontId="9" fillId="0" borderId="1" xfId="84" applyFont="1" applyBorder="1"/>
    <xf numFmtId="0" fontId="1" fillId="0" borderId="0" xfId="84"/>
    <xf numFmtId="0" fontId="10" fillId="2" borderId="1" xfId="0" applyFont="1" applyFill="1" applyBorder="1" applyAlignment="1">
      <alignment vertical="center" wrapText="1"/>
    </xf>
    <xf numFmtId="17" fontId="11" fillId="0" borderId="1" xfId="0" applyNumberFormat="1" applyFont="1" applyBorder="1" applyAlignment="1">
      <alignment vertical="center" wrapText="1"/>
    </xf>
    <xf numFmtId="0" fontId="10" fillId="2" borderId="1" xfId="0" applyFont="1" applyFill="1" applyBorder="1" applyAlignment="1">
      <alignment horizontal="center" vertical="center" wrapText="1"/>
    </xf>
    <xf numFmtId="170" fontId="10" fillId="2" borderId="1" xfId="1" applyNumberFormat="1" applyFont="1" applyFill="1" applyBorder="1" applyAlignment="1">
      <alignment vertical="center" wrapText="1"/>
    </xf>
    <xf numFmtId="166" fontId="10" fillId="2" borderId="1" xfId="0" applyNumberFormat="1" applyFont="1" applyFill="1" applyBorder="1" applyAlignment="1">
      <alignment horizontal="left" vertical="center" wrapText="1"/>
    </xf>
    <xf numFmtId="0" fontId="14" fillId="3" borderId="1" xfId="0" applyFont="1" applyFill="1" applyBorder="1" applyAlignment="1">
      <alignment wrapText="1"/>
    </xf>
    <xf numFmtId="0" fontId="14" fillId="3" borderId="5" xfId="0" applyFont="1" applyFill="1" applyBorder="1" applyAlignment="1">
      <alignment wrapText="1"/>
    </xf>
    <xf numFmtId="0" fontId="14" fillId="4" borderId="5" xfId="0" applyFont="1" applyFill="1" applyBorder="1" applyAlignment="1">
      <alignment wrapText="1"/>
    </xf>
    <xf numFmtId="0" fontId="15" fillId="0" borderId="3" xfId="0" applyFont="1" applyBorder="1"/>
    <xf numFmtId="0" fontId="15" fillId="5" borderId="7" xfId="0" applyFont="1" applyFill="1" applyBorder="1"/>
    <xf numFmtId="0" fontId="15" fillId="0" borderId="7" xfId="0" applyFont="1" applyBorder="1"/>
    <xf numFmtId="0" fontId="16" fillId="0" borderId="7" xfId="0" applyFont="1" applyBorder="1"/>
    <xf numFmtId="0" fontId="15" fillId="6" borderId="7" xfId="0" applyFont="1" applyFill="1" applyBorder="1"/>
    <xf numFmtId="0" fontId="10" fillId="2" borderId="4" xfId="12" applyFont="1" applyFill="1" applyBorder="1" applyAlignment="1">
      <alignment horizontal="center"/>
    </xf>
    <xf numFmtId="175" fontId="10" fillId="2" borderId="7" xfId="12" applyNumberFormat="1" applyFont="1" applyFill="1" applyBorder="1" applyAlignment="1">
      <alignment horizontal="center" vertical="center"/>
    </xf>
    <xf numFmtId="175" fontId="10" fillId="2" borderId="3" xfId="12" applyNumberFormat="1" applyFont="1" applyFill="1" applyBorder="1" applyAlignment="1">
      <alignment horizontal="center" vertical="center"/>
    </xf>
    <xf numFmtId="0" fontId="17" fillId="0" borderId="1" xfId="0" applyFont="1" applyBorder="1"/>
    <xf numFmtId="0" fontId="17" fillId="0" borderId="5" xfId="0" applyFont="1" applyBorder="1"/>
    <xf numFmtId="0" fontId="17" fillId="0" borderId="3" xfId="0" applyFont="1" applyBorder="1"/>
    <xf numFmtId="0" fontId="17" fillId="0" borderId="7" xfId="0" applyFont="1" applyBorder="1"/>
    <xf numFmtId="0" fontId="0" fillId="0" borderId="0" xfId="0" pivotButton="1"/>
    <xf numFmtId="10" fontId="0" fillId="0" borderId="0" xfId="0" applyNumberFormat="1"/>
    <xf numFmtId="176" fontId="0" fillId="0" borderId="0" xfId="0" applyNumberFormat="1"/>
    <xf numFmtId="0" fontId="0" fillId="8" borderId="0" xfId="0" applyFill="1"/>
    <xf numFmtId="10" fontId="4" fillId="8" borderId="0" xfId="0" applyNumberFormat="1" applyFont="1" applyFill="1" applyAlignment="1">
      <alignment horizontal="center"/>
    </xf>
    <xf numFmtId="169" fontId="12" fillId="9" borderId="1" xfId="4" applyNumberFormat="1" applyFont="1" applyFill="1" applyBorder="1" applyAlignment="1">
      <alignment horizontal="center" vertical="center"/>
    </xf>
    <xf numFmtId="169" fontId="12" fillId="9" borderId="2" xfId="4" applyNumberFormat="1" applyFont="1" applyFill="1" applyBorder="1" applyAlignment="1">
      <alignment horizontal="center" vertical="center"/>
    </xf>
    <xf numFmtId="169" fontId="12" fillId="9" borderId="1" xfId="4" applyNumberFormat="1" applyFont="1" applyFill="1" applyBorder="1" applyAlignment="1">
      <alignment vertical="center" wrapText="1"/>
    </xf>
    <xf numFmtId="169" fontId="12" fillId="9" borderId="1" xfId="4" applyNumberFormat="1" applyFont="1" applyFill="1" applyBorder="1" applyAlignment="1">
      <alignment horizontal="center"/>
    </xf>
    <xf numFmtId="0" fontId="19" fillId="7" borderId="1" xfId="0" applyFont="1" applyFill="1" applyBorder="1" applyAlignment="1" applyProtection="1">
      <alignment horizontal="center" vertical="center" wrapText="1"/>
      <protection locked="0"/>
    </xf>
    <xf numFmtId="0" fontId="18" fillId="0" borderId="1" xfId="0" applyFont="1" applyBorder="1" applyAlignment="1">
      <alignment horizontal="center" vertical="center"/>
    </xf>
    <xf numFmtId="0" fontId="18" fillId="0" borderId="0" xfId="0" applyFont="1"/>
    <xf numFmtId="168" fontId="19" fillId="7" borderId="1" xfId="0" applyNumberFormat="1" applyFont="1" applyFill="1" applyBorder="1" applyAlignment="1">
      <alignment horizontal="center" vertical="center" wrapText="1"/>
    </xf>
    <xf numFmtId="168" fontId="19" fillId="7" borderId="1" xfId="0" applyNumberFormat="1" applyFont="1" applyFill="1" applyBorder="1" applyAlignment="1" applyProtection="1">
      <alignment horizontal="center" vertical="center" wrapText="1"/>
      <protection locked="0"/>
    </xf>
    <xf numFmtId="170" fontId="18" fillId="0" borderId="1" xfId="1" applyNumberFormat="1" applyFont="1" applyFill="1" applyBorder="1" applyAlignment="1">
      <alignment horizontal="left"/>
    </xf>
    <xf numFmtId="175" fontId="10" fillId="2" borderId="8" xfId="12" applyNumberFormat="1" applyFont="1" applyFill="1" applyBorder="1" applyAlignment="1">
      <alignment horizontal="center" vertical="center"/>
    </xf>
    <xf numFmtId="9" fontId="0" fillId="0" borderId="0" xfId="0" applyNumberFormat="1"/>
    <xf numFmtId="170" fontId="0" fillId="0" borderId="0" xfId="1" applyNumberFormat="1" applyFont="1"/>
    <xf numFmtId="170" fontId="18" fillId="0" borderId="2" xfId="1" applyNumberFormat="1" applyFont="1" applyFill="1" applyBorder="1" applyAlignment="1">
      <alignment horizontal="left"/>
    </xf>
    <xf numFmtId="170" fontId="19" fillId="7" borderId="1" xfId="1" applyNumberFormat="1" applyFont="1" applyFill="1" applyBorder="1" applyAlignment="1">
      <alignment horizontal="center" vertical="center" wrapText="1"/>
    </xf>
    <xf numFmtId="169" fontId="18" fillId="0" borderId="1" xfId="6" applyNumberFormat="1" applyFont="1" applyFill="1" applyBorder="1" applyAlignment="1">
      <alignment horizontal="center"/>
    </xf>
    <xf numFmtId="175" fontId="10" fillId="2" borderId="4" xfId="12" applyNumberFormat="1" applyFont="1" applyFill="1" applyBorder="1" applyAlignment="1">
      <alignment horizontal="center" vertical="center"/>
    </xf>
    <xf numFmtId="0" fontId="21" fillId="0" borderId="0" xfId="0" applyFont="1"/>
    <xf numFmtId="14" fontId="21" fillId="0" borderId="0" xfId="0" applyNumberFormat="1" applyFont="1"/>
    <xf numFmtId="0" fontId="22" fillId="0" borderId="0" xfId="0" applyFont="1"/>
    <xf numFmtId="0" fontId="22" fillId="0" borderId="0" xfId="0" applyFont="1" applyAlignment="1">
      <alignment horizontal="center"/>
    </xf>
    <xf numFmtId="169" fontId="23" fillId="0" borderId="3" xfId="6" applyNumberFormat="1" applyFont="1" applyFill="1" applyBorder="1" applyAlignment="1">
      <alignment horizontal="center"/>
    </xf>
    <xf numFmtId="14" fontId="19" fillId="7" borderId="4" xfId="0" applyNumberFormat="1" applyFont="1" applyFill="1" applyBorder="1" applyAlignment="1" applyProtection="1">
      <alignment horizontal="center" vertical="center" wrapText="1"/>
      <protection locked="0"/>
    </xf>
    <xf numFmtId="168" fontId="19" fillId="7" borderId="4" xfId="0" applyNumberFormat="1" applyFont="1" applyFill="1" applyBorder="1" applyAlignment="1">
      <alignment horizontal="center" vertical="center" wrapText="1"/>
    </xf>
    <xf numFmtId="167" fontId="19" fillId="7" borderId="1" xfId="78" applyFont="1" applyFill="1" applyBorder="1" applyAlignment="1">
      <alignment horizontal="center" vertical="center" wrapText="1"/>
    </xf>
    <xf numFmtId="0" fontId="19" fillId="0" borderId="0" xfId="0" applyFont="1" applyAlignment="1">
      <alignment wrapText="1"/>
    </xf>
    <xf numFmtId="0" fontId="19" fillId="7" borderId="1" xfId="0" applyFont="1" applyFill="1" applyBorder="1" applyAlignment="1">
      <alignment horizontal="center" vertical="center" wrapText="1"/>
    </xf>
    <xf numFmtId="0" fontId="18" fillId="0" borderId="1" xfId="0" applyFont="1" applyBorder="1" applyAlignment="1">
      <alignment horizontal="center"/>
    </xf>
    <xf numFmtId="49" fontId="18" fillId="0" borderId="1" xfId="0" applyNumberFormat="1" applyFont="1" applyBorder="1" applyAlignment="1">
      <alignment horizontal="center"/>
    </xf>
    <xf numFmtId="0" fontId="20" fillId="0" borderId="0" xfId="0" applyFont="1" applyAlignment="1">
      <alignment wrapText="1"/>
    </xf>
    <xf numFmtId="0" fontId="18" fillId="0" borderId="1" xfId="0" applyFont="1" applyBorder="1"/>
    <xf numFmtId="179" fontId="18" fillId="0" borderId="1" xfId="0" applyNumberFormat="1" applyFont="1" applyBorder="1"/>
    <xf numFmtId="170" fontId="21" fillId="0" borderId="0" xfId="0" applyNumberFormat="1" applyFont="1"/>
    <xf numFmtId="0" fontId="18" fillId="0" borderId="4" xfId="0" applyFont="1" applyBorder="1" applyAlignment="1">
      <alignment horizontal="left"/>
    </xf>
    <xf numFmtId="0" fontId="18" fillId="0" borderId="1" xfId="0" applyFont="1" applyBorder="1" applyAlignment="1">
      <alignment horizontal="left"/>
    </xf>
    <xf numFmtId="0" fontId="18" fillId="0" borderId="4" xfId="0" applyFont="1" applyBorder="1" applyAlignment="1" applyProtection="1">
      <alignment horizontal="left"/>
      <protection locked="0"/>
    </xf>
    <xf numFmtId="1" fontId="18" fillId="0" borderId="4" xfId="0" applyNumberFormat="1" applyFont="1" applyBorder="1" applyAlignment="1">
      <alignment horizontal="left"/>
    </xf>
    <xf numFmtId="0" fontId="18" fillId="0" borderId="9" xfId="0" applyFont="1" applyBorder="1" applyAlignment="1" applyProtection="1">
      <alignment horizontal="left"/>
      <protection locked="0"/>
    </xf>
    <xf numFmtId="0" fontId="24" fillId="0" borderId="4" xfId="0" applyFont="1" applyBorder="1" applyAlignment="1" applyProtection="1">
      <alignment horizontal="left" vertical="center"/>
      <protection locked="0"/>
    </xf>
    <xf numFmtId="0" fontId="18" fillId="10" borderId="4" xfId="0" applyFont="1" applyFill="1" applyBorder="1" applyAlignment="1" applyProtection="1">
      <alignment horizontal="left"/>
      <protection locked="0"/>
    </xf>
    <xf numFmtId="0" fontId="24" fillId="0" borderId="1" xfId="0" applyFont="1" applyBorder="1"/>
    <xf numFmtId="177" fontId="18" fillId="0" borderId="4" xfId="0" applyNumberFormat="1" applyFont="1" applyBorder="1" applyAlignment="1" applyProtection="1">
      <alignment horizontal="left" vertical="center"/>
      <protection locked="0"/>
    </xf>
    <xf numFmtId="14" fontId="18" fillId="0" borderId="4" xfId="0" applyNumberFormat="1" applyFont="1" applyBorder="1" applyAlignment="1" applyProtection="1">
      <alignment horizontal="left" vertical="center"/>
      <protection locked="0"/>
    </xf>
    <xf numFmtId="178" fontId="24" fillId="0" borderId="1" xfId="0" applyNumberFormat="1" applyFont="1" applyBorder="1" applyAlignment="1" applyProtection="1">
      <alignment horizontal="left" vertical="center"/>
      <protection locked="0"/>
    </xf>
    <xf numFmtId="0" fontId="24" fillId="0" borderId="1" xfId="0" applyFont="1" applyBorder="1" applyAlignment="1" applyProtection="1">
      <alignment horizontal="left" vertical="center"/>
      <protection locked="0"/>
    </xf>
    <xf numFmtId="0" fontId="18" fillId="0" borderId="1" xfId="0" applyFont="1" applyBorder="1" applyAlignment="1" applyProtection="1">
      <alignment horizontal="left"/>
      <protection locked="0"/>
    </xf>
    <xf numFmtId="14" fontId="24" fillId="0" borderId="4" xfId="0" applyNumberFormat="1" applyFont="1" applyBorder="1" applyAlignment="1" applyProtection="1">
      <alignment horizontal="left" vertical="center"/>
      <protection locked="0"/>
    </xf>
    <xf numFmtId="0" fontId="18" fillId="10" borderId="4" xfId="0" applyFont="1" applyFill="1" applyBorder="1" applyAlignment="1">
      <alignment horizontal="left"/>
    </xf>
    <xf numFmtId="14" fontId="24" fillId="0" borderId="1" xfId="0" applyNumberFormat="1" applyFont="1" applyBorder="1" applyAlignment="1" applyProtection="1">
      <alignment horizontal="left" vertical="center"/>
      <protection locked="0"/>
    </xf>
    <xf numFmtId="0" fontId="18" fillId="0" borderId="1" xfId="0" applyFont="1" applyBorder="1" applyAlignment="1" applyProtection="1">
      <alignment horizontal="left" vertical="center"/>
      <protection locked="0"/>
    </xf>
    <xf numFmtId="1" fontId="18" fillId="0" borderId="1" xfId="0" applyNumberFormat="1" applyFont="1" applyBorder="1" applyAlignment="1">
      <alignment horizontal="left"/>
    </xf>
    <xf numFmtId="0" fontId="18" fillId="0" borderId="5" xfId="0" applyFont="1" applyBorder="1" applyAlignment="1" applyProtection="1">
      <alignment horizontal="left"/>
      <protection locked="0"/>
    </xf>
    <xf numFmtId="0" fontId="18" fillId="10" borderId="1" xfId="0" applyFont="1" applyFill="1" applyBorder="1" applyAlignment="1" applyProtection="1">
      <alignment horizontal="left"/>
      <protection locked="0"/>
    </xf>
    <xf numFmtId="177" fontId="18" fillId="0" borderId="1" xfId="0" applyNumberFormat="1" applyFont="1" applyBorder="1" applyAlignment="1" applyProtection="1">
      <alignment horizontal="left" vertical="center"/>
      <protection locked="0"/>
    </xf>
    <xf numFmtId="14" fontId="18" fillId="0" borderId="1" xfId="0" applyNumberFormat="1" applyFont="1" applyBorder="1" applyAlignment="1" applyProtection="1">
      <alignment horizontal="left" vertical="center"/>
      <protection locked="0"/>
    </xf>
    <xf numFmtId="0" fontId="25" fillId="0" borderId="1" xfId="0" applyFont="1" applyBorder="1" applyAlignment="1">
      <alignment horizontal="center" vertical="center"/>
    </xf>
    <xf numFmtId="170" fontId="25" fillId="0" borderId="1" xfId="1" applyNumberFormat="1" applyFont="1" applyBorder="1" applyAlignment="1">
      <alignment horizontal="center" vertical="center"/>
    </xf>
    <xf numFmtId="169" fontId="25" fillId="0" borderId="1" xfId="12" applyNumberFormat="1" applyFont="1" applyBorder="1" applyAlignment="1">
      <alignment vertical="center"/>
    </xf>
    <xf numFmtId="0" fontId="13" fillId="2" borderId="1" xfId="0" applyFont="1" applyFill="1" applyBorder="1" applyAlignment="1">
      <alignment horizontal="center"/>
    </xf>
    <xf numFmtId="0" fontId="13" fillId="2" borderId="1" xfId="0" applyFont="1" applyFill="1" applyBorder="1" applyAlignment="1">
      <alignment horizontal="center" vertical="center"/>
    </xf>
    <xf numFmtId="0" fontId="10" fillId="2" borderId="2" xfId="12" applyFont="1" applyFill="1" applyBorder="1" applyAlignment="1">
      <alignment horizontal="center"/>
    </xf>
    <xf numFmtId="0" fontId="10" fillId="2" borderId="6" xfId="12" applyFont="1" applyFill="1" applyBorder="1" applyAlignment="1">
      <alignment horizontal="center"/>
    </xf>
    <xf numFmtId="0" fontId="10" fillId="2" borderId="5" xfId="12" applyFont="1" applyFill="1" applyBorder="1" applyAlignment="1">
      <alignment horizontal="center"/>
    </xf>
    <xf numFmtId="0" fontId="10" fillId="2" borderId="2" xfId="0" applyFont="1" applyFill="1" applyBorder="1" applyAlignment="1">
      <alignment horizontal="center"/>
    </xf>
    <xf numFmtId="0" fontId="10" fillId="2" borderId="6" xfId="0" applyFont="1" applyFill="1" applyBorder="1" applyAlignment="1">
      <alignment horizontal="center"/>
    </xf>
    <xf numFmtId="0" fontId="10" fillId="2" borderId="5" xfId="0" applyFont="1" applyFill="1" applyBorder="1" applyAlignment="1">
      <alignment horizontal="center"/>
    </xf>
    <xf numFmtId="0" fontId="10" fillId="2" borderId="2"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1" xfId="0" applyFont="1" applyBorder="1" applyAlignment="1">
      <alignment horizontal="left" vertical="center" wrapText="1"/>
    </xf>
    <xf numFmtId="0" fontId="0" fillId="0" borderId="0" xfId="0" applyNumberFormat="1"/>
  </cellXfs>
  <cellStyles count="85">
    <cellStyle name="Excel Built-in Normal" xfId="20" xr:uid="{00000000-0005-0000-0000-000000000000}"/>
    <cellStyle name="Hyperlink" xfId="50" xr:uid="{00000000-0005-0000-0000-000001000000}"/>
    <cellStyle name="Millares 2" xfId="28" xr:uid="{00000000-0005-0000-0000-000002000000}"/>
    <cellStyle name="Millares 2 2" xfId="38" xr:uid="{00000000-0005-0000-0000-000003000000}"/>
    <cellStyle name="Millares 2 3" xfId="52" xr:uid="{00000000-0005-0000-0000-000004000000}"/>
    <cellStyle name="Millares 3" xfId="53" xr:uid="{00000000-0005-0000-0000-000005000000}"/>
    <cellStyle name="Moneda" xfId="1" builtinId="4"/>
    <cellStyle name="Moneda [0] 2" xfId="74" xr:uid="{00000000-0005-0000-0000-000007000000}"/>
    <cellStyle name="Moneda 2" xfId="6" xr:uid="{00000000-0005-0000-0000-000008000000}"/>
    <cellStyle name="Moneda 2 10" xfId="8" xr:uid="{00000000-0005-0000-0000-000009000000}"/>
    <cellStyle name="Moneda 2 10 2" xfId="79" xr:uid="{00000000-0005-0000-0000-00000A000000}"/>
    <cellStyle name="Moneda 2 2 2" xfId="2" xr:uid="{00000000-0005-0000-0000-00000B000000}"/>
    <cellStyle name="Moneda 3" xfId="54" xr:uid="{00000000-0005-0000-0000-00000C000000}"/>
    <cellStyle name="Moneda 3 7" xfId="83" xr:uid="{00000000-0005-0000-0000-00000D000000}"/>
    <cellStyle name="Moneda 4" xfId="4" xr:uid="{00000000-0005-0000-0000-00000E000000}"/>
    <cellStyle name="Moneda 4 2" xfId="55" xr:uid="{00000000-0005-0000-0000-00000F000000}"/>
    <cellStyle name="Moneda 4 3" xfId="80" xr:uid="{00000000-0005-0000-0000-000010000000}"/>
    <cellStyle name="Moneda 5" xfId="78" xr:uid="{00000000-0005-0000-0000-000011000000}"/>
    <cellStyle name="Moneda 6" xfId="82" xr:uid="{00000000-0005-0000-0000-000012000000}"/>
    <cellStyle name="Normal" xfId="0" builtinId="0"/>
    <cellStyle name="Normal 10" xfId="40" xr:uid="{00000000-0005-0000-0000-000014000000}"/>
    <cellStyle name="Normal 10 2 10" xfId="22" xr:uid="{00000000-0005-0000-0000-000015000000}"/>
    <cellStyle name="Normal 10 2 10 2" xfId="56" xr:uid="{00000000-0005-0000-0000-000016000000}"/>
    <cellStyle name="Normal 10 2 10 3" xfId="42" xr:uid="{00000000-0005-0000-0000-000017000000}"/>
    <cellStyle name="Normal 10 2 10 50" xfId="32" xr:uid="{00000000-0005-0000-0000-000018000000}"/>
    <cellStyle name="Normal 10 2 10 50 2" xfId="57" xr:uid="{00000000-0005-0000-0000-000019000000}"/>
    <cellStyle name="Normal 11" xfId="75" xr:uid="{00000000-0005-0000-0000-00001A000000}"/>
    <cellStyle name="Normal 12" xfId="76" xr:uid="{00000000-0005-0000-0000-00001B000000}"/>
    <cellStyle name="Normal 15" xfId="29" xr:uid="{00000000-0005-0000-0000-00001C000000}"/>
    <cellStyle name="Normal 17" xfId="30" xr:uid="{00000000-0005-0000-0000-00001D000000}"/>
    <cellStyle name="Normal 172" xfId="9" xr:uid="{00000000-0005-0000-0000-00001E000000}"/>
    <cellStyle name="Normal 177" xfId="84" xr:uid="{6A08ECF3-ED3A-4B44-B418-34DE397D8929}"/>
    <cellStyle name="Normal 2" xfId="17" xr:uid="{00000000-0005-0000-0000-00001F000000}"/>
    <cellStyle name="Normal 2 10" xfId="11" xr:uid="{00000000-0005-0000-0000-000020000000}"/>
    <cellStyle name="Normal 2 10 2" xfId="12" xr:uid="{00000000-0005-0000-0000-000021000000}"/>
    <cellStyle name="Normal 2 10 3" xfId="25" xr:uid="{00000000-0005-0000-0000-000022000000}"/>
    <cellStyle name="Normal 2 2" xfId="19" xr:uid="{00000000-0005-0000-0000-000023000000}"/>
    <cellStyle name="Normal 2 2 2" xfId="3" xr:uid="{00000000-0005-0000-0000-000024000000}"/>
    <cellStyle name="Normal 2 2 2 2" xfId="13" xr:uid="{00000000-0005-0000-0000-000025000000}"/>
    <cellStyle name="Normal 2 2 2 2 2" xfId="33" xr:uid="{00000000-0005-0000-0000-000026000000}"/>
    <cellStyle name="Normal 2 2 2 2 3" xfId="58" xr:uid="{00000000-0005-0000-0000-000027000000}"/>
    <cellStyle name="Normal 2 2 2 2 6 2" xfId="7" xr:uid="{00000000-0005-0000-0000-000028000000}"/>
    <cellStyle name="Normal 2 2 2 2 6 2 2" xfId="77" xr:uid="{00000000-0005-0000-0000-000029000000}"/>
    <cellStyle name="Normal 2 2 2 2 6 2 3" xfId="81" xr:uid="{00000000-0005-0000-0000-00002A000000}"/>
    <cellStyle name="Normal 2 2 2 3" xfId="5" xr:uid="{00000000-0005-0000-0000-00002B000000}"/>
    <cellStyle name="Normal 2 2 2 3 49" xfId="39" xr:uid="{00000000-0005-0000-0000-00002C000000}"/>
    <cellStyle name="Normal 2 2 2 4" xfId="21" xr:uid="{00000000-0005-0000-0000-00002D000000}"/>
    <cellStyle name="Normal 2 2 3" xfId="35" xr:uid="{00000000-0005-0000-0000-00002E000000}"/>
    <cellStyle name="Normal 2 2 3 2" xfId="59" xr:uid="{00000000-0005-0000-0000-00002F000000}"/>
    <cellStyle name="Normal 2 2 4" xfId="26" xr:uid="{00000000-0005-0000-0000-000030000000}"/>
    <cellStyle name="Normal 2 2 4 2" xfId="60" xr:uid="{00000000-0005-0000-0000-000031000000}"/>
    <cellStyle name="Normal 2 2 5" xfId="43" xr:uid="{00000000-0005-0000-0000-000032000000}"/>
    <cellStyle name="Normal 2 2 52" xfId="61" xr:uid="{00000000-0005-0000-0000-000033000000}"/>
    <cellStyle name="Normal 2 3" xfId="36" xr:uid="{00000000-0005-0000-0000-000034000000}"/>
    <cellStyle name="Normal 2 3 2" xfId="62" xr:uid="{00000000-0005-0000-0000-000035000000}"/>
    <cellStyle name="Normal 2 4" xfId="23" xr:uid="{00000000-0005-0000-0000-000036000000}"/>
    <cellStyle name="Normal 2 4 2" xfId="63" xr:uid="{00000000-0005-0000-0000-000037000000}"/>
    <cellStyle name="Normal 2 41" xfId="31" xr:uid="{00000000-0005-0000-0000-000038000000}"/>
    <cellStyle name="Normal 2 5" xfId="41" xr:uid="{00000000-0005-0000-0000-000039000000}"/>
    <cellStyle name="Normal 3" xfId="24" xr:uid="{00000000-0005-0000-0000-00003A000000}"/>
    <cellStyle name="Normal 3 2" xfId="64" xr:uid="{00000000-0005-0000-0000-00003B000000}"/>
    <cellStyle name="Normal 3 3" xfId="65" xr:uid="{00000000-0005-0000-0000-00003C000000}"/>
    <cellStyle name="Normal 3 4" xfId="47" xr:uid="{00000000-0005-0000-0000-00003D000000}"/>
    <cellStyle name="Normal 4" xfId="27" xr:uid="{00000000-0005-0000-0000-00003E000000}"/>
    <cellStyle name="Normal 4 2" xfId="66" xr:uid="{00000000-0005-0000-0000-00003F000000}"/>
    <cellStyle name="Normal 4 3" xfId="48" xr:uid="{00000000-0005-0000-0000-000040000000}"/>
    <cellStyle name="Normal 5" xfId="10" xr:uid="{00000000-0005-0000-0000-000041000000}"/>
    <cellStyle name="Normal 5 10" xfId="44" xr:uid="{00000000-0005-0000-0000-000042000000}"/>
    <cellStyle name="Normal 5 10 2" xfId="67" xr:uid="{00000000-0005-0000-0000-000043000000}"/>
    <cellStyle name="Normal 5 2" xfId="37" xr:uid="{00000000-0005-0000-0000-000044000000}"/>
    <cellStyle name="Normal 5 2 2" xfId="68" xr:uid="{00000000-0005-0000-0000-000045000000}"/>
    <cellStyle name="Normal 5 3" xfId="69" xr:uid="{00000000-0005-0000-0000-000046000000}"/>
    <cellStyle name="Normal 5 4" xfId="49" xr:uid="{00000000-0005-0000-0000-000047000000}"/>
    <cellStyle name="Normal 5 5" xfId="34" xr:uid="{00000000-0005-0000-0000-000048000000}"/>
    <cellStyle name="Normal 6" xfId="51" xr:uid="{00000000-0005-0000-0000-000049000000}"/>
    <cellStyle name="Normal 7" xfId="15" xr:uid="{00000000-0005-0000-0000-00004A000000}"/>
    <cellStyle name="Normal 7 10" xfId="70" xr:uid="{00000000-0005-0000-0000-00004B000000}"/>
    <cellStyle name="Normal 7 2" xfId="18" xr:uid="{00000000-0005-0000-0000-00004C000000}"/>
    <cellStyle name="Normal 7 4" xfId="71" xr:uid="{00000000-0005-0000-0000-00004D000000}"/>
    <cellStyle name="Normal 8" xfId="14" xr:uid="{00000000-0005-0000-0000-00004E000000}"/>
    <cellStyle name="Normal 8 2" xfId="72" xr:uid="{00000000-0005-0000-0000-00004F000000}"/>
    <cellStyle name="Normal 8 3" xfId="45" xr:uid="{00000000-0005-0000-0000-000050000000}"/>
    <cellStyle name="Normal 81" xfId="16" xr:uid="{00000000-0005-0000-0000-000051000000}"/>
    <cellStyle name="Normal 9" xfId="46" xr:uid="{00000000-0005-0000-0000-000052000000}"/>
    <cellStyle name="Normal 9 2" xfId="73" xr:uid="{00000000-0005-0000-0000-000053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0" formatCode="_-&quot;$&quot;* #,##0_-;\-&quot;$&quot;* #,##0_-;_-&quot;$&quot;* &quot;-&quot;??_-;_-@_-"/>
    </dxf>
    <dxf>
      <numFmt numFmtId="13" formatCode="0%"/>
    </dxf>
  </dxfs>
  <tableStyles count="0" defaultTableStyle="TableStyleMedium2" defaultPivotStyle="PivotStyleLight16"/>
  <colors>
    <mruColors>
      <color rgb="FFB0F70A"/>
      <color rgb="FF001D62"/>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customXml" Target="../customXml/item3.xml"/><Relationship Id="rId21" Type="http://schemas.openxmlformats.org/officeDocument/2006/relationships/externalLink" Target="externalLinks/externalLink1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pivotCacheDefinition" Target="pivotCache/pivotCacheDefinition3.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pivotCacheDefinition" Target="pivotCache/pivotCacheDefinition1.xml"/><Relationship Id="rId35" Type="http://schemas.openxmlformats.org/officeDocument/2006/relationships/sharedStrings" Target="sharedStrings.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11</xdr:col>
      <xdr:colOff>752475</xdr:colOff>
      <xdr:row>23</xdr:row>
      <xdr:rowOff>0</xdr:rowOff>
    </xdr:from>
    <xdr:to>
      <xdr:col>11</xdr:col>
      <xdr:colOff>777240</xdr:colOff>
      <xdr:row>23</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8107E3D4-D12E-4815-9BB7-AD9E629DE967}"/>
            </a:ext>
          </a:extLst>
        </xdr:cNvPr>
        <xdr:cNvSpPr/>
      </xdr:nvSpPr>
      <xdr:spPr bwMode="auto">
        <a:xfrm>
          <a:off x="7084695" y="78105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25</xdr:row>
      <xdr:rowOff>0</xdr:rowOff>
    </xdr:from>
    <xdr:to>
      <xdr:col>13</xdr:col>
      <xdr:colOff>781050</xdr:colOff>
      <xdr:row>25</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EE8EA45-4C8D-4D8C-9863-762BF80A8A0B}"/>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3</xdr:row>
      <xdr:rowOff>0</xdr:rowOff>
    </xdr:from>
    <xdr:ext cx="26670"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4AA06C02-18E9-4008-8A58-B7CBCB4A6FEE}"/>
            </a:ext>
          </a:extLst>
        </xdr:cNvPr>
        <xdr:cNvSpPr/>
      </xdr:nvSpPr>
      <xdr:spPr bwMode="auto">
        <a:xfrm>
          <a:off x="16466820" y="5095875"/>
          <a:ext cx="2667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15</xdr:col>
      <xdr:colOff>752475</xdr:colOff>
      <xdr:row>22</xdr:row>
      <xdr:rowOff>0</xdr:rowOff>
    </xdr:from>
    <xdr:to>
      <xdr:col>15</xdr:col>
      <xdr:colOff>781050</xdr:colOff>
      <xdr:row>22</xdr:row>
      <xdr:rowOff>76200</xdr:rowOff>
    </xdr:to>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4EC1ECA6-5850-4900-A1ED-A4EC1D4F9DC1}"/>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25</xdr:row>
      <xdr:rowOff>0</xdr:rowOff>
    </xdr:from>
    <xdr:to>
      <xdr:col>12</xdr:col>
      <xdr:colOff>781050</xdr:colOff>
      <xdr:row>25</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7A108737-CD27-493A-8691-63F3E3CB640A}"/>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25</xdr:row>
      <xdr:rowOff>0</xdr:rowOff>
    </xdr:from>
    <xdr:to>
      <xdr:col>12</xdr:col>
      <xdr:colOff>752475</xdr:colOff>
      <xdr:row>25</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FAA42177-819C-4AD1-859D-67EC25F6256A}"/>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25</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3BCA97B6-7E5C-49ED-BC36-E95EACEBFF9E}"/>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25</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8C0DB760-D483-4F32-A53F-A183D7FE8A22}"/>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23</xdr:row>
      <xdr:rowOff>0</xdr:rowOff>
    </xdr:from>
    <xdr:to>
      <xdr:col>12</xdr:col>
      <xdr:colOff>777240</xdr:colOff>
      <xdr:row>23</xdr:row>
      <xdr:rowOff>76200</xdr:rowOff>
    </xdr:to>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91D390FF-FB94-40B8-8D24-0CB0495ED2FA}"/>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781050</xdr:colOff>
      <xdr:row>24</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0F308ACA-1B95-4F33-8744-3FB1C72974AD}"/>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754380</xdr:colOff>
      <xdr:row>24</xdr:row>
      <xdr:rowOff>76200</xdr:rowOff>
    </xdr:to>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9157999F-2856-4DC6-BE40-0E9D067173DC}"/>
            </a:ext>
          </a:extLst>
        </xdr:cNvPr>
        <xdr:cNvSpPr/>
      </xdr:nvSpPr>
      <xdr:spPr bwMode="auto">
        <a:xfrm>
          <a:off x="14695170"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24</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F1191DD2-112A-4913-A7F4-70426EE22CF1}"/>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3A935877-EFBF-462C-B814-A81FE82CBD25}"/>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23</xdr:row>
      <xdr:rowOff>0</xdr:rowOff>
    </xdr:from>
    <xdr:to>
      <xdr:col>12</xdr:col>
      <xdr:colOff>777240</xdr:colOff>
      <xdr:row>23</xdr:row>
      <xdr:rowOff>76200</xdr:rowOff>
    </xdr:to>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F1DEA5B1-2EDC-48CC-BEA9-9FFD9956D530}"/>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781050</xdr:colOff>
      <xdr:row>24</xdr:row>
      <xdr:rowOff>76200</xdr:rowOff>
    </xdr:to>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C145D356-E802-4F8C-A2D3-5D980B339E77}"/>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752475</xdr:colOff>
      <xdr:row>24</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F47FEB89-382E-44C5-A89D-0836A35D3BA5}"/>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24</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9CE8D20D-C645-4A7B-A120-2404A6BF7A5A}"/>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880C0FC8-5D8B-48DB-BC68-31344F7DD2BF}"/>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2</xdr:row>
      <xdr:rowOff>0</xdr:rowOff>
    </xdr:from>
    <xdr:to>
      <xdr:col>12</xdr:col>
      <xdr:colOff>777240</xdr:colOff>
      <xdr:row>2</xdr:row>
      <xdr:rowOff>76200</xdr:rowOff>
    </xdr:to>
    <xdr:sp macro="" textlink="">
      <xdr:nvSpPr>
        <xdr:cNvPr id="20" name="ComboBox1" hidden="1">
          <a:extLst>
            <a:ext uri="{63B3BB69-23CF-44E3-9099-C40C66FF867C}">
              <a14:compatExt xmlns:a14="http://schemas.microsoft.com/office/drawing/2010/main" spid="_x0000_s1028"/>
            </a:ext>
            <a:ext uri="{FF2B5EF4-FFF2-40B4-BE49-F238E27FC236}">
              <a16:creationId xmlns:a16="http://schemas.microsoft.com/office/drawing/2014/main" id="{98E10DAD-275B-4C93-8F73-CFD7F4D9BDD8}"/>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781050</xdr:colOff>
      <xdr:row>24</xdr:row>
      <xdr:rowOff>76200</xdr:rowOff>
    </xdr:to>
    <xdr:sp macro="" textlink="">
      <xdr:nvSpPr>
        <xdr:cNvPr id="21" name="ComboBox1" hidden="1">
          <a:extLst>
            <a:ext uri="{63B3BB69-23CF-44E3-9099-C40C66FF867C}">
              <a14:compatExt xmlns:a14="http://schemas.microsoft.com/office/drawing/2010/main" spid="_x0000_s1028"/>
            </a:ext>
            <a:ext uri="{FF2B5EF4-FFF2-40B4-BE49-F238E27FC236}">
              <a16:creationId xmlns:a16="http://schemas.microsoft.com/office/drawing/2014/main" id="{96AAC396-9CFD-4815-A265-7723979D11BE}"/>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752475</xdr:colOff>
      <xdr:row>24</xdr:row>
      <xdr:rowOff>76200</xdr:rowOff>
    </xdr:to>
    <xdr:sp macro="" textlink="">
      <xdr:nvSpPr>
        <xdr:cNvPr id="22" name="ComboBox1" hidden="1">
          <a:extLst>
            <a:ext uri="{63B3BB69-23CF-44E3-9099-C40C66FF867C}">
              <a14:compatExt xmlns:a14="http://schemas.microsoft.com/office/drawing/2010/main" spid="_x0000_s1028"/>
            </a:ext>
            <a:ext uri="{FF2B5EF4-FFF2-40B4-BE49-F238E27FC236}">
              <a16:creationId xmlns:a16="http://schemas.microsoft.com/office/drawing/2014/main" id="{99F67F8E-D516-4574-912C-E6CCF27CF53B}"/>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24</xdr:row>
      <xdr:rowOff>0</xdr:rowOff>
    </xdr:from>
    <xdr:ext cx="32385" cy="76200"/>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DCE16900-BA3A-4A89-A294-D41DD1AA55DD}"/>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24" name="ComboBox1" hidden="1">
          <a:extLst>
            <a:ext uri="{63B3BB69-23CF-44E3-9099-C40C66FF867C}">
              <a14:compatExt xmlns:a14="http://schemas.microsoft.com/office/drawing/2010/main" spid="_x0000_s1028"/>
            </a:ext>
            <a:ext uri="{FF2B5EF4-FFF2-40B4-BE49-F238E27FC236}">
              <a16:creationId xmlns:a16="http://schemas.microsoft.com/office/drawing/2014/main" id="{3D6F3B5F-C6E4-462B-AC5B-585B9435858E}"/>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0</xdr:row>
      <xdr:rowOff>0</xdr:rowOff>
    </xdr:from>
    <xdr:to>
      <xdr:col>12</xdr:col>
      <xdr:colOff>777240</xdr:colOff>
      <xdr:row>0</xdr:row>
      <xdr:rowOff>76200</xdr:rowOff>
    </xdr:to>
    <xdr:sp macro="" textlink="">
      <xdr:nvSpPr>
        <xdr:cNvPr id="25" name="ComboBox1" hidden="1">
          <a:extLst>
            <a:ext uri="{63B3BB69-23CF-44E3-9099-C40C66FF867C}">
              <a14:compatExt xmlns:a14="http://schemas.microsoft.com/office/drawing/2010/main" spid="_x0000_s1028"/>
            </a:ext>
            <a:ext uri="{FF2B5EF4-FFF2-40B4-BE49-F238E27FC236}">
              <a16:creationId xmlns:a16="http://schemas.microsoft.com/office/drawing/2014/main" id="{CBA56A3F-9675-47B0-BF70-F3CE1626B88B}"/>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754380</xdr:colOff>
      <xdr:row>24</xdr:row>
      <xdr:rowOff>76200</xdr:rowOff>
    </xdr:to>
    <xdr:sp macro="" textlink="">
      <xdr:nvSpPr>
        <xdr:cNvPr id="26" name="ComboBox1" hidden="1">
          <a:extLst>
            <a:ext uri="{63B3BB69-23CF-44E3-9099-C40C66FF867C}">
              <a14:compatExt xmlns:a14="http://schemas.microsoft.com/office/drawing/2010/main" spid="_x0000_s1028"/>
            </a:ext>
            <a:ext uri="{FF2B5EF4-FFF2-40B4-BE49-F238E27FC236}">
              <a16:creationId xmlns:a16="http://schemas.microsoft.com/office/drawing/2014/main" id="{D6535AF0-7CF7-4BFB-90DE-D343602EC398}"/>
            </a:ext>
          </a:extLst>
        </xdr:cNvPr>
        <xdr:cNvSpPr/>
      </xdr:nvSpPr>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24</xdr:row>
      <xdr:rowOff>0</xdr:rowOff>
    </xdr:from>
    <xdr:to>
      <xdr:col>12</xdr:col>
      <xdr:colOff>754380</xdr:colOff>
      <xdr:row>24</xdr:row>
      <xdr:rowOff>76200</xdr:rowOff>
    </xdr:to>
    <xdr:pic>
      <xdr:nvPicPr>
        <xdr:cNvPr id="27" name="Picture 3">
          <a:extLst>
            <a:ext uri="{FF2B5EF4-FFF2-40B4-BE49-F238E27FC236}">
              <a16:creationId xmlns:a16="http://schemas.microsoft.com/office/drawing/2014/main" id="{281342DD-B74C-4732-8F36-A1784425406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24</xdr:row>
      <xdr:rowOff>0</xdr:rowOff>
    </xdr:from>
    <xdr:to>
      <xdr:col>12</xdr:col>
      <xdr:colOff>754380</xdr:colOff>
      <xdr:row>24</xdr:row>
      <xdr:rowOff>76200</xdr:rowOff>
    </xdr:to>
    <xdr:pic>
      <xdr:nvPicPr>
        <xdr:cNvPr id="28" name="Picture 4">
          <a:extLst>
            <a:ext uri="{FF2B5EF4-FFF2-40B4-BE49-F238E27FC236}">
              <a16:creationId xmlns:a16="http://schemas.microsoft.com/office/drawing/2014/main" id="{39C864F2-74EC-4069-907A-9EE54785627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24</xdr:row>
      <xdr:rowOff>0</xdr:rowOff>
    </xdr:from>
    <xdr:to>
      <xdr:col>12</xdr:col>
      <xdr:colOff>754380</xdr:colOff>
      <xdr:row>24</xdr:row>
      <xdr:rowOff>76200</xdr:rowOff>
    </xdr:to>
    <xdr:pic>
      <xdr:nvPicPr>
        <xdr:cNvPr id="29" name="ComboBox1">
          <a:extLst>
            <a:ext uri="{FF2B5EF4-FFF2-40B4-BE49-F238E27FC236}">
              <a16:creationId xmlns:a16="http://schemas.microsoft.com/office/drawing/2014/main" id="{2448B610-9DC7-45E6-B65C-BE7E0A45BCD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24</xdr:row>
      <xdr:rowOff>0</xdr:rowOff>
    </xdr:from>
    <xdr:to>
      <xdr:col>12</xdr:col>
      <xdr:colOff>754380</xdr:colOff>
      <xdr:row>24</xdr:row>
      <xdr:rowOff>76200</xdr:rowOff>
    </xdr:to>
    <xdr:sp macro="" textlink="">
      <xdr:nvSpPr>
        <xdr:cNvPr id="30" name="ComboBox1" hidden="1">
          <a:extLst>
            <a:ext uri="{63B3BB69-23CF-44E3-9099-C40C66FF867C}">
              <a14:compatExt xmlns:a14="http://schemas.microsoft.com/office/drawing/2010/main" spid="_x0000_s1028"/>
            </a:ext>
            <a:ext uri="{FF2B5EF4-FFF2-40B4-BE49-F238E27FC236}">
              <a16:creationId xmlns:a16="http://schemas.microsoft.com/office/drawing/2014/main" id="{5832E5BD-3C4E-4023-8616-796C99548499}"/>
            </a:ext>
          </a:extLst>
        </xdr:cNvPr>
        <xdr:cNvSpPr/>
      </xdr:nvSpPr>
      <xdr:spPr bwMode="auto">
        <a:xfrm>
          <a:off x="11790045" y="0"/>
          <a:ext cx="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24</xdr:row>
      <xdr:rowOff>0</xdr:rowOff>
    </xdr:from>
    <xdr:ext cx="32385" cy="76200"/>
    <xdr:sp macro="" textlink="">
      <xdr:nvSpPr>
        <xdr:cNvPr id="31" name="ComboBox1" hidden="1">
          <a:extLst>
            <a:ext uri="{63B3BB69-23CF-44E3-9099-C40C66FF867C}">
              <a14:compatExt xmlns:a14="http://schemas.microsoft.com/office/drawing/2010/main" spid="_x0000_s1028"/>
            </a:ext>
            <a:ext uri="{FF2B5EF4-FFF2-40B4-BE49-F238E27FC236}">
              <a16:creationId xmlns:a16="http://schemas.microsoft.com/office/drawing/2014/main" id="{C60590D1-D89A-465A-9995-0D59AA18F616}"/>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2" name="ComboBox1" hidden="1">
          <a:extLst>
            <a:ext uri="{63B3BB69-23CF-44E3-9099-C40C66FF867C}">
              <a14:compatExt xmlns:a14="http://schemas.microsoft.com/office/drawing/2010/main" spid="_x0000_s1028"/>
            </a:ext>
            <a:ext uri="{FF2B5EF4-FFF2-40B4-BE49-F238E27FC236}">
              <a16:creationId xmlns:a16="http://schemas.microsoft.com/office/drawing/2014/main" id="{2617BEF1-D029-4DEC-83DD-D31EC31AB39A}"/>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3" name="ComboBox1" hidden="1">
          <a:extLst>
            <a:ext uri="{63B3BB69-23CF-44E3-9099-C40C66FF867C}">
              <a14:compatExt xmlns:a14="http://schemas.microsoft.com/office/drawing/2010/main" spid="_x0000_s1028"/>
            </a:ext>
            <a:ext uri="{FF2B5EF4-FFF2-40B4-BE49-F238E27FC236}">
              <a16:creationId xmlns:a16="http://schemas.microsoft.com/office/drawing/2014/main" id="{8B0AB49C-51E1-4B72-A675-20787217B5AE}"/>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4" name="ComboBox1" hidden="1">
          <a:extLst>
            <a:ext uri="{63B3BB69-23CF-44E3-9099-C40C66FF867C}">
              <a14:compatExt xmlns:a14="http://schemas.microsoft.com/office/drawing/2010/main" spid="_x0000_s1028"/>
            </a:ext>
            <a:ext uri="{FF2B5EF4-FFF2-40B4-BE49-F238E27FC236}">
              <a16:creationId xmlns:a16="http://schemas.microsoft.com/office/drawing/2014/main" id="{0897EAE9-6057-4C1C-A45E-C78D5890F0E3}"/>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5" name="ComboBox1" hidden="1">
          <a:extLst>
            <a:ext uri="{63B3BB69-23CF-44E3-9099-C40C66FF867C}">
              <a14:compatExt xmlns:a14="http://schemas.microsoft.com/office/drawing/2010/main" spid="_x0000_s1028"/>
            </a:ext>
            <a:ext uri="{FF2B5EF4-FFF2-40B4-BE49-F238E27FC236}">
              <a16:creationId xmlns:a16="http://schemas.microsoft.com/office/drawing/2014/main" id="{609D36E6-C155-4918-8D60-C9A494BBC5BC}"/>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6" name="ComboBox1" hidden="1">
          <a:extLst>
            <a:ext uri="{63B3BB69-23CF-44E3-9099-C40C66FF867C}">
              <a14:compatExt xmlns:a14="http://schemas.microsoft.com/office/drawing/2010/main" spid="_x0000_s1028"/>
            </a:ext>
            <a:ext uri="{FF2B5EF4-FFF2-40B4-BE49-F238E27FC236}">
              <a16:creationId xmlns:a16="http://schemas.microsoft.com/office/drawing/2014/main" id="{8EC845B1-B9D4-421C-AC1F-29E1A1255B49}"/>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7" name="ComboBox1" hidden="1">
          <a:extLst>
            <a:ext uri="{63B3BB69-23CF-44E3-9099-C40C66FF867C}">
              <a14:compatExt xmlns:a14="http://schemas.microsoft.com/office/drawing/2010/main" spid="_x0000_s1028"/>
            </a:ext>
            <a:ext uri="{FF2B5EF4-FFF2-40B4-BE49-F238E27FC236}">
              <a16:creationId xmlns:a16="http://schemas.microsoft.com/office/drawing/2014/main" id="{3746EC75-370E-4FEB-8138-89237368855A}"/>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8" name="ComboBox1" hidden="1">
          <a:extLst>
            <a:ext uri="{63B3BB69-23CF-44E3-9099-C40C66FF867C}">
              <a14:compatExt xmlns:a14="http://schemas.microsoft.com/office/drawing/2010/main" spid="_x0000_s1028"/>
            </a:ext>
            <a:ext uri="{FF2B5EF4-FFF2-40B4-BE49-F238E27FC236}">
              <a16:creationId xmlns:a16="http://schemas.microsoft.com/office/drawing/2014/main" id="{1067F29F-3B9D-4657-B301-E7EA210E80FE}"/>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39" name="ComboBox1" hidden="1">
          <a:extLst>
            <a:ext uri="{63B3BB69-23CF-44E3-9099-C40C66FF867C}">
              <a14:compatExt xmlns:a14="http://schemas.microsoft.com/office/drawing/2010/main" spid="_x0000_s1028"/>
            </a:ext>
            <a:ext uri="{FF2B5EF4-FFF2-40B4-BE49-F238E27FC236}">
              <a16:creationId xmlns:a16="http://schemas.microsoft.com/office/drawing/2014/main" id="{7A659A7E-EB86-4348-A926-B2D4D9D0EFFA}"/>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24</xdr:row>
      <xdr:rowOff>0</xdr:rowOff>
    </xdr:from>
    <xdr:ext cx="32385" cy="76200"/>
    <xdr:sp macro="" textlink="">
      <xdr:nvSpPr>
        <xdr:cNvPr id="40" name="ComboBox1" hidden="1">
          <a:extLst>
            <a:ext uri="{63B3BB69-23CF-44E3-9099-C40C66FF867C}">
              <a14:compatExt xmlns:a14="http://schemas.microsoft.com/office/drawing/2010/main" spid="_x0000_s1028"/>
            </a:ext>
            <a:ext uri="{FF2B5EF4-FFF2-40B4-BE49-F238E27FC236}">
              <a16:creationId xmlns:a16="http://schemas.microsoft.com/office/drawing/2014/main" id="{77BA96BC-65C4-4FDE-96C3-FB8BB72112A2}"/>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25</xdr:row>
      <xdr:rowOff>0</xdr:rowOff>
    </xdr:from>
    <xdr:to>
      <xdr:col>12</xdr:col>
      <xdr:colOff>781050</xdr:colOff>
      <xdr:row>25</xdr:row>
      <xdr:rowOff>76200</xdr:rowOff>
    </xdr:to>
    <xdr:sp macro="" textlink="">
      <xdr:nvSpPr>
        <xdr:cNvPr id="41" name="ComboBox1" hidden="1">
          <a:extLst>
            <a:ext uri="{63B3BB69-23CF-44E3-9099-C40C66FF867C}">
              <a14:compatExt xmlns:a14="http://schemas.microsoft.com/office/drawing/2010/main" spid="_x0000_s1028"/>
            </a:ext>
            <a:ext uri="{FF2B5EF4-FFF2-40B4-BE49-F238E27FC236}">
              <a16:creationId xmlns:a16="http://schemas.microsoft.com/office/drawing/2014/main" id="{30A96E33-1854-4772-AF91-9CC3F8DE2AC5}"/>
            </a:ext>
          </a:extLst>
        </xdr:cNvPr>
        <xdr:cNvSpPr/>
      </xdr:nvSpPr>
      <xdr:spPr bwMode="auto">
        <a:xfrm>
          <a:off x="14695170" y="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26</xdr:row>
      <xdr:rowOff>0</xdr:rowOff>
    </xdr:from>
    <xdr:to>
      <xdr:col>12</xdr:col>
      <xdr:colOff>781050</xdr:colOff>
      <xdr:row>26</xdr:row>
      <xdr:rowOff>76200</xdr:rowOff>
    </xdr:to>
    <xdr:sp macro="" textlink="">
      <xdr:nvSpPr>
        <xdr:cNvPr id="42" name="ComboBox1" hidden="1">
          <a:extLst>
            <a:ext uri="{63B3BB69-23CF-44E3-9099-C40C66FF867C}">
              <a14:compatExt xmlns:a14="http://schemas.microsoft.com/office/drawing/2010/main" spid="_x0000_s1028"/>
            </a:ext>
            <a:ext uri="{FF2B5EF4-FFF2-40B4-BE49-F238E27FC236}">
              <a16:creationId xmlns:a16="http://schemas.microsoft.com/office/drawing/2014/main" id="{F2700336-59D6-4C6A-AD2D-E035081D009E}"/>
            </a:ext>
          </a:extLst>
        </xdr:cNvPr>
        <xdr:cNvSpPr/>
      </xdr:nvSpPr>
      <xdr:spPr bwMode="auto">
        <a:xfrm>
          <a:off x="14695170"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25</xdr:row>
      <xdr:rowOff>0</xdr:rowOff>
    </xdr:from>
    <xdr:to>
      <xdr:col>12</xdr:col>
      <xdr:colOff>752475</xdr:colOff>
      <xdr:row>25</xdr:row>
      <xdr:rowOff>76200</xdr:rowOff>
    </xdr:to>
    <xdr:sp macro="" textlink="">
      <xdr:nvSpPr>
        <xdr:cNvPr id="43" name="ComboBox1" hidden="1">
          <a:extLst>
            <a:ext uri="{63B3BB69-23CF-44E3-9099-C40C66FF867C}">
              <a14:compatExt xmlns:a14="http://schemas.microsoft.com/office/drawing/2010/main" spid="_x0000_s1028"/>
            </a:ext>
            <a:ext uri="{FF2B5EF4-FFF2-40B4-BE49-F238E27FC236}">
              <a16:creationId xmlns:a16="http://schemas.microsoft.com/office/drawing/2014/main" id="{77C39F0D-EBAC-42CD-BF54-373FA3582AFF}"/>
            </a:ext>
          </a:extLst>
        </xdr:cNvPr>
        <xdr:cNvSpPr/>
      </xdr:nvSpPr>
      <xdr:spPr bwMode="auto">
        <a:xfrm>
          <a:off x="14695170"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25</xdr:row>
      <xdr:rowOff>0</xdr:rowOff>
    </xdr:from>
    <xdr:ext cx="32385" cy="76200"/>
    <xdr:sp macro="" textlink="">
      <xdr:nvSpPr>
        <xdr:cNvPr id="44" name="ComboBox1" hidden="1">
          <a:extLst>
            <a:ext uri="{63B3BB69-23CF-44E3-9099-C40C66FF867C}">
              <a14:compatExt xmlns:a14="http://schemas.microsoft.com/office/drawing/2010/main" spid="_x0000_s1028"/>
            </a:ext>
            <a:ext uri="{FF2B5EF4-FFF2-40B4-BE49-F238E27FC236}">
              <a16:creationId xmlns:a16="http://schemas.microsoft.com/office/drawing/2014/main" id="{45CF9CE7-0BDA-44B1-B1C6-8BEB4A8B74C1}"/>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25</xdr:row>
      <xdr:rowOff>0</xdr:rowOff>
    </xdr:from>
    <xdr:ext cx="32385" cy="76200"/>
    <xdr:sp macro="" textlink="">
      <xdr:nvSpPr>
        <xdr:cNvPr id="45" name="ComboBox1" hidden="1">
          <a:extLst>
            <a:ext uri="{63B3BB69-23CF-44E3-9099-C40C66FF867C}">
              <a14:compatExt xmlns:a14="http://schemas.microsoft.com/office/drawing/2010/main" spid="_x0000_s1028"/>
            </a:ext>
            <a:ext uri="{FF2B5EF4-FFF2-40B4-BE49-F238E27FC236}">
              <a16:creationId xmlns:a16="http://schemas.microsoft.com/office/drawing/2014/main" id="{E910653E-D4A7-4E0B-A987-D4B045409024}"/>
            </a:ext>
          </a:extLst>
        </xdr:cNvPr>
        <xdr:cNvSpPr/>
      </xdr:nvSpPr>
      <xdr:spPr bwMode="auto">
        <a:xfrm>
          <a:off x="14695170"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12</xdr:col>
      <xdr:colOff>752475</xdr:colOff>
      <xdr:row>39</xdr:row>
      <xdr:rowOff>0</xdr:rowOff>
    </xdr:from>
    <xdr:to>
      <xdr:col>12</xdr:col>
      <xdr:colOff>754380</xdr:colOff>
      <xdr:row>39</xdr:row>
      <xdr:rowOff>76200</xdr:rowOff>
    </xdr:to>
    <xdr:sp macro="" textlink="">
      <xdr:nvSpPr>
        <xdr:cNvPr id="46" name="ComboBox1" hidden="1">
          <a:extLst>
            <a:ext uri="{63B3BB69-23CF-44E3-9099-C40C66FF867C}">
              <a14:compatExt xmlns:a14="http://schemas.microsoft.com/office/drawing/2010/main" spid="_x0000_s1028"/>
            </a:ext>
            <a:ext uri="{FF2B5EF4-FFF2-40B4-BE49-F238E27FC236}">
              <a16:creationId xmlns:a16="http://schemas.microsoft.com/office/drawing/2014/main" id="{0A23F2D3-DB3F-491D-ACB3-E7211B105A6F}"/>
            </a:ext>
          </a:extLst>
        </xdr:cNvPr>
        <xdr:cNvSpPr/>
      </xdr:nvSpPr>
      <xdr:spPr bwMode="auto">
        <a:xfrm>
          <a:off x="11790045"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12</xdr:col>
      <xdr:colOff>752475</xdr:colOff>
      <xdr:row>39</xdr:row>
      <xdr:rowOff>0</xdr:rowOff>
    </xdr:from>
    <xdr:to>
      <xdr:col>12</xdr:col>
      <xdr:colOff>754380</xdr:colOff>
      <xdr:row>39</xdr:row>
      <xdr:rowOff>76200</xdr:rowOff>
    </xdr:to>
    <xdr:pic>
      <xdr:nvPicPr>
        <xdr:cNvPr id="47" name="Picture 3">
          <a:extLst>
            <a:ext uri="{FF2B5EF4-FFF2-40B4-BE49-F238E27FC236}">
              <a16:creationId xmlns:a16="http://schemas.microsoft.com/office/drawing/2014/main" id="{C33F79AB-2376-441E-B554-1ED7C71B397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39</xdr:row>
      <xdr:rowOff>0</xdr:rowOff>
    </xdr:from>
    <xdr:to>
      <xdr:col>12</xdr:col>
      <xdr:colOff>754380</xdr:colOff>
      <xdr:row>39</xdr:row>
      <xdr:rowOff>76200</xdr:rowOff>
    </xdr:to>
    <xdr:pic>
      <xdr:nvPicPr>
        <xdr:cNvPr id="48" name="Picture 4">
          <a:extLst>
            <a:ext uri="{FF2B5EF4-FFF2-40B4-BE49-F238E27FC236}">
              <a16:creationId xmlns:a16="http://schemas.microsoft.com/office/drawing/2014/main" id="{DC14575E-BCC9-4535-9798-B315B2FF53F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39</xdr:row>
      <xdr:rowOff>0</xdr:rowOff>
    </xdr:from>
    <xdr:to>
      <xdr:col>12</xdr:col>
      <xdr:colOff>754380</xdr:colOff>
      <xdr:row>39</xdr:row>
      <xdr:rowOff>76200</xdr:rowOff>
    </xdr:to>
    <xdr:pic>
      <xdr:nvPicPr>
        <xdr:cNvPr id="49" name="ComboBox1">
          <a:extLst>
            <a:ext uri="{FF2B5EF4-FFF2-40B4-BE49-F238E27FC236}">
              <a16:creationId xmlns:a16="http://schemas.microsoft.com/office/drawing/2014/main" id="{0715E2DB-A9BD-42D4-9C89-59B4DD4EFEF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90045"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12</xdr:col>
      <xdr:colOff>752475</xdr:colOff>
      <xdr:row>39</xdr:row>
      <xdr:rowOff>0</xdr:rowOff>
    </xdr:from>
    <xdr:to>
      <xdr:col>12</xdr:col>
      <xdr:colOff>754380</xdr:colOff>
      <xdr:row>39</xdr:row>
      <xdr:rowOff>76200</xdr:rowOff>
    </xdr:to>
    <xdr:sp macro="" textlink="">
      <xdr:nvSpPr>
        <xdr:cNvPr id="50" name="ComboBox1" hidden="1">
          <a:extLst>
            <a:ext uri="{63B3BB69-23CF-44E3-9099-C40C66FF867C}">
              <a14:compatExt xmlns:a14="http://schemas.microsoft.com/office/drawing/2010/main" spid="_x0000_s1028"/>
            </a:ext>
            <a:ext uri="{FF2B5EF4-FFF2-40B4-BE49-F238E27FC236}">
              <a16:creationId xmlns:a16="http://schemas.microsoft.com/office/drawing/2014/main" id="{2DE22D7B-1F33-4D09-A55B-88B64D15C461}"/>
            </a:ext>
          </a:extLst>
        </xdr:cNvPr>
        <xdr:cNvSpPr/>
      </xdr:nvSpPr>
      <xdr:spPr bwMode="auto">
        <a:xfrm>
          <a:off x="11790045" y="0"/>
          <a:ext cx="190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12</xdr:col>
      <xdr:colOff>752475</xdr:colOff>
      <xdr:row>39</xdr:row>
      <xdr:rowOff>0</xdr:rowOff>
    </xdr:from>
    <xdr:ext cx="32385" cy="76200"/>
    <xdr:sp macro="" textlink="">
      <xdr:nvSpPr>
        <xdr:cNvPr id="51" name="ComboBox1" hidden="1">
          <a:extLst>
            <a:ext uri="{63B3BB69-23CF-44E3-9099-C40C66FF867C}">
              <a14:compatExt xmlns:a14="http://schemas.microsoft.com/office/drawing/2010/main" spid="_x0000_s1028"/>
            </a:ext>
            <a:ext uri="{FF2B5EF4-FFF2-40B4-BE49-F238E27FC236}">
              <a16:creationId xmlns:a16="http://schemas.microsoft.com/office/drawing/2014/main" id="{90C5F7A8-91B8-4EE8-8E4A-3AA1997A287B}"/>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2" name="ComboBox1" hidden="1">
          <a:extLst>
            <a:ext uri="{63B3BB69-23CF-44E3-9099-C40C66FF867C}">
              <a14:compatExt xmlns:a14="http://schemas.microsoft.com/office/drawing/2010/main" spid="_x0000_s1028"/>
            </a:ext>
            <a:ext uri="{FF2B5EF4-FFF2-40B4-BE49-F238E27FC236}">
              <a16:creationId xmlns:a16="http://schemas.microsoft.com/office/drawing/2014/main" id="{48E01AF7-3F93-47FC-AC00-6D80CBF0D03F}"/>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3" name="ComboBox1" hidden="1">
          <a:extLst>
            <a:ext uri="{63B3BB69-23CF-44E3-9099-C40C66FF867C}">
              <a14:compatExt xmlns:a14="http://schemas.microsoft.com/office/drawing/2010/main" spid="_x0000_s1028"/>
            </a:ext>
            <a:ext uri="{FF2B5EF4-FFF2-40B4-BE49-F238E27FC236}">
              <a16:creationId xmlns:a16="http://schemas.microsoft.com/office/drawing/2014/main" id="{69DFD2BA-6E99-4CB2-8771-711D2C3A003B}"/>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4" name="ComboBox1" hidden="1">
          <a:extLst>
            <a:ext uri="{63B3BB69-23CF-44E3-9099-C40C66FF867C}">
              <a14:compatExt xmlns:a14="http://schemas.microsoft.com/office/drawing/2010/main" spid="_x0000_s1028"/>
            </a:ext>
            <a:ext uri="{FF2B5EF4-FFF2-40B4-BE49-F238E27FC236}">
              <a16:creationId xmlns:a16="http://schemas.microsoft.com/office/drawing/2014/main" id="{801BAEF8-2881-4B69-8ACA-0720268D6993}"/>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5" name="ComboBox1" hidden="1">
          <a:extLst>
            <a:ext uri="{63B3BB69-23CF-44E3-9099-C40C66FF867C}">
              <a14:compatExt xmlns:a14="http://schemas.microsoft.com/office/drawing/2010/main" spid="_x0000_s1028"/>
            </a:ext>
            <a:ext uri="{FF2B5EF4-FFF2-40B4-BE49-F238E27FC236}">
              <a16:creationId xmlns:a16="http://schemas.microsoft.com/office/drawing/2014/main" id="{8E1A05A6-CADD-4C21-82F9-FA941970DE48}"/>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6" name="ComboBox1" hidden="1">
          <a:extLst>
            <a:ext uri="{63B3BB69-23CF-44E3-9099-C40C66FF867C}">
              <a14:compatExt xmlns:a14="http://schemas.microsoft.com/office/drawing/2010/main" spid="_x0000_s1028"/>
            </a:ext>
            <a:ext uri="{FF2B5EF4-FFF2-40B4-BE49-F238E27FC236}">
              <a16:creationId xmlns:a16="http://schemas.microsoft.com/office/drawing/2014/main" id="{319591DD-09EC-40E0-B588-6ECE3883D983}"/>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7" name="ComboBox1" hidden="1">
          <a:extLst>
            <a:ext uri="{63B3BB69-23CF-44E3-9099-C40C66FF867C}">
              <a14:compatExt xmlns:a14="http://schemas.microsoft.com/office/drawing/2010/main" spid="_x0000_s1028"/>
            </a:ext>
            <a:ext uri="{FF2B5EF4-FFF2-40B4-BE49-F238E27FC236}">
              <a16:creationId xmlns:a16="http://schemas.microsoft.com/office/drawing/2014/main" id="{607E8D35-281B-4D80-BE92-82BA74DD10BC}"/>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8" name="ComboBox1" hidden="1">
          <a:extLst>
            <a:ext uri="{63B3BB69-23CF-44E3-9099-C40C66FF867C}">
              <a14:compatExt xmlns:a14="http://schemas.microsoft.com/office/drawing/2010/main" spid="_x0000_s1028"/>
            </a:ext>
            <a:ext uri="{FF2B5EF4-FFF2-40B4-BE49-F238E27FC236}">
              <a16:creationId xmlns:a16="http://schemas.microsoft.com/office/drawing/2014/main" id="{637E1EE1-03BF-41B3-90AA-A9C1DEC6864D}"/>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59" name="ComboBox1" hidden="1">
          <a:extLst>
            <a:ext uri="{63B3BB69-23CF-44E3-9099-C40C66FF867C}">
              <a14:compatExt xmlns:a14="http://schemas.microsoft.com/office/drawing/2010/main" spid="_x0000_s1028"/>
            </a:ext>
            <a:ext uri="{FF2B5EF4-FFF2-40B4-BE49-F238E27FC236}">
              <a16:creationId xmlns:a16="http://schemas.microsoft.com/office/drawing/2014/main" id="{A380C23D-DBEF-414F-AD10-D37B30BA3305}"/>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12</xdr:col>
      <xdr:colOff>752475</xdr:colOff>
      <xdr:row>39</xdr:row>
      <xdr:rowOff>0</xdr:rowOff>
    </xdr:from>
    <xdr:ext cx="32385" cy="76200"/>
    <xdr:sp macro="" textlink="">
      <xdr:nvSpPr>
        <xdr:cNvPr id="60" name="ComboBox1" hidden="1">
          <a:extLst>
            <a:ext uri="{63B3BB69-23CF-44E3-9099-C40C66FF867C}">
              <a14:compatExt xmlns:a14="http://schemas.microsoft.com/office/drawing/2010/main" spid="_x0000_s1028"/>
            </a:ext>
            <a:ext uri="{FF2B5EF4-FFF2-40B4-BE49-F238E27FC236}">
              <a16:creationId xmlns:a16="http://schemas.microsoft.com/office/drawing/2014/main" id="{E5828462-D4CD-4BDC-8BBC-EF55E11F6F4F}"/>
            </a:ext>
          </a:extLst>
        </xdr:cNvPr>
        <xdr:cNvSpPr/>
      </xdr:nvSpPr>
      <xdr:spPr bwMode="auto">
        <a:xfrm>
          <a:off x="11790045" y="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15</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11F8AAB6-2313-4A38-AE27-3465E9F138C8}"/>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1</xdr:row>
      <xdr:rowOff>0</xdr:rowOff>
    </xdr:from>
    <xdr:to>
      <xdr:col>15</xdr:col>
      <xdr:colOff>0</xdr:colOff>
      <xdr:row>1</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2234C947-9E58-44F2-A0F4-4B7B9BE08B26}"/>
            </a:ext>
          </a:extLst>
        </xdr:cNvPr>
        <xdr:cNvSpPr/>
      </xdr:nvSpPr>
      <xdr:spPr bwMode="auto">
        <a:xfrm>
          <a:off x="3886200" y="1295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754380</xdr:colOff>
      <xdr:row>0</xdr:row>
      <xdr:rowOff>76200</xdr:rowOff>
    </xdr:to>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B3052C27-ACE3-4CAC-A877-56847AE6654B}"/>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E933812A-C62C-494F-B4BE-26C953EF5A6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7B240520-327F-40A5-956A-C288315BF4D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E7C10DF-1C02-4ACA-BAEA-94E4E94F43B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1385299F-63EF-4C4F-A575-9B505191FD1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96651990-EB98-46F8-B30A-7728C28EF66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B1CE6001-36B5-4D6C-B616-49C903BA7D5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9B2CDAE7-D0F9-4AFB-90DC-4EF617D5857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1B6F330D-73CA-4C50-AF2C-B58B8BA7BCDF}"/>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D51F4F85-2783-44A4-8C9A-0074F231E8A2}"/>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D726A485-B28A-46D7-B4B9-5FF4673BB0A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7D78FFB7-828A-42DD-AD5D-5CFA608BD68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27D31A02-A190-49D1-B5AA-F7CC5AAD71D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48A8D784-5A2F-4267-BB58-ED37897C1B24}"/>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0AD049D9-871B-40C8-A5C1-BE6E7BBA8E8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F1C74A79-0ED8-48FD-A976-19C448FF53C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384A0871-D961-4DEA-A1A3-37C347AC4B7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273DFDD7-7CA2-4F7D-9CAF-7C44135E0CF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62C6F3C4-2E04-4928-9840-4021E763CA0C}"/>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E8D450BE-96D3-42E5-8953-70A51FCDA56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0" name="ComboBox1" hidden="1">
          <a:extLst>
            <a:ext uri="{63B3BB69-23CF-44E3-9099-C40C66FF867C}">
              <a14:compatExt xmlns:a14="http://schemas.microsoft.com/office/drawing/2010/main" spid="_x0000_s1028"/>
            </a:ext>
            <a:ext uri="{FF2B5EF4-FFF2-40B4-BE49-F238E27FC236}">
              <a16:creationId xmlns:a16="http://schemas.microsoft.com/office/drawing/2014/main" id="{DC549FF6-13D5-499D-8F12-37456CB0DED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1" name="ComboBox1" hidden="1">
          <a:extLst>
            <a:ext uri="{63B3BB69-23CF-44E3-9099-C40C66FF867C}">
              <a14:compatExt xmlns:a14="http://schemas.microsoft.com/office/drawing/2010/main" spid="_x0000_s1028"/>
            </a:ext>
            <a:ext uri="{FF2B5EF4-FFF2-40B4-BE49-F238E27FC236}">
              <a16:creationId xmlns:a16="http://schemas.microsoft.com/office/drawing/2014/main" id="{8218208C-4155-426F-BF62-69FC8469C41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2" name="ComboBox1" hidden="1">
          <a:extLst>
            <a:ext uri="{63B3BB69-23CF-44E3-9099-C40C66FF867C}">
              <a14:compatExt xmlns:a14="http://schemas.microsoft.com/office/drawing/2010/main" spid="_x0000_s1028"/>
            </a:ext>
            <a:ext uri="{FF2B5EF4-FFF2-40B4-BE49-F238E27FC236}">
              <a16:creationId xmlns:a16="http://schemas.microsoft.com/office/drawing/2014/main" id="{382F6310-82BF-4BEB-ACFE-52D70E32C5BF}"/>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5E0EC410-8157-4B4F-8901-D46DDB0C739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754380</xdr:colOff>
      <xdr:row>0</xdr:row>
      <xdr:rowOff>76200</xdr:rowOff>
    </xdr:to>
    <xdr:sp macro="" textlink="">
      <xdr:nvSpPr>
        <xdr:cNvPr id="24" name="ComboBox1" hidden="1">
          <a:extLst>
            <a:ext uri="{63B3BB69-23CF-44E3-9099-C40C66FF867C}">
              <a14:compatExt xmlns:a14="http://schemas.microsoft.com/office/drawing/2010/main" spid="_x0000_s1028"/>
            </a:ext>
            <a:ext uri="{FF2B5EF4-FFF2-40B4-BE49-F238E27FC236}">
              <a16:creationId xmlns:a16="http://schemas.microsoft.com/office/drawing/2014/main" id="{F2AA8F4F-312F-4EC4-930F-5EB653A23A3E}"/>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754380</xdr:colOff>
      <xdr:row>0</xdr:row>
      <xdr:rowOff>76200</xdr:rowOff>
    </xdr:to>
    <xdr:pic>
      <xdr:nvPicPr>
        <xdr:cNvPr id="25" name="Picture 3">
          <a:extLst>
            <a:ext uri="{FF2B5EF4-FFF2-40B4-BE49-F238E27FC236}">
              <a16:creationId xmlns:a16="http://schemas.microsoft.com/office/drawing/2014/main" id="{28B32A77-04F7-4CFB-996F-1D75DB674D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6" name="Picture 4">
          <a:extLst>
            <a:ext uri="{FF2B5EF4-FFF2-40B4-BE49-F238E27FC236}">
              <a16:creationId xmlns:a16="http://schemas.microsoft.com/office/drawing/2014/main" id="{73E909AC-C0CF-4C85-89F0-872C3F4DD5E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7" name="ComboBox1">
          <a:extLst>
            <a:ext uri="{FF2B5EF4-FFF2-40B4-BE49-F238E27FC236}">
              <a16:creationId xmlns:a16="http://schemas.microsoft.com/office/drawing/2014/main" id="{28ACA35E-43B6-4214-A040-B6E4351B78B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sp macro="" textlink="">
      <xdr:nvSpPr>
        <xdr:cNvPr id="28" name="ComboBox1" hidden="1">
          <a:extLst>
            <a:ext uri="{63B3BB69-23CF-44E3-9099-C40C66FF867C}">
              <a14:compatExt xmlns:a14="http://schemas.microsoft.com/office/drawing/2010/main" spid="_x0000_s1028"/>
            </a:ext>
            <a:ext uri="{FF2B5EF4-FFF2-40B4-BE49-F238E27FC236}">
              <a16:creationId xmlns:a16="http://schemas.microsoft.com/office/drawing/2014/main" id="{59CDACF3-9998-4054-B801-245CBE6E5492}"/>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nea%20comunicaciones/ZONAS%20REMOTAS/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Puntos"/>
      <sheetName val="Formulas"/>
      <sheetName val="CAPACIDAD"/>
      <sheetName val="PERSONAL"/>
      <sheetName val="EVALUAR"/>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695629050926" createdVersion="8" refreshedVersion="8" minRefreshableVersion="3" recordCount="26" xr:uid="{152A225F-9290-4E2A-BFA3-8153B5C53A93}">
  <cacheSource type="worksheet">
    <worksheetSource ref="E3:F29" sheet="Tabla dinámica"/>
  </cacheSource>
  <cacheFields count="2">
    <cacheField name="NOMBRE CC" numFmtId="0">
      <sharedItems containsBlank="1" count="9">
        <s v="Redeban Eje Cafetero (Pereira)"/>
        <s v="Redeban Suroccidente (Cali)"/>
        <s v="Redeban Costa (Barranqullla)"/>
        <s v="Redeban Noroccidente (Medellín)"/>
        <s v="Redeban Oriente (Otros)"/>
        <s v="Redeban Santander"/>
        <s v="Redeban Centro ( Bogotá)"/>
        <m/>
        <s v="NOMBRE CC"/>
      </sharedItems>
    </cacheField>
    <cacheField name="VALOR" numFmtId="0">
      <sharedItems containsBlank="1" containsMixedTypes="1" containsNumber="1" minValue="1178581.78428" maxValue="11650135.78512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695629166665" createdVersion="8" refreshedVersion="8" minRefreshableVersion="3" recordCount="111" xr:uid="{068DB0A3-10F2-4977-BA05-5251E04EB957}">
  <cacheSource type="worksheet">
    <worksheetSource ref="A1:AF1048576" sheet="PUBLICIDAD OC"/>
  </cacheSource>
  <cacheFields count="32">
    <cacheField name="CIUDAD SEDE" numFmtId="0">
      <sharedItems containsBlank="1"/>
    </cacheField>
    <cacheField name="COORDINADOR" numFmtId="0">
      <sharedItems containsBlank="1" count="7">
        <s v="MIGUEL JULIÁN HERNÁNDEZ GUARÍN"/>
        <s v="WILLIAM ASDRUBAL ROZO ROZO"/>
        <s v="DIEGO FERNANDO HENAO CARDONA"/>
        <s v="KEVIN ALEXIS CORZO BUSTOS"/>
        <s v="JUAN SEBASTIÁN RÍOS CASTRILLÓN"/>
        <s v="JOSE MAURICIO HERNANDEZ ROJAS"/>
        <m/>
      </sharedItems>
    </cacheField>
    <cacheField name="CENTRO DE COSTOS LÍNEACOM" numFmtId="0">
      <sharedItems containsBlank="1" count="8">
        <s v="0004-0008"/>
        <s v="0004-0004"/>
        <s v="0004-0002"/>
        <s v="0004-0007"/>
        <s v="0004-0005"/>
        <s v="0004-0003"/>
        <s v="0004-0001"/>
        <m/>
      </sharedItems>
    </cacheField>
    <cacheField name="CÓDIGO DANE" numFmtId="0">
      <sharedItems containsString="0" containsBlank="1" containsNumber="1" containsInteger="1" minValue="5001" maxValue="99624"/>
    </cacheField>
    <cacheField name="TA/CODIGO ACTIVIDAD" numFmtId="0">
      <sharedItems containsString="0" containsBlank="1" containsNumber="1" containsInteger="1" minValue="2644581" maxValue="2811716"/>
    </cacheField>
    <cacheField name="CODIGO CB" numFmtId="0">
      <sharedItems containsString="0" containsBlank="1" containsNumber="1" containsInteger="1" minValue="12345" maxValue="81149"/>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8-26T09:51:00" maxDate="2025-09-30T08:00:00"/>
    </cacheField>
    <cacheField name="FECHA DEL CIERRE DEL TICKET (DD/MM/AAAA)" numFmtId="0">
      <sharedItems containsNonDate="0" containsDate="1" containsString="0" containsBlank="1" minDate="2025-09-01T14:34:00" maxDate="2025-09-30T15:51: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String="0" containsBlank="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TRANSPORTE AVISO EXTERIOR" numFmtId="0">
      <sharedItems containsString="0" containsBlank="1" containsNumber="1" containsInteger="1" minValue="0" maxValue="3"/>
    </cacheField>
    <cacheField name="VALOR ACTIVIDAD" numFmtId="0">
      <sharedItems containsString="0" containsBlank="1" containsNumber="1" minValue="0" maxValue="548633.63271999999"/>
    </cacheField>
    <cacheField name="VALOR TRANSPORTE AVISO" numFmtId="0">
      <sharedItems containsString="0" containsBlank="1" containsNumber="1" minValue="0" maxValue="110808.27512000001"/>
    </cacheField>
    <cacheField name="VALOR TOTAL INSTALACION DE PUBLICIDAD" numFmtId="0">
      <sharedItems containsString="0" containsBlank="1" containsNumber="1" minValue="37904.65408" maxValue="21117207.2793999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695629166665" createdVersion="8" refreshedVersion="8" minRefreshableVersion="3" recordCount="229" xr:uid="{BF33E792-EF02-4568-ABE3-E01C91EB3289}">
  <cacheSource type="worksheet">
    <worksheetSource ref="A1:AE1048576" sheet="PUBLICIDAD APERTURAS"/>
  </cacheSource>
  <cacheFields count="31">
    <cacheField name="CIUDAD SEDE" numFmtId="0">
      <sharedItems containsBlank="1"/>
    </cacheField>
    <cacheField name="COORDINADOR" numFmtId="0">
      <sharedItems containsBlank="1" count="7">
        <s v="DIEGO FERNANDO HENAO CARDONA"/>
        <s v="JOSE MAURICIO HERNANDEZ ROJAS"/>
        <s v="KEVIN ALEXIS CORZO BUSTOS"/>
        <s v="MIGUEL JULIÁN HERNÁNDEZ GUARÍN"/>
        <s v="JUAN SEBASTIÁN RÍOS CASTRILLÓN"/>
        <s v="WILLIAM ASDRUBAL ROZO ROZO"/>
        <m/>
      </sharedItems>
    </cacheField>
    <cacheField name="CENTRO DE COSTOS LÍNEACOM" numFmtId="0">
      <sharedItems containsBlank="1" count="8">
        <s v="0004-0003"/>
        <s v="0004-0002"/>
        <s v="0004-0001"/>
        <s v="0004-0007"/>
        <s v="0004-0008"/>
        <s v="0004-0005"/>
        <s v="0004-0004"/>
        <m/>
      </sharedItems>
    </cacheField>
    <cacheField name="CÓDIGO DANE" numFmtId="0">
      <sharedItems containsString="0" containsBlank="1" containsNumber="1" containsInteger="1" minValue="5001" maxValue="86865"/>
    </cacheField>
    <cacheField name="TA/CODIGO ACTIVIDAD" numFmtId="0">
      <sharedItems containsBlank="1"/>
    </cacheField>
    <cacheField name="CODIGO CB" numFmtId="0">
      <sharedItems containsString="0" containsBlank="1" containsNumber="1" containsInteger="1" minValue="12494" maxValue="81716"/>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8-21T00:00:00" maxDate="2025-09-30T00:00:00"/>
    </cacheField>
    <cacheField name="FECHA ULTIMA ACTUALIZACION" numFmtId="14">
      <sharedItems containsNonDate="0" containsDate="1" containsString="0" containsBlank="1" minDate="2025-09-01T00:00:00" maxDate="2025-10-01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FLANGER, DISPLAY LEGAL, DISPLAY CARTA O TABLOIDE" numFmtId="0">
      <sharedItems containsString="0" containsBlank="1" containsNumber="1" containsInteger="1" minValue="0" maxValue="1"/>
    </cacheField>
    <cacheField name="INSTALACIÓN DE AVISOS EXTERNOS " numFmtId="0">
      <sharedItems containsString="0" containsBlank="1" containsNumber="1" containsInteger="1" minValue="0" maxValue="1"/>
    </cacheField>
    <cacheField name="TRANSPORTE DE AVISO  POR INSTALACION O POR NO INSTALACION (IDA-REGRESO)" numFmtId="0">
      <sharedItems containsString="0" containsBlank="1" containsNumber="1" containsInteger="1" minValue="0" maxValue="3"/>
    </cacheField>
    <cacheField name="VALOR FLANGER, SEPARADOR, STICKER, DISPLAY" numFmtId="0">
      <sharedItems containsString="0" containsBlank="1" containsNumber="1" minValue="11251.22416" maxValue="11251.22416"/>
    </cacheField>
    <cacheField name="VALOR INSTALACIÓN DE AVISOS EXTERNOS " numFmtId="0">
      <sharedItems containsString="0" containsBlank="1" containsNumber="1" minValue="126317.12212" maxValue="126317.12212"/>
    </cacheField>
    <cacheField name="VALOR TRANSPORTE DE AVISO" numFmtId="0">
      <sharedItems containsString="0" containsBlank="1" containsNumber="1" minValue="57411.974240000003" maxValue="110808.27512000001"/>
    </cacheField>
    <cacheField name="VALOR TOTAL INSTALACION DE PUBLICIDAD" numFmtId="0">
      <sharedItems containsString="0" containsBlank="1" containsNumber="1" minValue="0" maxValue="48205502.9759198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n v="2021804.3890800003"/>
  </r>
  <r>
    <x v="1"/>
    <n v="10250482.123599999"/>
  </r>
  <r>
    <x v="2"/>
    <n v="4548393.3676800001"/>
  </r>
  <r>
    <x v="3"/>
    <n v="11650135.785120001"/>
  </r>
  <r>
    <x v="4"/>
    <n v="4521633.2965200003"/>
  </r>
  <r>
    <x v="5"/>
    <n v="10400097.489959998"/>
  </r>
  <r>
    <x v="6"/>
    <n v="4812956.5239600008"/>
  </r>
  <r>
    <x v="7"/>
    <m/>
  </r>
  <r>
    <x v="7"/>
    <m/>
  </r>
  <r>
    <x v="7"/>
    <m/>
  </r>
  <r>
    <x v="7"/>
    <m/>
  </r>
  <r>
    <x v="7"/>
    <m/>
  </r>
  <r>
    <x v="7"/>
    <m/>
  </r>
  <r>
    <x v="7"/>
    <m/>
  </r>
  <r>
    <x v="7"/>
    <m/>
  </r>
  <r>
    <x v="7"/>
    <m/>
  </r>
  <r>
    <x v="7"/>
    <m/>
  </r>
  <r>
    <x v="8"/>
    <s v="VALOR"/>
  </r>
  <r>
    <x v="0"/>
    <n v="1178581.78428"/>
  </r>
  <r>
    <x v="1"/>
    <n v="2879037.1301199999"/>
  </r>
  <r>
    <x v="2"/>
    <n v="2583825.5107999998"/>
  </r>
  <r>
    <x v="3"/>
    <n v="3183546.030879999"/>
  </r>
  <r>
    <x v="4"/>
    <n v="5133702.4135199971"/>
  </r>
  <r>
    <x v="5"/>
    <n v="3502910.1710399999"/>
  </r>
  <r>
    <x v="6"/>
    <n v="2655604.2387600001"/>
  </r>
  <r>
    <x v="7"/>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s v="BUCARAMANGA"/>
    <x v="0"/>
    <x v="0"/>
    <n v="68001"/>
    <n v="2811716"/>
    <n v="38309"/>
    <s v="ORDEN DE CAMBIO"/>
    <s v="SANTANDER"/>
    <s v="BUCARAMANGA"/>
    <s v="BARRIO EL PRADO BUCARAMANGA 3"/>
    <s v="REDEBAN"/>
    <s v="FO-25-1602638"/>
    <d v="2025-09-30T08:00:00"/>
    <d v="2025-09-30T15:46:00"/>
    <m/>
    <s v="PUBLICIDAD"/>
    <s v="AVISO EXTERIOR"/>
    <s v="UNO A UNO"/>
    <s v="CB UNO A UNO"/>
    <s v="EJECUTADO_EXITOSO"/>
    <s v="EJECUTADO EXITOSO"/>
    <s v="30/09/2025 POR FAVOR, COMUNICARSE CON USUARIO PARA CONFIRMAR UBICACION, SOLICITUD Y PROGRAMAR VISITA TECNICA | 30/09/2025 SE REALIZA INSTALACIÓN DE AVISO EXTERIOR 1.50 NO SE MANIPULA TERMINAL"/>
    <s v="VISITA_TÉCNICA"/>
    <n v="0"/>
    <s v="TIPO I"/>
    <s v="TERRESTRE"/>
    <s v="REYES RAMIREZ DIEGO ALEXANDER"/>
    <n v="1"/>
    <n v="0"/>
    <n v="96001.196280000004"/>
    <n v="57411.974240000003"/>
    <n v="96001.196280000004"/>
  </r>
  <r>
    <s v="BOGOTA"/>
    <x v="1"/>
    <x v="1"/>
    <n v="11001"/>
    <n v="2804178"/>
    <n v="50211"/>
    <s v="ORDEN DE CAMBIO"/>
    <s v="CUNDINAMARCA"/>
    <s v="BOGOTA"/>
    <s v="BARRIO BOSA BETANIA BOGOTA 1"/>
    <s v="REDEBAN"/>
    <s v="FO-25-1597058"/>
    <d v="2025-09-29T08:00:00"/>
    <d v="2025-09-30T15:51:00"/>
    <m/>
    <s v="PUBLICIDAD"/>
    <s v="AVISO EXTERIOR"/>
    <s v="UNO A UNO"/>
    <s v="CB UNO A UNO"/>
    <s v="EJECUTADO_EXITOSO"/>
    <s v="EJECUTADO EXITOSO"/>
    <s v="29/09/2025 POR FAVOR, COMUNICARSE CON USUARIO PARA CONFIRMAR UBICACION, SOLICITUD Y PROGRAMAR VISITA TECNICA | 30/09/2025 SE REALIZA VISITA SE REALIZA INSTALACIÓN DE AVISO PUBLICIDAD EXITOSA"/>
    <s v="VISITA_TÉCNICA"/>
    <n v="0"/>
    <s v="TIPO I"/>
    <s v="TERRESTRE"/>
    <s v="JAIMES VALERO NELSON RICARDO"/>
    <n v="1"/>
    <n v="0"/>
    <n v="96001.196280000004"/>
    <n v="57411.974240000003"/>
    <n v="96001.196280000004"/>
  </r>
  <r>
    <s v="BUCARAMANGA"/>
    <x v="0"/>
    <x v="0"/>
    <n v="68001"/>
    <n v="2803238"/>
    <n v="56173"/>
    <s v="ORDEN DE CAMBIO"/>
    <s v="SANTANDER"/>
    <s v="BUCARAMANGA"/>
    <s v="DISTRICOL DIGINET"/>
    <s v="REDEBAN"/>
    <s v="FO-25-1594810"/>
    <d v="2025-09-29T08:00:00"/>
    <d v="2025-09-29T12:36:00"/>
    <m/>
    <s v="PUBLICIDAD"/>
    <s v="AVISO EXTERIOR"/>
    <s v="AGREGADOR"/>
    <s v="DISTRICOL"/>
    <s v="EJECUTADO_EXITOSO"/>
    <s v="EJECUTADO EXITOSO"/>
    <s v="28/09/2025 POR FAVOR, COMUNICARSE CON USUARIO PARA CONFIRMAR UBICACION, SOLICITUD Y PROGRAMAR VISITA TECNICA | 29/09/2025 SE REALIZA DESMONTE DE AVISO EN MAL ESTADO Y SE INSTALA AVISO NUEVO"/>
    <s v="VISITA_TÉCNICA"/>
    <n v="0"/>
    <s v="TIPO I"/>
    <s v="TERRESTRE"/>
    <s v="SANTOS GONZALEZ JOHAN FABIAN"/>
    <n v="1"/>
    <n v="0"/>
    <n v="96001.196280000004"/>
    <n v="57411.974240000003"/>
    <n v="96001.196280000004"/>
  </r>
  <r>
    <s v="PEREIRA"/>
    <x v="2"/>
    <x v="2"/>
    <n v="66001"/>
    <n v="2803049"/>
    <n v="81149"/>
    <s v="ORDEN DE CAMBIO"/>
    <s v="RISARALDA"/>
    <s v="PEREIRA"/>
    <s v="BARRIO VILLAVICENCIO PAREIRA"/>
    <s v="REDEBAN"/>
    <s v="FO-25-1592982"/>
    <d v="2025-09-27T11:41:00"/>
    <d v="2025-09-29T12:33:00"/>
    <m/>
    <s v="PUBLICIDAD"/>
    <s v="AVISO EXTERIOR"/>
    <s v="UNO A UNO"/>
    <s v="UNO A UNO"/>
    <s v="EJECUTADO_EXITOSO"/>
    <s v="EJECUTADO EXITOSO"/>
    <s v="29/09/2025 SE VISITA COMERCIO SE REALIZA INSTALACIÓN DE PUBLICIDAD SE INSTALA AL INTERIOR DE REJA POR MOTIVO DE ROBO DE ALUMINIO DEL MARCO"/>
    <s v="VISITA_TÉCNICA"/>
    <n v="0"/>
    <s v="TIPO I"/>
    <s v="TERRESTRE"/>
    <s v="LOAIZA LOPEZ JHON FREDDY"/>
    <n v="1"/>
    <n v="0"/>
    <n v="96001.196280000004"/>
    <n v="57411.974240000003"/>
    <n v="96001.196280000004"/>
  </r>
  <r>
    <s v="BOGOTA"/>
    <x v="1"/>
    <x v="1"/>
    <n v="25290"/>
    <n v="2802769"/>
    <n v="80148"/>
    <s v="ORDEN DE CAMBIO"/>
    <s v="CUNDINAMARCA"/>
    <s v="FUSAGASUGA"/>
    <s v="BARRIO SECTOR CARIBE FUSAGASUGA"/>
    <s v="REDEBAN"/>
    <s v="FO-25-1592155"/>
    <d v="2025-09-27T09:35:00"/>
    <d v="2025-09-29T13:24:00"/>
    <m/>
    <s v="PUBLICIDAD"/>
    <s v="AVISO EXTERIOR"/>
    <s v="UNO A UNO"/>
    <s v="UNO A UNO"/>
    <s v="EJECUTADO_EXITOSO"/>
    <s v="EJECUTADO EXITOSO"/>
    <s v="28/09/2025 POR FAVOR, COMUNICARSE CON USUARIO PARA CONFIRMAR UBICACION, SOLICITUD Y PROGRAMAR VISITA TECNICA | 29/09/2025 SE REALIZA INSTALACIÓN DE AVISO EXTERIOR EN LUGAR INDICADO POR COMERCIO NO SE MANIPULA EQUIPOS  SIN NOVEDAD EN INSTALACIÓN"/>
    <s v="VISITA_TÉCNICA"/>
    <n v="0"/>
    <s v="TIPO II"/>
    <s v="TERRESTRE"/>
    <s v="GALEANO SORIANO JUAN DAVID"/>
    <n v="1"/>
    <n v="0"/>
    <n v="232858.60096000001"/>
    <n v="110808.27512000001"/>
    <n v="232858.60096000001"/>
  </r>
  <r>
    <s v="IBAGUE"/>
    <x v="3"/>
    <x v="3"/>
    <n v="73001"/>
    <n v="2801629"/>
    <n v="23472"/>
    <s v="ORDEN DE CAMBIO"/>
    <s v="TOLIMA"/>
    <s v="IBAGUE"/>
    <s v="BARRIO CALARCA IV IBAGUE"/>
    <s v="REDEBAN"/>
    <s v="FO-25-1590659"/>
    <d v="2025-09-26T16:11:00"/>
    <d v="2025-09-27T14:47:00"/>
    <m/>
    <s v="PUBLICIDAD"/>
    <s v="AVISO EXTERIOR"/>
    <s v="UNO A UNO"/>
    <s v="CB UNO A UNO"/>
    <s v="EJECUTADO_EXITOSO"/>
    <s v="EJECUTADO EXITOSO"/>
    <s v="26/09/2025 POR FAVOR, COMUNICARSE CON USUARIO PARA CONFIRMAR UBICACION, SOLICITUD Y PROGRAMAR VISITA TECNICA | 27/09/2025 SE INSTALA AVISO EXTERIOR SIN NOVEDAD, PORQUE EL ANTERIOR SE PARTIÓ."/>
    <s v="VISITA_TÉCNICA"/>
    <n v="0"/>
    <s v="TIPO I"/>
    <s v="TERRESTRE"/>
    <s v="VARGAS HERRERA JHON JAIRO"/>
    <n v="1"/>
    <n v="0"/>
    <n v="96001.196280000004"/>
    <n v="57411.974240000003"/>
    <n v="96001.196280000004"/>
  </r>
  <r>
    <s v="VILLAVICENCIO"/>
    <x v="3"/>
    <x v="3"/>
    <n v="50313"/>
    <n v="2800412"/>
    <n v="70071"/>
    <s v="ORDEN DE CAMBIO"/>
    <s v="META"/>
    <s v="GRANADA"/>
    <s v="BARRIO CENTRO GRANADA 17"/>
    <s v="REDEBAN"/>
    <s v="FO-25-1593758 | FO-25-1589329"/>
    <d v="2025-09-26T13:37:00"/>
    <d v="2025-09-29T12:23:00"/>
    <m/>
    <s v="PUBLICIDAD"/>
    <s v="AVISO EXTERIOR"/>
    <s v="CB UNO A UNO"/>
    <s v="CB UNO A UNO"/>
    <s v="EJECUTADO_EXITOSO"/>
    <s v="EJECUTADO EXITOSO"/>
    <s v="26/09/2025 POR FAVOR, COMUNICARSE CON USUARIO PARA CONFIRMAR UBICACION, SOLICITUD Y PROGRAMAR VISITA TECNICA | 27/09/2025 SE REALIZA VISITA A CB COMERCIO CERRADO SE REALIZA CONTACTO TELEFÓNICO CON LA SEÑORA VALENTINA MANIFIESTA NOS PUEDE ATENDER EL DÍA LUNES_x000a_29/09/2025 SE INSTALA AVISO EXTERIOR OK SIN NOVEDAD"/>
    <s v="VISITA_TÉCNICA"/>
    <n v="0"/>
    <s v="TIPO II"/>
    <s v="TERRESTRE"/>
    <s v="CASTRILLON URREA LONDIER LEANDRO"/>
    <n v="2"/>
    <n v="3"/>
    <n v="232858.60096000001"/>
    <n v="110808.27512000001"/>
    <n v="798142.02728000004"/>
  </r>
  <r>
    <s v="BOGOTA"/>
    <x v="1"/>
    <x v="1"/>
    <n v="25473"/>
    <n v="2800174"/>
    <n v="53025"/>
    <s v="ORDEN DE CAMBIO"/>
    <s v="CUNDINAMARCA"/>
    <s v="MOSQUERA"/>
    <s v="BARRIO SERREZUELA MOSQUERA"/>
    <s v="REDEBAN"/>
    <s v="FO-25-1589314"/>
    <d v="2025-09-26T12:56:00"/>
    <d v="2025-09-29T12:30:00"/>
    <m/>
    <s v="PUBLICIDAD"/>
    <s v="AVISO EXTERIOR"/>
    <s v="CB UNO A UNO"/>
    <s v="CB UNO A UNO"/>
    <s v="EJECUTADO_EXITOSO"/>
    <s v="EJECUTADO EXITOSO"/>
    <s v="26/09/2025 POR FAVOR, COMUNICARSE CON USUARIO PARA CONFIRMAR UBICACION, SOLICITUD Y PROGRAMAR VISITA TECNICA | 29/09/2025 INSTALACIÓN DE AVISO EXTERIOR OK NO SE MANIPULAN EQUIPOS"/>
    <s v="VISITA_TÉCNICA"/>
    <n v="0"/>
    <s v="TIPO I"/>
    <s v="TERRESTRE"/>
    <s v="HERNANDEZ NARANJO OSCAR EDUARDO"/>
    <n v="1"/>
    <n v="0"/>
    <n v="96001.196280000004"/>
    <n v="57411.974240000003"/>
    <n v="96001.196280000004"/>
  </r>
  <r>
    <s v="MEDELLIN"/>
    <x v="4"/>
    <x v="4"/>
    <n v="5541"/>
    <n v="2799801"/>
    <n v="79337"/>
    <s v="ORDEN DE CAMBIO"/>
    <s v="ANTIOQUIA"/>
    <s v="PEÑOL"/>
    <s v="BARRIO PENOL PENOL 1"/>
    <s v="REDEBAN"/>
    <s v="FO-25-1588775"/>
    <d v="2025-09-26T11:55:00"/>
    <d v="2025-09-30T12:49:00"/>
    <m/>
    <s v="PUBLICIDAD"/>
    <s v="AVISO EXTERIOR"/>
    <s v="CB UNO A UNO"/>
    <s v="CB UNO A UNO"/>
    <s v="EJECUTADO_EXITOSO"/>
    <s v="EJECUTADO EXITOSO"/>
    <s v="26/09/2025 POR FAVOR, COMUNICARSE CON USUARIO PARA CONFIRMAR UBICACION, SOLICITUD Y PROGRAMAR VISITA TECNICA | 30/09/2025 SE INSTALA AVISO EXTERIOR"/>
    <s v="VISITA_TÉCNICA"/>
    <n v="0"/>
    <s v="TIPO II"/>
    <s v="TERRESTRE"/>
    <s v="BADEL ACUÑA LUIS ALBERTO"/>
    <n v="1"/>
    <n v="0"/>
    <n v="232858.60096000001"/>
    <n v="110808.27512000001"/>
    <n v="232858.60096000001"/>
  </r>
  <r>
    <s v="CALI"/>
    <x v="2"/>
    <x v="5"/>
    <n v="76520"/>
    <n v="2798932"/>
    <n v="77083"/>
    <s v="ORDEN DE CAMBIO"/>
    <s v="VALLE DEL CAUCA"/>
    <s v="PALMIRA"/>
    <s v="DISTRICOL RAPITIENDA LOS PAISA"/>
    <s v="REDEBAN"/>
    <s v="FO-25-1588006"/>
    <d v="2025-09-26T10:36:00"/>
    <d v="2025-09-27T14:41:00"/>
    <m/>
    <s v="PUBLICIDAD"/>
    <s v="AVISO EXTERIOR"/>
    <s v="AGREGADOR"/>
    <s v="DISTRICOL"/>
    <s v="EJECUTADO_EXITOSO"/>
    <s v="EJECUTADO EXITOSO"/>
    <s v="26/09/2025 POR FAVOR, COMUNICARSE CON USUARIO PARA CONFIRMAR UBICACION, SOLICITUD Y PROGRAMAR VISITA TECNICA | 27/09/2025 EN LA VISITA TÉCNICA SE REALIZÓ LA INSTALACIÓN DE LA PUBLICIDAD EXTERIOR YA QUE LA ANTERIOR SE CAYÓ Y SE PARTIÓ."/>
    <s v="VISITA_TÉCNICA"/>
    <n v="0"/>
    <s v="TIPO I"/>
    <s v="TERRESTRE"/>
    <s v="SANCHEZ URREGO ROBINSON DAVID"/>
    <n v="1"/>
    <n v="0"/>
    <n v="96001.196280000004"/>
    <n v="57411.974240000003"/>
    <n v="96001.196280000004"/>
  </r>
  <r>
    <s v="CALI"/>
    <x v="2"/>
    <x v="5"/>
    <n v="76520"/>
    <n v="2797588"/>
    <n v="39121"/>
    <s v="ORDEN DE CAMBIO"/>
    <s v="VALLE DEL CAUCA"/>
    <s v="PALMIRA"/>
    <s v="BARRIO CENTRO PALMIRA 3"/>
    <s v="REDEBAN"/>
    <s v="FO-25-1587223"/>
    <d v="2025-09-26T09:00:00"/>
    <d v="2025-09-30T12:47:00"/>
    <m/>
    <s v="PUBLICIDAD"/>
    <s v="AVISO EXTERIOR"/>
    <s v="CB UNO A UNO"/>
    <s v="CB UNO A UNO"/>
    <s v="EJECUTADO_EXITOSO"/>
    <s v="EJECUTADO EXITOSO"/>
    <s v="30/09/2025 EN LA VISITA TÉCNICA SE REALIZÓ LA INSTALACIÓN DE LA PUBLICIDAD EXTERIOR YA QUE LA ANTERIOR SE LA HABÍAN ROBADO."/>
    <s v="VISITA_TÉCNICA"/>
    <n v="0"/>
    <s v="TIPO I"/>
    <s v="TERRESTRE"/>
    <s v="SANCHEZ URREGO ROBINSON DAVID"/>
    <n v="1"/>
    <n v="0"/>
    <n v="96001.196280000004"/>
    <n v="57411.974240000003"/>
    <n v="96001.196280000004"/>
  </r>
  <r>
    <s v="MEDELLIN"/>
    <x v="4"/>
    <x v="4"/>
    <n v="5001"/>
    <n v="2794214"/>
    <n v="24517"/>
    <s v="ORDEN DE CAMBIO"/>
    <s v="ANTIOQUIA"/>
    <s v="MEDELLIN"/>
    <s v="BARRIO I TRISTE MEDELLIN ANTIO"/>
    <s v="REDEBAN"/>
    <s v="FO-25-1583870"/>
    <d v="2025-09-25T13:25:00"/>
    <d v="2025-09-26T10:57:00"/>
    <m/>
    <s v="PUBLICIDAD"/>
    <s v="AVISO EXTERIOR"/>
    <s v="CB UNO A UNO"/>
    <s v="CB UNO A UNO"/>
    <s v="EJECUTADO_EXITOSO"/>
    <s v="EJECUTADO EXITOSO"/>
    <s v="25/09/2025 POR FAVOR, COMUNICARSE CON USUARIO PARA CONFIRMAR UBICACION, SOLICITUD Y PROGRAMAR VISITA TECNICA | 26/09/2025 INSTALACIÓN DE AVISO EXTERIOR OK"/>
    <s v="VISITA_TÉCNICA"/>
    <n v="0"/>
    <s v="TIPO I"/>
    <s v="TERRESTRE"/>
    <s v="PAREJA ECHAVARRIA JHON DAVID"/>
    <n v="1"/>
    <n v="0"/>
    <n v="96001.196280000004"/>
    <n v="57411.974240000003"/>
    <n v="96001.196280000004"/>
  </r>
  <r>
    <s v="BOGOTA"/>
    <x v="1"/>
    <x v="1"/>
    <n v="25899"/>
    <n v="2789596"/>
    <n v="73430"/>
    <s v="ORDEN DE CAMBIO"/>
    <s v="CUNDINAMARCA"/>
    <s v="ZIPAQUIRA"/>
    <s v="BARRIO CENTRO ZIPAQUIRA 10"/>
    <s v="REDEBAN"/>
    <s v="FO-25-1579427"/>
    <d v="2025-09-24T15:47:00"/>
    <d v="2025-09-27T09:15:00"/>
    <m/>
    <s v="PUBLICIDAD"/>
    <s v="AVISO EXTERIOR"/>
    <s v="CB UNO A UNO"/>
    <s v="CB UNO A UNO"/>
    <s v="EJECUTADO_EXITOSO"/>
    <s v="EJECUTADO EXITOSO"/>
    <s v="24/09/2025 POR FAVOR, COMUNICARSE CON USUARIO PARA CONFIRMAR UBICACION, SOLICITUD Y PROGRAMAR VISITA TECNICA | 26/09/2025 SE REALIZA INSTALACIÓN DE AVISO EXTERIOR EN LUGAR INDICADO POR COMERCIO NO SE MANIPULA EQUIPOS  SIN NOVEDAD EN INSTALACIÓN"/>
    <s v="VISITA_TÉCNICA"/>
    <n v="0"/>
    <s v="TIPO II"/>
    <s v="TERRESTRE"/>
    <s v="GALEANO SORIANO JUAN DAVID"/>
    <n v="1"/>
    <n v="0"/>
    <n v="232858.60096000001"/>
    <n v="110808.27512000001"/>
    <n v="232858.60096000001"/>
  </r>
  <r>
    <s v="BOGOTA"/>
    <x v="1"/>
    <x v="1"/>
    <n v="25473"/>
    <n v="2787908"/>
    <n v="71113"/>
    <s v="ORDEN DE CAMBIO"/>
    <s v="CUNDINAMARCA"/>
    <s v="MOSQUERA"/>
    <s v="MOSQUERA VILLA MARCELA"/>
    <s v="REDEBAN"/>
    <s v="FO-25-1576959"/>
    <d v="2025-09-24T12:02:00"/>
    <d v="2025-09-25T10:48:00"/>
    <m/>
    <s v="PUBLICIDAD"/>
    <s v="AVISO EXTERIOR"/>
    <s v="CB UNO A UNO"/>
    <s v="CB UNO A UNO"/>
    <s v="EJECUTADO_EXITOSO"/>
    <s v="EJECUTADO EXITOSO"/>
    <s v="24/09/2025 POR FAVOR, COMUNICARSE CON USUARIO PARA CONFIRMAR UBICACION, SOLICITUD Y PROGRAMAR VISITA TECNICA | 25/09/2025 INSTALACIÓN DE AVISO YA QUE SE LES CAYÓ Y SE ROMPIÓ"/>
    <s v="VISITA_TÉCNICA"/>
    <n v="0"/>
    <s v="TIPO I"/>
    <s v="TERRESTRE"/>
    <s v="GOMEZ VEGA DAVID SNEYDER"/>
    <n v="1"/>
    <n v="0"/>
    <n v="96001.196280000004"/>
    <n v="57411.974240000003"/>
    <n v="96001.196280000004"/>
  </r>
  <r>
    <s v="BOGOTA"/>
    <x v="1"/>
    <x v="1"/>
    <n v="25899"/>
    <n v="2786956"/>
    <n v="68820"/>
    <s v="ORDEN DE CAMBIO"/>
    <s v="CUNDINAMARCA"/>
    <s v="ZIPAQUIRA"/>
    <s v="LA PAZ ZIPAQUIRA 4"/>
    <s v="REDEBAN"/>
    <s v="FO-25-1576547"/>
    <d v="2025-09-24T10:45:00"/>
    <d v="2025-09-26T16:23:00"/>
    <m/>
    <s v="PUBLICIDAD"/>
    <s v="AVISO EXTERIOR"/>
    <s v="CB UNO A UNO"/>
    <s v="CB UNO A UNO"/>
    <s v="EJECUTADO_EXITOSO"/>
    <s v="EJECUTADO EXITOSO"/>
    <s v="24/09/2025 POR FAVOR, COMUNICARSE CON USUARIO PARA CONFIRMAR UBICACION, SOLICITUD Y PROGRAMAR VISITA TECNICA | 26/09/2025 SE REALIZA INSTALACIÓN DE AVISO EXTERIOR EN LUGAR INDICADO POR COMERCIO NO SE MANIPULA EQUIPOS  SIN NOVEDAD EN INSTALACIÓN"/>
    <s v="VISITA_TÉCNICA"/>
    <n v="0"/>
    <s v="TIPO II"/>
    <s v="TERRESTRE"/>
    <s v="GALEANO SORIANO JUAN DAVID"/>
    <n v="1"/>
    <n v="0"/>
    <n v="232858.60096000001"/>
    <n v="110808.27512000001"/>
    <n v="232858.60096000001"/>
  </r>
  <r>
    <s v="PASTO"/>
    <x v="2"/>
    <x v="5"/>
    <n v="52540"/>
    <n v="2784469"/>
    <n v="40640"/>
    <s v="ORDEN DE CAMBIO"/>
    <s v="NARIÑO"/>
    <s v="POLICARPA"/>
    <s v="BARRIO VEREDA SANTA ROSA POLIC"/>
    <s v="REDEBAN"/>
    <s v="FO-25-1574691"/>
    <d v="2025-09-24T08:00:00"/>
    <d v="2025-09-27T14:40:00"/>
    <m/>
    <s v="PUBLICIDAD"/>
    <s v="AVISO EXTERIOR"/>
    <s v="CB UNO A UNO"/>
    <s v="CB UNO A UNO"/>
    <s v="EJECUTADO_CANCELADO"/>
    <s v="PETICIÓN USUARIO"/>
    <s v="04/09/2025 POR FAVOR, COMUNICARSE CON USUARIO PARA CONFIRMAR UBICACION, SOLICITUD Y PROGRAMAR VISITA TECNICA | 27/09/2025 SE REALIZA VALIDACIÓN CON EL CLIENTE PERO INDICA QUE NO REQUIERE EL AVISO EXTERIOR PUES INDICA QUE EL AVISO SE HABÍA ZAFADO Y DAÑADO ESTABA BIEN POR QUE LO QUE LO FIJARON DE NUEVO , INDICA QUE NO HAY NECESIDAD DE  IR CON UN NUEVO AVISO ADICIONAL POR QUE ESTA ZONA ES GUERRILLERA Y POR AHORA EL INGRESO ES MUY COMPLICADO ENTONCES NO VE LA NECESIDAD"/>
    <s v="SOPORTE_TELEFÓNICO"/>
    <n v="0"/>
    <s v="TIPO IV"/>
    <s v="TERRESTRE"/>
    <s v="HENAO CARDONA DIEGO FERNANDO"/>
    <n v="0"/>
    <n v="0"/>
    <n v="0"/>
    <n v="0"/>
    <n v="37904.65408"/>
  </r>
  <r>
    <s v="TUNJA"/>
    <x v="0"/>
    <x v="0"/>
    <n v="15001"/>
    <n v="2784245"/>
    <n v="80194"/>
    <s v="ORDEN DE CAMBIO"/>
    <s v="BOYACA"/>
    <s v="TUNJA"/>
    <s v="BARRIO SANTA RITA TUNJA 4"/>
    <s v="REDEBAN"/>
    <s v="FO-25-1574692"/>
    <d v="2025-09-23T17:45:00"/>
    <d v="2025-09-24T17:08:00"/>
    <m/>
    <s v="PUBLICIDAD"/>
    <s v="AVISO EXTERIOR"/>
    <s v="UNO A UNO"/>
    <s v="UNO A UNO"/>
    <s v="EJECUTADO_EXITOSO"/>
    <s v="EJECUTADO EXITOSO"/>
    <s v="04/09/2025 POR FAVOR, COMUNICARSE CON USUARIO PARA CONFIRMAR UBICACION, SOLICITUD Y PROGRAMAR VISITA TECNICA | 24/09/2025 INSTALACIÓN DE AVISO EXTERIOR EXITOSO. TIRILLA SUMINISTRADA POR EL CLIENTE"/>
    <s v="VISITA_TÉCNICA"/>
    <n v="0"/>
    <s v="TIPO I"/>
    <s v="TERRESTRE"/>
    <s v="HERRERA GARZON JEYSON STEVENT"/>
    <n v="1"/>
    <n v="0"/>
    <n v="96001.196280000004"/>
    <n v="57411.974240000003"/>
    <n v="96001.196280000004"/>
  </r>
  <r>
    <s v="SINCELEJO"/>
    <x v="5"/>
    <x v="6"/>
    <n v="70110"/>
    <n v="2784035"/>
    <n v="12345"/>
    <s v="ORDEN DE CAMBIO"/>
    <s v="SUCRE"/>
    <s v="BUENAVISTA"/>
    <s v="BUENAVISTA II - SUCRE"/>
    <s v="REDEBAN"/>
    <s v="FO-25-1574092"/>
    <d v="2025-09-23T16:58:00"/>
    <d v="2025-09-29T16:52:00"/>
    <m/>
    <s v="PUBLICIDAD"/>
    <s v="AVISO EXTERIOR"/>
    <s v="CB UNO A UNO"/>
    <s v="CB UNO A UNO"/>
    <s v="EJECUTADO_EXITOSO"/>
    <s v="EJECUTADO EXITOSO"/>
    <s v="23/09/2025 POR FAVOR, COMUNICARSE CON USUARIO PARA CONFIRMAR UBICACION, SOLICITUD Y PROGRAMAR VISITA TECNICA | 29/09/2025 SE VISITA COMERCIO Y SE HACE INSTALACIÓN DE AVISÓ EXTERIOR YA QUE UNA TORMENTA SE LO PARTIÓ."/>
    <s v="VISITA_TÉCNICA"/>
    <n v="0"/>
    <s v="TIPO II"/>
    <s v="TERRESTRE"/>
    <s v="CACERES HERNANDEZ ANDRES"/>
    <n v="1"/>
    <n v="0"/>
    <n v="232858.60096000001"/>
    <n v="110808.27512000001"/>
    <n v="232858.60096000001"/>
  </r>
  <r>
    <s v="VILLAVICENCIO"/>
    <x v="3"/>
    <x v="3"/>
    <n v="50001"/>
    <n v="2783485"/>
    <n v="76863"/>
    <s v="ORDEN DE CAMBIO"/>
    <s v="META"/>
    <s v="VILLAVICENCIO"/>
    <s v="BARRIO OLIMPICO VILLACENCIO"/>
    <s v="REDEBAN"/>
    <s v="FO-25-1573899"/>
    <d v="2025-09-23T16:20:00"/>
    <d v="2025-09-26T13:51:00"/>
    <m/>
    <s v="PUBLICIDAD"/>
    <s v="AVISO EXTERIOR"/>
    <s v="CB UNO A UNO"/>
    <s v="CB UNO A UNO"/>
    <s v="EJECUTADO_EXITOSO"/>
    <s v="EJECUTADO EXITOSO"/>
    <s v="23/09/2025 POR FAVOR, COMUNICARSE CON USUARIO PARA CONFIRMAR UBICACION, SOLICITUD Y PROGRAMAR VISITA TECNICA | 26/09/2025 SE INSTALA AVISO EXTERIOR OK SIN NOVEDADES"/>
    <s v="VISITA_TÉCNICA"/>
    <n v="0"/>
    <s v="TIPO I"/>
    <s v="TERRESTRE"/>
    <s v="CASTRILLON URREA LONDIER LEANDRO"/>
    <n v="1"/>
    <n v="0"/>
    <n v="96001.196280000004"/>
    <n v="57411.974240000003"/>
    <n v="96001.196280000004"/>
  </r>
  <r>
    <s v="MONTERIA"/>
    <x v="5"/>
    <x v="6"/>
    <n v="5495"/>
    <n v="2776273"/>
    <n v="37669"/>
    <s v="ORDEN DE CAMBIO"/>
    <s v="ANTIOQUIA"/>
    <s v="NECHI"/>
    <s v="DISTRICOL ALMACEN Y TALLER KFC"/>
    <s v="REDEBAN"/>
    <s v="FO-25-1566282"/>
    <d v="2025-09-22T15:13:00"/>
    <d v="2025-09-24T14:40:00"/>
    <m/>
    <s v="PUBLICIDAD"/>
    <s v="AVISO EXTERIOR"/>
    <s v="AGREGADOR"/>
    <s v="DISTRICOL"/>
    <s v="EJECUTADO_EXITOSO"/>
    <s v="EJECUTADO EXITOSO"/>
    <s v="22/09/2025 POR FAVOR, COMUNICARSE CON USUARIO PARA CONFIRMAR UBICACION, SOLICITUD Y PROGRAMAR VISITA TECNICA | 24/09/2025 SE REALIZA INSTALACIÓN DE AVISO EXTERIOR, NO SE ENCONTRÓ AVISO EXTERIOR EN EL PUNTO, NUEVO AVISO INSTALADO VISIBLE AL PÚBLICO OK"/>
    <s v="VISITA_TÉCNICA"/>
    <n v="0"/>
    <s v="TIPO III"/>
    <s v="TERRESTRE"/>
    <s v="GONZALEZ FERRER JESUS ALEXANDER"/>
    <n v="1"/>
    <n v="0"/>
    <n v="344774.56896"/>
    <n v="110808.27512000001"/>
    <n v="344774.56896"/>
  </r>
  <r>
    <s v="BUCARAMANGA"/>
    <x v="0"/>
    <x v="0"/>
    <n v="68001"/>
    <n v="2769984"/>
    <n v="55098"/>
    <s v="ORDEN DE CAMBIO"/>
    <s v="SANTANDER"/>
    <s v="BUCARAMANGA"/>
    <s v="PTM BUCARAMANGA PAPELERIA ART"/>
    <s v="REDEBAN"/>
    <s v="FO-25-1561075"/>
    <d v="2025-09-22T08:00:00"/>
    <d v="2025-09-22T12:48:00"/>
    <m/>
    <s v="PUBLICIDAD"/>
    <s v="AVISO EXTERIOR"/>
    <s v="AGREGADOR"/>
    <s v="COMCARD - PTM"/>
    <s v="EJECUTADO_EXITOSO"/>
    <s v="EJECUTADO EXITOSO"/>
    <s v="21/09/2025 POR FAVOR, COMUNICARSE CON USUARIO PARA CONFIRMAR UBICACION, SOLICITUD Y PROGRAMAR VISITA TECNICA | 22/09/2025 SE REALIZA VISITA AL COMERCIO SE INSTALA AVISO EXTERIOR"/>
    <s v="VISITA_TÉCNICA"/>
    <n v="0"/>
    <s v="TIPO I"/>
    <s v="TERRESTRE"/>
    <s v="MARIÑO PABON JORGE ENRIQUE"/>
    <n v="1"/>
    <n v="0"/>
    <n v="96001.196280000004"/>
    <n v="57411.974240000003"/>
    <n v="96001.196280000004"/>
  </r>
  <r>
    <s v="VILLAVICENCIO"/>
    <x v="3"/>
    <x v="3"/>
    <n v="50318"/>
    <n v="2769507"/>
    <n v="48542"/>
    <s v="ORDEN DE CAMBIO"/>
    <s v="META"/>
    <s v="GUAMAL"/>
    <s v="BARRIO CENTRO GUAMAL 1"/>
    <s v="REDEBAN"/>
    <s v="FO-25-1558491"/>
    <d v="2025-09-20T09:48:00"/>
    <d v="2025-09-23T11:10:00"/>
    <m/>
    <s v="PUBLICIDAD"/>
    <s v="AVISO EXTERIOR"/>
    <s v="CB UNO A UNO"/>
    <s v="CB UNO A UNO"/>
    <s v="EJECUTADO_EXITOSO"/>
    <s v="EJECUTADO EXITOSO"/>
    <s v="20/09/2025 POR FAVOR, COMUNICARSE CON USUARIO PARA CONFIRMAR UBICACION, SOLICITUD Y PROGRAMAR VISITA TECNICA | 23/09/2025 SE INSTALA AVISO EXTERIOR SIN NOVEDADES"/>
    <s v="VISITA_TÉCNICA"/>
    <n v="0"/>
    <s v="TIPO II"/>
    <s v="TERRESTRE"/>
    <s v="CASTRILLON URREA LONDIER LEANDRO"/>
    <n v="1"/>
    <n v="0"/>
    <n v="232858.60096000001"/>
    <n v="110808.27512000001"/>
    <n v="232858.60096000001"/>
  </r>
  <r>
    <s v="VILLAVICENCIO"/>
    <x v="3"/>
    <x v="3"/>
    <n v="50568"/>
    <n v="2769396"/>
    <n v="64589"/>
    <s v="ORDEN DE CAMBIO"/>
    <s v="META"/>
    <s v="PUERTO GAITAN"/>
    <s v="BARRIO CORPOMECAVI PUERTO GAIT"/>
    <s v="REDEBAN"/>
    <s v="FO-25-1558495"/>
    <d v="2025-09-20T09:46:00"/>
    <d v="2025-09-25T11:35:00"/>
    <m/>
    <s v="PUBLICIDAD"/>
    <s v="AVISO EXTERIOR"/>
    <s v="CB UNO A UNO"/>
    <s v="CB UNO A UNO"/>
    <s v="EJECUTADO_EXITOSO"/>
    <s v="EJECUTADO EXITOSO"/>
    <s v="20/09/2025 SE INTENTA COMUNICACION AL NUMERO 3137535747 NO ES POSIBLE VALIDAR SOLICITUD POR FAVOR VALIDAR ANTES DE VISITAR | 25/09/2025 SE REALIZA INSTALACIÓN DE AVISO EXTERIOR OK SIN NOVEDADES"/>
    <s v="VISITA_TÉCNICA"/>
    <n v="0"/>
    <s v="TIPO III"/>
    <s v="TERRESTRE"/>
    <s v="CASTRILLON URREA LONDIER LEANDRO"/>
    <n v="1"/>
    <n v="0"/>
    <n v="344774.56896"/>
    <n v="110808.27512000001"/>
    <n v="344774.56896"/>
  </r>
  <r>
    <s v="MEDELLIN"/>
    <x v="4"/>
    <x v="4"/>
    <n v="5631"/>
    <n v="2768584"/>
    <n v="79928"/>
    <s v="ORDEN DE CAMBIO"/>
    <s v="ANTIOQUIA"/>
    <s v="SABANETA"/>
    <s v="DISTRICOL MERCADOS JUSTO AQUI"/>
    <s v="REDEBAN"/>
    <s v="FO-25-1557637"/>
    <d v="2025-09-20T09:00:00"/>
    <d v="2025-09-24T10:41:00"/>
    <m/>
    <s v="PUBLICIDAD"/>
    <s v="AVISO EXTERIOR"/>
    <s v="AGREGADOR"/>
    <s v="DISTRICOL"/>
    <s v="EJECUTADO_EXITOSO"/>
    <s v="EJECUTADO EXITOSO"/>
    <s v="20/09/2025 POR FAVOR, COMUNICARSE CON USUARIO PARA CONFIRMAR UBICACION, SOLICITUD Y PROGRAMAR VISITA TECNICA | 24/09/2025 SE VISITA PUNTO Y SE NOTA QUÉ YA TIENEN AVISO EXTERIOR MONTADO, SOLICITUD ERA PARA PEGAR FLANGER QUÉ SE CAYO, SE PEGA OK"/>
    <s v="VISITA_TÉCNICA"/>
    <n v="0"/>
    <s v="TIPO I"/>
    <s v="TERRESTRE"/>
    <s v="QUINTERO SANCHEZ JUAN SEBASTIAN"/>
    <n v="1"/>
    <n v="0"/>
    <n v="96001.196280000004"/>
    <n v="57411.974240000003"/>
    <n v="96001.196280000004"/>
  </r>
  <r>
    <s v="PEREIRA"/>
    <x v="2"/>
    <x v="2"/>
    <n v="63130"/>
    <n v="2767773"/>
    <n v="33500"/>
    <s v="ORDEN DE CAMBIO"/>
    <s v="QUINDIO"/>
    <s v="CALARCA"/>
    <s v="BARRIO CENTRO CALARCA"/>
    <s v="REDEBAN"/>
    <s v="FO-25-1556750"/>
    <d v="2025-09-19T15:35:00"/>
    <d v="2025-09-22T12:54:00"/>
    <m/>
    <s v="PUBLICIDAD"/>
    <s v="AVISO EXTERIOR"/>
    <s v="CB UNO A UNO"/>
    <s v="CB UNO A UNO"/>
    <s v="EJECUTADO_EXITOSO"/>
    <s v="EJECUTADO EXITOSO"/>
    <s v="19/09/2025 POR FAVOR, COMUNICARSE CON USUARIO PARA CONFIRMAR UBICACION, SOLICITUD Y PROGRAMAR VISITA TECNICA | 22/09/2025 SE VISITA COMERCIO SE REALIZA INSTALACIÓN DE AVISO EXTERIOR SE INSTALA SIN MARCO POR SOLICITUD DE USUARIA POR HURTO DE ALUMINIO DEL MARCO"/>
    <s v="VISITA_TÉCNICA"/>
    <n v="0"/>
    <s v="TIPO II"/>
    <s v="TERRESTRE"/>
    <s v="LOAIZA LOPEZ JHON FREDDY"/>
    <n v="1"/>
    <n v="0"/>
    <n v="232858.60096000001"/>
    <n v="110808.27512000001"/>
    <n v="232858.60096000001"/>
  </r>
  <r>
    <s v="SINCELEJO"/>
    <x v="5"/>
    <x v="6"/>
    <n v="70001"/>
    <n v="2767120"/>
    <n v="19213"/>
    <s v="ORDEN DE CAMBIO"/>
    <s v="SUCRE"/>
    <s v="SINCELEJO"/>
    <s v="BARRIO MOCHILA SINCELEJO"/>
    <s v="REDEBAN"/>
    <s v="FO-25-1556127"/>
    <d v="2025-09-19T13:33:00"/>
    <d v="2025-09-20T11:42:00"/>
    <m/>
    <s v="PUBLICIDAD"/>
    <s v="AVISO EXTERIOR"/>
    <s v="CB UNO A UNO"/>
    <s v="CB UNO A UNO"/>
    <s v="EJECUTADO_EXITOSO"/>
    <s v="EJECUTADO EXITOSO"/>
    <s v="19/08/2025 POR FAVOR, COMUNICARSE CON USUARIO PARA CONFIRMAR UBICACION, SOLICITUD Y PROGRAMAR VISITA TECNICA | 20/09/2025 SE VISITA COMERCIO Y SE HACE INSTALACIÓN DE AVISÓ EXTERIOR YA QUE UNA TORMENTA SE LO PARTIÓ."/>
    <s v="VISITA_TÉCNICA"/>
    <n v="0"/>
    <s v="TIPO I"/>
    <s v="TERRESTRE"/>
    <s v="CACERES HERNANDEZ ANDRES"/>
    <n v="1"/>
    <n v="0"/>
    <n v="96001.196280000004"/>
    <n v="57411.974240000003"/>
    <n v="96001.196280000004"/>
  </r>
  <r>
    <s v="PEREIRA"/>
    <x v="2"/>
    <x v="2"/>
    <n v="66170"/>
    <n v="2765713"/>
    <n v="72300"/>
    <s v="ORDEN DE CAMBIO"/>
    <s v="RISARALDA"/>
    <s v="DOSQUEBRADAS"/>
    <s v="DOSQUEBRADAS CAMPESTRE A"/>
    <s v="REDEBAN"/>
    <s v="FO-25-1552978"/>
    <d v="2025-09-19T10:29:00"/>
    <d v="2025-09-20T11:38:00"/>
    <m/>
    <s v="PUBLICIDAD"/>
    <s v="AVISO EXTERIOR"/>
    <s v="CB UNO A UNO"/>
    <s v="CB UNO A UNO"/>
    <s v="EJECUTADO_EXITOSO"/>
    <s v="EJECUTADO EXITOSO"/>
    <s v="19/09/2025 POR FAVOR, COMUNICARSE CON USUARIO PARA CONFIRMAR UBICACION, SOLICITUD Y PROGRAMAR VISITA TECNICA | 20/09/2025 VISITAMOS COMERCIO REALIZAMOS INSTALACIÓN DE AVISO EXTERIOR YA QUE EL OTRO SE LE CAYÓ Y SE PARTIÓ."/>
    <s v="VISITA_TÉCNICA"/>
    <n v="0"/>
    <s v="TIPO I"/>
    <s v="TERRESTRE"/>
    <s v="ARROYAVE CANO MANUEL GUILLERMO"/>
    <n v="1"/>
    <n v="0"/>
    <n v="96001.196280000004"/>
    <n v="57411.974240000003"/>
    <n v="96001.196280000004"/>
  </r>
  <r>
    <s v="VILLAVICENCIO"/>
    <x v="3"/>
    <x v="3"/>
    <n v="50001"/>
    <n v="2764863"/>
    <n v="77812"/>
    <s v="ORDEN DE CAMBIO"/>
    <s v="META"/>
    <s v="VILLAVICENCIO"/>
    <s v="BARRIO RETIRO VILLAVICENCIO 6"/>
    <s v="REDEBAN"/>
    <s v="FO-25-1552510"/>
    <d v="2025-09-19T09:24:00"/>
    <d v="2025-09-20T13:08:00"/>
    <m/>
    <s v="PUBLICIDAD"/>
    <s v="AVISO EXTERIOR"/>
    <s v="CB UNO A UNO"/>
    <s v="CB UNO A UNO"/>
    <s v="EJECUTADO_EXITOSO"/>
    <s v="EJECUTADO EXITOSO"/>
    <s v="19/09/2025 POR FAVOR, COMUNICARSE CON USUARIO PARA CONFIRMAR UBICACION, SOLICITUD Y PROGRAMAR VISITA TECNICA | 20/09/2025 SE REALIZA INSTALACION DE AVISO EXTERIOR"/>
    <s v="VISITA_TÉCNICA"/>
    <n v="0"/>
    <s v="TIPO I"/>
    <s v="TERRESTRE"/>
    <s v="PEDREROS CONTRERAS MICHAEL STEVENS"/>
    <n v="1"/>
    <n v="0"/>
    <n v="96001.196280000004"/>
    <n v="57411.974240000003"/>
    <n v="96001.196280000004"/>
  </r>
  <r>
    <s v="CALI"/>
    <x v="2"/>
    <x v="5"/>
    <n v="76001"/>
    <n v="2760891"/>
    <n v="77340"/>
    <s v="ORDEN DE CAMBIO"/>
    <s v="VALLE DEL CAUCA"/>
    <s v="CALI"/>
    <s v="BARRIO LA PRIMAVERA CALI  1"/>
    <s v="REDEBAN"/>
    <s v="FO-25-1548947"/>
    <d v="2025-09-18T12:10:00"/>
    <d v="2025-09-19T13:11:00"/>
    <m/>
    <s v="PUBLICIDAD"/>
    <s v="AVISO EXTERIOR"/>
    <s v="CB UNO A UNO"/>
    <s v="CB UNO A UNO"/>
    <s v="EJECUTADO_EXITOSO"/>
    <s v="EJECUTADO EXITOSO"/>
    <s v="18/09/2025 POR FAVOR, COMUNICARSE CON USUARIO PARA CONFIRMAR UBICACION, SOLICITUD Y PROGRAMAR VISITA TECNICA | 19/09/2025 SE VISITA EL COMERCIO, EL CLIENTE INFORMA QUE SE LE ROBAN EL AVISO EXTERIOR POR EL MARCO DE ALUMINIO POR LO QUE SE INSTALA AVISO EXTERIOR SIN MARCO POR LOS CONTINUOS ROBOS"/>
    <s v="VISITA_TÉCNICA"/>
    <n v="0"/>
    <s v="TIPO I"/>
    <s v="TERRESTRE"/>
    <s v="HERRERA MONAR GEOVANNY"/>
    <n v="1"/>
    <n v="0"/>
    <n v="96001.196280000004"/>
    <n v="57411.974240000003"/>
    <n v="96001.196280000004"/>
  </r>
  <r>
    <s v="MEDELLIN"/>
    <x v="4"/>
    <x v="4"/>
    <n v="27361"/>
    <n v="2758837"/>
    <n v="46851"/>
    <s v="ORDEN DE CAMBIO"/>
    <s v="CHOCO"/>
    <s v="ISTMINA"/>
    <s v="DISTRICOL ZONA W ASESORIAS"/>
    <s v="REDEBAN"/>
    <s v="FO-25-1547242"/>
    <d v="2025-09-18T08:48:00"/>
    <d v="2025-09-25T08:01:00"/>
    <m/>
    <s v="PUBLICIDAD"/>
    <s v="AVISO EXTERIOR"/>
    <s v="AGREGADOR"/>
    <s v="DISTRICOL"/>
    <s v="EJECUTADO_CANCELADO"/>
    <s v="PETICIÓN BANCOLOMBIA"/>
    <s v="18/09/2025 POR FAVOR, COMUNICARSE CON USUARIO PARA CONFIRMAR UBICACION, SOLICITUD Y PROGRAMAR VISITA TECNICA | 24/09/2025 SE REALIZA VISITA, SE ENCUENTRA COMERCIO CERRADA Y SE EVIDENCIA QUE EL COMERCIO CUENTA CON AVISO, NO SE PROCEDE INSTALAR PUBLICIDAD"/>
    <s v="VISITA_TÉCNICA"/>
    <n v="0"/>
    <s v="TIPO IV ESPECIAL"/>
    <s v="AEREO"/>
    <s v="ROBLEDO DIAZ ANDRES FELIPE"/>
    <n v="1"/>
    <n v="0"/>
    <n v="548633.63271999999"/>
    <n v="110808.27512000001"/>
    <n v="548633.63271999999"/>
  </r>
  <r>
    <s v="VILLAVICENCIO"/>
    <x v="3"/>
    <x v="3"/>
    <n v="50001"/>
    <n v="2757569"/>
    <n v="60580"/>
    <s v="ORDEN DE CAMBIO"/>
    <s v="META"/>
    <s v="VILLAVICENCIO"/>
    <s v="BARRIO CIUDAD PORFIA VILLAVICE"/>
    <s v="REDEBAN"/>
    <s v="FO-25-1546032"/>
    <d v="2025-09-18T08:00:00"/>
    <d v="2025-09-19T13:06:00"/>
    <m/>
    <s v="PUBLICIDAD"/>
    <s v="AVISO EXTERIOR"/>
    <s v="CB UNO A UNO"/>
    <s v="CB UNO A UNO"/>
    <s v="EJECUTADO_EXITOSO"/>
    <s v="EJECUTADO EXITOSO"/>
    <s v="18/09/2025 EN COMUNICACIÓN  AL NUMERO  3225901675  CON CB SE CONFIRMAN DATOS DE LA SOLICITUD ESCALA PARA VISITA | 19/09/2025 SE REALIZA VISITA AL CB POR SOLICITUD DE AVISO EXTERIOR SE INSTALA SIN NOVEDAD TODO OK"/>
    <s v="VISITA_TÉCNICA"/>
    <n v="0"/>
    <s v="TIPO I"/>
    <s v="TERRESTRE"/>
    <s v="MOLINA CASTRO JAVIER ALBERTO"/>
    <n v="1"/>
    <n v="0"/>
    <n v="96001.196280000004"/>
    <n v="57411.974240000003"/>
    <n v="96001.196280000004"/>
  </r>
  <r>
    <s v="IBAGUE"/>
    <x v="3"/>
    <x v="3"/>
    <n v="73001"/>
    <n v="2757208"/>
    <n v="54471"/>
    <s v="ORDEN DE CAMBIO"/>
    <s v="TOLIMA"/>
    <s v="IBAGUE"/>
    <s v="BARRIO RICAURTE PARTE BAJA IBA"/>
    <s v="REDEBAN"/>
    <s v="FO-25-1546060"/>
    <d v="2025-09-17T16:43:00"/>
    <d v="2025-09-18T15:28:00"/>
    <m/>
    <s v="PUBLICIDAD"/>
    <s v="AVISO EXTERIOR"/>
    <s v="CB UNO A UNO"/>
    <s v="CB UNO A UNO"/>
    <s v="EJECUTADO_CANCELADO"/>
    <s v="PETICIÓN BANCOLOMBIA"/>
    <s v="18/09/2025 SE INTENTA COMUNICACIÓN CON CB 3022327753 NO ES POSIBLE VALIDAR SOLICITUD POR FAVOR LLAMAR ANTES DE DESPLAZARSE | 18/09/2025 SE LLEGA AL SITIO PARA REALIZAR INSTALACIÓN DE AVISO EXTERIOR, PERO SE EVIDENCIA QUE EL COMERCIO YA CUENTA CON AVISÓ EXISTENTE; SE LE INFORMA AL CLIENTE QUE NO PUEDE TENER 2 AVISOS EN LA FACHADA."/>
    <s v="VISITA_TÉCNICA"/>
    <n v="0"/>
    <s v="TIPO I"/>
    <s v="TERRESTRE"/>
    <s v="BARRAGAN TAFUR EDWIN ESTEBAN"/>
    <n v="1"/>
    <n v="0"/>
    <n v="96001.196280000004"/>
    <n v="57411.974240000003"/>
    <n v="96001.196280000004"/>
  </r>
  <r>
    <s v="MANIZALES"/>
    <x v="2"/>
    <x v="2"/>
    <n v="17614"/>
    <n v="2755673"/>
    <n v="58253"/>
    <s v="ORDEN DE CAMBIO"/>
    <s v="CALDAS"/>
    <s v="RIOSUCIO"/>
    <s v="DISTRICOL TIENDA Y CAF KINGKNO"/>
    <s v="REDEBAN"/>
    <s v="FO-25-1544483"/>
    <d v="2025-09-17T14:40:00"/>
    <d v="2025-09-22T13:31:00"/>
    <m/>
    <s v="PUBLICIDAD"/>
    <s v="AVISO EXTERIOR"/>
    <s v="AGREGADOR"/>
    <s v="DISTRICOL"/>
    <s v="EJECUTADO_EXITOSO"/>
    <s v="EJECUTADO EXITOSO"/>
    <s v="17/09/2025 EN COMUNICACIÓN  AL NUMERO  3206917500 CON CB SE CONFIRMAN DATOS DE LA SOLICITUD ESCALA PARA VISITA | 22/09/2025 SE REALIZA INSTALACIÓN DE AVISO EXTERIOR YA QUE EL ANTERIOR SE CAYO Y SE DAÑO INDICA USUARIO"/>
    <s v="VISITA_TÉCNICA"/>
    <n v="0"/>
    <s v="TIPO II"/>
    <s v="TERRESTRE"/>
    <s v="AGUIRRE HENAO RAUL EDUARDO"/>
    <n v="1"/>
    <n v="0"/>
    <n v="232858.60096000001"/>
    <n v="110808.27512000001"/>
    <n v="232858.60096000001"/>
  </r>
  <r>
    <s v="MEDELLIN"/>
    <x v="4"/>
    <x v="4"/>
    <n v="5001"/>
    <n v="2755214"/>
    <n v="76485"/>
    <s v="ORDEN DE CAMBIO"/>
    <s v="ANTIOQUIA"/>
    <s v="MEDELLIN"/>
    <s v="BARRIO CAMPO VALDEZ MEDELLIN 2"/>
    <s v="REDEBAN"/>
    <s v="FO-25-1543734"/>
    <d v="2025-09-17T13:41:00"/>
    <d v="2025-09-20T11:14:00"/>
    <m/>
    <s v="PUBLICIDAD"/>
    <s v="AVISO EXTERIOR"/>
    <s v="CB UNO A UNO"/>
    <s v="CB UNO A UNO"/>
    <s v="EJECUTADO_EXITOSO"/>
    <s v="EJECUTADO EXITOSO"/>
    <s v="17/09/2025 EN COMUNICACIÓN  AL NUMERO  3225901675  CON CB SE CONFIRMAN DATOS DE LA SOLICITUD ESCALA PARA VISITA | 20/09/2025 INSTALACIÓN DE AVISO EXTERIOR OK"/>
    <s v="VISITA_TÉCNICA"/>
    <n v="0"/>
    <s v="TIPO I"/>
    <s v="TERRESTRE"/>
    <s v="PAREJA ECHAVARRIA JHON DAVID"/>
    <n v="1"/>
    <n v="0"/>
    <n v="96001.196280000004"/>
    <n v="57411.974240000003"/>
    <n v="96001.196280000004"/>
  </r>
  <r>
    <s v="MEDELLIN"/>
    <x v="4"/>
    <x v="4"/>
    <n v="5591"/>
    <n v="2754509"/>
    <n v="68666"/>
    <s v="ORDEN DE CAMBIO"/>
    <s v="ANTIOQUIA"/>
    <s v="PUERTO TRIUNFO"/>
    <s v="BARRIO LA ESPERANZA PUERTO TRI"/>
    <s v="REDEBAN"/>
    <s v="FO-25-1542721"/>
    <d v="2025-09-17T11:28:00"/>
    <d v="2025-09-24T13:23:00"/>
    <m/>
    <s v="PUBLICIDAD"/>
    <s v="AVISO EXTERIOR"/>
    <s v="CB UNO A UNO"/>
    <s v="CB UNO A UNO"/>
    <s v="EJECUTADO_EXITOSO"/>
    <s v="EJECUTADO EXITOSO"/>
    <s v="17/09/2025 POR FAVOR, COMUNICARSE CON USUARIO PARA CONFIRMAR UBICACION, SOLICITUD Y PROGRAMAR VISITA TECNICA | 24/09/2025 EL ENVIÓ DEL AVISO SE HIZO EL DÍA DE AYER , PERO POR CAUSAS AJENAS A NOSOTROS LA TRANSPORTADORA INDICA QUE ESTÁ APENAS LLEGANDO EL DÍA DE HOY DESPUÉS DE LAS 2 DE LA TARDE , ESTOY EN EL MUNICIPIO ESPERANDO EL AVISO PARA PODER HACER LA VISITA | 24/09/2025 SE INSTALA AVISO EXTERIOR OK"/>
    <s v="VISITA_TÉCNICA"/>
    <n v="0"/>
    <s v="TIPO IV"/>
    <s v="TERRESTRE"/>
    <s v="MONTOYA VELEZ ANDRES FELIPE"/>
    <n v="1"/>
    <n v="0"/>
    <n v="548633.63271999999"/>
    <n v="110808.27512000001"/>
    <n v="548633.63271999999"/>
  </r>
  <r>
    <s v="VILLAVICENCIO"/>
    <x v="3"/>
    <x v="3"/>
    <n v="95001"/>
    <n v="2754176"/>
    <n v="77480"/>
    <s v="ORDEN DE CAMBIO"/>
    <s v="GUAVIARE"/>
    <s v="SAN JOSE DEL GUAVIARE"/>
    <s v="BARRIO EL CENTRO SAN JOSE DEL"/>
    <s v="REDEBAN"/>
    <s v="FO-25-1542728"/>
    <d v="2025-09-17T11:10:00"/>
    <d v="2025-09-22T10:37:00"/>
    <m/>
    <s v="PUBLICIDAD"/>
    <s v="AVISO EXTERIOR"/>
    <s v="CB UNO A UNO"/>
    <s v="CB UNO A UNO"/>
    <s v="EJECUTADO_EXITOSO"/>
    <s v="EJECUTADO EXITOSO"/>
    <s v="17/09/2025 POR FAVOR, COMUNICARSE CON USUARIO PARA CONFIRMAR UBICACION, SOLICITUD Y PROGRAMAR VISITA TECNICA | 22/09/2025 SE REALIZA VISTA AL CB POR SOLICITUD DE AVISO EXTERIOR SE HACE LA RESPECTIVA INSTALACIÓN SIN NOVEDAD TODO OK"/>
    <s v="VISITA_TÉCNICA"/>
    <n v="0"/>
    <s v="TIPO IV"/>
    <s v="TERRESTRE"/>
    <s v="MOLINA CASTRO JAVIER ALBERTO"/>
    <n v="1"/>
    <n v="0"/>
    <n v="548633.63271999999"/>
    <n v="110808.27512000001"/>
    <n v="548633.63271999999"/>
  </r>
  <r>
    <s v="VILLAVICENCIO"/>
    <x v="3"/>
    <x v="3"/>
    <n v="50001"/>
    <n v="2753796"/>
    <n v="71386"/>
    <s v="ORDEN DE CAMBIO"/>
    <s v="META"/>
    <s v="VILLAVICENCIO"/>
    <s v="VILLAVICENCIO POPULAR"/>
    <s v="REDEBAN"/>
    <s v="FO-25-1542739"/>
    <d v="2025-09-17T10:28:00"/>
    <d v="2025-09-18T09:55:00"/>
    <m/>
    <s v="PUBLICIDAD"/>
    <s v="AVISO EXTERIOR"/>
    <s v="CB UNO A UNO"/>
    <s v="CB UNO A UNO"/>
    <s v="EJECUTADO_EXITOSO"/>
    <s v="EJECUTADO EXITOSO"/>
    <s v="17/09/2025 POR FAVOR, COMUNICARSE CON USUARIO PARA CONFIRMAR UBICACION, SOLICITUD Y PROGRAMAR VISITA TECNICA | 18/09/2025 SE INSTALA AVISO EXTERIOR OK SIN NOVEDAD"/>
    <s v="VISITA_TÉCNICA"/>
    <n v="0"/>
    <s v="TIPO I"/>
    <s v="TERRESTRE"/>
    <s v="CASTRILLON URREA LONDIER LEANDRO"/>
    <n v="1"/>
    <n v="0"/>
    <n v="96001.196280000004"/>
    <n v="57411.974240000003"/>
    <n v="96001.196280000004"/>
  </r>
  <r>
    <s v="BOGOTA"/>
    <x v="1"/>
    <x v="1"/>
    <n v="11001"/>
    <n v="2751095"/>
    <n v="62351"/>
    <s v="ORDEN DE CAMBIO"/>
    <s v="CUNDINAMARCA"/>
    <s v="BOGOTA"/>
    <s v="BARRIO BOSA PORVENIR BOGOTA 7"/>
    <s v="REDEBAN"/>
    <s v="FO-25-1540750"/>
    <d v="2025-09-16T17:36:00"/>
    <d v="2025-09-18T14:51:00"/>
    <m/>
    <s v="PUBLICIDAD"/>
    <s v="AVISO EXTERIOR"/>
    <s v="CB UNO A UNO"/>
    <s v="CB UNO A UNO"/>
    <s v="EJECUTADO_EXITOSO"/>
    <s v="EJECUTADO EXITOSO"/>
    <s v="17/09/2025 POR FAVOR, COMUNICARSE CON USUARIO PARA CONFIRMAR UBICACION, SOLICITUD Y PROGRAMAR VISITA TECNICA | 18/09/2025 SE INSTALA AVISO EXTERIOR"/>
    <s v="VISITA_TÉCNICA"/>
    <n v="0"/>
    <s v="TIPO I"/>
    <s v="TERRESTRE"/>
    <s v="GONZALEZ FANDIÑO SANTIAGO ERNESTO"/>
    <n v="1"/>
    <n v="0"/>
    <n v="96001.196280000004"/>
    <n v="57411.974240000003"/>
    <n v="96001.196280000004"/>
  </r>
  <r>
    <s v="MONTERIA"/>
    <x v="5"/>
    <x v="6"/>
    <n v="23001"/>
    <n v="2751025"/>
    <n v="80898"/>
    <s v="ORDEN DE CAMBIO"/>
    <s v="CORDOBA"/>
    <s v="MONTERIA"/>
    <s v="BARRIO CHUCHURUBI MONTERIA 9"/>
    <s v="REDEBAN"/>
    <s v="FO-25-1540756"/>
    <d v="2025-09-16T17:04:00"/>
    <d v="2025-09-18T11:54:00"/>
    <m/>
    <s v="PUBLICIDAD"/>
    <s v="AVISO EXTERIOR"/>
    <s v="UNO A UNO"/>
    <s v="UNO A UNO"/>
    <s v="EJECUTADO_EXITOSO"/>
    <s v="EJECUTADO EXITOSO"/>
    <s v="17/09/2025 POR FAVOR, COMUNICARSE CON USUARIO PARA CONFIRMAR UBICACION, SOLICITUD Y PROGRAMAR VISITA TECNICA | 18/09/2025 SE REALIZÓ INSTALACIÓN DE AVISO EXTERIOR OK."/>
    <s v="VISITA_TÉCNICA"/>
    <n v="0"/>
    <s v="TIPO I"/>
    <s v="TERRESTRE"/>
    <s v="CALDERA SALCEDO CARLOS JULIO"/>
    <n v="1"/>
    <n v="0"/>
    <n v="96001.196280000004"/>
    <n v="57411.974240000003"/>
    <n v="96001.196280000004"/>
  </r>
  <r>
    <s v="CUCUTA"/>
    <x v="0"/>
    <x v="0"/>
    <n v="54001"/>
    <n v="2748030"/>
    <n v="57163"/>
    <s v="ORDEN DE CAMBIO"/>
    <s v="NORTE DE SANTANDER"/>
    <s v="CUCUTA"/>
    <s v="PTM CUCUTA DROGUERIA FARMABLUE"/>
    <s v="REDEBAN"/>
    <s v="FO-25-1536839"/>
    <d v="2025-09-16T11:28:00"/>
    <d v="2025-09-17T12:05:00"/>
    <m/>
    <s v="PUBLICIDAD"/>
    <s v="AVISO EXTERIOR"/>
    <s v="AGREGADOR"/>
    <s v="COMCARD - PTM"/>
    <s v="EJECUTADO_EXITOSO"/>
    <s v="EJECUTADO EXITOSO"/>
    <s v="16/09/2025 POR FAVOR, COMUNICARSE CON USUARIO PARA CONFIRMAR UBICACION, SOLICITUD Y PROGRAMAR VISITA TECNICA | 17/09/2025 SE REALIZA INSTALACIÓN DE AVISO EXTERIOR OK"/>
    <s v="VISITA_TÉCNICA"/>
    <n v="0"/>
    <s v="TIPO I"/>
    <s v="TERRESTRE"/>
    <s v="DURAN ACOSTA FRANK YONNY"/>
    <n v="1"/>
    <n v="0"/>
    <n v="96001.196280000004"/>
    <n v="57411.974240000003"/>
    <n v="96001.196280000004"/>
  </r>
  <r>
    <s v="PEREIRA"/>
    <x v="2"/>
    <x v="2"/>
    <n v="66001"/>
    <n v="2747412"/>
    <n v="62028"/>
    <s v="ORDEN DE CAMBIO"/>
    <s v="RISARALDA"/>
    <s v="PEREIRA"/>
    <s v="DISTRICOL SUBURBAN OFI"/>
    <s v="REDEBAN"/>
    <s v="FO-25-1536284"/>
    <d v="2025-09-16T10:31:00"/>
    <d v="2025-09-18T11:29:00"/>
    <m/>
    <s v="PUBLICIDAD"/>
    <s v="AVISO EXTERIOR"/>
    <s v="AGREGADOR"/>
    <s v="DISTRICOL"/>
    <s v="EJECUTADO_EXITOSO"/>
    <s v="EJECUTADO EXITOSO"/>
    <s v="16/09/2025 POR FAVOR, COMUNICARSE CON USUARIO PARA CONFIRMAR UBICACION, SOLICITUD Y PROGRAMAR VISITA TECNICA | 18/09/2025 SE VISITA COMERCIO SE REALIZA INSTALACIÓN DE PUBLICIDAD NUEVA"/>
    <s v="VISITA_TÉCNICA"/>
    <n v="0"/>
    <s v="TIPO I"/>
    <s v="TERRESTRE"/>
    <s v="LOAIZA LOPEZ JHON FREDDY"/>
    <n v="1"/>
    <n v="0"/>
    <n v="96001.196280000004"/>
    <n v="57411.974240000003"/>
    <n v="96001.196280000004"/>
  </r>
  <r>
    <s v="NEIVA"/>
    <x v="3"/>
    <x v="3"/>
    <n v="41001"/>
    <n v="2742494"/>
    <n v="51047"/>
    <s v="ORDEN DE CAMBIO"/>
    <s v="HUILA"/>
    <s v="NEIVA"/>
    <s v="BARRIO LAS GRANJAS NEIVA 2"/>
    <s v="REDEBAN"/>
    <s v="FO-25-1533115"/>
    <d v="2025-09-15T13:38:00"/>
    <d v="2025-09-16T11:51:00"/>
    <m/>
    <s v="PUBLICIDAD"/>
    <s v="AVISO EXTERIOR"/>
    <s v="CB UNO A UNO"/>
    <s v="CB UNO A UNO"/>
    <s v="EJECUTADO_EXITOSO"/>
    <s v="EJECUTADO EXITOSO"/>
    <s v="15/09/2025 POR FAVOR, COMUNICARSE CON USUARIO PARA CONFIRMAR UBICACION, SOLICITUD Y PROGRAMAR VISITA TECNICA | 16/09/2025 SE REALIZA INSTALACIÓN DE AVISO EXTERIOR"/>
    <s v="VISITA_TÉCNICA"/>
    <n v="0"/>
    <s v="TIPO I"/>
    <s v="TERRESTRE"/>
    <s v="DIAZ VARGAS JONATHAN MIGUEL"/>
    <n v="1"/>
    <n v="0"/>
    <n v="96001.196280000004"/>
    <n v="57411.974240000003"/>
    <n v="96001.196280000004"/>
  </r>
  <r>
    <s v="CUCUTA"/>
    <x v="0"/>
    <x v="0"/>
    <n v="54001"/>
    <n v="2741777"/>
    <n v="64289"/>
    <s v="ORDEN DE CAMBIO"/>
    <s v="NORTE DE SANTANDER"/>
    <s v="CUCUTA"/>
    <s v="BARRIO PUEBLO NUEVO CUCUTA"/>
    <s v="REDEBAN"/>
    <s v="FO-25-1532394"/>
    <d v="2025-09-15T11:30:00"/>
    <d v="2025-09-18T08:29:00"/>
    <m/>
    <s v="PUBLICIDAD"/>
    <s v="AVISO EXTERIOR"/>
    <s v="CB UNO A UNO"/>
    <s v="CB UNO A UNO"/>
    <s v="EJECUTADO_EXITOSO"/>
    <s v="EJECUTADO EXITOSO"/>
    <s v="15/09/2025 POR FAVOR, COMUNICARSE CON USUARIO PARA CONFIRMAR UBICACION, SOLICITUD Y PROGRAMAR VISITA TECNICA | 17/09/2025 SE INSTALA AVISO EXTERIOR"/>
    <s v="VISITA_TÉCNICA"/>
    <n v="0"/>
    <s v="TIPO I"/>
    <s v="TERRESTRE"/>
    <s v="NARANJO AFANADOR RUBEN JESUS"/>
    <n v="1"/>
    <n v="0"/>
    <n v="96001.196280000004"/>
    <n v="57411.974240000003"/>
    <n v="96001.196280000004"/>
  </r>
  <r>
    <s v="VILLAVICENCIO"/>
    <x v="3"/>
    <x v="3"/>
    <n v="50001"/>
    <n v="2741180"/>
    <n v="29174"/>
    <s v="ORDEN DE CAMBIO"/>
    <s v="META"/>
    <s v="VILLAVICENCIO"/>
    <s v="BARRIO VILLA ORTIZ VILLAVICENC"/>
    <s v="REDEBAN"/>
    <s v="FO-25-1531920"/>
    <d v="2025-09-15T10:48:00"/>
    <d v="2025-09-17T09:08:00"/>
    <m/>
    <s v="PUBLICIDAD"/>
    <s v="AVISO EXTERIOR"/>
    <s v="CB UNO A UNO"/>
    <s v="CB UNO A UNO"/>
    <s v="EJECUTADO_EXITOSO"/>
    <s v="EJECUTADO EXITOSO"/>
    <s v="15/09/2025 POR FAVOR, COMUNICARSE CON USUARIO PARA CONFIRMAR UBICACION, SOLICITUD Y PROGRAMAR VISITA TECNICA | 16/09/2025 SE REALIZA VISTA AL CB POR SOLICITUD DE INSTALACIÓN AVISO EXTERIOR SE INSTALA SIN NOVEDAD QUEDA TODO OK"/>
    <s v="VISITA_TÉCNICA"/>
    <n v="0"/>
    <s v="TIPO I"/>
    <s v="TERRESTRE"/>
    <s v="MOLINA CASTRO JAVIER ALBERTO"/>
    <n v="1"/>
    <n v="0"/>
    <n v="96001.196280000004"/>
    <n v="57411.974240000003"/>
    <n v="96001.196280000004"/>
  </r>
  <r>
    <s v="BOGOTA"/>
    <x v="1"/>
    <x v="1"/>
    <n v="11001"/>
    <n v="2741170"/>
    <n v="68572"/>
    <s v="ORDEN DE CAMBIO"/>
    <s v="CUNDINAMARCA"/>
    <s v="BOGOTA"/>
    <s v="BARRIO CARVAJAL BOGOTA 13"/>
    <s v="REDEBAN"/>
    <s v="FO-25-1531925"/>
    <d v="2025-09-15T10:45:00"/>
    <d v="2025-09-17T10:47:00"/>
    <m/>
    <s v="PUBLICIDAD"/>
    <s v="AVISO EXTERIOR"/>
    <s v="CB UNO A UNO"/>
    <s v="CB UNO A UNO"/>
    <s v="EJECUTADO_EXITOSO"/>
    <s v="EJECUTADO EXITOSO"/>
    <s v="15/09/2025 POR FAVOR, COMUNICARSE CON USUARIO PARA CONFIRMAR UBICACION, SOLICITUD Y PROGRAMAR VISITA TECNICA | 17/09/2025 SE INSTALA AVISO EXTERIOR"/>
    <s v="VISITA_TÉCNICA"/>
    <n v="0"/>
    <s v="TIPO I"/>
    <s v="TERRESTRE"/>
    <s v="GONZALEZ FANDIÑO SANTIAGO ERNESTO"/>
    <n v="1"/>
    <n v="0"/>
    <n v="96001.196280000004"/>
    <n v="57411.974240000003"/>
    <n v="96001.196280000004"/>
  </r>
  <r>
    <s v="BOGOTA"/>
    <x v="1"/>
    <x v="1"/>
    <n v="11001"/>
    <n v="2740973"/>
    <n v="74390"/>
    <s v="ORDEN DE CAMBIO"/>
    <s v="CUNDINAMARCA"/>
    <s v="BOGOTA"/>
    <s v="BARRIO CHAPINERO BOGOTA 28"/>
    <s v="REDEBAN"/>
    <s v="FO-25-1531504"/>
    <d v="2025-09-15T10:30:00"/>
    <d v="2025-09-17T14:47:00"/>
    <m/>
    <s v="PUBLICIDAD"/>
    <s v="AVISO EXTERIOR"/>
    <s v="CB UNO A UNO"/>
    <s v="CB UNO A UNO"/>
    <s v="EJECUTADO_EXITOSO"/>
    <s v="EJECUTADO EXITOSO"/>
    <s v="15/09/2025 POR FAVOR, COMUNICARSE CON USUARIO PARA CONFIRMAR UBICACION, SOLICITUD Y PROGRAMAR VISITA TECNICA | 17/09/2025 SE REALIZA INSTALACIÓN DE AVISO EXTERIOR"/>
    <s v="VISITA_TÉCNICA"/>
    <n v="0"/>
    <s v="TIPO I"/>
    <s v="TERRESTRE"/>
    <s v="GONZALEZ FANDIÑO SANTIAGO ERNESTO"/>
    <n v="1"/>
    <n v="0"/>
    <n v="96001.196280000004"/>
    <n v="57411.974240000003"/>
    <n v="96001.196280000004"/>
  </r>
  <r>
    <s v="MEDELLIN"/>
    <x v="4"/>
    <x v="4"/>
    <n v="5001"/>
    <n v="2739932"/>
    <n v="32245"/>
    <s v="ORDEN DE CAMBIO"/>
    <s v="ANTIOQUIA"/>
    <s v="MEDELLIN"/>
    <s v="COMCARD MED RED PARAISO MASCOT"/>
    <s v="REDEBAN"/>
    <s v="FO-25-1531100"/>
    <d v="2025-09-15T09:13:00"/>
    <d v="2025-09-16T11:22:00"/>
    <m/>
    <s v="PUBLICIDAD"/>
    <s v="AVISO EXTERIOR"/>
    <s v="AGREGADOR"/>
    <s v="COMCARD - PTM"/>
    <s v="EJECUTADO_EXITOSO"/>
    <s v="EJECUTADO EXITOSO"/>
    <s v="15/09/2025 POR FAVOR, COMUNICARSE CON USUARIO PARA CONFIRMAR UBICACION, SOLICITUD Y PROGRAMAR VISITA TECNICA | 16/09/2025 SE REALIZA LA INSTALACIÓN DEL NUEVO AVISO EXTERIOR EN EL PUNTO DEL CORRESPONSAL BANCOLOMBIA, REEMPLAZANDO EL ANTERIOR QUE FUE DESPRENDIDO POR LA BRISA Y PRESENTABA SIGNOS EVIDENTES DE DETERIORO. EL NUEVO AVISO QUEDA FIJADO CONFORME A LAS INDICACIONES DEL CLIENTE, ASEGURANDO VISIBILIDAD ÓPTIMA DESDE EL EXTERIOR Y UNA PRESENTACIÓN ACORDE CON LA IMAGEN INSTITUCIONAL."/>
    <s v="VISITA_TÉCNICA"/>
    <n v="0"/>
    <s v="TIPO I"/>
    <s v="TERRESTRE"/>
    <s v="MARTINEZ TOVAR OSCAR DAVID"/>
    <n v="1"/>
    <n v="0"/>
    <n v="96001.196280000004"/>
    <n v="57411.974240000003"/>
    <n v="96001.196280000004"/>
  </r>
  <r>
    <s v="MEDELLIN"/>
    <x v="4"/>
    <x v="4"/>
    <n v="5858"/>
    <n v="2739656"/>
    <n v="68261"/>
    <s v="ORDEN DE CAMBIO"/>
    <s v="ANTIOQUIA"/>
    <s v="VEGACHI"/>
    <s v="BARRIO VEGACHÍ CENTRO"/>
    <s v="REDEBAN"/>
    <s v="FO-25-1531105"/>
    <d v="2025-09-15T09:00:00"/>
    <d v="2025-09-20T11:09:00"/>
    <m/>
    <s v="PUBLICIDAD"/>
    <s v="AVISO EXTERIOR"/>
    <s v="CB UNO A UNO"/>
    <s v="CB UNO A UNO"/>
    <s v="EJECUTADO_EXITOSO"/>
    <s v="EJECUTADO EXITOSO"/>
    <s v="15/09/2025 POR FAVOR, COMUNICARSE CON USUARIO PARA CONFIRMAR UBICACION, SOLICITUD Y PROGRAMAR VISITA TECNICA | 20/09/2025 SE INSTALA AVISO EXTERIOR A PETICIÓN DEL USUARIO"/>
    <s v="VISITA_TÉCNICA"/>
    <n v="0"/>
    <s v="TIPO III"/>
    <s v="TERRESTRE"/>
    <s v="BARRIENTOS HERNANDEZ CRISTIAN HORACIO"/>
    <n v="1"/>
    <n v="0"/>
    <n v="344774.56896"/>
    <n v="110808.27512000001"/>
    <n v="344774.56896"/>
  </r>
  <r>
    <s v="SANTA MARTA"/>
    <x v="5"/>
    <x v="6"/>
    <n v="44001"/>
    <n v="2739562"/>
    <n v="78629"/>
    <s v="ORDEN DE CAMBIO"/>
    <s v="LA GUAJIRA"/>
    <s v="RIOHACHA"/>
    <s v="BARRIO EL PROGRESO RIOHACHA"/>
    <s v="REDEBAN"/>
    <s v="FO-25-1531106"/>
    <d v="2025-09-15T08:49:00"/>
    <d v="2025-09-17T12:01:00"/>
    <m/>
    <s v="PUBLICIDAD"/>
    <s v="AVISO EXTERIOR"/>
    <s v="CB UNO A UNO"/>
    <s v="CB UNO A UNO"/>
    <s v="EJECUTADO_EXITOSO"/>
    <s v="EJECUTADO EXITOSO"/>
    <s v="15/09/2025 POR FAVOR, COMUNICARSE CON USUARIO PARA CONFIRMAR UBICACION, SOLICITUD Y PROGRAMAR VISITA TECNICA | 17/09/2025 SE REALIZA INSTALACIÓN DE AVISO EXTERIOR A SATISFACCIÓN DEL CLIENTE"/>
    <s v="VISITA_TÉCNICA"/>
    <n v="0"/>
    <s v="TIPO III"/>
    <s v="TERRESTRE"/>
    <s v="THOMAS  CAMPO SIGIFREDO SEGUNDO"/>
    <n v="1"/>
    <n v="0"/>
    <n v="344774.56896"/>
    <n v="110808.27512000001"/>
    <n v="344774.56896"/>
  </r>
  <r>
    <s v="CARTAGENA"/>
    <x v="5"/>
    <x v="6"/>
    <n v="13001"/>
    <n v="2737473"/>
    <n v="48268"/>
    <s v="ORDEN DE CAMBIO"/>
    <s v="BOLIVAR"/>
    <s v="CARTAGENA"/>
    <s v="BARRIO CAMPESTRE CARTAGENA DE"/>
    <s v="REDEBAN"/>
    <s v="FO-25-1526514"/>
    <d v="2025-09-15T08:00:00"/>
    <d v="2025-09-15T11:35:00"/>
    <m/>
    <s v="PUBLICIDAD"/>
    <s v="AVISO EXTERIOR"/>
    <s v="CB UNO A UNO"/>
    <s v="CB UNO A UNO"/>
    <s v="EJECUTADO_EXITOSO"/>
    <s v="EJECUTADO EXITOSO"/>
    <s v="14/09/2025 POR FAVOR, COMUNICARSE CON USUARIO PARA CONFIRMAR UBICACION, SOLICITUD Y PROGRAMAR VISITA TECNICA | 15/09/2025 SE REALIZA INSTALACIÓN DE AVISO EXTERIOR POR DAÑO DEL ANTERIOR QUEDA TODO OK"/>
    <s v="VISITA_TÉCNICA"/>
    <n v="0"/>
    <s v="TIPO I"/>
    <s v="TERRESTRE"/>
    <s v="MARTINEZ SALGUEDO ANDRES AUGUSTO"/>
    <n v="1"/>
    <n v="0"/>
    <n v="96001.196280000004"/>
    <n v="57411.974240000003"/>
    <n v="96001.196280000004"/>
  </r>
  <r>
    <s v="CUCUTA"/>
    <x v="0"/>
    <x v="0"/>
    <n v="54261"/>
    <n v="2736976"/>
    <n v="46414"/>
    <s v="ORDEN DE CAMBIO"/>
    <s v="NORTE DE SANTANDER"/>
    <s v="EL ZULIA"/>
    <s v="BARRIO FUERA DEL MUNICIPIO DE"/>
    <s v="REDEBAN"/>
    <s v="FO-25-1524620"/>
    <d v="2025-09-13T10:06:00"/>
    <d v="2025-09-19T14:52:00"/>
    <m/>
    <s v="PUBLICIDAD"/>
    <s v="AVISO EXTERIOR"/>
    <s v="CB UNO A UNO"/>
    <s v="CB UNO A UNO"/>
    <s v="EJECUTADO_EXITOSO"/>
    <s v="EJECUTADO EXITOSO"/>
    <s v="13/09/2025 POR FAVOR, COMUNICARSE CON USUARIO PARA CONFIRMAR UBICACION, SOLICITUD Y PROGRAMAR VISITA TECNICA | 19/09/2025 POR TEMAS DE ORDEN PUBLICO Y DESPLAZAMIENTO A LA ZONA, SE PROGRAMA VISITA EN HORAS DE LA TARDE YA QUE NO SE ENCUENTRA TRANSPORTE  QUE SALGA EN HORAS AM. | 19/09/2025 SE INSTALA AVISO EXTERIOR EXITOSO"/>
    <s v="VISITA_TÉCNICA"/>
    <n v="0"/>
    <s v="TIPO II"/>
    <s v="TERRESTRE"/>
    <s v="NARANJO AFANADOR RUBEN JESUS"/>
    <n v="1"/>
    <n v="0"/>
    <n v="232858.60096000001"/>
    <n v="110808.27512000001"/>
    <n v="232858.60096000001"/>
  </r>
  <r>
    <s v="BUCARAMANGA"/>
    <x v="0"/>
    <x v="0"/>
    <n v="68406"/>
    <n v="2733957"/>
    <n v="64474"/>
    <s v="ORDEN DE CAMBIO"/>
    <s v="SANTANDER"/>
    <s v="LEBRIJA"/>
    <s v="BARRIO LEBRIJA LEBRIJA 1"/>
    <s v="REDEBAN"/>
    <s v="FO-25-1520231"/>
    <d v="2025-09-12T11:59:00"/>
    <d v="2025-09-17T11:59:00"/>
    <m/>
    <s v="PUBLICIDAD"/>
    <s v="AVISO EXTERIOR"/>
    <s v="CB UNO A UNO"/>
    <s v="CB UNO A UNO"/>
    <s v="EJECUTADO_EXITOSO"/>
    <s v="EJECUTADO EXITOSO"/>
    <s v="12/09/2025 POR FAVOR, COMUNICARSE CON USUARIO PARA CONFIRMAR UBICACION, SOLICITUD Y PROGRAMAR VISITA TECNICA | 17/09/2025 SE INSTALA AVISO EXTERIOR OK"/>
    <s v="VISITA_TÉCNICA"/>
    <n v="0"/>
    <s v="TIPO II"/>
    <s v="TERRESTRE"/>
    <s v="GELVEZ MOGOLLON JOSE ELISEO"/>
    <n v="1"/>
    <n v="0"/>
    <n v="232858.60096000001"/>
    <n v="110808.27512000001"/>
    <n v="232858.60096000001"/>
  </r>
  <r>
    <s v="CALI"/>
    <x v="2"/>
    <x v="5"/>
    <n v="76001"/>
    <n v="2730577"/>
    <n v="75001"/>
    <s v="ORDEN DE CAMBIO"/>
    <s v="VALLE DEL CAUCA"/>
    <s v="CALI"/>
    <s v="PTM CALI STARMARKET GUADALUPE"/>
    <s v="REDEBAN"/>
    <s v="FO-25-1518936"/>
    <d v="2025-09-12T08:00:00"/>
    <d v="2025-09-13T14:47:00"/>
    <m/>
    <s v="PUBLICIDAD"/>
    <s v="AVISO EXTERIOR"/>
    <s v="AGREGADOR"/>
    <s v="COMCARD - PTM"/>
    <s v="EJECUTADO_EXITOSO"/>
    <s v="EJECUTADO EXITOSO"/>
    <s v="12/09/2025 POR FAVOR, COMUNICARSE CON USUARIO PARA CONFIRMAR UBICACION, SOLICITUD Y PROGRAMAR VISITA TECNICA | 13/09/2025 SE REALIZA INSTALACIÓN DE NUEVO AVISO EXTERIOR POR DAÑO, EL CLIENTE PIDE QUE EL AVISO SEA INSTALADO SIN EL MARCO YA QUE DEBE QUEDAR SOBRE UN VIDRIO. CLIENTE INFORMA QUE LA PERSONA ENCARGADA DE LA OPERACIÓN DEL CB NO SE ENCUENTRA EN EL MOMENTO Y NO ES POSIBLE SUMINISTRARME UNA TIRILLA."/>
    <s v="VISITA_TÉCNICA"/>
    <n v="0"/>
    <s v="TIPO I"/>
    <s v="TERRESTRE"/>
    <s v="MONTERO MUESES GIAN CARLO"/>
    <n v="1"/>
    <n v="0"/>
    <n v="96001.196280000004"/>
    <n v="57411.974240000003"/>
    <n v="96001.196280000004"/>
  </r>
  <r>
    <s v="VILLAVICENCIO"/>
    <x v="3"/>
    <x v="3"/>
    <n v="50001"/>
    <n v="2729781"/>
    <n v="64343"/>
    <s v="ORDEN DE CAMBIO"/>
    <s v="META"/>
    <s v="VILLAVICENCIO"/>
    <s v="BARRIO PRIMAVERA VILLAVICENCIO"/>
    <s v="REDEBAN"/>
    <s v="FO-25-1516583"/>
    <d v="2025-09-11T16:07:00"/>
    <d v="2025-09-12T16:37:00"/>
    <m/>
    <s v="PUBLICIDAD"/>
    <s v="AVISO EXTERIOR"/>
    <s v="CB UNO A UNO"/>
    <s v="CB UNO A UNO"/>
    <s v="EJECUTADO_EXITOSO"/>
    <s v="EJECUTADO EXITOSO"/>
    <s v="11/09/2025 POR FAVOR, COMUNICARSE CON USUARIO PARA CONFIRMAR UBICACION, SOLICITUD Y PROGRAMAR VISITA TECNICA | 12/09/2025 SE REALIZA VISITA A CB POR SOLICITUD DE AVISO SE INSTALA SIN NOVEDAD"/>
    <s v="VISITA_TÉCNICA"/>
    <n v="0"/>
    <s v="TIPO I"/>
    <s v="TERRESTRE"/>
    <s v="MOLINA CASTRO JAVIER ALBERTO"/>
    <n v="1"/>
    <n v="0"/>
    <n v="96001.196280000004"/>
    <n v="57411.974240000003"/>
    <n v="96001.196280000004"/>
  </r>
  <r>
    <s v="PEREIRA"/>
    <x v="2"/>
    <x v="2"/>
    <n v="66001"/>
    <n v="2728715"/>
    <n v="80388"/>
    <s v="ORDEN DE CAMBIO"/>
    <s v="RISARALDA"/>
    <s v="PEREIRA"/>
    <s v="BARRIO TINAJAS PEREIRA"/>
    <s v="REDEBAN"/>
    <s v="FO-25-1515700"/>
    <d v="2025-09-11T14:21:00"/>
    <d v="2025-09-12T17:08:00"/>
    <m/>
    <s v="PUBLICIDAD"/>
    <s v="AVISO EXTERIOR"/>
    <s v="UNO A UNO"/>
    <s v="UNO A UNO"/>
    <s v="EJECUTADO_EXITOSO"/>
    <s v="EJECUTADO EXITOSO"/>
    <s v="11/09/2025 POR FAVOR, COMUNICARSE CON USUARIO PARA CONFIRMAR UBICACION, SOLICITUD Y PROGRAMAR VISITA TECNICA | 12/09/2025 SE INSTALA AVISO EXTERIOR."/>
    <s v="VISITA_TÉCNICA"/>
    <n v="0"/>
    <s v="TIPO I"/>
    <s v="TERRESTRE"/>
    <s v="FRANCO CAÑAVERAL YAMID RAUL"/>
    <n v="1"/>
    <n v="0"/>
    <n v="96001.196280000004"/>
    <n v="57411.974240000003"/>
    <n v="96001.196280000004"/>
  </r>
  <r>
    <s v="IBAGUE"/>
    <x v="3"/>
    <x v="3"/>
    <n v="73001"/>
    <n v="2727959"/>
    <n v="64368"/>
    <s v="ORDEN DE CAMBIO"/>
    <s v="TOLIMA"/>
    <s v="IBAGUE"/>
    <s v="PTM IBAGUE TIENDA LA ECONOMIA"/>
    <s v="REDEBAN"/>
    <s v="FO-25-1514419"/>
    <d v="2025-09-11T12:10:00"/>
    <d v="2025-09-15T14:36:00"/>
    <m/>
    <s v="PUBLICIDAD"/>
    <s v="AVISO EXTERIOR"/>
    <s v="AGREGADOR"/>
    <s v="COMCARD - PTM"/>
    <s v="EJECUTADO_EXITOSO"/>
    <s v="EJECUTADO EXITOSO"/>
    <s v="11/09/2025 POR FAVOR, COMUNICARSE CON USUARIO PARA CONFIRMAR UBICACION, SOLICITUD Y PROGRAMAR VISITA TECNICA | 15/09/2025 SE INSTALA AVISO EXTERIOR SIN PROBLEMA, YA QUE EL ANTERIOR SE LO ROBARON."/>
    <s v="VISITA_TÉCNICA"/>
    <n v="0"/>
    <s v="TIPO I"/>
    <s v="TERRESTRE"/>
    <s v="VARGAS HERRERA JHON JAIRO"/>
    <n v="1"/>
    <n v="0"/>
    <n v="96001.196280000004"/>
    <n v="57411.974240000003"/>
    <n v="96001.196280000004"/>
  </r>
  <r>
    <s v="TUNJA"/>
    <x v="0"/>
    <x v="0"/>
    <n v="15491"/>
    <n v="2724395"/>
    <n v="53165"/>
    <s v="ORDEN DE CAMBIO"/>
    <s v="BOYACA"/>
    <s v="NOBSA"/>
    <s v="BARRIO VEREDAPUNTALARGA NOBSA"/>
    <s v="REDEBAN"/>
    <s v="FO-25-1511504"/>
    <d v="2025-09-10T17:35:00"/>
    <d v="2025-09-12T16:41:00"/>
    <m/>
    <s v="PUBLICIDAD"/>
    <s v="AVISO EXTERIOR"/>
    <s v="CB UNO A UNO"/>
    <s v="CB UNO A UNO"/>
    <s v="EJECUTADO_EXITOSO"/>
    <s v="EJECUTADO EXITOSO"/>
    <s v="11/09/2025 POR FAVOR, COMUNICARSE CON USUARIO PARA CONFIRMAR UBICACION, SOLICITUD Y PROGRAMAR VISITA TECNICA | 12/09/2025 SE REALIZA INSTALACIÓN AVISÓ EXTERIOR 1.50 METROS A SOLICITUD DEL CLIENTE YA QUE EL QUE TENÍA SE CAYO Y SE ROMPIO"/>
    <s v="VISITA_TÉCNICA"/>
    <n v="0"/>
    <s v="TIPO II"/>
    <s v="TERRESTRE"/>
    <s v="ALVARADO MORENO CRISTHIAN"/>
    <n v="1"/>
    <n v="0"/>
    <n v="232858.60096000001"/>
    <n v="110808.27512000001"/>
    <n v="232858.60096000001"/>
  </r>
  <r>
    <s v="PASTO"/>
    <x v="2"/>
    <x v="5"/>
    <n v="52240"/>
    <n v="2724388"/>
    <n v="69678"/>
    <s v="ORDEN DE CAMBIO"/>
    <s v="NARIÑO"/>
    <s v="CHACHAGUI"/>
    <s v="PTM CHCHAGUI NARINO DROGUERIA"/>
    <s v="REDEBAN"/>
    <s v="FO-25-1511505"/>
    <d v="2025-09-10T17:32:00"/>
    <d v="2025-09-13T14:52:00"/>
    <m/>
    <s v="PUBLICIDAD"/>
    <s v="AVISO EXTERIOR"/>
    <s v="AGREGADOR"/>
    <s v="COMCARD - PTM"/>
    <s v="EJECUTADO_EXITOSO"/>
    <s v="EJECUTADO EXITOSO"/>
    <s v="11/09/2025 POR FAVOR, COMUNICARSE CON USUARIO PARA CONFIRMAR UBICACION, SOLICITUD Y PROGRAMAR VISITA TECNICA | 13/09/2025 SE REALIZA INSTALACIÓN DE AVISO EXTERIOR POR MOTIVO DE ROBO"/>
    <s v="VISITA_TÉCNICA"/>
    <n v="0"/>
    <s v="TIPO II"/>
    <s v="TERRESTRE"/>
    <s v="PAZ MARTINEZ RICHARD HUMBERTO"/>
    <n v="1"/>
    <n v="0"/>
    <n v="232858.60096000001"/>
    <n v="110808.27512000001"/>
    <n v="232858.60096000001"/>
  </r>
  <r>
    <s v="MONTERIA"/>
    <x v="5"/>
    <x v="6"/>
    <n v="5250"/>
    <n v="2723144"/>
    <n v="44714"/>
    <s v="ORDEN DE CAMBIO"/>
    <s v="ANTIOQUIA"/>
    <s v="EL BAGRE"/>
    <s v="DISTRICOL DROGUERIA MARIA SALU"/>
    <s v="REDEBAN"/>
    <s v="FO-25-1510056"/>
    <d v="2025-09-10T14:45:00"/>
    <d v="2025-09-11T14:01:00"/>
    <m/>
    <s v="PUBLICIDAD"/>
    <s v="AVISO EXTERIOR"/>
    <s v="AGREGADOR"/>
    <s v="DISTRICOL"/>
    <s v="EJECUTADO_EXITOSO"/>
    <s v="EJECUTADO EXITOSO"/>
    <s v="10/09/2025 EN COMUNICACIÓN CON LA SEÑORA PATRICIA AL NÚMERO 3135593904 VÍA WHATSAPP CONFIRMA SOLICITUD, DATOS CORRECTOS. SE ESCALA PARA VISITA | 11/09/2025 SE REALIZA INSTALACIÓN DE AVISO EXTERIOR, YA QUE EL ANTERIOR AVISO SE PARTIÓ POR FUERTE TORMENTA, SE DEJA NUEVAMENTE AVISO OK."/>
    <s v="VISITA_TÉCNICA"/>
    <n v="0"/>
    <s v="TIPO IV"/>
    <s v="TERRESTRE"/>
    <s v="CASSIANI PEREZ RAUL RAMIRO"/>
    <n v="1"/>
    <n v="0"/>
    <n v="548633.63271999999"/>
    <n v="110808.27512000001"/>
    <n v="548633.63271999999"/>
  </r>
  <r>
    <s v="SANTA MARTA"/>
    <x v="5"/>
    <x v="6"/>
    <n v="47001"/>
    <n v="2721009"/>
    <n v="40613"/>
    <s v="ORDEN DE CAMBIO"/>
    <s v="MAGDALENA"/>
    <s v="SANTA MARTA"/>
    <s v="BARRIO CENTRO SANTA MARTA 11"/>
    <s v="REDEBAN"/>
    <s v="FO-25-1507044"/>
    <d v="2025-09-10T10:27:00"/>
    <d v="2025-09-11T12:27:00"/>
    <m/>
    <s v="PUBLICIDAD"/>
    <s v="AVISO EXTERIOR"/>
    <s v="CB UNO A UNO"/>
    <s v="CB UNO A UNO"/>
    <s v="EJECUTADO_EXITOSO"/>
    <s v="EJECUTADO EXITOSO"/>
    <s v="10/09/2025 POR FAVOR, COMUNICARSE CON USUARIO PARA CONFIRMAR UBICACION, SOLICITUD Y PROGRAMAR VISITA TECNICA | 10/09/2025 SE REALIZA INSTALACIÓN DE AVISO EXTERIOR A SATISFACCIÓN DEL CLIENTE"/>
    <s v="VISITA_TÉCNICA"/>
    <n v="0"/>
    <s v="TIPO I"/>
    <s v="TERRESTRE"/>
    <s v="THOMAS  CAMPO SIGIFREDO SEGUNDO"/>
    <n v="1"/>
    <n v="0"/>
    <n v="96001.196280000004"/>
    <n v="57411.974240000003"/>
    <n v="96001.196280000004"/>
  </r>
  <r>
    <s v="VALLEDUPAR"/>
    <x v="5"/>
    <x v="6"/>
    <n v="20001"/>
    <n v="2720770"/>
    <n v="20581"/>
    <s v="ORDEN DE CAMBIO"/>
    <s v="CESAR"/>
    <s v="VALLEDUPAR"/>
    <s v="BARRIO FUNDADORES IV VALLEDUPA"/>
    <s v="REDEBAN"/>
    <s v="FO-25-1507051"/>
    <d v="2025-09-10T10:16:00"/>
    <d v="2025-09-12T17:04:00"/>
    <m/>
    <s v="PUBLICIDAD"/>
    <s v="AVISO EXTERIOR"/>
    <s v="CB UNO A UNO"/>
    <s v="CB UNO A UNO"/>
    <s v="EJECUTADO_CANCELADO"/>
    <s v="PETICIÓN USUARIO"/>
    <s v="10/09/2025 POR FAVOR, COMUNICARSE CON USUARIO PARA CONFIRMAR UBICACION, SOLICITUD Y PROGRAMAR VISITA TECNICA | 11/09/2025 BUENAS TARDES SE VISITA CB PARA INSTALAR AVISO PERO EL CLIENTE INFORMA QUE LOGRÓ RECUPERAR LA PUBLICIDAD E INSTALAR EN EL SITIO, EFECTIVAMENTE SE ENCUENTRA AVISO YA INSTALADO"/>
    <s v="VISITA_TÉCNICA"/>
    <n v="0"/>
    <s v="TIPO I"/>
    <s v="TERRESTRE"/>
    <s v="BENITEZ CARVAJAL ALVARO JAVIER"/>
    <n v="1"/>
    <n v="0"/>
    <n v="96001.196280000004"/>
    <n v="57411.974240000003"/>
    <n v="96001.196280000004"/>
  </r>
  <r>
    <s v="TUNJA"/>
    <x v="0"/>
    <x v="0"/>
    <n v="15861"/>
    <n v="2718225"/>
    <n v="50347"/>
    <s v="ORDEN DE CAMBIO"/>
    <s v="BOYACA"/>
    <s v="VENTAQUEMADA"/>
    <s v="BARRIO VEREDA PUENTE DE BOYACA"/>
    <s v="REDEBAN"/>
    <s v="FO-25-1507057"/>
    <d v="2025-09-09T17:10:00"/>
    <d v="2025-09-11T14:26:00"/>
    <m/>
    <s v="PUBLICIDAD"/>
    <s v="AVISO EXTERIOR"/>
    <s v="CB UNO A UNO"/>
    <s v="CB UNO A UNO"/>
    <s v="EJECUTADO_EXITOSO"/>
    <s v="EJECUTADO EXITOSO"/>
    <s v="10/09/2025 POR FAVOR, COMUNICARSE CON USUARIO PARA CONFIRMAR UBICACION, SOLICITUD Y PROGRAMAR VISITA TECNICA | 10/09/2025 SE VISITA CB INSTALACION DE AVISO EXTERIOR"/>
    <s v="VISITA_TÉCNICA"/>
    <n v="0"/>
    <s v="TIPO II"/>
    <s v="TERRESTRE"/>
    <s v="GONZALEZ GONZALEZ MARIO ALBERTO"/>
    <n v="1"/>
    <n v="0"/>
    <n v="232858.60096000001"/>
    <n v="110808.27512000001"/>
    <n v="232858.60096000001"/>
  </r>
  <r>
    <s v="VALLEDUPAR"/>
    <x v="5"/>
    <x v="6"/>
    <n v="20001"/>
    <n v="2717996"/>
    <n v="59280"/>
    <s v="ORDEN DE CAMBIO"/>
    <s v="CESAR"/>
    <s v="VALLEDUPAR"/>
    <s v="BARRIO GARUPAL ETAPA 3 VALLEDU"/>
    <s v="REDEBAN"/>
    <s v="FO-25-1507059"/>
    <d v="2025-09-09T16:59:00"/>
    <d v="2025-09-12T17:06:00"/>
    <m/>
    <s v="PUBLICIDAD"/>
    <s v="AVISO EXTERIOR"/>
    <s v="CB UNO A UNO"/>
    <s v="CB UNO A UNO"/>
    <s v="EJECUTADO_EXITOSO"/>
    <s v="EJECUTADO EXITOSO"/>
    <s v="10/09/2025 POR FAVOR, COMUNICARSE CON USUARIO PARA CONFIRMAR UBICACION, SOLICITUD Y PROGRAMAR VISITA TECNICA | 12/09/2025 BUENOS DÍAS SE VISITA CB Y SE LE HACE INSTALACIÓN DE AVISO EXTERIOR YA QUE EL ANTERIOR SE LO ROBARON"/>
    <s v="VISITA_TÉCNICA"/>
    <n v="0"/>
    <s v="TIPO I"/>
    <s v="TERRESTRE"/>
    <s v="BENITEZ CARVAJAL ALVARO JAVIER"/>
    <n v="1"/>
    <n v="0"/>
    <n v="96001.196280000004"/>
    <n v="57411.974240000003"/>
    <n v="96001.196280000004"/>
  </r>
  <r>
    <s v="MEDELLIN"/>
    <x v="4"/>
    <x v="4"/>
    <n v="5088"/>
    <n v="2717492"/>
    <n v="74187"/>
    <s v="ORDEN DE CAMBIO"/>
    <s v="ANTIOQUIA"/>
    <s v="BELLO"/>
    <s v="BARRIO PRADO LAS GRANJAS BELLO"/>
    <s v="REDEBAN"/>
    <s v="FO-25-1504613"/>
    <d v="2025-09-09T16:10:00"/>
    <d v="2025-09-11T14:28:00"/>
    <m/>
    <s v="PUBLICIDAD"/>
    <s v="AVISO EXTERIOR"/>
    <s v="CB UNO A UNO"/>
    <s v="CB UNO A UNO"/>
    <s v="EJECUTADO_EXITOSO"/>
    <s v="EJECUTADO EXITOSO"/>
    <s v="09/09/2025 POR FAVOR, COMUNICARSE CON USUARIO PARA CONFIRMAR UBICACION, SOLICITUD Y PROGRAMAR VISITA TECNICA | 11/09/2025 SE REALIZA INSTALACIÓN DE AVISO EXTERIOR OK"/>
    <s v="VISITA_TÉCNICA"/>
    <n v="0"/>
    <s v="TIPO I"/>
    <s v="TERRESTRE"/>
    <s v="ZAPATA LOPEZ EDWARD ASDRUBAL"/>
    <n v="1"/>
    <n v="0"/>
    <n v="96001.196280000004"/>
    <n v="57411.974240000003"/>
    <n v="96001.196280000004"/>
  </r>
  <r>
    <s v="BOGOTA"/>
    <x v="1"/>
    <x v="1"/>
    <n v="11001"/>
    <n v="2715459"/>
    <n v="74657"/>
    <s v="ORDEN DE CAMBIO"/>
    <s v="CUNDINAMARCA"/>
    <s v="BOGOTA"/>
    <s v="PTM BOGOTA FERREIMAN"/>
    <s v="REDEBAN"/>
    <s v="FO-25-1502538"/>
    <d v="2025-09-09T12:01:00"/>
    <d v="2025-09-10T14:15:00"/>
    <m/>
    <s v="PUBLICIDAD"/>
    <s v="AVISO EXTERIOR"/>
    <s v="AGREGADOR"/>
    <s v="COMCARD - PTM"/>
    <s v="EJECUTADO_EXITOSO"/>
    <s v="EJECUTADO EXITOSO"/>
    <s v="09/09/2025 POR FAVOR, COMUNICARSE CON USUARIO PARA CONFIRMAR UBICACION, SOLICITUD Y PROGRAMAR VISITA TECNICA | 10/09/2025 SE REALIZA INSTALACIÓN DE AVISO EXTERIOR SIN MARCO DE ALUMINIO, AUTORIZA REDEBAN"/>
    <s v="VISITA_TÉCNICA"/>
    <n v="0"/>
    <s v="TIPO I"/>
    <s v="TERRESTRE"/>
    <s v="MURCIA HERNANDEZ HARVEY IGNACIO"/>
    <n v="1"/>
    <n v="0"/>
    <n v="96001.196280000004"/>
    <n v="57411.974240000003"/>
    <n v="96001.196280000004"/>
  </r>
  <r>
    <s v="PASTO"/>
    <x v="2"/>
    <x v="5"/>
    <n v="52001"/>
    <n v="2715277"/>
    <n v="76803"/>
    <s v="ORDEN DE CAMBIO"/>
    <s v="NARIÑO"/>
    <s v="PASTO"/>
    <s v="BARRIO EL PRADO PASTO 1"/>
    <s v="REDEBAN"/>
    <s v="FO-25-1502540"/>
    <d v="2025-09-09T11:49:00"/>
    <d v="2025-09-16T08:12:00"/>
    <m/>
    <s v="PUBLICIDAD"/>
    <s v="AVISO EXTERIOR"/>
    <s v="UNO A UNO"/>
    <s v="UNO A UNO"/>
    <s v="EJECUTADO_EXITOSO"/>
    <s v="EJECUTADO EXITOSO"/>
    <s v="09/09/2025 POR FAVOR, COMUNICARSE CON USUARIO PARA CONFIRMAR UBICACION, SOLICITUD Y PROGRAMAR VISITA TECNICA | 15/09/2025 SE REALIZÓ LA INSTALACIÓN DE AVISO EXTERNO POR ROBO SE INSTALÓ SIN MARCO YA QUE VAN 3 VECES QUE LE ROBAN EL LETRERO A PESAR DE QUE SE LE HAGA AJUSTES Y ASEGURAMIENTO EN LOCAL, NO SE MANIPULA CB CLIENTE INFORMA QUE SE ENCUENTRA OPERATIVO."/>
    <s v="VISITA_TÉCNICA"/>
    <n v="0"/>
    <s v="TIPO I"/>
    <s v="TERRESTRE"/>
    <s v="REMICIO AMADO JOHN HEBER"/>
    <n v="1"/>
    <n v="0"/>
    <n v="96001.196280000004"/>
    <n v="57411.974240000003"/>
    <n v="96001.196280000004"/>
  </r>
  <r>
    <s v="VALLEDUPAR"/>
    <x v="5"/>
    <x v="6"/>
    <n v="20001"/>
    <n v="2715193"/>
    <n v="57432"/>
    <s v="ORDEN DE CAMBIO"/>
    <s v="CESAR"/>
    <s v="VALLEDUPAR"/>
    <s v="BARRIO DANGON VALLEDUPAR"/>
    <s v="REDEBAN"/>
    <s v="FO-25-1502543"/>
    <d v="2025-09-09T11:39:00"/>
    <d v="2025-09-11T16:57:00"/>
    <m/>
    <s v="PUBLICIDAD"/>
    <s v="AVISO EXTERIOR"/>
    <s v="CB UNO A UNO"/>
    <s v="CB UNO A UNO"/>
    <s v="EJECUTADO_EXITOSO"/>
    <s v="EJECUTADO EXITOSO"/>
    <s v="09/09/2025 POR FAVOR, COMUNICARSE CON USUARIO PARA CONFIRMAR UBICACION, SOLICITUD Y PROGRAMAR VISITA TECNICA | 11/09/2025 BUENAS TARDES SE VISITA CB Y SE LE HACE INSTALACIÓN DE AVISO EXTERIOR YA QUE EL QUE ESTABA UNA FUERTE BRISA LO BAJÓ"/>
    <s v="VISITA_TÉCNICA"/>
    <n v="0"/>
    <s v="TIPO I"/>
    <s v="TERRESTRE"/>
    <s v="BENITEZ CARVAJAL ALVARO JAVIER"/>
    <n v="1"/>
    <n v="0"/>
    <n v="96001.196280000004"/>
    <n v="57411.974240000003"/>
    <n v="96001.196280000004"/>
  </r>
  <r>
    <s v="BOGOTA"/>
    <x v="1"/>
    <x v="1"/>
    <n v="11001"/>
    <n v="2711753"/>
    <n v="46974"/>
    <s v="ORDEN DE CAMBIO"/>
    <s v="CUNDINAMARCA"/>
    <s v="BOGOTA"/>
    <s v="PTM  BOGOTA  JUANCHO VALDEZ CA"/>
    <s v="REDEBAN"/>
    <s v="FO-25-1501053"/>
    <d v="2025-09-08T17:11:00"/>
    <d v="2025-09-11T16:06:00"/>
    <m/>
    <s v="PUBLICIDAD"/>
    <s v="AVISO EXTERIOR"/>
    <s v="AGREGADOR"/>
    <s v="COMCARD - PTM"/>
    <s v="EJECUTADO_EXITOSO"/>
    <s v="EJECUTADO EXITOSO"/>
    <s v="09/09/2025 POR FAVOR, COMUNICARSE CON USUARIO PARA CONFIRMAR UBICACION, SOLICITUD Y PROGRAMAR VISITA TECNICA | 11/09/2025 SE REALIZA LA ENTREGA E INSTALACIÓN DE AVISO EXTERIOR BANCOLOMBIA SIN NOVEDAD NO SE MANIPULAR DATAFONO"/>
    <s v="VISITA_TÉCNICA"/>
    <n v="0"/>
    <s v="TIPO I"/>
    <s v="TERRESTRE"/>
    <s v="ORTIZ MARTINEZ STIVEN"/>
    <n v="1"/>
    <n v="0"/>
    <n v="96001.196280000004"/>
    <n v="57411.974240000003"/>
    <n v="96001.196280000004"/>
  </r>
  <r>
    <s v="BUCARAMANGA"/>
    <x v="0"/>
    <x v="0"/>
    <n v="68533"/>
    <n v="2708099"/>
    <n v="12367"/>
    <s v="ORDEN DE CAMBIO"/>
    <s v="SANTANDER"/>
    <s v="PARAMO"/>
    <s v="PARAMO II - SANTANDER"/>
    <s v="REDEBAN"/>
    <s v="FO-25-1512493 | FO-25-1498198"/>
    <d v="2025-09-08T10:58:00"/>
    <d v="2025-09-11T16:12:00"/>
    <m/>
    <s v="PUBLICIDAD"/>
    <s v="AVISO EXTERIOR"/>
    <s v="CB UNO A UNO"/>
    <s v="CB UNO A UNO"/>
    <s v="EJECUTADO_EXITOSO"/>
    <s v="EJECUTADO EXITOSO"/>
    <s v="08/09/2025 EN COMUNICACIÓN CON LA SRA DORIS CASTRO AL NÚMERO 3213639678 CONFIRMA SOLICITUD Y RED. SE ESCALA PARA VISITA | 09/09/2025 EN COMUNICACIÓN CON LA ADMINISTRADORA DORIS CASTRO CELIS AL CELULAR 3213639678, INFORMA QUE EL DÍA DE HOY NO TIENE DISPONIBILIDAD YA QUE TIENE AL PAPÁ ENFERMO Y HOY LO ESTÁ CUIDANDO QUE PODEMOS PASAR A PARTIR DE MAÑANA MIÉRCOLES 10 DE SEPTIEMBRE DEL 2025. | 10/09/2025 SE LLEGA A SITIO Y CORRESPONSAL CUENTA CON PUBLICIDAD DE AVISO EXTERIOR ANTIGUO DE COLOR AMARILLO Y ESTÁ INSTALADO A UNA ALTURA APROXIMADA DE 4 METROS, SE HACE GESTIÓN DE ESCALERA EN EL CORREGIMIENTO, SE AVERIGUA EN FERRETERÍAS, BOMBEROS Y NO SE ENCONTRÓ ESCALERA PARA DESINSTALAR EL AVISO ANTIGUO Y INSTALAR EL NUEVO, SE ESCALA CASO A COORDINADOR DE ZONA EL CUAL INFORMA QUE SE DEBE DESINSTALAR Y DESTRUIR EL ANTIGUO PARA PODER INSTALAR EN NUEVO, SE REALIZARÁN COTIZACIÓN DE ESCALERA Y TRANSPORTE EN EL MUNICIPIO DE SANGIL PARA REPROGRAMAR Y PROCEDER CON LA DESINTACION E INSTALACIÓN DEL AVISO EXTERIOR._x000a_11"/>
    <s v="VISITA_TÉCNICA"/>
    <n v="0"/>
    <s v="TIPO III"/>
    <s v="TERRESTRE"/>
    <s v="MARTINEZ FLOREZ DONIS ALBERTO"/>
    <n v="2"/>
    <n v="3"/>
    <n v="344774.56896"/>
    <n v="110808.27512000001"/>
    <n v="1021973.96328"/>
  </r>
  <r>
    <s v="BUCARAMANGA"/>
    <x v="0"/>
    <x v="0"/>
    <n v="68001"/>
    <n v="2706750"/>
    <n v="66436"/>
    <s v="ORDEN DE CAMBIO"/>
    <s v="SANTANDER"/>
    <s v="BUCARAMANGA"/>
    <s v="BARRIO BOLIVAR BUCARAMANGA 3"/>
    <s v="REDEBAN"/>
    <s v="FO-25-1494383"/>
    <d v="2025-09-08T09:26:00"/>
    <d v="2025-09-08T15:51:00"/>
    <m/>
    <s v="PUBLICIDAD"/>
    <s v="AVISO EXTERIOR"/>
    <s v="CB UNO A UNO"/>
    <s v="CB UNO A UNO"/>
    <s v="EJECUTADO_EXITOSO"/>
    <s v="EJECUTADO EXITOSO"/>
    <s v="08/09/2025 POR FAVOR, COMUNICARSE CON USUARIO PARA CONFIRMAR UBICACION, SOLICITUD Y PROGRAMAR VISITA TECNICA | 08/09/2025 SE INSTALA AVISO EXTERIOR DONDE CLIENTE INDICA"/>
    <s v="VISITA_TÉCNICA"/>
    <n v="0"/>
    <s v="TIPO I"/>
    <s v="TERRESTRE"/>
    <s v="GELVEZ MOGOLLON JOSE ELISEO"/>
    <n v="1"/>
    <n v="0"/>
    <n v="96001.196280000004"/>
    <n v="57411.974240000003"/>
    <n v="96001.196280000004"/>
  </r>
  <r>
    <s v="BOGOTA"/>
    <x v="1"/>
    <x v="1"/>
    <n v="25297"/>
    <n v="2706166"/>
    <n v="40017"/>
    <s v="ORDEN DE CAMBIO"/>
    <s v="CUNDINAMARCA"/>
    <s v="GACHETA"/>
    <s v="BARRIO CENTRO GACHETA 1"/>
    <s v="REDEBAN"/>
    <s v="FO-25-1494385"/>
    <d v="2025-09-08T08:49:00"/>
    <d v="2025-09-12T17:11:00"/>
    <m/>
    <s v="PUBLICIDAD"/>
    <s v="AVISO EXTERIOR"/>
    <s v="CB UNO A UNO"/>
    <s v="CB UNO A UNO"/>
    <s v="EJECUTADO_EXITOSO"/>
    <s v="EJECUTADO EXITOSO"/>
    <s v="08/09/2025 EN COMUNICACIÓN CON EL SEÑOR GERMAN RICARDI MELO AL NÚMERO 3143490468 CONFIRMA SOLICITUD, DATOS CORRECTO. SE ESCALA PARA VISITA | 12/09/2025 INSTALACIÓN DE AVISO EXTERIOR ROBADO PRUEBAS OK"/>
    <s v="VISITA_TÉCNICA"/>
    <n v="0"/>
    <s v="TIPO III"/>
    <s v="TERRESTRE"/>
    <s v="GOMEZ VEGA DAVID SNEYDER"/>
    <n v="1"/>
    <n v="0"/>
    <n v="344774.56896"/>
    <n v="110808.27512000001"/>
    <n v="344774.56896"/>
  </r>
  <r>
    <s v="APARTADO"/>
    <x v="4"/>
    <x v="4"/>
    <n v="27615"/>
    <n v="2704284"/>
    <n v="53794"/>
    <s v="ORDEN DE CAMBIO"/>
    <s v="CHOCO"/>
    <s v="RIOSUCIO"/>
    <s v="BARRIO BARRIO BENJAMIN HIDALGO"/>
    <s v="REDEBAN"/>
    <s v="FO-25-1494390"/>
    <d v="2025-09-08T08:00:00"/>
    <d v="2025-09-11T16:23:00"/>
    <m/>
    <s v="PUBLICIDAD"/>
    <s v="AVISO EXTERIOR"/>
    <s v="CB UNO A UNO"/>
    <s v="CB UNO A UNO"/>
    <s v="EJECUTADO_EXITOSO"/>
    <s v="EJECUTADO EXITOSO"/>
    <s v="08/09/2025 EN COMUNICACIÓN CON EL SEÑOR JHON FREDY WALDO  AL NÚMERO 3135598320 CONFIRMA SOLICITUD, DATOS CORRECTO. SE ESCALA PARA VISITA | 10/09/2025 SE INSTALA PUBLICIDAD NUEVA YA QUE LA ANTERIOR SE QUEMÓ POR UN INCENDIO EN COMERCIOS ALEDAÑOS"/>
    <s v="VISITA_TÉCNICA"/>
    <n v="0"/>
    <s v="TIPO IV ESPECIAL"/>
    <s v="TERRESTRE/FLUVIAL"/>
    <s v="SALDARRIAGA MIRANDA SANTIAGO"/>
    <n v="1"/>
    <n v="0"/>
    <n v="548633.63271999999"/>
    <n v="110808.27512000001"/>
    <n v="548633.63271999999"/>
  </r>
  <r>
    <s v="CALI"/>
    <x v="2"/>
    <x v="5"/>
    <n v="19110"/>
    <n v="2703990"/>
    <n v="37308"/>
    <s v="ORDEN DE CAMBIO"/>
    <s v="CAUCA"/>
    <s v="BUENOS AIRES"/>
    <s v="BARRIO CENTRO BUENOS AIRES 1"/>
    <s v="REDEBAN"/>
    <s v="FO-25-1489858"/>
    <d v="2025-09-06T11:27:00"/>
    <d v="2025-09-08T15:53:00"/>
    <m/>
    <s v="PUBLICIDAD"/>
    <s v="AVISO EXTERIOR"/>
    <s v="CB UNO A UNO"/>
    <s v="CB UNO A UNO"/>
    <s v="EJECUTADO_EXITOSO"/>
    <s v="EJECUTADO EXITOSO"/>
    <s v="06/09/2025 POR FAVOR, COMUNICARSE CON USUARIO PARA CONFIRMAR UBICACION, SOLICITUD Y PROGRAMAR VISITA TECNICA | 08/09/2025 SE REALIZA INSTALACIÓN DE AVISÓ EXTERIOR, CB BANCOLOMBIA"/>
    <s v="VISITA_TÉCNICA"/>
    <n v="0"/>
    <s v="TIPO II"/>
    <s v="TERRESTRE"/>
    <s v="PAREDES CASTILLO DIEGO"/>
    <n v="1"/>
    <n v="0"/>
    <n v="232858.60096000001"/>
    <n v="110808.27512000001"/>
    <n v="232858.60096000001"/>
  </r>
  <r>
    <s v="NEIVA"/>
    <x v="3"/>
    <x v="3"/>
    <n v="18001"/>
    <n v="2696029"/>
    <n v="58862"/>
    <s v="ORDEN DE CAMBIO"/>
    <s v="CAQUETA"/>
    <s v="FLORENCIA"/>
    <s v="BARRIO SAN FRANCISCO FLORENCIA"/>
    <s v="REDEBAN"/>
    <s v="FO-25-1480228"/>
    <d v="2025-09-04T14:34:00"/>
    <d v="2025-09-09T15:53:00"/>
    <m/>
    <s v="PUBLICIDAD"/>
    <s v="AVISO EXTERIOR"/>
    <s v="CB UNO A UNO"/>
    <s v="CB UNO A UNO"/>
    <s v="EJECUTADO_CANCELADO"/>
    <s v="PETICIÓN BANCOLOMBIA"/>
    <s v="04/09/2025 POR FAVOR, COMUNICARSE CON USUARIO PARA CONFIRMAR UBICACION, SOLICITUD Y PROGRAMAR VISITA TECNICA | 09/09/2025 SE REALIZA VISITA AL CORRESPONSAL Y CORRESPOSAL YA CUENTA CON PUBLICIDAD, NO SE DEJA INSTALADA, SE LE INDICA AL CLIENTE QUE POR POLÍTICAS DEL BANCO NO SE PUEDEN DEJAR DOS AVISOS EXTERIORES."/>
    <s v="VISITA_TÉCNICA"/>
    <n v="0"/>
    <s v="TIPO IV"/>
    <s v="TERRESTRE"/>
    <s v="BERMUDEZ SANCHEZ JOSE NEYBER"/>
    <n v="1"/>
    <n v="0"/>
    <n v="548633.63271999999"/>
    <n v="110808.27512000001"/>
    <n v="548633.63271999999"/>
  </r>
  <r>
    <s v="BOGOTA"/>
    <x v="1"/>
    <x v="1"/>
    <n v="11001"/>
    <n v="2694271"/>
    <n v="78671"/>
    <s v="ORDEN DE CAMBIO"/>
    <s v="CUNDINAMARCA"/>
    <s v="BOGOTA"/>
    <s v="PTM BOGOTA GLAMOUR COSMETICOS"/>
    <s v="REDEBAN"/>
    <s v="FO-25-1476788"/>
    <d v="2025-09-04T10:55:00"/>
    <d v="2025-09-09T11:06:00"/>
    <m/>
    <s v="PUBLICIDAD"/>
    <s v="AVISO EXTERIOR"/>
    <s v="AGREGADOR"/>
    <s v="COMCARD - PTM"/>
    <s v="EJECUTADO_EXITOSO"/>
    <s v="EJECUTADO EXITOSO"/>
    <s v="04/09/2025 POR FAVOR, COMUNICARSE CON USUARIO PARA CONFIRMAR UBICACION, SOLICITUD Y PROGRAMAR VISITA TECNICA | 09/09/2025 INSTALACIÓN DE AVISO EXTERIOR ROBADO"/>
    <s v="VISITA_TÉCNICA"/>
    <n v="0"/>
    <s v="TIPO I"/>
    <s v="TERRESTRE"/>
    <s v="GOMEZ VEGA DAVID SNEYDER"/>
    <n v="1"/>
    <n v="0"/>
    <n v="96001.196280000004"/>
    <n v="57411.974240000003"/>
    <n v="96001.196280000004"/>
  </r>
  <r>
    <s v="VALLEDUPAR"/>
    <x v="5"/>
    <x v="6"/>
    <n v="47058"/>
    <n v="2694240"/>
    <n v="14483"/>
    <s v="ORDEN DE CAMBIO"/>
    <s v="MAGDALENA"/>
    <s v="ARIGUANI"/>
    <s v="EL DIFICIL ARIGUANI"/>
    <s v="REDEBAN"/>
    <s v="FO-25-1476792"/>
    <d v="2025-09-04T10:47:00"/>
    <d v="2025-09-05T23:33:00"/>
    <m/>
    <s v="PUBLICIDAD"/>
    <s v="AVISO EXTERIOR"/>
    <s v="CB UNO A UNO"/>
    <s v="CB UNO A UNO"/>
    <s v="EJECUTADO_EXITOSO"/>
    <s v="EJECUTADO EXITOSO"/>
    <s v="04/09/2025 POR FAVOR, COMUNICARSE CON USUARIO PARA CONFIRMAR UBICACION, SOLICITUD Y PROGRAMAR VISITA TECNICA | 05/09/2025 BUENOS DÍAS SE VISITA CB Y SE HACE LA INSTALACIÓN DE UN NUEVO AVISO YA QUE EL ANTERIOR SE ENCUENTRA PARTIDO EN LAS PUNTAS DEBIDO A UNA FUERTE BRISA"/>
    <s v="VISITA_TÉCNICA"/>
    <n v="0"/>
    <s v="TIPO III"/>
    <s v="TERRESTRE"/>
    <s v="BENITEZ CARVAJAL ALVARO JAVIER"/>
    <n v="1"/>
    <n v="0"/>
    <n v="344774.56896"/>
    <n v="110808.27512000001"/>
    <n v="344774.56896"/>
  </r>
  <r>
    <s v="TUNJA"/>
    <x v="0"/>
    <x v="0"/>
    <n v="15001"/>
    <n v="2691564"/>
    <n v="69853"/>
    <s v="ORDEN DE CAMBIO"/>
    <s v="BOYACA"/>
    <s v="TUNJA"/>
    <s v="BARRIO LAS NIEVES TUNJA  2"/>
    <s v="REDEBAN"/>
    <s v="FO-25-1473782"/>
    <d v="2025-09-04T08:00:00"/>
    <d v="2025-09-05T23:45:00"/>
    <m/>
    <s v="PUBLICIDAD"/>
    <s v="AVISO EXTERIOR"/>
    <s v="CB UNO A UNO"/>
    <s v="CB UNO A UNO"/>
    <s v="EJECUTADO_EXITOSO"/>
    <s v="EJECUTADO EXITOSO"/>
    <s v="05/09/2025 INSTALACION DE AVISO EXTERIOR EXITOSA"/>
    <s v="VISITA_TÉCNICA"/>
    <n v="0"/>
    <s v="TIPO I"/>
    <s v="TERRESTRE"/>
    <s v="HERRERA GARZON JEYSON STEVENT"/>
    <n v="1"/>
    <n v="0"/>
    <n v="96001.196280000004"/>
    <n v="57411.974240000003"/>
    <n v="96001.196280000004"/>
  </r>
  <r>
    <s v="IBAGUE"/>
    <x v="3"/>
    <x v="3"/>
    <n v="73001"/>
    <n v="2686229"/>
    <n v="55066"/>
    <s v="ORDEN DE CAMBIO"/>
    <s v="TOLIMA"/>
    <s v="IBAGUE"/>
    <s v="BARRIO HIPODROMO IBAGUE 6"/>
    <s v="REDEBAN"/>
    <s v="FO-25-1470400"/>
    <d v="2025-09-03T09:23:00"/>
    <d v="2025-09-05T23:57:00"/>
    <m/>
    <s v="PUBLICIDAD"/>
    <s v="AVISO EXTERIOR"/>
    <s v="CB UNO A UNO"/>
    <s v="CB UNO A UNO"/>
    <s v="EJECUTADO_CANCELADO"/>
    <s v="PETICIÓN BANCOLOMBIA"/>
    <s v="03/09/2025 POR FAVOR, COMUNICARSE CON USUARIO PARA CONFIRMAR UBICACION, SOLICITUD Y PROGRAMAR VISITA TECNICA | 05/09/2025 SE LLEGA AL COMERCIO Y SE EVIDENCIA QUE TIENE UN AVISO EXTERIOR INSTALADO AL LADO IZQUIERDO DE LA CARPA. QUIERE QUE SE INSTALE EL NUEVO AVISO EXTERIOR EN EL FRENTE, SE LE EXPLICA QUE NO SE PUEDE POR POLÍTICA DE BANCOLOMBIA, QUE SOLO SE DEBE TENER UN SOLO AVISO EXTERIOR."/>
    <s v="VISITA_TÉCNICA"/>
    <n v="0"/>
    <s v="TIPO I"/>
    <s v="TERRESTRE"/>
    <s v="VARGAS HERRERA JHON JAIRO"/>
    <n v="1"/>
    <n v="0"/>
    <n v="96001.196280000004"/>
    <n v="57411.974240000003"/>
    <n v="96001.196280000004"/>
  </r>
  <r>
    <s v="VILLAVICENCIO"/>
    <x v="3"/>
    <x v="3"/>
    <n v="50001"/>
    <n v="2686259"/>
    <n v="43732"/>
    <s v="ORDEN DE CAMBIO"/>
    <s v="META"/>
    <s v="VILLAVICENCIO"/>
    <s v="BARRIO ESPERANZA VILLAVICENCIO"/>
    <s v="REDEBAN"/>
    <s v="FO-25-1470399"/>
    <d v="2025-09-03T09:28:00"/>
    <d v="2025-09-04T14:00:00"/>
    <m/>
    <s v="PUBLICIDAD"/>
    <s v="AVISO EXTERIOR"/>
    <s v="CB UNO A UNO"/>
    <s v="CB UNO A UNO"/>
    <s v="EJECUTADO_EXITOSO"/>
    <s v="EJECUTADO EXITOSO"/>
    <s v="03/09/2025 POR FAVOR, COMUNICARSE CON USUARIO PARA CONFIRMAR UBICACION, SOLICITUD Y PROGRAMAR VISITA TECNICA | 04/09/2025 SE REALIZA VISITA AL CB PARA INSTALACIÓN DE AVISO EXTERIOR SE INSTALA TODO OK"/>
    <s v="VISITA_TÉCNICA"/>
    <n v="0"/>
    <s v="TIPO I"/>
    <s v="TERRESTRE"/>
    <s v="MOLINA CASTRO JAVIER ALBERTO"/>
    <n v="1"/>
    <n v="0"/>
    <n v="96001.196280000004"/>
    <n v="57411.974240000003"/>
    <n v="96001.196280000004"/>
  </r>
  <r>
    <s v="PASTO"/>
    <x v="2"/>
    <x v="5"/>
    <n v="52356"/>
    <n v="2686319"/>
    <n v="56725"/>
    <s v="ORDEN DE CAMBIO"/>
    <s v="NARIÑO"/>
    <s v="IPIALES"/>
    <s v="DISTRICOL SERVIVISION NARINO"/>
    <s v="REDEBAN"/>
    <s v="FO-25-1470396"/>
    <d v="2025-09-03T09:31:00"/>
    <d v="2025-09-05T23:55:00"/>
    <m/>
    <s v="PUBLICIDAD"/>
    <s v="AVISO EXTERIOR"/>
    <s v="AGREGADOR"/>
    <s v="DISTRICOL"/>
    <s v="EJECUTADO_EXITOSO"/>
    <s v="EJECUTADO EXITOSO"/>
    <s v="03/09/2025 POR FAVOR, COMUNICARSE CON USUARIO PARA CONFIRMAR UBICACION, SOLICITUD Y PROGRAMAR VISITA TECNICA | 05/09/2025 SE REALIZA INSTALACIÓN DE AVISO EXTERIOR POR MOTIVO DE ROBO"/>
    <s v="VISITA_TÉCNICA"/>
    <n v="0"/>
    <s v="TIPO II"/>
    <s v="TERRESTRE"/>
    <s v="PAZ MARTINEZ RICHARD HUMBERTO"/>
    <n v="1"/>
    <n v="0"/>
    <n v="232858.60096000001"/>
    <n v="110808.27512000001"/>
    <n v="232858.60096000001"/>
  </r>
  <r>
    <s v="BOGOTA"/>
    <x v="1"/>
    <x v="1"/>
    <n v="11001"/>
    <n v="2688575"/>
    <n v="74971"/>
    <s v="ORDEN DE CAMBIO"/>
    <s v="CUNDINAMARCA"/>
    <s v="BOGOTA"/>
    <s v="BARRIO ALAMOS BOGOTA 10"/>
    <s v="REDEBAN"/>
    <s v="FO-25-1470385"/>
    <d v="2025-09-03T12:11:00"/>
    <d v="2025-09-10T12:11:00"/>
    <m/>
    <s v="PUBLICIDAD"/>
    <s v="AVISO EXTERIOR"/>
    <s v="CB UNO A UNO"/>
    <s v="CB UNO A UNO"/>
    <s v="EJECUTADO_CANCELADO"/>
    <s v="PETICIÓN BANCOLOMBIA"/>
    <s v="03/09/2025 POR FAVOR, COMUNICARSE CON USUARIO PARA CONFIRMAR UBICACION, SOLICITUD Y PROGRAMAR VISITA TECNICA | 10/09/2025 SE REALIZA COMUNICACIÓN PARA CONFIRMAR VISITA E INSTALACIÓN DE AVISÓ CLIENTE CONFORMA VISITA ,CUANDO SE VISITA A CB SE EVIDENCIA QUE TIENE YA UN AVISO INSTALADO CLIENTE INFORMA QUE TENÍA DOS INSTALADO Y QUE DESEA QUE LE INSTALEN EL OTRO ,SE LE INDICA QUE POR POLÍTICAS DE BANCOLOMBIA BSOLO ESTÁ AUTORIZADO UNO ,SE REALIZA DEVOLUCIÓN DE AVISO EXTERIOR EN TAXI A BODEGA Y SE PROCEDE A CANCELAR VISITA"/>
    <s v="VISITA_TÉCNICA"/>
    <n v="0"/>
    <s v="TIPO I"/>
    <s v="TERRESTRE"/>
    <s v="GALINDO ROJAS LUIS FELIPE"/>
    <n v="1"/>
    <n v="0"/>
    <n v="96001.196280000004"/>
    <n v="57411.974240000003"/>
    <n v="96001.196280000004"/>
  </r>
  <r>
    <s v="PEREIRA"/>
    <x v="2"/>
    <x v="2"/>
    <n v="66001"/>
    <n v="2683953"/>
    <n v="80045"/>
    <s v="ORDEN DE CAMBIO"/>
    <s v="RISARALDA"/>
    <s v="PEREIRA"/>
    <s v="BARRIO CERRITOS PEREIRA 4"/>
    <s v="REDEBAN"/>
    <s v="FO-25-1463565"/>
    <d v="2025-09-02T16:48:00"/>
    <d v="2025-09-09T10:47:00"/>
    <m/>
    <s v="PUBLICIDAD"/>
    <s v="AVISO EXTERIOR"/>
    <s v="UNO A UNO"/>
    <s v="UNO A UNO"/>
    <s v="EJECUTADO_EXITOSO"/>
    <s v="EJECUTADO EXITOSO"/>
    <s v="02/09/2025 POR FAVOR, COMUNICARSE CON USUARIO PARA CONFIRMAR UBICACION, SOLICITUD Y PROGRAMAR VISITA TECNICA | 09/09/2025 SE INSTALA AVISO EXTERIOR"/>
    <s v="VISITA_TÉCNICA"/>
    <n v="0"/>
    <s v="TIPO I"/>
    <s v="TERRESTRE"/>
    <s v="FRANCO CAÑAVERAL YAMID RAUL"/>
    <n v="1"/>
    <n v="0"/>
    <n v="96001.196280000004"/>
    <n v="57411.974240000003"/>
    <n v="96001.196280000004"/>
  </r>
  <r>
    <s v="CALI"/>
    <x v="2"/>
    <x v="5"/>
    <n v="76364"/>
    <n v="2680345"/>
    <n v="48896"/>
    <s v="ORDEN DE CAMBIO"/>
    <s v="VALLE DEL CAUCA"/>
    <s v="JAMUNDI"/>
    <s v="PTM  JAMUNDI PAPELERIA BISUTE"/>
    <s v="REDEBAN"/>
    <s v="FO-25-1461245"/>
    <d v="2025-09-02T10:50:00"/>
    <d v="2025-09-03T22:13:00"/>
    <m/>
    <s v="PUBLICIDAD"/>
    <s v="AVISO EXTERIOR"/>
    <s v="AGREGADOR"/>
    <s v="COMCARD - PTM"/>
    <s v="EJECUTADO_EXITOSO"/>
    <s v="EJECUTADO EXITOSO"/>
    <s v="03/09/2025 SE VISITA CORRESPONSAL Y SE REEMPLAZA AVISO EXTERIOR POR DETERIORO."/>
    <s v="VISITA_TÉCNICA"/>
    <n v="0"/>
    <s v="TIPO II"/>
    <s v="TERRESTRE"/>
    <s v="BOLAÑOS TABORDA JORGE ENRIQUE"/>
    <n v="1"/>
    <n v="0"/>
    <n v="232858.60096000001"/>
    <n v="110808.27512000001"/>
    <n v="232858.60096000001"/>
  </r>
  <r>
    <s v="VILLAVICENCIO"/>
    <x v="3"/>
    <x v="3"/>
    <n v="50001"/>
    <n v="2680786"/>
    <n v="16761"/>
    <s v="ORDEN DE CAMBIO"/>
    <s v="META"/>
    <s v="VILLAVICENCIO"/>
    <s v="MATERIALES EMO    VILLAVICENCI"/>
    <s v="REDEBAN"/>
    <s v="FO-25-1461238"/>
    <d v="2025-09-02T11:26:00"/>
    <d v="2025-09-03T22:11:00"/>
    <m/>
    <s v="PUBLICIDAD"/>
    <s v="AVISO EXTERIOR"/>
    <s v="UNO A UNO"/>
    <s v="CB UNO A UNO"/>
    <s v="EJECUTADO_EXITOSO"/>
    <s v="EJECUTADO EXITOSO"/>
    <s v="03/09/2025 SE REALIZA VISITA AL CB POR SOLICITUD DE AVISO EXTERIOR EL USUARIO NOS INFORMA QUE SE LO INSTALEMOS SIN EL ALUMINIO PORQUE TIENEN A ROBÁRSELO, ESCALÓ EL CASO CON EL COORDINADOR DE ZONA ME APRUEBA LA INSTALACIÓN Y TODO OK"/>
    <s v="VISITA_TÉCNICA"/>
    <n v="0"/>
    <s v="TIPO I"/>
    <s v="TERRESTRE"/>
    <s v="MOLINA CASTRO JAVIER ALBERTO"/>
    <n v="1"/>
    <n v="0"/>
    <n v="96001.196280000004"/>
    <n v="57411.974240000003"/>
    <n v="96001.196280000004"/>
  </r>
  <r>
    <s v="MEDELLIN"/>
    <x v="4"/>
    <x v="4"/>
    <n v="5088"/>
    <n v="2681436"/>
    <n v="79918"/>
    <s v="ORDEN DE CAMBIO"/>
    <s v="ANTIOQUIA"/>
    <s v="BELLO"/>
    <s v="DISTRICOL DEPOSITO LA VIRGEN"/>
    <s v="REDEBAN"/>
    <s v="FO-25-1461235"/>
    <d v="2025-09-02T12:14:00"/>
    <d v="2025-09-06T00:05:00"/>
    <m/>
    <s v="PUBLICIDAD"/>
    <s v="AVISO EXTERIOR"/>
    <s v="AGREGADOR"/>
    <s v="DISTRICOL"/>
    <s v="EJECUTADO_EXITOSO"/>
    <s v="EJECUTADO EXITOSO"/>
    <s v="05/09/2025 DESCRIPCIÓN DE INTERVENCIÓN:  SE REALIZA LA INSTALACIÓN EXITOSA DEL AVISO EXTERIOR SEGÚN LOS LINEAMIENTOS ESTABLECIDOS. DURANTE LA VISITA, EL USUARIO INFORMA QUE EL AVISO PREVIAMENTE INSTALADO FUE SUSTRAÍDO. EN RESPUESTA, SE PROCEDE CON LA REINSTALACIÓN DEL AVISO CONFORME A LAS INDICACIONES DEL CLIENTE, ASEGURANDO SU CORRECTA FIJACIÓN Y VISIBILIDAD."/>
    <s v="VISITA_TÉCNICA"/>
    <n v="0"/>
    <s v="TIPO I"/>
    <s v="TERRESTRE"/>
    <s v="MARTINEZ TOVAR OSCAR DAVID"/>
    <n v="1"/>
    <n v="0"/>
    <n v="96001.196280000004"/>
    <n v="57411.974240000003"/>
    <n v="96001.196280000004"/>
  </r>
  <r>
    <s v="VILLAVICENCIO"/>
    <x v="3"/>
    <x v="3"/>
    <n v="99624"/>
    <n v="2676891"/>
    <n v="76512"/>
    <s v="ORDEN DE CAMBIO"/>
    <s v="VICHADA"/>
    <s v="SANTA ROSALIA"/>
    <s v="BARRIO CENTRO SANTA ROSALIA 3"/>
    <s v="REDEBAN"/>
    <s v="FO-25-1460067"/>
    <d v="2025-09-01T17:44:00"/>
    <d v="2025-09-25T10:07:00"/>
    <m/>
    <s v="PUBLICIDAD"/>
    <s v="AVISO EXTERIOR"/>
    <s v="UNO A UNO"/>
    <s v="UNO A UNO"/>
    <s v="EJECUTADO_EXITOSO"/>
    <s v="EJECUTADO EXITOSO"/>
    <s v="02/09/2025 POR FAVOR, COMUNICARSE CON USUARIO PARA CONFIRMAR UBICACION, SOLICITUD Y PROGRAMAR VISITA TECNICA | 09/09/2025 POR DISPONIBILIDAD DE VUELO, ESTA PROGRAMADO PARA EL 25/09/2025. | 25/09/2025 SE REALIZA VISTA AL CB POR SOLICITUD DE AVISO EXTERIOR SE REALIZA LA INSTALACIÓN TODO OK"/>
    <s v="VISITA_TÉCNICA"/>
    <n v="0"/>
    <s v="TIPO IV ESPECIAL"/>
    <s v="AEREO"/>
    <s v="MOLINA CASTRO JAVIER ALBERTO"/>
    <n v="1"/>
    <n v="0"/>
    <n v="548633.63271999999"/>
    <n v="110808.27512000001"/>
    <n v="548633.63271999999"/>
  </r>
  <r>
    <s v="CUCUTA"/>
    <x v="0"/>
    <x v="0"/>
    <n v="54498"/>
    <n v="2678889"/>
    <n v="79245"/>
    <s v="ORDEN DE CAMBIO"/>
    <s v="NORTE DE SANTANDER"/>
    <s v="OCAÑA"/>
    <s v="DISTRICOL DROGUERIA Y PERFUMER"/>
    <s v="REDEBAN"/>
    <s v="FO-25-1460057"/>
    <d v="2025-09-02T09:19:00"/>
    <d v="2025-09-03T22:20:00"/>
    <m/>
    <s v="PUBLICIDAD"/>
    <s v="AVISO EXTERIOR"/>
    <s v="AGREGADOR"/>
    <s v="DISTRICOL"/>
    <s v="EJECUTADO_EXITOSO"/>
    <s v="EJECUTADO EXITOSO"/>
    <s v="02/09/2025 POR FAVOR, COMUNICARSE CON USUARIO PARA CONFIRMAR UBICACION, SOLICITUD Y PROGRAMAR VISITA TECNICA | 03/09/2025 SE REALIZÓ VISITA AL COMERCIO Y SE INSTALA AVISO EXTERIOR POR MOTIVO DE ROBO"/>
    <s v="VISITA_TÉCNICA"/>
    <n v="0"/>
    <s v="TIPO IV"/>
    <s v="TERRESTRE"/>
    <s v="MORA VEGA JEAMPIER"/>
    <n v="1"/>
    <n v="0"/>
    <n v="548633.63271999999"/>
    <n v="110808.27512000001"/>
    <n v="548633.63271999999"/>
  </r>
  <r>
    <s v="IBAGUE"/>
    <x v="3"/>
    <x v="3"/>
    <n v="73001"/>
    <n v="2679818"/>
    <n v="51480"/>
    <s v="ORDEN DE CAMBIO"/>
    <s v="TOLIMA"/>
    <s v="IBAGUE"/>
    <s v="BARRIO RESTREPO"/>
    <s v="REDEBAN"/>
    <s v="FO-25-1460049"/>
    <d v="2025-09-02T10:00:00"/>
    <d v="2025-09-03T22:17:00"/>
    <m/>
    <s v="PUBLICIDAD"/>
    <s v="AVISO EXTERIOR"/>
    <s v="CB UNO A UNO"/>
    <s v="CB UNO A UNO"/>
    <s v="EJECUTADO_EXITOSO"/>
    <s v="EJECUTADO EXITOSO"/>
    <s v="02/09/2025 POR FAVOR, COMUNICARSE CON USUARIO PARA CONFIRMAR UBICACION, SOLICITUD Y PROGRAMAR VISITA TECNICA | 03/09/2025 SE INSTALA AVISO EXTERIOR POR ROBO"/>
    <s v="VISITA_TÉCNICA"/>
    <n v="0"/>
    <s v="TIPO I"/>
    <s v="TERRESTRE"/>
    <s v="VARGAS HERRERA JHON JAIRO"/>
    <n v="1"/>
    <n v="0"/>
    <n v="96001.196280000004"/>
    <n v="57411.974240000003"/>
    <n v="96001.196280000004"/>
  </r>
  <r>
    <s v="NEIVA"/>
    <x v="3"/>
    <x v="3"/>
    <n v="41001"/>
    <n v="2674081"/>
    <n v="71430"/>
    <s v="ORDEN DE CAMBIO"/>
    <s v="HUILA"/>
    <s v="NEIVA"/>
    <s v="BARRIO ESTADIO URDANETA ARBELA"/>
    <s v="REDEBAN"/>
    <s v="FO-25-1456124"/>
    <d v="2025-09-01T12:31:00"/>
    <d v="2025-09-02T12:42:00"/>
    <m/>
    <s v="PUBLICIDAD"/>
    <s v="AVISO EXTERIOR"/>
    <s v="CB UNO A UNO"/>
    <s v="CB UNO A UNO"/>
    <s v="EJECUTADO_EXITOSO"/>
    <s v="EJECUTADO EXITOSO"/>
    <s v="01/09/2025 POR FAVOR, COMUNICARSE CON USUARIO PARA CONFIRMAR UBICACION, SOLICITUD Y PROGRAMAR VISITA TECNICA | 02/09/2025 SE INSTALA AVISO EXTERIOR SIN MARCO POR PREVIO AVISO A COORDINADOR , COMENTANDO QUE ES UNA ZONA DE BASTANTE INDIGENTES Y PERSONAS DE CALLE Y CLIENTE INDICA O SOLICITA QUE SE INSTALE SIN EL MARCO"/>
    <s v="VISITA_TÉCNICA"/>
    <n v="0"/>
    <s v="TIPO I"/>
    <s v="TERRESTRE"/>
    <s v="ANDRADE HERNANDEZ JUAN CARLOS"/>
    <n v="1"/>
    <n v="0"/>
    <n v="96001.196280000004"/>
    <n v="57411.974240000003"/>
    <n v="96001.196280000004"/>
  </r>
  <r>
    <s v="VALLEDUPAR"/>
    <x v="5"/>
    <x v="6"/>
    <n v="20001"/>
    <n v="2674165"/>
    <n v="67111"/>
    <s v="ORDEN DE CAMBIO"/>
    <s v="CESAR"/>
    <s v="VALLEDUPAR"/>
    <s v="BARRIO DON CARMELO VALLEDUPAR"/>
    <s v="REDEBAN"/>
    <s v="FO-25-1456123"/>
    <d v="2025-09-01T12:51:00"/>
    <d v="2025-09-02T12:40:00"/>
    <m/>
    <s v="PUBLICIDAD"/>
    <s v="AVISO EXTERIOR"/>
    <s v="CB UNO A UNO"/>
    <s v="CB UNO A UNO"/>
    <s v="EJECUTADO_EXITOSO"/>
    <s v="EJECUTADO EXITOSO"/>
    <s v="01/09/2025 POR FAVOR, COMUNICARSE CON USUARIO PARA CONFIRMAR UBICACION, SOLICITUD Y PROGRAMAR VISITA TECNICA | 02/09/2025 SE REALIZA INSTALACIÓN DE AVISO EXTERIOR EN DIRECCIÓN DE CB, SE INSTALA SIN BASE DE ALUMINIO YA QUE EL AVISO ANTERIOR FUE HURTADO POR QUITARLE LA PIEZA DE ALUMINIO"/>
    <s v="VISITA_TÉCNICA"/>
    <n v="0"/>
    <s v="TIPO I"/>
    <s v="TERRESTRE"/>
    <s v="MAESTRE MENGUAL EDGAR ENRIQUE"/>
    <n v="1"/>
    <n v="0"/>
    <n v="96001.196280000004"/>
    <n v="57411.974240000003"/>
    <n v="96001.196280000004"/>
  </r>
  <r>
    <s v="VILLAVICENCIO"/>
    <x v="3"/>
    <x v="3"/>
    <n v="50001"/>
    <n v="2672084"/>
    <n v="74216"/>
    <s v="ORDEN DE CAMBIO"/>
    <s v="META"/>
    <s v="VILLAVICENCIO"/>
    <s v="BARRIO HACARITAMA VILLAVICENCI"/>
    <s v="REDEBAN"/>
    <s v="FO-25-1454200"/>
    <d v="2025-09-01T10:14:00"/>
    <d v="2025-09-02T12:49:00"/>
    <m/>
    <s v="PUBLICIDAD"/>
    <s v="AVISO EXTERIOR"/>
    <s v="CB UNO A UNO"/>
    <s v="CB UNO A UNO"/>
    <s v="EJECUTADO_EXITOSO"/>
    <s v="EJECUTADO EXITOSO"/>
    <s v="01/09/2025 POR FAVOR, COMUNICARSE CON USUARIO PARA CONFIRMAR UBICACION, SOLICITUD Y PROGRAMAR VISITA TECNICA | 02/09/2025 SE REALIZA VISITA AL CB POR SOLICITUD DE PUBLICIDAD EXTERIOR, SE INSTALA Y TODO QUEDA OK"/>
    <s v="VISITA_TÉCNICA"/>
    <n v="0"/>
    <s v="TIPO I"/>
    <s v="TERRESTRE"/>
    <s v="MOLINA CASTRO JAVIER ALBERTO"/>
    <n v="1"/>
    <n v="0"/>
    <n v="96001.196280000004"/>
    <n v="57411.974240000003"/>
    <n v="96001.196280000004"/>
  </r>
  <r>
    <s v="BOGOTA"/>
    <x v="1"/>
    <x v="1"/>
    <n v="11001"/>
    <n v="2670544"/>
    <n v="68853"/>
    <s v="ORDEN DE CAMBIO"/>
    <s v="CUNDINAMARCA"/>
    <s v="BOGOTA"/>
    <s v="BARRIO QUIRIGUA BOGOTA 9"/>
    <s v="REDEBAN"/>
    <s v="FO-25-1453842"/>
    <d v="2025-09-01T08:46:00"/>
    <d v="2025-09-01T17:18:00"/>
    <m/>
    <s v="PUBLICIDAD"/>
    <s v="AVISO EXTERIOR"/>
    <s v="CB UNO A UNO"/>
    <s v="CB UNO A UNO"/>
    <s v="EJECUTADO_EXITOSO"/>
    <s v="EJECUTADO EXITOSO"/>
    <s v="01/09/2025 POR FAVOR, COMUNICARSE CON USUARIO PARA CONFIRMAR UBICACION, SOLICITUD Y PROGRAMAR VISITA TECNICA | 01/09/2025 SE VISITA COMERCIO PARA INSTALACIÓN DE AVISO EXTERIOR POR ROBO DEL EXISTENTE SE PROCEDE CON INSTALACIÓN Y SE DEJA CB OPERANDO SIN NOVEDAD"/>
    <s v="VISITA_TÉCNICA"/>
    <n v="0"/>
    <s v="TIPO I"/>
    <s v="TERRESTRE"/>
    <s v="ROMERO ROJAS BREIDY JHOHAN"/>
    <n v="1"/>
    <n v="0"/>
    <n v="96001.196280000004"/>
    <n v="57411.974240000003"/>
    <n v="96001.196280000004"/>
  </r>
  <r>
    <s v="BOGOTA"/>
    <x v="1"/>
    <x v="1"/>
    <n v="11001"/>
    <n v="2670640"/>
    <n v="25685"/>
    <s v="ORDEN DE CAMBIO"/>
    <s v="CUNDINAMARCA"/>
    <s v="BOGOTA"/>
    <s v="BARRIO CHAPINERO BOGOTA"/>
    <s v="REDEBAN"/>
    <s v="FO-25-1453838"/>
    <d v="2025-09-01T08:54:00"/>
    <d v="2025-09-01T15:29:00"/>
    <m/>
    <s v="PUBLICIDAD"/>
    <s v="AVISO EXTERIOR"/>
    <s v="CB UNO A UNO"/>
    <s v="CB UNO A UNO"/>
    <s v="EJECUTADO_EXITOSO"/>
    <s v="EJECUTADO EXITOSO"/>
    <s v="01/09/2025 POR FAVOR, COMUNICARSE CON USUARIO PARA CONFIRMAR UBICACION, SOLICITUD Y PROGRAMAR VISITA TECNICA | 01/09/2025 INSTALACIÓN DE AVISO EXTERIOR OK NO SE MANIPULAN EQUIPOS"/>
    <s v="VISITA_TÉCNICA"/>
    <n v="0"/>
    <s v="TIPO I"/>
    <s v="TERRESTRE"/>
    <s v="HERNANDEZ NARANJO OSCAR EDUARDO"/>
    <n v="1"/>
    <n v="0"/>
    <n v="96001.196280000004"/>
    <n v="57411.974240000003"/>
    <n v="96001.196280000004"/>
  </r>
  <r>
    <s v="VILLAVICENCIO"/>
    <x v="3"/>
    <x v="3"/>
    <n v="50001"/>
    <n v="2671233"/>
    <n v="70497"/>
    <s v="ORDEN DE CAMBIO"/>
    <s v="META"/>
    <s v="VILLAVICENCIO"/>
    <s v="BARRIO AY MI LLANURA VILLAVICE"/>
    <s v="REDEBAN"/>
    <s v="FO-25-1453836"/>
    <d v="2025-09-01T09:26:00"/>
    <d v="2025-09-02T12:54:00"/>
    <m/>
    <s v="PUBLICIDAD"/>
    <s v="AVISO EXTERIOR"/>
    <s v="CB UNO A UNO"/>
    <s v="CB UNO A UNO"/>
    <s v="EJECUTADO_EXITOSO"/>
    <s v="EJECUTADO EXITOSO"/>
    <s v="01/09/2025 POR FAVOR, COMUNICARSE CON USUARIO PARA CONFIRMAR UBICACION, SOLICITUD Y PROGRAMAR VISITA TECNICA | 02/09/2025 SE REALIZA VISITA AL CB POR SOLICITUD DE PUBLICIDAD EXTERIOR SE INSTALA TODO OK"/>
    <s v="VISITA_TÉCNICA"/>
    <n v="0"/>
    <s v="TIPO I"/>
    <s v="TERRESTRE"/>
    <s v="MOLINA CASTRO JAVIER ALBERTO"/>
    <n v="1"/>
    <n v="0"/>
    <n v="96001.196280000004"/>
    <n v="57411.974240000003"/>
    <n v="96001.196280000004"/>
  </r>
  <r>
    <s v="TUNJA"/>
    <x v="0"/>
    <x v="0"/>
    <n v="15464"/>
    <n v="2668244"/>
    <n v="21022"/>
    <s v="ORDEN DE CAMBIO"/>
    <s v="BOYACA"/>
    <s v="MONGUA"/>
    <s v="BARRIO CENTRO MONGUA"/>
    <s v="REDEBAN"/>
    <s v="FO-25-1449877"/>
    <d v="2025-08-30T11:59:00"/>
    <d v="2025-09-01T17:08:00"/>
    <m/>
    <s v="PUBLICIDAD"/>
    <s v="AVISO EXTERIOR"/>
    <s v="CB UNO A UNO"/>
    <s v="CB UNO A UNO"/>
    <s v="EJECUTADO_EXITOSO"/>
    <s v="EJECUTADO EXITOSO"/>
    <s v="30/08/2025 POR FAVOR, COMUNICARSE CON USUARIO PARA CONFIRMAR UBICACION, SOLICITUD Y PROGRAMAR VISITA TECNICA | 01/09/2025 SE REALIZA INSTALACIÓN DE AVISO EXTERIOR ,"/>
    <s v="VISITA_TÉCNICA"/>
    <n v="0"/>
    <s v="TIPO II"/>
    <s v="TERRESTRE"/>
    <s v="ALVARADO MORENO CRISTHIAN"/>
    <n v="1"/>
    <n v="0"/>
    <n v="232858.60096000001"/>
    <n v="110808.27512000001"/>
    <n v="232858.60096000001"/>
  </r>
  <r>
    <s v="MEDELLIN"/>
    <x v="4"/>
    <x v="4"/>
    <n v="5001"/>
    <n v="2665215"/>
    <n v="43446"/>
    <s v="ORDEN DE CAMBIO"/>
    <s v="ANTIOQUIA"/>
    <s v="MEDELLIN"/>
    <s v="PTM MED LUBRICANTES F Y J SAS"/>
    <s v="REDEBAN"/>
    <s v="FO-25-1447092"/>
    <d v="2025-08-29T12:57:00"/>
    <d v="2025-09-01T15:07:00"/>
    <m/>
    <s v="PUBLICIDAD"/>
    <s v="AVISO EXTERIOR"/>
    <s v="AGREGADOR"/>
    <s v="COMCARD - PTM"/>
    <s v="EJECUTADO_EXITOSO"/>
    <s v="EJECUTADO EXITOSO"/>
    <s v="29/08/2025 POR FAVOR, COMUNICARSE CON USUARIO PARA CONFIRMAR UBICACION, SOLICITUD Y PROGRAMAR VISITA TECNICA | 01/09/2025 INSTALACIÓN DE AVISO EXTERIOR OK"/>
    <s v="VISITA_TÉCNICA"/>
    <n v="0"/>
    <s v="TIPO I"/>
    <s v="TERRESTRE"/>
    <s v="PAREJA ECHAVARRIA JHON DAVID"/>
    <n v="1"/>
    <n v="0"/>
    <n v="96001.196280000004"/>
    <n v="57411.974240000003"/>
    <n v="96001.196280000004"/>
  </r>
  <r>
    <s v="MEDELLIN"/>
    <x v="4"/>
    <x v="4"/>
    <n v="5001"/>
    <n v="2665166"/>
    <n v="35717"/>
    <s v="ORDEN DE CAMBIO"/>
    <s v="ANTIOQUIA"/>
    <s v="MEDELLIN"/>
    <s v="BARRIO LOMA LOS BERNAL MEDELLI"/>
    <s v="REDEBAN"/>
    <s v="FO-25-1447091"/>
    <d v="2025-08-29T13:12:00"/>
    <d v="2025-09-01T14:50:00"/>
    <m/>
    <s v="PUBLICIDAD"/>
    <s v="AVISO EXTERIOR"/>
    <s v="CB UNO A UNO"/>
    <s v="CB UNO A UNO"/>
    <s v="EJECUTADO_EXITOSO"/>
    <s v="EJECUTADO EXITOSO"/>
    <s v="29/08/2025 POR FAVOR, COMUNICARSE CON USUARIO PARA CONFIRMAR UBICACION, SOLICITUD Y PROGRAMAR VISITA TECNICA | 01/09/2025 INSTALACIÓN DE AVISO EXTERIOR OK"/>
    <s v="VISITA_TÉCNICA"/>
    <n v="0"/>
    <s v="TIPO I"/>
    <s v="TERRESTRE"/>
    <s v="PAREJA ECHAVARRIA JHON DAVID"/>
    <n v="1"/>
    <n v="0"/>
    <n v="96001.196280000004"/>
    <n v="57411.974240000003"/>
    <n v="96001.196280000004"/>
  </r>
  <r>
    <s v="MEDELLIN"/>
    <x v="4"/>
    <x v="4"/>
    <n v="5001"/>
    <n v="2665624"/>
    <n v="35262"/>
    <s v="ORDEN DE CAMBIO"/>
    <s v="ANTIOQUIA"/>
    <s v="MEDELLIN"/>
    <s v="COMCARD MED MI GENTE ROBLEDO"/>
    <s v="REDEBAN"/>
    <s v="FO-25-1447090"/>
    <d v="2025-08-29T14:22:00"/>
    <d v="2025-09-01T14:36:00"/>
    <m/>
    <s v="PUBLICIDAD"/>
    <s v="AVISO EXTERIOR"/>
    <s v="AGREGADOR"/>
    <s v="COMCARD - PTM"/>
    <s v="EJECUTADO_EXITOSO"/>
    <s v="EJECUTADO EXITOSO"/>
    <s v="29/08/2025 POR FAVOR, COMUNICARSE CON USUARIO PARA CONFIRMAR UBICACION, SOLICITUD Y PROGRAMAR VISITA TECNICA | 01/09/2025 SE REALIZA EXITOSAMENTE LA INSTALACIÓN DEL AVISO EXTERIOR DEL CORRESPONSAL BANCOLOMBIA, CONFORME A LAS INDICACIONES DEL CLIENTE.  LA INTERVENCIÓN SE LLEVÓ A CABO DEBIDO A QUE EL AVISO ANTERIOR FUE DESPRENDIDO POR ACCIÓN DEL VIENTO, PRESENTANDO DETERIORO VISIBLE EN SU ESTRUCTURA.  EL NUEVO AVISO FUE FIJADO CON REFUERZOS ADECUADOS PARA GARANTIZAR MAYOR ESTABILIDAD Y RESISTENCIA ANTE CONDICIONES CLIMÁTICAS ADVERSAS."/>
    <s v="VISITA_TÉCNICA"/>
    <n v="0"/>
    <s v="TIPO I"/>
    <s v="TERRESTRE"/>
    <s v="MARTINEZ TOVAR OSCAR DAVID"/>
    <n v="1"/>
    <n v="0"/>
    <n v="96001.196280000004"/>
    <n v="57411.974240000003"/>
    <n v="96001.196280000004"/>
  </r>
  <r>
    <s v="PEREIRA"/>
    <x v="2"/>
    <x v="2"/>
    <n v="63001"/>
    <n v="2666668"/>
    <n v="46942"/>
    <s v="ORDEN DE CAMBIO"/>
    <s v="QUINDIO"/>
    <s v="ARMENIA"/>
    <s v="BARRIO ARMENIA QUINDIO 1"/>
    <s v="REDEBAN"/>
    <s v="FO-25-1447089"/>
    <d v="2025-08-29T16:08:00"/>
    <d v="2025-09-05T13:20:00"/>
    <m/>
    <s v="PUBLICIDAD"/>
    <s v="AVISO EXTERIOR"/>
    <s v="CB UNO A UNO"/>
    <s v="CB UNO A UNO"/>
    <s v="EJECUTADO_EXITOSO"/>
    <s v="EJECUTADO EXITOSO"/>
    <s v="29/08/2025 POR FAVOR, COMUNICARSE CON USUARIO PARA CONFIRMAR UBICACION, SOLICITUD Y PROGRAMAR VISITA TECNICA | 05/09/2025 VISITAMOS COMERCIO PERO NO REALIZAMOS ACTUALIZACIÓN INSTALACIÓN DE AVISO EXTERIOR YA QUE EL COMERCIO TIENE UNO INSTALADO ADEMÁS TIENE EFECTY TAMBIÉN."/>
    <s v="VISITA_TÉCNICA"/>
    <n v="0"/>
    <s v="TIPO II"/>
    <s v="TERRESTRE"/>
    <s v="ARROYAVE CANO MANUEL GUILLERMO"/>
    <n v="1"/>
    <n v="0"/>
    <n v="232858.60096000001"/>
    <n v="110808.27512000001"/>
    <n v="232858.60096000001"/>
  </r>
  <r>
    <s v="MEDELLIN"/>
    <x v="4"/>
    <x v="4"/>
    <n v="5001"/>
    <n v="2667555"/>
    <n v="24256"/>
    <s v="ORDEN DE CAMBIO"/>
    <s v="ANTIOQUIA"/>
    <s v="MEDELLIN"/>
    <s v="AOMCARD MEDELLIN MIRAMAR"/>
    <s v="REDEBAN"/>
    <s v="FO-25-1447088"/>
    <d v="2025-08-30T09:00:00"/>
    <d v="2025-09-01T14:34:00"/>
    <m/>
    <s v="PUBLICIDAD"/>
    <s v="AVISO EXTERIOR"/>
    <s v="AGREGADOR"/>
    <s v="COMCARD - PTM"/>
    <s v="EJECUTADO_EXITOSO"/>
    <s v="EJECUTADO EXITOSO"/>
    <s v="30/08/2025 POR FAVOR, COMUNICARSE CON USUARIO PARA CONFIRMAR UBICACION, SOLICITUD Y PROGRAMAR VISITA TECNICA | 01/09/2025 SE REALIZA LA INSTALACIÓN DEL NUEVO AVISO EXTERIOR CONFORME A LO SOLICITADO POR EL CLIENTE, REEMPLAZANDO EL ANTERIOR QUE FUE SUSTRAÍDO. LA UBICACIÓN FUE DEFINIDA DIRECTAMENTE POR EL CLIENTE, Y SE PROCEDE CON LA FIJACIÓN EN EL PUNTO INDICADO, GARANTIZANDO VISIBILIDAD Y SEGURIDAD. EL PROCESO SE EJECUTA SIN CONTRATIEMPOS Y QUEDA DEBIDAMENTE DOCUMENTADO."/>
    <s v="VISITA_TÉCNICA"/>
    <n v="0"/>
    <s v="TIPO I"/>
    <s v="TERRESTRE"/>
    <s v="MARTINEZ TOVAR OSCAR DAVID"/>
    <n v="1"/>
    <n v="0"/>
    <n v="96001.196280000004"/>
    <n v="57411.974240000003"/>
    <n v="96001.196280000004"/>
  </r>
  <r>
    <s v="IBAGUE"/>
    <x v="3"/>
    <x v="3"/>
    <n v="73001"/>
    <n v="2661323"/>
    <n v="69727"/>
    <s v="ORDEN DE CAMBIO"/>
    <s v="TOLIMA"/>
    <s v="IBAGUE"/>
    <s v="PTM IBAGUE  SMARTV SOLUCIONES"/>
    <s v="REDEBAN"/>
    <s v="FO-25-1442420"/>
    <d v="2025-08-29T08:00:00"/>
    <d v="2025-09-02T12:24:00"/>
    <m/>
    <s v="PUBLICIDAD"/>
    <s v="AVISO EXTERIOR"/>
    <s v="AGREGADOR"/>
    <s v="COMCARD - PTM"/>
    <s v="EJECUTADO_EXITOSO"/>
    <s v="EJECUTADO EXITOSO"/>
    <s v="29/08/2025 POR FAVOR, COMUNICARSE CON USUARIO PARA CONFIRMAR UBICACION, SOLICITUD Y PROGRAMAR VISITA TECNICA | 02/09/2025 SE INSTALA AVISO EXTERIOR SIN MARCO POR SOLICITUD DEL CLIENTE."/>
    <s v="VISITA_TÉCNICA"/>
    <n v="0"/>
    <s v="TIPO I"/>
    <s v="TERRESTRE"/>
    <s v="BARRAGAN TAFUR EDWIN ESTEBAN"/>
    <n v="1"/>
    <n v="0"/>
    <n v="96001.196280000004"/>
    <n v="57411.974240000003"/>
    <n v="96001.196280000004"/>
  </r>
  <r>
    <s v="NEIVA"/>
    <x v="3"/>
    <x v="3"/>
    <n v="41001"/>
    <n v="2661429"/>
    <n v="35988"/>
    <s v="ORDEN DE CAMBIO"/>
    <s v="HUILA"/>
    <s v="NEIVA"/>
    <s v="BARRIO TERCER MILENIO NEIVA 1"/>
    <s v="REDEBAN"/>
    <s v="FO-25-1442415"/>
    <d v="2025-08-29T08:00:00"/>
    <d v="2025-09-02T17:04:00"/>
    <m/>
    <s v="PUBLICIDAD"/>
    <s v="AVISO EXTERIOR"/>
    <s v="CB UNO A UNO"/>
    <s v="CB UNO A UNO"/>
    <s v="EJECUTADO_EXITOSO"/>
    <s v="EJECUTADO EXITOSO"/>
    <s v="29/08/2025 POR FAVOR, COMUNICARSE CON USUARIO PARA CONFIRMAR UBICACION, SOLICITUD Y PROGRAMAR VISITA TECNICA | 02/09/2025 SE LLEGA A SITO, SE REALIZA INSTALACIÓN DE AVISO EXTERIOR"/>
    <s v="VISITA_TÉCNICA"/>
    <n v="0"/>
    <s v="TIPO I"/>
    <s v="TERRESTRE"/>
    <s v="DIAZ VARGAS JONATHAN MIGUEL"/>
    <n v="1"/>
    <n v="0"/>
    <n v="96001.196280000004"/>
    <n v="57411.974240000003"/>
    <n v="96001.196280000004"/>
  </r>
  <r>
    <s v="NEIVA"/>
    <x v="3"/>
    <x v="3"/>
    <n v="41001"/>
    <n v="2660957"/>
    <n v="75075"/>
    <s v="ORDEN DE CAMBIO"/>
    <s v="HUILA"/>
    <s v="NEIVA"/>
    <s v="BARRIO JARDIN NEIVA 2"/>
    <s v="REDEBAN"/>
    <s v="FO-25-1441062"/>
    <d v="2025-08-28T16:35:00"/>
    <d v="2025-09-02T12:29:00"/>
    <m/>
    <s v="PUBLICIDAD"/>
    <s v="AVISO EXTERIOR"/>
    <s v="UNO A UNO"/>
    <s v="UNO A UNO"/>
    <s v="EJECUTADO_EXITOSO"/>
    <s v="EJECUTADO EXITOSO"/>
    <s v="28/08/2025 POR FAVOR, COMUNICARSE CON USUARIO PARA CONFIRMAR UBICACION, SOLICITUD Y PROGRAMAR VISITA TECNICA | 02/09/2025 SE REALIZA VISITA AL PUNTO, SE IMPLEMENTA AVISO EXTERIOR . POR ROBO."/>
    <s v="VISITA_TÉCNICA"/>
    <n v="0"/>
    <s v="TIPO I"/>
    <s v="TERRESTRE"/>
    <s v="DEVIA REINOSO JUAN CARLOS"/>
    <n v="1"/>
    <n v="0"/>
    <n v="96001.196280000004"/>
    <n v="57411.974240000003"/>
    <n v="96001.196280000004"/>
  </r>
  <r>
    <s v="BOGOTA"/>
    <x v="1"/>
    <x v="1"/>
    <n v="11001"/>
    <n v="2659831"/>
    <n v="80119"/>
    <s v="ORDEN DE CAMBIO"/>
    <s v="CUNDINAMARCA"/>
    <s v="BOGOTA"/>
    <s v="BARRIO CLASS ROMA KENNEDY BOGOTA"/>
    <s v="REDEBAN"/>
    <s v="FO-25-1450084 | FO-25-1440813"/>
    <d v="2025-08-28T14:39:00"/>
    <d v="2025-09-01T15:26:00"/>
    <m/>
    <s v="PUBLICIDAD"/>
    <s v="AVISO EXTERIOR"/>
    <s v="UNO A UNO"/>
    <s v="UNO A UNO"/>
    <s v="EJECUTADO_EXITOSO"/>
    <s v="EJECUTADO EXITOSO"/>
    <s v="28/08/2025 POR FAVOR, COMUNICARSE CON USUARIO PARA CONFIRMAR UBICACION, SOLICITUD Y PROGRAMAR VISITA TECNICA | 30/08/2025 SE LLEGA EL AIRE SE INDICA Y SE ENCUENTRA COMERCIO CERRADO SE INTENTA COMUNICACIÓN AL NÚMERO 3003099807 PERO NO ES POSIBLE_x000a_01/09/2025 SE REALIZA ENTREGA E INSTALACIÓN DE AVISO PUBLICIDAD BANCOLOMBIA. POR ROBO. SIN NOVEDAD"/>
    <s v="VISITA_TÉCNICA"/>
    <n v="0"/>
    <s v="TIPO I"/>
    <s v="TERRESTRE"/>
    <s v="ORTIZ MARTINEZ STIVEN"/>
    <n v="2"/>
    <n v="3"/>
    <n v="96001.196280000004"/>
    <n v="57411.974240000003"/>
    <n v="364238.31527999998"/>
  </r>
  <r>
    <s v="PASTO"/>
    <x v="2"/>
    <x v="5"/>
    <n v="86001"/>
    <n v="2658874"/>
    <n v="79192"/>
    <s v="ORDEN DE CAMBIO"/>
    <s v="PUTUMAYO"/>
    <s v="MOCOA"/>
    <s v="BARRIO CENTRO MOCOA 3"/>
    <s v="REDEBAN"/>
    <s v="FO-25-1439804"/>
    <d v="2025-08-28T12:23:00"/>
    <d v="2025-09-02T12:35:00"/>
    <m/>
    <s v="PUBLICIDAD"/>
    <s v="AVISO EXTERIOR"/>
    <s v="CB UNO A UNO"/>
    <s v="CB UNO A UNO"/>
    <s v="EJECUTADO_EXITOSO"/>
    <s v="EJECUTADO EXITOSO"/>
    <s v="28/08/2025 POR FAVOR, COMUNICARSE CON USUARIO PARA CONFIRMAR UBICACION, SOLICITUD Y PROGRAMAR VISITA TECNICA | 02/09/2025 SE VISITA CB. SE REALIZA INSTALACIÓN DE AVISO EXTERIOR. CLIENTE INFORMA QUE EL DATAFONO FUNCIONA CORRECTAMENTE. NO SÉ MANIPULA DATAFONO"/>
    <s v="VISITA_TÉCNICA"/>
    <n v="0"/>
    <s v="TIPO IV"/>
    <s v="TERRESTRE"/>
    <s v="CASTILLO HERRERA ALEX RICARDO"/>
    <n v="1"/>
    <n v="0"/>
    <n v="548633.63271999999"/>
    <n v="110808.27512000001"/>
    <n v="548633.63271999999"/>
  </r>
  <r>
    <s v="NEIVA"/>
    <x v="3"/>
    <x v="3"/>
    <n v="41001"/>
    <n v="2658574"/>
    <n v="67122"/>
    <s v="ORDEN DE CAMBIO"/>
    <s v="HUILA"/>
    <s v="NEIVA"/>
    <s v="BARRIO GUALANDAY NEIVA 3"/>
    <s v="REDEBAN"/>
    <s v="FO-25-1438961"/>
    <d v="2025-08-28T11:47:00"/>
    <d v="2025-09-02T12:37:00"/>
    <m/>
    <s v="PUBLICIDAD"/>
    <s v="AVISO EXTERIOR"/>
    <s v="CB UNO A UNO"/>
    <s v="CB UNO A UNO"/>
    <s v="EJECUTADO_EXITOSO"/>
    <s v="EJECUTADO EXITOSO"/>
    <s v="28/08/2025 POR FAVOR, COMUNICARSE CON USUARIO PARA CONFIRMAR UBICACION, SOLICITUD Y PROGRAMAR VISITA TECNICA | 02/09/2025 SE REALIZA VISITA AL PUNTO, SE IMPLEMENTA AVISO EXTERIOR.EL CUAL SE HABIA CAÍDO Y DAÑADO ."/>
    <s v="VISITA_TÉCNICA"/>
    <n v="0"/>
    <s v="TIPO I"/>
    <s v="TERRESTRE"/>
    <s v="DEVIA REINOSO JUAN CARLOS"/>
    <n v="1"/>
    <n v="0"/>
    <n v="96001.196280000004"/>
    <n v="57411.974240000003"/>
    <n v="96001.196280000004"/>
  </r>
  <r>
    <s v="NEIVA"/>
    <x v="3"/>
    <x v="3"/>
    <n v="41001"/>
    <n v="2651829"/>
    <n v="47387"/>
    <s v="ORDEN DE CAMBIO"/>
    <s v="HUILA"/>
    <s v="NEIVA"/>
    <s v="BARRIO TIMANCO NEIVA 1"/>
    <s v="REDEBAN"/>
    <s v="FO-25-1434038"/>
    <d v="2025-08-27T10:58:00"/>
    <d v="2025-09-02T17:09:00"/>
    <m/>
    <s v="PUBLICIDAD"/>
    <s v="AVISO EXTERIOR"/>
    <s v="CB UNO A UNO"/>
    <s v="CB UNO A UNO"/>
    <s v="EJECUTADO_EXITOSO"/>
    <s v="EJECUTADO EXITOSO"/>
    <s v="27/08/2025 POR FAVOR, COMUNICARSE CON USUARIO PARA CONFIRMAR UBICACION, SOLICITUD Y PROGRAMAR VISITA TECNICA | 02/09/2025 SE LLEGA A SITIO, SE REALIZA INSTALACIÓN DE AVISO EXTERIOR"/>
    <s v="VISITA_TÉCNICA"/>
    <n v="0"/>
    <s v="TIPO I"/>
    <s v="TERRESTRE"/>
    <s v="DIAZ VARGAS JONATHAN MIGUEL"/>
    <n v="1"/>
    <n v="0"/>
    <n v="96001.196280000004"/>
    <n v="57411.974240000003"/>
    <n v="96001.196280000004"/>
  </r>
  <r>
    <s v="PASTO"/>
    <x v="2"/>
    <x v="5"/>
    <n v="52835"/>
    <n v="2650989"/>
    <n v="58444"/>
    <s v="ORDEN DE CAMBIO"/>
    <s v="NARIÑO"/>
    <s v="SAN ANDRES DE TUMACO"/>
    <s v="PTM TUMACO TIENDA DON LUIS JC"/>
    <s v="REDEBAN"/>
    <s v="FO-25-1432481"/>
    <d v="2025-08-27T09:56:00"/>
    <d v="2025-09-03T22:07:00"/>
    <m/>
    <s v="PUBLICIDAD"/>
    <s v="AVISO EXTERIOR"/>
    <s v="AGREGADOR"/>
    <s v="COMCARD - PTM"/>
    <s v="EJECUTADO_EXITOSO"/>
    <s v="EJECUTADO EXITOSO"/>
    <s v="27/08/2025 POR FAVOR, COMUNICARSE CON USUARIO PARA CONFIRMAR UBICACION, SOLICITUD Y PROGRAMAR VISITA TECNICA | 03/09/2025 SE REALIZA INSTALACIÓN DE AVISO EXTERIOR POR MOTIVO DE QUE EL QUE TENÍA SE PARTIÓ A LA MITAD"/>
    <s v="VISITA_TÉCNICA"/>
    <n v="0"/>
    <s v="TIPO IV"/>
    <s v="TERRESTRE"/>
    <s v="PAZ MARTINEZ RICHARD HUMBERTO"/>
    <n v="1"/>
    <n v="3"/>
    <n v="548633.63271999999"/>
    <n v="110808.27512000001"/>
    <n v="881058.45808000001"/>
  </r>
  <r>
    <s v="BOGOTA"/>
    <x v="1"/>
    <x v="1"/>
    <n v="11001"/>
    <n v="2644581"/>
    <n v="77127"/>
    <s v="ORDEN DE CAMBIO"/>
    <s v="CUNDINAMARCA"/>
    <s v="BOGOTA"/>
    <s v="BARRIO SANTA HELENITA BOGOTA 5"/>
    <s v="REDEBAN"/>
    <s v="FO-25-1424765"/>
    <d v="2025-08-26T09:51:00"/>
    <d v="2025-09-01T15:03:00"/>
    <m/>
    <s v="PUBLICIDAD"/>
    <s v="AVISO EXTERIOR"/>
    <s v="CB UNO A UNO"/>
    <s v="CB UNO A UNO"/>
    <s v="EJECUTADO_EXITOSO"/>
    <s v="EJECUTADO EXITOSO"/>
    <s v="26/08/2025 POR FAVOR, COMUNICARSE CON USUARIO PARA CONFIRMAR UBICACION, SOLICITUD Y PROGRAMAR VISITA TECNICA | 01/09/2025 SE VISITA COMERCIO CB BANCOLOMBIA, SE INSTALA AVISÓ EXTERIOR SOLICITADO, NO SE MANIPULAN EQUIPOS, SERVICIO OK"/>
    <s v="VISITA_TÉCNICA"/>
    <n v="0"/>
    <s v="TIPO I"/>
    <s v="TERRESTRE"/>
    <s v="VEGA MANRIQUE JONATAN MAURICIO"/>
    <n v="1"/>
    <n v="0"/>
    <n v="96001.196280000004"/>
    <n v="57411.974240000003"/>
    <n v="96001.196280000004"/>
  </r>
  <r>
    <m/>
    <x v="6"/>
    <x v="7"/>
    <m/>
    <m/>
    <m/>
    <m/>
    <m/>
    <m/>
    <m/>
    <m/>
    <m/>
    <m/>
    <m/>
    <m/>
    <m/>
    <m/>
    <m/>
    <m/>
    <m/>
    <m/>
    <m/>
    <m/>
    <m/>
    <m/>
    <m/>
    <m/>
    <m/>
    <m/>
    <m/>
    <m/>
    <n v="21117207.279399991"/>
  </r>
  <r>
    <m/>
    <x v="6"/>
    <x v="7"/>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s v="PASTO"/>
    <x v="0"/>
    <x v="0"/>
    <n v="52621"/>
    <s v="TA-25-992136"/>
    <n v="81154"/>
    <s v="APERTURA"/>
    <s v="CB CRECIMIENTO - NUEVO"/>
    <s v="NARIÑO"/>
    <s v="ROBERTO PAYAN"/>
    <s v="BARRIO EL VILLA HORIZONTE ROBERTO PAYAN"/>
    <s v="REDEBAN"/>
    <s v="FO-25-1402263"/>
    <d v="2025-08-21T00:00:00"/>
    <d v="2025-09-02T00:00:00"/>
    <s v="UNO A UNO"/>
    <s v="UNO A UNO"/>
    <s v="EJECUTADO"/>
    <s v="21-08 SE REALIZA CONTACTO CON EL CLIENTE VIA WHATSAPP, SE HABLA CON LA SRA MARIA ELVIRA PARRA ARTUNDUAGA AL NÚMERO 3236143368 SE VALIDA DIRECCIÓN OK, CANAL OK, DISPONIBILIDAD TOTAL, LLAMAR EL DIA DE LA INSTALACIÓN PARA CONFIRMAR VISITA, AVISO EXTERIOR ALTURA APROX 8 METROS; TOMACORRIENTE CERCANO: SI; TIENE CABINA DE SEGURIDAD; SI 01-09 SE INICIO DESPLAZAMIENTO PERO SOLO HOY SE LLEGO HASTA BARBACOAS, SE VALIDA Y SE DEBE TOMAR LANCHA EL DIA DE MAÑANA  2/09/2025 SE REALIZA INSTALACIÓN DE CORRESPONSAL, SE INSTALAN EQUIPOS CON PRUEBAS EXITOSAS, SE CAPACITA Y SE EVALÚA AL CLIENTE, SE INSTALA PUBLICIDAD COMPLETA, CB QUEDA OPERATIVO. USUARIO SOMOS BANCOLOMBIA ACTIVO"/>
    <s v="VISITA_TÉCNICA"/>
    <s v="SIZZZ900"/>
    <s v="TIPO IV ESPECIAL"/>
    <s v="FLUVIAL"/>
    <s v="PAZ MARTINEZ RICHARD HUMBERTO"/>
    <n v="1"/>
    <n v="1"/>
    <n v="1"/>
    <n v="11251.22416"/>
    <n v="126317.12212"/>
    <n v="110808.27512000001"/>
    <n v="248376.6214"/>
  </r>
  <r>
    <s v="CALI"/>
    <x v="0"/>
    <x v="0"/>
    <n v="19256"/>
    <s v="TA-25-992167"/>
    <n v="81133"/>
    <s v="APERTURA"/>
    <s v="CB CRECIMIENTO - NUEVO"/>
    <s v="CAUCA"/>
    <s v="EL TAMBO"/>
    <s v="BARRIO PLAYA RICA EL TAMBO 1"/>
    <s v="REDEBAN"/>
    <s v="FO-25-1402365"/>
    <d v="2025-08-21T00:00:00"/>
    <d v="2025-09-02T00:00:00"/>
    <s v="UNO A UNO"/>
    <s v="UNO A UNO"/>
    <s v="EJECUTADO"/>
    <s v="21-08 SE REALIZA LLAMADA AL CLIENTE, SE HABLA CON LA SRA YUDY MILENA CALVACHE HERNANDEZ SE VALIDA DIRECCIÓN OK, CANAL OK, DISPONIBILIDAD TOTAL, LLAMAR EL DÍA LA INSTALACIÓN PARA CONFIRMAR VISITA, AVISO EXTERIOR ALTURA: NO INDICA ALTURA ; TOMACORRIENTE CERCANO: SI; TIENE CABINA DE SEGURIDAD: NO 25-08 DADO PROBLEMAS DE TRANSPORTE HACIA EL CORREGIMIENTO NO ES POSIBLE EL DESPLAZAMIENTO EL DIA DE HOY , SE VALIDARA EL DIA DE MAÑANA. 26-08 SE REALIZA LLAMADA CON EL CLIENTE, QUIEN INFORMA QUE PARA PODER REALIZAR EL INGRESO A LA ZONA ES NECESARIO DILIGENCIAR UNOS PERMISOS ESPECIALES, YA QUE SE TRATA DE UNA ZONA CON PRESENCIA GUERRILLERA. DEBIDO A ESTA SITUACIÓN, SE ACUERDA REPROGRAMAR LA APERTURA. 02-09 SE REALIZA INSTALACIÓN DE CORRESPONSAL, SE INSTALAN EQUIPOS CON PRUEBAS EXITOSAS, SE CAPACITA Y SE EVALÚA AL CLIENTE, SE INSTALA PUBLICIDAD COMPLETA, CB QUEDA OPERATIVO. USUARIO SOMOS BANCOLOMBIA ACTIVO"/>
    <s v="VISITA_TÉCNICA"/>
    <s v="SIZZZ915"/>
    <s v="TIPO III"/>
    <s v="TERRESTRE"/>
    <s v="GIMBUEL LASSO LUIS GERMAN"/>
    <n v="1"/>
    <n v="1"/>
    <n v="1"/>
    <n v="11251.22416"/>
    <n v="126317.12212"/>
    <n v="110808.27512000001"/>
    <n v="248376.6214"/>
  </r>
  <r>
    <s v="PASTO"/>
    <x v="0"/>
    <x v="0"/>
    <n v="52079"/>
    <s v="TA-25-1033974"/>
    <n v="81185"/>
    <s v="APERTURA"/>
    <s v="CB CRECIMIENTO - NUEVO"/>
    <s v="NARIÑO"/>
    <s v="BARBACOAS"/>
    <s v="BARRIO GUAYACAL BARBACOAS"/>
    <s v="REDEBAN"/>
    <s v="FO-25-1432981"/>
    <d v="2025-08-27T00:00:00"/>
    <d v="2025-09-02T00:00:00"/>
    <s v="UNO A UNO"/>
    <s v="UNO A UNO"/>
    <s v="EJECUTADO"/>
    <s v="27-08 SE REALIZA LLAMADA AL CLIENTE, SE HABLA CON LA SRA YULIS FIORELA PORTILLA CABEZAS SE VALIDA DIRECCIÓN OK, CANAL OK, DISPONIBILIDAD TOTAL, LLAMAR EL DÍA LA INSTALACIÓN PARA CONFIRMAR VISITA, AVISO EXTERIOR ALTURA APROX 2 METROS; TOMACORRIENTE CERCANO: SI; TIENE CABINA DE SEGURIDAD: NO - COMUNICACIÓN POR WPP / EL MODEM ESTA A 4 MT 29/08/2025 POR DISPONIBILIDAD DE TRASNPORTE NO ES POSIBLE REALIZAR LA ACTIVIDAD EL DIA DE HOY, SE VIAJARA EL DIA LUNES  01-09 SE LLEGO A BARBACOAS, SE ESTA REALIZANDO LA IMPLEMENTACIÓN EL DIA DE MAÑANA  02-09 SE REALIZA INSTALACIÓN DE CORRESPONSAL, SE INSTALAN EQUIPOS CON PRUEBAS EXITOSAS, SE CAPACITA Y SE EVALÚA AL CLIENTE, SE INSTALA PUBLICIDAD COMPLETA, CB QUEDA OPERATIVO. USUARIO SOMOS BANCOLOMBIA ACTIVO"/>
    <s v="VISITA_TÉCNICA"/>
    <s v="FKZZZ635"/>
    <s v="TIPO IV"/>
    <s v="TERRESTRE"/>
    <s v="PAZ MARTINEZ RICHARD HUMBERTO"/>
    <n v="1"/>
    <n v="1"/>
    <n v="1"/>
    <n v="11251.22416"/>
    <n v="126317.12212"/>
    <n v="110808.27512000001"/>
    <n v="248376.6214"/>
  </r>
  <r>
    <s v="PEREIRA"/>
    <x v="0"/>
    <x v="1"/>
    <n v="66001"/>
    <s v="TA-25-1033985"/>
    <n v="81241"/>
    <s v="APERTURA"/>
    <s v="CB CRECIMIENTO - NUEVO"/>
    <s v="RISARALDA"/>
    <s v="PEREIRA"/>
    <s v="BARRIO CENTRO PEREIRA 55"/>
    <s v="REDEBAN"/>
    <s v="FO-25-1433027"/>
    <d v="2025-08-27T00:00:00"/>
    <d v="2025-09-01T00:00:00"/>
    <s v="UNO A UNO"/>
    <s v="UNO A UNO"/>
    <s v="EJECUTADO"/>
    <s v="27-08-2025 SE REALIZA LLAMADA AL CLIENTE, SE HABLA CON LA SRA JULIANA ECHEVERRY GALVEZ SE VALIDA DIRECCIÓN OK, CANAL OK, DISPONIBILIDAD TOTAL, LLAMAR EL DÍA LA INSTALACIÓN PARA CONFIRMAR VISITA, AVISO EXTERIOR ALTURA APROX 2 METROS; TOMACORRIENTE CERCANO: SI; TIENE CABINA DE SEGURIDAD: NO // CONTACTO REALIZADO POR LA APP 29-08 REALIZAMOS LLAMADA A LA SRA JULIANA LA CUAL NOS INDICA QUE EL DÍA DE HOY NO ES POSIBLE ATENDERNOS YA QUE TIENE UN COMPROMISO QUE POR FAVOR REPROGRAMAR LA VISITA PARA LA OTRA SEMANA. 1/09/2025 SE REALIZA INSTALACIÓN DE CORRESPONSAL, SE INSTALAN EQUIPOS, SE CAPACITA Y SE EVALÚA AL CLIENTE, SE INSTALA PUBLICIDAD COMPLETA, CB QUEDA OPERATIVO. USUARIO SOMOS BANCOLOMBIA ACTIVO. NOTA: SOLO SE REALIZAN PRUEBA DE CONSULTA DE SALDO YA QUE EL CLIENTE NO TIENE TARJETA PARA HACER LAS PRUEBAS DE DEPOSITO, RETIRO, RECAUDO Y TRANSFERENCIA"/>
    <s v="VISITA_TÉCNICA"/>
    <s v="FKZZZ643"/>
    <s v="TIPO I"/>
    <s v="TERRESTRE"/>
    <s v="ARROYAVE CANO MANUEL GUILLERMO"/>
    <n v="1"/>
    <n v="1"/>
    <n v="1"/>
    <n v="11251.22416"/>
    <n v="126317.12212"/>
    <n v="57411.974240000003"/>
    <n v="194980.32052000001"/>
  </r>
  <r>
    <s v="MONTERIA"/>
    <x v="1"/>
    <x v="2"/>
    <n v="23001"/>
    <s v="TA-25-1033987"/>
    <n v="81212"/>
    <s v="APERTURA"/>
    <s v="CB CRECIMIENTO - NUEVO"/>
    <s v="CORDOBA"/>
    <s v="MONTERIA"/>
    <s v="BARRIO POLICARPA MONTERIA 3"/>
    <s v="REDEBAN"/>
    <s v="FO-25-1433037"/>
    <d v="2025-08-27T00:00:00"/>
    <d v="2025-09-01T00:00:00"/>
    <s v="UNO A UNO"/>
    <s v="UNO A UNO"/>
    <s v="EJECUTADO"/>
    <s v="26-08 SE REALIZA LLAMADA AL CLIENTE, SE HABLA CON LA SRA  SIDNEY PATRICIA VILLEGAS VILORIA SE VALIDA DIRECCIÓN OK, CANAL OK, DISPONIBILIDAD TOTAL, LLAMAR EL DÍA DE LA INSTALACIÓN PARA CONFIRMAR VISITA, AVISO EXTERIOR NO INDICA ALTURA; TOMACORRIENTE CERCANO: SI; TIENE CABINA DE SEGURIDAD: SI 28-08 SE REALIZÓ LLAMADA DE VALIDACIÓN Y LA SEÑORA SIDNEY PATRICIA VILLEGAS VILORIA, INFORMA QUE POR LAS FUERTE LLUVIA Y BRISA DE ANOCHE SE CAYERON VARIOS ÁRBOLES Y ESTÁ SIN FLUIDO ELÉCTRICO Y DAÑOS EN EL INTERNET. PIDE POR FAVOR ESPERAR A QUE LE SOLUCIONEN PARA RECIBIR LA INSTALACIÓN. 29-08 SE REALIZÓ LLAMADA DE VALIDACIÓN Y EL CLIENTE INFORMA QUE TODAVÍA TIENE PROBLEMAS CON EL CANAL DE COMUNICACIÓN, QUE NO HAN REALIZADO LOS ARREGLOS EN LA ZONA. 30-08 LA ACTIVIDAD SE REAGENDA PARA EL DÍA LUNES 01-09-25. 1/09/2025 SE ESCALA CASO, DONDE SE LLEVA A COMERCIO DE LA PAPELERÍA, PERO EL LOCAL NO CUENTA CON EL NOMBRE DE COMERCIO EN FACHADA, CABE ACLARAR QUE LA MERCANCÍA SI TIENE RELACIÓN CON PAPELERIA, // POR FAVOR, PROCEDAMOS CON LA IMPLANTACIÓN CORRESPONDIENTE Y DEJEMOS COMO EVIDENCIA LA CÁMARA DE COMERCIO, ASÍ COMO LA DOCUMENTACIÓN DE LA NOVEDAD PRESENTADA. 01-09 SE REALIZA INSTALACIÓN DE CORRESPONSAL, SE INSTALAN EQUIPOS CON PRUEBAS EXITOSAS, SE CAPACITA Y SE EVALÚA AL CLIENTE, SE INSTALA PUBLICIDAD COMPLETA, CB QUEDA OPERATIVO. USUARIO SOMOS BANCOLOMBIA ACTIVO. NO SÉ REALIZÓ PRUEBAS DE RECAUDO PORQUE EL CLIENTE NO IBA A PAGAR FACTURA EN EL MOMENTO Y LA DE TRANSFERENCIA EL CLIENTE NO TIENE MÁS CUENTA"/>
    <s v="VISITA_TÉCNICA"/>
    <s v="FKZZZ646"/>
    <s v="TIPO I"/>
    <s v="TERRESTRE"/>
    <s v="CALDERA SALCEDO CARLOS JULIO"/>
    <n v="1"/>
    <n v="1"/>
    <n v="1"/>
    <n v="11251.22416"/>
    <n v="126317.12212"/>
    <n v="57411.974240000003"/>
    <n v="194980.32052000001"/>
  </r>
  <r>
    <s v="CALI"/>
    <x v="0"/>
    <x v="0"/>
    <n v="19809"/>
    <s v="TA-25-1033991"/>
    <n v="81252"/>
    <s v="APERTURA"/>
    <s v="CB CRECIMIENTO - NUEVO"/>
    <s v="CAUCA"/>
    <s v="TIMBIQUI"/>
    <s v="BARRIO UNION DE VIVIENDAS TIMBIQUI"/>
    <s v="REDEBAN"/>
    <s v="FO-25-1433056"/>
    <d v="2025-08-27T00:00:00"/>
    <d v="2025-09-04T00:00:00"/>
    <s v="UNO A UNO"/>
    <s v="UNO A UNO"/>
    <s v="EJECUTADO"/>
    <s v="27-08-2025 SE REALIZA LLAMADA AL CLIENTE, SE HABLA CON LA SRA  IRLANDA VENTE CONGOLINO SE VALIDA DIRECCIÓN OK, CANAL OK, DISPONIBILIDAD TOTAL, LLAMAR EL DÍA LA INSTALACIÓN PARA CONFIRMAR VISITA, AVISO EXTERIOR ALTURA APROX 3 METROS; TOMACORRIENTE CERCANO: SI; TIENE CABINA DE SEGURIDAD: SI  04-09 SE REALIZA INSTALACIÓN DE CORRESPONSAL, SE INSTALAN EQUIPOS CON PRUEBAS EXITOSAS, SE CAPACITA Y SE EVALÚA AL CLIENTE, SE INSTALA PUBLICIDAD COMPLETA, CB QUEDA OPERATIVO. USUARIO SOMOS BANCOLOMBIA ACTIVO"/>
    <s v="VISITA_TÉCNICA"/>
    <s v="FKZZZ649"/>
    <s v="TIPO IV ESPECIAL"/>
    <s v="AEREO"/>
    <s v="PAREDES CASTILLO DIEGO"/>
    <n v="1"/>
    <n v="1"/>
    <n v="1"/>
    <n v="11251.22416"/>
    <n v="126317.12212"/>
    <n v="110808.27512000001"/>
    <n v="248376.6214"/>
  </r>
  <r>
    <s v="PASTO"/>
    <x v="0"/>
    <x v="0"/>
    <n v="52687"/>
    <s v="TA-25-1034011"/>
    <n v="81249"/>
    <s v="APERTURA"/>
    <s v="CB CRECIMIENTO - NUEVO"/>
    <s v="NARIÑO"/>
    <s v="SAN LORENZO"/>
    <s v="BARRIO EL CENTRO SAN LORENZO"/>
    <s v="REDEBAN"/>
    <s v="FO-25-1433131"/>
    <d v="2025-08-27T00:00:00"/>
    <d v="2025-09-03T00:00:00"/>
    <s v="UNO A UNO"/>
    <s v="UNO A UNO"/>
    <s v="EJECUTADO/CANCELADO"/>
    <s v="27-08-2025 SE REALIZA LLAMADA AL CLIENTE, SE HABLA CON EL SR HECTOR ROSENDO ESPAÑA RODRIGUEZ  SE VALIDA DIRECCIÓN OK, CANAL OK, DISPONIBILIDAD TOTAL, LLAMAR EL DÍA LA INSTALACIÓN PARA CONFIRMAR VISITA, AVISO EXTERIOR ALTURA APROX 3 METROS; TOMACORRIENTE CERCANO: SI; TIENE CABINA DE SEGURIDAD: NO 28-09 SE REALIZÓ COMUNICACIÓN TELEFÓNICA CON USUARIO E INFORMA QUE DEBIDO A CELEBRACIÓN DE FIESTAS EN EL MUNICIPIO ES COMPLICADO EL TRANSPORTE Y LA ATENCIÓN DE LA VISITA. SOLICITA QUE ESTA SEA REALIZADA EN LA SIGUIENTE SEMANA CUANDO YA SE HAYA NORMALIZADO TODO. 3/09/2025 SE VISITA EL COMERCIO PARA REALIZAR APERTURA PERO NO ES POSIBLE YA QUE EN EL COMERCIO FUNCIONA CORRESPONSAL DE BANCO AGRARIO POR LO QUE NO SE APERTURA YA QUE SE ESTARÍA VIOLANDO PRINCIPIO DE EXCLUSIVIDAD DE BANCOLOMBIA."/>
    <s v="VISITA_TÉCNICA"/>
    <s v="FKZZZ662"/>
    <s v="TIPO II"/>
    <s v="TERRESTRE"/>
    <s v="GUERRERO RAMIREZ OSCAR DARIO"/>
    <n v="0"/>
    <n v="0"/>
    <n v="2"/>
    <n v="11251.22416"/>
    <n v="126317.12212"/>
    <n v="110808.27512000001"/>
    <n v="221616.55024000001"/>
  </r>
  <r>
    <s v="NEIVA"/>
    <x v="2"/>
    <x v="3"/>
    <n v="18785"/>
    <s v="TA-25-1034017"/>
    <n v="81251"/>
    <s v="APERTURA"/>
    <s v="CB CRECIMIENTO - NUEVO"/>
    <s v="CAQUETA"/>
    <s v="SOLITA"/>
    <s v="BARRIO JORDAN SOLITA"/>
    <s v="REDEBAN"/>
    <s v="FO-25-1433151"/>
    <d v="2025-08-27T00:00:00"/>
    <d v="2025-09-02T00:00:00"/>
    <s v="UNO A UNO"/>
    <s v="UNO A UNO"/>
    <s v="EJECUTADO"/>
    <s v="27-08 SE REALIZA LLAMADA AL CLIENTE, SE HABLA CON LA SRA IDARYI CANO PINZON  SE VALIDA DIRECCIÓN OK, CANAL OK, DISPONIBILIDAD TOTAL, LLAMAR EL DÍA LA INSTALACIÓN PARA CONFIRMAR VISITA, AVISO EXTERIOR ALTURA APROX 2 METROS; TOMACORRIENTE CERCANO: SI; TIENE CABINA DE SEGURIDAD: NO - EL MODEM ESTA 5 MT  01-09  EN COMUNICACIÓN CON LA CLIENTA PARA CONFIRMAR LA INSTALACIÓN EL DÍA DE HOY, CLIENTE MANIFIESTO QUE NO ES POSIBLE ATENDER LA VISITA YA QUE POR MOTIVOS PERSONALES ESTÁ EN FLORENCIA REALIZANDO UNAS DILIGENCIAS, MANIFESTÓ ATENDER LA VISITA EL DÍA DE MAÑANA 02 DE SEPTIEMBRE EN EL TRANSCURSO DEL DÍA. 2/09/2025 SE REALIZA INSTALACIÓN DE CORRESPONSAL, SE INSTALAN EQUIPOS CON PRUEBAS EXITOSAS, SE CAPACITA Y SE EVALÚA AL CLIENTE, SE INSTALA PUBLICIDAD COMPLETA, CB QUEDA OPERATIVO. USUARIO SOMOS BANCOLOMBIA ACTIVO"/>
    <s v="VISITA_TÉCNICA"/>
    <s v="FKZZZ665"/>
    <s v="TIPO IV"/>
    <s v="TERRESTRE"/>
    <s v="BERMUDEZ SANCHEZ JOSE NEYBER"/>
    <n v="1"/>
    <n v="1"/>
    <n v="1"/>
    <n v="11251.22416"/>
    <n v="126317.12212"/>
    <n v="110808.27512000001"/>
    <n v="248376.6214"/>
  </r>
  <r>
    <s v="VILLAVICENCIO"/>
    <x v="2"/>
    <x v="3"/>
    <n v="50350"/>
    <s v="TA-25-1034022"/>
    <n v="81208"/>
    <s v="APERTURA"/>
    <s v="CB CRECIMIENTO - NUEVO"/>
    <s v="META"/>
    <s v="LA MACARENA"/>
    <s v="BARRIO CENTRO LA MACARENA 9"/>
    <s v="REDEBAN"/>
    <s v="FO-25-1433176"/>
    <d v="2025-08-27T00:00:00"/>
    <d v="2025-09-03T00:00:00"/>
    <s v="UNO A UNO"/>
    <s v="UNO A UNO"/>
    <s v="EJECUTADO"/>
    <s v="27-08 SE REALIZA LLAMADA AL CLIENTE, SE HABLA CON LA SR RICARDO FLOREZ ARENAS  SE VALIDA DIRECCIÓN OK, CANAL OK, DISPONIBILIDAD TOTAL, LLAMAR EL DÍA LA INSTALACIÓN PARA CONFIRMAR VISITA, AVISO EXTERIOR ALTURA APROX 2 METROS; TOMACORRIENTE CERCANO: SI; TIENE CABINA DE SEGURIDAD: NO - COMUNICACIÓN POR WPP / EL MODEM ESTA A 5 MT  Y NO TIENE PUERTO DISPONIBLES ( LLEVAR SWITCH) 03-09 SE REALIZA INSTALACIÓN DE CORRESPONSAL, SE INSTALAN EQUIPOS CON PRUEBAS EXITOSAS, SE CAPACITA Y SE EVALÚA AL CLIENTE, SE INSTALA PUBLICIDAD COMPLETA, CB QUEDA OPERATIVO. USUARIO SOMOS BANCOLOMBIA ACTIVO"/>
    <s v="VISITA_TÉCNICA"/>
    <s v="FKZZZ669"/>
    <s v="TIPO IV ESPECIAL"/>
    <s v="AEREO"/>
    <s v="ROZO JIMENEZ EDGAR ARMANDO"/>
    <n v="1"/>
    <n v="1"/>
    <n v="1"/>
    <n v="11251.22416"/>
    <n v="126317.12212"/>
    <n v="110808.27512000001"/>
    <n v="248376.6214"/>
  </r>
  <r>
    <s v="BUCARAMANGA"/>
    <x v="3"/>
    <x v="4"/>
    <n v="68679"/>
    <s v="TA-25-1034026"/>
    <n v="81247"/>
    <s v="APERTURA"/>
    <s v="CB CRECIMIENTO - NUEVO"/>
    <s v="SANTANDER"/>
    <s v="SAN GIL"/>
    <s v="BARRIO CIUDAD FUTURO ETAPA  3 SAN GIL"/>
    <s v="REDEBAN"/>
    <s v="FO-25-1433206"/>
    <d v="2025-08-27T00:00:00"/>
    <d v="2025-09-01T00:00:00"/>
    <s v="UNO A UNO"/>
    <s v="UNO A UNO"/>
    <s v="EJECUTADO"/>
    <s v="27-08 SE REALIZA LLAMADA AL CLIENTE, SE HABLA CON LA SRA OLGA PATRICIA SARMIENTO OTERO  SE VALIDA DIRECCIÓN OK, CANAL OK, DISPONIBILIDAD TOTAL, LLAMAR EL DÍA LA INSTALACIÓN PARA CONFIRMAR VISITA, AVISO EXTERIOR ALTURA APROX 2 METROS; TOMACORRIENTE CERCANO: SI; TIENE CABINA DE SEGURIDAD: NO - SE PROGRAMA PARA DICHA FECHA POR SOLITUD DEL USUARIO 01-09 SE REALIZA INSTALACIÓN DE CORRESPONSAL, SE INSTALAN EQUIPOS CON PRUEBAS EXITOSAS, SE CAPACITA Y SE EVALÚA AL CLIENTE, SE INSTALA PUBLICIDAD COMPLETA, CB QUEDA OPERATIVO. USUARIO SOMOS BANCOLOMBIA ACTIVO"/>
    <s v="VISITA_TÉCNICA"/>
    <s v="FKZZZ672"/>
    <s v="TIPO II"/>
    <s v="TERRESTRE"/>
    <s v="GELVEZ MOGOLLON JOSE ELISEO"/>
    <n v="1"/>
    <n v="1"/>
    <n v="1"/>
    <n v="11251.22416"/>
    <n v="126317.12212"/>
    <n v="110808.27512000001"/>
    <n v="248376.6214"/>
  </r>
  <r>
    <s v="CALI"/>
    <x v="0"/>
    <x v="0"/>
    <n v="76001"/>
    <s v="TA-25-1034027"/>
    <n v="81195"/>
    <s v="APERTURA"/>
    <s v="CB CRECIMIENTO - NUEVO"/>
    <s v="VALLE DEL CAUCA"/>
    <s v="CALI"/>
    <s v="BARRIO BENAJAMIN HERRERA CALI"/>
    <s v="REDEBAN"/>
    <s v="FO-25-1433211"/>
    <d v="2025-08-27T00:00:00"/>
    <d v="2025-09-02T00:00:00"/>
    <s v="UNO A UNO"/>
    <s v="UNO A UNO"/>
    <s v="EJECUTADO"/>
    <s v="27-08 SE REALIZA LLAMADA AL CLIENTE, SE HABLA CON LA SRA MALLERLY RUBIANO LOPEZ  SE VALIDA DIRECCIÓN OK, CANAL OK, DISPONIBILIDAD TOTAL, LLAMAR EL DÍA LA INSTALACIÓN PARA CONFIRMAR VISITA, AVISO EXTERIOR ALTURA: NO INDICA ALTURA; TOMACORRIENTE CERCANO: SI; TIENE CABINA DE SEGURIDAD: NO 29/08/2025 SE LLAMA AL CLIENTE AL NÚMERO 3104237740 HABLO CON LA SEÑORA MALLERLY INFORMA QUE EL DÍA DE HOY NO PUEDE ATENDER LA INSTALACIÓN TODO EL PERSONAL DE LA DROGUERÍA ESTÁ EN INVENTARIO NO ALGUIEN MÁS QUE NOS ATIENDA LA ACTIVIDAD NO SE PUEDE REPROGRAMAR VENCE EL HOY, SE LE INDICA AL CLIENTE QUE SE CANCELA LA INSTALACIÓN 01-09 SE LLAMO EL CLIENTE PERO NO CONTESTO, SE REALIZARA LLAMADA EL DIA DE MAÑANA PARA VALIDAR DISPONIBILIDAD 02-09 SE REALIZA INSTALACIÓN DE CORRESPONSAL, SE INSTALAN EQUIPOS CON PRUEBAS EXITOSAS, SE CAPACITA Y SE EVALÚA AL CLIENTE, SE INSTALA PUBLICIDAD COMPLETA, CB QUEDA OPERATIVO. USUARIO SOMOS BANCOLOMBIA ACTIVO"/>
    <s v="VISITA_TÉCNICA"/>
    <s v="FKZZZ673"/>
    <s v="TIPO I"/>
    <s v="TERRESTRE"/>
    <s v="PAREDES CASTILLO DIEGO"/>
    <n v="1"/>
    <n v="1"/>
    <n v="1"/>
    <n v="11251.22416"/>
    <n v="126317.12212"/>
    <n v="57411.974240000003"/>
    <n v="194980.32052000001"/>
  </r>
  <r>
    <s v="NEIVA"/>
    <x v="2"/>
    <x v="3"/>
    <n v="18753"/>
    <s v="TA-25-1034461"/>
    <n v="81230"/>
    <s v="APERTURA"/>
    <s v="CB CRECIMIENTO ALIANZA - NUEVO"/>
    <s v="CAQUETA"/>
    <s v="SAN VICENTE DEL CAGUAN"/>
    <s v="DISTRICOL SURTICELL EMILY"/>
    <s v="REDEBAN"/>
    <s v="FO-25-1433896"/>
    <d v="2025-08-27T00:00:00"/>
    <d v="2025-09-05T00:00:00"/>
    <s v="AGREGADOR"/>
    <s v="DISTRICOL"/>
    <s v="EJECUTADO/CANCELADO"/>
    <s v="27-08 PROGRAMACIÓN REALIZADA POR LA ALIANZA 5/09/2025 SE REALIZA VISITA PARA IMPLEMENTACIÓN CB DISTRICOL 81230, PERO SE EVIDENCIA QUE APROXIMADAMENTE A 40MTS HAY UN CB AGREGADOR PTM SAN VICENTE DEL CAGUAN 50792, POR FAVOR NOS INDICA COMO PROCEDER. / ENTIDAD SOLICITA CANCELAR ACTIVIDAD"/>
    <s v="VISITA_TÉCNICA"/>
    <s v="FKZZZ688"/>
    <s v="TIPO IV ESPECIAL"/>
    <s v="TERRESTRE / AEREO"/>
    <s v="BERMUDEZ SANCHEZ JOSE NEYBER"/>
    <n v="0"/>
    <n v="0"/>
    <n v="2"/>
    <n v="11251.22416"/>
    <n v="126317.12212"/>
    <n v="110808.27512000001"/>
    <n v="221616.55024000001"/>
  </r>
  <r>
    <s v="PASTO"/>
    <x v="0"/>
    <x v="0"/>
    <n v="86568"/>
    <s v="TA-25-1034476"/>
    <n v="81229"/>
    <s v="APERTURA"/>
    <s v="CB CRECIMIENTO ALIANZA - NUEVO"/>
    <s v="PUTUMAYO"/>
    <s v="PUERTO ASIS"/>
    <s v="DISTRICOL LADY PERFUMERIA"/>
    <s v="REDEBAN"/>
    <s v="FO-25-1433932"/>
    <d v="2025-08-27T00:00:00"/>
    <d v="2025-09-02T00:00:00"/>
    <s v="AGREGADOR"/>
    <s v="DISTRICOL"/>
    <s v="EJECUTADO"/>
    <s v="27-08 PROGRAMACIÓN REALIZADA POR LA ALIANZA 29/08/2025 POR DISPONIBILIDAD DE TRASNPORTE NO ES POSIBLE REALIZAR LA ACTIVIDAD EL DIA DE HOY, SE VIAJARA EL DIA LUNES 01-09 POR RETRASOS DEBIDO A ARREGLOS EN LA VÍA AL PUTUMAYO NO SE ALCANZA A REALIZAR VISITA EL DÍA DE HOY. SE INFORMA A CLIENTE QUE SE VISITARÁ MAÑANA DESPUÉS DE MEDIO DÍA. SEÑORA RUBIELA PIDE SE LA VISITE A LAS 3 PM 2/09/2025 SE REALIZA INSTALACIÓN DE CORRESPONSAL, SE INSTALAN EQUIPOS CON PRUEBAS EXITOSAS, SE CAPACITA Y SE EVALÚA AL CLIENTE, SE INSTALA PUBLICIDAD COMPLETA, CB QUEDA OPERATIVO. USUARIO SOMOS BANCOLOMBIA ACTIVO"/>
    <s v="VISITA_TÉCNICA"/>
    <s v="FKZZZ695"/>
    <s v="TIPO IV"/>
    <s v="TERRESTRE"/>
    <s v="CASTILLO HERRERA ALEX RICARDO"/>
    <n v="1"/>
    <n v="1"/>
    <n v="1"/>
    <n v="11251.22416"/>
    <n v="126317.12212"/>
    <n v="110808.27512000001"/>
    <n v="248376.6214"/>
  </r>
  <r>
    <s v="MONTERIA"/>
    <x v="1"/>
    <x v="2"/>
    <n v="5250"/>
    <s v="TA-25-1040105"/>
    <n v="81260"/>
    <s v="APERTURA"/>
    <s v="CB CRECIMIENTO ALIANZA - NUEVO"/>
    <s v="ANTIOQUIA"/>
    <s v="EL BAGRE"/>
    <s v="DISTRICOL DROGUERIA G&amp;P"/>
    <s v="REDEBAN"/>
    <s v="FO-25-1444555"/>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LAS PRUEBAS DE RECAUDO Y TRANSFERENCIA NO SE REALIZARON PORQUE EL CLIENTE NO TIENE OTRA CUENTA Y NO HAY FACTURAS PARA HACER RECAUDOS"/>
    <s v="VISITA_TÉCNICA"/>
    <s v="SKZZZ566"/>
    <s v="TIPO IV"/>
    <s v="TERRESTRE"/>
    <s v="CALDERA SALCEDO CARLOS JULIO"/>
    <n v="1"/>
    <n v="1"/>
    <n v="1"/>
    <n v="11251.22416"/>
    <n v="126317.12212"/>
    <n v="110808.27512000001"/>
    <n v="248376.6214"/>
  </r>
  <r>
    <s v="APARTADO"/>
    <x v="4"/>
    <x v="5"/>
    <n v="5837"/>
    <s v="TA-25-1040106"/>
    <n v="81261"/>
    <s v="APERTURA"/>
    <s v="CB CRECIMIENTO ALIANZA - NUEVO"/>
    <s v="ANTIOQUIA"/>
    <s v="TURBO"/>
    <s v="DISTRICOL VARIEDADES VIANYS"/>
    <s v="REDEBAN"/>
    <s v="FO-25-1444558"/>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67"/>
    <s v="TIPO II"/>
    <s v="TERRESTRE"/>
    <s v="SALDARRIAGA MIRANDA SANTIAGO"/>
    <n v="1"/>
    <n v="1"/>
    <n v="1"/>
    <n v="11251.22416"/>
    <n v="126317.12212"/>
    <n v="110808.27512000001"/>
    <n v="248376.6214"/>
  </r>
  <r>
    <s v="MEDELLIN"/>
    <x v="4"/>
    <x v="5"/>
    <n v="5854"/>
    <s v="TA-25-1040107"/>
    <n v="81265"/>
    <s v="APERTURA"/>
    <s v="CB CRECIMIENTO ALIANZA - NUEVO"/>
    <s v="ANTIOQUIA"/>
    <s v="VALDIVIA"/>
    <s v="DISTRICOL AGROABARROTES EL 15"/>
    <s v="REDEBAN"/>
    <s v="FO-25-1444562"/>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68"/>
    <s v="TIPO III"/>
    <s v="TERRESTRE"/>
    <s v="BARRIENTOS HERNANDEZ CRISTIAN HORACIO"/>
    <n v="1"/>
    <n v="1"/>
    <n v="1"/>
    <n v="11251.22416"/>
    <n v="126317.12212"/>
    <n v="110808.27512000001"/>
    <n v="248376.6214"/>
  </r>
  <r>
    <s v="TUNJA"/>
    <x v="3"/>
    <x v="4"/>
    <n v="15001"/>
    <s v="TA-25-1040108"/>
    <n v="81267"/>
    <s v="APERTURA"/>
    <s v="CB CRECIMIENTO ALIANZA - NUEVO"/>
    <s v="BOYACA"/>
    <s v="TUNJA"/>
    <s v="DISTRICOL TIENDA KEVINS"/>
    <s v="REDEBAN"/>
    <s v="FO-25-1444565"/>
    <d v="2025-08-29T00:00:00"/>
    <d v="2025-09-01T00:00:00"/>
    <s v="AGREGADOR"/>
    <s v="DISTRICOL"/>
    <s v="EJECUTADO/CANCELADO"/>
    <s v="29-08 PROGRAMACIÓN REALIZADA POR LA ALIANZA 1/09/2025 SE ESCALA NOVEDAD DE IMPLEMENTACIÓN. SE IDENTIFICA EL PUNTO DE CORRESPONSAL CON AVAL 90117612. SE PROCEDE A CANCELAR EL PUNTO DE INSTALACIÓN."/>
    <s v="VISITA_TÉCNICA"/>
    <s v="SKZZZ569"/>
    <s v="TIPO I"/>
    <s v="TERRESTRE"/>
    <s v="SOLER HOYOS CRISTIAN LEONARDO"/>
    <n v="0"/>
    <n v="0"/>
    <n v="2"/>
    <n v="11251.22416"/>
    <n v="126317.12212"/>
    <n v="57411.974240000003"/>
    <n v="114823.94848000001"/>
  </r>
  <r>
    <s v="MANIZALES"/>
    <x v="0"/>
    <x v="1"/>
    <n v="17614"/>
    <s v="TA-25-1040109"/>
    <n v="81263"/>
    <s v="APERTURA"/>
    <s v="CB CRECIMIENTO ALIANZA - NUEVO"/>
    <s v="CALDAS"/>
    <s v="RIOSUCIO"/>
    <s v="DISTRICOL CACHARR MIL COSAS"/>
    <s v="REDEBAN"/>
    <s v="FO-25-1444574"/>
    <d v="2025-08-29T00:00:00"/>
    <d v="2025-09-01T00:00:00"/>
    <s v="AGREGADOR"/>
    <s v="DISTRICOL"/>
    <s v="EJECUTADO"/>
    <s v="29-08 PROGRAMACIÓN REALIZADA POR LA ALIANZA 01-08 SE REALIZA INSTALACIÓN DE CORRESPONSAL, SE INSTALAN EQUIPOS CON PRUEBAS EXITOSAS, SE CAPACITA Y SE EVALÚA AL CLIENTE, SE INSTALA PUBLICIDAD COMPLETA, CB QUEDA OPERATIVO. USUARIO SOMOS BANCOLOMBIA ACTIVO. NO SE CONTABA CON LOS RECURSOS PARA HACER PRUEBAS TRANSFERENCIA"/>
    <s v="VISITA_TÉCNICA"/>
    <s v="SKZZZ570"/>
    <s v="TIPO II"/>
    <s v="TERRESTRE"/>
    <s v="FRANCO CAÑAVERAL YAMID RAUL"/>
    <n v="1"/>
    <n v="1"/>
    <n v="1"/>
    <n v="11251.22416"/>
    <n v="126317.12212"/>
    <n v="110808.27512000001"/>
    <n v="248376.6214"/>
  </r>
  <r>
    <s v="MANIZALES"/>
    <x v="0"/>
    <x v="1"/>
    <n v="17614"/>
    <s v="TA-25-1040111"/>
    <n v="81264"/>
    <s v="APERTURA"/>
    <s v="CB CRECIMIENTO ALIANZA - NUEVO"/>
    <s v="CALDAS"/>
    <s v="RIOSUCIO"/>
    <s v="DISTRICOL DROGUERIA PAOLA"/>
    <s v="REDEBAN"/>
    <s v="FO-25-1444579"/>
    <d v="2025-08-29T00:00:00"/>
    <d v="2025-09-02T00:00:00"/>
    <s v="AGREGADOR"/>
    <s v="DISTRICOL"/>
    <s v="EJECUTADO"/>
    <s v="29-08 PROGRAMACIÓN REALIZADA POR LA ALIANZA 01-09 NO SE LOGRA LLEGAR AL SITIO, YA QUE DEBIDO LA HORA NO HAY TRANSPORTE PARA LA ZONA, SE LLAMA AL CLIENTE Y SE LE INDICA QUE SE VISITA A PRIMERA HORA. 2/09/2025 SE REALIZA INSTALACIÓN DE CORRESPONSAL, SE INSTALAN EQUIPOS CON PRUEBAS EXITOSAS, SE CAPACITA Y SE EVALÚA AL CLIENTE, SE INSTALA PUBLICIDAD COMPLETA, CB QUEDA OPERATIVO. USUARIO SOMOS BANCOLOMBIA ACTIVO. NO SE ANEXA PRUEBA DE RETIRO, NI TRANSFERENCIA, YA QUE EL CLIENTE NO CUENTA CON TARJETA BANCOLOMBIA."/>
    <s v="VISITA_TÉCNICA"/>
    <s v="SKZZZ571"/>
    <s v="TIPO II"/>
    <s v="TERRESTRE"/>
    <s v="FRANCO CAÑAVERAL YAMID RAUL"/>
    <n v="1"/>
    <n v="1"/>
    <n v="1"/>
    <n v="11251.22416"/>
    <n v="126317.12212"/>
    <n v="110808.27512000001"/>
    <n v="248376.6214"/>
  </r>
  <r>
    <s v="MANIZALES"/>
    <x v="0"/>
    <x v="1"/>
    <n v="17653"/>
    <s v="TA-25-1040112"/>
    <n v="81262"/>
    <s v="APERTURA"/>
    <s v="CB CRECIMIENTO ALIANZA - NUEVO"/>
    <s v="CALDAS"/>
    <s v="SALAMINA"/>
    <s v="DISTRICOL MUL TIENDA SAN FELIX"/>
    <s v="REDEBAN"/>
    <s v="FO-25-1444582"/>
    <d v="2025-08-29T00:00:00"/>
    <d v="2025-09-02T00:00:00"/>
    <s v="AGREGADOR"/>
    <s v="DISTRICOL"/>
    <s v="EJECUTADO"/>
    <s v="29-08 PROGRAMACIÓN REALIZADA POR LA ALIANZA 02-09 SE REALIZA INSTALACIÓN DE CORRESPONSAL, SE INSTALAN EQUIPOS CON PRUEBAS EXITOSAS, SE CAPACITA Y SE EVALÚA AL CLIENTE, SE INSTALA PUBLICIDAD COMPLETA, CB QUEDA OPERATIVO. USUARIO SOMOS BANCOLOMBIA ACTIVO. SE HACEN PRUEBA DE CONSULTA DE SALDO SOLAMENTE YA QUE USUARIO NO CUENTA CON LOS MEDIOS PARA REALIZAR DEMAS PRUEBAS (RETIRO, CONSIGNACIÓN, RECAUDO) SERVICIO OK"/>
    <s v="VISITA_TÉCNICA"/>
    <s v="SKZZZ572"/>
    <s v="TIPO II"/>
    <s v="TERRESTRE"/>
    <s v="AGUIRRE HENAO RAUL EDUARDO"/>
    <n v="1"/>
    <n v="1"/>
    <n v="1"/>
    <n v="11251.22416"/>
    <n v="126317.12212"/>
    <n v="110808.27512000001"/>
    <n v="248376.6214"/>
  </r>
  <r>
    <s v="PASTO"/>
    <x v="0"/>
    <x v="0"/>
    <n v="52399"/>
    <s v="TA-25-1040113"/>
    <n v="81270"/>
    <s v="APERTURA"/>
    <s v="CB CRECIMIENTO ALIANZA - NUEVO"/>
    <s v="NARIÑO"/>
    <s v="LA UNION"/>
    <s v="DISTRICOL ARCADIA T. BELLEZA"/>
    <s v="REDEBAN"/>
    <s v="FO-25-1444586"/>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PRUEBAS EXCEPTO RECAUDO POR NO TENER ELEMENTOS PARA HACERLA"/>
    <s v="VISITA_TÉCNICA"/>
    <s v="SKZZZ573"/>
    <s v="TIPO III"/>
    <s v="TERRESTRE"/>
    <s v="GUERRERO RAMIREZ OSCAR DARIO"/>
    <n v="1"/>
    <n v="1"/>
    <n v="1"/>
    <n v="11251.22416"/>
    <n v="126317.12212"/>
    <n v="110808.27512000001"/>
    <n v="248376.6214"/>
  </r>
  <r>
    <s v="CUCUTA"/>
    <x v="3"/>
    <x v="4"/>
    <n v="54001"/>
    <s v="TA-25-1040114"/>
    <n v="81257"/>
    <s v="APERTURA"/>
    <s v="CB CRECIMIENTO ALIANZA - NUEVO"/>
    <s v="NORTE DE SANTANDER"/>
    <s v="CUCUTA"/>
    <s v="DISTRICOL GIO CAFE"/>
    <s v="REDEBAN"/>
    <s v="FO-25-1444592"/>
    <d v="2025-08-29T00:00:00"/>
    <d v="2025-09-02T00:00:00"/>
    <s v="AGREGADOR"/>
    <s v="DISTRICOL"/>
    <s v="EJECUTADO"/>
    <s v="29-08 PROGRAMACIÓN REALIZADA POR LA ALIANZA 01-09 SE PROGRAMA VISITA PARA EL DÍA DE MAÑANA 02-09-25 ME INFORMAN EL ENCARGADO DE BODEGA QUE LAS TERMINALES TUVIERON UNA NOVEDAD Y NO QUEDARON PRE INSTALADAS PARA EL DÍA DE HOY, SE PROGRAMA VISITA PARA EL DÍA DE MAÑANA PARA DESPUÉS DE LAS 09:00 POR DISPONIBILIDAD DEL CLIENTE 2/09/2025 SE REALIZA INSTALACIÓN DE CORRESPONSAL, SE INSTALAN EQUIPOS CON PRUEBAS EXITOSAS, SE CAPACITA Y SE EVALÚA AL CLIENTE, SE INSTALA PUBLICIDAD COMPLETA, CB QUEDA OPERATIVO. USUARIO SOMOS BANCOLOMBIA ACTIVO"/>
    <s v="VISITA_TÉCNICA"/>
    <s v="SKZZZ718"/>
    <s v="TIPO I"/>
    <s v="TERRESTRE"/>
    <s v="DURAN ACOSTA FRANK YONNY"/>
    <n v="1"/>
    <n v="1"/>
    <n v="1"/>
    <n v="11251.22416"/>
    <n v="126317.12212"/>
    <n v="57411.974240000003"/>
    <n v="194980.32052000001"/>
  </r>
  <r>
    <s v="CUCUTA"/>
    <x v="3"/>
    <x v="4"/>
    <n v="54001"/>
    <s v="TA-25-1040116"/>
    <n v="81258"/>
    <s v="APERTURA"/>
    <s v="CB CRECIMIENTO ALIANZA - NUEVO"/>
    <s v="NORTE DE SANTANDER"/>
    <s v="CUCUTA"/>
    <s v="DISTRICOL COSMETICOS JHUR"/>
    <s v="REDEBAN"/>
    <s v="FO-25-1444597"/>
    <d v="2025-08-29T00:00:00"/>
    <d v="2025-09-02T00:00:00"/>
    <s v="AGREGADOR"/>
    <s v="DISTRICOL"/>
    <s v="EJECUTADO"/>
    <s v="29-08 PROGRAMACIÓN REALIZADA POR LA ALIANZA 1/09/2025 AL LLEGAR AL SITIO, SE IDENTIFICA QUE NO CUENTA CON AVISO DE FUNCIONAMIENTO VISIBLE. ADEMÁS, SE OBSERVA QUE EL NOMBRE COMERCIAL REGISTRADO NO CORRESPONDE CON LA ACTIVIDAD QUE SE REALIZA EN EL ESTABLECIMIENTO. EN EL PUNTO SE IDENTIFICA QUE SE TRATA DE UN NEGOCIO TIPO TIENDA. SIN EMBARGO, EL CLIENTE INDICA QUE LOS COSMÉTICOS SE VENDEN ÚNICAMENTE POR CATÁLOGO. / POR FAVOR, PROCEDAMOS CON LA IMPLEMENTACIÓN DEL CB 81258. ES IMPORTANTE QUE AL MOMENTO DE CERRAR LA ACTIVIDAD SE INDIQUE LA NOVEDAD, YA QUE SE EVIDENCIA QUE EL ESTABLECIMIENTO NO CUENTA CON AVISO CON EL NOMBRE. 01-09 SE VISITA CB SE REALIZA INSTALACION, SE PRESENTA NOVEDAD CON LA PLACA ASIGNADA YA QUE LOS CU NO ESTAN  CON TERMINAL PROCESADAS, SE LE INFORMA AL CLIENTE QUE SE VISITA MAÑANA PARA TERMINAR  LA INSTALACION DE CB. 2/09/2025 SE REALIZA INSTALACIÓN DE CORRESPONSAL, SE INSTALAN EQUIPOS CON PRUEBAS EXITOSAS, SE CAPACITA Y SE EVALÚA AL CLIENTE, SE INSTALA PUBLICIDAD COMPLETA, CB QUEDA OPERATIVO. USUARIO SOMOS BANCOLOMBIA ACTIVO. RECAUDO NO HAY CONVENIO. TRANSFERENCIA CLIENTE NO TIENE CUENTAS."/>
    <s v="VISITA_TÉCNICA"/>
    <s v="SKZZZ719"/>
    <s v="TIPO I"/>
    <s v="TERRESTRE"/>
    <s v="NARANJO AFANADOR RUBEN JESUS"/>
    <n v="1"/>
    <n v="1"/>
    <n v="3"/>
    <n v="11251.22416"/>
    <n v="126317.12212"/>
    <n v="57411.974240000003"/>
    <n v="309804.26899999997"/>
  </r>
  <r>
    <s v="CUCUTA"/>
    <x v="3"/>
    <x v="4"/>
    <n v="54001"/>
    <s v="TA-25-1040117"/>
    <n v="81259"/>
    <s v="APERTURA"/>
    <s v="CB CRECIMIENTO ALIANZA - NUEVO"/>
    <s v="NORTE DE SANTANDER"/>
    <s v="CUCUTA"/>
    <s v="DISTRICOL VARIEDADES JOSLEY"/>
    <s v="REDEBAN"/>
    <s v="FO-25-1444601"/>
    <d v="2025-08-29T00:00:00"/>
    <d v="2025-09-02T00:00:00"/>
    <s v="AGREGADOR"/>
    <s v="DISTRICOL"/>
    <s v="EJECUTADO"/>
    <s v="29-08 PROGRAMACIÓN REALIZADA POR LA ALIANZA 01-09 SE CONTACTA EL SEÑOR JHOAN CARDENAS, ME INFORMA QUE SE LE PRESENTO UN INCONVENIENTE Y NO PUEDE ATENDER LA INSTALACIÓN EL DÍA DE HOY, SOLICITA QUE SE REAGENDE LA VISITA PARA EL DÍA 02/09 EN LA TARDE. SE REAGENDA VISITA POR SOLICITUD DEL CLIENTE. 02-09 SE REALIZA INSTALACIÓN DE CORRESPONSAL, SE INSTALAN EQUIPOS CON PRUEBAS EXITOSAS, SE CAPACITA Y SE EVALÚA AL CLIENTE, SE INSTALA PUBLICIDAD COMPLETA, CB QUEDA OPERATIVO. USUARIO SOMOS BANCOLOMBIA ACTIVO"/>
    <s v="VISITA_TÉCNICA"/>
    <s v="SKZZZ574"/>
    <s v="TIPO I"/>
    <s v="TERRESTRE"/>
    <s v="NARANJO AFANADOR RUBEN JESUS"/>
    <n v="1"/>
    <n v="1"/>
    <n v="1"/>
    <n v="11251.22416"/>
    <n v="126317.12212"/>
    <n v="57411.974240000003"/>
    <n v="194980.32052000001"/>
  </r>
  <r>
    <s v="CUCUTA"/>
    <x v="3"/>
    <x v="4"/>
    <n v="54206"/>
    <s v="TA-25-1040119"/>
    <n v="81255"/>
    <s v="APERTURA"/>
    <s v="CB CRECIMIENTO ALIANZA - NUEVO"/>
    <s v="NORTE DE SANTANDER"/>
    <s v="CONVENCION"/>
    <s v="DISTRICOL TIENDA LOS LLANOS"/>
    <s v="REDEBAN"/>
    <s v="FO-25-1520722"/>
    <d v="2025-08-29T00:00:00"/>
    <d v="2025-09-19T00:00:00"/>
    <s v="AGREGADOR"/>
    <s v="DISTRICOL"/>
    <s v="EJECUTADO"/>
    <s v="29-08 PROGRAMACIÓN REALIZADA POR LA ALIANZA 2/09/2025 IMPOSIBILIDAD DE REALIZAR VISITA DE APERTURA – VEREDA LOS LLANOS, MUNICIPIO DE CONVENCIÓN. SE INFORMA QUE LA VISITA DE APERTURA HACE PARTE DEL MUNICIPIO DE CONVENCIÓN, EL CUAL SE ENCUENTRA AFECTADO POR LA PRESENCIA DE GRUPOS AL MARGEN DE LA LEY. ADICIONALMENTE, SE HA IDENTIFICADO QUE LA IMPLEMENTACIÓN SE REALIZARÁ EN LA VEREDA LOS LLANOS, UNA ZONA DE DIFÍCIL ACCESO Y CONSIDERABLEMENTE ALEJADA DEL CASCO URBANO DEL MUNICIPIO. TENIENDO EN CUENTA LA UBICACIÓN GEOGRÁFICA Y LA ACTUAL SITUACIÓN DE ORDEN PÚBLICO EN LA REGIÓN DEL CATATUMBO, Y CON EL FIN DE PRESERVAR LA SEGURIDAD DEL PERSONAL TÉCNICO, SE COMUNICA QUE NO ES POSIBLE ASUMIR RIESGOS EN ESTE MOMENTO PARA LLEVAR A CABO DICHA VISITA. / TENIENDO EN CUENTA LO QUE NOS INFORMAN QUE EL INGRESO DEL TÉCNICO A LA ZONA NO ES SEGURA POR FAVOR CANCELAR LA IMPLEMENTACIÓN, SERÁ INFORMADA AL ALIADO. / 12/09/2025 DESPUES DE CANCELADA LA ACTIVIDAD SOLICITAN REALIZAR LA INSTALACIÓN POR EN UN PUNTO INTERMEDIO (OCAÑA) Y ENTREGAR EQUIPOS  Y PUBLICIDAD AL USUARIO Y CAPACITAR VIRTUAL 15-09 EN COMUNICACIÓN CON EL CLIENTE ME INFORMA LA JOHANNA GARCÍA 3209400635 QUE SI ESTÁ DE ACUERDO EN RECIBIR LOS EQUIPOS Y PUBLICIDAD EN OCAÑA POR EL ORDEN PÚBLICO EN LA ZONA DEL CATATUMBO,INDICA TENER UN COMERCIO DE UN FAMILIAR PARA REALIZAR LA ACTIVACIÓN Y CAPACITACIÓN DEL DATAFONO , SE PROGRAMA VISITA A LA ESPERA DE RESPUESTA POR PARTE DE LA ENTIDAD PARA PROGRAMAR VIAJE 17/09/2025 SE CONFIRMA LA VISITA CON LA SEÑORA JOHANNA SANJUÁN GARCÍA, IDENTIFICADA CON CÉDULA NÚMERO 1.007.282.907. DIRECCIÓN: KDX 404-460, BARRIO LIBARDO ALONZO PARTE ALTA FECHA Y HORA: 17-09 A LAS 2:30 P.M., SEGÚN LO ACORDADO PREVIAMENTE CON LA USUARIA 320 940 0635 / SE ENTREGÓ PUBLICIDAD Y EQUIPOS AL USUARIO. ADICIONALMENTE, SE REALIZÓ UNA CAPACITACIÓN SOBRE EL MANEJO DEL CB EN OCAÑA. ACTUALMENTE, SE ESTÁ A LA ESPERA DE QUE EL USUARIO SE ENCUENTRE EN SITIO Y ENVÍE LOS REGISTROS FOTOGRÁFICOS DEL CORRESPONSAL INSTALADO. 19-08 USUARIO ENVIA REGISTRO FOTOGRAFICO DEL CORRESPONSAL INSTALADO. SE DOCUMENTAR LAS COORDENADAS ENVIADAS POR EL MISMO / SE REGISTRAN LAS COORDENADAS ENVIADAS POR EL USUARIO"/>
    <s v="VISITA_TÉCNICA"/>
    <s v="SKZZZ720"/>
    <s v="TIPO IV"/>
    <s v="TERRESTRE"/>
    <s v="GONZALEZ ESTUPIÑAN YEISON WALTER ANTONIO"/>
    <n v="1"/>
    <n v="1"/>
    <n v="1"/>
    <n v="11251.22416"/>
    <n v="126317.12212"/>
    <n v="110808.27512000001"/>
    <n v="248376.6214"/>
  </r>
  <r>
    <s v="CUCUTA"/>
    <x v="3"/>
    <x v="4"/>
    <n v="54874"/>
    <s v="TA-25-1040123"/>
    <n v="81268"/>
    <s v="APERTURA"/>
    <s v="CB CRECIMIENTO ALIANZA - NUEVO"/>
    <s v="NORTE DE SANTANDER"/>
    <s v="VILLA DEL ROSARIO"/>
    <s v="DISTRICOL MISCELANEAGRANPARADA"/>
    <s v="REDEBAN"/>
    <s v="FO-25-1444619"/>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75"/>
    <s v="TIPO I"/>
    <s v="TERRESTRE"/>
    <s v="PACHECO BUITRAGO JAVIER ALONSO"/>
    <n v="1"/>
    <n v="1"/>
    <n v="1"/>
    <n v="11251.22416"/>
    <n v="126317.12212"/>
    <n v="57411.974240000003"/>
    <n v="194980.32052000001"/>
  </r>
  <r>
    <s v="CUCUTA"/>
    <x v="3"/>
    <x v="4"/>
    <n v="54874"/>
    <s v="TA-25-1040167"/>
    <n v="81269"/>
    <s v="APERTURA"/>
    <s v="CB CRECIMIENTO ALIANZA - NUEVO"/>
    <s v="NORTE DE SANTANDER"/>
    <s v="VILLA DEL ROSARIO"/>
    <s v="DISTRICOL VARIEDADMARIANAPLUS"/>
    <s v="REDEBAN"/>
    <s v="FO-25-1444686"/>
    <d v="2025-08-29T00:00:00"/>
    <d v="2025-09-02T00:00:00"/>
    <s v="AGREGADOR"/>
    <s v="DISTRICOL"/>
    <s v="EJECUTADO"/>
    <s v="29-08 PROGRAMACIÓN REALIZADA POR LA ALIANZA 02-09 SE REALIZA INSTALACIÓN DE CORRESPONSAL, SE INSTALAN EQUIPOS CON PRUEBAS EXITOSAS, SE CAPACITA Y SE EVALÚA AL CLIENTE, SE INSTALA PUBLICIDAD COMPLETA, CB QUEDA OPERATIVO. USUARIO SOMOS BANCOLOMBIA ACTIVO"/>
    <s v="VISITA_TÉCNICA"/>
    <s v="SKZZZ576"/>
    <s v="TIPO I"/>
    <s v="TERRESTRE"/>
    <s v="PACHECO BUITRAGO JAVIER ALONSO"/>
    <n v="1"/>
    <n v="1"/>
    <n v="1"/>
    <n v="11251.22416"/>
    <n v="126317.12212"/>
    <n v="57411.974240000003"/>
    <n v="194980.32052000001"/>
  </r>
  <r>
    <s v="SINCELEJO"/>
    <x v="1"/>
    <x v="2"/>
    <n v="70215"/>
    <s v="TA-25-1040132"/>
    <n v="81256"/>
    <s v="APERTURA"/>
    <s v="CB CRECIMIENTO ALIANZA - NUEVO"/>
    <s v="SUCRE"/>
    <s v="COROZAL"/>
    <s v="DISTRICOL G.M.A"/>
    <s v="REDEBAN"/>
    <s v="FO-25-1444642"/>
    <d v="2025-08-29T00:00:00"/>
    <d v="2025-09-02T00:00:00"/>
    <s v="AGREGADOR"/>
    <s v="DISTRICOL"/>
    <s v="EJECUTADO"/>
    <s v="29-08 PROGRAMACIÓN REALIZADA POR LA ALIANZA 01-09 NO SE REALIZA INSTALACIÓN YA QUE CU NO ESTÁ PROCESADO Y POR ESO NO SE CREA LA TERMINAL, SE LE NOTIFICA AL CLIENTE Y SE LE INFORMA QUE LA INSTALACIÓN QUEDA PARA EL DÍA DE MAÑANA. 2/09/2025 SE REALIZA INSTALACIÓN DE CORRESPONSAL, SE INSTALAN EQUIPOS CON PRUEBAS EXITOSAS, SE CAPACITA Y SE EVALÚA AL CLIENTE, SE INSTALA PUBLICIDAD COMPLETA, CB QUEDA OPERATIVO. USUARIO SOMOS BANCOLOMBIA ACTIVO"/>
    <s v="VISITA_TÉCNICA"/>
    <s v="SKZZZ721"/>
    <s v="TIPO II"/>
    <s v="TERRESTRE"/>
    <s v="CACERES HERNANDEZ ANDRES"/>
    <n v="1"/>
    <n v="1"/>
    <n v="1"/>
    <n v="11251.22416"/>
    <n v="126317.12212"/>
    <n v="110808.27512000001"/>
    <n v="248376.6214"/>
  </r>
  <r>
    <s v="CALI"/>
    <x v="0"/>
    <x v="0"/>
    <n v="76834"/>
    <s v="TA-25-1040137"/>
    <n v="81266"/>
    <s v="APERTURA"/>
    <s v="CB CRECIMIENTO ALIANZA - NUEVO"/>
    <s v="VALLE DEL CAUCA"/>
    <s v="TULUA"/>
    <s v="DISTRICOL PAGOS Y MAX"/>
    <s v="REDEBAN"/>
    <s v="FO-25-1444654"/>
    <d v="2025-08-29T00:00:00"/>
    <d v="2025-09-01T00:00:00"/>
    <s v="AGREGADOR"/>
    <s v="DISTRICOL"/>
    <s v="EJECUTADO"/>
    <s v="29-08 PROGRAMACIÓN REALIZADA POR LA ALIANZA 1/09/2025 SE REALIZA INSTALACIÓN DE CORRESPONSAL, SE INSTALAN EQUIPOS CON PRUEBAS EXITOSAS, SE CAPACITA Y SE EVALÚA AL CLIENTE, SE INSTALA PUBLICIDAD COMPLETA, CB QUEDA OPERATIVO. USUARIO SOMOS BANCOLOMBIA ACTIVO"/>
    <s v="VISITA_TÉCNICA"/>
    <s v="SKZZZ577"/>
    <s v="TIPO II"/>
    <s v="TERRESTRE"/>
    <s v="TORRES GARCIA JENDRY JOSE"/>
    <n v="1"/>
    <n v="1"/>
    <n v="1"/>
    <n v="11251.22416"/>
    <n v="126317.12212"/>
    <n v="110808.27512000001"/>
    <n v="248376.6214"/>
  </r>
  <r>
    <s v="APARTADO"/>
    <x v="4"/>
    <x v="5"/>
    <n v="5045"/>
    <s v="TA-25-1040140"/>
    <n v="81254"/>
    <s v="APERTURA"/>
    <s v="CB CRECIMIENTO ALIANZA - NUEVO"/>
    <s v="ANTIOQUIA"/>
    <s v="APARTADO"/>
    <s v="DISTRICOL SWISS LUXURY"/>
    <s v="REDEBAN"/>
    <s v="FO-25-1444664"/>
    <d v="2025-08-29T00:00:00"/>
    <d v="2025-09-03T00:00:00"/>
    <s v="AGREGADOR"/>
    <s v="DISTRICOL"/>
    <s v="EJECUTADO"/>
    <s v="29-08 PROGRAMACIÓN REALIZADA POR LA ALIANZA 01-09 NO SE PUDO REALIZAR ACTIVIDAD POR FALTA DE TERMINAL, SE PROGRAMA VISITA PARA EL DIA MIERCOLES 03-09 SE REALIZA INSTALACIÓN DE CORRESPONSAL, SE INSTALAN EQUIPOS CON PRUEBAS EXITOSAS, SE CAPACITA Y SE EVALÚA AL CLIENTE, SE INSTALA PUBLICIDAD COMPLETA, CB QUEDA OPERATIVO. USUARIO SOMOS BANCOLOMBIA ACTIVO"/>
    <s v="VISITA_TÉCNICA"/>
    <s v="SKZZZ722"/>
    <s v="TIPO I"/>
    <s v="TERRESTRE"/>
    <s v="SALDARRIAGA MIRANDA SANTIAGO"/>
    <n v="1"/>
    <n v="1"/>
    <n v="1"/>
    <n v="11251.22416"/>
    <n v="126317.12212"/>
    <n v="57411.974240000003"/>
    <n v="194980.32052000001"/>
  </r>
  <r>
    <s v="MEDELLIN"/>
    <x v="4"/>
    <x v="5"/>
    <n v="5360"/>
    <s v="TA-25-1040146"/>
    <n v="12494"/>
    <s v="APERTURA"/>
    <s v="DATAFONO ADICIONAL - ALIANZA"/>
    <s v="ANTIOQUIA"/>
    <s v="ITAGUI"/>
    <s v="PAGAFACIL - PLAZA MAYORISTA "/>
    <s v="REDEBAN"/>
    <s v="FO-25-1444672"/>
    <d v="2025-08-29T00:00:00"/>
    <d v="2025-09-02T00:00:00"/>
    <s v="ROBUSTO"/>
    <s v="PAGAFACIL"/>
    <s v="EJECUTADO"/>
    <s v="29-08 SE REALIZA LLAMADA AL CLIENTE, SE HABLA CON LA SRA PAULA OSPINA SE VALIDA DIRECCIÓN OK, CANAL OK, DISPONIBILIDAD TOTAL, LLAMAR EL DÍA LA INSTALACIÓN PARA CONFIRMAR VISITA - COMUNICACIÓN POR WPP 02-09 SE REALIZA INSTALACIÓN DE DAT ADICIONAL, NO SE TIENIEN LAS HERRAMIENTAS NECESARIAS PARA HACER LAS PRUEBAS SUFICIENTE, SE PREGUNTAN AL COMERCIO, Y TAMPOCO TIENEN DISPONIBLE "/>
    <s v="VISITA_TÉCNICA"/>
    <s v="SKZZZ578"/>
    <s v="TIPO I"/>
    <s v="TERRESTRE"/>
    <s v="CARDONA MOLINA BROLIN STIVEN"/>
    <n v="0"/>
    <n v="0"/>
    <n v="0"/>
    <n v="11251.22416"/>
    <n v="126317.12212"/>
    <n v="57411.974240000003"/>
    <n v="0"/>
  </r>
  <r>
    <s v="MEDELLIN"/>
    <x v="4"/>
    <x v="5"/>
    <n v="5001"/>
    <s v="TA-25-1054540"/>
    <n v="81346"/>
    <s v="APERTURA"/>
    <s v="CB CRECIMIENTO ALIANZA - NUEVO"/>
    <s v="ANTIOQUIA"/>
    <s v="MEDELLIN"/>
    <s v="PTM MEDELLLIN MINIMERCADO PA´Q"/>
    <s v="REDEBAN"/>
    <s v="FO-25-1467769"/>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2"/>
    <s v="TIPO I"/>
    <s v="TERRESTRE"/>
    <s v="CASTAÑEDA PALACIO CARLOS FELIPE"/>
    <n v="1"/>
    <n v="1"/>
    <n v="1"/>
    <n v="11251.22416"/>
    <n v="126317.12212"/>
    <n v="57411.974240000003"/>
    <n v="194980.32052000001"/>
  </r>
  <r>
    <s v="MEDELLIN"/>
    <x v="4"/>
    <x v="5"/>
    <n v="5001"/>
    <s v="TA-25-1054548"/>
    <n v="81344"/>
    <s v="APERTURA"/>
    <s v="CB CRECIMIENTO ALIANZA - NUEVO"/>
    <s v="ANTIOQUIA"/>
    <s v="MEDELLIN"/>
    <s v="PTM MEDELLIN MERKE FRUVER LA P"/>
    <s v="REDEBAN"/>
    <s v="FO-25-146777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NO SE REALIZAN TRANSACCIONES COMPLETAS YA QUE NO SE TIENE HERRAMIENTAS COMO HACERLAS, SE LE PREGUNTA A CLIENTE Y TAMPOCO TIENEN "/>
    <s v="VISITA_TÉCNICA"/>
    <s v="SMZZZ263"/>
    <s v="TIPO I"/>
    <s v="TERRESTRE"/>
    <s v="BADEL ACUÑA LUIS ALBERTO"/>
    <n v="1"/>
    <n v="1"/>
    <n v="1"/>
    <n v="11251.22416"/>
    <n v="126317.12212"/>
    <n v="57411.974240000003"/>
    <n v="194980.32052000001"/>
  </r>
  <r>
    <s v="MEDELLIN"/>
    <x v="4"/>
    <x v="5"/>
    <n v="5001"/>
    <s v="TA-25-1054554"/>
    <n v="81345"/>
    <s v="APERTURA"/>
    <s v="CB CRECIMIENTO ALIANZA - NUEVO"/>
    <s v="ANTIOQUIA"/>
    <s v="MEDELLIN"/>
    <s v="PTM MEDELLIN DROGUERIA TRIPLE"/>
    <s v="REDEBAN"/>
    <s v="FO-25-1467787"/>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4"/>
    <s v="TIPO I"/>
    <s v="TERRESTRE"/>
    <s v="CARDONA MOLINA BROLIN STIVEN"/>
    <n v="1"/>
    <n v="1"/>
    <n v="1"/>
    <n v="11251.22416"/>
    <n v="126317.12212"/>
    <n v="57411.974240000003"/>
    <n v="194980.32052000001"/>
  </r>
  <r>
    <s v="MEDELLIN"/>
    <x v="4"/>
    <x v="5"/>
    <n v="5001"/>
    <s v="TA-25-1054556"/>
    <n v="81347"/>
    <s v="APERTURA"/>
    <s v="CB CRECIMIENTO ALIANZA - NUEVO"/>
    <s v="ANTIOQUIA"/>
    <s v="MEDELLIN"/>
    <s v="PTM MEDELLIN VARIEDADES LUZ ME"/>
    <s v="REDEBAN"/>
    <s v="FO-25-1467795"/>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6"/>
    <s v="TIPO I"/>
    <s v="TERRESTRE"/>
    <s v="CASTAÑEDA PALACIO CARLOS FELIPE"/>
    <n v="1"/>
    <n v="1"/>
    <n v="1"/>
    <n v="11251.22416"/>
    <n v="126317.12212"/>
    <n v="57411.974240000003"/>
    <n v="194980.32052000001"/>
  </r>
  <r>
    <s v="MEDELLIN"/>
    <x v="4"/>
    <x v="5"/>
    <n v="5088"/>
    <s v="TA-25-1054559"/>
    <n v="81341"/>
    <s v="APERTURA"/>
    <s v="CB CRECIMIENTO ALIANZA - NUEVO"/>
    <s v="ANTIOQUIA"/>
    <s v="BELLO"/>
    <s v="PTM BELLO PAPELERIA GRAN AVENI"/>
    <s v="REDEBAN"/>
    <s v="FO-25-1467800"/>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NO SE REALIZAN LAS PRUEBAS POR FALTA DE LAS HERRAMIENTAS CORRESPONDIENTES, SE INDICA AL CLIENTE Y ESTE TAMPOCO CUENTA CON DICHAS HERRAMIENTAS"/>
    <s v="VISITA_TÉCNICA"/>
    <s v="SMZZZ267"/>
    <s v="TIPO I"/>
    <s v="TERRESTRE"/>
    <s v="CARDONA MOLINA BROLIN STIVEN"/>
    <n v="1"/>
    <n v="1"/>
    <n v="1"/>
    <n v="11251.22416"/>
    <n v="126317.12212"/>
    <n v="57411.974240000003"/>
    <n v="194980.32052000001"/>
  </r>
  <r>
    <s v="MEDELLIN"/>
    <x v="4"/>
    <x v="5"/>
    <n v="5088"/>
    <s v="TA-25-1054565"/>
    <n v="81342"/>
    <s v="APERTURA"/>
    <s v="CB CRECIMIENTO ALIANZA - NUEVO"/>
    <s v="ANTIOQUIA"/>
    <s v="BELLO"/>
    <s v="PTM BELLO PECADOS GOURMET"/>
    <s v="REDEBAN"/>
    <s v="FO-25-1467813"/>
    <d v="2025-09-03T00:00:00"/>
    <d v="2025-09-04T00:00:00"/>
    <s v="AGREGADOR"/>
    <s v="COMCARD - PTM"/>
    <s v="EJECUTADO"/>
    <s v="03-09  PROGRAMACIÓN REALIZADA POR LA ALIANZA 04-09 SE REALIZA INSTALACIÓN DE CORRESPONSAL, SE INSTALAN EQUIPOS CON PRUEBAS EXITOSAS, SE CAPACITA Y SE EVALÚA AL CLIENTE, SE INSTALA PUBLICIDAD COMPLETA, CB QUEDA OPERATIVO. USUARIO SOMOS BANCOLOMBIA ACTIVO"/>
    <s v="VISITA_TÉCNICA"/>
    <s v="SMZZZ268"/>
    <s v="TIPO I"/>
    <s v="TERRESTRE"/>
    <s v="CARDONA MOLINA BROLIN STIVEN"/>
    <n v="1"/>
    <n v="1"/>
    <n v="1"/>
    <n v="11251.22416"/>
    <n v="126317.12212"/>
    <n v="57411.974240000003"/>
    <n v="194980.32052000001"/>
  </r>
  <r>
    <s v="MEDELLIN"/>
    <x v="4"/>
    <x v="5"/>
    <n v="5266"/>
    <s v="TA-25-1054569"/>
    <n v="81343"/>
    <s v="APERTURA"/>
    <s v="CB CRECIMIENTO ALIANZA - NUEVO"/>
    <s v="ANTIOQUIA"/>
    <s v="ENVIGADO"/>
    <s v="PTM ENVIGADO ALVARO DAVID VANE"/>
    <s v="REDEBAN"/>
    <s v="FO-25-146782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69"/>
    <s v="TIPO I"/>
    <s v="TERRESTRE"/>
    <s v="DIAZ ZABALA FRANCIS DUBAN"/>
    <n v="1"/>
    <n v="1"/>
    <n v="1"/>
    <n v="11251.22416"/>
    <n v="126317.12212"/>
    <n v="57411.974240000003"/>
    <n v="194980.32052000001"/>
  </r>
  <r>
    <s v="APARTADO"/>
    <x v="4"/>
    <x v="5"/>
    <n v="5837"/>
    <s v="TA-25-1054571"/>
    <n v="81325"/>
    <s v="APERTURA"/>
    <s v="CB CRECIMIENTO ALIANZA - NUEVO"/>
    <s v="ANTIOQUIA"/>
    <s v="TURBO"/>
    <s v="PTM TURBO CROGUERIA JYZA ESPEC"/>
    <s v="REDEBAN"/>
    <s v="FO-25-1467831"/>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0"/>
    <s v="TIPO II"/>
    <s v="TERRESTRE"/>
    <s v="SALDARRIAGA MIRANDA SANTIAGO"/>
    <n v="1"/>
    <n v="1"/>
    <n v="1"/>
    <n v="11251.22416"/>
    <n v="126317.12212"/>
    <n v="110808.27512000001"/>
    <n v="248376.6214"/>
  </r>
  <r>
    <s v="TUNJA"/>
    <x v="3"/>
    <x v="4"/>
    <n v="15804"/>
    <s v="TA-25-1054574"/>
    <n v="81335"/>
    <s v="APERTURA"/>
    <s v="CB CRECIMIENTO ALIANZA - NUEVO"/>
    <s v="BOYACA"/>
    <s v="TIBANA"/>
    <s v="PTM TIBANA D' TODITO LA SEXTA"/>
    <s v="REDEBAN"/>
    <s v="FO-25-1467837"/>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2"/>
    <s v="TIPO II"/>
    <s v="TERRESTRE"/>
    <s v="RODRIGUEZ MURCIA YERSON IVAN"/>
    <n v="1"/>
    <n v="1"/>
    <n v="1"/>
    <n v="11251.22416"/>
    <n v="126317.12212"/>
    <n v="110808.27512000001"/>
    <n v="248376.6214"/>
  </r>
  <r>
    <s v="NEIVA"/>
    <x v="2"/>
    <x v="3"/>
    <n v="18001"/>
    <s v="TA-25-1054576"/>
    <n v="81326"/>
    <s v="APERTURA"/>
    <s v="CB CRECIMIENTO ALIANZA - NUEVO"/>
    <s v="CAQUETA"/>
    <s v="FLORENCIA"/>
    <s v="PTM FLORENCIA DROGUERIA MIIA"/>
    <s v="REDEBAN"/>
    <s v="FO-25-1467843"/>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3"/>
    <s v="TIPO IV"/>
    <s v="TERRESTRE"/>
    <s v="BERMUDEZ SANCHEZ JOSE NEYBER"/>
    <n v="1"/>
    <n v="1"/>
    <n v="1"/>
    <n v="11251.22416"/>
    <n v="126317.12212"/>
    <n v="110808.27512000001"/>
    <n v="248376.6214"/>
  </r>
  <r>
    <s v="BOGOTA"/>
    <x v="5"/>
    <x v="6"/>
    <n v="25754"/>
    <s v="TA-25-1054579"/>
    <n v="81337"/>
    <s v="APERTURA"/>
    <s v="CB CRECIMIENTO ALIANZA - NUEVO"/>
    <s v="CUNDINAMARCA"/>
    <s v="SOACHA"/>
    <s v="PTM SOACHA MEGAINTERNET LA PUL"/>
    <s v="REDEBAN"/>
    <s v="FO-25-1467849"/>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4"/>
    <s v="TIPO I"/>
    <s v="TERRESTRE"/>
    <s v="BUSTOS MORA DIEGO MANUEL"/>
    <n v="1"/>
    <n v="1"/>
    <n v="1"/>
    <n v="11251.22416"/>
    <n v="126317.12212"/>
    <n v="57411.974240000003"/>
    <n v="194980.32052000001"/>
  </r>
  <r>
    <s v="BOGOTA"/>
    <x v="5"/>
    <x v="6"/>
    <n v="25785"/>
    <s v="TA-25-1054583"/>
    <n v="81338"/>
    <s v="APERTURA"/>
    <s v="CB CRECIMIENTO ALIANZA - NUEVO"/>
    <s v="CUNDINAMARCA"/>
    <s v="TABIO"/>
    <s v="PTM TABIO SUPERMARKET LA PRIME"/>
    <s v="REDEBAN"/>
    <s v="FO-25-1467853"/>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5"/>
    <s v="TIPO II"/>
    <s v="TERRESTRE"/>
    <s v="MURCIA HERNANDEZ HARVEY IGNACIO"/>
    <n v="1"/>
    <n v="1"/>
    <n v="1"/>
    <n v="11251.22416"/>
    <n v="126317.12212"/>
    <n v="110808.27512000001"/>
    <n v="248376.6214"/>
  </r>
  <r>
    <s v="NEIVA"/>
    <x v="2"/>
    <x v="3"/>
    <n v="41396"/>
    <s v="TA-25-1054585"/>
    <n v="81332"/>
    <s v="APERTURA"/>
    <s v="CB CRECIMIENTO ALIANZA - NUEVO"/>
    <s v="HUILA"/>
    <s v="LA PLATA"/>
    <s v="PTM LA PLATA SUPER REPUESTOS D"/>
    <s v="REDEBAN"/>
    <s v="FO-25-1467858"/>
    <d v="2025-09-03T00:00:00"/>
    <d v="2025-09-05T00:00:00"/>
    <s v="AGREGADOR"/>
    <s v="COMCARD - PTM"/>
    <s v="EJECUTADO"/>
    <s v="03-09  PROGRAMACIÓN REALIZADA POR LA ALIANZA 05-09 SE REALIZA INSTALACIÓN DE CORRESPONSAL, SE INSTALAN EQUIPOS CON PRUEBAS EXITOSAS, SE CAPACITA Y SE EVALÚA AL CLIENTE, SE INSTALA PUBLICIDAD COMPLETA, CB QUEDA OPERATIVO. USUARIO SOMOS BANCOLOMBIA ACTIVO"/>
    <s v="VISITA_TÉCNICA"/>
    <s v="SMZZZ276"/>
    <s v="TIPO III"/>
    <s v="TERRESTRE"/>
    <s v="DEVIA REINOSO JUAN CARLOS"/>
    <n v="1"/>
    <n v="1"/>
    <n v="1"/>
    <n v="11251.22416"/>
    <n v="126317.12212"/>
    <n v="110808.27512000001"/>
    <n v="248376.6214"/>
  </r>
  <r>
    <s v="SANTA MARTA"/>
    <x v="1"/>
    <x v="2"/>
    <n v="47001"/>
    <s v="TA-25-1054588"/>
    <n v="81336"/>
    <s v="APERTURA"/>
    <s v="CB CRECIMIENTO ALIANZA - NUEVO"/>
    <s v="MAGDALENA"/>
    <s v="SANTA MARTA"/>
    <s v="PTM SANTA MARTA VARIEDADES FUT"/>
    <s v="REDEBAN"/>
    <s v="FO-25-1467863"/>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78"/>
    <s v="TIPO I"/>
    <s v="TERRESTRE"/>
    <s v="THOMAS  CAMPO SIGIFREDO SEGUNDO"/>
    <n v="1"/>
    <n v="1"/>
    <n v="1"/>
    <n v="11251.22416"/>
    <n v="126317.12212"/>
    <n v="57411.974240000003"/>
    <n v="194980.32052000001"/>
  </r>
  <r>
    <s v="SANTA MARTA"/>
    <x v="1"/>
    <x v="2"/>
    <n v="47030"/>
    <s v="TA-25-1054595"/>
    <n v="81306"/>
    <s v="APERTURA"/>
    <s v="CB CRECIMIENTO ALIANZA - NUEVO"/>
    <s v="MAGDALENA"/>
    <s v="ALGARROBO"/>
    <s v="PTM ALGARROBO SUPERMERCADO EL"/>
    <s v="REDEBAN"/>
    <s v="FO-25-1467869"/>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9"/>
    <s v="TIPO IV"/>
    <s v="TERRESTRE"/>
    <s v="THOMAS  CAMPO SIGIFREDO SEGUNDO"/>
    <n v="1"/>
    <n v="1"/>
    <n v="1"/>
    <n v="11251.22416"/>
    <n v="126317.12212"/>
    <n v="110808.27512000001"/>
    <n v="248376.6214"/>
  </r>
  <r>
    <s v="PASTO"/>
    <x v="0"/>
    <x v="0"/>
    <n v="52385"/>
    <s v="TA-25-1054597"/>
    <n v="81331"/>
    <s v="APERTURA"/>
    <s v="CB CRECIMIENTO ALIANZA - NUEVO"/>
    <s v="NARIÑO"/>
    <s v="LA LLANADA"/>
    <s v="PTM LLANADA VARIEDADES LOREN V"/>
    <s v="REDEBAN"/>
    <s v="FO-25-1467873"/>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0"/>
    <s v="TIPO IV"/>
    <s v="TERRESTRE"/>
    <s v="CASTILLO HERRERA ALEX RICARDO"/>
    <n v="1"/>
    <n v="1"/>
    <n v="1"/>
    <n v="11251.22416"/>
    <n v="126317.12212"/>
    <n v="110808.27512000001"/>
    <n v="248376.6214"/>
  </r>
  <r>
    <s v="PASTO"/>
    <x v="0"/>
    <x v="0"/>
    <n v="52838"/>
    <s v="TA-25-1054600"/>
    <n v="81339"/>
    <s v="APERTURA"/>
    <s v="CB CRECIMIENTO ALIANZA - NUEVO"/>
    <s v="NARIÑO"/>
    <s v="TUQUERRES"/>
    <s v="PTM TUQUERRES QUITO DROGUERIAS"/>
    <s v="REDEBAN"/>
    <s v="FO-25-1467878"/>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1"/>
    <s v="TIPO II"/>
    <s v="TERRESTRE"/>
    <s v="GUERRERO RAMIREZ OSCAR DARIO"/>
    <n v="1"/>
    <n v="1"/>
    <n v="1"/>
    <n v="11251.22416"/>
    <n v="126317.12212"/>
    <n v="110808.27512000001"/>
    <n v="248376.6214"/>
  </r>
  <r>
    <s v="CUCUTA"/>
    <x v="3"/>
    <x v="4"/>
    <n v="54001"/>
    <s v="TA-25-1054602"/>
    <n v="81324"/>
    <s v="APERTURA"/>
    <s v="CB CRECIMIENTO ALIANZA - NUEVO"/>
    <s v="NORTE DE SANTANDER"/>
    <s v="CUCUTA"/>
    <s v="PTM CUCUTA PARKIN MOTO CENTER"/>
    <s v="REDEBAN"/>
    <s v="FO-25-146788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3"/>
    <s v="TIPO I"/>
    <s v="TERRESTRE"/>
    <s v="PACHECO BUITRAGO JAVIER ALONSO"/>
    <n v="1"/>
    <n v="1"/>
    <n v="1"/>
    <n v="11251.22416"/>
    <n v="126317.12212"/>
    <n v="57411.974240000003"/>
    <n v="194980.32052000001"/>
  </r>
  <r>
    <s v="CUCUTA"/>
    <x v="3"/>
    <x v="4"/>
    <n v="54001"/>
    <s v="TA-25-1054606"/>
    <n v="81322"/>
    <s v="APERTURA"/>
    <s v="CB CRECIMIENTO ALIANZA - NUEVO"/>
    <s v="NORTE DE SANTANDER"/>
    <s v="CUCUTA"/>
    <s v="PTM CUCUTA INTERNET Y PAPELERI"/>
    <s v="REDEBAN"/>
    <s v="FO-25-1467888"/>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4"/>
    <s v="TIPO I"/>
    <s v="TERRESTRE"/>
    <s v="MORA VEGA JEAMPIER"/>
    <n v="1"/>
    <n v="1"/>
    <n v="1"/>
    <n v="11251.22416"/>
    <n v="126317.12212"/>
    <n v="57411.974240000003"/>
    <n v="194980.32052000001"/>
  </r>
  <r>
    <s v="CUCUTA"/>
    <x v="3"/>
    <x v="4"/>
    <n v="54001"/>
    <s v="TA-25-1054624"/>
    <n v="81323"/>
    <s v="APERTURA"/>
    <s v="CB CRECIMIENTO ALIANZA - NUEVO"/>
    <s v="NORTE DE SANTANDER"/>
    <s v="CUCUTA"/>
    <s v="PTM CUCUTA DROGUERIA FARMABLUE"/>
    <s v="REDEBAN"/>
    <s v="FO-25-1467894"/>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5"/>
    <s v="TIPO I"/>
    <s v="TERRESTRE"/>
    <s v="NARANJO AFANADOR RUBEN JESUS"/>
    <n v="1"/>
    <n v="1"/>
    <n v="1"/>
    <n v="11251.22416"/>
    <n v="126317.12212"/>
    <n v="57411.974240000003"/>
    <n v="194980.32052000001"/>
  </r>
  <r>
    <s v="CUCUTA"/>
    <x v="3"/>
    <x v="4"/>
    <n v="54099"/>
    <s v="TA-25-1054676"/>
    <n v="81307"/>
    <s v="APERTURA"/>
    <s v="CB CRECIMIENTO ALIANZA - NUEVO"/>
    <s v="NORTE DE SANTANDER"/>
    <s v="BOCHALEMA"/>
    <s v="PTM NORTE DE SANTANDER ABASTOS"/>
    <s v="REDEBAN"/>
    <s v="FO-25-1467901"/>
    <d v="2025-09-03T00:00:00"/>
    <d v="2025-09-05T00:00:00"/>
    <s v="AGREGADOR"/>
    <s v="COMCARD - PTM"/>
    <s v="EJECUTADO"/>
    <s v="03-09  PROGRAMACIÓN REALIZADA POR LA ALIANZA 05-09 SE REALIZA INSTALACIÓN DE CORRESPONSAL, SE INSTALAN EQUIPOS CON PRUEBAS EXITOSAS, SE CAPACITA Y SE EVALÚA AL CLIENTE, SE INSTALA PUBLICIDAD COMPLETA, CB QUEDA OPERATIVO. USUARIO SOMOS BANCOLOMBIA ACTIVO"/>
    <s v="VISITA_TÉCNICA"/>
    <s v="SMZZZ286"/>
    <s v="TIPO II"/>
    <s v="TERRESTRE"/>
    <s v="PACHECO BUITRAGO JAVIER ALONSO"/>
    <n v="1"/>
    <n v="1"/>
    <n v="1"/>
    <n v="11251.22416"/>
    <n v="126317.12212"/>
    <n v="110808.27512000001"/>
    <n v="248376.6214"/>
  </r>
  <r>
    <s v="BUCARAMANGA"/>
    <x v="3"/>
    <x v="4"/>
    <n v="68001"/>
    <s v="TA-25-1054754"/>
    <n v="81314"/>
    <s v="APERTURA"/>
    <s v="CB CRECIMIENTO ALIANZA - NUEVO"/>
    <s v="SANTANDER"/>
    <s v="BUCARAMANGA"/>
    <s v="PTM BUCARAMANGA SUPERMERCADO M"/>
    <s v="REDEBAN"/>
    <s v="FO-25-1467917"/>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7"/>
    <s v="TIPO I"/>
    <s v="TERRESTRE"/>
    <s v="REYES RAMIREZ DIEGO ALEXANDER"/>
    <n v="1"/>
    <n v="1"/>
    <n v="1"/>
    <n v="11251.22416"/>
    <n v="126317.12212"/>
    <n v="57411.974240000003"/>
    <n v="194980.32052000001"/>
  </r>
  <r>
    <s v="BUCARAMANGA"/>
    <x v="3"/>
    <x v="4"/>
    <n v="68307"/>
    <s v="TA-25-1054855"/>
    <n v="81327"/>
    <s v="APERTURA"/>
    <s v="CB CRECIMIENTO ALIANZA - NUEVO"/>
    <s v="SANTANDER"/>
    <s v="GIRON"/>
    <s v="PTM GIRON MULTISERVICIOS LOS C"/>
    <s v="REDEBAN"/>
    <s v="FO-25-1467930"/>
    <d v="2025-09-03T00:00:00"/>
    <d v="2025-09-04T00:00:00"/>
    <s v="AGREGADOR"/>
    <s v="COMCARD - PTM"/>
    <s v="EJECUTADO/CANCELADO"/>
    <s v="03-09  PROGRAMACIÓN REALIZADA POR LA ALIANZA4/09/2025 NOS PERMITIMOS INFORMARLE QUE, TRAS REALIZAR LA RESPECTIVA VERIFICACIÓN EN CAMPO, IDENTIFICAMOS QUE EL PUNTO A INSTALAR EN LA DIRECCIÓN CRA 19A NO 25-11 LC 1, BARRIO VILLA CAMPESTRE 1 (CÓDIGO 81327), SE ENCUENTRA A UNA DISTANCIA APROXIMADA DE 50 METROS DEL PUNTO YA INSTALADO EN LA DIRECCIÓN CAR 21 #22-124, VILLA CAMPESTRE 3ª ETAPA (CÓDIGO 77310). TENIENDO EN CUENTA LA CERCANÍA ENTRE AMBOS PUNTOS, SOLICITAMOS SU AUTORIZACIÓN PARA PROCEDER CON LA IMPLEMENTACIÓN EN LA DIRECCIÓN MENCIONADA, GARANTIZANDO QUE SE PARÁMETROS TÉCNICOS Y OPERATIVOS ESTABLECIDOS. / ENTIDAD SOLICITAN CANCELAR INSTALACIÓN"/>
    <s v="VISITA_TÉCNICA"/>
    <s v="SMZZZ288"/>
    <s v="TIPO I"/>
    <s v="TERRESTRE"/>
    <s v="SANTOS GONZALEZ JOHAN FABIAN"/>
    <n v="0"/>
    <n v="0"/>
    <n v="2"/>
    <n v="11251.22416"/>
    <n v="126317.12212"/>
    <n v="57411.974240000003"/>
    <n v="114823.94848000001"/>
  </r>
  <r>
    <s v="BUCARAMANGA"/>
    <x v="3"/>
    <x v="4"/>
    <n v="68432"/>
    <s v="TA-25-1054948"/>
    <n v="81334"/>
    <s v="APERTURA"/>
    <s v="CB CRECIMIENTO ALIANZA - NUEVO"/>
    <s v="SANTANDER"/>
    <s v="MALAGA"/>
    <s v="PTM MALAGA DISTRIBUIDORA MAYOR"/>
    <s v="REDEBAN"/>
    <s v="FO-25-1467942"/>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9"/>
    <s v="TIPO IV"/>
    <s v="TERRESTRE"/>
    <s v="MARIÑO PABON JORGE ENRIQUE"/>
    <n v="1"/>
    <n v="1"/>
    <n v="1"/>
    <n v="11251.22416"/>
    <n v="126317.12212"/>
    <n v="110808.27512000001"/>
    <n v="248376.6214"/>
  </r>
  <r>
    <s v="CUCUTA"/>
    <x v="3"/>
    <x v="4"/>
    <n v="68867"/>
    <s v="TA-25-1055041"/>
    <n v="81340"/>
    <s v="APERTURA"/>
    <s v="CB CRECIMIENTO ALIANZA - NUEVO"/>
    <s v="SANTANDER"/>
    <s v="VETAS"/>
    <s v="PTM VETAS INTER.COM"/>
    <s v="REDEBAN"/>
    <s v="FO-25-1467954"/>
    <d v="2025-09-03T00:00:00"/>
    <d v="2025-09-05T00:00:00"/>
    <s v="AGREGADOR"/>
    <s v="COMCARD - PTM"/>
    <s v="EJECUTADO"/>
    <s v="03-09  PROGRAMACIÓN REALIZADA POR LA ALIANZA 4/09/2025 EN COMUNICACIÓN CON LA SEÑORA EMILCE DELGADO AL NÚMERO DE CONTACTO 3108070167, NOS COMENTA QUE DEBIDO A LAS FALLAS GEOLÓGICAS REGISTRADAS EN LA VÍA QUE COMUNICA EL MUNICIPIO DE CALIFORNIA CON VETAS, NOS HACE LA RECOMENDACIÓN DE QUE HAGAMOS EL DESPLAZAMIENTO BUCARAMANGA- BERLÍN, BERLÍN- VETAS,  DADO QUE EL TRANSPORTE QUE SALE HACIA DICHA ZONA SALE EL DÍA DE MAÑANA VIERNES 5 DE SEPTIEMBRE 6 DE LA MAÑANA MOTIVO HAREMOS LA APERTURA EL DÍA DE MAÑANA EN EL TRANSCURSO DEL DÍA 5/09/2025 SE REALIZA INSTALACIÓN DE CORRESPONSAL, SE INSTALAN EQUIPOS CON PRUEBAS EXITOSAS, SE CAPACITA Y SE EVALÚA AL CLIENTE, SE INSTALA PUBLICIDAD COMPLETA, CB QUEDA OPERATIVO. USUARIO SOMOS BANCOLOMBIA ACTIVO"/>
    <s v="VISITA_TÉCNICA"/>
    <s v="SMZZZ290"/>
    <s v="TIPO IV"/>
    <s v="TERRESTRE"/>
    <s v="GONZALEZ ESTUPIÑAN YEISON WALTER ANTONIO"/>
    <n v="1"/>
    <n v="1"/>
    <n v="1"/>
    <n v="11251.22416"/>
    <n v="126317.12212"/>
    <n v="110808.27512000001"/>
    <n v="248376.6214"/>
  </r>
  <r>
    <s v="IBAGUE"/>
    <x v="2"/>
    <x v="3"/>
    <n v="73001"/>
    <s v="TA-25-1055125"/>
    <n v="81329"/>
    <s v="APERTURA"/>
    <s v="CB CRECIMIENTO ALIANZA - NUEVO"/>
    <s v="TOLIMA"/>
    <s v="IBAGUE"/>
    <s v="PTM IBAGUE DISPHARMA JA PLUS"/>
    <s v="REDEBAN"/>
    <s v="FO-25-146796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1"/>
    <s v="TIPO I"/>
    <s v="TERRESTRE"/>
    <s v="BARRAGAN TAFUR EDWIN ESTEBAN"/>
    <n v="1"/>
    <n v="1"/>
    <n v="1"/>
    <n v="11251.22416"/>
    <n v="126317.12212"/>
    <n v="57411.974240000003"/>
    <n v="194980.32052000001"/>
  </r>
  <r>
    <s v="IBAGUE"/>
    <x v="2"/>
    <x v="3"/>
    <n v="73001"/>
    <s v="TA-25-1055203"/>
    <n v="81330"/>
    <s v="APERTURA"/>
    <s v="CB CRECIMIENTO ALIANZA - NUEVO"/>
    <s v="TOLIMA"/>
    <s v="IBAGUE"/>
    <s v="PTM IBAGUE JYV DOPRGUERIAS MON"/>
    <s v="REDEBAN"/>
    <s v="FO-25-146797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2"/>
    <s v="TIPO I"/>
    <s v="TERRESTRE"/>
    <s v="GUTIERREZ  CAMILO ANDRES"/>
    <n v="1"/>
    <n v="1"/>
    <n v="1"/>
    <n v="11251.22416"/>
    <n v="126317.12212"/>
    <n v="57411.974240000003"/>
    <n v="194980.32052000001"/>
  </r>
  <r>
    <s v="IBAGUE"/>
    <x v="2"/>
    <x v="3"/>
    <n v="73001"/>
    <s v="TA-25-1055292"/>
    <n v="81328"/>
    <s v="APERTURA"/>
    <s v="CB CRECIMIENTO ALIANZA - NUEVO"/>
    <s v="TOLIMA"/>
    <s v="IBAGUE"/>
    <s v="PTM IBAGUE VARIEDADES Y ACCESO"/>
    <s v="REDEBAN"/>
    <s v="FO-25-146799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3"/>
    <s v="TIPO I"/>
    <s v="TERRESTRE"/>
    <s v="GUTIERREZ  CAMILO ANDRES"/>
    <n v="1"/>
    <n v="1"/>
    <n v="1"/>
    <n v="11251.22416"/>
    <n v="126317.12212"/>
    <n v="57411.974240000003"/>
    <n v="194980.32052000001"/>
  </r>
  <r>
    <s v="CALI"/>
    <x v="0"/>
    <x v="0"/>
    <n v="76001"/>
    <s v="TA-25-1055365"/>
    <n v="81316"/>
    <s v="APERTURA"/>
    <s v="CB CRECIMIENTO ALIANZA - NUEVO"/>
    <s v="VALLE DEL CAUCA"/>
    <s v="CALI"/>
    <s v="PTM CALI MINIMARKET BAM BAM"/>
    <s v="REDEBAN"/>
    <s v="FO-25-146800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4"/>
    <s v="TIPO I"/>
    <s v="TERRESTRE"/>
    <s v="HERRERA MONAR GEOVANNY"/>
    <n v="1"/>
    <n v="1"/>
    <n v="1"/>
    <n v="11251.22416"/>
    <n v="126317.12212"/>
    <n v="57411.974240000003"/>
    <n v="194980.32052000001"/>
  </r>
  <r>
    <s v="CALI"/>
    <x v="0"/>
    <x v="0"/>
    <n v="76001"/>
    <s v="TA-25-1055511"/>
    <n v="81319"/>
    <s v="APERTURA"/>
    <s v="CB CRECIMIENTO ALIANZA - NUEVO"/>
    <s v="VALLE DEL CAUCA"/>
    <s v="CALI"/>
    <s v="PTM CALI MAXI FRUVER ALANA"/>
    <s v="REDEBAN"/>
    <s v="FO-25-146802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5"/>
    <s v="TIPO I"/>
    <s v="TERRESTRE"/>
    <s v="HERRERA MONAR GEOVANNY"/>
    <n v="1"/>
    <n v="1"/>
    <n v="1"/>
    <n v="11251.22416"/>
    <n v="126317.12212"/>
    <n v="57411.974240000003"/>
    <n v="194980.32052000001"/>
  </r>
  <r>
    <s v="CALI"/>
    <x v="0"/>
    <x v="0"/>
    <n v="76001"/>
    <s v="TA-25-1055602"/>
    <n v="81318"/>
    <s v="APERTURA"/>
    <s v="CB CRECIMIENTO ALIANZA - NUEVO"/>
    <s v="VALLE DEL CAUCA"/>
    <s v="CALI"/>
    <s v="PTM CALI MULTICOPIAS LA 12"/>
    <s v="REDEBAN"/>
    <s v="FO-25-146804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6"/>
    <s v="TIPO I"/>
    <s v="TERRESTRE"/>
    <s v="BOLAÑOS TABORDA JORGE ENRIQUE"/>
    <n v="1"/>
    <n v="1"/>
    <n v="1"/>
    <n v="11251.22416"/>
    <n v="126317.12212"/>
    <n v="57411.974240000003"/>
    <n v="194980.32052000001"/>
  </r>
  <r>
    <s v="CALI"/>
    <x v="0"/>
    <x v="0"/>
    <n v="76001"/>
    <s v="TA-25-1055700"/>
    <n v="81317"/>
    <s v="APERTURA"/>
    <s v="CB CRECIMIENTO ALIANZA - NUEVO"/>
    <s v="VALLE DEL CAUCA"/>
    <s v="CALI"/>
    <s v="PTM CALI COLMENA SIEMPRE DIVAS"/>
    <s v="REDEBAN"/>
    <s v="FO-25-146805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TRANSACCIONES DE PRUEBA EXITOSAS( SE REALIZAN LAS QUE EL CLIENTE TIENE DISPONIBLE)."/>
    <s v="VISITA_TÉCNICA"/>
    <s v="SMZZZ298"/>
    <s v="TIPO I"/>
    <s v="TERRESTRE"/>
    <s v="BOLAÑOS TABORDA JORGE ENRIQUE"/>
    <n v="1"/>
    <n v="1"/>
    <n v="1"/>
    <n v="11251.22416"/>
    <n v="126317.12212"/>
    <n v="57411.974240000003"/>
    <n v="194980.32052000001"/>
  </r>
  <r>
    <s v="CALI"/>
    <x v="0"/>
    <x v="0"/>
    <n v="76001"/>
    <s v="TA-25-1055830"/>
    <n v="81320"/>
    <s v="APERTURA"/>
    <s v="CB CRECIMIENTO ALIANZA - NUEVO"/>
    <s v="VALLE DEL CAUCA"/>
    <s v="CALI"/>
    <s v="PTM CALI VARIEDADES LOS MILAGR"/>
    <s v="REDEBAN"/>
    <s v="FO-25-1468070"/>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9"/>
    <s v="TIPO I"/>
    <s v="TERRESTRE"/>
    <s v="SANCHEZ URREGO ROBINSON DAVID"/>
    <n v="1"/>
    <n v="1"/>
    <n v="1"/>
    <n v="11251.22416"/>
    <n v="126317.12212"/>
    <n v="57411.974240000003"/>
    <n v="194980.32052000001"/>
  </r>
  <r>
    <s v="CALI"/>
    <x v="0"/>
    <x v="0"/>
    <n v="76001"/>
    <s v="TA-25-1055986"/>
    <n v="81315"/>
    <s v="APERTURA"/>
    <s v="CB CRECIMIENTO ALIANZA - NUEVO"/>
    <s v="VALLE DEL CAUCA"/>
    <s v="CALI"/>
    <s v="PTM CALI TIENDA Y LICORES HERR"/>
    <s v="REDEBAN"/>
    <s v="FO-25-1468092"/>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0"/>
    <s v="TIPO I"/>
    <s v="TERRESTRE"/>
    <s v="TORRES GARCIA JENDRY JOSE"/>
    <n v="1"/>
    <n v="1"/>
    <n v="1"/>
    <n v="11251.22416"/>
    <n v="126317.12212"/>
    <n v="57411.974240000003"/>
    <n v="194980.32052000001"/>
  </r>
  <r>
    <s v="BOGOTA"/>
    <x v="5"/>
    <x v="6"/>
    <n v="11001"/>
    <s v="TA-25-1056114"/>
    <n v="81313"/>
    <s v="APERTURA"/>
    <s v="CB CRECIMIENTO ALIANZA - NUEVO"/>
    <s v="CUNDINAMARCA"/>
    <s v="BOGOTA"/>
    <s v="PTM BOGOTA CIGARRERIA EMBAJADO"/>
    <s v="REDEBAN"/>
    <s v="FO-25-1468114"/>
    <d v="2025-09-03T00:00:00"/>
    <d v="2025-09-04T00:00:00"/>
    <s v="AGREGADOR"/>
    <s v="COMCARD - PTM"/>
    <s v="EJECUTADO"/>
    <s v="03-09  PROGRAMACIÓN REALIZADA POR LA ALIANZA 4/09/2025 ESTANDO EN SITIO PARA REALIZAR APERTURA REDEBAN CB 3007081313  PTM BOGOTA CIGARRERIA EMBAJADO, EL COMERCIO NO TIENE EL NOMBRE DEL ESTABLECIMIENTO EN LA FACHADA, ADJUNTO CÁMARA DE COMERCIO + REGISTRO FOTOGRÁFICO./PROCEDER CON LA IMPLEMENTACIÓN CORRESPONDIENTE Y DEJAR LA NOVEDAD DOCUMENTADA EN LOS ARCHIVOS, PARA POSTERIORMENTE SER REPORTADA A LA ENTIDAD. 04-09 SE REALIZA INSTALACIÓN DE CORRESPONSAL, SE INSTALAN EQUIPOS CON PRUEBAS EXITOSAS, SE CAPACITA Y SE EVALÚA AL CLIENTE, SE INSTALA PUBLICIDAD COMPLETA, CB QUEDA OPERATIVO. USUARIO SOMOS BANCOLOMBIA ACTIVO"/>
    <s v="VISITA_TÉCNICA"/>
    <s v="SMZZZ301"/>
    <s v="TIPO I"/>
    <s v="TERRESTRE"/>
    <s v="VEGA MANRIQUE JONATAN MAURICIO"/>
    <n v="1"/>
    <n v="1"/>
    <n v="1"/>
    <n v="11251.22416"/>
    <n v="126317.12212"/>
    <n v="57411.974240000003"/>
    <n v="194980.32052000001"/>
  </r>
  <r>
    <s v="BOGOTA"/>
    <x v="5"/>
    <x v="6"/>
    <n v="11001"/>
    <s v="TA-25-1056313"/>
    <n v="81308"/>
    <s v="APERTURA"/>
    <s v="CB CRECIMIENTO ALIANZA - NUEVO"/>
    <s v="CUNDINAMARCA"/>
    <s v="BOGOTA"/>
    <s v="PTM BOGOTA DAVITEL COMUNICACIO"/>
    <s v="REDEBAN"/>
    <s v="FO-25-1468145"/>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302"/>
    <s v="TIPO I"/>
    <s v="TERRESTRE"/>
    <s v="ORTIZ MARTINEZ STIVEN"/>
    <n v="1"/>
    <n v="1"/>
    <n v="1"/>
    <n v="11251.22416"/>
    <n v="126317.12212"/>
    <n v="57411.974240000003"/>
    <n v="194980.32052000001"/>
  </r>
  <r>
    <s v="BOGOTA"/>
    <x v="5"/>
    <x v="6"/>
    <n v="11001"/>
    <s v="TA-25-1056505"/>
    <n v="81310"/>
    <s v="APERTURA"/>
    <s v="CB CRECIMIENTO ALIANZA - NUEVO"/>
    <s v="CUNDINAMARCA"/>
    <s v="BOGOTA"/>
    <s v="PTM BOGOTA PAPELERIA MI LIBERT"/>
    <s v="REDEBAN"/>
    <s v="FO-25-146816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4"/>
    <s v="TIPO I"/>
    <s v="TERRESTRE"/>
    <s v="LOZADA ROJAS CHRISTIAN ANDRES"/>
    <n v="1"/>
    <n v="1"/>
    <n v="1"/>
    <n v="11251.22416"/>
    <n v="126317.12212"/>
    <n v="57411.974240000003"/>
    <n v="194980.32052000001"/>
  </r>
  <r>
    <s v="BOGOTA"/>
    <x v="5"/>
    <x v="6"/>
    <n v="11001"/>
    <s v="TA-25-1056673"/>
    <n v="81311"/>
    <s v="APERTURA"/>
    <s v="CB CRECIMIENTO ALIANZA - NUEVO"/>
    <s v="CUNDINAMARCA"/>
    <s v="BOGOTA"/>
    <s v="PTM BOGOTA VARIEDADES MB"/>
    <s v="REDEBAN"/>
    <s v="FO-25-1468187"/>
    <d v="2025-09-03T00:00:00"/>
    <d v="2025-09-04T00:00:00"/>
    <s v="AGREGADOR"/>
    <s v="COMCARD - PTM"/>
    <s v="EJECUTADO"/>
    <s v="03-09  PROGRAMACIÓN REALIZADA POR LA ALIANZA 4/09/2025  ESTANDO EN SITIO PARA REALIZAR APERTURA REDEBAN CB 3007081311 PTM BOGOTA VARIEDADES MB, EL COMERCIO NO TIENE EL NOMBRE DEL ESTABLECIMIENTO EN LA FACHADA, ADJUNTO CÁMARA DE COMERCIO + REGISTRO FOTOGRÁFICO / POR FAVOR REALICEMOS LA IMPLEMENTACIÓN Y DOCUMENTEMOS LA NOVEDAD. 04-09 SE REALIZA INSTALACIÓN DE CORRESPONSAL, SE INSTALAN EQUIPOS CON PRUEBAS EXITOSAS, SE CAPACITA Y SE EVALÚA AL CLIENTE, SE INSTALA PUBLICIDAD COMPLETA, CB QUEDA OPERATIVO. USUARIO SOMOS BANCOLOMBIA ACTIVO"/>
    <s v="VISITA_TÉCNICA"/>
    <s v="SMZZZ305"/>
    <s v="TIPO I"/>
    <s v="TERRESTRE"/>
    <s v="VEGA MANRIQUE JONATAN MAURICIO"/>
    <n v="1"/>
    <n v="1"/>
    <n v="1"/>
    <n v="11251.22416"/>
    <n v="126317.12212"/>
    <n v="57411.974240000003"/>
    <n v="194980.32052000001"/>
  </r>
  <r>
    <s v="BOGOTA"/>
    <x v="5"/>
    <x v="6"/>
    <n v="11001"/>
    <s v="TA-25-1056800"/>
    <n v="81309"/>
    <s v="APERTURA"/>
    <s v="CB CRECIMIENTO ALIANZA - NUEVO"/>
    <s v="CUNDINAMARCA"/>
    <s v="BOGOTA"/>
    <s v="PTM BOGOTA DROGUERIA J.R.G"/>
    <s v="REDEBAN"/>
    <s v="FO-25-146821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6"/>
    <s v="TIPO I"/>
    <s v="TERRESTRE"/>
    <s v="GALEANO SORIANO JUAN DAVID"/>
    <n v="1"/>
    <n v="1"/>
    <n v="1"/>
    <n v="11251.22416"/>
    <n v="126317.12212"/>
    <n v="57411.974240000003"/>
    <n v="194980.32052000001"/>
  </r>
  <r>
    <s v="BOGOTA"/>
    <x v="5"/>
    <x v="6"/>
    <n v="11001"/>
    <s v="TA-25-1056911"/>
    <n v="81312"/>
    <s v="APERTURA"/>
    <s v="CB CRECIMIENTO ALIANZA - NUEVO"/>
    <s v="CUNDINAMARCA"/>
    <s v="BOGOTA"/>
    <s v="PTM BOGOTA DROGUERIA GRAN SALU"/>
    <s v="REDEBAN"/>
    <s v="FO-25-1468221"/>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307"/>
    <s v="TIPO I"/>
    <s v="TERRESTRE"/>
    <s v="HERNANDEZ NARANJO OSCAR EDUARDO"/>
    <n v="1"/>
    <n v="1"/>
    <n v="1"/>
    <n v="11251.22416"/>
    <n v="126317.12212"/>
    <n v="57411.974240000003"/>
    <n v="194980.32052000001"/>
  </r>
  <r>
    <s v="MEDELLIN"/>
    <x v="4"/>
    <x v="5"/>
    <n v="5001"/>
    <s v="TA-25-1078766"/>
    <n v="81361"/>
    <s v="APERTURA"/>
    <s v="CB CRECIMIENTO ALIANZA - NUEVO"/>
    <s v="ANTIOQUIA"/>
    <s v="MEDELLIN"/>
    <s v="DISTRICOL ALUMIACEROS"/>
    <s v="REDEBAN"/>
    <s v="FO-25-1496124"/>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CLIENTE PIDE NO INSTALAR BASE YA QUE SE ENCUENTRA EN ADECUACIONES LOCATIVAS PERO SE DEJA"/>
    <s v="VISITA_TÉCNICA"/>
    <s v="VGZZZ801"/>
    <s v="TIPO I"/>
    <s v="TERRESTRE"/>
    <s v="CARDONA MOLINA BROLIN STIVEN"/>
    <n v="1"/>
    <n v="1"/>
    <n v="1"/>
    <n v="11251.22416"/>
    <n v="126317.12212"/>
    <n v="57411.974240000003"/>
    <n v="194980.32052000001"/>
  </r>
  <r>
    <s v="MEDELLIN"/>
    <x v="4"/>
    <x v="5"/>
    <n v="5321"/>
    <s v="TA-25-1078792"/>
    <n v="81357"/>
    <s v="APERTURA"/>
    <s v="CB CRECIMIENTO ALIANZA - NUEVO"/>
    <s v="ANTIOQUIA"/>
    <s v="GUATAPE"/>
    <s v="DISTRICOL AUTOSERVICIO JAIMITO"/>
    <s v="REDEBAN"/>
    <s v="FO-25-149613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2"/>
    <s v="TIPO II"/>
    <s v="TERRESTRE"/>
    <s v="PAREJA ECHAVARRIA JHON DAVID"/>
    <n v="1"/>
    <n v="1"/>
    <n v="1"/>
    <n v="11251.22416"/>
    <n v="126317.12212"/>
    <n v="110808.27512000001"/>
    <n v="248376.6214"/>
  </r>
  <r>
    <s v="MEDELLIN"/>
    <x v="4"/>
    <x v="5"/>
    <n v="5664"/>
    <s v="TA-25-1078807"/>
    <n v="81349"/>
    <s v="APERTURA"/>
    <s v="CB CRECIMIENTO ALIANZA - NUEVO"/>
    <s v="ANTIOQUIA"/>
    <s v="SAN PEDRO DE LOS MILAGROS"/>
    <s v="DISTRICOL  SOLUCIONES INTEGRAL"/>
    <s v="REDEBAN"/>
    <s v="FO-25-1496147"/>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NO SE REALIZA TRANSFERENCIA YA QUE NO HAY CUENTA PARA REALIZARLA"/>
    <s v="VISITA_TÉCNICA"/>
    <s v="VGZZZ803"/>
    <s v="TIPO II"/>
    <s v="TERRESTRE"/>
    <s v="PAREJA ECHAVARRIA JHON DAVID"/>
    <n v="1"/>
    <n v="1"/>
    <n v="1"/>
    <n v="11251.22416"/>
    <n v="126317.12212"/>
    <n v="110808.27512000001"/>
    <n v="248376.6214"/>
  </r>
  <r>
    <s v="MEDELLIN"/>
    <x v="4"/>
    <x v="5"/>
    <n v="5736"/>
    <s v="TA-25-1078817"/>
    <n v="81355"/>
    <s v="APERTURA"/>
    <s v="CB CRECIMIENTO ALIANZA - NUEVO"/>
    <s v="ANTIOQUIA"/>
    <s v="SEGOVIA"/>
    <s v="DISTRICOL JOSE27BOUTIQUE"/>
    <s v="REDEBAN"/>
    <s v="FO-25-149615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4"/>
    <s v="TIPO IV"/>
    <s v="TERRESTRE"/>
    <s v="BARRIENTOS HERNANDEZ CRISTIAN HORACIO"/>
    <n v="1"/>
    <n v="1"/>
    <n v="1"/>
    <n v="11251.22416"/>
    <n v="126317.12212"/>
    <n v="110808.27512000001"/>
    <n v="248376.6214"/>
  </r>
  <r>
    <s v="APARTADO"/>
    <x v="4"/>
    <x v="5"/>
    <n v="5837"/>
    <s v="TA-25-1078831"/>
    <n v="81350"/>
    <s v="APERTURA"/>
    <s v="CB CRECIMIENTO ALIANZA - NUEVO"/>
    <s v="ANTIOQUIA"/>
    <s v="TURBO"/>
    <s v="DISTRICOL ELECTRODOMESTICOS"/>
    <s v="REDEBAN"/>
    <s v="FO-25-1496168"/>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05"/>
    <s v="TIPO II"/>
    <s v="TERRESTRE"/>
    <s v="SALDARRIAGA MIRANDA SANTIAGO"/>
    <n v="1"/>
    <n v="1"/>
    <n v="1"/>
    <n v="11251.22416"/>
    <n v="126317.12212"/>
    <n v="110808.27512000001"/>
    <n v="248376.6214"/>
  </r>
  <r>
    <s v="VALLEDUPAR"/>
    <x v="1"/>
    <x v="2"/>
    <n v="20001"/>
    <s v="TA-25-1078847"/>
    <n v="81359"/>
    <s v="APERTURA"/>
    <s v="CB CRECIMIENTO ALIANZA - NUEVO"/>
    <s v="CESAR"/>
    <s v="VALLEDUPAR"/>
    <s v="DISTRICOLSOLUCIONSERVICIOSPLAY"/>
    <s v="REDEBAN"/>
    <s v="FO-25-1496179"/>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06"/>
    <s v="TIPO I"/>
    <s v="TERRESTRE"/>
    <s v="MAESTRE MENGUAL EDGAR ENRIQUE"/>
    <n v="1"/>
    <n v="1"/>
    <n v="1"/>
    <n v="11251.22416"/>
    <n v="126317.12212"/>
    <n v="57411.974240000003"/>
    <n v="194980.32052000001"/>
  </r>
  <r>
    <s v="MONTERIA"/>
    <x v="1"/>
    <x v="2"/>
    <n v="23555"/>
    <s v="TA-25-1078859"/>
    <n v="81363"/>
    <s v="APERTURA"/>
    <s v="CB CRECIMIENTO ALIANZA - NUEVO"/>
    <s v="CORDOBA"/>
    <s v="PLANETA RICA"/>
    <s v="DISTRICOL ISHATIENDAMULTIMARCA"/>
    <s v="REDEBAN"/>
    <s v="FO-25-1496188"/>
    <d v="2025-09-08T00:00:00"/>
    <d v="2025-09-10T00:00:00"/>
    <s v="AGREGADOR"/>
    <s v="DISTRICOL"/>
    <s v="EJECUTADO"/>
    <s v="08-09 PROGRAMACIÓN REALIZADA POR LA ALIANZA 10/09/2025 SE ESCALA EL SIGUIENTE CASO DE APERTURA CB 81363, DONDE SE LLEGA A SITIO, PERO NO CUENTA CON AVISO CON EL NOMBRE COMERCIAL, LA DIRECCION SI ES LA CORRECTA / DAMOS VB PARA LA APERTURA YA QUE SE EVIDENCIA QUE FUNCIONA UN LOCAL COMERCIAL. 10-09 SE REALIZA INSTALACIÓN DE CORRESPONSAL, SE INSTALAN EQUIPOS CON PRUEBAS EXITOSAS, SE CAPACITA Y SE EVALÚA AL CLIENTE, SE INSTALA PUBLICIDAD COMPLETA, CB QUEDA OPERATIVO. USUARIO SOMOS BANCOLOMBIA ACTIVO"/>
    <s v="VISITA_TÉCNICA"/>
    <s v="VGZZZ807"/>
    <s v="TIPO II"/>
    <s v="TERRESTRE"/>
    <s v="COGOLLO ROSSO CAMILO ANDRES"/>
    <n v="1"/>
    <n v="1"/>
    <n v="1"/>
    <n v="11251.22416"/>
    <n v="126317.12212"/>
    <n v="110808.27512000001"/>
    <n v="248376.6214"/>
  </r>
  <r>
    <s v="BOGOTA"/>
    <x v="5"/>
    <x v="6"/>
    <n v="25486"/>
    <s v="TA-25-1078867"/>
    <n v="81353"/>
    <s v="APERTURA"/>
    <s v="CB CRECIMIENTO ALIANZA - NUEVO"/>
    <s v="CUNDINAMARCA"/>
    <s v="NEMOCON"/>
    <s v="DISTRICOL NEMORED"/>
    <s v="REDEBAN"/>
    <s v="FO-25-1496196"/>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8"/>
    <s v="TIPO II"/>
    <s v="TERRESTRE"/>
    <s v="LOZADA ROJAS CHRISTIAN ANDRES"/>
    <n v="1"/>
    <n v="1"/>
    <n v="1"/>
    <n v="11251.22416"/>
    <n v="126317.12212"/>
    <n v="110808.27512000001"/>
    <n v="248376.6214"/>
  </r>
  <r>
    <s v="BOGOTA"/>
    <x v="5"/>
    <x v="6"/>
    <n v="25797"/>
    <s v="TA-25-1078883"/>
    <n v="81356"/>
    <s v="APERTURA"/>
    <s v="CB CRECIMIENTO ALIANZA - NUEVO"/>
    <s v="CUNDINAMARCA"/>
    <s v="TENA"/>
    <s v="DISTRICOL MILLANITO"/>
    <s v="REDEBAN"/>
    <s v="FO-25-1496212"/>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OLO SE REALIZA PRUEBA DE CONSULTA DE SALDO, NO HAY CUENTA PARA CONSIGNAR O RETIRAR"/>
    <s v="VISITA_TÉCNICA"/>
    <s v="VGZZZ809"/>
    <s v="TIPO II"/>
    <s v="TERRESTRE"/>
    <s v="BUSTOS MORA DIEGO MANUEL"/>
    <n v="1"/>
    <n v="1"/>
    <n v="1"/>
    <n v="11251.22416"/>
    <n v="126317.12212"/>
    <n v="110808.27512000001"/>
    <n v="248376.6214"/>
  </r>
  <r>
    <s v="PASTO"/>
    <x v="0"/>
    <x v="0"/>
    <n v="52001"/>
    <s v="TA-25-1078896"/>
    <n v="81354"/>
    <s v="APERTURA"/>
    <s v="CB CRECIMIENTO ALIANZA - NUEVO"/>
    <s v="NARIÑO"/>
    <s v="PASTO"/>
    <s v="DISTRICOL COLFARMA Y MINIMARK"/>
    <s v="REDEBAN"/>
    <s v="FO-25-1496224"/>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0"/>
    <s v="TIPO I"/>
    <s v="TERRESTRE"/>
    <s v="PAZ MARTINEZ RICHARD HUMBERTO"/>
    <n v="1"/>
    <n v="1"/>
    <n v="1"/>
    <n v="11251.22416"/>
    <n v="126317.12212"/>
    <n v="57411.974240000003"/>
    <n v="194980.32052000001"/>
  </r>
  <r>
    <s v="TUNJA"/>
    <x v="3"/>
    <x v="4"/>
    <n v="68861"/>
    <s v="TA-25-1078901"/>
    <n v="81360"/>
    <s v="APERTURA"/>
    <s v="CB CRECIMIENTO ALIANZA - NUEVO"/>
    <s v="SANTANDER"/>
    <s v="VELEZ"/>
    <s v="DISTRICOL SIGMA DISTRIBUCIONE"/>
    <s v="REDEBAN"/>
    <s v="FO-25-1496236"/>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1"/>
    <s v="TIPO II"/>
    <s v="TERRESTRE"/>
    <s v="GONZALEZ GONZALEZ MARIO ALBERTO"/>
    <n v="1"/>
    <n v="1"/>
    <n v="1"/>
    <n v="11251.22416"/>
    <n v="126317.12212"/>
    <n v="110808.27512000001"/>
    <n v="248376.6214"/>
  </r>
  <r>
    <s v="IBAGUE"/>
    <x v="2"/>
    <x v="3"/>
    <n v="73411"/>
    <s v="TA-25-1078902"/>
    <n v="81352"/>
    <s v="APERTURA"/>
    <s v="CB CRECIMIENTO ALIANZA - NUEVO"/>
    <s v="TOLIMA"/>
    <s v="LIBANO"/>
    <s v="DISTRICOL LUJOS AUTOS Y MOTOS"/>
    <s v="REDEBAN"/>
    <s v="FO-25-149624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12"/>
    <s v="TIPO III"/>
    <s v="TERRESTRE"/>
    <s v="GUTIERREZ  CAMILO ANDRES"/>
    <n v="1"/>
    <n v="1"/>
    <n v="1"/>
    <n v="11251.22416"/>
    <n v="126317.12212"/>
    <n v="110808.27512000001"/>
    <n v="248376.6214"/>
  </r>
  <r>
    <s v="PASTO"/>
    <x v="0"/>
    <x v="0"/>
    <n v="86573"/>
    <s v="TA-25-1078904"/>
    <n v="81351"/>
    <s v="APERTURA"/>
    <s v="CB CRECIMIENTO ALIANZA - NUEVO"/>
    <s v="PUTUMAYO"/>
    <s v="PUERTO LEGUIZAMO"/>
    <s v="DISTRICOL AFROELECTRICOS SOLAR"/>
    <s v="REDEBAN"/>
    <s v="FO-25-1496262"/>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13"/>
    <s v="TIPO IV ESPECIAL"/>
    <s v="AEREO"/>
    <s v="GUERRERO RAMIREZ OSCAR DARIO"/>
    <n v="1"/>
    <n v="1"/>
    <n v="1"/>
    <n v="11251.22416"/>
    <n v="126317.12212"/>
    <n v="110808.27512000001"/>
    <n v="248376.6214"/>
  </r>
  <r>
    <s v="PASTO"/>
    <x v="0"/>
    <x v="0"/>
    <n v="86865"/>
    <s v="TA-25-1078907"/>
    <n v="81358"/>
    <s v="APERTURA"/>
    <s v="CB CRECIMIENTO ALIANZA - NUEVO"/>
    <s v="PUTUMAYO"/>
    <s v="VALLE DEL GUAMUEZ"/>
    <s v="DISTRICOL LA ECONOMIA AYS"/>
    <s v="REDEBAN"/>
    <s v="FO-25-1496272"/>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4"/>
    <s v="TIPO IV"/>
    <s v="TERRESTRE"/>
    <s v="GUERRERO RAMIREZ OSCAR DARIO"/>
    <n v="1"/>
    <n v="1"/>
    <n v="1"/>
    <n v="11251.22416"/>
    <n v="126317.12212"/>
    <n v="110808.27512000001"/>
    <n v="248376.6214"/>
  </r>
  <r>
    <s v="APARTADO"/>
    <x v="4"/>
    <x v="5"/>
    <n v="5045"/>
    <s v="TA-25-1078910"/>
    <n v="81348"/>
    <s v="APERTURA"/>
    <s v="CB CRECIMIENTO ALIANZA - NUEVO"/>
    <s v="ANTIOQUIA"/>
    <s v="APARTADO"/>
    <s v="DISTRICOL APARTABURGUER"/>
    <s v="REDEBAN"/>
    <s v="FO-25-1496280"/>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5"/>
    <s v="TIPO I"/>
    <s v="TERRESTRE"/>
    <s v="CASTRO HENAO DANIEL ESTEBAN"/>
    <n v="1"/>
    <n v="1"/>
    <n v="1"/>
    <n v="11251.22416"/>
    <n v="126317.12212"/>
    <n v="57411.974240000003"/>
    <n v="194980.32052000001"/>
  </r>
  <r>
    <s v="SANTA MARTA"/>
    <x v="1"/>
    <x v="2"/>
    <n v="47245"/>
    <s v="TA-25-1078913"/>
    <n v="66501"/>
    <s v="APERTURA"/>
    <s v="DATAFONO ADICIONAL - ALIANZA"/>
    <s v="MAGDALENA"/>
    <s v="EL BANCO"/>
    <s v="PTM EL BANCO  VARIEDADES DOMIX"/>
    <s v="REDEBAN"/>
    <s v="FO-25-1496300"/>
    <d v="2025-09-08T00:00:00"/>
    <d v="2025-09-10T00:00:00"/>
    <s v="AGREGADOR"/>
    <s v="COMCARD - PTM"/>
    <s v="EJECUTADO"/>
    <s v="08-09 PROGRAMACIÓN REALIZADA POR LA ALIANZA 10/09/2025 SE REALIZA INSTALACIÓN DE DAT ADICIONAL, PRUEBAS EXITOSAS,  CB QUEDA OPERATIVO. QUIÉN NOS ATIENDE LA VISITA NOS INDICA QUE NO TIENE CUENTA BANCOLOMBIA PARA REALIZAR PRUEBA DE DEPÓSITO Y TRANSFERENCIA"/>
    <s v="VISITA_TÉCNICA"/>
    <s v="VGZZZ816"/>
    <s v="TIPO IV"/>
    <s v="TERRESTRE"/>
    <s v="MAESTRE MENGUAL EDGAR ENRIQUE"/>
    <n v="0"/>
    <n v="0"/>
    <n v="0"/>
    <n v="11251.22416"/>
    <n v="126317.12212"/>
    <n v="110808.27512000001"/>
    <n v="0"/>
  </r>
  <r>
    <s v="MONTERIA"/>
    <x v="1"/>
    <x v="2"/>
    <n v="23855"/>
    <s v="TA-25-1099856"/>
    <n v="75531"/>
    <s v="APERTURA"/>
    <s v="DATAFONO ADICIONAL - ALIANZA"/>
    <s v="CORDOBA"/>
    <s v="VALENCIA"/>
    <s v="PTM VALENCIA BARUEK CAFETERIA"/>
    <s v="REDEBAN"/>
    <s v="FO-25-1520432"/>
    <d v="2025-09-12T00:00:00"/>
    <d v="2025-09-17T00:00:00"/>
    <s v="AGREGADOR"/>
    <s v="COMCARD - PTM"/>
    <s v="EJECUTADO"/>
    <s v="12-09 PROGRAMACIÓN REALIZADA POR LA ALIANZA 15-09 NO ES POSIBLE REALIZAR LA ACTIVIDAD POR BLOQUEO DE LA VÍA MONTERÍA - TIERRALTA POR EL CORREGIMIENTO TRES PIEDRAS. 17/09/2025 SE REALIZA INSTALACIÓN DE CORRESPONSAL, SE INSTALAN EQUIPOS CON PRUEBAS EXITOSAS, SE CAPACITA Y SE EVALÚA AL CLIENTE, SE INSTALA PUBLICIDAD COMPLETA, CB QUEDA OPERATIVO. USUARIO SOMOS BANCOLOMBIA ACTIVO"/>
    <s v="VISITA_TÉCNICA"/>
    <s v="VJZZZ943"/>
    <s v="TIPO III"/>
    <s v="TERRESTRE"/>
    <s v="CALDERA SALCEDO CARLOS JULIO"/>
    <n v="0"/>
    <n v="0"/>
    <n v="0"/>
    <n v="11251.22416"/>
    <n v="126317.12212"/>
    <n v="110808.27512000001"/>
    <n v="0"/>
  </r>
  <r>
    <s v="MEDELLIN"/>
    <x v="4"/>
    <x v="5"/>
    <n v="5001"/>
    <s v="TA-25-1099857"/>
    <n v="81488"/>
    <s v="APERTURA"/>
    <s v="CB CRECIMIENTO ALIANZA - NUEVO"/>
    <s v="ANTIOQUIA"/>
    <s v="MEDELLIN"/>
    <s v="PTM MEDELLIN REALFARMA FARMACI"/>
    <s v="REDEBAN"/>
    <s v="FO-25-152043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09"/>
    <s v="TIPO I"/>
    <s v="TERRESTRE"/>
    <s v="CARDONA MOLINA BROLIN STIVEN"/>
    <n v="1"/>
    <n v="1"/>
    <n v="1"/>
    <n v="11251.22416"/>
    <n v="126317.12212"/>
    <n v="57411.974240000003"/>
    <n v="194980.32052000001"/>
  </r>
  <r>
    <s v="MEDELLIN"/>
    <x v="4"/>
    <x v="5"/>
    <n v="5001"/>
    <s v="TA-25-1099862"/>
    <n v="81489"/>
    <s v="APERTURA"/>
    <s v="CB CRECIMIENTO ALIANZA - NUEVO"/>
    <s v="ANTIOQUIA"/>
    <s v="MEDELLIN"/>
    <s v="PTM MEDELLIN  TIENDA EL PRIMO"/>
    <s v="REDEBAN"/>
    <s v="FO-25-152044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0"/>
    <s v="TIPO I"/>
    <s v="TERRESTRE"/>
    <s v="CARDONA MOLINA BROLIN STIVEN"/>
    <n v="1"/>
    <n v="1"/>
    <n v="1"/>
    <n v="11251.22416"/>
    <n v="126317.12212"/>
    <n v="57411.974240000003"/>
    <n v="194980.32052000001"/>
  </r>
  <r>
    <s v="MEDELLIN"/>
    <x v="4"/>
    <x v="5"/>
    <n v="5088"/>
    <s v="TA-25-1099871"/>
    <n v="81486"/>
    <s v="APERTURA"/>
    <s v="CB CRECIMIENTO ALIANZA - NUEVO"/>
    <s v="ANTIOQUIA"/>
    <s v="BELLO"/>
    <s v="PTM BELLO PARIS TIENDA DE BELL"/>
    <s v="REDEBAN"/>
    <s v="FO-25-1520454"/>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1"/>
    <s v="TIPO I"/>
    <s v="TERRESTRE"/>
    <s v="ZAPATA LOPEZ EDWARD ASDRUBAL"/>
    <n v="1"/>
    <n v="1"/>
    <n v="1"/>
    <n v="11251.22416"/>
    <n v="126317.12212"/>
    <n v="57411.974240000003"/>
    <n v="194980.32052000001"/>
  </r>
  <r>
    <s v="MEDELLIN"/>
    <x v="4"/>
    <x v="5"/>
    <n v="5360"/>
    <s v="TA-25-1099874"/>
    <n v="81470"/>
    <s v="APERTURA"/>
    <s v="CB CRECIMIENTO ALIANZA - NUEVO"/>
    <s v="ANTIOQUIA"/>
    <s v="ITAGUI"/>
    <s v="PTM ITAGUI MERCADOS MEDUSA"/>
    <s v="REDEBAN"/>
    <s v="FO-25-1520462"/>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2"/>
    <s v="TIPO I"/>
    <s v="TERRESTRE"/>
    <s v="QUINTERO SANCHEZ JUAN SEBASTIAN"/>
    <n v="1"/>
    <n v="1"/>
    <n v="1"/>
    <n v="11251.22416"/>
    <n v="126317.12212"/>
    <n v="57411.974240000003"/>
    <n v="194980.32052000001"/>
  </r>
  <r>
    <s v="MEDELLIN"/>
    <x v="4"/>
    <x v="5"/>
    <n v="5360"/>
    <s v="TA-25-1099876"/>
    <n v="81471"/>
    <s v="APERTURA"/>
    <s v="CB CRECIMIENTO ALIANZA - NUEVO"/>
    <s v="ANTIOQUIA"/>
    <s v="ITAGUI"/>
    <s v="PTM ITAGUI PAPELERIA AGAPE SAN"/>
    <s v="REDEBAN"/>
    <s v="FO-25-152046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3"/>
    <s v="TIPO I"/>
    <s v="TERRESTRE"/>
    <s v="QUINTERO SANCHEZ JUAN SEBASTIAN"/>
    <n v="1"/>
    <n v="1"/>
    <n v="1"/>
    <n v="11251.22416"/>
    <n v="126317.12212"/>
    <n v="57411.974240000003"/>
    <n v="194980.32052000001"/>
  </r>
  <r>
    <s v="CARTAGENA"/>
    <x v="1"/>
    <x v="2"/>
    <n v="13001"/>
    <s v="TA-25-1099877"/>
    <n v="81468"/>
    <s v="APERTURA"/>
    <s v="CB CRECIMIENTO ALIANZA - NUEVO"/>
    <s v="BOLIVAR"/>
    <s v="CARTAGENA"/>
    <s v="PTM CARTAGENA REYNET CARTAGENA"/>
    <s v="REDEBAN"/>
    <s v="FO-25-1520469"/>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15"/>
    <s v="TIPO I"/>
    <s v="TERRESTRE"/>
    <s v="CANEDO HERRERA ALEXANDER"/>
    <n v="1"/>
    <n v="1"/>
    <n v="1"/>
    <n v="11251.22416"/>
    <n v="126317.12212"/>
    <n v="57411.974240000003"/>
    <n v="194980.32052000001"/>
  </r>
  <r>
    <s v="CALI"/>
    <x v="0"/>
    <x v="0"/>
    <n v="19001"/>
    <s v="TA-25-1099879"/>
    <n v="81483"/>
    <s v="APERTURA"/>
    <s v="CB CRECIMIENTO ALIANZA - NUEVO"/>
    <s v="CAUCA"/>
    <s v="POPAYAN"/>
    <s v="PTM POPAYAN TIENDA Y PAPELERIA"/>
    <s v="REDEBAN"/>
    <s v="FO-25-1520473"/>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17"/>
    <s v="TIPO III"/>
    <s v="TERRESTRE"/>
    <s v="GIMBUEL LASSO LUIS GERMAN"/>
    <n v="1"/>
    <n v="1"/>
    <n v="1"/>
    <n v="11251.22416"/>
    <n v="126317.12212"/>
    <n v="110808.27512000001"/>
    <n v="248376.6214"/>
  </r>
  <r>
    <s v="BOGOTA"/>
    <x v="5"/>
    <x v="6"/>
    <n v="25214"/>
    <s v="TA-25-1099880"/>
    <n v="81472"/>
    <s v="APERTURA"/>
    <s v="CB CRECIMIENTO ALIANZA - NUEVO"/>
    <s v="CUNDINAMARCA"/>
    <s v="COTA"/>
    <s v="PTM COTA ROBERT YAN CASTIBLANC"/>
    <s v="REDEBAN"/>
    <s v="FO-25-152047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9"/>
    <s v="TIPO II"/>
    <s v="TERRESTRE"/>
    <s v="BUSTOS MORA DIEGO MANUEL"/>
    <n v="1"/>
    <n v="1"/>
    <n v="1"/>
    <n v="11251.22416"/>
    <n v="126317.12212"/>
    <n v="110808.27512000001"/>
    <n v="248376.6214"/>
  </r>
  <r>
    <s v="BOGOTA"/>
    <x v="5"/>
    <x v="6"/>
    <n v="25473"/>
    <s v="TA-25-1099882"/>
    <n v="81478"/>
    <s v="APERTURA"/>
    <s v="CB CRECIMIENTO ALIANZA - NUEVO"/>
    <s v="CUNDINAMARCA"/>
    <s v="MOSQUERA"/>
    <s v="PTM MOSQUERA JOYA VERSATIL"/>
    <s v="REDEBAN"/>
    <s v="FO-25-1520479"/>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0"/>
    <s v="TIPO I"/>
    <s v="TERRESTRE"/>
    <s v="HERNANDEZ NARANJO OSCAR EDUARDO"/>
    <n v="1"/>
    <n v="1"/>
    <n v="1"/>
    <n v="11251.22416"/>
    <n v="126317.12212"/>
    <n v="57411.974240000003"/>
    <n v="194980.32052000001"/>
  </r>
  <r>
    <s v="SANTA MARTA"/>
    <x v="1"/>
    <x v="2"/>
    <n v="44430"/>
    <s v="TA-25-1099886"/>
    <n v="81477"/>
    <s v="APERTURA"/>
    <s v="CB CRECIMIENTO ALIANZA - NUEVO"/>
    <s v="LA GUAJIRA"/>
    <s v="MAICAO"/>
    <s v="PTM MAICAO TIENDA PUERTO ESTRE"/>
    <s v="REDEBAN"/>
    <s v="FO-25-1520488"/>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21"/>
    <s v="TIPO IV"/>
    <s v="TERRESTRE"/>
    <s v="THOMAS  CAMPO SIGIFREDO SEGUNDO"/>
    <n v="1"/>
    <n v="1"/>
    <n v="1"/>
    <n v="11251.22416"/>
    <n v="126317.12212"/>
    <n v="110808.27512000001"/>
    <n v="248376.6214"/>
  </r>
  <r>
    <s v="PASTO"/>
    <x v="0"/>
    <x v="0"/>
    <n v="52001"/>
    <s v="TA-25-1099890"/>
    <n v="81479"/>
    <s v="APERTURA"/>
    <s v="CB CRECIMIENTO ALIANZA - NUEVO"/>
    <s v="NARIÑO"/>
    <s v="PASTO"/>
    <s v="PTM TAMASAGRA II DROGUERIA GAL"/>
    <s v="REDEBAN"/>
    <s v="FO-25-1520493"/>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2"/>
    <s v="TIPO I"/>
    <s v="TERRESTRE"/>
    <s v="CASTILLO HERRERA ALEX RICARDO"/>
    <n v="1"/>
    <n v="1"/>
    <n v="1"/>
    <n v="11251.22416"/>
    <n v="126317.12212"/>
    <n v="57411.974240000003"/>
    <n v="194980.32052000001"/>
  </r>
  <r>
    <s v="CUCUTA"/>
    <x v="3"/>
    <x v="4"/>
    <n v="54001"/>
    <s v="TA-25-1099893"/>
    <n v="81473"/>
    <s v="APERTURA"/>
    <s v="CB CRECIMIENTO ALIANZA - NUEVO"/>
    <s v="NORTE DE SANTANDER"/>
    <s v="CUCUTA"/>
    <s v="PTM CUCUTA TIENDA MIXTA AILINE"/>
    <s v="REDEBAN"/>
    <s v="FO-25-1520498"/>
    <d v="2025-09-12T00:00:00"/>
    <d v="2025-09-16T00:00:00"/>
    <s v="AGREGADOR"/>
    <s v="COMCARD - PTM"/>
    <s v="EJECUTADO"/>
    <s v="12-09 PROGRAMACIÓN REALIZADA POR LA ALIANZA 15-09 SE CONTACTA TELEFÓNICAMENTE AL CLIENTE, LA SEÑORA AIDE ROMERO ME INFORMA QUE TUVO QUE SALIR Y NO PUEDE ATENDER LA INSTALACIÓN, SOLICITA QUE SE REAGENDE LA VISITA PARA EL DÍA DE MAÑANA 16/09 A LAS 9AM 16-09 SE REALIZA INSTALACIÓN DE CORRESPONSAL, SE INSTALAN EQUIPOS CON PRUEBAS EXITOSAS, SE CAPACITA Y SE EVALÚA AL CLIENTE, SE INSTALA PUBLICIDAD COMPLETA, CB QUEDA OPERATIVO. USUARIO SOMOS BANCOLOMBIA ACTIVO"/>
    <s v="VISITA_TÉCNICA"/>
    <s v="VJZZZ923"/>
    <s v="TIPO I"/>
    <s v="TERRESTRE"/>
    <s v="NARANJO AFANADOR RUBEN JESUS"/>
    <n v="1"/>
    <n v="1"/>
    <n v="1"/>
    <n v="11251.22416"/>
    <n v="126317.12212"/>
    <n v="57411.974240000003"/>
    <n v="194980.32052000001"/>
  </r>
  <r>
    <s v="CUCUTA"/>
    <x v="3"/>
    <x v="4"/>
    <n v="54001"/>
    <s v="TA-25-1099896"/>
    <n v="81474"/>
    <s v="APERTURA"/>
    <s v="CB CRECIMIENTO ALIANZA - NUEVO"/>
    <s v="NORTE DE SANTANDER"/>
    <s v="CUCUTA"/>
    <s v="PTM CUCUTA DROGUERIA NORFARSAL"/>
    <s v="REDEBAN"/>
    <s v="FO-25-1520504"/>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4"/>
    <s v="TIPO I"/>
    <s v="TERRESTRE"/>
    <s v="NARANJO AFANADOR RUBEN JESUS"/>
    <n v="1"/>
    <n v="1"/>
    <n v="1"/>
    <n v="11251.22416"/>
    <n v="126317.12212"/>
    <n v="57411.974240000003"/>
    <n v="194980.32052000001"/>
  </r>
  <r>
    <s v="CUCUTA"/>
    <x v="3"/>
    <x v="4"/>
    <n v="54800"/>
    <s v="TA-25-1099903"/>
    <n v="81484"/>
    <s v="APERTURA"/>
    <s v="CB CRECIMIENTO ALIANZA - NUEVO"/>
    <s v="NORTE DE SANTANDER"/>
    <s v="TEORAMA"/>
    <s v="PTM VDA SAN PABLO TEORAMA IDEA"/>
    <s v="REDEBAN"/>
    <s v="FO-25-1520516"/>
    <d v="2025-09-12T00:00:00"/>
    <d v="2025-09-24T00:00:00"/>
    <s v="AGREGADOR"/>
    <s v="COMCARD - PTM"/>
    <s v="EJECUTADO"/>
    <s v="12-09 PROGRAMACIÓN REALIZADA POR LA ALIANZA 16-09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22/09/2025 AUTORIZAN LA ENTREGA DE LOS EQUIPOS Y PUBLICDAD EN OCAÑA: POR FAVOR PROCEDER CON LA ENTREGA DE LOS EQUIPOS Y DE LA PUBLICIDAD SEGÚN LO INDICADO. ES IMPORTANTE TENER EN CUENTA QUE, AL MOMENTO DE REALIZAR LA ENTREGA AL CB, SE DEBE BLOQUEAR EL PUNTO CORRESPONDIENTE. ASIMISMO, LAS COORDENADAS DEBEN TOMARSE DIRECTAMENTE EN EL ESTABLECIMIENTO DEL CB, AL IGUAL QUE EL CIERRE DE LA ACTIVIDAD. 23/09/2025 POR MEDIO DEL PRESENTE, SE CONFIRMA LA ENTREGA DE LOS EQUIPOS DE PUBLICIDAD Y LA CAPACITACIÓN EXITOSA DEL PERSONAL CORRESPONDIENTE. SOLICITAMOS, POR FAVOR, EL BLOQUEO DE LA TERMINAL VJZZZ925. 24/09/2025 SE REALIZA INSTALACIÓN DE CORRESPONSAL, SE INSTALAN EQUIPOS CON PRUEBAS EXITOSAS, SE CAPACITA Y SE EVALÚA AL CLIENTE, SE INSTALA PUBLICIDAD COMPLETA, CB QUEDA OPERATIVO. USUARIO SOMOS BANCOLOMBIA ACTIVO. SE DOCUMENTAN COORDENADAS ENVIADAS POR EL USUARIO"/>
    <s v="VISITA_TÉCNICA"/>
    <s v="VJZZZ925"/>
    <s v="TIPO IV"/>
    <s v="TERRESTRE"/>
    <s v="TORRES MANTILLA JOSE DANIEL"/>
    <n v="1"/>
    <n v="1"/>
    <n v="1"/>
    <n v="11251.22416"/>
    <n v="126317.12212"/>
    <n v="110808.27512000001"/>
    <n v="248376.6214"/>
  </r>
  <r>
    <s v="PEREIRA"/>
    <x v="0"/>
    <x v="1"/>
    <n v="63001"/>
    <s v="TA-25-1099912"/>
    <n v="81461"/>
    <s v="APERTURA"/>
    <s v="CB CRECIMIENTO ALIANZA - NUEVO"/>
    <s v="QUINDIO"/>
    <s v="ARMENIA"/>
    <s v="PTM ARMENIA PAPELERIA  SAMY TM"/>
    <s v="REDEBAN"/>
    <s v="FO-25-1520524"/>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6"/>
    <s v="TIPO II"/>
    <s v="TERRESTRE"/>
    <s v="SANCHEZ SOLORZANO JUAN SEBASTIAN"/>
    <n v="1"/>
    <n v="1"/>
    <n v="1"/>
    <n v="11251.22416"/>
    <n v="126317.12212"/>
    <n v="110808.27512000001"/>
    <n v="248376.6214"/>
  </r>
  <r>
    <s v="BUCARAMANGA"/>
    <x v="3"/>
    <x v="4"/>
    <n v="68001"/>
    <s v="TA-25-1099913"/>
    <n v="81466"/>
    <s v="APERTURA"/>
    <s v="CB CRECIMIENTO ALIANZA - NUEVO"/>
    <s v="SANTANDER"/>
    <s v="BUCARAMANGA"/>
    <s v="PTM BUCARAMANGA AUTOSERVICIO M"/>
    <s v="REDEBAN"/>
    <s v="FO-25-1520527"/>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7"/>
    <s v="TIPO I"/>
    <s v="TERRESTRE"/>
    <s v="GELVEZ MOGOLLON JOSE ELISEO"/>
    <n v="1"/>
    <n v="1"/>
    <n v="1"/>
    <n v="11251.22416"/>
    <n v="126317.12212"/>
    <n v="57411.974240000003"/>
    <n v="194980.32052000001"/>
  </r>
  <r>
    <s v="BUCARAMANGA"/>
    <x v="3"/>
    <x v="4"/>
    <n v="68547"/>
    <s v="TA-25-1099915"/>
    <n v="81481"/>
    <s v="APERTURA"/>
    <s v="CB CRECIMIENTO ALIANZA - NUEVO"/>
    <s v="SANTANDER"/>
    <s v="PIEDECUESTA"/>
    <s v="PTM PIEDECUESTA MICROMERCADO Y"/>
    <s v="REDEBAN"/>
    <s v="FO-25-1520532"/>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8"/>
    <s v="TIPO II"/>
    <s v="TERRESTRE"/>
    <s v="PEÑA DIAZ IVAN YESID"/>
    <n v="1"/>
    <n v="1"/>
    <n v="1"/>
    <n v="11251.22416"/>
    <n v="126317.12212"/>
    <n v="110808.27512000001"/>
    <n v="248376.6214"/>
  </r>
  <r>
    <s v="BUCARAMANGA"/>
    <x v="3"/>
    <x v="4"/>
    <n v="68872"/>
    <s v="TA-25-1099917"/>
    <n v="81487"/>
    <s v="APERTURA"/>
    <s v="CB CRECIMIENTO ALIANZA - NUEVO"/>
    <s v="SANTANDER"/>
    <s v="VILLANUEVA"/>
    <s v="PTM VILLANUEVA BENYI STORE"/>
    <s v="REDEBAN"/>
    <s v="FO-25-1520536"/>
    <d v="2025-09-12T00:00:00"/>
    <d v="2025-09-17T00:00:00"/>
    <s v="AGREGADOR"/>
    <s v="COMCARD - PTM"/>
    <s v="EJECUTADO"/>
    <s v="12-09 PROGRAMACIÓN REALIZADA POR LA ALIANZA 16-09 EN COMUNICACIÓN CON EL SEÑOR ANDRES AL. MOVIL 3108839586, SE CONFIRMA DISPONIBILIDAD DE ATENCIÓN DEL CLIENTE PARA EL DÍA DE MAÑANA MIÉRCOLES 17 DE SEPTIEMBRE DESPUÉS DE LAS 8AM. 17/09/2025 SE REALIZA INSTALACIÓN DE CORRESPONSAL, SE INSTALAN EQUIPOS CON PRUEBAS EXITOSAS, SE CAPACITA Y SE EVALÚA AL CLIENTE, SE INSTALA PUBLICIDAD COMPLETA, CB QUEDA OPERATIVO. USUARIO SOMOS BANCOLOMBIA ACTIVO"/>
    <s v="VISITA_TÉCNICA"/>
    <s v="VJZZZ929"/>
    <s v="TIPO III"/>
    <s v="TERRESTRE"/>
    <s v="SANTOS GONZALEZ JOHAN FABIAN"/>
    <n v="1"/>
    <n v="1"/>
    <n v="1"/>
    <n v="11251.22416"/>
    <n v="126317.12212"/>
    <n v="110808.27512000001"/>
    <n v="248376.6214"/>
  </r>
  <r>
    <s v="IBAGUE"/>
    <x v="2"/>
    <x v="3"/>
    <n v="73001"/>
    <s v="TA-25-1099927"/>
    <n v="81475"/>
    <s v="APERTURA"/>
    <s v="CB CRECIMIENTO ALIANZA - NUEVO"/>
    <s v="TOLIMA"/>
    <s v="IBAGUE"/>
    <s v="PTM IBAGUE ZIBA"/>
    <s v="REDEBAN"/>
    <s v="FO-25-1520545"/>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E INSTALA AVISO EXTERIOR SIN MARCO DE ALUMINIO EN LA APERTURA DEL CB 81475, PUESTO QUE LA FACHADA DEL COMERCIO ES EN VIDRIO AUTORIZADO POR REDEBAN."/>
    <s v="VISITA_TÉCNICA"/>
    <s v="VJZZZ930"/>
    <s v="TIPO I"/>
    <s v="TERRESTRE"/>
    <s v="VARGAS HERRERA JHON JAIRO"/>
    <n v="1"/>
    <n v="1"/>
    <n v="1"/>
    <n v="11251.22416"/>
    <n v="126317.12212"/>
    <n v="57411.974240000003"/>
    <n v="194980.32052000001"/>
  </r>
  <r>
    <s v="CALI"/>
    <x v="0"/>
    <x v="0"/>
    <n v="76109"/>
    <s v="TA-25-1099933"/>
    <n v="81467"/>
    <s v="APERTURA"/>
    <s v="CB CRECIMIENTO ALIANZA - NUEVO"/>
    <s v="VALLE DEL CAUCA"/>
    <s v="BUENAVENTURA"/>
    <s v="PTM BUENAVENTURA AUTOSERVICIO"/>
    <s v="REDEBAN"/>
    <s v="FO-25-1520552"/>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1"/>
    <s v="TIPO III"/>
    <s v="TERRESTRE"/>
    <s v="HERRERA MONAR GEOVANNY"/>
    <n v="1"/>
    <n v="1"/>
    <n v="1"/>
    <n v="11251.22416"/>
    <n v="126317.12212"/>
    <n v="110808.27512000001"/>
    <n v="248376.6214"/>
  </r>
  <r>
    <s v="CALI"/>
    <x v="0"/>
    <x v="0"/>
    <n v="76364"/>
    <s v="TA-25-1099934"/>
    <n v="81476"/>
    <s v="APERTURA"/>
    <s v="CB CRECIMIENTO ALIANZA - NUEVO"/>
    <s v="VALLE DEL CAUCA"/>
    <s v="JAMUNDI"/>
    <s v="PTM JAMUNDI TIENDA Y PAPELERIA"/>
    <s v="REDEBAN"/>
    <s v="FO-25-1520555"/>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2"/>
    <s v="TIPO II"/>
    <s v="TERRESTRE"/>
    <s v="TORRES GARCIA JENDRY JOSE"/>
    <n v="1"/>
    <n v="1"/>
    <n v="1"/>
    <n v="11251.22416"/>
    <n v="126317.12212"/>
    <n v="110808.27512000001"/>
    <n v="248376.6214"/>
  </r>
  <r>
    <s v="CALI"/>
    <x v="0"/>
    <x v="0"/>
    <n v="76834"/>
    <s v="TA-25-1099936"/>
    <n v="81485"/>
    <s v="APERTURA"/>
    <s v="CB CRECIMIENTO ALIANZA - NUEVO"/>
    <s v="VALLE DEL CAUCA"/>
    <s v="TULUA"/>
    <s v="PTM TULUA RAPITIENDA LA 32"/>
    <s v="REDEBAN"/>
    <s v="FO-25-1520560"/>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3"/>
    <s v="TIPO II"/>
    <s v="TERRESTRE"/>
    <s v="PAREDES CASTILLO DIEGO"/>
    <n v="1"/>
    <n v="1"/>
    <n v="1"/>
    <n v="11251.22416"/>
    <n v="126317.12212"/>
    <n v="110808.27512000001"/>
    <n v="248376.6214"/>
  </r>
  <r>
    <s v="CALI"/>
    <x v="0"/>
    <x v="0"/>
    <n v="76892"/>
    <s v="TA-25-1099944"/>
    <n v="81490"/>
    <s v="APERTURA"/>
    <s v="CB CRECIMIENTO ALIANZA - NUEVO"/>
    <s v="VALLE DEL CAUCA"/>
    <s v="YUMBO"/>
    <s v="PTM YUMBO  ESTACIÓN DE SERVICI"/>
    <s v="REDEBAN"/>
    <s v="FO-25-1520568"/>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4"/>
    <s v="TIPO I"/>
    <s v="TERRESTRE"/>
    <s v="HERRERA MONAR GEOVANNY"/>
    <n v="1"/>
    <n v="1"/>
    <n v="1"/>
    <n v="11251.22416"/>
    <n v="126317.12212"/>
    <n v="57411.974240000003"/>
    <n v="194980.32052000001"/>
  </r>
  <r>
    <s v="BOGOTA"/>
    <x v="5"/>
    <x v="6"/>
    <n v="11001"/>
    <s v="TA-25-1099954"/>
    <n v="81462"/>
    <s v="APERTURA"/>
    <s v="CB CRECIMIENTO ALIANZA - NUEVO"/>
    <s v="CUNDINAMARCA"/>
    <s v="BOGOTA"/>
    <s v="PTM BOGOTA DROGUERIA TIBABUYES"/>
    <s v="REDEBAN"/>
    <s v="FO-25-152057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5"/>
    <s v="TIPO I"/>
    <s v="TERRESTRE"/>
    <s v="MURCIA HERNANDEZ HARVEY IGNACIO"/>
    <n v="1"/>
    <n v="1"/>
    <n v="1"/>
    <n v="11251.22416"/>
    <n v="126317.12212"/>
    <n v="57411.974240000003"/>
    <n v="194980.32052000001"/>
  </r>
  <r>
    <s v="BOGOTA"/>
    <x v="5"/>
    <x v="6"/>
    <n v="11001"/>
    <s v="TA-25-1099955"/>
    <n v="81463"/>
    <s v="APERTURA"/>
    <s v="CB CRECIMIENTO ALIANZA - NUEVO"/>
    <s v="CUNDINAMARCA"/>
    <s v="BOGOTA"/>
    <s v="PTM BOGOTA PAPELERIA LIAM +"/>
    <s v="REDEBAN"/>
    <s v="FO-25-1520579"/>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6"/>
    <s v="TIPO I"/>
    <s v="TERRESTRE"/>
    <s v="LOZADA ROJAS CHRISTIAN ANDRES"/>
    <n v="1"/>
    <n v="1"/>
    <n v="1"/>
    <n v="11251.22416"/>
    <n v="126317.12212"/>
    <n v="57411.974240000003"/>
    <n v="194980.32052000001"/>
  </r>
  <r>
    <s v="BOGOTA"/>
    <x v="5"/>
    <x v="6"/>
    <n v="11001"/>
    <s v="TA-25-1099956"/>
    <n v="81464"/>
    <s v="APERTURA"/>
    <s v="CB CRECIMIENTO ALIANZA - NUEVO"/>
    <s v="CUNDINAMARCA"/>
    <s v="BOGOTA"/>
    <s v="PTM BOGOTA DISTRIBUIDORA DE CO"/>
    <s v="REDEBAN"/>
    <s v="FO-25-1520583"/>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8"/>
    <s v="TIPO I"/>
    <s v="TERRESTRE"/>
    <s v="GALINDO ROJAS LUIS FELIPE"/>
    <n v="1"/>
    <n v="1"/>
    <n v="1"/>
    <n v="11251.22416"/>
    <n v="126317.12212"/>
    <n v="57411.974240000003"/>
    <n v="194980.32052000001"/>
  </r>
  <r>
    <s v="MEDELLIN"/>
    <x v="4"/>
    <x v="5"/>
    <n v="5264"/>
    <s v="TA-25-1117892"/>
    <n v="81500"/>
    <s v="APERTURA"/>
    <s v="CB CRECIMIENTO ALIANZA - NUEVO"/>
    <s v="ANTIOQUIA"/>
    <s v="ENTRERRIOS"/>
    <s v="DISTRICOL  AMERICA  STORE AG"/>
    <s v="REDEBAN"/>
    <s v="FO-25-1543476"/>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3"/>
    <s v="TIPO II"/>
    <s v="TERRESTRE"/>
    <s v="BADEL ACUÑA LUIS ALBERTO"/>
    <n v="1"/>
    <n v="1"/>
    <n v="1"/>
    <n v="11251.22416"/>
    <n v="126317.12212"/>
    <n v="110808.27512000001"/>
    <n v="248376.6214"/>
  </r>
  <r>
    <s v="MEDELLIN"/>
    <x v="4"/>
    <x v="5"/>
    <n v="5440"/>
    <s v="TA-25-1117894"/>
    <n v="81516"/>
    <s v="APERTURA"/>
    <s v="CB CRECIMIENTO ALIANZA - NUEVO"/>
    <s v="ANTIOQUIA"/>
    <s v="MARINILLA"/>
    <s v="DISTRICOL SCENTI SOLUCIONES"/>
    <s v="REDEBAN"/>
    <s v="FO-25-1543480"/>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4"/>
    <s v="TIPO II"/>
    <s v="TERRESTRE"/>
    <s v="ALVAREZ ARENAS VICTOR HUGO"/>
    <n v="1"/>
    <n v="1"/>
    <n v="1"/>
    <n v="11251.22416"/>
    <n v="126317.12212"/>
    <n v="110808.27512000001"/>
    <n v="248376.6214"/>
  </r>
  <r>
    <s v="MEDELLIN"/>
    <x v="4"/>
    <x v="5"/>
    <n v="5736"/>
    <s v="TA-25-1117895"/>
    <n v="81506"/>
    <s v="APERTURA"/>
    <s v="CB CRECIMIENTO ALIANZA - NUEVO"/>
    <s v="ANTIOQUIA"/>
    <s v="SEGOVIA"/>
    <s v="DISTRICOL DROGUERIA SANTANDER"/>
    <s v="REDEBAN"/>
    <s v="FO-25-1543483"/>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5"/>
    <s v="TIPO IV"/>
    <s v="TERRESTRE"/>
    <s v="BARRIENTOS HERNANDEZ CRISTIAN HORACIO"/>
    <n v="1"/>
    <n v="1"/>
    <n v="1"/>
    <n v="11251.22416"/>
    <n v="126317.12212"/>
    <n v="110808.27512000001"/>
    <n v="248376.6214"/>
  </r>
  <r>
    <s v="MEDELLIN"/>
    <x v="4"/>
    <x v="5"/>
    <n v="5736"/>
    <s v="TA-25-1118169"/>
    <n v="81505"/>
    <s v="APERTURA"/>
    <s v="CB CRECIMIENTO ALIANZA - NUEVO"/>
    <s v="ANTIOQUIA"/>
    <s v="SEGOVIA"/>
    <s v="DISTRICOL TECNOLOGIA NEXUS"/>
    <s v="REDEBAN"/>
    <s v="FO-25-1543625"/>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76"/>
    <s v="TIPO IV"/>
    <s v="TERRESTRE"/>
    <s v="BARRIENTOS HERNANDEZ CRISTIAN HORACIO"/>
    <n v="1"/>
    <n v="1"/>
    <n v="1"/>
    <n v="11251.22416"/>
    <n v="126317.12212"/>
    <n v="110808.27512000001"/>
    <n v="248376.6214"/>
  </r>
  <r>
    <s v="APARTADO"/>
    <x v="4"/>
    <x v="5"/>
    <n v="5837"/>
    <s v="TA-25-1117897"/>
    <n v="81501"/>
    <s v="APERTURA"/>
    <s v="CB CRECIMIENTO ALIANZA - NUEVO"/>
    <s v="ANTIOQUIA"/>
    <s v="TURBO"/>
    <s v="DISTRICOL TIENDA GINES ROPA Y ACCESORIOS"/>
    <s v="REDEBAN"/>
    <s v="FO-25-1543491"/>
    <d v="2025-09-17T00:00:00"/>
    <d v="2025-09-19T00:00:00"/>
    <s v="AGREGADOR"/>
    <s v="DISTRICOL"/>
    <s v="EJECUTADO/CANCELADO"/>
    <s v="17-09 PROGRAMACIÓN REALIZADA POR LA ALIANZA 19/09/2025 VISITAMOS DIRECCIÓN RELACIONADA EN CUADRO ENCONTRANDO QUE NO HAY COMERCIO EN ESTA. SEGÚN VALIDACIONES DE PERSONAL TÉCNICO EL COMERCIO ESTÁ UBICADO REALMENTE EN DIRECCIÓN CARRERA 30 # 22-30 COMO MUESTRA UN RECIBO DE SERVICIOS PÚBLICOS."/>
    <s v="VISITA_TÉCNICA"/>
    <s v="FSZZZ877"/>
    <s v="TIPO II"/>
    <s v="TERRESTRE"/>
    <s v="CASTRO HENAO DANIEL ESTEBAN"/>
    <n v="0"/>
    <n v="0"/>
    <n v="2"/>
    <n v="11251.22416"/>
    <n v="126317.12212"/>
    <n v="110808.27512000001"/>
    <n v="221616.55024000001"/>
  </r>
  <r>
    <s v="MONTERIA"/>
    <x v="1"/>
    <x v="2"/>
    <n v="5895"/>
    <s v="TA-25-1117901"/>
    <n v="81513"/>
    <s v="APERTURA"/>
    <s v="CB CRECIMIENTO ALIANZA - NUEVO"/>
    <s v="ANTIOQUIA"/>
    <s v="ZARAGOZA"/>
    <s v="DISTRICOL INNOVATECH Z"/>
    <s v="REDEBAN"/>
    <s v="FO-25-154350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78"/>
    <s v="TIPO IV"/>
    <s v="TERRESTRE"/>
    <s v="COGOLLO ROSSO CAMILO ANDRES"/>
    <n v="1"/>
    <n v="1"/>
    <n v="1"/>
    <n v="11251.22416"/>
    <n v="126317.12212"/>
    <n v="110808.27512000001"/>
    <n v="248376.6214"/>
  </r>
  <r>
    <s v="BUCARAMANGA"/>
    <x v="3"/>
    <x v="4"/>
    <n v="13670"/>
    <s v="TA-25-1117904"/>
    <n v="81508"/>
    <s v="APERTURA"/>
    <s v="CB CRECIMIENTO ALIANZA - NUEVO"/>
    <s v="BOLIVAR"/>
    <s v="SAN PABLO"/>
    <s v="DISTRICOL ELECTRO LUNA"/>
    <s v="REDEBAN"/>
    <s v="FO-25-1543509"/>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9"/>
    <s v="TIPO IV ESPECIAL"/>
    <s v="TERRESTRE/FLUVIAL"/>
    <s v="MARIÑO PABON JORGE ENRIQUE"/>
    <n v="1"/>
    <n v="1"/>
    <n v="1"/>
    <n v="11251.22416"/>
    <n v="126317.12212"/>
    <n v="110808.27512000001"/>
    <n v="248376.6214"/>
  </r>
  <r>
    <s v="BUCARAMANGA"/>
    <x v="3"/>
    <x v="4"/>
    <n v="13688"/>
    <s v="TA-25-1117911"/>
    <n v="81510"/>
    <s v="APERTURA"/>
    <s v="CB CRECIMIENTO ALIANZA - NUEVO"/>
    <s v="BOLIVAR"/>
    <s v="SANTA ROSA DEL SUR"/>
    <s v="DISTRICOL SOLICIONES ANPA"/>
    <s v="REDEBAN"/>
    <s v="FO-25-1543512"/>
    <d v="2025-09-17T00:00:00"/>
    <d v="2025-09-19T00:00:00"/>
    <s v="AGREGADOR"/>
    <s v="DISTRICOL"/>
    <s v="EJECUTADO"/>
    <s v="17-09 PROGRAMACIÓN REALIZADA POR LA ALIANZA 18-09 EN COMUNICACIÓN CON LA SEÑORA ANGELA DÍAZ AL NÚMERO 3172336820 NOS INDICA QUE EL DÍA DE HOY NO TIENE LA DISPONIBILIDAD DE ATENDERNOS QUE EL DÍA DE MAÑANA ESTÁ DISPONIBLE A PARTIR DE LAS 8 AM 19/09/2025 SE REALIZA INSTALACIÓN DE CORRESPONSAL, SE INSTALAN EQUIPOS CON PRUEBAS EXITOSAS, SE CAPACITA Y SE EVALÚA AL CLIENTE, SE INSTALA PUBLICIDAD COMPLETA, CB QUEDA OPERATIVO. USUARIO SOMOS BANCOLOMBIA ACTIVO"/>
    <s v="VISITA_TÉCNICA"/>
    <s v="FSZZZ880"/>
    <s v="TIPO IV ESPECIAL"/>
    <s v="TERRESTRE/FLUVIAL"/>
    <s v="MARIÑO PABON JORGE ENRIQUE"/>
    <n v="1"/>
    <n v="1"/>
    <n v="1"/>
    <n v="11251.22416"/>
    <n v="126317.12212"/>
    <n v="110808.27512000001"/>
    <n v="248376.6214"/>
  </r>
  <r>
    <s v="BUCARAMANGA"/>
    <x v="3"/>
    <x v="4"/>
    <n v="13688"/>
    <s v="TA-25-1117921"/>
    <n v="81511"/>
    <s v="APERTURA"/>
    <s v="CB CRECIMIENTO ALIANZA - NUEVO"/>
    <s v="BOLIVAR"/>
    <s v="SANTA ROSA DEL SUR"/>
    <s v="DISTRICOL VARIEDADES LAS FERIA"/>
    <s v="REDEBAN"/>
    <s v="FO-25-1543517"/>
    <d v="2025-09-17T00:00:00"/>
    <d v="2025-09-19T00:00:00"/>
    <s v="AGREGADOR"/>
    <s v="DISTRICOL"/>
    <s v="EJECUTADO"/>
    <s v="17-09 PROGRAMACIÓN REALIZADA POR LA ALIANZA 18-09 EN COMUNICACIÓN CON LA SEÑORA MARTHA CUERVO HIDALGO AL NÚMERO 3154002504 NOS INDICA QUE EL DÍA DE HOY NO TIENE LA DISPONIBILIDAD DE ATENDERNOS QUE EL DÍA DE MAÑANA ESTÁ DISPONIBLE A PARTIR DE LAS 9 AM 19/09/2025 SE REALIZA INSTALACIÓN DE CORRESPONSAL, SE INSTALAN EQUIPOS CON PRUEBAS EXITOSAS, SE CAPACITA Y SE EVALÚA AL CLIENTE, SE INSTALA PUBLICIDAD COMPLETA, CB QUEDA OPERATIVO. USUARIO SOMOS BANCOLOMBIA ACTIVO"/>
    <s v="VISITA_TÉCNICA"/>
    <s v="FSZZZ881"/>
    <s v="TIPO IV ESPECIAL"/>
    <s v="TERRESTRE/FLUVIAL"/>
    <s v="MARIÑO PABON JORGE ENRIQUE"/>
    <n v="1"/>
    <n v="1"/>
    <n v="1"/>
    <n v="11251.22416"/>
    <n v="126317.12212"/>
    <n v="110808.27512000001"/>
    <n v="248376.6214"/>
  </r>
  <r>
    <s v="TUNJA"/>
    <x v="3"/>
    <x v="4"/>
    <n v="15176"/>
    <s v="TA-25-1117930"/>
    <n v="81495"/>
    <s v="APERTURA"/>
    <s v="CB CRECIMIENTO ALIANZA - NUEVO"/>
    <s v="BOYACA"/>
    <s v="CHIQUINQUIRA"/>
    <s v="DISTRICOL TECHNOWORLD CHIQUINQ"/>
    <s v="REDEBAN"/>
    <s v="FO-25-1543521"/>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2"/>
    <s v="TIPO III"/>
    <s v="TERRESTRE"/>
    <s v="HERRERA GARZON JEYSON STEVENT"/>
    <n v="1"/>
    <n v="1"/>
    <n v="1"/>
    <n v="11251.22416"/>
    <n v="126317.12212"/>
    <n v="110808.27512000001"/>
    <n v="248376.6214"/>
  </r>
  <r>
    <s v="MANIZALES"/>
    <x v="0"/>
    <x v="1"/>
    <n v="17873"/>
    <s v="TA-25-1117941"/>
    <n v="81515"/>
    <s v="APERTURA"/>
    <s v="CB CRECIMIENTO ALIANZA - NUEVO"/>
    <s v="CALDAS"/>
    <s v="VILLAMARIA"/>
    <s v="DISTRICOL VAR VILLA PETS"/>
    <s v="REDEBAN"/>
    <s v="FO-25-1543524"/>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3"/>
    <s v="TIPO I"/>
    <s v="TERRESTRE"/>
    <s v="AGUIRRE HENAO RAUL EDUARDO"/>
    <n v="1"/>
    <n v="1"/>
    <n v="1"/>
    <n v="11251.22416"/>
    <n v="126317.12212"/>
    <n v="57411.974240000003"/>
    <n v="194980.32052000001"/>
  </r>
  <r>
    <s v="PASTO"/>
    <x v="0"/>
    <x v="0"/>
    <n v="52001"/>
    <s v="TA-25-1117968"/>
    <n v="81504"/>
    <s v="APERTURA"/>
    <s v="CB CRECIMIENTO ALIANZA - NUEVO"/>
    <s v="NARIÑO"/>
    <s v="PASTO"/>
    <s v="DISTRICOL PAÑ Y VAR LAURITA"/>
    <s v="REDEBAN"/>
    <s v="FO-25-1543532"/>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4"/>
    <s v="TIPO I"/>
    <s v="TERRESTRE"/>
    <s v="REMICIO AMADO JOHN HEBER"/>
    <n v="1"/>
    <n v="1"/>
    <n v="1"/>
    <n v="11251.22416"/>
    <n v="126317.12212"/>
    <n v="57411.974240000003"/>
    <n v="194980.32052000001"/>
  </r>
  <r>
    <s v="PASTO"/>
    <x v="0"/>
    <x v="0"/>
    <n v="52356"/>
    <s v="TA-25-1118001"/>
    <n v="81502"/>
    <s v="APERTURA"/>
    <s v="CB CRECIMIENTO ALIANZA - NUEVO"/>
    <s v="NARIÑO"/>
    <s v="IPIALES"/>
    <s v="DISTRICOL VAR SEBASTIAN JM"/>
    <s v="REDEBAN"/>
    <s v="FO-25-1543540"/>
    <d v="2025-09-17T00:00:00"/>
    <d v="2025-09-18T00:00:00"/>
    <s v="AGREGADOR"/>
    <s v="DISTRICOL"/>
    <s v="EJECUTADO/CANCELADO"/>
    <s v="17-09 PROGRAMACIÓN REALIZADA POR LA ALIANZA 18/09/2025 SE REALIZÓ VISITA AL COMERCIO PARA LA APERTURA DEL CB PERO NO ES POSIBLE YA QUE EL COMERCIO NO CUENTA CON CONEXIÓN A INTERNET, QUEDA PENDIENTE QUE EL USUARIO ADQUIERA EL SERVICIO PARA PODER INSTALAR EL CB"/>
    <s v="VISITA_TÉCNICA"/>
    <s v="FSZZZ885"/>
    <s v="TIPO II"/>
    <s v="TERRESTRE"/>
    <s v="GUERRERO RAMIREZ OSCAR DARIO"/>
    <n v="0"/>
    <n v="0"/>
    <n v="2"/>
    <n v="11251.22416"/>
    <n v="126317.12212"/>
    <n v="110808.27512000001"/>
    <n v="221616.55024000001"/>
  </r>
  <r>
    <s v="PASTO"/>
    <x v="0"/>
    <x v="0"/>
    <n v="52678"/>
    <s v="TA-25-1118025"/>
    <n v="81507"/>
    <s v="APERTURA"/>
    <s v="CB CRECIMIENTO ALIANZA - NUEVO"/>
    <s v="NARIÑO"/>
    <s v="SAMANIEGO"/>
    <s v="DISTRICOL SANA MENTE"/>
    <s v="REDEBAN"/>
    <s v="FO-25-1543544"/>
    <d v="2025-09-17T00:00:00"/>
    <d v="2025-09-22T00:00:00"/>
    <s v="AGREGADOR"/>
    <s v="DISTRICOL"/>
    <s v="EJECUTADO"/>
    <s v="17-09 PROGRAMACIÓN REALIZADA POR LA ALIANZA 19-09 NO FUE POSIBLE VIAJAR AL MUNICIPIO POR PROBLEMAS EN EL TRANSPORTE, SE SEPARA BUS PARA EL DIA LUNES 22/09/2025 SE REALIZA INSTALACIÓN DE CORRESPONSAL, SE INSTALAN EQUIPOS CON PRUEBAS EXITOSAS, SE CAPACITA Y SE EVALÚA AL CLIENTE, SE INSTALA PUBLICIDAD COMPLETA, CB QUEDA OPERATIVO. USUARIO SOMOS BANCOLOMBIA ACTIVO"/>
    <s v="VISITA_TÉCNICA"/>
    <s v="FSZZZ886"/>
    <s v="TIPO III"/>
    <s v="TERRESTRE"/>
    <s v="CASTILLO HERRERA ALEX RICARDO"/>
    <n v="1"/>
    <n v="1"/>
    <n v="1"/>
    <n v="11251.22416"/>
    <n v="126317.12212"/>
    <n v="110808.27512000001"/>
    <n v="248376.6214"/>
  </r>
  <r>
    <s v="PASTO"/>
    <x v="0"/>
    <x v="0"/>
    <n v="52683"/>
    <s v="TA-25-1118045"/>
    <n v="81509"/>
    <s v="APERTURA"/>
    <s v="CB CRECIMIENTO ALIANZA - NUEVO"/>
    <s v="NARIÑO"/>
    <s v="SANDONA"/>
    <s v="DISTRICOL DROG NUEVO AMANECER"/>
    <s v="REDEBAN"/>
    <s v="FO-25-154355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87"/>
    <s v="TIPO II"/>
    <s v="TERRESTRE"/>
    <s v="CASTILLO HERRERA ALEX RICARDO"/>
    <n v="1"/>
    <n v="1"/>
    <n v="1"/>
    <n v="11251.22416"/>
    <n v="126317.12212"/>
    <n v="110808.27512000001"/>
    <n v="248376.6214"/>
  </r>
  <r>
    <s v="PEREIRA"/>
    <x v="0"/>
    <x v="1"/>
    <n v="76895"/>
    <s v="TA-25-1118072"/>
    <n v="81519"/>
    <s v="APERTURA"/>
    <s v="CB CRECIMIENTO ALIANZA - NUEVO"/>
    <s v="VALLE DEL CAUCA"/>
    <s v="ZARZAL"/>
    <s v="DISTRICOL DRO ECONOFARMA LA 10"/>
    <s v="REDEBAN"/>
    <s v="FO-25-1543558"/>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8"/>
    <s v="TIPO III"/>
    <s v="TERRESTRE"/>
    <s v="ARROYAVE CANO MANUEL GUILLERMO"/>
    <n v="1"/>
    <n v="1"/>
    <n v="1"/>
    <n v="11251.22416"/>
    <n v="126317.12212"/>
    <n v="110808.27512000001"/>
    <n v="248376.6214"/>
  </r>
  <r>
    <s v="BUCARAMANGA"/>
    <x v="3"/>
    <x v="4"/>
    <n v="81001"/>
    <s v="TA-25-1118079"/>
    <n v="81492"/>
    <s v="APERTURA"/>
    <s v="CB CRECIMIENTO ALIANZA - NUEVO"/>
    <s v="ARAUCA"/>
    <s v="ARAUCA"/>
    <s v="DISTRICOL MI TESORO"/>
    <s v="REDEBAN"/>
    <s v="FO-25-1543564"/>
    <d v="2025-09-17T00:00:00"/>
    <d v="2025-09-25T00:00:00"/>
    <s v="AGREGADOR"/>
    <s v="DISTRICOL"/>
    <s v="EJECUTADO"/>
    <s v="17-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SZZZ889"/>
    <s v="TIPO IV ESPECIAL"/>
    <s v="AEREO"/>
    <s v="HERRERA LUQUE SAUL JAVIER"/>
    <n v="1"/>
    <n v="1"/>
    <n v="1"/>
    <n v="11251.22416"/>
    <n v="126317.12212"/>
    <n v="110808.27512000001"/>
    <n v="248376.6214"/>
  </r>
  <r>
    <s v="BUCARAMANGA"/>
    <x v="3"/>
    <x v="4"/>
    <n v="81736"/>
    <s v="TA-25-1118087"/>
    <n v="81512"/>
    <s v="APERTURA"/>
    <s v="CB CRECIMIENTO ALIANZA - NUEVO"/>
    <s v="ARAUCA"/>
    <s v="SARAVENA"/>
    <s v="DISTRICOL INTERBANS"/>
    <s v="REDEBAN"/>
    <s v="FO-25-1543569"/>
    <d v="2025-09-17T00:00:00"/>
    <d v="2025-09-23T00:00:00"/>
    <s v="AGREGADOR"/>
    <s v="DISTRICOL"/>
    <s v="EJECUTADO"/>
    <s v="17-09 PROGRAMACIÓN REALIZADA POR LA ALIANZA 23/09/2025 SE REALIZA INSTALACIÓN DE CORRESPONSAL, SE INSTALAN EQUIPOS CON PRUEBAS EXITOSAS, SE CAPACITA Y SE EVALÚA AL CLIENTE, SE INSTALA PUBLICIDAD COMPLETA, CB QUEDA OPERATIVO. USUARIO SOMOS BANCOLOMBIA ACTIVO"/>
    <s v="VISITA_TÉCNICA"/>
    <s v="FSZZZ890"/>
    <s v="TIPO IV ESPECIAL"/>
    <s v="AEREO"/>
    <s v="HERRERA LUQUE SAUL JAVIER"/>
    <n v="1"/>
    <n v="1"/>
    <n v="1"/>
    <n v="11251.22416"/>
    <n v="126317.12212"/>
    <n v="110808.27512000001"/>
    <n v="248376.6214"/>
  </r>
  <r>
    <s v="YOPAL"/>
    <x v="2"/>
    <x v="3"/>
    <n v="85001"/>
    <s v="TA-25-1118097"/>
    <n v="81518"/>
    <s v="APERTURA"/>
    <s v="CB CRECIMIENTO ALIANZA - NUEVO"/>
    <s v="CASANARE"/>
    <s v="YOPAL"/>
    <s v="DISTRICOL DROGUERIA FENIX"/>
    <s v="REDEBAN"/>
    <s v="FO-25-154357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1"/>
    <s v="TIPO I"/>
    <s v="TERRESTRE"/>
    <s v="ROZO JIMENEZ EDGAR ARMANDO"/>
    <n v="1"/>
    <n v="1"/>
    <n v="1"/>
    <n v="11251.22416"/>
    <n v="126317.12212"/>
    <n v="57411.974240000003"/>
    <n v="194980.32052000001"/>
  </r>
  <r>
    <s v="YOPAL"/>
    <x v="2"/>
    <x v="3"/>
    <n v="85001"/>
    <s v="TA-25-1118107"/>
    <n v="81517"/>
    <s v="APERTURA"/>
    <s v="CB CRECIMIENTO ALIANZA - NUEVO"/>
    <s v="CASANARE"/>
    <s v="YOPAL"/>
    <s v="DISTRICOL MULTISERVIS CLIKGO"/>
    <s v="REDEBAN"/>
    <s v="FO-25-1543578"/>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2"/>
    <s v="TIPO I"/>
    <s v="TERRESTRE"/>
    <s v="ROZO JIMENEZ EDGAR ARMANDO"/>
    <n v="1"/>
    <n v="1"/>
    <n v="1"/>
    <n v="11251.22416"/>
    <n v="126317.12212"/>
    <n v="57411.974240000003"/>
    <n v="194980.32052000001"/>
  </r>
  <r>
    <s v="YOPAL"/>
    <x v="2"/>
    <x v="3"/>
    <n v="85010"/>
    <s v="TA-25-1118118"/>
    <n v="81491"/>
    <s v="APERTURA"/>
    <s v="CB CRECIMIENTO ALIANZA - NUEVO"/>
    <s v="CASANARE"/>
    <s v="AGUAZUL"/>
    <s v="DISTRICOL CACHARRERIA MAVIS"/>
    <s v="REDEBAN"/>
    <s v="FO-25-1543582"/>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3"/>
    <s v="TIPO II"/>
    <s v="TERRESTRE"/>
    <s v="ROZO JIMENEZ EDGAR ARMANDO"/>
    <n v="1"/>
    <n v="1"/>
    <n v="1"/>
    <n v="11251.22416"/>
    <n v="126317.12212"/>
    <n v="110808.27512000001"/>
    <n v="248376.6214"/>
  </r>
  <r>
    <s v="YOPAL"/>
    <x v="2"/>
    <x v="3"/>
    <n v="85225"/>
    <s v="TA-25-1118128"/>
    <n v="81503"/>
    <s v="APERTURA"/>
    <s v="CB CRECIMIENTO ALIANZA - NUEVO"/>
    <s v="CASANARE"/>
    <s v="NUNCHIA"/>
    <s v="DISTRICOL FERRETERIA 5 ESTRELL"/>
    <s v="REDEBAN"/>
    <s v="FO-25-1543585"/>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4"/>
    <s v="TIPO II"/>
    <s v="TERRESTRE"/>
    <s v="ROZO JIMENEZ EDGAR ARMANDO"/>
    <n v="1"/>
    <n v="1"/>
    <n v="1"/>
    <n v="11251.22416"/>
    <n v="126317.12212"/>
    <n v="110808.27512000001"/>
    <n v="248376.6214"/>
  </r>
  <r>
    <s v="PASTO"/>
    <x v="0"/>
    <x v="0"/>
    <n v="86749"/>
    <s v="TA-25-1118136"/>
    <n v="81514"/>
    <s v="APERTURA"/>
    <s v="CB CRECIMIENTO ALIANZA - NUEVO"/>
    <s v="PUTUMAYO"/>
    <s v="SIBUNDOY"/>
    <s v="DISTRICOL POLLOS PUNTO FRESCO"/>
    <s v="REDEBAN"/>
    <s v="FO-25-1543590"/>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5"/>
    <s v="TIPO III"/>
    <s v="TERRESTRE"/>
    <s v="GUERRERO RAMIREZ OSCAR DARIO"/>
    <n v="1"/>
    <n v="1"/>
    <n v="1"/>
    <n v="11251.22416"/>
    <n v="126317.12212"/>
    <n v="110808.27512000001"/>
    <n v="248376.6214"/>
  </r>
  <r>
    <s v="APARTADO"/>
    <x v="4"/>
    <x v="5"/>
    <n v="5045"/>
    <s v="TA-25-1118145"/>
    <n v="81497"/>
    <s v="APERTURA"/>
    <s v="CB CRECIMIENTO ALIANZA - NUEVO"/>
    <s v="ANTIOQUIA"/>
    <s v="APARTADO"/>
    <s v="DISTRICOL FERROUNO"/>
    <s v="REDEBAN"/>
    <s v="FO-25-1543593"/>
    <d v="2025-09-17T00:00:00"/>
    <d v="2025-09-24T00:00:00"/>
    <s v="AGREGADOR"/>
    <s v="DISTRICOL"/>
    <s v="EJECUTADO"/>
    <s v="17-09 PROGRAMACIÓN REALIZADA POR LA ALIANZA 19/09/2025 SE LLAMA AL USUARIO PARA CONFIRMAR VISITA Y NOS CONTESTA UN TRABAJADOR INFORMANDO QUE EL ENCARGADO SOLO ESTÁ EN DE 8-10 AM Y 2-4 PM SE LOGRA COMUNICAR CON EL USUARIO ENCARGADO Y NOS MANIFIESTA QUE SI PODEMOS DEJAR LA INSTALACIÓN PARA EL DÍA MIÉRCOLES DE LA OTRA SEMANA EN HORAS DE LA MAÑANA YA QUE SE LE INDICA QUE SE NECESITA DISPONIBILIDAD DE TIEMPO PARA PODER HACER LA INSTALACIÓN Y PODER DAR LA CAPACITACIÓN DE MANEJO DE TODO EL SISTEMA 24-09 SE REALIZA INSTALACIÓN DE CORRESPONSAL, SE INSTALAN EQUIPOS CON PRUEBAS EXITOSAS, SE CAPACITA Y SE EVALÚA AL CLIENTE, SE INSTALA PUBLICIDAD COMPLETA, CB QUEDA OPERATIVO. USUARIO SOMOS BANCOLOMBIA ACTIVO"/>
    <s v="VISITA_TÉCNICA"/>
    <s v="FSZZZ896"/>
    <s v="TIPO I"/>
    <s v="TERRESTRE"/>
    <s v="SALDARRIAGA MIRANDA SANTIAGO"/>
    <n v="1"/>
    <n v="1"/>
    <n v="1"/>
    <n v="11251.22416"/>
    <n v="126317.12212"/>
    <n v="57411.974240000003"/>
    <n v="194980.32052000001"/>
  </r>
  <r>
    <s v="APARTADO"/>
    <x v="4"/>
    <x v="5"/>
    <n v="5045"/>
    <s v="TA-25-1118154"/>
    <n v="81496"/>
    <s v="APERTURA"/>
    <s v="CB CRECIMIENTO ALIANZA - NUEVO"/>
    <s v="ANTIOQUIA"/>
    <s v="APARTADO"/>
    <s v="DISTRICOL DROGUERIA MACROSALUD ETICA"/>
    <s v="REDEBAN"/>
    <s v="FO-25-1543596"/>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7"/>
    <s v="TIPO I"/>
    <s v="TERRESTRE"/>
    <s v="SALDARRIAGA MIRANDA SANTIAGO"/>
    <n v="1"/>
    <n v="1"/>
    <n v="1"/>
    <n v="11251.22416"/>
    <n v="126317.12212"/>
    <n v="57411.974240000003"/>
    <n v="194980.32052000001"/>
  </r>
  <r>
    <s v="APARTADO"/>
    <x v="4"/>
    <x v="5"/>
    <n v="5045"/>
    <s v="TA-25-1118161"/>
    <n v="81499"/>
    <s v="APERTURA"/>
    <s v="CB CRECIMIENTO ALIANZA - NUEVO"/>
    <s v="ANTIOQUIA"/>
    <s v="APARTADO"/>
    <s v="DISTRICOL MADURITOS DE LUPE"/>
    <s v="REDEBAN"/>
    <s v="FO-25-1543600"/>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8"/>
    <s v="TIPO I"/>
    <s v="TERRESTRE"/>
    <s v="SALDARRIAGA MIRANDA SANTIAGO"/>
    <n v="1"/>
    <n v="1"/>
    <n v="1"/>
    <n v="11251.22416"/>
    <n v="126317.12212"/>
    <n v="57411.974240000003"/>
    <n v="194980.32052000001"/>
  </r>
  <r>
    <s v="APARTADO"/>
    <x v="4"/>
    <x v="5"/>
    <n v="5045"/>
    <s v="TA-25-1118162"/>
    <n v="81498"/>
    <s v="APERTURA"/>
    <s v="CB CRECIMIENTO ALIANZA - NUEVO"/>
    <s v="ANTIOQUIA"/>
    <s v="APARTADO"/>
    <s v="DISTRICOL PAPELERIA JUANES E&amp;E"/>
    <s v="REDEBAN"/>
    <s v="FO-25-1543603"/>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9"/>
    <s v="TIPO I"/>
    <s v="TERRESTRE"/>
    <s v="SALDARRIAGA MIRANDA SANTIAGO"/>
    <n v="1"/>
    <n v="1"/>
    <n v="1"/>
    <n v="11251.22416"/>
    <n v="126317.12212"/>
    <n v="57411.974240000003"/>
    <n v="194980.32052000001"/>
  </r>
  <r>
    <s v="BOGOTA"/>
    <x v="5"/>
    <x v="6"/>
    <n v="11001"/>
    <s v="TA-25-1118163"/>
    <n v="81493"/>
    <s v="APERTURA"/>
    <s v="CB CRECIMIENTO ALIANZA - NUEVO"/>
    <s v="CUNDINAMARCA"/>
    <s v="BOGOTA"/>
    <s v="DISTRICOL TODO EN UNO"/>
    <s v="REDEBAN"/>
    <s v="FO-25-1543607"/>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900"/>
    <s v="TIPO I"/>
    <s v="TERRESTRE"/>
    <s v="MURCIA HERNANDEZ HARVEY IGNACIO"/>
    <n v="1"/>
    <n v="1"/>
    <n v="1"/>
    <n v="11251.22416"/>
    <n v="126317.12212"/>
    <n v="57411.974240000003"/>
    <n v="194980.32052000001"/>
  </r>
  <r>
    <s v="BOGOTA"/>
    <x v="5"/>
    <x v="6"/>
    <n v="11001"/>
    <s v="TA-25-1118164"/>
    <n v="81494"/>
    <s v="APERTURA"/>
    <s v="CB CRECIMIENTO ALIANZA - NUEVO"/>
    <s v="CUNDINAMARCA"/>
    <s v="BOGOTA"/>
    <s v="DISTRICOL PRACTIPAGOS LA Y"/>
    <s v="REDEBAN"/>
    <s v="FO-25-1543611"/>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901"/>
    <s v="TIPO I"/>
    <s v="TERRESTRE"/>
    <s v="ARIAS QUILINDO JULIAN"/>
    <n v="1"/>
    <n v="1"/>
    <n v="1"/>
    <n v="11251.22416"/>
    <n v="126317.12212"/>
    <n v="57411.974240000003"/>
    <n v="194980.32052000001"/>
  </r>
  <r>
    <s v="APARTADO"/>
    <x v="4"/>
    <x v="5"/>
    <n v="27493"/>
    <s v="TA-25-1120952"/>
    <n v="81520"/>
    <s v="APERTURA"/>
    <s v="CB CRECIMIENTO ALIANZA - NUEVO"/>
    <s v="CHOCO"/>
    <s v="NUEVO BELEN DE BAJIRA"/>
    <s v="DISTRICOL DONDE CAMILA F"/>
    <s v="REDEBAN"/>
    <s v="FO-25-1546404"/>
    <d v="2025-09-17T00:00:00"/>
    <d v="2025-09-23T00:00:00"/>
    <s v="AGREGADOR"/>
    <s v="DISTRICOL"/>
    <s v="EJECUTADO"/>
    <s v="17-09 EL SITIO NO HA PROCESADO EN SEI, SE APLAZA INSTALACIÓN HASTA RECIBIR NUEVA INDICACIÓN POR PARTE DE REDEBAN 18/09/2025 REDEBAN INDICA QUE EL PUNTO YA PROCESO, SE PROCEDE CON LA PROGRAMACIÓN 23/09/2025 SE REALIZA INSTALACIÓN DE CORRESPONSAL, SE INSTALAN EQUIPOS CON PRUEBAS EXITOSAS, SE CAPACITA Y SE EVALÚA AL CLIENTE, SE INSTALA PUBLICIDAD COMPLETA, CB QUEDA OPERATIVO. USUARIO SOMOS BANCOLOMBIA ACTIVO"/>
    <s v="VISITA_TÉCNICA"/>
    <s v="FTZZZ084"/>
    <s v="TIPO IV"/>
    <s v="TERRESTRE"/>
    <s v="SALDARRIAGA MIRANDA SANTIAGO"/>
    <n v="1"/>
    <n v="1"/>
    <n v="1"/>
    <n v="11251.22416"/>
    <n v="126317.12212"/>
    <n v="110808.27512000001"/>
    <n v="248376.6214"/>
  </r>
  <r>
    <s v="BOGOTA"/>
    <x v="5"/>
    <x v="6"/>
    <n v="25754"/>
    <s v="TA-25-1118165"/>
    <n v="69725"/>
    <s v="APERTURA"/>
    <s v="DATAFONO ADICIONAL - ALIANZA"/>
    <s v="CUNDINAMARCA"/>
    <s v="SOACHA"/>
    <s v="PTM SOACHA TIENDA TRES REYES"/>
    <s v="REDEBAN"/>
    <s v="FO-25-1543615"/>
    <d v="2025-09-17T00:00:00"/>
    <d v="2025-09-18T00:00:00"/>
    <s v="AGREGADOR"/>
    <s v="COMCARD - PTM"/>
    <s v="EJECUTADO"/>
    <s v="17-09 PROGRAMACIÓN REALIZADA POR LA ALIANZA 18/09/2025 SE REALIZA INSTALACIÓN DE DAT ADICIONAL, PRUEBAS EXITOSAS, CB QUEDA OPERATIVO"/>
    <s v="VISITA_TÉCNICA"/>
    <s v="FSZZZ902"/>
    <s v="TIPO I"/>
    <s v="TERRESTRE"/>
    <s v="ORTIZ MARTINEZ STIVEN"/>
    <n v="0"/>
    <n v="0"/>
    <n v="0"/>
    <n v="11251.22416"/>
    <n v="126317.12212"/>
    <n v="57411.974240000003"/>
    <n v="0"/>
  </r>
  <r>
    <s v="MEDELLIN"/>
    <x v="4"/>
    <x v="5"/>
    <n v="5001"/>
    <s v="TA-25-1125548"/>
    <n v="81534"/>
    <s v="APERTURA"/>
    <s v="CB CRECIMIENTO ALIANZA - NUEVO"/>
    <s v="ANTIOQUIA"/>
    <s v="MEDELLIN"/>
    <s v="PTM MEDELLIN DROGUERIA FARMALA"/>
    <s v="REDEBAN"/>
    <s v="FO-25-1553663"/>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1"/>
    <s v="TIPO I"/>
    <s v="TERRESTRE"/>
    <s v="BARRIENTOS HERNANDEZ CRISTIAN HORACIO"/>
    <n v="1"/>
    <n v="1"/>
    <n v="1"/>
    <n v="11251.22416"/>
    <n v="126317.12212"/>
    <n v="57411.974240000003"/>
    <n v="194980.32052000001"/>
  </r>
  <r>
    <s v="MEDELLIN"/>
    <x v="4"/>
    <x v="5"/>
    <n v="5001"/>
    <s v="TA-25-1125554"/>
    <n v="81533"/>
    <s v="APERTURA"/>
    <s v="CB CRECIMIENTO ALIANZA - NUEVO"/>
    <s v="ANTIOQUIA"/>
    <s v="MEDELLIN"/>
    <s v="PTM MEDELLIN DISTRIBUIDORA JAL"/>
    <s v="REDEBAN"/>
    <s v="FO-25-1553676"/>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2"/>
    <s v="TIPO I"/>
    <s v="TERRESTRE"/>
    <s v="BARRIENTOS HERNANDEZ CRISTIAN HORACIO"/>
    <n v="1"/>
    <n v="1"/>
    <n v="1"/>
    <n v="11251.22416"/>
    <n v="126317.12212"/>
    <n v="57411.974240000003"/>
    <n v="194980.32052000001"/>
  </r>
  <r>
    <s v="MEDELLIN"/>
    <x v="4"/>
    <x v="5"/>
    <n v="5088"/>
    <s v="TA-25-1125567"/>
    <n v="81532"/>
    <s v="APERTURA"/>
    <s v="CB CRECIMIENTO ALIANZA - NUEVO"/>
    <s v="ANTIOQUIA"/>
    <s v="BELLO"/>
    <s v="PTM BELLO ANGELA MARIA RESTREP"/>
    <s v="REDEBAN"/>
    <s v="FO-25-1553687"/>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3"/>
    <s v="TIPO I"/>
    <s v="TERRESTRE"/>
    <s v="ZAPATA LOPEZ EDWARD ASDRUBAL"/>
    <n v="1"/>
    <n v="1"/>
    <n v="1"/>
    <n v="11251.22416"/>
    <n v="126317.12212"/>
    <n v="57411.974240000003"/>
    <n v="194980.32052000001"/>
  </r>
  <r>
    <s v="MEDELLIN"/>
    <x v="4"/>
    <x v="5"/>
    <n v="5088"/>
    <s v="TA-25-1125576"/>
    <n v="81531"/>
    <s v="APERTURA"/>
    <s v="CB CRECIMIENTO ALIANZA - NUEVO"/>
    <s v="ANTIOQUIA"/>
    <s v="BELLO"/>
    <s v="PTM BELLO FARMASOLUCIONES BELL"/>
    <s v="REDEBAN"/>
    <s v="FO-25-1553700"/>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4"/>
    <s v="TIPO I"/>
    <s v="TERRESTRE"/>
    <s v="ZAPATA LOPEZ EDWARD ASDRUBAL"/>
    <n v="1"/>
    <n v="1"/>
    <n v="1"/>
    <n v="11251.22416"/>
    <n v="126317.12212"/>
    <n v="57411.974240000003"/>
    <n v="194980.32052000001"/>
  </r>
  <r>
    <s v="MEDELLIN"/>
    <x v="4"/>
    <x v="5"/>
    <n v="5129"/>
    <s v="TA-25-1125589"/>
    <n v="81523"/>
    <s v="APERTURA"/>
    <s v="CB CRECIMIENTO ALIANZA - NUEVO"/>
    <s v="ANTIOQUIA"/>
    <s v="CALDAS"/>
    <s v="PTM CALDAS ABARROTES DON BERRI"/>
    <s v="REDEBAN"/>
    <s v="FO-25-1553712"/>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5"/>
    <s v="TIPO I"/>
    <s v="TERRESTRE"/>
    <s v="ZAPATA LOPEZ EDWARD ASDRUBAL"/>
    <n v="1"/>
    <n v="1"/>
    <n v="1"/>
    <n v="11251.22416"/>
    <n v="126317.12212"/>
    <n v="57411.974240000003"/>
    <n v="194980.32052000001"/>
  </r>
  <r>
    <s v="MEDELLIN"/>
    <x v="4"/>
    <x v="5"/>
    <n v="5604"/>
    <s v="TA-25-1125599"/>
    <n v="81528"/>
    <s v="APERTURA"/>
    <s v="CB CRECIMIENTO ALIANZA - NUEVO"/>
    <s v="ANTIOQUIA"/>
    <s v="REMEDIOS"/>
    <s v="PTM REMEDIOS Y &amp; M MINI MARKET"/>
    <s v="REDEBAN"/>
    <s v="FO-25-1553723"/>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6"/>
    <s v="TIPO IV"/>
    <s v="TERRESTRE"/>
    <s v="BADEL ACUÑA LUIS ALBERTO"/>
    <n v="1"/>
    <n v="1"/>
    <n v="1"/>
    <n v="11251.22416"/>
    <n v="126317.12212"/>
    <n v="110808.27512000001"/>
    <n v="248376.6214"/>
  </r>
  <r>
    <s v="NEIVA"/>
    <x v="2"/>
    <x v="3"/>
    <n v="41298"/>
    <s v="TA-25-1125610"/>
    <n v="81525"/>
    <s v="APERTURA"/>
    <s v="CB CRECIMIENTO ALIANZA - NUEVO"/>
    <s v="HUILA"/>
    <s v="GARZON"/>
    <s v="PTM GARZON SOLUCIONES DE CENTR"/>
    <s v="REDEBAN"/>
    <s v="FO-25-1553735"/>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7"/>
    <s v="TIPO III"/>
    <s v="TERRESTRE"/>
    <s v="DEVIA REINOSO JUAN CARLOS"/>
    <n v="1"/>
    <n v="1"/>
    <n v="1"/>
    <n v="11251.22416"/>
    <n v="126317.12212"/>
    <n v="110808.27512000001"/>
    <n v="248376.6214"/>
  </r>
  <r>
    <s v="BUCARAMANGA"/>
    <x v="3"/>
    <x v="4"/>
    <n v="68406"/>
    <s v="TA-25-1125620"/>
    <n v="81527"/>
    <s v="APERTURA"/>
    <s v="CB CRECIMIENTO ALIANZA - NUEVO"/>
    <s v="SANTANDER"/>
    <s v="LEBRIJA"/>
    <s v="PTM LEBRIJA TIENDA J.V"/>
    <s v="REDEBAN"/>
    <s v="FO-25-1553745"/>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8"/>
    <s v="TIPO II"/>
    <s v="TERRESTRE"/>
    <s v="GELVEZ MOGOLLON JOSE ELISEO"/>
    <n v="1"/>
    <n v="1"/>
    <n v="1"/>
    <n v="11251.22416"/>
    <n v="126317.12212"/>
    <n v="110808.27512000001"/>
    <n v="248376.6214"/>
  </r>
  <r>
    <s v="IBAGUE"/>
    <x v="2"/>
    <x v="3"/>
    <n v="73001"/>
    <s v="TA-25-1125631"/>
    <n v="81526"/>
    <s v="APERTURA"/>
    <s v="CB CRECIMIENTO ALIANZA - NUEVO"/>
    <s v="TOLIMA"/>
    <s v="IBAGUE"/>
    <s v="PTM IBAGUE AMIGOS PELUDITO'S P"/>
    <s v="REDEBAN"/>
    <s v="FO-25-1553756"/>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9"/>
    <s v="TIPO I"/>
    <s v="TERRESTRE"/>
    <s v="BARRAGAN TAFUR EDWIN ESTEBAN"/>
    <n v="1"/>
    <n v="1"/>
    <n v="1"/>
    <n v="11251.22416"/>
    <n v="126317.12212"/>
    <n v="57411.974240000003"/>
    <n v="194980.32052000001"/>
  </r>
  <r>
    <s v="MEDELLIN"/>
    <x v="4"/>
    <x v="5"/>
    <n v="5059"/>
    <s v="TA-25-1125636"/>
    <n v="81524"/>
    <s v="APERTURA"/>
    <s v="CB CRECIMIENTO ALIANZA - NUEVO"/>
    <s v="ANTIOQUIA"/>
    <s v="ARMENIA"/>
    <s v="PTM ARMENIA DACAFE HOGAR Y FER"/>
    <s v="REDEBAN"/>
    <s v="FO-25-1553767"/>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30"/>
    <s v="TIPO II"/>
    <s v="TERRESTRE"/>
    <s v="MARTINEZ TOVAR OSCAR DAVID"/>
    <n v="1"/>
    <n v="1"/>
    <n v="1"/>
    <n v="11251.22416"/>
    <n v="126317.12212"/>
    <n v="110808.27512000001"/>
    <n v="248376.6214"/>
  </r>
  <r>
    <s v="BOGOTA"/>
    <x v="5"/>
    <x v="6"/>
    <n v="11001"/>
    <s v="TA-25-1125647"/>
    <n v="81521"/>
    <s v="APERTURA"/>
    <s v="CB CRECIMIENTO ALIANZA - NUEVO"/>
    <s v="CUNDINAMARCA"/>
    <s v="BOGOTA"/>
    <s v="PTM BOGOTA MISCELANIA Y PAPELE"/>
    <s v="REDEBAN"/>
    <s v="FO-25-1553779"/>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31"/>
    <s v="TIPO I"/>
    <s v="TERRESTRE"/>
    <s v="BUSTOS MORA DIEGO MANUEL"/>
    <n v="1"/>
    <n v="1"/>
    <n v="1"/>
    <n v="11251.22416"/>
    <n v="126317.12212"/>
    <n v="57411.974240000003"/>
    <n v="194980.32052000001"/>
  </r>
  <r>
    <s v="BOGOTA"/>
    <x v="5"/>
    <x v="6"/>
    <n v="11001"/>
    <s v="TA-25-1125655"/>
    <n v="81522"/>
    <s v="APERTURA"/>
    <s v="CB CRECIMIENTO ALIANZA - NUEVO"/>
    <s v="CUNDINAMARCA"/>
    <s v="BOGOTA"/>
    <s v="PTM BOGOTA MI TIENDA 258"/>
    <s v="REDEBAN"/>
    <s v="FO-25-1553790"/>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32"/>
    <s v="TIPO I"/>
    <s v="TERRESTRE"/>
    <s v="ORTIZ MARTINEZ STIVEN"/>
    <n v="1"/>
    <n v="1"/>
    <n v="1"/>
    <n v="11251.22416"/>
    <n v="126317.12212"/>
    <n v="57411.974240000003"/>
    <n v="194980.32052000001"/>
  </r>
  <r>
    <s v="MEDELLIN"/>
    <x v="4"/>
    <x v="5"/>
    <n v="5001"/>
    <s v="TA-25-1145358"/>
    <n v="81698"/>
    <s v="APERTURA"/>
    <s v="CB CRECIMIENTO ALIANZA - NUEVO"/>
    <s v="ANTIOQUIA"/>
    <s v="MEDELLIN"/>
    <s v="DISTRICOL VARIEDADES ITZAMARA"/>
    <s v="REDEBAN"/>
    <s v="FO-25-1577269"/>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30"/>
    <s v="TIPO I"/>
    <s v="TERRESTRE"/>
    <s v="BADEL ACUÑA LUIS ALBERTO"/>
    <n v="1"/>
    <n v="1"/>
    <n v="1"/>
    <n v="11251.22416"/>
    <n v="126317.12212"/>
    <n v="57411.974240000003"/>
    <n v="194980.32052000001"/>
  </r>
  <r>
    <s v="MEDELLIN"/>
    <x v="4"/>
    <x v="5"/>
    <n v="5001"/>
    <s v="TA-25-1145359"/>
    <n v="81699"/>
    <s v="APERTURA"/>
    <s v="CB CRECIMIENTO ALIANZA - NUEVO"/>
    <s v="ANTIOQUIA"/>
    <s v="MEDELLIN"/>
    <s v="PTM MEDELLIN DROGUERIA COMUSAL"/>
    <s v="REDEBAN"/>
    <s v="FO-25-1577275"/>
    <d v="2025-09-24T00:00:00"/>
    <d v="2025-09-25T00:00:00"/>
    <s v="AGREGADOR"/>
    <s v="COMCARD - PTM"/>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31"/>
    <s v="TIPO I"/>
    <s v="TERRESTRE"/>
    <s v="BADEL ACUÑA LUIS ALBERTO"/>
    <n v="1"/>
    <n v="1"/>
    <n v="1"/>
    <n v="11251.22416"/>
    <n v="126317.12212"/>
    <n v="57411.974240000003"/>
    <n v="194980.32052000001"/>
  </r>
  <r>
    <s v="MEDELLIN"/>
    <x v="4"/>
    <x v="5"/>
    <n v="5088"/>
    <s v="TA-25-1145361"/>
    <n v="81691"/>
    <s v="APERTURA"/>
    <s v="CB CRECIMIENTO ALIANZA - NUEVO"/>
    <s v="ANTIOQUIA"/>
    <s v="BELLO"/>
    <s v="DISTRICOL PAPELERIA Y VAR. S&amp;J"/>
    <s v="REDEBAN"/>
    <s v="FO-25-157727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2"/>
    <s v="TIPO I"/>
    <s v="TERRESTRE"/>
    <s v="BADEL ACUÑA LUIS ALBERTO"/>
    <n v="1"/>
    <n v="1"/>
    <n v="1"/>
    <n v="11251.22416"/>
    <n v="126317.12212"/>
    <n v="57411.974240000003"/>
    <n v="194980.32052000001"/>
  </r>
  <r>
    <s v="MEDELLIN"/>
    <x v="4"/>
    <x v="5"/>
    <n v="5088"/>
    <s v="TA-25-1145363"/>
    <n v="81692"/>
    <s v="APERTURA"/>
    <s v="CB CRECIMIENTO ALIANZA - NUEVO"/>
    <s v="ANTIOQUIA"/>
    <s v="BELLO"/>
    <s v="PTM BELLO BUEN PRECIO DE LA 61"/>
    <s v="REDEBAN"/>
    <s v="FO-25-157728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3"/>
    <s v="TIPO I"/>
    <s v="TERRESTRE"/>
    <s v="BADEL ACUÑA LUIS ALBERTO"/>
    <n v="1"/>
    <n v="1"/>
    <n v="1"/>
    <n v="11251.22416"/>
    <n v="126317.12212"/>
    <n v="57411.974240000003"/>
    <n v="194980.32052000001"/>
  </r>
  <r>
    <s v="APARTADO"/>
    <x v="4"/>
    <x v="5"/>
    <n v="5147"/>
    <s v="TA-25-1145366"/>
    <n v="81648"/>
    <s v="APERTURA"/>
    <s v="CB CRECIMIENTO ALIANZA - NUEVO"/>
    <s v="ANTIOQUIA"/>
    <s v="CAREPA"/>
    <s v="DISTRICOL TIENDA MAYELE G&amp;C"/>
    <s v="REDEBAN"/>
    <s v="FO-25-157729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4"/>
    <s v="TIPO I"/>
    <s v="TERRESTRE"/>
    <s v="CASTRO HENAO DANIEL ESTEBAN"/>
    <n v="1"/>
    <n v="1"/>
    <n v="1"/>
    <n v="11251.22416"/>
    <n v="126317.12212"/>
    <n v="57411.974240000003"/>
    <n v="194980.32052000001"/>
  </r>
  <r>
    <s v="MEDELLIN"/>
    <x v="4"/>
    <x v="5"/>
    <n v="5376"/>
    <s v="TA-25-1145367"/>
    <n v="81696"/>
    <s v="APERTURA"/>
    <s v="CB CRECIMIENTO ALIANZA - NUEVO"/>
    <s v="ANTIOQUIA"/>
    <s v="LA CEJA"/>
    <s v="PTM LA CEJA PAWS PLANET"/>
    <s v="REDEBAN"/>
    <s v="FO-25-157729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6"/>
    <s v="TIPO II"/>
    <s v="TERRESTRE"/>
    <s v="QUINTERO SANCHEZ JUAN SEBASTIAN"/>
    <n v="1"/>
    <n v="1"/>
    <n v="1"/>
    <n v="11251.22416"/>
    <n v="126317.12212"/>
    <n v="110808.27512000001"/>
    <n v="248376.6214"/>
  </r>
  <r>
    <s v="MEDELLIN"/>
    <x v="4"/>
    <x v="5"/>
    <n v="5604"/>
    <s v="TA-25-1145368"/>
    <n v="81673"/>
    <s v="APERTURA"/>
    <s v="CB CRECIMIENTO ALIANZA - NUEVO"/>
    <s v="ANTIOQUIA"/>
    <s v="REMEDIOS"/>
    <s v="DISTRICOL MUNDO PELUQUERO R"/>
    <s v="REDEBAN"/>
    <s v="FO-25-1585234"/>
    <d v="2025-09-24T00:00:00"/>
    <d v="2025-09-25T00:00:00"/>
    <s v="AGREGADOR"/>
    <s v="DISTRICOL"/>
    <s v="EJECUTADO/CANCELADO"/>
    <s v="24-09 PROGRAMACIÓN REALIZADA POR LA ALIANZA 25/09/2025 VISITAMOS PUNTO ENCONTRANDO QUE COMERCIO ESTÁ EN DIRECCIÓN DISTINTA A LA RELACIONADA EN LISTA DE CHEQUEO. LA DIRECCIÓN REAL EN LA QUE ESTÁ EL COMERCIO ES CALLE 11 # 13 – 86. ESCALAMOS POR NOVEDAD DE DIRECCIÓN. 25/09/2025 POR FAVOR PROCEDER CON LA CANCELACIÓN DE LA IMPLEMENTACIÓN, YA QUE EL CB NO SE ENCUENTRA EN LA DIRECCIÓN REGISTRADA EN LA LISTA DE CHEQUEO."/>
    <s v="VISITA_TÉCNICA"/>
    <s v="FWZZZ437"/>
    <s v="TIPO IV"/>
    <s v="TERRESTRE"/>
    <s v="DIAZ ZABALA FRANCIS DUBAN"/>
    <n v="0"/>
    <n v="0"/>
    <n v="2"/>
    <n v="11251.22416"/>
    <n v="126317.12212"/>
    <n v="110808.27512000001"/>
    <n v="221616.55024000001"/>
  </r>
  <r>
    <s v="MEDELLIN"/>
    <x v="4"/>
    <x v="5"/>
    <n v="5615"/>
    <s v="TA-25-1145371"/>
    <n v="81653"/>
    <s v="APERTURA"/>
    <s v="CB CRECIMIENTO ALIANZA - NUEVO"/>
    <s v="ANTIOQUIA"/>
    <s v="RIONEGRO"/>
    <s v="DISTRICOL IXCLOUDS"/>
    <s v="REDEBAN"/>
    <s v="FO-25-157730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38"/>
    <s v="TIPO II"/>
    <s v="TERRESTRE"/>
    <s v="QUINTERO SANCHEZ JUAN SEBASTIAN"/>
    <n v="1"/>
    <n v="1"/>
    <n v="1"/>
    <n v="11251.22416"/>
    <n v="126317.12212"/>
    <n v="110808.27512000001"/>
    <n v="248376.6214"/>
  </r>
  <r>
    <s v="MEDELLIN"/>
    <x v="4"/>
    <x v="5"/>
    <n v="5736"/>
    <s v="TA-25-1145374"/>
    <n v="81678"/>
    <s v="APERTURA"/>
    <s v="CB CRECIMIENTO ALIANZA - NUEVO"/>
    <s v="ANTIOQUIA"/>
    <s v="SEGOVIA"/>
    <s v="DISTRICOL MEGA MARKET OFERTON"/>
    <s v="REDEBAN"/>
    <s v="FO-25-1577308"/>
    <d v="2025-09-24T00:00:00"/>
    <d v="2025-09-26T00:00:00"/>
    <s v="AGREGADOR"/>
    <s v="DISTRICOL"/>
    <s v="EJECUTADO"/>
    <s v="24-09 PROGRAMACIÓN REALIZADA POR LA ALIANZA 26/09/2025 ESCALAMOS NOVEDAD DE CERCANÍA. VISITAMOS DIRECCIÓN ENCONTRANDO COMERCIO CERCANO CON CODIGO 3007068151LA BANCA SEGOVIA 1 CON DIRECCIÓN CR 53 49 77 COMERCIO EXISTENTE COORDENADAS 7.080806 -74.702343 COMERCIO A INSTALAR COORDENADAS 7.080554 -74.702437 / ENTIDAD APRUEBA INSTALACIÓN 26/09/2025 SE REALIZA INSTALACIÓN DE CORRESPONSAL, SE INSTALAN EQUIPOS CON PRUEBAS EXITOSAS, SE CAPACITA Y SE EVALÚA AL CLIENTE, SE INSTALA PUBLICIDAD COMPLETA, CB QUEDA OPERATIVO. USUARIO SOMOS BANCOLOMBIA ACTIVO"/>
    <s v="VISITA_TÉCNICA"/>
    <s v="FWZZZ439"/>
    <s v="TIPO IV"/>
    <s v="TERRESTRE"/>
    <s v="DIAZ ZABALA FRANCIS DUBAN"/>
    <n v="1"/>
    <n v="1"/>
    <n v="1"/>
    <n v="11251.22416"/>
    <n v="126317.12212"/>
    <n v="110808.27512000001"/>
    <n v="248376.6214"/>
  </r>
  <r>
    <s v="APARTADO"/>
    <x v="4"/>
    <x v="5"/>
    <n v="5837"/>
    <s v="TA-25-1145375"/>
    <n v="81656"/>
    <s v="APERTURA"/>
    <s v="CB CRECIMIENTO ALIANZA - NUEVO"/>
    <s v="ANTIOQUIA"/>
    <s v="TURBO"/>
    <s v="DISTRICOL FARMARIVAS"/>
    <s v="REDEBAN"/>
    <s v="FO-25-1577311"/>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0"/>
    <s v="TIPO II"/>
    <s v="TERRESTRE"/>
    <s v="SALDARRIAGA MIRANDA SANTIAGO"/>
    <n v="1"/>
    <n v="1"/>
    <n v="1"/>
    <n v="11251.22416"/>
    <n v="126317.12212"/>
    <n v="110808.27512000001"/>
    <n v="248376.6214"/>
  </r>
  <r>
    <s v="APARTADO"/>
    <x v="4"/>
    <x v="5"/>
    <n v="5837"/>
    <s v="TA-25-1145377"/>
    <n v="81655"/>
    <s v="APERTURA"/>
    <s v="CB CRECIMIENTO ALIANZA - NUEVO"/>
    <s v="ANTIOQUIA"/>
    <s v="TURBO"/>
    <s v="DISTRICOL EL PRIMO"/>
    <s v="REDEBAN"/>
    <s v="FO-25-157731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1"/>
    <s v="TIPO II"/>
    <s v="TERRESTRE"/>
    <s v="SALDARRIAGA MIRANDA SANTIAGO"/>
    <n v="1"/>
    <n v="1"/>
    <n v="1"/>
    <n v="11251.22416"/>
    <n v="126317.12212"/>
    <n v="110808.27512000001"/>
    <n v="248376.6214"/>
  </r>
  <r>
    <s v="BARRANQUILLA"/>
    <x v="1"/>
    <x v="2"/>
    <n v="8001"/>
    <s v="TA-25-1145378"/>
    <n v="81624"/>
    <s v="APERTURA"/>
    <s v="CB CRECIMIENTO ALIANZA - NUEVO"/>
    <s v="ATLANTICO"/>
    <s v="BARRANQUILLA"/>
    <s v="PTM BARRANQUILLA DROGUERÍA LA"/>
    <s v="REDEBAN"/>
    <s v="FO-25-1577323"/>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2"/>
    <s v="TIPO I"/>
    <s v="TERRESTRE"/>
    <s v="PORRAS CASTRO DARLON NASCK"/>
    <n v="1"/>
    <n v="1"/>
    <n v="1"/>
    <n v="11251.22416"/>
    <n v="126317.12212"/>
    <n v="57411.974240000003"/>
    <n v="194980.32052000001"/>
  </r>
  <r>
    <s v="BARRANQUILLA"/>
    <x v="1"/>
    <x v="2"/>
    <n v="8758"/>
    <s v="TA-25-1145379"/>
    <n v="81687"/>
    <s v="APERTURA"/>
    <s v="CB CRECIMIENTO ALIANZA - NUEVO"/>
    <s v="ATLANTICO"/>
    <s v="SOLEDAD"/>
    <s v="PTM SOLEDAD TIENDA EL TESORO D"/>
    <s v="REDEBAN"/>
    <s v="FO-25-1577328"/>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3"/>
    <s v="TIPO I"/>
    <s v="TERRESTRE"/>
    <s v="PORRAS CASTRO DARLON NASCK"/>
    <n v="1"/>
    <n v="1"/>
    <n v="1"/>
    <n v="11251.22416"/>
    <n v="126317.12212"/>
    <n v="57411.974240000003"/>
    <n v="194980.32052000001"/>
  </r>
  <r>
    <s v="BUCARAMANGA"/>
    <x v="3"/>
    <x v="4"/>
    <n v="13688"/>
    <s v="TA-25-1145382"/>
    <n v="81682"/>
    <s v="APERTURA"/>
    <s v="CB CRECIMIENTO ALIANZA - NUEVO"/>
    <s v="BOLIVAR"/>
    <s v="SANTA ROSA DEL SUR"/>
    <s v="DISTRICOL SERVIPARK &amp; WASH"/>
    <s v="REDEBAN"/>
    <s v="FO-25-1577333"/>
    <d v="2025-09-24T00:00:00"/>
    <d v="2025-09-30T00:00:00"/>
    <s v="AGREGADOR"/>
    <s v="DISTRICOL"/>
    <s v="EJECUTADO"/>
    <s v="24-09 PROGRAMACIÓN REALIZADA POR LA ALIANZA 30/09/2025 SE REALIZA INSTALACIÓN DE CORRESPONSAL, SE INSTALAN EQUIPOS CON PRUEBAS EXITOSAS, SE CAPACITA Y SE EVALÚA AL CLIENTE, SE INSTALA PUBLICIDAD COMPLETA, CB QUEDA OPERATIVO. USUARIO SOMOS BANCOLOMBIA ACTIVO"/>
    <s v="VISITA_TÉCNICA"/>
    <s v="FWZZZ444"/>
    <s v="TIPO IV ESPECIAL"/>
    <s v="TERRESTRE/FLUVIAL"/>
    <s v="GONZALEZ ESTUPIÑAN YEISON WALTER ANTONIO"/>
    <n v="1"/>
    <n v="1"/>
    <n v="1"/>
    <n v="11251.22416"/>
    <n v="126317.12212"/>
    <n v="110808.27512000001"/>
    <n v="248376.6214"/>
  </r>
  <r>
    <s v="TUNJA"/>
    <x v="3"/>
    <x v="4"/>
    <n v="15176"/>
    <s v="TA-25-1145386"/>
    <n v="81645"/>
    <s v="APERTURA"/>
    <s v="CB CRECIMIENTO ALIANZA - NUEVO"/>
    <s v="BOYACA"/>
    <s v="CHIQUINQUIRA"/>
    <s v="PTM CHIQUINQUIRA VARIEDADES LA"/>
    <s v="REDEBAN"/>
    <s v="FO-25-1577338"/>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5"/>
    <s v="TIPO III"/>
    <s v="TERRESTRE"/>
    <s v="GONZALEZ GONZALEZ MARIO ALBERTO"/>
    <n v="1"/>
    <n v="1"/>
    <n v="1"/>
    <n v="11251.22416"/>
    <n v="126317.12212"/>
    <n v="110808.27512000001"/>
    <n v="248376.6214"/>
  </r>
  <r>
    <s v="TUNJA"/>
    <x v="3"/>
    <x v="4"/>
    <n v="15759"/>
    <s v="TA-25-1145387"/>
    <n v="81686"/>
    <s v="APERTURA"/>
    <s v="CB CRECIMIENTO ALIANZA - NUEVO"/>
    <s v="BOYACA"/>
    <s v="SOGAMOSO"/>
    <s v="DISTRICOL LIZZMORE BABYS"/>
    <s v="REDEBAN"/>
    <s v="FO-25-1577341"/>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6"/>
    <s v="TIPO II"/>
    <s v="TERRESTRE"/>
    <s v="HERRERA GARZON JEYSON STEVENT"/>
    <n v="1"/>
    <n v="1"/>
    <n v="1"/>
    <n v="11251.22416"/>
    <n v="126317.12212"/>
    <n v="110808.27512000001"/>
    <n v="248376.6214"/>
  </r>
  <r>
    <s v="CALI"/>
    <x v="0"/>
    <x v="0"/>
    <n v="19001"/>
    <s v="TA-25-1145396"/>
    <n v="81674"/>
    <s v="APERTURA"/>
    <s v="CB CRECIMIENTO ALIANZA - NUEVO"/>
    <s v="CAUCA"/>
    <s v="POPAYAN"/>
    <s v="DISTRICOL TIEND MELISA Y CESAR"/>
    <s v="REDEBAN"/>
    <s v="FO-25-157735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7"/>
    <s v="TIPO III"/>
    <s v="TERRESTRE"/>
    <s v="GIMBUEL LASSO LUIS GERMAN"/>
    <n v="1"/>
    <n v="1"/>
    <n v="1"/>
    <n v="11251.22416"/>
    <n v="126317.12212"/>
    <n v="110808.27512000001"/>
    <n v="248376.6214"/>
  </r>
  <r>
    <s v="VALLEDUPAR"/>
    <x v="1"/>
    <x v="2"/>
    <n v="20011"/>
    <s v="TA-25-1145401"/>
    <n v="81621"/>
    <s v="APERTURA"/>
    <s v="CB CRECIMIENTO ALIANZA - NUEVO"/>
    <s v="CESAR"/>
    <s v="AGUACHICA"/>
    <s v="DISTRICOL DROGUERIA REB FARMA"/>
    <s v="REDEBAN"/>
    <s v="FO-25-157736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8"/>
    <s v="TIPO IV"/>
    <s v="TERRESTRE"/>
    <s v="MONTES DIAZ JOHN FRED"/>
    <n v="1"/>
    <n v="1"/>
    <n v="1"/>
    <n v="11251.22416"/>
    <n v="126317.12212"/>
    <n v="110808.27512000001"/>
    <n v="248376.6214"/>
  </r>
  <r>
    <s v="MONTERIA"/>
    <x v="1"/>
    <x v="2"/>
    <n v="23001"/>
    <s v="TA-25-1145403"/>
    <n v="81668"/>
    <s v="APERTURA"/>
    <s v="CB CRECIMIENTO ALIANZA - NUEVO"/>
    <s v="CORDOBA"/>
    <s v="MONTERIA"/>
    <s v="PTM MONTERIA MISCELANEA Y PAPE"/>
    <s v="REDEBAN"/>
    <s v="FO-25-1586004"/>
    <d v="2025-09-24T00:00:00"/>
    <d v="2025-09-30T00:00:00"/>
    <s v="AGREGADOR"/>
    <s v="COMCARD - PTM"/>
    <s v="EJECUTADO"/>
    <s v="24-09 PROGRAMACIÓN REALIZADA POR LA ALIANZA 25/09/2025 NO ES POSIBLE INSTALAR EL CB POR MOTIVOS DE LA TERMINAL YA QUE NO ESTÁ ACTIVA PARA EL CORRESPONSAL Y REDEBAN NOS INDICO QUE TENÍAN FALLAS CON LA WEB Y NO PUDO SER ASOCIADA LA TERMINAL EL DÍA DE HOY, POR ESE MOTIVO SE REPROGRAMA LA VISITA PARA EL DÍA DE MAÑANA FECHA 26/09/2025 26-09 REDEBAN INFORMA QUE LA VISITA PARA LA APERTURA, SE REALICE EL DÍA LUNES EN HORAS DE LA TARDE FECHA 29/09/2025 YA QUE NO HAN PODIDO SOLUCIONAR LA FALLA CON LA TERMINAL 29-09 EN COMUNICACIÓN CON ALEJANDRA SILVA DE REDEBAN INDICAN QUE NO SE A PODIDO SOLUCIONAR EL TEMA DE ASOCIACIÓN DE TERMINALES, EL DÍA DE HOY NO SE PODRÁ REALIZAR LA INSTALACIÓN YA QUE NO SE HAN ASOCIADO LAS TERMINALES, SIGUEN EN PROCESO DE SOLUCION 30/09/2025 SE REALIZA INSTALACIÓN DE CORRESPONSAL, SE INSTALAN EQUIPOS CON PRUEBAS EXITOSAS, SE CAPACITA Y SE EVALÚA AL CLIENTE, SE INSTALA PUBLICIDAD COMPLETA, CB QUEDA OPERATIVO. USUARIO SOMOS BANCOLOMBIA ACTIVO"/>
    <s v="VISITA_TÉCNICA"/>
    <s v="FWZZZ449"/>
    <s v="TIPO I"/>
    <s v="TERRESTRE"/>
    <s v="GONZALEZ FERRER JESUS ALEXANDER"/>
    <n v="1"/>
    <n v="1"/>
    <n v="3"/>
    <n v="11251.22416"/>
    <n v="126317.12212"/>
    <n v="57411.974240000003"/>
    <n v="309804.26899999997"/>
  </r>
  <r>
    <s v="MONTERIA"/>
    <x v="1"/>
    <x v="2"/>
    <n v="23350"/>
    <s v="TA-25-1145405"/>
    <n v="81661"/>
    <s v="APERTURA"/>
    <s v="CB CRECIMIENTO ALIANZA - NUEVO"/>
    <s v="CORDOBA"/>
    <s v="LA APARTADA"/>
    <s v="DISTRICOL MUNDO REPUESTOS"/>
    <s v="REDEBAN"/>
    <s v="FO-25-157737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50"/>
    <s v="TIPO II"/>
    <s v="TERRESTRE"/>
    <s v="CALDERA SALCEDO CARLOS JULIO"/>
    <n v="1"/>
    <n v="1"/>
    <n v="1"/>
    <n v="11251.22416"/>
    <n v="126317.12212"/>
    <n v="110808.27512000001"/>
    <n v="248376.6214"/>
  </r>
  <r>
    <s v="MONTERIA"/>
    <x v="1"/>
    <x v="2"/>
    <n v="23660"/>
    <s v="TA-25-1145407"/>
    <n v="81679"/>
    <s v="APERTURA"/>
    <s v="CB CRECIMIENTO ALIANZA - NUEVO"/>
    <s v="CORDOBA"/>
    <s v="SAHAGUN"/>
    <s v="DISTRICOL EL ROSARIO"/>
    <s v="REDEBAN"/>
    <s v="FO-25-1577374"/>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51"/>
    <s v="TIPO II"/>
    <s v="TERRESTRE"/>
    <s v="CALDERA SALCEDO CARLOS JULIO"/>
    <n v="1"/>
    <n v="1"/>
    <n v="1"/>
    <n v="11251.22416"/>
    <n v="126317.12212"/>
    <n v="110808.27512000001"/>
    <n v="248376.6214"/>
  </r>
  <r>
    <s v="MONTERIA"/>
    <x v="1"/>
    <x v="2"/>
    <n v="23686"/>
    <s v="TA-25-1145408"/>
    <n v="81681"/>
    <s v="APERTURA"/>
    <s v="CB CRECIMIENTO ALIANZA - NUEVO"/>
    <s v="CORDOBA"/>
    <s v="SAN PELAYO"/>
    <s v="DISTRICOL ZONA SMART SP"/>
    <s v="REDEBAN"/>
    <s v="FO-25-157737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53"/>
    <s v="TIPO II"/>
    <s v="TERRESTRE"/>
    <s v="COGOLLO ROSSO CAMILO ANDRES"/>
    <n v="1"/>
    <n v="1"/>
    <n v="1"/>
    <n v="11251.22416"/>
    <n v="126317.12212"/>
    <n v="110808.27512000001"/>
    <n v="248376.6214"/>
  </r>
  <r>
    <s v="APARTADO"/>
    <x v="4"/>
    <x v="5"/>
    <n v="27615"/>
    <s v="TA-25-1145433"/>
    <n v="81633"/>
    <s v="APERTURA"/>
    <s v="CB CRECIMIENTO ALIANZA - NUEVO"/>
    <s v="CHOCO"/>
    <s v="RIOSUCIO"/>
    <s v="DISTRICOL AGROINSUMOS LA FINCA"/>
    <s v="REDEBAN"/>
    <s v="FO-25-1577388"/>
    <d v="2025-09-24T00:00:00"/>
    <d v="2025-09-30T00:00:00"/>
    <s v="AGREGADOR"/>
    <s v="DISTRICOL"/>
    <s v="EJECUTADO"/>
    <s v="24-09 PROGRAMACIÓN REALIZADA POR LA ALIANZA 30/09/2025 SE REALIZA INSTALACIÓN DE CORRESPONSAL, SE INSTALAN EQUIPOS CON PRUEBAS EXITOSAS, SE CAPACITA Y SE EVALÚA AL CLIENTE, SE INSTALA PUBLICIDAD COMPLETA, CB QUEDA OPERATIVO. USUARIO SOMOS BANCOLOMBIA ACTIVO"/>
    <s v="VISITA_TÉCNICA"/>
    <s v="FWZZZ455"/>
    <s v="TIPO IV ESPECIAL"/>
    <s v="TERRESTRE/FLUVIAL"/>
    <s v="ZAPATA LOPEZ EDWARD ASDRUBAL"/>
    <n v="1"/>
    <n v="1"/>
    <n v="1"/>
    <n v="11251.22416"/>
    <n v="126317.12212"/>
    <n v="110808.27512000001"/>
    <n v="248376.6214"/>
  </r>
  <r>
    <s v="VILLAVICENCIO"/>
    <x v="2"/>
    <x v="3"/>
    <n v="50001"/>
    <s v="TA-25-1145459"/>
    <n v="81695"/>
    <s v="APERTURA"/>
    <s v="CB CRECIMIENTO ALIANZA - NUEVO"/>
    <s v="META"/>
    <s v="VILLAVICENCIO"/>
    <s v="PTM VILLAVICENCIO  DROGAS VILL"/>
    <s v="REDEBAN"/>
    <s v="FO-25-1577404"/>
    <d v="2025-09-24T00:00:00"/>
    <d v="2025-09-26T00:00:00"/>
    <s v="AGREGADOR"/>
    <s v="COMCARD - PTM"/>
    <s v="EJECUTADO/CANCELADO"/>
    <s v="24-09 PROGRAMACIÓN REALIZADA POR LA ALIANZA 26/09/2025 SE ESCALA CASO DE APERTURA CB 3007081695 - PTM VILLAVICENCIO DROGAS VILLAVICENCIO CB A INSTALAR PTM 81695 - CALLE 10 NO 12 C - 111 ESTERO CB INSTALADO WOMPI 77610 - CALLE 10 NO 12 C – 112 BARRIO ESTERO / ENTIDAD SOLICITA CANCELAR INSTALACIÓN"/>
    <s v="VISITA_TÉCNICA"/>
    <s v="FWZZZ460"/>
    <s v="TIPO I"/>
    <s v="TERRESTRE"/>
    <s v="CASTRILLON URREA LONDIER LEANDRO"/>
    <n v="0"/>
    <n v="0"/>
    <n v="2"/>
    <n v="11251.22416"/>
    <n v="126317.12212"/>
    <n v="57411.974240000003"/>
    <n v="114823.94848000001"/>
  </r>
  <r>
    <s v="PASTO"/>
    <x v="0"/>
    <x v="0"/>
    <n v="52001"/>
    <s v="TA-25-1145487"/>
    <n v="81672"/>
    <s v="APERTURA"/>
    <s v="CB CRECIMIENTO ALIANZA - NUEVO"/>
    <s v="NARIÑO"/>
    <s v="PASTO"/>
    <s v="DISTRICOL DROGUERIA SAMU"/>
    <s v="REDEBAN"/>
    <s v="FO-25-1577426"/>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3"/>
    <s v="TIPO I"/>
    <s v="TERRESTRE"/>
    <s v="CASTILLO HERRERA ALEX RICARDO"/>
    <n v="1"/>
    <n v="1"/>
    <n v="1"/>
    <n v="11251.22416"/>
    <n v="126317.12212"/>
    <n v="57411.974240000003"/>
    <n v="194980.32052000001"/>
  </r>
  <r>
    <s v="PASTO"/>
    <x v="0"/>
    <x v="0"/>
    <n v="52110"/>
    <s v="TA-25-1145512"/>
    <n v="81635"/>
    <s v="APERTURA"/>
    <s v="CB CRECIMIENTO ALIANZA - NUEVO"/>
    <s v="NARIÑO"/>
    <s v="BUESACO"/>
    <s v="DISTRICOL DROG LA PRESENTACION"/>
    <s v="REDEBAN"/>
    <s v="FO-25-157743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65"/>
    <s v="TIPO II"/>
    <s v="TERRESTRE"/>
    <s v="REMICIO AMADO JOHN HEBER"/>
    <n v="1"/>
    <n v="1"/>
    <n v="1"/>
    <n v="11251.22416"/>
    <n v="126317.12212"/>
    <n v="110808.27512000001"/>
    <n v="248376.6214"/>
  </r>
  <r>
    <s v="CUCUTA"/>
    <x v="3"/>
    <x v="4"/>
    <n v="54001"/>
    <s v="TA-25-1145545"/>
    <n v="81650"/>
    <s v="APERTURA"/>
    <s v="CB CRECIMIENTO ALIANZA - NUEVO"/>
    <s v="NORTE DE SANTANDER"/>
    <s v="CUCUTA"/>
    <s v="DISTRICOL MARCELAS CHIP STORE"/>
    <s v="REDEBAN"/>
    <s v="FO-25-1577462"/>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8"/>
    <s v="TIPO I"/>
    <s v="TERRESTRE"/>
    <s v="NARANJO AFANADOR RUBEN JESUS"/>
    <n v="1"/>
    <n v="1"/>
    <n v="1"/>
    <n v="11251.22416"/>
    <n v="126317.12212"/>
    <n v="57411.974240000003"/>
    <n v="194980.32052000001"/>
  </r>
  <r>
    <s v="CUCUTA"/>
    <x v="3"/>
    <x v="4"/>
    <n v="54001"/>
    <s v="TA-25-1145582"/>
    <n v="81651"/>
    <s v="APERTURA"/>
    <s v="CB CRECIMIENTO ALIANZA - NUEVO"/>
    <s v="NORTE DE SANTANDER"/>
    <s v="CUCUTA"/>
    <s v="DISTRICOL COMIDA RAPIDA NICHE2"/>
    <s v="REDEBAN"/>
    <s v="FO-25-1577485"/>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9"/>
    <s v="TIPO I"/>
    <s v="TERRESTRE"/>
    <s v="DURAN ACOSTA FRANK YONNY"/>
    <n v="1"/>
    <n v="1"/>
    <n v="1"/>
    <n v="11251.22416"/>
    <n v="126317.12212"/>
    <n v="57411.974240000003"/>
    <n v="194980.32052000001"/>
  </r>
  <r>
    <s v="CUCUTA"/>
    <x v="3"/>
    <x v="4"/>
    <n v="54001"/>
    <s v="TA-25-1145621"/>
    <n v="81652"/>
    <s v="APERTURA"/>
    <s v="CB CRECIMIENTO ALIANZA - NUEVO"/>
    <s v="NORTE DE SANTANDER"/>
    <s v="CUCUTA"/>
    <s v="DISTRICOL CAFETERIA ASHLEY"/>
    <s v="REDEBAN"/>
    <s v="FO-25-1577509"/>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70"/>
    <s v="TIPO I"/>
    <s v="TERRESTRE"/>
    <s v="MORA VEGA JEAMPIER"/>
    <n v="1"/>
    <n v="1"/>
    <n v="1"/>
    <n v="11251.22416"/>
    <n v="126317.12212"/>
    <n v="57411.974240000003"/>
    <n v="194980.32052000001"/>
  </r>
  <r>
    <s v="CUCUTA"/>
    <x v="3"/>
    <x v="4"/>
    <n v="54405"/>
    <s v="TA-25-1145654"/>
    <n v="81665"/>
    <s v="APERTURA"/>
    <s v="CB CRECIMIENTO ALIANZA - NUEVO"/>
    <s v="NORTE DE SANTANDER"/>
    <s v="LOS PATIOS"/>
    <s v="DISTRICOL TU ENSUEÑO"/>
    <s v="REDEBAN"/>
    <s v="FO-25-1577531"/>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71"/>
    <s v="TIPO I"/>
    <s v="TERRESTRE"/>
    <s v="PACHECO BUITRAGO JAVIER ALONSO"/>
    <n v="1"/>
    <n v="1"/>
    <n v="1"/>
    <n v="11251.22416"/>
    <n v="126317.12212"/>
    <n v="57411.974240000003"/>
    <n v="194980.32052000001"/>
  </r>
  <r>
    <s v="CUCUTA"/>
    <x v="3"/>
    <x v="4"/>
    <n v="54498"/>
    <s v="TA-25-1145684"/>
    <n v="81669"/>
    <s v="APERTURA"/>
    <s v="CB CRECIMIENTO ALIANZA - NUEVO"/>
    <s v="NORTE DE SANTANDER"/>
    <s v="OCAÑA"/>
    <s v="DISTRICOL QUALITY SHOP COL"/>
    <s v="REDEBAN"/>
    <s v="FO-25-1577553"/>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72"/>
    <s v="TIPO IV"/>
    <s v="TERRESTRE"/>
    <s v="MARTINEZ FLOREZ DONIS ALBERTO"/>
    <n v="1"/>
    <n v="1"/>
    <n v="1"/>
    <n v="11251.22416"/>
    <n v="126317.12212"/>
    <n v="110808.27512000001"/>
    <n v="248376.6214"/>
  </r>
  <r>
    <s v="PEREIRA"/>
    <x v="0"/>
    <x v="1"/>
    <n v="66400"/>
    <s v="TA-25-1145712"/>
    <n v="81663"/>
    <s v="APERTURA"/>
    <s v="CB CRECIMIENTO ALIANZA - NUEVO"/>
    <s v="RISARALDA"/>
    <s v="LA VIRGINIA"/>
    <s v="DISTRICOL NAUTIMOTOS TITO"/>
    <s v="REDEBAN"/>
    <s v="FO-25-1577574"/>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3"/>
    <s v="TIPO I"/>
    <s v="TERRESTRE"/>
    <s v="FRANCO CAÑAVERAL YAMID RAUL"/>
    <n v="1"/>
    <n v="1"/>
    <n v="1"/>
    <n v="11251.22416"/>
    <n v="126317.12212"/>
    <n v="57411.974240000003"/>
    <n v="194980.32052000001"/>
  </r>
  <r>
    <s v="BUCARAMANGA"/>
    <x v="3"/>
    <x v="4"/>
    <n v="68001"/>
    <s v="TA-25-1145744"/>
    <n v="81634"/>
    <s v="APERTURA"/>
    <s v="CB CRECIMIENTO ALIANZA - NUEVO"/>
    <s v="SANTANDER"/>
    <s v="BUCARAMANGA"/>
    <s v="DISTRICOL MICROMERCADO GAMBOA"/>
    <s v="REDEBAN"/>
    <s v="FO-25-157759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4"/>
    <s v="TIPO I"/>
    <s v="TERRESTRE"/>
    <s v="GONZALEZ ESTUPIÑAN YEISON WALTER ANTONIO"/>
    <n v="1"/>
    <n v="1"/>
    <n v="1"/>
    <n v="11251.22416"/>
    <n v="126317.12212"/>
    <n v="57411.974240000003"/>
    <n v="194980.32052000001"/>
  </r>
  <r>
    <s v="BUCARAMANGA"/>
    <x v="3"/>
    <x v="4"/>
    <n v="68307"/>
    <s v="TA-25-1145774"/>
    <n v="81657"/>
    <s v="APERTURA"/>
    <s v="CB CRECIMIENTO ALIANZA - NUEVO"/>
    <s v="SANTANDER"/>
    <s v="GIRON"/>
    <s v="DISTRICOL INVERSIONES EMG"/>
    <s v="REDEBAN"/>
    <s v="FO-25-1577616"/>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5"/>
    <s v="TIPO I"/>
    <s v="TERRESTRE"/>
    <s v="SANTOS GONZALEZ JOHAN FABIAN"/>
    <n v="1"/>
    <n v="1"/>
    <n v="1"/>
    <n v="11251.22416"/>
    <n v="126317.12212"/>
    <n v="57411.974240000003"/>
    <n v="194980.32052000001"/>
  </r>
  <r>
    <s v="BUCARAMANGA"/>
    <x v="3"/>
    <x v="4"/>
    <n v="68406"/>
    <s v="TA-25-1145805"/>
    <n v="81664"/>
    <s v="APERTURA"/>
    <s v="CB CRECIMIENTO ALIANZA - NUEVO"/>
    <s v="SANTANDER"/>
    <s v="LEBRIJA"/>
    <s v="PTM LEBRIJA BODEGA EMY AUTOSER"/>
    <s v="REDEBAN"/>
    <s v="FO-25-1577634"/>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6"/>
    <s v="TIPO II"/>
    <s v="TERRESTRE"/>
    <s v="PEÑA DIAZ IVAN YESID"/>
    <n v="1"/>
    <n v="1"/>
    <n v="1"/>
    <n v="11251.22416"/>
    <n v="126317.12212"/>
    <n v="110808.27512000001"/>
    <n v="248376.6214"/>
  </r>
  <r>
    <s v="BUCARAMANGA"/>
    <x v="3"/>
    <x v="4"/>
    <n v="68872"/>
    <s v="TA-25-1145806"/>
    <n v="81693"/>
    <s v="APERTURA"/>
    <s v="CB CRECIMIENTO ALIANZA - NUEVO"/>
    <s v="SANTANDER"/>
    <s v="VILLANUEVA"/>
    <s v="DISTRICOL LA GRANJA VILLANUEVA"/>
    <s v="REDEBAN"/>
    <s v="FO-25-1577644"/>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7"/>
    <s v="TIPO III"/>
    <s v="TERRESTRE"/>
    <s v="GELVEZ MOGOLLON JOSE ELISEO"/>
    <n v="1"/>
    <n v="1"/>
    <n v="1"/>
    <n v="11251.22416"/>
    <n v="126317.12212"/>
    <n v="110808.27512000001"/>
    <n v="248376.6214"/>
  </r>
  <r>
    <s v="SINCELEJO"/>
    <x v="1"/>
    <x v="2"/>
    <n v="70001"/>
    <s v="TA-25-1145807"/>
    <n v="81685"/>
    <s v="APERTURA"/>
    <s v="CB CRECIMIENTO ALIANZA - NUEVO"/>
    <s v="SUCRE"/>
    <s v="SINCELEJO"/>
    <s v="DISTRICOL D&amp;V MED FARMA"/>
    <s v="REDEBAN"/>
    <s v="FO-25-1577648"/>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8"/>
    <s v="TIPO I"/>
    <s v="TERRESTRE"/>
    <s v="SANTOS GUZMAN CHRISTIAN FELIPE"/>
    <n v="1"/>
    <n v="1"/>
    <n v="1"/>
    <n v="11251.22416"/>
    <n v="126317.12212"/>
    <n v="57411.974240000003"/>
    <n v="194980.32052000001"/>
  </r>
  <r>
    <s v="SINCELEJO"/>
    <x v="1"/>
    <x v="2"/>
    <n v="70001"/>
    <s v="TA-25-1145914"/>
    <n v="81684"/>
    <s v="APERTURA"/>
    <s v="CB CRECIMIENTO ALIANZA - NUEVO"/>
    <s v="SUCRE"/>
    <s v="SINCELEJO"/>
    <s v="DISTRICOL FARMAVID"/>
    <s v="REDEBAN"/>
    <s v="FO-25-157776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79"/>
    <s v="TIPO I"/>
    <s v="TERRESTRE"/>
    <s v="CACERES HERNANDEZ ANDRES"/>
    <n v="1"/>
    <n v="1"/>
    <n v="1"/>
    <n v="11251.22416"/>
    <n v="126317.12212"/>
    <n v="57411.974240000003"/>
    <n v="194980.32052000001"/>
  </r>
  <r>
    <s v="IBAGUE"/>
    <x v="2"/>
    <x v="3"/>
    <n v="73001"/>
    <s v="TA-25-1145809"/>
    <n v="81658"/>
    <s v="APERTURA"/>
    <s v="CB CRECIMIENTO ALIANZA - NUEVO"/>
    <s v="TOLIMA"/>
    <s v="IBAGUE"/>
    <s v="DISTRICOL MINIMARKET 1"/>
    <s v="REDEBAN"/>
    <s v="FO-25-1577656"/>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0"/>
    <s v="TIPO I"/>
    <s v="TERRESTRE"/>
    <s v="BARRAGAN TAFUR EDWIN ESTEBAN"/>
    <n v="1"/>
    <n v="1"/>
    <n v="1"/>
    <n v="11251.22416"/>
    <n v="126317.12212"/>
    <n v="57411.974240000003"/>
    <n v="194980.32052000001"/>
  </r>
  <r>
    <s v="IBAGUE"/>
    <x v="2"/>
    <x v="3"/>
    <n v="73001"/>
    <s v="TA-25-1145810"/>
    <n v="81659"/>
    <s v="APERTURA"/>
    <s v="CB CRECIMIENTO ALIANZA - NUEVO"/>
    <s v="TOLIMA"/>
    <s v="IBAGUE"/>
    <s v="DISTRICOL KARENA VARIEDADES"/>
    <s v="REDEBAN"/>
    <s v="FO-25-157765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1"/>
    <s v="TIPO I"/>
    <s v="TERRESTRE"/>
    <s v="BARRAGAN TAFUR EDWIN ESTEBAN"/>
    <n v="1"/>
    <n v="1"/>
    <n v="1"/>
    <n v="11251.22416"/>
    <n v="126317.12212"/>
    <n v="57411.974240000003"/>
    <n v="194980.32052000001"/>
  </r>
  <r>
    <s v="CALI"/>
    <x v="0"/>
    <x v="0"/>
    <n v="76001"/>
    <s v="TA-25-1145814"/>
    <n v="81640"/>
    <s v="APERTURA"/>
    <s v="CB CRECIMIENTO ALIANZA - NUEVO"/>
    <s v="VALLE DEL CAUCA"/>
    <s v="CALI"/>
    <s v="DISTRICOL BRYART ARTE DIGITAL"/>
    <s v="REDEBAN"/>
    <s v="FO-25-157766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2"/>
    <s v="TIPO I"/>
    <s v="TERRESTRE"/>
    <s v="HERRERA MONAR GEOVANNY"/>
    <n v="1"/>
    <n v="1"/>
    <n v="1"/>
    <n v="11251.22416"/>
    <n v="126317.12212"/>
    <n v="57411.974240000003"/>
    <n v="194980.32052000001"/>
  </r>
  <r>
    <s v="CALI"/>
    <x v="0"/>
    <x v="0"/>
    <n v="76001"/>
    <s v="TA-25-1145817"/>
    <n v="81638"/>
    <s v="APERTURA"/>
    <s v="CB CRECIMIENTO ALIANZA - NUEVO"/>
    <s v="VALLE DEL CAUCA"/>
    <s v="CALI"/>
    <s v="DISTRICOL DYSAR"/>
    <s v="REDEBAN"/>
    <s v="FO-25-1577667"/>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3"/>
    <s v="TIPO I"/>
    <s v="TERRESTRE"/>
    <s v="HERRERA MONAR GEOVANNY"/>
    <n v="1"/>
    <n v="1"/>
    <n v="1"/>
    <n v="11251.22416"/>
    <n v="126317.12212"/>
    <n v="57411.974240000003"/>
    <n v="194980.32052000001"/>
  </r>
  <r>
    <s v="CALI"/>
    <x v="0"/>
    <x v="0"/>
    <n v="76001"/>
    <s v="TA-25-1145818"/>
    <n v="81637"/>
    <s v="APERTURA"/>
    <s v="CB CRECIMIENTO ALIANZA - NUEVO"/>
    <s v="VALLE DEL CAUCA"/>
    <s v="CALI"/>
    <s v="PTM CALI PASAJE EXPRESS"/>
    <s v="REDEBAN"/>
    <s v="FO-25-1577670"/>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84"/>
    <s v="TIPO I"/>
    <s v="TERRESTRE"/>
    <s v="TORRES GARCIA JENDRY JOSE"/>
    <n v="1"/>
    <n v="1"/>
    <n v="1"/>
    <n v="11251.22416"/>
    <n v="126317.12212"/>
    <n v="57411.974240000003"/>
    <n v="194980.32052000001"/>
  </r>
  <r>
    <s v="CALI"/>
    <x v="0"/>
    <x v="0"/>
    <n v="76001"/>
    <s v="TA-25-1145821"/>
    <n v="81636"/>
    <s v="APERTURA"/>
    <s v="CB CRECIMIENTO ALIANZA - NUEVO"/>
    <s v="VALLE DEL CAUCA"/>
    <s v="CALI"/>
    <s v="PTM CALI MAXITECNO"/>
    <s v="REDEBAN"/>
    <s v="FO-25-1577673"/>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85"/>
    <s v="TIPO I"/>
    <s v="TERRESTRE"/>
    <s v="BOLAÑOS TABORDA JORGE ENRIQUE"/>
    <n v="1"/>
    <n v="1"/>
    <n v="1"/>
    <n v="11251.22416"/>
    <n v="126317.12212"/>
    <n v="57411.974240000003"/>
    <n v="194980.32052000001"/>
  </r>
  <r>
    <s v="CALI"/>
    <x v="0"/>
    <x v="0"/>
    <n v="76001"/>
    <s v="TA-25-1145822"/>
    <n v="81641"/>
    <s v="APERTURA"/>
    <s v="CB CRECIMIENTO ALIANZA - NUEVO"/>
    <s v="VALLE DEL CAUCA"/>
    <s v="CALI"/>
    <s v="PTM CALI MULTI TIENDA EL BILLE"/>
    <s v="REDEBAN"/>
    <s v="FO-25-1577676"/>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86"/>
    <s v="TIPO I"/>
    <s v="TERRESTRE"/>
    <s v="BOLAÑOS TABORDA JORGE ENRIQUE"/>
    <n v="1"/>
    <n v="1"/>
    <n v="1"/>
    <n v="11251.22416"/>
    <n v="126317.12212"/>
    <n v="57411.974240000003"/>
    <n v="194980.32052000001"/>
  </r>
  <r>
    <s v="CALI"/>
    <x v="0"/>
    <x v="0"/>
    <n v="76001"/>
    <s v="TA-25-1145823"/>
    <n v="81639"/>
    <s v="APERTURA"/>
    <s v="CB CRECIMIENTO ALIANZA - NUEVO"/>
    <s v="VALLE DEL CAUCA"/>
    <s v="CALI"/>
    <s v="PTM CALI CIBERNET PAPELERIA Y"/>
    <s v="REDEBAN"/>
    <s v="FO-25-1577679"/>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m/>
    <s v="FWZZZ487"/>
    <s v="TIPO I"/>
    <s v="TERRESTRE"/>
    <s v="MONTERO MUESES GIAN CARLO"/>
    <n v="1"/>
    <n v="1"/>
    <n v="1"/>
    <n v="11251.22416"/>
    <n v="126317.12212"/>
    <n v="57411.974240000003"/>
    <n v="194980.32052000001"/>
  </r>
  <r>
    <s v="PEREIRA"/>
    <x v="0"/>
    <x v="1"/>
    <n v="76147"/>
    <s v="TA-25-1145827"/>
    <n v="81644"/>
    <s v="APERTURA"/>
    <s v="CB CRECIMIENTO ALIANZA - NUEVO"/>
    <s v="VALLE DEL CAUCA"/>
    <s v="CARTAGO"/>
    <s v="DISTRICOL DROG MEDICAR CARTAGO"/>
    <s v="REDEBAN"/>
    <s v="FO-25-157768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88"/>
    <s v="TIPO I"/>
    <s v="TERRESTRE"/>
    <s v="FRANCO CAÑAVERAL YAMID RAUL"/>
    <n v="1"/>
    <n v="1"/>
    <n v="1"/>
    <n v="11251.22416"/>
    <n v="126317.12212"/>
    <n v="57411.974240000003"/>
    <n v="194980.32052000001"/>
  </r>
  <r>
    <s v="CALI"/>
    <x v="0"/>
    <x v="0"/>
    <n v="76520"/>
    <s v="TA-25-1145828"/>
    <n v="81671"/>
    <s v="APERTURA"/>
    <s v="CB CRECIMIENTO ALIANZA - NUEVO"/>
    <s v="VALLE DEL CAUCA"/>
    <s v="PALMIRA"/>
    <s v="DISTRICOL VARIEDADES JOSUE"/>
    <s v="REDEBAN"/>
    <s v="FO-25-1577691"/>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m/>
    <s v="FWZZZ489"/>
    <s v="TIPO I"/>
    <s v="TERRESTRE"/>
    <s v="TORRES GARCIA JENDRY JOSE"/>
    <n v="1"/>
    <n v="1"/>
    <n v="1"/>
    <n v="11251.22416"/>
    <n v="126317.12212"/>
    <n v="57411.974240000003"/>
    <n v="194980.32052000001"/>
  </r>
  <r>
    <s v="CALI"/>
    <x v="0"/>
    <x v="0"/>
    <n v="76834"/>
    <s v="TA-25-1145829"/>
    <n v="81689"/>
    <s v="APERTURA"/>
    <s v="CB CRECIMIENTO ALIANZA - NUEVO"/>
    <s v="VALLE DEL CAUCA"/>
    <s v="TULUA"/>
    <s v="PTM TULUA ALMACEN Y VARIEDADES"/>
    <s v="REDEBAN"/>
    <s v="FO-25-157769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90"/>
    <s v="TIPO II"/>
    <s v="TERRESTRE"/>
    <s v="MONTERO MUESES GIAN CARLO"/>
    <n v="1"/>
    <n v="1"/>
    <n v="1"/>
    <n v="11251.22416"/>
    <n v="126317.12212"/>
    <n v="110808.27512000001"/>
    <n v="248376.6214"/>
  </r>
  <r>
    <s v="BUCARAMANGA"/>
    <x v="3"/>
    <x v="4"/>
    <n v="81736"/>
    <s v="TA-25-1145833"/>
    <n v="81683"/>
    <s v="APERTURA"/>
    <s v="CB CRECIMIENTO ALIANZA - NUEVO"/>
    <s v="ARAUCA"/>
    <s v="SARAVENA"/>
    <s v="DISTRICOL VICTORIOSA SHOP"/>
    <s v="REDEBAN"/>
    <s v="FO-25-1577704"/>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91"/>
    <s v="TIPO IV ESPECIAL"/>
    <s v="AEREO"/>
    <s v="HERRERA LUQUE SAUL JAVIER"/>
    <n v="1"/>
    <n v="1"/>
    <n v="1"/>
    <n v="11251.22416"/>
    <n v="126317.12212"/>
    <n v="110808.27512000001"/>
    <n v="248376.6214"/>
  </r>
  <r>
    <s v="YOPAL"/>
    <x v="2"/>
    <x v="3"/>
    <n v="85001"/>
    <s v="TA-25-1145837"/>
    <n v="81702"/>
    <s v="APERTURA"/>
    <s v="CB CRECIMIENTO ALIANZA - NUEVO"/>
    <s v="CASANARE"/>
    <s v="YOPAL"/>
    <s v="DISTRICOL MINI MARK SOFIA"/>
    <s v="REDEBAN"/>
    <s v="FO-25-157772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m/>
    <s v="FWZZZ492"/>
    <s v="TIPO I"/>
    <s v="TERRESTRE"/>
    <s v="ROZO JIMENEZ EDGAR ARMANDO"/>
    <n v="1"/>
    <n v="1"/>
    <n v="1"/>
    <n v="11251.22416"/>
    <n v="126317.12212"/>
    <n v="57411.974240000003"/>
    <n v="194980.32052000001"/>
  </r>
  <r>
    <s v="VILLAVICENCIO"/>
    <x v="2"/>
    <x v="3"/>
    <n v="85440"/>
    <s v="TA-25-1145838"/>
    <n v="81694"/>
    <s v="APERTURA"/>
    <s v="CB CRECIMIENTO ALIANZA - NUEVO"/>
    <s v="CASANARE"/>
    <s v="VILLANUEVA"/>
    <s v="PTM VILLANUEVA DROGUERIA J&amp;C F"/>
    <s v="REDEBAN"/>
    <s v="FO-25-1577736"/>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93"/>
    <s v="TIPO III"/>
    <s v="TERRESTRE"/>
    <s v="MOLINA CASTRO JAVIER ALBERTO"/>
    <n v="1"/>
    <n v="1"/>
    <n v="1"/>
    <n v="11251.22416"/>
    <n v="126317.12212"/>
    <n v="110808.27512000001"/>
    <n v="248376.6214"/>
  </r>
  <r>
    <s v="PASTO"/>
    <x v="0"/>
    <x v="0"/>
    <n v="86001"/>
    <s v="TA-25-1145844"/>
    <n v="81666"/>
    <s v="APERTURA"/>
    <s v="CB CRECIMIENTO ALIANZA - NUEVO"/>
    <s v="PUTUMAYO"/>
    <s v="MOCOA"/>
    <s v="DISTRICOL  COPYMAX CM"/>
    <s v="REDEBAN"/>
    <s v="FO-25-157773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494"/>
    <s v="TIPO IV"/>
    <s v="TERRESTRE"/>
    <s v="PAZ MARTINEZ RICHARD HUMBERTO"/>
    <n v="1"/>
    <n v="1"/>
    <n v="1"/>
    <n v="11251.22416"/>
    <n v="126317.12212"/>
    <n v="110808.27512000001"/>
    <n v="248376.6214"/>
  </r>
  <r>
    <s v="PASTO"/>
    <x v="0"/>
    <x v="0"/>
    <n v="86865"/>
    <s v="TA-25-1145940"/>
    <n v="81690"/>
    <s v="APERTURA"/>
    <s v="CB CRECIMIENTO ALIANZA - NUEVO"/>
    <s v="PUTUMAYO"/>
    <s v="VALLE DEL GUAMUEZ"/>
    <s v="DISTRICOL MILAN LA MARCA ERES"/>
    <s v="REDEBAN"/>
    <s v="FO-25-1577863"/>
    <d v="2025-09-24T00:00:00"/>
    <d v="2025-09-30T00:00:00"/>
    <s v="AGREGADOR"/>
    <s v="DISTRICOL"/>
    <s v="EJECUTADO"/>
    <s v="24-09 PROGRAMACIÓN REALIZADA POR LA ALIANZA 29-09 POR FUERTES LLUVIAS EN LA VÍA SE RETRASA EL TRANSPORTE. SE ATENDERÁ MAÑANA EN HORAS DE LA TARDE 30/09/2025 SE REALIZA INSTALACIÓN DE CORRESPONSAL, SE INSTALAN EQUIPOS CON PRUEBAS EXITOSAS, SE CAPACITA Y SE EVALÚA AL CLIENTE, SE INSTALA PUBLICIDAD COMPLETA, CB QUEDA OPERATIVO. USUARIO SOMOS BANCOLOMBIA ACTIVO"/>
    <m/>
    <s v="FWZZZ501"/>
    <s v="TIPO IV"/>
    <s v="TERRESTRE"/>
    <s v="CASTILLO HERRERA ALEX RICARDO"/>
    <n v="1"/>
    <n v="1"/>
    <n v="1"/>
    <n v="11251.22416"/>
    <n v="126317.12212"/>
    <n v="110808.27512000001"/>
    <n v="248376.6214"/>
  </r>
  <r>
    <s v="APARTADO"/>
    <x v="4"/>
    <x v="5"/>
    <n v="5045"/>
    <s v="TA-25-1145941"/>
    <n v="81646"/>
    <s v="APERTURA"/>
    <s v="CB CRECIMIENTO ALIANZA - NUEVO"/>
    <s v="ANTIOQUIA"/>
    <s v="APARTADO"/>
    <s v="DISTRICOL DROGUERÍA COMERCIAL"/>
    <s v="REDEBAN"/>
    <s v="FO-25-157788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m/>
    <s v="FWZZZ502"/>
    <s v="TIPO I"/>
    <s v="TERRESTRE"/>
    <s v="SALDARRIAGA MIRANDA SANTIAGO"/>
    <n v="1"/>
    <n v="1"/>
    <n v="1"/>
    <n v="11251.22416"/>
    <n v="126317.12212"/>
    <n v="57411.974240000003"/>
    <n v="194980.32052000001"/>
  </r>
  <r>
    <s v="APARTADO"/>
    <x v="4"/>
    <x v="5"/>
    <n v="5045"/>
    <s v="TA-25-1145944"/>
    <n v="81647"/>
    <s v="APERTURA"/>
    <s v="CB CRECIMIENTO ALIANZA - NUEVO"/>
    <s v="ANTIOQUIA"/>
    <s v="APARTADO"/>
    <s v="DISTRICOL FERROMATERIALES AGUD"/>
    <s v="REDEBAN"/>
    <s v="FO-25-1577897"/>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m/>
    <s v="FWZZZ503"/>
    <s v="TIPO I"/>
    <s v="TERRESTRE"/>
    <s v="SALDARRIAGA MIRANDA SANTIAGO"/>
    <n v="1"/>
    <n v="1"/>
    <n v="1"/>
    <n v="11251.22416"/>
    <n v="126317.12212"/>
    <n v="57411.974240000003"/>
    <n v="194980.32052000001"/>
  </r>
  <r>
    <s v="BOGOTA"/>
    <x v="5"/>
    <x v="6"/>
    <n v="11001"/>
    <s v="TA-25-1145946"/>
    <n v="81631"/>
    <s v="APERTURA"/>
    <s v="CB CRECIMIENTO ALIANZA - NUEVO"/>
    <s v="CUNDINAMARCA"/>
    <s v="BOGOTA"/>
    <s v="PTM BOGOTA PAPELERIA GAMER CEN"/>
    <s v="REDEBAN"/>
    <s v="FO-25-1577903"/>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504"/>
    <s v="TIPO I"/>
    <s v="TERRESTRE"/>
    <s v="ORTIZ MARTINEZ STIVEN"/>
    <n v="1"/>
    <n v="1"/>
    <n v="1"/>
    <n v="11251.22416"/>
    <n v="126317.12212"/>
    <n v="57411.974240000003"/>
    <n v="194980.32052000001"/>
  </r>
  <r>
    <s v="BOGOTA"/>
    <x v="5"/>
    <x v="6"/>
    <n v="11001"/>
    <s v="TA-25-1145950"/>
    <n v="81632"/>
    <s v="APERTURA"/>
    <s v="CB CRECIMIENTO ALIANZA - NUEVO"/>
    <s v="CUNDINAMARCA"/>
    <s v="BOGOTA"/>
    <s v="PTM BOGOTA MI PAPELERIA Y MAS"/>
    <s v="REDEBAN"/>
    <s v="FO-25-1577909"/>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505"/>
    <s v="TIPO I"/>
    <s v="TERRESTRE"/>
    <s v="VEGA MANRIQUE JONATAN MAURICIO"/>
    <n v="1"/>
    <n v="1"/>
    <n v="1"/>
    <n v="11251.22416"/>
    <n v="126317.12212"/>
    <n v="57411.974240000003"/>
    <n v="194980.32052000001"/>
  </r>
  <r>
    <s v="BOGOTA"/>
    <x v="5"/>
    <x v="6"/>
    <n v="11001"/>
    <s v="TA-25-1145952"/>
    <n v="81630"/>
    <s v="APERTURA"/>
    <s v="CB CRECIMIENTO ALIANZA - NUEVO"/>
    <s v="CUNDINAMARCA"/>
    <s v="BOGOTA"/>
    <s v="PTM BOGOTA TIENDA SANTI LA SEP"/>
    <s v="REDEBAN"/>
    <s v="FO-25-1589721"/>
    <d v="2025-09-24T00:00:00"/>
    <d v="2025-09-29T00:00:00"/>
    <s v="AGREGADOR"/>
    <s v="COMCARD - PTM"/>
    <s v="EJECUTADO"/>
    <s v="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
    <m/>
    <s v="FWZZZ506"/>
    <s v="TIPO I"/>
    <s v="TERRESTRE"/>
    <s v="ARIAS QUILINDO JULIAN"/>
    <n v="1"/>
    <n v="1"/>
    <n v="3"/>
    <n v="11251.22416"/>
    <n v="126317.12212"/>
    <n v="57411.974240000003"/>
    <n v="309804.26899999997"/>
  </r>
  <r>
    <s v="BOGOTA"/>
    <x v="5"/>
    <x v="6"/>
    <n v="11001"/>
    <s v="TA-25-1145953"/>
    <n v="81627"/>
    <s v="APERTURA"/>
    <s v="CB CRECIMIENTO ALIANZA - NUEVO"/>
    <s v="CUNDINAMARCA"/>
    <s v="BOGOTA"/>
    <s v="PTM BOGOTA PAGANINI 1A"/>
    <s v="REDEBAN"/>
    <s v="FO-25-1577918"/>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m/>
    <s v="FWZZZ507"/>
    <s v="TIPO I"/>
    <s v="TERRESTRE"/>
    <s v="GALINDO ROJAS LUIS FELIPE"/>
    <n v="1"/>
    <n v="1"/>
    <n v="1"/>
    <n v="11251.22416"/>
    <n v="126317.12212"/>
    <n v="57411.974240000003"/>
    <n v="194980.32052000001"/>
  </r>
  <r>
    <s v="BOGOTA"/>
    <x v="5"/>
    <x v="6"/>
    <n v="11001"/>
    <s v="TA-25-1146548"/>
    <n v="21499"/>
    <s v="APERTURA"/>
    <s v="DATAFONO ADICIONAL - ALIANZA"/>
    <s v="CUNDINAMARCA"/>
    <s v="BOGOTA"/>
    <s v="MULTIPAGAS  CARRERA OCTAVA"/>
    <s v="REDEBAN"/>
    <s v="FO-25-1578552"/>
    <d v="2025-09-24T00:00:00"/>
    <d v="2025-09-26T00:00:00"/>
    <s v="ROBUSTO"/>
    <s v="MULTIPAGAS"/>
    <s v="EJECUTADO"/>
    <s v="24-09 SE REALIZA LLAMADA AL CLIENTE, SE HABLA CON LA SRA NIDIA ESTUPIÑAN SE VALIDA DIRECCIÓN OK, CANAL OK, DISPONIBILIDAD TOTAL.COMUNICACIÓ POR WPP 26/09/2025 SE REALIZA INSTALACIÓN DE DAT ADICIONAL, PRUEBAS EXITOSAS, CB QUEDA OPERATIVO"/>
    <m/>
    <s v="FWZZZ508"/>
    <s v="TIPO I"/>
    <s v="TERRESTRE"/>
    <s v="GARCIA PASTRANA KEVIN FERNANDO"/>
    <n v="0"/>
    <n v="0"/>
    <n v="0"/>
    <n v="11251.22416"/>
    <n v="126317.12212"/>
    <n v="57411.974240000003"/>
    <n v="0"/>
  </r>
  <r>
    <s v="CARTAGENA"/>
    <x v="1"/>
    <x v="2"/>
    <n v="13001"/>
    <s v="TA-25-1152931"/>
    <n v="45160"/>
    <s v="APERTURA"/>
    <s v="DATAFONO ADICIONAL - ALIANZA"/>
    <s v="BOLIVAR"/>
    <s v="CARTAGENA"/>
    <s v="PTM ARJHOCRIS CIBER VARIEDADES"/>
    <s v="REDEBAN"/>
    <s v="FO-25-1587317"/>
    <d v="2025-09-26T00:00:00"/>
    <d v="2025-09-29T00:00:00"/>
    <s v="AGREGADOR"/>
    <s v="COMCARD - PTM"/>
    <s v="EJECUTADO"/>
    <s v="26-09 PROGRAMACIÓN REALIZADA POR LA ALIANZA 29-09 SE REALIZA INSTALACIÓN DE DATAFONO ADICIONAL, PRUEBAS EXITOSAS, CB QUEDA OPERATIVO"/>
    <m/>
    <s v="FXZZZ509"/>
    <s v="TIPO I"/>
    <s v="TERRESTRE"/>
    <s v="MARTINEZ SALGUEDO ANDRES AUGUSTO"/>
    <n v="0"/>
    <n v="0"/>
    <n v="0"/>
    <n v="11251.22416"/>
    <n v="126317.12212"/>
    <n v="57411.974240000003"/>
    <n v="0"/>
  </r>
  <r>
    <s v="CALI"/>
    <x v="0"/>
    <x v="0"/>
    <n v="76001"/>
    <s v="TA-25-1152932"/>
    <n v="73458"/>
    <s v="APERTURA"/>
    <s v="DATAFONO ADICIONAL - ALIANZA"/>
    <s v="VALLE DEL CAUCA"/>
    <s v="CALI"/>
    <s v="PTM CALI  RIZOS Y LISOS PERFEC"/>
    <s v="REDEBAN"/>
    <s v="FO-25-1587322"/>
    <d v="2025-09-26T00:00:00"/>
    <d v="2025-09-30T00:00:00"/>
    <s v="AGREGADOR"/>
    <s v="COMCARD - PTM"/>
    <s v="EJECUTADO"/>
    <s v="26-09 PROGRAMACIÓN REALIZADA POR LA ALIANZA 30/09/2025 SE REALIZA INSTALACIÓN DE DAT ADICIONAL, PRUEBAS EXITOSAS, CB QUEDA OPERATIVO"/>
    <m/>
    <s v="FXZZZ510"/>
    <s v="TIPO I"/>
    <s v="TERRESTRE"/>
    <s v="MONTERO MUESES GIAN CARLO"/>
    <n v="0"/>
    <n v="0"/>
    <n v="0"/>
    <n v="11251.22416"/>
    <n v="126317.12212"/>
    <n v="57411.974240000003"/>
    <n v="0"/>
  </r>
  <r>
    <s v="MEDELLIN"/>
    <x v="4"/>
    <x v="5"/>
    <n v="5001"/>
    <s v="TA-25-1157216"/>
    <n v="81716"/>
    <s v="APERTURA"/>
    <s v="CB CRECIMIENTO ALIANZA - NUEVO"/>
    <s v="ANTIOQUIA"/>
    <s v="MEDELLIN"/>
    <s v="DISTRICOL LA ESPERANZA"/>
    <s v="REDEBAN"/>
    <s v="FO-25-1598618"/>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m/>
    <s v="FYZZZ185"/>
    <s v="TIPO I"/>
    <s v="TERRESTRE"/>
    <s v="PAREJA ECHAVARRIA JHON DAVID"/>
    <n v="1"/>
    <n v="1"/>
    <n v="1"/>
    <n v="11251.22416"/>
    <n v="126317.12212"/>
    <n v="57411.974240000003"/>
    <n v="194980.32052000001"/>
  </r>
  <r>
    <s v="CARTAGENA"/>
    <x v="1"/>
    <x v="2"/>
    <n v="13001"/>
    <s v="TA-25-1157217"/>
    <n v="81705"/>
    <s v="APERTURA"/>
    <s v="CB CRECIMIENTO ALIANZA - NUEVO"/>
    <s v="BOLIVAR"/>
    <s v="CARTAGENA"/>
    <s v="DISTRICOL TIENDA EL NIDO"/>
    <s v="REDEBAN"/>
    <s v="FO-25-1598624"/>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m/>
    <s v="FYZZZ186"/>
    <s v="TIPO I"/>
    <s v="TERRESTRE"/>
    <s v="MARTINEZ SALGUEDO ANDRES AUGUSTO"/>
    <n v="1"/>
    <n v="1"/>
    <n v="1"/>
    <n v="11251.22416"/>
    <n v="126317.12212"/>
    <n v="57411.974240000003"/>
    <n v="194980.32052000001"/>
  </r>
  <r>
    <s v="PASTO"/>
    <x v="0"/>
    <x v="0"/>
    <n v="52001"/>
    <s v="TA-25-1157224"/>
    <n v="81712"/>
    <s v="APERTURA"/>
    <s v="CB CRECIMIENTO ALIANZA - NUEVO"/>
    <s v="NARIÑO"/>
    <s v="PASTO"/>
    <s v="DISTRICOL TIENDA EL MONO"/>
    <s v="REDEBAN"/>
    <s v="FO-25-1598639"/>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m/>
    <s v="FYZZZ189"/>
    <s v="TIPO I"/>
    <s v="TERRESTRE"/>
    <s v="REMICIO AMADO JOHN HEBER"/>
    <n v="1"/>
    <n v="1"/>
    <n v="1"/>
    <n v="11251.22416"/>
    <n v="126317.12212"/>
    <n v="57411.974240000003"/>
    <n v="194980.32052000001"/>
  </r>
  <r>
    <s v="PASTO"/>
    <x v="0"/>
    <x v="0"/>
    <n v="52001"/>
    <s v="TA-25-1157226"/>
    <n v="81711"/>
    <s v="APERTURA"/>
    <s v="CB CRECIMIENTO ALIANZA - NUEVO"/>
    <s v="NARIÑO"/>
    <s v="PASTO"/>
    <s v="DISTRICOL PAP ANGEL AGUALONGO"/>
    <s v="REDEBAN"/>
    <s v="FO-25-1598646"/>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m/>
    <s v="FYZZZ190"/>
    <s v="TIPO I"/>
    <s v="TERRESTRE"/>
    <s v="REMICIO AMADO JOHN HEBER"/>
    <n v="1"/>
    <n v="1"/>
    <n v="1"/>
    <n v="11251.22416"/>
    <n v="126317.12212"/>
    <n v="57411.974240000003"/>
    <n v="194980.32052000001"/>
  </r>
  <r>
    <s v="CUCUTA"/>
    <x v="3"/>
    <x v="4"/>
    <n v="54001"/>
    <s v="TA-25-1157228"/>
    <n v="81707"/>
    <s v="APERTURA"/>
    <s v="CB CRECIMIENTO ALIANZA - NUEVO"/>
    <s v="NORTE DE SANTANDER"/>
    <s v="CUCUTA"/>
    <s v="DISTRICOL BONGA BG"/>
    <s v="REDEBAN"/>
    <s v="FO-25-1598659"/>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m/>
    <s v="FYZZZ192"/>
    <s v="TIPO I"/>
    <s v="TERRESTRE"/>
    <s v="MORA VEGA JEAMPIER"/>
    <n v="1"/>
    <n v="1"/>
    <n v="1"/>
    <n v="11251.22416"/>
    <n v="126317.12212"/>
    <n v="57411.974240000003"/>
    <n v="194980.32052000001"/>
  </r>
  <r>
    <s v="CUCUTA"/>
    <x v="3"/>
    <x v="4"/>
    <n v="54874"/>
    <s v="TA-25-1157233"/>
    <n v="81715"/>
    <s v="APERTURA"/>
    <s v="CB CRECIMIENTO ALIANZA - NUEVO"/>
    <s v="NORTE DE SANTANDER"/>
    <s v="VILLA DEL ROSARIO"/>
    <s v="DISTRICOL MUEBLERIA CALIFORNIA"/>
    <s v="REDEBAN"/>
    <s v="FO-25-1598673"/>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m/>
    <s v="FYZZZ195"/>
    <s v="TIPO I"/>
    <s v="TERRESTRE"/>
    <s v="PACHECO BUITRAGO JAVIER ALONSO"/>
    <n v="1"/>
    <n v="1"/>
    <n v="1"/>
    <n v="11251.22416"/>
    <n v="126317.12212"/>
    <n v="57411.974240000003"/>
    <n v="194980.32052000001"/>
  </r>
  <r>
    <s v="BUCARAMANGA"/>
    <x v="3"/>
    <x v="4"/>
    <n v="68001"/>
    <s v="TA-25-1157235"/>
    <n v="81703"/>
    <s v="APERTURA"/>
    <s v="CB CRECIMIENTO ALIANZA - NUEVO"/>
    <s v="SANTANDER"/>
    <s v="BUCARAMANGA"/>
    <s v="DISTRICOL OPULENCE SHOES"/>
    <s v="REDEBAN"/>
    <s v="FO-25-1598678"/>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m/>
    <s v="FYZZZ196"/>
    <s v="TIPO I"/>
    <s v="TERRESTRE"/>
    <s v="REYES RAMIREZ DIEGO ALEXANDER"/>
    <n v="1"/>
    <n v="1"/>
    <n v="1"/>
    <n v="11251.22416"/>
    <n v="126317.12212"/>
    <n v="57411.974240000003"/>
    <n v="194980.32052000001"/>
  </r>
  <r>
    <m/>
    <x v="6"/>
    <x v="7"/>
    <m/>
    <m/>
    <m/>
    <m/>
    <m/>
    <m/>
    <m/>
    <m/>
    <m/>
    <m/>
    <m/>
    <m/>
    <m/>
    <m/>
    <m/>
    <m/>
    <m/>
    <m/>
    <m/>
    <m/>
    <m/>
    <m/>
    <m/>
    <m/>
    <m/>
    <m/>
    <m/>
    <n v="48205502.975919835"/>
  </r>
  <r>
    <m/>
    <x v="6"/>
    <x v="7"/>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DDF13A-6D14-469A-A564-0F005D611B10}" name="TablaDinámica1" cacheId="472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1">
    <pivotField compact="0" outline="0" showAll="0"/>
    <pivotField axis="axisRow" compact="0" outline="0" showAll="0" defaultSubtotal="0">
      <items count="7">
        <item x="0"/>
        <item x="1"/>
        <item x="4"/>
        <item x="2"/>
        <item x="3"/>
        <item x="5"/>
        <item h="1" x="6"/>
      </items>
    </pivotField>
    <pivotField axis="axisRow" compact="0" outline="0" showAll="0">
      <items count="9">
        <item x="2"/>
        <item x="1"/>
        <item x="0"/>
        <item x="6"/>
        <item x="5"/>
        <item x="3"/>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0" showDataAs="percentOfTotal" baseField="0" baseItem="0" numFmtId="10"/>
    <dataField nam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5BB9C7-9F3B-4D87-A3CD-383A33F4A86E}" name="TablaDinámica3" cacheId="471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0">
        <item h="1" x="8"/>
        <item x="6"/>
        <item x="2"/>
        <item x="0"/>
        <item x="3"/>
        <item x="4"/>
        <item x="5"/>
        <item x="1"/>
        <item h="1" x="7"/>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dataField name="Suma de VALOR2" fld="1" showDataAs="percentOfTotal" baseField="0" baseItem="0" numFmtId="9"/>
  </dataFields>
  <formats count="2">
    <format dxfId="8">
      <pivotArea outline="0" fieldPosition="0">
        <references count="1">
          <reference field="0" count="0" selected="0"/>
        </references>
      </pivotArea>
    </format>
    <format dxfId="9">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D168E2-4694-49EB-95D6-4044B62ABC22}" name="TablaDinámica2" cacheId="472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1:D29" firstHeaderRow="0" firstDataRow="1" firstDataCol="2"/>
  <pivotFields count="32">
    <pivotField compact="0" outline="0" showAll="0"/>
    <pivotField axis="axisRow" compact="0" outline="0" showAll="0" defaultSubtotal="0">
      <items count="7">
        <item x="2"/>
        <item x="5"/>
        <item x="4"/>
        <item x="3"/>
        <item x="0"/>
        <item x="1"/>
        <item h="1" x="6"/>
      </items>
    </pivotField>
    <pivotField axis="axisRow" compact="0" outline="0" showAll="0">
      <items count="9">
        <item x="6"/>
        <item x="2"/>
        <item x="5"/>
        <item x="1"/>
        <item x="4"/>
        <item x="3"/>
        <item x="0"/>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1" showDataAs="percentOfTotal" baseField="0" baseItem="0" numFmtId="10"/>
    <dataField name="$"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opLeftCell="D1" workbookViewId="0">
      <selection activeCell="P2" sqref="P2"/>
    </sheetView>
  </sheetViews>
  <sheetFormatPr defaultColWidth="11.42578125" defaultRowHeight="14.45"/>
  <cols>
    <col min="1" max="1" width="11.42578125" customWidth="1"/>
    <col min="3" max="3" width="20.140625" customWidth="1"/>
    <col min="4" max="4" width="24.42578125" customWidth="1"/>
    <col min="5" max="5" width="19.42578125" customWidth="1"/>
    <col min="7" max="8" width="13.42578125" customWidth="1"/>
    <col min="9" max="9" width="3.28515625" customWidth="1"/>
    <col min="10" max="10" width="25" customWidth="1"/>
    <col min="11" max="11" width="41.28515625" customWidth="1"/>
    <col min="12" max="14" width="15.42578125" customWidth="1"/>
    <col min="15" max="15" width="11.7109375" bestFit="1" customWidth="1"/>
    <col min="16" max="16" width="18.7109375" customWidth="1"/>
  </cols>
  <sheetData>
    <row r="1" spans="1:14">
      <c r="A1" s="98" t="str">
        <f>CONCATENATE("TOTAL GENERAL MES ",A3)</f>
        <v>TOTAL GENERAL MES SEPTIEMBRE DE 2025</v>
      </c>
      <c r="B1" s="98"/>
      <c r="C1" s="98"/>
      <c r="D1" s="98"/>
      <c r="E1" s="98"/>
      <c r="F1" s="98"/>
      <c r="G1" s="98"/>
      <c r="H1" s="98"/>
      <c r="J1" s="99" t="s">
        <v>0</v>
      </c>
      <c r="K1" s="100"/>
      <c r="L1" s="100"/>
      <c r="M1" s="100"/>
      <c r="N1" s="101"/>
    </row>
    <row r="2" spans="1:14" ht="40.9">
      <c r="A2" s="16" t="s">
        <v>1</v>
      </c>
      <c r="B2" s="16" t="s">
        <v>2</v>
      </c>
      <c r="C2" s="16" t="s">
        <v>3</v>
      </c>
      <c r="D2" s="16" t="s">
        <v>4</v>
      </c>
      <c r="E2" s="16" t="s">
        <v>5</v>
      </c>
      <c r="F2" s="16" t="s">
        <v>6</v>
      </c>
      <c r="G2" s="16" t="s">
        <v>7</v>
      </c>
      <c r="H2" s="16" t="s">
        <v>8</v>
      </c>
      <c r="J2" s="27" t="s">
        <v>9</v>
      </c>
      <c r="K2" s="27" t="s">
        <v>10</v>
      </c>
      <c r="L2" s="27" t="s">
        <v>11</v>
      </c>
      <c r="M2" s="27" t="s">
        <v>12</v>
      </c>
      <c r="N2" s="55" t="s">
        <v>11</v>
      </c>
    </row>
    <row r="3" spans="1:14" ht="20.45">
      <c r="A3" s="15" t="s">
        <v>13</v>
      </c>
      <c r="B3" s="4" t="s">
        <v>14</v>
      </c>
      <c r="C3" s="4" t="s">
        <v>15</v>
      </c>
      <c r="D3" s="4" t="s">
        <v>16</v>
      </c>
      <c r="E3" s="4" t="s">
        <v>17</v>
      </c>
      <c r="F3" s="5">
        <f>COUNTA('PUBLICIDAD APERTURAS'!A:A)-1</f>
        <v>227</v>
      </c>
      <c r="G3" s="6">
        <f>'PUBLICIDAD APERTURAS'!AE229</f>
        <v>48205502.975919835</v>
      </c>
      <c r="H3" s="6">
        <f>G3*1.19</f>
        <v>57364548.541344598</v>
      </c>
      <c r="I3" s="3"/>
      <c r="J3" s="94" t="s">
        <v>18</v>
      </c>
      <c r="K3" s="94" t="s">
        <v>19</v>
      </c>
      <c r="L3" s="95">
        <v>300000</v>
      </c>
      <c r="M3" s="96">
        <f t="shared" ref="M3:M13" si="0">L3*0.12</f>
        <v>36000</v>
      </c>
      <c r="N3" s="96">
        <f t="shared" ref="N3:N13" si="1">L3+M3</f>
        <v>336000</v>
      </c>
    </row>
    <row r="4" spans="1:14" ht="20.45">
      <c r="A4" s="15" t="str">
        <f>A3</f>
        <v>SEPTIEMBRE DE 2025</v>
      </c>
      <c r="B4" s="4" t="s">
        <v>14</v>
      </c>
      <c r="C4" s="4" t="s">
        <v>15</v>
      </c>
      <c r="D4" s="4" t="s">
        <v>20</v>
      </c>
      <c r="E4" s="4" t="s">
        <v>17</v>
      </c>
      <c r="F4" s="5">
        <f>COUNTA('PUBLICIDAD OC'!A:A)-1</f>
        <v>109</v>
      </c>
      <c r="G4" s="6">
        <f>'PUBLICIDAD OC'!AF111</f>
        <v>21117207.279399991</v>
      </c>
      <c r="H4" s="6">
        <f>G4*1.19</f>
        <v>25129476.662485987</v>
      </c>
      <c r="I4" s="2"/>
      <c r="J4" s="94" t="s">
        <v>21</v>
      </c>
      <c r="K4" s="94" t="s">
        <v>22</v>
      </c>
      <c r="L4" s="95">
        <v>767850</v>
      </c>
      <c r="M4" s="96">
        <f t="shared" si="0"/>
        <v>92142</v>
      </c>
      <c r="N4" s="96">
        <f t="shared" si="1"/>
        <v>859992</v>
      </c>
    </row>
    <row r="5" spans="1:14" ht="21" customHeight="1">
      <c r="A5" s="15" t="str">
        <f>A4</f>
        <v>SEPTIEMBRE DE 2025</v>
      </c>
      <c r="B5" s="4" t="s">
        <v>14</v>
      </c>
      <c r="C5" s="4" t="s">
        <v>15</v>
      </c>
      <c r="D5" s="4" t="s">
        <v>23</v>
      </c>
      <c r="E5" s="4" t="s">
        <v>17</v>
      </c>
      <c r="F5" s="5">
        <v>14</v>
      </c>
      <c r="G5" s="6">
        <f>N18</f>
        <v>8764896</v>
      </c>
      <c r="H5" s="6">
        <f>G5*1.19</f>
        <v>10430226.24</v>
      </c>
      <c r="I5" s="2"/>
      <c r="J5" s="94" t="s">
        <v>24</v>
      </c>
      <c r="K5" s="94" t="s">
        <v>25</v>
      </c>
      <c r="L5" s="95">
        <v>1392000</v>
      </c>
      <c r="M5" s="96">
        <f t="shared" si="0"/>
        <v>167040</v>
      </c>
      <c r="N5" s="96">
        <f t="shared" si="1"/>
        <v>1559040</v>
      </c>
    </row>
    <row r="6" spans="1:14">
      <c r="A6" s="97" t="s">
        <v>26</v>
      </c>
      <c r="B6" s="97"/>
      <c r="C6" s="97"/>
      <c r="D6" s="97"/>
      <c r="E6" s="97"/>
      <c r="F6" s="16">
        <f>SUM(F3:F5)</f>
        <v>350</v>
      </c>
      <c r="G6" s="17">
        <f>SUM(G3:G5)</f>
        <v>78087606.255319834</v>
      </c>
      <c r="H6" s="17">
        <f>SUM(H3:H5)</f>
        <v>92924251.44383058</v>
      </c>
      <c r="J6" s="94" t="s">
        <v>27</v>
      </c>
      <c r="K6" s="94" t="s">
        <v>28</v>
      </c>
      <c r="L6" s="95">
        <v>564400</v>
      </c>
      <c r="M6" s="96">
        <f t="shared" si="0"/>
        <v>67728</v>
      </c>
      <c r="N6" s="96">
        <f t="shared" si="1"/>
        <v>632128</v>
      </c>
    </row>
    <row r="7" spans="1:14">
      <c r="G7" s="3"/>
      <c r="J7" s="94" t="s">
        <v>29</v>
      </c>
      <c r="K7" s="94" t="s">
        <v>30</v>
      </c>
      <c r="L7" s="95">
        <v>300000</v>
      </c>
      <c r="M7" s="96">
        <f t="shared" si="0"/>
        <v>36000</v>
      </c>
      <c r="N7" s="96">
        <f t="shared" si="1"/>
        <v>336000</v>
      </c>
    </row>
    <row r="8" spans="1:14">
      <c r="G8" s="3"/>
      <c r="J8" s="94" t="s">
        <v>31</v>
      </c>
      <c r="K8" s="94" t="s">
        <v>32</v>
      </c>
      <c r="L8" s="95">
        <v>300000</v>
      </c>
      <c r="M8" s="96">
        <f t="shared" si="0"/>
        <v>36000</v>
      </c>
      <c r="N8" s="96">
        <f t="shared" si="1"/>
        <v>336000</v>
      </c>
    </row>
    <row r="9" spans="1:14">
      <c r="G9" s="3"/>
      <c r="J9" s="94" t="s">
        <v>33</v>
      </c>
      <c r="K9" s="94" t="s">
        <v>34</v>
      </c>
      <c r="L9" s="95">
        <v>326950</v>
      </c>
      <c r="M9" s="96">
        <f t="shared" si="0"/>
        <v>39234</v>
      </c>
      <c r="N9" s="96">
        <f t="shared" si="1"/>
        <v>366184</v>
      </c>
    </row>
    <row r="10" spans="1:14">
      <c r="G10" s="3"/>
      <c r="J10" s="94" t="s">
        <v>35</v>
      </c>
      <c r="K10" s="94" t="s">
        <v>36</v>
      </c>
      <c r="L10" s="95">
        <v>297200</v>
      </c>
      <c r="M10" s="96">
        <f t="shared" si="0"/>
        <v>35664</v>
      </c>
      <c r="N10" s="96">
        <f t="shared" si="1"/>
        <v>332864</v>
      </c>
    </row>
    <row r="11" spans="1:14">
      <c r="G11" s="3"/>
      <c r="J11" s="94" t="s">
        <v>37</v>
      </c>
      <c r="K11" s="94" t="s">
        <v>38</v>
      </c>
      <c r="L11" s="95">
        <v>321500</v>
      </c>
      <c r="M11" s="96">
        <f t="shared" si="0"/>
        <v>38580</v>
      </c>
      <c r="N11" s="96">
        <f t="shared" si="1"/>
        <v>360080</v>
      </c>
    </row>
    <row r="12" spans="1:14">
      <c r="F12" s="3"/>
      <c r="G12" s="3"/>
      <c r="H12" s="3"/>
      <c r="J12" s="94" t="s">
        <v>39</v>
      </c>
      <c r="K12" s="94" t="s">
        <v>32</v>
      </c>
      <c r="L12" s="95">
        <v>300000</v>
      </c>
      <c r="M12" s="96">
        <f t="shared" ref="M12" si="2">L12*0.12</f>
        <v>36000</v>
      </c>
      <c r="N12" s="96">
        <f t="shared" ref="N12" si="3">L12+M12</f>
        <v>336000</v>
      </c>
    </row>
    <row r="13" spans="1:14">
      <c r="F13" s="3"/>
      <c r="G13" s="3"/>
      <c r="H13" s="3"/>
      <c r="J13" s="94" t="s">
        <v>40</v>
      </c>
      <c r="K13" s="94" t="s">
        <v>41</v>
      </c>
      <c r="L13" s="95">
        <v>300000</v>
      </c>
      <c r="M13" s="96">
        <f t="shared" si="0"/>
        <v>36000</v>
      </c>
      <c r="N13" s="96">
        <f t="shared" si="1"/>
        <v>336000</v>
      </c>
    </row>
    <row r="14" spans="1:14">
      <c r="F14" s="3"/>
      <c r="G14" s="3"/>
      <c r="H14" s="3"/>
      <c r="J14" s="94" t="s">
        <v>42</v>
      </c>
      <c r="K14" s="94" t="s">
        <v>43</v>
      </c>
      <c r="L14" s="95">
        <v>666900</v>
      </c>
      <c r="M14" s="96">
        <f t="shared" ref="M14:M16" si="4">L14*0.12</f>
        <v>80028</v>
      </c>
      <c r="N14" s="96">
        <f t="shared" ref="N14:N16" si="5">L14+M14</f>
        <v>746928</v>
      </c>
    </row>
    <row r="15" spans="1:14">
      <c r="F15" s="3"/>
      <c r="G15" s="3"/>
      <c r="H15" s="3"/>
      <c r="J15" s="94" t="s">
        <v>44</v>
      </c>
      <c r="K15" s="94" t="s">
        <v>41</v>
      </c>
      <c r="L15" s="95">
        <v>300000</v>
      </c>
      <c r="M15" s="96">
        <f t="shared" si="4"/>
        <v>36000</v>
      </c>
      <c r="N15" s="96">
        <f t="shared" si="5"/>
        <v>336000</v>
      </c>
    </row>
    <row r="16" spans="1:14">
      <c r="F16" s="3"/>
      <c r="G16" s="3"/>
      <c r="H16" s="3"/>
      <c r="J16" s="94" t="s">
        <v>45</v>
      </c>
      <c r="K16" s="94" t="s">
        <v>46</v>
      </c>
      <c r="L16" s="95">
        <v>1689000</v>
      </c>
      <c r="M16" s="96">
        <f t="shared" si="4"/>
        <v>202680</v>
      </c>
      <c r="N16" s="96">
        <f t="shared" si="5"/>
        <v>1891680</v>
      </c>
    </row>
    <row r="17" spans="7:14">
      <c r="G17" s="51"/>
      <c r="H17" s="51"/>
      <c r="J17" s="94"/>
      <c r="K17" s="94"/>
      <c r="L17" s="95"/>
      <c r="M17" s="96">
        <f t="shared" ref="M17" si="6">L17*0.12</f>
        <v>0</v>
      </c>
      <c r="N17" s="96">
        <f t="shared" ref="N17" si="7">L17+M17</f>
        <v>0</v>
      </c>
    </row>
    <row r="18" spans="7:14">
      <c r="G18" s="51"/>
      <c r="H18" s="51"/>
      <c r="J18" s="49" t="s">
        <v>11</v>
      </c>
      <c r="K18" s="28"/>
      <c r="L18" s="29">
        <f>SUM(L3:L17)</f>
        <v>7825800</v>
      </c>
      <c r="M18" s="29">
        <f>SUM(M3:M17)</f>
        <v>939096</v>
      </c>
      <c r="N18" s="29">
        <f>SUM(N3:N17)</f>
        <v>8764896</v>
      </c>
    </row>
    <row r="19" spans="7:14">
      <c r="G19" s="51"/>
      <c r="H19" s="51"/>
    </row>
    <row r="20" spans="7:14">
      <c r="G20" s="51"/>
      <c r="H20" s="51"/>
    </row>
    <row r="21" spans="7:14">
      <c r="G21" s="51"/>
      <c r="H21" s="51"/>
    </row>
    <row r="22" spans="7:14">
      <c r="G22" s="51"/>
      <c r="H22" s="51"/>
    </row>
    <row r="23" spans="7:14">
      <c r="G23" s="51"/>
      <c r="H23" s="51"/>
    </row>
    <row r="24" spans="7:14">
      <c r="G24" s="51"/>
      <c r="H24" s="51"/>
    </row>
    <row r="25" spans="7:14">
      <c r="G25" s="51"/>
      <c r="H25" s="51"/>
    </row>
    <row r="26" spans="7:14">
      <c r="G26" s="51"/>
      <c r="H26" s="51"/>
    </row>
    <row r="27" spans="7:14">
      <c r="G27" s="51"/>
      <c r="H27" s="51"/>
    </row>
  </sheetData>
  <mergeCells count="3">
    <mergeCell ref="A6:E6"/>
    <mergeCell ref="A1:H1"/>
    <mergeCell ref="J1:N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zoomScale="120" zoomScaleNormal="120" workbookViewId="0">
      <selection activeCell="D4" sqref="D4"/>
    </sheetView>
  </sheetViews>
  <sheetFormatPr defaultColWidth="11.42578125" defaultRowHeight="10.9"/>
  <cols>
    <col min="1" max="1" width="17.5703125" style="7" bestFit="1" customWidth="1"/>
    <col min="2" max="2" width="16.5703125" style="7" customWidth="1"/>
    <col min="3" max="3" width="15.140625" style="7" customWidth="1"/>
    <col min="4" max="4" width="20.140625" style="7" customWidth="1"/>
    <col min="5" max="5" width="14.140625" style="7" customWidth="1"/>
    <col min="6" max="6" width="2" style="7" customWidth="1"/>
    <col min="7" max="7" width="12.7109375" style="7" bestFit="1" customWidth="1"/>
    <col min="8" max="11" width="11.42578125" style="7"/>
    <col min="12" max="12" width="15" style="7" bestFit="1" customWidth="1"/>
    <col min="13" max="16384" width="11.42578125" style="1"/>
  </cols>
  <sheetData>
    <row r="1" spans="1:14" ht="20.45">
      <c r="A1" s="102" t="s">
        <v>47</v>
      </c>
      <c r="B1" s="103"/>
      <c r="C1" s="103"/>
      <c r="D1" s="103"/>
      <c r="E1" s="104"/>
      <c r="G1" s="102" t="s">
        <v>47</v>
      </c>
      <c r="H1" s="103"/>
      <c r="I1" s="103"/>
      <c r="J1" s="103"/>
      <c r="K1" s="103"/>
      <c r="L1" s="104"/>
      <c r="N1" s="16" t="s">
        <v>48</v>
      </c>
    </row>
    <row r="2" spans="1:14" ht="20.45">
      <c r="A2" s="18" t="s">
        <v>49</v>
      </c>
      <c r="B2" s="16" t="s">
        <v>50</v>
      </c>
      <c r="C2" s="16" t="s">
        <v>51</v>
      </c>
      <c r="D2" s="16" t="s">
        <v>52</v>
      </c>
      <c r="E2" s="18" t="s">
        <v>53</v>
      </c>
      <c r="G2" s="105" t="s">
        <v>54</v>
      </c>
      <c r="H2" s="106"/>
      <c r="I2" s="106"/>
      <c r="J2" s="106"/>
      <c r="K2" s="106"/>
      <c r="L2" s="107"/>
      <c r="N2" s="38">
        <v>5.1999999999999998E-2</v>
      </c>
    </row>
    <row r="3" spans="1:14" ht="20.45">
      <c r="A3" s="8" t="s">
        <v>55</v>
      </c>
      <c r="B3" s="39">
        <f>10695.08*(1+$N$2)</f>
        <v>11251.22416</v>
      </c>
      <c r="C3" s="40">
        <f>120073.31*(1+$N$2)</f>
        <v>126317.12212</v>
      </c>
      <c r="D3" s="40">
        <f>54574.12*(1+$N$2)</f>
        <v>57411.974240000003</v>
      </c>
      <c r="E3" s="41">
        <f>185342.51*(1+$N$2)</f>
        <v>194980.32052000001</v>
      </c>
      <c r="G3" s="14" t="s">
        <v>56</v>
      </c>
      <c r="H3" s="14" t="s">
        <v>57</v>
      </c>
      <c r="I3" s="14" t="s">
        <v>58</v>
      </c>
      <c r="J3" s="14" t="s">
        <v>59</v>
      </c>
      <c r="K3" s="14" t="s">
        <v>60</v>
      </c>
      <c r="L3" s="14" t="s">
        <v>61</v>
      </c>
    </row>
    <row r="4" spans="1:14">
      <c r="A4" s="8" t="s">
        <v>62</v>
      </c>
      <c r="B4" s="39">
        <f>10695.08*(1+$N$2)</f>
        <v>11251.22416</v>
      </c>
      <c r="C4" s="40">
        <f>120073.31*(1+$N$2)</f>
        <v>126317.12212</v>
      </c>
      <c r="D4" s="40">
        <f>105331.06*(1+$N$2)</f>
        <v>110808.27512000001</v>
      </c>
      <c r="E4" s="41">
        <f>236099.45*(1+$N$2)</f>
        <v>248376.62140000003</v>
      </c>
      <c r="G4" s="9" t="s">
        <v>63</v>
      </c>
      <c r="H4" s="9" t="s">
        <v>64</v>
      </c>
      <c r="I4" s="42">
        <f>91255.89*(1+$N$2)</f>
        <v>96001.196280000004</v>
      </c>
      <c r="J4" s="42">
        <f>54574.12*(1+$N$2)</f>
        <v>57411.974240000003</v>
      </c>
      <c r="K4" s="42">
        <f>53547.34*(1+$N$2)</f>
        <v>56331.801679999997</v>
      </c>
      <c r="L4" s="42">
        <f>36031.04*(1+$N$2)</f>
        <v>37904.65408</v>
      </c>
    </row>
    <row r="5" spans="1:14">
      <c r="G5" s="9" t="s">
        <v>65</v>
      </c>
      <c r="H5" s="9" t="s">
        <v>66</v>
      </c>
      <c r="I5" s="42">
        <f>221348.48*(1+$N$2)</f>
        <v>232858.60096000001</v>
      </c>
      <c r="J5" s="42">
        <f>105331.06*(1+$N$2)</f>
        <v>110808.27512000001</v>
      </c>
      <c r="K5" s="42">
        <f>53547.34*(1+$N$2)</f>
        <v>56331.801679999997</v>
      </c>
      <c r="L5" s="42">
        <f>36031.04*(1+$N$2)</f>
        <v>37904.65408</v>
      </c>
    </row>
    <row r="6" spans="1:14">
      <c r="G6" s="9" t="s">
        <v>67</v>
      </c>
      <c r="H6" s="9" t="s">
        <v>68</v>
      </c>
      <c r="I6" s="42">
        <f>327732.48*(1+$N$2)</f>
        <v>344774.56896</v>
      </c>
      <c r="J6" s="42">
        <f>105331.06*(1+$N$2)</f>
        <v>110808.27512000001</v>
      </c>
      <c r="K6" s="42">
        <f>53547.34*(1+$N$2)</f>
        <v>56331.801679999997</v>
      </c>
      <c r="L6" s="42">
        <f>36031.04*(1+$N$2)</f>
        <v>37904.65408</v>
      </c>
    </row>
    <row r="7" spans="1:14">
      <c r="B7" s="11"/>
      <c r="C7" s="11"/>
      <c r="D7" s="11"/>
      <c r="E7" s="11"/>
      <c r="G7" s="9" t="s">
        <v>69</v>
      </c>
      <c r="H7" s="9" t="s">
        <v>70</v>
      </c>
      <c r="I7" s="42">
        <f>521514.86*(1+$N$2)</f>
        <v>548633.63271999999</v>
      </c>
      <c r="J7" s="42">
        <f>105331.06*(1+$N$2)</f>
        <v>110808.27512000001</v>
      </c>
      <c r="K7" s="42">
        <f>53547.34*(1+$N$2)</f>
        <v>56331.801679999997</v>
      </c>
      <c r="L7" s="42">
        <f>36031.04*(1+$N$2)</f>
        <v>37904.65408</v>
      </c>
    </row>
    <row r="8" spans="1:14">
      <c r="D8" s="11"/>
      <c r="E8" s="11"/>
      <c r="G8" s="10" t="s">
        <v>71</v>
      </c>
      <c r="H8" s="10" t="s">
        <v>72</v>
      </c>
      <c r="I8" s="42">
        <f>521514.86*(1+$N$2)</f>
        <v>548633.63271999999</v>
      </c>
      <c r="J8" s="42">
        <f>105331.06*(1+$N$2)</f>
        <v>110808.27512000001</v>
      </c>
      <c r="K8" s="42">
        <f>53547.34*(1+$N$2)</f>
        <v>56331.801679999997</v>
      </c>
      <c r="L8" s="42">
        <f>36031.04*(1+$N$2)</f>
        <v>37904.65408</v>
      </c>
    </row>
    <row r="9" spans="1:14">
      <c r="G9" s="108" t="s">
        <v>73</v>
      </c>
      <c r="H9" s="108"/>
      <c r="I9" s="108"/>
      <c r="J9" s="108"/>
      <c r="K9" s="108"/>
      <c r="L9" s="108"/>
    </row>
    <row r="10" spans="1:14">
      <c r="B10" s="11"/>
      <c r="C10" s="11"/>
      <c r="D10" s="11"/>
      <c r="E10" s="11"/>
      <c r="G10" s="108"/>
      <c r="H10" s="108"/>
      <c r="I10" s="108"/>
      <c r="J10" s="108"/>
      <c r="K10" s="108"/>
      <c r="L10" s="108"/>
    </row>
    <row r="11" spans="1:14">
      <c r="B11" s="11"/>
      <c r="C11" s="11"/>
      <c r="D11" s="11"/>
      <c r="E11" s="11"/>
    </row>
    <row r="12" spans="1:14">
      <c r="I12" s="11"/>
      <c r="J12" s="11"/>
      <c r="K12" s="11"/>
      <c r="L12" s="11"/>
    </row>
    <row r="13" spans="1:14">
      <c r="I13" s="11"/>
      <c r="J13" s="11"/>
      <c r="K13" s="11"/>
      <c r="L13" s="11"/>
    </row>
    <row r="14" spans="1:14">
      <c r="I14" s="11"/>
      <c r="J14" s="11"/>
      <c r="K14" s="11"/>
      <c r="L14" s="11"/>
    </row>
    <row r="15" spans="1:14">
      <c r="I15" s="11"/>
      <c r="J15" s="11"/>
      <c r="K15" s="11"/>
      <c r="L15" s="11"/>
    </row>
    <row r="16" spans="1:14">
      <c r="C16" s="11"/>
      <c r="G16" s="11"/>
      <c r="I16" s="11"/>
      <c r="J16" s="11"/>
      <c r="K16" s="11"/>
      <c r="L16" s="11"/>
    </row>
    <row r="17" spans="7:12">
      <c r="G17" s="11"/>
      <c r="I17" s="11"/>
      <c r="J17" s="11"/>
      <c r="K17" s="11"/>
      <c r="L17" s="11"/>
    </row>
    <row r="18" spans="7:12">
      <c r="G18" s="11"/>
    </row>
    <row r="19" spans="7:12">
      <c r="G19" s="11"/>
    </row>
    <row r="20" spans="7:12">
      <c r="G20" s="11"/>
    </row>
    <row r="21" spans="7:12">
      <c r="G21" s="11"/>
    </row>
  </sheetData>
  <mergeCells count="4">
    <mergeCell ref="G1:L1"/>
    <mergeCell ref="G2:L2"/>
    <mergeCell ref="A1:E1"/>
    <mergeCell ref="G9:L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D8B3-3A24-4DFF-BD0E-CC9FC6F9EF35}">
  <dimension ref="A2:L29"/>
  <sheetViews>
    <sheetView tabSelected="1" workbookViewId="0">
      <selection activeCell="K9" sqref="K9"/>
    </sheetView>
  </sheetViews>
  <sheetFormatPr defaultColWidth="8.85546875" defaultRowHeight="14.45"/>
  <cols>
    <col min="1" max="1" width="34.5703125" bestFit="1" customWidth="1"/>
    <col min="2" max="2" width="32.5703125" bestFit="1" customWidth="1"/>
    <col min="3" max="3" width="8.7109375" bestFit="1" customWidth="1"/>
    <col min="4" max="4" width="12.5703125" bestFit="1" customWidth="1"/>
    <col min="5" max="5" width="19.42578125" customWidth="1"/>
    <col min="6" max="6" width="12.7109375" customWidth="1"/>
    <col min="10" max="10" width="31.140625" bestFit="1" customWidth="1"/>
    <col min="11" max="11" width="15.5703125" bestFit="1" customWidth="1"/>
    <col min="12" max="12" width="16.7109375" bestFit="1" customWidth="1"/>
  </cols>
  <sheetData>
    <row r="2" spans="1:12">
      <c r="A2" s="37" t="s">
        <v>74</v>
      </c>
      <c r="J2" s="34" t="s">
        <v>75</v>
      </c>
      <c r="K2" t="s">
        <v>76</v>
      </c>
      <c r="L2" t="s">
        <v>77</v>
      </c>
    </row>
    <row r="3" spans="1:12">
      <c r="A3" s="34" t="s">
        <v>78</v>
      </c>
      <c r="B3" s="34" t="s">
        <v>79</v>
      </c>
      <c r="C3" t="s">
        <v>80</v>
      </c>
      <c r="D3" t="s">
        <v>81</v>
      </c>
      <c r="E3" t="s">
        <v>75</v>
      </c>
      <c r="F3" t="s">
        <v>82</v>
      </c>
      <c r="J3" t="s">
        <v>83</v>
      </c>
      <c r="K3" s="3">
        <v>7468560.7627200009</v>
      </c>
      <c r="L3" s="50">
        <v>0.10773613344332343</v>
      </c>
    </row>
    <row r="4" spans="1:12">
      <c r="A4" t="s">
        <v>84</v>
      </c>
      <c r="B4" t="s">
        <v>85</v>
      </c>
      <c r="C4" s="35">
        <v>4.1941360721616118E-2</v>
      </c>
      <c r="D4" s="109">
        <v>2021804.3890800003</v>
      </c>
      <c r="E4" t="str">
        <f>VLOOKUP(B4,'CENTRO DE COSTOS'!B:C,2,0)</f>
        <v>Redeban Eje Cafetero (Pereira)</v>
      </c>
      <c r="F4" s="36">
        <f>D4</f>
        <v>2021804.3890800003</v>
      </c>
      <c r="J4" t="s">
        <v>86</v>
      </c>
      <c r="K4" s="3">
        <v>7132218.8784800004</v>
      </c>
      <c r="L4" s="50">
        <v>0.10288430518962083</v>
      </c>
    </row>
    <row r="5" spans="1:12">
      <c r="B5" t="s">
        <v>87</v>
      </c>
      <c r="C5" s="35">
        <v>0.21264132704352032</v>
      </c>
      <c r="D5" s="109">
        <v>10250482.123599999</v>
      </c>
      <c r="E5" t="str">
        <f>VLOOKUP(B5,'CENTRO DE COSTOS'!B:C,2,0)</f>
        <v>Redeban Suroccidente (Cali)</v>
      </c>
      <c r="F5" s="36">
        <f t="shared" ref="F5:F10" si="0">D5</f>
        <v>10250482.123599999</v>
      </c>
      <c r="J5" t="s">
        <v>88</v>
      </c>
      <c r="K5" s="3">
        <v>3200386.1733600004</v>
      </c>
      <c r="L5" s="50">
        <v>4.6166489474701325E-2</v>
      </c>
    </row>
    <row r="6" spans="1:12">
      <c r="A6" t="s">
        <v>89</v>
      </c>
      <c r="B6" t="s">
        <v>90</v>
      </c>
      <c r="C6" s="35">
        <v>9.4354235240570974E-2</v>
      </c>
      <c r="D6" s="109">
        <v>4548393.3676800001</v>
      </c>
      <c r="E6" t="str">
        <f>VLOOKUP(B6,'CENTRO DE COSTOS'!B:C,2,0)</f>
        <v>Redeban Costa (Barranqullla)</v>
      </c>
      <c r="F6" s="36">
        <f t="shared" si="0"/>
        <v>4548393.3676800001</v>
      </c>
      <c r="J6" t="s">
        <v>91</v>
      </c>
      <c r="K6" s="3">
        <v>14833681.816</v>
      </c>
      <c r="L6" s="50">
        <v>0.21398011937742475</v>
      </c>
    </row>
    <row r="7" spans="1:12">
      <c r="A7" t="s">
        <v>92</v>
      </c>
      <c r="B7" t="s">
        <v>93</v>
      </c>
      <c r="C7" s="35">
        <v>0.24167646982004459</v>
      </c>
      <c r="D7" s="109">
        <v>11650135.785120001</v>
      </c>
      <c r="E7" t="str">
        <f>VLOOKUP(B7,'CENTRO DE COSTOS'!B:C,2,0)</f>
        <v>Redeban Noroccidente (Medellín)</v>
      </c>
      <c r="F7" s="36">
        <f t="shared" si="0"/>
        <v>11650135.785120001</v>
      </c>
      <c r="J7" t="s">
        <v>94</v>
      </c>
      <c r="K7" s="3">
        <v>9655335.7100399975</v>
      </c>
      <c r="L7" s="50">
        <v>0.13928098994512442</v>
      </c>
    </row>
    <row r="8" spans="1:12">
      <c r="A8" t="s">
        <v>95</v>
      </c>
      <c r="B8" t="s">
        <v>96</v>
      </c>
      <c r="C8" s="35">
        <v>9.379911042062318E-2</v>
      </c>
      <c r="D8" s="109">
        <v>4521633.2965200003</v>
      </c>
      <c r="E8" t="str">
        <f>VLOOKUP(B8,'CENTRO DE COSTOS'!B:C,2,0)</f>
        <v>Redeban Oriente (Otros)</v>
      </c>
      <c r="F8" s="36">
        <f t="shared" si="0"/>
        <v>4521633.2965200003</v>
      </c>
      <c r="J8" t="s">
        <v>97</v>
      </c>
      <c r="K8" s="3">
        <v>13903007.660999998</v>
      </c>
      <c r="L8" s="50">
        <v>0.20055487746792253</v>
      </c>
    </row>
    <row r="9" spans="1:12">
      <c r="A9" t="s">
        <v>98</v>
      </c>
      <c r="B9" t="s">
        <v>99</v>
      </c>
      <c r="C9" s="35">
        <v>0.21574502593936498</v>
      </c>
      <c r="D9" s="109">
        <v>10400097.489959998</v>
      </c>
      <c r="E9" t="str">
        <f>VLOOKUP(B9,'CENTRO DE COSTOS'!B:C,2,0)</f>
        <v>Redeban Santander</v>
      </c>
      <c r="F9" s="36">
        <f t="shared" si="0"/>
        <v>10400097.489959998</v>
      </c>
      <c r="J9" t="s">
        <v>100</v>
      </c>
      <c r="K9" s="3">
        <v>13129519.253719999</v>
      </c>
      <c r="L9" s="50">
        <v>0.18939708510188272</v>
      </c>
    </row>
    <row r="10" spans="1:12">
      <c r="A10" t="s">
        <v>101</v>
      </c>
      <c r="B10" t="s">
        <v>102</v>
      </c>
      <c r="C10" s="35">
        <v>9.9842470814259662E-2</v>
      </c>
      <c r="D10" s="109">
        <v>4812956.5239600008</v>
      </c>
      <c r="E10" t="str">
        <f>VLOOKUP(B10,'CENTRO DE COSTOS'!B:C,2,0)</f>
        <v>Redeban Centro ( Bogotá)</v>
      </c>
      <c r="F10" s="36">
        <f t="shared" si="0"/>
        <v>4812956.5239600008</v>
      </c>
      <c r="J10" t="s">
        <v>103</v>
      </c>
      <c r="K10" s="109">
        <v>69322710.255319998</v>
      </c>
      <c r="L10" s="50">
        <v>1</v>
      </c>
    </row>
    <row r="11" spans="1:12">
      <c r="A11" t="s">
        <v>103</v>
      </c>
      <c r="C11" s="35">
        <v>1</v>
      </c>
      <c r="D11" s="109">
        <v>48205502.975920007</v>
      </c>
    </row>
    <row r="21" spans="1:6">
      <c r="A21" s="34" t="s">
        <v>78</v>
      </c>
      <c r="B21" s="34" t="s">
        <v>79</v>
      </c>
      <c r="C21" t="s">
        <v>80</v>
      </c>
      <c r="D21" t="s">
        <v>81</v>
      </c>
      <c r="E21" t="s">
        <v>75</v>
      </c>
      <c r="F21" t="s">
        <v>82</v>
      </c>
    </row>
    <row r="22" spans="1:6">
      <c r="A22" t="s">
        <v>84</v>
      </c>
      <c r="B22" t="s">
        <v>85</v>
      </c>
      <c r="C22" s="35">
        <v>5.5811441763405703E-2</v>
      </c>
      <c r="D22" s="109">
        <v>1178581.78428</v>
      </c>
      <c r="E22" t="str">
        <f>VLOOKUP(B22,'CENTRO DE COSTOS'!B:C,2,0)</f>
        <v>Redeban Eje Cafetero (Pereira)</v>
      </c>
      <c r="F22" s="36">
        <f>D22</f>
        <v>1178581.78428</v>
      </c>
    </row>
    <row r="23" spans="1:6">
      <c r="B23" t="s">
        <v>87</v>
      </c>
      <c r="C23" s="35">
        <v>0.13633607380122292</v>
      </c>
      <c r="D23" s="109">
        <v>2879037.1301199999</v>
      </c>
      <c r="E23" t="str">
        <f>VLOOKUP(B23,'CENTRO DE COSTOS'!B:C,2,0)</f>
        <v>Redeban Suroccidente (Cali)</v>
      </c>
      <c r="F23" s="36">
        <f t="shared" ref="F23:F28" si="1">D23</f>
        <v>2879037.1301199999</v>
      </c>
    </row>
    <row r="24" spans="1:6">
      <c r="A24" t="s">
        <v>89</v>
      </c>
      <c r="B24" t="s">
        <v>90</v>
      </c>
      <c r="C24" s="35">
        <v>0.12235640236957573</v>
      </c>
      <c r="D24" s="109">
        <v>2583825.5107999998</v>
      </c>
      <c r="E24" t="str">
        <f>VLOOKUP(B24,'CENTRO DE COSTOS'!B:C,2,0)</f>
        <v>Redeban Costa (Barranqullla)</v>
      </c>
      <c r="F24" s="36">
        <f t="shared" si="1"/>
        <v>2583825.5107999998</v>
      </c>
    </row>
    <row r="25" spans="1:6">
      <c r="A25" t="s">
        <v>92</v>
      </c>
      <c r="B25" t="s">
        <v>93</v>
      </c>
      <c r="C25" s="35">
        <v>0.15075601563969934</v>
      </c>
      <c r="D25" s="109">
        <v>3183546.030879999</v>
      </c>
      <c r="E25" t="str">
        <f>VLOOKUP(B25,'CENTRO DE COSTOS'!B:C,2,0)</f>
        <v>Redeban Noroccidente (Medellín)</v>
      </c>
      <c r="F25" s="36">
        <f t="shared" si="1"/>
        <v>3183546.030879999</v>
      </c>
    </row>
    <row r="26" spans="1:6">
      <c r="A26" t="s">
        <v>95</v>
      </c>
      <c r="B26" t="s">
        <v>96</v>
      </c>
      <c r="C26" s="35">
        <v>0.24310517700548237</v>
      </c>
      <c r="D26" s="109">
        <v>5133702.4135199971</v>
      </c>
      <c r="E26" t="str">
        <f>VLOOKUP(B26,'CENTRO DE COSTOS'!B:C,2,0)</f>
        <v>Redeban Oriente (Otros)</v>
      </c>
      <c r="F26" s="36">
        <f t="shared" si="1"/>
        <v>5133702.4135199971</v>
      </c>
    </row>
    <row r="27" spans="1:6">
      <c r="A27" t="s">
        <v>98</v>
      </c>
      <c r="B27" t="s">
        <v>99</v>
      </c>
      <c r="C27" s="35">
        <v>0.16587942357591556</v>
      </c>
      <c r="D27" s="109">
        <v>3502910.1710399999</v>
      </c>
      <c r="E27" t="str">
        <f>VLOOKUP(B27,'CENTRO DE COSTOS'!B:C,2,0)</f>
        <v>Redeban Santander</v>
      </c>
      <c r="F27" s="36">
        <f t="shared" si="1"/>
        <v>3502910.1710399999</v>
      </c>
    </row>
    <row r="28" spans="1:6">
      <c r="A28" t="s">
        <v>101</v>
      </c>
      <c r="B28" t="s">
        <v>102</v>
      </c>
      <c r="C28" s="35">
        <v>0.12575546584469827</v>
      </c>
      <c r="D28" s="109">
        <v>2655604.2387600001</v>
      </c>
      <c r="E28" t="str">
        <f>VLOOKUP(B28,'CENTRO DE COSTOS'!B:C,2,0)</f>
        <v>Redeban Centro ( Bogotá)</v>
      </c>
      <c r="F28" s="36">
        <f t="shared" si="1"/>
        <v>2655604.2387600001</v>
      </c>
    </row>
    <row r="29" spans="1:6">
      <c r="A29" t="s">
        <v>103</v>
      </c>
      <c r="C29" s="35">
        <v>1</v>
      </c>
      <c r="D29" s="109">
        <v>21117207.279399998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0F70A"/>
  </sheetPr>
  <dimension ref="A1:AE229"/>
  <sheetViews>
    <sheetView topLeftCell="F1" workbookViewId="0">
      <pane ySplit="1" topLeftCell="A210" activePane="bottomLeft" state="frozen"/>
      <selection pane="bottomLeft" activeCell="B200" sqref="B200:C228"/>
      <selection activeCell="J1" sqref="J1"/>
    </sheetView>
  </sheetViews>
  <sheetFormatPr defaultColWidth="11.42578125" defaultRowHeight="12.75" customHeight="1"/>
  <cols>
    <col min="1" max="1" width="12.7109375" style="56" bestFit="1" customWidth="1"/>
    <col min="2" max="2" width="27.7109375" style="45" customWidth="1"/>
    <col min="3" max="3" width="11.42578125" style="45"/>
    <col min="4" max="4" width="11.42578125" style="57"/>
    <col min="5" max="5" width="14.140625" style="57" customWidth="1"/>
    <col min="6" max="6" width="11.42578125" style="56"/>
    <col min="7" max="12" width="14.140625" style="56" customWidth="1"/>
    <col min="13" max="14" width="14.85546875" style="57" customWidth="1"/>
    <col min="15" max="15" width="11.42578125" style="57"/>
    <col min="16" max="24" width="14.140625" style="56" customWidth="1"/>
    <col min="25" max="27" width="11.42578125" style="56"/>
    <col min="28" max="28" width="14.5703125" style="56" bestFit="1" customWidth="1"/>
    <col min="29" max="29" width="14.85546875" style="56" bestFit="1" customWidth="1"/>
    <col min="30" max="30" width="15.7109375" style="56" bestFit="1" customWidth="1"/>
    <col min="31" max="31" width="15.42578125" style="56" customWidth="1"/>
    <col min="32" max="16384" width="11.42578125" style="56"/>
  </cols>
  <sheetData>
    <row r="1" spans="1:31" s="64" customFormat="1" ht="63" customHeight="1">
      <c r="A1" s="65" t="s">
        <v>104</v>
      </c>
      <c r="B1" s="65" t="s">
        <v>78</v>
      </c>
      <c r="C1" s="65" t="s">
        <v>79</v>
      </c>
      <c r="D1" s="65" t="s">
        <v>105</v>
      </c>
      <c r="E1" s="65" t="s">
        <v>106</v>
      </c>
      <c r="F1" s="65" t="s">
        <v>107</v>
      </c>
      <c r="G1" s="43" t="s">
        <v>108</v>
      </c>
      <c r="H1" s="43" t="s">
        <v>109</v>
      </c>
      <c r="I1" s="65" t="s">
        <v>110</v>
      </c>
      <c r="J1" s="65" t="s">
        <v>111</v>
      </c>
      <c r="K1" s="65" t="s">
        <v>112</v>
      </c>
      <c r="L1" s="65" t="s">
        <v>113</v>
      </c>
      <c r="M1" s="65" t="s">
        <v>114</v>
      </c>
      <c r="N1" s="61" t="s">
        <v>115</v>
      </c>
      <c r="O1" s="61" t="s">
        <v>116</v>
      </c>
      <c r="P1" s="62" t="s">
        <v>117</v>
      </c>
      <c r="Q1" s="62" t="s">
        <v>118</v>
      </c>
      <c r="R1" s="47" t="s">
        <v>119</v>
      </c>
      <c r="S1" s="47" t="s">
        <v>120</v>
      </c>
      <c r="T1" s="65" t="s">
        <v>121</v>
      </c>
      <c r="U1" s="47" t="s">
        <v>122</v>
      </c>
      <c r="V1" s="46" t="s">
        <v>123</v>
      </c>
      <c r="W1" s="46" t="s">
        <v>124</v>
      </c>
      <c r="X1" s="47" t="s">
        <v>125</v>
      </c>
      <c r="Y1" s="46" t="s">
        <v>126</v>
      </c>
      <c r="Z1" s="63" t="s">
        <v>127</v>
      </c>
      <c r="AA1" s="63" t="s">
        <v>128</v>
      </c>
      <c r="AB1" s="63" t="s">
        <v>129</v>
      </c>
      <c r="AC1" s="63" t="s">
        <v>130</v>
      </c>
      <c r="AD1" s="63" t="s">
        <v>131</v>
      </c>
      <c r="AE1" s="63" t="s">
        <v>132</v>
      </c>
    </row>
    <row r="2" spans="1:31" ht="13.15">
      <c r="A2" s="72" t="s">
        <v>133</v>
      </c>
      <c r="B2" s="44" t="str">
        <f>VLOOKUP(A2,'CENTRO DE COSTOS'!A:D,4,FALSE)</f>
        <v>DIEGO FERNANDO HENAO CARDONA</v>
      </c>
      <c r="C2" s="44" t="str">
        <f>VLOOKUP(A2,'CENTRO DE COSTOS'!A:D,2,FALSE)</f>
        <v>0004-0003</v>
      </c>
      <c r="D2" s="72">
        <v>52621</v>
      </c>
      <c r="E2" s="73" t="s">
        <v>134</v>
      </c>
      <c r="F2" s="74">
        <v>81154</v>
      </c>
      <c r="G2" s="75" t="s">
        <v>135</v>
      </c>
      <c r="H2" s="76" t="s">
        <v>136</v>
      </c>
      <c r="I2" s="74" t="s">
        <v>137</v>
      </c>
      <c r="J2" s="77" t="s">
        <v>138</v>
      </c>
      <c r="K2" s="74" t="s">
        <v>139</v>
      </c>
      <c r="L2" s="78" t="s">
        <v>140</v>
      </c>
      <c r="M2" s="79" t="s">
        <v>141</v>
      </c>
      <c r="N2" s="80">
        <v>45890</v>
      </c>
      <c r="O2" s="81">
        <v>45902</v>
      </c>
      <c r="P2" s="82" t="s">
        <v>142</v>
      </c>
      <c r="Q2" s="83" t="s">
        <v>142</v>
      </c>
      <c r="R2" s="72" t="s">
        <v>143</v>
      </c>
      <c r="S2" s="84" t="s">
        <v>144</v>
      </c>
      <c r="T2" s="75" t="s">
        <v>145</v>
      </c>
      <c r="U2" s="72" t="s">
        <v>146</v>
      </c>
      <c r="V2" s="77" t="s">
        <v>147</v>
      </c>
      <c r="W2" s="85" t="s">
        <v>148</v>
      </c>
      <c r="X2" s="75" t="s">
        <v>149</v>
      </c>
      <c r="Y2" s="72">
        <v>1</v>
      </c>
      <c r="Z2" s="72">
        <v>1</v>
      </c>
      <c r="AA2" s="72">
        <v>1</v>
      </c>
      <c r="AB2" s="48">
        <f>IF(V2="TIPO I",'BASE DE LIQUIDACION 2025'!$B$3,'BASE DE LIQUIDACION 2025'!$B$4)</f>
        <v>11251.22416</v>
      </c>
      <c r="AC2" s="48">
        <f>IF(V2="TIPO I",'BASE DE LIQUIDACION 2025'!$C$3,'BASE DE LIQUIDACION 2025'!$C$4)</f>
        <v>126317.12212</v>
      </c>
      <c r="AD2" s="48">
        <f>IF(V2="TIPO I",'BASE DE LIQUIDACION 2025'!$D$3,'BASE DE LIQUIDACION 2025'!$D$4)</f>
        <v>110808.27512000001</v>
      </c>
      <c r="AE2" s="52">
        <f t="shared" ref="AE2:AE65" si="0">AB2*Y2+Z2*AC2+AA2*AD2</f>
        <v>248376.6214</v>
      </c>
    </row>
    <row r="3" spans="1:31" ht="13.15">
      <c r="A3" s="72" t="s">
        <v>150</v>
      </c>
      <c r="B3" s="44" t="str">
        <f>VLOOKUP(A3,'CENTRO DE COSTOS'!A:D,4,FALSE)</f>
        <v>DIEGO FERNANDO HENAO CARDONA</v>
      </c>
      <c r="C3" s="44" t="str">
        <f>VLOOKUP(A3,'CENTRO DE COSTOS'!A:D,2,FALSE)</f>
        <v>0004-0003</v>
      </c>
      <c r="D3" s="72">
        <v>19256</v>
      </c>
      <c r="E3" s="73" t="s">
        <v>151</v>
      </c>
      <c r="F3" s="74">
        <v>81133</v>
      </c>
      <c r="G3" s="75" t="s">
        <v>135</v>
      </c>
      <c r="H3" s="76" t="s">
        <v>136</v>
      </c>
      <c r="I3" s="74" t="s">
        <v>152</v>
      </c>
      <c r="J3" s="77" t="s">
        <v>153</v>
      </c>
      <c r="K3" s="74" t="s">
        <v>154</v>
      </c>
      <c r="L3" s="78" t="s">
        <v>140</v>
      </c>
      <c r="M3" s="79" t="s">
        <v>155</v>
      </c>
      <c r="N3" s="80">
        <v>45890</v>
      </c>
      <c r="O3" s="81">
        <v>45902</v>
      </c>
      <c r="P3" s="82" t="s">
        <v>142</v>
      </c>
      <c r="Q3" s="83" t="s">
        <v>142</v>
      </c>
      <c r="R3" s="72" t="s">
        <v>143</v>
      </c>
      <c r="S3" s="84" t="s">
        <v>156</v>
      </c>
      <c r="T3" s="75" t="s">
        <v>145</v>
      </c>
      <c r="U3" s="72" t="s">
        <v>157</v>
      </c>
      <c r="V3" s="77" t="s">
        <v>158</v>
      </c>
      <c r="W3" s="85" t="s">
        <v>159</v>
      </c>
      <c r="X3" s="75" t="s">
        <v>160</v>
      </c>
      <c r="Y3" s="72">
        <v>1</v>
      </c>
      <c r="Z3" s="72">
        <v>1</v>
      </c>
      <c r="AA3" s="72">
        <v>1</v>
      </c>
      <c r="AB3" s="48">
        <f>IF(V3="TIPO I",'BASE DE LIQUIDACION 2025'!$B$3,'BASE DE LIQUIDACION 2025'!$B$4)</f>
        <v>11251.22416</v>
      </c>
      <c r="AC3" s="48">
        <f>IF(V3="TIPO I",'BASE DE LIQUIDACION 2025'!$C$3,'BASE DE LIQUIDACION 2025'!$C$4)</f>
        <v>126317.12212</v>
      </c>
      <c r="AD3" s="48">
        <f>IF(V3="TIPO I",'BASE DE LIQUIDACION 2025'!$D$3,'BASE DE LIQUIDACION 2025'!$D$4)</f>
        <v>110808.27512000001</v>
      </c>
      <c r="AE3" s="52">
        <f t="shared" si="0"/>
        <v>248376.6214</v>
      </c>
    </row>
    <row r="4" spans="1:31" ht="13.15">
      <c r="A4" s="72" t="s">
        <v>133</v>
      </c>
      <c r="B4" s="44" t="str">
        <f>VLOOKUP(A4,'CENTRO DE COSTOS'!A:D,4,FALSE)</f>
        <v>DIEGO FERNANDO HENAO CARDONA</v>
      </c>
      <c r="C4" s="44" t="str">
        <f>VLOOKUP(A4,'CENTRO DE COSTOS'!A:D,2,FALSE)</f>
        <v>0004-0003</v>
      </c>
      <c r="D4" s="72">
        <v>52079</v>
      </c>
      <c r="E4" s="73" t="s">
        <v>161</v>
      </c>
      <c r="F4" s="74">
        <v>81185</v>
      </c>
      <c r="G4" s="75" t="s">
        <v>135</v>
      </c>
      <c r="H4" s="76" t="s">
        <v>136</v>
      </c>
      <c r="I4" s="74" t="s">
        <v>137</v>
      </c>
      <c r="J4" s="77" t="s">
        <v>162</v>
      </c>
      <c r="K4" s="74" t="s">
        <v>163</v>
      </c>
      <c r="L4" s="78" t="s">
        <v>140</v>
      </c>
      <c r="M4" s="79" t="s">
        <v>164</v>
      </c>
      <c r="N4" s="80">
        <v>45896</v>
      </c>
      <c r="O4" s="81">
        <v>45902</v>
      </c>
      <c r="P4" s="82" t="s">
        <v>142</v>
      </c>
      <c r="Q4" s="83" t="s">
        <v>142</v>
      </c>
      <c r="R4" s="72" t="s">
        <v>143</v>
      </c>
      <c r="S4" s="84" t="s">
        <v>165</v>
      </c>
      <c r="T4" s="75" t="s">
        <v>145</v>
      </c>
      <c r="U4" s="72" t="s">
        <v>166</v>
      </c>
      <c r="V4" s="77" t="s">
        <v>167</v>
      </c>
      <c r="W4" s="85" t="s">
        <v>159</v>
      </c>
      <c r="X4" s="75" t="s">
        <v>149</v>
      </c>
      <c r="Y4" s="72">
        <v>1</v>
      </c>
      <c r="Z4" s="72">
        <v>1</v>
      </c>
      <c r="AA4" s="72">
        <v>1</v>
      </c>
      <c r="AB4" s="48">
        <f>IF(V4="TIPO I",'BASE DE LIQUIDACION 2025'!$B$3,'BASE DE LIQUIDACION 2025'!$B$4)</f>
        <v>11251.22416</v>
      </c>
      <c r="AC4" s="48">
        <f>IF(V4="TIPO I",'BASE DE LIQUIDACION 2025'!$C$3,'BASE DE LIQUIDACION 2025'!$C$4)</f>
        <v>126317.12212</v>
      </c>
      <c r="AD4" s="48">
        <f>IF(V4="TIPO I",'BASE DE LIQUIDACION 2025'!$D$3,'BASE DE LIQUIDACION 2025'!$D$4)</f>
        <v>110808.27512000001</v>
      </c>
      <c r="AE4" s="52">
        <f t="shared" si="0"/>
        <v>248376.6214</v>
      </c>
    </row>
    <row r="5" spans="1:31" ht="13.15">
      <c r="A5" s="72" t="s">
        <v>168</v>
      </c>
      <c r="B5" s="44" t="str">
        <f>VLOOKUP(A5,'CENTRO DE COSTOS'!A:D,4,FALSE)</f>
        <v>DIEGO FERNANDO HENAO CARDONA</v>
      </c>
      <c r="C5" s="44" t="str">
        <f>VLOOKUP(A5,'CENTRO DE COSTOS'!A:D,2,FALSE)</f>
        <v>0004-0002</v>
      </c>
      <c r="D5" s="72">
        <v>66001</v>
      </c>
      <c r="E5" s="73" t="s">
        <v>169</v>
      </c>
      <c r="F5" s="74">
        <v>81241</v>
      </c>
      <c r="G5" s="75" t="s">
        <v>135</v>
      </c>
      <c r="H5" s="76" t="s">
        <v>136</v>
      </c>
      <c r="I5" s="74" t="s">
        <v>170</v>
      </c>
      <c r="J5" s="77" t="s">
        <v>168</v>
      </c>
      <c r="K5" s="74" t="s">
        <v>171</v>
      </c>
      <c r="L5" s="78" t="s">
        <v>140</v>
      </c>
      <c r="M5" s="79" t="s">
        <v>172</v>
      </c>
      <c r="N5" s="80">
        <v>45896</v>
      </c>
      <c r="O5" s="81">
        <v>45901</v>
      </c>
      <c r="P5" s="82" t="s">
        <v>142</v>
      </c>
      <c r="Q5" s="83" t="s">
        <v>142</v>
      </c>
      <c r="R5" s="72" t="s">
        <v>143</v>
      </c>
      <c r="S5" s="84" t="s">
        <v>173</v>
      </c>
      <c r="T5" s="75" t="s">
        <v>145</v>
      </c>
      <c r="U5" s="72" t="s">
        <v>174</v>
      </c>
      <c r="V5" s="77" t="s">
        <v>55</v>
      </c>
      <c r="W5" s="85" t="s">
        <v>159</v>
      </c>
      <c r="X5" s="75" t="s">
        <v>175</v>
      </c>
      <c r="Y5" s="72">
        <v>1</v>
      </c>
      <c r="Z5" s="72">
        <v>1</v>
      </c>
      <c r="AA5" s="72">
        <v>1</v>
      </c>
      <c r="AB5" s="48">
        <f>IF(V5="TIPO I",'BASE DE LIQUIDACION 2025'!$B$3,'BASE DE LIQUIDACION 2025'!$B$4)</f>
        <v>11251.22416</v>
      </c>
      <c r="AC5" s="48">
        <f>IF(V5="TIPO I",'BASE DE LIQUIDACION 2025'!$C$3,'BASE DE LIQUIDACION 2025'!$C$4)</f>
        <v>126317.12212</v>
      </c>
      <c r="AD5" s="48">
        <f>IF(V5="TIPO I",'BASE DE LIQUIDACION 2025'!$D$3,'BASE DE LIQUIDACION 2025'!$D$4)</f>
        <v>57411.974240000003</v>
      </c>
      <c r="AE5" s="52">
        <f t="shared" si="0"/>
        <v>194980.32052000001</v>
      </c>
    </row>
    <row r="6" spans="1:31" ht="13.15">
      <c r="A6" s="72" t="s">
        <v>176</v>
      </c>
      <c r="B6" s="44" t="str">
        <f>VLOOKUP(A6,'CENTRO DE COSTOS'!A:D,4,FALSE)</f>
        <v>JOSE MAURICIO HERNANDEZ ROJAS</v>
      </c>
      <c r="C6" s="44" t="str">
        <f>VLOOKUP(A6,'CENTRO DE COSTOS'!A:D,2,FALSE)</f>
        <v>0004-0001</v>
      </c>
      <c r="D6" s="72">
        <v>23001</v>
      </c>
      <c r="E6" s="73" t="s">
        <v>177</v>
      </c>
      <c r="F6" s="74">
        <v>81212</v>
      </c>
      <c r="G6" s="75" t="s">
        <v>135</v>
      </c>
      <c r="H6" s="76" t="s">
        <v>136</v>
      </c>
      <c r="I6" s="74" t="s">
        <v>178</v>
      </c>
      <c r="J6" s="77" t="s">
        <v>176</v>
      </c>
      <c r="K6" s="74" t="s">
        <v>179</v>
      </c>
      <c r="L6" s="78" t="s">
        <v>140</v>
      </c>
      <c r="M6" s="79" t="s">
        <v>180</v>
      </c>
      <c r="N6" s="80">
        <v>45896</v>
      </c>
      <c r="O6" s="81">
        <v>45901</v>
      </c>
      <c r="P6" s="82" t="s">
        <v>142</v>
      </c>
      <c r="Q6" s="83" t="s">
        <v>142</v>
      </c>
      <c r="R6" s="72" t="s">
        <v>143</v>
      </c>
      <c r="S6" s="84" t="s">
        <v>181</v>
      </c>
      <c r="T6" s="75" t="s">
        <v>145</v>
      </c>
      <c r="U6" s="72" t="s">
        <v>182</v>
      </c>
      <c r="V6" s="77" t="s">
        <v>55</v>
      </c>
      <c r="W6" s="85" t="s">
        <v>159</v>
      </c>
      <c r="X6" s="75" t="s">
        <v>183</v>
      </c>
      <c r="Y6" s="72">
        <v>1</v>
      </c>
      <c r="Z6" s="72">
        <v>1</v>
      </c>
      <c r="AA6" s="72">
        <v>1</v>
      </c>
      <c r="AB6" s="48">
        <f>IF(V6="TIPO I",'BASE DE LIQUIDACION 2025'!$B$3,'BASE DE LIQUIDACION 2025'!$B$4)</f>
        <v>11251.22416</v>
      </c>
      <c r="AC6" s="48">
        <f>IF(V6="TIPO I",'BASE DE LIQUIDACION 2025'!$C$3,'BASE DE LIQUIDACION 2025'!$C$4)</f>
        <v>126317.12212</v>
      </c>
      <c r="AD6" s="48">
        <f>IF(V6="TIPO I",'BASE DE LIQUIDACION 2025'!$D$3,'BASE DE LIQUIDACION 2025'!$D$4)</f>
        <v>57411.974240000003</v>
      </c>
      <c r="AE6" s="52">
        <f t="shared" si="0"/>
        <v>194980.32052000001</v>
      </c>
    </row>
    <row r="7" spans="1:31" ht="13.15">
      <c r="A7" s="72" t="s">
        <v>150</v>
      </c>
      <c r="B7" s="44" t="str">
        <f>VLOOKUP(A7,'CENTRO DE COSTOS'!A:D,4,FALSE)</f>
        <v>DIEGO FERNANDO HENAO CARDONA</v>
      </c>
      <c r="C7" s="44" t="str">
        <f>VLOOKUP(A7,'CENTRO DE COSTOS'!A:D,2,FALSE)</f>
        <v>0004-0003</v>
      </c>
      <c r="D7" s="72">
        <v>19809</v>
      </c>
      <c r="E7" s="73" t="s">
        <v>184</v>
      </c>
      <c r="F7" s="74">
        <v>81252</v>
      </c>
      <c r="G7" s="75" t="s">
        <v>135</v>
      </c>
      <c r="H7" s="76" t="s">
        <v>136</v>
      </c>
      <c r="I7" s="74" t="s">
        <v>152</v>
      </c>
      <c r="J7" s="77" t="s">
        <v>185</v>
      </c>
      <c r="K7" s="74" t="s">
        <v>186</v>
      </c>
      <c r="L7" s="78" t="s">
        <v>140</v>
      </c>
      <c r="M7" s="79" t="s">
        <v>187</v>
      </c>
      <c r="N7" s="80">
        <v>45896</v>
      </c>
      <c r="O7" s="81">
        <v>45904</v>
      </c>
      <c r="P7" s="82" t="s">
        <v>142</v>
      </c>
      <c r="Q7" s="83" t="s">
        <v>142</v>
      </c>
      <c r="R7" s="72" t="s">
        <v>143</v>
      </c>
      <c r="S7" s="84" t="s">
        <v>188</v>
      </c>
      <c r="T7" s="75" t="s">
        <v>145</v>
      </c>
      <c r="U7" s="72" t="s">
        <v>189</v>
      </c>
      <c r="V7" s="77" t="s">
        <v>147</v>
      </c>
      <c r="W7" s="85" t="s">
        <v>190</v>
      </c>
      <c r="X7" s="75" t="s">
        <v>191</v>
      </c>
      <c r="Y7" s="72">
        <v>1</v>
      </c>
      <c r="Z7" s="72">
        <v>1</v>
      </c>
      <c r="AA7" s="72">
        <v>1</v>
      </c>
      <c r="AB7" s="48">
        <f>IF(V7="TIPO I",'BASE DE LIQUIDACION 2025'!$B$3,'BASE DE LIQUIDACION 2025'!$B$4)</f>
        <v>11251.22416</v>
      </c>
      <c r="AC7" s="48">
        <f>IF(V7="TIPO I",'BASE DE LIQUIDACION 2025'!$C$3,'BASE DE LIQUIDACION 2025'!$C$4)</f>
        <v>126317.12212</v>
      </c>
      <c r="AD7" s="48">
        <f>IF(V7="TIPO I",'BASE DE LIQUIDACION 2025'!$D$3,'BASE DE LIQUIDACION 2025'!$D$4)</f>
        <v>110808.27512000001</v>
      </c>
      <c r="AE7" s="52">
        <f t="shared" si="0"/>
        <v>248376.6214</v>
      </c>
    </row>
    <row r="8" spans="1:31" ht="13.15">
      <c r="A8" s="72" t="s">
        <v>133</v>
      </c>
      <c r="B8" s="44" t="str">
        <f>VLOOKUP(A8,'CENTRO DE COSTOS'!A:D,4,FALSE)</f>
        <v>DIEGO FERNANDO HENAO CARDONA</v>
      </c>
      <c r="C8" s="44" t="str">
        <f>VLOOKUP(A8,'CENTRO DE COSTOS'!A:D,2,FALSE)</f>
        <v>0004-0003</v>
      </c>
      <c r="D8" s="72">
        <v>52687</v>
      </c>
      <c r="E8" s="73" t="s">
        <v>192</v>
      </c>
      <c r="F8" s="74">
        <v>81249</v>
      </c>
      <c r="G8" s="75" t="s">
        <v>135</v>
      </c>
      <c r="H8" s="76" t="s">
        <v>136</v>
      </c>
      <c r="I8" s="74" t="s">
        <v>137</v>
      </c>
      <c r="J8" s="77" t="s">
        <v>193</v>
      </c>
      <c r="K8" s="74" t="s">
        <v>194</v>
      </c>
      <c r="L8" s="78" t="s">
        <v>140</v>
      </c>
      <c r="M8" s="79" t="s">
        <v>195</v>
      </c>
      <c r="N8" s="80">
        <v>45896</v>
      </c>
      <c r="O8" s="81">
        <v>45903</v>
      </c>
      <c r="P8" s="82" t="s">
        <v>142</v>
      </c>
      <c r="Q8" s="83" t="s">
        <v>142</v>
      </c>
      <c r="R8" s="72" t="s">
        <v>196</v>
      </c>
      <c r="S8" s="84" t="s">
        <v>197</v>
      </c>
      <c r="T8" s="75" t="s">
        <v>145</v>
      </c>
      <c r="U8" s="72" t="s">
        <v>198</v>
      </c>
      <c r="V8" s="77" t="s">
        <v>199</v>
      </c>
      <c r="W8" s="85" t="s">
        <v>159</v>
      </c>
      <c r="X8" s="75" t="s">
        <v>200</v>
      </c>
      <c r="Y8" s="72">
        <v>0</v>
      </c>
      <c r="Z8" s="72">
        <v>0</v>
      </c>
      <c r="AA8" s="72">
        <v>2</v>
      </c>
      <c r="AB8" s="48">
        <f>IF(V8="TIPO I",'BASE DE LIQUIDACION 2025'!$B$3,'BASE DE LIQUIDACION 2025'!$B$4)</f>
        <v>11251.22416</v>
      </c>
      <c r="AC8" s="48">
        <f>IF(V8="TIPO I",'BASE DE LIQUIDACION 2025'!$C$3,'BASE DE LIQUIDACION 2025'!$C$4)</f>
        <v>126317.12212</v>
      </c>
      <c r="AD8" s="48">
        <f>IF(V8="TIPO I",'BASE DE LIQUIDACION 2025'!$D$3,'BASE DE LIQUIDACION 2025'!$D$4)</f>
        <v>110808.27512000001</v>
      </c>
      <c r="AE8" s="52">
        <f t="shared" ref="AE8:AE55" si="1">AB8*Y8+Z8*AC8+AA8*AD8</f>
        <v>221616.55024000001</v>
      </c>
    </row>
    <row r="9" spans="1:31" ht="13.15">
      <c r="A9" s="72" t="s">
        <v>201</v>
      </c>
      <c r="B9" s="44" t="str">
        <f>VLOOKUP(A9,'CENTRO DE COSTOS'!A:D,4,FALSE)</f>
        <v>KEVIN ALEXIS CORZO BUSTOS</v>
      </c>
      <c r="C9" s="44" t="str">
        <f>VLOOKUP(A9,'CENTRO DE COSTOS'!A:D,2,FALSE)</f>
        <v>0004-0007</v>
      </c>
      <c r="D9" s="72">
        <v>18785</v>
      </c>
      <c r="E9" s="73" t="s">
        <v>202</v>
      </c>
      <c r="F9" s="74">
        <v>81251</v>
      </c>
      <c r="G9" s="75" t="s">
        <v>135</v>
      </c>
      <c r="H9" s="76" t="s">
        <v>136</v>
      </c>
      <c r="I9" s="74" t="s">
        <v>203</v>
      </c>
      <c r="J9" s="77" t="s">
        <v>204</v>
      </c>
      <c r="K9" s="74" t="s">
        <v>205</v>
      </c>
      <c r="L9" s="78" t="s">
        <v>140</v>
      </c>
      <c r="M9" s="79" t="s">
        <v>206</v>
      </c>
      <c r="N9" s="80">
        <v>45896</v>
      </c>
      <c r="O9" s="81">
        <v>45902</v>
      </c>
      <c r="P9" s="82" t="s">
        <v>142</v>
      </c>
      <c r="Q9" s="83" t="s">
        <v>142</v>
      </c>
      <c r="R9" s="72" t="s">
        <v>143</v>
      </c>
      <c r="S9" s="84" t="s">
        <v>207</v>
      </c>
      <c r="T9" s="75" t="s">
        <v>145</v>
      </c>
      <c r="U9" s="72" t="s">
        <v>208</v>
      </c>
      <c r="V9" s="77" t="s">
        <v>167</v>
      </c>
      <c r="W9" s="85" t="s">
        <v>159</v>
      </c>
      <c r="X9" s="75" t="s">
        <v>209</v>
      </c>
      <c r="Y9" s="72">
        <v>1</v>
      </c>
      <c r="Z9" s="72">
        <v>1</v>
      </c>
      <c r="AA9" s="72">
        <v>1</v>
      </c>
      <c r="AB9" s="48">
        <f>IF(V9="TIPO I",'BASE DE LIQUIDACION 2025'!$B$3,'BASE DE LIQUIDACION 2025'!$B$4)</f>
        <v>11251.22416</v>
      </c>
      <c r="AC9" s="48">
        <f>IF(V9="TIPO I",'BASE DE LIQUIDACION 2025'!$C$3,'BASE DE LIQUIDACION 2025'!$C$4)</f>
        <v>126317.12212</v>
      </c>
      <c r="AD9" s="48">
        <f>IF(V9="TIPO I",'BASE DE LIQUIDACION 2025'!$D$3,'BASE DE LIQUIDACION 2025'!$D$4)</f>
        <v>110808.27512000001</v>
      </c>
      <c r="AE9" s="52">
        <f t="shared" si="0"/>
        <v>248376.6214</v>
      </c>
    </row>
    <row r="10" spans="1:31" ht="13.15">
      <c r="A10" s="72" t="s">
        <v>210</v>
      </c>
      <c r="B10" s="44" t="str">
        <f>VLOOKUP(A10,'CENTRO DE COSTOS'!A:D,4,FALSE)</f>
        <v>KEVIN ALEXIS CORZO BUSTOS</v>
      </c>
      <c r="C10" s="44" t="str">
        <f>VLOOKUP(A10,'CENTRO DE COSTOS'!A:D,2,FALSE)</f>
        <v>0004-0007</v>
      </c>
      <c r="D10" s="72">
        <v>50350</v>
      </c>
      <c r="E10" s="73" t="s">
        <v>211</v>
      </c>
      <c r="F10" s="74">
        <v>81208</v>
      </c>
      <c r="G10" s="75" t="s">
        <v>135</v>
      </c>
      <c r="H10" s="76" t="s">
        <v>136</v>
      </c>
      <c r="I10" s="74" t="s">
        <v>212</v>
      </c>
      <c r="J10" s="77" t="s">
        <v>213</v>
      </c>
      <c r="K10" s="74" t="s">
        <v>214</v>
      </c>
      <c r="L10" s="78" t="s">
        <v>140</v>
      </c>
      <c r="M10" s="79" t="s">
        <v>215</v>
      </c>
      <c r="N10" s="80">
        <v>45896</v>
      </c>
      <c r="O10" s="81">
        <v>45903</v>
      </c>
      <c r="P10" s="82" t="s">
        <v>142</v>
      </c>
      <c r="Q10" s="83" t="s">
        <v>142</v>
      </c>
      <c r="R10" s="72" t="s">
        <v>143</v>
      </c>
      <c r="S10" s="84" t="s">
        <v>216</v>
      </c>
      <c r="T10" s="75" t="s">
        <v>145</v>
      </c>
      <c r="U10" s="72" t="s">
        <v>217</v>
      </c>
      <c r="V10" s="77" t="s">
        <v>147</v>
      </c>
      <c r="W10" s="85" t="s">
        <v>190</v>
      </c>
      <c r="X10" s="75" t="s">
        <v>218</v>
      </c>
      <c r="Y10" s="72">
        <v>1</v>
      </c>
      <c r="Z10" s="72">
        <v>1</v>
      </c>
      <c r="AA10" s="72">
        <v>1</v>
      </c>
      <c r="AB10" s="48">
        <f>IF(V10="TIPO I",'BASE DE LIQUIDACION 2025'!$B$3,'BASE DE LIQUIDACION 2025'!$B$4)</f>
        <v>11251.22416</v>
      </c>
      <c r="AC10" s="48">
        <f>IF(V10="TIPO I",'BASE DE LIQUIDACION 2025'!$C$3,'BASE DE LIQUIDACION 2025'!$C$4)</f>
        <v>126317.12212</v>
      </c>
      <c r="AD10" s="48">
        <f>IF(V10="TIPO I",'BASE DE LIQUIDACION 2025'!$D$3,'BASE DE LIQUIDACION 2025'!$D$4)</f>
        <v>110808.27512000001</v>
      </c>
      <c r="AE10" s="52">
        <f t="shared" si="0"/>
        <v>248376.6214</v>
      </c>
    </row>
    <row r="11" spans="1:31" ht="13.15">
      <c r="A11" s="72" t="s">
        <v>219</v>
      </c>
      <c r="B11" s="44" t="str">
        <f>VLOOKUP(A11,'CENTRO DE COSTOS'!A:D,4,FALSE)</f>
        <v>MIGUEL JULIÁN HERNÁNDEZ GUARÍN</v>
      </c>
      <c r="C11" s="44" t="str">
        <f>VLOOKUP(A11,'CENTRO DE COSTOS'!A:D,2,FALSE)</f>
        <v>0004-0008</v>
      </c>
      <c r="D11" s="72">
        <v>68679</v>
      </c>
      <c r="E11" s="73" t="s">
        <v>220</v>
      </c>
      <c r="F11" s="74">
        <v>81247</v>
      </c>
      <c r="G11" s="75" t="s">
        <v>135</v>
      </c>
      <c r="H11" s="76" t="s">
        <v>136</v>
      </c>
      <c r="I11" s="74" t="s">
        <v>221</v>
      </c>
      <c r="J11" s="77" t="s">
        <v>222</v>
      </c>
      <c r="K11" s="74" t="s">
        <v>223</v>
      </c>
      <c r="L11" s="78" t="s">
        <v>140</v>
      </c>
      <c r="M11" s="79" t="s">
        <v>224</v>
      </c>
      <c r="N11" s="80">
        <v>45896</v>
      </c>
      <c r="O11" s="81">
        <v>45901</v>
      </c>
      <c r="P11" s="82" t="s">
        <v>142</v>
      </c>
      <c r="Q11" s="83" t="s">
        <v>142</v>
      </c>
      <c r="R11" s="72" t="s">
        <v>143</v>
      </c>
      <c r="S11" s="84" t="s">
        <v>225</v>
      </c>
      <c r="T11" s="75" t="s">
        <v>145</v>
      </c>
      <c r="U11" s="72" t="s">
        <v>226</v>
      </c>
      <c r="V11" s="77" t="s">
        <v>199</v>
      </c>
      <c r="W11" s="85" t="s">
        <v>159</v>
      </c>
      <c r="X11" s="75" t="s">
        <v>227</v>
      </c>
      <c r="Y11" s="72">
        <v>1</v>
      </c>
      <c r="Z11" s="72">
        <v>1</v>
      </c>
      <c r="AA11" s="72">
        <v>1</v>
      </c>
      <c r="AB11" s="48">
        <f>IF(V11="TIPO I",'BASE DE LIQUIDACION 2025'!$B$3,'BASE DE LIQUIDACION 2025'!$B$4)</f>
        <v>11251.22416</v>
      </c>
      <c r="AC11" s="48">
        <f>IF(V11="TIPO I",'BASE DE LIQUIDACION 2025'!$C$3,'BASE DE LIQUIDACION 2025'!$C$4)</f>
        <v>126317.12212</v>
      </c>
      <c r="AD11" s="48">
        <f>IF(V11="TIPO I",'BASE DE LIQUIDACION 2025'!$D$3,'BASE DE LIQUIDACION 2025'!$D$4)</f>
        <v>110808.27512000001</v>
      </c>
      <c r="AE11" s="52">
        <f t="shared" si="0"/>
        <v>248376.6214</v>
      </c>
    </row>
    <row r="12" spans="1:31" ht="13.15">
      <c r="A12" s="72" t="s">
        <v>150</v>
      </c>
      <c r="B12" s="44" t="str">
        <f>VLOOKUP(A12,'CENTRO DE COSTOS'!A:D,4,FALSE)</f>
        <v>DIEGO FERNANDO HENAO CARDONA</v>
      </c>
      <c r="C12" s="44" t="str">
        <f>VLOOKUP(A12,'CENTRO DE COSTOS'!A:D,2,FALSE)</f>
        <v>0004-0003</v>
      </c>
      <c r="D12" s="72">
        <v>76001</v>
      </c>
      <c r="E12" s="73" t="s">
        <v>228</v>
      </c>
      <c r="F12" s="74">
        <v>81195</v>
      </c>
      <c r="G12" s="75" t="s">
        <v>135</v>
      </c>
      <c r="H12" s="76" t="s">
        <v>136</v>
      </c>
      <c r="I12" s="74" t="s">
        <v>229</v>
      </c>
      <c r="J12" s="77" t="s">
        <v>150</v>
      </c>
      <c r="K12" s="74" t="s">
        <v>230</v>
      </c>
      <c r="L12" s="78" t="s">
        <v>140</v>
      </c>
      <c r="M12" s="79" t="s">
        <v>231</v>
      </c>
      <c r="N12" s="80">
        <v>45896</v>
      </c>
      <c r="O12" s="81">
        <v>45902</v>
      </c>
      <c r="P12" s="82" t="s">
        <v>142</v>
      </c>
      <c r="Q12" s="83" t="s">
        <v>142</v>
      </c>
      <c r="R12" s="72" t="s">
        <v>143</v>
      </c>
      <c r="S12" s="84" t="s">
        <v>232</v>
      </c>
      <c r="T12" s="75" t="s">
        <v>145</v>
      </c>
      <c r="U12" s="72" t="s">
        <v>233</v>
      </c>
      <c r="V12" s="77" t="s">
        <v>55</v>
      </c>
      <c r="W12" s="85" t="s">
        <v>159</v>
      </c>
      <c r="X12" s="75" t="s">
        <v>191</v>
      </c>
      <c r="Y12" s="72">
        <v>1</v>
      </c>
      <c r="Z12" s="72">
        <v>1</v>
      </c>
      <c r="AA12" s="72">
        <v>1</v>
      </c>
      <c r="AB12" s="48">
        <f>IF(V12="TIPO I",'BASE DE LIQUIDACION 2025'!$B$3,'BASE DE LIQUIDACION 2025'!$B$4)</f>
        <v>11251.22416</v>
      </c>
      <c r="AC12" s="48">
        <f>IF(V12="TIPO I",'BASE DE LIQUIDACION 2025'!$C$3,'BASE DE LIQUIDACION 2025'!$C$4)</f>
        <v>126317.12212</v>
      </c>
      <c r="AD12" s="48">
        <f>IF(V12="TIPO I",'BASE DE LIQUIDACION 2025'!$D$3,'BASE DE LIQUIDACION 2025'!$D$4)</f>
        <v>57411.974240000003</v>
      </c>
      <c r="AE12" s="52">
        <f t="shared" si="0"/>
        <v>194980.32052000001</v>
      </c>
    </row>
    <row r="13" spans="1:31" ht="13.15">
      <c r="A13" s="72" t="s">
        <v>201</v>
      </c>
      <c r="B13" s="44" t="str">
        <f>VLOOKUP(A13,'CENTRO DE COSTOS'!A:D,4,FALSE)</f>
        <v>KEVIN ALEXIS CORZO BUSTOS</v>
      </c>
      <c r="C13" s="44" t="str">
        <f>VLOOKUP(A13,'CENTRO DE COSTOS'!A:D,2,FALSE)</f>
        <v>0004-0007</v>
      </c>
      <c r="D13" s="72">
        <v>18753</v>
      </c>
      <c r="E13" s="73" t="s">
        <v>234</v>
      </c>
      <c r="F13" s="74">
        <v>81230</v>
      </c>
      <c r="G13" s="75" t="s">
        <v>135</v>
      </c>
      <c r="H13" s="76" t="s">
        <v>235</v>
      </c>
      <c r="I13" s="74" t="s">
        <v>203</v>
      </c>
      <c r="J13" s="77" t="s">
        <v>236</v>
      </c>
      <c r="K13" s="74" t="s">
        <v>237</v>
      </c>
      <c r="L13" s="78" t="s">
        <v>140</v>
      </c>
      <c r="M13" s="79" t="s">
        <v>238</v>
      </c>
      <c r="N13" s="80">
        <v>45896</v>
      </c>
      <c r="O13" s="81">
        <v>45905</v>
      </c>
      <c r="P13" s="82" t="s">
        <v>239</v>
      </c>
      <c r="Q13" s="83" t="s">
        <v>240</v>
      </c>
      <c r="R13" s="72" t="s">
        <v>196</v>
      </c>
      <c r="S13" s="84" t="s">
        <v>241</v>
      </c>
      <c r="T13" s="75" t="s">
        <v>145</v>
      </c>
      <c r="U13" s="72" t="s">
        <v>242</v>
      </c>
      <c r="V13" s="77" t="s">
        <v>147</v>
      </c>
      <c r="W13" s="85" t="s">
        <v>243</v>
      </c>
      <c r="X13" s="75" t="s">
        <v>209</v>
      </c>
      <c r="Y13" s="72">
        <v>0</v>
      </c>
      <c r="Z13" s="72">
        <v>0</v>
      </c>
      <c r="AA13" s="72">
        <v>2</v>
      </c>
      <c r="AB13" s="48">
        <f>IF(V13="TIPO I",'BASE DE LIQUIDACION 2025'!$B$3,'BASE DE LIQUIDACION 2025'!$B$4)</f>
        <v>11251.22416</v>
      </c>
      <c r="AC13" s="48">
        <f>IF(V13="TIPO I",'BASE DE LIQUIDACION 2025'!$C$3,'BASE DE LIQUIDACION 2025'!$C$4)</f>
        <v>126317.12212</v>
      </c>
      <c r="AD13" s="48">
        <f>IF(V13="TIPO I",'BASE DE LIQUIDACION 2025'!$D$3,'BASE DE LIQUIDACION 2025'!$D$4)</f>
        <v>110808.27512000001</v>
      </c>
      <c r="AE13" s="52">
        <f t="shared" si="1"/>
        <v>221616.55024000001</v>
      </c>
    </row>
    <row r="14" spans="1:31" ht="13.15">
      <c r="A14" s="72" t="s">
        <v>133</v>
      </c>
      <c r="B14" s="44" t="str">
        <f>VLOOKUP(A14,'CENTRO DE COSTOS'!A:D,4,FALSE)</f>
        <v>DIEGO FERNANDO HENAO CARDONA</v>
      </c>
      <c r="C14" s="44" t="str">
        <f>VLOOKUP(A14,'CENTRO DE COSTOS'!A:D,2,FALSE)</f>
        <v>0004-0003</v>
      </c>
      <c r="D14" s="72">
        <v>86568</v>
      </c>
      <c r="E14" s="73" t="s">
        <v>244</v>
      </c>
      <c r="F14" s="74">
        <v>81229</v>
      </c>
      <c r="G14" s="75" t="s">
        <v>135</v>
      </c>
      <c r="H14" s="76" t="s">
        <v>235</v>
      </c>
      <c r="I14" s="74" t="s">
        <v>245</v>
      </c>
      <c r="J14" s="77" t="s">
        <v>246</v>
      </c>
      <c r="K14" s="74" t="s">
        <v>247</v>
      </c>
      <c r="L14" s="78" t="s">
        <v>140</v>
      </c>
      <c r="M14" s="79" t="s">
        <v>248</v>
      </c>
      <c r="N14" s="80">
        <v>45896</v>
      </c>
      <c r="O14" s="81">
        <v>45902</v>
      </c>
      <c r="P14" s="82" t="s">
        <v>239</v>
      </c>
      <c r="Q14" s="83" t="s">
        <v>240</v>
      </c>
      <c r="R14" s="72" t="s">
        <v>143</v>
      </c>
      <c r="S14" s="84" t="s">
        <v>249</v>
      </c>
      <c r="T14" s="75" t="s">
        <v>145</v>
      </c>
      <c r="U14" s="72" t="s">
        <v>250</v>
      </c>
      <c r="V14" s="77" t="s">
        <v>167</v>
      </c>
      <c r="W14" s="85" t="s">
        <v>159</v>
      </c>
      <c r="X14" s="75" t="s">
        <v>251</v>
      </c>
      <c r="Y14" s="72">
        <v>1</v>
      </c>
      <c r="Z14" s="72">
        <v>1</v>
      </c>
      <c r="AA14" s="72">
        <v>1</v>
      </c>
      <c r="AB14" s="48">
        <f>IF(V14="TIPO I",'BASE DE LIQUIDACION 2025'!$B$3,'BASE DE LIQUIDACION 2025'!$B$4)</f>
        <v>11251.22416</v>
      </c>
      <c r="AC14" s="48">
        <f>IF(V14="TIPO I",'BASE DE LIQUIDACION 2025'!$C$3,'BASE DE LIQUIDACION 2025'!$C$4)</f>
        <v>126317.12212</v>
      </c>
      <c r="AD14" s="48">
        <f>IF(V14="TIPO I",'BASE DE LIQUIDACION 2025'!$D$3,'BASE DE LIQUIDACION 2025'!$D$4)</f>
        <v>110808.27512000001</v>
      </c>
      <c r="AE14" s="52">
        <f t="shared" si="0"/>
        <v>248376.6214</v>
      </c>
    </row>
    <row r="15" spans="1:31" ht="13.15">
      <c r="A15" s="72" t="s">
        <v>176</v>
      </c>
      <c r="B15" s="44" t="str">
        <f>VLOOKUP(A15,'CENTRO DE COSTOS'!A:D,4,FALSE)</f>
        <v>JOSE MAURICIO HERNANDEZ ROJAS</v>
      </c>
      <c r="C15" s="44" t="str">
        <f>VLOOKUP(A15,'CENTRO DE COSTOS'!A:D,2,FALSE)</f>
        <v>0004-0001</v>
      </c>
      <c r="D15" s="72">
        <v>5250</v>
      </c>
      <c r="E15" s="73" t="s">
        <v>252</v>
      </c>
      <c r="F15" s="74">
        <v>81260</v>
      </c>
      <c r="G15" s="75" t="s">
        <v>135</v>
      </c>
      <c r="H15" s="76" t="s">
        <v>235</v>
      </c>
      <c r="I15" s="74" t="s">
        <v>253</v>
      </c>
      <c r="J15" s="77" t="s">
        <v>254</v>
      </c>
      <c r="K15" s="74" t="s">
        <v>255</v>
      </c>
      <c r="L15" s="78" t="s">
        <v>140</v>
      </c>
      <c r="M15" s="79" t="s">
        <v>256</v>
      </c>
      <c r="N15" s="80">
        <v>45898</v>
      </c>
      <c r="O15" s="81">
        <v>45902</v>
      </c>
      <c r="P15" s="82" t="s">
        <v>239</v>
      </c>
      <c r="Q15" s="83" t="s">
        <v>240</v>
      </c>
      <c r="R15" s="72" t="s">
        <v>143</v>
      </c>
      <c r="S15" s="84" t="s">
        <v>257</v>
      </c>
      <c r="T15" s="75" t="s">
        <v>145</v>
      </c>
      <c r="U15" s="72" t="s">
        <v>258</v>
      </c>
      <c r="V15" s="77" t="s">
        <v>167</v>
      </c>
      <c r="W15" s="85" t="s">
        <v>159</v>
      </c>
      <c r="X15" s="75" t="s">
        <v>183</v>
      </c>
      <c r="Y15" s="72">
        <v>1</v>
      </c>
      <c r="Z15" s="72">
        <v>1</v>
      </c>
      <c r="AA15" s="72">
        <v>1</v>
      </c>
      <c r="AB15" s="48">
        <f>IF(V15="TIPO I",'BASE DE LIQUIDACION 2025'!$B$3,'BASE DE LIQUIDACION 2025'!$B$4)</f>
        <v>11251.22416</v>
      </c>
      <c r="AC15" s="48">
        <f>IF(V15="TIPO I",'BASE DE LIQUIDACION 2025'!$C$3,'BASE DE LIQUIDACION 2025'!$C$4)</f>
        <v>126317.12212</v>
      </c>
      <c r="AD15" s="48">
        <f>IF(V15="TIPO I",'BASE DE LIQUIDACION 2025'!$D$3,'BASE DE LIQUIDACION 2025'!$D$4)</f>
        <v>110808.27512000001</v>
      </c>
      <c r="AE15" s="52">
        <f t="shared" si="0"/>
        <v>248376.6214</v>
      </c>
    </row>
    <row r="16" spans="1:31" ht="13.15">
      <c r="A16" s="72" t="s">
        <v>259</v>
      </c>
      <c r="B16" s="44" t="str">
        <f>VLOOKUP(A16,'CENTRO DE COSTOS'!A:D,4,FALSE)</f>
        <v>JUAN SEBASTIÁN RÍOS CASTRILLÓN</v>
      </c>
      <c r="C16" s="44" t="str">
        <f>VLOOKUP(A16,'CENTRO DE COSTOS'!A:D,2,FALSE)</f>
        <v>0004-0005</v>
      </c>
      <c r="D16" s="72">
        <v>5837</v>
      </c>
      <c r="E16" s="73" t="s">
        <v>260</v>
      </c>
      <c r="F16" s="74">
        <v>81261</v>
      </c>
      <c r="G16" s="75" t="s">
        <v>135</v>
      </c>
      <c r="H16" s="76" t="s">
        <v>235</v>
      </c>
      <c r="I16" s="74" t="s">
        <v>253</v>
      </c>
      <c r="J16" s="77" t="s">
        <v>261</v>
      </c>
      <c r="K16" s="74" t="s">
        <v>262</v>
      </c>
      <c r="L16" s="78" t="s">
        <v>140</v>
      </c>
      <c r="M16" s="79" t="s">
        <v>263</v>
      </c>
      <c r="N16" s="80">
        <v>45898</v>
      </c>
      <c r="O16" s="81">
        <v>45902</v>
      </c>
      <c r="P16" s="82" t="s">
        <v>239</v>
      </c>
      <c r="Q16" s="83" t="s">
        <v>240</v>
      </c>
      <c r="R16" s="72" t="s">
        <v>143</v>
      </c>
      <c r="S16" s="84" t="s">
        <v>264</v>
      </c>
      <c r="T16" s="75" t="s">
        <v>145</v>
      </c>
      <c r="U16" s="72" t="s">
        <v>265</v>
      </c>
      <c r="V16" s="77" t="s">
        <v>199</v>
      </c>
      <c r="W16" s="85" t="s">
        <v>159</v>
      </c>
      <c r="X16" s="75" t="s">
        <v>266</v>
      </c>
      <c r="Y16" s="72">
        <v>1</v>
      </c>
      <c r="Z16" s="72">
        <v>1</v>
      </c>
      <c r="AA16" s="72">
        <v>1</v>
      </c>
      <c r="AB16" s="48">
        <f>IF(V16="TIPO I",'BASE DE LIQUIDACION 2025'!$B$3,'BASE DE LIQUIDACION 2025'!$B$4)</f>
        <v>11251.22416</v>
      </c>
      <c r="AC16" s="48">
        <f>IF(V16="TIPO I",'BASE DE LIQUIDACION 2025'!$C$3,'BASE DE LIQUIDACION 2025'!$C$4)</f>
        <v>126317.12212</v>
      </c>
      <c r="AD16" s="48">
        <f>IF(V16="TIPO I",'BASE DE LIQUIDACION 2025'!$D$3,'BASE DE LIQUIDACION 2025'!$D$4)</f>
        <v>110808.27512000001</v>
      </c>
      <c r="AE16" s="52">
        <f t="shared" si="0"/>
        <v>248376.6214</v>
      </c>
    </row>
    <row r="17" spans="1:31" ht="13.15">
      <c r="A17" s="72" t="s">
        <v>267</v>
      </c>
      <c r="B17" s="44" t="str">
        <f>VLOOKUP(A17,'CENTRO DE COSTOS'!A:D,4,FALSE)</f>
        <v>JUAN SEBASTIÁN RÍOS CASTRILLÓN</v>
      </c>
      <c r="C17" s="44" t="str">
        <f>VLOOKUP(A17,'CENTRO DE COSTOS'!A:D,2,FALSE)</f>
        <v>0004-0005</v>
      </c>
      <c r="D17" s="72">
        <v>5854</v>
      </c>
      <c r="E17" s="73" t="s">
        <v>268</v>
      </c>
      <c r="F17" s="74">
        <v>81265</v>
      </c>
      <c r="G17" s="75" t="s">
        <v>135</v>
      </c>
      <c r="H17" s="76" t="s">
        <v>235</v>
      </c>
      <c r="I17" s="74" t="s">
        <v>253</v>
      </c>
      <c r="J17" s="77" t="s">
        <v>269</v>
      </c>
      <c r="K17" s="74" t="s">
        <v>270</v>
      </c>
      <c r="L17" s="78" t="s">
        <v>140</v>
      </c>
      <c r="M17" s="79" t="s">
        <v>271</v>
      </c>
      <c r="N17" s="80">
        <v>45898</v>
      </c>
      <c r="O17" s="81">
        <v>45902</v>
      </c>
      <c r="P17" s="82" t="s">
        <v>239</v>
      </c>
      <c r="Q17" s="83" t="s">
        <v>240</v>
      </c>
      <c r="R17" s="72" t="s">
        <v>143</v>
      </c>
      <c r="S17" s="84" t="s">
        <v>264</v>
      </c>
      <c r="T17" s="75" t="s">
        <v>145</v>
      </c>
      <c r="U17" s="72" t="s">
        <v>272</v>
      </c>
      <c r="V17" s="77" t="s">
        <v>158</v>
      </c>
      <c r="W17" s="85" t="s">
        <v>159</v>
      </c>
      <c r="X17" s="75" t="s">
        <v>273</v>
      </c>
      <c r="Y17" s="72">
        <v>1</v>
      </c>
      <c r="Z17" s="72">
        <v>1</v>
      </c>
      <c r="AA17" s="72">
        <v>1</v>
      </c>
      <c r="AB17" s="48">
        <f>IF(V17="TIPO I",'BASE DE LIQUIDACION 2025'!$B$3,'BASE DE LIQUIDACION 2025'!$B$4)</f>
        <v>11251.22416</v>
      </c>
      <c r="AC17" s="48">
        <f>IF(V17="TIPO I",'BASE DE LIQUIDACION 2025'!$C$3,'BASE DE LIQUIDACION 2025'!$C$4)</f>
        <v>126317.12212</v>
      </c>
      <c r="AD17" s="48">
        <f>IF(V17="TIPO I",'BASE DE LIQUIDACION 2025'!$D$3,'BASE DE LIQUIDACION 2025'!$D$4)</f>
        <v>110808.27512000001</v>
      </c>
      <c r="AE17" s="52">
        <f t="shared" si="0"/>
        <v>248376.6214</v>
      </c>
    </row>
    <row r="18" spans="1:31" ht="13.15">
      <c r="A18" s="72" t="s">
        <v>274</v>
      </c>
      <c r="B18" s="44" t="str">
        <f>VLOOKUP(A18,'CENTRO DE COSTOS'!A:D,4,FALSE)</f>
        <v>MIGUEL JULIÁN HERNÁNDEZ GUARÍN</v>
      </c>
      <c r="C18" s="44" t="str">
        <f>VLOOKUP(A18,'CENTRO DE COSTOS'!A:D,2,FALSE)</f>
        <v>0004-0008</v>
      </c>
      <c r="D18" s="72">
        <v>15001</v>
      </c>
      <c r="E18" s="73" t="s">
        <v>275</v>
      </c>
      <c r="F18" s="74">
        <v>81267</v>
      </c>
      <c r="G18" s="75" t="s">
        <v>135</v>
      </c>
      <c r="H18" s="76" t="s">
        <v>235</v>
      </c>
      <c r="I18" s="74" t="s">
        <v>276</v>
      </c>
      <c r="J18" s="77" t="s">
        <v>274</v>
      </c>
      <c r="K18" s="74" t="s">
        <v>277</v>
      </c>
      <c r="L18" s="78" t="s">
        <v>140</v>
      </c>
      <c r="M18" s="79" t="s">
        <v>278</v>
      </c>
      <c r="N18" s="80">
        <v>45898</v>
      </c>
      <c r="O18" s="81">
        <v>45901</v>
      </c>
      <c r="P18" s="82" t="s">
        <v>239</v>
      </c>
      <c r="Q18" s="83" t="s">
        <v>240</v>
      </c>
      <c r="R18" s="72" t="s">
        <v>196</v>
      </c>
      <c r="S18" s="84" t="s">
        <v>279</v>
      </c>
      <c r="T18" s="75" t="s">
        <v>145</v>
      </c>
      <c r="U18" s="72" t="s">
        <v>280</v>
      </c>
      <c r="V18" s="77" t="s">
        <v>55</v>
      </c>
      <c r="W18" s="85" t="s">
        <v>159</v>
      </c>
      <c r="X18" s="75" t="s">
        <v>281</v>
      </c>
      <c r="Y18" s="72">
        <v>0</v>
      </c>
      <c r="Z18" s="72">
        <v>0</v>
      </c>
      <c r="AA18" s="72">
        <v>2</v>
      </c>
      <c r="AB18" s="48">
        <f>IF(V18="TIPO I",'BASE DE LIQUIDACION 2025'!$B$3,'BASE DE LIQUIDACION 2025'!$B$4)</f>
        <v>11251.22416</v>
      </c>
      <c r="AC18" s="48">
        <f>IF(V18="TIPO I",'BASE DE LIQUIDACION 2025'!$C$3,'BASE DE LIQUIDACION 2025'!$C$4)</f>
        <v>126317.12212</v>
      </c>
      <c r="AD18" s="48">
        <f>IF(V18="TIPO I",'BASE DE LIQUIDACION 2025'!$D$3,'BASE DE LIQUIDACION 2025'!$D$4)</f>
        <v>57411.974240000003</v>
      </c>
      <c r="AE18" s="52">
        <f t="shared" si="1"/>
        <v>114823.94848000001</v>
      </c>
    </row>
    <row r="19" spans="1:31" ht="13.15">
      <c r="A19" s="72" t="s">
        <v>282</v>
      </c>
      <c r="B19" s="44" t="str">
        <f>VLOOKUP(A19,'CENTRO DE COSTOS'!A:D,4,FALSE)</f>
        <v>DIEGO FERNANDO HENAO CARDONA</v>
      </c>
      <c r="C19" s="44" t="str">
        <f>VLOOKUP(A19,'CENTRO DE COSTOS'!A:D,2,FALSE)</f>
        <v>0004-0002</v>
      </c>
      <c r="D19" s="72">
        <v>17614</v>
      </c>
      <c r="E19" s="73" t="s">
        <v>283</v>
      </c>
      <c r="F19" s="74">
        <v>81263</v>
      </c>
      <c r="G19" s="75" t="s">
        <v>135</v>
      </c>
      <c r="H19" s="76" t="s">
        <v>235</v>
      </c>
      <c r="I19" s="74" t="s">
        <v>284</v>
      </c>
      <c r="J19" s="77" t="s">
        <v>285</v>
      </c>
      <c r="K19" s="74" t="s">
        <v>286</v>
      </c>
      <c r="L19" s="78" t="s">
        <v>140</v>
      </c>
      <c r="M19" s="79" t="s">
        <v>287</v>
      </c>
      <c r="N19" s="80">
        <v>45898</v>
      </c>
      <c r="O19" s="81">
        <v>45901</v>
      </c>
      <c r="P19" s="82" t="s">
        <v>239</v>
      </c>
      <c r="Q19" s="83" t="s">
        <v>240</v>
      </c>
      <c r="R19" s="72" t="s">
        <v>143</v>
      </c>
      <c r="S19" s="84" t="s">
        <v>288</v>
      </c>
      <c r="T19" s="75" t="s">
        <v>145</v>
      </c>
      <c r="U19" s="72" t="s">
        <v>289</v>
      </c>
      <c r="V19" s="77" t="s">
        <v>199</v>
      </c>
      <c r="W19" s="85" t="s">
        <v>159</v>
      </c>
      <c r="X19" s="75" t="s">
        <v>290</v>
      </c>
      <c r="Y19" s="72">
        <v>1</v>
      </c>
      <c r="Z19" s="72">
        <v>1</v>
      </c>
      <c r="AA19" s="72">
        <v>1</v>
      </c>
      <c r="AB19" s="48">
        <f>IF(V19="TIPO I",'BASE DE LIQUIDACION 2025'!$B$3,'BASE DE LIQUIDACION 2025'!$B$4)</f>
        <v>11251.22416</v>
      </c>
      <c r="AC19" s="48">
        <f>IF(V19="TIPO I",'BASE DE LIQUIDACION 2025'!$C$3,'BASE DE LIQUIDACION 2025'!$C$4)</f>
        <v>126317.12212</v>
      </c>
      <c r="AD19" s="48">
        <f>IF(V19="TIPO I",'BASE DE LIQUIDACION 2025'!$D$3,'BASE DE LIQUIDACION 2025'!$D$4)</f>
        <v>110808.27512000001</v>
      </c>
      <c r="AE19" s="52">
        <f t="shared" si="0"/>
        <v>248376.6214</v>
      </c>
    </row>
    <row r="20" spans="1:31" ht="13.15">
      <c r="A20" s="72" t="s">
        <v>282</v>
      </c>
      <c r="B20" s="44" t="str">
        <f>VLOOKUP(A20,'CENTRO DE COSTOS'!A:D,4,FALSE)</f>
        <v>DIEGO FERNANDO HENAO CARDONA</v>
      </c>
      <c r="C20" s="44" t="str">
        <f>VLOOKUP(A20,'CENTRO DE COSTOS'!A:D,2,FALSE)</f>
        <v>0004-0002</v>
      </c>
      <c r="D20" s="72">
        <v>17614</v>
      </c>
      <c r="E20" s="73" t="s">
        <v>291</v>
      </c>
      <c r="F20" s="74">
        <v>81264</v>
      </c>
      <c r="G20" s="75" t="s">
        <v>135</v>
      </c>
      <c r="H20" s="76" t="s">
        <v>235</v>
      </c>
      <c r="I20" s="74" t="s">
        <v>284</v>
      </c>
      <c r="J20" s="77" t="s">
        <v>285</v>
      </c>
      <c r="K20" s="74" t="s">
        <v>292</v>
      </c>
      <c r="L20" s="78" t="s">
        <v>140</v>
      </c>
      <c r="M20" s="79" t="s">
        <v>293</v>
      </c>
      <c r="N20" s="80">
        <v>45898</v>
      </c>
      <c r="O20" s="81">
        <v>45902</v>
      </c>
      <c r="P20" s="82" t="s">
        <v>239</v>
      </c>
      <c r="Q20" s="83" t="s">
        <v>240</v>
      </c>
      <c r="R20" s="72" t="s">
        <v>143</v>
      </c>
      <c r="S20" s="84" t="s">
        <v>294</v>
      </c>
      <c r="T20" s="75" t="s">
        <v>145</v>
      </c>
      <c r="U20" s="86" t="s">
        <v>295</v>
      </c>
      <c r="V20" s="77" t="s">
        <v>199</v>
      </c>
      <c r="W20" s="85" t="s">
        <v>159</v>
      </c>
      <c r="X20" s="75" t="s">
        <v>290</v>
      </c>
      <c r="Y20" s="72">
        <v>1</v>
      </c>
      <c r="Z20" s="72">
        <v>1</v>
      </c>
      <c r="AA20" s="72">
        <v>1</v>
      </c>
      <c r="AB20" s="48">
        <f>IF(V20="TIPO I",'BASE DE LIQUIDACION 2025'!$B$3,'BASE DE LIQUIDACION 2025'!$B$4)</f>
        <v>11251.22416</v>
      </c>
      <c r="AC20" s="48">
        <f>IF(V20="TIPO I",'BASE DE LIQUIDACION 2025'!$C$3,'BASE DE LIQUIDACION 2025'!$C$4)</f>
        <v>126317.12212</v>
      </c>
      <c r="AD20" s="48">
        <f>IF(V20="TIPO I",'BASE DE LIQUIDACION 2025'!$D$3,'BASE DE LIQUIDACION 2025'!$D$4)</f>
        <v>110808.27512000001</v>
      </c>
      <c r="AE20" s="52">
        <f t="shared" si="0"/>
        <v>248376.6214</v>
      </c>
    </row>
    <row r="21" spans="1:31" ht="13.15">
      <c r="A21" s="72" t="s">
        <v>282</v>
      </c>
      <c r="B21" s="44" t="str">
        <f>VLOOKUP(A21,'CENTRO DE COSTOS'!A:D,4,FALSE)</f>
        <v>DIEGO FERNANDO HENAO CARDONA</v>
      </c>
      <c r="C21" s="44" t="str">
        <f>VLOOKUP(A21,'CENTRO DE COSTOS'!A:D,2,FALSE)</f>
        <v>0004-0002</v>
      </c>
      <c r="D21" s="72">
        <v>17653</v>
      </c>
      <c r="E21" s="73" t="s">
        <v>296</v>
      </c>
      <c r="F21" s="74">
        <v>81262</v>
      </c>
      <c r="G21" s="75" t="s">
        <v>135</v>
      </c>
      <c r="H21" s="76" t="s">
        <v>235</v>
      </c>
      <c r="I21" s="74" t="s">
        <v>284</v>
      </c>
      <c r="J21" s="77" t="s">
        <v>297</v>
      </c>
      <c r="K21" s="74" t="s">
        <v>298</v>
      </c>
      <c r="L21" s="78" t="s">
        <v>140</v>
      </c>
      <c r="M21" s="79" t="s">
        <v>299</v>
      </c>
      <c r="N21" s="80">
        <v>45898</v>
      </c>
      <c r="O21" s="81">
        <v>45902</v>
      </c>
      <c r="P21" s="82" t="s">
        <v>239</v>
      </c>
      <c r="Q21" s="83" t="s">
        <v>240</v>
      </c>
      <c r="R21" s="72" t="s">
        <v>143</v>
      </c>
      <c r="S21" s="84" t="s">
        <v>300</v>
      </c>
      <c r="T21" s="75" t="s">
        <v>145</v>
      </c>
      <c r="U21" s="86" t="s">
        <v>301</v>
      </c>
      <c r="V21" s="77" t="s">
        <v>199</v>
      </c>
      <c r="W21" s="85" t="s">
        <v>159</v>
      </c>
      <c r="X21" s="75" t="s">
        <v>302</v>
      </c>
      <c r="Y21" s="72">
        <v>1</v>
      </c>
      <c r="Z21" s="72">
        <v>1</v>
      </c>
      <c r="AA21" s="72">
        <v>1</v>
      </c>
      <c r="AB21" s="48">
        <f>IF(V21="TIPO I",'BASE DE LIQUIDACION 2025'!$B$3,'BASE DE LIQUIDACION 2025'!$B$4)</f>
        <v>11251.22416</v>
      </c>
      <c r="AC21" s="48">
        <f>IF(V21="TIPO I",'BASE DE LIQUIDACION 2025'!$C$3,'BASE DE LIQUIDACION 2025'!$C$4)</f>
        <v>126317.12212</v>
      </c>
      <c r="AD21" s="48">
        <f>IF(V21="TIPO I",'BASE DE LIQUIDACION 2025'!$D$3,'BASE DE LIQUIDACION 2025'!$D$4)</f>
        <v>110808.27512000001</v>
      </c>
      <c r="AE21" s="52">
        <f t="shared" si="0"/>
        <v>248376.6214</v>
      </c>
    </row>
    <row r="22" spans="1:31" ht="13.15">
      <c r="A22" s="72" t="s">
        <v>133</v>
      </c>
      <c r="B22" s="44" t="str">
        <f>VLOOKUP(A22,'CENTRO DE COSTOS'!A:D,4,FALSE)</f>
        <v>DIEGO FERNANDO HENAO CARDONA</v>
      </c>
      <c r="C22" s="44" t="str">
        <f>VLOOKUP(A22,'CENTRO DE COSTOS'!A:D,2,FALSE)</f>
        <v>0004-0003</v>
      </c>
      <c r="D22" s="72">
        <v>52399</v>
      </c>
      <c r="E22" s="73" t="s">
        <v>303</v>
      </c>
      <c r="F22" s="74">
        <v>81270</v>
      </c>
      <c r="G22" s="75" t="s">
        <v>135</v>
      </c>
      <c r="H22" s="76" t="s">
        <v>235</v>
      </c>
      <c r="I22" s="74" t="s">
        <v>137</v>
      </c>
      <c r="J22" s="77" t="s">
        <v>304</v>
      </c>
      <c r="K22" s="74" t="s">
        <v>305</v>
      </c>
      <c r="L22" s="78" t="s">
        <v>140</v>
      </c>
      <c r="M22" s="79" t="s">
        <v>306</v>
      </c>
      <c r="N22" s="80">
        <v>45898</v>
      </c>
      <c r="O22" s="81">
        <v>45902</v>
      </c>
      <c r="P22" s="82" t="s">
        <v>239</v>
      </c>
      <c r="Q22" s="83" t="s">
        <v>240</v>
      </c>
      <c r="R22" s="72" t="s">
        <v>143</v>
      </c>
      <c r="S22" s="84" t="s">
        <v>307</v>
      </c>
      <c r="T22" s="75" t="s">
        <v>145</v>
      </c>
      <c r="U22" s="86" t="s">
        <v>308</v>
      </c>
      <c r="V22" s="77" t="s">
        <v>158</v>
      </c>
      <c r="W22" s="85" t="s">
        <v>159</v>
      </c>
      <c r="X22" s="75" t="s">
        <v>200</v>
      </c>
      <c r="Y22" s="72">
        <v>1</v>
      </c>
      <c r="Z22" s="72">
        <v>1</v>
      </c>
      <c r="AA22" s="72">
        <v>1</v>
      </c>
      <c r="AB22" s="48">
        <f>IF(V22="TIPO I",'BASE DE LIQUIDACION 2025'!$B$3,'BASE DE LIQUIDACION 2025'!$B$4)</f>
        <v>11251.22416</v>
      </c>
      <c r="AC22" s="48">
        <f>IF(V22="TIPO I",'BASE DE LIQUIDACION 2025'!$C$3,'BASE DE LIQUIDACION 2025'!$C$4)</f>
        <v>126317.12212</v>
      </c>
      <c r="AD22" s="48">
        <f>IF(V22="TIPO I",'BASE DE LIQUIDACION 2025'!$D$3,'BASE DE LIQUIDACION 2025'!$D$4)</f>
        <v>110808.27512000001</v>
      </c>
      <c r="AE22" s="52">
        <f t="shared" si="0"/>
        <v>248376.6214</v>
      </c>
    </row>
    <row r="23" spans="1:31" ht="13.15">
      <c r="A23" s="72" t="s">
        <v>309</v>
      </c>
      <c r="B23" s="44" t="str">
        <f>VLOOKUP(A23,'CENTRO DE COSTOS'!A:D,4,FALSE)</f>
        <v>MIGUEL JULIÁN HERNÁNDEZ GUARÍN</v>
      </c>
      <c r="C23" s="44" t="str">
        <f>VLOOKUP(A23,'CENTRO DE COSTOS'!A:D,2,FALSE)</f>
        <v>0004-0008</v>
      </c>
      <c r="D23" s="72">
        <v>54001</v>
      </c>
      <c r="E23" s="73" t="s">
        <v>310</v>
      </c>
      <c r="F23" s="74">
        <v>81257</v>
      </c>
      <c r="G23" s="75" t="s">
        <v>135</v>
      </c>
      <c r="H23" s="76" t="s">
        <v>235</v>
      </c>
      <c r="I23" s="74" t="s">
        <v>311</v>
      </c>
      <c r="J23" s="77" t="s">
        <v>309</v>
      </c>
      <c r="K23" s="74" t="s">
        <v>312</v>
      </c>
      <c r="L23" s="78" t="s">
        <v>140</v>
      </c>
      <c r="M23" s="79" t="s">
        <v>313</v>
      </c>
      <c r="N23" s="80">
        <v>45898</v>
      </c>
      <c r="O23" s="81">
        <v>45902</v>
      </c>
      <c r="P23" s="82" t="s">
        <v>239</v>
      </c>
      <c r="Q23" s="83" t="s">
        <v>240</v>
      </c>
      <c r="R23" s="72" t="s">
        <v>143</v>
      </c>
      <c r="S23" s="84" t="s">
        <v>314</v>
      </c>
      <c r="T23" s="75" t="s">
        <v>145</v>
      </c>
      <c r="U23" s="86" t="s">
        <v>315</v>
      </c>
      <c r="V23" s="77" t="s">
        <v>55</v>
      </c>
      <c r="W23" s="85" t="s">
        <v>159</v>
      </c>
      <c r="X23" s="75" t="s">
        <v>316</v>
      </c>
      <c r="Y23" s="72">
        <v>1</v>
      </c>
      <c r="Z23" s="72">
        <v>1</v>
      </c>
      <c r="AA23" s="72">
        <v>1</v>
      </c>
      <c r="AB23" s="48">
        <f>IF(V23="TIPO I",'BASE DE LIQUIDACION 2025'!$B$3,'BASE DE LIQUIDACION 2025'!$B$4)</f>
        <v>11251.22416</v>
      </c>
      <c r="AC23" s="48">
        <f>IF(V23="TIPO I",'BASE DE LIQUIDACION 2025'!$C$3,'BASE DE LIQUIDACION 2025'!$C$4)</f>
        <v>126317.12212</v>
      </c>
      <c r="AD23" s="48">
        <f>IF(V23="TIPO I",'BASE DE LIQUIDACION 2025'!$D$3,'BASE DE LIQUIDACION 2025'!$D$4)</f>
        <v>57411.974240000003</v>
      </c>
      <c r="AE23" s="52">
        <f t="shared" si="0"/>
        <v>194980.32052000001</v>
      </c>
    </row>
    <row r="24" spans="1:31" ht="13.15">
      <c r="A24" s="72" t="s">
        <v>309</v>
      </c>
      <c r="B24" s="44" t="str">
        <f>VLOOKUP(A24,'CENTRO DE COSTOS'!A:D,4,FALSE)</f>
        <v>MIGUEL JULIÁN HERNÁNDEZ GUARÍN</v>
      </c>
      <c r="C24" s="44" t="str">
        <f>VLOOKUP(A24,'CENTRO DE COSTOS'!A:D,2,FALSE)</f>
        <v>0004-0008</v>
      </c>
      <c r="D24" s="72">
        <v>54001</v>
      </c>
      <c r="E24" s="73" t="s">
        <v>317</v>
      </c>
      <c r="F24" s="74">
        <v>81258</v>
      </c>
      <c r="G24" s="75" t="s">
        <v>135</v>
      </c>
      <c r="H24" s="76" t="s">
        <v>235</v>
      </c>
      <c r="I24" s="74" t="s">
        <v>311</v>
      </c>
      <c r="J24" s="77" t="s">
        <v>309</v>
      </c>
      <c r="K24" s="74" t="s">
        <v>318</v>
      </c>
      <c r="L24" s="78" t="s">
        <v>140</v>
      </c>
      <c r="M24" s="79" t="s">
        <v>319</v>
      </c>
      <c r="N24" s="80">
        <v>45898</v>
      </c>
      <c r="O24" s="81">
        <v>45902</v>
      </c>
      <c r="P24" s="82" t="s">
        <v>239</v>
      </c>
      <c r="Q24" s="83" t="s">
        <v>240</v>
      </c>
      <c r="R24" s="72" t="s">
        <v>143</v>
      </c>
      <c r="S24" s="84" t="s">
        <v>320</v>
      </c>
      <c r="T24" s="75" t="s">
        <v>145</v>
      </c>
      <c r="U24" s="86" t="s">
        <v>321</v>
      </c>
      <c r="V24" s="77" t="s">
        <v>55</v>
      </c>
      <c r="W24" s="85" t="s">
        <v>159</v>
      </c>
      <c r="X24" s="75" t="s">
        <v>322</v>
      </c>
      <c r="Y24" s="72">
        <v>1</v>
      </c>
      <c r="Z24" s="72">
        <v>1</v>
      </c>
      <c r="AA24" s="72">
        <v>3</v>
      </c>
      <c r="AB24" s="48">
        <f>IF(V24="TIPO I",'BASE DE LIQUIDACION 2025'!$B$3,'BASE DE LIQUIDACION 2025'!$B$4)</f>
        <v>11251.22416</v>
      </c>
      <c r="AC24" s="48">
        <f>IF(V24="TIPO I",'BASE DE LIQUIDACION 2025'!$C$3,'BASE DE LIQUIDACION 2025'!$C$4)</f>
        <v>126317.12212</v>
      </c>
      <c r="AD24" s="48">
        <f>IF(V24="TIPO I",'BASE DE LIQUIDACION 2025'!$D$3,'BASE DE LIQUIDACION 2025'!$D$4)</f>
        <v>57411.974240000003</v>
      </c>
      <c r="AE24" s="52">
        <f t="shared" si="0"/>
        <v>309804.26899999997</v>
      </c>
    </row>
    <row r="25" spans="1:31" ht="13.15">
      <c r="A25" s="72" t="s">
        <v>309</v>
      </c>
      <c r="B25" s="44" t="str">
        <f>VLOOKUP(A25,'CENTRO DE COSTOS'!A:D,4,FALSE)</f>
        <v>MIGUEL JULIÁN HERNÁNDEZ GUARÍN</v>
      </c>
      <c r="C25" s="44" t="str">
        <f>VLOOKUP(A25,'CENTRO DE COSTOS'!A:D,2,FALSE)</f>
        <v>0004-0008</v>
      </c>
      <c r="D25" s="72">
        <v>54001</v>
      </c>
      <c r="E25" s="73" t="s">
        <v>323</v>
      </c>
      <c r="F25" s="74">
        <v>81259</v>
      </c>
      <c r="G25" s="75" t="s">
        <v>135</v>
      </c>
      <c r="H25" s="76" t="s">
        <v>235</v>
      </c>
      <c r="I25" s="74" t="s">
        <v>311</v>
      </c>
      <c r="J25" s="77" t="s">
        <v>309</v>
      </c>
      <c r="K25" s="74" t="s">
        <v>324</v>
      </c>
      <c r="L25" s="78" t="s">
        <v>140</v>
      </c>
      <c r="M25" s="79" t="s">
        <v>325</v>
      </c>
      <c r="N25" s="80">
        <v>45898</v>
      </c>
      <c r="O25" s="81">
        <v>45902</v>
      </c>
      <c r="P25" s="82" t="s">
        <v>239</v>
      </c>
      <c r="Q25" s="83" t="s">
        <v>240</v>
      </c>
      <c r="R25" s="72" t="s">
        <v>143</v>
      </c>
      <c r="S25" s="84" t="s">
        <v>326</v>
      </c>
      <c r="T25" s="75" t="s">
        <v>145</v>
      </c>
      <c r="U25" s="86" t="s">
        <v>327</v>
      </c>
      <c r="V25" s="77" t="s">
        <v>55</v>
      </c>
      <c r="W25" s="85" t="s">
        <v>159</v>
      </c>
      <c r="X25" s="75" t="s">
        <v>322</v>
      </c>
      <c r="Y25" s="72">
        <v>1</v>
      </c>
      <c r="Z25" s="72">
        <v>1</v>
      </c>
      <c r="AA25" s="72">
        <v>1</v>
      </c>
      <c r="AB25" s="48">
        <f>IF(V25="TIPO I",'BASE DE LIQUIDACION 2025'!$B$3,'BASE DE LIQUIDACION 2025'!$B$4)</f>
        <v>11251.22416</v>
      </c>
      <c r="AC25" s="48">
        <f>IF(V25="TIPO I",'BASE DE LIQUIDACION 2025'!$C$3,'BASE DE LIQUIDACION 2025'!$C$4)</f>
        <v>126317.12212</v>
      </c>
      <c r="AD25" s="48">
        <f>IF(V25="TIPO I",'BASE DE LIQUIDACION 2025'!$D$3,'BASE DE LIQUIDACION 2025'!$D$4)</f>
        <v>57411.974240000003</v>
      </c>
      <c r="AE25" s="52">
        <f t="shared" si="0"/>
        <v>194980.32052000001</v>
      </c>
    </row>
    <row r="26" spans="1:31" ht="13.15">
      <c r="A26" s="72" t="s">
        <v>309</v>
      </c>
      <c r="B26" s="44" t="str">
        <f>VLOOKUP(A26,'CENTRO DE COSTOS'!A:D,4,FALSE)</f>
        <v>MIGUEL JULIÁN HERNÁNDEZ GUARÍN</v>
      </c>
      <c r="C26" s="44" t="str">
        <f>VLOOKUP(A26,'CENTRO DE COSTOS'!A:D,2,FALSE)</f>
        <v>0004-0008</v>
      </c>
      <c r="D26" s="72">
        <v>54206</v>
      </c>
      <c r="E26" s="73" t="s">
        <v>328</v>
      </c>
      <c r="F26" s="74">
        <v>81255</v>
      </c>
      <c r="G26" s="75" t="s">
        <v>135</v>
      </c>
      <c r="H26" s="76" t="s">
        <v>235</v>
      </c>
      <c r="I26" s="74" t="s">
        <v>311</v>
      </c>
      <c r="J26" s="77" t="s">
        <v>329</v>
      </c>
      <c r="K26" s="74" t="s">
        <v>330</v>
      </c>
      <c r="L26" s="78" t="s">
        <v>140</v>
      </c>
      <c r="M26" s="79" t="s">
        <v>331</v>
      </c>
      <c r="N26" s="80">
        <v>45898</v>
      </c>
      <c r="O26" s="81">
        <v>45919</v>
      </c>
      <c r="P26" s="82" t="s">
        <v>239</v>
      </c>
      <c r="Q26" s="83" t="s">
        <v>240</v>
      </c>
      <c r="R26" s="72" t="s">
        <v>143</v>
      </c>
      <c r="S26" s="84" t="s">
        <v>332</v>
      </c>
      <c r="T26" s="75" t="s">
        <v>145</v>
      </c>
      <c r="U26" s="86" t="s">
        <v>333</v>
      </c>
      <c r="V26" s="77" t="s">
        <v>167</v>
      </c>
      <c r="W26" s="85" t="s">
        <v>159</v>
      </c>
      <c r="X26" s="75" t="s">
        <v>334</v>
      </c>
      <c r="Y26" s="72">
        <v>1</v>
      </c>
      <c r="Z26" s="72">
        <v>1</v>
      </c>
      <c r="AA26" s="72">
        <v>1</v>
      </c>
      <c r="AB26" s="48">
        <f>IF(V26="TIPO I",'BASE DE LIQUIDACION 2025'!$B$3,'BASE DE LIQUIDACION 2025'!$B$4)</f>
        <v>11251.22416</v>
      </c>
      <c r="AC26" s="48">
        <f>IF(V26="TIPO I",'BASE DE LIQUIDACION 2025'!$C$3,'BASE DE LIQUIDACION 2025'!$C$4)</f>
        <v>126317.12212</v>
      </c>
      <c r="AD26" s="48">
        <f>IF(V26="TIPO I",'BASE DE LIQUIDACION 2025'!$D$3,'BASE DE LIQUIDACION 2025'!$D$4)</f>
        <v>110808.27512000001</v>
      </c>
      <c r="AE26" s="52">
        <f t="shared" si="0"/>
        <v>248376.6214</v>
      </c>
    </row>
    <row r="27" spans="1:31" ht="13.15">
      <c r="A27" s="72" t="s">
        <v>309</v>
      </c>
      <c r="B27" s="44" t="str">
        <f>VLOOKUP(A27,'CENTRO DE COSTOS'!A:D,4,FALSE)</f>
        <v>MIGUEL JULIÁN HERNÁNDEZ GUARÍN</v>
      </c>
      <c r="C27" s="44" t="str">
        <f>VLOOKUP(A27,'CENTRO DE COSTOS'!A:D,2,FALSE)</f>
        <v>0004-0008</v>
      </c>
      <c r="D27" s="72">
        <v>54874</v>
      </c>
      <c r="E27" s="73" t="s">
        <v>335</v>
      </c>
      <c r="F27" s="74">
        <v>81268</v>
      </c>
      <c r="G27" s="75" t="s">
        <v>135</v>
      </c>
      <c r="H27" s="76" t="s">
        <v>235</v>
      </c>
      <c r="I27" s="74" t="s">
        <v>311</v>
      </c>
      <c r="J27" s="77" t="s">
        <v>336</v>
      </c>
      <c r="K27" s="74" t="s">
        <v>337</v>
      </c>
      <c r="L27" s="78" t="s">
        <v>140</v>
      </c>
      <c r="M27" s="79" t="s">
        <v>338</v>
      </c>
      <c r="N27" s="80">
        <v>45898</v>
      </c>
      <c r="O27" s="81">
        <v>45902</v>
      </c>
      <c r="P27" s="82" t="s">
        <v>239</v>
      </c>
      <c r="Q27" s="83" t="s">
        <v>240</v>
      </c>
      <c r="R27" s="72" t="s">
        <v>143</v>
      </c>
      <c r="S27" s="84" t="s">
        <v>339</v>
      </c>
      <c r="T27" s="75" t="s">
        <v>145</v>
      </c>
      <c r="U27" s="86" t="s">
        <v>340</v>
      </c>
      <c r="V27" s="77" t="s">
        <v>55</v>
      </c>
      <c r="W27" s="85" t="s">
        <v>159</v>
      </c>
      <c r="X27" s="75" t="s">
        <v>341</v>
      </c>
      <c r="Y27" s="72">
        <v>1</v>
      </c>
      <c r="Z27" s="72">
        <v>1</v>
      </c>
      <c r="AA27" s="72">
        <v>1</v>
      </c>
      <c r="AB27" s="48">
        <f>IF(V27="TIPO I",'BASE DE LIQUIDACION 2025'!$B$3,'BASE DE LIQUIDACION 2025'!$B$4)</f>
        <v>11251.22416</v>
      </c>
      <c r="AC27" s="48">
        <f>IF(V27="TIPO I",'BASE DE LIQUIDACION 2025'!$C$3,'BASE DE LIQUIDACION 2025'!$C$4)</f>
        <v>126317.12212</v>
      </c>
      <c r="AD27" s="48">
        <f>IF(V27="TIPO I",'BASE DE LIQUIDACION 2025'!$D$3,'BASE DE LIQUIDACION 2025'!$D$4)</f>
        <v>57411.974240000003</v>
      </c>
      <c r="AE27" s="52">
        <f t="shared" si="0"/>
        <v>194980.32052000001</v>
      </c>
    </row>
    <row r="28" spans="1:31" ht="13.15">
      <c r="A28" s="72" t="s">
        <v>309</v>
      </c>
      <c r="B28" s="44" t="str">
        <f>VLOOKUP(A28,'CENTRO DE COSTOS'!A:D,4,FALSE)</f>
        <v>MIGUEL JULIÁN HERNÁNDEZ GUARÍN</v>
      </c>
      <c r="C28" s="44" t="str">
        <f>VLOOKUP(A28,'CENTRO DE COSTOS'!A:D,2,FALSE)</f>
        <v>0004-0008</v>
      </c>
      <c r="D28" s="72">
        <v>54874</v>
      </c>
      <c r="E28" s="73" t="s">
        <v>342</v>
      </c>
      <c r="F28" s="74">
        <v>81269</v>
      </c>
      <c r="G28" s="75" t="s">
        <v>135</v>
      </c>
      <c r="H28" s="76" t="s">
        <v>235</v>
      </c>
      <c r="I28" s="74" t="s">
        <v>311</v>
      </c>
      <c r="J28" s="77" t="s">
        <v>336</v>
      </c>
      <c r="K28" s="74" t="s">
        <v>343</v>
      </c>
      <c r="L28" s="78" t="s">
        <v>140</v>
      </c>
      <c r="M28" s="79" t="s">
        <v>344</v>
      </c>
      <c r="N28" s="80">
        <v>45898</v>
      </c>
      <c r="O28" s="81">
        <v>45902</v>
      </c>
      <c r="P28" s="82" t="s">
        <v>239</v>
      </c>
      <c r="Q28" s="83" t="s">
        <v>240</v>
      </c>
      <c r="R28" s="72" t="s">
        <v>143</v>
      </c>
      <c r="S28" s="84" t="s">
        <v>345</v>
      </c>
      <c r="T28" s="75" t="s">
        <v>145</v>
      </c>
      <c r="U28" s="86" t="s">
        <v>346</v>
      </c>
      <c r="V28" s="77" t="s">
        <v>55</v>
      </c>
      <c r="W28" s="85" t="s">
        <v>159</v>
      </c>
      <c r="X28" s="75" t="s">
        <v>341</v>
      </c>
      <c r="Y28" s="72">
        <v>1</v>
      </c>
      <c r="Z28" s="72">
        <v>1</v>
      </c>
      <c r="AA28" s="72">
        <v>1</v>
      </c>
      <c r="AB28" s="48">
        <f>IF(V28="TIPO I",'BASE DE LIQUIDACION 2025'!$B$3,'BASE DE LIQUIDACION 2025'!$B$4)</f>
        <v>11251.22416</v>
      </c>
      <c r="AC28" s="48">
        <f>IF(V28="TIPO I",'BASE DE LIQUIDACION 2025'!$C$3,'BASE DE LIQUIDACION 2025'!$C$4)</f>
        <v>126317.12212</v>
      </c>
      <c r="AD28" s="48">
        <f>IF(V28="TIPO I",'BASE DE LIQUIDACION 2025'!$D$3,'BASE DE LIQUIDACION 2025'!$D$4)</f>
        <v>57411.974240000003</v>
      </c>
      <c r="AE28" s="52">
        <f t="shared" si="0"/>
        <v>194980.32052000001</v>
      </c>
    </row>
    <row r="29" spans="1:31" ht="13.15">
      <c r="A29" s="72" t="s">
        <v>347</v>
      </c>
      <c r="B29" s="44" t="str">
        <f>VLOOKUP(A29,'CENTRO DE COSTOS'!A:D,4,FALSE)</f>
        <v>JOSE MAURICIO HERNANDEZ ROJAS</v>
      </c>
      <c r="C29" s="44" t="str">
        <f>VLOOKUP(A29,'CENTRO DE COSTOS'!A:D,2,FALSE)</f>
        <v>0004-0001</v>
      </c>
      <c r="D29" s="72">
        <v>70215</v>
      </c>
      <c r="E29" s="73" t="s">
        <v>348</v>
      </c>
      <c r="F29" s="74">
        <v>81256</v>
      </c>
      <c r="G29" s="75" t="s">
        <v>135</v>
      </c>
      <c r="H29" s="76" t="s">
        <v>235</v>
      </c>
      <c r="I29" s="74" t="s">
        <v>349</v>
      </c>
      <c r="J29" s="77" t="s">
        <v>350</v>
      </c>
      <c r="K29" s="74" t="s">
        <v>351</v>
      </c>
      <c r="L29" s="78" t="s">
        <v>140</v>
      </c>
      <c r="M29" s="79" t="s">
        <v>352</v>
      </c>
      <c r="N29" s="80">
        <v>45898</v>
      </c>
      <c r="O29" s="81">
        <v>45902</v>
      </c>
      <c r="P29" s="82" t="s">
        <v>239</v>
      </c>
      <c r="Q29" s="83" t="s">
        <v>240</v>
      </c>
      <c r="R29" s="72" t="s">
        <v>143</v>
      </c>
      <c r="S29" s="84" t="s">
        <v>353</v>
      </c>
      <c r="T29" s="75" t="s">
        <v>145</v>
      </c>
      <c r="U29" s="86" t="s">
        <v>354</v>
      </c>
      <c r="V29" s="77" t="s">
        <v>199</v>
      </c>
      <c r="W29" s="85" t="s">
        <v>159</v>
      </c>
      <c r="X29" s="75" t="s">
        <v>355</v>
      </c>
      <c r="Y29" s="72">
        <v>1</v>
      </c>
      <c r="Z29" s="72">
        <v>1</v>
      </c>
      <c r="AA29" s="72">
        <v>1</v>
      </c>
      <c r="AB29" s="48">
        <f>IF(V29="TIPO I",'BASE DE LIQUIDACION 2025'!$B$3,'BASE DE LIQUIDACION 2025'!$B$4)</f>
        <v>11251.22416</v>
      </c>
      <c r="AC29" s="48">
        <f>IF(V29="TIPO I",'BASE DE LIQUIDACION 2025'!$C$3,'BASE DE LIQUIDACION 2025'!$C$4)</f>
        <v>126317.12212</v>
      </c>
      <c r="AD29" s="48">
        <f>IF(V29="TIPO I",'BASE DE LIQUIDACION 2025'!$D$3,'BASE DE LIQUIDACION 2025'!$D$4)</f>
        <v>110808.27512000001</v>
      </c>
      <c r="AE29" s="52">
        <f t="shared" si="0"/>
        <v>248376.6214</v>
      </c>
    </row>
    <row r="30" spans="1:31" ht="13.15">
      <c r="A30" s="72" t="s">
        <v>150</v>
      </c>
      <c r="B30" s="44" t="str">
        <f>VLOOKUP(A30,'CENTRO DE COSTOS'!A:D,4,FALSE)</f>
        <v>DIEGO FERNANDO HENAO CARDONA</v>
      </c>
      <c r="C30" s="44" t="str">
        <f>VLOOKUP(A30,'CENTRO DE COSTOS'!A:D,2,FALSE)</f>
        <v>0004-0003</v>
      </c>
      <c r="D30" s="72">
        <v>76834</v>
      </c>
      <c r="E30" s="73" t="s">
        <v>356</v>
      </c>
      <c r="F30" s="74">
        <v>81266</v>
      </c>
      <c r="G30" s="75" t="s">
        <v>135</v>
      </c>
      <c r="H30" s="76" t="s">
        <v>235</v>
      </c>
      <c r="I30" s="74" t="s">
        <v>229</v>
      </c>
      <c r="J30" s="77" t="s">
        <v>357</v>
      </c>
      <c r="K30" s="74" t="s">
        <v>358</v>
      </c>
      <c r="L30" s="78" t="s">
        <v>140</v>
      </c>
      <c r="M30" s="79" t="s">
        <v>359</v>
      </c>
      <c r="N30" s="80">
        <v>45898</v>
      </c>
      <c r="O30" s="81">
        <v>45901</v>
      </c>
      <c r="P30" s="82" t="s">
        <v>239</v>
      </c>
      <c r="Q30" s="83" t="s">
        <v>240</v>
      </c>
      <c r="R30" s="72" t="s">
        <v>143</v>
      </c>
      <c r="S30" s="84" t="s">
        <v>360</v>
      </c>
      <c r="T30" s="75" t="s">
        <v>145</v>
      </c>
      <c r="U30" s="72" t="s">
        <v>361</v>
      </c>
      <c r="V30" s="77" t="s">
        <v>199</v>
      </c>
      <c r="W30" s="85" t="s">
        <v>159</v>
      </c>
      <c r="X30" s="75" t="s">
        <v>362</v>
      </c>
      <c r="Y30" s="72">
        <v>1</v>
      </c>
      <c r="Z30" s="72">
        <v>1</v>
      </c>
      <c r="AA30" s="72">
        <v>1</v>
      </c>
      <c r="AB30" s="48">
        <f>IF(V30="TIPO I",'BASE DE LIQUIDACION 2025'!$B$3,'BASE DE LIQUIDACION 2025'!$B$4)</f>
        <v>11251.22416</v>
      </c>
      <c r="AC30" s="48">
        <f>IF(V30="TIPO I",'BASE DE LIQUIDACION 2025'!$C$3,'BASE DE LIQUIDACION 2025'!$C$4)</f>
        <v>126317.12212</v>
      </c>
      <c r="AD30" s="48">
        <f>IF(V30="TIPO I",'BASE DE LIQUIDACION 2025'!$D$3,'BASE DE LIQUIDACION 2025'!$D$4)</f>
        <v>110808.27512000001</v>
      </c>
      <c r="AE30" s="52">
        <f t="shared" si="0"/>
        <v>248376.6214</v>
      </c>
    </row>
    <row r="31" spans="1:31" ht="13.15">
      <c r="A31" s="72" t="s">
        <v>259</v>
      </c>
      <c r="B31" s="44" t="str">
        <f>VLOOKUP(A31,'CENTRO DE COSTOS'!A:D,4,FALSE)</f>
        <v>JUAN SEBASTIÁN RÍOS CASTRILLÓN</v>
      </c>
      <c r="C31" s="44" t="str">
        <f>VLOOKUP(A31,'CENTRO DE COSTOS'!A:D,2,FALSE)</f>
        <v>0004-0005</v>
      </c>
      <c r="D31" s="72">
        <v>5045</v>
      </c>
      <c r="E31" s="73" t="s">
        <v>363</v>
      </c>
      <c r="F31" s="74">
        <v>81254</v>
      </c>
      <c r="G31" s="75" t="s">
        <v>135</v>
      </c>
      <c r="H31" s="76" t="s">
        <v>235</v>
      </c>
      <c r="I31" s="74" t="s">
        <v>253</v>
      </c>
      <c r="J31" s="77" t="s">
        <v>259</v>
      </c>
      <c r="K31" s="74" t="s">
        <v>364</v>
      </c>
      <c r="L31" s="78" t="s">
        <v>140</v>
      </c>
      <c r="M31" s="79" t="s">
        <v>365</v>
      </c>
      <c r="N31" s="80">
        <v>45898</v>
      </c>
      <c r="O31" s="81">
        <v>45903</v>
      </c>
      <c r="P31" s="82" t="s">
        <v>239</v>
      </c>
      <c r="Q31" s="83" t="s">
        <v>240</v>
      </c>
      <c r="R31" s="72" t="s">
        <v>143</v>
      </c>
      <c r="S31" s="84" t="s">
        <v>366</v>
      </c>
      <c r="T31" s="75" t="s">
        <v>145</v>
      </c>
      <c r="U31" s="72" t="s">
        <v>367</v>
      </c>
      <c r="V31" s="77" t="s">
        <v>55</v>
      </c>
      <c r="W31" s="85" t="s">
        <v>159</v>
      </c>
      <c r="X31" s="75" t="s">
        <v>266</v>
      </c>
      <c r="Y31" s="72">
        <v>1</v>
      </c>
      <c r="Z31" s="72">
        <v>1</v>
      </c>
      <c r="AA31" s="72">
        <v>1</v>
      </c>
      <c r="AB31" s="48">
        <f>IF(V31="TIPO I",'BASE DE LIQUIDACION 2025'!$B$3,'BASE DE LIQUIDACION 2025'!$B$4)</f>
        <v>11251.22416</v>
      </c>
      <c r="AC31" s="48">
        <f>IF(V31="TIPO I",'BASE DE LIQUIDACION 2025'!$C$3,'BASE DE LIQUIDACION 2025'!$C$4)</f>
        <v>126317.12212</v>
      </c>
      <c r="AD31" s="48">
        <f>IF(V31="TIPO I",'BASE DE LIQUIDACION 2025'!$D$3,'BASE DE LIQUIDACION 2025'!$D$4)</f>
        <v>57411.974240000003</v>
      </c>
      <c r="AE31" s="52">
        <f t="shared" si="0"/>
        <v>194980.32052000001</v>
      </c>
    </row>
    <row r="32" spans="1:31" ht="13.15">
      <c r="A32" s="72" t="s">
        <v>267</v>
      </c>
      <c r="B32" s="44" t="str">
        <f>VLOOKUP(A32,'CENTRO DE COSTOS'!A:D,4,FALSE)</f>
        <v>JUAN SEBASTIÁN RÍOS CASTRILLÓN</v>
      </c>
      <c r="C32" s="44" t="str">
        <f>VLOOKUP(A32,'CENTRO DE COSTOS'!A:D,2,FALSE)</f>
        <v>0004-0005</v>
      </c>
      <c r="D32" s="72">
        <v>5360</v>
      </c>
      <c r="E32" s="73" t="s">
        <v>368</v>
      </c>
      <c r="F32" s="74">
        <v>12494</v>
      </c>
      <c r="G32" s="75" t="s">
        <v>135</v>
      </c>
      <c r="H32" s="76" t="s">
        <v>369</v>
      </c>
      <c r="I32" s="74" t="s">
        <v>253</v>
      </c>
      <c r="J32" s="77" t="s">
        <v>370</v>
      </c>
      <c r="K32" s="74" t="s">
        <v>371</v>
      </c>
      <c r="L32" s="78" t="s">
        <v>140</v>
      </c>
      <c r="M32" s="79" t="s">
        <v>372</v>
      </c>
      <c r="N32" s="80">
        <v>45898</v>
      </c>
      <c r="O32" s="81">
        <v>45902</v>
      </c>
      <c r="P32" s="82" t="s">
        <v>373</v>
      </c>
      <c r="Q32" s="83" t="s">
        <v>374</v>
      </c>
      <c r="R32" s="72" t="s">
        <v>143</v>
      </c>
      <c r="S32" s="84" t="s">
        <v>375</v>
      </c>
      <c r="T32" s="75" t="s">
        <v>145</v>
      </c>
      <c r="U32" s="72" t="s">
        <v>376</v>
      </c>
      <c r="V32" s="77" t="s">
        <v>55</v>
      </c>
      <c r="W32" s="85" t="s">
        <v>159</v>
      </c>
      <c r="X32" s="75" t="s">
        <v>377</v>
      </c>
      <c r="Y32" s="72">
        <v>0</v>
      </c>
      <c r="Z32" s="72">
        <v>0</v>
      </c>
      <c r="AA32" s="72">
        <v>0</v>
      </c>
      <c r="AB32" s="48">
        <f>IF(V32="TIPO I",'BASE DE LIQUIDACION 2025'!$B$3,'BASE DE LIQUIDACION 2025'!$B$4)</f>
        <v>11251.22416</v>
      </c>
      <c r="AC32" s="48">
        <f>IF(V32="TIPO I",'BASE DE LIQUIDACION 2025'!$C$3,'BASE DE LIQUIDACION 2025'!$C$4)</f>
        <v>126317.12212</v>
      </c>
      <c r="AD32" s="48">
        <f>IF(V32="TIPO I",'BASE DE LIQUIDACION 2025'!$D$3,'BASE DE LIQUIDACION 2025'!$D$4)</f>
        <v>57411.974240000003</v>
      </c>
      <c r="AE32" s="52">
        <f t="shared" si="0"/>
        <v>0</v>
      </c>
    </row>
    <row r="33" spans="1:31" ht="13.15">
      <c r="A33" s="72" t="s">
        <v>267</v>
      </c>
      <c r="B33" s="44" t="str">
        <f>VLOOKUP(A33,'CENTRO DE COSTOS'!A:D,4,FALSE)</f>
        <v>JUAN SEBASTIÁN RÍOS CASTRILLÓN</v>
      </c>
      <c r="C33" s="44" t="str">
        <f>VLOOKUP(A33,'CENTRO DE COSTOS'!A:D,2,FALSE)</f>
        <v>0004-0005</v>
      </c>
      <c r="D33" s="72">
        <v>5001</v>
      </c>
      <c r="E33" s="73" t="s">
        <v>378</v>
      </c>
      <c r="F33" s="74">
        <v>81346</v>
      </c>
      <c r="G33" s="75" t="s">
        <v>135</v>
      </c>
      <c r="H33" s="76" t="s">
        <v>235</v>
      </c>
      <c r="I33" s="74" t="s">
        <v>253</v>
      </c>
      <c r="J33" s="77" t="s">
        <v>267</v>
      </c>
      <c r="K33" s="74" t="s">
        <v>379</v>
      </c>
      <c r="L33" s="78" t="s">
        <v>140</v>
      </c>
      <c r="M33" s="79" t="s">
        <v>380</v>
      </c>
      <c r="N33" s="80">
        <v>45903</v>
      </c>
      <c r="O33" s="81">
        <v>45905</v>
      </c>
      <c r="P33" s="82" t="s">
        <v>239</v>
      </c>
      <c r="Q33" s="83" t="s">
        <v>381</v>
      </c>
      <c r="R33" s="72" t="s">
        <v>143</v>
      </c>
      <c r="S33" s="84" t="s">
        <v>382</v>
      </c>
      <c r="T33" s="75" t="s">
        <v>145</v>
      </c>
      <c r="U33" s="72" t="s">
        <v>383</v>
      </c>
      <c r="V33" s="77" t="s">
        <v>55</v>
      </c>
      <c r="W33" s="85" t="s">
        <v>159</v>
      </c>
      <c r="X33" s="75" t="s">
        <v>384</v>
      </c>
      <c r="Y33" s="72">
        <v>1</v>
      </c>
      <c r="Z33" s="72">
        <v>1</v>
      </c>
      <c r="AA33" s="72">
        <v>1</v>
      </c>
      <c r="AB33" s="48">
        <f>IF(V33="TIPO I",'BASE DE LIQUIDACION 2025'!$B$3,'BASE DE LIQUIDACION 2025'!$B$4)</f>
        <v>11251.22416</v>
      </c>
      <c r="AC33" s="48">
        <f>IF(V33="TIPO I",'BASE DE LIQUIDACION 2025'!$C$3,'BASE DE LIQUIDACION 2025'!$C$4)</f>
        <v>126317.12212</v>
      </c>
      <c r="AD33" s="48">
        <f>IF(V33="TIPO I",'BASE DE LIQUIDACION 2025'!$D$3,'BASE DE LIQUIDACION 2025'!$D$4)</f>
        <v>57411.974240000003</v>
      </c>
      <c r="AE33" s="52">
        <f t="shared" si="0"/>
        <v>194980.32052000001</v>
      </c>
    </row>
    <row r="34" spans="1:31" ht="13.15">
      <c r="A34" s="72" t="s">
        <v>267</v>
      </c>
      <c r="B34" s="44" t="str">
        <f>VLOOKUP(A34,'CENTRO DE COSTOS'!A:D,4,FALSE)</f>
        <v>JUAN SEBASTIÁN RÍOS CASTRILLÓN</v>
      </c>
      <c r="C34" s="44" t="str">
        <f>VLOOKUP(A34,'CENTRO DE COSTOS'!A:D,2,FALSE)</f>
        <v>0004-0005</v>
      </c>
      <c r="D34" s="72">
        <v>5001</v>
      </c>
      <c r="E34" s="73" t="s">
        <v>385</v>
      </c>
      <c r="F34" s="74">
        <v>81344</v>
      </c>
      <c r="G34" s="75" t="s">
        <v>135</v>
      </c>
      <c r="H34" s="76" t="s">
        <v>235</v>
      </c>
      <c r="I34" s="74" t="s">
        <v>253</v>
      </c>
      <c r="J34" s="77" t="s">
        <v>267</v>
      </c>
      <c r="K34" s="74" t="s">
        <v>386</v>
      </c>
      <c r="L34" s="78" t="s">
        <v>140</v>
      </c>
      <c r="M34" s="79" t="s">
        <v>387</v>
      </c>
      <c r="N34" s="80">
        <v>45903</v>
      </c>
      <c r="O34" s="81">
        <v>45905</v>
      </c>
      <c r="P34" s="82" t="s">
        <v>239</v>
      </c>
      <c r="Q34" s="83" t="s">
        <v>381</v>
      </c>
      <c r="R34" s="72" t="s">
        <v>143</v>
      </c>
      <c r="S34" s="84" t="s">
        <v>388</v>
      </c>
      <c r="T34" s="75" t="s">
        <v>145</v>
      </c>
      <c r="U34" s="72" t="s">
        <v>389</v>
      </c>
      <c r="V34" s="77" t="s">
        <v>55</v>
      </c>
      <c r="W34" s="85" t="s">
        <v>159</v>
      </c>
      <c r="X34" s="75" t="s">
        <v>390</v>
      </c>
      <c r="Y34" s="72">
        <v>1</v>
      </c>
      <c r="Z34" s="72">
        <v>1</v>
      </c>
      <c r="AA34" s="72">
        <v>1</v>
      </c>
      <c r="AB34" s="48">
        <f>IF(V34="TIPO I",'BASE DE LIQUIDACION 2025'!$B$3,'BASE DE LIQUIDACION 2025'!$B$4)</f>
        <v>11251.22416</v>
      </c>
      <c r="AC34" s="48">
        <f>IF(V34="TIPO I",'BASE DE LIQUIDACION 2025'!$C$3,'BASE DE LIQUIDACION 2025'!$C$4)</f>
        <v>126317.12212</v>
      </c>
      <c r="AD34" s="48">
        <f>IF(V34="TIPO I",'BASE DE LIQUIDACION 2025'!$D$3,'BASE DE LIQUIDACION 2025'!$D$4)</f>
        <v>57411.974240000003</v>
      </c>
      <c r="AE34" s="52">
        <f t="shared" si="0"/>
        <v>194980.32052000001</v>
      </c>
    </row>
    <row r="35" spans="1:31" ht="13.15">
      <c r="A35" s="72" t="s">
        <v>267</v>
      </c>
      <c r="B35" s="44" t="str">
        <f>VLOOKUP(A35,'CENTRO DE COSTOS'!A:D,4,FALSE)</f>
        <v>JUAN SEBASTIÁN RÍOS CASTRILLÓN</v>
      </c>
      <c r="C35" s="44" t="str">
        <f>VLOOKUP(A35,'CENTRO DE COSTOS'!A:D,2,FALSE)</f>
        <v>0004-0005</v>
      </c>
      <c r="D35" s="72">
        <v>5001</v>
      </c>
      <c r="E35" s="73" t="s">
        <v>391</v>
      </c>
      <c r="F35" s="74">
        <v>81345</v>
      </c>
      <c r="G35" s="75" t="s">
        <v>135</v>
      </c>
      <c r="H35" s="76" t="s">
        <v>235</v>
      </c>
      <c r="I35" s="74" t="s">
        <v>253</v>
      </c>
      <c r="J35" s="77" t="s">
        <v>267</v>
      </c>
      <c r="K35" s="74" t="s">
        <v>392</v>
      </c>
      <c r="L35" s="78" t="s">
        <v>140</v>
      </c>
      <c r="M35" s="79" t="s">
        <v>393</v>
      </c>
      <c r="N35" s="80">
        <v>45903</v>
      </c>
      <c r="O35" s="81">
        <v>45905</v>
      </c>
      <c r="P35" s="82" t="s">
        <v>239</v>
      </c>
      <c r="Q35" s="83" t="s">
        <v>381</v>
      </c>
      <c r="R35" s="72" t="s">
        <v>143</v>
      </c>
      <c r="S35" s="84" t="s">
        <v>382</v>
      </c>
      <c r="T35" s="75" t="s">
        <v>145</v>
      </c>
      <c r="U35" s="72" t="s">
        <v>394</v>
      </c>
      <c r="V35" s="77" t="s">
        <v>55</v>
      </c>
      <c r="W35" s="85" t="s">
        <v>159</v>
      </c>
      <c r="X35" s="75" t="s">
        <v>377</v>
      </c>
      <c r="Y35" s="72">
        <v>1</v>
      </c>
      <c r="Z35" s="72">
        <v>1</v>
      </c>
      <c r="AA35" s="72">
        <v>1</v>
      </c>
      <c r="AB35" s="48">
        <f>IF(V35="TIPO I",'BASE DE LIQUIDACION 2025'!$B$3,'BASE DE LIQUIDACION 2025'!$B$4)</f>
        <v>11251.22416</v>
      </c>
      <c r="AC35" s="48">
        <f>IF(V35="TIPO I",'BASE DE LIQUIDACION 2025'!$C$3,'BASE DE LIQUIDACION 2025'!$C$4)</f>
        <v>126317.12212</v>
      </c>
      <c r="AD35" s="48">
        <f>IF(V35="TIPO I",'BASE DE LIQUIDACION 2025'!$D$3,'BASE DE LIQUIDACION 2025'!$D$4)</f>
        <v>57411.974240000003</v>
      </c>
      <c r="AE35" s="52">
        <f t="shared" si="0"/>
        <v>194980.32052000001</v>
      </c>
    </row>
    <row r="36" spans="1:31" ht="13.15">
      <c r="A36" s="72" t="s">
        <v>267</v>
      </c>
      <c r="B36" s="44" t="str">
        <f>VLOOKUP(A36,'CENTRO DE COSTOS'!A:D,4,FALSE)</f>
        <v>JUAN SEBASTIÁN RÍOS CASTRILLÓN</v>
      </c>
      <c r="C36" s="44" t="str">
        <f>VLOOKUP(A36,'CENTRO DE COSTOS'!A:D,2,FALSE)</f>
        <v>0004-0005</v>
      </c>
      <c r="D36" s="72">
        <v>5001</v>
      </c>
      <c r="E36" s="73" t="s">
        <v>395</v>
      </c>
      <c r="F36" s="74">
        <v>81347</v>
      </c>
      <c r="G36" s="75" t="s">
        <v>135</v>
      </c>
      <c r="H36" s="76" t="s">
        <v>235</v>
      </c>
      <c r="I36" s="74" t="s">
        <v>253</v>
      </c>
      <c r="J36" s="77" t="s">
        <v>267</v>
      </c>
      <c r="K36" s="74" t="s">
        <v>396</v>
      </c>
      <c r="L36" s="78" t="s">
        <v>140</v>
      </c>
      <c r="M36" s="79" t="s">
        <v>397</v>
      </c>
      <c r="N36" s="80">
        <v>45903</v>
      </c>
      <c r="O36" s="81">
        <v>45905</v>
      </c>
      <c r="P36" s="82" t="s">
        <v>239</v>
      </c>
      <c r="Q36" s="83" t="s">
        <v>381</v>
      </c>
      <c r="R36" s="72" t="s">
        <v>143</v>
      </c>
      <c r="S36" s="84" t="s">
        <v>382</v>
      </c>
      <c r="T36" s="75" t="s">
        <v>145</v>
      </c>
      <c r="U36" s="72" t="s">
        <v>398</v>
      </c>
      <c r="V36" s="77" t="s">
        <v>55</v>
      </c>
      <c r="W36" s="85" t="s">
        <v>159</v>
      </c>
      <c r="X36" s="75" t="s">
        <v>384</v>
      </c>
      <c r="Y36" s="72">
        <v>1</v>
      </c>
      <c r="Z36" s="72">
        <v>1</v>
      </c>
      <c r="AA36" s="72">
        <v>1</v>
      </c>
      <c r="AB36" s="48">
        <f>IF(V36="TIPO I",'BASE DE LIQUIDACION 2025'!$B$3,'BASE DE LIQUIDACION 2025'!$B$4)</f>
        <v>11251.22416</v>
      </c>
      <c r="AC36" s="48">
        <f>IF(V36="TIPO I",'BASE DE LIQUIDACION 2025'!$C$3,'BASE DE LIQUIDACION 2025'!$C$4)</f>
        <v>126317.12212</v>
      </c>
      <c r="AD36" s="48">
        <f>IF(V36="TIPO I",'BASE DE LIQUIDACION 2025'!$D$3,'BASE DE LIQUIDACION 2025'!$D$4)</f>
        <v>57411.974240000003</v>
      </c>
      <c r="AE36" s="52">
        <f t="shared" si="0"/>
        <v>194980.32052000001</v>
      </c>
    </row>
    <row r="37" spans="1:31" ht="13.15">
      <c r="A37" s="72" t="s">
        <v>267</v>
      </c>
      <c r="B37" s="44" t="str">
        <f>VLOOKUP(A37,'CENTRO DE COSTOS'!A:D,4,FALSE)</f>
        <v>JUAN SEBASTIÁN RÍOS CASTRILLÓN</v>
      </c>
      <c r="C37" s="44" t="str">
        <f>VLOOKUP(A37,'CENTRO DE COSTOS'!A:D,2,FALSE)</f>
        <v>0004-0005</v>
      </c>
      <c r="D37" s="72">
        <v>5088</v>
      </c>
      <c r="E37" s="73" t="s">
        <v>399</v>
      </c>
      <c r="F37" s="74">
        <v>81341</v>
      </c>
      <c r="G37" s="75" t="s">
        <v>135</v>
      </c>
      <c r="H37" s="76" t="s">
        <v>235</v>
      </c>
      <c r="I37" s="74" t="s">
        <v>253</v>
      </c>
      <c r="J37" s="77" t="s">
        <v>400</v>
      </c>
      <c r="K37" s="74" t="s">
        <v>401</v>
      </c>
      <c r="L37" s="78" t="s">
        <v>140</v>
      </c>
      <c r="M37" s="79" t="s">
        <v>402</v>
      </c>
      <c r="N37" s="80">
        <v>45903</v>
      </c>
      <c r="O37" s="81">
        <v>45904</v>
      </c>
      <c r="P37" s="82" t="s">
        <v>239</v>
      </c>
      <c r="Q37" s="83" t="s">
        <v>381</v>
      </c>
      <c r="R37" s="72" t="s">
        <v>143</v>
      </c>
      <c r="S37" s="84" t="s">
        <v>403</v>
      </c>
      <c r="T37" s="75" t="s">
        <v>145</v>
      </c>
      <c r="U37" s="72" t="s">
        <v>404</v>
      </c>
      <c r="V37" s="77" t="s">
        <v>55</v>
      </c>
      <c r="W37" s="85" t="s">
        <v>159</v>
      </c>
      <c r="X37" s="75" t="s">
        <v>377</v>
      </c>
      <c r="Y37" s="72">
        <v>1</v>
      </c>
      <c r="Z37" s="72">
        <v>1</v>
      </c>
      <c r="AA37" s="72">
        <v>1</v>
      </c>
      <c r="AB37" s="48">
        <f>IF(V37="TIPO I",'BASE DE LIQUIDACION 2025'!$B$3,'BASE DE LIQUIDACION 2025'!$B$4)</f>
        <v>11251.22416</v>
      </c>
      <c r="AC37" s="48">
        <f>IF(V37="TIPO I",'BASE DE LIQUIDACION 2025'!$C$3,'BASE DE LIQUIDACION 2025'!$C$4)</f>
        <v>126317.12212</v>
      </c>
      <c r="AD37" s="48">
        <f>IF(V37="TIPO I",'BASE DE LIQUIDACION 2025'!$D$3,'BASE DE LIQUIDACION 2025'!$D$4)</f>
        <v>57411.974240000003</v>
      </c>
      <c r="AE37" s="52">
        <f t="shared" si="0"/>
        <v>194980.32052000001</v>
      </c>
    </row>
    <row r="38" spans="1:31" ht="13.15">
      <c r="A38" s="72" t="s">
        <v>267</v>
      </c>
      <c r="B38" s="44" t="str">
        <f>VLOOKUP(A38,'CENTRO DE COSTOS'!A:D,4,FALSE)</f>
        <v>JUAN SEBASTIÁN RÍOS CASTRILLÓN</v>
      </c>
      <c r="C38" s="44" t="str">
        <f>VLOOKUP(A38,'CENTRO DE COSTOS'!A:D,2,FALSE)</f>
        <v>0004-0005</v>
      </c>
      <c r="D38" s="72">
        <v>5088</v>
      </c>
      <c r="E38" s="73" t="s">
        <v>405</v>
      </c>
      <c r="F38" s="74">
        <v>81342</v>
      </c>
      <c r="G38" s="75" t="s">
        <v>135</v>
      </c>
      <c r="H38" s="76" t="s">
        <v>235</v>
      </c>
      <c r="I38" s="74" t="s">
        <v>253</v>
      </c>
      <c r="J38" s="77" t="s">
        <v>400</v>
      </c>
      <c r="K38" s="74" t="s">
        <v>406</v>
      </c>
      <c r="L38" s="78" t="s">
        <v>140</v>
      </c>
      <c r="M38" s="79" t="s">
        <v>407</v>
      </c>
      <c r="N38" s="80">
        <v>45903</v>
      </c>
      <c r="O38" s="81">
        <v>45904</v>
      </c>
      <c r="P38" s="82" t="s">
        <v>239</v>
      </c>
      <c r="Q38" s="83" t="s">
        <v>381</v>
      </c>
      <c r="R38" s="72" t="s">
        <v>143</v>
      </c>
      <c r="S38" s="84" t="s">
        <v>408</v>
      </c>
      <c r="T38" s="75" t="s">
        <v>145</v>
      </c>
      <c r="U38" s="72" t="s">
        <v>409</v>
      </c>
      <c r="V38" s="77" t="s">
        <v>55</v>
      </c>
      <c r="W38" s="85" t="s">
        <v>159</v>
      </c>
      <c r="X38" s="75" t="s">
        <v>377</v>
      </c>
      <c r="Y38" s="72">
        <v>1</v>
      </c>
      <c r="Z38" s="72">
        <v>1</v>
      </c>
      <c r="AA38" s="72">
        <v>1</v>
      </c>
      <c r="AB38" s="48">
        <f>IF(V38="TIPO I",'BASE DE LIQUIDACION 2025'!$B$3,'BASE DE LIQUIDACION 2025'!$B$4)</f>
        <v>11251.22416</v>
      </c>
      <c r="AC38" s="48">
        <f>IF(V38="TIPO I",'BASE DE LIQUIDACION 2025'!$C$3,'BASE DE LIQUIDACION 2025'!$C$4)</f>
        <v>126317.12212</v>
      </c>
      <c r="AD38" s="48">
        <f>IF(V38="TIPO I",'BASE DE LIQUIDACION 2025'!$D$3,'BASE DE LIQUIDACION 2025'!$D$4)</f>
        <v>57411.974240000003</v>
      </c>
      <c r="AE38" s="52">
        <f t="shared" si="0"/>
        <v>194980.32052000001</v>
      </c>
    </row>
    <row r="39" spans="1:31" ht="13.15">
      <c r="A39" s="72" t="s">
        <v>267</v>
      </c>
      <c r="B39" s="44" t="str">
        <f>VLOOKUP(A39,'CENTRO DE COSTOS'!A:D,4,FALSE)</f>
        <v>JUAN SEBASTIÁN RÍOS CASTRILLÓN</v>
      </c>
      <c r="C39" s="44" t="str">
        <f>VLOOKUP(A39,'CENTRO DE COSTOS'!A:D,2,FALSE)</f>
        <v>0004-0005</v>
      </c>
      <c r="D39" s="72">
        <v>5266</v>
      </c>
      <c r="E39" s="73" t="s">
        <v>410</v>
      </c>
      <c r="F39" s="74">
        <v>81343</v>
      </c>
      <c r="G39" s="75" t="s">
        <v>135</v>
      </c>
      <c r="H39" s="76" t="s">
        <v>235</v>
      </c>
      <c r="I39" s="74" t="s">
        <v>253</v>
      </c>
      <c r="J39" s="77" t="s">
        <v>411</v>
      </c>
      <c r="K39" s="74" t="s">
        <v>412</v>
      </c>
      <c r="L39" s="78" t="s">
        <v>140</v>
      </c>
      <c r="M39" s="79" t="s">
        <v>413</v>
      </c>
      <c r="N39" s="80">
        <v>45903</v>
      </c>
      <c r="O39" s="81">
        <v>45904</v>
      </c>
      <c r="P39" s="82" t="s">
        <v>239</v>
      </c>
      <c r="Q39" s="83" t="s">
        <v>381</v>
      </c>
      <c r="R39" s="72" t="s">
        <v>143</v>
      </c>
      <c r="S39" s="84" t="s">
        <v>414</v>
      </c>
      <c r="T39" s="75" t="s">
        <v>145</v>
      </c>
      <c r="U39" s="72" t="s">
        <v>415</v>
      </c>
      <c r="V39" s="77" t="s">
        <v>55</v>
      </c>
      <c r="W39" s="85" t="s">
        <v>159</v>
      </c>
      <c r="X39" s="75" t="s">
        <v>416</v>
      </c>
      <c r="Y39" s="72">
        <v>1</v>
      </c>
      <c r="Z39" s="72">
        <v>1</v>
      </c>
      <c r="AA39" s="72">
        <v>1</v>
      </c>
      <c r="AB39" s="48">
        <f>IF(V39="TIPO I",'BASE DE LIQUIDACION 2025'!$B$3,'BASE DE LIQUIDACION 2025'!$B$4)</f>
        <v>11251.22416</v>
      </c>
      <c r="AC39" s="48">
        <f>IF(V39="TIPO I",'BASE DE LIQUIDACION 2025'!$C$3,'BASE DE LIQUIDACION 2025'!$C$4)</f>
        <v>126317.12212</v>
      </c>
      <c r="AD39" s="48">
        <f>IF(V39="TIPO I",'BASE DE LIQUIDACION 2025'!$D$3,'BASE DE LIQUIDACION 2025'!$D$4)</f>
        <v>57411.974240000003</v>
      </c>
      <c r="AE39" s="52">
        <f t="shared" si="0"/>
        <v>194980.32052000001</v>
      </c>
    </row>
    <row r="40" spans="1:31" ht="13.15">
      <c r="A40" s="72" t="s">
        <v>259</v>
      </c>
      <c r="B40" s="44" t="str">
        <f>VLOOKUP(A40,'CENTRO DE COSTOS'!A:D,4,FALSE)</f>
        <v>JUAN SEBASTIÁN RÍOS CASTRILLÓN</v>
      </c>
      <c r="C40" s="44" t="str">
        <f>VLOOKUP(A40,'CENTRO DE COSTOS'!A:D,2,FALSE)</f>
        <v>0004-0005</v>
      </c>
      <c r="D40" s="72">
        <v>5837</v>
      </c>
      <c r="E40" s="73" t="s">
        <v>417</v>
      </c>
      <c r="F40" s="74">
        <v>81325</v>
      </c>
      <c r="G40" s="75" t="s">
        <v>135</v>
      </c>
      <c r="H40" s="76" t="s">
        <v>235</v>
      </c>
      <c r="I40" s="74" t="s">
        <v>253</v>
      </c>
      <c r="J40" s="77" t="s">
        <v>261</v>
      </c>
      <c r="K40" s="74" t="s">
        <v>418</v>
      </c>
      <c r="L40" s="78" t="s">
        <v>140</v>
      </c>
      <c r="M40" s="79" t="s">
        <v>419</v>
      </c>
      <c r="N40" s="80">
        <v>45903</v>
      </c>
      <c r="O40" s="81">
        <v>45904</v>
      </c>
      <c r="P40" s="82" t="s">
        <v>239</v>
      </c>
      <c r="Q40" s="83" t="s">
        <v>381</v>
      </c>
      <c r="R40" s="72" t="s">
        <v>143</v>
      </c>
      <c r="S40" s="84" t="s">
        <v>414</v>
      </c>
      <c r="T40" s="75" t="s">
        <v>145</v>
      </c>
      <c r="U40" s="72" t="s">
        <v>420</v>
      </c>
      <c r="V40" s="77" t="s">
        <v>199</v>
      </c>
      <c r="W40" s="85" t="s">
        <v>159</v>
      </c>
      <c r="X40" s="75" t="s">
        <v>266</v>
      </c>
      <c r="Y40" s="72">
        <v>1</v>
      </c>
      <c r="Z40" s="72">
        <v>1</v>
      </c>
      <c r="AA40" s="72">
        <v>1</v>
      </c>
      <c r="AB40" s="48">
        <f>IF(V40="TIPO I",'BASE DE LIQUIDACION 2025'!$B$3,'BASE DE LIQUIDACION 2025'!$B$4)</f>
        <v>11251.22416</v>
      </c>
      <c r="AC40" s="48">
        <f>IF(V40="TIPO I",'BASE DE LIQUIDACION 2025'!$C$3,'BASE DE LIQUIDACION 2025'!$C$4)</f>
        <v>126317.12212</v>
      </c>
      <c r="AD40" s="48">
        <f>IF(V40="TIPO I",'BASE DE LIQUIDACION 2025'!$D$3,'BASE DE LIQUIDACION 2025'!$D$4)</f>
        <v>110808.27512000001</v>
      </c>
      <c r="AE40" s="52">
        <f t="shared" si="0"/>
        <v>248376.6214</v>
      </c>
    </row>
    <row r="41" spans="1:31" ht="13.15">
      <c r="A41" s="72" t="s">
        <v>274</v>
      </c>
      <c r="B41" s="44" t="str">
        <f>VLOOKUP(A41,'CENTRO DE COSTOS'!A:D,4,FALSE)</f>
        <v>MIGUEL JULIÁN HERNÁNDEZ GUARÍN</v>
      </c>
      <c r="C41" s="44" t="str">
        <f>VLOOKUP(A41,'CENTRO DE COSTOS'!A:D,2,FALSE)</f>
        <v>0004-0008</v>
      </c>
      <c r="D41" s="72">
        <v>15804</v>
      </c>
      <c r="E41" s="73" t="s">
        <v>421</v>
      </c>
      <c r="F41" s="74">
        <v>81335</v>
      </c>
      <c r="G41" s="75" t="s">
        <v>135</v>
      </c>
      <c r="H41" s="76" t="s">
        <v>235</v>
      </c>
      <c r="I41" s="74" t="s">
        <v>276</v>
      </c>
      <c r="J41" s="77" t="s">
        <v>422</v>
      </c>
      <c r="K41" s="74" t="s">
        <v>423</v>
      </c>
      <c r="L41" s="78" t="s">
        <v>140</v>
      </c>
      <c r="M41" s="79" t="s">
        <v>424</v>
      </c>
      <c r="N41" s="80">
        <v>45903</v>
      </c>
      <c r="O41" s="81">
        <v>45904</v>
      </c>
      <c r="P41" s="82" t="s">
        <v>239</v>
      </c>
      <c r="Q41" s="83" t="s">
        <v>381</v>
      </c>
      <c r="R41" s="72" t="s">
        <v>143</v>
      </c>
      <c r="S41" s="84" t="s">
        <v>414</v>
      </c>
      <c r="T41" s="75" t="s">
        <v>145</v>
      </c>
      <c r="U41" s="72" t="s">
        <v>425</v>
      </c>
      <c r="V41" s="77" t="s">
        <v>199</v>
      </c>
      <c r="W41" s="85" t="s">
        <v>159</v>
      </c>
      <c r="X41" s="75" t="s">
        <v>426</v>
      </c>
      <c r="Y41" s="72">
        <v>1</v>
      </c>
      <c r="Z41" s="72">
        <v>1</v>
      </c>
      <c r="AA41" s="72">
        <v>1</v>
      </c>
      <c r="AB41" s="48">
        <f>IF(V41="TIPO I",'BASE DE LIQUIDACION 2025'!$B$3,'BASE DE LIQUIDACION 2025'!$B$4)</f>
        <v>11251.22416</v>
      </c>
      <c r="AC41" s="48">
        <f>IF(V41="TIPO I",'BASE DE LIQUIDACION 2025'!$C$3,'BASE DE LIQUIDACION 2025'!$C$4)</f>
        <v>126317.12212</v>
      </c>
      <c r="AD41" s="48">
        <f>IF(V41="TIPO I",'BASE DE LIQUIDACION 2025'!$D$3,'BASE DE LIQUIDACION 2025'!$D$4)</f>
        <v>110808.27512000001</v>
      </c>
      <c r="AE41" s="52">
        <f t="shared" si="0"/>
        <v>248376.6214</v>
      </c>
    </row>
    <row r="42" spans="1:31" ht="13.15">
      <c r="A42" s="72" t="s">
        <v>201</v>
      </c>
      <c r="B42" s="44" t="str">
        <f>VLOOKUP(A42,'CENTRO DE COSTOS'!A:D,4,FALSE)</f>
        <v>KEVIN ALEXIS CORZO BUSTOS</v>
      </c>
      <c r="C42" s="44" t="str">
        <f>VLOOKUP(A42,'CENTRO DE COSTOS'!A:D,2,FALSE)</f>
        <v>0004-0007</v>
      </c>
      <c r="D42" s="72">
        <v>18001</v>
      </c>
      <c r="E42" s="73" t="s">
        <v>427</v>
      </c>
      <c r="F42" s="74">
        <v>81326</v>
      </c>
      <c r="G42" s="75" t="s">
        <v>135</v>
      </c>
      <c r="H42" s="76" t="s">
        <v>235</v>
      </c>
      <c r="I42" s="74" t="s">
        <v>203</v>
      </c>
      <c r="J42" s="77" t="s">
        <v>428</v>
      </c>
      <c r="K42" s="74" t="s">
        <v>429</v>
      </c>
      <c r="L42" s="78" t="s">
        <v>140</v>
      </c>
      <c r="M42" s="79" t="s">
        <v>430</v>
      </c>
      <c r="N42" s="80">
        <v>45903</v>
      </c>
      <c r="O42" s="81">
        <v>45904</v>
      </c>
      <c r="P42" s="82" t="s">
        <v>239</v>
      </c>
      <c r="Q42" s="83" t="s">
        <v>381</v>
      </c>
      <c r="R42" s="72" t="s">
        <v>143</v>
      </c>
      <c r="S42" s="84" t="s">
        <v>414</v>
      </c>
      <c r="T42" s="75" t="s">
        <v>145</v>
      </c>
      <c r="U42" s="72" t="s">
        <v>431</v>
      </c>
      <c r="V42" s="77" t="s">
        <v>167</v>
      </c>
      <c r="W42" s="85" t="s">
        <v>159</v>
      </c>
      <c r="X42" s="75" t="s">
        <v>209</v>
      </c>
      <c r="Y42" s="72">
        <v>1</v>
      </c>
      <c r="Z42" s="72">
        <v>1</v>
      </c>
      <c r="AA42" s="72">
        <v>1</v>
      </c>
      <c r="AB42" s="48">
        <f>IF(V42="TIPO I",'BASE DE LIQUIDACION 2025'!$B$3,'BASE DE LIQUIDACION 2025'!$B$4)</f>
        <v>11251.22416</v>
      </c>
      <c r="AC42" s="48">
        <f>IF(V42="TIPO I",'BASE DE LIQUIDACION 2025'!$C$3,'BASE DE LIQUIDACION 2025'!$C$4)</f>
        <v>126317.12212</v>
      </c>
      <c r="AD42" s="48">
        <f>IF(V42="TIPO I",'BASE DE LIQUIDACION 2025'!$D$3,'BASE DE LIQUIDACION 2025'!$D$4)</f>
        <v>110808.27512000001</v>
      </c>
      <c r="AE42" s="52">
        <f t="shared" si="0"/>
        <v>248376.6214</v>
      </c>
    </row>
    <row r="43" spans="1:31" ht="13.15">
      <c r="A43" s="72" t="s">
        <v>432</v>
      </c>
      <c r="B43" s="44" t="str">
        <f>VLOOKUP(A43,'CENTRO DE COSTOS'!A:D,4,FALSE)</f>
        <v>WILLIAM ASDRUBAL ROZO ROZO</v>
      </c>
      <c r="C43" s="44" t="str">
        <f>VLOOKUP(A43,'CENTRO DE COSTOS'!A:D,2,FALSE)</f>
        <v>0004-0004</v>
      </c>
      <c r="D43" s="72">
        <v>25754</v>
      </c>
      <c r="E43" s="73" t="s">
        <v>433</v>
      </c>
      <c r="F43" s="74">
        <v>81337</v>
      </c>
      <c r="G43" s="75" t="s">
        <v>135</v>
      </c>
      <c r="H43" s="76" t="s">
        <v>235</v>
      </c>
      <c r="I43" s="74" t="s">
        <v>434</v>
      </c>
      <c r="J43" s="77" t="s">
        <v>435</v>
      </c>
      <c r="K43" s="74" t="s">
        <v>436</v>
      </c>
      <c r="L43" s="78" t="s">
        <v>140</v>
      </c>
      <c r="M43" s="79" t="s">
        <v>437</v>
      </c>
      <c r="N43" s="80">
        <v>45903</v>
      </c>
      <c r="O43" s="81">
        <v>45904</v>
      </c>
      <c r="P43" s="82" t="s">
        <v>239</v>
      </c>
      <c r="Q43" s="83" t="s">
        <v>381</v>
      </c>
      <c r="R43" s="72" t="s">
        <v>143</v>
      </c>
      <c r="S43" s="84" t="s">
        <v>414</v>
      </c>
      <c r="T43" s="75" t="s">
        <v>145</v>
      </c>
      <c r="U43" s="72" t="s">
        <v>438</v>
      </c>
      <c r="V43" s="77" t="s">
        <v>55</v>
      </c>
      <c r="W43" s="85" t="s">
        <v>159</v>
      </c>
      <c r="X43" s="75" t="s">
        <v>439</v>
      </c>
      <c r="Y43" s="72">
        <v>1</v>
      </c>
      <c r="Z43" s="72">
        <v>1</v>
      </c>
      <c r="AA43" s="72">
        <v>1</v>
      </c>
      <c r="AB43" s="48">
        <f>IF(V43="TIPO I",'BASE DE LIQUIDACION 2025'!$B$3,'BASE DE LIQUIDACION 2025'!$B$4)</f>
        <v>11251.22416</v>
      </c>
      <c r="AC43" s="48">
        <f>IF(V43="TIPO I",'BASE DE LIQUIDACION 2025'!$C$3,'BASE DE LIQUIDACION 2025'!$C$4)</f>
        <v>126317.12212</v>
      </c>
      <c r="AD43" s="48">
        <f>IF(V43="TIPO I",'BASE DE LIQUIDACION 2025'!$D$3,'BASE DE LIQUIDACION 2025'!$D$4)</f>
        <v>57411.974240000003</v>
      </c>
      <c r="AE43" s="52">
        <f t="shared" si="0"/>
        <v>194980.32052000001</v>
      </c>
    </row>
    <row r="44" spans="1:31" ht="13.15">
      <c r="A44" s="72" t="s">
        <v>432</v>
      </c>
      <c r="B44" s="44" t="str">
        <f>VLOOKUP(A44,'CENTRO DE COSTOS'!A:D,4,FALSE)</f>
        <v>WILLIAM ASDRUBAL ROZO ROZO</v>
      </c>
      <c r="C44" s="44" t="str">
        <f>VLOOKUP(A44,'CENTRO DE COSTOS'!A:D,2,FALSE)</f>
        <v>0004-0004</v>
      </c>
      <c r="D44" s="72">
        <v>25785</v>
      </c>
      <c r="E44" s="73" t="s">
        <v>440</v>
      </c>
      <c r="F44" s="74">
        <v>81338</v>
      </c>
      <c r="G44" s="75" t="s">
        <v>135</v>
      </c>
      <c r="H44" s="76" t="s">
        <v>235</v>
      </c>
      <c r="I44" s="74" t="s">
        <v>434</v>
      </c>
      <c r="J44" s="77" t="s">
        <v>441</v>
      </c>
      <c r="K44" s="74" t="s">
        <v>442</v>
      </c>
      <c r="L44" s="78" t="s">
        <v>140</v>
      </c>
      <c r="M44" s="79" t="s">
        <v>443</v>
      </c>
      <c r="N44" s="80">
        <v>45903</v>
      </c>
      <c r="O44" s="81">
        <v>45904</v>
      </c>
      <c r="P44" s="82" t="s">
        <v>239</v>
      </c>
      <c r="Q44" s="83" t="s">
        <v>381</v>
      </c>
      <c r="R44" s="72" t="s">
        <v>143</v>
      </c>
      <c r="S44" s="84" t="s">
        <v>414</v>
      </c>
      <c r="T44" s="75" t="s">
        <v>145</v>
      </c>
      <c r="U44" s="72" t="s">
        <v>444</v>
      </c>
      <c r="V44" s="77" t="s">
        <v>199</v>
      </c>
      <c r="W44" s="85" t="s">
        <v>159</v>
      </c>
      <c r="X44" s="75" t="s">
        <v>445</v>
      </c>
      <c r="Y44" s="72">
        <v>1</v>
      </c>
      <c r="Z44" s="72">
        <v>1</v>
      </c>
      <c r="AA44" s="72">
        <v>1</v>
      </c>
      <c r="AB44" s="48">
        <f>IF(V44="TIPO I",'BASE DE LIQUIDACION 2025'!$B$3,'BASE DE LIQUIDACION 2025'!$B$4)</f>
        <v>11251.22416</v>
      </c>
      <c r="AC44" s="48">
        <f>IF(V44="TIPO I",'BASE DE LIQUIDACION 2025'!$C$3,'BASE DE LIQUIDACION 2025'!$C$4)</f>
        <v>126317.12212</v>
      </c>
      <c r="AD44" s="48">
        <f>IF(V44="TIPO I",'BASE DE LIQUIDACION 2025'!$D$3,'BASE DE LIQUIDACION 2025'!$D$4)</f>
        <v>110808.27512000001</v>
      </c>
      <c r="AE44" s="52">
        <f t="shared" si="0"/>
        <v>248376.6214</v>
      </c>
    </row>
    <row r="45" spans="1:31" ht="13.15">
      <c r="A45" s="72" t="s">
        <v>201</v>
      </c>
      <c r="B45" s="44" t="str">
        <f>VLOOKUP(A45,'CENTRO DE COSTOS'!A:D,4,FALSE)</f>
        <v>KEVIN ALEXIS CORZO BUSTOS</v>
      </c>
      <c r="C45" s="44" t="str">
        <f>VLOOKUP(A45,'CENTRO DE COSTOS'!A:D,2,FALSE)</f>
        <v>0004-0007</v>
      </c>
      <c r="D45" s="72">
        <v>41396</v>
      </c>
      <c r="E45" s="73" t="s">
        <v>446</v>
      </c>
      <c r="F45" s="74">
        <v>81332</v>
      </c>
      <c r="G45" s="75" t="s">
        <v>135</v>
      </c>
      <c r="H45" s="76" t="s">
        <v>235</v>
      </c>
      <c r="I45" s="74" t="s">
        <v>447</v>
      </c>
      <c r="J45" s="77" t="s">
        <v>448</v>
      </c>
      <c r="K45" s="74" t="s">
        <v>449</v>
      </c>
      <c r="L45" s="78" t="s">
        <v>140</v>
      </c>
      <c r="M45" s="79" t="s">
        <v>450</v>
      </c>
      <c r="N45" s="80">
        <v>45903</v>
      </c>
      <c r="O45" s="81">
        <v>45905</v>
      </c>
      <c r="P45" s="82" t="s">
        <v>239</v>
      </c>
      <c r="Q45" s="83" t="s">
        <v>381</v>
      </c>
      <c r="R45" s="72" t="s">
        <v>143</v>
      </c>
      <c r="S45" s="84" t="s">
        <v>451</v>
      </c>
      <c r="T45" s="75" t="s">
        <v>145</v>
      </c>
      <c r="U45" s="72" t="s">
        <v>452</v>
      </c>
      <c r="V45" s="77" t="s">
        <v>158</v>
      </c>
      <c r="W45" s="85" t="s">
        <v>159</v>
      </c>
      <c r="X45" s="75" t="s">
        <v>453</v>
      </c>
      <c r="Y45" s="72">
        <v>1</v>
      </c>
      <c r="Z45" s="72">
        <v>1</v>
      </c>
      <c r="AA45" s="72">
        <v>1</v>
      </c>
      <c r="AB45" s="48">
        <f>IF(V45="TIPO I",'BASE DE LIQUIDACION 2025'!$B$3,'BASE DE LIQUIDACION 2025'!$B$4)</f>
        <v>11251.22416</v>
      </c>
      <c r="AC45" s="48">
        <f>IF(V45="TIPO I",'BASE DE LIQUIDACION 2025'!$C$3,'BASE DE LIQUIDACION 2025'!$C$4)</f>
        <v>126317.12212</v>
      </c>
      <c r="AD45" s="48">
        <f>IF(V45="TIPO I",'BASE DE LIQUIDACION 2025'!$D$3,'BASE DE LIQUIDACION 2025'!$D$4)</f>
        <v>110808.27512000001</v>
      </c>
      <c r="AE45" s="52">
        <f t="shared" si="0"/>
        <v>248376.6214</v>
      </c>
    </row>
    <row r="46" spans="1:31" ht="13.15">
      <c r="A46" s="72" t="s">
        <v>454</v>
      </c>
      <c r="B46" s="44" t="str">
        <f>VLOOKUP(A46,'CENTRO DE COSTOS'!A:D,4,FALSE)</f>
        <v>JOSE MAURICIO HERNANDEZ ROJAS</v>
      </c>
      <c r="C46" s="44" t="str">
        <f>VLOOKUP(A46,'CENTRO DE COSTOS'!A:D,2,FALSE)</f>
        <v>0004-0001</v>
      </c>
      <c r="D46" s="72">
        <v>47001</v>
      </c>
      <c r="E46" s="73" t="s">
        <v>455</v>
      </c>
      <c r="F46" s="74">
        <v>81336</v>
      </c>
      <c r="G46" s="75" t="s">
        <v>135</v>
      </c>
      <c r="H46" s="76" t="s">
        <v>235</v>
      </c>
      <c r="I46" s="74" t="s">
        <v>456</v>
      </c>
      <c r="J46" s="77" t="s">
        <v>454</v>
      </c>
      <c r="K46" s="74" t="s">
        <v>457</v>
      </c>
      <c r="L46" s="78" t="s">
        <v>140</v>
      </c>
      <c r="M46" s="79" t="s">
        <v>458</v>
      </c>
      <c r="N46" s="80">
        <v>45903</v>
      </c>
      <c r="O46" s="81">
        <v>45905</v>
      </c>
      <c r="P46" s="82" t="s">
        <v>239</v>
      </c>
      <c r="Q46" s="83" t="s">
        <v>381</v>
      </c>
      <c r="R46" s="72" t="s">
        <v>143</v>
      </c>
      <c r="S46" s="84" t="s">
        <v>382</v>
      </c>
      <c r="T46" s="75" t="s">
        <v>145</v>
      </c>
      <c r="U46" s="72" t="s">
        <v>459</v>
      </c>
      <c r="V46" s="77" t="s">
        <v>55</v>
      </c>
      <c r="W46" s="85" t="s">
        <v>159</v>
      </c>
      <c r="X46" s="75" t="s">
        <v>460</v>
      </c>
      <c r="Y46" s="72">
        <v>1</v>
      </c>
      <c r="Z46" s="72">
        <v>1</v>
      </c>
      <c r="AA46" s="72">
        <v>1</v>
      </c>
      <c r="AB46" s="48">
        <f>IF(V46="TIPO I",'BASE DE LIQUIDACION 2025'!$B$3,'BASE DE LIQUIDACION 2025'!$B$4)</f>
        <v>11251.22416</v>
      </c>
      <c r="AC46" s="48">
        <f>IF(V46="TIPO I",'BASE DE LIQUIDACION 2025'!$C$3,'BASE DE LIQUIDACION 2025'!$C$4)</f>
        <v>126317.12212</v>
      </c>
      <c r="AD46" s="48">
        <f>IF(V46="TIPO I",'BASE DE LIQUIDACION 2025'!$D$3,'BASE DE LIQUIDACION 2025'!$D$4)</f>
        <v>57411.974240000003</v>
      </c>
      <c r="AE46" s="52">
        <f t="shared" si="0"/>
        <v>194980.32052000001</v>
      </c>
    </row>
    <row r="47" spans="1:31" ht="13.15">
      <c r="A47" s="72" t="s">
        <v>454</v>
      </c>
      <c r="B47" s="44" t="str">
        <f>VLOOKUP(A47,'CENTRO DE COSTOS'!A:D,4,FALSE)</f>
        <v>JOSE MAURICIO HERNANDEZ ROJAS</v>
      </c>
      <c r="C47" s="44" t="str">
        <f>VLOOKUP(A47,'CENTRO DE COSTOS'!A:D,2,FALSE)</f>
        <v>0004-0001</v>
      </c>
      <c r="D47" s="72">
        <v>47030</v>
      </c>
      <c r="E47" s="73" t="s">
        <v>461</v>
      </c>
      <c r="F47" s="74">
        <v>81306</v>
      </c>
      <c r="G47" s="75" t="s">
        <v>135</v>
      </c>
      <c r="H47" s="76" t="s">
        <v>235</v>
      </c>
      <c r="I47" s="74" t="s">
        <v>456</v>
      </c>
      <c r="J47" s="77" t="s">
        <v>462</v>
      </c>
      <c r="K47" s="74" t="s">
        <v>463</v>
      </c>
      <c r="L47" s="78" t="s">
        <v>140</v>
      </c>
      <c r="M47" s="79" t="s">
        <v>464</v>
      </c>
      <c r="N47" s="80">
        <v>45903</v>
      </c>
      <c r="O47" s="81">
        <v>45904</v>
      </c>
      <c r="P47" s="82" t="s">
        <v>239</v>
      </c>
      <c r="Q47" s="83" t="s">
        <v>381</v>
      </c>
      <c r="R47" s="72" t="s">
        <v>143</v>
      </c>
      <c r="S47" s="84" t="s">
        <v>414</v>
      </c>
      <c r="T47" s="75" t="s">
        <v>145</v>
      </c>
      <c r="U47" s="72" t="s">
        <v>465</v>
      </c>
      <c r="V47" s="77" t="s">
        <v>167</v>
      </c>
      <c r="W47" s="85" t="s">
        <v>159</v>
      </c>
      <c r="X47" s="75" t="s">
        <v>460</v>
      </c>
      <c r="Y47" s="72">
        <v>1</v>
      </c>
      <c r="Z47" s="72">
        <v>1</v>
      </c>
      <c r="AA47" s="72">
        <v>1</v>
      </c>
      <c r="AB47" s="48">
        <f>IF(V47="TIPO I",'BASE DE LIQUIDACION 2025'!$B$3,'BASE DE LIQUIDACION 2025'!$B$4)</f>
        <v>11251.22416</v>
      </c>
      <c r="AC47" s="48">
        <f>IF(V47="TIPO I",'BASE DE LIQUIDACION 2025'!$C$3,'BASE DE LIQUIDACION 2025'!$C$4)</f>
        <v>126317.12212</v>
      </c>
      <c r="AD47" s="48">
        <f>IF(V47="TIPO I",'BASE DE LIQUIDACION 2025'!$D$3,'BASE DE LIQUIDACION 2025'!$D$4)</f>
        <v>110808.27512000001</v>
      </c>
      <c r="AE47" s="52">
        <f t="shared" si="0"/>
        <v>248376.6214</v>
      </c>
    </row>
    <row r="48" spans="1:31" ht="13.15">
      <c r="A48" s="72" t="s">
        <v>133</v>
      </c>
      <c r="B48" s="44" t="str">
        <f>VLOOKUP(A48,'CENTRO DE COSTOS'!A:D,4,FALSE)</f>
        <v>DIEGO FERNANDO HENAO CARDONA</v>
      </c>
      <c r="C48" s="44" t="str">
        <f>VLOOKUP(A48,'CENTRO DE COSTOS'!A:D,2,FALSE)</f>
        <v>0004-0003</v>
      </c>
      <c r="D48" s="72">
        <v>52385</v>
      </c>
      <c r="E48" s="73" t="s">
        <v>466</v>
      </c>
      <c r="F48" s="74">
        <v>81331</v>
      </c>
      <c r="G48" s="75" t="s">
        <v>135</v>
      </c>
      <c r="H48" s="76" t="s">
        <v>235</v>
      </c>
      <c r="I48" s="74" t="s">
        <v>137</v>
      </c>
      <c r="J48" s="77" t="s">
        <v>467</v>
      </c>
      <c r="K48" s="74" t="s">
        <v>468</v>
      </c>
      <c r="L48" s="78" t="s">
        <v>140</v>
      </c>
      <c r="M48" s="79" t="s">
        <v>469</v>
      </c>
      <c r="N48" s="80">
        <v>45903</v>
      </c>
      <c r="O48" s="81">
        <v>45905</v>
      </c>
      <c r="P48" s="82" t="s">
        <v>239</v>
      </c>
      <c r="Q48" s="83" t="s">
        <v>381</v>
      </c>
      <c r="R48" s="72" t="s">
        <v>143</v>
      </c>
      <c r="S48" s="84" t="s">
        <v>382</v>
      </c>
      <c r="T48" s="75" t="s">
        <v>145</v>
      </c>
      <c r="U48" s="72" t="s">
        <v>470</v>
      </c>
      <c r="V48" s="77" t="s">
        <v>167</v>
      </c>
      <c r="W48" s="85" t="s">
        <v>159</v>
      </c>
      <c r="X48" s="75" t="s">
        <v>251</v>
      </c>
      <c r="Y48" s="72">
        <v>1</v>
      </c>
      <c r="Z48" s="72">
        <v>1</v>
      </c>
      <c r="AA48" s="72">
        <v>1</v>
      </c>
      <c r="AB48" s="48">
        <f>IF(V48="TIPO I",'BASE DE LIQUIDACION 2025'!$B$3,'BASE DE LIQUIDACION 2025'!$B$4)</f>
        <v>11251.22416</v>
      </c>
      <c r="AC48" s="48">
        <f>IF(V48="TIPO I",'BASE DE LIQUIDACION 2025'!$C$3,'BASE DE LIQUIDACION 2025'!$C$4)</f>
        <v>126317.12212</v>
      </c>
      <c r="AD48" s="48">
        <f>IF(V48="TIPO I",'BASE DE LIQUIDACION 2025'!$D$3,'BASE DE LIQUIDACION 2025'!$D$4)</f>
        <v>110808.27512000001</v>
      </c>
      <c r="AE48" s="52">
        <f t="shared" si="0"/>
        <v>248376.6214</v>
      </c>
    </row>
    <row r="49" spans="1:31" ht="13.15">
      <c r="A49" s="72" t="s">
        <v>133</v>
      </c>
      <c r="B49" s="44" t="str">
        <f>VLOOKUP(A49,'CENTRO DE COSTOS'!A:D,4,FALSE)</f>
        <v>DIEGO FERNANDO HENAO CARDONA</v>
      </c>
      <c r="C49" s="44" t="str">
        <f>VLOOKUP(A49,'CENTRO DE COSTOS'!A:D,2,FALSE)</f>
        <v>0004-0003</v>
      </c>
      <c r="D49" s="72">
        <v>52838</v>
      </c>
      <c r="E49" s="73" t="s">
        <v>471</v>
      </c>
      <c r="F49" s="74">
        <v>81339</v>
      </c>
      <c r="G49" s="75" t="s">
        <v>135</v>
      </c>
      <c r="H49" s="76" t="s">
        <v>235</v>
      </c>
      <c r="I49" s="74" t="s">
        <v>137</v>
      </c>
      <c r="J49" s="77" t="s">
        <v>472</v>
      </c>
      <c r="K49" s="74" t="s">
        <v>473</v>
      </c>
      <c r="L49" s="78" t="s">
        <v>140</v>
      </c>
      <c r="M49" s="79" t="s">
        <v>474</v>
      </c>
      <c r="N49" s="80">
        <v>45903</v>
      </c>
      <c r="O49" s="81">
        <v>45905</v>
      </c>
      <c r="P49" s="82" t="s">
        <v>239</v>
      </c>
      <c r="Q49" s="83" t="s">
        <v>381</v>
      </c>
      <c r="R49" s="72" t="s">
        <v>143</v>
      </c>
      <c r="S49" s="84" t="s">
        <v>382</v>
      </c>
      <c r="T49" s="75" t="s">
        <v>145</v>
      </c>
      <c r="U49" s="72" t="s">
        <v>475</v>
      </c>
      <c r="V49" s="77" t="s">
        <v>199</v>
      </c>
      <c r="W49" s="85" t="s">
        <v>159</v>
      </c>
      <c r="X49" s="75" t="s">
        <v>200</v>
      </c>
      <c r="Y49" s="72">
        <v>1</v>
      </c>
      <c r="Z49" s="72">
        <v>1</v>
      </c>
      <c r="AA49" s="72">
        <v>1</v>
      </c>
      <c r="AB49" s="48">
        <f>IF(V49="TIPO I",'BASE DE LIQUIDACION 2025'!$B$3,'BASE DE LIQUIDACION 2025'!$B$4)</f>
        <v>11251.22416</v>
      </c>
      <c r="AC49" s="48">
        <f>IF(V49="TIPO I",'BASE DE LIQUIDACION 2025'!$C$3,'BASE DE LIQUIDACION 2025'!$C$4)</f>
        <v>126317.12212</v>
      </c>
      <c r="AD49" s="48">
        <f>IF(V49="TIPO I",'BASE DE LIQUIDACION 2025'!$D$3,'BASE DE LIQUIDACION 2025'!$D$4)</f>
        <v>110808.27512000001</v>
      </c>
      <c r="AE49" s="52">
        <f t="shared" si="0"/>
        <v>248376.6214</v>
      </c>
    </row>
    <row r="50" spans="1:31" ht="13.15">
      <c r="A50" s="72" t="s">
        <v>309</v>
      </c>
      <c r="B50" s="44" t="str">
        <f>VLOOKUP(A50,'CENTRO DE COSTOS'!A:D,4,FALSE)</f>
        <v>MIGUEL JULIÁN HERNÁNDEZ GUARÍN</v>
      </c>
      <c r="C50" s="44" t="str">
        <f>VLOOKUP(A50,'CENTRO DE COSTOS'!A:D,2,FALSE)</f>
        <v>0004-0008</v>
      </c>
      <c r="D50" s="72">
        <v>54001</v>
      </c>
      <c r="E50" s="73" t="s">
        <v>476</v>
      </c>
      <c r="F50" s="74">
        <v>81324</v>
      </c>
      <c r="G50" s="75" t="s">
        <v>135</v>
      </c>
      <c r="H50" s="76" t="s">
        <v>235</v>
      </c>
      <c r="I50" s="74" t="s">
        <v>311</v>
      </c>
      <c r="J50" s="77" t="s">
        <v>309</v>
      </c>
      <c r="K50" s="74" t="s">
        <v>477</v>
      </c>
      <c r="L50" s="78" t="s">
        <v>140</v>
      </c>
      <c r="M50" s="79" t="s">
        <v>478</v>
      </c>
      <c r="N50" s="80">
        <v>45903</v>
      </c>
      <c r="O50" s="81">
        <v>45904</v>
      </c>
      <c r="P50" s="82" t="s">
        <v>239</v>
      </c>
      <c r="Q50" s="83" t="s">
        <v>381</v>
      </c>
      <c r="R50" s="72" t="s">
        <v>143</v>
      </c>
      <c r="S50" s="84" t="s">
        <v>414</v>
      </c>
      <c r="T50" s="75" t="s">
        <v>145</v>
      </c>
      <c r="U50" s="72" t="s">
        <v>479</v>
      </c>
      <c r="V50" s="77" t="s">
        <v>55</v>
      </c>
      <c r="W50" s="85" t="s">
        <v>159</v>
      </c>
      <c r="X50" s="75" t="s">
        <v>341</v>
      </c>
      <c r="Y50" s="72">
        <v>1</v>
      </c>
      <c r="Z50" s="72">
        <v>1</v>
      </c>
      <c r="AA50" s="72">
        <v>1</v>
      </c>
      <c r="AB50" s="48">
        <f>IF(V50="TIPO I",'BASE DE LIQUIDACION 2025'!$B$3,'BASE DE LIQUIDACION 2025'!$B$4)</f>
        <v>11251.22416</v>
      </c>
      <c r="AC50" s="48">
        <f>IF(V50="TIPO I",'BASE DE LIQUIDACION 2025'!$C$3,'BASE DE LIQUIDACION 2025'!$C$4)</f>
        <v>126317.12212</v>
      </c>
      <c r="AD50" s="48">
        <f>IF(V50="TIPO I",'BASE DE LIQUIDACION 2025'!$D$3,'BASE DE LIQUIDACION 2025'!$D$4)</f>
        <v>57411.974240000003</v>
      </c>
      <c r="AE50" s="52">
        <f t="shared" si="0"/>
        <v>194980.32052000001</v>
      </c>
    </row>
    <row r="51" spans="1:31" ht="13.15">
      <c r="A51" s="72" t="s">
        <v>309</v>
      </c>
      <c r="B51" s="44" t="str">
        <f>VLOOKUP(A51,'CENTRO DE COSTOS'!A:D,4,FALSE)</f>
        <v>MIGUEL JULIÁN HERNÁNDEZ GUARÍN</v>
      </c>
      <c r="C51" s="44" t="str">
        <f>VLOOKUP(A51,'CENTRO DE COSTOS'!A:D,2,FALSE)</f>
        <v>0004-0008</v>
      </c>
      <c r="D51" s="72">
        <v>54001</v>
      </c>
      <c r="E51" s="73" t="s">
        <v>480</v>
      </c>
      <c r="F51" s="74">
        <v>81322</v>
      </c>
      <c r="G51" s="75" t="s">
        <v>135</v>
      </c>
      <c r="H51" s="76" t="s">
        <v>235</v>
      </c>
      <c r="I51" s="74" t="s">
        <v>311</v>
      </c>
      <c r="J51" s="77" t="s">
        <v>309</v>
      </c>
      <c r="K51" s="74" t="s">
        <v>481</v>
      </c>
      <c r="L51" s="78" t="s">
        <v>140</v>
      </c>
      <c r="M51" s="79" t="s">
        <v>482</v>
      </c>
      <c r="N51" s="80">
        <v>45903</v>
      </c>
      <c r="O51" s="81">
        <v>45904</v>
      </c>
      <c r="P51" s="82" t="s">
        <v>239</v>
      </c>
      <c r="Q51" s="83" t="s">
        <v>381</v>
      </c>
      <c r="R51" s="72" t="s">
        <v>143</v>
      </c>
      <c r="S51" s="84" t="s">
        <v>414</v>
      </c>
      <c r="T51" s="75" t="s">
        <v>145</v>
      </c>
      <c r="U51" s="72" t="s">
        <v>483</v>
      </c>
      <c r="V51" s="77" t="s">
        <v>55</v>
      </c>
      <c r="W51" s="85" t="s">
        <v>159</v>
      </c>
      <c r="X51" s="75" t="s">
        <v>484</v>
      </c>
      <c r="Y51" s="72">
        <v>1</v>
      </c>
      <c r="Z51" s="72">
        <v>1</v>
      </c>
      <c r="AA51" s="72">
        <v>1</v>
      </c>
      <c r="AB51" s="48">
        <f>IF(V51="TIPO I",'BASE DE LIQUIDACION 2025'!$B$3,'BASE DE LIQUIDACION 2025'!$B$4)</f>
        <v>11251.22416</v>
      </c>
      <c r="AC51" s="48">
        <f>IF(V51="TIPO I",'BASE DE LIQUIDACION 2025'!$C$3,'BASE DE LIQUIDACION 2025'!$C$4)</f>
        <v>126317.12212</v>
      </c>
      <c r="AD51" s="48">
        <f>IF(V51="TIPO I",'BASE DE LIQUIDACION 2025'!$D$3,'BASE DE LIQUIDACION 2025'!$D$4)</f>
        <v>57411.974240000003</v>
      </c>
      <c r="AE51" s="52">
        <f t="shared" si="0"/>
        <v>194980.32052000001</v>
      </c>
    </row>
    <row r="52" spans="1:31" ht="13.15">
      <c r="A52" s="72" t="s">
        <v>309</v>
      </c>
      <c r="B52" s="44" t="str">
        <f>VLOOKUP(A52,'CENTRO DE COSTOS'!A:D,4,FALSE)</f>
        <v>MIGUEL JULIÁN HERNÁNDEZ GUARÍN</v>
      </c>
      <c r="C52" s="44" t="str">
        <f>VLOOKUP(A52,'CENTRO DE COSTOS'!A:D,2,FALSE)</f>
        <v>0004-0008</v>
      </c>
      <c r="D52" s="72">
        <v>54001</v>
      </c>
      <c r="E52" s="73" t="s">
        <v>485</v>
      </c>
      <c r="F52" s="74">
        <v>81323</v>
      </c>
      <c r="G52" s="75" t="s">
        <v>135</v>
      </c>
      <c r="H52" s="76" t="s">
        <v>235</v>
      </c>
      <c r="I52" s="74" t="s">
        <v>311</v>
      </c>
      <c r="J52" s="77" t="s">
        <v>309</v>
      </c>
      <c r="K52" s="74" t="s">
        <v>486</v>
      </c>
      <c r="L52" s="78" t="s">
        <v>140</v>
      </c>
      <c r="M52" s="79" t="s">
        <v>487</v>
      </c>
      <c r="N52" s="80">
        <v>45903</v>
      </c>
      <c r="O52" s="81">
        <v>45905</v>
      </c>
      <c r="P52" s="82" t="s">
        <v>239</v>
      </c>
      <c r="Q52" s="83" t="s">
        <v>381</v>
      </c>
      <c r="R52" s="72" t="s">
        <v>143</v>
      </c>
      <c r="S52" s="84" t="s">
        <v>382</v>
      </c>
      <c r="T52" s="75" t="s">
        <v>145</v>
      </c>
      <c r="U52" s="72" t="s">
        <v>488</v>
      </c>
      <c r="V52" s="77" t="s">
        <v>55</v>
      </c>
      <c r="W52" s="85" t="s">
        <v>159</v>
      </c>
      <c r="X52" s="75" t="s">
        <v>322</v>
      </c>
      <c r="Y52" s="72">
        <v>1</v>
      </c>
      <c r="Z52" s="72">
        <v>1</v>
      </c>
      <c r="AA52" s="72">
        <v>1</v>
      </c>
      <c r="AB52" s="48">
        <f>IF(V52="TIPO I",'BASE DE LIQUIDACION 2025'!$B$3,'BASE DE LIQUIDACION 2025'!$B$4)</f>
        <v>11251.22416</v>
      </c>
      <c r="AC52" s="48">
        <f>IF(V52="TIPO I",'BASE DE LIQUIDACION 2025'!$C$3,'BASE DE LIQUIDACION 2025'!$C$4)</f>
        <v>126317.12212</v>
      </c>
      <c r="AD52" s="48">
        <f>IF(V52="TIPO I",'BASE DE LIQUIDACION 2025'!$D$3,'BASE DE LIQUIDACION 2025'!$D$4)</f>
        <v>57411.974240000003</v>
      </c>
      <c r="AE52" s="52">
        <f t="shared" si="0"/>
        <v>194980.32052000001</v>
      </c>
    </row>
    <row r="53" spans="1:31" ht="13.15">
      <c r="A53" s="72" t="s">
        <v>309</v>
      </c>
      <c r="B53" s="44" t="str">
        <f>VLOOKUP(A53,'CENTRO DE COSTOS'!A:D,4,FALSE)</f>
        <v>MIGUEL JULIÁN HERNÁNDEZ GUARÍN</v>
      </c>
      <c r="C53" s="44" t="str">
        <f>VLOOKUP(A53,'CENTRO DE COSTOS'!A:D,2,FALSE)</f>
        <v>0004-0008</v>
      </c>
      <c r="D53" s="72">
        <v>54099</v>
      </c>
      <c r="E53" s="73" t="s">
        <v>489</v>
      </c>
      <c r="F53" s="74">
        <v>81307</v>
      </c>
      <c r="G53" s="75" t="s">
        <v>135</v>
      </c>
      <c r="H53" s="76" t="s">
        <v>235</v>
      </c>
      <c r="I53" s="74" t="s">
        <v>311</v>
      </c>
      <c r="J53" s="77" t="s">
        <v>490</v>
      </c>
      <c r="K53" s="74" t="s">
        <v>491</v>
      </c>
      <c r="L53" s="78" t="s">
        <v>140</v>
      </c>
      <c r="M53" s="79" t="s">
        <v>492</v>
      </c>
      <c r="N53" s="80">
        <v>45903</v>
      </c>
      <c r="O53" s="81">
        <v>45905</v>
      </c>
      <c r="P53" s="82" t="s">
        <v>239</v>
      </c>
      <c r="Q53" s="83" t="s">
        <v>381</v>
      </c>
      <c r="R53" s="72" t="s">
        <v>143</v>
      </c>
      <c r="S53" s="84" t="s">
        <v>451</v>
      </c>
      <c r="T53" s="75" t="s">
        <v>145</v>
      </c>
      <c r="U53" s="72" t="s">
        <v>493</v>
      </c>
      <c r="V53" s="77" t="s">
        <v>199</v>
      </c>
      <c r="W53" s="85" t="s">
        <v>159</v>
      </c>
      <c r="X53" s="75" t="s">
        <v>341</v>
      </c>
      <c r="Y53" s="72">
        <v>1</v>
      </c>
      <c r="Z53" s="72">
        <v>1</v>
      </c>
      <c r="AA53" s="72">
        <v>1</v>
      </c>
      <c r="AB53" s="48">
        <f>IF(V53="TIPO I",'BASE DE LIQUIDACION 2025'!$B$3,'BASE DE LIQUIDACION 2025'!$B$4)</f>
        <v>11251.22416</v>
      </c>
      <c r="AC53" s="48">
        <f>IF(V53="TIPO I",'BASE DE LIQUIDACION 2025'!$C$3,'BASE DE LIQUIDACION 2025'!$C$4)</f>
        <v>126317.12212</v>
      </c>
      <c r="AD53" s="48">
        <f>IF(V53="TIPO I",'BASE DE LIQUIDACION 2025'!$D$3,'BASE DE LIQUIDACION 2025'!$D$4)</f>
        <v>110808.27512000001</v>
      </c>
      <c r="AE53" s="52">
        <f t="shared" si="0"/>
        <v>248376.6214</v>
      </c>
    </row>
    <row r="54" spans="1:31" ht="13.15">
      <c r="A54" s="72" t="s">
        <v>219</v>
      </c>
      <c r="B54" s="44" t="str">
        <f>VLOOKUP(A54,'CENTRO DE COSTOS'!A:D,4,FALSE)</f>
        <v>MIGUEL JULIÁN HERNÁNDEZ GUARÍN</v>
      </c>
      <c r="C54" s="44" t="str">
        <f>VLOOKUP(A54,'CENTRO DE COSTOS'!A:D,2,FALSE)</f>
        <v>0004-0008</v>
      </c>
      <c r="D54" s="72">
        <v>68001</v>
      </c>
      <c r="E54" s="73" t="s">
        <v>494</v>
      </c>
      <c r="F54" s="74">
        <v>81314</v>
      </c>
      <c r="G54" s="75" t="s">
        <v>135</v>
      </c>
      <c r="H54" s="76" t="s">
        <v>235</v>
      </c>
      <c r="I54" s="74" t="s">
        <v>221</v>
      </c>
      <c r="J54" s="77" t="s">
        <v>219</v>
      </c>
      <c r="K54" s="74" t="s">
        <v>495</v>
      </c>
      <c r="L54" s="78" t="s">
        <v>140</v>
      </c>
      <c r="M54" s="79" t="s">
        <v>496</v>
      </c>
      <c r="N54" s="80">
        <v>45903</v>
      </c>
      <c r="O54" s="81">
        <v>45904</v>
      </c>
      <c r="P54" s="82" t="s">
        <v>239</v>
      </c>
      <c r="Q54" s="83" t="s">
        <v>381</v>
      </c>
      <c r="R54" s="72" t="s">
        <v>143</v>
      </c>
      <c r="S54" s="84" t="s">
        <v>414</v>
      </c>
      <c r="T54" s="75" t="s">
        <v>145</v>
      </c>
      <c r="U54" s="72" t="s">
        <v>497</v>
      </c>
      <c r="V54" s="77" t="s">
        <v>55</v>
      </c>
      <c r="W54" s="85" t="s">
        <v>159</v>
      </c>
      <c r="X54" s="75" t="s">
        <v>498</v>
      </c>
      <c r="Y54" s="72">
        <v>1</v>
      </c>
      <c r="Z54" s="72">
        <v>1</v>
      </c>
      <c r="AA54" s="72">
        <v>1</v>
      </c>
      <c r="AB54" s="48">
        <f>IF(V54="TIPO I",'BASE DE LIQUIDACION 2025'!$B$3,'BASE DE LIQUIDACION 2025'!$B$4)</f>
        <v>11251.22416</v>
      </c>
      <c r="AC54" s="48">
        <f>IF(V54="TIPO I",'BASE DE LIQUIDACION 2025'!$C$3,'BASE DE LIQUIDACION 2025'!$C$4)</f>
        <v>126317.12212</v>
      </c>
      <c r="AD54" s="48">
        <f>IF(V54="TIPO I",'BASE DE LIQUIDACION 2025'!$D$3,'BASE DE LIQUIDACION 2025'!$D$4)</f>
        <v>57411.974240000003</v>
      </c>
      <c r="AE54" s="52">
        <f t="shared" si="0"/>
        <v>194980.32052000001</v>
      </c>
    </row>
    <row r="55" spans="1:31" ht="13.15">
      <c r="A55" s="72" t="s">
        <v>219</v>
      </c>
      <c r="B55" s="44" t="str">
        <f>VLOOKUP(A55,'CENTRO DE COSTOS'!A:D,4,FALSE)</f>
        <v>MIGUEL JULIÁN HERNÁNDEZ GUARÍN</v>
      </c>
      <c r="C55" s="44" t="str">
        <f>VLOOKUP(A55,'CENTRO DE COSTOS'!A:D,2,FALSE)</f>
        <v>0004-0008</v>
      </c>
      <c r="D55" s="72">
        <v>68307</v>
      </c>
      <c r="E55" s="73" t="s">
        <v>499</v>
      </c>
      <c r="F55" s="74">
        <v>81327</v>
      </c>
      <c r="G55" s="75" t="s">
        <v>135</v>
      </c>
      <c r="H55" s="76" t="s">
        <v>235</v>
      </c>
      <c r="I55" s="74" t="s">
        <v>221</v>
      </c>
      <c r="J55" s="77" t="s">
        <v>500</v>
      </c>
      <c r="K55" s="74" t="s">
        <v>501</v>
      </c>
      <c r="L55" s="78" t="s">
        <v>140</v>
      </c>
      <c r="M55" s="79" t="s">
        <v>502</v>
      </c>
      <c r="N55" s="80">
        <v>45903</v>
      </c>
      <c r="O55" s="81">
        <v>45904</v>
      </c>
      <c r="P55" s="82" t="s">
        <v>239</v>
      </c>
      <c r="Q55" s="83" t="s">
        <v>381</v>
      </c>
      <c r="R55" s="72" t="s">
        <v>196</v>
      </c>
      <c r="S55" s="84" t="s">
        <v>503</v>
      </c>
      <c r="T55" s="75" t="s">
        <v>145</v>
      </c>
      <c r="U55" s="72" t="s">
        <v>504</v>
      </c>
      <c r="V55" s="77" t="s">
        <v>55</v>
      </c>
      <c r="W55" s="85" t="s">
        <v>159</v>
      </c>
      <c r="X55" s="75" t="s">
        <v>505</v>
      </c>
      <c r="Y55" s="72">
        <v>0</v>
      </c>
      <c r="Z55" s="72">
        <v>0</v>
      </c>
      <c r="AA55" s="72">
        <v>2</v>
      </c>
      <c r="AB55" s="48">
        <f>IF(V55="TIPO I",'BASE DE LIQUIDACION 2025'!$B$3,'BASE DE LIQUIDACION 2025'!$B$4)</f>
        <v>11251.22416</v>
      </c>
      <c r="AC55" s="48">
        <f>IF(V55="TIPO I",'BASE DE LIQUIDACION 2025'!$C$3,'BASE DE LIQUIDACION 2025'!$C$4)</f>
        <v>126317.12212</v>
      </c>
      <c r="AD55" s="48">
        <f>IF(V55="TIPO I",'BASE DE LIQUIDACION 2025'!$D$3,'BASE DE LIQUIDACION 2025'!$D$4)</f>
        <v>57411.974240000003</v>
      </c>
      <c r="AE55" s="52">
        <f t="shared" si="1"/>
        <v>114823.94848000001</v>
      </c>
    </row>
    <row r="56" spans="1:31" ht="13.15">
      <c r="A56" s="72" t="s">
        <v>219</v>
      </c>
      <c r="B56" s="44" t="str">
        <f>VLOOKUP(A56,'CENTRO DE COSTOS'!A:D,4,FALSE)</f>
        <v>MIGUEL JULIÁN HERNÁNDEZ GUARÍN</v>
      </c>
      <c r="C56" s="44" t="str">
        <f>VLOOKUP(A56,'CENTRO DE COSTOS'!A:D,2,FALSE)</f>
        <v>0004-0008</v>
      </c>
      <c r="D56" s="72">
        <v>68432</v>
      </c>
      <c r="E56" s="73" t="s">
        <v>506</v>
      </c>
      <c r="F56" s="74">
        <v>81334</v>
      </c>
      <c r="G56" s="75" t="s">
        <v>135</v>
      </c>
      <c r="H56" s="76" t="s">
        <v>235</v>
      </c>
      <c r="I56" s="74" t="s">
        <v>221</v>
      </c>
      <c r="J56" s="77" t="s">
        <v>507</v>
      </c>
      <c r="K56" s="74" t="s">
        <v>508</v>
      </c>
      <c r="L56" s="78" t="s">
        <v>140</v>
      </c>
      <c r="M56" s="79" t="s">
        <v>509</v>
      </c>
      <c r="N56" s="80">
        <v>45903</v>
      </c>
      <c r="O56" s="81">
        <v>45905</v>
      </c>
      <c r="P56" s="82" t="s">
        <v>239</v>
      </c>
      <c r="Q56" s="83" t="s">
        <v>381</v>
      </c>
      <c r="R56" s="72" t="s">
        <v>143</v>
      </c>
      <c r="S56" s="84" t="s">
        <v>382</v>
      </c>
      <c r="T56" s="75" t="s">
        <v>145</v>
      </c>
      <c r="U56" s="72" t="s">
        <v>510</v>
      </c>
      <c r="V56" s="77" t="s">
        <v>167</v>
      </c>
      <c r="W56" s="85" t="s">
        <v>159</v>
      </c>
      <c r="X56" s="75" t="s">
        <v>511</v>
      </c>
      <c r="Y56" s="72">
        <v>1</v>
      </c>
      <c r="Z56" s="72">
        <v>1</v>
      </c>
      <c r="AA56" s="72">
        <v>1</v>
      </c>
      <c r="AB56" s="48">
        <f>IF(V56="TIPO I",'BASE DE LIQUIDACION 2025'!$B$3,'BASE DE LIQUIDACION 2025'!$B$4)</f>
        <v>11251.22416</v>
      </c>
      <c r="AC56" s="48">
        <f>IF(V56="TIPO I",'BASE DE LIQUIDACION 2025'!$C$3,'BASE DE LIQUIDACION 2025'!$C$4)</f>
        <v>126317.12212</v>
      </c>
      <c r="AD56" s="48">
        <f>IF(V56="TIPO I",'BASE DE LIQUIDACION 2025'!$D$3,'BASE DE LIQUIDACION 2025'!$D$4)</f>
        <v>110808.27512000001</v>
      </c>
      <c r="AE56" s="52">
        <f t="shared" si="0"/>
        <v>248376.6214</v>
      </c>
    </row>
    <row r="57" spans="1:31" ht="13.15">
      <c r="A57" s="72" t="s">
        <v>309</v>
      </c>
      <c r="B57" s="44" t="str">
        <f>VLOOKUP(A57,'CENTRO DE COSTOS'!A:D,4,FALSE)</f>
        <v>MIGUEL JULIÁN HERNÁNDEZ GUARÍN</v>
      </c>
      <c r="C57" s="44" t="str">
        <f>VLOOKUP(A57,'CENTRO DE COSTOS'!A:D,2,FALSE)</f>
        <v>0004-0008</v>
      </c>
      <c r="D57" s="72">
        <v>68867</v>
      </c>
      <c r="E57" s="73" t="s">
        <v>512</v>
      </c>
      <c r="F57" s="74">
        <v>81340</v>
      </c>
      <c r="G57" s="75" t="s">
        <v>135</v>
      </c>
      <c r="H57" s="76" t="s">
        <v>235</v>
      </c>
      <c r="I57" s="74" t="s">
        <v>221</v>
      </c>
      <c r="J57" s="77" t="s">
        <v>513</v>
      </c>
      <c r="K57" s="74" t="s">
        <v>514</v>
      </c>
      <c r="L57" s="78" t="s">
        <v>140</v>
      </c>
      <c r="M57" s="79" t="s">
        <v>515</v>
      </c>
      <c r="N57" s="80">
        <v>45903</v>
      </c>
      <c r="O57" s="81">
        <v>45905</v>
      </c>
      <c r="P57" s="82" t="s">
        <v>239</v>
      </c>
      <c r="Q57" s="83" t="s">
        <v>381</v>
      </c>
      <c r="R57" s="72" t="s">
        <v>143</v>
      </c>
      <c r="S57" s="84" t="s">
        <v>516</v>
      </c>
      <c r="T57" s="75" t="s">
        <v>145</v>
      </c>
      <c r="U57" s="72" t="s">
        <v>517</v>
      </c>
      <c r="V57" s="77" t="s">
        <v>167</v>
      </c>
      <c r="W57" s="85" t="s">
        <v>159</v>
      </c>
      <c r="X57" s="75" t="s">
        <v>334</v>
      </c>
      <c r="Y57" s="72">
        <v>1</v>
      </c>
      <c r="Z57" s="72">
        <v>1</v>
      </c>
      <c r="AA57" s="72">
        <v>1</v>
      </c>
      <c r="AB57" s="48">
        <f>IF(V57="TIPO I",'BASE DE LIQUIDACION 2025'!$B$3,'BASE DE LIQUIDACION 2025'!$B$4)</f>
        <v>11251.22416</v>
      </c>
      <c r="AC57" s="48">
        <f>IF(V57="TIPO I",'BASE DE LIQUIDACION 2025'!$C$3,'BASE DE LIQUIDACION 2025'!$C$4)</f>
        <v>126317.12212</v>
      </c>
      <c r="AD57" s="48">
        <f>IF(V57="TIPO I",'BASE DE LIQUIDACION 2025'!$D$3,'BASE DE LIQUIDACION 2025'!$D$4)</f>
        <v>110808.27512000001</v>
      </c>
      <c r="AE57" s="52">
        <f t="shared" si="0"/>
        <v>248376.6214</v>
      </c>
    </row>
    <row r="58" spans="1:31" ht="13.15">
      <c r="A58" s="72" t="s">
        <v>518</v>
      </c>
      <c r="B58" s="44" t="str">
        <f>VLOOKUP(A58,'CENTRO DE COSTOS'!A:D,4,FALSE)</f>
        <v>KEVIN ALEXIS CORZO BUSTOS</v>
      </c>
      <c r="C58" s="44" t="str">
        <f>VLOOKUP(A58,'CENTRO DE COSTOS'!A:D,2,FALSE)</f>
        <v>0004-0007</v>
      </c>
      <c r="D58" s="72">
        <v>73001</v>
      </c>
      <c r="E58" s="73" t="s">
        <v>519</v>
      </c>
      <c r="F58" s="74">
        <v>81329</v>
      </c>
      <c r="G58" s="75" t="s">
        <v>135</v>
      </c>
      <c r="H58" s="76" t="s">
        <v>235</v>
      </c>
      <c r="I58" s="74" t="s">
        <v>520</v>
      </c>
      <c r="J58" s="77" t="s">
        <v>518</v>
      </c>
      <c r="K58" s="74" t="s">
        <v>521</v>
      </c>
      <c r="L58" s="78" t="s">
        <v>140</v>
      </c>
      <c r="M58" s="79" t="s">
        <v>522</v>
      </c>
      <c r="N58" s="80">
        <v>45903</v>
      </c>
      <c r="O58" s="81">
        <v>45904</v>
      </c>
      <c r="P58" s="82" t="s">
        <v>239</v>
      </c>
      <c r="Q58" s="83" t="s">
        <v>381</v>
      </c>
      <c r="R58" s="72" t="s">
        <v>143</v>
      </c>
      <c r="S58" s="84" t="s">
        <v>414</v>
      </c>
      <c r="T58" s="75" t="s">
        <v>145</v>
      </c>
      <c r="U58" s="72" t="s">
        <v>523</v>
      </c>
      <c r="V58" s="77" t="s">
        <v>55</v>
      </c>
      <c r="W58" s="85" t="s">
        <v>159</v>
      </c>
      <c r="X58" s="75" t="s">
        <v>524</v>
      </c>
      <c r="Y58" s="72">
        <v>1</v>
      </c>
      <c r="Z58" s="72">
        <v>1</v>
      </c>
      <c r="AA58" s="72">
        <v>1</v>
      </c>
      <c r="AB58" s="48">
        <f>IF(V58="TIPO I",'BASE DE LIQUIDACION 2025'!$B$3,'BASE DE LIQUIDACION 2025'!$B$4)</f>
        <v>11251.22416</v>
      </c>
      <c r="AC58" s="48">
        <f>IF(V58="TIPO I",'BASE DE LIQUIDACION 2025'!$C$3,'BASE DE LIQUIDACION 2025'!$C$4)</f>
        <v>126317.12212</v>
      </c>
      <c r="AD58" s="48">
        <f>IF(V58="TIPO I",'BASE DE LIQUIDACION 2025'!$D$3,'BASE DE LIQUIDACION 2025'!$D$4)</f>
        <v>57411.974240000003</v>
      </c>
      <c r="AE58" s="52">
        <f t="shared" si="0"/>
        <v>194980.32052000001</v>
      </c>
    </row>
    <row r="59" spans="1:31" ht="13.15">
      <c r="A59" s="72" t="s">
        <v>518</v>
      </c>
      <c r="B59" s="44" t="str">
        <f>VLOOKUP(A59,'CENTRO DE COSTOS'!A:D,4,FALSE)</f>
        <v>KEVIN ALEXIS CORZO BUSTOS</v>
      </c>
      <c r="C59" s="44" t="str">
        <f>VLOOKUP(A59,'CENTRO DE COSTOS'!A:D,2,FALSE)</f>
        <v>0004-0007</v>
      </c>
      <c r="D59" s="72">
        <v>73001</v>
      </c>
      <c r="E59" s="73" t="s">
        <v>525</v>
      </c>
      <c r="F59" s="74">
        <v>81330</v>
      </c>
      <c r="G59" s="75" t="s">
        <v>135</v>
      </c>
      <c r="H59" s="76" t="s">
        <v>235</v>
      </c>
      <c r="I59" s="74" t="s">
        <v>520</v>
      </c>
      <c r="J59" s="77" t="s">
        <v>518</v>
      </c>
      <c r="K59" s="74" t="s">
        <v>526</v>
      </c>
      <c r="L59" s="78" t="s">
        <v>140</v>
      </c>
      <c r="M59" s="79" t="s">
        <v>527</v>
      </c>
      <c r="N59" s="80">
        <v>45903</v>
      </c>
      <c r="O59" s="81">
        <v>45905</v>
      </c>
      <c r="P59" s="82" t="s">
        <v>239</v>
      </c>
      <c r="Q59" s="83" t="s">
        <v>381</v>
      </c>
      <c r="R59" s="72" t="s">
        <v>143</v>
      </c>
      <c r="S59" s="84" t="s">
        <v>382</v>
      </c>
      <c r="T59" s="75" t="s">
        <v>145</v>
      </c>
      <c r="U59" s="72" t="s">
        <v>528</v>
      </c>
      <c r="V59" s="77" t="s">
        <v>55</v>
      </c>
      <c r="W59" s="85" t="s">
        <v>159</v>
      </c>
      <c r="X59" s="75" t="s">
        <v>529</v>
      </c>
      <c r="Y59" s="72">
        <v>1</v>
      </c>
      <c r="Z59" s="72">
        <v>1</v>
      </c>
      <c r="AA59" s="72">
        <v>1</v>
      </c>
      <c r="AB59" s="48">
        <f>IF(V59="TIPO I",'BASE DE LIQUIDACION 2025'!$B$3,'BASE DE LIQUIDACION 2025'!$B$4)</f>
        <v>11251.22416</v>
      </c>
      <c r="AC59" s="48">
        <f>IF(V59="TIPO I",'BASE DE LIQUIDACION 2025'!$C$3,'BASE DE LIQUIDACION 2025'!$C$4)</f>
        <v>126317.12212</v>
      </c>
      <c r="AD59" s="48">
        <f>IF(V59="TIPO I",'BASE DE LIQUIDACION 2025'!$D$3,'BASE DE LIQUIDACION 2025'!$D$4)</f>
        <v>57411.974240000003</v>
      </c>
      <c r="AE59" s="52">
        <f t="shared" si="0"/>
        <v>194980.32052000001</v>
      </c>
    </row>
    <row r="60" spans="1:31" ht="13.15">
      <c r="A60" s="72" t="s">
        <v>518</v>
      </c>
      <c r="B60" s="44" t="str">
        <f>VLOOKUP(A60,'CENTRO DE COSTOS'!A:D,4,FALSE)</f>
        <v>KEVIN ALEXIS CORZO BUSTOS</v>
      </c>
      <c r="C60" s="44" t="str">
        <f>VLOOKUP(A60,'CENTRO DE COSTOS'!A:D,2,FALSE)</f>
        <v>0004-0007</v>
      </c>
      <c r="D60" s="72">
        <v>73001</v>
      </c>
      <c r="E60" s="73" t="s">
        <v>530</v>
      </c>
      <c r="F60" s="74">
        <v>81328</v>
      </c>
      <c r="G60" s="75" t="s">
        <v>135</v>
      </c>
      <c r="H60" s="76" t="s">
        <v>235</v>
      </c>
      <c r="I60" s="74" t="s">
        <v>520</v>
      </c>
      <c r="J60" s="77" t="s">
        <v>518</v>
      </c>
      <c r="K60" s="74" t="s">
        <v>531</v>
      </c>
      <c r="L60" s="78" t="s">
        <v>140</v>
      </c>
      <c r="M60" s="79" t="s">
        <v>532</v>
      </c>
      <c r="N60" s="80">
        <v>45903</v>
      </c>
      <c r="O60" s="81">
        <v>45905</v>
      </c>
      <c r="P60" s="82" t="s">
        <v>239</v>
      </c>
      <c r="Q60" s="83" t="s">
        <v>381</v>
      </c>
      <c r="R60" s="72" t="s">
        <v>143</v>
      </c>
      <c r="S60" s="84" t="s">
        <v>382</v>
      </c>
      <c r="T60" s="75" t="s">
        <v>145</v>
      </c>
      <c r="U60" s="72" t="s">
        <v>533</v>
      </c>
      <c r="V60" s="77" t="s">
        <v>55</v>
      </c>
      <c r="W60" s="85" t="s">
        <v>159</v>
      </c>
      <c r="X60" s="75" t="s">
        <v>529</v>
      </c>
      <c r="Y60" s="72">
        <v>1</v>
      </c>
      <c r="Z60" s="72">
        <v>1</v>
      </c>
      <c r="AA60" s="72">
        <v>1</v>
      </c>
      <c r="AB60" s="48">
        <f>IF(V60="TIPO I",'BASE DE LIQUIDACION 2025'!$B$3,'BASE DE LIQUIDACION 2025'!$B$4)</f>
        <v>11251.22416</v>
      </c>
      <c r="AC60" s="48">
        <f>IF(V60="TIPO I",'BASE DE LIQUIDACION 2025'!$C$3,'BASE DE LIQUIDACION 2025'!$C$4)</f>
        <v>126317.12212</v>
      </c>
      <c r="AD60" s="48">
        <f>IF(V60="TIPO I",'BASE DE LIQUIDACION 2025'!$D$3,'BASE DE LIQUIDACION 2025'!$D$4)</f>
        <v>57411.974240000003</v>
      </c>
      <c r="AE60" s="52">
        <f t="shared" si="0"/>
        <v>194980.32052000001</v>
      </c>
    </row>
    <row r="61" spans="1:31" ht="13.15">
      <c r="A61" s="72" t="s">
        <v>150</v>
      </c>
      <c r="B61" s="44" t="str">
        <f>VLOOKUP(A61,'CENTRO DE COSTOS'!A:D,4,FALSE)</f>
        <v>DIEGO FERNANDO HENAO CARDONA</v>
      </c>
      <c r="C61" s="44" t="str">
        <f>VLOOKUP(A61,'CENTRO DE COSTOS'!A:D,2,FALSE)</f>
        <v>0004-0003</v>
      </c>
      <c r="D61" s="72">
        <v>76001</v>
      </c>
      <c r="E61" s="73" t="s">
        <v>534</v>
      </c>
      <c r="F61" s="74">
        <v>81316</v>
      </c>
      <c r="G61" s="75" t="s">
        <v>135</v>
      </c>
      <c r="H61" s="76" t="s">
        <v>235</v>
      </c>
      <c r="I61" s="74" t="s">
        <v>229</v>
      </c>
      <c r="J61" s="77" t="s">
        <v>150</v>
      </c>
      <c r="K61" s="74" t="s">
        <v>535</v>
      </c>
      <c r="L61" s="78" t="s">
        <v>140</v>
      </c>
      <c r="M61" s="79" t="s">
        <v>536</v>
      </c>
      <c r="N61" s="80">
        <v>45903</v>
      </c>
      <c r="O61" s="81">
        <v>45904</v>
      </c>
      <c r="P61" s="82" t="s">
        <v>239</v>
      </c>
      <c r="Q61" s="83" t="s">
        <v>381</v>
      </c>
      <c r="R61" s="72" t="s">
        <v>143</v>
      </c>
      <c r="S61" s="84" t="s">
        <v>414</v>
      </c>
      <c r="T61" s="75" t="s">
        <v>145</v>
      </c>
      <c r="U61" s="72" t="s">
        <v>537</v>
      </c>
      <c r="V61" s="77" t="s">
        <v>55</v>
      </c>
      <c r="W61" s="85" t="s">
        <v>159</v>
      </c>
      <c r="X61" s="75" t="s">
        <v>538</v>
      </c>
      <c r="Y61" s="72">
        <v>1</v>
      </c>
      <c r="Z61" s="72">
        <v>1</v>
      </c>
      <c r="AA61" s="72">
        <v>1</v>
      </c>
      <c r="AB61" s="48">
        <f>IF(V61="TIPO I",'BASE DE LIQUIDACION 2025'!$B$3,'BASE DE LIQUIDACION 2025'!$B$4)</f>
        <v>11251.22416</v>
      </c>
      <c r="AC61" s="48">
        <f>IF(V61="TIPO I",'BASE DE LIQUIDACION 2025'!$C$3,'BASE DE LIQUIDACION 2025'!$C$4)</f>
        <v>126317.12212</v>
      </c>
      <c r="AD61" s="48">
        <f>IF(V61="TIPO I",'BASE DE LIQUIDACION 2025'!$D$3,'BASE DE LIQUIDACION 2025'!$D$4)</f>
        <v>57411.974240000003</v>
      </c>
      <c r="AE61" s="52">
        <f t="shared" si="0"/>
        <v>194980.32052000001</v>
      </c>
    </row>
    <row r="62" spans="1:31" ht="13.15">
      <c r="A62" s="72" t="s">
        <v>150</v>
      </c>
      <c r="B62" s="44" t="str">
        <f>VLOOKUP(A62,'CENTRO DE COSTOS'!A:D,4,FALSE)</f>
        <v>DIEGO FERNANDO HENAO CARDONA</v>
      </c>
      <c r="C62" s="44" t="str">
        <f>VLOOKUP(A62,'CENTRO DE COSTOS'!A:D,2,FALSE)</f>
        <v>0004-0003</v>
      </c>
      <c r="D62" s="72">
        <v>76001</v>
      </c>
      <c r="E62" s="73" t="s">
        <v>539</v>
      </c>
      <c r="F62" s="74">
        <v>81319</v>
      </c>
      <c r="G62" s="75" t="s">
        <v>135</v>
      </c>
      <c r="H62" s="76" t="s">
        <v>235</v>
      </c>
      <c r="I62" s="74" t="s">
        <v>229</v>
      </c>
      <c r="J62" s="77" t="s">
        <v>150</v>
      </c>
      <c r="K62" s="74" t="s">
        <v>540</v>
      </c>
      <c r="L62" s="78" t="s">
        <v>140</v>
      </c>
      <c r="M62" s="79" t="s">
        <v>541</v>
      </c>
      <c r="N62" s="80">
        <v>45903</v>
      </c>
      <c r="O62" s="81">
        <v>45905</v>
      </c>
      <c r="P62" s="82" t="s">
        <v>239</v>
      </c>
      <c r="Q62" s="83" t="s">
        <v>381</v>
      </c>
      <c r="R62" s="72" t="s">
        <v>143</v>
      </c>
      <c r="S62" s="84" t="s">
        <v>382</v>
      </c>
      <c r="T62" s="75" t="s">
        <v>145</v>
      </c>
      <c r="U62" s="72" t="s">
        <v>542</v>
      </c>
      <c r="V62" s="77" t="s">
        <v>55</v>
      </c>
      <c r="W62" s="85" t="s">
        <v>159</v>
      </c>
      <c r="X62" s="75" t="s">
        <v>538</v>
      </c>
      <c r="Y62" s="72">
        <v>1</v>
      </c>
      <c r="Z62" s="72">
        <v>1</v>
      </c>
      <c r="AA62" s="72">
        <v>1</v>
      </c>
      <c r="AB62" s="48">
        <f>IF(V62="TIPO I",'BASE DE LIQUIDACION 2025'!$B$3,'BASE DE LIQUIDACION 2025'!$B$4)</f>
        <v>11251.22416</v>
      </c>
      <c r="AC62" s="48">
        <f>IF(V62="TIPO I",'BASE DE LIQUIDACION 2025'!$C$3,'BASE DE LIQUIDACION 2025'!$C$4)</f>
        <v>126317.12212</v>
      </c>
      <c r="AD62" s="48">
        <f>IF(V62="TIPO I",'BASE DE LIQUIDACION 2025'!$D$3,'BASE DE LIQUIDACION 2025'!$D$4)</f>
        <v>57411.974240000003</v>
      </c>
      <c r="AE62" s="52">
        <f t="shared" si="0"/>
        <v>194980.32052000001</v>
      </c>
    </row>
    <row r="63" spans="1:31" ht="13.15">
      <c r="A63" s="72" t="s">
        <v>150</v>
      </c>
      <c r="B63" s="44" t="str">
        <f>VLOOKUP(A63,'CENTRO DE COSTOS'!A:D,4,FALSE)</f>
        <v>DIEGO FERNANDO HENAO CARDONA</v>
      </c>
      <c r="C63" s="44" t="str">
        <f>VLOOKUP(A63,'CENTRO DE COSTOS'!A:D,2,FALSE)</f>
        <v>0004-0003</v>
      </c>
      <c r="D63" s="72">
        <v>76001</v>
      </c>
      <c r="E63" s="73" t="s">
        <v>543</v>
      </c>
      <c r="F63" s="74">
        <v>81318</v>
      </c>
      <c r="G63" s="75" t="s">
        <v>135</v>
      </c>
      <c r="H63" s="76" t="s">
        <v>235</v>
      </c>
      <c r="I63" s="74" t="s">
        <v>229</v>
      </c>
      <c r="J63" s="77" t="s">
        <v>150</v>
      </c>
      <c r="K63" s="74" t="s">
        <v>544</v>
      </c>
      <c r="L63" s="78" t="s">
        <v>140</v>
      </c>
      <c r="M63" s="79" t="s">
        <v>545</v>
      </c>
      <c r="N63" s="80">
        <v>45903</v>
      </c>
      <c r="O63" s="81">
        <v>45904</v>
      </c>
      <c r="P63" s="82" t="s">
        <v>239</v>
      </c>
      <c r="Q63" s="83" t="s">
        <v>381</v>
      </c>
      <c r="R63" s="72" t="s">
        <v>143</v>
      </c>
      <c r="S63" s="84" t="s">
        <v>414</v>
      </c>
      <c r="T63" s="75" t="s">
        <v>145</v>
      </c>
      <c r="U63" s="72" t="s">
        <v>546</v>
      </c>
      <c r="V63" s="77" t="s">
        <v>55</v>
      </c>
      <c r="W63" s="85" t="s">
        <v>159</v>
      </c>
      <c r="X63" s="75" t="s">
        <v>547</v>
      </c>
      <c r="Y63" s="72">
        <v>1</v>
      </c>
      <c r="Z63" s="72">
        <v>1</v>
      </c>
      <c r="AA63" s="72">
        <v>1</v>
      </c>
      <c r="AB63" s="48">
        <f>IF(V63="TIPO I",'BASE DE LIQUIDACION 2025'!$B$3,'BASE DE LIQUIDACION 2025'!$B$4)</f>
        <v>11251.22416</v>
      </c>
      <c r="AC63" s="48">
        <f>IF(V63="TIPO I",'BASE DE LIQUIDACION 2025'!$C$3,'BASE DE LIQUIDACION 2025'!$C$4)</f>
        <v>126317.12212</v>
      </c>
      <c r="AD63" s="48">
        <f>IF(V63="TIPO I",'BASE DE LIQUIDACION 2025'!$D$3,'BASE DE LIQUIDACION 2025'!$D$4)</f>
        <v>57411.974240000003</v>
      </c>
      <c r="AE63" s="52">
        <f t="shared" si="0"/>
        <v>194980.32052000001</v>
      </c>
    </row>
    <row r="64" spans="1:31" ht="13.15">
      <c r="A64" s="72" t="s">
        <v>150</v>
      </c>
      <c r="B64" s="44" t="str">
        <f>VLOOKUP(A64,'CENTRO DE COSTOS'!A:D,4,FALSE)</f>
        <v>DIEGO FERNANDO HENAO CARDONA</v>
      </c>
      <c r="C64" s="44" t="str">
        <f>VLOOKUP(A64,'CENTRO DE COSTOS'!A:D,2,FALSE)</f>
        <v>0004-0003</v>
      </c>
      <c r="D64" s="72">
        <v>76001</v>
      </c>
      <c r="E64" s="73" t="s">
        <v>548</v>
      </c>
      <c r="F64" s="74">
        <v>81317</v>
      </c>
      <c r="G64" s="75" t="s">
        <v>135</v>
      </c>
      <c r="H64" s="76" t="s">
        <v>235</v>
      </c>
      <c r="I64" s="74" t="s">
        <v>229</v>
      </c>
      <c r="J64" s="77" t="s">
        <v>150</v>
      </c>
      <c r="K64" s="74" t="s">
        <v>549</v>
      </c>
      <c r="L64" s="78" t="s">
        <v>140</v>
      </c>
      <c r="M64" s="79" t="s">
        <v>550</v>
      </c>
      <c r="N64" s="80">
        <v>45903</v>
      </c>
      <c r="O64" s="81">
        <v>45904</v>
      </c>
      <c r="P64" s="82" t="s">
        <v>239</v>
      </c>
      <c r="Q64" s="83" t="s">
        <v>381</v>
      </c>
      <c r="R64" s="72" t="s">
        <v>143</v>
      </c>
      <c r="S64" s="84" t="s">
        <v>551</v>
      </c>
      <c r="T64" s="75" t="s">
        <v>145</v>
      </c>
      <c r="U64" s="72" t="s">
        <v>552</v>
      </c>
      <c r="V64" s="77" t="s">
        <v>55</v>
      </c>
      <c r="W64" s="85" t="s">
        <v>159</v>
      </c>
      <c r="X64" s="75" t="s">
        <v>547</v>
      </c>
      <c r="Y64" s="72">
        <v>1</v>
      </c>
      <c r="Z64" s="72">
        <v>1</v>
      </c>
      <c r="AA64" s="72">
        <v>1</v>
      </c>
      <c r="AB64" s="48">
        <f>IF(V64="TIPO I",'BASE DE LIQUIDACION 2025'!$B$3,'BASE DE LIQUIDACION 2025'!$B$4)</f>
        <v>11251.22416</v>
      </c>
      <c r="AC64" s="48">
        <f>IF(V64="TIPO I",'BASE DE LIQUIDACION 2025'!$C$3,'BASE DE LIQUIDACION 2025'!$C$4)</f>
        <v>126317.12212</v>
      </c>
      <c r="AD64" s="48">
        <f>IF(V64="TIPO I",'BASE DE LIQUIDACION 2025'!$D$3,'BASE DE LIQUIDACION 2025'!$D$4)</f>
        <v>57411.974240000003</v>
      </c>
      <c r="AE64" s="52">
        <f t="shared" si="0"/>
        <v>194980.32052000001</v>
      </c>
    </row>
    <row r="65" spans="1:31" ht="13.15">
      <c r="A65" s="72" t="s">
        <v>150</v>
      </c>
      <c r="B65" s="44" t="str">
        <f>VLOOKUP(A65,'CENTRO DE COSTOS'!A:D,4,FALSE)</f>
        <v>DIEGO FERNANDO HENAO CARDONA</v>
      </c>
      <c r="C65" s="44" t="str">
        <f>VLOOKUP(A65,'CENTRO DE COSTOS'!A:D,2,FALSE)</f>
        <v>0004-0003</v>
      </c>
      <c r="D65" s="72">
        <v>76001</v>
      </c>
      <c r="E65" s="73" t="s">
        <v>553</v>
      </c>
      <c r="F65" s="74">
        <v>81320</v>
      </c>
      <c r="G65" s="75" t="s">
        <v>135</v>
      </c>
      <c r="H65" s="76" t="s">
        <v>235</v>
      </c>
      <c r="I65" s="74" t="s">
        <v>229</v>
      </c>
      <c r="J65" s="77" t="s">
        <v>150</v>
      </c>
      <c r="K65" s="74" t="s">
        <v>554</v>
      </c>
      <c r="L65" s="78" t="s">
        <v>140</v>
      </c>
      <c r="M65" s="79" t="s">
        <v>555</v>
      </c>
      <c r="N65" s="80">
        <v>45903</v>
      </c>
      <c r="O65" s="81">
        <v>45904</v>
      </c>
      <c r="P65" s="82" t="s">
        <v>239</v>
      </c>
      <c r="Q65" s="83" t="s">
        <v>381</v>
      </c>
      <c r="R65" s="72" t="s">
        <v>143</v>
      </c>
      <c r="S65" s="84" t="s">
        <v>414</v>
      </c>
      <c r="T65" s="75" t="s">
        <v>145</v>
      </c>
      <c r="U65" s="72" t="s">
        <v>556</v>
      </c>
      <c r="V65" s="77" t="s">
        <v>55</v>
      </c>
      <c r="W65" s="85" t="s">
        <v>159</v>
      </c>
      <c r="X65" s="75" t="s">
        <v>557</v>
      </c>
      <c r="Y65" s="72">
        <v>1</v>
      </c>
      <c r="Z65" s="72">
        <v>1</v>
      </c>
      <c r="AA65" s="72">
        <v>1</v>
      </c>
      <c r="AB65" s="48">
        <f>IF(V65="TIPO I",'BASE DE LIQUIDACION 2025'!$B$3,'BASE DE LIQUIDACION 2025'!$B$4)</f>
        <v>11251.22416</v>
      </c>
      <c r="AC65" s="48">
        <f>IF(V65="TIPO I",'BASE DE LIQUIDACION 2025'!$C$3,'BASE DE LIQUIDACION 2025'!$C$4)</f>
        <v>126317.12212</v>
      </c>
      <c r="AD65" s="48">
        <f>IF(V65="TIPO I",'BASE DE LIQUIDACION 2025'!$D$3,'BASE DE LIQUIDACION 2025'!$D$4)</f>
        <v>57411.974240000003</v>
      </c>
      <c r="AE65" s="52">
        <f t="shared" si="0"/>
        <v>194980.32052000001</v>
      </c>
    </row>
    <row r="66" spans="1:31" ht="13.15">
      <c r="A66" s="72" t="s">
        <v>150</v>
      </c>
      <c r="B66" s="44" t="str">
        <f>VLOOKUP(A66,'CENTRO DE COSTOS'!A:D,4,FALSE)</f>
        <v>DIEGO FERNANDO HENAO CARDONA</v>
      </c>
      <c r="C66" s="44" t="str">
        <f>VLOOKUP(A66,'CENTRO DE COSTOS'!A:D,2,FALSE)</f>
        <v>0004-0003</v>
      </c>
      <c r="D66" s="72">
        <v>76001</v>
      </c>
      <c r="E66" s="73" t="s">
        <v>558</v>
      </c>
      <c r="F66" s="74">
        <v>81315</v>
      </c>
      <c r="G66" s="75" t="s">
        <v>135</v>
      </c>
      <c r="H66" s="76" t="s">
        <v>235</v>
      </c>
      <c r="I66" s="74" t="s">
        <v>229</v>
      </c>
      <c r="J66" s="77" t="s">
        <v>150</v>
      </c>
      <c r="K66" s="74" t="s">
        <v>559</v>
      </c>
      <c r="L66" s="78" t="s">
        <v>140</v>
      </c>
      <c r="M66" s="79" t="s">
        <v>560</v>
      </c>
      <c r="N66" s="80">
        <v>45903</v>
      </c>
      <c r="O66" s="81">
        <v>45905</v>
      </c>
      <c r="P66" s="82" t="s">
        <v>239</v>
      </c>
      <c r="Q66" s="83" t="s">
        <v>381</v>
      </c>
      <c r="R66" s="72" t="s">
        <v>143</v>
      </c>
      <c r="S66" s="84" t="s">
        <v>382</v>
      </c>
      <c r="T66" s="75" t="s">
        <v>145</v>
      </c>
      <c r="U66" s="72" t="s">
        <v>561</v>
      </c>
      <c r="V66" s="77" t="s">
        <v>55</v>
      </c>
      <c r="W66" s="85" t="s">
        <v>159</v>
      </c>
      <c r="X66" s="75" t="s">
        <v>362</v>
      </c>
      <c r="Y66" s="72">
        <v>1</v>
      </c>
      <c r="Z66" s="72">
        <v>1</v>
      </c>
      <c r="AA66" s="72">
        <v>1</v>
      </c>
      <c r="AB66" s="48">
        <f>IF(V66="TIPO I",'BASE DE LIQUIDACION 2025'!$B$3,'BASE DE LIQUIDACION 2025'!$B$4)</f>
        <v>11251.22416</v>
      </c>
      <c r="AC66" s="48">
        <f>IF(V66="TIPO I",'BASE DE LIQUIDACION 2025'!$C$3,'BASE DE LIQUIDACION 2025'!$C$4)</f>
        <v>126317.12212</v>
      </c>
      <c r="AD66" s="48">
        <f>IF(V66="TIPO I",'BASE DE LIQUIDACION 2025'!$D$3,'BASE DE LIQUIDACION 2025'!$D$4)</f>
        <v>57411.974240000003</v>
      </c>
      <c r="AE66" s="52">
        <f t="shared" ref="AE66:AE119" si="2">AB66*Y66+Z66*AC66+AA66*AD66</f>
        <v>194980.32052000001</v>
      </c>
    </row>
    <row r="67" spans="1:31" ht="13.15">
      <c r="A67" s="72" t="s">
        <v>432</v>
      </c>
      <c r="B67" s="44" t="str">
        <f>VLOOKUP(A67,'CENTRO DE COSTOS'!A:D,4,FALSE)</f>
        <v>WILLIAM ASDRUBAL ROZO ROZO</v>
      </c>
      <c r="C67" s="44" t="str">
        <f>VLOOKUP(A67,'CENTRO DE COSTOS'!A:D,2,FALSE)</f>
        <v>0004-0004</v>
      </c>
      <c r="D67" s="72">
        <v>11001</v>
      </c>
      <c r="E67" s="73" t="s">
        <v>562</v>
      </c>
      <c r="F67" s="74">
        <v>81313</v>
      </c>
      <c r="G67" s="75" t="s">
        <v>135</v>
      </c>
      <c r="H67" s="76" t="s">
        <v>235</v>
      </c>
      <c r="I67" s="74" t="s">
        <v>434</v>
      </c>
      <c r="J67" s="77" t="s">
        <v>432</v>
      </c>
      <c r="K67" s="74" t="s">
        <v>563</v>
      </c>
      <c r="L67" s="78" t="s">
        <v>140</v>
      </c>
      <c r="M67" s="79" t="s">
        <v>564</v>
      </c>
      <c r="N67" s="80">
        <v>45903</v>
      </c>
      <c r="O67" s="81">
        <v>45904</v>
      </c>
      <c r="P67" s="82" t="s">
        <v>239</v>
      </c>
      <c r="Q67" s="83" t="s">
        <v>381</v>
      </c>
      <c r="R67" s="72" t="s">
        <v>143</v>
      </c>
      <c r="S67" s="84" t="s">
        <v>565</v>
      </c>
      <c r="T67" s="75" t="s">
        <v>145</v>
      </c>
      <c r="U67" s="72" t="s">
        <v>566</v>
      </c>
      <c r="V67" s="77" t="s">
        <v>55</v>
      </c>
      <c r="W67" s="85" t="s">
        <v>159</v>
      </c>
      <c r="X67" s="75" t="s">
        <v>567</v>
      </c>
      <c r="Y67" s="72">
        <v>1</v>
      </c>
      <c r="Z67" s="72">
        <v>1</v>
      </c>
      <c r="AA67" s="72">
        <v>1</v>
      </c>
      <c r="AB67" s="48">
        <f>IF(V67="TIPO I",'BASE DE LIQUIDACION 2025'!$B$3,'BASE DE LIQUIDACION 2025'!$B$4)</f>
        <v>11251.22416</v>
      </c>
      <c r="AC67" s="48">
        <f>IF(V67="TIPO I",'BASE DE LIQUIDACION 2025'!$C$3,'BASE DE LIQUIDACION 2025'!$C$4)</f>
        <v>126317.12212</v>
      </c>
      <c r="AD67" s="48">
        <f>IF(V67="TIPO I",'BASE DE LIQUIDACION 2025'!$D$3,'BASE DE LIQUIDACION 2025'!$D$4)</f>
        <v>57411.974240000003</v>
      </c>
      <c r="AE67" s="52">
        <f t="shared" si="2"/>
        <v>194980.32052000001</v>
      </c>
    </row>
    <row r="68" spans="1:31" ht="13.15">
      <c r="A68" s="72" t="s">
        <v>432</v>
      </c>
      <c r="B68" s="44" t="str">
        <f>VLOOKUP(A68,'CENTRO DE COSTOS'!A:D,4,FALSE)</f>
        <v>WILLIAM ASDRUBAL ROZO ROZO</v>
      </c>
      <c r="C68" s="44" t="str">
        <f>VLOOKUP(A68,'CENTRO DE COSTOS'!A:D,2,FALSE)</f>
        <v>0004-0004</v>
      </c>
      <c r="D68" s="72">
        <v>11001</v>
      </c>
      <c r="E68" s="73" t="s">
        <v>568</v>
      </c>
      <c r="F68" s="74">
        <v>81308</v>
      </c>
      <c r="G68" s="75" t="s">
        <v>135</v>
      </c>
      <c r="H68" s="76" t="s">
        <v>235</v>
      </c>
      <c r="I68" s="74" t="s">
        <v>434</v>
      </c>
      <c r="J68" s="77" t="s">
        <v>432</v>
      </c>
      <c r="K68" s="74" t="s">
        <v>569</v>
      </c>
      <c r="L68" s="78" t="s">
        <v>140</v>
      </c>
      <c r="M68" s="79" t="s">
        <v>570</v>
      </c>
      <c r="N68" s="80">
        <v>45903</v>
      </c>
      <c r="O68" s="81">
        <v>45904</v>
      </c>
      <c r="P68" s="82" t="s">
        <v>239</v>
      </c>
      <c r="Q68" s="83" t="s">
        <v>381</v>
      </c>
      <c r="R68" s="72" t="s">
        <v>143</v>
      </c>
      <c r="S68" s="84" t="s">
        <v>414</v>
      </c>
      <c r="T68" s="75" t="s">
        <v>145</v>
      </c>
      <c r="U68" s="72" t="s">
        <v>571</v>
      </c>
      <c r="V68" s="77" t="s">
        <v>55</v>
      </c>
      <c r="W68" s="85" t="s">
        <v>159</v>
      </c>
      <c r="X68" s="75" t="s">
        <v>572</v>
      </c>
      <c r="Y68" s="72">
        <v>1</v>
      </c>
      <c r="Z68" s="72">
        <v>1</v>
      </c>
      <c r="AA68" s="72">
        <v>1</v>
      </c>
      <c r="AB68" s="48">
        <f>IF(V68="TIPO I",'BASE DE LIQUIDACION 2025'!$B$3,'BASE DE LIQUIDACION 2025'!$B$4)</f>
        <v>11251.22416</v>
      </c>
      <c r="AC68" s="48">
        <f>IF(V68="TIPO I",'BASE DE LIQUIDACION 2025'!$C$3,'BASE DE LIQUIDACION 2025'!$C$4)</f>
        <v>126317.12212</v>
      </c>
      <c r="AD68" s="48">
        <f>IF(V68="TIPO I",'BASE DE LIQUIDACION 2025'!$D$3,'BASE DE LIQUIDACION 2025'!$D$4)</f>
        <v>57411.974240000003</v>
      </c>
      <c r="AE68" s="52">
        <f t="shared" si="2"/>
        <v>194980.32052000001</v>
      </c>
    </row>
    <row r="69" spans="1:31" ht="13.15">
      <c r="A69" s="72" t="s">
        <v>432</v>
      </c>
      <c r="B69" s="44" t="str">
        <f>VLOOKUP(A69,'CENTRO DE COSTOS'!A:D,4,FALSE)</f>
        <v>WILLIAM ASDRUBAL ROZO ROZO</v>
      </c>
      <c r="C69" s="44" t="str">
        <f>VLOOKUP(A69,'CENTRO DE COSTOS'!A:D,2,FALSE)</f>
        <v>0004-0004</v>
      </c>
      <c r="D69" s="72">
        <v>11001</v>
      </c>
      <c r="E69" s="73" t="s">
        <v>573</v>
      </c>
      <c r="F69" s="74">
        <v>81310</v>
      </c>
      <c r="G69" s="75" t="s">
        <v>135</v>
      </c>
      <c r="H69" s="76" t="s">
        <v>235</v>
      </c>
      <c r="I69" s="74" t="s">
        <v>434</v>
      </c>
      <c r="J69" s="77" t="s">
        <v>432</v>
      </c>
      <c r="K69" s="74" t="s">
        <v>574</v>
      </c>
      <c r="L69" s="78" t="s">
        <v>140</v>
      </c>
      <c r="M69" s="79" t="s">
        <v>575</v>
      </c>
      <c r="N69" s="80">
        <v>45903</v>
      </c>
      <c r="O69" s="81">
        <v>45905</v>
      </c>
      <c r="P69" s="82" t="s">
        <v>239</v>
      </c>
      <c r="Q69" s="83" t="s">
        <v>381</v>
      </c>
      <c r="R69" s="72" t="s">
        <v>143</v>
      </c>
      <c r="S69" s="84" t="s">
        <v>382</v>
      </c>
      <c r="T69" s="75" t="s">
        <v>145</v>
      </c>
      <c r="U69" s="72" t="s">
        <v>576</v>
      </c>
      <c r="V69" s="77" t="s">
        <v>55</v>
      </c>
      <c r="W69" s="85" t="s">
        <v>159</v>
      </c>
      <c r="X69" s="75" t="s">
        <v>577</v>
      </c>
      <c r="Y69" s="72">
        <v>1</v>
      </c>
      <c r="Z69" s="72">
        <v>1</v>
      </c>
      <c r="AA69" s="72">
        <v>1</v>
      </c>
      <c r="AB69" s="48">
        <f>IF(V69="TIPO I",'BASE DE LIQUIDACION 2025'!$B$3,'BASE DE LIQUIDACION 2025'!$B$4)</f>
        <v>11251.22416</v>
      </c>
      <c r="AC69" s="48">
        <f>IF(V69="TIPO I",'BASE DE LIQUIDACION 2025'!$C$3,'BASE DE LIQUIDACION 2025'!$C$4)</f>
        <v>126317.12212</v>
      </c>
      <c r="AD69" s="48">
        <f>IF(V69="TIPO I",'BASE DE LIQUIDACION 2025'!$D$3,'BASE DE LIQUIDACION 2025'!$D$4)</f>
        <v>57411.974240000003</v>
      </c>
      <c r="AE69" s="52">
        <f t="shared" si="2"/>
        <v>194980.32052000001</v>
      </c>
    </row>
    <row r="70" spans="1:31" ht="13.15">
      <c r="A70" s="72" t="s">
        <v>432</v>
      </c>
      <c r="B70" s="44" t="str">
        <f>VLOOKUP(A70,'CENTRO DE COSTOS'!A:D,4,FALSE)</f>
        <v>WILLIAM ASDRUBAL ROZO ROZO</v>
      </c>
      <c r="C70" s="44" t="str">
        <f>VLOOKUP(A70,'CENTRO DE COSTOS'!A:D,2,FALSE)</f>
        <v>0004-0004</v>
      </c>
      <c r="D70" s="72">
        <v>11001</v>
      </c>
      <c r="E70" s="73" t="s">
        <v>578</v>
      </c>
      <c r="F70" s="74">
        <v>81311</v>
      </c>
      <c r="G70" s="75" t="s">
        <v>135</v>
      </c>
      <c r="H70" s="76" t="s">
        <v>235</v>
      </c>
      <c r="I70" s="74" t="s">
        <v>434</v>
      </c>
      <c r="J70" s="77" t="s">
        <v>432</v>
      </c>
      <c r="K70" s="74" t="s">
        <v>579</v>
      </c>
      <c r="L70" s="78" t="s">
        <v>140</v>
      </c>
      <c r="M70" s="79" t="s">
        <v>580</v>
      </c>
      <c r="N70" s="80">
        <v>45903</v>
      </c>
      <c r="O70" s="81">
        <v>45904</v>
      </c>
      <c r="P70" s="82" t="s">
        <v>239</v>
      </c>
      <c r="Q70" s="83" t="s">
        <v>381</v>
      </c>
      <c r="R70" s="72" t="s">
        <v>143</v>
      </c>
      <c r="S70" s="84" t="s">
        <v>581</v>
      </c>
      <c r="T70" s="75" t="s">
        <v>145</v>
      </c>
      <c r="U70" s="72" t="s">
        <v>582</v>
      </c>
      <c r="V70" s="77" t="s">
        <v>55</v>
      </c>
      <c r="W70" s="85" t="s">
        <v>159</v>
      </c>
      <c r="X70" s="75" t="s">
        <v>567</v>
      </c>
      <c r="Y70" s="72">
        <v>1</v>
      </c>
      <c r="Z70" s="72">
        <v>1</v>
      </c>
      <c r="AA70" s="72">
        <v>1</v>
      </c>
      <c r="AB70" s="48">
        <f>IF(V70="TIPO I",'BASE DE LIQUIDACION 2025'!$B$3,'BASE DE LIQUIDACION 2025'!$B$4)</f>
        <v>11251.22416</v>
      </c>
      <c r="AC70" s="48">
        <f>IF(V70="TIPO I",'BASE DE LIQUIDACION 2025'!$C$3,'BASE DE LIQUIDACION 2025'!$C$4)</f>
        <v>126317.12212</v>
      </c>
      <c r="AD70" s="48">
        <f>IF(V70="TIPO I",'BASE DE LIQUIDACION 2025'!$D$3,'BASE DE LIQUIDACION 2025'!$D$4)</f>
        <v>57411.974240000003</v>
      </c>
      <c r="AE70" s="52">
        <f t="shared" si="2"/>
        <v>194980.32052000001</v>
      </c>
    </row>
    <row r="71" spans="1:31" ht="13.15">
      <c r="A71" s="72" t="s">
        <v>432</v>
      </c>
      <c r="B71" s="44" t="str">
        <f>VLOOKUP(A71,'CENTRO DE COSTOS'!A:D,4,FALSE)</f>
        <v>WILLIAM ASDRUBAL ROZO ROZO</v>
      </c>
      <c r="C71" s="44" t="str">
        <f>VLOOKUP(A71,'CENTRO DE COSTOS'!A:D,2,FALSE)</f>
        <v>0004-0004</v>
      </c>
      <c r="D71" s="72">
        <v>11001</v>
      </c>
      <c r="E71" s="73" t="s">
        <v>583</v>
      </c>
      <c r="F71" s="74">
        <v>81309</v>
      </c>
      <c r="G71" s="75" t="s">
        <v>135</v>
      </c>
      <c r="H71" s="76" t="s">
        <v>235</v>
      </c>
      <c r="I71" s="74" t="s">
        <v>434</v>
      </c>
      <c r="J71" s="77" t="s">
        <v>432</v>
      </c>
      <c r="K71" s="74" t="s">
        <v>584</v>
      </c>
      <c r="L71" s="78" t="s">
        <v>140</v>
      </c>
      <c r="M71" s="79" t="s">
        <v>585</v>
      </c>
      <c r="N71" s="80">
        <v>45903</v>
      </c>
      <c r="O71" s="81">
        <v>45905</v>
      </c>
      <c r="P71" s="82" t="s">
        <v>239</v>
      </c>
      <c r="Q71" s="83" t="s">
        <v>381</v>
      </c>
      <c r="R71" s="72" t="s">
        <v>143</v>
      </c>
      <c r="S71" s="84" t="s">
        <v>382</v>
      </c>
      <c r="T71" s="75" t="s">
        <v>145</v>
      </c>
      <c r="U71" s="72" t="s">
        <v>586</v>
      </c>
      <c r="V71" s="77" t="s">
        <v>55</v>
      </c>
      <c r="W71" s="85" t="s">
        <v>159</v>
      </c>
      <c r="X71" s="75" t="s">
        <v>587</v>
      </c>
      <c r="Y71" s="72">
        <v>1</v>
      </c>
      <c r="Z71" s="72">
        <v>1</v>
      </c>
      <c r="AA71" s="72">
        <v>1</v>
      </c>
      <c r="AB71" s="48">
        <f>IF(V71="TIPO I",'BASE DE LIQUIDACION 2025'!$B$3,'BASE DE LIQUIDACION 2025'!$B$4)</f>
        <v>11251.22416</v>
      </c>
      <c r="AC71" s="48">
        <f>IF(V71="TIPO I",'BASE DE LIQUIDACION 2025'!$C$3,'BASE DE LIQUIDACION 2025'!$C$4)</f>
        <v>126317.12212</v>
      </c>
      <c r="AD71" s="48">
        <f>IF(V71="TIPO I",'BASE DE LIQUIDACION 2025'!$D$3,'BASE DE LIQUIDACION 2025'!$D$4)</f>
        <v>57411.974240000003</v>
      </c>
      <c r="AE71" s="52">
        <f t="shared" si="2"/>
        <v>194980.32052000001</v>
      </c>
    </row>
    <row r="72" spans="1:31" ht="13.15">
      <c r="A72" s="72" t="s">
        <v>432</v>
      </c>
      <c r="B72" s="44" t="str">
        <f>VLOOKUP(A72,'CENTRO DE COSTOS'!A:D,4,FALSE)</f>
        <v>WILLIAM ASDRUBAL ROZO ROZO</v>
      </c>
      <c r="C72" s="44" t="str">
        <f>VLOOKUP(A72,'CENTRO DE COSTOS'!A:D,2,FALSE)</f>
        <v>0004-0004</v>
      </c>
      <c r="D72" s="72">
        <v>11001</v>
      </c>
      <c r="E72" s="73" t="s">
        <v>588</v>
      </c>
      <c r="F72" s="74">
        <v>81312</v>
      </c>
      <c r="G72" s="75" t="s">
        <v>135</v>
      </c>
      <c r="H72" s="76" t="s">
        <v>235</v>
      </c>
      <c r="I72" s="74" t="s">
        <v>434</v>
      </c>
      <c r="J72" s="77" t="s">
        <v>432</v>
      </c>
      <c r="K72" s="74" t="s">
        <v>589</v>
      </c>
      <c r="L72" s="78" t="s">
        <v>140</v>
      </c>
      <c r="M72" s="79" t="s">
        <v>590</v>
      </c>
      <c r="N72" s="80">
        <v>45903</v>
      </c>
      <c r="O72" s="81">
        <v>45904</v>
      </c>
      <c r="P72" s="82" t="s">
        <v>239</v>
      </c>
      <c r="Q72" s="83" t="s">
        <v>381</v>
      </c>
      <c r="R72" s="72" t="s">
        <v>143</v>
      </c>
      <c r="S72" s="84" t="s">
        <v>414</v>
      </c>
      <c r="T72" s="75" t="s">
        <v>145</v>
      </c>
      <c r="U72" s="72" t="s">
        <v>591</v>
      </c>
      <c r="V72" s="77" t="s">
        <v>55</v>
      </c>
      <c r="W72" s="85" t="s">
        <v>159</v>
      </c>
      <c r="X72" s="75" t="s">
        <v>592</v>
      </c>
      <c r="Y72" s="72">
        <v>1</v>
      </c>
      <c r="Z72" s="72">
        <v>1</v>
      </c>
      <c r="AA72" s="72">
        <v>1</v>
      </c>
      <c r="AB72" s="48">
        <f>IF(V72="TIPO I",'BASE DE LIQUIDACION 2025'!$B$3,'BASE DE LIQUIDACION 2025'!$B$4)</f>
        <v>11251.22416</v>
      </c>
      <c r="AC72" s="48">
        <f>IF(V72="TIPO I",'BASE DE LIQUIDACION 2025'!$C$3,'BASE DE LIQUIDACION 2025'!$C$4)</f>
        <v>126317.12212</v>
      </c>
      <c r="AD72" s="48">
        <f>IF(V72="TIPO I",'BASE DE LIQUIDACION 2025'!$D$3,'BASE DE LIQUIDACION 2025'!$D$4)</f>
        <v>57411.974240000003</v>
      </c>
      <c r="AE72" s="52">
        <f t="shared" si="2"/>
        <v>194980.32052000001</v>
      </c>
    </row>
    <row r="73" spans="1:31" ht="13.15">
      <c r="A73" s="72" t="s">
        <v>267</v>
      </c>
      <c r="B73" s="44" t="str">
        <f>VLOOKUP(A73,'CENTRO DE COSTOS'!A:D,4,FALSE)</f>
        <v>JUAN SEBASTIÁN RÍOS CASTRILLÓN</v>
      </c>
      <c r="C73" s="44" t="str">
        <f>VLOOKUP(A73,'CENTRO DE COSTOS'!A:D,2,FALSE)</f>
        <v>0004-0005</v>
      </c>
      <c r="D73" s="72">
        <v>5001</v>
      </c>
      <c r="E73" s="73" t="s">
        <v>593</v>
      </c>
      <c r="F73" s="74">
        <v>81361</v>
      </c>
      <c r="G73" s="75" t="s">
        <v>135</v>
      </c>
      <c r="H73" s="76" t="s">
        <v>235</v>
      </c>
      <c r="I73" s="74" t="s">
        <v>253</v>
      </c>
      <c r="J73" s="77" t="s">
        <v>267</v>
      </c>
      <c r="K73" s="74" t="s">
        <v>594</v>
      </c>
      <c r="L73" s="78" t="s">
        <v>140</v>
      </c>
      <c r="M73" s="79" t="s">
        <v>595</v>
      </c>
      <c r="N73" s="80">
        <v>45908</v>
      </c>
      <c r="O73" s="81">
        <v>45909</v>
      </c>
      <c r="P73" s="82" t="s">
        <v>239</v>
      </c>
      <c r="Q73" s="83" t="s">
        <v>240</v>
      </c>
      <c r="R73" s="72" t="s">
        <v>143</v>
      </c>
      <c r="S73" s="84" t="s">
        <v>596</v>
      </c>
      <c r="T73" s="75" t="s">
        <v>145</v>
      </c>
      <c r="U73" s="72" t="s">
        <v>597</v>
      </c>
      <c r="V73" s="77" t="s">
        <v>55</v>
      </c>
      <c r="W73" s="85" t="s">
        <v>159</v>
      </c>
      <c r="X73" s="75" t="s">
        <v>377</v>
      </c>
      <c r="Y73" s="72">
        <v>1</v>
      </c>
      <c r="Z73" s="72">
        <v>1</v>
      </c>
      <c r="AA73" s="72">
        <v>1</v>
      </c>
      <c r="AB73" s="48">
        <f>IF(V73="TIPO I",'BASE DE LIQUIDACION 2025'!$B$3,'BASE DE LIQUIDACION 2025'!$B$4)</f>
        <v>11251.22416</v>
      </c>
      <c r="AC73" s="48">
        <f>IF(V73="TIPO I",'BASE DE LIQUIDACION 2025'!$C$3,'BASE DE LIQUIDACION 2025'!$C$4)</f>
        <v>126317.12212</v>
      </c>
      <c r="AD73" s="48">
        <f>IF(V73="TIPO I",'BASE DE LIQUIDACION 2025'!$D$3,'BASE DE LIQUIDACION 2025'!$D$4)</f>
        <v>57411.974240000003</v>
      </c>
      <c r="AE73" s="52">
        <f t="shared" si="2"/>
        <v>194980.32052000001</v>
      </c>
    </row>
    <row r="74" spans="1:31" ht="13.15">
      <c r="A74" s="72" t="s">
        <v>267</v>
      </c>
      <c r="B74" s="44" t="str">
        <f>VLOOKUP(A74,'CENTRO DE COSTOS'!A:D,4,FALSE)</f>
        <v>JUAN SEBASTIÁN RÍOS CASTRILLÓN</v>
      </c>
      <c r="C74" s="44" t="str">
        <f>VLOOKUP(A74,'CENTRO DE COSTOS'!A:D,2,FALSE)</f>
        <v>0004-0005</v>
      </c>
      <c r="D74" s="72">
        <v>5321</v>
      </c>
      <c r="E74" s="73" t="s">
        <v>598</v>
      </c>
      <c r="F74" s="74">
        <v>81357</v>
      </c>
      <c r="G74" s="75" t="s">
        <v>135</v>
      </c>
      <c r="H74" s="76" t="s">
        <v>235</v>
      </c>
      <c r="I74" s="74" t="s">
        <v>253</v>
      </c>
      <c r="J74" s="77" t="s">
        <v>599</v>
      </c>
      <c r="K74" s="74" t="s">
        <v>600</v>
      </c>
      <c r="L74" s="78" t="s">
        <v>140</v>
      </c>
      <c r="M74" s="79" t="s">
        <v>601</v>
      </c>
      <c r="N74" s="80">
        <v>45908</v>
      </c>
      <c r="O74" s="81">
        <v>45910</v>
      </c>
      <c r="P74" s="82" t="s">
        <v>239</v>
      </c>
      <c r="Q74" s="83" t="s">
        <v>240</v>
      </c>
      <c r="R74" s="72" t="s">
        <v>143</v>
      </c>
      <c r="S74" s="84" t="s">
        <v>602</v>
      </c>
      <c r="T74" s="75" t="s">
        <v>145</v>
      </c>
      <c r="U74" s="72" t="s">
        <v>603</v>
      </c>
      <c r="V74" s="77" t="s">
        <v>199</v>
      </c>
      <c r="W74" s="85" t="s">
        <v>159</v>
      </c>
      <c r="X74" s="75" t="s">
        <v>604</v>
      </c>
      <c r="Y74" s="72">
        <v>1</v>
      </c>
      <c r="Z74" s="72">
        <v>1</v>
      </c>
      <c r="AA74" s="72">
        <v>1</v>
      </c>
      <c r="AB74" s="48">
        <f>IF(V74="TIPO I",'BASE DE LIQUIDACION 2025'!$B$3,'BASE DE LIQUIDACION 2025'!$B$4)</f>
        <v>11251.22416</v>
      </c>
      <c r="AC74" s="48">
        <f>IF(V74="TIPO I",'BASE DE LIQUIDACION 2025'!$C$3,'BASE DE LIQUIDACION 2025'!$C$4)</f>
        <v>126317.12212</v>
      </c>
      <c r="AD74" s="48">
        <f>IF(V74="TIPO I",'BASE DE LIQUIDACION 2025'!$D$3,'BASE DE LIQUIDACION 2025'!$D$4)</f>
        <v>110808.27512000001</v>
      </c>
      <c r="AE74" s="52">
        <f t="shared" si="2"/>
        <v>248376.6214</v>
      </c>
    </row>
    <row r="75" spans="1:31" ht="13.15">
      <c r="A75" s="72" t="s">
        <v>267</v>
      </c>
      <c r="B75" s="44" t="str">
        <f>VLOOKUP(A75,'CENTRO DE COSTOS'!A:D,4,FALSE)</f>
        <v>JUAN SEBASTIÁN RÍOS CASTRILLÓN</v>
      </c>
      <c r="C75" s="44" t="str">
        <f>VLOOKUP(A75,'CENTRO DE COSTOS'!A:D,2,FALSE)</f>
        <v>0004-0005</v>
      </c>
      <c r="D75" s="72">
        <v>5664</v>
      </c>
      <c r="E75" s="73" t="s">
        <v>605</v>
      </c>
      <c r="F75" s="74">
        <v>81349</v>
      </c>
      <c r="G75" s="75" t="s">
        <v>135</v>
      </c>
      <c r="H75" s="76" t="s">
        <v>235</v>
      </c>
      <c r="I75" s="74" t="s">
        <v>253</v>
      </c>
      <c r="J75" s="77" t="s">
        <v>606</v>
      </c>
      <c r="K75" s="74" t="s">
        <v>607</v>
      </c>
      <c r="L75" s="78" t="s">
        <v>140</v>
      </c>
      <c r="M75" s="79" t="s">
        <v>608</v>
      </c>
      <c r="N75" s="80">
        <v>45908</v>
      </c>
      <c r="O75" s="81">
        <v>45909</v>
      </c>
      <c r="P75" s="82" t="s">
        <v>239</v>
      </c>
      <c r="Q75" s="83" t="s">
        <v>240</v>
      </c>
      <c r="R75" s="72" t="s">
        <v>143</v>
      </c>
      <c r="S75" s="84" t="s">
        <v>609</v>
      </c>
      <c r="T75" s="75" t="s">
        <v>145</v>
      </c>
      <c r="U75" s="72" t="s">
        <v>610</v>
      </c>
      <c r="V75" s="77" t="s">
        <v>199</v>
      </c>
      <c r="W75" s="85" t="s">
        <v>159</v>
      </c>
      <c r="X75" s="75" t="s">
        <v>604</v>
      </c>
      <c r="Y75" s="72">
        <v>1</v>
      </c>
      <c r="Z75" s="72">
        <v>1</v>
      </c>
      <c r="AA75" s="72">
        <v>1</v>
      </c>
      <c r="AB75" s="48">
        <f>IF(V75="TIPO I",'BASE DE LIQUIDACION 2025'!$B$3,'BASE DE LIQUIDACION 2025'!$B$4)</f>
        <v>11251.22416</v>
      </c>
      <c r="AC75" s="48">
        <f>IF(V75="TIPO I",'BASE DE LIQUIDACION 2025'!$C$3,'BASE DE LIQUIDACION 2025'!$C$4)</f>
        <v>126317.12212</v>
      </c>
      <c r="AD75" s="48">
        <f>IF(V75="TIPO I",'BASE DE LIQUIDACION 2025'!$D$3,'BASE DE LIQUIDACION 2025'!$D$4)</f>
        <v>110808.27512000001</v>
      </c>
      <c r="AE75" s="52">
        <f t="shared" si="2"/>
        <v>248376.6214</v>
      </c>
    </row>
    <row r="76" spans="1:31" ht="13.15">
      <c r="A76" s="72" t="s">
        <v>267</v>
      </c>
      <c r="B76" s="44" t="str">
        <f>VLOOKUP(A76,'CENTRO DE COSTOS'!A:D,4,FALSE)</f>
        <v>JUAN SEBASTIÁN RÍOS CASTRILLÓN</v>
      </c>
      <c r="C76" s="44" t="str">
        <f>VLOOKUP(A76,'CENTRO DE COSTOS'!A:D,2,FALSE)</f>
        <v>0004-0005</v>
      </c>
      <c r="D76" s="72">
        <v>5736</v>
      </c>
      <c r="E76" s="73" t="s">
        <v>611</v>
      </c>
      <c r="F76" s="74">
        <v>81355</v>
      </c>
      <c r="G76" s="75" t="s">
        <v>135</v>
      </c>
      <c r="H76" s="76" t="s">
        <v>235</v>
      </c>
      <c r="I76" s="74" t="s">
        <v>253</v>
      </c>
      <c r="J76" s="77" t="s">
        <v>612</v>
      </c>
      <c r="K76" s="74" t="s">
        <v>613</v>
      </c>
      <c r="L76" s="78" t="s">
        <v>140</v>
      </c>
      <c r="M76" s="79" t="s">
        <v>614</v>
      </c>
      <c r="N76" s="80">
        <v>45908</v>
      </c>
      <c r="O76" s="81">
        <v>45910</v>
      </c>
      <c r="P76" s="82" t="s">
        <v>239</v>
      </c>
      <c r="Q76" s="83" t="s">
        <v>240</v>
      </c>
      <c r="R76" s="72" t="s">
        <v>143</v>
      </c>
      <c r="S76" s="84" t="s">
        <v>602</v>
      </c>
      <c r="T76" s="75" t="s">
        <v>145</v>
      </c>
      <c r="U76" s="72" t="s">
        <v>615</v>
      </c>
      <c r="V76" s="77" t="s">
        <v>167</v>
      </c>
      <c r="W76" s="85" t="s">
        <v>159</v>
      </c>
      <c r="X76" s="75" t="s">
        <v>273</v>
      </c>
      <c r="Y76" s="72">
        <v>1</v>
      </c>
      <c r="Z76" s="72">
        <v>1</v>
      </c>
      <c r="AA76" s="72">
        <v>1</v>
      </c>
      <c r="AB76" s="48">
        <f>IF(V76="TIPO I",'BASE DE LIQUIDACION 2025'!$B$3,'BASE DE LIQUIDACION 2025'!$B$4)</f>
        <v>11251.22416</v>
      </c>
      <c r="AC76" s="48">
        <f>IF(V76="TIPO I",'BASE DE LIQUIDACION 2025'!$C$3,'BASE DE LIQUIDACION 2025'!$C$4)</f>
        <v>126317.12212</v>
      </c>
      <c r="AD76" s="48">
        <f>IF(V76="TIPO I",'BASE DE LIQUIDACION 2025'!$D$3,'BASE DE LIQUIDACION 2025'!$D$4)</f>
        <v>110808.27512000001</v>
      </c>
      <c r="AE76" s="52">
        <f t="shared" si="2"/>
        <v>248376.6214</v>
      </c>
    </row>
    <row r="77" spans="1:31" ht="13.15">
      <c r="A77" s="72" t="s">
        <v>259</v>
      </c>
      <c r="B77" s="44" t="str">
        <f>VLOOKUP(A77,'CENTRO DE COSTOS'!A:D,4,FALSE)</f>
        <v>JUAN SEBASTIÁN RÍOS CASTRILLÓN</v>
      </c>
      <c r="C77" s="44" t="str">
        <f>VLOOKUP(A77,'CENTRO DE COSTOS'!A:D,2,FALSE)</f>
        <v>0004-0005</v>
      </c>
      <c r="D77" s="72">
        <v>5837</v>
      </c>
      <c r="E77" s="73" t="s">
        <v>616</v>
      </c>
      <c r="F77" s="74">
        <v>81350</v>
      </c>
      <c r="G77" s="75" t="s">
        <v>135</v>
      </c>
      <c r="H77" s="76" t="s">
        <v>235</v>
      </c>
      <c r="I77" s="74" t="s">
        <v>253</v>
      </c>
      <c r="J77" s="77" t="s">
        <v>261</v>
      </c>
      <c r="K77" s="74" t="s">
        <v>617</v>
      </c>
      <c r="L77" s="78" t="s">
        <v>140</v>
      </c>
      <c r="M77" s="79" t="s">
        <v>618</v>
      </c>
      <c r="N77" s="80">
        <v>45908</v>
      </c>
      <c r="O77" s="81">
        <v>45909</v>
      </c>
      <c r="P77" s="82" t="s">
        <v>239</v>
      </c>
      <c r="Q77" s="83" t="s">
        <v>240</v>
      </c>
      <c r="R77" s="72" t="s">
        <v>143</v>
      </c>
      <c r="S77" s="84" t="s">
        <v>619</v>
      </c>
      <c r="T77" s="75" t="s">
        <v>145</v>
      </c>
      <c r="U77" s="72" t="s">
        <v>620</v>
      </c>
      <c r="V77" s="77" t="s">
        <v>199</v>
      </c>
      <c r="W77" s="85" t="s">
        <v>159</v>
      </c>
      <c r="X77" s="75" t="s">
        <v>266</v>
      </c>
      <c r="Y77" s="72">
        <v>1</v>
      </c>
      <c r="Z77" s="72">
        <v>1</v>
      </c>
      <c r="AA77" s="72">
        <v>1</v>
      </c>
      <c r="AB77" s="48">
        <f>IF(V77="TIPO I",'BASE DE LIQUIDACION 2025'!$B$3,'BASE DE LIQUIDACION 2025'!$B$4)</f>
        <v>11251.22416</v>
      </c>
      <c r="AC77" s="48">
        <f>IF(V77="TIPO I",'BASE DE LIQUIDACION 2025'!$C$3,'BASE DE LIQUIDACION 2025'!$C$4)</f>
        <v>126317.12212</v>
      </c>
      <c r="AD77" s="48">
        <f>IF(V77="TIPO I",'BASE DE LIQUIDACION 2025'!$D$3,'BASE DE LIQUIDACION 2025'!$D$4)</f>
        <v>110808.27512000001</v>
      </c>
      <c r="AE77" s="52">
        <f t="shared" si="2"/>
        <v>248376.6214</v>
      </c>
    </row>
    <row r="78" spans="1:31" ht="13.15">
      <c r="A78" s="72" t="s">
        <v>621</v>
      </c>
      <c r="B78" s="44" t="str">
        <f>VLOOKUP(A78,'CENTRO DE COSTOS'!A:D,4,FALSE)</f>
        <v>JOSE MAURICIO HERNANDEZ ROJAS</v>
      </c>
      <c r="C78" s="44" t="str">
        <f>VLOOKUP(A78,'CENTRO DE COSTOS'!A:D,2,FALSE)</f>
        <v>0004-0001</v>
      </c>
      <c r="D78" s="72">
        <v>20001</v>
      </c>
      <c r="E78" s="73" t="s">
        <v>622</v>
      </c>
      <c r="F78" s="74">
        <v>81359</v>
      </c>
      <c r="G78" s="75" t="s">
        <v>135</v>
      </c>
      <c r="H78" s="76" t="s">
        <v>235</v>
      </c>
      <c r="I78" s="74" t="s">
        <v>623</v>
      </c>
      <c r="J78" s="77" t="s">
        <v>621</v>
      </c>
      <c r="K78" s="74" t="s">
        <v>624</v>
      </c>
      <c r="L78" s="78" t="s">
        <v>140</v>
      </c>
      <c r="M78" s="79" t="s">
        <v>625</v>
      </c>
      <c r="N78" s="80">
        <v>45908</v>
      </c>
      <c r="O78" s="81">
        <v>45909</v>
      </c>
      <c r="P78" s="82" t="s">
        <v>239</v>
      </c>
      <c r="Q78" s="83" t="s">
        <v>240</v>
      </c>
      <c r="R78" s="72" t="s">
        <v>143</v>
      </c>
      <c r="S78" s="84" t="s">
        <v>619</v>
      </c>
      <c r="T78" s="75" t="s">
        <v>145</v>
      </c>
      <c r="U78" s="72" t="s">
        <v>626</v>
      </c>
      <c r="V78" s="77" t="s">
        <v>55</v>
      </c>
      <c r="W78" s="85" t="s">
        <v>159</v>
      </c>
      <c r="X78" s="75" t="s">
        <v>627</v>
      </c>
      <c r="Y78" s="72">
        <v>1</v>
      </c>
      <c r="Z78" s="72">
        <v>1</v>
      </c>
      <c r="AA78" s="72">
        <v>1</v>
      </c>
      <c r="AB78" s="48">
        <f>IF(V78="TIPO I",'BASE DE LIQUIDACION 2025'!$B$3,'BASE DE LIQUIDACION 2025'!$B$4)</f>
        <v>11251.22416</v>
      </c>
      <c r="AC78" s="48">
        <f>IF(V78="TIPO I",'BASE DE LIQUIDACION 2025'!$C$3,'BASE DE LIQUIDACION 2025'!$C$4)</f>
        <v>126317.12212</v>
      </c>
      <c r="AD78" s="48">
        <f>IF(V78="TIPO I",'BASE DE LIQUIDACION 2025'!$D$3,'BASE DE LIQUIDACION 2025'!$D$4)</f>
        <v>57411.974240000003</v>
      </c>
      <c r="AE78" s="52">
        <f t="shared" si="2"/>
        <v>194980.32052000001</v>
      </c>
    </row>
    <row r="79" spans="1:31" ht="13.15">
      <c r="A79" s="72" t="s">
        <v>176</v>
      </c>
      <c r="B79" s="44" t="str">
        <f>VLOOKUP(A79,'CENTRO DE COSTOS'!A:D,4,FALSE)</f>
        <v>JOSE MAURICIO HERNANDEZ ROJAS</v>
      </c>
      <c r="C79" s="44" t="str">
        <f>VLOOKUP(A79,'CENTRO DE COSTOS'!A:D,2,FALSE)</f>
        <v>0004-0001</v>
      </c>
      <c r="D79" s="72">
        <v>23555</v>
      </c>
      <c r="E79" s="73" t="s">
        <v>628</v>
      </c>
      <c r="F79" s="74">
        <v>81363</v>
      </c>
      <c r="G79" s="75" t="s">
        <v>135</v>
      </c>
      <c r="H79" s="76" t="s">
        <v>235</v>
      </c>
      <c r="I79" s="74" t="s">
        <v>178</v>
      </c>
      <c r="J79" s="77" t="s">
        <v>629</v>
      </c>
      <c r="K79" s="74" t="s">
        <v>630</v>
      </c>
      <c r="L79" s="78" t="s">
        <v>140</v>
      </c>
      <c r="M79" s="79" t="s">
        <v>631</v>
      </c>
      <c r="N79" s="80">
        <v>45908</v>
      </c>
      <c r="O79" s="81">
        <v>45910</v>
      </c>
      <c r="P79" s="82" t="s">
        <v>239</v>
      </c>
      <c r="Q79" s="83" t="s">
        <v>240</v>
      </c>
      <c r="R79" s="72" t="s">
        <v>143</v>
      </c>
      <c r="S79" s="84" t="s">
        <v>632</v>
      </c>
      <c r="T79" s="75" t="s">
        <v>145</v>
      </c>
      <c r="U79" s="72" t="s">
        <v>633</v>
      </c>
      <c r="V79" s="77" t="s">
        <v>199</v>
      </c>
      <c r="W79" s="85" t="s">
        <v>159</v>
      </c>
      <c r="X79" s="75" t="s">
        <v>634</v>
      </c>
      <c r="Y79" s="72">
        <v>1</v>
      </c>
      <c r="Z79" s="72">
        <v>1</v>
      </c>
      <c r="AA79" s="72">
        <v>1</v>
      </c>
      <c r="AB79" s="48">
        <f>IF(V79="TIPO I",'BASE DE LIQUIDACION 2025'!$B$3,'BASE DE LIQUIDACION 2025'!$B$4)</f>
        <v>11251.22416</v>
      </c>
      <c r="AC79" s="48">
        <f>IF(V79="TIPO I",'BASE DE LIQUIDACION 2025'!$C$3,'BASE DE LIQUIDACION 2025'!$C$4)</f>
        <v>126317.12212</v>
      </c>
      <c r="AD79" s="48">
        <f>IF(V79="TIPO I",'BASE DE LIQUIDACION 2025'!$D$3,'BASE DE LIQUIDACION 2025'!$D$4)</f>
        <v>110808.27512000001</v>
      </c>
      <c r="AE79" s="52">
        <f t="shared" si="2"/>
        <v>248376.6214</v>
      </c>
    </row>
    <row r="80" spans="1:31" ht="13.15">
      <c r="A80" s="72" t="s">
        <v>432</v>
      </c>
      <c r="B80" s="44" t="str">
        <f>VLOOKUP(A80,'CENTRO DE COSTOS'!A:D,4,FALSE)</f>
        <v>WILLIAM ASDRUBAL ROZO ROZO</v>
      </c>
      <c r="C80" s="44" t="str">
        <f>VLOOKUP(A80,'CENTRO DE COSTOS'!A:D,2,FALSE)</f>
        <v>0004-0004</v>
      </c>
      <c r="D80" s="72">
        <v>25486</v>
      </c>
      <c r="E80" s="73" t="s">
        <v>635</v>
      </c>
      <c r="F80" s="74">
        <v>81353</v>
      </c>
      <c r="G80" s="75" t="s">
        <v>135</v>
      </c>
      <c r="H80" s="76" t="s">
        <v>235</v>
      </c>
      <c r="I80" s="74" t="s">
        <v>434</v>
      </c>
      <c r="J80" s="77" t="s">
        <v>636</v>
      </c>
      <c r="K80" s="74" t="s">
        <v>637</v>
      </c>
      <c r="L80" s="78" t="s">
        <v>140</v>
      </c>
      <c r="M80" s="79" t="s">
        <v>638</v>
      </c>
      <c r="N80" s="80">
        <v>45908</v>
      </c>
      <c r="O80" s="81">
        <v>45910</v>
      </c>
      <c r="P80" s="82" t="s">
        <v>239</v>
      </c>
      <c r="Q80" s="83" t="s">
        <v>240</v>
      </c>
      <c r="R80" s="72" t="s">
        <v>143</v>
      </c>
      <c r="S80" s="84" t="s">
        <v>602</v>
      </c>
      <c r="T80" s="75" t="s">
        <v>145</v>
      </c>
      <c r="U80" s="72" t="s">
        <v>639</v>
      </c>
      <c r="V80" s="77" t="s">
        <v>199</v>
      </c>
      <c r="W80" s="85" t="s">
        <v>159</v>
      </c>
      <c r="X80" s="75" t="s">
        <v>577</v>
      </c>
      <c r="Y80" s="72">
        <v>1</v>
      </c>
      <c r="Z80" s="72">
        <v>1</v>
      </c>
      <c r="AA80" s="72">
        <v>1</v>
      </c>
      <c r="AB80" s="48">
        <f>IF(V80="TIPO I",'BASE DE LIQUIDACION 2025'!$B$3,'BASE DE LIQUIDACION 2025'!$B$4)</f>
        <v>11251.22416</v>
      </c>
      <c r="AC80" s="48">
        <f>IF(V80="TIPO I",'BASE DE LIQUIDACION 2025'!$C$3,'BASE DE LIQUIDACION 2025'!$C$4)</f>
        <v>126317.12212</v>
      </c>
      <c r="AD80" s="48">
        <f>IF(V80="TIPO I",'BASE DE LIQUIDACION 2025'!$D$3,'BASE DE LIQUIDACION 2025'!$D$4)</f>
        <v>110808.27512000001</v>
      </c>
      <c r="AE80" s="52">
        <f t="shared" si="2"/>
        <v>248376.6214</v>
      </c>
    </row>
    <row r="81" spans="1:31" ht="13.15">
      <c r="A81" s="72" t="s">
        <v>432</v>
      </c>
      <c r="B81" s="44" t="str">
        <f>VLOOKUP(A81,'CENTRO DE COSTOS'!A:D,4,FALSE)</f>
        <v>WILLIAM ASDRUBAL ROZO ROZO</v>
      </c>
      <c r="C81" s="44" t="str">
        <f>VLOOKUP(A81,'CENTRO DE COSTOS'!A:D,2,FALSE)</f>
        <v>0004-0004</v>
      </c>
      <c r="D81" s="72">
        <v>25797</v>
      </c>
      <c r="E81" s="73" t="s">
        <v>640</v>
      </c>
      <c r="F81" s="74">
        <v>81356</v>
      </c>
      <c r="G81" s="75" t="s">
        <v>135</v>
      </c>
      <c r="H81" s="76" t="s">
        <v>235</v>
      </c>
      <c r="I81" s="74" t="s">
        <v>434</v>
      </c>
      <c r="J81" s="77" t="s">
        <v>641</v>
      </c>
      <c r="K81" s="74" t="s">
        <v>642</v>
      </c>
      <c r="L81" s="78" t="s">
        <v>140</v>
      </c>
      <c r="M81" s="79" t="s">
        <v>643</v>
      </c>
      <c r="N81" s="80">
        <v>45908</v>
      </c>
      <c r="O81" s="81">
        <v>45909</v>
      </c>
      <c r="P81" s="82" t="s">
        <v>239</v>
      </c>
      <c r="Q81" s="83" t="s">
        <v>240</v>
      </c>
      <c r="R81" s="72" t="s">
        <v>143</v>
      </c>
      <c r="S81" s="84" t="s">
        <v>644</v>
      </c>
      <c r="T81" s="75" t="s">
        <v>145</v>
      </c>
      <c r="U81" s="72" t="s">
        <v>645</v>
      </c>
      <c r="V81" s="77" t="s">
        <v>199</v>
      </c>
      <c r="W81" s="85" t="s">
        <v>159</v>
      </c>
      <c r="X81" s="75" t="s">
        <v>439</v>
      </c>
      <c r="Y81" s="72">
        <v>1</v>
      </c>
      <c r="Z81" s="72">
        <v>1</v>
      </c>
      <c r="AA81" s="72">
        <v>1</v>
      </c>
      <c r="AB81" s="48">
        <f>IF(V81="TIPO I",'BASE DE LIQUIDACION 2025'!$B$3,'BASE DE LIQUIDACION 2025'!$B$4)</f>
        <v>11251.22416</v>
      </c>
      <c r="AC81" s="48">
        <f>IF(V81="TIPO I",'BASE DE LIQUIDACION 2025'!$C$3,'BASE DE LIQUIDACION 2025'!$C$4)</f>
        <v>126317.12212</v>
      </c>
      <c r="AD81" s="48">
        <f>IF(V81="TIPO I",'BASE DE LIQUIDACION 2025'!$D$3,'BASE DE LIQUIDACION 2025'!$D$4)</f>
        <v>110808.27512000001</v>
      </c>
      <c r="AE81" s="52">
        <f t="shared" si="2"/>
        <v>248376.6214</v>
      </c>
    </row>
    <row r="82" spans="1:31" ht="13.15">
      <c r="A82" s="72" t="s">
        <v>133</v>
      </c>
      <c r="B82" s="44" t="str">
        <f>VLOOKUP(A82,'CENTRO DE COSTOS'!A:D,4,FALSE)</f>
        <v>DIEGO FERNANDO HENAO CARDONA</v>
      </c>
      <c r="C82" s="44" t="str">
        <f>VLOOKUP(A82,'CENTRO DE COSTOS'!A:D,2,FALSE)</f>
        <v>0004-0003</v>
      </c>
      <c r="D82" s="72">
        <v>52001</v>
      </c>
      <c r="E82" s="73" t="s">
        <v>646</v>
      </c>
      <c r="F82" s="74">
        <v>81354</v>
      </c>
      <c r="G82" s="75" t="s">
        <v>135</v>
      </c>
      <c r="H82" s="76" t="s">
        <v>235</v>
      </c>
      <c r="I82" s="74" t="s">
        <v>137</v>
      </c>
      <c r="J82" s="77" t="s">
        <v>133</v>
      </c>
      <c r="K82" s="74" t="s">
        <v>647</v>
      </c>
      <c r="L82" s="78" t="s">
        <v>140</v>
      </c>
      <c r="M82" s="79" t="s">
        <v>648</v>
      </c>
      <c r="N82" s="80">
        <v>45908</v>
      </c>
      <c r="O82" s="81">
        <v>45909</v>
      </c>
      <c r="P82" s="82" t="s">
        <v>239</v>
      </c>
      <c r="Q82" s="83" t="s">
        <v>240</v>
      </c>
      <c r="R82" s="72" t="s">
        <v>143</v>
      </c>
      <c r="S82" s="84" t="s">
        <v>619</v>
      </c>
      <c r="T82" s="75" t="s">
        <v>145</v>
      </c>
      <c r="U82" s="72" t="s">
        <v>649</v>
      </c>
      <c r="V82" s="77" t="s">
        <v>55</v>
      </c>
      <c r="W82" s="85" t="s">
        <v>159</v>
      </c>
      <c r="X82" s="75" t="s">
        <v>149</v>
      </c>
      <c r="Y82" s="72">
        <v>1</v>
      </c>
      <c r="Z82" s="72">
        <v>1</v>
      </c>
      <c r="AA82" s="72">
        <v>1</v>
      </c>
      <c r="AB82" s="48">
        <f>IF(V82="TIPO I",'BASE DE LIQUIDACION 2025'!$B$3,'BASE DE LIQUIDACION 2025'!$B$4)</f>
        <v>11251.22416</v>
      </c>
      <c r="AC82" s="48">
        <f>IF(V82="TIPO I",'BASE DE LIQUIDACION 2025'!$C$3,'BASE DE LIQUIDACION 2025'!$C$4)</f>
        <v>126317.12212</v>
      </c>
      <c r="AD82" s="48">
        <f>IF(V82="TIPO I",'BASE DE LIQUIDACION 2025'!$D$3,'BASE DE LIQUIDACION 2025'!$D$4)</f>
        <v>57411.974240000003</v>
      </c>
      <c r="AE82" s="52">
        <f t="shared" si="2"/>
        <v>194980.32052000001</v>
      </c>
    </row>
    <row r="83" spans="1:31" ht="13.15">
      <c r="A83" s="72" t="s">
        <v>274</v>
      </c>
      <c r="B83" s="44" t="str">
        <f>VLOOKUP(A83,'CENTRO DE COSTOS'!A:D,4,FALSE)</f>
        <v>MIGUEL JULIÁN HERNÁNDEZ GUARÍN</v>
      </c>
      <c r="C83" s="44" t="str">
        <f>VLOOKUP(A83,'CENTRO DE COSTOS'!A:D,2,FALSE)</f>
        <v>0004-0008</v>
      </c>
      <c r="D83" s="72">
        <v>68861</v>
      </c>
      <c r="E83" s="73" t="s">
        <v>650</v>
      </c>
      <c r="F83" s="74">
        <v>81360</v>
      </c>
      <c r="G83" s="75" t="s">
        <v>135</v>
      </c>
      <c r="H83" s="76" t="s">
        <v>235</v>
      </c>
      <c r="I83" s="74" t="s">
        <v>221</v>
      </c>
      <c r="J83" s="77" t="s">
        <v>651</v>
      </c>
      <c r="K83" s="74" t="s">
        <v>652</v>
      </c>
      <c r="L83" s="78" t="s">
        <v>140</v>
      </c>
      <c r="M83" s="79" t="s">
        <v>653</v>
      </c>
      <c r="N83" s="80">
        <v>45908</v>
      </c>
      <c r="O83" s="81">
        <v>45909</v>
      </c>
      <c r="P83" s="82" t="s">
        <v>239</v>
      </c>
      <c r="Q83" s="83" t="s">
        <v>240</v>
      </c>
      <c r="R83" s="72" t="s">
        <v>143</v>
      </c>
      <c r="S83" s="84" t="s">
        <v>619</v>
      </c>
      <c r="T83" s="75" t="s">
        <v>145</v>
      </c>
      <c r="U83" s="72" t="s">
        <v>654</v>
      </c>
      <c r="V83" s="77" t="s">
        <v>199</v>
      </c>
      <c r="W83" s="85" t="s">
        <v>159</v>
      </c>
      <c r="X83" s="75" t="s">
        <v>655</v>
      </c>
      <c r="Y83" s="72">
        <v>1</v>
      </c>
      <c r="Z83" s="72">
        <v>1</v>
      </c>
      <c r="AA83" s="72">
        <v>1</v>
      </c>
      <c r="AB83" s="48">
        <f>IF(V83="TIPO I",'BASE DE LIQUIDACION 2025'!$B$3,'BASE DE LIQUIDACION 2025'!$B$4)</f>
        <v>11251.22416</v>
      </c>
      <c r="AC83" s="48">
        <f>IF(V83="TIPO I",'BASE DE LIQUIDACION 2025'!$C$3,'BASE DE LIQUIDACION 2025'!$C$4)</f>
        <v>126317.12212</v>
      </c>
      <c r="AD83" s="48">
        <f>IF(V83="TIPO I",'BASE DE LIQUIDACION 2025'!$D$3,'BASE DE LIQUIDACION 2025'!$D$4)</f>
        <v>110808.27512000001</v>
      </c>
      <c r="AE83" s="52">
        <f t="shared" si="2"/>
        <v>248376.6214</v>
      </c>
    </row>
    <row r="84" spans="1:31" ht="13.15">
      <c r="A84" s="72" t="s">
        <v>518</v>
      </c>
      <c r="B84" s="44" t="str">
        <f>VLOOKUP(A84,'CENTRO DE COSTOS'!A:D,4,FALSE)</f>
        <v>KEVIN ALEXIS CORZO BUSTOS</v>
      </c>
      <c r="C84" s="44" t="str">
        <f>VLOOKUP(A84,'CENTRO DE COSTOS'!A:D,2,FALSE)</f>
        <v>0004-0007</v>
      </c>
      <c r="D84" s="72">
        <v>73411</v>
      </c>
      <c r="E84" s="73" t="s">
        <v>656</v>
      </c>
      <c r="F84" s="74">
        <v>81352</v>
      </c>
      <c r="G84" s="75" t="s">
        <v>135</v>
      </c>
      <c r="H84" s="76" t="s">
        <v>235</v>
      </c>
      <c r="I84" s="74" t="s">
        <v>520</v>
      </c>
      <c r="J84" s="77" t="s">
        <v>657</v>
      </c>
      <c r="K84" s="74" t="s">
        <v>658</v>
      </c>
      <c r="L84" s="78" t="s">
        <v>140</v>
      </c>
      <c r="M84" s="79" t="s">
        <v>659</v>
      </c>
      <c r="N84" s="80">
        <v>45908</v>
      </c>
      <c r="O84" s="81">
        <v>45910</v>
      </c>
      <c r="P84" s="82" t="s">
        <v>239</v>
      </c>
      <c r="Q84" s="83" t="s">
        <v>240</v>
      </c>
      <c r="R84" s="72" t="s">
        <v>143</v>
      </c>
      <c r="S84" s="84" t="s">
        <v>602</v>
      </c>
      <c r="T84" s="75" t="s">
        <v>145</v>
      </c>
      <c r="U84" s="72" t="s">
        <v>660</v>
      </c>
      <c r="V84" s="77" t="s">
        <v>158</v>
      </c>
      <c r="W84" s="85" t="s">
        <v>159</v>
      </c>
      <c r="X84" s="75" t="s">
        <v>529</v>
      </c>
      <c r="Y84" s="72">
        <v>1</v>
      </c>
      <c r="Z84" s="72">
        <v>1</v>
      </c>
      <c r="AA84" s="72">
        <v>1</v>
      </c>
      <c r="AB84" s="48">
        <f>IF(V84="TIPO I",'BASE DE LIQUIDACION 2025'!$B$3,'BASE DE LIQUIDACION 2025'!$B$4)</f>
        <v>11251.22416</v>
      </c>
      <c r="AC84" s="48">
        <f>IF(V84="TIPO I",'BASE DE LIQUIDACION 2025'!$C$3,'BASE DE LIQUIDACION 2025'!$C$4)</f>
        <v>126317.12212</v>
      </c>
      <c r="AD84" s="48">
        <f>IF(V84="TIPO I",'BASE DE LIQUIDACION 2025'!$D$3,'BASE DE LIQUIDACION 2025'!$D$4)</f>
        <v>110808.27512000001</v>
      </c>
      <c r="AE84" s="52">
        <f t="shared" si="2"/>
        <v>248376.6214</v>
      </c>
    </row>
    <row r="85" spans="1:31" ht="13.15">
      <c r="A85" s="72" t="s">
        <v>133</v>
      </c>
      <c r="B85" s="44" t="str">
        <f>VLOOKUP(A85,'CENTRO DE COSTOS'!A:D,4,FALSE)</f>
        <v>DIEGO FERNANDO HENAO CARDONA</v>
      </c>
      <c r="C85" s="44" t="str">
        <f>VLOOKUP(A85,'CENTRO DE COSTOS'!A:D,2,FALSE)</f>
        <v>0004-0003</v>
      </c>
      <c r="D85" s="72">
        <v>86573</v>
      </c>
      <c r="E85" s="73" t="s">
        <v>661</v>
      </c>
      <c r="F85" s="74">
        <v>81351</v>
      </c>
      <c r="G85" s="75" t="s">
        <v>135</v>
      </c>
      <c r="H85" s="76" t="s">
        <v>235</v>
      </c>
      <c r="I85" s="74" t="s">
        <v>245</v>
      </c>
      <c r="J85" s="77" t="s">
        <v>662</v>
      </c>
      <c r="K85" s="74" t="s">
        <v>663</v>
      </c>
      <c r="L85" s="78" t="s">
        <v>140</v>
      </c>
      <c r="M85" s="79" t="s">
        <v>664</v>
      </c>
      <c r="N85" s="80">
        <v>45908</v>
      </c>
      <c r="O85" s="81">
        <v>45910</v>
      </c>
      <c r="P85" s="82" t="s">
        <v>239</v>
      </c>
      <c r="Q85" s="83" t="s">
        <v>240</v>
      </c>
      <c r="R85" s="72" t="s">
        <v>143</v>
      </c>
      <c r="S85" s="84" t="s">
        <v>602</v>
      </c>
      <c r="T85" s="75" t="s">
        <v>145</v>
      </c>
      <c r="U85" s="72" t="s">
        <v>665</v>
      </c>
      <c r="V85" s="87" t="s">
        <v>147</v>
      </c>
      <c r="W85" s="85" t="s">
        <v>190</v>
      </c>
      <c r="X85" s="75" t="s">
        <v>200</v>
      </c>
      <c r="Y85" s="72">
        <v>1</v>
      </c>
      <c r="Z85" s="72">
        <v>1</v>
      </c>
      <c r="AA85" s="72">
        <v>1</v>
      </c>
      <c r="AB85" s="48">
        <f>IF(V85="TIPO I",'BASE DE LIQUIDACION 2025'!$B$3,'BASE DE LIQUIDACION 2025'!$B$4)</f>
        <v>11251.22416</v>
      </c>
      <c r="AC85" s="48">
        <f>IF(V85="TIPO I",'BASE DE LIQUIDACION 2025'!$C$3,'BASE DE LIQUIDACION 2025'!$C$4)</f>
        <v>126317.12212</v>
      </c>
      <c r="AD85" s="48">
        <f>IF(V85="TIPO I",'BASE DE LIQUIDACION 2025'!$D$3,'BASE DE LIQUIDACION 2025'!$D$4)</f>
        <v>110808.27512000001</v>
      </c>
      <c r="AE85" s="52">
        <f t="shared" si="2"/>
        <v>248376.6214</v>
      </c>
    </row>
    <row r="86" spans="1:31" ht="13.15">
      <c r="A86" s="72" t="s">
        <v>133</v>
      </c>
      <c r="B86" s="44" t="str">
        <f>VLOOKUP(A86,'CENTRO DE COSTOS'!A:D,4,FALSE)</f>
        <v>DIEGO FERNANDO HENAO CARDONA</v>
      </c>
      <c r="C86" s="44" t="str">
        <f>VLOOKUP(A86,'CENTRO DE COSTOS'!A:D,2,FALSE)</f>
        <v>0004-0003</v>
      </c>
      <c r="D86" s="72">
        <v>86865</v>
      </c>
      <c r="E86" s="73" t="s">
        <v>666</v>
      </c>
      <c r="F86" s="74">
        <v>81358</v>
      </c>
      <c r="G86" s="75" t="s">
        <v>135</v>
      </c>
      <c r="H86" s="76" t="s">
        <v>235</v>
      </c>
      <c r="I86" s="74" t="s">
        <v>245</v>
      </c>
      <c r="J86" s="77" t="s">
        <v>667</v>
      </c>
      <c r="K86" s="74" t="s">
        <v>668</v>
      </c>
      <c r="L86" s="78" t="s">
        <v>140</v>
      </c>
      <c r="M86" s="79" t="s">
        <v>669</v>
      </c>
      <c r="N86" s="80">
        <v>45908</v>
      </c>
      <c r="O86" s="81">
        <v>45909</v>
      </c>
      <c r="P86" s="82" t="s">
        <v>239</v>
      </c>
      <c r="Q86" s="83" t="s">
        <v>240</v>
      </c>
      <c r="R86" s="72" t="s">
        <v>143</v>
      </c>
      <c r="S86" s="84" t="s">
        <v>619</v>
      </c>
      <c r="T86" s="75" t="s">
        <v>145</v>
      </c>
      <c r="U86" s="72" t="s">
        <v>670</v>
      </c>
      <c r="V86" s="77" t="s">
        <v>167</v>
      </c>
      <c r="W86" s="85" t="s">
        <v>159</v>
      </c>
      <c r="X86" s="75" t="s">
        <v>200</v>
      </c>
      <c r="Y86" s="72">
        <v>1</v>
      </c>
      <c r="Z86" s="72">
        <v>1</v>
      </c>
      <c r="AA86" s="72">
        <v>1</v>
      </c>
      <c r="AB86" s="48">
        <f>IF(V86="TIPO I",'BASE DE LIQUIDACION 2025'!$B$3,'BASE DE LIQUIDACION 2025'!$B$4)</f>
        <v>11251.22416</v>
      </c>
      <c r="AC86" s="48">
        <f>IF(V86="TIPO I",'BASE DE LIQUIDACION 2025'!$C$3,'BASE DE LIQUIDACION 2025'!$C$4)</f>
        <v>126317.12212</v>
      </c>
      <c r="AD86" s="48">
        <f>IF(V86="TIPO I",'BASE DE LIQUIDACION 2025'!$D$3,'BASE DE LIQUIDACION 2025'!$D$4)</f>
        <v>110808.27512000001</v>
      </c>
      <c r="AE86" s="52">
        <f t="shared" si="2"/>
        <v>248376.6214</v>
      </c>
    </row>
    <row r="87" spans="1:31" ht="13.15">
      <c r="A87" s="72" t="s">
        <v>259</v>
      </c>
      <c r="B87" s="44" t="str">
        <f>VLOOKUP(A87,'CENTRO DE COSTOS'!A:D,4,FALSE)</f>
        <v>JUAN SEBASTIÁN RÍOS CASTRILLÓN</v>
      </c>
      <c r="C87" s="44" t="str">
        <f>VLOOKUP(A87,'CENTRO DE COSTOS'!A:D,2,FALSE)</f>
        <v>0004-0005</v>
      </c>
      <c r="D87" s="72">
        <v>5045</v>
      </c>
      <c r="E87" s="73" t="s">
        <v>671</v>
      </c>
      <c r="F87" s="74">
        <v>81348</v>
      </c>
      <c r="G87" s="75" t="s">
        <v>135</v>
      </c>
      <c r="H87" s="76" t="s">
        <v>235</v>
      </c>
      <c r="I87" s="74" t="s">
        <v>253</v>
      </c>
      <c r="J87" s="77" t="s">
        <v>259</v>
      </c>
      <c r="K87" s="74" t="s">
        <v>672</v>
      </c>
      <c r="L87" s="78" t="s">
        <v>140</v>
      </c>
      <c r="M87" s="79" t="s">
        <v>673</v>
      </c>
      <c r="N87" s="80">
        <v>45908</v>
      </c>
      <c r="O87" s="81">
        <v>45909</v>
      </c>
      <c r="P87" s="82" t="s">
        <v>239</v>
      </c>
      <c r="Q87" s="83" t="s">
        <v>240</v>
      </c>
      <c r="R87" s="72" t="s">
        <v>143</v>
      </c>
      <c r="S87" s="84" t="s">
        <v>619</v>
      </c>
      <c r="T87" s="75" t="s">
        <v>145</v>
      </c>
      <c r="U87" s="72" t="s">
        <v>674</v>
      </c>
      <c r="V87" s="77" t="s">
        <v>55</v>
      </c>
      <c r="W87" s="85" t="s">
        <v>159</v>
      </c>
      <c r="X87" s="75" t="s">
        <v>675</v>
      </c>
      <c r="Y87" s="72">
        <v>1</v>
      </c>
      <c r="Z87" s="72">
        <v>1</v>
      </c>
      <c r="AA87" s="72">
        <v>1</v>
      </c>
      <c r="AB87" s="48">
        <f>IF(V87="TIPO I",'BASE DE LIQUIDACION 2025'!$B$3,'BASE DE LIQUIDACION 2025'!$B$4)</f>
        <v>11251.22416</v>
      </c>
      <c r="AC87" s="48">
        <f>IF(V87="TIPO I",'BASE DE LIQUIDACION 2025'!$C$3,'BASE DE LIQUIDACION 2025'!$C$4)</f>
        <v>126317.12212</v>
      </c>
      <c r="AD87" s="48">
        <f>IF(V87="TIPO I",'BASE DE LIQUIDACION 2025'!$D$3,'BASE DE LIQUIDACION 2025'!$D$4)</f>
        <v>57411.974240000003</v>
      </c>
      <c r="AE87" s="52">
        <f t="shared" si="2"/>
        <v>194980.32052000001</v>
      </c>
    </row>
    <row r="88" spans="1:31" ht="13.15">
      <c r="A88" s="72" t="s">
        <v>454</v>
      </c>
      <c r="B88" s="44" t="str">
        <f>VLOOKUP(A88,'CENTRO DE COSTOS'!A:D,4,FALSE)</f>
        <v>JOSE MAURICIO HERNANDEZ ROJAS</v>
      </c>
      <c r="C88" s="44" t="str">
        <f>VLOOKUP(A88,'CENTRO DE COSTOS'!A:D,2,FALSE)</f>
        <v>0004-0001</v>
      </c>
      <c r="D88" s="72">
        <v>47245</v>
      </c>
      <c r="E88" s="73" t="s">
        <v>676</v>
      </c>
      <c r="F88" s="74">
        <v>66501</v>
      </c>
      <c r="G88" s="75" t="s">
        <v>135</v>
      </c>
      <c r="H88" s="76" t="s">
        <v>369</v>
      </c>
      <c r="I88" s="74" t="s">
        <v>456</v>
      </c>
      <c r="J88" s="77" t="s">
        <v>677</v>
      </c>
      <c r="K88" s="74" t="s">
        <v>678</v>
      </c>
      <c r="L88" s="78" t="s">
        <v>140</v>
      </c>
      <c r="M88" s="79" t="s">
        <v>679</v>
      </c>
      <c r="N88" s="80">
        <v>45908</v>
      </c>
      <c r="O88" s="81">
        <v>45910</v>
      </c>
      <c r="P88" s="82" t="s">
        <v>239</v>
      </c>
      <c r="Q88" s="83" t="s">
        <v>381</v>
      </c>
      <c r="R88" s="72" t="s">
        <v>143</v>
      </c>
      <c r="S88" s="84" t="s">
        <v>680</v>
      </c>
      <c r="T88" s="75" t="s">
        <v>145</v>
      </c>
      <c r="U88" s="72" t="s">
        <v>681</v>
      </c>
      <c r="V88" s="77" t="s">
        <v>167</v>
      </c>
      <c r="W88" s="85" t="s">
        <v>159</v>
      </c>
      <c r="X88" s="75" t="s">
        <v>627</v>
      </c>
      <c r="Y88" s="72">
        <v>0</v>
      </c>
      <c r="Z88" s="72">
        <v>0</v>
      </c>
      <c r="AA88" s="72">
        <v>0</v>
      </c>
      <c r="AB88" s="48">
        <f>IF(V88="TIPO I",'BASE DE LIQUIDACION 2025'!$B$3,'BASE DE LIQUIDACION 2025'!$B$4)</f>
        <v>11251.22416</v>
      </c>
      <c r="AC88" s="48">
        <f>IF(V88="TIPO I",'BASE DE LIQUIDACION 2025'!$C$3,'BASE DE LIQUIDACION 2025'!$C$4)</f>
        <v>126317.12212</v>
      </c>
      <c r="AD88" s="48">
        <f>IF(V88="TIPO I",'BASE DE LIQUIDACION 2025'!$D$3,'BASE DE LIQUIDACION 2025'!$D$4)</f>
        <v>110808.27512000001</v>
      </c>
      <c r="AE88" s="52">
        <f t="shared" si="2"/>
        <v>0</v>
      </c>
    </row>
    <row r="89" spans="1:31" ht="13.15">
      <c r="A89" s="72" t="s">
        <v>176</v>
      </c>
      <c r="B89" s="44" t="str">
        <f>VLOOKUP(A89,'CENTRO DE COSTOS'!A:D,4,FALSE)</f>
        <v>JOSE MAURICIO HERNANDEZ ROJAS</v>
      </c>
      <c r="C89" s="44" t="str">
        <f>VLOOKUP(A89,'CENTRO DE COSTOS'!A:D,2,FALSE)</f>
        <v>0004-0001</v>
      </c>
      <c r="D89" s="72">
        <v>23855</v>
      </c>
      <c r="E89" s="73" t="s">
        <v>682</v>
      </c>
      <c r="F89" s="74">
        <v>75531</v>
      </c>
      <c r="G89" s="75" t="s">
        <v>135</v>
      </c>
      <c r="H89" s="76" t="s">
        <v>369</v>
      </c>
      <c r="I89" s="74" t="s">
        <v>178</v>
      </c>
      <c r="J89" s="77" t="s">
        <v>683</v>
      </c>
      <c r="K89" s="74" t="s">
        <v>684</v>
      </c>
      <c r="L89" s="78" t="s">
        <v>140</v>
      </c>
      <c r="M89" s="79" t="s">
        <v>685</v>
      </c>
      <c r="N89" s="80">
        <v>45912</v>
      </c>
      <c r="O89" s="81">
        <v>45917</v>
      </c>
      <c r="P89" s="82" t="s">
        <v>239</v>
      </c>
      <c r="Q89" s="83" t="s">
        <v>381</v>
      </c>
      <c r="R89" s="72" t="s">
        <v>143</v>
      </c>
      <c r="S89" s="84" t="s">
        <v>686</v>
      </c>
      <c r="T89" s="75" t="s">
        <v>145</v>
      </c>
      <c r="U89" s="72" t="s">
        <v>687</v>
      </c>
      <c r="V89" s="77" t="s">
        <v>158</v>
      </c>
      <c r="W89" s="85" t="s">
        <v>159</v>
      </c>
      <c r="X89" s="75" t="s">
        <v>183</v>
      </c>
      <c r="Y89" s="72">
        <v>0</v>
      </c>
      <c r="Z89" s="72">
        <v>0</v>
      </c>
      <c r="AA89" s="72">
        <v>0</v>
      </c>
      <c r="AB89" s="48">
        <f>IF(V89="TIPO I",'BASE DE LIQUIDACION 2025'!$B$3,'BASE DE LIQUIDACION 2025'!$B$4)</f>
        <v>11251.22416</v>
      </c>
      <c r="AC89" s="48">
        <f>IF(V89="TIPO I",'BASE DE LIQUIDACION 2025'!$C$3,'BASE DE LIQUIDACION 2025'!$C$4)</f>
        <v>126317.12212</v>
      </c>
      <c r="AD89" s="48">
        <f>IF(V89="TIPO I",'BASE DE LIQUIDACION 2025'!$D$3,'BASE DE LIQUIDACION 2025'!$D$4)</f>
        <v>110808.27512000001</v>
      </c>
      <c r="AE89" s="52">
        <f t="shared" si="2"/>
        <v>0</v>
      </c>
    </row>
    <row r="90" spans="1:31" ht="13.15">
      <c r="A90" s="72" t="s">
        <v>267</v>
      </c>
      <c r="B90" s="44" t="str">
        <f>VLOOKUP(A90,'CENTRO DE COSTOS'!A:D,4,FALSE)</f>
        <v>JUAN SEBASTIÁN RÍOS CASTRILLÓN</v>
      </c>
      <c r="C90" s="44" t="str">
        <f>VLOOKUP(A90,'CENTRO DE COSTOS'!A:D,2,FALSE)</f>
        <v>0004-0005</v>
      </c>
      <c r="D90" s="72">
        <v>5001</v>
      </c>
      <c r="E90" s="73" t="s">
        <v>688</v>
      </c>
      <c r="F90" s="74">
        <v>81488</v>
      </c>
      <c r="G90" s="75" t="s">
        <v>135</v>
      </c>
      <c r="H90" s="76" t="s">
        <v>235</v>
      </c>
      <c r="I90" s="74" t="s">
        <v>253</v>
      </c>
      <c r="J90" s="77" t="s">
        <v>267</v>
      </c>
      <c r="K90" s="74" t="s">
        <v>689</v>
      </c>
      <c r="L90" s="78" t="s">
        <v>140</v>
      </c>
      <c r="M90" s="79" t="s">
        <v>690</v>
      </c>
      <c r="N90" s="80">
        <v>45912</v>
      </c>
      <c r="O90" s="81">
        <v>45916</v>
      </c>
      <c r="P90" s="82" t="s">
        <v>239</v>
      </c>
      <c r="Q90" s="83" t="s">
        <v>381</v>
      </c>
      <c r="R90" s="72" t="s">
        <v>143</v>
      </c>
      <c r="S90" s="84" t="s">
        <v>691</v>
      </c>
      <c r="T90" s="75" t="s">
        <v>145</v>
      </c>
      <c r="U90" s="72" t="s">
        <v>692</v>
      </c>
      <c r="V90" s="77" t="s">
        <v>55</v>
      </c>
      <c r="W90" s="85" t="s">
        <v>159</v>
      </c>
      <c r="X90" s="75" t="s">
        <v>377</v>
      </c>
      <c r="Y90" s="72">
        <v>1</v>
      </c>
      <c r="Z90" s="72">
        <v>1</v>
      </c>
      <c r="AA90" s="72">
        <v>1</v>
      </c>
      <c r="AB90" s="48">
        <f>IF(V90="TIPO I",'BASE DE LIQUIDACION 2025'!$B$3,'BASE DE LIQUIDACION 2025'!$B$4)</f>
        <v>11251.22416</v>
      </c>
      <c r="AC90" s="48">
        <f>IF(V90="TIPO I",'BASE DE LIQUIDACION 2025'!$C$3,'BASE DE LIQUIDACION 2025'!$C$4)</f>
        <v>126317.12212</v>
      </c>
      <c r="AD90" s="48">
        <f>IF(V90="TIPO I",'BASE DE LIQUIDACION 2025'!$D$3,'BASE DE LIQUIDACION 2025'!$D$4)</f>
        <v>57411.974240000003</v>
      </c>
      <c r="AE90" s="52">
        <f t="shared" si="2"/>
        <v>194980.32052000001</v>
      </c>
    </row>
    <row r="91" spans="1:31" ht="13.15">
      <c r="A91" s="72" t="s">
        <v>267</v>
      </c>
      <c r="B91" s="44" t="str">
        <f>VLOOKUP(A91,'CENTRO DE COSTOS'!A:D,4,FALSE)</f>
        <v>JUAN SEBASTIÁN RÍOS CASTRILLÓN</v>
      </c>
      <c r="C91" s="44" t="str">
        <f>VLOOKUP(A91,'CENTRO DE COSTOS'!A:D,2,FALSE)</f>
        <v>0004-0005</v>
      </c>
      <c r="D91" s="72">
        <v>5001</v>
      </c>
      <c r="E91" s="73" t="s">
        <v>693</v>
      </c>
      <c r="F91" s="74">
        <v>81489</v>
      </c>
      <c r="G91" s="75" t="s">
        <v>135</v>
      </c>
      <c r="H91" s="76" t="s">
        <v>235</v>
      </c>
      <c r="I91" s="74" t="s">
        <v>253</v>
      </c>
      <c r="J91" s="77" t="s">
        <v>267</v>
      </c>
      <c r="K91" s="74" t="s">
        <v>694</v>
      </c>
      <c r="L91" s="78" t="s">
        <v>140</v>
      </c>
      <c r="M91" s="79" t="s">
        <v>695</v>
      </c>
      <c r="N91" s="80">
        <v>45912</v>
      </c>
      <c r="O91" s="81">
        <v>45916</v>
      </c>
      <c r="P91" s="82" t="s">
        <v>239</v>
      </c>
      <c r="Q91" s="83" t="s">
        <v>381</v>
      </c>
      <c r="R91" s="72" t="s">
        <v>143</v>
      </c>
      <c r="S91" s="84" t="s">
        <v>691</v>
      </c>
      <c r="T91" s="75" t="s">
        <v>145</v>
      </c>
      <c r="U91" s="72" t="s">
        <v>696</v>
      </c>
      <c r="V91" s="77" t="s">
        <v>55</v>
      </c>
      <c r="W91" s="85" t="s">
        <v>159</v>
      </c>
      <c r="X91" s="75" t="s">
        <v>377</v>
      </c>
      <c r="Y91" s="72">
        <v>1</v>
      </c>
      <c r="Z91" s="72">
        <v>1</v>
      </c>
      <c r="AA91" s="72">
        <v>1</v>
      </c>
      <c r="AB91" s="48">
        <f>IF(V91="TIPO I",'BASE DE LIQUIDACION 2025'!$B$3,'BASE DE LIQUIDACION 2025'!$B$4)</f>
        <v>11251.22416</v>
      </c>
      <c r="AC91" s="48">
        <f>IF(V91="TIPO I",'BASE DE LIQUIDACION 2025'!$C$3,'BASE DE LIQUIDACION 2025'!$C$4)</f>
        <v>126317.12212</v>
      </c>
      <c r="AD91" s="48">
        <f>IF(V91="TIPO I",'BASE DE LIQUIDACION 2025'!$D$3,'BASE DE LIQUIDACION 2025'!$D$4)</f>
        <v>57411.974240000003</v>
      </c>
      <c r="AE91" s="52">
        <f t="shared" si="2"/>
        <v>194980.32052000001</v>
      </c>
    </row>
    <row r="92" spans="1:31" ht="13.15">
      <c r="A92" s="72" t="s">
        <v>267</v>
      </c>
      <c r="B92" s="44" t="str">
        <f>VLOOKUP(A92,'CENTRO DE COSTOS'!A:D,4,FALSE)</f>
        <v>JUAN SEBASTIÁN RÍOS CASTRILLÓN</v>
      </c>
      <c r="C92" s="44" t="str">
        <f>VLOOKUP(A92,'CENTRO DE COSTOS'!A:D,2,FALSE)</f>
        <v>0004-0005</v>
      </c>
      <c r="D92" s="72">
        <v>5088</v>
      </c>
      <c r="E92" s="73" t="s">
        <v>697</v>
      </c>
      <c r="F92" s="74">
        <v>81486</v>
      </c>
      <c r="G92" s="75" t="s">
        <v>135</v>
      </c>
      <c r="H92" s="76" t="s">
        <v>235</v>
      </c>
      <c r="I92" s="74" t="s">
        <v>253</v>
      </c>
      <c r="J92" s="77" t="s">
        <v>400</v>
      </c>
      <c r="K92" s="74" t="s">
        <v>698</v>
      </c>
      <c r="L92" s="78" t="s">
        <v>140</v>
      </c>
      <c r="M92" s="79" t="s">
        <v>699</v>
      </c>
      <c r="N92" s="80">
        <v>45912</v>
      </c>
      <c r="O92" s="81">
        <v>45916</v>
      </c>
      <c r="P92" s="82" t="s">
        <v>239</v>
      </c>
      <c r="Q92" s="83" t="s">
        <v>381</v>
      </c>
      <c r="R92" s="72" t="s">
        <v>143</v>
      </c>
      <c r="S92" s="84" t="s">
        <v>691</v>
      </c>
      <c r="T92" s="75" t="s">
        <v>145</v>
      </c>
      <c r="U92" s="72" t="s">
        <v>700</v>
      </c>
      <c r="V92" s="77" t="s">
        <v>55</v>
      </c>
      <c r="W92" s="85" t="s">
        <v>159</v>
      </c>
      <c r="X92" s="75" t="s">
        <v>701</v>
      </c>
      <c r="Y92" s="72">
        <v>1</v>
      </c>
      <c r="Z92" s="72">
        <v>1</v>
      </c>
      <c r="AA92" s="72">
        <v>1</v>
      </c>
      <c r="AB92" s="48">
        <f>IF(V92="TIPO I",'BASE DE LIQUIDACION 2025'!$B$3,'BASE DE LIQUIDACION 2025'!$B$4)</f>
        <v>11251.22416</v>
      </c>
      <c r="AC92" s="48">
        <f>IF(V92="TIPO I",'BASE DE LIQUIDACION 2025'!$C$3,'BASE DE LIQUIDACION 2025'!$C$4)</f>
        <v>126317.12212</v>
      </c>
      <c r="AD92" s="48">
        <f>IF(V92="TIPO I",'BASE DE LIQUIDACION 2025'!$D$3,'BASE DE LIQUIDACION 2025'!$D$4)</f>
        <v>57411.974240000003</v>
      </c>
      <c r="AE92" s="52">
        <f t="shared" si="2"/>
        <v>194980.32052000001</v>
      </c>
    </row>
    <row r="93" spans="1:31" ht="13.15">
      <c r="A93" s="72" t="s">
        <v>267</v>
      </c>
      <c r="B93" s="44" t="str">
        <f>VLOOKUP(A93,'CENTRO DE COSTOS'!A:D,4,FALSE)</f>
        <v>JUAN SEBASTIÁN RÍOS CASTRILLÓN</v>
      </c>
      <c r="C93" s="44" t="str">
        <f>VLOOKUP(A93,'CENTRO DE COSTOS'!A:D,2,FALSE)</f>
        <v>0004-0005</v>
      </c>
      <c r="D93" s="72">
        <v>5360</v>
      </c>
      <c r="E93" s="73" t="s">
        <v>702</v>
      </c>
      <c r="F93" s="74">
        <v>81470</v>
      </c>
      <c r="G93" s="75" t="s">
        <v>135</v>
      </c>
      <c r="H93" s="76" t="s">
        <v>235</v>
      </c>
      <c r="I93" s="74" t="s">
        <v>253</v>
      </c>
      <c r="J93" s="77" t="s">
        <v>370</v>
      </c>
      <c r="K93" s="74" t="s">
        <v>703</v>
      </c>
      <c r="L93" s="78" t="s">
        <v>140</v>
      </c>
      <c r="M93" s="79" t="s">
        <v>704</v>
      </c>
      <c r="N93" s="80">
        <v>45912</v>
      </c>
      <c r="O93" s="81">
        <v>45916</v>
      </c>
      <c r="P93" s="82" t="s">
        <v>239</v>
      </c>
      <c r="Q93" s="83" t="s">
        <v>381</v>
      </c>
      <c r="R93" s="72" t="s">
        <v>143</v>
      </c>
      <c r="S93" s="84" t="s">
        <v>691</v>
      </c>
      <c r="T93" s="75" t="s">
        <v>145</v>
      </c>
      <c r="U93" s="72" t="s">
        <v>705</v>
      </c>
      <c r="V93" s="77" t="s">
        <v>55</v>
      </c>
      <c r="W93" s="85" t="s">
        <v>159</v>
      </c>
      <c r="X93" s="75" t="s">
        <v>706</v>
      </c>
      <c r="Y93" s="72">
        <v>1</v>
      </c>
      <c r="Z93" s="72">
        <v>1</v>
      </c>
      <c r="AA93" s="72">
        <v>1</v>
      </c>
      <c r="AB93" s="48">
        <f>IF(V93="TIPO I",'BASE DE LIQUIDACION 2025'!$B$3,'BASE DE LIQUIDACION 2025'!$B$4)</f>
        <v>11251.22416</v>
      </c>
      <c r="AC93" s="48">
        <f>IF(V93="TIPO I",'BASE DE LIQUIDACION 2025'!$C$3,'BASE DE LIQUIDACION 2025'!$C$4)</f>
        <v>126317.12212</v>
      </c>
      <c r="AD93" s="48">
        <f>IF(V93="TIPO I",'BASE DE LIQUIDACION 2025'!$D$3,'BASE DE LIQUIDACION 2025'!$D$4)</f>
        <v>57411.974240000003</v>
      </c>
      <c r="AE93" s="52">
        <f t="shared" si="2"/>
        <v>194980.32052000001</v>
      </c>
    </row>
    <row r="94" spans="1:31" ht="13.15">
      <c r="A94" s="72" t="s">
        <v>267</v>
      </c>
      <c r="B94" s="44" t="str">
        <f>VLOOKUP(A94,'CENTRO DE COSTOS'!A:D,4,FALSE)</f>
        <v>JUAN SEBASTIÁN RÍOS CASTRILLÓN</v>
      </c>
      <c r="C94" s="44" t="str">
        <f>VLOOKUP(A94,'CENTRO DE COSTOS'!A:D,2,FALSE)</f>
        <v>0004-0005</v>
      </c>
      <c r="D94" s="72">
        <v>5360</v>
      </c>
      <c r="E94" s="73" t="s">
        <v>707</v>
      </c>
      <c r="F94" s="74">
        <v>81471</v>
      </c>
      <c r="G94" s="75" t="s">
        <v>135</v>
      </c>
      <c r="H94" s="76" t="s">
        <v>235</v>
      </c>
      <c r="I94" s="74" t="s">
        <v>253</v>
      </c>
      <c r="J94" s="77" t="s">
        <v>370</v>
      </c>
      <c r="K94" s="74" t="s">
        <v>708</v>
      </c>
      <c r="L94" s="78" t="s">
        <v>140</v>
      </c>
      <c r="M94" s="79" t="s">
        <v>709</v>
      </c>
      <c r="N94" s="80">
        <v>45912</v>
      </c>
      <c r="O94" s="81">
        <v>45916</v>
      </c>
      <c r="P94" s="82" t="s">
        <v>239</v>
      </c>
      <c r="Q94" s="83" t="s">
        <v>381</v>
      </c>
      <c r="R94" s="72" t="s">
        <v>143</v>
      </c>
      <c r="S94" s="84" t="s">
        <v>691</v>
      </c>
      <c r="T94" s="75" t="s">
        <v>145</v>
      </c>
      <c r="U94" s="72" t="s">
        <v>710</v>
      </c>
      <c r="V94" s="77" t="s">
        <v>55</v>
      </c>
      <c r="W94" s="85" t="s">
        <v>159</v>
      </c>
      <c r="X94" s="75" t="s">
        <v>706</v>
      </c>
      <c r="Y94" s="72">
        <v>1</v>
      </c>
      <c r="Z94" s="72">
        <v>1</v>
      </c>
      <c r="AA94" s="72">
        <v>1</v>
      </c>
      <c r="AB94" s="48">
        <f>IF(V94="TIPO I",'BASE DE LIQUIDACION 2025'!$B$3,'BASE DE LIQUIDACION 2025'!$B$4)</f>
        <v>11251.22416</v>
      </c>
      <c r="AC94" s="48">
        <f>IF(V94="TIPO I",'BASE DE LIQUIDACION 2025'!$C$3,'BASE DE LIQUIDACION 2025'!$C$4)</f>
        <v>126317.12212</v>
      </c>
      <c r="AD94" s="48">
        <f>IF(V94="TIPO I",'BASE DE LIQUIDACION 2025'!$D$3,'BASE DE LIQUIDACION 2025'!$D$4)</f>
        <v>57411.974240000003</v>
      </c>
      <c r="AE94" s="52">
        <f t="shared" si="2"/>
        <v>194980.32052000001</v>
      </c>
    </row>
    <row r="95" spans="1:31" ht="13.15">
      <c r="A95" s="72" t="s">
        <v>711</v>
      </c>
      <c r="B95" s="44" t="str">
        <f>VLOOKUP(A95,'CENTRO DE COSTOS'!A:D,4,FALSE)</f>
        <v>JOSE MAURICIO HERNANDEZ ROJAS</v>
      </c>
      <c r="C95" s="44" t="str">
        <f>VLOOKUP(A95,'CENTRO DE COSTOS'!A:D,2,FALSE)</f>
        <v>0004-0001</v>
      </c>
      <c r="D95" s="72">
        <v>13001</v>
      </c>
      <c r="E95" s="73" t="s">
        <v>712</v>
      </c>
      <c r="F95" s="74">
        <v>81468</v>
      </c>
      <c r="G95" s="75" t="s">
        <v>135</v>
      </c>
      <c r="H95" s="76" t="s">
        <v>235</v>
      </c>
      <c r="I95" s="74" t="s">
        <v>713</v>
      </c>
      <c r="J95" s="77" t="s">
        <v>711</v>
      </c>
      <c r="K95" s="74" t="s">
        <v>714</v>
      </c>
      <c r="L95" s="78" t="s">
        <v>140</v>
      </c>
      <c r="M95" s="79" t="s">
        <v>715</v>
      </c>
      <c r="N95" s="80">
        <v>45912</v>
      </c>
      <c r="O95" s="81">
        <v>45915</v>
      </c>
      <c r="P95" s="82" t="s">
        <v>239</v>
      </c>
      <c r="Q95" s="83" t="s">
        <v>381</v>
      </c>
      <c r="R95" s="72" t="s">
        <v>143</v>
      </c>
      <c r="S95" s="88" t="s">
        <v>716</v>
      </c>
      <c r="T95" s="75" t="s">
        <v>145</v>
      </c>
      <c r="U95" s="72" t="s">
        <v>717</v>
      </c>
      <c r="V95" s="77" t="s">
        <v>55</v>
      </c>
      <c r="W95" s="85" t="s">
        <v>159</v>
      </c>
      <c r="X95" s="75" t="s">
        <v>718</v>
      </c>
      <c r="Y95" s="72">
        <v>1</v>
      </c>
      <c r="Z95" s="72">
        <v>1</v>
      </c>
      <c r="AA95" s="72">
        <v>1</v>
      </c>
      <c r="AB95" s="48">
        <f>IF(V95="TIPO I",'BASE DE LIQUIDACION 2025'!$B$3,'BASE DE LIQUIDACION 2025'!$B$4)</f>
        <v>11251.22416</v>
      </c>
      <c r="AC95" s="48">
        <f>IF(V95="TIPO I",'BASE DE LIQUIDACION 2025'!$C$3,'BASE DE LIQUIDACION 2025'!$C$4)</f>
        <v>126317.12212</v>
      </c>
      <c r="AD95" s="48">
        <f>IF(V95="TIPO I",'BASE DE LIQUIDACION 2025'!$D$3,'BASE DE LIQUIDACION 2025'!$D$4)</f>
        <v>57411.974240000003</v>
      </c>
      <c r="AE95" s="52">
        <f t="shared" si="2"/>
        <v>194980.32052000001</v>
      </c>
    </row>
    <row r="96" spans="1:31" ht="13.15">
      <c r="A96" s="72" t="s">
        <v>150</v>
      </c>
      <c r="B96" s="44" t="str">
        <f>VLOOKUP(A96,'CENTRO DE COSTOS'!A:D,4,FALSE)</f>
        <v>DIEGO FERNANDO HENAO CARDONA</v>
      </c>
      <c r="C96" s="44" t="str">
        <f>VLOOKUP(A96,'CENTRO DE COSTOS'!A:D,2,FALSE)</f>
        <v>0004-0003</v>
      </c>
      <c r="D96" s="72">
        <v>19001</v>
      </c>
      <c r="E96" s="73" t="s">
        <v>719</v>
      </c>
      <c r="F96" s="74">
        <v>81483</v>
      </c>
      <c r="G96" s="75" t="s">
        <v>135</v>
      </c>
      <c r="H96" s="76" t="s">
        <v>235</v>
      </c>
      <c r="I96" s="74" t="s">
        <v>152</v>
      </c>
      <c r="J96" s="77" t="s">
        <v>720</v>
      </c>
      <c r="K96" s="74" t="s">
        <v>721</v>
      </c>
      <c r="L96" s="78" t="s">
        <v>140</v>
      </c>
      <c r="M96" s="79" t="s">
        <v>722</v>
      </c>
      <c r="N96" s="80">
        <v>45912</v>
      </c>
      <c r="O96" s="81">
        <v>45915</v>
      </c>
      <c r="P96" s="82" t="s">
        <v>239</v>
      </c>
      <c r="Q96" s="83" t="s">
        <v>381</v>
      </c>
      <c r="R96" s="72" t="s">
        <v>143</v>
      </c>
      <c r="S96" s="88" t="s">
        <v>716</v>
      </c>
      <c r="T96" s="75" t="s">
        <v>145</v>
      </c>
      <c r="U96" s="72" t="s">
        <v>723</v>
      </c>
      <c r="V96" s="77" t="s">
        <v>158</v>
      </c>
      <c r="W96" s="85" t="s">
        <v>159</v>
      </c>
      <c r="X96" s="75" t="s">
        <v>160</v>
      </c>
      <c r="Y96" s="72">
        <v>1</v>
      </c>
      <c r="Z96" s="72">
        <v>1</v>
      </c>
      <c r="AA96" s="72">
        <v>1</v>
      </c>
      <c r="AB96" s="48">
        <f>IF(V96="TIPO I",'BASE DE LIQUIDACION 2025'!$B$3,'BASE DE LIQUIDACION 2025'!$B$4)</f>
        <v>11251.22416</v>
      </c>
      <c r="AC96" s="48">
        <f>IF(V96="TIPO I",'BASE DE LIQUIDACION 2025'!$C$3,'BASE DE LIQUIDACION 2025'!$C$4)</f>
        <v>126317.12212</v>
      </c>
      <c r="AD96" s="48">
        <f>IF(V96="TIPO I",'BASE DE LIQUIDACION 2025'!$D$3,'BASE DE LIQUIDACION 2025'!$D$4)</f>
        <v>110808.27512000001</v>
      </c>
      <c r="AE96" s="52">
        <f t="shared" si="2"/>
        <v>248376.6214</v>
      </c>
    </row>
    <row r="97" spans="1:31" ht="13.15">
      <c r="A97" s="72" t="s">
        <v>432</v>
      </c>
      <c r="B97" s="44" t="str">
        <f>VLOOKUP(A97,'CENTRO DE COSTOS'!A:D,4,FALSE)</f>
        <v>WILLIAM ASDRUBAL ROZO ROZO</v>
      </c>
      <c r="C97" s="44" t="str">
        <f>VLOOKUP(A97,'CENTRO DE COSTOS'!A:D,2,FALSE)</f>
        <v>0004-0004</v>
      </c>
      <c r="D97" s="72">
        <v>25214</v>
      </c>
      <c r="E97" s="73" t="s">
        <v>724</v>
      </c>
      <c r="F97" s="74">
        <v>81472</v>
      </c>
      <c r="G97" s="75" t="s">
        <v>135</v>
      </c>
      <c r="H97" s="76" t="s">
        <v>235</v>
      </c>
      <c r="I97" s="74" t="s">
        <v>434</v>
      </c>
      <c r="J97" s="77" t="s">
        <v>725</v>
      </c>
      <c r="K97" s="74" t="s">
        <v>726</v>
      </c>
      <c r="L97" s="78" t="s">
        <v>140</v>
      </c>
      <c r="M97" s="79" t="s">
        <v>727</v>
      </c>
      <c r="N97" s="80">
        <v>45912</v>
      </c>
      <c r="O97" s="81">
        <v>45916</v>
      </c>
      <c r="P97" s="82" t="s">
        <v>239</v>
      </c>
      <c r="Q97" s="83" t="s">
        <v>381</v>
      </c>
      <c r="R97" s="72" t="s">
        <v>143</v>
      </c>
      <c r="S97" s="84" t="s">
        <v>691</v>
      </c>
      <c r="T97" s="75" t="s">
        <v>145</v>
      </c>
      <c r="U97" s="72" t="s">
        <v>728</v>
      </c>
      <c r="V97" s="77" t="s">
        <v>199</v>
      </c>
      <c r="W97" s="85" t="s">
        <v>159</v>
      </c>
      <c r="X97" s="75" t="s">
        <v>439</v>
      </c>
      <c r="Y97" s="72">
        <v>1</v>
      </c>
      <c r="Z97" s="72">
        <v>1</v>
      </c>
      <c r="AA97" s="72">
        <v>1</v>
      </c>
      <c r="AB97" s="48">
        <f>IF(V97="TIPO I",'BASE DE LIQUIDACION 2025'!$B$3,'BASE DE LIQUIDACION 2025'!$B$4)</f>
        <v>11251.22416</v>
      </c>
      <c r="AC97" s="48">
        <f>IF(V97="TIPO I",'BASE DE LIQUIDACION 2025'!$C$3,'BASE DE LIQUIDACION 2025'!$C$4)</f>
        <v>126317.12212</v>
      </c>
      <c r="AD97" s="48">
        <f>IF(V97="TIPO I",'BASE DE LIQUIDACION 2025'!$D$3,'BASE DE LIQUIDACION 2025'!$D$4)</f>
        <v>110808.27512000001</v>
      </c>
      <c r="AE97" s="52">
        <f t="shared" si="2"/>
        <v>248376.6214</v>
      </c>
    </row>
    <row r="98" spans="1:31" ht="13.15">
      <c r="A98" s="72" t="s">
        <v>432</v>
      </c>
      <c r="B98" s="44" t="str">
        <f>VLOOKUP(A98,'CENTRO DE COSTOS'!A:D,4,FALSE)</f>
        <v>WILLIAM ASDRUBAL ROZO ROZO</v>
      </c>
      <c r="C98" s="44" t="str">
        <f>VLOOKUP(A98,'CENTRO DE COSTOS'!A:D,2,FALSE)</f>
        <v>0004-0004</v>
      </c>
      <c r="D98" s="72">
        <v>25473</v>
      </c>
      <c r="E98" s="73" t="s">
        <v>729</v>
      </c>
      <c r="F98" s="74">
        <v>81478</v>
      </c>
      <c r="G98" s="75" t="s">
        <v>135</v>
      </c>
      <c r="H98" s="76" t="s">
        <v>235</v>
      </c>
      <c r="I98" s="74" t="s">
        <v>434</v>
      </c>
      <c r="J98" s="77" t="s">
        <v>730</v>
      </c>
      <c r="K98" s="74" t="s">
        <v>731</v>
      </c>
      <c r="L98" s="78" t="s">
        <v>140</v>
      </c>
      <c r="M98" s="79" t="s">
        <v>732</v>
      </c>
      <c r="N98" s="80">
        <v>45912</v>
      </c>
      <c r="O98" s="81">
        <v>45915</v>
      </c>
      <c r="P98" s="82" t="s">
        <v>239</v>
      </c>
      <c r="Q98" s="83" t="s">
        <v>381</v>
      </c>
      <c r="R98" s="72" t="s">
        <v>143</v>
      </c>
      <c r="S98" s="88" t="s">
        <v>716</v>
      </c>
      <c r="T98" s="75" t="s">
        <v>145</v>
      </c>
      <c r="U98" s="72" t="s">
        <v>733</v>
      </c>
      <c r="V98" s="77" t="s">
        <v>55</v>
      </c>
      <c r="W98" s="85" t="s">
        <v>159</v>
      </c>
      <c r="X98" s="75" t="s">
        <v>592</v>
      </c>
      <c r="Y98" s="72">
        <v>1</v>
      </c>
      <c r="Z98" s="72">
        <v>1</v>
      </c>
      <c r="AA98" s="72">
        <v>1</v>
      </c>
      <c r="AB98" s="48">
        <f>IF(V98="TIPO I",'BASE DE LIQUIDACION 2025'!$B$3,'BASE DE LIQUIDACION 2025'!$B$4)</f>
        <v>11251.22416</v>
      </c>
      <c r="AC98" s="48">
        <f>IF(V98="TIPO I",'BASE DE LIQUIDACION 2025'!$C$3,'BASE DE LIQUIDACION 2025'!$C$4)</f>
        <v>126317.12212</v>
      </c>
      <c r="AD98" s="48">
        <f>IF(V98="TIPO I",'BASE DE LIQUIDACION 2025'!$D$3,'BASE DE LIQUIDACION 2025'!$D$4)</f>
        <v>57411.974240000003</v>
      </c>
      <c r="AE98" s="52">
        <f t="shared" si="2"/>
        <v>194980.32052000001</v>
      </c>
    </row>
    <row r="99" spans="1:31" ht="13.15">
      <c r="A99" s="72" t="s">
        <v>454</v>
      </c>
      <c r="B99" s="44" t="str">
        <f>VLOOKUP(A99,'CENTRO DE COSTOS'!A:D,4,FALSE)</f>
        <v>JOSE MAURICIO HERNANDEZ ROJAS</v>
      </c>
      <c r="C99" s="44" t="str">
        <f>VLOOKUP(A99,'CENTRO DE COSTOS'!A:D,2,FALSE)</f>
        <v>0004-0001</v>
      </c>
      <c r="D99" s="72">
        <v>44430</v>
      </c>
      <c r="E99" s="73" t="s">
        <v>734</v>
      </c>
      <c r="F99" s="74">
        <v>81477</v>
      </c>
      <c r="G99" s="75" t="s">
        <v>135</v>
      </c>
      <c r="H99" s="76" t="s">
        <v>235</v>
      </c>
      <c r="I99" s="74" t="s">
        <v>735</v>
      </c>
      <c r="J99" s="77" t="s">
        <v>736</v>
      </c>
      <c r="K99" s="74" t="s">
        <v>737</v>
      </c>
      <c r="L99" s="78" t="s">
        <v>140</v>
      </c>
      <c r="M99" s="79" t="s">
        <v>738</v>
      </c>
      <c r="N99" s="80">
        <v>45912</v>
      </c>
      <c r="O99" s="81">
        <v>45916</v>
      </c>
      <c r="P99" s="82" t="s">
        <v>239</v>
      </c>
      <c r="Q99" s="83" t="s">
        <v>381</v>
      </c>
      <c r="R99" s="72" t="s">
        <v>143</v>
      </c>
      <c r="S99" s="84" t="s">
        <v>691</v>
      </c>
      <c r="T99" s="75" t="s">
        <v>145</v>
      </c>
      <c r="U99" s="72" t="s">
        <v>739</v>
      </c>
      <c r="V99" s="77" t="s">
        <v>167</v>
      </c>
      <c r="W99" s="85" t="s">
        <v>159</v>
      </c>
      <c r="X99" s="75" t="s">
        <v>460</v>
      </c>
      <c r="Y99" s="72">
        <v>1</v>
      </c>
      <c r="Z99" s="72">
        <v>1</v>
      </c>
      <c r="AA99" s="72">
        <v>1</v>
      </c>
      <c r="AB99" s="48">
        <f>IF(V99="TIPO I",'BASE DE LIQUIDACION 2025'!$B$3,'BASE DE LIQUIDACION 2025'!$B$4)</f>
        <v>11251.22416</v>
      </c>
      <c r="AC99" s="48">
        <f>IF(V99="TIPO I",'BASE DE LIQUIDACION 2025'!$C$3,'BASE DE LIQUIDACION 2025'!$C$4)</f>
        <v>126317.12212</v>
      </c>
      <c r="AD99" s="48">
        <f>IF(V99="TIPO I",'BASE DE LIQUIDACION 2025'!$D$3,'BASE DE LIQUIDACION 2025'!$D$4)</f>
        <v>110808.27512000001</v>
      </c>
      <c r="AE99" s="52">
        <f t="shared" si="2"/>
        <v>248376.6214</v>
      </c>
    </row>
    <row r="100" spans="1:31" ht="13.15">
      <c r="A100" s="72" t="s">
        <v>133</v>
      </c>
      <c r="B100" s="44" t="str">
        <f>VLOOKUP(A100,'CENTRO DE COSTOS'!A:D,4,FALSE)</f>
        <v>DIEGO FERNANDO HENAO CARDONA</v>
      </c>
      <c r="C100" s="44" t="str">
        <f>VLOOKUP(A100,'CENTRO DE COSTOS'!A:D,2,FALSE)</f>
        <v>0004-0003</v>
      </c>
      <c r="D100" s="72">
        <v>52001</v>
      </c>
      <c r="E100" s="73" t="s">
        <v>740</v>
      </c>
      <c r="F100" s="74">
        <v>81479</v>
      </c>
      <c r="G100" s="75" t="s">
        <v>135</v>
      </c>
      <c r="H100" s="76" t="s">
        <v>235</v>
      </c>
      <c r="I100" s="74" t="s">
        <v>137</v>
      </c>
      <c r="J100" s="77" t="s">
        <v>133</v>
      </c>
      <c r="K100" s="74" t="s">
        <v>741</v>
      </c>
      <c r="L100" s="78" t="s">
        <v>140</v>
      </c>
      <c r="M100" s="79" t="s">
        <v>742</v>
      </c>
      <c r="N100" s="80">
        <v>45912</v>
      </c>
      <c r="O100" s="81">
        <v>45915</v>
      </c>
      <c r="P100" s="82" t="s">
        <v>239</v>
      </c>
      <c r="Q100" s="83" t="s">
        <v>381</v>
      </c>
      <c r="R100" s="72" t="s">
        <v>143</v>
      </c>
      <c r="S100" s="88" t="s">
        <v>716</v>
      </c>
      <c r="T100" s="75" t="s">
        <v>145</v>
      </c>
      <c r="U100" s="72" t="s">
        <v>743</v>
      </c>
      <c r="V100" s="77" t="s">
        <v>55</v>
      </c>
      <c r="W100" s="85" t="s">
        <v>159</v>
      </c>
      <c r="X100" s="75" t="s">
        <v>251</v>
      </c>
      <c r="Y100" s="72">
        <v>1</v>
      </c>
      <c r="Z100" s="72">
        <v>1</v>
      </c>
      <c r="AA100" s="72">
        <v>1</v>
      </c>
      <c r="AB100" s="48">
        <f>IF(V100="TIPO I",'BASE DE LIQUIDACION 2025'!$B$3,'BASE DE LIQUIDACION 2025'!$B$4)</f>
        <v>11251.22416</v>
      </c>
      <c r="AC100" s="48">
        <f>IF(V100="TIPO I",'BASE DE LIQUIDACION 2025'!$C$3,'BASE DE LIQUIDACION 2025'!$C$4)</f>
        <v>126317.12212</v>
      </c>
      <c r="AD100" s="48">
        <f>IF(V100="TIPO I",'BASE DE LIQUIDACION 2025'!$D$3,'BASE DE LIQUIDACION 2025'!$D$4)</f>
        <v>57411.974240000003</v>
      </c>
      <c r="AE100" s="52">
        <f t="shared" si="2"/>
        <v>194980.32052000001</v>
      </c>
    </row>
    <row r="101" spans="1:31" ht="13.15">
      <c r="A101" s="72" t="s">
        <v>309</v>
      </c>
      <c r="B101" s="44" t="str">
        <f>VLOOKUP(A101,'CENTRO DE COSTOS'!A:D,4,FALSE)</f>
        <v>MIGUEL JULIÁN HERNÁNDEZ GUARÍN</v>
      </c>
      <c r="C101" s="44" t="str">
        <f>VLOOKUP(A101,'CENTRO DE COSTOS'!A:D,2,FALSE)</f>
        <v>0004-0008</v>
      </c>
      <c r="D101" s="72">
        <v>54001</v>
      </c>
      <c r="E101" s="73" t="s">
        <v>744</v>
      </c>
      <c r="F101" s="74">
        <v>81473</v>
      </c>
      <c r="G101" s="75" t="s">
        <v>135</v>
      </c>
      <c r="H101" s="76" t="s">
        <v>235</v>
      </c>
      <c r="I101" s="74" t="s">
        <v>311</v>
      </c>
      <c r="J101" s="77" t="s">
        <v>309</v>
      </c>
      <c r="K101" s="74" t="s">
        <v>745</v>
      </c>
      <c r="L101" s="78" t="s">
        <v>140</v>
      </c>
      <c r="M101" s="79" t="s">
        <v>746</v>
      </c>
      <c r="N101" s="80">
        <v>45912</v>
      </c>
      <c r="O101" s="81">
        <v>45916</v>
      </c>
      <c r="P101" s="82" t="s">
        <v>239</v>
      </c>
      <c r="Q101" s="83" t="s">
        <v>381</v>
      </c>
      <c r="R101" s="72" t="s">
        <v>143</v>
      </c>
      <c r="S101" s="84" t="s">
        <v>747</v>
      </c>
      <c r="T101" s="75" t="s">
        <v>145</v>
      </c>
      <c r="U101" s="72" t="s">
        <v>748</v>
      </c>
      <c r="V101" s="77" t="s">
        <v>55</v>
      </c>
      <c r="W101" s="85" t="s">
        <v>159</v>
      </c>
      <c r="X101" s="75" t="s">
        <v>322</v>
      </c>
      <c r="Y101" s="72">
        <v>1</v>
      </c>
      <c r="Z101" s="72">
        <v>1</v>
      </c>
      <c r="AA101" s="72">
        <v>1</v>
      </c>
      <c r="AB101" s="48">
        <f>IF(V101="TIPO I",'BASE DE LIQUIDACION 2025'!$B$3,'BASE DE LIQUIDACION 2025'!$B$4)</f>
        <v>11251.22416</v>
      </c>
      <c r="AC101" s="48">
        <f>IF(V101="TIPO I",'BASE DE LIQUIDACION 2025'!$C$3,'BASE DE LIQUIDACION 2025'!$C$4)</f>
        <v>126317.12212</v>
      </c>
      <c r="AD101" s="48">
        <f>IF(V101="TIPO I",'BASE DE LIQUIDACION 2025'!$D$3,'BASE DE LIQUIDACION 2025'!$D$4)</f>
        <v>57411.974240000003</v>
      </c>
      <c r="AE101" s="52">
        <f t="shared" si="2"/>
        <v>194980.32052000001</v>
      </c>
    </row>
    <row r="102" spans="1:31" ht="13.15">
      <c r="A102" s="72" t="s">
        <v>309</v>
      </c>
      <c r="B102" s="44" t="str">
        <f>VLOOKUP(A102,'CENTRO DE COSTOS'!A:D,4,FALSE)</f>
        <v>MIGUEL JULIÁN HERNÁNDEZ GUARÍN</v>
      </c>
      <c r="C102" s="44" t="str">
        <f>VLOOKUP(A102,'CENTRO DE COSTOS'!A:D,2,FALSE)</f>
        <v>0004-0008</v>
      </c>
      <c r="D102" s="72">
        <v>54001</v>
      </c>
      <c r="E102" s="73" t="s">
        <v>749</v>
      </c>
      <c r="F102" s="74">
        <v>81474</v>
      </c>
      <c r="G102" s="75" t="s">
        <v>135</v>
      </c>
      <c r="H102" s="76" t="s">
        <v>235</v>
      </c>
      <c r="I102" s="74" t="s">
        <v>311</v>
      </c>
      <c r="J102" s="77" t="s">
        <v>309</v>
      </c>
      <c r="K102" s="74" t="s">
        <v>750</v>
      </c>
      <c r="L102" s="78" t="s">
        <v>140</v>
      </c>
      <c r="M102" s="79" t="s">
        <v>751</v>
      </c>
      <c r="N102" s="80">
        <v>45912</v>
      </c>
      <c r="O102" s="81">
        <v>45915</v>
      </c>
      <c r="P102" s="82" t="s">
        <v>239</v>
      </c>
      <c r="Q102" s="83" t="s">
        <v>381</v>
      </c>
      <c r="R102" s="72" t="s">
        <v>143</v>
      </c>
      <c r="S102" s="84" t="s">
        <v>716</v>
      </c>
      <c r="T102" s="75" t="s">
        <v>145</v>
      </c>
      <c r="U102" s="72" t="s">
        <v>752</v>
      </c>
      <c r="V102" s="77" t="s">
        <v>55</v>
      </c>
      <c r="W102" s="85" t="s">
        <v>159</v>
      </c>
      <c r="X102" s="75" t="s">
        <v>322</v>
      </c>
      <c r="Y102" s="72">
        <v>1</v>
      </c>
      <c r="Z102" s="72">
        <v>1</v>
      </c>
      <c r="AA102" s="72">
        <v>1</v>
      </c>
      <c r="AB102" s="48">
        <f>IF(V102="TIPO I",'BASE DE LIQUIDACION 2025'!$B$3,'BASE DE LIQUIDACION 2025'!$B$4)</f>
        <v>11251.22416</v>
      </c>
      <c r="AC102" s="48">
        <f>IF(V102="TIPO I",'BASE DE LIQUIDACION 2025'!$C$3,'BASE DE LIQUIDACION 2025'!$C$4)</f>
        <v>126317.12212</v>
      </c>
      <c r="AD102" s="48">
        <f>IF(V102="TIPO I",'BASE DE LIQUIDACION 2025'!$D$3,'BASE DE LIQUIDACION 2025'!$D$4)</f>
        <v>57411.974240000003</v>
      </c>
      <c r="AE102" s="52">
        <f t="shared" si="2"/>
        <v>194980.32052000001</v>
      </c>
    </row>
    <row r="103" spans="1:31" ht="13.15">
      <c r="A103" s="72" t="s">
        <v>309</v>
      </c>
      <c r="B103" s="44" t="str">
        <f>VLOOKUP(A103,'CENTRO DE COSTOS'!A:D,4,FALSE)</f>
        <v>MIGUEL JULIÁN HERNÁNDEZ GUARÍN</v>
      </c>
      <c r="C103" s="44" t="str">
        <f>VLOOKUP(A103,'CENTRO DE COSTOS'!A:D,2,FALSE)</f>
        <v>0004-0008</v>
      </c>
      <c r="D103" s="72">
        <v>54800</v>
      </c>
      <c r="E103" s="73" t="s">
        <v>753</v>
      </c>
      <c r="F103" s="74">
        <v>81484</v>
      </c>
      <c r="G103" s="75" t="s">
        <v>135</v>
      </c>
      <c r="H103" s="76" t="s">
        <v>235</v>
      </c>
      <c r="I103" s="74" t="s">
        <v>311</v>
      </c>
      <c r="J103" s="77" t="s">
        <v>754</v>
      </c>
      <c r="K103" s="74" t="s">
        <v>755</v>
      </c>
      <c r="L103" s="78" t="s">
        <v>140</v>
      </c>
      <c r="M103" s="79" t="s">
        <v>756</v>
      </c>
      <c r="N103" s="80">
        <v>45912</v>
      </c>
      <c r="O103" s="81">
        <v>45924</v>
      </c>
      <c r="P103" s="82" t="s">
        <v>239</v>
      </c>
      <c r="Q103" s="83" t="s">
        <v>381</v>
      </c>
      <c r="R103" s="72" t="s">
        <v>143</v>
      </c>
      <c r="S103" s="84" t="s">
        <v>757</v>
      </c>
      <c r="T103" s="75" t="s">
        <v>145</v>
      </c>
      <c r="U103" s="72" t="s">
        <v>758</v>
      </c>
      <c r="V103" s="77" t="s">
        <v>167</v>
      </c>
      <c r="W103" s="85" t="s">
        <v>159</v>
      </c>
      <c r="X103" s="75" t="s">
        <v>759</v>
      </c>
      <c r="Y103" s="72">
        <v>1</v>
      </c>
      <c r="Z103" s="72">
        <v>1</v>
      </c>
      <c r="AA103" s="72">
        <v>1</v>
      </c>
      <c r="AB103" s="48">
        <f>IF(V103="TIPO I",'BASE DE LIQUIDACION 2025'!$B$3,'BASE DE LIQUIDACION 2025'!$B$4)</f>
        <v>11251.22416</v>
      </c>
      <c r="AC103" s="48">
        <f>IF(V103="TIPO I",'BASE DE LIQUIDACION 2025'!$C$3,'BASE DE LIQUIDACION 2025'!$C$4)</f>
        <v>126317.12212</v>
      </c>
      <c r="AD103" s="48">
        <f>IF(V103="TIPO I",'BASE DE LIQUIDACION 2025'!$D$3,'BASE DE LIQUIDACION 2025'!$D$4)</f>
        <v>110808.27512000001</v>
      </c>
      <c r="AE103" s="52">
        <f t="shared" si="2"/>
        <v>248376.6214</v>
      </c>
    </row>
    <row r="104" spans="1:31" ht="13.15">
      <c r="A104" s="72" t="s">
        <v>168</v>
      </c>
      <c r="B104" s="44" t="str">
        <f>VLOOKUP(A104,'CENTRO DE COSTOS'!A:D,4,FALSE)</f>
        <v>DIEGO FERNANDO HENAO CARDONA</v>
      </c>
      <c r="C104" s="44" t="str">
        <f>VLOOKUP(A104,'CENTRO DE COSTOS'!A:D,2,FALSE)</f>
        <v>0004-0002</v>
      </c>
      <c r="D104" s="72">
        <v>63001</v>
      </c>
      <c r="E104" s="73" t="s">
        <v>760</v>
      </c>
      <c r="F104" s="74">
        <v>81461</v>
      </c>
      <c r="G104" s="75" t="s">
        <v>135</v>
      </c>
      <c r="H104" s="76" t="s">
        <v>235</v>
      </c>
      <c r="I104" s="74" t="s">
        <v>761</v>
      </c>
      <c r="J104" s="77" t="s">
        <v>762</v>
      </c>
      <c r="K104" s="74" t="s">
        <v>763</v>
      </c>
      <c r="L104" s="78" t="s">
        <v>140</v>
      </c>
      <c r="M104" s="79" t="s">
        <v>764</v>
      </c>
      <c r="N104" s="80">
        <v>45912</v>
      </c>
      <c r="O104" s="81">
        <v>45915</v>
      </c>
      <c r="P104" s="82" t="s">
        <v>239</v>
      </c>
      <c r="Q104" s="83" t="s">
        <v>381</v>
      </c>
      <c r="R104" s="72" t="s">
        <v>143</v>
      </c>
      <c r="S104" s="84" t="s">
        <v>716</v>
      </c>
      <c r="T104" s="75" t="s">
        <v>145</v>
      </c>
      <c r="U104" s="72" t="s">
        <v>765</v>
      </c>
      <c r="V104" s="77" t="s">
        <v>199</v>
      </c>
      <c r="W104" s="85" t="s">
        <v>159</v>
      </c>
      <c r="X104" s="75" t="s">
        <v>766</v>
      </c>
      <c r="Y104" s="72">
        <v>1</v>
      </c>
      <c r="Z104" s="72">
        <v>1</v>
      </c>
      <c r="AA104" s="72">
        <v>1</v>
      </c>
      <c r="AB104" s="48">
        <f>IF(V104="TIPO I",'BASE DE LIQUIDACION 2025'!$B$3,'BASE DE LIQUIDACION 2025'!$B$4)</f>
        <v>11251.22416</v>
      </c>
      <c r="AC104" s="48">
        <f>IF(V104="TIPO I",'BASE DE LIQUIDACION 2025'!$C$3,'BASE DE LIQUIDACION 2025'!$C$4)</f>
        <v>126317.12212</v>
      </c>
      <c r="AD104" s="48">
        <f>IF(V104="TIPO I",'BASE DE LIQUIDACION 2025'!$D$3,'BASE DE LIQUIDACION 2025'!$D$4)</f>
        <v>110808.27512000001</v>
      </c>
      <c r="AE104" s="52">
        <f t="shared" si="2"/>
        <v>248376.6214</v>
      </c>
    </row>
    <row r="105" spans="1:31" ht="13.15">
      <c r="A105" s="72" t="s">
        <v>219</v>
      </c>
      <c r="B105" s="44" t="str">
        <f>VLOOKUP(A105,'CENTRO DE COSTOS'!A:D,4,FALSE)</f>
        <v>MIGUEL JULIÁN HERNÁNDEZ GUARÍN</v>
      </c>
      <c r="C105" s="44" t="str">
        <f>VLOOKUP(A105,'CENTRO DE COSTOS'!A:D,2,FALSE)</f>
        <v>0004-0008</v>
      </c>
      <c r="D105" s="72">
        <v>68001</v>
      </c>
      <c r="E105" s="73" t="s">
        <v>767</v>
      </c>
      <c r="F105" s="74">
        <v>81466</v>
      </c>
      <c r="G105" s="75" t="s">
        <v>135</v>
      </c>
      <c r="H105" s="76" t="s">
        <v>235</v>
      </c>
      <c r="I105" s="74" t="s">
        <v>221</v>
      </c>
      <c r="J105" s="77" t="s">
        <v>219</v>
      </c>
      <c r="K105" s="74" t="s">
        <v>768</v>
      </c>
      <c r="L105" s="78" t="s">
        <v>140</v>
      </c>
      <c r="M105" s="79" t="s">
        <v>769</v>
      </c>
      <c r="N105" s="80">
        <v>45912</v>
      </c>
      <c r="O105" s="81">
        <v>45915</v>
      </c>
      <c r="P105" s="82" t="s">
        <v>239</v>
      </c>
      <c r="Q105" s="83" t="s">
        <v>381</v>
      </c>
      <c r="R105" s="72" t="s">
        <v>143</v>
      </c>
      <c r="S105" s="84" t="s">
        <v>716</v>
      </c>
      <c r="T105" s="75" t="s">
        <v>145</v>
      </c>
      <c r="U105" s="72" t="s">
        <v>770</v>
      </c>
      <c r="V105" s="77" t="s">
        <v>55</v>
      </c>
      <c r="W105" s="85" t="s">
        <v>159</v>
      </c>
      <c r="X105" s="75" t="s">
        <v>227</v>
      </c>
      <c r="Y105" s="72">
        <v>1</v>
      </c>
      <c r="Z105" s="72">
        <v>1</v>
      </c>
      <c r="AA105" s="72">
        <v>1</v>
      </c>
      <c r="AB105" s="48">
        <f>IF(V105="TIPO I",'BASE DE LIQUIDACION 2025'!$B$3,'BASE DE LIQUIDACION 2025'!$B$4)</f>
        <v>11251.22416</v>
      </c>
      <c r="AC105" s="48">
        <f>IF(V105="TIPO I",'BASE DE LIQUIDACION 2025'!$C$3,'BASE DE LIQUIDACION 2025'!$C$4)</f>
        <v>126317.12212</v>
      </c>
      <c r="AD105" s="48">
        <f>IF(V105="TIPO I",'BASE DE LIQUIDACION 2025'!$D$3,'BASE DE LIQUIDACION 2025'!$D$4)</f>
        <v>57411.974240000003</v>
      </c>
      <c r="AE105" s="52">
        <f t="shared" si="2"/>
        <v>194980.32052000001</v>
      </c>
    </row>
    <row r="106" spans="1:31" ht="13.15">
      <c r="A106" s="72" t="s">
        <v>219</v>
      </c>
      <c r="B106" s="44" t="str">
        <f>VLOOKUP(A106,'CENTRO DE COSTOS'!A:D,4,FALSE)</f>
        <v>MIGUEL JULIÁN HERNÁNDEZ GUARÍN</v>
      </c>
      <c r="C106" s="44" t="str">
        <f>VLOOKUP(A106,'CENTRO DE COSTOS'!A:D,2,FALSE)</f>
        <v>0004-0008</v>
      </c>
      <c r="D106" s="72">
        <v>68547</v>
      </c>
      <c r="E106" s="73" t="s">
        <v>771</v>
      </c>
      <c r="F106" s="74">
        <v>81481</v>
      </c>
      <c r="G106" s="75" t="s">
        <v>135</v>
      </c>
      <c r="H106" s="76" t="s">
        <v>235</v>
      </c>
      <c r="I106" s="74" t="s">
        <v>221</v>
      </c>
      <c r="J106" s="77" t="s">
        <v>772</v>
      </c>
      <c r="K106" s="74" t="s">
        <v>773</v>
      </c>
      <c r="L106" s="78" t="s">
        <v>140</v>
      </c>
      <c r="M106" s="79" t="s">
        <v>774</v>
      </c>
      <c r="N106" s="80">
        <v>45912</v>
      </c>
      <c r="O106" s="81">
        <v>45915</v>
      </c>
      <c r="P106" s="82" t="s">
        <v>239</v>
      </c>
      <c r="Q106" s="83" t="s">
        <v>381</v>
      </c>
      <c r="R106" s="72" t="s">
        <v>143</v>
      </c>
      <c r="S106" s="84" t="s">
        <v>716</v>
      </c>
      <c r="T106" s="75" t="s">
        <v>145</v>
      </c>
      <c r="U106" s="72" t="s">
        <v>775</v>
      </c>
      <c r="V106" s="77" t="s">
        <v>199</v>
      </c>
      <c r="W106" s="85" t="s">
        <v>159</v>
      </c>
      <c r="X106" s="75" t="s">
        <v>776</v>
      </c>
      <c r="Y106" s="72">
        <v>1</v>
      </c>
      <c r="Z106" s="72">
        <v>1</v>
      </c>
      <c r="AA106" s="72">
        <v>1</v>
      </c>
      <c r="AB106" s="48">
        <f>IF(V106="TIPO I",'BASE DE LIQUIDACION 2025'!$B$3,'BASE DE LIQUIDACION 2025'!$B$4)</f>
        <v>11251.22416</v>
      </c>
      <c r="AC106" s="48">
        <f>IF(V106="TIPO I",'BASE DE LIQUIDACION 2025'!$C$3,'BASE DE LIQUIDACION 2025'!$C$4)</f>
        <v>126317.12212</v>
      </c>
      <c r="AD106" s="48">
        <f>IF(V106="TIPO I",'BASE DE LIQUIDACION 2025'!$D$3,'BASE DE LIQUIDACION 2025'!$D$4)</f>
        <v>110808.27512000001</v>
      </c>
      <c r="AE106" s="52">
        <f t="shared" si="2"/>
        <v>248376.6214</v>
      </c>
    </row>
    <row r="107" spans="1:31" ht="13.15">
      <c r="A107" s="72" t="s">
        <v>219</v>
      </c>
      <c r="B107" s="44" t="str">
        <f>VLOOKUP(A107,'CENTRO DE COSTOS'!A:D,4,FALSE)</f>
        <v>MIGUEL JULIÁN HERNÁNDEZ GUARÍN</v>
      </c>
      <c r="C107" s="44" t="str">
        <f>VLOOKUP(A107,'CENTRO DE COSTOS'!A:D,2,FALSE)</f>
        <v>0004-0008</v>
      </c>
      <c r="D107" s="72">
        <v>68872</v>
      </c>
      <c r="E107" s="73" t="s">
        <v>777</v>
      </c>
      <c r="F107" s="74">
        <v>81487</v>
      </c>
      <c r="G107" s="75" t="s">
        <v>135</v>
      </c>
      <c r="H107" s="76" t="s">
        <v>235</v>
      </c>
      <c r="I107" s="74" t="s">
        <v>221</v>
      </c>
      <c r="J107" s="77" t="s">
        <v>778</v>
      </c>
      <c r="K107" s="74" t="s">
        <v>779</v>
      </c>
      <c r="L107" s="78" t="s">
        <v>140</v>
      </c>
      <c r="M107" s="79" t="s">
        <v>780</v>
      </c>
      <c r="N107" s="80">
        <v>45912</v>
      </c>
      <c r="O107" s="81">
        <v>45917</v>
      </c>
      <c r="P107" s="82" t="s">
        <v>239</v>
      </c>
      <c r="Q107" s="83" t="s">
        <v>381</v>
      </c>
      <c r="R107" s="72" t="s">
        <v>143</v>
      </c>
      <c r="S107" s="84" t="s">
        <v>781</v>
      </c>
      <c r="T107" s="75" t="s">
        <v>145</v>
      </c>
      <c r="U107" s="72" t="s">
        <v>782</v>
      </c>
      <c r="V107" s="77" t="s">
        <v>158</v>
      </c>
      <c r="W107" s="85" t="s">
        <v>159</v>
      </c>
      <c r="X107" s="75" t="s">
        <v>505</v>
      </c>
      <c r="Y107" s="72">
        <v>1</v>
      </c>
      <c r="Z107" s="72">
        <v>1</v>
      </c>
      <c r="AA107" s="72">
        <v>1</v>
      </c>
      <c r="AB107" s="48">
        <f>IF(V107="TIPO I",'BASE DE LIQUIDACION 2025'!$B$3,'BASE DE LIQUIDACION 2025'!$B$4)</f>
        <v>11251.22416</v>
      </c>
      <c r="AC107" s="48">
        <f>IF(V107="TIPO I",'BASE DE LIQUIDACION 2025'!$C$3,'BASE DE LIQUIDACION 2025'!$C$4)</f>
        <v>126317.12212</v>
      </c>
      <c r="AD107" s="48">
        <f>IF(V107="TIPO I",'BASE DE LIQUIDACION 2025'!$D$3,'BASE DE LIQUIDACION 2025'!$D$4)</f>
        <v>110808.27512000001</v>
      </c>
      <c r="AE107" s="52">
        <f t="shared" si="2"/>
        <v>248376.6214</v>
      </c>
    </row>
    <row r="108" spans="1:31" ht="13.15">
      <c r="A108" s="72" t="s">
        <v>518</v>
      </c>
      <c r="B108" s="44" t="str">
        <f>VLOOKUP(A108,'CENTRO DE COSTOS'!A:D,4,FALSE)</f>
        <v>KEVIN ALEXIS CORZO BUSTOS</v>
      </c>
      <c r="C108" s="44" t="str">
        <f>VLOOKUP(A108,'CENTRO DE COSTOS'!A:D,2,FALSE)</f>
        <v>0004-0007</v>
      </c>
      <c r="D108" s="72">
        <v>73001</v>
      </c>
      <c r="E108" s="73" t="s">
        <v>783</v>
      </c>
      <c r="F108" s="74">
        <v>81475</v>
      </c>
      <c r="G108" s="75" t="s">
        <v>135</v>
      </c>
      <c r="H108" s="76" t="s">
        <v>235</v>
      </c>
      <c r="I108" s="74" t="s">
        <v>520</v>
      </c>
      <c r="J108" s="77" t="s">
        <v>518</v>
      </c>
      <c r="K108" s="74" t="s">
        <v>784</v>
      </c>
      <c r="L108" s="78" t="s">
        <v>140</v>
      </c>
      <c r="M108" s="79" t="s">
        <v>785</v>
      </c>
      <c r="N108" s="80">
        <v>45912</v>
      </c>
      <c r="O108" s="81">
        <v>45915</v>
      </c>
      <c r="P108" s="82" t="s">
        <v>239</v>
      </c>
      <c r="Q108" s="83" t="s">
        <v>381</v>
      </c>
      <c r="R108" s="72" t="s">
        <v>143</v>
      </c>
      <c r="S108" s="84" t="s">
        <v>786</v>
      </c>
      <c r="T108" s="75" t="s">
        <v>145</v>
      </c>
      <c r="U108" s="72" t="s">
        <v>787</v>
      </c>
      <c r="V108" s="77" t="s">
        <v>55</v>
      </c>
      <c r="W108" s="85" t="s">
        <v>159</v>
      </c>
      <c r="X108" s="75" t="s">
        <v>788</v>
      </c>
      <c r="Y108" s="72">
        <v>1</v>
      </c>
      <c r="Z108" s="72">
        <v>1</v>
      </c>
      <c r="AA108" s="72">
        <v>1</v>
      </c>
      <c r="AB108" s="48">
        <f>IF(V108="TIPO I",'BASE DE LIQUIDACION 2025'!$B$3,'BASE DE LIQUIDACION 2025'!$B$4)</f>
        <v>11251.22416</v>
      </c>
      <c r="AC108" s="48">
        <f>IF(V108="TIPO I",'BASE DE LIQUIDACION 2025'!$C$3,'BASE DE LIQUIDACION 2025'!$C$4)</f>
        <v>126317.12212</v>
      </c>
      <c r="AD108" s="48">
        <f>IF(V108="TIPO I",'BASE DE LIQUIDACION 2025'!$D$3,'BASE DE LIQUIDACION 2025'!$D$4)</f>
        <v>57411.974240000003</v>
      </c>
      <c r="AE108" s="52">
        <f t="shared" si="2"/>
        <v>194980.32052000001</v>
      </c>
    </row>
    <row r="109" spans="1:31" ht="13.15">
      <c r="A109" s="72" t="s">
        <v>150</v>
      </c>
      <c r="B109" s="44" t="str">
        <f>VLOOKUP(A109,'CENTRO DE COSTOS'!A:D,4,FALSE)</f>
        <v>DIEGO FERNANDO HENAO CARDONA</v>
      </c>
      <c r="C109" s="44" t="str">
        <f>VLOOKUP(A109,'CENTRO DE COSTOS'!A:D,2,FALSE)</f>
        <v>0004-0003</v>
      </c>
      <c r="D109" s="72">
        <v>76109</v>
      </c>
      <c r="E109" s="73" t="s">
        <v>789</v>
      </c>
      <c r="F109" s="74">
        <v>81467</v>
      </c>
      <c r="G109" s="75" t="s">
        <v>135</v>
      </c>
      <c r="H109" s="76" t="s">
        <v>235</v>
      </c>
      <c r="I109" s="74" t="s">
        <v>229</v>
      </c>
      <c r="J109" s="77" t="s">
        <v>790</v>
      </c>
      <c r="K109" s="74" t="s">
        <v>791</v>
      </c>
      <c r="L109" s="78" t="s">
        <v>140</v>
      </c>
      <c r="M109" s="79" t="s">
        <v>792</v>
      </c>
      <c r="N109" s="80">
        <v>45912</v>
      </c>
      <c r="O109" s="81">
        <v>45916</v>
      </c>
      <c r="P109" s="82" t="s">
        <v>239</v>
      </c>
      <c r="Q109" s="83" t="s">
        <v>381</v>
      </c>
      <c r="R109" s="72" t="s">
        <v>143</v>
      </c>
      <c r="S109" s="84" t="s">
        <v>691</v>
      </c>
      <c r="T109" s="75" t="s">
        <v>145</v>
      </c>
      <c r="U109" s="72" t="s">
        <v>793</v>
      </c>
      <c r="V109" s="77" t="s">
        <v>158</v>
      </c>
      <c r="W109" s="85" t="s">
        <v>159</v>
      </c>
      <c r="X109" s="75" t="s">
        <v>538</v>
      </c>
      <c r="Y109" s="72">
        <v>1</v>
      </c>
      <c r="Z109" s="72">
        <v>1</v>
      </c>
      <c r="AA109" s="72">
        <v>1</v>
      </c>
      <c r="AB109" s="48">
        <f>IF(V109="TIPO I",'BASE DE LIQUIDACION 2025'!$B$3,'BASE DE LIQUIDACION 2025'!$B$4)</f>
        <v>11251.22416</v>
      </c>
      <c r="AC109" s="48">
        <f>IF(V109="TIPO I",'BASE DE LIQUIDACION 2025'!$C$3,'BASE DE LIQUIDACION 2025'!$C$4)</f>
        <v>126317.12212</v>
      </c>
      <c r="AD109" s="48">
        <f>IF(V109="TIPO I",'BASE DE LIQUIDACION 2025'!$D$3,'BASE DE LIQUIDACION 2025'!$D$4)</f>
        <v>110808.27512000001</v>
      </c>
      <c r="AE109" s="52">
        <f t="shared" si="2"/>
        <v>248376.6214</v>
      </c>
    </row>
    <row r="110" spans="1:31" ht="13.15">
      <c r="A110" s="72" t="s">
        <v>150</v>
      </c>
      <c r="B110" s="44" t="str">
        <f>VLOOKUP(A110,'CENTRO DE COSTOS'!A:D,4,FALSE)</f>
        <v>DIEGO FERNANDO HENAO CARDONA</v>
      </c>
      <c r="C110" s="44" t="str">
        <f>VLOOKUP(A110,'CENTRO DE COSTOS'!A:D,2,FALSE)</f>
        <v>0004-0003</v>
      </c>
      <c r="D110" s="72">
        <v>76364</v>
      </c>
      <c r="E110" s="73" t="s">
        <v>794</v>
      </c>
      <c r="F110" s="74">
        <v>81476</v>
      </c>
      <c r="G110" s="75" t="s">
        <v>135</v>
      </c>
      <c r="H110" s="76" t="s">
        <v>235</v>
      </c>
      <c r="I110" s="74" t="s">
        <v>229</v>
      </c>
      <c r="J110" s="77" t="s">
        <v>795</v>
      </c>
      <c r="K110" s="74" t="s">
        <v>796</v>
      </c>
      <c r="L110" s="78" t="s">
        <v>140</v>
      </c>
      <c r="M110" s="79" t="s">
        <v>797</v>
      </c>
      <c r="N110" s="80">
        <v>45912</v>
      </c>
      <c r="O110" s="81">
        <v>45915</v>
      </c>
      <c r="P110" s="82" t="s">
        <v>239</v>
      </c>
      <c r="Q110" s="83" t="s">
        <v>381</v>
      </c>
      <c r="R110" s="72" t="s">
        <v>143</v>
      </c>
      <c r="S110" s="84" t="s">
        <v>716</v>
      </c>
      <c r="T110" s="75" t="s">
        <v>145</v>
      </c>
      <c r="U110" s="72" t="s">
        <v>798</v>
      </c>
      <c r="V110" s="77" t="s">
        <v>199</v>
      </c>
      <c r="W110" s="85" t="s">
        <v>159</v>
      </c>
      <c r="X110" s="75" t="s">
        <v>362</v>
      </c>
      <c r="Y110" s="72">
        <v>1</v>
      </c>
      <c r="Z110" s="72">
        <v>1</v>
      </c>
      <c r="AA110" s="72">
        <v>1</v>
      </c>
      <c r="AB110" s="48">
        <f>IF(V110="TIPO I",'BASE DE LIQUIDACION 2025'!$B$3,'BASE DE LIQUIDACION 2025'!$B$4)</f>
        <v>11251.22416</v>
      </c>
      <c r="AC110" s="48">
        <f>IF(V110="TIPO I",'BASE DE LIQUIDACION 2025'!$C$3,'BASE DE LIQUIDACION 2025'!$C$4)</f>
        <v>126317.12212</v>
      </c>
      <c r="AD110" s="48">
        <f>IF(V110="TIPO I",'BASE DE LIQUIDACION 2025'!$D$3,'BASE DE LIQUIDACION 2025'!$D$4)</f>
        <v>110808.27512000001</v>
      </c>
      <c r="AE110" s="52">
        <f t="shared" si="2"/>
        <v>248376.6214</v>
      </c>
    </row>
    <row r="111" spans="1:31" ht="13.15">
      <c r="A111" s="72" t="s">
        <v>150</v>
      </c>
      <c r="B111" s="44" t="str">
        <f>VLOOKUP(A111,'CENTRO DE COSTOS'!A:D,4,FALSE)</f>
        <v>DIEGO FERNANDO HENAO CARDONA</v>
      </c>
      <c r="C111" s="44" t="str">
        <f>VLOOKUP(A111,'CENTRO DE COSTOS'!A:D,2,FALSE)</f>
        <v>0004-0003</v>
      </c>
      <c r="D111" s="72">
        <v>76834</v>
      </c>
      <c r="E111" s="73" t="s">
        <v>799</v>
      </c>
      <c r="F111" s="74">
        <v>81485</v>
      </c>
      <c r="G111" s="75" t="s">
        <v>135</v>
      </c>
      <c r="H111" s="76" t="s">
        <v>235</v>
      </c>
      <c r="I111" s="74" t="s">
        <v>229</v>
      </c>
      <c r="J111" s="77" t="s">
        <v>357</v>
      </c>
      <c r="K111" s="74" t="s">
        <v>800</v>
      </c>
      <c r="L111" s="78" t="s">
        <v>140</v>
      </c>
      <c r="M111" s="79" t="s">
        <v>801</v>
      </c>
      <c r="N111" s="80">
        <v>45912</v>
      </c>
      <c r="O111" s="81">
        <v>45915</v>
      </c>
      <c r="P111" s="82" t="s">
        <v>239</v>
      </c>
      <c r="Q111" s="83" t="s">
        <v>381</v>
      </c>
      <c r="R111" s="72" t="s">
        <v>143</v>
      </c>
      <c r="S111" s="84" t="s">
        <v>716</v>
      </c>
      <c r="T111" s="75" t="s">
        <v>145</v>
      </c>
      <c r="U111" s="72" t="s">
        <v>802</v>
      </c>
      <c r="V111" s="77" t="s">
        <v>199</v>
      </c>
      <c r="W111" s="85" t="s">
        <v>159</v>
      </c>
      <c r="X111" s="75" t="s">
        <v>191</v>
      </c>
      <c r="Y111" s="72">
        <v>1</v>
      </c>
      <c r="Z111" s="72">
        <v>1</v>
      </c>
      <c r="AA111" s="72">
        <v>1</v>
      </c>
      <c r="AB111" s="48">
        <f>IF(V111="TIPO I",'BASE DE LIQUIDACION 2025'!$B$3,'BASE DE LIQUIDACION 2025'!$B$4)</f>
        <v>11251.22416</v>
      </c>
      <c r="AC111" s="48">
        <f>IF(V111="TIPO I",'BASE DE LIQUIDACION 2025'!$C$3,'BASE DE LIQUIDACION 2025'!$C$4)</f>
        <v>126317.12212</v>
      </c>
      <c r="AD111" s="48">
        <f>IF(V111="TIPO I",'BASE DE LIQUIDACION 2025'!$D$3,'BASE DE LIQUIDACION 2025'!$D$4)</f>
        <v>110808.27512000001</v>
      </c>
      <c r="AE111" s="52">
        <f t="shared" si="2"/>
        <v>248376.6214</v>
      </c>
    </row>
    <row r="112" spans="1:31" ht="13.15">
      <c r="A112" s="72" t="s">
        <v>150</v>
      </c>
      <c r="B112" s="44" t="str">
        <f>VLOOKUP(A112,'CENTRO DE COSTOS'!A:D,4,FALSE)</f>
        <v>DIEGO FERNANDO HENAO CARDONA</v>
      </c>
      <c r="C112" s="44" t="str">
        <f>VLOOKUP(A112,'CENTRO DE COSTOS'!A:D,2,FALSE)</f>
        <v>0004-0003</v>
      </c>
      <c r="D112" s="72">
        <v>76892</v>
      </c>
      <c r="E112" s="73" t="s">
        <v>803</v>
      </c>
      <c r="F112" s="74">
        <v>81490</v>
      </c>
      <c r="G112" s="75" t="s">
        <v>135</v>
      </c>
      <c r="H112" s="76" t="s">
        <v>235</v>
      </c>
      <c r="I112" s="74" t="s">
        <v>229</v>
      </c>
      <c r="J112" s="77" t="s">
        <v>804</v>
      </c>
      <c r="K112" s="74" t="s">
        <v>805</v>
      </c>
      <c r="L112" s="78" t="s">
        <v>140</v>
      </c>
      <c r="M112" s="79" t="s">
        <v>806</v>
      </c>
      <c r="N112" s="80">
        <v>45912</v>
      </c>
      <c r="O112" s="81">
        <v>45915</v>
      </c>
      <c r="P112" s="82" t="s">
        <v>239</v>
      </c>
      <c r="Q112" s="83" t="s">
        <v>381</v>
      </c>
      <c r="R112" s="72" t="s">
        <v>143</v>
      </c>
      <c r="S112" s="84" t="s">
        <v>716</v>
      </c>
      <c r="T112" s="75" t="s">
        <v>145</v>
      </c>
      <c r="U112" s="72" t="s">
        <v>807</v>
      </c>
      <c r="V112" s="77" t="s">
        <v>55</v>
      </c>
      <c r="W112" s="85" t="s">
        <v>159</v>
      </c>
      <c r="X112" s="75" t="s">
        <v>538</v>
      </c>
      <c r="Y112" s="72">
        <v>1</v>
      </c>
      <c r="Z112" s="72">
        <v>1</v>
      </c>
      <c r="AA112" s="72">
        <v>1</v>
      </c>
      <c r="AB112" s="48">
        <f>IF(V112="TIPO I",'BASE DE LIQUIDACION 2025'!$B$3,'BASE DE LIQUIDACION 2025'!$B$4)</f>
        <v>11251.22416</v>
      </c>
      <c r="AC112" s="48">
        <f>IF(V112="TIPO I",'BASE DE LIQUIDACION 2025'!$C$3,'BASE DE LIQUIDACION 2025'!$C$4)</f>
        <v>126317.12212</v>
      </c>
      <c r="AD112" s="48">
        <f>IF(V112="TIPO I",'BASE DE LIQUIDACION 2025'!$D$3,'BASE DE LIQUIDACION 2025'!$D$4)</f>
        <v>57411.974240000003</v>
      </c>
      <c r="AE112" s="52">
        <f t="shared" si="2"/>
        <v>194980.32052000001</v>
      </c>
    </row>
    <row r="113" spans="1:31" ht="13.15">
      <c r="A113" s="72" t="s">
        <v>432</v>
      </c>
      <c r="B113" s="44" t="str">
        <f>VLOOKUP(A113,'CENTRO DE COSTOS'!A:D,4,FALSE)</f>
        <v>WILLIAM ASDRUBAL ROZO ROZO</v>
      </c>
      <c r="C113" s="44" t="str">
        <f>VLOOKUP(A113,'CENTRO DE COSTOS'!A:D,2,FALSE)</f>
        <v>0004-0004</v>
      </c>
      <c r="D113" s="72">
        <v>11001</v>
      </c>
      <c r="E113" s="73" t="s">
        <v>808</v>
      </c>
      <c r="F113" s="74">
        <v>81462</v>
      </c>
      <c r="G113" s="75" t="s">
        <v>135</v>
      </c>
      <c r="H113" s="76" t="s">
        <v>235</v>
      </c>
      <c r="I113" s="74" t="s">
        <v>434</v>
      </c>
      <c r="J113" s="77" t="s">
        <v>432</v>
      </c>
      <c r="K113" s="74" t="s">
        <v>809</v>
      </c>
      <c r="L113" s="78" t="s">
        <v>140</v>
      </c>
      <c r="M113" s="79" t="s">
        <v>810</v>
      </c>
      <c r="N113" s="80">
        <v>45912</v>
      </c>
      <c r="O113" s="81">
        <v>45916</v>
      </c>
      <c r="P113" s="82" t="s">
        <v>239</v>
      </c>
      <c r="Q113" s="83" t="s">
        <v>381</v>
      </c>
      <c r="R113" s="72" t="s">
        <v>143</v>
      </c>
      <c r="S113" s="84" t="s">
        <v>691</v>
      </c>
      <c r="T113" s="75" t="s">
        <v>145</v>
      </c>
      <c r="U113" s="72" t="s">
        <v>811</v>
      </c>
      <c r="V113" s="77" t="s">
        <v>55</v>
      </c>
      <c r="W113" s="85" t="s">
        <v>159</v>
      </c>
      <c r="X113" s="75" t="s">
        <v>445</v>
      </c>
      <c r="Y113" s="72">
        <v>1</v>
      </c>
      <c r="Z113" s="72">
        <v>1</v>
      </c>
      <c r="AA113" s="72">
        <v>1</v>
      </c>
      <c r="AB113" s="48">
        <f>IF(V113="TIPO I",'BASE DE LIQUIDACION 2025'!$B$3,'BASE DE LIQUIDACION 2025'!$B$4)</f>
        <v>11251.22416</v>
      </c>
      <c r="AC113" s="48">
        <f>IF(V113="TIPO I",'BASE DE LIQUIDACION 2025'!$C$3,'BASE DE LIQUIDACION 2025'!$C$4)</f>
        <v>126317.12212</v>
      </c>
      <c r="AD113" s="48">
        <f>IF(V113="TIPO I",'BASE DE LIQUIDACION 2025'!$D$3,'BASE DE LIQUIDACION 2025'!$D$4)</f>
        <v>57411.974240000003</v>
      </c>
      <c r="AE113" s="52">
        <f t="shared" si="2"/>
        <v>194980.32052000001</v>
      </c>
    </row>
    <row r="114" spans="1:31" ht="13.15">
      <c r="A114" s="72" t="s">
        <v>432</v>
      </c>
      <c r="B114" s="44" t="str">
        <f>VLOOKUP(A114,'CENTRO DE COSTOS'!A:D,4,FALSE)</f>
        <v>WILLIAM ASDRUBAL ROZO ROZO</v>
      </c>
      <c r="C114" s="44" t="str">
        <f>VLOOKUP(A114,'CENTRO DE COSTOS'!A:D,2,FALSE)</f>
        <v>0004-0004</v>
      </c>
      <c r="D114" s="72">
        <v>11001</v>
      </c>
      <c r="E114" s="73" t="s">
        <v>812</v>
      </c>
      <c r="F114" s="74">
        <v>81463</v>
      </c>
      <c r="G114" s="75" t="s">
        <v>135</v>
      </c>
      <c r="H114" s="76" t="s">
        <v>235</v>
      </c>
      <c r="I114" s="74" t="s">
        <v>434</v>
      </c>
      <c r="J114" s="77" t="s">
        <v>432</v>
      </c>
      <c r="K114" s="74" t="s">
        <v>813</v>
      </c>
      <c r="L114" s="78" t="s">
        <v>140</v>
      </c>
      <c r="M114" s="79" t="s">
        <v>814</v>
      </c>
      <c r="N114" s="80">
        <v>45912</v>
      </c>
      <c r="O114" s="81">
        <v>45916</v>
      </c>
      <c r="P114" s="82" t="s">
        <v>239</v>
      </c>
      <c r="Q114" s="83" t="s">
        <v>381</v>
      </c>
      <c r="R114" s="72" t="s">
        <v>143</v>
      </c>
      <c r="S114" s="84" t="s">
        <v>691</v>
      </c>
      <c r="T114" s="75" t="s">
        <v>145</v>
      </c>
      <c r="U114" s="72" t="s">
        <v>815</v>
      </c>
      <c r="V114" s="77" t="s">
        <v>55</v>
      </c>
      <c r="W114" s="85" t="s">
        <v>159</v>
      </c>
      <c r="X114" s="75" t="s">
        <v>577</v>
      </c>
      <c r="Y114" s="72">
        <v>1</v>
      </c>
      <c r="Z114" s="72">
        <v>1</v>
      </c>
      <c r="AA114" s="72">
        <v>1</v>
      </c>
      <c r="AB114" s="48">
        <f>IF(V114="TIPO I",'BASE DE LIQUIDACION 2025'!$B$3,'BASE DE LIQUIDACION 2025'!$B$4)</f>
        <v>11251.22416</v>
      </c>
      <c r="AC114" s="48">
        <f>IF(V114="TIPO I",'BASE DE LIQUIDACION 2025'!$C$3,'BASE DE LIQUIDACION 2025'!$C$4)</f>
        <v>126317.12212</v>
      </c>
      <c r="AD114" s="48">
        <f>IF(V114="TIPO I",'BASE DE LIQUIDACION 2025'!$D$3,'BASE DE LIQUIDACION 2025'!$D$4)</f>
        <v>57411.974240000003</v>
      </c>
      <c r="AE114" s="52">
        <f t="shared" si="2"/>
        <v>194980.32052000001</v>
      </c>
    </row>
    <row r="115" spans="1:31" ht="13.15">
      <c r="A115" s="72" t="s">
        <v>432</v>
      </c>
      <c r="B115" s="44" t="str">
        <f>VLOOKUP(A115,'CENTRO DE COSTOS'!A:D,4,FALSE)</f>
        <v>WILLIAM ASDRUBAL ROZO ROZO</v>
      </c>
      <c r="C115" s="44" t="str">
        <f>VLOOKUP(A115,'CENTRO DE COSTOS'!A:D,2,FALSE)</f>
        <v>0004-0004</v>
      </c>
      <c r="D115" s="72">
        <v>11001</v>
      </c>
      <c r="E115" s="73" t="s">
        <v>816</v>
      </c>
      <c r="F115" s="74">
        <v>81464</v>
      </c>
      <c r="G115" s="75" t="s">
        <v>135</v>
      </c>
      <c r="H115" s="76" t="s">
        <v>235</v>
      </c>
      <c r="I115" s="74" t="s">
        <v>434</v>
      </c>
      <c r="J115" s="77" t="s">
        <v>432</v>
      </c>
      <c r="K115" s="74" t="s">
        <v>817</v>
      </c>
      <c r="L115" s="78" t="s">
        <v>140</v>
      </c>
      <c r="M115" s="79" t="s">
        <v>818</v>
      </c>
      <c r="N115" s="80">
        <v>45912</v>
      </c>
      <c r="O115" s="81">
        <v>45916</v>
      </c>
      <c r="P115" s="82" t="s">
        <v>239</v>
      </c>
      <c r="Q115" s="83" t="s">
        <v>381</v>
      </c>
      <c r="R115" s="72" t="s">
        <v>143</v>
      </c>
      <c r="S115" s="84" t="s">
        <v>691</v>
      </c>
      <c r="T115" s="75" t="s">
        <v>145</v>
      </c>
      <c r="U115" s="72" t="s">
        <v>819</v>
      </c>
      <c r="V115" s="77" t="s">
        <v>55</v>
      </c>
      <c r="W115" s="85" t="s">
        <v>159</v>
      </c>
      <c r="X115" s="75" t="s">
        <v>820</v>
      </c>
      <c r="Y115" s="72">
        <v>1</v>
      </c>
      <c r="Z115" s="72">
        <v>1</v>
      </c>
      <c r="AA115" s="72">
        <v>1</v>
      </c>
      <c r="AB115" s="48">
        <f>IF(V115="TIPO I",'BASE DE LIQUIDACION 2025'!$B$3,'BASE DE LIQUIDACION 2025'!$B$4)</f>
        <v>11251.22416</v>
      </c>
      <c r="AC115" s="48">
        <f>IF(V115="TIPO I",'BASE DE LIQUIDACION 2025'!$C$3,'BASE DE LIQUIDACION 2025'!$C$4)</f>
        <v>126317.12212</v>
      </c>
      <c r="AD115" s="48">
        <f>IF(V115="TIPO I",'BASE DE LIQUIDACION 2025'!$D$3,'BASE DE LIQUIDACION 2025'!$D$4)</f>
        <v>57411.974240000003</v>
      </c>
      <c r="AE115" s="52">
        <f t="shared" si="2"/>
        <v>194980.32052000001</v>
      </c>
    </row>
    <row r="116" spans="1:31" ht="13.15">
      <c r="A116" s="72" t="s">
        <v>267</v>
      </c>
      <c r="B116" s="44" t="str">
        <f>VLOOKUP(A116,'CENTRO DE COSTOS'!A:D,4,FALSE)</f>
        <v>JUAN SEBASTIÁN RÍOS CASTRILLÓN</v>
      </c>
      <c r="C116" s="44" t="str">
        <f>VLOOKUP(A116,'CENTRO DE COSTOS'!A:D,2,FALSE)</f>
        <v>0004-0005</v>
      </c>
      <c r="D116" s="72">
        <v>5264</v>
      </c>
      <c r="E116" s="73" t="s">
        <v>821</v>
      </c>
      <c r="F116" s="74">
        <v>81500</v>
      </c>
      <c r="G116" s="75" t="s">
        <v>135</v>
      </c>
      <c r="H116" s="76" t="s">
        <v>235</v>
      </c>
      <c r="I116" s="74" t="s">
        <v>253</v>
      </c>
      <c r="J116" s="77" t="s">
        <v>822</v>
      </c>
      <c r="K116" s="74" t="s">
        <v>823</v>
      </c>
      <c r="L116" s="78" t="s">
        <v>140</v>
      </c>
      <c r="M116" s="79" t="s">
        <v>824</v>
      </c>
      <c r="N116" s="80">
        <v>45917</v>
      </c>
      <c r="O116" s="81">
        <v>45918</v>
      </c>
      <c r="P116" s="82" t="s">
        <v>239</v>
      </c>
      <c r="Q116" s="83" t="s">
        <v>240</v>
      </c>
      <c r="R116" s="72" t="s">
        <v>143</v>
      </c>
      <c r="S116" s="84" t="s">
        <v>825</v>
      </c>
      <c r="T116" s="75" t="s">
        <v>145</v>
      </c>
      <c r="U116" s="72" t="s">
        <v>826</v>
      </c>
      <c r="V116" s="77" t="s">
        <v>199</v>
      </c>
      <c r="W116" s="85" t="s">
        <v>159</v>
      </c>
      <c r="X116" s="75" t="s">
        <v>390</v>
      </c>
      <c r="Y116" s="72">
        <v>1</v>
      </c>
      <c r="Z116" s="72">
        <v>1</v>
      </c>
      <c r="AA116" s="72">
        <v>1</v>
      </c>
      <c r="AB116" s="48">
        <f>IF(V116="TIPO I",'BASE DE LIQUIDACION 2025'!$B$3,'BASE DE LIQUIDACION 2025'!$B$4)</f>
        <v>11251.22416</v>
      </c>
      <c r="AC116" s="48">
        <f>IF(V116="TIPO I",'BASE DE LIQUIDACION 2025'!$C$3,'BASE DE LIQUIDACION 2025'!$C$4)</f>
        <v>126317.12212</v>
      </c>
      <c r="AD116" s="48">
        <f>IF(V116="TIPO I",'BASE DE LIQUIDACION 2025'!$D$3,'BASE DE LIQUIDACION 2025'!$D$4)</f>
        <v>110808.27512000001</v>
      </c>
      <c r="AE116" s="52">
        <f t="shared" si="2"/>
        <v>248376.6214</v>
      </c>
    </row>
    <row r="117" spans="1:31" ht="13.15">
      <c r="A117" s="72" t="s">
        <v>267</v>
      </c>
      <c r="B117" s="44" t="str">
        <f>VLOOKUP(A117,'CENTRO DE COSTOS'!A:D,4,FALSE)</f>
        <v>JUAN SEBASTIÁN RÍOS CASTRILLÓN</v>
      </c>
      <c r="C117" s="44" t="str">
        <f>VLOOKUP(A117,'CENTRO DE COSTOS'!A:D,2,FALSE)</f>
        <v>0004-0005</v>
      </c>
      <c r="D117" s="72">
        <v>5440</v>
      </c>
      <c r="E117" s="73" t="s">
        <v>827</v>
      </c>
      <c r="F117" s="74">
        <v>81516</v>
      </c>
      <c r="G117" s="75" t="s">
        <v>135</v>
      </c>
      <c r="H117" s="76" t="s">
        <v>235</v>
      </c>
      <c r="I117" s="74" t="s">
        <v>253</v>
      </c>
      <c r="J117" s="77" t="s">
        <v>828</v>
      </c>
      <c r="K117" s="74" t="s">
        <v>829</v>
      </c>
      <c r="L117" s="78" t="s">
        <v>140</v>
      </c>
      <c r="M117" s="79" t="s">
        <v>830</v>
      </c>
      <c r="N117" s="80">
        <v>45917</v>
      </c>
      <c r="O117" s="81">
        <v>45918</v>
      </c>
      <c r="P117" s="82" t="s">
        <v>239</v>
      </c>
      <c r="Q117" s="83" t="s">
        <v>240</v>
      </c>
      <c r="R117" s="72" t="s">
        <v>143</v>
      </c>
      <c r="S117" s="84" t="s">
        <v>825</v>
      </c>
      <c r="T117" s="75" t="s">
        <v>145</v>
      </c>
      <c r="U117" s="72" t="s">
        <v>831</v>
      </c>
      <c r="V117" s="77" t="s">
        <v>199</v>
      </c>
      <c r="W117" s="85" t="s">
        <v>159</v>
      </c>
      <c r="X117" s="75" t="s">
        <v>832</v>
      </c>
      <c r="Y117" s="72">
        <v>1</v>
      </c>
      <c r="Z117" s="72">
        <v>1</v>
      </c>
      <c r="AA117" s="72">
        <v>1</v>
      </c>
      <c r="AB117" s="48">
        <f>IF(V117="TIPO I",'BASE DE LIQUIDACION 2025'!$B$3,'BASE DE LIQUIDACION 2025'!$B$4)</f>
        <v>11251.22416</v>
      </c>
      <c r="AC117" s="48">
        <f>IF(V117="TIPO I",'BASE DE LIQUIDACION 2025'!$C$3,'BASE DE LIQUIDACION 2025'!$C$4)</f>
        <v>126317.12212</v>
      </c>
      <c r="AD117" s="48">
        <f>IF(V117="TIPO I",'BASE DE LIQUIDACION 2025'!$D$3,'BASE DE LIQUIDACION 2025'!$D$4)</f>
        <v>110808.27512000001</v>
      </c>
      <c r="AE117" s="52">
        <f t="shared" si="2"/>
        <v>248376.6214</v>
      </c>
    </row>
    <row r="118" spans="1:31" ht="13.15">
      <c r="A118" s="72" t="s">
        <v>267</v>
      </c>
      <c r="B118" s="44" t="str">
        <f>VLOOKUP(A118,'CENTRO DE COSTOS'!A:D,4,FALSE)</f>
        <v>JUAN SEBASTIÁN RÍOS CASTRILLÓN</v>
      </c>
      <c r="C118" s="44" t="str">
        <f>VLOOKUP(A118,'CENTRO DE COSTOS'!A:D,2,FALSE)</f>
        <v>0004-0005</v>
      </c>
      <c r="D118" s="72">
        <v>5736</v>
      </c>
      <c r="E118" s="73" t="s">
        <v>833</v>
      </c>
      <c r="F118" s="74">
        <v>81506</v>
      </c>
      <c r="G118" s="75" t="s">
        <v>135</v>
      </c>
      <c r="H118" s="76" t="s">
        <v>235</v>
      </c>
      <c r="I118" s="74" t="s">
        <v>253</v>
      </c>
      <c r="J118" s="77" t="s">
        <v>612</v>
      </c>
      <c r="K118" s="74" t="s">
        <v>834</v>
      </c>
      <c r="L118" s="78" t="s">
        <v>140</v>
      </c>
      <c r="M118" s="79" t="s">
        <v>835</v>
      </c>
      <c r="N118" s="80">
        <v>45917</v>
      </c>
      <c r="O118" s="81">
        <v>45918</v>
      </c>
      <c r="P118" s="82" t="s">
        <v>239</v>
      </c>
      <c r="Q118" s="83" t="s">
        <v>240</v>
      </c>
      <c r="R118" s="72" t="s">
        <v>143</v>
      </c>
      <c r="S118" s="84" t="s">
        <v>825</v>
      </c>
      <c r="T118" s="75" t="s">
        <v>145</v>
      </c>
      <c r="U118" s="72" t="s">
        <v>836</v>
      </c>
      <c r="V118" s="77" t="s">
        <v>167</v>
      </c>
      <c r="W118" s="85" t="s">
        <v>159</v>
      </c>
      <c r="X118" s="75" t="s">
        <v>273</v>
      </c>
      <c r="Y118" s="72">
        <v>1</v>
      </c>
      <c r="Z118" s="72">
        <v>1</v>
      </c>
      <c r="AA118" s="72">
        <v>1</v>
      </c>
      <c r="AB118" s="48">
        <f>IF(V118="TIPO I",'BASE DE LIQUIDACION 2025'!$B$3,'BASE DE LIQUIDACION 2025'!$B$4)</f>
        <v>11251.22416</v>
      </c>
      <c r="AC118" s="48">
        <f>IF(V118="TIPO I",'BASE DE LIQUIDACION 2025'!$C$3,'BASE DE LIQUIDACION 2025'!$C$4)</f>
        <v>126317.12212</v>
      </c>
      <c r="AD118" s="48">
        <f>IF(V118="TIPO I",'BASE DE LIQUIDACION 2025'!$D$3,'BASE DE LIQUIDACION 2025'!$D$4)</f>
        <v>110808.27512000001</v>
      </c>
      <c r="AE118" s="52">
        <f t="shared" si="2"/>
        <v>248376.6214</v>
      </c>
    </row>
    <row r="119" spans="1:31" ht="13.15">
      <c r="A119" s="72" t="s">
        <v>267</v>
      </c>
      <c r="B119" s="44" t="str">
        <f>VLOOKUP(A119,'CENTRO DE COSTOS'!A:D,4,FALSE)</f>
        <v>JUAN SEBASTIÁN RÍOS CASTRILLÓN</v>
      </c>
      <c r="C119" s="44" t="str">
        <f>VLOOKUP(A119,'CENTRO DE COSTOS'!A:D,2,FALSE)</f>
        <v>0004-0005</v>
      </c>
      <c r="D119" s="72">
        <v>5736</v>
      </c>
      <c r="E119" s="73" t="s">
        <v>837</v>
      </c>
      <c r="F119" s="74">
        <v>81505</v>
      </c>
      <c r="G119" s="75" t="s">
        <v>135</v>
      </c>
      <c r="H119" s="76" t="s">
        <v>235</v>
      </c>
      <c r="I119" s="74" t="s">
        <v>253</v>
      </c>
      <c r="J119" s="77" t="s">
        <v>612</v>
      </c>
      <c r="K119" s="74" t="s">
        <v>838</v>
      </c>
      <c r="L119" s="78" t="s">
        <v>140</v>
      </c>
      <c r="M119" s="79" t="s">
        <v>839</v>
      </c>
      <c r="N119" s="80">
        <v>45917</v>
      </c>
      <c r="O119" s="81">
        <v>45919</v>
      </c>
      <c r="P119" s="82" t="s">
        <v>239</v>
      </c>
      <c r="Q119" s="83" t="s">
        <v>240</v>
      </c>
      <c r="R119" s="72" t="s">
        <v>143</v>
      </c>
      <c r="S119" s="84" t="s">
        <v>840</v>
      </c>
      <c r="T119" s="75" t="s">
        <v>145</v>
      </c>
      <c r="U119" s="72" t="s">
        <v>841</v>
      </c>
      <c r="V119" s="77" t="s">
        <v>167</v>
      </c>
      <c r="W119" s="85" t="s">
        <v>159</v>
      </c>
      <c r="X119" s="75" t="s">
        <v>273</v>
      </c>
      <c r="Y119" s="72">
        <v>1</v>
      </c>
      <c r="Z119" s="72">
        <v>1</v>
      </c>
      <c r="AA119" s="72">
        <v>1</v>
      </c>
      <c r="AB119" s="48">
        <f>IF(V119="TIPO I",'BASE DE LIQUIDACION 2025'!$B$3,'BASE DE LIQUIDACION 2025'!$B$4)</f>
        <v>11251.22416</v>
      </c>
      <c r="AC119" s="48">
        <f>IF(V119="TIPO I",'BASE DE LIQUIDACION 2025'!$C$3,'BASE DE LIQUIDACION 2025'!$C$4)</f>
        <v>126317.12212</v>
      </c>
      <c r="AD119" s="48">
        <f>IF(V119="TIPO I",'BASE DE LIQUIDACION 2025'!$D$3,'BASE DE LIQUIDACION 2025'!$D$4)</f>
        <v>110808.27512000001</v>
      </c>
      <c r="AE119" s="52">
        <f t="shared" si="2"/>
        <v>248376.6214</v>
      </c>
    </row>
    <row r="120" spans="1:31" ht="13.15">
      <c r="A120" s="72" t="s">
        <v>259</v>
      </c>
      <c r="B120" s="44" t="str">
        <f>VLOOKUP(A120,'CENTRO DE COSTOS'!A:D,4,FALSE)</f>
        <v>JUAN SEBASTIÁN RÍOS CASTRILLÓN</v>
      </c>
      <c r="C120" s="44" t="str">
        <f>VLOOKUP(A120,'CENTRO DE COSTOS'!A:D,2,FALSE)</f>
        <v>0004-0005</v>
      </c>
      <c r="D120" s="72">
        <v>5837</v>
      </c>
      <c r="E120" s="73" t="s">
        <v>842</v>
      </c>
      <c r="F120" s="74">
        <v>81501</v>
      </c>
      <c r="G120" s="75" t="s">
        <v>135</v>
      </c>
      <c r="H120" s="76" t="s">
        <v>235</v>
      </c>
      <c r="I120" s="74" t="s">
        <v>253</v>
      </c>
      <c r="J120" s="77" t="s">
        <v>261</v>
      </c>
      <c r="K120" s="74" t="s">
        <v>843</v>
      </c>
      <c r="L120" s="78" t="s">
        <v>140</v>
      </c>
      <c r="M120" s="79" t="s">
        <v>844</v>
      </c>
      <c r="N120" s="80">
        <v>45917</v>
      </c>
      <c r="O120" s="81">
        <v>45919</v>
      </c>
      <c r="P120" s="82" t="s">
        <v>239</v>
      </c>
      <c r="Q120" s="83" t="s">
        <v>240</v>
      </c>
      <c r="R120" s="72" t="s">
        <v>196</v>
      </c>
      <c r="S120" s="84" t="s">
        <v>845</v>
      </c>
      <c r="T120" s="75" t="s">
        <v>145</v>
      </c>
      <c r="U120" s="72" t="s">
        <v>846</v>
      </c>
      <c r="V120" s="77" t="s">
        <v>199</v>
      </c>
      <c r="W120" s="85" t="s">
        <v>159</v>
      </c>
      <c r="X120" s="75" t="s">
        <v>675</v>
      </c>
      <c r="Y120" s="72">
        <v>0</v>
      </c>
      <c r="Z120" s="72">
        <v>0</v>
      </c>
      <c r="AA120" s="72">
        <v>2</v>
      </c>
      <c r="AB120" s="48">
        <f>IF(V120="TIPO I",'BASE DE LIQUIDACION 2025'!$B$3,'BASE DE LIQUIDACION 2025'!$B$4)</f>
        <v>11251.22416</v>
      </c>
      <c r="AC120" s="48">
        <f>IF(V120="TIPO I",'BASE DE LIQUIDACION 2025'!$C$3,'BASE DE LIQUIDACION 2025'!$C$4)</f>
        <v>126317.12212</v>
      </c>
      <c r="AD120" s="48">
        <f>IF(V120="TIPO I",'BASE DE LIQUIDACION 2025'!$D$3,'BASE DE LIQUIDACION 2025'!$D$4)</f>
        <v>110808.27512000001</v>
      </c>
      <c r="AE120" s="52">
        <f t="shared" ref="AE120:AE181" si="3">AB120*Y120+Z120*AC120+AA120*AD120</f>
        <v>221616.55024000001</v>
      </c>
    </row>
    <row r="121" spans="1:31" ht="13.15">
      <c r="A121" s="72" t="s">
        <v>176</v>
      </c>
      <c r="B121" s="44" t="str">
        <f>VLOOKUP(A121,'CENTRO DE COSTOS'!A:D,4,FALSE)</f>
        <v>JOSE MAURICIO HERNANDEZ ROJAS</v>
      </c>
      <c r="C121" s="44" t="str">
        <f>VLOOKUP(A121,'CENTRO DE COSTOS'!A:D,2,FALSE)</f>
        <v>0004-0001</v>
      </c>
      <c r="D121" s="72">
        <v>5895</v>
      </c>
      <c r="E121" s="73" t="s">
        <v>847</v>
      </c>
      <c r="F121" s="74">
        <v>81513</v>
      </c>
      <c r="G121" s="75" t="s">
        <v>135</v>
      </c>
      <c r="H121" s="76" t="s">
        <v>235</v>
      </c>
      <c r="I121" s="74" t="s">
        <v>253</v>
      </c>
      <c r="J121" s="77" t="s">
        <v>848</v>
      </c>
      <c r="K121" s="74" t="s">
        <v>849</v>
      </c>
      <c r="L121" s="78" t="s">
        <v>140</v>
      </c>
      <c r="M121" s="79" t="s">
        <v>850</v>
      </c>
      <c r="N121" s="80">
        <v>45917</v>
      </c>
      <c r="O121" s="81">
        <v>45919</v>
      </c>
      <c r="P121" s="82" t="s">
        <v>239</v>
      </c>
      <c r="Q121" s="83" t="s">
        <v>240</v>
      </c>
      <c r="R121" s="72" t="s">
        <v>143</v>
      </c>
      <c r="S121" s="84" t="s">
        <v>840</v>
      </c>
      <c r="T121" s="75" t="s">
        <v>145</v>
      </c>
      <c r="U121" s="72" t="s">
        <v>851</v>
      </c>
      <c r="V121" s="77" t="s">
        <v>167</v>
      </c>
      <c r="W121" s="85" t="s">
        <v>159</v>
      </c>
      <c r="X121" s="75" t="s">
        <v>634</v>
      </c>
      <c r="Y121" s="72">
        <v>1</v>
      </c>
      <c r="Z121" s="72">
        <v>1</v>
      </c>
      <c r="AA121" s="72">
        <v>1</v>
      </c>
      <c r="AB121" s="48">
        <f>IF(V121="TIPO I",'BASE DE LIQUIDACION 2025'!$B$3,'BASE DE LIQUIDACION 2025'!$B$4)</f>
        <v>11251.22416</v>
      </c>
      <c r="AC121" s="48">
        <f>IF(V121="TIPO I",'BASE DE LIQUIDACION 2025'!$C$3,'BASE DE LIQUIDACION 2025'!$C$4)</f>
        <v>126317.12212</v>
      </c>
      <c r="AD121" s="48">
        <f>IF(V121="TIPO I",'BASE DE LIQUIDACION 2025'!$D$3,'BASE DE LIQUIDACION 2025'!$D$4)</f>
        <v>110808.27512000001</v>
      </c>
      <c r="AE121" s="52">
        <f t="shared" si="3"/>
        <v>248376.6214</v>
      </c>
    </row>
    <row r="122" spans="1:31" ht="13.15">
      <c r="A122" s="72" t="s">
        <v>219</v>
      </c>
      <c r="B122" s="44" t="str">
        <f>VLOOKUP(A122,'CENTRO DE COSTOS'!A:D,4,FALSE)</f>
        <v>MIGUEL JULIÁN HERNÁNDEZ GUARÍN</v>
      </c>
      <c r="C122" s="44" t="str">
        <f>VLOOKUP(A122,'CENTRO DE COSTOS'!A:D,2,FALSE)</f>
        <v>0004-0008</v>
      </c>
      <c r="D122" s="72">
        <v>13670</v>
      </c>
      <c r="E122" s="73" t="s">
        <v>852</v>
      </c>
      <c r="F122" s="74">
        <v>81508</v>
      </c>
      <c r="G122" s="75" t="s">
        <v>135</v>
      </c>
      <c r="H122" s="76" t="s">
        <v>235</v>
      </c>
      <c r="I122" s="74" t="s">
        <v>713</v>
      </c>
      <c r="J122" s="77" t="s">
        <v>853</v>
      </c>
      <c r="K122" s="74" t="s">
        <v>854</v>
      </c>
      <c r="L122" s="78" t="s">
        <v>140</v>
      </c>
      <c r="M122" s="79" t="s">
        <v>855</v>
      </c>
      <c r="N122" s="80">
        <v>45917</v>
      </c>
      <c r="O122" s="81">
        <v>45918</v>
      </c>
      <c r="P122" s="82" t="s">
        <v>239</v>
      </c>
      <c r="Q122" s="83" t="s">
        <v>240</v>
      </c>
      <c r="R122" s="72" t="s">
        <v>143</v>
      </c>
      <c r="S122" s="84" t="s">
        <v>825</v>
      </c>
      <c r="T122" s="75" t="s">
        <v>145</v>
      </c>
      <c r="U122" s="72" t="s">
        <v>856</v>
      </c>
      <c r="V122" s="77" t="s">
        <v>147</v>
      </c>
      <c r="W122" s="85" t="s">
        <v>857</v>
      </c>
      <c r="X122" s="75" t="s">
        <v>511</v>
      </c>
      <c r="Y122" s="72">
        <v>1</v>
      </c>
      <c r="Z122" s="72">
        <v>1</v>
      </c>
      <c r="AA122" s="72">
        <v>1</v>
      </c>
      <c r="AB122" s="48">
        <f>IF(V122="TIPO I",'BASE DE LIQUIDACION 2025'!$B$3,'BASE DE LIQUIDACION 2025'!$B$4)</f>
        <v>11251.22416</v>
      </c>
      <c r="AC122" s="48">
        <f>IF(V122="TIPO I",'BASE DE LIQUIDACION 2025'!$C$3,'BASE DE LIQUIDACION 2025'!$C$4)</f>
        <v>126317.12212</v>
      </c>
      <c r="AD122" s="48">
        <f>IF(V122="TIPO I",'BASE DE LIQUIDACION 2025'!$D$3,'BASE DE LIQUIDACION 2025'!$D$4)</f>
        <v>110808.27512000001</v>
      </c>
      <c r="AE122" s="52">
        <f t="shared" si="3"/>
        <v>248376.6214</v>
      </c>
    </row>
    <row r="123" spans="1:31" ht="13.15">
      <c r="A123" s="72" t="s">
        <v>219</v>
      </c>
      <c r="B123" s="44" t="str">
        <f>VLOOKUP(A123,'CENTRO DE COSTOS'!A:D,4,FALSE)</f>
        <v>MIGUEL JULIÁN HERNÁNDEZ GUARÍN</v>
      </c>
      <c r="C123" s="44" t="str">
        <f>VLOOKUP(A123,'CENTRO DE COSTOS'!A:D,2,FALSE)</f>
        <v>0004-0008</v>
      </c>
      <c r="D123" s="72">
        <v>13688</v>
      </c>
      <c r="E123" s="73" t="s">
        <v>858</v>
      </c>
      <c r="F123" s="74">
        <v>81510</v>
      </c>
      <c r="G123" s="75" t="s">
        <v>135</v>
      </c>
      <c r="H123" s="76" t="s">
        <v>235</v>
      </c>
      <c r="I123" s="74" t="s">
        <v>713</v>
      </c>
      <c r="J123" s="77" t="s">
        <v>859</v>
      </c>
      <c r="K123" s="74" t="s">
        <v>860</v>
      </c>
      <c r="L123" s="78" t="s">
        <v>140</v>
      </c>
      <c r="M123" s="79" t="s">
        <v>861</v>
      </c>
      <c r="N123" s="80">
        <v>45917</v>
      </c>
      <c r="O123" s="81">
        <v>45919</v>
      </c>
      <c r="P123" s="82" t="s">
        <v>239</v>
      </c>
      <c r="Q123" s="83" t="s">
        <v>240</v>
      </c>
      <c r="R123" s="72" t="s">
        <v>143</v>
      </c>
      <c r="S123" s="84" t="s">
        <v>862</v>
      </c>
      <c r="T123" s="75" t="s">
        <v>145</v>
      </c>
      <c r="U123" s="72" t="s">
        <v>863</v>
      </c>
      <c r="V123" s="77" t="s">
        <v>147</v>
      </c>
      <c r="W123" s="85" t="s">
        <v>857</v>
      </c>
      <c r="X123" s="75" t="s">
        <v>511</v>
      </c>
      <c r="Y123" s="72">
        <v>1</v>
      </c>
      <c r="Z123" s="72">
        <v>1</v>
      </c>
      <c r="AA123" s="72">
        <v>1</v>
      </c>
      <c r="AB123" s="48">
        <f>IF(V123="TIPO I",'BASE DE LIQUIDACION 2025'!$B$3,'BASE DE LIQUIDACION 2025'!$B$4)</f>
        <v>11251.22416</v>
      </c>
      <c r="AC123" s="48">
        <f>IF(V123="TIPO I",'BASE DE LIQUIDACION 2025'!$C$3,'BASE DE LIQUIDACION 2025'!$C$4)</f>
        <v>126317.12212</v>
      </c>
      <c r="AD123" s="48">
        <f>IF(V123="TIPO I",'BASE DE LIQUIDACION 2025'!$D$3,'BASE DE LIQUIDACION 2025'!$D$4)</f>
        <v>110808.27512000001</v>
      </c>
      <c r="AE123" s="52">
        <f t="shared" si="3"/>
        <v>248376.6214</v>
      </c>
    </row>
    <row r="124" spans="1:31" ht="13.15">
      <c r="A124" s="72" t="s">
        <v>219</v>
      </c>
      <c r="B124" s="44" t="str">
        <f>VLOOKUP(A124,'CENTRO DE COSTOS'!A:D,4,FALSE)</f>
        <v>MIGUEL JULIÁN HERNÁNDEZ GUARÍN</v>
      </c>
      <c r="C124" s="44" t="str">
        <f>VLOOKUP(A124,'CENTRO DE COSTOS'!A:D,2,FALSE)</f>
        <v>0004-0008</v>
      </c>
      <c r="D124" s="72">
        <v>13688</v>
      </c>
      <c r="E124" s="73" t="s">
        <v>864</v>
      </c>
      <c r="F124" s="74">
        <v>81511</v>
      </c>
      <c r="G124" s="75" t="s">
        <v>135</v>
      </c>
      <c r="H124" s="76" t="s">
        <v>235</v>
      </c>
      <c r="I124" s="74" t="s">
        <v>713</v>
      </c>
      <c r="J124" s="77" t="s">
        <v>859</v>
      </c>
      <c r="K124" s="74" t="s">
        <v>865</v>
      </c>
      <c r="L124" s="78" t="s">
        <v>140</v>
      </c>
      <c r="M124" s="79" t="s">
        <v>866</v>
      </c>
      <c r="N124" s="80">
        <v>45917</v>
      </c>
      <c r="O124" s="81">
        <v>45919</v>
      </c>
      <c r="P124" s="82" t="s">
        <v>239</v>
      </c>
      <c r="Q124" s="83" t="s">
        <v>240</v>
      </c>
      <c r="R124" s="72" t="s">
        <v>143</v>
      </c>
      <c r="S124" s="84" t="s">
        <v>867</v>
      </c>
      <c r="T124" s="75" t="s">
        <v>145</v>
      </c>
      <c r="U124" s="72" t="s">
        <v>868</v>
      </c>
      <c r="V124" s="77" t="s">
        <v>147</v>
      </c>
      <c r="W124" s="85" t="s">
        <v>857</v>
      </c>
      <c r="X124" s="75" t="s">
        <v>511</v>
      </c>
      <c r="Y124" s="72">
        <v>1</v>
      </c>
      <c r="Z124" s="72">
        <v>1</v>
      </c>
      <c r="AA124" s="72">
        <v>1</v>
      </c>
      <c r="AB124" s="48">
        <f>IF(V124="TIPO I",'BASE DE LIQUIDACION 2025'!$B$3,'BASE DE LIQUIDACION 2025'!$B$4)</f>
        <v>11251.22416</v>
      </c>
      <c r="AC124" s="48">
        <f>IF(V124="TIPO I",'BASE DE LIQUIDACION 2025'!$C$3,'BASE DE LIQUIDACION 2025'!$C$4)</f>
        <v>126317.12212</v>
      </c>
      <c r="AD124" s="48">
        <f>IF(V124="TIPO I",'BASE DE LIQUIDACION 2025'!$D$3,'BASE DE LIQUIDACION 2025'!$D$4)</f>
        <v>110808.27512000001</v>
      </c>
      <c r="AE124" s="52">
        <f t="shared" si="3"/>
        <v>248376.6214</v>
      </c>
    </row>
    <row r="125" spans="1:31" ht="13.15">
      <c r="A125" s="72" t="s">
        <v>274</v>
      </c>
      <c r="B125" s="44" t="str">
        <f>VLOOKUP(A125,'CENTRO DE COSTOS'!A:D,4,FALSE)</f>
        <v>MIGUEL JULIÁN HERNÁNDEZ GUARÍN</v>
      </c>
      <c r="C125" s="44" t="str">
        <f>VLOOKUP(A125,'CENTRO DE COSTOS'!A:D,2,FALSE)</f>
        <v>0004-0008</v>
      </c>
      <c r="D125" s="72">
        <v>15176</v>
      </c>
      <c r="E125" s="73" t="s">
        <v>869</v>
      </c>
      <c r="F125" s="74">
        <v>81495</v>
      </c>
      <c r="G125" s="75" t="s">
        <v>135</v>
      </c>
      <c r="H125" s="76" t="s">
        <v>235</v>
      </c>
      <c r="I125" s="74" t="s">
        <v>276</v>
      </c>
      <c r="J125" s="77" t="s">
        <v>870</v>
      </c>
      <c r="K125" s="74" t="s">
        <v>871</v>
      </c>
      <c r="L125" s="78" t="s">
        <v>140</v>
      </c>
      <c r="M125" s="79" t="s">
        <v>872</v>
      </c>
      <c r="N125" s="80">
        <v>45917</v>
      </c>
      <c r="O125" s="81">
        <v>45918</v>
      </c>
      <c r="P125" s="82" t="s">
        <v>239</v>
      </c>
      <c r="Q125" s="83" t="s">
        <v>240</v>
      </c>
      <c r="R125" s="72" t="s">
        <v>143</v>
      </c>
      <c r="S125" s="84" t="s">
        <v>825</v>
      </c>
      <c r="T125" s="75" t="s">
        <v>145</v>
      </c>
      <c r="U125" s="72" t="s">
        <v>873</v>
      </c>
      <c r="V125" s="77" t="s">
        <v>158</v>
      </c>
      <c r="W125" s="85" t="s">
        <v>159</v>
      </c>
      <c r="X125" s="75" t="s">
        <v>874</v>
      </c>
      <c r="Y125" s="72">
        <v>1</v>
      </c>
      <c r="Z125" s="72">
        <v>1</v>
      </c>
      <c r="AA125" s="72">
        <v>1</v>
      </c>
      <c r="AB125" s="48">
        <f>IF(V125="TIPO I",'BASE DE LIQUIDACION 2025'!$B$3,'BASE DE LIQUIDACION 2025'!$B$4)</f>
        <v>11251.22416</v>
      </c>
      <c r="AC125" s="48">
        <f>IF(V125="TIPO I",'BASE DE LIQUIDACION 2025'!$C$3,'BASE DE LIQUIDACION 2025'!$C$4)</f>
        <v>126317.12212</v>
      </c>
      <c r="AD125" s="48">
        <f>IF(V125="TIPO I",'BASE DE LIQUIDACION 2025'!$D$3,'BASE DE LIQUIDACION 2025'!$D$4)</f>
        <v>110808.27512000001</v>
      </c>
      <c r="AE125" s="52">
        <f t="shared" si="3"/>
        <v>248376.6214</v>
      </c>
    </row>
    <row r="126" spans="1:31" ht="13.15">
      <c r="A126" s="72" t="s">
        <v>282</v>
      </c>
      <c r="B126" s="44" t="str">
        <f>VLOOKUP(A126,'CENTRO DE COSTOS'!A:D,4,FALSE)</f>
        <v>DIEGO FERNANDO HENAO CARDONA</v>
      </c>
      <c r="C126" s="44" t="str">
        <f>VLOOKUP(A126,'CENTRO DE COSTOS'!A:D,2,FALSE)</f>
        <v>0004-0002</v>
      </c>
      <c r="D126" s="72">
        <v>17873</v>
      </c>
      <c r="E126" s="73" t="s">
        <v>875</v>
      </c>
      <c r="F126" s="74">
        <v>81515</v>
      </c>
      <c r="G126" s="75" t="s">
        <v>135</v>
      </c>
      <c r="H126" s="76" t="s">
        <v>235</v>
      </c>
      <c r="I126" s="74" t="s">
        <v>284</v>
      </c>
      <c r="J126" s="77" t="s">
        <v>876</v>
      </c>
      <c r="K126" s="74" t="s">
        <v>877</v>
      </c>
      <c r="L126" s="78" t="s">
        <v>140</v>
      </c>
      <c r="M126" s="79" t="s">
        <v>878</v>
      </c>
      <c r="N126" s="80">
        <v>45917</v>
      </c>
      <c r="O126" s="81">
        <v>45918</v>
      </c>
      <c r="P126" s="82" t="s">
        <v>239</v>
      </c>
      <c r="Q126" s="83" t="s">
        <v>240</v>
      </c>
      <c r="R126" s="72" t="s">
        <v>143</v>
      </c>
      <c r="S126" s="84" t="s">
        <v>825</v>
      </c>
      <c r="T126" s="75" t="s">
        <v>145</v>
      </c>
      <c r="U126" s="72" t="s">
        <v>879</v>
      </c>
      <c r="V126" s="77" t="s">
        <v>55</v>
      </c>
      <c r="W126" s="85" t="s">
        <v>159</v>
      </c>
      <c r="X126" s="75" t="s">
        <v>302</v>
      </c>
      <c r="Y126" s="72">
        <v>1</v>
      </c>
      <c r="Z126" s="72">
        <v>1</v>
      </c>
      <c r="AA126" s="72">
        <v>1</v>
      </c>
      <c r="AB126" s="48">
        <f>IF(V126="TIPO I",'BASE DE LIQUIDACION 2025'!$B$3,'BASE DE LIQUIDACION 2025'!$B$4)</f>
        <v>11251.22416</v>
      </c>
      <c r="AC126" s="48">
        <f>IF(V126="TIPO I",'BASE DE LIQUIDACION 2025'!$C$3,'BASE DE LIQUIDACION 2025'!$C$4)</f>
        <v>126317.12212</v>
      </c>
      <c r="AD126" s="48">
        <f>IF(V126="TIPO I",'BASE DE LIQUIDACION 2025'!$D$3,'BASE DE LIQUIDACION 2025'!$D$4)</f>
        <v>57411.974240000003</v>
      </c>
      <c r="AE126" s="52">
        <f t="shared" si="3"/>
        <v>194980.32052000001</v>
      </c>
    </row>
    <row r="127" spans="1:31" ht="13.15">
      <c r="A127" s="72" t="s">
        <v>133</v>
      </c>
      <c r="B127" s="44" t="str">
        <f>VLOOKUP(A127,'CENTRO DE COSTOS'!A:D,4,FALSE)</f>
        <v>DIEGO FERNANDO HENAO CARDONA</v>
      </c>
      <c r="C127" s="44" t="str">
        <f>VLOOKUP(A127,'CENTRO DE COSTOS'!A:D,2,FALSE)</f>
        <v>0004-0003</v>
      </c>
      <c r="D127" s="72">
        <v>52001</v>
      </c>
      <c r="E127" s="73" t="s">
        <v>880</v>
      </c>
      <c r="F127" s="74">
        <v>81504</v>
      </c>
      <c r="G127" s="75" t="s">
        <v>135</v>
      </c>
      <c r="H127" s="76" t="s">
        <v>235</v>
      </c>
      <c r="I127" s="74" t="s">
        <v>137</v>
      </c>
      <c r="J127" s="77" t="s">
        <v>133</v>
      </c>
      <c r="K127" s="74" t="s">
        <v>881</v>
      </c>
      <c r="L127" s="78" t="s">
        <v>140</v>
      </c>
      <c r="M127" s="79" t="s">
        <v>882</v>
      </c>
      <c r="N127" s="80">
        <v>45917</v>
      </c>
      <c r="O127" s="81">
        <v>45918</v>
      </c>
      <c r="P127" s="82" t="s">
        <v>239</v>
      </c>
      <c r="Q127" s="83" t="s">
        <v>240</v>
      </c>
      <c r="R127" s="72" t="s">
        <v>143</v>
      </c>
      <c r="S127" s="84" t="s">
        <v>825</v>
      </c>
      <c r="T127" s="75" t="s">
        <v>145</v>
      </c>
      <c r="U127" s="72" t="s">
        <v>883</v>
      </c>
      <c r="V127" s="77" t="s">
        <v>55</v>
      </c>
      <c r="W127" s="85" t="s">
        <v>159</v>
      </c>
      <c r="X127" s="75" t="s">
        <v>884</v>
      </c>
      <c r="Y127" s="72">
        <v>1</v>
      </c>
      <c r="Z127" s="72">
        <v>1</v>
      </c>
      <c r="AA127" s="72">
        <v>1</v>
      </c>
      <c r="AB127" s="48">
        <f>IF(V127="TIPO I",'BASE DE LIQUIDACION 2025'!$B$3,'BASE DE LIQUIDACION 2025'!$B$4)</f>
        <v>11251.22416</v>
      </c>
      <c r="AC127" s="48">
        <f>IF(V127="TIPO I",'BASE DE LIQUIDACION 2025'!$C$3,'BASE DE LIQUIDACION 2025'!$C$4)</f>
        <v>126317.12212</v>
      </c>
      <c r="AD127" s="48">
        <f>IF(V127="TIPO I",'BASE DE LIQUIDACION 2025'!$D$3,'BASE DE LIQUIDACION 2025'!$D$4)</f>
        <v>57411.974240000003</v>
      </c>
      <c r="AE127" s="52">
        <f t="shared" si="3"/>
        <v>194980.32052000001</v>
      </c>
    </row>
    <row r="128" spans="1:31" ht="13.15">
      <c r="A128" s="72" t="s">
        <v>133</v>
      </c>
      <c r="B128" s="44" t="str">
        <f>VLOOKUP(A128,'CENTRO DE COSTOS'!A:D,4,FALSE)</f>
        <v>DIEGO FERNANDO HENAO CARDONA</v>
      </c>
      <c r="C128" s="44" t="str">
        <f>VLOOKUP(A128,'CENTRO DE COSTOS'!A:D,2,FALSE)</f>
        <v>0004-0003</v>
      </c>
      <c r="D128" s="72">
        <v>52356</v>
      </c>
      <c r="E128" s="73" t="s">
        <v>885</v>
      </c>
      <c r="F128" s="74">
        <v>81502</v>
      </c>
      <c r="G128" s="75" t="s">
        <v>135</v>
      </c>
      <c r="H128" s="76" t="s">
        <v>235</v>
      </c>
      <c r="I128" s="74" t="s">
        <v>137</v>
      </c>
      <c r="J128" s="77" t="s">
        <v>886</v>
      </c>
      <c r="K128" s="74" t="s">
        <v>887</v>
      </c>
      <c r="L128" s="78" t="s">
        <v>140</v>
      </c>
      <c r="M128" s="79" t="s">
        <v>888</v>
      </c>
      <c r="N128" s="80">
        <v>45917</v>
      </c>
      <c r="O128" s="81">
        <v>45918</v>
      </c>
      <c r="P128" s="82" t="s">
        <v>239</v>
      </c>
      <c r="Q128" s="83" t="s">
        <v>240</v>
      </c>
      <c r="R128" s="72" t="s">
        <v>196</v>
      </c>
      <c r="S128" s="84" t="s">
        <v>889</v>
      </c>
      <c r="T128" s="75" t="s">
        <v>145</v>
      </c>
      <c r="U128" s="72" t="s">
        <v>890</v>
      </c>
      <c r="V128" s="77" t="s">
        <v>199</v>
      </c>
      <c r="W128" s="85" t="s">
        <v>159</v>
      </c>
      <c r="X128" s="75" t="s">
        <v>200</v>
      </c>
      <c r="Y128" s="72">
        <v>0</v>
      </c>
      <c r="Z128" s="72">
        <v>0</v>
      </c>
      <c r="AA128" s="72">
        <v>2</v>
      </c>
      <c r="AB128" s="48">
        <f>IF(V128="TIPO I",'BASE DE LIQUIDACION 2025'!$B$3,'BASE DE LIQUIDACION 2025'!$B$4)</f>
        <v>11251.22416</v>
      </c>
      <c r="AC128" s="48">
        <f>IF(V128="TIPO I",'BASE DE LIQUIDACION 2025'!$C$3,'BASE DE LIQUIDACION 2025'!$C$4)</f>
        <v>126317.12212</v>
      </c>
      <c r="AD128" s="48">
        <f>IF(V128="TIPO I",'BASE DE LIQUIDACION 2025'!$D$3,'BASE DE LIQUIDACION 2025'!$D$4)</f>
        <v>110808.27512000001</v>
      </c>
      <c r="AE128" s="52">
        <f t="shared" si="3"/>
        <v>221616.55024000001</v>
      </c>
    </row>
    <row r="129" spans="1:31" ht="13.15">
      <c r="A129" s="72" t="s">
        <v>133</v>
      </c>
      <c r="B129" s="44" t="str">
        <f>VLOOKUP(A129,'CENTRO DE COSTOS'!A:D,4,FALSE)</f>
        <v>DIEGO FERNANDO HENAO CARDONA</v>
      </c>
      <c r="C129" s="44" t="str">
        <f>VLOOKUP(A129,'CENTRO DE COSTOS'!A:D,2,FALSE)</f>
        <v>0004-0003</v>
      </c>
      <c r="D129" s="72">
        <v>52678</v>
      </c>
      <c r="E129" s="73" t="s">
        <v>891</v>
      </c>
      <c r="F129" s="74">
        <v>81507</v>
      </c>
      <c r="G129" s="75" t="s">
        <v>135</v>
      </c>
      <c r="H129" s="76" t="s">
        <v>235</v>
      </c>
      <c r="I129" s="74" t="s">
        <v>137</v>
      </c>
      <c r="J129" s="77" t="s">
        <v>892</v>
      </c>
      <c r="K129" s="74" t="s">
        <v>893</v>
      </c>
      <c r="L129" s="78" t="s">
        <v>140</v>
      </c>
      <c r="M129" s="79" t="s">
        <v>894</v>
      </c>
      <c r="N129" s="80">
        <v>45917</v>
      </c>
      <c r="O129" s="81">
        <v>45922</v>
      </c>
      <c r="P129" s="82" t="s">
        <v>239</v>
      </c>
      <c r="Q129" s="83" t="s">
        <v>240</v>
      </c>
      <c r="R129" s="72" t="s">
        <v>143</v>
      </c>
      <c r="S129" s="84" t="s">
        <v>895</v>
      </c>
      <c r="T129" s="75" t="s">
        <v>145</v>
      </c>
      <c r="U129" s="72" t="s">
        <v>896</v>
      </c>
      <c r="V129" s="77" t="s">
        <v>158</v>
      </c>
      <c r="W129" s="85" t="s">
        <v>159</v>
      </c>
      <c r="X129" s="75" t="s">
        <v>251</v>
      </c>
      <c r="Y129" s="72">
        <v>1</v>
      </c>
      <c r="Z129" s="72">
        <v>1</v>
      </c>
      <c r="AA129" s="72">
        <v>1</v>
      </c>
      <c r="AB129" s="48">
        <f>IF(V129="TIPO I",'BASE DE LIQUIDACION 2025'!$B$3,'BASE DE LIQUIDACION 2025'!$B$4)</f>
        <v>11251.22416</v>
      </c>
      <c r="AC129" s="48">
        <f>IF(V129="TIPO I",'BASE DE LIQUIDACION 2025'!$C$3,'BASE DE LIQUIDACION 2025'!$C$4)</f>
        <v>126317.12212</v>
      </c>
      <c r="AD129" s="48">
        <f>IF(V129="TIPO I",'BASE DE LIQUIDACION 2025'!$D$3,'BASE DE LIQUIDACION 2025'!$D$4)</f>
        <v>110808.27512000001</v>
      </c>
      <c r="AE129" s="52">
        <f t="shared" si="3"/>
        <v>248376.6214</v>
      </c>
    </row>
    <row r="130" spans="1:31" ht="13.15">
      <c r="A130" s="72" t="s">
        <v>133</v>
      </c>
      <c r="B130" s="44" t="str">
        <f>VLOOKUP(A130,'CENTRO DE COSTOS'!A:D,4,FALSE)</f>
        <v>DIEGO FERNANDO HENAO CARDONA</v>
      </c>
      <c r="C130" s="44" t="str">
        <f>VLOOKUP(A130,'CENTRO DE COSTOS'!A:D,2,FALSE)</f>
        <v>0004-0003</v>
      </c>
      <c r="D130" s="72">
        <v>52683</v>
      </c>
      <c r="E130" s="73" t="s">
        <v>897</v>
      </c>
      <c r="F130" s="74">
        <v>81509</v>
      </c>
      <c r="G130" s="75" t="s">
        <v>135</v>
      </c>
      <c r="H130" s="76" t="s">
        <v>235</v>
      </c>
      <c r="I130" s="74" t="s">
        <v>137</v>
      </c>
      <c r="J130" s="77" t="s">
        <v>898</v>
      </c>
      <c r="K130" s="74" t="s">
        <v>899</v>
      </c>
      <c r="L130" s="78" t="s">
        <v>140</v>
      </c>
      <c r="M130" s="79" t="s">
        <v>900</v>
      </c>
      <c r="N130" s="80">
        <v>45917</v>
      </c>
      <c r="O130" s="81">
        <v>45919</v>
      </c>
      <c r="P130" s="82" t="s">
        <v>239</v>
      </c>
      <c r="Q130" s="83" t="s">
        <v>240</v>
      </c>
      <c r="R130" s="72" t="s">
        <v>143</v>
      </c>
      <c r="S130" s="84" t="s">
        <v>840</v>
      </c>
      <c r="T130" s="75" t="s">
        <v>145</v>
      </c>
      <c r="U130" s="72" t="s">
        <v>901</v>
      </c>
      <c r="V130" s="77" t="s">
        <v>199</v>
      </c>
      <c r="W130" s="85" t="s">
        <v>159</v>
      </c>
      <c r="X130" s="75" t="s">
        <v>251</v>
      </c>
      <c r="Y130" s="72">
        <v>1</v>
      </c>
      <c r="Z130" s="72">
        <v>1</v>
      </c>
      <c r="AA130" s="72">
        <v>1</v>
      </c>
      <c r="AB130" s="48">
        <f>IF(V130="TIPO I",'BASE DE LIQUIDACION 2025'!$B$3,'BASE DE LIQUIDACION 2025'!$B$4)</f>
        <v>11251.22416</v>
      </c>
      <c r="AC130" s="48">
        <f>IF(V130="TIPO I",'BASE DE LIQUIDACION 2025'!$C$3,'BASE DE LIQUIDACION 2025'!$C$4)</f>
        <v>126317.12212</v>
      </c>
      <c r="AD130" s="48">
        <f>IF(V130="TIPO I",'BASE DE LIQUIDACION 2025'!$D$3,'BASE DE LIQUIDACION 2025'!$D$4)</f>
        <v>110808.27512000001</v>
      </c>
      <c r="AE130" s="52">
        <f t="shared" si="3"/>
        <v>248376.6214</v>
      </c>
    </row>
    <row r="131" spans="1:31" ht="13.15">
      <c r="A131" s="72" t="s">
        <v>168</v>
      </c>
      <c r="B131" s="44" t="str">
        <f>VLOOKUP(A131,'CENTRO DE COSTOS'!A:D,4,FALSE)</f>
        <v>DIEGO FERNANDO HENAO CARDONA</v>
      </c>
      <c r="C131" s="44" t="str">
        <f>VLOOKUP(A131,'CENTRO DE COSTOS'!A:D,2,FALSE)</f>
        <v>0004-0002</v>
      </c>
      <c r="D131" s="72">
        <v>76895</v>
      </c>
      <c r="E131" s="73" t="s">
        <v>902</v>
      </c>
      <c r="F131" s="74">
        <v>81519</v>
      </c>
      <c r="G131" s="75" t="s">
        <v>135</v>
      </c>
      <c r="H131" s="76" t="s">
        <v>235</v>
      </c>
      <c r="I131" s="74" t="s">
        <v>229</v>
      </c>
      <c r="J131" s="77" t="s">
        <v>903</v>
      </c>
      <c r="K131" s="74" t="s">
        <v>904</v>
      </c>
      <c r="L131" s="78" t="s">
        <v>140</v>
      </c>
      <c r="M131" s="79" t="s">
        <v>905</v>
      </c>
      <c r="N131" s="80">
        <v>45917</v>
      </c>
      <c r="O131" s="81">
        <v>45918</v>
      </c>
      <c r="P131" s="82" t="s">
        <v>239</v>
      </c>
      <c r="Q131" s="83" t="s">
        <v>240</v>
      </c>
      <c r="R131" s="72" t="s">
        <v>143</v>
      </c>
      <c r="S131" s="84" t="s">
        <v>825</v>
      </c>
      <c r="T131" s="75" t="s">
        <v>145</v>
      </c>
      <c r="U131" s="72" t="s">
        <v>906</v>
      </c>
      <c r="V131" s="77" t="s">
        <v>158</v>
      </c>
      <c r="W131" s="85" t="s">
        <v>159</v>
      </c>
      <c r="X131" s="75" t="s">
        <v>175</v>
      </c>
      <c r="Y131" s="72">
        <v>1</v>
      </c>
      <c r="Z131" s="72">
        <v>1</v>
      </c>
      <c r="AA131" s="72">
        <v>1</v>
      </c>
      <c r="AB131" s="48">
        <f>IF(V131="TIPO I",'BASE DE LIQUIDACION 2025'!$B$3,'BASE DE LIQUIDACION 2025'!$B$4)</f>
        <v>11251.22416</v>
      </c>
      <c r="AC131" s="48">
        <f>IF(V131="TIPO I",'BASE DE LIQUIDACION 2025'!$C$3,'BASE DE LIQUIDACION 2025'!$C$4)</f>
        <v>126317.12212</v>
      </c>
      <c r="AD131" s="48">
        <f>IF(V131="TIPO I",'BASE DE LIQUIDACION 2025'!$D$3,'BASE DE LIQUIDACION 2025'!$D$4)</f>
        <v>110808.27512000001</v>
      </c>
      <c r="AE131" s="52">
        <f t="shared" si="3"/>
        <v>248376.6214</v>
      </c>
    </row>
    <row r="132" spans="1:31" ht="13.15">
      <c r="A132" s="72" t="s">
        <v>219</v>
      </c>
      <c r="B132" s="44" t="str">
        <f>VLOOKUP(A132,'CENTRO DE COSTOS'!A:D,4,FALSE)</f>
        <v>MIGUEL JULIÁN HERNÁNDEZ GUARÍN</v>
      </c>
      <c r="C132" s="44" t="str">
        <f>VLOOKUP(A132,'CENTRO DE COSTOS'!A:D,2,FALSE)</f>
        <v>0004-0008</v>
      </c>
      <c r="D132" s="72">
        <v>81001</v>
      </c>
      <c r="E132" s="73" t="s">
        <v>907</v>
      </c>
      <c r="F132" s="74">
        <v>81492</v>
      </c>
      <c r="G132" s="75" t="s">
        <v>135</v>
      </c>
      <c r="H132" s="76" t="s">
        <v>235</v>
      </c>
      <c r="I132" s="74" t="s">
        <v>908</v>
      </c>
      <c r="J132" s="77" t="s">
        <v>908</v>
      </c>
      <c r="K132" s="74" t="s">
        <v>909</v>
      </c>
      <c r="L132" s="78" t="s">
        <v>140</v>
      </c>
      <c r="M132" s="79" t="s">
        <v>910</v>
      </c>
      <c r="N132" s="80">
        <v>45917</v>
      </c>
      <c r="O132" s="81">
        <v>45925</v>
      </c>
      <c r="P132" s="82" t="s">
        <v>239</v>
      </c>
      <c r="Q132" s="83" t="s">
        <v>240</v>
      </c>
      <c r="R132" s="72" t="s">
        <v>143</v>
      </c>
      <c r="S132" s="84" t="s">
        <v>911</v>
      </c>
      <c r="T132" s="75" t="s">
        <v>145</v>
      </c>
      <c r="U132" s="72" t="s">
        <v>912</v>
      </c>
      <c r="V132" s="77" t="s">
        <v>147</v>
      </c>
      <c r="W132" s="85" t="s">
        <v>190</v>
      </c>
      <c r="X132" s="75" t="s">
        <v>913</v>
      </c>
      <c r="Y132" s="72">
        <v>1</v>
      </c>
      <c r="Z132" s="72">
        <v>1</v>
      </c>
      <c r="AA132" s="72">
        <v>1</v>
      </c>
      <c r="AB132" s="48">
        <f>IF(V132="TIPO I",'BASE DE LIQUIDACION 2025'!$B$3,'BASE DE LIQUIDACION 2025'!$B$4)</f>
        <v>11251.22416</v>
      </c>
      <c r="AC132" s="48">
        <f>IF(V132="TIPO I",'BASE DE LIQUIDACION 2025'!$C$3,'BASE DE LIQUIDACION 2025'!$C$4)</f>
        <v>126317.12212</v>
      </c>
      <c r="AD132" s="48">
        <f>IF(V132="TIPO I",'BASE DE LIQUIDACION 2025'!$D$3,'BASE DE LIQUIDACION 2025'!$D$4)</f>
        <v>110808.27512000001</v>
      </c>
      <c r="AE132" s="52">
        <f t="shared" si="3"/>
        <v>248376.6214</v>
      </c>
    </row>
    <row r="133" spans="1:31" ht="13.15">
      <c r="A133" s="72" t="s">
        <v>219</v>
      </c>
      <c r="B133" s="44" t="str">
        <f>VLOOKUP(A133,'CENTRO DE COSTOS'!A:D,4,FALSE)</f>
        <v>MIGUEL JULIÁN HERNÁNDEZ GUARÍN</v>
      </c>
      <c r="C133" s="44" t="str">
        <f>VLOOKUP(A133,'CENTRO DE COSTOS'!A:D,2,FALSE)</f>
        <v>0004-0008</v>
      </c>
      <c r="D133" s="72">
        <v>81736</v>
      </c>
      <c r="E133" s="73" t="s">
        <v>914</v>
      </c>
      <c r="F133" s="74">
        <v>81512</v>
      </c>
      <c r="G133" s="75" t="s">
        <v>135</v>
      </c>
      <c r="H133" s="76" t="s">
        <v>235</v>
      </c>
      <c r="I133" s="74" t="s">
        <v>908</v>
      </c>
      <c r="J133" s="77" t="s">
        <v>915</v>
      </c>
      <c r="K133" s="74" t="s">
        <v>916</v>
      </c>
      <c r="L133" s="78" t="s">
        <v>140</v>
      </c>
      <c r="M133" s="79" t="s">
        <v>917</v>
      </c>
      <c r="N133" s="80">
        <v>45917</v>
      </c>
      <c r="O133" s="81">
        <v>45923</v>
      </c>
      <c r="P133" s="82" t="s">
        <v>239</v>
      </c>
      <c r="Q133" s="83" t="s">
        <v>240</v>
      </c>
      <c r="R133" s="72" t="s">
        <v>143</v>
      </c>
      <c r="S133" s="84" t="s">
        <v>918</v>
      </c>
      <c r="T133" s="75" t="s">
        <v>145</v>
      </c>
      <c r="U133" s="72" t="s">
        <v>919</v>
      </c>
      <c r="V133" s="77" t="s">
        <v>147</v>
      </c>
      <c r="W133" s="85" t="s">
        <v>190</v>
      </c>
      <c r="X133" s="75" t="s">
        <v>913</v>
      </c>
      <c r="Y133" s="72">
        <v>1</v>
      </c>
      <c r="Z133" s="72">
        <v>1</v>
      </c>
      <c r="AA133" s="72">
        <v>1</v>
      </c>
      <c r="AB133" s="48">
        <f>IF(V133="TIPO I",'BASE DE LIQUIDACION 2025'!$B$3,'BASE DE LIQUIDACION 2025'!$B$4)</f>
        <v>11251.22416</v>
      </c>
      <c r="AC133" s="48">
        <f>IF(V133="TIPO I",'BASE DE LIQUIDACION 2025'!$C$3,'BASE DE LIQUIDACION 2025'!$C$4)</f>
        <v>126317.12212</v>
      </c>
      <c r="AD133" s="48">
        <f>IF(V133="TIPO I",'BASE DE LIQUIDACION 2025'!$D$3,'BASE DE LIQUIDACION 2025'!$D$4)</f>
        <v>110808.27512000001</v>
      </c>
      <c r="AE133" s="52">
        <f t="shared" si="3"/>
        <v>248376.6214</v>
      </c>
    </row>
    <row r="134" spans="1:31" ht="13.15">
      <c r="A134" s="72" t="s">
        <v>920</v>
      </c>
      <c r="B134" s="44" t="str">
        <f>VLOOKUP(A134,'CENTRO DE COSTOS'!A:D,4,FALSE)</f>
        <v>KEVIN ALEXIS CORZO BUSTOS</v>
      </c>
      <c r="C134" s="44" t="str">
        <f>VLOOKUP(A134,'CENTRO DE COSTOS'!A:D,2,FALSE)</f>
        <v>0004-0007</v>
      </c>
      <c r="D134" s="72">
        <v>85001</v>
      </c>
      <c r="E134" s="73" t="s">
        <v>921</v>
      </c>
      <c r="F134" s="74">
        <v>81518</v>
      </c>
      <c r="G134" s="75" t="s">
        <v>135</v>
      </c>
      <c r="H134" s="76" t="s">
        <v>235</v>
      </c>
      <c r="I134" s="74" t="s">
        <v>922</v>
      </c>
      <c r="J134" s="77" t="s">
        <v>920</v>
      </c>
      <c r="K134" s="74" t="s">
        <v>923</v>
      </c>
      <c r="L134" s="78" t="s">
        <v>140</v>
      </c>
      <c r="M134" s="79" t="s">
        <v>924</v>
      </c>
      <c r="N134" s="80">
        <v>45917</v>
      </c>
      <c r="O134" s="81">
        <v>45919</v>
      </c>
      <c r="P134" s="82" t="s">
        <v>239</v>
      </c>
      <c r="Q134" s="83" t="s">
        <v>240</v>
      </c>
      <c r="R134" s="72" t="s">
        <v>143</v>
      </c>
      <c r="S134" s="84" t="s">
        <v>840</v>
      </c>
      <c r="T134" s="75" t="s">
        <v>145</v>
      </c>
      <c r="U134" s="72" t="s">
        <v>925</v>
      </c>
      <c r="V134" s="77" t="s">
        <v>55</v>
      </c>
      <c r="W134" s="85" t="s">
        <v>159</v>
      </c>
      <c r="X134" s="75" t="s">
        <v>218</v>
      </c>
      <c r="Y134" s="72">
        <v>1</v>
      </c>
      <c r="Z134" s="72">
        <v>1</v>
      </c>
      <c r="AA134" s="72">
        <v>1</v>
      </c>
      <c r="AB134" s="48">
        <f>IF(V134="TIPO I",'BASE DE LIQUIDACION 2025'!$B$3,'BASE DE LIQUIDACION 2025'!$B$4)</f>
        <v>11251.22416</v>
      </c>
      <c r="AC134" s="48">
        <f>IF(V134="TIPO I",'BASE DE LIQUIDACION 2025'!$C$3,'BASE DE LIQUIDACION 2025'!$C$4)</f>
        <v>126317.12212</v>
      </c>
      <c r="AD134" s="48">
        <f>IF(V134="TIPO I",'BASE DE LIQUIDACION 2025'!$D$3,'BASE DE LIQUIDACION 2025'!$D$4)</f>
        <v>57411.974240000003</v>
      </c>
      <c r="AE134" s="52">
        <f t="shared" si="3"/>
        <v>194980.32052000001</v>
      </c>
    </row>
    <row r="135" spans="1:31" ht="13.15">
      <c r="A135" s="72" t="s">
        <v>920</v>
      </c>
      <c r="B135" s="44" t="str">
        <f>VLOOKUP(A135,'CENTRO DE COSTOS'!A:D,4,FALSE)</f>
        <v>KEVIN ALEXIS CORZO BUSTOS</v>
      </c>
      <c r="C135" s="44" t="str">
        <f>VLOOKUP(A135,'CENTRO DE COSTOS'!A:D,2,FALSE)</f>
        <v>0004-0007</v>
      </c>
      <c r="D135" s="72">
        <v>85001</v>
      </c>
      <c r="E135" s="73" t="s">
        <v>926</v>
      </c>
      <c r="F135" s="74">
        <v>81517</v>
      </c>
      <c r="G135" s="75" t="s">
        <v>135</v>
      </c>
      <c r="H135" s="76" t="s">
        <v>235</v>
      </c>
      <c r="I135" s="74" t="s">
        <v>922</v>
      </c>
      <c r="J135" s="77" t="s">
        <v>920</v>
      </c>
      <c r="K135" s="74" t="s">
        <v>927</v>
      </c>
      <c r="L135" s="78" t="s">
        <v>140</v>
      </c>
      <c r="M135" s="79" t="s">
        <v>928</v>
      </c>
      <c r="N135" s="80">
        <v>45917</v>
      </c>
      <c r="O135" s="81">
        <v>45918</v>
      </c>
      <c r="P135" s="82" t="s">
        <v>239</v>
      </c>
      <c r="Q135" s="83" t="s">
        <v>240</v>
      </c>
      <c r="R135" s="72" t="s">
        <v>143</v>
      </c>
      <c r="S135" s="84" t="s">
        <v>825</v>
      </c>
      <c r="T135" s="75" t="s">
        <v>145</v>
      </c>
      <c r="U135" s="72" t="s">
        <v>929</v>
      </c>
      <c r="V135" s="77" t="s">
        <v>55</v>
      </c>
      <c r="W135" s="85" t="s">
        <v>159</v>
      </c>
      <c r="X135" s="75" t="s">
        <v>218</v>
      </c>
      <c r="Y135" s="72">
        <v>1</v>
      </c>
      <c r="Z135" s="72">
        <v>1</v>
      </c>
      <c r="AA135" s="72">
        <v>1</v>
      </c>
      <c r="AB135" s="48">
        <f>IF(V135="TIPO I",'BASE DE LIQUIDACION 2025'!$B$3,'BASE DE LIQUIDACION 2025'!$B$4)</f>
        <v>11251.22416</v>
      </c>
      <c r="AC135" s="48">
        <f>IF(V135="TIPO I",'BASE DE LIQUIDACION 2025'!$C$3,'BASE DE LIQUIDACION 2025'!$C$4)</f>
        <v>126317.12212</v>
      </c>
      <c r="AD135" s="48">
        <f>IF(V135="TIPO I",'BASE DE LIQUIDACION 2025'!$D$3,'BASE DE LIQUIDACION 2025'!$D$4)</f>
        <v>57411.974240000003</v>
      </c>
      <c r="AE135" s="52">
        <f t="shared" si="3"/>
        <v>194980.32052000001</v>
      </c>
    </row>
    <row r="136" spans="1:31" ht="13.15">
      <c r="A136" s="72" t="s">
        <v>920</v>
      </c>
      <c r="B136" s="44" t="str">
        <f>VLOOKUP(A136,'CENTRO DE COSTOS'!A:D,4,FALSE)</f>
        <v>KEVIN ALEXIS CORZO BUSTOS</v>
      </c>
      <c r="C136" s="44" t="str">
        <f>VLOOKUP(A136,'CENTRO DE COSTOS'!A:D,2,FALSE)</f>
        <v>0004-0007</v>
      </c>
      <c r="D136" s="72">
        <v>85010</v>
      </c>
      <c r="E136" s="73" t="s">
        <v>930</v>
      </c>
      <c r="F136" s="74">
        <v>81491</v>
      </c>
      <c r="G136" s="75" t="s">
        <v>135</v>
      </c>
      <c r="H136" s="76" t="s">
        <v>235</v>
      </c>
      <c r="I136" s="74" t="s">
        <v>922</v>
      </c>
      <c r="J136" s="77" t="s">
        <v>931</v>
      </c>
      <c r="K136" s="74" t="s">
        <v>932</v>
      </c>
      <c r="L136" s="78" t="s">
        <v>140</v>
      </c>
      <c r="M136" s="79" t="s">
        <v>933</v>
      </c>
      <c r="N136" s="80">
        <v>45917</v>
      </c>
      <c r="O136" s="81">
        <v>45918</v>
      </c>
      <c r="P136" s="82" t="s">
        <v>239</v>
      </c>
      <c r="Q136" s="83" t="s">
        <v>240</v>
      </c>
      <c r="R136" s="72" t="s">
        <v>143</v>
      </c>
      <c r="S136" s="84" t="s">
        <v>825</v>
      </c>
      <c r="T136" s="75" t="s">
        <v>145</v>
      </c>
      <c r="U136" s="72" t="s">
        <v>934</v>
      </c>
      <c r="V136" s="77" t="s">
        <v>199</v>
      </c>
      <c r="W136" s="85" t="s">
        <v>159</v>
      </c>
      <c r="X136" s="75" t="s">
        <v>218</v>
      </c>
      <c r="Y136" s="72">
        <v>1</v>
      </c>
      <c r="Z136" s="72">
        <v>1</v>
      </c>
      <c r="AA136" s="72">
        <v>1</v>
      </c>
      <c r="AB136" s="48">
        <f>IF(V136="TIPO I",'BASE DE LIQUIDACION 2025'!$B$3,'BASE DE LIQUIDACION 2025'!$B$4)</f>
        <v>11251.22416</v>
      </c>
      <c r="AC136" s="48">
        <f>IF(V136="TIPO I",'BASE DE LIQUIDACION 2025'!$C$3,'BASE DE LIQUIDACION 2025'!$C$4)</f>
        <v>126317.12212</v>
      </c>
      <c r="AD136" s="48">
        <f>IF(V136="TIPO I",'BASE DE LIQUIDACION 2025'!$D$3,'BASE DE LIQUIDACION 2025'!$D$4)</f>
        <v>110808.27512000001</v>
      </c>
      <c r="AE136" s="52">
        <f t="shared" si="3"/>
        <v>248376.6214</v>
      </c>
    </row>
    <row r="137" spans="1:31" ht="13.15">
      <c r="A137" s="72" t="s">
        <v>920</v>
      </c>
      <c r="B137" s="44" t="str">
        <f>VLOOKUP(A137,'CENTRO DE COSTOS'!A:D,4,FALSE)</f>
        <v>KEVIN ALEXIS CORZO BUSTOS</v>
      </c>
      <c r="C137" s="44" t="str">
        <f>VLOOKUP(A137,'CENTRO DE COSTOS'!A:D,2,FALSE)</f>
        <v>0004-0007</v>
      </c>
      <c r="D137" s="72">
        <v>85225</v>
      </c>
      <c r="E137" s="73" t="s">
        <v>935</v>
      </c>
      <c r="F137" s="74">
        <v>81503</v>
      </c>
      <c r="G137" s="75" t="s">
        <v>135</v>
      </c>
      <c r="H137" s="76" t="s">
        <v>235</v>
      </c>
      <c r="I137" s="74" t="s">
        <v>922</v>
      </c>
      <c r="J137" s="77" t="s">
        <v>936</v>
      </c>
      <c r="K137" s="74" t="s">
        <v>937</v>
      </c>
      <c r="L137" s="78" t="s">
        <v>140</v>
      </c>
      <c r="M137" s="79" t="s">
        <v>938</v>
      </c>
      <c r="N137" s="80">
        <v>45917</v>
      </c>
      <c r="O137" s="81">
        <v>45919</v>
      </c>
      <c r="P137" s="82" t="s">
        <v>239</v>
      </c>
      <c r="Q137" s="83" t="s">
        <v>240</v>
      </c>
      <c r="R137" s="72" t="s">
        <v>143</v>
      </c>
      <c r="S137" s="84" t="s">
        <v>840</v>
      </c>
      <c r="T137" s="75" t="s">
        <v>145</v>
      </c>
      <c r="U137" s="72" t="s">
        <v>939</v>
      </c>
      <c r="V137" s="77" t="s">
        <v>199</v>
      </c>
      <c r="W137" s="85" t="s">
        <v>159</v>
      </c>
      <c r="X137" s="75" t="s">
        <v>218</v>
      </c>
      <c r="Y137" s="72">
        <v>1</v>
      </c>
      <c r="Z137" s="72">
        <v>1</v>
      </c>
      <c r="AA137" s="72">
        <v>1</v>
      </c>
      <c r="AB137" s="48">
        <f>IF(V137="TIPO I",'BASE DE LIQUIDACION 2025'!$B$3,'BASE DE LIQUIDACION 2025'!$B$4)</f>
        <v>11251.22416</v>
      </c>
      <c r="AC137" s="48">
        <f>IF(V137="TIPO I",'BASE DE LIQUIDACION 2025'!$C$3,'BASE DE LIQUIDACION 2025'!$C$4)</f>
        <v>126317.12212</v>
      </c>
      <c r="AD137" s="48">
        <f>IF(V137="TIPO I",'BASE DE LIQUIDACION 2025'!$D$3,'BASE DE LIQUIDACION 2025'!$D$4)</f>
        <v>110808.27512000001</v>
      </c>
      <c r="AE137" s="52">
        <f t="shared" si="3"/>
        <v>248376.6214</v>
      </c>
    </row>
    <row r="138" spans="1:31" ht="13.15">
      <c r="A138" s="72" t="s">
        <v>133</v>
      </c>
      <c r="B138" s="44" t="str">
        <f>VLOOKUP(A138,'CENTRO DE COSTOS'!A:D,4,FALSE)</f>
        <v>DIEGO FERNANDO HENAO CARDONA</v>
      </c>
      <c r="C138" s="44" t="str">
        <f>VLOOKUP(A138,'CENTRO DE COSTOS'!A:D,2,FALSE)</f>
        <v>0004-0003</v>
      </c>
      <c r="D138" s="72">
        <v>86749</v>
      </c>
      <c r="E138" s="73" t="s">
        <v>940</v>
      </c>
      <c r="F138" s="74">
        <v>81514</v>
      </c>
      <c r="G138" s="75" t="s">
        <v>135</v>
      </c>
      <c r="H138" s="76" t="s">
        <v>235</v>
      </c>
      <c r="I138" s="74" t="s">
        <v>245</v>
      </c>
      <c r="J138" s="77" t="s">
        <v>941</v>
      </c>
      <c r="K138" s="74" t="s">
        <v>942</v>
      </c>
      <c r="L138" s="78" t="s">
        <v>140</v>
      </c>
      <c r="M138" s="79" t="s">
        <v>943</v>
      </c>
      <c r="N138" s="80">
        <v>45917</v>
      </c>
      <c r="O138" s="81">
        <v>45919</v>
      </c>
      <c r="P138" s="82" t="s">
        <v>239</v>
      </c>
      <c r="Q138" s="83" t="s">
        <v>240</v>
      </c>
      <c r="R138" s="72" t="s">
        <v>143</v>
      </c>
      <c r="S138" s="84" t="s">
        <v>840</v>
      </c>
      <c r="T138" s="75" t="s">
        <v>145</v>
      </c>
      <c r="U138" s="72" t="s">
        <v>944</v>
      </c>
      <c r="V138" s="77" t="s">
        <v>158</v>
      </c>
      <c r="W138" s="85" t="s">
        <v>159</v>
      </c>
      <c r="X138" s="75" t="s">
        <v>200</v>
      </c>
      <c r="Y138" s="72">
        <v>1</v>
      </c>
      <c r="Z138" s="72">
        <v>1</v>
      </c>
      <c r="AA138" s="72">
        <v>1</v>
      </c>
      <c r="AB138" s="48">
        <f>IF(V138="TIPO I",'BASE DE LIQUIDACION 2025'!$B$3,'BASE DE LIQUIDACION 2025'!$B$4)</f>
        <v>11251.22416</v>
      </c>
      <c r="AC138" s="48">
        <f>IF(V138="TIPO I",'BASE DE LIQUIDACION 2025'!$C$3,'BASE DE LIQUIDACION 2025'!$C$4)</f>
        <v>126317.12212</v>
      </c>
      <c r="AD138" s="48">
        <f>IF(V138="TIPO I",'BASE DE LIQUIDACION 2025'!$D$3,'BASE DE LIQUIDACION 2025'!$D$4)</f>
        <v>110808.27512000001</v>
      </c>
      <c r="AE138" s="52">
        <f t="shared" si="3"/>
        <v>248376.6214</v>
      </c>
    </row>
    <row r="139" spans="1:31" ht="13.15">
      <c r="A139" s="72" t="s">
        <v>259</v>
      </c>
      <c r="B139" s="44" t="str">
        <f>VLOOKUP(A139,'CENTRO DE COSTOS'!A:D,4,FALSE)</f>
        <v>JUAN SEBASTIÁN RÍOS CASTRILLÓN</v>
      </c>
      <c r="C139" s="44" t="str">
        <f>VLOOKUP(A139,'CENTRO DE COSTOS'!A:D,2,FALSE)</f>
        <v>0004-0005</v>
      </c>
      <c r="D139" s="72">
        <v>5045</v>
      </c>
      <c r="E139" s="73" t="s">
        <v>945</v>
      </c>
      <c r="F139" s="74">
        <v>81497</v>
      </c>
      <c r="G139" s="75" t="s">
        <v>135</v>
      </c>
      <c r="H139" s="76" t="s">
        <v>235</v>
      </c>
      <c r="I139" s="74" t="s">
        <v>253</v>
      </c>
      <c r="J139" s="77" t="s">
        <v>259</v>
      </c>
      <c r="K139" s="74" t="s">
        <v>946</v>
      </c>
      <c r="L139" s="78" t="s">
        <v>140</v>
      </c>
      <c r="M139" s="79" t="s">
        <v>947</v>
      </c>
      <c r="N139" s="80">
        <v>45917</v>
      </c>
      <c r="O139" s="81">
        <v>45924</v>
      </c>
      <c r="P139" s="82" t="s">
        <v>239</v>
      </c>
      <c r="Q139" s="83" t="s">
        <v>240</v>
      </c>
      <c r="R139" s="72" t="s">
        <v>143</v>
      </c>
      <c r="S139" s="84" t="s">
        <v>948</v>
      </c>
      <c r="T139" s="75" t="s">
        <v>145</v>
      </c>
      <c r="U139" s="72" t="s">
        <v>949</v>
      </c>
      <c r="V139" s="77" t="s">
        <v>55</v>
      </c>
      <c r="W139" s="85" t="s">
        <v>159</v>
      </c>
      <c r="X139" s="75" t="s">
        <v>266</v>
      </c>
      <c r="Y139" s="72">
        <v>1</v>
      </c>
      <c r="Z139" s="72">
        <v>1</v>
      </c>
      <c r="AA139" s="72">
        <v>1</v>
      </c>
      <c r="AB139" s="48">
        <f>IF(V139="TIPO I",'BASE DE LIQUIDACION 2025'!$B$3,'BASE DE LIQUIDACION 2025'!$B$4)</f>
        <v>11251.22416</v>
      </c>
      <c r="AC139" s="48">
        <f>IF(V139="TIPO I",'BASE DE LIQUIDACION 2025'!$C$3,'BASE DE LIQUIDACION 2025'!$C$4)</f>
        <v>126317.12212</v>
      </c>
      <c r="AD139" s="48">
        <f>IF(V139="TIPO I",'BASE DE LIQUIDACION 2025'!$D$3,'BASE DE LIQUIDACION 2025'!$D$4)</f>
        <v>57411.974240000003</v>
      </c>
      <c r="AE139" s="52">
        <f t="shared" si="3"/>
        <v>194980.32052000001</v>
      </c>
    </row>
    <row r="140" spans="1:31" ht="13.15">
      <c r="A140" s="72" t="s">
        <v>259</v>
      </c>
      <c r="B140" s="44" t="str">
        <f>VLOOKUP(A140,'CENTRO DE COSTOS'!A:D,4,FALSE)</f>
        <v>JUAN SEBASTIÁN RÍOS CASTRILLÓN</v>
      </c>
      <c r="C140" s="44" t="str">
        <f>VLOOKUP(A140,'CENTRO DE COSTOS'!A:D,2,FALSE)</f>
        <v>0004-0005</v>
      </c>
      <c r="D140" s="72">
        <v>5045</v>
      </c>
      <c r="E140" s="73" t="s">
        <v>950</v>
      </c>
      <c r="F140" s="74">
        <v>81496</v>
      </c>
      <c r="G140" s="75" t="s">
        <v>135</v>
      </c>
      <c r="H140" s="76" t="s">
        <v>235</v>
      </c>
      <c r="I140" s="74" t="s">
        <v>253</v>
      </c>
      <c r="J140" s="77" t="s">
        <v>259</v>
      </c>
      <c r="K140" s="74" t="s">
        <v>951</v>
      </c>
      <c r="L140" s="78" t="s">
        <v>140</v>
      </c>
      <c r="M140" s="79" t="s">
        <v>952</v>
      </c>
      <c r="N140" s="80">
        <v>45917</v>
      </c>
      <c r="O140" s="81">
        <v>45919</v>
      </c>
      <c r="P140" s="82" t="s">
        <v>239</v>
      </c>
      <c r="Q140" s="83" t="s">
        <v>240</v>
      </c>
      <c r="R140" s="72" t="s">
        <v>143</v>
      </c>
      <c r="S140" s="84" t="s">
        <v>840</v>
      </c>
      <c r="T140" s="75" t="s">
        <v>145</v>
      </c>
      <c r="U140" s="72" t="s">
        <v>953</v>
      </c>
      <c r="V140" s="77" t="s">
        <v>55</v>
      </c>
      <c r="W140" s="85" t="s">
        <v>159</v>
      </c>
      <c r="X140" s="75" t="s">
        <v>266</v>
      </c>
      <c r="Y140" s="72">
        <v>1</v>
      </c>
      <c r="Z140" s="72">
        <v>1</v>
      </c>
      <c r="AA140" s="72">
        <v>1</v>
      </c>
      <c r="AB140" s="48">
        <f>IF(V140="TIPO I",'BASE DE LIQUIDACION 2025'!$B$3,'BASE DE LIQUIDACION 2025'!$B$4)</f>
        <v>11251.22416</v>
      </c>
      <c r="AC140" s="48">
        <f>IF(V140="TIPO I",'BASE DE LIQUIDACION 2025'!$C$3,'BASE DE LIQUIDACION 2025'!$C$4)</f>
        <v>126317.12212</v>
      </c>
      <c r="AD140" s="48">
        <f>IF(V140="TIPO I",'BASE DE LIQUIDACION 2025'!$D$3,'BASE DE LIQUIDACION 2025'!$D$4)</f>
        <v>57411.974240000003</v>
      </c>
      <c r="AE140" s="52">
        <f t="shared" si="3"/>
        <v>194980.32052000001</v>
      </c>
    </row>
    <row r="141" spans="1:31" ht="13.15">
      <c r="A141" s="72" t="s">
        <v>259</v>
      </c>
      <c r="B141" s="44" t="str">
        <f>VLOOKUP(A141,'CENTRO DE COSTOS'!A:D,4,FALSE)</f>
        <v>JUAN SEBASTIÁN RÍOS CASTRILLÓN</v>
      </c>
      <c r="C141" s="44" t="str">
        <f>VLOOKUP(A141,'CENTRO DE COSTOS'!A:D,2,FALSE)</f>
        <v>0004-0005</v>
      </c>
      <c r="D141" s="72">
        <v>5045</v>
      </c>
      <c r="E141" s="73" t="s">
        <v>954</v>
      </c>
      <c r="F141" s="74">
        <v>81499</v>
      </c>
      <c r="G141" s="75" t="s">
        <v>135</v>
      </c>
      <c r="H141" s="76" t="s">
        <v>235</v>
      </c>
      <c r="I141" s="74" t="s">
        <v>253</v>
      </c>
      <c r="J141" s="77" t="s">
        <v>259</v>
      </c>
      <c r="K141" s="74" t="s">
        <v>955</v>
      </c>
      <c r="L141" s="78" t="s">
        <v>140</v>
      </c>
      <c r="M141" s="79" t="s">
        <v>956</v>
      </c>
      <c r="N141" s="80">
        <v>45917</v>
      </c>
      <c r="O141" s="81">
        <v>45918</v>
      </c>
      <c r="P141" s="82" t="s">
        <v>239</v>
      </c>
      <c r="Q141" s="83" t="s">
        <v>240</v>
      </c>
      <c r="R141" s="72" t="s">
        <v>143</v>
      </c>
      <c r="S141" s="84" t="s">
        <v>825</v>
      </c>
      <c r="T141" s="75" t="s">
        <v>145</v>
      </c>
      <c r="U141" s="72" t="s">
        <v>957</v>
      </c>
      <c r="V141" s="77" t="s">
        <v>55</v>
      </c>
      <c r="W141" s="85" t="s">
        <v>159</v>
      </c>
      <c r="X141" s="75" t="s">
        <v>266</v>
      </c>
      <c r="Y141" s="72">
        <v>1</v>
      </c>
      <c r="Z141" s="72">
        <v>1</v>
      </c>
      <c r="AA141" s="72">
        <v>1</v>
      </c>
      <c r="AB141" s="48">
        <f>IF(V141="TIPO I",'BASE DE LIQUIDACION 2025'!$B$3,'BASE DE LIQUIDACION 2025'!$B$4)</f>
        <v>11251.22416</v>
      </c>
      <c r="AC141" s="48">
        <f>IF(V141="TIPO I",'BASE DE LIQUIDACION 2025'!$C$3,'BASE DE LIQUIDACION 2025'!$C$4)</f>
        <v>126317.12212</v>
      </c>
      <c r="AD141" s="48">
        <f>IF(V141="TIPO I",'BASE DE LIQUIDACION 2025'!$D$3,'BASE DE LIQUIDACION 2025'!$D$4)</f>
        <v>57411.974240000003</v>
      </c>
      <c r="AE141" s="52">
        <f t="shared" si="3"/>
        <v>194980.32052000001</v>
      </c>
    </row>
    <row r="142" spans="1:31" ht="13.15">
      <c r="A142" s="72" t="s">
        <v>259</v>
      </c>
      <c r="B142" s="44" t="str">
        <f>VLOOKUP(A142,'CENTRO DE COSTOS'!A:D,4,FALSE)</f>
        <v>JUAN SEBASTIÁN RÍOS CASTRILLÓN</v>
      </c>
      <c r="C142" s="44" t="str">
        <f>VLOOKUP(A142,'CENTRO DE COSTOS'!A:D,2,FALSE)</f>
        <v>0004-0005</v>
      </c>
      <c r="D142" s="72">
        <v>5045</v>
      </c>
      <c r="E142" s="73" t="s">
        <v>958</v>
      </c>
      <c r="F142" s="74">
        <v>81498</v>
      </c>
      <c r="G142" s="75" t="s">
        <v>135</v>
      </c>
      <c r="H142" s="76" t="s">
        <v>235</v>
      </c>
      <c r="I142" s="74" t="s">
        <v>253</v>
      </c>
      <c r="J142" s="77" t="s">
        <v>259</v>
      </c>
      <c r="K142" s="74" t="s">
        <v>959</v>
      </c>
      <c r="L142" s="78" t="s">
        <v>140</v>
      </c>
      <c r="M142" s="79" t="s">
        <v>960</v>
      </c>
      <c r="N142" s="80">
        <v>45917</v>
      </c>
      <c r="O142" s="81">
        <v>45918</v>
      </c>
      <c r="P142" s="82" t="s">
        <v>239</v>
      </c>
      <c r="Q142" s="83" t="s">
        <v>240</v>
      </c>
      <c r="R142" s="72" t="s">
        <v>143</v>
      </c>
      <c r="S142" s="84" t="s">
        <v>825</v>
      </c>
      <c r="T142" s="75" t="s">
        <v>145</v>
      </c>
      <c r="U142" s="72" t="s">
        <v>961</v>
      </c>
      <c r="V142" s="77" t="s">
        <v>55</v>
      </c>
      <c r="W142" s="85" t="s">
        <v>159</v>
      </c>
      <c r="X142" s="75" t="s">
        <v>266</v>
      </c>
      <c r="Y142" s="72">
        <v>1</v>
      </c>
      <c r="Z142" s="72">
        <v>1</v>
      </c>
      <c r="AA142" s="72">
        <v>1</v>
      </c>
      <c r="AB142" s="48">
        <f>IF(V142="TIPO I",'BASE DE LIQUIDACION 2025'!$B$3,'BASE DE LIQUIDACION 2025'!$B$4)</f>
        <v>11251.22416</v>
      </c>
      <c r="AC142" s="48">
        <f>IF(V142="TIPO I",'BASE DE LIQUIDACION 2025'!$C$3,'BASE DE LIQUIDACION 2025'!$C$4)</f>
        <v>126317.12212</v>
      </c>
      <c r="AD142" s="48">
        <f>IF(V142="TIPO I",'BASE DE LIQUIDACION 2025'!$D$3,'BASE DE LIQUIDACION 2025'!$D$4)</f>
        <v>57411.974240000003</v>
      </c>
      <c r="AE142" s="52">
        <f t="shared" si="3"/>
        <v>194980.32052000001</v>
      </c>
    </row>
    <row r="143" spans="1:31" ht="13.15">
      <c r="A143" s="72" t="s">
        <v>432</v>
      </c>
      <c r="B143" s="44" t="str">
        <f>VLOOKUP(A143,'CENTRO DE COSTOS'!A:D,4,FALSE)</f>
        <v>WILLIAM ASDRUBAL ROZO ROZO</v>
      </c>
      <c r="C143" s="44" t="str">
        <f>VLOOKUP(A143,'CENTRO DE COSTOS'!A:D,2,FALSE)</f>
        <v>0004-0004</v>
      </c>
      <c r="D143" s="72">
        <v>11001</v>
      </c>
      <c r="E143" s="73" t="s">
        <v>962</v>
      </c>
      <c r="F143" s="74">
        <v>81493</v>
      </c>
      <c r="G143" s="75" t="s">
        <v>135</v>
      </c>
      <c r="H143" s="76" t="s">
        <v>235</v>
      </c>
      <c r="I143" s="74" t="s">
        <v>434</v>
      </c>
      <c r="J143" s="77" t="s">
        <v>432</v>
      </c>
      <c r="K143" s="74" t="s">
        <v>963</v>
      </c>
      <c r="L143" s="78" t="s">
        <v>140</v>
      </c>
      <c r="M143" s="79" t="s">
        <v>964</v>
      </c>
      <c r="N143" s="80">
        <v>45917</v>
      </c>
      <c r="O143" s="81">
        <v>45918</v>
      </c>
      <c r="P143" s="82" t="s">
        <v>239</v>
      </c>
      <c r="Q143" s="83" t="s">
        <v>240</v>
      </c>
      <c r="R143" s="72" t="s">
        <v>143</v>
      </c>
      <c r="S143" s="84" t="s">
        <v>825</v>
      </c>
      <c r="T143" s="75" t="s">
        <v>145</v>
      </c>
      <c r="U143" s="72" t="s">
        <v>965</v>
      </c>
      <c r="V143" s="77" t="s">
        <v>55</v>
      </c>
      <c r="W143" s="85" t="s">
        <v>159</v>
      </c>
      <c r="X143" s="75" t="s">
        <v>445</v>
      </c>
      <c r="Y143" s="72">
        <v>1</v>
      </c>
      <c r="Z143" s="72">
        <v>1</v>
      </c>
      <c r="AA143" s="72">
        <v>1</v>
      </c>
      <c r="AB143" s="48">
        <f>IF(V143="TIPO I",'BASE DE LIQUIDACION 2025'!$B$3,'BASE DE LIQUIDACION 2025'!$B$4)</f>
        <v>11251.22416</v>
      </c>
      <c r="AC143" s="48">
        <f>IF(V143="TIPO I",'BASE DE LIQUIDACION 2025'!$C$3,'BASE DE LIQUIDACION 2025'!$C$4)</f>
        <v>126317.12212</v>
      </c>
      <c r="AD143" s="48">
        <f>IF(V143="TIPO I",'BASE DE LIQUIDACION 2025'!$D$3,'BASE DE LIQUIDACION 2025'!$D$4)</f>
        <v>57411.974240000003</v>
      </c>
      <c r="AE143" s="52">
        <f t="shared" si="3"/>
        <v>194980.32052000001</v>
      </c>
    </row>
    <row r="144" spans="1:31" ht="13.15">
      <c r="A144" s="72" t="s">
        <v>432</v>
      </c>
      <c r="B144" s="44" t="str">
        <f>VLOOKUP(A144,'CENTRO DE COSTOS'!A:D,4,FALSE)</f>
        <v>WILLIAM ASDRUBAL ROZO ROZO</v>
      </c>
      <c r="C144" s="44" t="str">
        <f>VLOOKUP(A144,'CENTRO DE COSTOS'!A:D,2,FALSE)</f>
        <v>0004-0004</v>
      </c>
      <c r="D144" s="72">
        <v>11001</v>
      </c>
      <c r="E144" s="73" t="s">
        <v>966</v>
      </c>
      <c r="F144" s="74">
        <v>81494</v>
      </c>
      <c r="G144" s="75" t="s">
        <v>135</v>
      </c>
      <c r="H144" s="76" t="s">
        <v>235</v>
      </c>
      <c r="I144" s="74" t="s">
        <v>434</v>
      </c>
      <c r="J144" s="77" t="s">
        <v>432</v>
      </c>
      <c r="K144" s="74" t="s">
        <v>967</v>
      </c>
      <c r="L144" s="78" t="s">
        <v>140</v>
      </c>
      <c r="M144" s="79" t="s">
        <v>968</v>
      </c>
      <c r="N144" s="80">
        <v>45917</v>
      </c>
      <c r="O144" s="81">
        <v>45918</v>
      </c>
      <c r="P144" s="82" t="s">
        <v>239</v>
      </c>
      <c r="Q144" s="83" t="s">
        <v>240</v>
      </c>
      <c r="R144" s="72" t="s">
        <v>143</v>
      </c>
      <c r="S144" s="84" t="s">
        <v>825</v>
      </c>
      <c r="T144" s="75" t="s">
        <v>145</v>
      </c>
      <c r="U144" s="72" t="s">
        <v>969</v>
      </c>
      <c r="V144" s="77" t="s">
        <v>55</v>
      </c>
      <c r="W144" s="85" t="s">
        <v>159</v>
      </c>
      <c r="X144" s="75" t="s">
        <v>970</v>
      </c>
      <c r="Y144" s="72">
        <v>1</v>
      </c>
      <c r="Z144" s="72">
        <v>1</v>
      </c>
      <c r="AA144" s="72">
        <v>1</v>
      </c>
      <c r="AB144" s="48">
        <f>IF(V144="TIPO I",'BASE DE LIQUIDACION 2025'!$B$3,'BASE DE LIQUIDACION 2025'!$B$4)</f>
        <v>11251.22416</v>
      </c>
      <c r="AC144" s="48">
        <f>IF(V144="TIPO I",'BASE DE LIQUIDACION 2025'!$C$3,'BASE DE LIQUIDACION 2025'!$C$4)</f>
        <v>126317.12212</v>
      </c>
      <c r="AD144" s="48">
        <f>IF(V144="TIPO I",'BASE DE LIQUIDACION 2025'!$D$3,'BASE DE LIQUIDACION 2025'!$D$4)</f>
        <v>57411.974240000003</v>
      </c>
      <c r="AE144" s="52">
        <f t="shared" si="3"/>
        <v>194980.32052000001</v>
      </c>
    </row>
    <row r="145" spans="1:31" ht="13.15">
      <c r="A145" s="72" t="s">
        <v>259</v>
      </c>
      <c r="B145" s="44" t="str">
        <f>VLOOKUP(A145,'CENTRO DE COSTOS'!A:D,4,FALSE)</f>
        <v>JUAN SEBASTIÁN RÍOS CASTRILLÓN</v>
      </c>
      <c r="C145" s="44" t="str">
        <f>VLOOKUP(A145,'CENTRO DE COSTOS'!A:D,2,FALSE)</f>
        <v>0004-0005</v>
      </c>
      <c r="D145" s="72">
        <v>27493</v>
      </c>
      <c r="E145" s="73" t="s">
        <v>971</v>
      </c>
      <c r="F145" s="74">
        <v>81520</v>
      </c>
      <c r="G145" s="75" t="s">
        <v>135</v>
      </c>
      <c r="H145" s="76" t="s">
        <v>235</v>
      </c>
      <c r="I145" s="74" t="s">
        <v>972</v>
      </c>
      <c r="J145" s="77" t="s">
        <v>973</v>
      </c>
      <c r="K145" s="74" t="s">
        <v>974</v>
      </c>
      <c r="L145" s="78" t="s">
        <v>140</v>
      </c>
      <c r="M145" s="79" t="s">
        <v>975</v>
      </c>
      <c r="N145" s="80">
        <v>45917</v>
      </c>
      <c r="O145" s="81">
        <v>45923</v>
      </c>
      <c r="P145" s="82" t="s">
        <v>239</v>
      </c>
      <c r="Q145" s="83" t="s">
        <v>240</v>
      </c>
      <c r="R145" s="72" t="s">
        <v>143</v>
      </c>
      <c r="S145" s="84" t="s">
        <v>976</v>
      </c>
      <c r="T145" s="75" t="s">
        <v>145</v>
      </c>
      <c r="U145" s="72" t="s">
        <v>977</v>
      </c>
      <c r="V145" s="77" t="s">
        <v>167</v>
      </c>
      <c r="W145" s="85" t="s">
        <v>159</v>
      </c>
      <c r="X145" s="75" t="s">
        <v>266</v>
      </c>
      <c r="Y145" s="72">
        <v>1</v>
      </c>
      <c r="Z145" s="72">
        <v>1</v>
      </c>
      <c r="AA145" s="72">
        <v>1</v>
      </c>
      <c r="AB145" s="48">
        <f>IF(V145="TIPO I",'BASE DE LIQUIDACION 2025'!$B$3,'BASE DE LIQUIDACION 2025'!$B$4)</f>
        <v>11251.22416</v>
      </c>
      <c r="AC145" s="48">
        <f>IF(V145="TIPO I",'BASE DE LIQUIDACION 2025'!$C$3,'BASE DE LIQUIDACION 2025'!$C$4)</f>
        <v>126317.12212</v>
      </c>
      <c r="AD145" s="48">
        <f>IF(V145="TIPO I",'BASE DE LIQUIDACION 2025'!$D$3,'BASE DE LIQUIDACION 2025'!$D$4)</f>
        <v>110808.27512000001</v>
      </c>
      <c r="AE145" s="52">
        <f t="shared" si="3"/>
        <v>248376.6214</v>
      </c>
    </row>
    <row r="146" spans="1:31" ht="13.15">
      <c r="A146" s="72" t="s">
        <v>432</v>
      </c>
      <c r="B146" s="44" t="str">
        <f>VLOOKUP(A146,'CENTRO DE COSTOS'!A:D,4,FALSE)</f>
        <v>WILLIAM ASDRUBAL ROZO ROZO</v>
      </c>
      <c r="C146" s="44" t="str">
        <f>VLOOKUP(A146,'CENTRO DE COSTOS'!A:D,2,FALSE)</f>
        <v>0004-0004</v>
      </c>
      <c r="D146" s="72">
        <v>25754</v>
      </c>
      <c r="E146" s="73" t="s">
        <v>978</v>
      </c>
      <c r="F146" s="74">
        <v>69725</v>
      </c>
      <c r="G146" s="75" t="s">
        <v>135</v>
      </c>
      <c r="H146" s="76" t="s">
        <v>369</v>
      </c>
      <c r="I146" s="74" t="s">
        <v>434</v>
      </c>
      <c r="J146" s="77" t="s">
        <v>435</v>
      </c>
      <c r="K146" s="74" t="s">
        <v>979</v>
      </c>
      <c r="L146" s="78" t="s">
        <v>140</v>
      </c>
      <c r="M146" s="79" t="s">
        <v>980</v>
      </c>
      <c r="N146" s="80">
        <v>45917</v>
      </c>
      <c r="O146" s="81">
        <v>45918</v>
      </c>
      <c r="P146" s="82" t="s">
        <v>239</v>
      </c>
      <c r="Q146" s="83" t="s">
        <v>381</v>
      </c>
      <c r="R146" s="72" t="s">
        <v>143</v>
      </c>
      <c r="S146" s="84" t="s">
        <v>981</v>
      </c>
      <c r="T146" s="75" t="s">
        <v>145</v>
      </c>
      <c r="U146" s="72" t="s">
        <v>982</v>
      </c>
      <c r="V146" s="77" t="s">
        <v>55</v>
      </c>
      <c r="W146" s="85" t="s">
        <v>159</v>
      </c>
      <c r="X146" s="75" t="s">
        <v>572</v>
      </c>
      <c r="Y146" s="72">
        <v>0</v>
      </c>
      <c r="Z146" s="72">
        <v>0</v>
      </c>
      <c r="AA146" s="72">
        <v>0</v>
      </c>
      <c r="AB146" s="48">
        <f>IF(V146="TIPO I",'BASE DE LIQUIDACION 2025'!$B$3,'BASE DE LIQUIDACION 2025'!$B$4)</f>
        <v>11251.22416</v>
      </c>
      <c r="AC146" s="48">
        <f>IF(V146="TIPO I",'BASE DE LIQUIDACION 2025'!$C$3,'BASE DE LIQUIDACION 2025'!$C$4)</f>
        <v>126317.12212</v>
      </c>
      <c r="AD146" s="48">
        <f>IF(V146="TIPO I",'BASE DE LIQUIDACION 2025'!$D$3,'BASE DE LIQUIDACION 2025'!$D$4)</f>
        <v>57411.974240000003</v>
      </c>
      <c r="AE146" s="52">
        <f t="shared" si="3"/>
        <v>0</v>
      </c>
    </row>
    <row r="147" spans="1:31" ht="13.15">
      <c r="A147" s="72" t="s">
        <v>267</v>
      </c>
      <c r="B147" s="44" t="str">
        <f>VLOOKUP(A147,'CENTRO DE COSTOS'!A:D,4,FALSE)</f>
        <v>JUAN SEBASTIÁN RÍOS CASTRILLÓN</v>
      </c>
      <c r="C147" s="44" t="str">
        <f>VLOOKUP(A147,'CENTRO DE COSTOS'!A:D,2,FALSE)</f>
        <v>0004-0005</v>
      </c>
      <c r="D147" s="72">
        <v>5001</v>
      </c>
      <c r="E147" s="73" t="s">
        <v>983</v>
      </c>
      <c r="F147" s="74">
        <v>81534</v>
      </c>
      <c r="G147" s="75" t="s">
        <v>135</v>
      </c>
      <c r="H147" s="76" t="s">
        <v>235</v>
      </c>
      <c r="I147" s="74" t="s">
        <v>253</v>
      </c>
      <c r="J147" s="77" t="s">
        <v>267</v>
      </c>
      <c r="K147" s="74" t="s">
        <v>984</v>
      </c>
      <c r="L147" s="78" t="s">
        <v>140</v>
      </c>
      <c r="M147" s="79" t="s">
        <v>985</v>
      </c>
      <c r="N147" s="80">
        <v>45919</v>
      </c>
      <c r="O147" s="81">
        <v>45922</v>
      </c>
      <c r="P147" s="82" t="s">
        <v>239</v>
      </c>
      <c r="Q147" s="83" t="s">
        <v>381</v>
      </c>
      <c r="R147" s="72" t="s">
        <v>143</v>
      </c>
      <c r="S147" s="84" t="s">
        <v>986</v>
      </c>
      <c r="T147" s="75" t="s">
        <v>145</v>
      </c>
      <c r="U147" s="72" t="s">
        <v>987</v>
      </c>
      <c r="V147" s="77" t="s">
        <v>55</v>
      </c>
      <c r="W147" s="85" t="s">
        <v>159</v>
      </c>
      <c r="X147" s="75" t="s">
        <v>273</v>
      </c>
      <c r="Y147" s="72">
        <v>1</v>
      </c>
      <c r="Z147" s="72">
        <v>1</v>
      </c>
      <c r="AA147" s="72">
        <v>1</v>
      </c>
      <c r="AB147" s="48">
        <f>IF(V147="TIPO I",'BASE DE LIQUIDACION 2025'!$B$3,'BASE DE LIQUIDACION 2025'!$B$4)</f>
        <v>11251.22416</v>
      </c>
      <c r="AC147" s="48">
        <f>IF(V147="TIPO I",'BASE DE LIQUIDACION 2025'!$C$3,'BASE DE LIQUIDACION 2025'!$C$4)</f>
        <v>126317.12212</v>
      </c>
      <c r="AD147" s="48">
        <f>IF(V147="TIPO I",'BASE DE LIQUIDACION 2025'!$D$3,'BASE DE LIQUIDACION 2025'!$D$4)</f>
        <v>57411.974240000003</v>
      </c>
      <c r="AE147" s="52">
        <f t="shared" si="3"/>
        <v>194980.32052000001</v>
      </c>
    </row>
    <row r="148" spans="1:31" ht="13.15">
      <c r="A148" s="72" t="s">
        <v>267</v>
      </c>
      <c r="B148" s="44" t="str">
        <f>VLOOKUP(A148,'CENTRO DE COSTOS'!A:D,4,FALSE)</f>
        <v>JUAN SEBASTIÁN RÍOS CASTRILLÓN</v>
      </c>
      <c r="C148" s="44" t="str">
        <f>VLOOKUP(A148,'CENTRO DE COSTOS'!A:D,2,FALSE)</f>
        <v>0004-0005</v>
      </c>
      <c r="D148" s="72">
        <v>5001</v>
      </c>
      <c r="E148" s="73" t="s">
        <v>988</v>
      </c>
      <c r="F148" s="74">
        <v>81533</v>
      </c>
      <c r="G148" s="75" t="s">
        <v>135</v>
      </c>
      <c r="H148" s="76" t="s">
        <v>235</v>
      </c>
      <c r="I148" s="74" t="s">
        <v>253</v>
      </c>
      <c r="J148" s="77" t="s">
        <v>267</v>
      </c>
      <c r="K148" s="74" t="s">
        <v>989</v>
      </c>
      <c r="L148" s="78" t="s">
        <v>140</v>
      </c>
      <c r="M148" s="79" t="s">
        <v>990</v>
      </c>
      <c r="N148" s="80">
        <v>45919</v>
      </c>
      <c r="O148" s="81">
        <v>45922</v>
      </c>
      <c r="P148" s="82" t="s">
        <v>239</v>
      </c>
      <c r="Q148" s="83" t="s">
        <v>381</v>
      </c>
      <c r="R148" s="72" t="s">
        <v>143</v>
      </c>
      <c r="S148" s="84" t="s">
        <v>986</v>
      </c>
      <c r="T148" s="75" t="s">
        <v>145</v>
      </c>
      <c r="U148" s="72" t="s">
        <v>991</v>
      </c>
      <c r="V148" s="77" t="s">
        <v>55</v>
      </c>
      <c r="W148" s="85" t="s">
        <v>159</v>
      </c>
      <c r="X148" s="75" t="s">
        <v>273</v>
      </c>
      <c r="Y148" s="72">
        <v>1</v>
      </c>
      <c r="Z148" s="72">
        <v>1</v>
      </c>
      <c r="AA148" s="72">
        <v>1</v>
      </c>
      <c r="AB148" s="48">
        <f>IF(V148="TIPO I",'BASE DE LIQUIDACION 2025'!$B$3,'BASE DE LIQUIDACION 2025'!$B$4)</f>
        <v>11251.22416</v>
      </c>
      <c r="AC148" s="48">
        <f>IF(V148="TIPO I",'BASE DE LIQUIDACION 2025'!$C$3,'BASE DE LIQUIDACION 2025'!$C$4)</f>
        <v>126317.12212</v>
      </c>
      <c r="AD148" s="48">
        <f>IF(V148="TIPO I",'BASE DE LIQUIDACION 2025'!$D$3,'BASE DE LIQUIDACION 2025'!$D$4)</f>
        <v>57411.974240000003</v>
      </c>
      <c r="AE148" s="52">
        <f t="shared" si="3"/>
        <v>194980.32052000001</v>
      </c>
    </row>
    <row r="149" spans="1:31" ht="13.15">
      <c r="A149" s="72" t="s">
        <v>267</v>
      </c>
      <c r="B149" s="44" t="str">
        <f>VLOOKUP(A149,'CENTRO DE COSTOS'!A:D,4,FALSE)</f>
        <v>JUAN SEBASTIÁN RÍOS CASTRILLÓN</v>
      </c>
      <c r="C149" s="44" t="str">
        <f>VLOOKUP(A149,'CENTRO DE COSTOS'!A:D,2,FALSE)</f>
        <v>0004-0005</v>
      </c>
      <c r="D149" s="72">
        <v>5088</v>
      </c>
      <c r="E149" s="73" t="s">
        <v>992</v>
      </c>
      <c r="F149" s="74">
        <v>81532</v>
      </c>
      <c r="G149" s="75" t="s">
        <v>135</v>
      </c>
      <c r="H149" s="76" t="s">
        <v>235</v>
      </c>
      <c r="I149" s="74" t="s">
        <v>253</v>
      </c>
      <c r="J149" s="77" t="s">
        <v>400</v>
      </c>
      <c r="K149" s="74" t="s">
        <v>993</v>
      </c>
      <c r="L149" s="78" t="s">
        <v>140</v>
      </c>
      <c r="M149" s="79" t="s">
        <v>994</v>
      </c>
      <c r="N149" s="80">
        <v>45919</v>
      </c>
      <c r="O149" s="81">
        <v>45923</v>
      </c>
      <c r="P149" s="82" t="s">
        <v>239</v>
      </c>
      <c r="Q149" s="83" t="s">
        <v>381</v>
      </c>
      <c r="R149" s="72" t="s">
        <v>143</v>
      </c>
      <c r="S149" s="84" t="s">
        <v>995</v>
      </c>
      <c r="T149" s="75" t="s">
        <v>145</v>
      </c>
      <c r="U149" s="72" t="s">
        <v>996</v>
      </c>
      <c r="V149" s="77" t="s">
        <v>55</v>
      </c>
      <c r="W149" s="85" t="s">
        <v>159</v>
      </c>
      <c r="X149" s="75" t="s">
        <v>701</v>
      </c>
      <c r="Y149" s="72">
        <v>1</v>
      </c>
      <c r="Z149" s="72">
        <v>1</v>
      </c>
      <c r="AA149" s="72">
        <v>1</v>
      </c>
      <c r="AB149" s="48">
        <f>IF(V149="TIPO I",'BASE DE LIQUIDACION 2025'!$B$3,'BASE DE LIQUIDACION 2025'!$B$4)</f>
        <v>11251.22416</v>
      </c>
      <c r="AC149" s="48">
        <f>IF(V149="TIPO I",'BASE DE LIQUIDACION 2025'!$C$3,'BASE DE LIQUIDACION 2025'!$C$4)</f>
        <v>126317.12212</v>
      </c>
      <c r="AD149" s="48">
        <f>IF(V149="TIPO I",'BASE DE LIQUIDACION 2025'!$D$3,'BASE DE LIQUIDACION 2025'!$D$4)</f>
        <v>57411.974240000003</v>
      </c>
      <c r="AE149" s="52">
        <f t="shared" si="3"/>
        <v>194980.32052000001</v>
      </c>
    </row>
    <row r="150" spans="1:31" ht="13.15">
      <c r="A150" s="72" t="s">
        <v>267</v>
      </c>
      <c r="B150" s="44" t="str">
        <f>VLOOKUP(A150,'CENTRO DE COSTOS'!A:D,4,FALSE)</f>
        <v>JUAN SEBASTIÁN RÍOS CASTRILLÓN</v>
      </c>
      <c r="C150" s="44" t="str">
        <f>VLOOKUP(A150,'CENTRO DE COSTOS'!A:D,2,FALSE)</f>
        <v>0004-0005</v>
      </c>
      <c r="D150" s="72">
        <v>5088</v>
      </c>
      <c r="E150" s="73" t="s">
        <v>997</v>
      </c>
      <c r="F150" s="74">
        <v>81531</v>
      </c>
      <c r="G150" s="75" t="s">
        <v>135</v>
      </c>
      <c r="H150" s="76" t="s">
        <v>235</v>
      </c>
      <c r="I150" s="74" t="s">
        <v>253</v>
      </c>
      <c r="J150" s="77" t="s">
        <v>400</v>
      </c>
      <c r="K150" s="74" t="s">
        <v>998</v>
      </c>
      <c r="L150" s="78" t="s">
        <v>140</v>
      </c>
      <c r="M150" s="79" t="s">
        <v>999</v>
      </c>
      <c r="N150" s="80">
        <v>45919</v>
      </c>
      <c r="O150" s="81">
        <v>45923</v>
      </c>
      <c r="P150" s="82" t="s">
        <v>239</v>
      </c>
      <c r="Q150" s="83" t="s">
        <v>381</v>
      </c>
      <c r="R150" s="72" t="s">
        <v>143</v>
      </c>
      <c r="S150" s="84" t="s">
        <v>995</v>
      </c>
      <c r="T150" s="75" t="s">
        <v>145</v>
      </c>
      <c r="U150" s="72" t="s">
        <v>1000</v>
      </c>
      <c r="V150" s="77" t="s">
        <v>55</v>
      </c>
      <c r="W150" s="85" t="s">
        <v>159</v>
      </c>
      <c r="X150" s="75" t="s">
        <v>701</v>
      </c>
      <c r="Y150" s="72">
        <v>1</v>
      </c>
      <c r="Z150" s="72">
        <v>1</v>
      </c>
      <c r="AA150" s="72">
        <v>1</v>
      </c>
      <c r="AB150" s="48">
        <f>IF(V150="TIPO I",'BASE DE LIQUIDACION 2025'!$B$3,'BASE DE LIQUIDACION 2025'!$B$4)</f>
        <v>11251.22416</v>
      </c>
      <c r="AC150" s="48">
        <f>IF(V150="TIPO I",'BASE DE LIQUIDACION 2025'!$C$3,'BASE DE LIQUIDACION 2025'!$C$4)</f>
        <v>126317.12212</v>
      </c>
      <c r="AD150" s="48">
        <f>IF(V150="TIPO I",'BASE DE LIQUIDACION 2025'!$D$3,'BASE DE LIQUIDACION 2025'!$D$4)</f>
        <v>57411.974240000003</v>
      </c>
      <c r="AE150" s="52">
        <f t="shared" si="3"/>
        <v>194980.32052000001</v>
      </c>
    </row>
    <row r="151" spans="1:31" ht="13.15">
      <c r="A151" s="72" t="s">
        <v>267</v>
      </c>
      <c r="B151" s="44" t="str">
        <f>VLOOKUP(A151,'CENTRO DE COSTOS'!A:D,4,FALSE)</f>
        <v>JUAN SEBASTIÁN RÍOS CASTRILLÓN</v>
      </c>
      <c r="C151" s="44" t="str">
        <f>VLOOKUP(A151,'CENTRO DE COSTOS'!A:D,2,FALSE)</f>
        <v>0004-0005</v>
      </c>
      <c r="D151" s="72">
        <v>5129</v>
      </c>
      <c r="E151" s="73" t="s">
        <v>1001</v>
      </c>
      <c r="F151" s="74">
        <v>81523</v>
      </c>
      <c r="G151" s="75" t="s">
        <v>135</v>
      </c>
      <c r="H151" s="76" t="s">
        <v>235</v>
      </c>
      <c r="I151" s="74" t="s">
        <v>253</v>
      </c>
      <c r="J151" s="77" t="s">
        <v>284</v>
      </c>
      <c r="K151" s="74" t="s">
        <v>1002</v>
      </c>
      <c r="L151" s="78" t="s">
        <v>140</v>
      </c>
      <c r="M151" s="79" t="s">
        <v>1003</v>
      </c>
      <c r="N151" s="80">
        <v>45919</v>
      </c>
      <c r="O151" s="81">
        <v>45922</v>
      </c>
      <c r="P151" s="82" t="s">
        <v>239</v>
      </c>
      <c r="Q151" s="83" t="s">
        <v>381</v>
      </c>
      <c r="R151" s="72" t="s">
        <v>143</v>
      </c>
      <c r="S151" s="84" t="s">
        <v>986</v>
      </c>
      <c r="T151" s="75" t="s">
        <v>145</v>
      </c>
      <c r="U151" s="72" t="s">
        <v>1004</v>
      </c>
      <c r="V151" s="77" t="s">
        <v>55</v>
      </c>
      <c r="W151" s="85" t="s">
        <v>159</v>
      </c>
      <c r="X151" s="75" t="s">
        <v>701</v>
      </c>
      <c r="Y151" s="72">
        <v>1</v>
      </c>
      <c r="Z151" s="72">
        <v>1</v>
      </c>
      <c r="AA151" s="72">
        <v>1</v>
      </c>
      <c r="AB151" s="48">
        <f>IF(V151="TIPO I",'BASE DE LIQUIDACION 2025'!$B$3,'BASE DE LIQUIDACION 2025'!$B$4)</f>
        <v>11251.22416</v>
      </c>
      <c r="AC151" s="48">
        <f>IF(V151="TIPO I",'BASE DE LIQUIDACION 2025'!$C$3,'BASE DE LIQUIDACION 2025'!$C$4)</f>
        <v>126317.12212</v>
      </c>
      <c r="AD151" s="48">
        <f>IF(V151="TIPO I",'BASE DE LIQUIDACION 2025'!$D$3,'BASE DE LIQUIDACION 2025'!$D$4)</f>
        <v>57411.974240000003</v>
      </c>
      <c r="AE151" s="52">
        <f t="shared" si="3"/>
        <v>194980.32052000001</v>
      </c>
    </row>
    <row r="152" spans="1:31" ht="13.15">
      <c r="A152" s="72" t="s">
        <v>267</v>
      </c>
      <c r="B152" s="44" t="str">
        <f>VLOOKUP(A152,'CENTRO DE COSTOS'!A:D,4,FALSE)</f>
        <v>JUAN SEBASTIÁN RÍOS CASTRILLÓN</v>
      </c>
      <c r="C152" s="44" t="str">
        <f>VLOOKUP(A152,'CENTRO DE COSTOS'!A:D,2,FALSE)</f>
        <v>0004-0005</v>
      </c>
      <c r="D152" s="72">
        <v>5604</v>
      </c>
      <c r="E152" s="73" t="s">
        <v>1005</v>
      </c>
      <c r="F152" s="74">
        <v>81528</v>
      </c>
      <c r="G152" s="75" t="s">
        <v>135</v>
      </c>
      <c r="H152" s="76" t="s">
        <v>235</v>
      </c>
      <c r="I152" s="74" t="s">
        <v>253</v>
      </c>
      <c r="J152" s="77" t="s">
        <v>1006</v>
      </c>
      <c r="K152" s="74" t="s">
        <v>1007</v>
      </c>
      <c r="L152" s="78" t="s">
        <v>140</v>
      </c>
      <c r="M152" s="79" t="s">
        <v>1008</v>
      </c>
      <c r="N152" s="80">
        <v>45919</v>
      </c>
      <c r="O152" s="81">
        <v>45923</v>
      </c>
      <c r="P152" s="82" t="s">
        <v>239</v>
      </c>
      <c r="Q152" s="83" t="s">
        <v>381</v>
      </c>
      <c r="R152" s="72" t="s">
        <v>143</v>
      </c>
      <c r="S152" s="84" t="s">
        <v>995</v>
      </c>
      <c r="T152" s="75" t="s">
        <v>145</v>
      </c>
      <c r="U152" s="72" t="s">
        <v>1009</v>
      </c>
      <c r="V152" s="77" t="s">
        <v>167</v>
      </c>
      <c r="W152" s="85" t="s">
        <v>159</v>
      </c>
      <c r="X152" s="75" t="s">
        <v>390</v>
      </c>
      <c r="Y152" s="72">
        <v>1</v>
      </c>
      <c r="Z152" s="72">
        <v>1</v>
      </c>
      <c r="AA152" s="72">
        <v>1</v>
      </c>
      <c r="AB152" s="48">
        <f>IF(V152="TIPO I",'BASE DE LIQUIDACION 2025'!$B$3,'BASE DE LIQUIDACION 2025'!$B$4)</f>
        <v>11251.22416</v>
      </c>
      <c r="AC152" s="48">
        <f>IF(V152="TIPO I",'BASE DE LIQUIDACION 2025'!$C$3,'BASE DE LIQUIDACION 2025'!$C$4)</f>
        <v>126317.12212</v>
      </c>
      <c r="AD152" s="48">
        <f>IF(V152="TIPO I",'BASE DE LIQUIDACION 2025'!$D$3,'BASE DE LIQUIDACION 2025'!$D$4)</f>
        <v>110808.27512000001</v>
      </c>
      <c r="AE152" s="52">
        <f t="shared" si="3"/>
        <v>248376.6214</v>
      </c>
    </row>
    <row r="153" spans="1:31" ht="13.15">
      <c r="A153" s="72" t="s">
        <v>201</v>
      </c>
      <c r="B153" s="44" t="str">
        <f>VLOOKUP(A153,'CENTRO DE COSTOS'!A:D,4,FALSE)</f>
        <v>KEVIN ALEXIS CORZO BUSTOS</v>
      </c>
      <c r="C153" s="44" t="str">
        <f>VLOOKUP(A153,'CENTRO DE COSTOS'!A:D,2,FALSE)</f>
        <v>0004-0007</v>
      </c>
      <c r="D153" s="72">
        <v>41298</v>
      </c>
      <c r="E153" s="73" t="s">
        <v>1010</v>
      </c>
      <c r="F153" s="74">
        <v>81525</v>
      </c>
      <c r="G153" s="75" t="s">
        <v>135</v>
      </c>
      <c r="H153" s="76" t="s">
        <v>235</v>
      </c>
      <c r="I153" s="74" t="s">
        <v>447</v>
      </c>
      <c r="J153" s="77" t="s">
        <v>1011</v>
      </c>
      <c r="K153" s="74" t="s">
        <v>1012</v>
      </c>
      <c r="L153" s="78" t="s">
        <v>140</v>
      </c>
      <c r="M153" s="79" t="s">
        <v>1013</v>
      </c>
      <c r="N153" s="80">
        <v>45919</v>
      </c>
      <c r="O153" s="81">
        <v>45923</v>
      </c>
      <c r="P153" s="82" t="s">
        <v>239</v>
      </c>
      <c r="Q153" s="83" t="s">
        <v>381</v>
      </c>
      <c r="R153" s="72" t="s">
        <v>143</v>
      </c>
      <c r="S153" s="84" t="s">
        <v>995</v>
      </c>
      <c r="T153" s="75" t="s">
        <v>145</v>
      </c>
      <c r="U153" s="72" t="s">
        <v>1014</v>
      </c>
      <c r="V153" s="77" t="s">
        <v>158</v>
      </c>
      <c r="W153" s="85" t="s">
        <v>159</v>
      </c>
      <c r="X153" s="75" t="s">
        <v>453</v>
      </c>
      <c r="Y153" s="72">
        <v>1</v>
      </c>
      <c r="Z153" s="72">
        <v>1</v>
      </c>
      <c r="AA153" s="72">
        <v>1</v>
      </c>
      <c r="AB153" s="48">
        <f>IF(V153="TIPO I",'BASE DE LIQUIDACION 2025'!$B$3,'BASE DE LIQUIDACION 2025'!$B$4)</f>
        <v>11251.22416</v>
      </c>
      <c r="AC153" s="48">
        <f>IF(V153="TIPO I",'BASE DE LIQUIDACION 2025'!$C$3,'BASE DE LIQUIDACION 2025'!$C$4)</f>
        <v>126317.12212</v>
      </c>
      <c r="AD153" s="48">
        <f>IF(V153="TIPO I",'BASE DE LIQUIDACION 2025'!$D$3,'BASE DE LIQUIDACION 2025'!$D$4)</f>
        <v>110808.27512000001</v>
      </c>
      <c r="AE153" s="52">
        <f t="shared" si="3"/>
        <v>248376.6214</v>
      </c>
    </row>
    <row r="154" spans="1:31" ht="13.15">
      <c r="A154" s="72" t="s">
        <v>219</v>
      </c>
      <c r="B154" s="44" t="str">
        <f>VLOOKUP(A154,'CENTRO DE COSTOS'!A:D,4,FALSE)</f>
        <v>MIGUEL JULIÁN HERNÁNDEZ GUARÍN</v>
      </c>
      <c r="C154" s="44" t="str">
        <f>VLOOKUP(A154,'CENTRO DE COSTOS'!A:D,2,FALSE)</f>
        <v>0004-0008</v>
      </c>
      <c r="D154" s="72">
        <v>68406</v>
      </c>
      <c r="E154" s="73" t="s">
        <v>1015</v>
      </c>
      <c r="F154" s="74">
        <v>81527</v>
      </c>
      <c r="G154" s="75" t="s">
        <v>135</v>
      </c>
      <c r="H154" s="76" t="s">
        <v>235</v>
      </c>
      <c r="I154" s="74" t="s">
        <v>221</v>
      </c>
      <c r="J154" s="77" t="s">
        <v>1016</v>
      </c>
      <c r="K154" s="74" t="s">
        <v>1017</v>
      </c>
      <c r="L154" s="78" t="s">
        <v>140</v>
      </c>
      <c r="M154" s="79" t="s">
        <v>1018</v>
      </c>
      <c r="N154" s="80">
        <v>45919</v>
      </c>
      <c r="O154" s="81">
        <v>45922</v>
      </c>
      <c r="P154" s="82" t="s">
        <v>239</v>
      </c>
      <c r="Q154" s="83" t="s">
        <v>381</v>
      </c>
      <c r="R154" s="72" t="s">
        <v>143</v>
      </c>
      <c r="S154" s="84" t="s">
        <v>986</v>
      </c>
      <c r="T154" s="75" t="s">
        <v>145</v>
      </c>
      <c r="U154" s="72" t="s">
        <v>1019</v>
      </c>
      <c r="V154" s="77" t="s">
        <v>199</v>
      </c>
      <c r="W154" s="85" t="s">
        <v>159</v>
      </c>
      <c r="X154" s="75" t="s">
        <v>227</v>
      </c>
      <c r="Y154" s="72">
        <v>1</v>
      </c>
      <c r="Z154" s="72">
        <v>1</v>
      </c>
      <c r="AA154" s="72">
        <v>1</v>
      </c>
      <c r="AB154" s="48">
        <f>IF(V154="TIPO I",'BASE DE LIQUIDACION 2025'!$B$3,'BASE DE LIQUIDACION 2025'!$B$4)</f>
        <v>11251.22416</v>
      </c>
      <c r="AC154" s="48">
        <f>IF(V154="TIPO I",'BASE DE LIQUIDACION 2025'!$C$3,'BASE DE LIQUIDACION 2025'!$C$4)</f>
        <v>126317.12212</v>
      </c>
      <c r="AD154" s="48">
        <f>IF(V154="TIPO I",'BASE DE LIQUIDACION 2025'!$D$3,'BASE DE LIQUIDACION 2025'!$D$4)</f>
        <v>110808.27512000001</v>
      </c>
      <c r="AE154" s="52">
        <f t="shared" si="3"/>
        <v>248376.6214</v>
      </c>
    </row>
    <row r="155" spans="1:31" ht="13.15">
      <c r="A155" s="72" t="s">
        <v>518</v>
      </c>
      <c r="B155" s="44" t="str">
        <f>VLOOKUP(A155,'CENTRO DE COSTOS'!A:D,4,FALSE)</f>
        <v>KEVIN ALEXIS CORZO BUSTOS</v>
      </c>
      <c r="C155" s="44" t="str">
        <f>VLOOKUP(A155,'CENTRO DE COSTOS'!A:D,2,FALSE)</f>
        <v>0004-0007</v>
      </c>
      <c r="D155" s="72">
        <v>73001</v>
      </c>
      <c r="E155" s="73" t="s">
        <v>1020</v>
      </c>
      <c r="F155" s="74">
        <v>81526</v>
      </c>
      <c r="G155" s="75" t="s">
        <v>135</v>
      </c>
      <c r="H155" s="76" t="s">
        <v>235</v>
      </c>
      <c r="I155" s="74" t="s">
        <v>520</v>
      </c>
      <c r="J155" s="77" t="s">
        <v>518</v>
      </c>
      <c r="K155" s="74" t="s">
        <v>1021</v>
      </c>
      <c r="L155" s="78" t="s">
        <v>140</v>
      </c>
      <c r="M155" s="79" t="s">
        <v>1022</v>
      </c>
      <c r="N155" s="80">
        <v>45919</v>
      </c>
      <c r="O155" s="81">
        <v>45922</v>
      </c>
      <c r="P155" s="82" t="s">
        <v>239</v>
      </c>
      <c r="Q155" s="83" t="s">
        <v>381</v>
      </c>
      <c r="R155" s="72" t="s">
        <v>143</v>
      </c>
      <c r="S155" s="84" t="s">
        <v>986</v>
      </c>
      <c r="T155" s="75" t="s">
        <v>145</v>
      </c>
      <c r="U155" s="72" t="s">
        <v>1023</v>
      </c>
      <c r="V155" s="77" t="s">
        <v>55</v>
      </c>
      <c r="W155" s="85" t="s">
        <v>159</v>
      </c>
      <c r="X155" s="75" t="s">
        <v>524</v>
      </c>
      <c r="Y155" s="72">
        <v>1</v>
      </c>
      <c r="Z155" s="72">
        <v>1</v>
      </c>
      <c r="AA155" s="72">
        <v>1</v>
      </c>
      <c r="AB155" s="48">
        <f>IF(V155="TIPO I",'BASE DE LIQUIDACION 2025'!$B$3,'BASE DE LIQUIDACION 2025'!$B$4)</f>
        <v>11251.22416</v>
      </c>
      <c r="AC155" s="48">
        <f>IF(V155="TIPO I",'BASE DE LIQUIDACION 2025'!$C$3,'BASE DE LIQUIDACION 2025'!$C$4)</f>
        <v>126317.12212</v>
      </c>
      <c r="AD155" s="48">
        <f>IF(V155="TIPO I",'BASE DE LIQUIDACION 2025'!$D$3,'BASE DE LIQUIDACION 2025'!$D$4)</f>
        <v>57411.974240000003</v>
      </c>
      <c r="AE155" s="52">
        <f t="shared" si="3"/>
        <v>194980.32052000001</v>
      </c>
    </row>
    <row r="156" spans="1:31" ht="13.15">
      <c r="A156" s="72" t="s">
        <v>267</v>
      </c>
      <c r="B156" s="44" t="str">
        <f>VLOOKUP(A156,'CENTRO DE COSTOS'!A:D,4,FALSE)</f>
        <v>JUAN SEBASTIÁN RÍOS CASTRILLÓN</v>
      </c>
      <c r="C156" s="44" t="str">
        <f>VLOOKUP(A156,'CENTRO DE COSTOS'!A:D,2,FALSE)</f>
        <v>0004-0005</v>
      </c>
      <c r="D156" s="72">
        <v>5059</v>
      </c>
      <c r="E156" s="73" t="s">
        <v>1024</v>
      </c>
      <c r="F156" s="74">
        <v>81524</v>
      </c>
      <c r="G156" s="75" t="s">
        <v>135</v>
      </c>
      <c r="H156" s="76" t="s">
        <v>235</v>
      </c>
      <c r="I156" s="74" t="s">
        <v>253</v>
      </c>
      <c r="J156" s="77" t="s">
        <v>762</v>
      </c>
      <c r="K156" s="74" t="s">
        <v>1025</v>
      </c>
      <c r="L156" s="78" t="s">
        <v>140</v>
      </c>
      <c r="M156" s="79" t="s">
        <v>1026</v>
      </c>
      <c r="N156" s="80">
        <v>45919</v>
      </c>
      <c r="O156" s="81">
        <v>45923</v>
      </c>
      <c r="P156" s="82" t="s">
        <v>239</v>
      </c>
      <c r="Q156" s="83" t="s">
        <v>381</v>
      </c>
      <c r="R156" s="72" t="s">
        <v>143</v>
      </c>
      <c r="S156" s="84" t="s">
        <v>995</v>
      </c>
      <c r="T156" s="75" t="s">
        <v>145</v>
      </c>
      <c r="U156" s="72" t="s">
        <v>1027</v>
      </c>
      <c r="V156" s="77" t="s">
        <v>199</v>
      </c>
      <c r="W156" s="85" t="s">
        <v>159</v>
      </c>
      <c r="X156" s="75" t="s">
        <v>1028</v>
      </c>
      <c r="Y156" s="72">
        <v>1</v>
      </c>
      <c r="Z156" s="72">
        <v>1</v>
      </c>
      <c r="AA156" s="72">
        <v>1</v>
      </c>
      <c r="AB156" s="48">
        <f>IF(V156="TIPO I",'BASE DE LIQUIDACION 2025'!$B$3,'BASE DE LIQUIDACION 2025'!$B$4)</f>
        <v>11251.22416</v>
      </c>
      <c r="AC156" s="48">
        <f>IF(V156="TIPO I",'BASE DE LIQUIDACION 2025'!$C$3,'BASE DE LIQUIDACION 2025'!$C$4)</f>
        <v>126317.12212</v>
      </c>
      <c r="AD156" s="48">
        <f>IF(V156="TIPO I",'BASE DE LIQUIDACION 2025'!$D$3,'BASE DE LIQUIDACION 2025'!$D$4)</f>
        <v>110808.27512000001</v>
      </c>
      <c r="AE156" s="52">
        <f t="shared" si="3"/>
        <v>248376.6214</v>
      </c>
    </row>
    <row r="157" spans="1:31" ht="13.15">
      <c r="A157" s="72" t="s">
        <v>432</v>
      </c>
      <c r="B157" s="44" t="str">
        <f>VLOOKUP(A157,'CENTRO DE COSTOS'!A:D,4,FALSE)</f>
        <v>WILLIAM ASDRUBAL ROZO ROZO</v>
      </c>
      <c r="C157" s="44" t="str">
        <f>VLOOKUP(A157,'CENTRO DE COSTOS'!A:D,2,FALSE)</f>
        <v>0004-0004</v>
      </c>
      <c r="D157" s="72">
        <v>11001</v>
      </c>
      <c r="E157" s="73" t="s">
        <v>1029</v>
      </c>
      <c r="F157" s="74">
        <v>81521</v>
      </c>
      <c r="G157" s="75" t="s">
        <v>135</v>
      </c>
      <c r="H157" s="76" t="s">
        <v>235</v>
      </c>
      <c r="I157" s="74" t="s">
        <v>434</v>
      </c>
      <c r="J157" s="77" t="s">
        <v>432</v>
      </c>
      <c r="K157" s="74" t="s">
        <v>1030</v>
      </c>
      <c r="L157" s="78" t="s">
        <v>140</v>
      </c>
      <c r="M157" s="79" t="s">
        <v>1031</v>
      </c>
      <c r="N157" s="80">
        <v>45919</v>
      </c>
      <c r="O157" s="81">
        <v>45922</v>
      </c>
      <c r="P157" s="82" t="s">
        <v>239</v>
      </c>
      <c r="Q157" s="83" t="s">
        <v>381</v>
      </c>
      <c r="R157" s="72" t="s">
        <v>143</v>
      </c>
      <c r="S157" s="84" t="s">
        <v>986</v>
      </c>
      <c r="T157" s="75" t="s">
        <v>145</v>
      </c>
      <c r="U157" s="72" t="s">
        <v>1032</v>
      </c>
      <c r="V157" s="77" t="s">
        <v>55</v>
      </c>
      <c r="W157" s="85" t="s">
        <v>159</v>
      </c>
      <c r="X157" s="75" t="s">
        <v>439</v>
      </c>
      <c r="Y157" s="72">
        <v>1</v>
      </c>
      <c r="Z157" s="72">
        <v>1</v>
      </c>
      <c r="AA157" s="72">
        <v>1</v>
      </c>
      <c r="AB157" s="48">
        <f>IF(V157="TIPO I",'BASE DE LIQUIDACION 2025'!$B$3,'BASE DE LIQUIDACION 2025'!$B$4)</f>
        <v>11251.22416</v>
      </c>
      <c r="AC157" s="48">
        <f>IF(V157="TIPO I",'BASE DE LIQUIDACION 2025'!$C$3,'BASE DE LIQUIDACION 2025'!$C$4)</f>
        <v>126317.12212</v>
      </c>
      <c r="AD157" s="48">
        <f>IF(V157="TIPO I",'BASE DE LIQUIDACION 2025'!$D$3,'BASE DE LIQUIDACION 2025'!$D$4)</f>
        <v>57411.974240000003</v>
      </c>
      <c r="AE157" s="52">
        <f t="shared" si="3"/>
        <v>194980.32052000001</v>
      </c>
    </row>
    <row r="158" spans="1:31" ht="13.15">
      <c r="A158" s="72" t="s">
        <v>432</v>
      </c>
      <c r="B158" s="44" t="str">
        <f>VLOOKUP(A158,'CENTRO DE COSTOS'!A:D,4,FALSE)</f>
        <v>WILLIAM ASDRUBAL ROZO ROZO</v>
      </c>
      <c r="C158" s="44" t="str">
        <f>VLOOKUP(A158,'CENTRO DE COSTOS'!A:D,2,FALSE)</f>
        <v>0004-0004</v>
      </c>
      <c r="D158" s="72">
        <v>11001</v>
      </c>
      <c r="E158" s="73" t="s">
        <v>1033</v>
      </c>
      <c r="F158" s="74">
        <v>81522</v>
      </c>
      <c r="G158" s="75" t="s">
        <v>135</v>
      </c>
      <c r="H158" s="76" t="s">
        <v>235</v>
      </c>
      <c r="I158" s="74" t="s">
        <v>434</v>
      </c>
      <c r="J158" s="77" t="s">
        <v>432</v>
      </c>
      <c r="K158" s="74" t="s">
        <v>1034</v>
      </c>
      <c r="L158" s="78" t="s">
        <v>140</v>
      </c>
      <c r="M158" s="79" t="s">
        <v>1035</v>
      </c>
      <c r="N158" s="80">
        <v>45919</v>
      </c>
      <c r="O158" s="81">
        <v>45922</v>
      </c>
      <c r="P158" s="82" t="s">
        <v>239</v>
      </c>
      <c r="Q158" s="83" t="s">
        <v>381</v>
      </c>
      <c r="R158" s="72" t="s">
        <v>143</v>
      </c>
      <c r="S158" s="84" t="s">
        <v>986</v>
      </c>
      <c r="T158" s="75" t="s">
        <v>145</v>
      </c>
      <c r="U158" s="72" t="s">
        <v>1036</v>
      </c>
      <c r="V158" s="77" t="s">
        <v>55</v>
      </c>
      <c r="W158" s="85" t="s">
        <v>159</v>
      </c>
      <c r="X158" s="75" t="s">
        <v>572</v>
      </c>
      <c r="Y158" s="72">
        <v>1</v>
      </c>
      <c r="Z158" s="72">
        <v>1</v>
      </c>
      <c r="AA158" s="72">
        <v>1</v>
      </c>
      <c r="AB158" s="48">
        <f>IF(V158="TIPO I",'BASE DE LIQUIDACION 2025'!$B$3,'BASE DE LIQUIDACION 2025'!$B$4)</f>
        <v>11251.22416</v>
      </c>
      <c r="AC158" s="48">
        <f>IF(V158="TIPO I",'BASE DE LIQUIDACION 2025'!$C$3,'BASE DE LIQUIDACION 2025'!$C$4)</f>
        <v>126317.12212</v>
      </c>
      <c r="AD158" s="48">
        <f>IF(V158="TIPO I",'BASE DE LIQUIDACION 2025'!$D$3,'BASE DE LIQUIDACION 2025'!$D$4)</f>
        <v>57411.974240000003</v>
      </c>
      <c r="AE158" s="52">
        <f t="shared" si="3"/>
        <v>194980.32052000001</v>
      </c>
    </row>
    <row r="159" spans="1:31" ht="13.15">
      <c r="A159" s="72" t="s">
        <v>267</v>
      </c>
      <c r="B159" s="44" t="str">
        <f>VLOOKUP(A159,'CENTRO DE COSTOS'!A:D,4,FALSE)</f>
        <v>JUAN SEBASTIÁN RÍOS CASTRILLÓN</v>
      </c>
      <c r="C159" s="44" t="str">
        <f>VLOOKUP(A159,'CENTRO DE COSTOS'!A:D,2,FALSE)</f>
        <v>0004-0005</v>
      </c>
      <c r="D159" s="72">
        <v>5001</v>
      </c>
      <c r="E159" s="73" t="s">
        <v>1037</v>
      </c>
      <c r="F159" s="74">
        <v>81698</v>
      </c>
      <c r="G159" s="75" t="s">
        <v>135</v>
      </c>
      <c r="H159" s="76" t="s">
        <v>235</v>
      </c>
      <c r="I159" s="74" t="s">
        <v>253</v>
      </c>
      <c r="J159" s="77" t="s">
        <v>267</v>
      </c>
      <c r="K159" s="74" t="s">
        <v>1038</v>
      </c>
      <c r="L159" s="78" t="s">
        <v>140</v>
      </c>
      <c r="M159" s="79" t="s">
        <v>1039</v>
      </c>
      <c r="N159" s="80">
        <v>45924</v>
      </c>
      <c r="O159" s="81">
        <v>45925</v>
      </c>
      <c r="P159" s="82" t="s">
        <v>239</v>
      </c>
      <c r="Q159" s="83" t="s">
        <v>240</v>
      </c>
      <c r="R159" s="72" t="s">
        <v>143</v>
      </c>
      <c r="S159" s="84" t="s">
        <v>1040</v>
      </c>
      <c r="T159" s="75" t="s">
        <v>145</v>
      </c>
      <c r="U159" s="72" t="s">
        <v>1041</v>
      </c>
      <c r="V159" s="77" t="s">
        <v>55</v>
      </c>
      <c r="W159" s="85" t="s">
        <v>159</v>
      </c>
      <c r="X159" s="75" t="s">
        <v>390</v>
      </c>
      <c r="Y159" s="72">
        <v>1</v>
      </c>
      <c r="Z159" s="72">
        <v>1</v>
      </c>
      <c r="AA159" s="72">
        <v>1</v>
      </c>
      <c r="AB159" s="48">
        <f>IF(V159="TIPO I",'BASE DE LIQUIDACION 2025'!$B$3,'BASE DE LIQUIDACION 2025'!$B$4)</f>
        <v>11251.22416</v>
      </c>
      <c r="AC159" s="48">
        <f>IF(V159="TIPO I",'BASE DE LIQUIDACION 2025'!$C$3,'BASE DE LIQUIDACION 2025'!$C$4)</f>
        <v>126317.12212</v>
      </c>
      <c r="AD159" s="48">
        <f>IF(V159="TIPO I",'BASE DE LIQUIDACION 2025'!$D$3,'BASE DE LIQUIDACION 2025'!$D$4)</f>
        <v>57411.974240000003</v>
      </c>
      <c r="AE159" s="52">
        <f t="shared" si="3"/>
        <v>194980.32052000001</v>
      </c>
    </row>
    <row r="160" spans="1:31" ht="13.15">
      <c r="A160" s="72" t="s">
        <v>267</v>
      </c>
      <c r="B160" s="44" t="str">
        <f>VLOOKUP(A160,'CENTRO DE COSTOS'!A:D,4,FALSE)</f>
        <v>JUAN SEBASTIÁN RÍOS CASTRILLÓN</v>
      </c>
      <c r="C160" s="44" t="str">
        <f>VLOOKUP(A160,'CENTRO DE COSTOS'!A:D,2,FALSE)</f>
        <v>0004-0005</v>
      </c>
      <c r="D160" s="72">
        <v>5001</v>
      </c>
      <c r="E160" s="73" t="s">
        <v>1042</v>
      </c>
      <c r="F160" s="74">
        <v>81699</v>
      </c>
      <c r="G160" s="75" t="s">
        <v>135</v>
      </c>
      <c r="H160" s="76" t="s">
        <v>235</v>
      </c>
      <c r="I160" s="74" t="s">
        <v>253</v>
      </c>
      <c r="J160" s="77" t="s">
        <v>267</v>
      </c>
      <c r="K160" s="74" t="s">
        <v>1043</v>
      </c>
      <c r="L160" s="78" t="s">
        <v>140</v>
      </c>
      <c r="M160" s="79" t="s">
        <v>1044</v>
      </c>
      <c r="N160" s="80">
        <v>45924</v>
      </c>
      <c r="O160" s="81">
        <v>45925</v>
      </c>
      <c r="P160" s="82" t="s">
        <v>239</v>
      </c>
      <c r="Q160" s="83" t="s">
        <v>381</v>
      </c>
      <c r="R160" s="72" t="s">
        <v>143</v>
      </c>
      <c r="S160" s="84" t="s">
        <v>1040</v>
      </c>
      <c r="T160" s="75" t="s">
        <v>145</v>
      </c>
      <c r="U160" s="72" t="s">
        <v>1045</v>
      </c>
      <c r="V160" s="77" t="s">
        <v>55</v>
      </c>
      <c r="W160" s="85" t="s">
        <v>159</v>
      </c>
      <c r="X160" s="75" t="s">
        <v>390</v>
      </c>
      <c r="Y160" s="72">
        <v>1</v>
      </c>
      <c r="Z160" s="72">
        <v>1</v>
      </c>
      <c r="AA160" s="72">
        <v>1</v>
      </c>
      <c r="AB160" s="48">
        <f>IF(V160="TIPO I",'BASE DE LIQUIDACION 2025'!$B$3,'BASE DE LIQUIDACION 2025'!$B$4)</f>
        <v>11251.22416</v>
      </c>
      <c r="AC160" s="48">
        <f>IF(V160="TIPO I",'BASE DE LIQUIDACION 2025'!$C$3,'BASE DE LIQUIDACION 2025'!$C$4)</f>
        <v>126317.12212</v>
      </c>
      <c r="AD160" s="48">
        <f>IF(V160="TIPO I",'BASE DE LIQUIDACION 2025'!$D$3,'BASE DE LIQUIDACION 2025'!$D$4)</f>
        <v>57411.974240000003</v>
      </c>
      <c r="AE160" s="52">
        <f t="shared" si="3"/>
        <v>194980.32052000001</v>
      </c>
    </row>
    <row r="161" spans="1:31" ht="13.15">
      <c r="A161" s="72" t="s">
        <v>267</v>
      </c>
      <c r="B161" s="44" t="str">
        <f>VLOOKUP(A161,'CENTRO DE COSTOS'!A:D,4,FALSE)</f>
        <v>JUAN SEBASTIÁN RÍOS CASTRILLÓN</v>
      </c>
      <c r="C161" s="44" t="str">
        <f>VLOOKUP(A161,'CENTRO DE COSTOS'!A:D,2,FALSE)</f>
        <v>0004-0005</v>
      </c>
      <c r="D161" s="72">
        <v>5088</v>
      </c>
      <c r="E161" s="73" t="s">
        <v>1046</v>
      </c>
      <c r="F161" s="74">
        <v>81691</v>
      </c>
      <c r="G161" s="75" t="s">
        <v>135</v>
      </c>
      <c r="H161" s="76" t="s">
        <v>235</v>
      </c>
      <c r="I161" s="74" t="s">
        <v>253</v>
      </c>
      <c r="J161" s="77" t="s">
        <v>400</v>
      </c>
      <c r="K161" s="74" t="s">
        <v>1047</v>
      </c>
      <c r="L161" s="78" t="s">
        <v>140</v>
      </c>
      <c r="M161" s="79" t="s">
        <v>1048</v>
      </c>
      <c r="N161" s="80">
        <v>45924</v>
      </c>
      <c r="O161" s="81">
        <v>45926</v>
      </c>
      <c r="P161" s="82" t="s">
        <v>239</v>
      </c>
      <c r="Q161" s="83" t="s">
        <v>240</v>
      </c>
      <c r="R161" s="72" t="s">
        <v>143</v>
      </c>
      <c r="S161" s="84" t="s">
        <v>1049</v>
      </c>
      <c r="T161" s="75" t="s">
        <v>145</v>
      </c>
      <c r="U161" s="72" t="s">
        <v>1050</v>
      </c>
      <c r="V161" s="77" t="s">
        <v>55</v>
      </c>
      <c r="W161" s="85" t="s">
        <v>159</v>
      </c>
      <c r="X161" s="75" t="s">
        <v>390</v>
      </c>
      <c r="Y161" s="72">
        <v>1</v>
      </c>
      <c r="Z161" s="72">
        <v>1</v>
      </c>
      <c r="AA161" s="72">
        <v>1</v>
      </c>
      <c r="AB161" s="48">
        <f>IF(V161="TIPO I",'BASE DE LIQUIDACION 2025'!$B$3,'BASE DE LIQUIDACION 2025'!$B$4)</f>
        <v>11251.22416</v>
      </c>
      <c r="AC161" s="48">
        <f>IF(V161="TIPO I",'BASE DE LIQUIDACION 2025'!$C$3,'BASE DE LIQUIDACION 2025'!$C$4)</f>
        <v>126317.12212</v>
      </c>
      <c r="AD161" s="48">
        <f>IF(V161="TIPO I",'BASE DE LIQUIDACION 2025'!$D$3,'BASE DE LIQUIDACION 2025'!$D$4)</f>
        <v>57411.974240000003</v>
      </c>
      <c r="AE161" s="52">
        <f t="shared" si="3"/>
        <v>194980.32052000001</v>
      </c>
    </row>
    <row r="162" spans="1:31" ht="13.15">
      <c r="A162" s="72" t="s">
        <v>267</v>
      </c>
      <c r="B162" s="44" t="str">
        <f>VLOOKUP(A162,'CENTRO DE COSTOS'!A:D,4,FALSE)</f>
        <v>JUAN SEBASTIÁN RÍOS CASTRILLÓN</v>
      </c>
      <c r="C162" s="44" t="str">
        <f>VLOOKUP(A162,'CENTRO DE COSTOS'!A:D,2,FALSE)</f>
        <v>0004-0005</v>
      </c>
      <c r="D162" s="72">
        <v>5088</v>
      </c>
      <c r="E162" s="73" t="s">
        <v>1051</v>
      </c>
      <c r="F162" s="74">
        <v>81692</v>
      </c>
      <c r="G162" s="75" t="s">
        <v>135</v>
      </c>
      <c r="H162" s="76" t="s">
        <v>235</v>
      </c>
      <c r="I162" s="74" t="s">
        <v>253</v>
      </c>
      <c r="J162" s="77" t="s">
        <v>400</v>
      </c>
      <c r="K162" s="74" t="s">
        <v>1052</v>
      </c>
      <c r="L162" s="78" t="s">
        <v>140</v>
      </c>
      <c r="M162" s="79" t="s">
        <v>1053</v>
      </c>
      <c r="N162" s="80">
        <v>45924</v>
      </c>
      <c r="O162" s="81">
        <v>45926</v>
      </c>
      <c r="P162" s="82" t="s">
        <v>239</v>
      </c>
      <c r="Q162" s="83" t="s">
        <v>381</v>
      </c>
      <c r="R162" s="72" t="s">
        <v>143</v>
      </c>
      <c r="S162" s="84" t="s">
        <v>1049</v>
      </c>
      <c r="T162" s="75" t="s">
        <v>145</v>
      </c>
      <c r="U162" s="72" t="s">
        <v>1054</v>
      </c>
      <c r="V162" s="77" t="s">
        <v>55</v>
      </c>
      <c r="W162" s="85" t="s">
        <v>159</v>
      </c>
      <c r="X162" s="75" t="s">
        <v>390</v>
      </c>
      <c r="Y162" s="72">
        <v>1</v>
      </c>
      <c r="Z162" s="72">
        <v>1</v>
      </c>
      <c r="AA162" s="72">
        <v>1</v>
      </c>
      <c r="AB162" s="48">
        <f>IF(V162="TIPO I",'BASE DE LIQUIDACION 2025'!$B$3,'BASE DE LIQUIDACION 2025'!$B$4)</f>
        <v>11251.22416</v>
      </c>
      <c r="AC162" s="48">
        <f>IF(V162="TIPO I",'BASE DE LIQUIDACION 2025'!$C$3,'BASE DE LIQUIDACION 2025'!$C$4)</f>
        <v>126317.12212</v>
      </c>
      <c r="AD162" s="48">
        <f>IF(V162="TIPO I",'BASE DE LIQUIDACION 2025'!$D$3,'BASE DE LIQUIDACION 2025'!$D$4)</f>
        <v>57411.974240000003</v>
      </c>
      <c r="AE162" s="52">
        <f t="shared" si="3"/>
        <v>194980.32052000001</v>
      </c>
    </row>
    <row r="163" spans="1:31" ht="13.15">
      <c r="A163" s="72" t="s">
        <v>259</v>
      </c>
      <c r="B163" s="44" t="str">
        <f>VLOOKUP(A163,'CENTRO DE COSTOS'!A:D,4,FALSE)</f>
        <v>JUAN SEBASTIÁN RÍOS CASTRILLÓN</v>
      </c>
      <c r="C163" s="44" t="str">
        <f>VLOOKUP(A163,'CENTRO DE COSTOS'!A:D,2,FALSE)</f>
        <v>0004-0005</v>
      </c>
      <c r="D163" s="72">
        <v>5147</v>
      </c>
      <c r="E163" s="73" t="s">
        <v>1055</v>
      </c>
      <c r="F163" s="74">
        <v>81648</v>
      </c>
      <c r="G163" s="75" t="s">
        <v>135</v>
      </c>
      <c r="H163" s="76" t="s">
        <v>235</v>
      </c>
      <c r="I163" s="74" t="s">
        <v>253</v>
      </c>
      <c r="J163" s="77" t="s">
        <v>1056</v>
      </c>
      <c r="K163" s="74" t="s">
        <v>1057</v>
      </c>
      <c r="L163" s="78" t="s">
        <v>140</v>
      </c>
      <c r="M163" s="79" t="s">
        <v>1058</v>
      </c>
      <c r="N163" s="80">
        <v>45924</v>
      </c>
      <c r="O163" s="81">
        <v>45926</v>
      </c>
      <c r="P163" s="82" t="s">
        <v>239</v>
      </c>
      <c r="Q163" s="83" t="s">
        <v>240</v>
      </c>
      <c r="R163" s="72" t="s">
        <v>143</v>
      </c>
      <c r="S163" s="84" t="s">
        <v>1049</v>
      </c>
      <c r="T163" s="75" t="s">
        <v>145</v>
      </c>
      <c r="U163" s="72" t="s">
        <v>1059</v>
      </c>
      <c r="V163" s="77" t="s">
        <v>55</v>
      </c>
      <c r="W163" s="85" t="s">
        <v>159</v>
      </c>
      <c r="X163" s="75" t="s">
        <v>675</v>
      </c>
      <c r="Y163" s="72">
        <v>1</v>
      </c>
      <c r="Z163" s="72">
        <v>1</v>
      </c>
      <c r="AA163" s="72">
        <v>1</v>
      </c>
      <c r="AB163" s="48">
        <f>IF(V163="TIPO I",'BASE DE LIQUIDACION 2025'!$B$3,'BASE DE LIQUIDACION 2025'!$B$4)</f>
        <v>11251.22416</v>
      </c>
      <c r="AC163" s="48">
        <f>IF(V163="TIPO I",'BASE DE LIQUIDACION 2025'!$C$3,'BASE DE LIQUIDACION 2025'!$C$4)</f>
        <v>126317.12212</v>
      </c>
      <c r="AD163" s="48">
        <f>IF(V163="TIPO I",'BASE DE LIQUIDACION 2025'!$D$3,'BASE DE LIQUIDACION 2025'!$D$4)</f>
        <v>57411.974240000003</v>
      </c>
      <c r="AE163" s="52">
        <f t="shared" si="3"/>
        <v>194980.32052000001</v>
      </c>
    </row>
    <row r="164" spans="1:31" ht="13.15">
      <c r="A164" s="72" t="s">
        <v>267</v>
      </c>
      <c r="B164" s="44" t="str">
        <f>VLOOKUP(A164,'CENTRO DE COSTOS'!A:D,4,FALSE)</f>
        <v>JUAN SEBASTIÁN RÍOS CASTRILLÓN</v>
      </c>
      <c r="C164" s="44" t="str">
        <f>VLOOKUP(A164,'CENTRO DE COSTOS'!A:D,2,FALSE)</f>
        <v>0004-0005</v>
      </c>
      <c r="D164" s="72">
        <v>5376</v>
      </c>
      <c r="E164" s="73" t="s">
        <v>1060</v>
      </c>
      <c r="F164" s="74">
        <v>81696</v>
      </c>
      <c r="G164" s="75" t="s">
        <v>135</v>
      </c>
      <c r="H164" s="76" t="s">
        <v>235</v>
      </c>
      <c r="I164" s="74" t="s">
        <v>253</v>
      </c>
      <c r="J164" s="77" t="s">
        <v>1061</v>
      </c>
      <c r="K164" s="74" t="s">
        <v>1062</v>
      </c>
      <c r="L164" s="78" t="s">
        <v>140</v>
      </c>
      <c r="M164" s="79" t="s">
        <v>1063</v>
      </c>
      <c r="N164" s="80">
        <v>45924</v>
      </c>
      <c r="O164" s="81">
        <v>45926</v>
      </c>
      <c r="P164" s="82" t="s">
        <v>239</v>
      </c>
      <c r="Q164" s="83" t="s">
        <v>381</v>
      </c>
      <c r="R164" s="72" t="s">
        <v>143</v>
      </c>
      <c r="S164" s="84" t="s">
        <v>1049</v>
      </c>
      <c r="T164" s="75" t="s">
        <v>145</v>
      </c>
      <c r="U164" s="72" t="s">
        <v>1064</v>
      </c>
      <c r="V164" s="77" t="s">
        <v>199</v>
      </c>
      <c r="W164" s="85" t="s">
        <v>159</v>
      </c>
      <c r="X164" s="75" t="s">
        <v>706</v>
      </c>
      <c r="Y164" s="72">
        <v>1</v>
      </c>
      <c r="Z164" s="72">
        <v>1</v>
      </c>
      <c r="AA164" s="72">
        <v>1</v>
      </c>
      <c r="AB164" s="48">
        <f>IF(V164="TIPO I",'BASE DE LIQUIDACION 2025'!$B$3,'BASE DE LIQUIDACION 2025'!$B$4)</f>
        <v>11251.22416</v>
      </c>
      <c r="AC164" s="48">
        <f>IF(V164="TIPO I",'BASE DE LIQUIDACION 2025'!$C$3,'BASE DE LIQUIDACION 2025'!$C$4)</f>
        <v>126317.12212</v>
      </c>
      <c r="AD164" s="48">
        <f>IF(V164="TIPO I",'BASE DE LIQUIDACION 2025'!$D$3,'BASE DE LIQUIDACION 2025'!$D$4)</f>
        <v>110808.27512000001</v>
      </c>
      <c r="AE164" s="52">
        <f t="shared" si="3"/>
        <v>248376.6214</v>
      </c>
    </row>
    <row r="165" spans="1:31" ht="13.15">
      <c r="A165" s="72" t="s">
        <v>267</v>
      </c>
      <c r="B165" s="44" t="str">
        <f>VLOOKUP(A165,'CENTRO DE COSTOS'!A:D,4,FALSE)</f>
        <v>JUAN SEBASTIÁN RÍOS CASTRILLÓN</v>
      </c>
      <c r="C165" s="44" t="str">
        <f>VLOOKUP(A165,'CENTRO DE COSTOS'!A:D,2,FALSE)</f>
        <v>0004-0005</v>
      </c>
      <c r="D165" s="72">
        <v>5604</v>
      </c>
      <c r="E165" s="73" t="s">
        <v>1065</v>
      </c>
      <c r="F165" s="74">
        <v>81673</v>
      </c>
      <c r="G165" s="75" t="s">
        <v>135</v>
      </c>
      <c r="H165" s="76" t="s">
        <v>235</v>
      </c>
      <c r="I165" s="74" t="s">
        <v>253</v>
      </c>
      <c r="J165" s="77" t="s">
        <v>1006</v>
      </c>
      <c r="K165" s="74" t="s">
        <v>1066</v>
      </c>
      <c r="L165" s="78" t="s">
        <v>140</v>
      </c>
      <c r="M165" s="79" t="s">
        <v>1067</v>
      </c>
      <c r="N165" s="80">
        <v>45924</v>
      </c>
      <c r="O165" s="81">
        <v>45925</v>
      </c>
      <c r="P165" s="82" t="s">
        <v>239</v>
      </c>
      <c r="Q165" s="83" t="s">
        <v>240</v>
      </c>
      <c r="R165" s="72" t="s">
        <v>196</v>
      </c>
      <c r="S165" s="84" t="s">
        <v>1068</v>
      </c>
      <c r="T165" s="75" t="s">
        <v>145</v>
      </c>
      <c r="U165" s="72" t="s">
        <v>1069</v>
      </c>
      <c r="V165" s="77" t="s">
        <v>167</v>
      </c>
      <c r="W165" s="85" t="s">
        <v>159</v>
      </c>
      <c r="X165" s="75" t="s">
        <v>416</v>
      </c>
      <c r="Y165" s="72">
        <v>0</v>
      </c>
      <c r="Z165" s="72">
        <v>0</v>
      </c>
      <c r="AA165" s="72">
        <v>2</v>
      </c>
      <c r="AB165" s="48">
        <f>IF(V165="TIPO I",'BASE DE LIQUIDACION 2025'!$B$3,'BASE DE LIQUIDACION 2025'!$B$4)</f>
        <v>11251.22416</v>
      </c>
      <c r="AC165" s="48">
        <f>IF(V165="TIPO I",'BASE DE LIQUIDACION 2025'!$C$3,'BASE DE LIQUIDACION 2025'!$C$4)</f>
        <v>126317.12212</v>
      </c>
      <c r="AD165" s="48">
        <f>IF(V165="TIPO I",'BASE DE LIQUIDACION 2025'!$D$3,'BASE DE LIQUIDACION 2025'!$D$4)</f>
        <v>110808.27512000001</v>
      </c>
      <c r="AE165" s="52">
        <f t="shared" si="3"/>
        <v>221616.55024000001</v>
      </c>
    </row>
    <row r="166" spans="1:31" ht="13.15">
      <c r="A166" s="72" t="s">
        <v>267</v>
      </c>
      <c r="B166" s="44" t="str">
        <f>VLOOKUP(A166,'CENTRO DE COSTOS'!A:D,4,FALSE)</f>
        <v>JUAN SEBASTIÁN RÍOS CASTRILLÓN</v>
      </c>
      <c r="C166" s="44" t="str">
        <f>VLOOKUP(A166,'CENTRO DE COSTOS'!A:D,2,FALSE)</f>
        <v>0004-0005</v>
      </c>
      <c r="D166" s="72">
        <v>5615</v>
      </c>
      <c r="E166" s="73" t="s">
        <v>1070</v>
      </c>
      <c r="F166" s="74">
        <v>81653</v>
      </c>
      <c r="G166" s="75" t="s">
        <v>135</v>
      </c>
      <c r="H166" s="76" t="s">
        <v>235</v>
      </c>
      <c r="I166" s="74" t="s">
        <v>253</v>
      </c>
      <c r="J166" s="77" t="s">
        <v>1071</v>
      </c>
      <c r="K166" s="74" t="s">
        <v>1072</v>
      </c>
      <c r="L166" s="78" t="s">
        <v>140</v>
      </c>
      <c r="M166" s="79" t="s">
        <v>1073</v>
      </c>
      <c r="N166" s="80">
        <v>45924</v>
      </c>
      <c r="O166" s="81">
        <v>45925</v>
      </c>
      <c r="P166" s="82" t="s">
        <v>239</v>
      </c>
      <c r="Q166" s="83" t="s">
        <v>240</v>
      </c>
      <c r="R166" s="72" t="s">
        <v>143</v>
      </c>
      <c r="S166" s="84" t="s">
        <v>1074</v>
      </c>
      <c r="T166" s="75" t="s">
        <v>145</v>
      </c>
      <c r="U166" s="72" t="s">
        <v>1075</v>
      </c>
      <c r="V166" s="77" t="s">
        <v>199</v>
      </c>
      <c r="W166" s="85" t="s">
        <v>159</v>
      </c>
      <c r="X166" s="75" t="s">
        <v>706</v>
      </c>
      <c r="Y166" s="72">
        <v>1</v>
      </c>
      <c r="Z166" s="72">
        <v>1</v>
      </c>
      <c r="AA166" s="72">
        <v>1</v>
      </c>
      <c r="AB166" s="48">
        <f>IF(V166="TIPO I",'BASE DE LIQUIDACION 2025'!$B$3,'BASE DE LIQUIDACION 2025'!$B$4)</f>
        <v>11251.22416</v>
      </c>
      <c r="AC166" s="48">
        <f>IF(V166="TIPO I",'BASE DE LIQUIDACION 2025'!$C$3,'BASE DE LIQUIDACION 2025'!$C$4)</f>
        <v>126317.12212</v>
      </c>
      <c r="AD166" s="48">
        <f>IF(V166="TIPO I",'BASE DE LIQUIDACION 2025'!$D$3,'BASE DE LIQUIDACION 2025'!$D$4)</f>
        <v>110808.27512000001</v>
      </c>
      <c r="AE166" s="52">
        <f t="shared" si="3"/>
        <v>248376.6214</v>
      </c>
    </row>
    <row r="167" spans="1:31" ht="13.15">
      <c r="A167" s="72" t="s">
        <v>267</v>
      </c>
      <c r="B167" s="44" t="str">
        <f>VLOOKUP(A167,'CENTRO DE COSTOS'!A:D,4,FALSE)</f>
        <v>JUAN SEBASTIÁN RÍOS CASTRILLÓN</v>
      </c>
      <c r="C167" s="44" t="str">
        <f>VLOOKUP(A167,'CENTRO DE COSTOS'!A:D,2,FALSE)</f>
        <v>0004-0005</v>
      </c>
      <c r="D167" s="72">
        <v>5736</v>
      </c>
      <c r="E167" s="73" t="s">
        <v>1076</v>
      </c>
      <c r="F167" s="74">
        <v>81678</v>
      </c>
      <c r="G167" s="75" t="s">
        <v>135</v>
      </c>
      <c r="H167" s="76" t="s">
        <v>235</v>
      </c>
      <c r="I167" s="74" t="s">
        <v>253</v>
      </c>
      <c r="J167" s="77" t="s">
        <v>612</v>
      </c>
      <c r="K167" s="74" t="s">
        <v>1077</v>
      </c>
      <c r="L167" s="78" t="s">
        <v>140</v>
      </c>
      <c r="M167" s="79" t="s">
        <v>1078</v>
      </c>
      <c r="N167" s="80">
        <v>45924</v>
      </c>
      <c r="O167" s="81">
        <v>45926</v>
      </c>
      <c r="P167" s="82" t="s">
        <v>239</v>
      </c>
      <c r="Q167" s="83" t="s">
        <v>240</v>
      </c>
      <c r="R167" s="72" t="s">
        <v>143</v>
      </c>
      <c r="S167" s="84" t="s">
        <v>1079</v>
      </c>
      <c r="T167" s="75" t="s">
        <v>145</v>
      </c>
      <c r="U167" s="72" t="s">
        <v>1080</v>
      </c>
      <c r="V167" s="77" t="s">
        <v>167</v>
      </c>
      <c r="W167" s="85" t="s">
        <v>159</v>
      </c>
      <c r="X167" s="75" t="s">
        <v>416</v>
      </c>
      <c r="Y167" s="72">
        <v>1</v>
      </c>
      <c r="Z167" s="72">
        <v>1</v>
      </c>
      <c r="AA167" s="72">
        <v>1</v>
      </c>
      <c r="AB167" s="48">
        <f>IF(V167="TIPO I",'BASE DE LIQUIDACION 2025'!$B$3,'BASE DE LIQUIDACION 2025'!$B$4)</f>
        <v>11251.22416</v>
      </c>
      <c r="AC167" s="48">
        <f>IF(V167="TIPO I",'BASE DE LIQUIDACION 2025'!$C$3,'BASE DE LIQUIDACION 2025'!$C$4)</f>
        <v>126317.12212</v>
      </c>
      <c r="AD167" s="48">
        <f>IF(V167="TIPO I",'BASE DE LIQUIDACION 2025'!$D$3,'BASE DE LIQUIDACION 2025'!$D$4)</f>
        <v>110808.27512000001</v>
      </c>
      <c r="AE167" s="52">
        <f t="shared" si="3"/>
        <v>248376.6214</v>
      </c>
    </row>
    <row r="168" spans="1:31" ht="13.15">
      <c r="A168" s="72" t="s">
        <v>259</v>
      </c>
      <c r="B168" s="44" t="str">
        <f>VLOOKUP(A168,'CENTRO DE COSTOS'!A:D,4,FALSE)</f>
        <v>JUAN SEBASTIÁN RÍOS CASTRILLÓN</v>
      </c>
      <c r="C168" s="44" t="str">
        <f>VLOOKUP(A168,'CENTRO DE COSTOS'!A:D,2,FALSE)</f>
        <v>0004-0005</v>
      </c>
      <c r="D168" s="72">
        <v>5837</v>
      </c>
      <c r="E168" s="73" t="s">
        <v>1081</v>
      </c>
      <c r="F168" s="74">
        <v>81656</v>
      </c>
      <c r="G168" s="75" t="s">
        <v>135</v>
      </c>
      <c r="H168" s="76" t="s">
        <v>235</v>
      </c>
      <c r="I168" s="74" t="s">
        <v>253</v>
      </c>
      <c r="J168" s="77" t="s">
        <v>261</v>
      </c>
      <c r="K168" s="74" t="s">
        <v>1082</v>
      </c>
      <c r="L168" s="78" t="s">
        <v>140</v>
      </c>
      <c r="M168" s="79" t="s">
        <v>1083</v>
      </c>
      <c r="N168" s="80">
        <v>45924</v>
      </c>
      <c r="O168" s="81">
        <v>45926</v>
      </c>
      <c r="P168" s="82" t="s">
        <v>239</v>
      </c>
      <c r="Q168" s="83" t="s">
        <v>240</v>
      </c>
      <c r="R168" s="72" t="s">
        <v>143</v>
      </c>
      <c r="S168" s="84" t="s">
        <v>1049</v>
      </c>
      <c r="T168" s="75" t="s">
        <v>145</v>
      </c>
      <c r="U168" s="72" t="s">
        <v>1084</v>
      </c>
      <c r="V168" s="77" t="s">
        <v>199</v>
      </c>
      <c r="W168" s="85" t="s">
        <v>159</v>
      </c>
      <c r="X168" s="75" t="s">
        <v>266</v>
      </c>
      <c r="Y168" s="72">
        <v>1</v>
      </c>
      <c r="Z168" s="72">
        <v>1</v>
      </c>
      <c r="AA168" s="72">
        <v>1</v>
      </c>
      <c r="AB168" s="48">
        <f>IF(V168="TIPO I",'BASE DE LIQUIDACION 2025'!$B$3,'BASE DE LIQUIDACION 2025'!$B$4)</f>
        <v>11251.22416</v>
      </c>
      <c r="AC168" s="48">
        <f>IF(V168="TIPO I",'BASE DE LIQUIDACION 2025'!$C$3,'BASE DE LIQUIDACION 2025'!$C$4)</f>
        <v>126317.12212</v>
      </c>
      <c r="AD168" s="48">
        <f>IF(V168="TIPO I",'BASE DE LIQUIDACION 2025'!$D$3,'BASE DE LIQUIDACION 2025'!$D$4)</f>
        <v>110808.27512000001</v>
      </c>
      <c r="AE168" s="52">
        <f t="shared" si="3"/>
        <v>248376.6214</v>
      </c>
    </row>
    <row r="169" spans="1:31" ht="13.15">
      <c r="A169" s="72" t="s">
        <v>259</v>
      </c>
      <c r="B169" s="44" t="str">
        <f>VLOOKUP(A169,'CENTRO DE COSTOS'!A:D,4,FALSE)</f>
        <v>JUAN SEBASTIÁN RÍOS CASTRILLÓN</v>
      </c>
      <c r="C169" s="44" t="str">
        <f>VLOOKUP(A169,'CENTRO DE COSTOS'!A:D,2,FALSE)</f>
        <v>0004-0005</v>
      </c>
      <c r="D169" s="72">
        <v>5837</v>
      </c>
      <c r="E169" s="73" t="s">
        <v>1085</v>
      </c>
      <c r="F169" s="74">
        <v>81655</v>
      </c>
      <c r="G169" s="75" t="s">
        <v>135</v>
      </c>
      <c r="H169" s="76" t="s">
        <v>235</v>
      </c>
      <c r="I169" s="74" t="s">
        <v>253</v>
      </c>
      <c r="J169" s="77" t="s">
        <v>261</v>
      </c>
      <c r="K169" s="74" t="s">
        <v>1086</v>
      </c>
      <c r="L169" s="78" t="s">
        <v>140</v>
      </c>
      <c r="M169" s="79" t="s">
        <v>1087</v>
      </c>
      <c r="N169" s="80">
        <v>45924</v>
      </c>
      <c r="O169" s="81">
        <v>45926</v>
      </c>
      <c r="P169" s="82" t="s">
        <v>239</v>
      </c>
      <c r="Q169" s="83" t="s">
        <v>240</v>
      </c>
      <c r="R169" s="72" t="s">
        <v>143</v>
      </c>
      <c r="S169" s="84" t="s">
        <v>1049</v>
      </c>
      <c r="T169" s="75" t="s">
        <v>145</v>
      </c>
      <c r="U169" s="72" t="s">
        <v>1088</v>
      </c>
      <c r="V169" s="77" t="s">
        <v>199</v>
      </c>
      <c r="W169" s="85" t="s">
        <v>159</v>
      </c>
      <c r="X169" s="75" t="s">
        <v>266</v>
      </c>
      <c r="Y169" s="72">
        <v>1</v>
      </c>
      <c r="Z169" s="72">
        <v>1</v>
      </c>
      <c r="AA169" s="72">
        <v>1</v>
      </c>
      <c r="AB169" s="48">
        <f>IF(V169="TIPO I",'BASE DE LIQUIDACION 2025'!$B$3,'BASE DE LIQUIDACION 2025'!$B$4)</f>
        <v>11251.22416</v>
      </c>
      <c r="AC169" s="48">
        <f>IF(V169="TIPO I",'BASE DE LIQUIDACION 2025'!$C$3,'BASE DE LIQUIDACION 2025'!$C$4)</f>
        <v>126317.12212</v>
      </c>
      <c r="AD169" s="48">
        <f>IF(V169="TIPO I",'BASE DE LIQUIDACION 2025'!$D$3,'BASE DE LIQUIDACION 2025'!$D$4)</f>
        <v>110808.27512000001</v>
      </c>
      <c r="AE169" s="52">
        <f t="shared" si="3"/>
        <v>248376.6214</v>
      </c>
    </row>
    <row r="170" spans="1:31" ht="13.15">
      <c r="A170" s="72" t="s">
        <v>1089</v>
      </c>
      <c r="B170" s="44" t="str">
        <f>VLOOKUP(A170,'CENTRO DE COSTOS'!A:D,4,FALSE)</f>
        <v>JOSE MAURICIO HERNANDEZ ROJAS</v>
      </c>
      <c r="C170" s="44" t="str">
        <f>VLOOKUP(A170,'CENTRO DE COSTOS'!A:D,2,FALSE)</f>
        <v>0004-0001</v>
      </c>
      <c r="D170" s="72">
        <v>8001</v>
      </c>
      <c r="E170" s="73" t="s">
        <v>1090</v>
      </c>
      <c r="F170" s="74">
        <v>81624</v>
      </c>
      <c r="G170" s="75" t="s">
        <v>135</v>
      </c>
      <c r="H170" s="76" t="s">
        <v>235</v>
      </c>
      <c r="I170" s="74" t="s">
        <v>1091</v>
      </c>
      <c r="J170" s="77" t="s">
        <v>1089</v>
      </c>
      <c r="K170" s="74" t="s">
        <v>1092</v>
      </c>
      <c r="L170" s="78" t="s">
        <v>140</v>
      </c>
      <c r="M170" s="79" t="s">
        <v>1093</v>
      </c>
      <c r="N170" s="80">
        <v>45924</v>
      </c>
      <c r="O170" s="81">
        <v>45925</v>
      </c>
      <c r="P170" s="82" t="s">
        <v>239</v>
      </c>
      <c r="Q170" s="83" t="s">
        <v>381</v>
      </c>
      <c r="R170" s="72" t="s">
        <v>143</v>
      </c>
      <c r="S170" s="84" t="s">
        <v>1074</v>
      </c>
      <c r="T170" s="75" t="s">
        <v>145</v>
      </c>
      <c r="U170" s="72" t="s">
        <v>1094</v>
      </c>
      <c r="V170" s="77" t="s">
        <v>55</v>
      </c>
      <c r="W170" s="85" t="s">
        <v>159</v>
      </c>
      <c r="X170" s="75" t="s">
        <v>1095</v>
      </c>
      <c r="Y170" s="72">
        <v>1</v>
      </c>
      <c r="Z170" s="72">
        <v>1</v>
      </c>
      <c r="AA170" s="72">
        <v>1</v>
      </c>
      <c r="AB170" s="48">
        <f>IF(V170="TIPO I",'BASE DE LIQUIDACION 2025'!$B$3,'BASE DE LIQUIDACION 2025'!$B$4)</f>
        <v>11251.22416</v>
      </c>
      <c r="AC170" s="48">
        <f>IF(V170="TIPO I",'BASE DE LIQUIDACION 2025'!$C$3,'BASE DE LIQUIDACION 2025'!$C$4)</f>
        <v>126317.12212</v>
      </c>
      <c r="AD170" s="48">
        <f>IF(V170="TIPO I",'BASE DE LIQUIDACION 2025'!$D$3,'BASE DE LIQUIDACION 2025'!$D$4)</f>
        <v>57411.974240000003</v>
      </c>
      <c r="AE170" s="52">
        <f t="shared" si="3"/>
        <v>194980.32052000001</v>
      </c>
    </row>
    <row r="171" spans="1:31" ht="13.15">
      <c r="A171" s="72" t="s">
        <v>1089</v>
      </c>
      <c r="B171" s="44" t="str">
        <f>VLOOKUP(A171,'CENTRO DE COSTOS'!A:D,4,FALSE)</f>
        <v>JOSE MAURICIO HERNANDEZ ROJAS</v>
      </c>
      <c r="C171" s="44" t="str">
        <f>VLOOKUP(A171,'CENTRO DE COSTOS'!A:D,2,FALSE)</f>
        <v>0004-0001</v>
      </c>
      <c r="D171" s="72">
        <v>8758</v>
      </c>
      <c r="E171" s="73" t="s">
        <v>1096</v>
      </c>
      <c r="F171" s="74">
        <v>81687</v>
      </c>
      <c r="G171" s="75" t="s">
        <v>135</v>
      </c>
      <c r="H171" s="76" t="s">
        <v>235</v>
      </c>
      <c r="I171" s="74" t="s">
        <v>1091</v>
      </c>
      <c r="J171" s="77" t="s">
        <v>1097</v>
      </c>
      <c r="K171" s="74" t="s">
        <v>1098</v>
      </c>
      <c r="L171" s="78" t="s">
        <v>140</v>
      </c>
      <c r="M171" s="79" t="s">
        <v>1099</v>
      </c>
      <c r="N171" s="80">
        <v>45924</v>
      </c>
      <c r="O171" s="81">
        <v>45926</v>
      </c>
      <c r="P171" s="82" t="s">
        <v>239</v>
      </c>
      <c r="Q171" s="83" t="s">
        <v>381</v>
      </c>
      <c r="R171" s="72" t="s">
        <v>143</v>
      </c>
      <c r="S171" s="84" t="s">
        <v>1049</v>
      </c>
      <c r="T171" s="75" t="s">
        <v>145</v>
      </c>
      <c r="U171" s="72" t="s">
        <v>1100</v>
      </c>
      <c r="V171" s="77" t="s">
        <v>55</v>
      </c>
      <c r="W171" s="85" t="s">
        <v>159</v>
      </c>
      <c r="X171" s="75" t="s">
        <v>1095</v>
      </c>
      <c r="Y171" s="72">
        <v>1</v>
      </c>
      <c r="Z171" s="72">
        <v>1</v>
      </c>
      <c r="AA171" s="72">
        <v>1</v>
      </c>
      <c r="AB171" s="48">
        <f>IF(V171="TIPO I",'BASE DE LIQUIDACION 2025'!$B$3,'BASE DE LIQUIDACION 2025'!$B$4)</f>
        <v>11251.22416</v>
      </c>
      <c r="AC171" s="48">
        <f>IF(V171="TIPO I",'BASE DE LIQUIDACION 2025'!$C$3,'BASE DE LIQUIDACION 2025'!$C$4)</f>
        <v>126317.12212</v>
      </c>
      <c r="AD171" s="48">
        <f>IF(V171="TIPO I",'BASE DE LIQUIDACION 2025'!$D$3,'BASE DE LIQUIDACION 2025'!$D$4)</f>
        <v>57411.974240000003</v>
      </c>
      <c r="AE171" s="52">
        <f t="shared" si="3"/>
        <v>194980.32052000001</v>
      </c>
    </row>
    <row r="172" spans="1:31" ht="13.15">
      <c r="A172" s="72" t="s">
        <v>219</v>
      </c>
      <c r="B172" s="44" t="str">
        <f>VLOOKUP(A172,'CENTRO DE COSTOS'!A:D,4,FALSE)</f>
        <v>MIGUEL JULIÁN HERNÁNDEZ GUARÍN</v>
      </c>
      <c r="C172" s="44" t="str">
        <f>VLOOKUP(A172,'CENTRO DE COSTOS'!A:D,2,FALSE)</f>
        <v>0004-0008</v>
      </c>
      <c r="D172" s="72">
        <v>13688</v>
      </c>
      <c r="E172" s="73" t="s">
        <v>1101</v>
      </c>
      <c r="F172" s="74">
        <v>81682</v>
      </c>
      <c r="G172" s="75" t="s">
        <v>135</v>
      </c>
      <c r="H172" s="76" t="s">
        <v>235</v>
      </c>
      <c r="I172" s="74" t="s">
        <v>713</v>
      </c>
      <c r="J172" s="77" t="s">
        <v>859</v>
      </c>
      <c r="K172" s="74" t="s">
        <v>1102</v>
      </c>
      <c r="L172" s="78" t="s">
        <v>140</v>
      </c>
      <c r="M172" s="79" t="s">
        <v>1103</v>
      </c>
      <c r="N172" s="80">
        <v>45924</v>
      </c>
      <c r="O172" s="81">
        <v>45930</v>
      </c>
      <c r="P172" s="82" t="s">
        <v>239</v>
      </c>
      <c r="Q172" s="83" t="s">
        <v>240</v>
      </c>
      <c r="R172" s="72" t="s">
        <v>143</v>
      </c>
      <c r="S172" s="84" t="s">
        <v>1104</v>
      </c>
      <c r="T172" s="75" t="s">
        <v>145</v>
      </c>
      <c r="U172" s="72" t="s">
        <v>1105</v>
      </c>
      <c r="V172" s="77" t="s">
        <v>147</v>
      </c>
      <c r="W172" s="85" t="s">
        <v>857</v>
      </c>
      <c r="X172" s="75" t="s">
        <v>334</v>
      </c>
      <c r="Y172" s="72">
        <v>1</v>
      </c>
      <c r="Z172" s="72">
        <v>1</v>
      </c>
      <c r="AA172" s="72">
        <v>1</v>
      </c>
      <c r="AB172" s="48">
        <f>IF(V172="TIPO I",'BASE DE LIQUIDACION 2025'!$B$3,'BASE DE LIQUIDACION 2025'!$B$4)</f>
        <v>11251.22416</v>
      </c>
      <c r="AC172" s="48">
        <f>IF(V172="TIPO I",'BASE DE LIQUIDACION 2025'!$C$3,'BASE DE LIQUIDACION 2025'!$C$4)</f>
        <v>126317.12212</v>
      </c>
      <c r="AD172" s="48">
        <f>IF(V172="TIPO I",'BASE DE LIQUIDACION 2025'!$D$3,'BASE DE LIQUIDACION 2025'!$D$4)</f>
        <v>110808.27512000001</v>
      </c>
      <c r="AE172" s="52">
        <f t="shared" si="3"/>
        <v>248376.6214</v>
      </c>
    </row>
    <row r="173" spans="1:31" ht="13.15">
      <c r="A173" s="72" t="s">
        <v>274</v>
      </c>
      <c r="B173" s="44" t="str">
        <f>VLOOKUP(A173,'CENTRO DE COSTOS'!A:D,4,FALSE)</f>
        <v>MIGUEL JULIÁN HERNÁNDEZ GUARÍN</v>
      </c>
      <c r="C173" s="44" t="str">
        <f>VLOOKUP(A173,'CENTRO DE COSTOS'!A:D,2,FALSE)</f>
        <v>0004-0008</v>
      </c>
      <c r="D173" s="72">
        <v>15176</v>
      </c>
      <c r="E173" s="73" t="s">
        <v>1106</v>
      </c>
      <c r="F173" s="74">
        <v>81645</v>
      </c>
      <c r="G173" s="75" t="s">
        <v>135</v>
      </c>
      <c r="H173" s="76" t="s">
        <v>235</v>
      </c>
      <c r="I173" s="74" t="s">
        <v>276</v>
      </c>
      <c r="J173" s="77" t="s">
        <v>870</v>
      </c>
      <c r="K173" s="74" t="s">
        <v>1107</v>
      </c>
      <c r="L173" s="78" t="s">
        <v>140</v>
      </c>
      <c r="M173" s="79" t="s">
        <v>1108</v>
      </c>
      <c r="N173" s="80">
        <v>45924</v>
      </c>
      <c r="O173" s="81">
        <v>45925</v>
      </c>
      <c r="P173" s="82" t="s">
        <v>239</v>
      </c>
      <c r="Q173" s="83" t="s">
        <v>381</v>
      </c>
      <c r="R173" s="72" t="s">
        <v>143</v>
      </c>
      <c r="S173" s="84" t="s">
        <v>1074</v>
      </c>
      <c r="T173" s="75" t="s">
        <v>145</v>
      </c>
      <c r="U173" s="72" t="s">
        <v>1109</v>
      </c>
      <c r="V173" s="77" t="s">
        <v>158</v>
      </c>
      <c r="W173" s="85" t="s">
        <v>159</v>
      </c>
      <c r="X173" s="75" t="s">
        <v>655</v>
      </c>
      <c r="Y173" s="72">
        <v>1</v>
      </c>
      <c r="Z173" s="72">
        <v>1</v>
      </c>
      <c r="AA173" s="72">
        <v>1</v>
      </c>
      <c r="AB173" s="48">
        <f>IF(V173="TIPO I",'BASE DE LIQUIDACION 2025'!$B$3,'BASE DE LIQUIDACION 2025'!$B$4)</f>
        <v>11251.22416</v>
      </c>
      <c r="AC173" s="48">
        <f>IF(V173="TIPO I",'BASE DE LIQUIDACION 2025'!$C$3,'BASE DE LIQUIDACION 2025'!$C$4)</f>
        <v>126317.12212</v>
      </c>
      <c r="AD173" s="48">
        <f>IF(V173="TIPO I",'BASE DE LIQUIDACION 2025'!$D$3,'BASE DE LIQUIDACION 2025'!$D$4)</f>
        <v>110808.27512000001</v>
      </c>
      <c r="AE173" s="52">
        <f t="shared" si="3"/>
        <v>248376.6214</v>
      </c>
    </row>
    <row r="174" spans="1:31" ht="13.15">
      <c r="A174" s="72" t="s">
        <v>274</v>
      </c>
      <c r="B174" s="44" t="str">
        <f>VLOOKUP(A174,'CENTRO DE COSTOS'!A:D,4,FALSE)</f>
        <v>MIGUEL JULIÁN HERNÁNDEZ GUARÍN</v>
      </c>
      <c r="C174" s="44" t="str">
        <f>VLOOKUP(A174,'CENTRO DE COSTOS'!A:D,2,FALSE)</f>
        <v>0004-0008</v>
      </c>
      <c r="D174" s="72">
        <v>15759</v>
      </c>
      <c r="E174" s="73" t="s">
        <v>1110</v>
      </c>
      <c r="F174" s="74">
        <v>81686</v>
      </c>
      <c r="G174" s="75" t="s">
        <v>135</v>
      </c>
      <c r="H174" s="76" t="s">
        <v>235</v>
      </c>
      <c r="I174" s="74" t="s">
        <v>276</v>
      </c>
      <c r="J174" s="77" t="s">
        <v>1111</v>
      </c>
      <c r="K174" s="74" t="s">
        <v>1112</v>
      </c>
      <c r="L174" s="78" t="s">
        <v>140</v>
      </c>
      <c r="M174" s="79" t="s">
        <v>1113</v>
      </c>
      <c r="N174" s="80">
        <v>45924</v>
      </c>
      <c r="O174" s="81">
        <v>45925</v>
      </c>
      <c r="P174" s="82" t="s">
        <v>239</v>
      </c>
      <c r="Q174" s="83" t="s">
        <v>240</v>
      </c>
      <c r="R174" s="72" t="s">
        <v>143</v>
      </c>
      <c r="S174" s="84" t="s">
        <v>1074</v>
      </c>
      <c r="T174" s="75" t="s">
        <v>145</v>
      </c>
      <c r="U174" s="72" t="s">
        <v>1114</v>
      </c>
      <c r="V174" s="77" t="s">
        <v>199</v>
      </c>
      <c r="W174" s="85" t="s">
        <v>159</v>
      </c>
      <c r="X174" s="75" t="s">
        <v>874</v>
      </c>
      <c r="Y174" s="72">
        <v>1</v>
      </c>
      <c r="Z174" s="72">
        <v>1</v>
      </c>
      <c r="AA174" s="72">
        <v>1</v>
      </c>
      <c r="AB174" s="48">
        <f>IF(V174="TIPO I",'BASE DE LIQUIDACION 2025'!$B$3,'BASE DE LIQUIDACION 2025'!$B$4)</f>
        <v>11251.22416</v>
      </c>
      <c r="AC174" s="48">
        <f>IF(V174="TIPO I",'BASE DE LIQUIDACION 2025'!$C$3,'BASE DE LIQUIDACION 2025'!$C$4)</f>
        <v>126317.12212</v>
      </c>
      <c r="AD174" s="48">
        <f>IF(V174="TIPO I",'BASE DE LIQUIDACION 2025'!$D$3,'BASE DE LIQUIDACION 2025'!$D$4)</f>
        <v>110808.27512000001</v>
      </c>
      <c r="AE174" s="52">
        <f t="shared" si="3"/>
        <v>248376.6214</v>
      </c>
    </row>
    <row r="175" spans="1:31" ht="13.15">
      <c r="A175" s="72" t="s">
        <v>150</v>
      </c>
      <c r="B175" s="44" t="str">
        <f>VLOOKUP(A175,'CENTRO DE COSTOS'!A:D,4,FALSE)</f>
        <v>DIEGO FERNANDO HENAO CARDONA</v>
      </c>
      <c r="C175" s="44" t="str">
        <f>VLOOKUP(A175,'CENTRO DE COSTOS'!A:D,2,FALSE)</f>
        <v>0004-0003</v>
      </c>
      <c r="D175" s="72">
        <v>19001</v>
      </c>
      <c r="E175" s="73" t="s">
        <v>1115</v>
      </c>
      <c r="F175" s="74">
        <v>81674</v>
      </c>
      <c r="G175" s="75" t="s">
        <v>135</v>
      </c>
      <c r="H175" s="76" t="s">
        <v>235</v>
      </c>
      <c r="I175" s="74" t="s">
        <v>152</v>
      </c>
      <c r="J175" s="77" t="s">
        <v>720</v>
      </c>
      <c r="K175" s="74" t="s">
        <v>1116</v>
      </c>
      <c r="L175" s="78" t="s">
        <v>140</v>
      </c>
      <c r="M175" s="79" t="s">
        <v>1117</v>
      </c>
      <c r="N175" s="80">
        <v>45924</v>
      </c>
      <c r="O175" s="81">
        <v>45925</v>
      </c>
      <c r="P175" s="82" t="s">
        <v>239</v>
      </c>
      <c r="Q175" s="83" t="s">
        <v>240</v>
      </c>
      <c r="R175" s="72" t="s">
        <v>143</v>
      </c>
      <c r="S175" s="84" t="s">
        <v>1074</v>
      </c>
      <c r="T175" s="75" t="s">
        <v>145</v>
      </c>
      <c r="U175" s="72" t="s">
        <v>1118</v>
      </c>
      <c r="V175" s="77" t="s">
        <v>158</v>
      </c>
      <c r="W175" s="85" t="s">
        <v>159</v>
      </c>
      <c r="X175" s="75" t="s">
        <v>160</v>
      </c>
      <c r="Y175" s="72">
        <v>1</v>
      </c>
      <c r="Z175" s="72">
        <v>1</v>
      </c>
      <c r="AA175" s="72">
        <v>1</v>
      </c>
      <c r="AB175" s="48">
        <f>IF(V175="TIPO I",'BASE DE LIQUIDACION 2025'!$B$3,'BASE DE LIQUIDACION 2025'!$B$4)</f>
        <v>11251.22416</v>
      </c>
      <c r="AC175" s="48">
        <f>IF(V175="TIPO I",'BASE DE LIQUIDACION 2025'!$C$3,'BASE DE LIQUIDACION 2025'!$C$4)</f>
        <v>126317.12212</v>
      </c>
      <c r="AD175" s="48">
        <f>IF(V175="TIPO I",'BASE DE LIQUIDACION 2025'!$D$3,'BASE DE LIQUIDACION 2025'!$D$4)</f>
        <v>110808.27512000001</v>
      </c>
      <c r="AE175" s="52">
        <f t="shared" si="3"/>
        <v>248376.6214</v>
      </c>
    </row>
    <row r="176" spans="1:31" ht="13.15">
      <c r="A176" s="72" t="s">
        <v>621</v>
      </c>
      <c r="B176" s="44" t="str">
        <f>VLOOKUP(A176,'CENTRO DE COSTOS'!A:D,4,FALSE)</f>
        <v>JOSE MAURICIO HERNANDEZ ROJAS</v>
      </c>
      <c r="C176" s="44" t="str">
        <f>VLOOKUP(A176,'CENTRO DE COSTOS'!A:D,2,FALSE)</f>
        <v>0004-0001</v>
      </c>
      <c r="D176" s="72">
        <v>20011</v>
      </c>
      <c r="E176" s="73" t="s">
        <v>1119</v>
      </c>
      <c r="F176" s="74">
        <v>81621</v>
      </c>
      <c r="G176" s="75" t="s">
        <v>135</v>
      </c>
      <c r="H176" s="76" t="s">
        <v>235</v>
      </c>
      <c r="I176" s="74" t="s">
        <v>623</v>
      </c>
      <c r="J176" s="77" t="s">
        <v>1120</v>
      </c>
      <c r="K176" s="74" t="s">
        <v>1121</v>
      </c>
      <c r="L176" s="78" t="s">
        <v>140</v>
      </c>
      <c r="M176" s="79" t="s">
        <v>1122</v>
      </c>
      <c r="N176" s="80">
        <v>45924</v>
      </c>
      <c r="O176" s="81">
        <v>45926</v>
      </c>
      <c r="P176" s="82" t="s">
        <v>239</v>
      </c>
      <c r="Q176" s="83" t="s">
        <v>240</v>
      </c>
      <c r="R176" s="72" t="s">
        <v>143</v>
      </c>
      <c r="S176" s="84" t="s">
        <v>1049</v>
      </c>
      <c r="T176" s="75" t="s">
        <v>145</v>
      </c>
      <c r="U176" s="72" t="s">
        <v>1123</v>
      </c>
      <c r="V176" s="77" t="s">
        <v>167</v>
      </c>
      <c r="W176" s="85" t="s">
        <v>159</v>
      </c>
      <c r="X176" s="75" t="s">
        <v>1124</v>
      </c>
      <c r="Y176" s="72">
        <v>1</v>
      </c>
      <c r="Z176" s="72">
        <v>1</v>
      </c>
      <c r="AA176" s="72">
        <v>1</v>
      </c>
      <c r="AB176" s="48">
        <f>IF(V176="TIPO I",'BASE DE LIQUIDACION 2025'!$B$3,'BASE DE LIQUIDACION 2025'!$B$4)</f>
        <v>11251.22416</v>
      </c>
      <c r="AC176" s="48">
        <f>IF(V176="TIPO I",'BASE DE LIQUIDACION 2025'!$C$3,'BASE DE LIQUIDACION 2025'!$C$4)</f>
        <v>126317.12212</v>
      </c>
      <c r="AD176" s="48">
        <f>IF(V176="TIPO I",'BASE DE LIQUIDACION 2025'!$D$3,'BASE DE LIQUIDACION 2025'!$D$4)</f>
        <v>110808.27512000001</v>
      </c>
      <c r="AE176" s="52">
        <f t="shared" si="3"/>
        <v>248376.6214</v>
      </c>
    </row>
    <row r="177" spans="1:31" ht="13.15">
      <c r="A177" s="72" t="s">
        <v>176</v>
      </c>
      <c r="B177" s="44" t="str">
        <f>VLOOKUP(A177,'CENTRO DE COSTOS'!A:D,4,FALSE)</f>
        <v>JOSE MAURICIO HERNANDEZ ROJAS</v>
      </c>
      <c r="C177" s="44" t="str">
        <f>VLOOKUP(A177,'CENTRO DE COSTOS'!A:D,2,FALSE)</f>
        <v>0004-0001</v>
      </c>
      <c r="D177" s="72">
        <v>23001</v>
      </c>
      <c r="E177" s="73" t="s">
        <v>1125</v>
      </c>
      <c r="F177" s="74">
        <v>81668</v>
      </c>
      <c r="G177" s="75" t="s">
        <v>135</v>
      </c>
      <c r="H177" s="76" t="s">
        <v>235</v>
      </c>
      <c r="I177" s="74" t="s">
        <v>178</v>
      </c>
      <c r="J177" s="77" t="s">
        <v>176</v>
      </c>
      <c r="K177" s="74" t="s">
        <v>1126</v>
      </c>
      <c r="L177" s="78" t="s">
        <v>140</v>
      </c>
      <c r="M177" s="79" t="s">
        <v>1127</v>
      </c>
      <c r="N177" s="80">
        <v>45924</v>
      </c>
      <c r="O177" s="81">
        <v>45930</v>
      </c>
      <c r="P177" s="82" t="s">
        <v>239</v>
      </c>
      <c r="Q177" s="83" t="s">
        <v>381</v>
      </c>
      <c r="R177" s="72" t="s">
        <v>143</v>
      </c>
      <c r="S177" s="84" t="s">
        <v>1128</v>
      </c>
      <c r="T177" s="75" t="s">
        <v>145</v>
      </c>
      <c r="U177" s="72" t="s">
        <v>1129</v>
      </c>
      <c r="V177" s="77" t="s">
        <v>55</v>
      </c>
      <c r="W177" s="85" t="s">
        <v>159</v>
      </c>
      <c r="X177" s="75" t="s">
        <v>1130</v>
      </c>
      <c r="Y177" s="72">
        <v>1</v>
      </c>
      <c r="Z177" s="72">
        <v>1</v>
      </c>
      <c r="AA177" s="72">
        <v>3</v>
      </c>
      <c r="AB177" s="48">
        <f>IF(V177="TIPO I",'BASE DE LIQUIDACION 2025'!$B$3,'BASE DE LIQUIDACION 2025'!$B$4)</f>
        <v>11251.22416</v>
      </c>
      <c r="AC177" s="48">
        <f>IF(V177="TIPO I",'BASE DE LIQUIDACION 2025'!$C$3,'BASE DE LIQUIDACION 2025'!$C$4)</f>
        <v>126317.12212</v>
      </c>
      <c r="AD177" s="48">
        <f>IF(V177="TIPO I",'BASE DE LIQUIDACION 2025'!$D$3,'BASE DE LIQUIDACION 2025'!$D$4)</f>
        <v>57411.974240000003</v>
      </c>
      <c r="AE177" s="52">
        <f t="shared" si="3"/>
        <v>309804.26899999997</v>
      </c>
    </row>
    <row r="178" spans="1:31" ht="13.15">
      <c r="A178" s="72" t="s">
        <v>176</v>
      </c>
      <c r="B178" s="44" t="str">
        <f>VLOOKUP(A178,'CENTRO DE COSTOS'!A:D,4,FALSE)</f>
        <v>JOSE MAURICIO HERNANDEZ ROJAS</v>
      </c>
      <c r="C178" s="44" t="str">
        <f>VLOOKUP(A178,'CENTRO DE COSTOS'!A:D,2,FALSE)</f>
        <v>0004-0001</v>
      </c>
      <c r="D178" s="72">
        <v>23350</v>
      </c>
      <c r="E178" s="73" t="s">
        <v>1131</v>
      </c>
      <c r="F178" s="74">
        <v>81661</v>
      </c>
      <c r="G178" s="75" t="s">
        <v>135</v>
      </c>
      <c r="H178" s="76" t="s">
        <v>235</v>
      </c>
      <c r="I178" s="74" t="s">
        <v>178</v>
      </c>
      <c r="J178" s="77" t="s">
        <v>1132</v>
      </c>
      <c r="K178" s="74" t="s">
        <v>1133</v>
      </c>
      <c r="L178" s="78" t="s">
        <v>140</v>
      </c>
      <c r="M178" s="79" t="s">
        <v>1134</v>
      </c>
      <c r="N178" s="80">
        <v>45924</v>
      </c>
      <c r="O178" s="81">
        <v>45926</v>
      </c>
      <c r="P178" s="82" t="s">
        <v>239</v>
      </c>
      <c r="Q178" s="83" t="s">
        <v>240</v>
      </c>
      <c r="R178" s="72" t="s">
        <v>143</v>
      </c>
      <c r="S178" s="84" t="s">
        <v>1049</v>
      </c>
      <c r="T178" s="75" t="s">
        <v>145</v>
      </c>
      <c r="U178" s="72" t="s">
        <v>1135</v>
      </c>
      <c r="V178" s="77" t="s">
        <v>199</v>
      </c>
      <c r="W178" s="85" t="s">
        <v>159</v>
      </c>
      <c r="X178" s="75" t="s">
        <v>183</v>
      </c>
      <c r="Y178" s="72">
        <v>1</v>
      </c>
      <c r="Z178" s="72">
        <v>1</v>
      </c>
      <c r="AA178" s="72">
        <v>1</v>
      </c>
      <c r="AB178" s="48">
        <f>IF(V178="TIPO I",'BASE DE LIQUIDACION 2025'!$B$3,'BASE DE LIQUIDACION 2025'!$B$4)</f>
        <v>11251.22416</v>
      </c>
      <c r="AC178" s="48">
        <f>IF(V178="TIPO I",'BASE DE LIQUIDACION 2025'!$C$3,'BASE DE LIQUIDACION 2025'!$C$4)</f>
        <v>126317.12212</v>
      </c>
      <c r="AD178" s="48">
        <f>IF(V178="TIPO I",'BASE DE LIQUIDACION 2025'!$D$3,'BASE DE LIQUIDACION 2025'!$D$4)</f>
        <v>110808.27512000001</v>
      </c>
      <c r="AE178" s="52">
        <f t="shared" si="3"/>
        <v>248376.6214</v>
      </c>
    </row>
    <row r="179" spans="1:31" ht="13.15">
      <c r="A179" s="72" t="s">
        <v>176</v>
      </c>
      <c r="B179" s="44" t="str">
        <f>VLOOKUP(A179,'CENTRO DE COSTOS'!A:D,4,FALSE)</f>
        <v>JOSE MAURICIO HERNANDEZ ROJAS</v>
      </c>
      <c r="C179" s="44" t="str">
        <f>VLOOKUP(A179,'CENTRO DE COSTOS'!A:D,2,FALSE)</f>
        <v>0004-0001</v>
      </c>
      <c r="D179" s="72">
        <v>23660</v>
      </c>
      <c r="E179" s="73" t="s">
        <v>1136</v>
      </c>
      <c r="F179" s="74">
        <v>81679</v>
      </c>
      <c r="G179" s="75" t="s">
        <v>135</v>
      </c>
      <c r="H179" s="76" t="s">
        <v>235</v>
      </c>
      <c r="I179" s="74" t="s">
        <v>178</v>
      </c>
      <c r="J179" s="77" t="s">
        <v>1137</v>
      </c>
      <c r="K179" s="74" t="s">
        <v>1138</v>
      </c>
      <c r="L179" s="78" t="s">
        <v>140</v>
      </c>
      <c r="M179" s="79" t="s">
        <v>1139</v>
      </c>
      <c r="N179" s="80">
        <v>45924</v>
      </c>
      <c r="O179" s="81">
        <v>45925</v>
      </c>
      <c r="P179" s="82" t="s">
        <v>239</v>
      </c>
      <c r="Q179" s="83" t="s">
        <v>240</v>
      </c>
      <c r="R179" s="72" t="s">
        <v>143</v>
      </c>
      <c r="S179" s="84" t="s">
        <v>1040</v>
      </c>
      <c r="T179" s="75" t="s">
        <v>145</v>
      </c>
      <c r="U179" s="72" t="s">
        <v>1140</v>
      </c>
      <c r="V179" s="77" t="s">
        <v>199</v>
      </c>
      <c r="W179" s="85" t="s">
        <v>159</v>
      </c>
      <c r="X179" s="75" t="s">
        <v>183</v>
      </c>
      <c r="Y179" s="72">
        <v>1</v>
      </c>
      <c r="Z179" s="72">
        <v>1</v>
      </c>
      <c r="AA179" s="72">
        <v>1</v>
      </c>
      <c r="AB179" s="48">
        <f>IF(V179="TIPO I",'BASE DE LIQUIDACION 2025'!$B$3,'BASE DE LIQUIDACION 2025'!$B$4)</f>
        <v>11251.22416</v>
      </c>
      <c r="AC179" s="48">
        <f>IF(V179="TIPO I",'BASE DE LIQUIDACION 2025'!$C$3,'BASE DE LIQUIDACION 2025'!$C$4)</f>
        <v>126317.12212</v>
      </c>
      <c r="AD179" s="48">
        <f>IF(V179="TIPO I",'BASE DE LIQUIDACION 2025'!$D$3,'BASE DE LIQUIDACION 2025'!$D$4)</f>
        <v>110808.27512000001</v>
      </c>
      <c r="AE179" s="52">
        <f t="shared" si="3"/>
        <v>248376.6214</v>
      </c>
    </row>
    <row r="180" spans="1:31" ht="13.15">
      <c r="A180" s="72" t="s">
        <v>176</v>
      </c>
      <c r="B180" s="44" t="str">
        <f>VLOOKUP(A180,'CENTRO DE COSTOS'!A:D,4,FALSE)</f>
        <v>JOSE MAURICIO HERNANDEZ ROJAS</v>
      </c>
      <c r="C180" s="44" t="str">
        <f>VLOOKUP(A180,'CENTRO DE COSTOS'!A:D,2,FALSE)</f>
        <v>0004-0001</v>
      </c>
      <c r="D180" s="72">
        <v>23686</v>
      </c>
      <c r="E180" s="73" t="s">
        <v>1141</v>
      </c>
      <c r="F180" s="74">
        <v>81681</v>
      </c>
      <c r="G180" s="75" t="s">
        <v>135</v>
      </c>
      <c r="H180" s="76" t="s">
        <v>235</v>
      </c>
      <c r="I180" s="74" t="s">
        <v>178</v>
      </c>
      <c r="J180" s="77" t="s">
        <v>1142</v>
      </c>
      <c r="K180" s="74" t="s">
        <v>1143</v>
      </c>
      <c r="L180" s="78" t="s">
        <v>140</v>
      </c>
      <c r="M180" s="79" t="s">
        <v>1144</v>
      </c>
      <c r="N180" s="80">
        <v>45924</v>
      </c>
      <c r="O180" s="81">
        <v>45926</v>
      </c>
      <c r="P180" s="82" t="s">
        <v>239</v>
      </c>
      <c r="Q180" s="83" t="s">
        <v>240</v>
      </c>
      <c r="R180" s="72" t="s">
        <v>143</v>
      </c>
      <c r="S180" s="84" t="s">
        <v>1049</v>
      </c>
      <c r="T180" s="75" t="s">
        <v>145</v>
      </c>
      <c r="U180" s="72" t="s">
        <v>1145</v>
      </c>
      <c r="V180" s="77" t="s">
        <v>199</v>
      </c>
      <c r="W180" s="85" t="s">
        <v>159</v>
      </c>
      <c r="X180" s="75" t="s">
        <v>634</v>
      </c>
      <c r="Y180" s="72">
        <v>1</v>
      </c>
      <c r="Z180" s="72">
        <v>1</v>
      </c>
      <c r="AA180" s="72">
        <v>1</v>
      </c>
      <c r="AB180" s="48">
        <f>IF(V180="TIPO I",'BASE DE LIQUIDACION 2025'!$B$3,'BASE DE LIQUIDACION 2025'!$B$4)</f>
        <v>11251.22416</v>
      </c>
      <c r="AC180" s="48">
        <f>IF(V180="TIPO I",'BASE DE LIQUIDACION 2025'!$C$3,'BASE DE LIQUIDACION 2025'!$C$4)</f>
        <v>126317.12212</v>
      </c>
      <c r="AD180" s="48">
        <f>IF(V180="TIPO I",'BASE DE LIQUIDACION 2025'!$D$3,'BASE DE LIQUIDACION 2025'!$D$4)</f>
        <v>110808.27512000001</v>
      </c>
      <c r="AE180" s="52">
        <f t="shared" si="3"/>
        <v>248376.6214</v>
      </c>
    </row>
    <row r="181" spans="1:31" ht="13.15">
      <c r="A181" s="72" t="s">
        <v>259</v>
      </c>
      <c r="B181" s="44" t="str">
        <f>VLOOKUP(A181,'CENTRO DE COSTOS'!A:D,4,FALSE)</f>
        <v>JUAN SEBASTIÁN RÍOS CASTRILLÓN</v>
      </c>
      <c r="C181" s="44" t="str">
        <f>VLOOKUP(A181,'CENTRO DE COSTOS'!A:D,2,FALSE)</f>
        <v>0004-0005</v>
      </c>
      <c r="D181" s="72">
        <v>27615</v>
      </c>
      <c r="E181" s="73" t="s">
        <v>1146</v>
      </c>
      <c r="F181" s="74">
        <v>81633</v>
      </c>
      <c r="G181" s="75" t="s">
        <v>135</v>
      </c>
      <c r="H181" s="76" t="s">
        <v>235</v>
      </c>
      <c r="I181" s="74" t="s">
        <v>972</v>
      </c>
      <c r="J181" s="77" t="s">
        <v>285</v>
      </c>
      <c r="K181" s="74" t="s">
        <v>1147</v>
      </c>
      <c r="L181" s="78" t="s">
        <v>140</v>
      </c>
      <c r="M181" s="79" t="s">
        <v>1148</v>
      </c>
      <c r="N181" s="80">
        <v>45924</v>
      </c>
      <c r="O181" s="81">
        <v>45930</v>
      </c>
      <c r="P181" s="82" t="s">
        <v>239</v>
      </c>
      <c r="Q181" s="83" t="s">
        <v>240</v>
      </c>
      <c r="R181" s="72" t="s">
        <v>143</v>
      </c>
      <c r="S181" s="84" t="s">
        <v>1104</v>
      </c>
      <c r="T181" s="75" t="s">
        <v>145</v>
      </c>
      <c r="U181" s="72" t="s">
        <v>1149</v>
      </c>
      <c r="V181" s="77" t="s">
        <v>147</v>
      </c>
      <c r="W181" s="85" t="s">
        <v>857</v>
      </c>
      <c r="X181" s="75" t="s">
        <v>701</v>
      </c>
      <c r="Y181" s="72">
        <v>1</v>
      </c>
      <c r="Z181" s="72">
        <v>1</v>
      </c>
      <c r="AA181" s="72">
        <v>1</v>
      </c>
      <c r="AB181" s="48">
        <f>IF(V181="TIPO I",'BASE DE LIQUIDACION 2025'!$B$3,'BASE DE LIQUIDACION 2025'!$B$4)</f>
        <v>11251.22416</v>
      </c>
      <c r="AC181" s="48">
        <f>IF(V181="TIPO I",'BASE DE LIQUIDACION 2025'!$C$3,'BASE DE LIQUIDACION 2025'!$C$4)</f>
        <v>126317.12212</v>
      </c>
      <c r="AD181" s="48">
        <f>IF(V181="TIPO I",'BASE DE LIQUIDACION 2025'!$D$3,'BASE DE LIQUIDACION 2025'!$D$4)</f>
        <v>110808.27512000001</v>
      </c>
      <c r="AE181" s="52">
        <f t="shared" si="3"/>
        <v>248376.6214</v>
      </c>
    </row>
    <row r="182" spans="1:31" ht="13.15">
      <c r="A182" s="72" t="s">
        <v>210</v>
      </c>
      <c r="B182" s="44" t="str">
        <f>VLOOKUP(A182,'CENTRO DE COSTOS'!A:D,4,FALSE)</f>
        <v>KEVIN ALEXIS CORZO BUSTOS</v>
      </c>
      <c r="C182" s="44" t="str">
        <f>VLOOKUP(A182,'CENTRO DE COSTOS'!A:D,2,FALSE)</f>
        <v>0004-0007</v>
      </c>
      <c r="D182" s="72">
        <v>50001</v>
      </c>
      <c r="E182" s="73" t="s">
        <v>1150</v>
      </c>
      <c r="F182" s="74">
        <v>81695</v>
      </c>
      <c r="G182" s="75" t="s">
        <v>135</v>
      </c>
      <c r="H182" s="76" t="s">
        <v>235</v>
      </c>
      <c r="I182" s="74" t="s">
        <v>212</v>
      </c>
      <c r="J182" s="77" t="s">
        <v>210</v>
      </c>
      <c r="K182" s="74" t="s">
        <v>1151</v>
      </c>
      <c r="L182" s="78" t="s">
        <v>140</v>
      </c>
      <c r="M182" s="79" t="s">
        <v>1152</v>
      </c>
      <c r="N182" s="80">
        <v>45924</v>
      </c>
      <c r="O182" s="81">
        <v>45926</v>
      </c>
      <c r="P182" s="82" t="s">
        <v>239</v>
      </c>
      <c r="Q182" s="83" t="s">
        <v>381</v>
      </c>
      <c r="R182" s="72" t="s">
        <v>196</v>
      </c>
      <c r="S182" s="84" t="s">
        <v>1153</v>
      </c>
      <c r="T182" s="75" t="s">
        <v>145</v>
      </c>
      <c r="U182" s="72" t="s">
        <v>1154</v>
      </c>
      <c r="V182" s="77" t="s">
        <v>55</v>
      </c>
      <c r="W182" s="85" t="s">
        <v>159</v>
      </c>
      <c r="X182" s="75" t="s">
        <v>1155</v>
      </c>
      <c r="Y182" s="72">
        <v>0</v>
      </c>
      <c r="Z182" s="72">
        <v>0</v>
      </c>
      <c r="AA182" s="72">
        <v>2</v>
      </c>
      <c r="AB182" s="48">
        <f>IF(V182="TIPO I",'BASE DE LIQUIDACION 2025'!$B$3,'BASE DE LIQUIDACION 2025'!$B$4)</f>
        <v>11251.22416</v>
      </c>
      <c r="AC182" s="48">
        <f>IF(V182="TIPO I",'BASE DE LIQUIDACION 2025'!$C$3,'BASE DE LIQUIDACION 2025'!$C$4)</f>
        <v>126317.12212</v>
      </c>
      <c r="AD182" s="48">
        <f>IF(V182="TIPO I",'BASE DE LIQUIDACION 2025'!$D$3,'BASE DE LIQUIDACION 2025'!$D$4)</f>
        <v>57411.974240000003</v>
      </c>
      <c r="AE182" s="52">
        <f t="shared" ref="AE182:AE200" si="4">AB182*Y182+Z182*AC182+AA182*AD182</f>
        <v>114823.94848000001</v>
      </c>
    </row>
    <row r="183" spans="1:31" ht="13.15">
      <c r="A183" s="72" t="s">
        <v>133</v>
      </c>
      <c r="B183" s="44" t="str">
        <f>VLOOKUP(A183,'CENTRO DE COSTOS'!A:D,4,FALSE)</f>
        <v>DIEGO FERNANDO HENAO CARDONA</v>
      </c>
      <c r="C183" s="44" t="str">
        <f>VLOOKUP(A183,'CENTRO DE COSTOS'!A:D,2,FALSE)</f>
        <v>0004-0003</v>
      </c>
      <c r="D183" s="72">
        <v>52001</v>
      </c>
      <c r="E183" s="73" t="s">
        <v>1156</v>
      </c>
      <c r="F183" s="74">
        <v>81672</v>
      </c>
      <c r="G183" s="75" t="s">
        <v>135</v>
      </c>
      <c r="H183" s="76" t="s">
        <v>235</v>
      </c>
      <c r="I183" s="74" t="s">
        <v>137</v>
      </c>
      <c r="J183" s="77" t="s">
        <v>133</v>
      </c>
      <c r="K183" s="74" t="s">
        <v>1157</v>
      </c>
      <c r="L183" s="78" t="s">
        <v>140</v>
      </c>
      <c r="M183" s="79" t="s">
        <v>1158</v>
      </c>
      <c r="N183" s="80">
        <v>45924</v>
      </c>
      <c r="O183" s="81">
        <v>45925</v>
      </c>
      <c r="P183" s="82" t="s">
        <v>239</v>
      </c>
      <c r="Q183" s="83" t="s">
        <v>240</v>
      </c>
      <c r="R183" s="72" t="s">
        <v>143</v>
      </c>
      <c r="S183" s="84" t="s">
        <v>1040</v>
      </c>
      <c r="T183" s="75" t="s">
        <v>145</v>
      </c>
      <c r="U183" s="72" t="s">
        <v>1159</v>
      </c>
      <c r="V183" s="77" t="s">
        <v>55</v>
      </c>
      <c r="W183" s="85" t="s">
        <v>159</v>
      </c>
      <c r="X183" s="75" t="s">
        <v>251</v>
      </c>
      <c r="Y183" s="72">
        <v>1</v>
      </c>
      <c r="Z183" s="72">
        <v>1</v>
      </c>
      <c r="AA183" s="72">
        <v>1</v>
      </c>
      <c r="AB183" s="48">
        <f>IF(V183="TIPO I",'BASE DE LIQUIDACION 2025'!$B$3,'BASE DE LIQUIDACION 2025'!$B$4)</f>
        <v>11251.22416</v>
      </c>
      <c r="AC183" s="48">
        <f>IF(V183="TIPO I",'BASE DE LIQUIDACION 2025'!$C$3,'BASE DE LIQUIDACION 2025'!$C$4)</f>
        <v>126317.12212</v>
      </c>
      <c r="AD183" s="48">
        <f>IF(V183="TIPO I",'BASE DE LIQUIDACION 2025'!$D$3,'BASE DE LIQUIDACION 2025'!$D$4)</f>
        <v>57411.974240000003</v>
      </c>
      <c r="AE183" s="52">
        <f t="shared" si="4"/>
        <v>194980.32052000001</v>
      </c>
    </row>
    <row r="184" spans="1:31" ht="13.15">
      <c r="A184" s="72" t="s">
        <v>133</v>
      </c>
      <c r="B184" s="44" t="str">
        <f>VLOOKUP(A184,'CENTRO DE COSTOS'!A:D,4,FALSE)</f>
        <v>DIEGO FERNANDO HENAO CARDONA</v>
      </c>
      <c r="C184" s="44" t="str">
        <f>VLOOKUP(A184,'CENTRO DE COSTOS'!A:D,2,FALSE)</f>
        <v>0004-0003</v>
      </c>
      <c r="D184" s="72">
        <v>52110</v>
      </c>
      <c r="E184" s="73" t="s">
        <v>1160</v>
      </c>
      <c r="F184" s="74">
        <v>81635</v>
      </c>
      <c r="G184" s="75" t="s">
        <v>135</v>
      </c>
      <c r="H184" s="76" t="s">
        <v>235</v>
      </c>
      <c r="I184" s="74" t="s">
        <v>137</v>
      </c>
      <c r="J184" s="77" t="s">
        <v>1161</v>
      </c>
      <c r="K184" s="74" t="s">
        <v>1162</v>
      </c>
      <c r="L184" s="78" t="s">
        <v>140</v>
      </c>
      <c r="M184" s="79" t="s">
        <v>1163</v>
      </c>
      <c r="N184" s="80">
        <v>45924</v>
      </c>
      <c r="O184" s="81">
        <v>45926</v>
      </c>
      <c r="P184" s="82" t="s">
        <v>239</v>
      </c>
      <c r="Q184" s="83" t="s">
        <v>240</v>
      </c>
      <c r="R184" s="72" t="s">
        <v>143</v>
      </c>
      <c r="S184" s="84" t="s">
        <v>1049</v>
      </c>
      <c r="T184" s="75" t="s">
        <v>145</v>
      </c>
      <c r="U184" s="72" t="s">
        <v>1164</v>
      </c>
      <c r="V184" s="77" t="s">
        <v>199</v>
      </c>
      <c r="W184" s="85" t="s">
        <v>159</v>
      </c>
      <c r="X184" s="75" t="s">
        <v>884</v>
      </c>
      <c r="Y184" s="72">
        <v>1</v>
      </c>
      <c r="Z184" s="72">
        <v>1</v>
      </c>
      <c r="AA184" s="72">
        <v>1</v>
      </c>
      <c r="AB184" s="48">
        <f>IF(V184="TIPO I",'BASE DE LIQUIDACION 2025'!$B$3,'BASE DE LIQUIDACION 2025'!$B$4)</f>
        <v>11251.22416</v>
      </c>
      <c r="AC184" s="48">
        <f>IF(V184="TIPO I",'BASE DE LIQUIDACION 2025'!$C$3,'BASE DE LIQUIDACION 2025'!$C$4)</f>
        <v>126317.12212</v>
      </c>
      <c r="AD184" s="48">
        <f>IF(V184="TIPO I",'BASE DE LIQUIDACION 2025'!$D$3,'BASE DE LIQUIDACION 2025'!$D$4)</f>
        <v>110808.27512000001</v>
      </c>
      <c r="AE184" s="52">
        <f t="shared" si="4"/>
        <v>248376.6214</v>
      </c>
    </row>
    <row r="185" spans="1:31" ht="13.15">
      <c r="A185" s="72" t="s">
        <v>309</v>
      </c>
      <c r="B185" s="44" t="str">
        <f>VLOOKUP(A185,'CENTRO DE COSTOS'!A:D,4,FALSE)</f>
        <v>MIGUEL JULIÁN HERNÁNDEZ GUARÍN</v>
      </c>
      <c r="C185" s="44" t="str">
        <f>VLOOKUP(A185,'CENTRO DE COSTOS'!A:D,2,FALSE)</f>
        <v>0004-0008</v>
      </c>
      <c r="D185" s="72">
        <v>54001</v>
      </c>
      <c r="E185" s="73" t="s">
        <v>1165</v>
      </c>
      <c r="F185" s="74">
        <v>81650</v>
      </c>
      <c r="G185" s="75" t="s">
        <v>135</v>
      </c>
      <c r="H185" s="76" t="s">
        <v>235</v>
      </c>
      <c r="I185" s="74" t="s">
        <v>311</v>
      </c>
      <c r="J185" s="77" t="s">
        <v>309</v>
      </c>
      <c r="K185" s="74" t="s">
        <v>1166</v>
      </c>
      <c r="L185" s="78" t="s">
        <v>140</v>
      </c>
      <c r="M185" s="79" t="s">
        <v>1167</v>
      </c>
      <c r="N185" s="80">
        <v>45924</v>
      </c>
      <c r="O185" s="81">
        <v>45925</v>
      </c>
      <c r="P185" s="82" t="s">
        <v>239</v>
      </c>
      <c r="Q185" s="83" t="s">
        <v>240</v>
      </c>
      <c r="R185" s="72" t="s">
        <v>143</v>
      </c>
      <c r="S185" s="84" t="s">
        <v>1040</v>
      </c>
      <c r="T185" s="75" t="s">
        <v>145</v>
      </c>
      <c r="U185" s="72" t="s">
        <v>1168</v>
      </c>
      <c r="V185" s="77" t="s">
        <v>55</v>
      </c>
      <c r="W185" s="85" t="s">
        <v>159</v>
      </c>
      <c r="X185" s="75" t="s">
        <v>322</v>
      </c>
      <c r="Y185" s="72">
        <v>1</v>
      </c>
      <c r="Z185" s="72">
        <v>1</v>
      </c>
      <c r="AA185" s="72">
        <v>1</v>
      </c>
      <c r="AB185" s="48">
        <f>IF(V185="TIPO I",'BASE DE LIQUIDACION 2025'!$B$3,'BASE DE LIQUIDACION 2025'!$B$4)</f>
        <v>11251.22416</v>
      </c>
      <c r="AC185" s="48">
        <f>IF(V185="TIPO I",'BASE DE LIQUIDACION 2025'!$C$3,'BASE DE LIQUIDACION 2025'!$C$4)</f>
        <v>126317.12212</v>
      </c>
      <c r="AD185" s="48">
        <f>IF(V185="TIPO I",'BASE DE LIQUIDACION 2025'!$D$3,'BASE DE LIQUIDACION 2025'!$D$4)</f>
        <v>57411.974240000003</v>
      </c>
      <c r="AE185" s="52">
        <f t="shared" si="4"/>
        <v>194980.32052000001</v>
      </c>
    </row>
    <row r="186" spans="1:31" ht="13.15">
      <c r="A186" s="72" t="s">
        <v>309</v>
      </c>
      <c r="B186" s="44" t="str">
        <f>VLOOKUP(A186,'CENTRO DE COSTOS'!A:D,4,FALSE)</f>
        <v>MIGUEL JULIÁN HERNÁNDEZ GUARÍN</v>
      </c>
      <c r="C186" s="44" t="str">
        <f>VLOOKUP(A186,'CENTRO DE COSTOS'!A:D,2,FALSE)</f>
        <v>0004-0008</v>
      </c>
      <c r="D186" s="72">
        <v>54001</v>
      </c>
      <c r="E186" s="73" t="s">
        <v>1169</v>
      </c>
      <c r="F186" s="74">
        <v>81651</v>
      </c>
      <c r="G186" s="75" t="s">
        <v>135</v>
      </c>
      <c r="H186" s="76" t="s">
        <v>235</v>
      </c>
      <c r="I186" s="74" t="s">
        <v>311</v>
      </c>
      <c r="J186" s="77" t="s">
        <v>309</v>
      </c>
      <c r="K186" s="74" t="s">
        <v>1170</v>
      </c>
      <c r="L186" s="78" t="s">
        <v>140</v>
      </c>
      <c r="M186" s="79" t="s">
        <v>1171</v>
      </c>
      <c r="N186" s="80">
        <v>45924</v>
      </c>
      <c r="O186" s="81">
        <v>45925</v>
      </c>
      <c r="P186" s="82" t="s">
        <v>239</v>
      </c>
      <c r="Q186" s="83" t="s">
        <v>240</v>
      </c>
      <c r="R186" s="72" t="s">
        <v>143</v>
      </c>
      <c r="S186" s="84" t="s">
        <v>1040</v>
      </c>
      <c r="T186" s="75" t="s">
        <v>145</v>
      </c>
      <c r="U186" s="72" t="s">
        <v>1172</v>
      </c>
      <c r="V186" s="77" t="s">
        <v>55</v>
      </c>
      <c r="W186" s="85" t="s">
        <v>159</v>
      </c>
      <c r="X186" s="75" t="s">
        <v>316</v>
      </c>
      <c r="Y186" s="72">
        <v>1</v>
      </c>
      <c r="Z186" s="72">
        <v>1</v>
      </c>
      <c r="AA186" s="72">
        <v>1</v>
      </c>
      <c r="AB186" s="48">
        <f>IF(V186="TIPO I",'BASE DE LIQUIDACION 2025'!$B$3,'BASE DE LIQUIDACION 2025'!$B$4)</f>
        <v>11251.22416</v>
      </c>
      <c r="AC186" s="48">
        <f>IF(V186="TIPO I",'BASE DE LIQUIDACION 2025'!$C$3,'BASE DE LIQUIDACION 2025'!$C$4)</f>
        <v>126317.12212</v>
      </c>
      <c r="AD186" s="48">
        <f>IF(V186="TIPO I",'BASE DE LIQUIDACION 2025'!$D$3,'BASE DE LIQUIDACION 2025'!$D$4)</f>
        <v>57411.974240000003</v>
      </c>
      <c r="AE186" s="52">
        <f t="shared" si="4"/>
        <v>194980.32052000001</v>
      </c>
    </row>
    <row r="187" spans="1:31" ht="13.15">
      <c r="A187" s="72" t="s">
        <v>309</v>
      </c>
      <c r="B187" s="44" t="str">
        <f>VLOOKUP(A187,'CENTRO DE COSTOS'!A:D,4,FALSE)</f>
        <v>MIGUEL JULIÁN HERNÁNDEZ GUARÍN</v>
      </c>
      <c r="C187" s="44" t="str">
        <f>VLOOKUP(A187,'CENTRO DE COSTOS'!A:D,2,FALSE)</f>
        <v>0004-0008</v>
      </c>
      <c r="D187" s="72">
        <v>54001</v>
      </c>
      <c r="E187" s="73" t="s">
        <v>1173</v>
      </c>
      <c r="F187" s="74">
        <v>81652</v>
      </c>
      <c r="G187" s="75" t="s">
        <v>135</v>
      </c>
      <c r="H187" s="76" t="s">
        <v>235</v>
      </c>
      <c r="I187" s="74" t="s">
        <v>311</v>
      </c>
      <c r="J187" s="77" t="s">
        <v>309</v>
      </c>
      <c r="K187" s="74" t="s">
        <v>1174</v>
      </c>
      <c r="L187" s="78" t="s">
        <v>140</v>
      </c>
      <c r="M187" s="79" t="s">
        <v>1175</v>
      </c>
      <c r="N187" s="80">
        <v>45924</v>
      </c>
      <c r="O187" s="81">
        <v>45925</v>
      </c>
      <c r="P187" s="82" t="s">
        <v>239</v>
      </c>
      <c r="Q187" s="83" t="s">
        <v>240</v>
      </c>
      <c r="R187" s="72" t="s">
        <v>143</v>
      </c>
      <c r="S187" s="84" t="s">
        <v>1040</v>
      </c>
      <c r="T187" s="75" t="s">
        <v>145</v>
      </c>
      <c r="U187" s="72" t="s">
        <v>1176</v>
      </c>
      <c r="V187" s="77" t="s">
        <v>55</v>
      </c>
      <c r="W187" s="85" t="s">
        <v>159</v>
      </c>
      <c r="X187" s="75" t="s">
        <v>484</v>
      </c>
      <c r="Y187" s="72">
        <v>1</v>
      </c>
      <c r="Z187" s="72">
        <v>1</v>
      </c>
      <c r="AA187" s="72">
        <v>1</v>
      </c>
      <c r="AB187" s="48">
        <f>IF(V187="TIPO I",'BASE DE LIQUIDACION 2025'!$B$3,'BASE DE LIQUIDACION 2025'!$B$4)</f>
        <v>11251.22416</v>
      </c>
      <c r="AC187" s="48">
        <f>IF(V187="TIPO I",'BASE DE LIQUIDACION 2025'!$C$3,'BASE DE LIQUIDACION 2025'!$C$4)</f>
        <v>126317.12212</v>
      </c>
      <c r="AD187" s="48">
        <f>IF(V187="TIPO I",'BASE DE LIQUIDACION 2025'!$D$3,'BASE DE LIQUIDACION 2025'!$D$4)</f>
        <v>57411.974240000003</v>
      </c>
      <c r="AE187" s="52">
        <f t="shared" si="4"/>
        <v>194980.32052000001</v>
      </c>
    </row>
    <row r="188" spans="1:31" ht="13.15">
      <c r="A188" s="72" t="s">
        <v>309</v>
      </c>
      <c r="B188" s="44" t="str">
        <f>VLOOKUP(A188,'CENTRO DE COSTOS'!A:D,4,FALSE)</f>
        <v>MIGUEL JULIÁN HERNÁNDEZ GUARÍN</v>
      </c>
      <c r="C188" s="44" t="str">
        <f>VLOOKUP(A188,'CENTRO DE COSTOS'!A:D,2,FALSE)</f>
        <v>0004-0008</v>
      </c>
      <c r="D188" s="72">
        <v>54405</v>
      </c>
      <c r="E188" s="73" t="s">
        <v>1177</v>
      </c>
      <c r="F188" s="74">
        <v>81665</v>
      </c>
      <c r="G188" s="75" t="s">
        <v>135</v>
      </c>
      <c r="H188" s="76" t="s">
        <v>235</v>
      </c>
      <c r="I188" s="74" t="s">
        <v>311</v>
      </c>
      <c r="J188" s="77" t="s">
        <v>1178</v>
      </c>
      <c r="K188" s="74" t="s">
        <v>1179</v>
      </c>
      <c r="L188" s="78" t="s">
        <v>140</v>
      </c>
      <c r="M188" s="79" t="s">
        <v>1180</v>
      </c>
      <c r="N188" s="80">
        <v>45924</v>
      </c>
      <c r="O188" s="81">
        <v>45925</v>
      </c>
      <c r="P188" s="82" t="s">
        <v>239</v>
      </c>
      <c r="Q188" s="83" t="s">
        <v>240</v>
      </c>
      <c r="R188" s="72" t="s">
        <v>143</v>
      </c>
      <c r="S188" s="84" t="s">
        <v>1040</v>
      </c>
      <c r="T188" s="75" t="s">
        <v>145</v>
      </c>
      <c r="U188" s="72" t="s">
        <v>1181</v>
      </c>
      <c r="V188" s="77" t="s">
        <v>55</v>
      </c>
      <c r="W188" s="85" t="s">
        <v>159</v>
      </c>
      <c r="X188" s="75" t="s">
        <v>341</v>
      </c>
      <c r="Y188" s="72">
        <v>1</v>
      </c>
      <c r="Z188" s="72">
        <v>1</v>
      </c>
      <c r="AA188" s="72">
        <v>1</v>
      </c>
      <c r="AB188" s="48">
        <f>IF(V188="TIPO I",'BASE DE LIQUIDACION 2025'!$B$3,'BASE DE LIQUIDACION 2025'!$B$4)</f>
        <v>11251.22416</v>
      </c>
      <c r="AC188" s="48">
        <f>IF(V188="TIPO I",'BASE DE LIQUIDACION 2025'!$C$3,'BASE DE LIQUIDACION 2025'!$C$4)</f>
        <v>126317.12212</v>
      </c>
      <c r="AD188" s="48">
        <f>IF(V188="TIPO I",'BASE DE LIQUIDACION 2025'!$D$3,'BASE DE LIQUIDACION 2025'!$D$4)</f>
        <v>57411.974240000003</v>
      </c>
      <c r="AE188" s="52">
        <f t="shared" si="4"/>
        <v>194980.32052000001</v>
      </c>
    </row>
    <row r="189" spans="1:31" ht="13.15">
      <c r="A189" s="72" t="s">
        <v>309</v>
      </c>
      <c r="B189" s="44" t="str">
        <f>VLOOKUP(A189,'CENTRO DE COSTOS'!A:D,4,FALSE)</f>
        <v>MIGUEL JULIÁN HERNÁNDEZ GUARÍN</v>
      </c>
      <c r="C189" s="44" t="str">
        <f>VLOOKUP(A189,'CENTRO DE COSTOS'!A:D,2,FALSE)</f>
        <v>0004-0008</v>
      </c>
      <c r="D189" s="72">
        <v>54498</v>
      </c>
      <c r="E189" s="73" t="s">
        <v>1182</v>
      </c>
      <c r="F189" s="74">
        <v>81669</v>
      </c>
      <c r="G189" s="75" t="s">
        <v>135</v>
      </c>
      <c r="H189" s="76" t="s">
        <v>235</v>
      </c>
      <c r="I189" s="74" t="s">
        <v>311</v>
      </c>
      <c r="J189" s="77" t="s">
        <v>1183</v>
      </c>
      <c r="K189" s="74" t="s">
        <v>1184</v>
      </c>
      <c r="L189" s="78" t="s">
        <v>140</v>
      </c>
      <c r="M189" s="79" t="s">
        <v>1185</v>
      </c>
      <c r="N189" s="80">
        <v>45924</v>
      </c>
      <c r="O189" s="81">
        <v>45926</v>
      </c>
      <c r="P189" s="82" t="s">
        <v>239</v>
      </c>
      <c r="Q189" s="83" t="s">
        <v>240</v>
      </c>
      <c r="R189" s="72" t="s">
        <v>143</v>
      </c>
      <c r="S189" s="84" t="s">
        <v>1049</v>
      </c>
      <c r="T189" s="75" t="s">
        <v>145</v>
      </c>
      <c r="U189" s="72" t="s">
        <v>1186</v>
      </c>
      <c r="V189" s="77" t="s">
        <v>167</v>
      </c>
      <c r="W189" s="85" t="s">
        <v>159</v>
      </c>
      <c r="X189" s="75" t="s">
        <v>1187</v>
      </c>
      <c r="Y189" s="72">
        <v>1</v>
      </c>
      <c r="Z189" s="72">
        <v>1</v>
      </c>
      <c r="AA189" s="72">
        <v>1</v>
      </c>
      <c r="AB189" s="48">
        <f>IF(V189="TIPO I",'BASE DE LIQUIDACION 2025'!$B$3,'BASE DE LIQUIDACION 2025'!$B$4)</f>
        <v>11251.22416</v>
      </c>
      <c r="AC189" s="48">
        <f>IF(V189="TIPO I",'BASE DE LIQUIDACION 2025'!$C$3,'BASE DE LIQUIDACION 2025'!$C$4)</f>
        <v>126317.12212</v>
      </c>
      <c r="AD189" s="48">
        <f>IF(V189="TIPO I",'BASE DE LIQUIDACION 2025'!$D$3,'BASE DE LIQUIDACION 2025'!$D$4)</f>
        <v>110808.27512000001</v>
      </c>
      <c r="AE189" s="52">
        <f t="shared" si="4"/>
        <v>248376.6214</v>
      </c>
    </row>
    <row r="190" spans="1:31" ht="13.15">
      <c r="A190" s="72" t="s">
        <v>168</v>
      </c>
      <c r="B190" s="44" t="str">
        <f>VLOOKUP(A190,'CENTRO DE COSTOS'!A:D,4,FALSE)</f>
        <v>DIEGO FERNANDO HENAO CARDONA</v>
      </c>
      <c r="C190" s="44" t="str">
        <f>VLOOKUP(A190,'CENTRO DE COSTOS'!A:D,2,FALSE)</f>
        <v>0004-0002</v>
      </c>
      <c r="D190" s="72">
        <v>66400</v>
      </c>
      <c r="E190" s="73" t="s">
        <v>1188</v>
      </c>
      <c r="F190" s="74">
        <v>81663</v>
      </c>
      <c r="G190" s="75" t="s">
        <v>135</v>
      </c>
      <c r="H190" s="76" t="s">
        <v>235</v>
      </c>
      <c r="I190" s="74" t="s">
        <v>170</v>
      </c>
      <c r="J190" s="77" t="s">
        <v>1189</v>
      </c>
      <c r="K190" s="74" t="s">
        <v>1190</v>
      </c>
      <c r="L190" s="78" t="s">
        <v>140</v>
      </c>
      <c r="M190" s="79" t="s">
        <v>1191</v>
      </c>
      <c r="N190" s="80">
        <v>45924</v>
      </c>
      <c r="O190" s="81">
        <v>45925</v>
      </c>
      <c r="P190" s="82" t="s">
        <v>239</v>
      </c>
      <c r="Q190" s="83" t="s">
        <v>240</v>
      </c>
      <c r="R190" s="72" t="s">
        <v>143</v>
      </c>
      <c r="S190" s="84" t="s">
        <v>1074</v>
      </c>
      <c r="T190" s="75" t="s">
        <v>145</v>
      </c>
      <c r="U190" s="72" t="s">
        <v>1192</v>
      </c>
      <c r="V190" s="77" t="s">
        <v>55</v>
      </c>
      <c r="W190" s="85" t="s">
        <v>159</v>
      </c>
      <c r="X190" s="75" t="s">
        <v>290</v>
      </c>
      <c r="Y190" s="72">
        <v>1</v>
      </c>
      <c r="Z190" s="72">
        <v>1</v>
      </c>
      <c r="AA190" s="72">
        <v>1</v>
      </c>
      <c r="AB190" s="48">
        <f>IF(V190="TIPO I",'BASE DE LIQUIDACION 2025'!$B$3,'BASE DE LIQUIDACION 2025'!$B$4)</f>
        <v>11251.22416</v>
      </c>
      <c r="AC190" s="48">
        <f>IF(V190="TIPO I",'BASE DE LIQUIDACION 2025'!$C$3,'BASE DE LIQUIDACION 2025'!$C$4)</f>
        <v>126317.12212</v>
      </c>
      <c r="AD190" s="48">
        <f>IF(V190="TIPO I",'BASE DE LIQUIDACION 2025'!$D$3,'BASE DE LIQUIDACION 2025'!$D$4)</f>
        <v>57411.974240000003</v>
      </c>
      <c r="AE190" s="52">
        <f t="shared" si="4"/>
        <v>194980.32052000001</v>
      </c>
    </row>
    <row r="191" spans="1:31" ht="13.15">
      <c r="A191" s="72" t="s">
        <v>219</v>
      </c>
      <c r="B191" s="44" t="str">
        <f>VLOOKUP(A191,'CENTRO DE COSTOS'!A:D,4,FALSE)</f>
        <v>MIGUEL JULIÁN HERNÁNDEZ GUARÍN</v>
      </c>
      <c r="C191" s="44" t="str">
        <f>VLOOKUP(A191,'CENTRO DE COSTOS'!A:D,2,FALSE)</f>
        <v>0004-0008</v>
      </c>
      <c r="D191" s="72">
        <v>68001</v>
      </c>
      <c r="E191" s="73" t="s">
        <v>1193</v>
      </c>
      <c r="F191" s="74">
        <v>81634</v>
      </c>
      <c r="G191" s="75" t="s">
        <v>135</v>
      </c>
      <c r="H191" s="76" t="s">
        <v>235</v>
      </c>
      <c r="I191" s="74" t="s">
        <v>221</v>
      </c>
      <c r="J191" s="77" t="s">
        <v>219</v>
      </c>
      <c r="K191" s="74" t="s">
        <v>1194</v>
      </c>
      <c r="L191" s="78" t="s">
        <v>140</v>
      </c>
      <c r="M191" s="79" t="s">
        <v>1195</v>
      </c>
      <c r="N191" s="80">
        <v>45924</v>
      </c>
      <c r="O191" s="81">
        <v>45925</v>
      </c>
      <c r="P191" s="82" t="s">
        <v>239</v>
      </c>
      <c r="Q191" s="83" t="s">
        <v>240</v>
      </c>
      <c r="R191" s="72" t="s">
        <v>143</v>
      </c>
      <c r="S191" s="84" t="s">
        <v>1074</v>
      </c>
      <c r="T191" s="75" t="s">
        <v>145</v>
      </c>
      <c r="U191" s="72" t="s">
        <v>1196</v>
      </c>
      <c r="V191" s="77" t="s">
        <v>55</v>
      </c>
      <c r="W191" s="85" t="s">
        <v>159</v>
      </c>
      <c r="X191" s="75" t="s">
        <v>334</v>
      </c>
      <c r="Y191" s="72">
        <v>1</v>
      </c>
      <c r="Z191" s="72">
        <v>1</v>
      </c>
      <c r="AA191" s="72">
        <v>1</v>
      </c>
      <c r="AB191" s="48">
        <f>IF(V191="TIPO I",'BASE DE LIQUIDACION 2025'!$B$3,'BASE DE LIQUIDACION 2025'!$B$4)</f>
        <v>11251.22416</v>
      </c>
      <c r="AC191" s="48">
        <f>IF(V191="TIPO I",'BASE DE LIQUIDACION 2025'!$C$3,'BASE DE LIQUIDACION 2025'!$C$4)</f>
        <v>126317.12212</v>
      </c>
      <c r="AD191" s="48">
        <f>IF(V191="TIPO I",'BASE DE LIQUIDACION 2025'!$D$3,'BASE DE LIQUIDACION 2025'!$D$4)</f>
        <v>57411.974240000003</v>
      </c>
      <c r="AE191" s="52">
        <f t="shared" si="4"/>
        <v>194980.32052000001</v>
      </c>
    </row>
    <row r="192" spans="1:31" ht="13.15">
      <c r="A192" s="72" t="s">
        <v>219</v>
      </c>
      <c r="B192" s="44" t="str">
        <f>VLOOKUP(A192,'CENTRO DE COSTOS'!A:D,4,FALSE)</f>
        <v>MIGUEL JULIÁN HERNÁNDEZ GUARÍN</v>
      </c>
      <c r="C192" s="44" t="str">
        <f>VLOOKUP(A192,'CENTRO DE COSTOS'!A:D,2,FALSE)</f>
        <v>0004-0008</v>
      </c>
      <c r="D192" s="72">
        <v>68307</v>
      </c>
      <c r="E192" s="73" t="s">
        <v>1197</v>
      </c>
      <c r="F192" s="74">
        <v>81657</v>
      </c>
      <c r="G192" s="75" t="s">
        <v>135</v>
      </c>
      <c r="H192" s="76" t="s">
        <v>235</v>
      </c>
      <c r="I192" s="74" t="s">
        <v>221</v>
      </c>
      <c r="J192" s="77" t="s">
        <v>500</v>
      </c>
      <c r="K192" s="74" t="s">
        <v>1198</v>
      </c>
      <c r="L192" s="78" t="s">
        <v>140</v>
      </c>
      <c r="M192" s="79" t="s">
        <v>1199</v>
      </c>
      <c r="N192" s="80">
        <v>45924</v>
      </c>
      <c r="O192" s="81">
        <v>45925</v>
      </c>
      <c r="P192" s="82" t="s">
        <v>239</v>
      </c>
      <c r="Q192" s="83" t="s">
        <v>240</v>
      </c>
      <c r="R192" s="72" t="s">
        <v>143</v>
      </c>
      <c r="S192" s="84" t="s">
        <v>1074</v>
      </c>
      <c r="T192" s="75" t="s">
        <v>145</v>
      </c>
      <c r="U192" s="72" t="s">
        <v>1200</v>
      </c>
      <c r="V192" s="77" t="s">
        <v>55</v>
      </c>
      <c r="W192" s="85" t="s">
        <v>159</v>
      </c>
      <c r="X192" s="75" t="s">
        <v>505</v>
      </c>
      <c r="Y192" s="72">
        <v>1</v>
      </c>
      <c r="Z192" s="72">
        <v>1</v>
      </c>
      <c r="AA192" s="72">
        <v>1</v>
      </c>
      <c r="AB192" s="48">
        <f>IF(V192="TIPO I",'BASE DE LIQUIDACION 2025'!$B$3,'BASE DE LIQUIDACION 2025'!$B$4)</f>
        <v>11251.22416</v>
      </c>
      <c r="AC192" s="48">
        <f>IF(V192="TIPO I",'BASE DE LIQUIDACION 2025'!$C$3,'BASE DE LIQUIDACION 2025'!$C$4)</f>
        <v>126317.12212</v>
      </c>
      <c r="AD192" s="48">
        <f>IF(V192="TIPO I",'BASE DE LIQUIDACION 2025'!$D$3,'BASE DE LIQUIDACION 2025'!$D$4)</f>
        <v>57411.974240000003</v>
      </c>
      <c r="AE192" s="52">
        <f t="shared" si="4"/>
        <v>194980.32052000001</v>
      </c>
    </row>
    <row r="193" spans="1:31" ht="13.15">
      <c r="A193" s="72" t="s">
        <v>219</v>
      </c>
      <c r="B193" s="44" t="str">
        <f>VLOOKUP(A193,'CENTRO DE COSTOS'!A:D,4,FALSE)</f>
        <v>MIGUEL JULIÁN HERNÁNDEZ GUARÍN</v>
      </c>
      <c r="C193" s="44" t="str">
        <f>VLOOKUP(A193,'CENTRO DE COSTOS'!A:D,2,FALSE)</f>
        <v>0004-0008</v>
      </c>
      <c r="D193" s="72">
        <v>68406</v>
      </c>
      <c r="E193" s="73" t="s">
        <v>1201</v>
      </c>
      <c r="F193" s="74">
        <v>81664</v>
      </c>
      <c r="G193" s="75" t="s">
        <v>135</v>
      </c>
      <c r="H193" s="76" t="s">
        <v>235</v>
      </c>
      <c r="I193" s="74" t="s">
        <v>221</v>
      </c>
      <c r="J193" s="77" t="s">
        <v>1016</v>
      </c>
      <c r="K193" s="74" t="s">
        <v>1202</v>
      </c>
      <c r="L193" s="78" t="s">
        <v>140</v>
      </c>
      <c r="M193" s="79" t="s">
        <v>1203</v>
      </c>
      <c r="N193" s="80">
        <v>45924</v>
      </c>
      <c r="O193" s="81">
        <v>45925</v>
      </c>
      <c r="P193" s="82" t="s">
        <v>239</v>
      </c>
      <c r="Q193" s="83" t="s">
        <v>381</v>
      </c>
      <c r="R193" s="72" t="s">
        <v>143</v>
      </c>
      <c r="S193" s="84" t="s">
        <v>1074</v>
      </c>
      <c r="T193" s="75" t="s">
        <v>145</v>
      </c>
      <c r="U193" s="72" t="s">
        <v>1204</v>
      </c>
      <c r="V193" s="77" t="s">
        <v>199</v>
      </c>
      <c r="W193" s="85" t="s">
        <v>159</v>
      </c>
      <c r="X193" s="75" t="s">
        <v>776</v>
      </c>
      <c r="Y193" s="72">
        <v>1</v>
      </c>
      <c r="Z193" s="72">
        <v>1</v>
      </c>
      <c r="AA193" s="72">
        <v>1</v>
      </c>
      <c r="AB193" s="48">
        <f>IF(V193="TIPO I",'BASE DE LIQUIDACION 2025'!$B$3,'BASE DE LIQUIDACION 2025'!$B$4)</f>
        <v>11251.22416</v>
      </c>
      <c r="AC193" s="48">
        <f>IF(V193="TIPO I",'BASE DE LIQUIDACION 2025'!$C$3,'BASE DE LIQUIDACION 2025'!$C$4)</f>
        <v>126317.12212</v>
      </c>
      <c r="AD193" s="48">
        <f>IF(V193="TIPO I",'BASE DE LIQUIDACION 2025'!$D$3,'BASE DE LIQUIDACION 2025'!$D$4)</f>
        <v>110808.27512000001</v>
      </c>
      <c r="AE193" s="52">
        <f t="shared" si="4"/>
        <v>248376.6214</v>
      </c>
    </row>
    <row r="194" spans="1:31" ht="13.15">
      <c r="A194" s="72" t="s">
        <v>219</v>
      </c>
      <c r="B194" s="44" t="str">
        <f>VLOOKUP(A194,'CENTRO DE COSTOS'!A:D,4,FALSE)</f>
        <v>MIGUEL JULIÁN HERNÁNDEZ GUARÍN</v>
      </c>
      <c r="C194" s="44" t="str">
        <f>VLOOKUP(A194,'CENTRO DE COSTOS'!A:D,2,FALSE)</f>
        <v>0004-0008</v>
      </c>
      <c r="D194" s="72">
        <v>68872</v>
      </c>
      <c r="E194" s="73" t="s">
        <v>1205</v>
      </c>
      <c r="F194" s="74">
        <v>81693</v>
      </c>
      <c r="G194" s="75" t="s">
        <v>135</v>
      </c>
      <c r="H194" s="76" t="s">
        <v>235</v>
      </c>
      <c r="I194" s="74" t="s">
        <v>221</v>
      </c>
      <c r="J194" s="77" t="s">
        <v>778</v>
      </c>
      <c r="K194" s="74" t="s">
        <v>1206</v>
      </c>
      <c r="L194" s="78" t="s">
        <v>140</v>
      </c>
      <c r="M194" s="79" t="s">
        <v>1207</v>
      </c>
      <c r="N194" s="80">
        <v>45924</v>
      </c>
      <c r="O194" s="81">
        <v>45925</v>
      </c>
      <c r="P194" s="82" t="s">
        <v>239</v>
      </c>
      <c r="Q194" s="83" t="s">
        <v>240</v>
      </c>
      <c r="R194" s="72" t="s">
        <v>143</v>
      </c>
      <c r="S194" s="84" t="s">
        <v>1074</v>
      </c>
      <c r="T194" s="75" t="s">
        <v>145</v>
      </c>
      <c r="U194" s="72" t="s">
        <v>1208</v>
      </c>
      <c r="V194" s="77" t="s">
        <v>158</v>
      </c>
      <c r="W194" s="85" t="s">
        <v>159</v>
      </c>
      <c r="X194" s="75" t="s">
        <v>227</v>
      </c>
      <c r="Y194" s="72">
        <v>1</v>
      </c>
      <c r="Z194" s="72">
        <v>1</v>
      </c>
      <c r="AA194" s="72">
        <v>1</v>
      </c>
      <c r="AB194" s="48">
        <f>IF(V194="TIPO I",'BASE DE LIQUIDACION 2025'!$B$3,'BASE DE LIQUIDACION 2025'!$B$4)</f>
        <v>11251.22416</v>
      </c>
      <c r="AC194" s="48">
        <f>IF(V194="TIPO I",'BASE DE LIQUIDACION 2025'!$C$3,'BASE DE LIQUIDACION 2025'!$C$4)</f>
        <v>126317.12212</v>
      </c>
      <c r="AD194" s="48">
        <f>IF(V194="TIPO I",'BASE DE LIQUIDACION 2025'!$D$3,'BASE DE LIQUIDACION 2025'!$D$4)</f>
        <v>110808.27512000001</v>
      </c>
      <c r="AE194" s="52">
        <f t="shared" si="4"/>
        <v>248376.6214</v>
      </c>
    </row>
    <row r="195" spans="1:31" ht="13.15">
      <c r="A195" s="72" t="s">
        <v>347</v>
      </c>
      <c r="B195" s="44" t="str">
        <f>VLOOKUP(A195,'CENTRO DE COSTOS'!A:D,4,FALSE)</f>
        <v>JOSE MAURICIO HERNANDEZ ROJAS</v>
      </c>
      <c r="C195" s="44" t="str">
        <f>VLOOKUP(A195,'CENTRO DE COSTOS'!A:D,2,FALSE)</f>
        <v>0004-0001</v>
      </c>
      <c r="D195" s="72">
        <v>70001</v>
      </c>
      <c r="E195" s="73" t="s">
        <v>1209</v>
      </c>
      <c r="F195" s="74">
        <v>81685</v>
      </c>
      <c r="G195" s="75" t="s">
        <v>135</v>
      </c>
      <c r="H195" s="76" t="s">
        <v>235</v>
      </c>
      <c r="I195" s="74" t="s">
        <v>349</v>
      </c>
      <c r="J195" s="77" t="s">
        <v>347</v>
      </c>
      <c r="K195" s="74" t="s">
        <v>1210</v>
      </c>
      <c r="L195" s="78" t="s">
        <v>140</v>
      </c>
      <c r="M195" s="79" t="s">
        <v>1211</v>
      </c>
      <c r="N195" s="80">
        <v>45924</v>
      </c>
      <c r="O195" s="81">
        <v>45925</v>
      </c>
      <c r="P195" s="82" t="s">
        <v>239</v>
      </c>
      <c r="Q195" s="83" t="s">
        <v>240</v>
      </c>
      <c r="R195" s="72" t="s">
        <v>143</v>
      </c>
      <c r="S195" s="84" t="s">
        <v>1074</v>
      </c>
      <c r="T195" s="75" t="s">
        <v>145</v>
      </c>
      <c r="U195" s="72" t="s">
        <v>1212</v>
      </c>
      <c r="V195" s="77" t="s">
        <v>55</v>
      </c>
      <c r="W195" s="85" t="s">
        <v>159</v>
      </c>
      <c r="X195" s="75" t="s">
        <v>1213</v>
      </c>
      <c r="Y195" s="72">
        <v>1</v>
      </c>
      <c r="Z195" s="72">
        <v>1</v>
      </c>
      <c r="AA195" s="72">
        <v>1</v>
      </c>
      <c r="AB195" s="48">
        <f>IF(V195="TIPO I",'BASE DE LIQUIDACION 2025'!$B$3,'BASE DE LIQUIDACION 2025'!$B$4)</f>
        <v>11251.22416</v>
      </c>
      <c r="AC195" s="48">
        <f>IF(V195="TIPO I",'BASE DE LIQUIDACION 2025'!$C$3,'BASE DE LIQUIDACION 2025'!$C$4)</f>
        <v>126317.12212</v>
      </c>
      <c r="AD195" s="48">
        <f>IF(V195="TIPO I",'BASE DE LIQUIDACION 2025'!$D$3,'BASE DE LIQUIDACION 2025'!$D$4)</f>
        <v>57411.974240000003</v>
      </c>
      <c r="AE195" s="52">
        <f t="shared" si="4"/>
        <v>194980.32052000001</v>
      </c>
    </row>
    <row r="196" spans="1:31" ht="13.15">
      <c r="A196" s="72" t="s">
        <v>347</v>
      </c>
      <c r="B196" s="44" t="str">
        <f>VLOOKUP(A196,'CENTRO DE COSTOS'!A:D,4,FALSE)</f>
        <v>JOSE MAURICIO HERNANDEZ ROJAS</v>
      </c>
      <c r="C196" s="44" t="str">
        <f>VLOOKUP(A196,'CENTRO DE COSTOS'!A:D,2,FALSE)</f>
        <v>0004-0001</v>
      </c>
      <c r="D196" s="72">
        <v>70001</v>
      </c>
      <c r="E196" s="73" t="s">
        <v>1214</v>
      </c>
      <c r="F196" s="74">
        <v>81684</v>
      </c>
      <c r="G196" s="75" t="s">
        <v>135</v>
      </c>
      <c r="H196" s="76" t="s">
        <v>235</v>
      </c>
      <c r="I196" s="74" t="s">
        <v>349</v>
      </c>
      <c r="J196" s="77" t="s">
        <v>347</v>
      </c>
      <c r="K196" s="74" t="s">
        <v>1215</v>
      </c>
      <c r="L196" s="78" t="s">
        <v>140</v>
      </c>
      <c r="M196" s="79" t="s">
        <v>1216</v>
      </c>
      <c r="N196" s="80">
        <v>45924</v>
      </c>
      <c r="O196" s="81">
        <v>45926</v>
      </c>
      <c r="P196" s="82" t="s">
        <v>239</v>
      </c>
      <c r="Q196" s="83" t="s">
        <v>240</v>
      </c>
      <c r="R196" s="72" t="s">
        <v>143</v>
      </c>
      <c r="S196" s="84" t="s">
        <v>1049</v>
      </c>
      <c r="T196" s="75" t="s">
        <v>145</v>
      </c>
      <c r="U196" s="72" t="s">
        <v>1217</v>
      </c>
      <c r="V196" s="77" t="s">
        <v>55</v>
      </c>
      <c r="W196" s="85" t="s">
        <v>159</v>
      </c>
      <c r="X196" s="75" t="s">
        <v>355</v>
      </c>
      <c r="Y196" s="72">
        <v>1</v>
      </c>
      <c r="Z196" s="72">
        <v>1</v>
      </c>
      <c r="AA196" s="72">
        <v>1</v>
      </c>
      <c r="AB196" s="48">
        <f>IF(V196="TIPO I",'BASE DE LIQUIDACION 2025'!$B$3,'BASE DE LIQUIDACION 2025'!$B$4)</f>
        <v>11251.22416</v>
      </c>
      <c r="AC196" s="48">
        <f>IF(V196="TIPO I",'BASE DE LIQUIDACION 2025'!$C$3,'BASE DE LIQUIDACION 2025'!$C$4)</f>
        <v>126317.12212</v>
      </c>
      <c r="AD196" s="48">
        <f>IF(V196="TIPO I",'BASE DE LIQUIDACION 2025'!$D$3,'BASE DE LIQUIDACION 2025'!$D$4)</f>
        <v>57411.974240000003</v>
      </c>
      <c r="AE196" s="52">
        <f t="shared" si="4"/>
        <v>194980.32052000001</v>
      </c>
    </row>
    <row r="197" spans="1:31" ht="13.15">
      <c r="A197" s="72" t="s">
        <v>518</v>
      </c>
      <c r="B197" s="44" t="str">
        <f>VLOOKUP(A197,'CENTRO DE COSTOS'!A:D,4,FALSE)</f>
        <v>KEVIN ALEXIS CORZO BUSTOS</v>
      </c>
      <c r="C197" s="44" t="str">
        <f>VLOOKUP(A197,'CENTRO DE COSTOS'!A:D,2,FALSE)</f>
        <v>0004-0007</v>
      </c>
      <c r="D197" s="72">
        <v>73001</v>
      </c>
      <c r="E197" s="73" t="s">
        <v>1218</v>
      </c>
      <c r="F197" s="74">
        <v>81658</v>
      </c>
      <c r="G197" s="75" t="s">
        <v>135</v>
      </c>
      <c r="H197" s="76" t="s">
        <v>235</v>
      </c>
      <c r="I197" s="74" t="s">
        <v>520</v>
      </c>
      <c r="J197" s="77" t="s">
        <v>518</v>
      </c>
      <c r="K197" s="74" t="s">
        <v>1219</v>
      </c>
      <c r="L197" s="78" t="s">
        <v>140</v>
      </c>
      <c r="M197" s="79" t="s">
        <v>1220</v>
      </c>
      <c r="N197" s="80">
        <v>45924</v>
      </c>
      <c r="O197" s="81">
        <v>45925</v>
      </c>
      <c r="P197" s="82" t="s">
        <v>239</v>
      </c>
      <c r="Q197" s="83" t="s">
        <v>240</v>
      </c>
      <c r="R197" s="72" t="s">
        <v>143</v>
      </c>
      <c r="S197" s="84" t="s">
        <v>1074</v>
      </c>
      <c r="T197" s="75" t="s">
        <v>145</v>
      </c>
      <c r="U197" s="72" t="s">
        <v>1221</v>
      </c>
      <c r="V197" s="77" t="s">
        <v>55</v>
      </c>
      <c r="W197" s="85" t="s">
        <v>159</v>
      </c>
      <c r="X197" s="75" t="s">
        <v>524</v>
      </c>
      <c r="Y197" s="72">
        <v>1</v>
      </c>
      <c r="Z197" s="72">
        <v>1</v>
      </c>
      <c r="AA197" s="72">
        <v>1</v>
      </c>
      <c r="AB197" s="48">
        <f>IF(V197="TIPO I",'BASE DE LIQUIDACION 2025'!$B$3,'BASE DE LIQUIDACION 2025'!$B$4)</f>
        <v>11251.22416</v>
      </c>
      <c r="AC197" s="48">
        <f>IF(V197="TIPO I",'BASE DE LIQUIDACION 2025'!$C$3,'BASE DE LIQUIDACION 2025'!$C$4)</f>
        <v>126317.12212</v>
      </c>
      <c r="AD197" s="48">
        <f>IF(V197="TIPO I",'BASE DE LIQUIDACION 2025'!$D$3,'BASE DE LIQUIDACION 2025'!$D$4)</f>
        <v>57411.974240000003</v>
      </c>
      <c r="AE197" s="52">
        <f t="shared" si="4"/>
        <v>194980.32052000001</v>
      </c>
    </row>
    <row r="198" spans="1:31" ht="13.15">
      <c r="A198" s="72" t="s">
        <v>518</v>
      </c>
      <c r="B198" s="44" t="str">
        <f>VLOOKUP(A198,'CENTRO DE COSTOS'!A:D,4,FALSE)</f>
        <v>KEVIN ALEXIS CORZO BUSTOS</v>
      </c>
      <c r="C198" s="44" t="str">
        <f>VLOOKUP(A198,'CENTRO DE COSTOS'!A:D,2,FALSE)</f>
        <v>0004-0007</v>
      </c>
      <c r="D198" s="72">
        <v>73001</v>
      </c>
      <c r="E198" s="73" t="s">
        <v>1222</v>
      </c>
      <c r="F198" s="74">
        <v>81659</v>
      </c>
      <c r="G198" s="75" t="s">
        <v>135</v>
      </c>
      <c r="H198" s="76" t="s">
        <v>235</v>
      </c>
      <c r="I198" s="74" t="s">
        <v>520</v>
      </c>
      <c r="J198" s="77" t="s">
        <v>518</v>
      </c>
      <c r="K198" s="74" t="s">
        <v>1223</v>
      </c>
      <c r="L198" s="78" t="s">
        <v>140</v>
      </c>
      <c r="M198" s="79" t="s">
        <v>1224</v>
      </c>
      <c r="N198" s="80">
        <v>45924</v>
      </c>
      <c r="O198" s="81">
        <v>45926</v>
      </c>
      <c r="P198" s="82" t="s">
        <v>239</v>
      </c>
      <c r="Q198" s="83" t="s">
        <v>240</v>
      </c>
      <c r="R198" s="72" t="s">
        <v>143</v>
      </c>
      <c r="S198" s="84" t="s">
        <v>1049</v>
      </c>
      <c r="T198" s="75" t="s">
        <v>145</v>
      </c>
      <c r="U198" s="72" t="s">
        <v>1225</v>
      </c>
      <c r="V198" s="77" t="s">
        <v>55</v>
      </c>
      <c r="W198" s="85" t="s">
        <v>159</v>
      </c>
      <c r="X198" s="75" t="s">
        <v>524</v>
      </c>
      <c r="Y198" s="72">
        <v>1</v>
      </c>
      <c r="Z198" s="72">
        <v>1</v>
      </c>
      <c r="AA198" s="72">
        <v>1</v>
      </c>
      <c r="AB198" s="48">
        <f>IF(V198="TIPO I",'BASE DE LIQUIDACION 2025'!$B$3,'BASE DE LIQUIDACION 2025'!$B$4)</f>
        <v>11251.22416</v>
      </c>
      <c r="AC198" s="48">
        <f>IF(V198="TIPO I",'BASE DE LIQUIDACION 2025'!$C$3,'BASE DE LIQUIDACION 2025'!$C$4)</f>
        <v>126317.12212</v>
      </c>
      <c r="AD198" s="48">
        <f>IF(V198="TIPO I",'BASE DE LIQUIDACION 2025'!$D$3,'BASE DE LIQUIDACION 2025'!$D$4)</f>
        <v>57411.974240000003</v>
      </c>
      <c r="AE198" s="52">
        <f t="shared" si="4"/>
        <v>194980.32052000001</v>
      </c>
    </row>
    <row r="199" spans="1:31" ht="13.15">
      <c r="A199" s="72" t="s">
        <v>150</v>
      </c>
      <c r="B199" s="44" t="str">
        <f>VLOOKUP(A199,'CENTRO DE COSTOS'!A:D,4,FALSE)</f>
        <v>DIEGO FERNANDO HENAO CARDONA</v>
      </c>
      <c r="C199" s="44" t="str">
        <f>VLOOKUP(A199,'CENTRO DE COSTOS'!A:D,2,FALSE)</f>
        <v>0004-0003</v>
      </c>
      <c r="D199" s="72">
        <v>76001</v>
      </c>
      <c r="E199" s="73" t="s">
        <v>1226</v>
      </c>
      <c r="F199" s="74">
        <v>81640</v>
      </c>
      <c r="G199" s="75" t="s">
        <v>135</v>
      </c>
      <c r="H199" s="76" t="s">
        <v>235</v>
      </c>
      <c r="I199" s="74" t="s">
        <v>229</v>
      </c>
      <c r="J199" s="77" t="s">
        <v>150</v>
      </c>
      <c r="K199" s="74" t="s">
        <v>1227</v>
      </c>
      <c r="L199" s="78" t="s">
        <v>140</v>
      </c>
      <c r="M199" s="79" t="s">
        <v>1228</v>
      </c>
      <c r="N199" s="80">
        <v>45924</v>
      </c>
      <c r="O199" s="81">
        <v>45925</v>
      </c>
      <c r="P199" s="82" t="s">
        <v>239</v>
      </c>
      <c r="Q199" s="83" t="s">
        <v>240</v>
      </c>
      <c r="R199" s="72" t="s">
        <v>143</v>
      </c>
      <c r="S199" s="84" t="s">
        <v>1074</v>
      </c>
      <c r="T199" s="75" t="s">
        <v>145</v>
      </c>
      <c r="U199" s="72" t="s">
        <v>1229</v>
      </c>
      <c r="V199" s="77" t="s">
        <v>55</v>
      </c>
      <c r="W199" s="85" t="s">
        <v>159</v>
      </c>
      <c r="X199" s="75" t="s">
        <v>538</v>
      </c>
      <c r="Y199" s="72">
        <v>1</v>
      </c>
      <c r="Z199" s="72">
        <v>1</v>
      </c>
      <c r="AA199" s="72">
        <v>1</v>
      </c>
      <c r="AB199" s="48">
        <f>IF(V199="TIPO I",'BASE DE LIQUIDACION 2025'!$B$3,'BASE DE LIQUIDACION 2025'!$B$4)</f>
        <v>11251.22416</v>
      </c>
      <c r="AC199" s="48">
        <f>IF(V199="TIPO I",'BASE DE LIQUIDACION 2025'!$C$3,'BASE DE LIQUIDACION 2025'!$C$4)</f>
        <v>126317.12212</v>
      </c>
      <c r="AD199" s="48">
        <f>IF(V199="TIPO I",'BASE DE LIQUIDACION 2025'!$D$3,'BASE DE LIQUIDACION 2025'!$D$4)</f>
        <v>57411.974240000003</v>
      </c>
      <c r="AE199" s="52">
        <f t="shared" si="4"/>
        <v>194980.32052000001</v>
      </c>
    </row>
    <row r="200" spans="1:31" ht="13.15">
      <c r="A200" s="72" t="s">
        <v>150</v>
      </c>
      <c r="B200" s="44" t="str">
        <f>VLOOKUP(A200,'CENTRO DE COSTOS'!A:D,4,FALSE)</f>
        <v>DIEGO FERNANDO HENAO CARDONA</v>
      </c>
      <c r="C200" s="44" t="str">
        <f>VLOOKUP(A200,'CENTRO DE COSTOS'!A:D,2,FALSE)</f>
        <v>0004-0003</v>
      </c>
      <c r="D200" s="72">
        <v>76001</v>
      </c>
      <c r="E200" s="73" t="s">
        <v>1230</v>
      </c>
      <c r="F200" s="74">
        <v>81638</v>
      </c>
      <c r="G200" s="75" t="s">
        <v>135</v>
      </c>
      <c r="H200" s="76" t="s">
        <v>235</v>
      </c>
      <c r="I200" s="74" t="s">
        <v>229</v>
      </c>
      <c r="J200" s="77" t="s">
        <v>150</v>
      </c>
      <c r="K200" s="74" t="s">
        <v>1231</v>
      </c>
      <c r="L200" s="78" t="s">
        <v>140</v>
      </c>
      <c r="M200" s="79" t="s">
        <v>1232</v>
      </c>
      <c r="N200" s="80">
        <v>45924</v>
      </c>
      <c r="O200" s="81">
        <v>45925</v>
      </c>
      <c r="P200" s="82" t="s">
        <v>239</v>
      </c>
      <c r="Q200" s="83" t="s">
        <v>240</v>
      </c>
      <c r="R200" s="72" t="s">
        <v>143</v>
      </c>
      <c r="S200" s="84" t="s">
        <v>1233</v>
      </c>
      <c r="T200" s="75" t="s">
        <v>145</v>
      </c>
      <c r="U200" s="72" t="s">
        <v>1234</v>
      </c>
      <c r="V200" s="77" t="s">
        <v>55</v>
      </c>
      <c r="W200" s="85" t="s">
        <v>159</v>
      </c>
      <c r="X200" s="75" t="s">
        <v>538</v>
      </c>
      <c r="Y200" s="72">
        <v>1</v>
      </c>
      <c r="Z200" s="72">
        <v>1</v>
      </c>
      <c r="AA200" s="72">
        <v>1</v>
      </c>
      <c r="AB200" s="48">
        <f>IF(V200="TIPO I",'BASE DE LIQUIDACION 2025'!$B$3,'BASE DE LIQUIDACION 2025'!$B$4)</f>
        <v>11251.22416</v>
      </c>
      <c r="AC200" s="48">
        <f>IF(V200="TIPO I",'BASE DE LIQUIDACION 2025'!$C$3,'BASE DE LIQUIDACION 2025'!$C$4)</f>
        <v>126317.12212</v>
      </c>
      <c r="AD200" s="48">
        <f>IF(V200="TIPO I",'BASE DE LIQUIDACION 2025'!$D$3,'BASE DE LIQUIDACION 2025'!$D$4)</f>
        <v>57411.974240000003</v>
      </c>
      <c r="AE200" s="52">
        <f t="shared" si="4"/>
        <v>194980.32052000001</v>
      </c>
    </row>
    <row r="201" spans="1:31" ht="12.75" customHeight="1">
      <c r="A201" s="72" t="s">
        <v>150</v>
      </c>
      <c r="B201" s="44" t="str">
        <f>VLOOKUP(A201,'CENTRO DE COSTOS'!A:D,4,FALSE)</f>
        <v>DIEGO FERNANDO HENAO CARDONA</v>
      </c>
      <c r="C201" s="44" t="str">
        <f>VLOOKUP(A201,'CENTRO DE COSTOS'!A:D,2,FALSE)</f>
        <v>0004-0003</v>
      </c>
      <c r="D201" s="72">
        <v>76001</v>
      </c>
      <c r="E201" s="73" t="s">
        <v>1235</v>
      </c>
      <c r="F201" s="74">
        <v>81637</v>
      </c>
      <c r="G201" s="75" t="s">
        <v>135</v>
      </c>
      <c r="H201" s="76" t="s">
        <v>235</v>
      </c>
      <c r="I201" s="74" t="s">
        <v>229</v>
      </c>
      <c r="J201" s="77" t="s">
        <v>150</v>
      </c>
      <c r="K201" s="74" t="s">
        <v>1236</v>
      </c>
      <c r="L201" s="78" t="s">
        <v>140</v>
      </c>
      <c r="M201" s="79" t="s">
        <v>1237</v>
      </c>
      <c r="N201" s="80">
        <v>45924</v>
      </c>
      <c r="O201" s="81">
        <v>45926</v>
      </c>
      <c r="P201" s="82" t="s">
        <v>239</v>
      </c>
      <c r="Q201" s="83" t="s">
        <v>381</v>
      </c>
      <c r="R201" s="72" t="s">
        <v>143</v>
      </c>
      <c r="S201" s="84" t="s">
        <v>1049</v>
      </c>
      <c r="U201" s="72" t="s">
        <v>1238</v>
      </c>
      <c r="V201" s="77" t="s">
        <v>55</v>
      </c>
      <c r="W201" s="85" t="s">
        <v>159</v>
      </c>
      <c r="X201" s="75" t="s">
        <v>362</v>
      </c>
      <c r="Y201" s="72">
        <v>1</v>
      </c>
      <c r="Z201" s="72">
        <v>1</v>
      </c>
      <c r="AA201" s="72">
        <v>1</v>
      </c>
      <c r="AB201" s="48">
        <f>IF(V201="TIPO I",'BASE DE LIQUIDACION 2025'!$B$3,'BASE DE LIQUIDACION 2025'!$B$4)</f>
        <v>11251.22416</v>
      </c>
      <c r="AC201" s="48">
        <f>IF(V201="TIPO I",'BASE DE LIQUIDACION 2025'!$C$3,'BASE DE LIQUIDACION 2025'!$C$4)</f>
        <v>126317.12212</v>
      </c>
      <c r="AD201" s="48">
        <f>IF(V201="TIPO I",'BASE DE LIQUIDACION 2025'!$D$3,'BASE DE LIQUIDACION 2025'!$D$4)</f>
        <v>57411.974240000003</v>
      </c>
      <c r="AE201" s="52">
        <f t="shared" ref="AE201:AE228" si="5">AB201*Y201+Z201*AC201+AA201*AD201</f>
        <v>194980.32052000001</v>
      </c>
    </row>
    <row r="202" spans="1:31" ht="12.75" customHeight="1">
      <c r="A202" s="72" t="s">
        <v>150</v>
      </c>
      <c r="B202" s="44" t="str">
        <f>VLOOKUP(A202,'CENTRO DE COSTOS'!A:D,4,FALSE)</f>
        <v>DIEGO FERNANDO HENAO CARDONA</v>
      </c>
      <c r="C202" s="44" t="str">
        <f>VLOOKUP(A202,'CENTRO DE COSTOS'!A:D,2,FALSE)</f>
        <v>0004-0003</v>
      </c>
      <c r="D202" s="72">
        <v>76001</v>
      </c>
      <c r="E202" s="73" t="s">
        <v>1239</v>
      </c>
      <c r="F202" s="74">
        <v>81636</v>
      </c>
      <c r="G202" s="75" t="s">
        <v>135</v>
      </c>
      <c r="H202" s="76" t="s">
        <v>235</v>
      </c>
      <c r="I202" s="74" t="s">
        <v>229</v>
      </c>
      <c r="J202" s="77" t="s">
        <v>150</v>
      </c>
      <c r="K202" s="74" t="s">
        <v>1240</v>
      </c>
      <c r="L202" s="78" t="s">
        <v>140</v>
      </c>
      <c r="M202" s="79" t="s">
        <v>1241</v>
      </c>
      <c r="N202" s="80">
        <v>45924</v>
      </c>
      <c r="O202" s="81">
        <v>45926</v>
      </c>
      <c r="P202" s="82" t="s">
        <v>239</v>
      </c>
      <c r="Q202" s="83" t="s">
        <v>381</v>
      </c>
      <c r="R202" s="72" t="s">
        <v>143</v>
      </c>
      <c r="S202" s="84" t="s">
        <v>1049</v>
      </c>
      <c r="U202" s="72" t="s">
        <v>1242</v>
      </c>
      <c r="V202" s="77" t="s">
        <v>55</v>
      </c>
      <c r="W202" s="85" t="s">
        <v>159</v>
      </c>
      <c r="X202" s="75" t="s">
        <v>547</v>
      </c>
      <c r="Y202" s="72">
        <v>1</v>
      </c>
      <c r="Z202" s="72">
        <v>1</v>
      </c>
      <c r="AA202" s="72">
        <v>1</v>
      </c>
      <c r="AB202" s="48">
        <f>IF(V202="TIPO I",'BASE DE LIQUIDACION 2025'!$B$3,'BASE DE LIQUIDACION 2025'!$B$4)</f>
        <v>11251.22416</v>
      </c>
      <c r="AC202" s="48">
        <f>IF(V202="TIPO I",'BASE DE LIQUIDACION 2025'!$C$3,'BASE DE LIQUIDACION 2025'!$C$4)</f>
        <v>126317.12212</v>
      </c>
      <c r="AD202" s="48">
        <f>IF(V202="TIPO I",'BASE DE LIQUIDACION 2025'!$D$3,'BASE DE LIQUIDACION 2025'!$D$4)</f>
        <v>57411.974240000003</v>
      </c>
      <c r="AE202" s="52">
        <f t="shared" si="5"/>
        <v>194980.32052000001</v>
      </c>
    </row>
    <row r="203" spans="1:31" ht="12.75" customHeight="1">
      <c r="A203" s="72" t="s">
        <v>150</v>
      </c>
      <c r="B203" s="44" t="str">
        <f>VLOOKUP(A203,'CENTRO DE COSTOS'!A:D,4,FALSE)</f>
        <v>DIEGO FERNANDO HENAO CARDONA</v>
      </c>
      <c r="C203" s="44" t="str">
        <f>VLOOKUP(A203,'CENTRO DE COSTOS'!A:D,2,FALSE)</f>
        <v>0004-0003</v>
      </c>
      <c r="D203" s="72">
        <v>76001</v>
      </c>
      <c r="E203" s="73" t="s">
        <v>1243</v>
      </c>
      <c r="F203" s="74">
        <v>81641</v>
      </c>
      <c r="G203" s="75" t="s">
        <v>135</v>
      </c>
      <c r="H203" s="76" t="s">
        <v>235</v>
      </c>
      <c r="I203" s="74" t="s">
        <v>229</v>
      </c>
      <c r="J203" s="77" t="s">
        <v>150</v>
      </c>
      <c r="K203" s="74" t="s">
        <v>1244</v>
      </c>
      <c r="L203" s="78" t="s">
        <v>140</v>
      </c>
      <c r="M203" s="79" t="s">
        <v>1245</v>
      </c>
      <c r="N203" s="80">
        <v>45924</v>
      </c>
      <c r="O203" s="81">
        <v>45926</v>
      </c>
      <c r="P203" s="82" t="s">
        <v>239</v>
      </c>
      <c r="Q203" s="83" t="s">
        <v>381</v>
      </c>
      <c r="R203" s="72" t="s">
        <v>143</v>
      </c>
      <c r="S203" s="84" t="s">
        <v>1049</v>
      </c>
      <c r="U203" s="72" t="s">
        <v>1246</v>
      </c>
      <c r="V203" s="77" t="s">
        <v>55</v>
      </c>
      <c r="W203" s="85" t="s">
        <v>159</v>
      </c>
      <c r="X203" s="75" t="s">
        <v>547</v>
      </c>
      <c r="Y203" s="72">
        <v>1</v>
      </c>
      <c r="Z203" s="72">
        <v>1</v>
      </c>
      <c r="AA203" s="72">
        <v>1</v>
      </c>
      <c r="AB203" s="48">
        <f>IF(V203="TIPO I",'BASE DE LIQUIDACION 2025'!$B$3,'BASE DE LIQUIDACION 2025'!$B$4)</f>
        <v>11251.22416</v>
      </c>
      <c r="AC203" s="48">
        <f>IF(V203="TIPO I",'BASE DE LIQUIDACION 2025'!$C$3,'BASE DE LIQUIDACION 2025'!$C$4)</f>
        <v>126317.12212</v>
      </c>
      <c r="AD203" s="48">
        <f>IF(V203="TIPO I",'BASE DE LIQUIDACION 2025'!$D$3,'BASE DE LIQUIDACION 2025'!$D$4)</f>
        <v>57411.974240000003</v>
      </c>
      <c r="AE203" s="52">
        <f t="shared" si="5"/>
        <v>194980.32052000001</v>
      </c>
    </row>
    <row r="204" spans="1:31" ht="12.75" customHeight="1">
      <c r="A204" s="72" t="s">
        <v>150</v>
      </c>
      <c r="B204" s="44" t="str">
        <f>VLOOKUP(A204,'CENTRO DE COSTOS'!A:D,4,FALSE)</f>
        <v>DIEGO FERNANDO HENAO CARDONA</v>
      </c>
      <c r="C204" s="44" t="str">
        <f>VLOOKUP(A204,'CENTRO DE COSTOS'!A:D,2,FALSE)</f>
        <v>0004-0003</v>
      </c>
      <c r="D204" s="72">
        <v>76001</v>
      </c>
      <c r="E204" s="73" t="s">
        <v>1247</v>
      </c>
      <c r="F204" s="74">
        <v>81639</v>
      </c>
      <c r="G204" s="75" t="s">
        <v>135</v>
      </c>
      <c r="H204" s="76" t="s">
        <v>235</v>
      </c>
      <c r="I204" s="74" t="s">
        <v>229</v>
      </c>
      <c r="J204" s="77" t="s">
        <v>150</v>
      </c>
      <c r="K204" s="74" t="s">
        <v>1248</v>
      </c>
      <c r="L204" s="78" t="s">
        <v>140</v>
      </c>
      <c r="M204" s="79" t="s">
        <v>1249</v>
      </c>
      <c r="N204" s="80">
        <v>45924</v>
      </c>
      <c r="O204" s="81">
        <v>45925</v>
      </c>
      <c r="P204" s="82" t="s">
        <v>239</v>
      </c>
      <c r="Q204" s="83" t="s">
        <v>381</v>
      </c>
      <c r="R204" s="72" t="s">
        <v>143</v>
      </c>
      <c r="S204" s="84" t="s">
        <v>1233</v>
      </c>
      <c r="U204" s="72" t="s">
        <v>1250</v>
      </c>
      <c r="V204" s="77" t="s">
        <v>55</v>
      </c>
      <c r="W204" s="85" t="s">
        <v>159</v>
      </c>
      <c r="X204" s="75" t="s">
        <v>1251</v>
      </c>
      <c r="Y204" s="72">
        <v>1</v>
      </c>
      <c r="Z204" s="72">
        <v>1</v>
      </c>
      <c r="AA204" s="72">
        <v>1</v>
      </c>
      <c r="AB204" s="48">
        <f>IF(V204="TIPO I",'BASE DE LIQUIDACION 2025'!$B$3,'BASE DE LIQUIDACION 2025'!$B$4)</f>
        <v>11251.22416</v>
      </c>
      <c r="AC204" s="48">
        <f>IF(V204="TIPO I",'BASE DE LIQUIDACION 2025'!$C$3,'BASE DE LIQUIDACION 2025'!$C$4)</f>
        <v>126317.12212</v>
      </c>
      <c r="AD204" s="48">
        <f>IF(V204="TIPO I",'BASE DE LIQUIDACION 2025'!$D$3,'BASE DE LIQUIDACION 2025'!$D$4)</f>
        <v>57411.974240000003</v>
      </c>
      <c r="AE204" s="52">
        <f t="shared" si="5"/>
        <v>194980.32052000001</v>
      </c>
    </row>
    <row r="205" spans="1:31" ht="12.75" customHeight="1">
      <c r="A205" s="72" t="s">
        <v>168</v>
      </c>
      <c r="B205" s="44" t="str">
        <f>VLOOKUP(A205,'CENTRO DE COSTOS'!A:D,4,FALSE)</f>
        <v>DIEGO FERNANDO HENAO CARDONA</v>
      </c>
      <c r="C205" s="44" t="str">
        <f>VLOOKUP(A205,'CENTRO DE COSTOS'!A:D,2,FALSE)</f>
        <v>0004-0002</v>
      </c>
      <c r="D205" s="72">
        <v>76147</v>
      </c>
      <c r="E205" s="73" t="s">
        <v>1252</v>
      </c>
      <c r="F205" s="74">
        <v>81644</v>
      </c>
      <c r="G205" s="75" t="s">
        <v>135</v>
      </c>
      <c r="H205" s="76" t="s">
        <v>235</v>
      </c>
      <c r="I205" s="74" t="s">
        <v>229</v>
      </c>
      <c r="J205" s="77" t="s">
        <v>1253</v>
      </c>
      <c r="K205" s="74" t="s">
        <v>1254</v>
      </c>
      <c r="L205" s="78" t="s">
        <v>140</v>
      </c>
      <c r="M205" s="79" t="s">
        <v>1255</v>
      </c>
      <c r="N205" s="80">
        <v>45924</v>
      </c>
      <c r="O205" s="81">
        <v>45926</v>
      </c>
      <c r="P205" s="82" t="s">
        <v>239</v>
      </c>
      <c r="Q205" s="83" t="s">
        <v>240</v>
      </c>
      <c r="R205" s="72" t="s">
        <v>143</v>
      </c>
      <c r="S205" s="84" t="s">
        <v>1049</v>
      </c>
      <c r="U205" s="72" t="s">
        <v>1256</v>
      </c>
      <c r="V205" s="77" t="s">
        <v>55</v>
      </c>
      <c r="W205" s="85" t="s">
        <v>159</v>
      </c>
      <c r="X205" s="75" t="s">
        <v>290</v>
      </c>
      <c r="Y205" s="72">
        <v>1</v>
      </c>
      <c r="Z205" s="72">
        <v>1</v>
      </c>
      <c r="AA205" s="72">
        <v>1</v>
      </c>
      <c r="AB205" s="48">
        <f>IF(V205="TIPO I",'BASE DE LIQUIDACION 2025'!$B$3,'BASE DE LIQUIDACION 2025'!$B$4)</f>
        <v>11251.22416</v>
      </c>
      <c r="AC205" s="48">
        <f>IF(V205="TIPO I",'BASE DE LIQUIDACION 2025'!$C$3,'BASE DE LIQUIDACION 2025'!$C$4)</f>
        <v>126317.12212</v>
      </c>
      <c r="AD205" s="48">
        <f>IF(V205="TIPO I",'BASE DE LIQUIDACION 2025'!$D$3,'BASE DE LIQUIDACION 2025'!$D$4)</f>
        <v>57411.974240000003</v>
      </c>
      <c r="AE205" s="52">
        <f t="shared" si="5"/>
        <v>194980.32052000001</v>
      </c>
    </row>
    <row r="206" spans="1:31" ht="12.75" customHeight="1">
      <c r="A206" s="72" t="s">
        <v>150</v>
      </c>
      <c r="B206" s="44" t="str">
        <f>VLOOKUP(A206,'CENTRO DE COSTOS'!A:D,4,FALSE)</f>
        <v>DIEGO FERNANDO HENAO CARDONA</v>
      </c>
      <c r="C206" s="44" t="str">
        <f>VLOOKUP(A206,'CENTRO DE COSTOS'!A:D,2,FALSE)</f>
        <v>0004-0003</v>
      </c>
      <c r="D206" s="72">
        <v>76520</v>
      </c>
      <c r="E206" s="73" t="s">
        <v>1257</v>
      </c>
      <c r="F206" s="74">
        <v>81671</v>
      </c>
      <c r="G206" s="75" t="s">
        <v>135</v>
      </c>
      <c r="H206" s="76" t="s">
        <v>235</v>
      </c>
      <c r="I206" s="74" t="s">
        <v>229</v>
      </c>
      <c r="J206" s="77" t="s">
        <v>1258</v>
      </c>
      <c r="K206" s="74" t="s">
        <v>1259</v>
      </c>
      <c r="L206" s="78" t="s">
        <v>140</v>
      </c>
      <c r="M206" s="79" t="s">
        <v>1260</v>
      </c>
      <c r="N206" s="80">
        <v>45924</v>
      </c>
      <c r="O206" s="81">
        <v>45925</v>
      </c>
      <c r="P206" s="82" t="s">
        <v>239</v>
      </c>
      <c r="Q206" s="83" t="s">
        <v>240</v>
      </c>
      <c r="R206" s="72" t="s">
        <v>143</v>
      </c>
      <c r="S206" s="84" t="s">
        <v>1074</v>
      </c>
      <c r="U206" s="72" t="s">
        <v>1261</v>
      </c>
      <c r="V206" s="77" t="s">
        <v>55</v>
      </c>
      <c r="W206" s="85" t="s">
        <v>159</v>
      </c>
      <c r="X206" s="75" t="s">
        <v>362</v>
      </c>
      <c r="Y206" s="72">
        <v>1</v>
      </c>
      <c r="Z206" s="72">
        <v>1</v>
      </c>
      <c r="AA206" s="72">
        <v>1</v>
      </c>
      <c r="AB206" s="48">
        <f>IF(V206="TIPO I",'BASE DE LIQUIDACION 2025'!$B$3,'BASE DE LIQUIDACION 2025'!$B$4)</f>
        <v>11251.22416</v>
      </c>
      <c r="AC206" s="48">
        <f>IF(V206="TIPO I",'BASE DE LIQUIDACION 2025'!$C$3,'BASE DE LIQUIDACION 2025'!$C$4)</f>
        <v>126317.12212</v>
      </c>
      <c r="AD206" s="48">
        <f>IF(V206="TIPO I",'BASE DE LIQUIDACION 2025'!$D$3,'BASE DE LIQUIDACION 2025'!$D$4)</f>
        <v>57411.974240000003</v>
      </c>
      <c r="AE206" s="52">
        <f t="shared" si="5"/>
        <v>194980.32052000001</v>
      </c>
    </row>
    <row r="207" spans="1:31" ht="12.75" customHeight="1">
      <c r="A207" s="72" t="s">
        <v>150</v>
      </c>
      <c r="B207" s="44" t="str">
        <f>VLOOKUP(A207,'CENTRO DE COSTOS'!A:D,4,FALSE)</f>
        <v>DIEGO FERNANDO HENAO CARDONA</v>
      </c>
      <c r="C207" s="44" t="str">
        <f>VLOOKUP(A207,'CENTRO DE COSTOS'!A:D,2,FALSE)</f>
        <v>0004-0003</v>
      </c>
      <c r="D207" s="72">
        <v>76834</v>
      </c>
      <c r="E207" s="73" t="s">
        <v>1262</v>
      </c>
      <c r="F207" s="74">
        <v>81689</v>
      </c>
      <c r="G207" s="75" t="s">
        <v>135</v>
      </c>
      <c r="H207" s="76" t="s">
        <v>235</v>
      </c>
      <c r="I207" s="74" t="s">
        <v>229</v>
      </c>
      <c r="J207" s="77" t="s">
        <v>357</v>
      </c>
      <c r="K207" s="74" t="s">
        <v>1263</v>
      </c>
      <c r="L207" s="78" t="s">
        <v>140</v>
      </c>
      <c r="M207" s="79" t="s">
        <v>1264</v>
      </c>
      <c r="N207" s="80">
        <v>45924</v>
      </c>
      <c r="O207" s="81">
        <v>45926</v>
      </c>
      <c r="P207" s="82" t="s">
        <v>239</v>
      </c>
      <c r="Q207" s="83" t="s">
        <v>381</v>
      </c>
      <c r="R207" s="72" t="s">
        <v>143</v>
      </c>
      <c r="S207" s="84" t="s">
        <v>1049</v>
      </c>
      <c r="U207" s="72" t="s">
        <v>1265</v>
      </c>
      <c r="V207" s="77" t="s">
        <v>199</v>
      </c>
      <c r="W207" s="85" t="s">
        <v>159</v>
      </c>
      <c r="X207" s="75" t="s">
        <v>1251</v>
      </c>
      <c r="Y207" s="72">
        <v>1</v>
      </c>
      <c r="Z207" s="72">
        <v>1</v>
      </c>
      <c r="AA207" s="72">
        <v>1</v>
      </c>
      <c r="AB207" s="48">
        <f>IF(V207="TIPO I",'BASE DE LIQUIDACION 2025'!$B$3,'BASE DE LIQUIDACION 2025'!$B$4)</f>
        <v>11251.22416</v>
      </c>
      <c r="AC207" s="48">
        <f>IF(V207="TIPO I",'BASE DE LIQUIDACION 2025'!$C$3,'BASE DE LIQUIDACION 2025'!$C$4)</f>
        <v>126317.12212</v>
      </c>
      <c r="AD207" s="48">
        <f>IF(V207="TIPO I",'BASE DE LIQUIDACION 2025'!$D$3,'BASE DE LIQUIDACION 2025'!$D$4)</f>
        <v>110808.27512000001</v>
      </c>
      <c r="AE207" s="52">
        <f t="shared" si="5"/>
        <v>248376.6214</v>
      </c>
    </row>
    <row r="208" spans="1:31" ht="12.75" customHeight="1">
      <c r="A208" s="72" t="s">
        <v>219</v>
      </c>
      <c r="B208" s="44" t="str">
        <f>VLOOKUP(A208,'CENTRO DE COSTOS'!A:D,4,FALSE)</f>
        <v>MIGUEL JULIÁN HERNÁNDEZ GUARÍN</v>
      </c>
      <c r="C208" s="44" t="str">
        <f>VLOOKUP(A208,'CENTRO DE COSTOS'!A:D,2,FALSE)</f>
        <v>0004-0008</v>
      </c>
      <c r="D208" s="72">
        <v>81736</v>
      </c>
      <c r="E208" s="73" t="s">
        <v>1266</v>
      </c>
      <c r="F208" s="74">
        <v>81683</v>
      </c>
      <c r="G208" s="75" t="s">
        <v>135</v>
      </c>
      <c r="H208" s="76" t="s">
        <v>235</v>
      </c>
      <c r="I208" s="74" t="s">
        <v>908</v>
      </c>
      <c r="J208" s="77" t="s">
        <v>915</v>
      </c>
      <c r="K208" s="74" t="s">
        <v>1267</v>
      </c>
      <c r="L208" s="78" t="s">
        <v>140</v>
      </c>
      <c r="M208" s="79" t="s">
        <v>1268</v>
      </c>
      <c r="N208" s="80">
        <v>45924</v>
      </c>
      <c r="O208" s="81">
        <v>45926</v>
      </c>
      <c r="P208" s="82" t="s">
        <v>239</v>
      </c>
      <c r="Q208" s="83" t="s">
        <v>240</v>
      </c>
      <c r="R208" s="72" t="s">
        <v>143</v>
      </c>
      <c r="S208" s="84" t="s">
        <v>1049</v>
      </c>
      <c r="U208" s="72" t="s">
        <v>1269</v>
      </c>
      <c r="V208" s="77" t="s">
        <v>147</v>
      </c>
      <c r="W208" s="85" t="s">
        <v>190</v>
      </c>
      <c r="X208" s="75" t="s">
        <v>913</v>
      </c>
      <c r="Y208" s="72">
        <v>1</v>
      </c>
      <c r="Z208" s="72">
        <v>1</v>
      </c>
      <c r="AA208" s="72">
        <v>1</v>
      </c>
      <c r="AB208" s="48">
        <f>IF(V208="TIPO I",'BASE DE LIQUIDACION 2025'!$B$3,'BASE DE LIQUIDACION 2025'!$B$4)</f>
        <v>11251.22416</v>
      </c>
      <c r="AC208" s="48">
        <f>IF(V208="TIPO I",'BASE DE LIQUIDACION 2025'!$C$3,'BASE DE LIQUIDACION 2025'!$C$4)</f>
        <v>126317.12212</v>
      </c>
      <c r="AD208" s="48">
        <f>IF(V208="TIPO I",'BASE DE LIQUIDACION 2025'!$D$3,'BASE DE LIQUIDACION 2025'!$D$4)</f>
        <v>110808.27512000001</v>
      </c>
      <c r="AE208" s="52">
        <f t="shared" si="5"/>
        <v>248376.6214</v>
      </c>
    </row>
    <row r="209" spans="1:31" ht="12.75" customHeight="1">
      <c r="A209" s="72" t="s">
        <v>920</v>
      </c>
      <c r="B209" s="44" t="str">
        <f>VLOOKUP(A209,'CENTRO DE COSTOS'!A:D,4,FALSE)</f>
        <v>KEVIN ALEXIS CORZO BUSTOS</v>
      </c>
      <c r="C209" s="44" t="str">
        <f>VLOOKUP(A209,'CENTRO DE COSTOS'!A:D,2,FALSE)</f>
        <v>0004-0007</v>
      </c>
      <c r="D209" s="72">
        <v>85001</v>
      </c>
      <c r="E209" s="73" t="s">
        <v>1270</v>
      </c>
      <c r="F209" s="74">
        <v>81702</v>
      </c>
      <c r="G209" s="75" t="s">
        <v>135</v>
      </c>
      <c r="H209" s="76" t="s">
        <v>235</v>
      </c>
      <c r="I209" s="74" t="s">
        <v>922</v>
      </c>
      <c r="J209" s="77" t="s">
        <v>920</v>
      </c>
      <c r="K209" s="74" t="s">
        <v>1271</v>
      </c>
      <c r="L209" s="78" t="s">
        <v>140</v>
      </c>
      <c r="M209" s="79" t="s">
        <v>1272</v>
      </c>
      <c r="N209" s="80">
        <v>45924</v>
      </c>
      <c r="O209" s="81">
        <v>45925</v>
      </c>
      <c r="P209" s="82" t="s">
        <v>239</v>
      </c>
      <c r="Q209" s="83" t="s">
        <v>240</v>
      </c>
      <c r="R209" s="72" t="s">
        <v>143</v>
      </c>
      <c r="S209" s="84" t="s">
        <v>1074</v>
      </c>
      <c r="U209" s="72" t="s">
        <v>1273</v>
      </c>
      <c r="V209" s="77" t="s">
        <v>55</v>
      </c>
      <c r="W209" s="85" t="s">
        <v>159</v>
      </c>
      <c r="X209" s="75" t="s">
        <v>218</v>
      </c>
      <c r="Y209" s="72">
        <v>1</v>
      </c>
      <c r="Z209" s="72">
        <v>1</v>
      </c>
      <c r="AA209" s="72">
        <v>1</v>
      </c>
      <c r="AB209" s="48">
        <f>IF(V209="TIPO I",'BASE DE LIQUIDACION 2025'!$B$3,'BASE DE LIQUIDACION 2025'!$B$4)</f>
        <v>11251.22416</v>
      </c>
      <c r="AC209" s="48">
        <f>IF(V209="TIPO I",'BASE DE LIQUIDACION 2025'!$C$3,'BASE DE LIQUIDACION 2025'!$C$4)</f>
        <v>126317.12212</v>
      </c>
      <c r="AD209" s="48">
        <f>IF(V209="TIPO I",'BASE DE LIQUIDACION 2025'!$D$3,'BASE DE LIQUIDACION 2025'!$D$4)</f>
        <v>57411.974240000003</v>
      </c>
      <c r="AE209" s="52">
        <f t="shared" si="5"/>
        <v>194980.32052000001</v>
      </c>
    </row>
    <row r="210" spans="1:31" ht="12.75" customHeight="1">
      <c r="A210" s="72" t="s">
        <v>210</v>
      </c>
      <c r="B210" s="44" t="str">
        <f>VLOOKUP(A210,'CENTRO DE COSTOS'!A:D,4,FALSE)</f>
        <v>KEVIN ALEXIS CORZO BUSTOS</v>
      </c>
      <c r="C210" s="44" t="str">
        <f>VLOOKUP(A210,'CENTRO DE COSTOS'!A:D,2,FALSE)</f>
        <v>0004-0007</v>
      </c>
      <c r="D210" s="72">
        <v>85440</v>
      </c>
      <c r="E210" s="73" t="s">
        <v>1274</v>
      </c>
      <c r="F210" s="74">
        <v>81694</v>
      </c>
      <c r="G210" s="75" t="s">
        <v>135</v>
      </c>
      <c r="H210" s="76" t="s">
        <v>235</v>
      </c>
      <c r="I210" s="74" t="s">
        <v>922</v>
      </c>
      <c r="J210" s="77" t="s">
        <v>778</v>
      </c>
      <c r="K210" s="74" t="s">
        <v>1275</v>
      </c>
      <c r="L210" s="78" t="s">
        <v>140</v>
      </c>
      <c r="M210" s="79" t="s">
        <v>1276</v>
      </c>
      <c r="N210" s="80">
        <v>45924</v>
      </c>
      <c r="O210" s="81">
        <v>45926</v>
      </c>
      <c r="P210" s="82" t="s">
        <v>239</v>
      </c>
      <c r="Q210" s="83" t="s">
        <v>381</v>
      </c>
      <c r="R210" s="72" t="s">
        <v>143</v>
      </c>
      <c r="S210" s="84" t="s">
        <v>1049</v>
      </c>
      <c r="U210" s="72" t="s">
        <v>1277</v>
      </c>
      <c r="V210" s="77" t="s">
        <v>158</v>
      </c>
      <c r="W210" s="85" t="s">
        <v>159</v>
      </c>
      <c r="X210" s="75" t="s">
        <v>1278</v>
      </c>
      <c r="Y210" s="72">
        <v>1</v>
      </c>
      <c r="Z210" s="72">
        <v>1</v>
      </c>
      <c r="AA210" s="72">
        <v>1</v>
      </c>
      <c r="AB210" s="48">
        <f>IF(V210="TIPO I",'BASE DE LIQUIDACION 2025'!$B$3,'BASE DE LIQUIDACION 2025'!$B$4)</f>
        <v>11251.22416</v>
      </c>
      <c r="AC210" s="48">
        <f>IF(V210="TIPO I",'BASE DE LIQUIDACION 2025'!$C$3,'BASE DE LIQUIDACION 2025'!$C$4)</f>
        <v>126317.12212</v>
      </c>
      <c r="AD210" s="48">
        <f>IF(V210="TIPO I",'BASE DE LIQUIDACION 2025'!$D$3,'BASE DE LIQUIDACION 2025'!$D$4)</f>
        <v>110808.27512000001</v>
      </c>
      <c r="AE210" s="52">
        <f t="shared" si="5"/>
        <v>248376.6214</v>
      </c>
    </row>
    <row r="211" spans="1:31" ht="12.75" customHeight="1">
      <c r="A211" s="72" t="s">
        <v>133</v>
      </c>
      <c r="B211" s="44" t="str">
        <f>VLOOKUP(A211,'CENTRO DE COSTOS'!A:D,4,FALSE)</f>
        <v>DIEGO FERNANDO HENAO CARDONA</v>
      </c>
      <c r="C211" s="44" t="str">
        <f>VLOOKUP(A211,'CENTRO DE COSTOS'!A:D,2,FALSE)</f>
        <v>0004-0003</v>
      </c>
      <c r="D211" s="72">
        <v>86001</v>
      </c>
      <c r="E211" s="73" t="s">
        <v>1279</v>
      </c>
      <c r="F211" s="74">
        <v>81666</v>
      </c>
      <c r="G211" s="75" t="s">
        <v>135</v>
      </c>
      <c r="H211" s="76" t="s">
        <v>235</v>
      </c>
      <c r="I211" s="74" t="s">
        <v>245</v>
      </c>
      <c r="J211" s="77" t="s">
        <v>1280</v>
      </c>
      <c r="K211" s="74" t="s">
        <v>1281</v>
      </c>
      <c r="L211" s="78" t="s">
        <v>140</v>
      </c>
      <c r="M211" s="79" t="s">
        <v>1282</v>
      </c>
      <c r="N211" s="80">
        <v>45924</v>
      </c>
      <c r="O211" s="81">
        <v>45926</v>
      </c>
      <c r="P211" s="82" t="s">
        <v>239</v>
      </c>
      <c r="Q211" s="83" t="s">
        <v>240</v>
      </c>
      <c r="R211" s="72" t="s">
        <v>143</v>
      </c>
      <c r="S211" s="84" t="s">
        <v>1049</v>
      </c>
      <c r="U211" s="72" t="s">
        <v>1283</v>
      </c>
      <c r="V211" s="77" t="s">
        <v>167</v>
      </c>
      <c r="W211" s="85" t="s">
        <v>159</v>
      </c>
      <c r="X211" s="75" t="s">
        <v>149</v>
      </c>
      <c r="Y211" s="72">
        <v>1</v>
      </c>
      <c r="Z211" s="72">
        <v>1</v>
      </c>
      <c r="AA211" s="72">
        <v>1</v>
      </c>
      <c r="AB211" s="48">
        <f>IF(V211="TIPO I",'BASE DE LIQUIDACION 2025'!$B$3,'BASE DE LIQUIDACION 2025'!$B$4)</f>
        <v>11251.22416</v>
      </c>
      <c r="AC211" s="48">
        <f>IF(V211="TIPO I",'BASE DE LIQUIDACION 2025'!$C$3,'BASE DE LIQUIDACION 2025'!$C$4)</f>
        <v>126317.12212</v>
      </c>
      <c r="AD211" s="48">
        <f>IF(V211="TIPO I",'BASE DE LIQUIDACION 2025'!$D$3,'BASE DE LIQUIDACION 2025'!$D$4)</f>
        <v>110808.27512000001</v>
      </c>
      <c r="AE211" s="52">
        <f t="shared" si="5"/>
        <v>248376.6214</v>
      </c>
    </row>
    <row r="212" spans="1:31" ht="12.75" customHeight="1">
      <c r="A212" s="72" t="s">
        <v>133</v>
      </c>
      <c r="B212" s="44" t="str">
        <f>VLOOKUP(A212,'CENTRO DE COSTOS'!A:D,4,FALSE)</f>
        <v>DIEGO FERNANDO HENAO CARDONA</v>
      </c>
      <c r="C212" s="44" t="str">
        <f>VLOOKUP(A212,'CENTRO DE COSTOS'!A:D,2,FALSE)</f>
        <v>0004-0003</v>
      </c>
      <c r="D212" s="72">
        <v>86865</v>
      </c>
      <c r="E212" s="73" t="s">
        <v>1284</v>
      </c>
      <c r="F212" s="74">
        <v>81690</v>
      </c>
      <c r="G212" s="75" t="s">
        <v>135</v>
      </c>
      <c r="H212" s="76" t="s">
        <v>235</v>
      </c>
      <c r="I212" s="74" t="s">
        <v>245</v>
      </c>
      <c r="J212" s="77" t="s">
        <v>667</v>
      </c>
      <c r="K212" s="74" t="s">
        <v>1285</v>
      </c>
      <c r="L212" s="78" t="s">
        <v>140</v>
      </c>
      <c r="M212" s="79" t="s">
        <v>1286</v>
      </c>
      <c r="N212" s="80">
        <v>45924</v>
      </c>
      <c r="O212" s="81">
        <v>45930</v>
      </c>
      <c r="P212" s="82" t="s">
        <v>239</v>
      </c>
      <c r="Q212" s="83" t="s">
        <v>240</v>
      </c>
      <c r="R212" s="72" t="s">
        <v>143</v>
      </c>
      <c r="S212" s="84" t="s">
        <v>1287</v>
      </c>
      <c r="U212" s="72" t="s">
        <v>1288</v>
      </c>
      <c r="V212" s="77" t="s">
        <v>167</v>
      </c>
      <c r="W212" s="85" t="s">
        <v>159</v>
      </c>
      <c r="X212" s="75" t="s">
        <v>251</v>
      </c>
      <c r="Y212" s="72">
        <v>1</v>
      </c>
      <c r="Z212" s="72">
        <v>1</v>
      </c>
      <c r="AA212" s="72">
        <v>1</v>
      </c>
      <c r="AB212" s="48">
        <f>IF(V212="TIPO I",'BASE DE LIQUIDACION 2025'!$B$3,'BASE DE LIQUIDACION 2025'!$B$4)</f>
        <v>11251.22416</v>
      </c>
      <c r="AC212" s="48">
        <f>IF(V212="TIPO I",'BASE DE LIQUIDACION 2025'!$C$3,'BASE DE LIQUIDACION 2025'!$C$4)</f>
        <v>126317.12212</v>
      </c>
      <c r="AD212" s="48">
        <f>IF(V212="TIPO I",'BASE DE LIQUIDACION 2025'!$D$3,'BASE DE LIQUIDACION 2025'!$D$4)</f>
        <v>110808.27512000001</v>
      </c>
      <c r="AE212" s="52">
        <f t="shared" si="5"/>
        <v>248376.6214</v>
      </c>
    </row>
    <row r="213" spans="1:31" ht="12.75" customHeight="1">
      <c r="A213" s="72" t="s">
        <v>259</v>
      </c>
      <c r="B213" s="44" t="str">
        <f>VLOOKUP(A213,'CENTRO DE COSTOS'!A:D,4,FALSE)</f>
        <v>JUAN SEBASTIÁN RÍOS CASTRILLÓN</v>
      </c>
      <c r="C213" s="44" t="str">
        <f>VLOOKUP(A213,'CENTRO DE COSTOS'!A:D,2,FALSE)</f>
        <v>0004-0005</v>
      </c>
      <c r="D213" s="72">
        <v>5045</v>
      </c>
      <c r="E213" s="73" t="s">
        <v>1289</v>
      </c>
      <c r="F213" s="74">
        <v>81646</v>
      </c>
      <c r="G213" s="75" t="s">
        <v>135</v>
      </c>
      <c r="H213" s="76" t="s">
        <v>235</v>
      </c>
      <c r="I213" s="74" t="s">
        <v>253</v>
      </c>
      <c r="J213" s="77" t="s">
        <v>259</v>
      </c>
      <c r="K213" s="74" t="s">
        <v>1290</v>
      </c>
      <c r="L213" s="78" t="s">
        <v>140</v>
      </c>
      <c r="M213" s="79" t="s">
        <v>1291</v>
      </c>
      <c r="N213" s="80">
        <v>45924</v>
      </c>
      <c r="O213" s="81">
        <v>45925</v>
      </c>
      <c r="P213" s="82" t="s">
        <v>239</v>
      </c>
      <c r="Q213" s="83" t="s">
        <v>240</v>
      </c>
      <c r="R213" s="72" t="s">
        <v>143</v>
      </c>
      <c r="S213" s="84" t="s">
        <v>1074</v>
      </c>
      <c r="U213" s="72" t="s">
        <v>1292</v>
      </c>
      <c r="V213" s="77" t="s">
        <v>55</v>
      </c>
      <c r="W213" s="85" t="s">
        <v>159</v>
      </c>
      <c r="X213" s="75" t="s">
        <v>266</v>
      </c>
      <c r="Y213" s="72">
        <v>1</v>
      </c>
      <c r="Z213" s="72">
        <v>1</v>
      </c>
      <c r="AA213" s="72">
        <v>1</v>
      </c>
      <c r="AB213" s="48">
        <f>IF(V213="TIPO I",'BASE DE LIQUIDACION 2025'!$B$3,'BASE DE LIQUIDACION 2025'!$B$4)</f>
        <v>11251.22416</v>
      </c>
      <c r="AC213" s="48">
        <f>IF(V213="TIPO I",'BASE DE LIQUIDACION 2025'!$C$3,'BASE DE LIQUIDACION 2025'!$C$4)</f>
        <v>126317.12212</v>
      </c>
      <c r="AD213" s="48">
        <f>IF(V213="TIPO I",'BASE DE LIQUIDACION 2025'!$D$3,'BASE DE LIQUIDACION 2025'!$D$4)</f>
        <v>57411.974240000003</v>
      </c>
      <c r="AE213" s="52">
        <f t="shared" si="5"/>
        <v>194980.32052000001</v>
      </c>
    </row>
    <row r="214" spans="1:31" ht="12.75" customHeight="1">
      <c r="A214" s="72" t="s">
        <v>259</v>
      </c>
      <c r="B214" s="44" t="str">
        <f>VLOOKUP(A214,'CENTRO DE COSTOS'!A:D,4,FALSE)</f>
        <v>JUAN SEBASTIÁN RÍOS CASTRILLÓN</v>
      </c>
      <c r="C214" s="44" t="str">
        <f>VLOOKUP(A214,'CENTRO DE COSTOS'!A:D,2,FALSE)</f>
        <v>0004-0005</v>
      </c>
      <c r="D214" s="72">
        <v>5045</v>
      </c>
      <c r="E214" s="73" t="s">
        <v>1293</v>
      </c>
      <c r="F214" s="74">
        <v>81647</v>
      </c>
      <c r="G214" s="75" t="s">
        <v>135</v>
      </c>
      <c r="H214" s="76" t="s">
        <v>235</v>
      </c>
      <c r="I214" s="74" t="s">
        <v>253</v>
      </c>
      <c r="J214" s="77" t="s">
        <v>259</v>
      </c>
      <c r="K214" s="74" t="s">
        <v>1294</v>
      </c>
      <c r="L214" s="78" t="s">
        <v>140</v>
      </c>
      <c r="M214" s="79" t="s">
        <v>1295</v>
      </c>
      <c r="N214" s="80">
        <v>45924</v>
      </c>
      <c r="O214" s="81">
        <v>45925</v>
      </c>
      <c r="P214" s="82" t="s">
        <v>239</v>
      </c>
      <c r="Q214" s="83" t="s">
        <v>240</v>
      </c>
      <c r="R214" s="72" t="s">
        <v>143</v>
      </c>
      <c r="S214" s="84" t="s">
        <v>1074</v>
      </c>
      <c r="U214" s="72" t="s">
        <v>1296</v>
      </c>
      <c r="V214" s="77" t="s">
        <v>55</v>
      </c>
      <c r="W214" s="85" t="s">
        <v>159</v>
      </c>
      <c r="X214" s="75" t="s">
        <v>266</v>
      </c>
      <c r="Y214" s="72">
        <v>1</v>
      </c>
      <c r="Z214" s="72">
        <v>1</v>
      </c>
      <c r="AA214" s="72">
        <v>1</v>
      </c>
      <c r="AB214" s="48">
        <f>IF(V214="TIPO I",'BASE DE LIQUIDACION 2025'!$B$3,'BASE DE LIQUIDACION 2025'!$B$4)</f>
        <v>11251.22416</v>
      </c>
      <c r="AC214" s="48">
        <f>IF(V214="TIPO I",'BASE DE LIQUIDACION 2025'!$C$3,'BASE DE LIQUIDACION 2025'!$C$4)</f>
        <v>126317.12212</v>
      </c>
      <c r="AD214" s="48">
        <f>IF(V214="TIPO I",'BASE DE LIQUIDACION 2025'!$D$3,'BASE DE LIQUIDACION 2025'!$D$4)</f>
        <v>57411.974240000003</v>
      </c>
      <c r="AE214" s="52">
        <f t="shared" si="5"/>
        <v>194980.32052000001</v>
      </c>
    </row>
    <row r="215" spans="1:31" ht="12.75" customHeight="1">
      <c r="A215" s="72" t="s">
        <v>432</v>
      </c>
      <c r="B215" s="44" t="str">
        <f>VLOOKUP(A215,'CENTRO DE COSTOS'!A:D,4,FALSE)</f>
        <v>WILLIAM ASDRUBAL ROZO ROZO</v>
      </c>
      <c r="C215" s="44" t="str">
        <f>VLOOKUP(A215,'CENTRO DE COSTOS'!A:D,2,FALSE)</f>
        <v>0004-0004</v>
      </c>
      <c r="D215" s="72">
        <v>11001</v>
      </c>
      <c r="E215" s="73" t="s">
        <v>1297</v>
      </c>
      <c r="F215" s="74">
        <v>81631</v>
      </c>
      <c r="G215" s="75" t="s">
        <v>135</v>
      </c>
      <c r="H215" s="76" t="s">
        <v>235</v>
      </c>
      <c r="I215" s="74" t="s">
        <v>434</v>
      </c>
      <c r="J215" s="77" t="s">
        <v>432</v>
      </c>
      <c r="K215" s="74" t="s">
        <v>1298</v>
      </c>
      <c r="L215" s="78" t="s">
        <v>140</v>
      </c>
      <c r="M215" s="79" t="s">
        <v>1299</v>
      </c>
      <c r="N215" s="80">
        <v>45924</v>
      </c>
      <c r="O215" s="81">
        <v>45926</v>
      </c>
      <c r="P215" s="82" t="s">
        <v>239</v>
      </c>
      <c r="Q215" s="83" t="s">
        <v>381</v>
      </c>
      <c r="R215" s="72" t="s">
        <v>143</v>
      </c>
      <c r="S215" s="84" t="s">
        <v>1049</v>
      </c>
      <c r="U215" s="72" t="s">
        <v>1300</v>
      </c>
      <c r="V215" s="77" t="s">
        <v>55</v>
      </c>
      <c r="W215" s="85" t="s">
        <v>159</v>
      </c>
      <c r="X215" s="75" t="s">
        <v>572</v>
      </c>
      <c r="Y215" s="72">
        <v>1</v>
      </c>
      <c r="Z215" s="72">
        <v>1</v>
      </c>
      <c r="AA215" s="72">
        <v>1</v>
      </c>
      <c r="AB215" s="48">
        <f>IF(V215="TIPO I",'BASE DE LIQUIDACION 2025'!$B$3,'BASE DE LIQUIDACION 2025'!$B$4)</f>
        <v>11251.22416</v>
      </c>
      <c r="AC215" s="48">
        <f>IF(V215="TIPO I",'BASE DE LIQUIDACION 2025'!$C$3,'BASE DE LIQUIDACION 2025'!$C$4)</f>
        <v>126317.12212</v>
      </c>
      <c r="AD215" s="48">
        <f>IF(V215="TIPO I",'BASE DE LIQUIDACION 2025'!$D$3,'BASE DE LIQUIDACION 2025'!$D$4)</f>
        <v>57411.974240000003</v>
      </c>
      <c r="AE215" s="52">
        <f t="shared" si="5"/>
        <v>194980.32052000001</v>
      </c>
    </row>
    <row r="216" spans="1:31" ht="12.75" customHeight="1">
      <c r="A216" s="72" t="s">
        <v>432</v>
      </c>
      <c r="B216" s="44" t="str">
        <f>VLOOKUP(A216,'CENTRO DE COSTOS'!A:D,4,FALSE)</f>
        <v>WILLIAM ASDRUBAL ROZO ROZO</v>
      </c>
      <c r="C216" s="44" t="str">
        <f>VLOOKUP(A216,'CENTRO DE COSTOS'!A:D,2,FALSE)</f>
        <v>0004-0004</v>
      </c>
      <c r="D216" s="72">
        <v>11001</v>
      </c>
      <c r="E216" s="73" t="s">
        <v>1301</v>
      </c>
      <c r="F216" s="74">
        <v>81632</v>
      </c>
      <c r="G216" s="75" t="s">
        <v>135</v>
      </c>
      <c r="H216" s="76" t="s">
        <v>235</v>
      </c>
      <c r="I216" s="74" t="s">
        <v>434</v>
      </c>
      <c r="J216" s="77" t="s">
        <v>432</v>
      </c>
      <c r="K216" s="74" t="s">
        <v>1302</v>
      </c>
      <c r="L216" s="78" t="s">
        <v>140</v>
      </c>
      <c r="M216" s="79" t="s">
        <v>1303</v>
      </c>
      <c r="N216" s="80">
        <v>45924</v>
      </c>
      <c r="O216" s="81">
        <v>45926</v>
      </c>
      <c r="P216" s="82" t="s">
        <v>239</v>
      </c>
      <c r="Q216" s="83" t="s">
        <v>381</v>
      </c>
      <c r="R216" s="72" t="s">
        <v>143</v>
      </c>
      <c r="S216" s="84" t="s">
        <v>1049</v>
      </c>
      <c r="U216" s="72" t="s">
        <v>1304</v>
      </c>
      <c r="V216" s="77" t="s">
        <v>55</v>
      </c>
      <c r="W216" s="85" t="s">
        <v>159</v>
      </c>
      <c r="X216" s="75" t="s">
        <v>567</v>
      </c>
      <c r="Y216" s="72">
        <v>1</v>
      </c>
      <c r="Z216" s="72">
        <v>1</v>
      </c>
      <c r="AA216" s="72">
        <v>1</v>
      </c>
      <c r="AB216" s="48">
        <f>IF(V216="TIPO I",'BASE DE LIQUIDACION 2025'!$B$3,'BASE DE LIQUIDACION 2025'!$B$4)</f>
        <v>11251.22416</v>
      </c>
      <c r="AC216" s="48">
        <f>IF(V216="TIPO I",'BASE DE LIQUIDACION 2025'!$C$3,'BASE DE LIQUIDACION 2025'!$C$4)</f>
        <v>126317.12212</v>
      </c>
      <c r="AD216" s="48">
        <f>IF(V216="TIPO I",'BASE DE LIQUIDACION 2025'!$D$3,'BASE DE LIQUIDACION 2025'!$D$4)</f>
        <v>57411.974240000003</v>
      </c>
      <c r="AE216" s="52">
        <f t="shared" si="5"/>
        <v>194980.32052000001</v>
      </c>
    </row>
    <row r="217" spans="1:31" ht="12.75" customHeight="1">
      <c r="A217" s="72" t="s">
        <v>432</v>
      </c>
      <c r="B217" s="44" t="str">
        <f>VLOOKUP(A217,'CENTRO DE COSTOS'!A:D,4,FALSE)</f>
        <v>WILLIAM ASDRUBAL ROZO ROZO</v>
      </c>
      <c r="C217" s="44" t="str">
        <f>VLOOKUP(A217,'CENTRO DE COSTOS'!A:D,2,FALSE)</f>
        <v>0004-0004</v>
      </c>
      <c r="D217" s="72">
        <v>11001</v>
      </c>
      <c r="E217" s="73" t="s">
        <v>1305</v>
      </c>
      <c r="F217" s="74">
        <v>81630</v>
      </c>
      <c r="G217" s="75" t="s">
        <v>135</v>
      </c>
      <c r="H217" s="76" t="s">
        <v>235</v>
      </c>
      <c r="I217" s="74" t="s">
        <v>434</v>
      </c>
      <c r="J217" s="77" t="s">
        <v>432</v>
      </c>
      <c r="K217" s="74" t="s">
        <v>1306</v>
      </c>
      <c r="L217" s="78" t="s">
        <v>140</v>
      </c>
      <c r="M217" s="79" t="s">
        <v>1307</v>
      </c>
      <c r="N217" s="80">
        <v>45924</v>
      </c>
      <c r="O217" s="81">
        <v>45929</v>
      </c>
      <c r="P217" s="82" t="s">
        <v>239</v>
      </c>
      <c r="Q217" s="83" t="s">
        <v>381</v>
      </c>
      <c r="R217" s="72" t="s">
        <v>143</v>
      </c>
      <c r="S217" s="84" t="s">
        <v>1308</v>
      </c>
      <c r="U217" s="72" t="s">
        <v>1309</v>
      </c>
      <c r="V217" s="77" t="s">
        <v>55</v>
      </c>
      <c r="W217" s="85" t="s">
        <v>159</v>
      </c>
      <c r="X217" s="75" t="s">
        <v>970</v>
      </c>
      <c r="Y217" s="72">
        <v>1</v>
      </c>
      <c r="Z217" s="72">
        <v>1</v>
      </c>
      <c r="AA217" s="72">
        <v>3</v>
      </c>
      <c r="AB217" s="48">
        <f>IF(V217="TIPO I",'BASE DE LIQUIDACION 2025'!$B$3,'BASE DE LIQUIDACION 2025'!$B$4)</f>
        <v>11251.22416</v>
      </c>
      <c r="AC217" s="48">
        <f>IF(V217="TIPO I",'BASE DE LIQUIDACION 2025'!$C$3,'BASE DE LIQUIDACION 2025'!$C$4)</f>
        <v>126317.12212</v>
      </c>
      <c r="AD217" s="48">
        <f>IF(V217="TIPO I",'BASE DE LIQUIDACION 2025'!$D$3,'BASE DE LIQUIDACION 2025'!$D$4)</f>
        <v>57411.974240000003</v>
      </c>
      <c r="AE217" s="52">
        <f t="shared" si="5"/>
        <v>309804.26899999997</v>
      </c>
    </row>
    <row r="218" spans="1:31" ht="12.75" customHeight="1">
      <c r="A218" s="72" t="s">
        <v>432</v>
      </c>
      <c r="B218" s="44" t="str">
        <f>VLOOKUP(A218,'CENTRO DE COSTOS'!A:D,4,FALSE)</f>
        <v>WILLIAM ASDRUBAL ROZO ROZO</v>
      </c>
      <c r="C218" s="44" t="str">
        <f>VLOOKUP(A218,'CENTRO DE COSTOS'!A:D,2,FALSE)</f>
        <v>0004-0004</v>
      </c>
      <c r="D218" s="72">
        <v>11001</v>
      </c>
      <c r="E218" s="73" t="s">
        <v>1310</v>
      </c>
      <c r="F218" s="74">
        <v>81627</v>
      </c>
      <c r="G218" s="75" t="s">
        <v>135</v>
      </c>
      <c r="H218" s="76" t="s">
        <v>235</v>
      </c>
      <c r="I218" s="74" t="s">
        <v>434</v>
      </c>
      <c r="J218" s="77" t="s">
        <v>432</v>
      </c>
      <c r="K218" s="74" t="s">
        <v>1311</v>
      </c>
      <c r="L218" s="78" t="s">
        <v>140</v>
      </c>
      <c r="M218" s="79" t="s">
        <v>1312</v>
      </c>
      <c r="N218" s="80">
        <v>45924</v>
      </c>
      <c r="O218" s="81">
        <v>45926</v>
      </c>
      <c r="P218" s="82" t="s">
        <v>239</v>
      </c>
      <c r="Q218" s="83" t="s">
        <v>381</v>
      </c>
      <c r="R218" s="72" t="s">
        <v>143</v>
      </c>
      <c r="S218" s="84" t="s">
        <v>1049</v>
      </c>
      <c r="U218" s="72" t="s">
        <v>1313</v>
      </c>
      <c r="V218" s="77" t="s">
        <v>55</v>
      </c>
      <c r="W218" s="85" t="s">
        <v>159</v>
      </c>
      <c r="X218" s="75" t="s">
        <v>820</v>
      </c>
      <c r="Y218" s="72">
        <v>1</v>
      </c>
      <c r="Z218" s="72">
        <v>1</v>
      </c>
      <c r="AA218" s="72">
        <v>1</v>
      </c>
      <c r="AB218" s="48">
        <f>IF(V218="TIPO I",'BASE DE LIQUIDACION 2025'!$B$3,'BASE DE LIQUIDACION 2025'!$B$4)</f>
        <v>11251.22416</v>
      </c>
      <c r="AC218" s="48">
        <f>IF(V218="TIPO I",'BASE DE LIQUIDACION 2025'!$C$3,'BASE DE LIQUIDACION 2025'!$C$4)</f>
        <v>126317.12212</v>
      </c>
      <c r="AD218" s="48">
        <f>IF(V218="TIPO I",'BASE DE LIQUIDACION 2025'!$D$3,'BASE DE LIQUIDACION 2025'!$D$4)</f>
        <v>57411.974240000003</v>
      </c>
      <c r="AE218" s="52">
        <f t="shared" si="5"/>
        <v>194980.32052000001</v>
      </c>
    </row>
    <row r="219" spans="1:31" ht="12.75" customHeight="1">
      <c r="A219" s="72" t="s">
        <v>432</v>
      </c>
      <c r="B219" s="44" t="str">
        <f>VLOOKUP(A219,'CENTRO DE COSTOS'!A:D,4,FALSE)</f>
        <v>WILLIAM ASDRUBAL ROZO ROZO</v>
      </c>
      <c r="C219" s="44" t="str">
        <f>VLOOKUP(A219,'CENTRO DE COSTOS'!A:D,2,FALSE)</f>
        <v>0004-0004</v>
      </c>
      <c r="D219" s="72">
        <v>11001</v>
      </c>
      <c r="E219" s="73" t="s">
        <v>1314</v>
      </c>
      <c r="F219" s="74">
        <v>21499</v>
      </c>
      <c r="G219" s="75" t="s">
        <v>135</v>
      </c>
      <c r="H219" s="76" t="s">
        <v>369</v>
      </c>
      <c r="I219" s="74" t="s">
        <v>434</v>
      </c>
      <c r="J219" s="77" t="s">
        <v>432</v>
      </c>
      <c r="K219" s="74" t="s">
        <v>1315</v>
      </c>
      <c r="L219" s="78" t="s">
        <v>140</v>
      </c>
      <c r="M219" s="79" t="s">
        <v>1316</v>
      </c>
      <c r="N219" s="80">
        <v>45924</v>
      </c>
      <c r="O219" s="81">
        <v>45926</v>
      </c>
      <c r="P219" s="82" t="s">
        <v>373</v>
      </c>
      <c r="Q219" s="83" t="s">
        <v>1317</v>
      </c>
      <c r="R219" s="72" t="s">
        <v>143</v>
      </c>
      <c r="S219" s="84" t="s">
        <v>1318</v>
      </c>
      <c r="U219" s="72" t="s">
        <v>1319</v>
      </c>
      <c r="V219" s="77" t="s">
        <v>55</v>
      </c>
      <c r="W219" s="85" t="s">
        <v>159</v>
      </c>
      <c r="X219" s="75" t="s">
        <v>1320</v>
      </c>
      <c r="Y219" s="72">
        <v>0</v>
      </c>
      <c r="Z219" s="72">
        <v>0</v>
      </c>
      <c r="AA219" s="72">
        <v>0</v>
      </c>
      <c r="AB219" s="48">
        <f>IF(V219="TIPO I",'BASE DE LIQUIDACION 2025'!$B$3,'BASE DE LIQUIDACION 2025'!$B$4)</f>
        <v>11251.22416</v>
      </c>
      <c r="AC219" s="48">
        <f>IF(V219="TIPO I",'BASE DE LIQUIDACION 2025'!$C$3,'BASE DE LIQUIDACION 2025'!$C$4)</f>
        <v>126317.12212</v>
      </c>
      <c r="AD219" s="48">
        <f>IF(V219="TIPO I",'BASE DE LIQUIDACION 2025'!$D$3,'BASE DE LIQUIDACION 2025'!$D$4)</f>
        <v>57411.974240000003</v>
      </c>
      <c r="AE219" s="52">
        <f t="shared" si="5"/>
        <v>0</v>
      </c>
    </row>
    <row r="220" spans="1:31" ht="12.75" customHeight="1">
      <c r="A220" s="72" t="s">
        <v>711</v>
      </c>
      <c r="B220" s="44" t="str">
        <f>VLOOKUP(A220,'CENTRO DE COSTOS'!A:D,4,FALSE)</f>
        <v>JOSE MAURICIO HERNANDEZ ROJAS</v>
      </c>
      <c r="C220" s="44" t="str">
        <f>VLOOKUP(A220,'CENTRO DE COSTOS'!A:D,2,FALSE)</f>
        <v>0004-0001</v>
      </c>
      <c r="D220" s="72">
        <v>13001</v>
      </c>
      <c r="E220" s="73" t="s">
        <v>1321</v>
      </c>
      <c r="F220" s="74">
        <v>45160</v>
      </c>
      <c r="G220" s="75" t="s">
        <v>135</v>
      </c>
      <c r="H220" s="76" t="s">
        <v>369</v>
      </c>
      <c r="I220" s="74" t="s">
        <v>713</v>
      </c>
      <c r="J220" s="77" t="s">
        <v>711</v>
      </c>
      <c r="K220" s="74" t="s">
        <v>1322</v>
      </c>
      <c r="L220" s="78" t="s">
        <v>140</v>
      </c>
      <c r="M220" s="79" t="s">
        <v>1323</v>
      </c>
      <c r="N220" s="80">
        <v>45926</v>
      </c>
      <c r="O220" s="81">
        <v>45929</v>
      </c>
      <c r="P220" s="82" t="s">
        <v>239</v>
      </c>
      <c r="Q220" s="83" t="s">
        <v>381</v>
      </c>
      <c r="R220" s="72" t="s">
        <v>143</v>
      </c>
      <c r="S220" s="84" t="s">
        <v>1324</v>
      </c>
      <c r="U220" s="72" t="s">
        <v>1325</v>
      </c>
      <c r="V220" s="77" t="s">
        <v>55</v>
      </c>
      <c r="W220" s="85" t="s">
        <v>159</v>
      </c>
      <c r="X220" s="75" t="s">
        <v>1326</v>
      </c>
      <c r="Y220" s="72">
        <v>0</v>
      </c>
      <c r="Z220" s="72">
        <v>0</v>
      </c>
      <c r="AA220" s="72">
        <v>0</v>
      </c>
      <c r="AB220" s="48">
        <f>IF(V220="TIPO I",'BASE DE LIQUIDACION 2025'!$B$3,'BASE DE LIQUIDACION 2025'!$B$4)</f>
        <v>11251.22416</v>
      </c>
      <c r="AC220" s="48">
        <f>IF(V220="TIPO I",'BASE DE LIQUIDACION 2025'!$C$3,'BASE DE LIQUIDACION 2025'!$C$4)</f>
        <v>126317.12212</v>
      </c>
      <c r="AD220" s="48">
        <f>IF(V220="TIPO I",'BASE DE LIQUIDACION 2025'!$D$3,'BASE DE LIQUIDACION 2025'!$D$4)</f>
        <v>57411.974240000003</v>
      </c>
      <c r="AE220" s="52">
        <f t="shared" si="5"/>
        <v>0</v>
      </c>
    </row>
    <row r="221" spans="1:31" ht="12.75" customHeight="1">
      <c r="A221" s="72" t="s">
        <v>150</v>
      </c>
      <c r="B221" s="44" t="str">
        <f>VLOOKUP(A221,'CENTRO DE COSTOS'!A:D,4,FALSE)</f>
        <v>DIEGO FERNANDO HENAO CARDONA</v>
      </c>
      <c r="C221" s="44" t="str">
        <f>VLOOKUP(A221,'CENTRO DE COSTOS'!A:D,2,FALSE)</f>
        <v>0004-0003</v>
      </c>
      <c r="D221" s="72">
        <v>76001</v>
      </c>
      <c r="E221" s="73" t="s">
        <v>1327</v>
      </c>
      <c r="F221" s="74">
        <v>73458</v>
      </c>
      <c r="G221" s="75" t="s">
        <v>135</v>
      </c>
      <c r="H221" s="76" t="s">
        <v>369</v>
      </c>
      <c r="I221" s="74" t="s">
        <v>229</v>
      </c>
      <c r="J221" s="77" t="s">
        <v>150</v>
      </c>
      <c r="K221" s="74" t="s">
        <v>1328</v>
      </c>
      <c r="L221" s="78" t="s">
        <v>140</v>
      </c>
      <c r="M221" s="79" t="s">
        <v>1329</v>
      </c>
      <c r="N221" s="80">
        <v>45926</v>
      </c>
      <c r="O221" s="81">
        <v>45930</v>
      </c>
      <c r="P221" s="82" t="s">
        <v>239</v>
      </c>
      <c r="Q221" s="83" t="s">
        <v>381</v>
      </c>
      <c r="R221" s="72" t="s">
        <v>143</v>
      </c>
      <c r="S221" s="84" t="s">
        <v>1330</v>
      </c>
      <c r="U221" s="72" t="s">
        <v>1331</v>
      </c>
      <c r="V221" s="77" t="s">
        <v>55</v>
      </c>
      <c r="W221" s="85" t="s">
        <v>159</v>
      </c>
      <c r="X221" s="75" t="s">
        <v>1251</v>
      </c>
      <c r="Y221" s="72">
        <v>0</v>
      </c>
      <c r="Z221" s="72">
        <v>0</v>
      </c>
      <c r="AA221" s="72">
        <v>0</v>
      </c>
      <c r="AB221" s="48">
        <f>IF(V221="TIPO I",'BASE DE LIQUIDACION 2025'!$B$3,'BASE DE LIQUIDACION 2025'!$B$4)</f>
        <v>11251.22416</v>
      </c>
      <c r="AC221" s="48">
        <f>IF(V221="TIPO I",'BASE DE LIQUIDACION 2025'!$C$3,'BASE DE LIQUIDACION 2025'!$C$4)</f>
        <v>126317.12212</v>
      </c>
      <c r="AD221" s="48">
        <f>IF(V221="TIPO I",'BASE DE LIQUIDACION 2025'!$D$3,'BASE DE LIQUIDACION 2025'!$D$4)</f>
        <v>57411.974240000003</v>
      </c>
      <c r="AE221" s="52">
        <f t="shared" si="5"/>
        <v>0</v>
      </c>
    </row>
    <row r="222" spans="1:31" ht="12.75" customHeight="1">
      <c r="A222" s="72" t="s">
        <v>267</v>
      </c>
      <c r="B222" s="44" t="str">
        <f>VLOOKUP(A222,'CENTRO DE COSTOS'!A:D,4,FALSE)</f>
        <v>JUAN SEBASTIÁN RÍOS CASTRILLÓN</v>
      </c>
      <c r="C222" s="44" t="str">
        <f>VLOOKUP(A222,'CENTRO DE COSTOS'!A:D,2,FALSE)</f>
        <v>0004-0005</v>
      </c>
      <c r="D222" s="72">
        <v>5001</v>
      </c>
      <c r="E222" s="73" t="s">
        <v>1332</v>
      </c>
      <c r="F222" s="74">
        <v>81716</v>
      </c>
      <c r="G222" s="75" t="s">
        <v>135</v>
      </c>
      <c r="H222" s="76" t="s">
        <v>235</v>
      </c>
      <c r="I222" s="74" t="s">
        <v>253</v>
      </c>
      <c r="J222" s="77" t="s">
        <v>267</v>
      </c>
      <c r="K222" s="74" t="s">
        <v>1333</v>
      </c>
      <c r="L222" s="78" t="s">
        <v>140</v>
      </c>
      <c r="M222" s="79" t="s">
        <v>1334</v>
      </c>
      <c r="N222" s="80">
        <v>45929</v>
      </c>
      <c r="O222" s="81">
        <v>45930</v>
      </c>
      <c r="P222" s="82" t="s">
        <v>239</v>
      </c>
      <c r="Q222" s="83" t="s">
        <v>240</v>
      </c>
      <c r="R222" s="72" t="s">
        <v>143</v>
      </c>
      <c r="S222" s="84" t="s">
        <v>1335</v>
      </c>
      <c r="U222" s="72" t="s">
        <v>1336</v>
      </c>
      <c r="V222" s="77" t="s">
        <v>55</v>
      </c>
      <c r="W222" s="85" t="s">
        <v>159</v>
      </c>
      <c r="X222" s="75" t="s">
        <v>604</v>
      </c>
      <c r="Y222" s="72">
        <v>1</v>
      </c>
      <c r="Z222" s="72">
        <v>1</v>
      </c>
      <c r="AA222" s="72">
        <v>1</v>
      </c>
      <c r="AB222" s="48">
        <f>IF(V222="TIPO I",'BASE DE LIQUIDACION 2025'!$B$3,'BASE DE LIQUIDACION 2025'!$B$4)</f>
        <v>11251.22416</v>
      </c>
      <c r="AC222" s="48">
        <f>IF(V222="TIPO I",'BASE DE LIQUIDACION 2025'!$C$3,'BASE DE LIQUIDACION 2025'!$C$4)</f>
        <v>126317.12212</v>
      </c>
      <c r="AD222" s="48">
        <f>IF(V222="TIPO I",'BASE DE LIQUIDACION 2025'!$D$3,'BASE DE LIQUIDACION 2025'!$D$4)</f>
        <v>57411.974240000003</v>
      </c>
      <c r="AE222" s="52">
        <f t="shared" si="5"/>
        <v>194980.32052000001</v>
      </c>
    </row>
    <row r="223" spans="1:31" ht="12.75" customHeight="1">
      <c r="A223" s="72" t="s">
        <v>711</v>
      </c>
      <c r="B223" s="44" t="str">
        <f>VLOOKUP(A223,'CENTRO DE COSTOS'!A:D,4,FALSE)</f>
        <v>JOSE MAURICIO HERNANDEZ ROJAS</v>
      </c>
      <c r="C223" s="44" t="str">
        <f>VLOOKUP(A223,'CENTRO DE COSTOS'!A:D,2,FALSE)</f>
        <v>0004-0001</v>
      </c>
      <c r="D223" s="72">
        <v>13001</v>
      </c>
      <c r="E223" s="73" t="s">
        <v>1337</v>
      </c>
      <c r="F223" s="74">
        <v>81705</v>
      </c>
      <c r="G223" s="75" t="s">
        <v>135</v>
      </c>
      <c r="H223" s="76" t="s">
        <v>235</v>
      </c>
      <c r="I223" s="74" t="s">
        <v>713</v>
      </c>
      <c r="J223" s="77" t="s">
        <v>711</v>
      </c>
      <c r="K223" s="74" t="s">
        <v>1338</v>
      </c>
      <c r="L223" s="78" t="s">
        <v>140</v>
      </c>
      <c r="M223" s="79" t="s">
        <v>1339</v>
      </c>
      <c r="N223" s="80">
        <v>45929</v>
      </c>
      <c r="O223" s="81">
        <v>45930</v>
      </c>
      <c r="P223" s="82" t="s">
        <v>239</v>
      </c>
      <c r="Q223" s="83" t="s">
        <v>240</v>
      </c>
      <c r="R223" s="72" t="s">
        <v>143</v>
      </c>
      <c r="S223" s="84" t="s">
        <v>1335</v>
      </c>
      <c r="U223" s="72" t="s">
        <v>1340</v>
      </c>
      <c r="V223" s="77" t="s">
        <v>55</v>
      </c>
      <c r="W223" s="85" t="s">
        <v>159</v>
      </c>
      <c r="X223" s="75" t="s">
        <v>1326</v>
      </c>
      <c r="Y223" s="72">
        <v>1</v>
      </c>
      <c r="Z223" s="72">
        <v>1</v>
      </c>
      <c r="AA223" s="72">
        <v>1</v>
      </c>
      <c r="AB223" s="48">
        <f>IF(V223="TIPO I",'BASE DE LIQUIDACION 2025'!$B$3,'BASE DE LIQUIDACION 2025'!$B$4)</f>
        <v>11251.22416</v>
      </c>
      <c r="AC223" s="48">
        <f>IF(V223="TIPO I",'BASE DE LIQUIDACION 2025'!$C$3,'BASE DE LIQUIDACION 2025'!$C$4)</f>
        <v>126317.12212</v>
      </c>
      <c r="AD223" s="48">
        <f>IF(V223="TIPO I",'BASE DE LIQUIDACION 2025'!$D$3,'BASE DE LIQUIDACION 2025'!$D$4)</f>
        <v>57411.974240000003</v>
      </c>
      <c r="AE223" s="52">
        <f t="shared" si="5"/>
        <v>194980.32052000001</v>
      </c>
    </row>
    <row r="224" spans="1:31" ht="12.75" customHeight="1">
      <c r="A224" s="72" t="s">
        <v>133</v>
      </c>
      <c r="B224" s="44" t="str">
        <f>VLOOKUP(A224,'CENTRO DE COSTOS'!A:D,4,FALSE)</f>
        <v>DIEGO FERNANDO HENAO CARDONA</v>
      </c>
      <c r="C224" s="44" t="str">
        <f>VLOOKUP(A224,'CENTRO DE COSTOS'!A:D,2,FALSE)</f>
        <v>0004-0003</v>
      </c>
      <c r="D224" s="72">
        <v>52001</v>
      </c>
      <c r="E224" s="73" t="s">
        <v>1341</v>
      </c>
      <c r="F224" s="74">
        <v>81712</v>
      </c>
      <c r="G224" s="75" t="s">
        <v>135</v>
      </c>
      <c r="H224" s="76" t="s">
        <v>235</v>
      </c>
      <c r="I224" s="74" t="s">
        <v>137</v>
      </c>
      <c r="J224" s="77" t="s">
        <v>133</v>
      </c>
      <c r="K224" s="74" t="s">
        <v>1342</v>
      </c>
      <c r="L224" s="78" t="s">
        <v>140</v>
      </c>
      <c r="M224" s="79" t="s">
        <v>1343</v>
      </c>
      <c r="N224" s="80">
        <v>45929</v>
      </c>
      <c r="O224" s="81">
        <v>45930</v>
      </c>
      <c r="P224" s="82" t="s">
        <v>239</v>
      </c>
      <c r="Q224" s="83" t="s">
        <v>240</v>
      </c>
      <c r="R224" s="72" t="s">
        <v>143</v>
      </c>
      <c r="S224" s="84" t="s">
        <v>1335</v>
      </c>
      <c r="U224" s="72" t="s">
        <v>1344</v>
      </c>
      <c r="V224" s="77" t="s">
        <v>55</v>
      </c>
      <c r="W224" s="85" t="s">
        <v>159</v>
      </c>
      <c r="X224" s="75" t="s">
        <v>884</v>
      </c>
      <c r="Y224" s="72">
        <v>1</v>
      </c>
      <c r="Z224" s="72">
        <v>1</v>
      </c>
      <c r="AA224" s="72">
        <v>1</v>
      </c>
      <c r="AB224" s="48">
        <f>IF(V224="TIPO I",'BASE DE LIQUIDACION 2025'!$B$3,'BASE DE LIQUIDACION 2025'!$B$4)</f>
        <v>11251.22416</v>
      </c>
      <c r="AC224" s="48">
        <f>IF(V224="TIPO I",'BASE DE LIQUIDACION 2025'!$C$3,'BASE DE LIQUIDACION 2025'!$C$4)</f>
        <v>126317.12212</v>
      </c>
      <c r="AD224" s="48">
        <f>IF(V224="TIPO I",'BASE DE LIQUIDACION 2025'!$D$3,'BASE DE LIQUIDACION 2025'!$D$4)</f>
        <v>57411.974240000003</v>
      </c>
      <c r="AE224" s="52">
        <f t="shared" si="5"/>
        <v>194980.32052000001</v>
      </c>
    </row>
    <row r="225" spans="1:31" ht="12.75" customHeight="1">
      <c r="A225" s="72" t="s">
        <v>133</v>
      </c>
      <c r="B225" s="44" t="str">
        <f>VLOOKUP(A225,'CENTRO DE COSTOS'!A:D,4,FALSE)</f>
        <v>DIEGO FERNANDO HENAO CARDONA</v>
      </c>
      <c r="C225" s="44" t="str">
        <f>VLOOKUP(A225,'CENTRO DE COSTOS'!A:D,2,FALSE)</f>
        <v>0004-0003</v>
      </c>
      <c r="D225" s="72">
        <v>52001</v>
      </c>
      <c r="E225" s="73" t="s">
        <v>1345</v>
      </c>
      <c r="F225" s="74">
        <v>81711</v>
      </c>
      <c r="G225" s="75" t="s">
        <v>135</v>
      </c>
      <c r="H225" s="76" t="s">
        <v>235</v>
      </c>
      <c r="I225" s="74" t="s">
        <v>137</v>
      </c>
      <c r="J225" s="77" t="s">
        <v>133</v>
      </c>
      <c r="K225" s="74" t="s">
        <v>1346</v>
      </c>
      <c r="L225" s="78" t="s">
        <v>140</v>
      </c>
      <c r="M225" s="79" t="s">
        <v>1347</v>
      </c>
      <c r="N225" s="80">
        <v>45929</v>
      </c>
      <c r="O225" s="81">
        <v>45930</v>
      </c>
      <c r="P225" s="82" t="s">
        <v>239</v>
      </c>
      <c r="Q225" s="83" t="s">
        <v>240</v>
      </c>
      <c r="R225" s="72" t="s">
        <v>143</v>
      </c>
      <c r="S225" s="84" t="s">
        <v>1335</v>
      </c>
      <c r="U225" s="72" t="s">
        <v>1348</v>
      </c>
      <c r="V225" s="77" t="s">
        <v>55</v>
      </c>
      <c r="W225" s="85" t="s">
        <v>159</v>
      </c>
      <c r="X225" s="75" t="s">
        <v>884</v>
      </c>
      <c r="Y225" s="72">
        <v>1</v>
      </c>
      <c r="Z225" s="72">
        <v>1</v>
      </c>
      <c r="AA225" s="72">
        <v>1</v>
      </c>
      <c r="AB225" s="48">
        <f>IF(V225="TIPO I",'BASE DE LIQUIDACION 2025'!$B$3,'BASE DE LIQUIDACION 2025'!$B$4)</f>
        <v>11251.22416</v>
      </c>
      <c r="AC225" s="48">
        <f>IF(V225="TIPO I",'BASE DE LIQUIDACION 2025'!$C$3,'BASE DE LIQUIDACION 2025'!$C$4)</f>
        <v>126317.12212</v>
      </c>
      <c r="AD225" s="48">
        <f>IF(V225="TIPO I",'BASE DE LIQUIDACION 2025'!$D$3,'BASE DE LIQUIDACION 2025'!$D$4)</f>
        <v>57411.974240000003</v>
      </c>
      <c r="AE225" s="52">
        <f t="shared" si="5"/>
        <v>194980.32052000001</v>
      </c>
    </row>
    <row r="226" spans="1:31" ht="12.75" customHeight="1">
      <c r="A226" s="72" t="s">
        <v>309</v>
      </c>
      <c r="B226" s="44" t="str">
        <f>VLOOKUP(A226,'CENTRO DE COSTOS'!A:D,4,FALSE)</f>
        <v>MIGUEL JULIÁN HERNÁNDEZ GUARÍN</v>
      </c>
      <c r="C226" s="44" t="str">
        <f>VLOOKUP(A226,'CENTRO DE COSTOS'!A:D,2,FALSE)</f>
        <v>0004-0008</v>
      </c>
      <c r="D226" s="72">
        <v>54001</v>
      </c>
      <c r="E226" s="73" t="s">
        <v>1349</v>
      </c>
      <c r="F226" s="74">
        <v>81707</v>
      </c>
      <c r="G226" s="75" t="s">
        <v>135</v>
      </c>
      <c r="H226" s="76" t="s">
        <v>235</v>
      </c>
      <c r="I226" s="74" t="s">
        <v>311</v>
      </c>
      <c r="J226" s="77" t="s">
        <v>309</v>
      </c>
      <c r="K226" s="74" t="s">
        <v>1350</v>
      </c>
      <c r="L226" s="78" t="s">
        <v>140</v>
      </c>
      <c r="M226" s="79" t="s">
        <v>1351</v>
      </c>
      <c r="N226" s="80">
        <v>45929</v>
      </c>
      <c r="O226" s="81">
        <v>45930</v>
      </c>
      <c r="P226" s="82" t="s">
        <v>239</v>
      </c>
      <c r="Q226" s="83" t="s">
        <v>240</v>
      </c>
      <c r="R226" s="72" t="s">
        <v>143</v>
      </c>
      <c r="S226" s="84" t="s">
        <v>1335</v>
      </c>
      <c r="U226" s="72" t="s">
        <v>1352</v>
      </c>
      <c r="V226" s="77" t="s">
        <v>55</v>
      </c>
      <c r="W226" s="85" t="s">
        <v>159</v>
      </c>
      <c r="X226" s="75" t="s">
        <v>484</v>
      </c>
      <c r="Y226" s="72">
        <v>1</v>
      </c>
      <c r="Z226" s="72">
        <v>1</v>
      </c>
      <c r="AA226" s="72">
        <v>1</v>
      </c>
      <c r="AB226" s="48">
        <f>IF(V226="TIPO I",'BASE DE LIQUIDACION 2025'!$B$3,'BASE DE LIQUIDACION 2025'!$B$4)</f>
        <v>11251.22416</v>
      </c>
      <c r="AC226" s="48">
        <f>IF(V226="TIPO I",'BASE DE LIQUIDACION 2025'!$C$3,'BASE DE LIQUIDACION 2025'!$C$4)</f>
        <v>126317.12212</v>
      </c>
      <c r="AD226" s="48">
        <f>IF(V226="TIPO I",'BASE DE LIQUIDACION 2025'!$D$3,'BASE DE LIQUIDACION 2025'!$D$4)</f>
        <v>57411.974240000003</v>
      </c>
      <c r="AE226" s="52">
        <f t="shared" si="5"/>
        <v>194980.32052000001</v>
      </c>
    </row>
    <row r="227" spans="1:31" ht="12.75" customHeight="1">
      <c r="A227" s="72" t="s">
        <v>309</v>
      </c>
      <c r="B227" s="44" t="str">
        <f>VLOOKUP(A227,'CENTRO DE COSTOS'!A:D,4,FALSE)</f>
        <v>MIGUEL JULIÁN HERNÁNDEZ GUARÍN</v>
      </c>
      <c r="C227" s="44" t="str">
        <f>VLOOKUP(A227,'CENTRO DE COSTOS'!A:D,2,FALSE)</f>
        <v>0004-0008</v>
      </c>
      <c r="D227" s="72">
        <v>54874</v>
      </c>
      <c r="E227" s="73" t="s">
        <v>1353</v>
      </c>
      <c r="F227" s="74">
        <v>81715</v>
      </c>
      <c r="G227" s="75" t="s">
        <v>135</v>
      </c>
      <c r="H227" s="76" t="s">
        <v>235</v>
      </c>
      <c r="I227" s="74" t="s">
        <v>311</v>
      </c>
      <c r="J227" s="77" t="s">
        <v>336</v>
      </c>
      <c r="K227" s="74" t="s">
        <v>1354</v>
      </c>
      <c r="L227" s="78" t="s">
        <v>140</v>
      </c>
      <c r="M227" s="79" t="s">
        <v>1355</v>
      </c>
      <c r="N227" s="80">
        <v>45929</v>
      </c>
      <c r="O227" s="81">
        <v>45930</v>
      </c>
      <c r="P227" s="82" t="s">
        <v>239</v>
      </c>
      <c r="Q227" s="83" t="s">
        <v>240</v>
      </c>
      <c r="R227" s="72" t="s">
        <v>143</v>
      </c>
      <c r="S227" s="84" t="s">
        <v>1335</v>
      </c>
      <c r="U227" s="72" t="s">
        <v>1356</v>
      </c>
      <c r="V227" s="77" t="s">
        <v>55</v>
      </c>
      <c r="W227" s="85" t="s">
        <v>159</v>
      </c>
      <c r="X227" s="75" t="s">
        <v>341</v>
      </c>
      <c r="Y227" s="72">
        <v>1</v>
      </c>
      <c r="Z227" s="72">
        <v>1</v>
      </c>
      <c r="AA227" s="72">
        <v>1</v>
      </c>
      <c r="AB227" s="48">
        <f>IF(V227="TIPO I",'BASE DE LIQUIDACION 2025'!$B$3,'BASE DE LIQUIDACION 2025'!$B$4)</f>
        <v>11251.22416</v>
      </c>
      <c r="AC227" s="48">
        <f>IF(V227="TIPO I",'BASE DE LIQUIDACION 2025'!$C$3,'BASE DE LIQUIDACION 2025'!$C$4)</f>
        <v>126317.12212</v>
      </c>
      <c r="AD227" s="48">
        <f>IF(V227="TIPO I",'BASE DE LIQUIDACION 2025'!$D$3,'BASE DE LIQUIDACION 2025'!$D$4)</f>
        <v>57411.974240000003</v>
      </c>
      <c r="AE227" s="52">
        <f t="shared" si="5"/>
        <v>194980.32052000001</v>
      </c>
    </row>
    <row r="228" spans="1:31" ht="12.75" customHeight="1">
      <c r="A228" s="73" t="s">
        <v>219</v>
      </c>
      <c r="B228" s="44" t="str">
        <f>VLOOKUP(A228,'CENTRO DE COSTOS'!A:D,4,FALSE)</f>
        <v>MIGUEL JULIÁN HERNÁNDEZ GUARÍN</v>
      </c>
      <c r="C228" s="44" t="str">
        <f>VLOOKUP(A228,'CENTRO DE COSTOS'!A:D,2,FALSE)</f>
        <v>0004-0008</v>
      </c>
      <c r="D228" s="73">
        <v>68001</v>
      </c>
      <c r="E228" s="73" t="s">
        <v>1357</v>
      </c>
      <c r="F228" s="84">
        <v>81703</v>
      </c>
      <c r="G228" s="89" t="s">
        <v>135</v>
      </c>
      <c r="H228" s="90" t="s">
        <v>235</v>
      </c>
      <c r="I228" s="84" t="s">
        <v>221</v>
      </c>
      <c r="J228" s="83" t="s">
        <v>219</v>
      </c>
      <c r="K228" s="84" t="s">
        <v>1358</v>
      </c>
      <c r="L228" s="91" t="s">
        <v>140</v>
      </c>
      <c r="M228" s="79" t="s">
        <v>1359</v>
      </c>
      <c r="N228" s="92">
        <v>45929</v>
      </c>
      <c r="O228" s="93">
        <v>45930</v>
      </c>
      <c r="P228" s="82" t="s">
        <v>239</v>
      </c>
      <c r="Q228" s="83" t="s">
        <v>240</v>
      </c>
      <c r="R228" s="73" t="s">
        <v>143</v>
      </c>
      <c r="S228" s="84" t="s">
        <v>1335</v>
      </c>
      <c r="U228" s="73" t="s">
        <v>1360</v>
      </c>
      <c r="V228" s="83" t="s">
        <v>55</v>
      </c>
      <c r="W228" s="87" t="s">
        <v>159</v>
      </c>
      <c r="X228" s="89" t="s">
        <v>498</v>
      </c>
      <c r="Y228" s="73">
        <v>1</v>
      </c>
      <c r="Z228" s="73">
        <v>1</v>
      </c>
      <c r="AA228" s="73">
        <v>1</v>
      </c>
      <c r="AB228" s="48">
        <f>IF(V228="TIPO I",'BASE DE LIQUIDACION 2025'!$B$3,'BASE DE LIQUIDACION 2025'!$B$4)</f>
        <v>11251.22416</v>
      </c>
      <c r="AC228" s="48">
        <f>IF(V228="TIPO I",'BASE DE LIQUIDACION 2025'!$C$3,'BASE DE LIQUIDACION 2025'!$C$4)</f>
        <v>126317.12212</v>
      </c>
      <c r="AD228" s="48">
        <f>IF(V228="TIPO I",'BASE DE LIQUIDACION 2025'!$D$3,'BASE DE LIQUIDACION 2025'!$D$4)</f>
        <v>57411.974240000003</v>
      </c>
      <c r="AE228" s="52">
        <f t="shared" si="5"/>
        <v>194980.32052000001</v>
      </c>
    </row>
    <row r="229" spans="1:31" ht="12.75" customHeight="1">
      <c r="AE229" s="71">
        <f>SUM(AE2:AE228)</f>
        <v>48205502.975919835</v>
      </c>
    </row>
  </sheetData>
  <conditionalFormatting sqref="E201:E1048576">
    <cfRule type="duplicateValues" dxfId="7" priority="490"/>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B0F70A"/>
  </sheetPr>
  <dimension ref="A1:AF111"/>
  <sheetViews>
    <sheetView topLeftCell="G1" zoomScale="106" zoomScaleNormal="106" workbookViewId="0">
      <pane ySplit="1" topLeftCell="Z31" activePane="bottomLeft" state="frozen"/>
      <selection pane="bottomLeft" activeCell="AE121" sqref="AE121"/>
      <selection activeCell="J1" sqref="J1"/>
    </sheetView>
  </sheetViews>
  <sheetFormatPr defaultColWidth="11.42578125" defaultRowHeight="14.45"/>
  <cols>
    <col min="1" max="1" width="15.42578125" style="58" bestFit="1" customWidth="1"/>
    <col min="2" max="2" width="13.28515625" style="58" customWidth="1"/>
    <col min="3" max="4" width="11.85546875" style="58" customWidth="1"/>
    <col min="5" max="6" width="11.5703125" style="58" bestFit="1" customWidth="1"/>
    <col min="7" max="12" width="11.42578125" style="58"/>
    <col min="13" max="13" width="17" style="58" bestFit="1" customWidth="1"/>
    <col min="14" max="14" width="17.42578125" style="58" bestFit="1" customWidth="1"/>
    <col min="15" max="19" width="11.42578125" style="58"/>
    <col min="20" max="20" width="12.7109375" style="58" bestFit="1" customWidth="1"/>
    <col min="21" max="25" width="11.42578125" style="58"/>
    <col min="26" max="26" width="14.7109375" style="58" customWidth="1"/>
    <col min="27" max="27" width="15.140625" style="58" customWidth="1"/>
    <col min="28" max="29" width="11.42578125" style="59" customWidth="1"/>
    <col min="30" max="31" width="11.5703125" style="58" bestFit="1" customWidth="1"/>
    <col min="32" max="32" width="12.7109375" style="58" bestFit="1" customWidth="1"/>
    <col min="33" max="16384" width="11.42578125" style="58"/>
  </cols>
  <sheetData>
    <row r="1" spans="1:32" s="68" customFormat="1" ht="38.25" customHeight="1">
      <c r="A1" s="65" t="s">
        <v>104</v>
      </c>
      <c r="B1" s="65" t="s">
        <v>78</v>
      </c>
      <c r="C1" s="65" t="s">
        <v>79</v>
      </c>
      <c r="D1" s="65" t="s">
        <v>105</v>
      </c>
      <c r="E1" s="65" t="s">
        <v>106</v>
      </c>
      <c r="F1" s="65" t="s">
        <v>107</v>
      </c>
      <c r="G1" s="43" t="s">
        <v>108</v>
      </c>
      <c r="H1" s="65" t="s">
        <v>110</v>
      </c>
      <c r="I1" s="65" t="s">
        <v>111</v>
      </c>
      <c r="J1" s="65" t="s">
        <v>112</v>
      </c>
      <c r="K1" s="65" t="s">
        <v>113</v>
      </c>
      <c r="L1" s="65" t="s">
        <v>114</v>
      </c>
      <c r="M1" s="65" t="s">
        <v>1361</v>
      </c>
      <c r="N1" s="65" t="s">
        <v>1362</v>
      </c>
      <c r="O1" s="53" t="s">
        <v>1363</v>
      </c>
      <c r="P1" s="65" t="s">
        <v>1364</v>
      </c>
      <c r="Q1" s="65" t="s">
        <v>1365</v>
      </c>
      <c r="R1" s="46" t="s">
        <v>117</v>
      </c>
      <c r="S1" s="46" t="s">
        <v>118</v>
      </c>
      <c r="T1" s="47" t="s">
        <v>119</v>
      </c>
      <c r="U1" s="65" t="s">
        <v>1366</v>
      </c>
      <c r="V1" s="65" t="s">
        <v>1367</v>
      </c>
      <c r="W1" s="65" t="s">
        <v>121</v>
      </c>
      <c r="X1" s="65" t="s">
        <v>1368</v>
      </c>
      <c r="Y1" s="65" t="s">
        <v>123</v>
      </c>
      <c r="Z1" s="65" t="s">
        <v>124</v>
      </c>
      <c r="AA1" s="47" t="s">
        <v>125</v>
      </c>
      <c r="AB1" s="65" t="s">
        <v>1369</v>
      </c>
      <c r="AC1" s="65" t="s">
        <v>1370</v>
      </c>
      <c r="AD1" s="65" t="s">
        <v>1371</v>
      </c>
      <c r="AE1" s="65" t="s">
        <v>1372</v>
      </c>
      <c r="AF1" s="65" t="s">
        <v>132</v>
      </c>
    </row>
    <row r="2" spans="1:32" s="56" customFormat="1" ht="13.15" hidden="1">
      <c r="A2" s="69" t="s">
        <v>219</v>
      </c>
      <c r="B2" s="66" t="str">
        <f>VLOOKUP(A2,'CENTRO DE COSTOS'!A:D,4,FALSE)</f>
        <v>MIGUEL JULIÁN HERNÁNDEZ GUARÍN</v>
      </c>
      <c r="C2" s="66" t="str">
        <f>VLOOKUP(A2,'CENTRO DE COSTOS'!A:D,2,FALSE)</f>
        <v>0004-0008</v>
      </c>
      <c r="D2" s="69">
        <v>68001</v>
      </c>
      <c r="E2" s="69">
        <v>2811716</v>
      </c>
      <c r="F2" s="69">
        <v>38309</v>
      </c>
      <c r="G2" s="69" t="s">
        <v>1373</v>
      </c>
      <c r="H2" s="69" t="s">
        <v>221</v>
      </c>
      <c r="I2" s="69" t="s">
        <v>219</v>
      </c>
      <c r="J2" s="69" t="s">
        <v>1374</v>
      </c>
      <c r="K2" s="69" t="s">
        <v>140</v>
      </c>
      <c r="L2" s="69" t="s">
        <v>1375</v>
      </c>
      <c r="M2" s="70">
        <v>45930.333333333343</v>
      </c>
      <c r="N2" s="70">
        <v>45930.656944444447</v>
      </c>
      <c r="O2" s="66"/>
      <c r="P2" s="69" t="s">
        <v>1376</v>
      </c>
      <c r="Q2" s="69" t="s">
        <v>1377</v>
      </c>
      <c r="R2" s="69" t="s">
        <v>142</v>
      </c>
      <c r="S2" s="69" t="s">
        <v>1378</v>
      </c>
      <c r="T2" s="69" t="s">
        <v>1379</v>
      </c>
      <c r="U2" s="69" t="s">
        <v>1380</v>
      </c>
      <c r="V2" s="69" t="s">
        <v>1381</v>
      </c>
      <c r="W2" s="69" t="s">
        <v>145</v>
      </c>
      <c r="X2" s="66">
        <v>0</v>
      </c>
      <c r="Y2" s="69" t="s">
        <v>55</v>
      </c>
      <c r="Z2" s="67" t="s">
        <v>159</v>
      </c>
      <c r="AA2" s="69" t="s">
        <v>498</v>
      </c>
      <c r="AB2" s="69">
        <v>1</v>
      </c>
      <c r="AC2" s="66">
        <v>0</v>
      </c>
      <c r="AD2" s="54">
        <f>IF(OR(W2="SOPORTE_TELEFÓNICO",W2="ENVÍO"),0,IF(Y2="TIPO I",'BASE DE LIQUIDACION 2025'!$I$4,IF(Y2="TIPO II",'BASE DE LIQUIDACION 2025'!$I$5,IF(Y2="TIPO III",'BASE DE LIQUIDACION 2025'!$I$6,IF(Y2="TIPO IV",'BASE DE LIQUIDACION 2025'!$I$7,'BASE DE LIQUIDACION 2025'!$I$8)))))</f>
        <v>96001.196280000004</v>
      </c>
      <c r="AE2" s="54">
        <f>IF(OR(W2="SOPORTE_TELEFÓNICO",W2="ENVÍO"),0,IF(Y2="TIPO I",'BASE DE LIQUIDACION 2025'!$J$4,IF(Y2="TIPO II",'BASE DE LIQUIDACION 2025'!$J$5,IF(Y2="TIPO III",'BASE DE LIQUIDACION 2025'!$J$6,IF(Y2="TIPO IV",'BASE DE LIQUIDACION 2025'!$J$7,'BASE DE LIQUIDACION 2025'!$J$8)))))</f>
        <v>57411.974240000003</v>
      </c>
      <c r="AF2" s="54">
        <f>IF(W2="SOPORTE_TELEFÓNICO",'BASE DE LIQUIDACION 2025'!$L$4,IF(W2="ENVÍO",'BASE DE LIQUIDACION 2025'!$K$4,AD2*AB2+AE2*AC2))</f>
        <v>96001.196280000004</v>
      </c>
    </row>
    <row r="3" spans="1:32" s="56" customFormat="1" ht="13.15" hidden="1">
      <c r="A3" s="69" t="s">
        <v>432</v>
      </c>
      <c r="B3" s="66" t="str">
        <f>VLOOKUP(A3,'CENTRO DE COSTOS'!A:D,4,FALSE)</f>
        <v>WILLIAM ASDRUBAL ROZO ROZO</v>
      </c>
      <c r="C3" s="66" t="str">
        <f>VLOOKUP(A3,'CENTRO DE COSTOS'!A:D,2,FALSE)</f>
        <v>0004-0004</v>
      </c>
      <c r="D3" s="69">
        <v>11001</v>
      </c>
      <c r="E3" s="69">
        <v>2804178</v>
      </c>
      <c r="F3" s="69">
        <v>50211</v>
      </c>
      <c r="G3" s="69" t="s">
        <v>1373</v>
      </c>
      <c r="H3" s="69" t="s">
        <v>434</v>
      </c>
      <c r="I3" s="69" t="s">
        <v>432</v>
      </c>
      <c r="J3" s="69" t="s">
        <v>1382</v>
      </c>
      <c r="K3" s="69" t="s">
        <v>140</v>
      </c>
      <c r="L3" s="69" t="s">
        <v>1383</v>
      </c>
      <c r="M3" s="70">
        <v>45929.333333333343</v>
      </c>
      <c r="N3" s="70">
        <v>45930.660416666673</v>
      </c>
      <c r="O3" s="66"/>
      <c r="P3" s="69" t="s">
        <v>1376</v>
      </c>
      <c r="Q3" s="69" t="s">
        <v>1377</v>
      </c>
      <c r="R3" s="69" t="s">
        <v>142</v>
      </c>
      <c r="S3" s="69" t="s">
        <v>1378</v>
      </c>
      <c r="T3" s="69" t="s">
        <v>1379</v>
      </c>
      <c r="U3" s="69" t="s">
        <v>1380</v>
      </c>
      <c r="V3" s="69" t="s">
        <v>1384</v>
      </c>
      <c r="W3" s="69" t="s">
        <v>145</v>
      </c>
      <c r="X3" s="66">
        <v>0</v>
      </c>
      <c r="Y3" s="69" t="s">
        <v>55</v>
      </c>
      <c r="Z3" s="67" t="s">
        <v>159</v>
      </c>
      <c r="AA3" s="69" t="s">
        <v>1385</v>
      </c>
      <c r="AB3" s="69">
        <v>1</v>
      </c>
      <c r="AC3" s="66">
        <v>0</v>
      </c>
      <c r="AD3" s="54">
        <f>IF(OR(W3="SOPORTE_TELEFÓNICO",W3="ENVÍO"),0,IF(Y3="TIPO I",'BASE DE LIQUIDACION 2025'!$I$4,IF(Y3="TIPO II",'BASE DE LIQUIDACION 2025'!$I$5,IF(Y3="TIPO III",'BASE DE LIQUIDACION 2025'!$I$6,IF(Y3="TIPO IV",'BASE DE LIQUIDACION 2025'!$I$7,'BASE DE LIQUIDACION 2025'!$I$8)))))</f>
        <v>96001.196280000004</v>
      </c>
      <c r="AE3" s="54">
        <f>IF(OR(W3="SOPORTE_TELEFÓNICO",W3="ENVÍO"),0,IF(Y3="TIPO I",'BASE DE LIQUIDACION 2025'!$J$4,IF(Y3="TIPO II",'BASE DE LIQUIDACION 2025'!$J$5,IF(Y3="TIPO III",'BASE DE LIQUIDACION 2025'!$J$6,IF(Y3="TIPO IV",'BASE DE LIQUIDACION 2025'!$J$7,'BASE DE LIQUIDACION 2025'!$J$8)))))</f>
        <v>57411.974240000003</v>
      </c>
      <c r="AF3" s="54">
        <f>IF(W3="SOPORTE_TELEFÓNICO",'BASE DE LIQUIDACION 2025'!$L$4,IF(W3="ENVÍO",'BASE DE LIQUIDACION 2025'!$K$4,AD3*AB3+AE3*AC3))</f>
        <v>96001.196280000004</v>
      </c>
    </row>
    <row r="4" spans="1:32" s="56" customFormat="1" ht="13.15" hidden="1">
      <c r="A4" s="69" t="s">
        <v>219</v>
      </c>
      <c r="B4" s="66" t="str">
        <f>VLOOKUP(A4,'CENTRO DE COSTOS'!A:D,4,FALSE)</f>
        <v>MIGUEL JULIÁN HERNÁNDEZ GUARÍN</v>
      </c>
      <c r="C4" s="66" t="str">
        <f>VLOOKUP(A4,'CENTRO DE COSTOS'!A:D,2,FALSE)</f>
        <v>0004-0008</v>
      </c>
      <c r="D4" s="69">
        <v>68001</v>
      </c>
      <c r="E4" s="69">
        <v>2803238</v>
      </c>
      <c r="F4" s="69">
        <v>56173</v>
      </c>
      <c r="G4" s="69" t="s">
        <v>1373</v>
      </c>
      <c r="H4" s="69" t="s">
        <v>221</v>
      </c>
      <c r="I4" s="69" t="s">
        <v>219</v>
      </c>
      <c r="J4" s="69" t="s">
        <v>1386</v>
      </c>
      <c r="K4" s="69" t="s">
        <v>140</v>
      </c>
      <c r="L4" s="69" t="s">
        <v>1387</v>
      </c>
      <c r="M4" s="70">
        <v>45929.333333333343</v>
      </c>
      <c r="N4" s="70">
        <v>45929.525000000001</v>
      </c>
      <c r="O4" s="66"/>
      <c r="P4" s="69" t="s">
        <v>1376</v>
      </c>
      <c r="Q4" s="69" t="s">
        <v>1377</v>
      </c>
      <c r="R4" s="69" t="s">
        <v>239</v>
      </c>
      <c r="S4" s="69" t="s">
        <v>240</v>
      </c>
      <c r="T4" s="69" t="s">
        <v>1379</v>
      </c>
      <c r="U4" s="69" t="s">
        <v>1380</v>
      </c>
      <c r="V4" s="69" t="s">
        <v>1388</v>
      </c>
      <c r="W4" s="69" t="s">
        <v>145</v>
      </c>
      <c r="X4" s="66">
        <v>0</v>
      </c>
      <c r="Y4" s="69" t="s">
        <v>55</v>
      </c>
      <c r="Z4" s="67" t="s">
        <v>159</v>
      </c>
      <c r="AA4" s="69" t="s">
        <v>505</v>
      </c>
      <c r="AB4" s="69">
        <v>1</v>
      </c>
      <c r="AC4" s="66">
        <v>0</v>
      </c>
      <c r="AD4" s="54">
        <f>IF(OR(W4="SOPORTE_TELEFÓNICO",W4="ENVÍO"),0,IF(Y4="TIPO I",'BASE DE LIQUIDACION 2025'!$I$4,IF(Y4="TIPO II",'BASE DE LIQUIDACION 2025'!$I$5,IF(Y4="TIPO III",'BASE DE LIQUIDACION 2025'!$I$6,IF(Y4="TIPO IV",'BASE DE LIQUIDACION 2025'!$I$7,'BASE DE LIQUIDACION 2025'!$I$8)))))</f>
        <v>96001.196280000004</v>
      </c>
      <c r="AE4" s="54">
        <f>IF(OR(W4="SOPORTE_TELEFÓNICO",W4="ENVÍO"),0,IF(Y4="TIPO I",'BASE DE LIQUIDACION 2025'!$J$4,IF(Y4="TIPO II",'BASE DE LIQUIDACION 2025'!$J$5,IF(Y4="TIPO III",'BASE DE LIQUIDACION 2025'!$J$6,IF(Y4="TIPO IV",'BASE DE LIQUIDACION 2025'!$J$7,'BASE DE LIQUIDACION 2025'!$J$8)))))</f>
        <v>57411.974240000003</v>
      </c>
      <c r="AF4" s="54">
        <f>IF(W4="SOPORTE_TELEFÓNICO",'BASE DE LIQUIDACION 2025'!$L$4,IF(W4="ENVÍO",'BASE DE LIQUIDACION 2025'!$K$4,AD4*AB4+AE4*AC4))</f>
        <v>96001.196280000004</v>
      </c>
    </row>
    <row r="5" spans="1:32" s="56" customFormat="1" ht="13.15" hidden="1">
      <c r="A5" s="69" t="s">
        <v>168</v>
      </c>
      <c r="B5" s="66" t="str">
        <f>VLOOKUP(A5,'CENTRO DE COSTOS'!A:D,4,FALSE)</f>
        <v>DIEGO FERNANDO HENAO CARDONA</v>
      </c>
      <c r="C5" s="66" t="str">
        <f>VLOOKUP(A5,'CENTRO DE COSTOS'!A:D,2,FALSE)</f>
        <v>0004-0002</v>
      </c>
      <c r="D5" s="69">
        <v>66001</v>
      </c>
      <c r="E5" s="69">
        <v>2803049</v>
      </c>
      <c r="F5" s="69">
        <v>81149</v>
      </c>
      <c r="G5" s="69" t="s">
        <v>1373</v>
      </c>
      <c r="H5" s="69" t="s">
        <v>170</v>
      </c>
      <c r="I5" s="69" t="s">
        <v>168</v>
      </c>
      <c r="J5" s="69" t="s">
        <v>1389</v>
      </c>
      <c r="K5" s="69" t="s">
        <v>140</v>
      </c>
      <c r="L5" s="69" t="s">
        <v>1390</v>
      </c>
      <c r="M5" s="70">
        <v>45927.486805555563</v>
      </c>
      <c r="N5" s="70">
        <v>45929.522916666669</v>
      </c>
      <c r="O5" s="66"/>
      <c r="P5" s="69" t="s">
        <v>1376</v>
      </c>
      <c r="Q5" s="69" t="s">
        <v>1377</v>
      </c>
      <c r="R5" s="69" t="s">
        <v>142</v>
      </c>
      <c r="S5" s="69" t="s">
        <v>142</v>
      </c>
      <c r="T5" s="69" t="s">
        <v>1379</v>
      </c>
      <c r="U5" s="69" t="s">
        <v>1380</v>
      </c>
      <c r="V5" s="69" t="s">
        <v>1391</v>
      </c>
      <c r="W5" s="69" t="s">
        <v>145</v>
      </c>
      <c r="X5" s="66">
        <v>0</v>
      </c>
      <c r="Y5" s="69" t="s">
        <v>55</v>
      </c>
      <c r="Z5" s="67" t="s">
        <v>159</v>
      </c>
      <c r="AA5" s="69" t="s">
        <v>1392</v>
      </c>
      <c r="AB5" s="69">
        <v>1</v>
      </c>
      <c r="AC5" s="66">
        <v>0</v>
      </c>
      <c r="AD5" s="54">
        <f>IF(OR(W5="SOPORTE_TELEFÓNICO",W5="ENVÍO"),0,IF(Y5="TIPO I",'BASE DE LIQUIDACION 2025'!$I$4,IF(Y5="TIPO II",'BASE DE LIQUIDACION 2025'!$I$5,IF(Y5="TIPO III",'BASE DE LIQUIDACION 2025'!$I$6,IF(Y5="TIPO IV",'BASE DE LIQUIDACION 2025'!$I$7,'BASE DE LIQUIDACION 2025'!$I$8)))))</f>
        <v>96001.196280000004</v>
      </c>
      <c r="AE5" s="54">
        <f>IF(OR(W5="SOPORTE_TELEFÓNICO",W5="ENVÍO"),0,IF(Y5="TIPO I",'BASE DE LIQUIDACION 2025'!$J$4,IF(Y5="TIPO II",'BASE DE LIQUIDACION 2025'!$J$5,IF(Y5="TIPO III",'BASE DE LIQUIDACION 2025'!$J$6,IF(Y5="TIPO IV",'BASE DE LIQUIDACION 2025'!$J$7,'BASE DE LIQUIDACION 2025'!$J$8)))))</f>
        <v>57411.974240000003</v>
      </c>
      <c r="AF5" s="54">
        <f>IF(W5="SOPORTE_TELEFÓNICO",'BASE DE LIQUIDACION 2025'!$L$4,IF(W5="ENVÍO",'BASE DE LIQUIDACION 2025'!$K$4,AD5*AB5+AE5*AC5))</f>
        <v>96001.196280000004</v>
      </c>
    </row>
    <row r="6" spans="1:32" s="56" customFormat="1" ht="13.15" hidden="1">
      <c r="A6" s="69" t="s">
        <v>432</v>
      </c>
      <c r="B6" s="66" t="str">
        <f>VLOOKUP(A6,'CENTRO DE COSTOS'!A:D,4,FALSE)</f>
        <v>WILLIAM ASDRUBAL ROZO ROZO</v>
      </c>
      <c r="C6" s="66" t="str">
        <f>VLOOKUP(A6,'CENTRO DE COSTOS'!A:D,2,FALSE)</f>
        <v>0004-0004</v>
      </c>
      <c r="D6" s="69">
        <v>25290</v>
      </c>
      <c r="E6" s="69">
        <v>2802769</v>
      </c>
      <c r="F6" s="69">
        <v>80148</v>
      </c>
      <c r="G6" s="69" t="s">
        <v>1373</v>
      </c>
      <c r="H6" s="69" t="s">
        <v>434</v>
      </c>
      <c r="I6" s="69" t="s">
        <v>1393</v>
      </c>
      <c r="J6" s="69" t="s">
        <v>1394</v>
      </c>
      <c r="K6" s="69" t="s">
        <v>140</v>
      </c>
      <c r="L6" s="69" t="s">
        <v>1395</v>
      </c>
      <c r="M6" s="70">
        <v>45927.399305555547</v>
      </c>
      <c r="N6" s="70">
        <v>45929.558333333327</v>
      </c>
      <c r="O6" s="66"/>
      <c r="P6" s="69" t="s">
        <v>1376</v>
      </c>
      <c r="Q6" s="69" t="s">
        <v>1377</v>
      </c>
      <c r="R6" s="69" t="s">
        <v>142</v>
      </c>
      <c r="S6" s="69" t="s">
        <v>142</v>
      </c>
      <c r="T6" s="69" t="s">
        <v>1379</v>
      </c>
      <c r="U6" s="69" t="s">
        <v>1380</v>
      </c>
      <c r="V6" s="69" t="s">
        <v>1396</v>
      </c>
      <c r="W6" s="69" t="s">
        <v>145</v>
      </c>
      <c r="X6" s="66">
        <v>0</v>
      </c>
      <c r="Y6" s="69" t="s">
        <v>199</v>
      </c>
      <c r="Z6" s="67" t="s">
        <v>159</v>
      </c>
      <c r="AA6" s="69" t="s">
        <v>587</v>
      </c>
      <c r="AB6" s="69">
        <v>1</v>
      </c>
      <c r="AC6" s="66">
        <v>0</v>
      </c>
      <c r="AD6" s="54">
        <f>IF(OR(W6="SOPORTE_TELEFÓNICO",W6="ENVÍO"),0,IF(Y6="TIPO I",'BASE DE LIQUIDACION 2025'!$I$4,IF(Y6="TIPO II",'BASE DE LIQUIDACION 2025'!$I$5,IF(Y6="TIPO III",'BASE DE LIQUIDACION 2025'!$I$6,IF(Y6="TIPO IV",'BASE DE LIQUIDACION 2025'!$I$7,'BASE DE LIQUIDACION 2025'!$I$8)))))</f>
        <v>232858.60096000001</v>
      </c>
      <c r="AE6" s="54">
        <f>IF(OR(W6="SOPORTE_TELEFÓNICO",W6="ENVÍO"),0,IF(Y6="TIPO I",'BASE DE LIQUIDACION 2025'!$J$4,IF(Y6="TIPO II",'BASE DE LIQUIDACION 2025'!$J$5,IF(Y6="TIPO III",'BASE DE LIQUIDACION 2025'!$J$6,IF(Y6="TIPO IV",'BASE DE LIQUIDACION 2025'!$J$7,'BASE DE LIQUIDACION 2025'!$J$8)))))</f>
        <v>110808.27512000001</v>
      </c>
      <c r="AF6" s="54">
        <f>IF(W6="SOPORTE_TELEFÓNICO",'BASE DE LIQUIDACION 2025'!$L$4,IF(W6="ENVÍO",'BASE DE LIQUIDACION 2025'!$K$4,AD6*AB6+AE6*AC6))</f>
        <v>232858.60096000001</v>
      </c>
    </row>
    <row r="7" spans="1:32" s="56" customFormat="1" ht="13.15" hidden="1">
      <c r="A7" s="69" t="s">
        <v>518</v>
      </c>
      <c r="B7" s="66" t="str">
        <f>VLOOKUP(A7,'CENTRO DE COSTOS'!A:D,4,FALSE)</f>
        <v>KEVIN ALEXIS CORZO BUSTOS</v>
      </c>
      <c r="C7" s="66" t="str">
        <f>VLOOKUP(A7,'CENTRO DE COSTOS'!A:D,2,FALSE)</f>
        <v>0004-0007</v>
      </c>
      <c r="D7" s="69">
        <v>73001</v>
      </c>
      <c r="E7" s="69">
        <v>2801629</v>
      </c>
      <c r="F7" s="69">
        <v>23472</v>
      </c>
      <c r="G7" s="69" t="s">
        <v>1373</v>
      </c>
      <c r="H7" s="69" t="s">
        <v>520</v>
      </c>
      <c r="I7" s="69" t="s">
        <v>518</v>
      </c>
      <c r="J7" s="69" t="s">
        <v>1397</v>
      </c>
      <c r="K7" s="69" t="s">
        <v>140</v>
      </c>
      <c r="L7" s="69" t="s">
        <v>1398</v>
      </c>
      <c r="M7" s="70">
        <v>45926.674305555563</v>
      </c>
      <c r="N7" s="70">
        <v>45927.615972222222</v>
      </c>
      <c r="O7" s="66"/>
      <c r="P7" s="69" t="s">
        <v>1376</v>
      </c>
      <c r="Q7" s="69" t="s">
        <v>1377</v>
      </c>
      <c r="R7" s="69" t="s">
        <v>142</v>
      </c>
      <c r="S7" s="69" t="s">
        <v>1378</v>
      </c>
      <c r="T7" s="69" t="s">
        <v>1379</v>
      </c>
      <c r="U7" s="69" t="s">
        <v>1380</v>
      </c>
      <c r="V7" s="69" t="s">
        <v>1399</v>
      </c>
      <c r="W7" s="69" t="s">
        <v>145</v>
      </c>
      <c r="X7" s="66">
        <v>0</v>
      </c>
      <c r="Y7" s="69" t="s">
        <v>55</v>
      </c>
      <c r="Z7" s="67" t="s">
        <v>159</v>
      </c>
      <c r="AA7" s="69" t="s">
        <v>788</v>
      </c>
      <c r="AB7" s="69">
        <v>1</v>
      </c>
      <c r="AC7" s="66">
        <v>0</v>
      </c>
      <c r="AD7" s="54">
        <f>IF(OR(W7="SOPORTE_TELEFÓNICO",W7="ENVÍO"),0,IF(Y7="TIPO I",'BASE DE LIQUIDACION 2025'!$I$4,IF(Y7="TIPO II",'BASE DE LIQUIDACION 2025'!$I$5,IF(Y7="TIPO III",'BASE DE LIQUIDACION 2025'!$I$6,IF(Y7="TIPO IV",'BASE DE LIQUIDACION 2025'!$I$7,'BASE DE LIQUIDACION 2025'!$I$8)))))</f>
        <v>96001.196280000004</v>
      </c>
      <c r="AE7" s="54">
        <f>IF(OR(W7="SOPORTE_TELEFÓNICO",W7="ENVÍO"),0,IF(Y7="TIPO I",'BASE DE LIQUIDACION 2025'!$J$4,IF(Y7="TIPO II",'BASE DE LIQUIDACION 2025'!$J$5,IF(Y7="TIPO III",'BASE DE LIQUIDACION 2025'!$J$6,IF(Y7="TIPO IV",'BASE DE LIQUIDACION 2025'!$J$7,'BASE DE LIQUIDACION 2025'!$J$8)))))</f>
        <v>57411.974240000003</v>
      </c>
      <c r="AF7" s="54">
        <f>IF(W7="SOPORTE_TELEFÓNICO",'BASE DE LIQUIDACION 2025'!$L$4,IF(W7="ENVÍO",'BASE DE LIQUIDACION 2025'!$K$4,AD7*AB7+AE7*AC7))</f>
        <v>96001.196280000004</v>
      </c>
    </row>
    <row r="8" spans="1:32" s="56" customFormat="1" ht="13.15" hidden="1">
      <c r="A8" s="69" t="s">
        <v>210</v>
      </c>
      <c r="B8" s="66" t="str">
        <f>VLOOKUP(A8,'CENTRO DE COSTOS'!A:D,4,FALSE)</f>
        <v>KEVIN ALEXIS CORZO BUSTOS</v>
      </c>
      <c r="C8" s="66" t="str">
        <f>VLOOKUP(A8,'CENTRO DE COSTOS'!A:D,2,FALSE)</f>
        <v>0004-0007</v>
      </c>
      <c r="D8" s="69">
        <v>50313</v>
      </c>
      <c r="E8" s="69">
        <v>2800412</v>
      </c>
      <c r="F8" s="69">
        <v>70071</v>
      </c>
      <c r="G8" s="69" t="s">
        <v>1373</v>
      </c>
      <c r="H8" s="69" t="s">
        <v>212</v>
      </c>
      <c r="I8" s="69" t="s">
        <v>1400</v>
      </c>
      <c r="J8" s="69" t="s">
        <v>1401</v>
      </c>
      <c r="K8" s="69" t="s">
        <v>140</v>
      </c>
      <c r="L8" s="69" t="s">
        <v>1402</v>
      </c>
      <c r="M8" s="70">
        <v>45926.567361111112</v>
      </c>
      <c r="N8" s="70">
        <v>45929.515972222223</v>
      </c>
      <c r="O8" s="66"/>
      <c r="P8" s="69" t="s">
        <v>1376</v>
      </c>
      <c r="Q8" s="69" t="s">
        <v>1377</v>
      </c>
      <c r="R8" s="69" t="s">
        <v>1378</v>
      </c>
      <c r="S8" s="69" t="s">
        <v>1378</v>
      </c>
      <c r="T8" s="69" t="s">
        <v>1379</v>
      </c>
      <c r="U8" s="69" t="s">
        <v>1380</v>
      </c>
      <c r="V8" s="69" t="s">
        <v>1403</v>
      </c>
      <c r="W8" s="69" t="s">
        <v>145</v>
      </c>
      <c r="X8" s="66">
        <v>0</v>
      </c>
      <c r="Y8" s="69" t="s">
        <v>199</v>
      </c>
      <c r="Z8" s="67" t="s">
        <v>159</v>
      </c>
      <c r="AA8" s="69" t="s">
        <v>1155</v>
      </c>
      <c r="AB8" s="69">
        <v>2</v>
      </c>
      <c r="AC8" s="66">
        <v>3</v>
      </c>
      <c r="AD8" s="54">
        <f>IF(OR(W8="SOPORTE_TELEFÓNICO",W8="ENVÍO"),0,IF(Y8="TIPO I",'BASE DE LIQUIDACION 2025'!$I$4,IF(Y8="TIPO II",'BASE DE LIQUIDACION 2025'!$I$5,IF(Y8="TIPO III",'BASE DE LIQUIDACION 2025'!$I$6,IF(Y8="TIPO IV",'BASE DE LIQUIDACION 2025'!$I$7,'BASE DE LIQUIDACION 2025'!$I$8)))))</f>
        <v>232858.60096000001</v>
      </c>
      <c r="AE8" s="54">
        <f>IF(OR(W8="SOPORTE_TELEFÓNICO",W8="ENVÍO"),0,IF(Y8="TIPO I",'BASE DE LIQUIDACION 2025'!$J$4,IF(Y8="TIPO II",'BASE DE LIQUIDACION 2025'!$J$5,IF(Y8="TIPO III",'BASE DE LIQUIDACION 2025'!$J$6,IF(Y8="TIPO IV",'BASE DE LIQUIDACION 2025'!$J$7,'BASE DE LIQUIDACION 2025'!$J$8)))))</f>
        <v>110808.27512000001</v>
      </c>
      <c r="AF8" s="54">
        <f>IF(W8="SOPORTE_TELEFÓNICO",'BASE DE LIQUIDACION 2025'!$L$4,IF(W8="ENVÍO",'BASE DE LIQUIDACION 2025'!$K$4,AD8*AB8+AE8*AC8))</f>
        <v>798142.02728000004</v>
      </c>
    </row>
    <row r="9" spans="1:32" s="56" customFormat="1" ht="13.15" hidden="1">
      <c r="A9" s="69" t="s">
        <v>432</v>
      </c>
      <c r="B9" s="66" t="str">
        <f>VLOOKUP(A9,'CENTRO DE COSTOS'!A:D,4,FALSE)</f>
        <v>WILLIAM ASDRUBAL ROZO ROZO</v>
      </c>
      <c r="C9" s="66" t="str">
        <f>VLOOKUP(A9,'CENTRO DE COSTOS'!A:D,2,FALSE)</f>
        <v>0004-0004</v>
      </c>
      <c r="D9" s="69">
        <v>25473</v>
      </c>
      <c r="E9" s="69">
        <v>2800174</v>
      </c>
      <c r="F9" s="69">
        <v>53025</v>
      </c>
      <c r="G9" s="69" t="s">
        <v>1373</v>
      </c>
      <c r="H9" s="69" t="s">
        <v>434</v>
      </c>
      <c r="I9" s="69" t="s">
        <v>730</v>
      </c>
      <c r="J9" s="69" t="s">
        <v>1404</v>
      </c>
      <c r="K9" s="69" t="s">
        <v>140</v>
      </c>
      <c r="L9" s="69" t="s">
        <v>1405</v>
      </c>
      <c r="M9" s="70">
        <v>45926.538888888892</v>
      </c>
      <c r="N9" s="70">
        <v>45929.520833333343</v>
      </c>
      <c r="O9" s="66"/>
      <c r="P9" s="69" t="s">
        <v>1376</v>
      </c>
      <c r="Q9" s="69" t="s">
        <v>1377</v>
      </c>
      <c r="R9" s="69" t="s">
        <v>1378</v>
      </c>
      <c r="S9" s="69" t="s">
        <v>1378</v>
      </c>
      <c r="T9" s="69" t="s">
        <v>1379</v>
      </c>
      <c r="U9" s="69" t="s">
        <v>1380</v>
      </c>
      <c r="V9" s="69" t="s">
        <v>1406</v>
      </c>
      <c r="W9" s="69" t="s">
        <v>145</v>
      </c>
      <c r="X9" s="66">
        <v>0</v>
      </c>
      <c r="Y9" s="69" t="s">
        <v>55</v>
      </c>
      <c r="Z9" s="67" t="s">
        <v>159</v>
      </c>
      <c r="AA9" s="69" t="s">
        <v>592</v>
      </c>
      <c r="AB9" s="69">
        <v>1</v>
      </c>
      <c r="AC9" s="66">
        <v>0</v>
      </c>
      <c r="AD9" s="54">
        <f>IF(OR(W9="SOPORTE_TELEFÓNICO",W9="ENVÍO"),0,IF(Y9="TIPO I",'BASE DE LIQUIDACION 2025'!$I$4,IF(Y9="TIPO II",'BASE DE LIQUIDACION 2025'!$I$5,IF(Y9="TIPO III",'BASE DE LIQUIDACION 2025'!$I$6,IF(Y9="TIPO IV",'BASE DE LIQUIDACION 2025'!$I$7,'BASE DE LIQUIDACION 2025'!$I$8)))))</f>
        <v>96001.196280000004</v>
      </c>
      <c r="AE9" s="54">
        <f>IF(OR(W9="SOPORTE_TELEFÓNICO",W9="ENVÍO"),0,IF(Y9="TIPO I",'BASE DE LIQUIDACION 2025'!$J$4,IF(Y9="TIPO II",'BASE DE LIQUIDACION 2025'!$J$5,IF(Y9="TIPO III",'BASE DE LIQUIDACION 2025'!$J$6,IF(Y9="TIPO IV",'BASE DE LIQUIDACION 2025'!$J$7,'BASE DE LIQUIDACION 2025'!$J$8)))))</f>
        <v>57411.974240000003</v>
      </c>
      <c r="AF9" s="54">
        <f>IF(W9="SOPORTE_TELEFÓNICO",'BASE DE LIQUIDACION 2025'!$L$4,IF(W9="ENVÍO",'BASE DE LIQUIDACION 2025'!$K$4,AD9*AB9+AE9*AC9))</f>
        <v>96001.196280000004</v>
      </c>
    </row>
    <row r="10" spans="1:32" s="56" customFormat="1" ht="13.15" hidden="1">
      <c r="A10" s="69" t="s">
        <v>267</v>
      </c>
      <c r="B10" s="66" t="str">
        <f>VLOOKUP(A10,'CENTRO DE COSTOS'!A:D,4,FALSE)</f>
        <v>JUAN SEBASTIÁN RÍOS CASTRILLÓN</v>
      </c>
      <c r="C10" s="66" t="str">
        <f>VLOOKUP(A10,'CENTRO DE COSTOS'!A:D,2,FALSE)</f>
        <v>0004-0005</v>
      </c>
      <c r="D10" s="69">
        <v>5541</v>
      </c>
      <c r="E10" s="69">
        <v>2799801</v>
      </c>
      <c r="F10" s="69">
        <v>79337</v>
      </c>
      <c r="G10" s="69" t="s">
        <v>1373</v>
      </c>
      <c r="H10" s="69" t="s">
        <v>253</v>
      </c>
      <c r="I10" s="69" t="s">
        <v>1407</v>
      </c>
      <c r="J10" s="69" t="s">
        <v>1408</v>
      </c>
      <c r="K10" s="69" t="s">
        <v>140</v>
      </c>
      <c r="L10" s="69" t="s">
        <v>1409</v>
      </c>
      <c r="M10" s="70">
        <v>45926.496527777781</v>
      </c>
      <c r="N10" s="70">
        <v>45930.53402777778</v>
      </c>
      <c r="O10" s="66"/>
      <c r="P10" s="69" t="s">
        <v>1376</v>
      </c>
      <c r="Q10" s="69" t="s">
        <v>1377</v>
      </c>
      <c r="R10" s="69" t="s">
        <v>1378</v>
      </c>
      <c r="S10" s="69" t="s">
        <v>1378</v>
      </c>
      <c r="T10" s="69" t="s">
        <v>1379</v>
      </c>
      <c r="U10" s="69" t="s">
        <v>1380</v>
      </c>
      <c r="V10" s="69" t="s">
        <v>1410</v>
      </c>
      <c r="W10" s="69" t="s">
        <v>145</v>
      </c>
      <c r="X10" s="66">
        <v>0</v>
      </c>
      <c r="Y10" s="69" t="s">
        <v>199</v>
      </c>
      <c r="Z10" s="67" t="s">
        <v>159</v>
      </c>
      <c r="AA10" s="69" t="s">
        <v>390</v>
      </c>
      <c r="AB10" s="69">
        <v>1</v>
      </c>
      <c r="AC10" s="66">
        <v>0</v>
      </c>
      <c r="AD10" s="54">
        <f>IF(OR(W10="SOPORTE_TELEFÓNICO",W10="ENVÍO"),0,IF(Y10="TIPO I",'BASE DE LIQUIDACION 2025'!$I$4,IF(Y10="TIPO II",'BASE DE LIQUIDACION 2025'!$I$5,IF(Y10="TIPO III",'BASE DE LIQUIDACION 2025'!$I$6,IF(Y10="TIPO IV",'BASE DE LIQUIDACION 2025'!$I$7,'BASE DE LIQUIDACION 2025'!$I$8)))))</f>
        <v>232858.60096000001</v>
      </c>
      <c r="AE10" s="54">
        <f>IF(OR(W10="SOPORTE_TELEFÓNICO",W10="ENVÍO"),0,IF(Y10="TIPO I",'BASE DE LIQUIDACION 2025'!$J$4,IF(Y10="TIPO II",'BASE DE LIQUIDACION 2025'!$J$5,IF(Y10="TIPO III",'BASE DE LIQUIDACION 2025'!$J$6,IF(Y10="TIPO IV",'BASE DE LIQUIDACION 2025'!$J$7,'BASE DE LIQUIDACION 2025'!$J$8)))))</f>
        <v>110808.27512000001</v>
      </c>
      <c r="AF10" s="54">
        <f>IF(W10="SOPORTE_TELEFÓNICO",'BASE DE LIQUIDACION 2025'!$L$4,IF(W10="ENVÍO",'BASE DE LIQUIDACION 2025'!$K$4,AD10*AB10+AE10*AC10))</f>
        <v>232858.60096000001</v>
      </c>
    </row>
    <row r="11" spans="1:32" s="56" customFormat="1" ht="13.15" hidden="1">
      <c r="A11" s="69" t="s">
        <v>150</v>
      </c>
      <c r="B11" s="66" t="str">
        <f>VLOOKUP(A11,'CENTRO DE COSTOS'!A:D,4,FALSE)</f>
        <v>DIEGO FERNANDO HENAO CARDONA</v>
      </c>
      <c r="C11" s="66" t="str">
        <f>VLOOKUP(A11,'CENTRO DE COSTOS'!A:D,2,FALSE)</f>
        <v>0004-0003</v>
      </c>
      <c r="D11" s="69">
        <v>76520</v>
      </c>
      <c r="E11" s="69">
        <v>2798932</v>
      </c>
      <c r="F11" s="69">
        <v>77083</v>
      </c>
      <c r="G11" s="69" t="s">
        <v>1373</v>
      </c>
      <c r="H11" s="69" t="s">
        <v>229</v>
      </c>
      <c r="I11" s="69" t="s">
        <v>1258</v>
      </c>
      <c r="J11" s="69" t="s">
        <v>1411</v>
      </c>
      <c r="K11" s="69" t="s">
        <v>140</v>
      </c>
      <c r="L11" s="69" t="s">
        <v>1412</v>
      </c>
      <c r="M11" s="70">
        <v>45926.441666666673</v>
      </c>
      <c r="N11" s="70">
        <v>45927.611805555563</v>
      </c>
      <c r="O11" s="66"/>
      <c r="P11" s="69" t="s">
        <v>1376</v>
      </c>
      <c r="Q11" s="69" t="s">
        <v>1377</v>
      </c>
      <c r="R11" s="69" t="s">
        <v>239</v>
      </c>
      <c r="S11" s="69" t="s">
        <v>240</v>
      </c>
      <c r="T11" s="69" t="s">
        <v>1379</v>
      </c>
      <c r="U11" s="69" t="s">
        <v>1380</v>
      </c>
      <c r="V11" s="69" t="s">
        <v>1413</v>
      </c>
      <c r="W11" s="69" t="s">
        <v>145</v>
      </c>
      <c r="X11" s="66">
        <v>0</v>
      </c>
      <c r="Y11" s="69" t="s">
        <v>55</v>
      </c>
      <c r="Z11" s="67" t="s">
        <v>159</v>
      </c>
      <c r="AA11" s="69" t="s">
        <v>557</v>
      </c>
      <c r="AB11" s="69">
        <v>1</v>
      </c>
      <c r="AC11" s="66">
        <v>0</v>
      </c>
      <c r="AD11" s="54">
        <f>IF(OR(W11="SOPORTE_TELEFÓNICO",W11="ENVÍO"),0,IF(Y11="TIPO I",'BASE DE LIQUIDACION 2025'!$I$4,IF(Y11="TIPO II",'BASE DE LIQUIDACION 2025'!$I$5,IF(Y11="TIPO III",'BASE DE LIQUIDACION 2025'!$I$6,IF(Y11="TIPO IV",'BASE DE LIQUIDACION 2025'!$I$7,'BASE DE LIQUIDACION 2025'!$I$8)))))</f>
        <v>96001.196280000004</v>
      </c>
      <c r="AE11" s="54">
        <f>IF(OR(W11="SOPORTE_TELEFÓNICO",W11="ENVÍO"),0,IF(Y11="TIPO I",'BASE DE LIQUIDACION 2025'!$J$4,IF(Y11="TIPO II",'BASE DE LIQUIDACION 2025'!$J$5,IF(Y11="TIPO III",'BASE DE LIQUIDACION 2025'!$J$6,IF(Y11="TIPO IV",'BASE DE LIQUIDACION 2025'!$J$7,'BASE DE LIQUIDACION 2025'!$J$8)))))</f>
        <v>57411.974240000003</v>
      </c>
      <c r="AF11" s="54">
        <f>IF(W11="SOPORTE_TELEFÓNICO",'BASE DE LIQUIDACION 2025'!$L$4,IF(W11="ENVÍO",'BASE DE LIQUIDACION 2025'!$K$4,AD11*AB11+AE11*AC11))</f>
        <v>96001.196280000004</v>
      </c>
    </row>
    <row r="12" spans="1:32" s="56" customFormat="1" ht="13.15" hidden="1">
      <c r="A12" s="69" t="s">
        <v>150</v>
      </c>
      <c r="B12" s="66" t="str">
        <f>VLOOKUP(A12,'CENTRO DE COSTOS'!A:D,4,FALSE)</f>
        <v>DIEGO FERNANDO HENAO CARDONA</v>
      </c>
      <c r="C12" s="66" t="str">
        <f>VLOOKUP(A12,'CENTRO DE COSTOS'!A:D,2,FALSE)</f>
        <v>0004-0003</v>
      </c>
      <c r="D12" s="69">
        <v>76520</v>
      </c>
      <c r="E12" s="69">
        <v>2797588</v>
      </c>
      <c r="F12" s="69">
        <v>39121</v>
      </c>
      <c r="G12" s="69" t="s">
        <v>1373</v>
      </c>
      <c r="H12" s="69" t="s">
        <v>229</v>
      </c>
      <c r="I12" s="69" t="s">
        <v>1258</v>
      </c>
      <c r="J12" s="69" t="s">
        <v>1414</v>
      </c>
      <c r="K12" s="69" t="s">
        <v>140</v>
      </c>
      <c r="L12" s="69" t="s">
        <v>1415</v>
      </c>
      <c r="M12" s="70">
        <v>45926.375</v>
      </c>
      <c r="N12" s="70">
        <v>45930.532638888893</v>
      </c>
      <c r="O12" s="66"/>
      <c r="P12" s="69" t="s">
        <v>1376</v>
      </c>
      <c r="Q12" s="69" t="s">
        <v>1377</v>
      </c>
      <c r="R12" s="69" t="s">
        <v>1378</v>
      </c>
      <c r="S12" s="69" t="s">
        <v>1378</v>
      </c>
      <c r="T12" s="69" t="s">
        <v>1379</v>
      </c>
      <c r="U12" s="69" t="s">
        <v>1380</v>
      </c>
      <c r="V12" s="69" t="s">
        <v>1416</v>
      </c>
      <c r="W12" s="69" t="s">
        <v>145</v>
      </c>
      <c r="X12" s="66">
        <v>0</v>
      </c>
      <c r="Y12" s="69" t="s">
        <v>55</v>
      </c>
      <c r="Z12" s="67" t="s">
        <v>159</v>
      </c>
      <c r="AA12" s="69" t="s">
        <v>557</v>
      </c>
      <c r="AB12" s="69">
        <v>1</v>
      </c>
      <c r="AC12" s="66">
        <v>0</v>
      </c>
      <c r="AD12" s="54">
        <f>IF(OR(W12="SOPORTE_TELEFÓNICO",W12="ENVÍO"),0,IF(Y12="TIPO I",'BASE DE LIQUIDACION 2025'!$I$4,IF(Y12="TIPO II",'BASE DE LIQUIDACION 2025'!$I$5,IF(Y12="TIPO III",'BASE DE LIQUIDACION 2025'!$I$6,IF(Y12="TIPO IV",'BASE DE LIQUIDACION 2025'!$I$7,'BASE DE LIQUIDACION 2025'!$I$8)))))</f>
        <v>96001.196280000004</v>
      </c>
      <c r="AE12" s="54">
        <f>IF(OR(W12="SOPORTE_TELEFÓNICO",W12="ENVÍO"),0,IF(Y12="TIPO I",'BASE DE LIQUIDACION 2025'!$J$4,IF(Y12="TIPO II",'BASE DE LIQUIDACION 2025'!$J$5,IF(Y12="TIPO III",'BASE DE LIQUIDACION 2025'!$J$6,IF(Y12="TIPO IV",'BASE DE LIQUIDACION 2025'!$J$7,'BASE DE LIQUIDACION 2025'!$J$8)))))</f>
        <v>57411.974240000003</v>
      </c>
      <c r="AF12" s="54">
        <f>IF(W12="SOPORTE_TELEFÓNICO",'BASE DE LIQUIDACION 2025'!$L$4,IF(W12="ENVÍO",'BASE DE LIQUIDACION 2025'!$K$4,AD12*AB12+AE12*AC12))</f>
        <v>96001.196280000004</v>
      </c>
    </row>
    <row r="13" spans="1:32" s="56" customFormat="1" ht="13.15" hidden="1">
      <c r="A13" s="69" t="s">
        <v>267</v>
      </c>
      <c r="B13" s="66" t="str">
        <f>VLOOKUP(A13,'CENTRO DE COSTOS'!A:D,4,FALSE)</f>
        <v>JUAN SEBASTIÁN RÍOS CASTRILLÓN</v>
      </c>
      <c r="C13" s="66" t="str">
        <f>VLOOKUP(A13,'CENTRO DE COSTOS'!A:D,2,FALSE)</f>
        <v>0004-0005</v>
      </c>
      <c r="D13" s="69">
        <v>5001</v>
      </c>
      <c r="E13" s="69">
        <v>2794214</v>
      </c>
      <c r="F13" s="69">
        <v>24517</v>
      </c>
      <c r="G13" s="69" t="s">
        <v>1373</v>
      </c>
      <c r="H13" s="69" t="s">
        <v>253</v>
      </c>
      <c r="I13" s="69" t="s">
        <v>267</v>
      </c>
      <c r="J13" s="69" t="s">
        <v>1417</v>
      </c>
      <c r="K13" s="69" t="s">
        <v>140</v>
      </c>
      <c r="L13" s="69" t="s">
        <v>1418</v>
      </c>
      <c r="M13" s="70">
        <v>45925.559027777781</v>
      </c>
      <c r="N13" s="70">
        <v>45926.456250000003</v>
      </c>
      <c r="O13" s="66"/>
      <c r="P13" s="69" t="s">
        <v>1376</v>
      </c>
      <c r="Q13" s="69" t="s">
        <v>1377</v>
      </c>
      <c r="R13" s="69" t="s">
        <v>1378</v>
      </c>
      <c r="S13" s="69" t="s">
        <v>1378</v>
      </c>
      <c r="T13" s="69" t="s">
        <v>1379</v>
      </c>
      <c r="U13" s="69" t="s">
        <v>1380</v>
      </c>
      <c r="V13" s="69" t="s">
        <v>1419</v>
      </c>
      <c r="W13" s="69" t="s">
        <v>145</v>
      </c>
      <c r="X13" s="66">
        <v>0</v>
      </c>
      <c r="Y13" s="69" t="s">
        <v>55</v>
      </c>
      <c r="Z13" s="67" t="s">
        <v>159</v>
      </c>
      <c r="AA13" s="69" t="s">
        <v>604</v>
      </c>
      <c r="AB13" s="69">
        <v>1</v>
      </c>
      <c r="AC13" s="66">
        <v>0</v>
      </c>
      <c r="AD13" s="54">
        <f>IF(OR(W13="SOPORTE_TELEFÓNICO",W13="ENVÍO"),0,IF(Y13="TIPO I",'BASE DE LIQUIDACION 2025'!$I$4,IF(Y13="TIPO II",'BASE DE LIQUIDACION 2025'!$I$5,IF(Y13="TIPO III",'BASE DE LIQUIDACION 2025'!$I$6,IF(Y13="TIPO IV",'BASE DE LIQUIDACION 2025'!$I$7,'BASE DE LIQUIDACION 2025'!$I$8)))))</f>
        <v>96001.196280000004</v>
      </c>
      <c r="AE13" s="54">
        <f>IF(OR(W13="SOPORTE_TELEFÓNICO",W13="ENVÍO"),0,IF(Y13="TIPO I",'BASE DE LIQUIDACION 2025'!$J$4,IF(Y13="TIPO II",'BASE DE LIQUIDACION 2025'!$J$5,IF(Y13="TIPO III",'BASE DE LIQUIDACION 2025'!$J$6,IF(Y13="TIPO IV",'BASE DE LIQUIDACION 2025'!$J$7,'BASE DE LIQUIDACION 2025'!$J$8)))))</f>
        <v>57411.974240000003</v>
      </c>
      <c r="AF13" s="54">
        <f>IF(W13="SOPORTE_TELEFÓNICO",'BASE DE LIQUIDACION 2025'!$L$4,IF(W13="ENVÍO",'BASE DE LIQUIDACION 2025'!$K$4,AD13*AB13+AE13*AC13))</f>
        <v>96001.196280000004</v>
      </c>
    </row>
    <row r="14" spans="1:32" s="56" customFormat="1" ht="13.15" hidden="1">
      <c r="A14" s="69" t="s">
        <v>432</v>
      </c>
      <c r="B14" s="66" t="str">
        <f>VLOOKUP(A14,'CENTRO DE COSTOS'!A:D,4,FALSE)</f>
        <v>WILLIAM ASDRUBAL ROZO ROZO</v>
      </c>
      <c r="C14" s="66" t="str">
        <f>VLOOKUP(A14,'CENTRO DE COSTOS'!A:D,2,FALSE)</f>
        <v>0004-0004</v>
      </c>
      <c r="D14" s="69">
        <v>25899</v>
      </c>
      <c r="E14" s="69">
        <v>2789596</v>
      </c>
      <c r="F14" s="69">
        <v>73430</v>
      </c>
      <c r="G14" s="69" t="s">
        <v>1373</v>
      </c>
      <c r="H14" s="69" t="s">
        <v>434</v>
      </c>
      <c r="I14" s="69" t="s">
        <v>1420</v>
      </c>
      <c r="J14" s="69" t="s">
        <v>1421</v>
      </c>
      <c r="K14" s="69" t="s">
        <v>140</v>
      </c>
      <c r="L14" s="69" t="s">
        <v>1422</v>
      </c>
      <c r="M14" s="70">
        <v>45924.657638888893</v>
      </c>
      <c r="N14" s="70">
        <v>45927.385416666657</v>
      </c>
      <c r="O14" s="66"/>
      <c r="P14" s="69" t="s">
        <v>1376</v>
      </c>
      <c r="Q14" s="69" t="s">
        <v>1377</v>
      </c>
      <c r="R14" s="69" t="s">
        <v>1378</v>
      </c>
      <c r="S14" s="69" t="s">
        <v>1378</v>
      </c>
      <c r="T14" s="69" t="s">
        <v>1379</v>
      </c>
      <c r="U14" s="69" t="s">
        <v>1380</v>
      </c>
      <c r="V14" s="69" t="s">
        <v>1423</v>
      </c>
      <c r="W14" s="69" t="s">
        <v>145</v>
      </c>
      <c r="X14" s="66">
        <v>0</v>
      </c>
      <c r="Y14" s="69" t="s">
        <v>199</v>
      </c>
      <c r="Z14" s="67" t="s">
        <v>159</v>
      </c>
      <c r="AA14" s="69" t="s">
        <v>587</v>
      </c>
      <c r="AB14" s="69">
        <v>1</v>
      </c>
      <c r="AC14" s="66">
        <v>0</v>
      </c>
      <c r="AD14" s="54">
        <f>IF(OR(W14="SOPORTE_TELEFÓNICO",W14="ENVÍO"),0,IF(Y14="TIPO I",'BASE DE LIQUIDACION 2025'!$I$4,IF(Y14="TIPO II",'BASE DE LIQUIDACION 2025'!$I$5,IF(Y14="TIPO III",'BASE DE LIQUIDACION 2025'!$I$6,IF(Y14="TIPO IV",'BASE DE LIQUIDACION 2025'!$I$7,'BASE DE LIQUIDACION 2025'!$I$8)))))</f>
        <v>232858.60096000001</v>
      </c>
      <c r="AE14" s="54">
        <f>IF(OR(W14="SOPORTE_TELEFÓNICO",W14="ENVÍO"),0,IF(Y14="TIPO I",'BASE DE LIQUIDACION 2025'!$J$4,IF(Y14="TIPO II",'BASE DE LIQUIDACION 2025'!$J$5,IF(Y14="TIPO III",'BASE DE LIQUIDACION 2025'!$J$6,IF(Y14="TIPO IV",'BASE DE LIQUIDACION 2025'!$J$7,'BASE DE LIQUIDACION 2025'!$J$8)))))</f>
        <v>110808.27512000001</v>
      </c>
      <c r="AF14" s="54">
        <f>IF(W14="SOPORTE_TELEFÓNICO",'BASE DE LIQUIDACION 2025'!$L$4,IF(W14="ENVÍO",'BASE DE LIQUIDACION 2025'!$K$4,AD14*AB14+AE14*AC14))</f>
        <v>232858.60096000001</v>
      </c>
    </row>
    <row r="15" spans="1:32" s="56" customFormat="1" ht="13.15" hidden="1">
      <c r="A15" s="69" t="s">
        <v>432</v>
      </c>
      <c r="B15" s="66" t="str">
        <f>VLOOKUP(A15,'CENTRO DE COSTOS'!A:D,4,FALSE)</f>
        <v>WILLIAM ASDRUBAL ROZO ROZO</v>
      </c>
      <c r="C15" s="66" t="str">
        <f>VLOOKUP(A15,'CENTRO DE COSTOS'!A:D,2,FALSE)</f>
        <v>0004-0004</v>
      </c>
      <c r="D15" s="69">
        <v>25473</v>
      </c>
      <c r="E15" s="69">
        <v>2787908</v>
      </c>
      <c r="F15" s="69">
        <v>71113</v>
      </c>
      <c r="G15" s="69" t="s">
        <v>1373</v>
      </c>
      <c r="H15" s="69" t="s">
        <v>434</v>
      </c>
      <c r="I15" s="69" t="s">
        <v>730</v>
      </c>
      <c r="J15" s="69" t="s">
        <v>1424</v>
      </c>
      <c r="K15" s="69" t="s">
        <v>140</v>
      </c>
      <c r="L15" s="69" t="s">
        <v>1425</v>
      </c>
      <c r="M15" s="70">
        <v>45924.501388888893</v>
      </c>
      <c r="N15" s="70">
        <v>45925.45</v>
      </c>
      <c r="O15" s="66"/>
      <c r="P15" s="69" t="s">
        <v>1376</v>
      </c>
      <c r="Q15" s="69" t="s">
        <v>1377</v>
      </c>
      <c r="R15" s="69" t="s">
        <v>1378</v>
      </c>
      <c r="S15" s="69" t="s">
        <v>1378</v>
      </c>
      <c r="T15" s="69" t="s">
        <v>1379</v>
      </c>
      <c r="U15" s="69" t="s">
        <v>1380</v>
      </c>
      <c r="V15" s="69" t="s">
        <v>1426</v>
      </c>
      <c r="W15" s="69" t="s">
        <v>145</v>
      </c>
      <c r="X15" s="66">
        <v>0</v>
      </c>
      <c r="Y15" s="69" t="s">
        <v>55</v>
      </c>
      <c r="Z15" s="67" t="s">
        <v>159</v>
      </c>
      <c r="AA15" s="69" t="s">
        <v>1427</v>
      </c>
      <c r="AB15" s="69">
        <v>1</v>
      </c>
      <c r="AC15" s="66">
        <v>0</v>
      </c>
      <c r="AD15" s="54">
        <f>IF(OR(W15="SOPORTE_TELEFÓNICO",W15="ENVÍO"),0,IF(Y15="TIPO I",'BASE DE LIQUIDACION 2025'!$I$4,IF(Y15="TIPO II",'BASE DE LIQUIDACION 2025'!$I$5,IF(Y15="TIPO III",'BASE DE LIQUIDACION 2025'!$I$6,IF(Y15="TIPO IV",'BASE DE LIQUIDACION 2025'!$I$7,'BASE DE LIQUIDACION 2025'!$I$8)))))</f>
        <v>96001.196280000004</v>
      </c>
      <c r="AE15" s="54">
        <f>IF(OR(W15="SOPORTE_TELEFÓNICO",W15="ENVÍO"),0,IF(Y15="TIPO I",'BASE DE LIQUIDACION 2025'!$J$4,IF(Y15="TIPO II",'BASE DE LIQUIDACION 2025'!$J$5,IF(Y15="TIPO III",'BASE DE LIQUIDACION 2025'!$J$6,IF(Y15="TIPO IV",'BASE DE LIQUIDACION 2025'!$J$7,'BASE DE LIQUIDACION 2025'!$J$8)))))</f>
        <v>57411.974240000003</v>
      </c>
      <c r="AF15" s="54">
        <f>IF(W15="SOPORTE_TELEFÓNICO",'BASE DE LIQUIDACION 2025'!$L$4,IF(W15="ENVÍO",'BASE DE LIQUIDACION 2025'!$K$4,AD15*AB15+AE15*AC15))</f>
        <v>96001.196280000004</v>
      </c>
    </row>
    <row r="16" spans="1:32" s="56" customFormat="1" ht="13.15" hidden="1">
      <c r="A16" s="69" t="s">
        <v>432</v>
      </c>
      <c r="B16" s="66" t="str">
        <f>VLOOKUP(A16,'CENTRO DE COSTOS'!A:D,4,FALSE)</f>
        <v>WILLIAM ASDRUBAL ROZO ROZO</v>
      </c>
      <c r="C16" s="66" t="str">
        <f>VLOOKUP(A16,'CENTRO DE COSTOS'!A:D,2,FALSE)</f>
        <v>0004-0004</v>
      </c>
      <c r="D16" s="69">
        <v>25899</v>
      </c>
      <c r="E16" s="69">
        <v>2786956</v>
      </c>
      <c r="F16" s="69">
        <v>68820</v>
      </c>
      <c r="G16" s="69" t="s">
        <v>1373</v>
      </c>
      <c r="H16" s="69" t="s">
        <v>434</v>
      </c>
      <c r="I16" s="69" t="s">
        <v>1420</v>
      </c>
      <c r="J16" s="69" t="s">
        <v>1428</v>
      </c>
      <c r="K16" s="69" t="s">
        <v>140</v>
      </c>
      <c r="L16" s="69" t="s">
        <v>1429</v>
      </c>
      <c r="M16" s="70">
        <v>45924.447916666657</v>
      </c>
      <c r="N16" s="70">
        <v>45926.682638888888</v>
      </c>
      <c r="O16" s="66"/>
      <c r="P16" s="69" t="s">
        <v>1376</v>
      </c>
      <c r="Q16" s="69" t="s">
        <v>1377</v>
      </c>
      <c r="R16" s="69" t="s">
        <v>1378</v>
      </c>
      <c r="S16" s="69" t="s">
        <v>1378</v>
      </c>
      <c r="T16" s="69" t="s">
        <v>1379</v>
      </c>
      <c r="U16" s="69" t="s">
        <v>1380</v>
      </c>
      <c r="V16" s="69" t="s">
        <v>1423</v>
      </c>
      <c r="W16" s="69" t="s">
        <v>145</v>
      </c>
      <c r="X16" s="66">
        <v>0</v>
      </c>
      <c r="Y16" s="69" t="s">
        <v>199</v>
      </c>
      <c r="Z16" s="67" t="s">
        <v>159</v>
      </c>
      <c r="AA16" s="69" t="s">
        <v>587</v>
      </c>
      <c r="AB16" s="69">
        <v>1</v>
      </c>
      <c r="AC16" s="66">
        <v>0</v>
      </c>
      <c r="AD16" s="54">
        <f>IF(OR(W16="SOPORTE_TELEFÓNICO",W16="ENVÍO"),0,IF(Y16="TIPO I",'BASE DE LIQUIDACION 2025'!$I$4,IF(Y16="TIPO II",'BASE DE LIQUIDACION 2025'!$I$5,IF(Y16="TIPO III",'BASE DE LIQUIDACION 2025'!$I$6,IF(Y16="TIPO IV",'BASE DE LIQUIDACION 2025'!$I$7,'BASE DE LIQUIDACION 2025'!$I$8)))))</f>
        <v>232858.60096000001</v>
      </c>
      <c r="AE16" s="54">
        <f>IF(OR(W16="SOPORTE_TELEFÓNICO",W16="ENVÍO"),0,IF(Y16="TIPO I",'BASE DE LIQUIDACION 2025'!$J$4,IF(Y16="TIPO II",'BASE DE LIQUIDACION 2025'!$J$5,IF(Y16="TIPO III",'BASE DE LIQUIDACION 2025'!$J$6,IF(Y16="TIPO IV",'BASE DE LIQUIDACION 2025'!$J$7,'BASE DE LIQUIDACION 2025'!$J$8)))))</f>
        <v>110808.27512000001</v>
      </c>
      <c r="AF16" s="54">
        <f>IF(W16="SOPORTE_TELEFÓNICO",'BASE DE LIQUIDACION 2025'!$L$4,IF(W16="ENVÍO",'BASE DE LIQUIDACION 2025'!$K$4,AD16*AB16+AE16*AC16))</f>
        <v>232858.60096000001</v>
      </c>
    </row>
    <row r="17" spans="1:32" s="56" customFormat="1" ht="13.15" hidden="1">
      <c r="A17" s="69" t="s">
        <v>133</v>
      </c>
      <c r="B17" s="66" t="str">
        <f>VLOOKUP(A17,'CENTRO DE COSTOS'!A:D,4,FALSE)</f>
        <v>DIEGO FERNANDO HENAO CARDONA</v>
      </c>
      <c r="C17" s="66" t="str">
        <f>VLOOKUP(A17,'CENTRO DE COSTOS'!A:D,2,FALSE)</f>
        <v>0004-0003</v>
      </c>
      <c r="D17" s="69">
        <v>52540</v>
      </c>
      <c r="E17" s="69">
        <v>2784469</v>
      </c>
      <c r="F17" s="69">
        <v>40640</v>
      </c>
      <c r="G17" s="69" t="s">
        <v>1373</v>
      </c>
      <c r="H17" s="69" t="s">
        <v>137</v>
      </c>
      <c r="I17" s="69" t="s">
        <v>1430</v>
      </c>
      <c r="J17" s="69" t="s">
        <v>1431</v>
      </c>
      <c r="K17" s="69" t="s">
        <v>140</v>
      </c>
      <c r="L17" s="69" t="s">
        <v>1432</v>
      </c>
      <c r="M17" s="70">
        <v>45924.333333333343</v>
      </c>
      <c r="N17" s="70">
        <v>45927.611111111109</v>
      </c>
      <c r="O17" s="66"/>
      <c r="P17" s="69" t="s">
        <v>1376</v>
      </c>
      <c r="Q17" s="69" t="s">
        <v>1377</v>
      </c>
      <c r="R17" s="69" t="s">
        <v>1378</v>
      </c>
      <c r="S17" s="69" t="s">
        <v>1378</v>
      </c>
      <c r="T17" s="69" t="s">
        <v>1433</v>
      </c>
      <c r="U17" s="69" t="s">
        <v>1434</v>
      </c>
      <c r="V17" s="69" t="s">
        <v>1435</v>
      </c>
      <c r="W17" s="69" t="s">
        <v>1436</v>
      </c>
      <c r="X17" s="66">
        <v>0</v>
      </c>
      <c r="Y17" s="69" t="s">
        <v>167</v>
      </c>
      <c r="Z17" s="67" t="s">
        <v>159</v>
      </c>
      <c r="AA17" s="69" t="s">
        <v>1437</v>
      </c>
      <c r="AB17" s="69">
        <v>0</v>
      </c>
      <c r="AC17" s="66">
        <v>0</v>
      </c>
      <c r="AD17" s="54">
        <f>IF(OR(W17="SOPORTE_TELEFÓNICO",W17="ENVÍO"),0,IF(Y17="TIPO I",'BASE DE LIQUIDACION 2025'!$I$4,IF(Y17="TIPO II",'BASE DE LIQUIDACION 2025'!$I$5,IF(Y17="TIPO III",'BASE DE LIQUIDACION 2025'!$I$6,IF(Y17="TIPO IV",'BASE DE LIQUIDACION 2025'!$I$7,'BASE DE LIQUIDACION 2025'!$I$8)))))</f>
        <v>0</v>
      </c>
      <c r="AE17" s="54">
        <f>IF(OR(W17="SOPORTE_TELEFÓNICO",W17="ENVÍO"),0,IF(Y17="TIPO I",'BASE DE LIQUIDACION 2025'!$J$4,IF(Y17="TIPO II",'BASE DE LIQUIDACION 2025'!$J$5,IF(Y17="TIPO III",'BASE DE LIQUIDACION 2025'!$J$6,IF(Y17="TIPO IV",'BASE DE LIQUIDACION 2025'!$J$7,'BASE DE LIQUIDACION 2025'!$J$8)))))</f>
        <v>0</v>
      </c>
      <c r="AF17" s="54">
        <f>IF(W17="SOPORTE_TELEFÓNICO",'BASE DE LIQUIDACION 2025'!$L$4,IF(W17="ENVÍO",'BASE DE LIQUIDACION 2025'!$K$4,AD17*AB17+AE17*AC17))</f>
        <v>37904.65408</v>
      </c>
    </row>
    <row r="18" spans="1:32" s="56" customFormat="1" ht="13.15" hidden="1">
      <c r="A18" s="69" t="s">
        <v>274</v>
      </c>
      <c r="B18" s="66" t="str">
        <f>VLOOKUP(A18,'CENTRO DE COSTOS'!A:D,4,FALSE)</f>
        <v>MIGUEL JULIÁN HERNÁNDEZ GUARÍN</v>
      </c>
      <c r="C18" s="66" t="str">
        <f>VLOOKUP(A18,'CENTRO DE COSTOS'!A:D,2,FALSE)</f>
        <v>0004-0008</v>
      </c>
      <c r="D18" s="69">
        <v>15001</v>
      </c>
      <c r="E18" s="69">
        <v>2784245</v>
      </c>
      <c r="F18" s="69">
        <v>80194</v>
      </c>
      <c r="G18" s="69" t="s">
        <v>1373</v>
      </c>
      <c r="H18" s="69" t="s">
        <v>276</v>
      </c>
      <c r="I18" s="69" t="s">
        <v>274</v>
      </c>
      <c r="J18" s="69" t="s">
        <v>1438</v>
      </c>
      <c r="K18" s="69" t="s">
        <v>140</v>
      </c>
      <c r="L18" s="69" t="s">
        <v>1439</v>
      </c>
      <c r="M18" s="70">
        <v>45923.739583333343</v>
      </c>
      <c r="N18" s="70">
        <v>45924.713888888888</v>
      </c>
      <c r="O18" s="66"/>
      <c r="P18" s="69" t="s">
        <v>1376</v>
      </c>
      <c r="Q18" s="69" t="s">
        <v>1377</v>
      </c>
      <c r="R18" s="69" t="s">
        <v>142</v>
      </c>
      <c r="S18" s="69" t="s">
        <v>142</v>
      </c>
      <c r="T18" s="69" t="s">
        <v>1379</v>
      </c>
      <c r="U18" s="69" t="s">
        <v>1380</v>
      </c>
      <c r="V18" s="69" t="s">
        <v>1440</v>
      </c>
      <c r="W18" s="69" t="s">
        <v>145</v>
      </c>
      <c r="X18" s="66">
        <v>0</v>
      </c>
      <c r="Y18" s="69" t="s">
        <v>55</v>
      </c>
      <c r="Z18" s="67" t="s">
        <v>159</v>
      </c>
      <c r="AA18" s="69" t="s">
        <v>874</v>
      </c>
      <c r="AB18" s="69">
        <v>1</v>
      </c>
      <c r="AC18" s="66">
        <v>0</v>
      </c>
      <c r="AD18" s="54">
        <f>IF(OR(W18="SOPORTE_TELEFÓNICO",W18="ENVÍO"),0,IF(Y18="TIPO I",'BASE DE LIQUIDACION 2025'!$I$4,IF(Y18="TIPO II",'BASE DE LIQUIDACION 2025'!$I$5,IF(Y18="TIPO III",'BASE DE LIQUIDACION 2025'!$I$6,IF(Y18="TIPO IV",'BASE DE LIQUIDACION 2025'!$I$7,'BASE DE LIQUIDACION 2025'!$I$8)))))</f>
        <v>96001.196280000004</v>
      </c>
      <c r="AE18" s="54">
        <f>IF(OR(W18="SOPORTE_TELEFÓNICO",W18="ENVÍO"),0,IF(Y18="TIPO I",'BASE DE LIQUIDACION 2025'!$J$4,IF(Y18="TIPO II",'BASE DE LIQUIDACION 2025'!$J$5,IF(Y18="TIPO III",'BASE DE LIQUIDACION 2025'!$J$6,IF(Y18="TIPO IV",'BASE DE LIQUIDACION 2025'!$J$7,'BASE DE LIQUIDACION 2025'!$J$8)))))</f>
        <v>57411.974240000003</v>
      </c>
      <c r="AF18" s="54">
        <f>IF(W18="SOPORTE_TELEFÓNICO",'BASE DE LIQUIDACION 2025'!$L$4,IF(W18="ENVÍO",'BASE DE LIQUIDACION 2025'!$K$4,AD18*AB18+AE18*AC18))</f>
        <v>96001.196280000004</v>
      </c>
    </row>
    <row r="19" spans="1:32" s="56" customFormat="1" ht="13.15" hidden="1">
      <c r="A19" s="69" t="s">
        <v>347</v>
      </c>
      <c r="B19" s="66" t="str">
        <f>VLOOKUP(A19,'CENTRO DE COSTOS'!A:D,4,FALSE)</f>
        <v>JOSE MAURICIO HERNANDEZ ROJAS</v>
      </c>
      <c r="C19" s="66" t="str">
        <f>VLOOKUP(A19,'CENTRO DE COSTOS'!A:D,2,FALSE)</f>
        <v>0004-0001</v>
      </c>
      <c r="D19" s="69">
        <v>70110</v>
      </c>
      <c r="E19" s="69">
        <v>2784035</v>
      </c>
      <c r="F19" s="69">
        <v>12345</v>
      </c>
      <c r="G19" s="69" t="s">
        <v>1373</v>
      </c>
      <c r="H19" s="69" t="s">
        <v>349</v>
      </c>
      <c r="I19" s="69" t="s">
        <v>1441</v>
      </c>
      <c r="J19" s="69" t="s">
        <v>1442</v>
      </c>
      <c r="K19" s="69" t="s">
        <v>140</v>
      </c>
      <c r="L19" s="69" t="s">
        <v>1443</v>
      </c>
      <c r="M19" s="70">
        <v>45923.706944444442</v>
      </c>
      <c r="N19" s="70">
        <v>45929.702777777777</v>
      </c>
      <c r="O19" s="66"/>
      <c r="P19" s="69" t="s">
        <v>1376</v>
      </c>
      <c r="Q19" s="69" t="s">
        <v>1377</v>
      </c>
      <c r="R19" s="69" t="s">
        <v>1378</v>
      </c>
      <c r="S19" s="69" t="s">
        <v>1378</v>
      </c>
      <c r="T19" s="69" t="s">
        <v>1379</v>
      </c>
      <c r="U19" s="69" t="s">
        <v>1380</v>
      </c>
      <c r="V19" s="69" t="s">
        <v>1444</v>
      </c>
      <c r="W19" s="69" t="s">
        <v>145</v>
      </c>
      <c r="X19" s="66">
        <v>0</v>
      </c>
      <c r="Y19" s="69" t="s">
        <v>199</v>
      </c>
      <c r="Z19" s="67" t="s">
        <v>159</v>
      </c>
      <c r="AA19" s="69" t="s">
        <v>355</v>
      </c>
      <c r="AB19" s="69">
        <v>1</v>
      </c>
      <c r="AC19" s="66">
        <v>0</v>
      </c>
      <c r="AD19" s="54">
        <f>IF(OR(W19="SOPORTE_TELEFÓNICO",W19="ENVÍO"),0,IF(Y19="TIPO I",'BASE DE LIQUIDACION 2025'!$I$4,IF(Y19="TIPO II",'BASE DE LIQUIDACION 2025'!$I$5,IF(Y19="TIPO III",'BASE DE LIQUIDACION 2025'!$I$6,IF(Y19="TIPO IV",'BASE DE LIQUIDACION 2025'!$I$7,'BASE DE LIQUIDACION 2025'!$I$8)))))</f>
        <v>232858.60096000001</v>
      </c>
      <c r="AE19" s="54">
        <f>IF(OR(W19="SOPORTE_TELEFÓNICO",W19="ENVÍO"),0,IF(Y19="TIPO I",'BASE DE LIQUIDACION 2025'!$J$4,IF(Y19="TIPO II",'BASE DE LIQUIDACION 2025'!$J$5,IF(Y19="TIPO III",'BASE DE LIQUIDACION 2025'!$J$6,IF(Y19="TIPO IV",'BASE DE LIQUIDACION 2025'!$J$7,'BASE DE LIQUIDACION 2025'!$J$8)))))</f>
        <v>110808.27512000001</v>
      </c>
      <c r="AF19" s="54">
        <f>IF(W19="SOPORTE_TELEFÓNICO",'BASE DE LIQUIDACION 2025'!$L$4,IF(W19="ENVÍO",'BASE DE LIQUIDACION 2025'!$K$4,AD19*AB19+AE19*AC19))</f>
        <v>232858.60096000001</v>
      </c>
    </row>
    <row r="20" spans="1:32" s="56" customFormat="1" ht="13.15" hidden="1">
      <c r="A20" s="69" t="s">
        <v>210</v>
      </c>
      <c r="B20" s="66" t="str">
        <f>VLOOKUP(A20,'CENTRO DE COSTOS'!A:D,4,FALSE)</f>
        <v>KEVIN ALEXIS CORZO BUSTOS</v>
      </c>
      <c r="C20" s="66" t="str">
        <f>VLOOKUP(A20,'CENTRO DE COSTOS'!A:D,2,FALSE)</f>
        <v>0004-0007</v>
      </c>
      <c r="D20" s="69">
        <v>50001</v>
      </c>
      <c r="E20" s="69">
        <v>2783485</v>
      </c>
      <c r="F20" s="69">
        <v>76863</v>
      </c>
      <c r="G20" s="69" t="s">
        <v>1373</v>
      </c>
      <c r="H20" s="69" t="s">
        <v>212</v>
      </c>
      <c r="I20" s="69" t="s">
        <v>210</v>
      </c>
      <c r="J20" s="69" t="s">
        <v>1445</v>
      </c>
      <c r="K20" s="69" t="s">
        <v>140</v>
      </c>
      <c r="L20" s="69" t="s">
        <v>1446</v>
      </c>
      <c r="M20" s="70">
        <v>45923.680555555547</v>
      </c>
      <c r="N20" s="70">
        <v>45926.57708333333</v>
      </c>
      <c r="O20" s="66"/>
      <c r="P20" s="69" t="s">
        <v>1376</v>
      </c>
      <c r="Q20" s="69" t="s">
        <v>1377</v>
      </c>
      <c r="R20" s="69" t="s">
        <v>1378</v>
      </c>
      <c r="S20" s="69" t="s">
        <v>1378</v>
      </c>
      <c r="T20" s="69" t="s">
        <v>1379</v>
      </c>
      <c r="U20" s="69" t="s">
        <v>1380</v>
      </c>
      <c r="V20" s="69" t="s">
        <v>1447</v>
      </c>
      <c r="W20" s="69" t="s">
        <v>145</v>
      </c>
      <c r="X20" s="66">
        <v>0</v>
      </c>
      <c r="Y20" s="69" t="s">
        <v>55</v>
      </c>
      <c r="Z20" s="67" t="s">
        <v>159</v>
      </c>
      <c r="AA20" s="69" t="s">
        <v>1155</v>
      </c>
      <c r="AB20" s="69">
        <v>1</v>
      </c>
      <c r="AC20" s="66">
        <v>0</v>
      </c>
      <c r="AD20" s="54">
        <f>IF(OR(W20="SOPORTE_TELEFÓNICO",W20="ENVÍO"),0,IF(Y20="TIPO I",'BASE DE LIQUIDACION 2025'!$I$4,IF(Y20="TIPO II",'BASE DE LIQUIDACION 2025'!$I$5,IF(Y20="TIPO III",'BASE DE LIQUIDACION 2025'!$I$6,IF(Y20="TIPO IV",'BASE DE LIQUIDACION 2025'!$I$7,'BASE DE LIQUIDACION 2025'!$I$8)))))</f>
        <v>96001.196280000004</v>
      </c>
      <c r="AE20" s="54">
        <f>IF(OR(W20="SOPORTE_TELEFÓNICO",W20="ENVÍO"),0,IF(Y20="TIPO I",'BASE DE LIQUIDACION 2025'!$J$4,IF(Y20="TIPO II",'BASE DE LIQUIDACION 2025'!$J$5,IF(Y20="TIPO III",'BASE DE LIQUIDACION 2025'!$J$6,IF(Y20="TIPO IV",'BASE DE LIQUIDACION 2025'!$J$7,'BASE DE LIQUIDACION 2025'!$J$8)))))</f>
        <v>57411.974240000003</v>
      </c>
      <c r="AF20" s="54">
        <f>IF(W20="SOPORTE_TELEFÓNICO",'BASE DE LIQUIDACION 2025'!$L$4,IF(W20="ENVÍO",'BASE DE LIQUIDACION 2025'!$K$4,AD20*AB20+AE20*AC20))</f>
        <v>96001.196280000004</v>
      </c>
    </row>
    <row r="21" spans="1:32" s="56" customFormat="1" ht="13.15" hidden="1">
      <c r="A21" s="69" t="s">
        <v>176</v>
      </c>
      <c r="B21" s="66" t="str">
        <f>VLOOKUP(A21,'CENTRO DE COSTOS'!A:D,4,FALSE)</f>
        <v>JOSE MAURICIO HERNANDEZ ROJAS</v>
      </c>
      <c r="C21" s="66" t="str">
        <f>VLOOKUP(A21,'CENTRO DE COSTOS'!A:D,2,FALSE)</f>
        <v>0004-0001</v>
      </c>
      <c r="D21" s="69">
        <v>5495</v>
      </c>
      <c r="E21" s="69">
        <v>2776273</v>
      </c>
      <c r="F21" s="69">
        <v>37669</v>
      </c>
      <c r="G21" s="69" t="s">
        <v>1373</v>
      </c>
      <c r="H21" s="69" t="s">
        <v>253</v>
      </c>
      <c r="I21" s="69" t="s">
        <v>1448</v>
      </c>
      <c r="J21" s="69" t="s">
        <v>1449</v>
      </c>
      <c r="K21" s="69" t="s">
        <v>140</v>
      </c>
      <c r="L21" s="69" t="s">
        <v>1450</v>
      </c>
      <c r="M21" s="70">
        <v>45922.634027777778</v>
      </c>
      <c r="N21" s="70">
        <v>45924.611111111109</v>
      </c>
      <c r="O21" s="66"/>
      <c r="P21" s="69" t="s">
        <v>1376</v>
      </c>
      <c r="Q21" s="69" t="s">
        <v>1377</v>
      </c>
      <c r="R21" s="69" t="s">
        <v>239</v>
      </c>
      <c r="S21" s="69" t="s">
        <v>240</v>
      </c>
      <c r="T21" s="69" t="s">
        <v>1379</v>
      </c>
      <c r="U21" s="69" t="s">
        <v>1380</v>
      </c>
      <c r="V21" s="69" t="s">
        <v>1451</v>
      </c>
      <c r="W21" s="69" t="s">
        <v>145</v>
      </c>
      <c r="X21" s="66">
        <v>0</v>
      </c>
      <c r="Y21" s="69" t="s">
        <v>158</v>
      </c>
      <c r="Z21" s="67" t="s">
        <v>159</v>
      </c>
      <c r="AA21" s="69" t="s">
        <v>1130</v>
      </c>
      <c r="AB21" s="69">
        <v>1</v>
      </c>
      <c r="AC21" s="66">
        <v>0</v>
      </c>
      <c r="AD21" s="54">
        <f>IF(OR(W21="SOPORTE_TELEFÓNICO",W21="ENVÍO"),0,IF(Y21="TIPO I",'BASE DE LIQUIDACION 2025'!$I$4,IF(Y21="TIPO II",'BASE DE LIQUIDACION 2025'!$I$5,IF(Y21="TIPO III",'BASE DE LIQUIDACION 2025'!$I$6,IF(Y21="TIPO IV",'BASE DE LIQUIDACION 2025'!$I$7,'BASE DE LIQUIDACION 2025'!$I$8)))))</f>
        <v>344774.56896</v>
      </c>
      <c r="AE21" s="54">
        <f>IF(OR(W21="SOPORTE_TELEFÓNICO",W21="ENVÍO"),0,IF(Y21="TIPO I",'BASE DE LIQUIDACION 2025'!$J$4,IF(Y21="TIPO II",'BASE DE LIQUIDACION 2025'!$J$5,IF(Y21="TIPO III",'BASE DE LIQUIDACION 2025'!$J$6,IF(Y21="TIPO IV",'BASE DE LIQUIDACION 2025'!$J$7,'BASE DE LIQUIDACION 2025'!$J$8)))))</f>
        <v>110808.27512000001</v>
      </c>
      <c r="AF21" s="54">
        <f>IF(W21="SOPORTE_TELEFÓNICO",'BASE DE LIQUIDACION 2025'!$L$4,IF(W21="ENVÍO",'BASE DE LIQUIDACION 2025'!$K$4,AD21*AB21+AE21*AC21))</f>
        <v>344774.56896</v>
      </c>
    </row>
    <row r="22" spans="1:32" s="56" customFormat="1" ht="13.15" hidden="1">
      <c r="A22" s="69" t="s">
        <v>219</v>
      </c>
      <c r="B22" s="66" t="str">
        <f>VLOOKUP(A22,'CENTRO DE COSTOS'!A:D,4,FALSE)</f>
        <v>MIGUEL JULIÁN HERNÁNDEZ GUARÍN</v>
      </c>
      <c r="C22" s="66" t="str">
        <f>VLOOKUP(A22,'CENTRO DE COSTOS'!A:D,2,FALSE)</f>
        <v>0004-0008</v>
      </c>
      <c r="D22" s="69">
        <v>68001</v>
      </c>
      <c r="E22" s="69">
        <v>2769984</v>
      </c>
      <c r="F22" s="69">
        <v>55098</v>
      </c>
      <c r="G22" s="69" t="s">
        <v>1373</v>
      </c>
      <c r="H22" s="69" t="s">
        <v>221</v>
      </c>
      <c r="I22" s="69" t="s">
        <v>219</v>
      </c>
      <c r="J22" s="69" t="s">
        <v>1452</v>
      </c>
      <c r="K22" s="69" t="s">
        <v>140</v>
      </c>
      <c r="L22" s="69" t="s">
        <v>1453</v>
      </c>
      <c r="M22" s="70">
        <v>45922.333333333343</v>
      </c>
      <c r="N22" s="70">
        <v>45922.533333333333</v>
      </c>
      <c r="O22" s="66"/>
      <c r="P22" s="69" t="s">
        <v>1376</v>
      </c>
      <c r="Q22" s="69" t="s">
        <v>1377</v>
      </c>
      <c r="R22" s="69" t="s">
        <v>239</v>
      </c>
      <c r="S22" s="69" t="s">
        <v>381</v>
      </c>
      <c r="T22" s="69" t="s">
        <v>1379</v>
      </c>
      <c r="U22" s="69" t="s">
        <v>1380</v>
      </c>
      <c r="V22" s="69" t="s">
        <v>1454</v>
      </c>
      <c r="W22" s="69" t="s">
        <v>145</v>
      </c>
      <c r="X22" s="66">
        <v>0</v>
      </c>
      <c r="Y22" s="69" t="s">
        <v>55</v>
      </c>
      <c r="Z22" s="67" t="s">
        <v>159</v>
      </c>
      <c r="AA22" s="69" t="s">
        <v>511</v>
      </c>
      <c r="AB22" s="69">
        <v>1</v>
      </c>
      <c r="AC22" s="66">
        <v>0</v>
      </c>
      <c r="AD22" s="54">
        <f>IF(OR(W22="SOPORTE_TELEFÓNICO",W22="ENVÍO"),0,IF(Y22="TIPO I",'BASE DE LIQUIDACION 2025'!$I$4,IF(Y22="TIPO II",'BASE DE LIQUIDACION 2025'!$I$5,IF(Y22="TIPO III",'BASE DE LIQUIDACION 2025'!$I$6,IF(Y22="TIPO IV",'BASE DE LIQUIDACION 2025'!$I$7,'BASE DE LIQUIDACION 2025'!$I$8)))))</f>
        <v>96001.196280000004</v>
      </c>
      <c r="AE22" s="54">
        <f>IF(OR(W22="SOPORTE_TELEFÓNICO",W22="ENVÍO"),0,IF(Y22="TIPO I",'BASE DE LIQUIDACION 2025'!$J$4,IF(Y22="TIPO II",'BASE DE LIQUIDACION 2025'!$J$5,IF(Y22="TIPO III",'BASE DE LIQUIDACION 2025'!$J$6,IF(Y22="TIPO IV",'BASE DE LIQUIDACION 2025'!$J$7,'BASE DE LIQUIDACION 2025'!$J$8)))))</f>
        <v>57411.974240000003</v>
      </c>
      <c r="AF22" s="54">
        <f>IF(W22="SOPORTE_TELEFÓNICO",'BASE DE LIQUIDACION 2025'!$L$4,IF(W22="ENVÍO",'BASE DE LIQUIDACION 2025'!$K$4,AD22*AB22+AE22*AC22))</f>
        <v>96001.196280000004</v>
      </c>
    </row>
    <row r="23" spans="1:32" s="56" customFormat="1" ht="13.15" hidden="1">
      <c r="A23" s="69" t="s">
        <v>210</v>
      </c>
      <c r="B23" s="66" t="str">
        <f>VLOOKUP(A23,'CENTRO DE COSTOS'!A:D,4,FALSE)</f>
        <v>KEVIN ALEXIS CORZO BUSTOS</v>
      </c>
      <c r="C23" s="66" t="str">
        <f>VLOOKUP(A23,'CENTRO DE COSTOS'!A:D,2,FALSE)</f>
        <v>0004-0007</v>
      </c>
      <c r="D23" s="69">
        <v>50318</v>
      </c>
      <c r="E23" s="69">
        <v>2769507</v>
      </c>
      <c r="F23" s="69">
        <v>48542</v>
      </c>
      <c r="G23" s="69" t="s">
        <v>1373</v>
      </c>
      <c r="H23" s="69" t="s">
        <v>212</v>
      </c>
      <c r="I23" s="69" t="s">
        <v>1455</v>
      </c>
      <c r="J23" s="69" t="s">
        <v>1456</v>
      </c>
      <c r="K23" s="69" t="s">
        <v>140</v>
      </c>
      <c r="L23" s="69" t="s">
        <v>1457</v>
      </c>
      <c r="M23" s="70">
        <v>45920.408333333333</v>
      </c>
      <c r="N23" s="70">
        <v>45923.465277777781</v>
      </c>
      <c r="O23" s="66"/>
      <c r="P23" s="69" t="s">
        <v>1376</v>
      </c>
      <c r="Q23" s="69" t="s">
        <v>1377</v>
      </c>
      <c r="R23" s="69" t="s">
        <v>1378</v>
      </c>
      <c r="S23" s="69" t="s">
        <v>1378</v>
      </c>
      <c r="T23" s="69" t="s">
        <v>1379</v>
      </c>
      <c r="U23" s="69" t="s">
        <v>1380</v>
      </c>
      <c r="V23" s="69" t="s">
        <v>1458</v>
      </c>
      <c r="W23" s="69" t="s">
        <v>145</v>
      </c>
      <c r="X23" s="66">
        <v>0</v>
      </c>
      <c r="Y23" s="69" t="s">
        <v>199</v>
      </c>
      <c r="Z23" s="67" t="s">
        <v>159</v>
      </c>
      <c r="AA23" s="69" t="s">
        <v>1155</v>
      </c>
      <c r="AB23" s="69">
        <v>1</v>
      </c>
      <c r="AC23" s="66">
        <v>0</v>
      </c>
      <c r="AD23" s="54">
        <f>IF(OR(W23="SOPORTE_TELEFÓNICO",W23="ENVÍO"),0,IF(Y23="TIPO I",'BASE DE LIQUIDACION 2025'!$I$4,IF(Y23="TIPO II",'BASE DE LIQUIDACION 2025'!$I$5,IF(Y23="TIPO III",'BASE DE LIQUIDACION 2025'!$I$6,IF(Y23="TIPO IV",'BASE DE LIQUIDACION 2025'!$I$7,'BASE DE LIQUIDACION 2025'!$I$8)))))</f>
        <v>232858.60096000001</v>
      </c>
      <c r="AE23" s="54">
        <f>IF(OR(W23="SOPORTE_TELEFÓNICO",W23="ENVÍO"),0,IF(Y23="TIPO I",'BASE DE LIQUIDACION 2025'!$J$4,IF(Y23="TIPO II",'BASE DE LIQUIDACION 2025'!$J$5,IF(Y23="TIPO III",'BASE DE LIQUIDACION 2025'!$J$6,IF(Y23="TIPO IV",'BASE DE LIQUIDACION 2025'!$J$7,'BASE DE LIQUIDACION 2025'!$J$8)))))</f>
        <v>110808.27512000001</v>
      </c>
      <c r="AF23" s="54">
        <f>IF(W23="SOPORTE_TELEFÓNICO",'BASE DE LIQUIDACION 2025'!$L$4,IF(W23="ENVÍO",'BASE DE LIQUIDACION 2025'!$K$4,AD23*AB23+AE23*AC23))</f>
        <v>232858.60096000001</v>
      </c>
    </row>
    <row r="24" spans="1:32" s="56" customFormat="1" ht="13.15" hidden="1">
      <c r="A24" s="69" t="s">
        <v>210</v>
      </c>
      <c r="B24" s="66" t="str">
        <f>VLOOKUP(A24,'CENTRO DE COSTOS'!A:D,4,FALSE)</f>
        <v>KEVIN ALEXIS CORZO BUSTOS</v>
      </c>
      <c r="C24" s="66" t="str">
        <f>VLOOKUP(A24,'CENTRO DE COSTOS'!A:D,2,FALSE)</f>
        <v>0004-0007</v>
      </c>
      <c r="D24" s="69">
        <v>50568</v>
      </c>
      <c r="E24" s="69">
        <v>2769396</v>
      </c>
      <c r="F24" s="69">
        <v>64589</v>
      </c>
      <c r="G24" s="69" t="s">
        <v>1373</v>
      </c>
      <c r="H24" s="69" t="s">
        <v>212</v>
      </c>
      <c r="I24" s="69" t="s">
        <v>1459</v>
      </c>
      <c r="J24" s="69" t="s">
        <v>1460</v>
      </c>
      <c r="K24" s="69" t="s">
        <v>140</v>
      </c>
      <c r="L24" s="69" t="s">
        <v>1461</v>
      </c>
      <c r="M24" s="70">
        <v>45920.406944444447</v>
      </c>
      <c r="N24" s="70">
        <v>45925.482638888891</v>
      </c>
      <c r="O24" s="66"/>
      <c r="P24" s="69" t="s">
        <v>1376</v>
      </c>
      <c r="Q24" s="69" t="s">
        <v>1377</v>
      </c>
      <c r="R24" s="69" t="s">
        <v>1378</v>
      </c>
      <c r="S24" s="69" t="s">
        <v>1378</v>
      </c>
      <c r="T24" s="69" t="s">
        <v>1379</v>
      </c>
      <c r="U24" s="69" t="s">
        <v>1380</v>
      </c>
      <c r="V24" s="69" t="s">
        <v>1462</v>
      </c>
      <c r="W24" s="69" t="s">
        <v>145</v>
      </c>
      <c r="X24" s="66">
        <v>0</v>
      </c>
      <c r="Y24" s="69" t="s">
        <v>158</v>
      </c>
      <c r="Z24" s="67" t="s">
        <v>159</v>
      </c>
      <c r="AA24" s="69" t="s">
        <v>1155</v>
      </c>
      <c r="AB24" s="69">
        <v>1</v>
      </c>
      <c r="AC24" s="66">
        <v>0</v>
      </c>
      <c r="AD24" s="54">
        <f>IF(OR(W24="SOPORTE_TELEFÓNICO",W24="ENVÍO"),0,IF(Y24="TIPO I",'BASE DE LIQUIDACION 2025'!$I$4,IF(Y24="TIPO II",'BASE DE LIQUIDACION 2025'!$I$5,IF(Y24="TIPO III",'BASE DE LIQUIDACION 2025'!$I$6,IF(Y24="TIPO IV",'BASE DE LIQUIDACION 2025'!$I$7,'BASE DE LIQUIDACION 2025'!$I$8)))))</f>
        <v>344774.56896</v>
      </c>
      <c r="AE24" s="54">
        <f>IF(OR(W24="SOPORTE_TELEFÓNICO",W24="ENVÍO"),0,IF(Y24="TIPO I",'BASE DE LIQUIDACION 2025'!$J$4,IF(Y24="TIPO II",'BASE DE LIQUIDACION 2025'!$J$5,IF(Y24="TIPO III",'BASE DE LIQUIDACION 2025'!$J$6,IF(Y24="TIPO IV",'BASE DE LIQUIDACION 2025'!$J$7,'BASE DE LIQUIDACION 2025'!$J$8)))))</f>
        <v>110808.27512000001</v>
      </c>
      <c r="AF24" s="54">
        <f>IF(W24="SOPORTE_TELEFÓNICO",'BASE DE LIQUIDACION 2025'!$L$4,IF(W24="ENVÍO",'BASE DE LIQUIDACION 2025'!$K$4,AD24*AB24+AE24*AC24))</f>
        <v>344774.56896</v>
      </c>
    </row>
    <row r="25" spans="1:32" s="56" customFormat="1" ht="13.15" hidden="1">
      <c r="A25" s="69" t="s">
        <v>267</v>
      </c>
      <c r="B25" s="66" t="str">
        <f>VLOOKUP(A25,'CENTRO DE COSTOS'!A:D,4,FALSE)</f>
        <v>JUAN SEBASTIÁN RÍOS CASTRILLÓN</v>
      </c>
      <c r="C25" s="66" t="str">
        <f>VLOOKUP(A25,'CENTRO DE COSTOS'!A:D,2,FALSE)</f>
        <v>0004-0005</v>
      </c>
      <c r="D25" s="69">
        <v>5631</v>
      </c>
      <c r="E25" s="69">
        <v>2768584</v>
      </c>
      <c r="F25" s="69">
        <v>79928</v>
      </c>
      <c r="G25" s="69" t="s">
        <v>1373</v>
      </c>
      <c r="H25" s="69" t="s">
        <v>253</v>
      </c>
      <c r="I25" s="69" t="s">
        <v>1463</v>
      </c>
      <c r="J25" s="69" t="s">
        <v>1464</v>
      </c>
      <c r="K25" s="69" t="s">
        <v>140</v>
      </c>
      <c r="L25" s="69" t="s">
        <v>1465</v>
      </c>
      <c r="M25" s="70">
        <v>45920.375</v>
      </c>
      <c r="N25" s="70">
        <v>45924.445138888892</v>
      </c>
      <c r="O25" s="66"/>
      <c r="P25" s="69" t="s">
        <v>1376</v>
      </c>
      <c r="Q25" s="69" t="s">
        <v>1377</v>
      </c>
      <c r="R25" s="69" t="s">
        <v>239</v>
      </c>
      <c r="S25" s="69" t="s">
        <v>240</v>
      </c>
      <c r="T25" s="69" t="s">
        <v>1379</v>
      </c>
      <c r="U25" s="69" t="s">
        <v>1380</v>
      </c>
      <c r="V25" s="69" t="s">
        <v>1466</v>
      </c>
      <c r="W25" s="69" t="s">
        <v>145</v>
      </c>
      <c r="X25" s="66">
        <v>0</v>
      </c>
      <c r="Y25" s="69" t="s">
        <v>55</v>
      </c>
      <c r="Z25" s="67" t="s">
        <v>159</v>
      </c>
      <c r="AA25" s="69" t="s">
        <v>706</v>
      </c>
      <c r="AB25" s="69">
        <v>1</v>
      </c>
      <c r="AC25" s="66">
        <v>0</v>
      </c>
      <c r="AD25" s="54">
        <f>IF(OR(W25="SOPORTE_TELEFÓNICO",W25="ENVÍO"),0,IF(Y25="TIPO I",'BASE DE LIQUIDACION 2025'!$I$4,IF(Y25="TIPO II",'BASE DE LIQUIDACION 2025'!$I$5,IF(Y25="TIPO III",'BASE DE LIQUIDACION 2025'!$I$6,IF(Y25="TIPO IV",'BASE DE LIQUIDACION 2025'!$I$7,'BASE DE LIQUIDACION 2025'!$I$8)))))</f>
        <v>96001.196280000004</v>
      </c>
      <c r="AE25" s="54">
        <f>IF(OR(W25="SOPORTE_TELEFÓNICO",W25="ENVÍO"),0,IF(Y25="TIPO I",'BASE DE LIQUIDACION 2025'!$J$4,IF(Y25="TIPO II",'BASE DE LIQUIDACION 2025'!$J$5,IF(Y25="TIPO III",'BASE DE LIQUIDACION 2025'!$J$6,IF(Y25="TIPO IV",'BASE DE LIQUIDACION 2025'!$J$7,'BASE DE LIQUIDACION 2025'!$J$8)))))</f>
        <v>57411.974240000003</v>
      </c>
      <c r="AF25" s="54">
        <f>IF(W25="SOPORTE_TELEFÓNICO",'BASE DE LIQUIDACION 2025'!$L$4,IF(W25="ENVÍO",'BASE DE LIQUIDACION 2025'!$K$4,AD25*AB25+AE25*AC25))</f>
        <v>96001.196280000004</v>
      </c>
    </row>
    <row r="26" spans="1:32" s="56" customFormat="1" ht="13.15" hidden="1">
      <c r="A26" s="69" t="s">
        <v>168</v>
      </c>
      <c r="B26" s="66" t="str">
        <f>VLOOKUP(A26,'CENTRO DE COSTOS'!A:D,4,FALSE)</f>
        <v>DIEGO FERNANDO HENAO CARDONA</v>
      </c>
      <c r="C26" s="66" t="str">
        <f>VLOOKUP(A26,'CENTRO DE COSTOS'!A:D,2,FALSE)</f>
        <v>0004-0002</v>
      </c>
      <c r="D26" s="69">
        <v>63130</v>
      </c>
      <c r="E26" s="69">
        <v>2767773</v>
      </c>
      <c r="F26" s="69">
        <v>33500</v>
      </c>
      <c r="G26" s="69" t="s">
        <v>1373</v>
      </c>
      <c r="H26" s="69" t="s">
        <v>761</v>
      </c>
      <c r="I26" s="69" t="s">
        <v>1467</v>
      </c>
      <c r="J26" s="69" t="s">
        <v>1468</v>
      </c>
      <c r="K26" s="69" t="s">
        <v>140</v>
      </c>
      <c r="L26" s="69" t="s">
        <v>1469</v>
      </c>
      <c r="M26" s="70">
        <v>45919.649305555547</v>
      </c>
      <c r="N26" s="70">
        <v>45922.537499999999</v>
      </c>
      <c r="O26" s="66"/>
      <c r="P26" s="69" t="s">
        <v>1376</v>
      </c>
      <c r="Q26" s="69" t="s">
        <v>1377</v>
      </c>
      <c r="R26" s="69" t="s">
        <v>1378</v>
      </c>
      <c r="S26" s="69" t="s">
        <v>1378</v>
      </c>
      <c r="T26" s="69" t="s">
        <v>1379</v>
      </c>
      <c r="U26" s="69" t="s">
        <v>1380</v>
      </c>
      <c r="V26" s="69" t="s">
        <v>1470</v>
      </c>
      <c r="W26" s="69" t="s">
        <v>145</v>
      </c>
      <c r="X26" s="66">
        <v>0</v>
      </c>
      <c r="Y26" s="69" t="s">
        <v>199</v>
      </c>
      <c r="Z26" s="67" t="s">
        <v>159</v>
      </c>
      <c r="AA26" s="69" t="s">
        <v>1392</v>
      </c>
      <c r="AB26" s="69">
        <v>1</v>
      </c>
      <c r="AC26" s="66">
        <v>0</v>
      </c>
      <c r="AD26" s="54">
        <f>IF(OR(W26="SOPORTE_TELEFÓNICO",W26="ENVÍO"),0,IF(Y26="TIPO I",'BASE DE LIQUIDACION 2025'!$I$4,IF(Y26="TIPO II",'BASE DE LIQUIDACION 2025'!$I$5,IF(Y26="TIPO III",'BASE DE LIQUIDACION 2025'!$I$6,IF(Y26="TIPO IV",'BASE DE LIQUIDACION 2025'!$I$7,'BASE DE LIQUIDACION 2025'!$I$8)))))</f>
        <v>232858.60096000001</v>
      </c>
      <c r="AE26" s="54">
        <f>IF(OR(W26="SOPORTE_TELEFÓNICO",W26="ENVÍO"),0,IF(Y26="TIPO I",'BASE DE LIQUIDACION 2025'!$J$4,IF(Y26="TIPO II",'BASE DE LIQUIDACION 2025'!$J$5,IF(Y26="TIPO III",'BASE DE LIQUIDACION 2025'!$J$6,IF(Y26="TIPO IV",'BASE DE LIQUIDACION 2025'!$J$7,'BASE DE LIQUIDACION 2025'!$J$8)))))</f>
        <v>110808.27512000001</v>
      </c>
      <c r="AF26" s="54">
        <f>IF(W26="SOPORTE_TELEFÓNICO",'BASE DE LIQUIDACION 2025'!$L$4,IF(W26="ENVÍO",'BASE DE LIQUIDACION 2025'!$K$4,AD26*AB26+AE26*AC26))</f>
        <v>232858.60096000001</v>
      </c>
    </row>
    <row r="27" spans="1:32" s="56" customFormat="1" ht="13.15" hidden="1">
      <c r="A27" s="69" t="s">
        <v>347</v>
      </c>
      <c r="B27" s="66" t="str">
        <f>VLOOKUP(A27,'CENTRO DE COSTOS'!A:D,4,FALSE)</f>
        <v>JOSE MAURICIO HERNANDEZ ROJAS</v>
      </c>
      <c r="C27" s="66" t="str">
        <f>VLOOKUP(A27,'CENTRO DE COSTOS'!A:D,2,FALSE)</f>
        <v>0004-0001</v>
      </c>
      <c r="D27" s="69">
        <v>70001</v>
      </c>
      <c r="E27" s="69">
        <v>2767120</v>
      </c>
      <c r="F27" s="69">
        <v>19213</v>
      </c>
      <c r="G27" s="69" t="s">
        <v>1373</v>
      </c>
      <c r="H27" s="69" t="s">
        <v>349</v>
      </c>
      <c r="I27" s="69" t="s">
        <v>347</v>
      </c>
      <c r="J27" s="69" t="s">
        <v>1471</v>
      </c>
      <c r="K27" s="69" t="s">
        <v>140</v>
      </c>
      <c r="L27" s="69" t="s">
        <v>1472</v>
      </c>
      <c r="M27" s="70">
        <v>45919.564583333333</v>
      </c>
      <c r="N27" s="70">
        <v>45920.487500000003</v>
      </c>
      <c r="O27" s="66"/>
      <c r="P27" s="69" t="s">
        <v>1376</v>
      </c>
      <c r="Q27" s="69" t="s">
        <v>1377</v>
      </c>
      <c r="R27" s="69" t="s">
        <v>1378</v>
      </c>
      <c r="S27" s="69" t="s">
        <v>1378</v>
      </c>
      <c r="T27" s="69" t="s">
        <v>1379</v>
      </c>
      <c r="U27" s="69" t="s">
        <v>1380</v>
      </c>
      <c r="V27" s="69" t="s">
        <v>1473</v>
      </c>
      <c r="W27" s="69" t="s">
        <v>145</v>
      </c>
      <c r="X27" s="66">
        <v>0</v>
      </c>
      <c r="Y27" s="69" t="s">
        <v>55</v>
      </c>
      <c r="Z27" s="67" t="s">
        <v>159</v>
      </c>
      <c r="AA27" s="69" t="s">
        <v>355</v>
      </c>
      <c r="AB27" s="69">
        <v>1</v>
      </c>
      <c r="AC27" s="66">
        <v>0</v>
      </c>
      <c r="AD27" s="54">
        <f>IF(OR(W27="SOPORTE_TELEFÓNICO",W27="ENVÍO"),0,IF(Y27="TIPO I",'BASE DE LIQUIDACION 2025'!$I$4,IF(Y27="TIPO II",'BASE DE LIQUIDACION 2025'!$I$5,IF(Y27="TIPO III",'BASE DE LIQUIDACION 2025'!$I$6,IF(Y27="TIPO IV",'BASE DE LIQUIDACION 2025'!$I$7,'BASE DE LIQUIDACION 2025'!$I$8)))))</f>
        <v>96001.196280000004</v>
      </c>
      <c r="AE27" s="54">
        <f>IF(OR(W27="SOPORTE_TELEFÓNICO",W27="ENVÍO"),0,IF(Y27="TIPO I",'BASE DE LIQUIDACION 2025'!$J$4,IF(Y27="TIPO II",'BASE DE LIQUIDACION 2025'!$J$5,IF(Y27="TIPO III",'BASE DE LIQUIDACION 2025'!$J$6,IF(Y27="TIPO IV",'BASE DE LIQUIDACION 2025'!$J$7,'BASE DE LIQUIDACION 2025'!$J$8)))))</f>
        <v>57411.974240000003</v>
      </c>
      <c r="AF27" s="54">
        <f>IF(W27="SOPORTE_TELEFÓNICO",'BASE DE LIQUIDACION 2025'!$L$4,IF(W27="ENVÍO",'BASE DE LIQUIDACION 2025'!$K$4,AD27*AB27+AE27*AC27))</f>
        <v>96001.196280000004</v>
      </c>
    </row>
    <row r="28" spans="1:32" s="56" customFormat="1" ht="13.15" hidden="1">
      <c r="A28" s="69" t="s">
        <v>168</v>
      </c>
      <c r="B28" s="66" t="str">
        <f>VLOOKUP(A28,'CENTRO DE COSTOS'!A:D,4,FALSE)</f>
        <v>DIEGO FERNANDO HENAO CARDONA</v>
      </c>
      <c r="C28" s="66" t="str">
        <f>VLOOKUP(A28,'CENTRO DE COSTOS'!A:D,2,FALSE)</f>
        <v>0004-0002</v>
      </c>
      <c r="D28" s="69">
        <v>66170</v>
      </c>
      <c r="E28" s="69">
        <v>2765713</v>
      </c>
      <c r="F28" s="69">
        <v>72300</v>
      </c>
      <c r="G28" s="69" t="s">
        <v>1373</v>
      </c>
      <c r="H28" s="69" t="s">
        <v>170</v>
      </c>
      <c r="I28" s="69" t="s">
        <v>1474</v>
      </c>
      <c r="J28" s="69" t="s">
        <v>1475</v>
      </c>
      <c r="K28" s="69" t="s">
        <v>140</v>
      </c>
      <c r="L28" s="69" t="s">
        <v>1476</v>
      </c>
      <c r="M28" s="70">
        <v>45919.436805555553</v>
      </c>
      <c r="N28" s="70">
        <v>45920.484722222223</v>
      </c>
      <c r="O28" s="66"/>
      <c r="P28" s="69" t="s">
        <v>1376</v>
      </c>
      <c r="Q28" s="69" t="s">
        <v>1377</v>
      </c>
      <c r="R28" s="69" t="s">
        <v>1378</v>
      </c>
      <c r="S28" s="69" t="s">
        <v>1378</v>
      </c>
      <c r="T28" s="69" t="s">
        <v>1379</v>
      </c>
      <c r="U28" s="69" t="s">
        <v>1380</v>
      </c>
      <c r="V28" s="69" t="s">
        <v>1477</v>
      </c>
      <c r="W28" s="69" t="s">
        <v>145</v>
      </c>
      <c r="X28" s="66">
        <v>0</v>
      </c>
      <c r="Y28" s="69" t="s">
        <v>55</v>
      </c>
      <c r="Z28" s="67" t="s">
        <v>159</v>
      </c>
      <c r="AA28" s="69" t="s">
        <v>175</v>
      </c>
      <c r="AB28" s="69">
        <v>1</v>
      </c>
      <c r="AC28" s="66">
        <v>0</v>
      </c>
      <c r="AD28" s="54">
        <f>IF(OR(W28="SOPORTE_TELEFÓNICO",W28="ENVÍO"),0,IF(Y28="TIPO I",'BASE DE LIQUIDACION 2025'!$I$4,IF(Y28="TIPO II",'BASE DE LIQUIDACION 2025'!$I$5,IF(Y28="TIPO III",'BASE DE LIQUIDACION 2025'!$I$6,IF(Y28="TIPO IV",'BASE DE LIQUIDACION 2025'!$I$7,'BASE DE LIQUIDACION 2025'!$I$8)))))</f>
        <v>96001.196280000004</v>
      </c>
      <c r="AE28" s="54">
        <f>IF(OR(W28="SOPORTE_TELEFÓNICO",W28="ENVÍO"),0,IF(Y28="TIPO I",'BASE DE LIQUIDACION 2025'!$J$4,IF(Y28="TIPO II",'BASE DE LIQUIDACION 2025'!$J$5,IF(Y28="TIPO III",'BASE DE LIQUIDACION 2025'!$J$6,IF(Y28="TIPO IV",'BASE DE LIQUIDACION 2025'!$J$7,'BASE DE LIQUIDACION 2025'!$J$8)))))</f>
        <v>57411.974240000003</v>
      </c>
      <c r="AF28" s="54">
        <f>IF(W28="SOPORTE_TELEFÓNICO",'BASE DE LIQUIDACION 2025'!$L$4,IF(W28="ENVÍO",'BASE DE LIQUIDACION 2025'!$K$4,AD28*AB28+AE28*AC28))</f>
        <v>96001.196280000004</v>
      </c>
    </row>
    <row r="29" spans="1:32" s="56" customFormat="1" ht="13.15" hidden="1">
      <c r="A29" s="69" t="s">
        <v>210</v>
      </c>
      <c r="B29" s="66" t="str">
        <f>VLOOKUP(A29,'CENTRO DE COSTOS'!A:D,4,FALSE)</f>
        <v>KEVIN ALEXIS CORZO BUSTOS</v>
      </c>
      <c r="C29" s="66" t="str">
        <f>VLOOKUP(A29,'CENTRO DE COSTOS'!A:D,2,FALSE)</f>
        <v>0004-0007</v>
      </c>
      <c r="D29" s="69">
        <v>50001</v>
      </c>
      <c r="E29" s="69">
        <v>2764863</v>
      </c>
      <c r="F29" s="69">
        <v>77812</v>
      </c>
      <c r="G29" s="69" t="s">
        <v>1373</v>
      </c>
      <c r="H29" s="69" t="s">
        <v>212</v>
      </c>
      <c r="I29" s="69" t="s">
        <v>210</v>
      </c>
      <c r="J29" s="69" t="s">
        <v>1478</v>
      </c>
      <c r="K29" s="69" t="s">
        <v>140</v>
      </c>
      <c r="L29" s="69" t="s">
        <v>1479</v>
      </c>
      <c r="M29" s="70">
        <v>45919.39166666667</v>
      </c>
      <c r="N29" s="70">
        <v>45920.547222222223</v>
      </c>
      <c r="O29" s="66"/>
      <c r="P29" s="69" t="s">
        <v>1376</v>
      </c>
      <c r="Q29" s="69" t="s">
        <v>1377</v>
      </c>
      <c r="R29" s="69" t="s">
        <v>1378</v>
      </c>
      <c r="S29" s="69" t="s">
        <v>1378</v>
      </c>
      <c r="T29" s="69" t="s">
        <v>1379</v>
      </c>
      <c r="U29" s="69" t="s">
        <v>1380</v>
      </c>
      <c r="V29" s="69" t="s">
        <v>1480</v>
      </c>
      <c r="W29" s="69" t="s">
        <v>145</v>
      </c>
      <c r="X29" s="66">
        <v>0</v>
      </c>
      <c r="Y29" s="69" t="s">
        <v>55</v>
      </c>
      <c r="Z29" s="67" t="s">
        <v>159</v>
      </c>
      <c r="AA29" s="69" t="s">
        <v>1481</v>
      </c>
      <c r="AB29" s="69">
        <v>1</v>
      </c>
      <c r="AC29" s="66">
        <v>0</v>
      </c>
      <c r="AD29" s="54">
        <f>IF(OR(W29="SOPORTE_TELEFÓNICO",W29="ENVÍO"),0,IF(Y29="TIPO I",'BASE DE LIQUIDACION 2025'!$I$4,IF(Y29="TIPO II",'BASE DE LIQUIDACION 2025'!$I$5,IF(Y29="TIPO III",'BASE DE LIQUIDACION 2025'!$I$6,IF(Y29="TIPO IV",'BASE DE LIQUIDACION 2025'!$I$7,'BASE DE LIQUIDACION 2025'!$I$8)))))</f>
        <v>96001.196280000004</v>
      </c>
      <c r="AE29" s="54">
        <f>IF(OR(W29="SOPORTE_TELEFÓNICO",W29="ENVÍO"),0,IF(Y29="TIPO I",'BASE DE LIQUIDACION 2025'!$J$4,IF(Y29="TIPO II",'BASE DE LIQUIDACION 2025'!$J$5,IF(Y29="TIPO III",'BASE DE LIQUIDACION 2025'!$J$6,IF(Y29="TIPO IV",'BASE DE LIQUIDACION 2025'!$J$7,'BASE DE LIQUIDACION 2025'!$J$8)))))</f>
        <v>57411.974240000003</v>
      </c>
      <c r="AF29" s="54">
        <f>IF(W29="SOPORTE_TELEFÓNICO",'BASE DE LIQUIDACION 2025'!$L$4,IF(W29="ENVÍO",'BASE DE LIQUIDACION 2025'!$K$4,AD29*AB29+AE29*AC29))</f>
        <v>96001.196280000004</v>
      </c>
    </row>
    <row r="30" spans="1:32" s="56" customFormat="1" ht="13.15" hidden="1">
      <c r="A30" s="69" t="s">
        <v>150</v>
      </c>
      <c r="B30" s="66" t="str">
        <f>VLOOKUP(A30,'CENTRO DE COSTOS'!A:D,4,FALSE)</f>
        <v>DIEGO FERNANDO HENAO CARDONA</v>
      </c>
      <c r="C30" s="66" t="str">
        <f>VLOOKUP(A30,'CENTRO DE COSTOS'!A:D,2,FALSE)</f>
        <v>0004-0003</v>
      </c>
      <c r="D30" s="69">
        <v>76001</v>
      </c>
      <c r="E30" s="69">
        <v>2760891</v>
      </c>
      <c r="F30" s="69">
        <v>77340</v>
      </c>
      <c r="G30" s="69" t="s">
        <v>1373</v>
      </c>
      <c r="H30" s="69" t="s">
        <v>229</v>
      </c>
      <c r="I30" s="69" t="s">
        <v>150</v>
      </c>
      <c r="J30" s="69" t="s">
        <v>1482</v>
      </c>
      <c r="K30" s="69" t="s">
        <v>140</v>
      </c>
      <c r="L30" s="69" t="s">
        <v>1483</v>
      </c>
      <c r="M30" s="70">
        <v>45918.506944444453</v>
      </c>
      <c r="N30" s="70">
        <v>45919.549305555563</v>
      </c>
      <c r="O30" s="66"/>
      <c r="P30" s="69" t="s">
        <v>1376</v>
      </c>
      <c r="Q30" s="69" t="s">
        <v>1377</v>
      </c>
      <c r="R30" s="69" t="s">
        <v>1378</v>
      </c>
      <c r="S30" s="69" t="s">
        <v>1378</v>
      </c>
      <c r="T30" s="69" t="s">
        <v>1379</v>
      </c>
      <c r="U30" s="69" t="s">
        <v>1380</v>
      </c>
      <c r="V30" s="69" t="s">
        <v>1484</v>
      </c>
      <c r="W30" s="69" t="s">
        <v>145</v>
      </c>
      <c r="X30" s="66">
        <v>0</v>
      </c>
      <c r="Y30" s="69" t="s">
        <v>55</v>
      </c>
      <c r="Z30" s="67" t="s">
        <v>159</v>
      </c>
      <c r="AA30" s="69" t="s">
        <v>538</v>
      </c>
      <c r="AB30" s="69">
        <v>1</v>
      </c>
      <c r="AC30" s="66">
        <v>0</v>
      </c>
      <c r="AD30" s="54">
        <f>IF(OR(W30="SOPORTE_TELEFÓNICO",W30="ENVÍO"),0,IF(Y30="TIPO I",'BASE DE LIQUIDACION 2025'!$I$4,IF(Y30="TIPO II",'BASE DE LIQUIDACION 2025'!$I$5,IF(Y30="TIPO III",'BASE DE LIQUIDACION 2025'!$I$6,IF(Y30="TIPO IV",'BASE DE LIQUIDACION 2025'!$I$7,'BASE DE LIQUIDACION 2025'!$I$8)))))</f>
        <v>96001.196280000004</v>
      </c>
      <c r="AE30" s="54">
        <f>IF(OR(W30="SOPORTE_TELEFÓNICO",W30="ENVÍO"),0,IF(Y30="TIPO I",'BASE DE LIQUIDACION 2025'!$J$4,IF(Y30="TIPO II",'BASE DE LIQUIDACION 2025'!$J$5,IF(Y30="TIPO III",'BASE DE LIQUIDACION 2025'!$J$6,IF(Y30="TIPO IV",'BASE DE LIQUIDACION 2025'!$J$7,'BASE DE LIQUIDACION 2025'!$J$8)))))</f>
        <v>57411.974240000003</v>
      </c>
      <c r="AF30" s="54">
        <f>IF(W30="SOPORTE_TELEFÓNICO",'BASE DE LIQUIDACION 2025'!$L$4,IF(W30="ENVÍO",'BASE DE LIQUIDACION 2025'!$K$4,AD30*AB30+AE30*AC30))</f>
        <v>96001.196280000004</v>
      </c>
    </row>
    <row r="31" spans="1:32" s="56" customFormat="1" ht="13.15">
      <c r="A31" s="69" t="s">
        <v>267</v>
      </c>
      <c r="B31" s="66" t="str">
        <f>VLOOKUP(A31,'CENTRO DE COSTOS'!A:D,4,FALSE)</f>
        <v>JUAN SEBASTIÁN RÍOS CASTRILLÓN</v>
      </c>
      <c r="C31" s="66" t="str">
        <f>VLOOKUP(A31,'CENTRO DE COSTOS'!A:D,2,FALSE)</f>
        <v>0004-0005</v>
      </c>
      <c r="D31" s="69">
        <v>27361</v>
      </c>
      <c r="E31" s="69">
        <v>2758837</v>
      </c>
      <c r="F31" s="69">
        <v>46851</v>
      </c>
      <c r="G31" s="69" t="s">
        <v>1373</v>
      </c>
      <c r="H31" s="69" t="s">
        <v>972</v>
      </c>
      <c r="I31" s="69" t="s">
        <v>1485</v>
      </c>
      <c r="J31" s="69" t="s">
        <v>1486</v>
      </c>
      <c r="K31" s="69" t="s">
        <v>140</v>
      </c>
      <c r="L31" s="69" t="s">
        <v>1487</v>
      </c>
      <c r="M31" s="70">
        <v>45918.366666666669</v>
      </c>
      <c r="N31" s="70">
        <v>45925.334027777782</v>
      </c>
      <c r="O31" s="66"/>
      <c r="P31" s="69" t="s">
        <v>1376</v>
      </c>
      <c r="Q31" s="69" t="s">
        <v>1377</v>
      </c>
      <c r="R31" s="69" t="s">
        <v>239</v>
      </c>
      <c r="S31" s="69" t="s">
        <v>240</v>
      </c>
      <c r="T31" s="69" t="s">
        <v>1433</v>
      </c>
      <c r="U31" s="69" t="s">
        <v>1488</v>
      </c>
      <c r="V31" s="69" t="s">
        <v>1489</v>
      </c>
      <c r="W31" s="69" t="s">
        <v>145</v>
      </c>
      <c r="X31" s="66">
        <v>0</v>
      </c>
      <c r="Y31" s="69" t="s">
        <v>147</v>
      </c>
      <c r="Z31" s="67" t="s">
        <v>190</v>
      </c>
      <c r="AA31" s="69" t="s">
        <v>1490</v>
      </c>
      <c r="AB31" s="69">
        <v>1</v>
      </c>
      <c r="AC31" s="66">
        <v>0</v>
      </c>
      <c r="AD31" s="54">
        <f>IF(OR(W31="SOPORTE_TELEFÓNICO",W31="ENVÍO"),0,IF(Y31="TIPO I",'BASE DE LIQUIDACION 2025'!$I$4,IF(Y31="TIPO II",'BASE DE LIQUIDACION 2025'!$I$5,IF(Y31="TIPO III",'BASE DE LIQUIDACION 2025'!$I$6,IF(Y31="TIPO IV",'BASE DE LIQUIDACION 2025'!$I$7,'BASE DE LIQUIDACION 2025'!$I$8)))))</f>
        <v>548633.63271999999</v>
      </c>
      <c r="AE31" s="54">
        <f>IF(OR(W31="SOPORTE_TELEFÓNICO",W31="ENVÍO"),0,IF(Y31="TIPO I",'BASE DE LIQUIDACION 2025'!$J$4,IF(Y31="TIPO II",'BASE DE LIQUIDACION 2025'!$J$5,IF(Y31="TIPO III",'BASE DE LIQUIDACION 2025'!$J$6,IF(Y31="TIPO IV",'BASE DE LIQUIDACION 2025'!$J$7,'BASE DE LIQUIDACION 2025'!$J$8)))))</f>
        <v>110808.27512000001</v>
      </c>
      <c r="AF31" s="54">
        <f>IF(W31="SOPORTE_TELEFÓNICO",'BASE DE LIQUIDACION 2025'!$L$4,IF(W31="ENVÍO",'BASE DE LIQUIDACION 2025'!$K$4,AD31*AB31+AE31*AC31))</f>
        <v>548633.63271999999</v>
      </c>
    </row>
    <row r="32" spans="1:32" s="56" customFormat="1" ht="13.15" hidden="1">
      <c r="A32" s="69" t="s">
        <v>210</v>
      </c>
      <c r="B32" s="66" t="str">
        <f>VLOOKUP(A32,'CENTRO DE COSTOS'!A:D,4,FALSE)</f>
        <v>KEVIN ALEXIS CORZO BUSTOS</v>
      </c>
      <c r="C32" s="66" t="str">
        <f>VLOOKUP(A32,'CENTRO DE COSTOS'!A:D,2,FALSE)</f>
        <v>0004-0007</v>
      </c>
      <c r="D32" s="69">
        <v>50001</v>
      </c>
      <c r="E32" s="69">
        <v>2757569</v>
      </c>
      <c r="F32" s="69">
        <v>60580</v>
      </c>
      <c r="G32" s="69" t="s">
        <v>1373</v>
      </c>
      <c r="H32" s="69" t="s">
        <v>212</v>
      </c>
      <c r="I32" s="69" t="s">
        <v>210</v>
      </c>
      <c r="J32" s="69" t="s">
        <v>1491</v>
      </c>
      <c r="K32" s="69" t="s">
        <v>140</v>
      </c>
      <c r="L32" s="69" t="s">
        <v>1492</v>
      </c>
      <c r="M32" s="70">
        <v>45918.333333333343</v>
      </c>
      <c r="N32" s="70">
        <v>45919.54583333333</v>
      </c>
      <c r="O32" s="66"/>
      <c r="P32" s="69" t="s">
        <v>1376</v>
      </c>
      <c r="Q32" s="69" t="s">
        <v>1377</v>
      </c>
      <c r="R32" s="69" t="s">
        <v>1378</v>
      </c>
      <c r="S32" s="69" t="s">
        <v>1378</v>
      </c>
      <c r="T32" s="69" t="s">
        <v>1379</v>
      </c>
      <c r="U32" s="69" t="s">
        <v>1380</v>
      </c>
      <c r="V32" s="69" t="s">
        <v>1493</v>
      </c>
      <c r="W32" s="69" t="s">
        <v>145</v>
      </c>
      <c r="X32" s="66">
        <v>0</v>
      </c>
      <c r="Y32" s="69" t="s">
        <v>55</v>
      </c>
      <c r="Z32" s="67" t="s">
        <v>159</v>
      </c>
      <c r="AA32" s="69" t="s">
        <v>1278</v>
      </c>
      <c r="AB32" s="69">
        <v>1</v>
      </c>
      <c r="AC32" s="66">
        <v>0</v>
      </c>
      <c r="AD32" s="54">
        <f>IF(OR(W32="SOPORTE_TELEFÓNICO",W32="ENVÍO"),0,IF(Y32="TIPO I",'BASE DE LIQUIDACION 2025'!$I$4,IF(Y32="TIPO II",'BASE DE LIQUIDACION 2025'!$I$5,IF(Y32="TIPO III",'BASE DE LIQUIDACION 2025'!$I$6,IF(Y32="TIPO IV",'BASE DE LIQUIDACION 2025'!$I$7,'BASE DE LIQUIDACION 2025'!$I$8)))))</f>
        <v>96001.196280000004</v>
      </c>
      <c r="AE32" s="54">
        <f>IF(OR(W32="SOPORTE_TELEFÓNICO",W32="ENVÍO"),0,IF(Y32="TIPO I",'BASE DE LIQUIDACION 2025'!$J$4,IF(Y32="TIPO II",'BASE DE LIQUIDACION 2025'!$J$5,IF(Y32="TIPO III",'BASE DE LIQUIDACION 2025'!$J$6,IF(Y32="TIPO IV",'BASE DE LIQUIDACION 2025'!$J$7,'BASE DE LIQUIDACION 2025'!$J$8)))))</f>
        <v>57411.974240000003</v>
      </c>
      <c r="AF32" s="54">
        <f>IF(W32="SOPORTE_TELEFÓNICO",'BASE DE LIQUIDACION 2025'!$L$4,IF(W32="ENVÍO",'BASE DE LIQUIDACION 2025'!$K$4,AD32*AB32+AE32*AC32))</f>
        <v>96001.196280000004</v>
      </c>
    </row>
    <row r="33" spans="1:32" s="56" customFormat="1" ht="13.15" hidden="1">
      <c r="A33" s="69" t="s">
        <v>518</v>
      </c>
      <c r="B33" s="66" t="str">
        <f>VLOOKUP(A33,'CENTRO DE COSTOS'!A:D,4,FALSE)</f>
        <v>KEVIN ALEXIS CORZO BUSTOS</v>
      </c>
      <c r="C33" s="66" t="str">
        <f>VLOOKUP(A33,'CENTRO DE COSTOS'!A:D,2,FALSE)</f>
        <v>0004-0007</v>
      </c>
      <c r="D33" s="69">
        <v>73001</v>
      </c>
      <c r="E33" s="69">
        <v>2757208</v>
      </c>
      <c r="F33" s="69">
        <v>54471</v>
      </c>
      <c r="G33" s="69" t="s">
        <v>1373</v>
      </c>
      <c r="H33" s="69" t="s">
        <v>520</v>
      </c>
      <c r="I33" s="69" t="s">
        <v>518</v>
      </c>
      <c r="J33" s="69" t="s">
        <v>1494</v>
      </c>
      <c r="K33" s="69" t="s">
        <v>140</v>
      </c>
      <c r="L33" s="69" t="s">
        <v>1495</v>
      </c>
      <c r="M33" s="70">
        <v>45917.696527777778</v>
      </c>
      <c r="N33" s="70">
        <v>45918.644444444442</v>
      </c>
      <c r="O33" s="66"/>
      <c r="P33" s="69" t="s">
        <v>1376</v>
      </c>
      <c r="Q33" s="69" t="s">
        <v>1377</v>
      </c>
      <c r="R33" s="69" t="s">
        <v>1378</v>
      </c>
      <c r="S33" s="69" t="s">
        <v>1378</v>
      </c>
      <c r="T33" s="69" t="s">
        <v>1433</v>
      </c>
      <c r="U33" s="69" t="s">
        <v>1488</v>
      </c>
      <c r="V33" s="69" t="s">
        <v>1496</v>
      </c>
      <c r="W33" s="69" t="s">
        <v>145</v>
      </c>
      <c r="X33" s="66">
        <v>0</v>
      </c>
      <c r="Y33" s="69" t="s">
        <v>55</v>
      </c>
      <c r="Z33" s="67" t="s">
        <v>159</v>
      </c>
      <c r="AA33" s="69" t="s">
        <v>524</v>
      </c>
      <c r="AB33" s="69">
        <v>1</v>
      </c>
      <c r="AC33" s="66">
        <v>0</v>
      </c>
      <c r="AD33" s="54">
        <f>IF(OR(W33="SOPORTE_TELEFÓNICO",W33="ENVÍO"),0,IF(Y33="TIPO I",'BASE DE LIQUIDACION 2025'!$I$4,IF(Y33="TIPO II",'BASE DE LIQUIDACION 2025'!$I$5,IF(Y33="TIPO III",'BASE DE LIQUIDACION 2025'!$I$6,IF(Y33="TIPO IV",'BASE DE LIQUIDACION 2025'!$I$7,'BASE DE LIQUIDACION 2025'!$I$8)))))</f>
        <v>96001.196280000004</v>
      </c>
      <c r="AE33" s="54">
        <f>IF(OR(W33="SOPORTE_TELEFÓNICO",W33="ENVÍO"),0,IF(Y33="TIPO I",'BASE DE LIQUIDACION 2025'!$J$4,IF(Y33="TIPO II",'BASE DE LIQUIDACION 2025'!$J$5,IF(Y33="TIPO III",'BASE DE LIQUIDACION 2025'!$J$6,IF(Y33="TIPO IV",'BASE DE LIQUIDACION 2025'!$J$7,'BASE DE LIQUIDACION 2025'!$J$8)))))</f>
        <v>57411.974240000003</v>
      </c>
      <c r="AF33" s="54">
        <f>IF(W33="SOPORTE_TELEFÓNICO",'BASE DE LIQUIDACION 2025'!$L$4,IF(W33="ENVÍO",'BASE DE LIQUIDACION 2025'!$K$4,AD33*AB33+AE33*AC33))</f>
        <v>96001.196280000004</v>
      </c>
    </row>
    <row r="34" spans="1:32" s="56" customFormat="1" ht="13.15" hidden="1">
      <c r="A34" s="69" t="s">
        <v>282</v>
      </c>
      <c r="B34" s="66" t="str">
        <f>VLOOKUP(A34,'CENTRO DE COSTOS'!A:D,4,FALSE)</f>
        <v>DIEGO FERNANDO HENAO CARDONA</v>
      </c>
      <c r="C34" s="66" t="str">
        <f>VLOOKUP(A34,'CENTRO DE COSTOS'!A:D,2,FALSE)</f>
        <v>0004-0002</v>
      </c>
      <c r="D34" s="69">
        <v>17614</v>
      </c>
      <c r="E34" s="69">
        <v>2755673</v>
      </c>
      <c r="F34" s="69">
        <v>58253</v>
      </c>
      <c r="G34" s="69" t="s">
        <v>1373</v>
      </c>
      <c r="H34" s="69" t="s">
        <v>284</v>
      </c>
      <c r="I34" s="69" t="s">
        <v>285</v>
      </c>
      <c r="J34" s="69" t="s">
        <v>1497</v>
      </c>
      <c r="K34" s="69" t="s">
        <v>140</v>
      </c>
      <c r="L34" s="69" t="s">
        <v>1498</v>
      </c>
      <c r="M34" s="70">
        <v>45917.611111111109</v>
      </c>
      <c r="N34" s="70">
        <v>45922.563194444447</v>
      </c>
      <c r="O34" s="66"/>
      <c r="P34" s="69" t="s">
        <v>1376</v>
      </c>
      <c r="Q34" s="69" t="s">
        <v>1377</v>
      </c>
      <c r="R34" s="69" t="s">
        <v>239</v>
      </c>
      <c r="S34" s="69" t="s">
        <v>240</v>
      </c>
      <c r="T34" s="69" t="s">
        <v>1379</v>
      </c>
      <c r="U34" s="69" t="s">
        <v>1380</v>
      </c>
      <c r="V34" s="69" t="s">
        <v>1499</v>
      </c>
      <c r="W34" s="69" t="s">
        <v>145</v>
      </c>
      <c r="X34" s="66">
        <v>0</v>
      </c>
      <c r="Y34" s="69" t="s">
        <v>199</v>
      </c>
      <c r="Z34" s="67" t="s">
        <v>159</v>
      </c>
      <c r="AA34" s="69" t="s">
        <v>302</v>
      </c>
      <c r="AB34" s="69">
        <v>1</v>
      </c>
      <c r="AC34" s="66">
        <v>0</v>
      </c>
      <c r="AD34" s="54">
        <f>IF(OR(W34="SOPORTE_TELEFÓNICO",W34="ENVÍO"),0,IF(Y34="TIPO I",'BASE DE LIQUIDACION 2025'!$I$4,IF(Y34="TIPO II",'BASE DE LIQUIDACION 2025'!$I$5,IF(Y34="TIPO III",'BASE DE LIQUIDACION 2025'!$I$6,IF(Y34="TIPO IV",'BASE DE LIQUIDACION 2025'!$I$7,'BASE DE LIQUIDACION 2025'!$I$8)))))</f>
        <v>232858.60096000001</v>
      </c>
      <c r="AE34" s="54">
        <f>IF(OR(W34="SOPORTE_TELEFÓNICO",W34="ENVÍO"),0,IF(Y34="TIPO I",'BASE DE LIQUIDACION 2025'!$J$4,IF(Y34="TIPO II",'BASE DE LIQUIDACION 2025'!$J$5,IF(Y34="TIPO III",'BASE DE LIQUIDACION 2025'!$J$6,IF(Y34="TIPO IV",'BASE DE LIQUIDACION 2025'!$J$7,'BASE DE LIQUIDACION 2025'!$J$8)))))</f>
        <v>110808.27512000001</v>
      </c>
      <c r="AF34" s="54">
        <f>IF(W34="SOPORTE_TELEFÓNICO",'BASE DE LIQUIDACION 2025'!$L$4,IF(W34="ENVÍO",'BASE DE LIQUIDACION 2025'!$K$4,AD34*AB34+AE34*AC34))</f>
        <v>232858.60096000001</v>
      </c>
    </row>
    <row r="35" spans="1:32" s="56" customFormat="1" ht="13.15" hidden="1">
      <c r="A35" s="69" t="s">
        <v>267</v>
      </c>
      <c r="B35" s="66" t="str">
        <f>VLOOKUP(A35,'CENTRO DE COSTOS'!A:D,4,FALSE)</f>
        <v>JUAN SEBASTIÁN RÍOS CASTRILLÓN</v>
      </c>
      <c r="C35" s="66" t="str">
        <f>VLOOKUP(A35,'CENTRO DE COSTOS'!A:D,2,FALSE)</f>
        <v>0004-0005</v>
      </c>
      <c r="D35" s="69">
        <v>5001</v>
      </c>
      <c r="E35" s="69">
        <v>2755214</v>
      </c>
      <c r="F35" s="69">
        <v>76485</v>
      </c>
      <c r="G35" s="69" t="s">
        <v>1373</v>
      </c>
      <c r="H35" s="69" t="s">
        <v>253</v>
      </c>
      <c r="I35" s="69" t="s">
        <v>267</v>
      </c>
      <c r="J35" s="69" t="s">
        <v>1500</v>
      </c>
      <c r="K35" s="69" t="s">
        <v>140</v>
      </c>
      <c r="L35" s="69" t="s">
        <v>1501</v>
      </c>
      <c r="M35" s="70">
        <v>45917.570138888892</v>
      </c>
      <c r="N35" s="70">
        <v>45920.468055555553</v>
      </c>
      <c r="O35" s="66"/>
      <c r="P35" s="69" t="s">
        <v>1376</v>
      </c>
      <c r="Q35" s="69" t="s">
        <v>1377</v>
      </c>
      <c r="R35" s="69" t="s">
        <v>1378</v>
      </c>
      <c r="S35" s="69" t="s">
        <v>1378</v>
      </c>
      <c r="T35" s="69" t="s">
        <v>1379</v>
      </c>
      <c r="U35" s="69" t="s">
        <v>1380</v>
      </c>
      <c r="V35" s="69" t="s">
        <v>1502</v>
      </c>
      <c r="W35" s="69" t="s">
        <v>145</v>
      </c>
      <c r="X35" s="66">
        <v>0</v>
      </c>
      <c r="Y35" s="69" t="s">
        <v>55</v>
      </c>
      <c r="Z35" s="67" t="s">
        <v>159</v>
      </c>
      <c r="AA35" s="69" t="s">
        <v>604</v>
      </c>
      <c r="AB35" s="69">
        <v>1</v>
      </c>
      <c r="AC35" s="66">
        <v>0</v>
      </c>
      <c r="AD35" s="54">
        <f>IF(OR(W35="SOPORTE_TELEFÓNICO",W35="ENVÍO"),0,IF(Y35="TIPO I",'BASE DE LIQUIDACION 2025'!$I$4,IF(Y35="TIPO II",'BASE DE LIQUIDACION 2025'!$I$5,IF(Y35="TIPO III",'BASE DE LIQUIDACION 2025'!$I$6,IF(Y35="TIPO IV",'BASE DE LIQUIDACION 2025'!$I$7,'BASE DE LIQUIDACION 2025'!$I$8)))))</f>
        <v>96001.196280000004</v>
      </c>
      <c r="AE35" s="54">
        <f>IF(OR(W35="SOPORTE_TELEFÓNICO",W35="ENVÍO"),0,IF(Y35="TIPO I",'BASE DE LIQUIDACION 2025'!$J$4,IF(Y35="TIPO II",'BASE DE LIQUIDACION 2025'!$J$5,IF(Y35="TIPO III",'BASE DE LIQUIDACION 2025'!$J$6,IF(Y35="TIPO IV",'BASE DE LIQUIDACION 2025'!$J$7,'BASE DE LIQUIDACION 2025'!$J$8)))))</f>
        <v>57411.974240000003</v>
      </c>
      <c r="AF35" s="54">
        <f>IF(W35="SOPORTE_TELEFÓNICO",'BASE DE LIQUIDACION 2025'!$L$4,IF(W35="ENVÍO",'BASE DE LIQUIDACION 2025'!$K$4,AD35*AB35+AE35*AC35))</f>
        <v>96001.196280000004</v>
      </c>
    </row>
    <row r="36" spans="1:32" s="56" customFormat="1" ht="13.15" hidden="1">
      <c r="A36" s="69" t="s">
        <v>267</v>
      </c>
      <c r="B36" s="66" t="str">
        <f>VLOOKUP(A36,'CENTRO DE COSTOS'!A:D,4,FALSE)</f>
        <v>JUAN SEBASTIÁN RÍOS CASTRILLÓN</v>
      </c>
      <c r="C36" s="66" t="str">
        <f>VLOOKUP(A36,'CENTRO DE COSTOS'!A:D,2,FALSE)</f>
        <v>0004-0005</v>
      </c>
      <c r="D36" s="69">
        <v>5591</v>
      </c>
      <c r="E36" s="69">
        <v>2754509</v>
      </c>
      <c r="F36" s="69">
        <v>68666</v>
      </c>
      <c r="G36" s="69" t="s">
        <v>1373</v>
      </c>
      <c r="H36" s="69" t="s">
        <v>253</v>
      </c>
      <c r="I36" s="69" t="s">
        <v>1503</v>
      </c>
      <c r="J36" s="69" t="s">
        <v>1504</v>
      </c>
      <c r="K36" s="69" t="s">
        <v>140</v>
      </c>
      <c r="L36" s="69" t="s">
        <v>1505</v>
      </c>
      <c r="M36" s="70">
        <v>45917.477777777778</v>
      </c>
      <c r="N36" s="70">
        <v>45924.557638888888</v>
      </c>
      <c r="O36" s="66"/>
      <c r="P36" s="69" t="s">
        <v>1376</v>
      </c>
      <c r="Q36" s="69" t="s">
        <v>1377</v>
      </c>
      <c r="R36" s="69" t="s">
        <v>1378</v>
      </c>
      <c r="S36" s="69" t="s">
        <v>1378</v>
      </c>
      <c r="T36" s="69" t="s">
        <v>1379</v>
      </c>
      <c r="U36" s="69" t="s">
        <v>1380</v>
      </c>
      <c r="V36" s="69" t="s">
        <v>1506</v>
      </c>
      <c r="W36" s="69" t="s">
        <v>145</v>
      </c>
      <c r="X36" s="66">
        <v>0</v>
      </c>
      <c r="Y36" s="69" t="s">
        <v>167</v>
      </c>
      <c r="Z36" s="67" t="s">
        <v>159</v>
      </c>
      <c r="AA36" s="69" t="s">
        <v>1507</v>
      </c>
      <c r="AB36" s="69">
        <v>1</v>
      </c>
      <c r="AC36" s="66">
        <v>0</v>
      </c>
      <c r="AD36" s="54">
        <f>IF(OR(W36="SOPORTE_TELEFÓNICO",W36="ENVÍO"),0,IF(Y36="TIPO I",'BASE DE LIQUIDACION 2025'!$I$4,IF(Y36="TIPO II",'BASE DE LIQUIDACION 2025'!$I$5,IF(Y36="TIPO III",'BASE DE LIQUIDACION 2025'!$I$6,IF(Y36="TIPO IV",'BASE DE LIQUIDACION 2025'!$I$7,'BASE DE LIQUIDACION 2025'!$I$8)))))</f>
        <v>548633.63271999999</v>
      </c>
      <c r="AE36" s="54">
        <f>IF(OR(W36="SOPORTE_TELEFÓNICO",W36="ENVÍO"),0,IF(Y36="TIPO I",'BASE DE LIQUIDACION 2025'!$J$4,IF(Y36="TIPO II",'BASE DE LIQUIDACION 2025'!$J$5,IF(Y36="TIPO III",'BASE DE LIQUIDACION 2025'!$J$6,IF(Y36="TIPO IV",'BASE DE LIQUIDACION 2025'!$J$7,'BASE DE LIQUIDACION 2025'!$J$8)))))</f>
        <v>110808.27512000001</v>
      </c>
      <c r="AF36" s="54">
        <f>IF(W36="SOPORTE_TELEFÓNICO",'BASE DE LIQUIDACION 2025'!$L$4,IF(W36="ENVÍO",'BASE DE LIQUIDACION 2025'!$K$4,AD36*AB36+AE36*AC36))</f>
        <v>548633.63271999999</v>
      </c>
    </row>
    <row r="37" spans="1:32" s="56" customFormat="1" ht="13.15" hidden="1">
      <c r="A37" s="69" t="s">
        <v>210</v>
      </c>
      <c r="B37" s="66" t="str">
        <f>VLOOKUP(A37,'CENTRO DE COSTOS'!A:D,4,FALSE)</f>
        <v>KEVIN ALEXIS CORZO BUSTOS</v>
      </c>
      <c r="C37" s="66" t="str">
        <f>VLOOKUP(A37,'CENTRO DE COSTOS'!A:D,2,FALSE)</f>
        <v>0004-0007</v>
      </c>
      <c r="D37" s="69">
        <v>95001</v>
      </c>
      <c r="E37" s="69">
        <v>2754176</v>
      </c>
      <c r="F37" s="69">
        <v>77480</v>
      </c>
      <c r="G37" s="69" t="s">
        <v>1373</v>
      </c>
      <c r="H37" s="69" t="s">
        <v>1508</v>
      </c>
      <c r="I37" s="69" t="s">
        <v>1509</v>
      </c>
      <c r="J37" s="69" t="s">
        <v>1510</v>
      </c>
      <c r="K37" s="69" t="s">
        <v>140</v>
      </c>
      <c r="L37" s="69" t="s">
        <v>1511</v>
      </c>
      <c r="M37" s="70">
        <v>45917.465277777781</v>
      </c>
      <c r="N37" s="70">
        <v>45922.442361111112</v>
      </c>
      <c r="O37" s="66"/>
      <c r="P37" s="69" t="s">
        <v>1376</v>
      </c>
      <c r="Q37" s="69" t="s">
        <v>1377</v>
      </c>
      <c r="R37" s="69" t="s">
        <v>1378</v>
      </c>
      <c r="S37" s="69" t="s">
        <v>1378</v>
      </c>
      <c r="T37" s="69" t="s">
        <v>1379</v>
      </c>
      <c r="U37" s="69" t="s">
        <v>1380</v>
      </c>
      <c r="V37" s="69" t="s">
        <v>1512</v>
      </c>
      <c r="W37" s="69" t="s">
        <v>145</v>
      </c>
      <c r="X37" s="66">
        <v>0</v>
      </c>
      <c r="Y37" s="69" t="s">
        <v>167</v>
      </c>
      <c r="Z37" s="67" t="s">
        <v>159</v>
      </c>
      <c r="AA37" s="69" t="s">
        <v>1278</v>
      </c>
      <c r="AB37" s="69">
        <v>1</v>
      </c>
      <c r="AC37" s="66">
        <v>0</v>
      </c>
      <c r="AD37" s="54">
        <f>IF(OR(W37="SOPORTE_TELEFÓNICO",W37="ENVÍO"),0,IF(Y37="TIPO I",'BASE DE LIQUIDACION 2025'!$I$4,IF(Y37="TIPO II",'BASE DE LIQUIDACION 2025'!$I$5,IF(Y37="TIPO III",'BASE DE LIQUIDACION 2025'!$I$6,IF(Y37="TIPO IV",'BASE DE LIQUIDACION 2025'!$I$7,'BASE DE LIQUIDACION 2025'!$I$8)))))</f>
        <v>548633.63271999999</v>
      </c>
      <c r="AE37" s="54">
        <f>IF(OR(W37="SOPORTE_TELEFÓNICO",W37="ENVÍO"),0,IF(Y37="TIPO I",'BASE DE LIQUIDACION 2025'!$J$4,IF(Y37="TIPO II",'BASE DE LIQUIDACION 2025'!$J$5,IF(Y37="TIPO III",'BASE DE LIQUIDACION 2025'!$J$6,IF(Y37="TIPO IV",'BASE DE LIQUIDACION 2025'!$J$7,'BASE DE LIQUIDACION 2025'!$J$8)))))</f>
        <v>110808.27512000001</v>
      </c>
      <c r="AF37" s="54">
        <f>IF(W37="SOPORTE_TELEFÓNICO",'BASE DE LIQUIDACION 2025'!$L$4,IF(W37="ENVÍO",'BASE DE LIQUIDACION 2025'!$K$4,AD37*AB37+AE37*AC37))</f>
        <v>548633.63271999999</v>
      </c>
    </row>
    <row r="38" spans="1:32" s="56" customFormat="1" ht="13.15" hidden="1">
      <c r="A38" s="69" t="s">
        <v>210</v>
      </c>
      <c r="B38" s="66" t="str">
        <f>VLOOKUP(A38,'CENTRO DE COSTOS'!A:D,4,FALSE)</f>
        <v>KEVIN ALEXIS CORZO BUSTOS</v>
      </c>
      <c r="C38" s="66" t="str">
        <f>VLOOKUP(A38,'CENTRO DE COSTOS'!A:D,2,FALSE)</f>
        <v>0004-0007</v>
      </c>
      <c r="D38" s="69">
        <v>50001</v>
      </c>
      <c r="E38" s="69">
        <v>2753796</v>
      </c>
      <c r="F38" s="69">
        <v>71386</v>
      </c>
      <c r="G38" s="69" t="s">
        <v>1373</v>
      </c>
      <c r="H38" s="69" t="s">
        <v>212</v>
      </c>
      <c r="I38" s="69" t="s">
        <v>210</v>
      </c>
      <c r="J38" s="69" t="s">
        <v>1513</v>
      </c>
      <c r="K38" s="69" t="s">
        <v>140</v>
      </c>
      <c r="L38" s="69" t="s">
        <v>1514</v>
      </c>
      <c r="M38" s="70">
        <v>45917.436111111107</v>
      </c>
      <c r="N38" s="70">
        <v>45918.413194444453</v>
      </c>
      <c r="O38" s="66"/>
      <c r="P38" s="69" t="s">
        <v>1376</v>
      </c>
      <c r="Q38" s="69" t="s">
        <v>1377</v>
      </c>
      <c r="R38" s="69" t="s">
        <v>1378</v>
      </c>
      <c r="S38" s="69" t="s">
        <v>1378</v>
      </c>
      <c r="T38" s="69" t="s">
        <v>1379</v>
      </c>
      <c r="U38" s="69" t="s">
        <v>1380</v>
      </c>
      <c r="V38" s="69" t="s">
        <v>1515</v>
      </c>
      <c r="W38" s="69" t="s">
        <v>145</v>
      </c>
      <c r="X38" s="66">
        <v>0</v>
      </c>
      <c r="Y38" s="69" t="s">
        <v>55</v>
      </c>
      <c r="Z38" s="67" t="s">
        <v>159</v>
      </c>
      <c r="AA38" s="69" t="s">
        <v>1155</v>
      </c>
      <c r="AB38" s="69">
        <v>1</v>
      </c>
      <c r="AC38" s="66">
        <v>0</v>
      </c>
      <c r="AD38" s="54">
        <f>IF(OR(W38="SOPORTE_TELEFÓNICO",W38="ENVÍO"),0,IF(Y38="TIPO I",'BASE DE LIQUIDACION 2025'!$I$4,IF(Y38="TIPO II",'BASE DE LIQUIDACION 2025'!$I$5,IF(Y38="TIPO III",'BASE DE LIQUIDACION 2025'!$I$6,IF(Y38="TIPO IV",'BASE DE LIQUIDACION 2025'!$I$7,'BASE DE LIQUIDACION 2025'!$I$8)))))</f>
        <v>96001.196280000004</v>
      </c>
      <c r="AE38" s="54">
        <f>IF(OR(W38="SOPORTE_TELEFÓNICO",W38="ENVÍO"),0,IF(Y38="TIPO I",'BASE DE LIQUIDACION 2025'!$J$4,IF(Y38="TIPO II",'BASE DE LIQUIDACION 2025'!$J$5,IF(Y38="TIPO III",'BASE DE LIQUIDACION 2025'!$J$6,IF(Y38="TIPO IV",'BASE DE LIQUIDACION 2025'!$J$7,'BASE DE LIQUIDACION 2025'!$J$8)))))</f>
        <v>57411.974240000003</v>
      </c>
      <c r="AF38" s="54">
        <f>IF(W38="SOPORTE_TELEFÓNICO",'BASE DE LIQUIDACION 2025'!$L$4,IF(W38="ENVÍO",'BASE DE LIQUIDACION 2025'!$K$4,AD38*AB38+AE38*AC38))</f>
        <v>96001.196280000004</v>
      </c>
    </row>
    <row r="39" spans="1:32" s="56" customFormat="1" ht="13.15" hidden="1">
      <c r="A39" s="69" t="s">
        <v>432</v>
      </c>
      <c r="B39" s="66" t="str">
        <f>VLOOKUP(A39,'CENTRO DE COSTOS'!A:D,4,FALSE)</f>
        <v>WILLIAM ASDRUBAL ROZO ROZO</v>
      </c>
      <c r="C39" s="66" t="str">
        <f>VLOOKUP(A39,'CENTRO DE COSTOS'!A:D,2,FALSE)</f>
        <v>0004-0004</v>
      </c>
      <c r="D39" s="69">
        <v>11001</v>
      </c>
      <c r="E39" s="69">
        <v>2751095</v>
      </c>
      <c r="F39" s="69">
        <v>62351</v>
      </c>
      <c r="G39" s="69" t="s">
        <v>1373</v>
      </c>
      <c r="H39" s="69" t="s">
        <v>434</v>
      </c>
      <c r="I39" s="69" t="s">
        <v>432</v>
      </c>
      <c r="J39" s="69" t="s">
        <v>1516</v>
      </c>
      <c r="K39" s="69" t="s">
        <v>140</v>
      </c>
      <c r="L39" s="69" t="s">
        <v>1517</v>
      </c>
      <c r="M39" s="70">
        <v>45916.73333333333</v>
      </c>
      <c r="N39" s="70">
        <v>45918.618750000001</v>
      </c>
      <c r="O39" s="66"/>
      <c r="P39" s="69" t="s">
        <v>1376</v>
      </c>
      <c r="Q39" s="69" t="s">
        <v>1377</v>
      </c>
      <c r="R39" s="69" t="s">
        <v>1378</v>
      </c>
      <c r="S39" s="69" t="s">
        <v>1378</v>
      </c>
      <c r="T39" s="69" t="s">
        <v>1379</v>
      </c>
      <c r="U39" s="69" t="s">
        <v>1380</v>
      </c>
      <c r="V39" s="69" t="s">
        <v>1518</v>
      </c>
      <c r="W39" s="69" t="s">
        <v>145</v>
      </c>
      <c r="X39" s="66">
        <v>0</v>
      </c>
      <c r="Y39" s="69" t="s">
        <v>55</v>
      </c>
      <c r="Z39" s="67" t="s">
        <v>159</v>
      </c>
      <c r="AA39" s="69" t="s">
        <v>1519</v>
      </c>
      <c r="AB39" s="69">
        <v>1</v>
      </c>
      <c r="AC39" s="66">
        <v>0</v>
      </c>
      <c r="AD39" s="54">
        <f>IF(OR(W39="SOPORTE_TELEFÓNICO",W39="ENVÍO"),0,IF(Y39="TIPO I",'BASE DE LIQUIDACION 2025'!$I$4,IF(Y39="TIPO II",'BASE DE LIQUIDACION 2025'!$I$5,IF(Y39="TIPO III",'BASE DE LIQUIDACION 2025'!$I$6,IF(Y39="TIPO IV",'BASE DE LIQUIDACION 2025'!$I$7,'BASE DE LIQUIDACION 2025'!$I$8)))))</f>
        <v>96001.196280000004</v>
      </c>
      <c r="AE39" s="54">
        <f>IF(OR(W39="SOPORTE_TELEFÓNICO",W39="ENVÍO"),0,IF(Y39="TIPO I",'BASE DE LIQUIDACION 2025'!$J$4,IF(Y39="TIPO II",'BASE DE LIQUIDACION 2025'!$J$5,IF(Y39="TIPO III",'BASE DE LIQUIDACION 2025'!$J$6,IF(Y39="TIPO IV",'BASE DE LIQUIDACION 2025'!$J$7,'BASE DE LIQUIDACION 2025'!$J$8)))))</f>
        <v>57411.974240000003</v>
      </c>
      <c r="AF39" s="54">
        <f>IF(W39="SOPORTE_TELEFÓNICO",'BASE DE LIQUIDACION 2025'!$L$4,IF(W39="ENVÍO",'BASE DE LIQUIDACION 2025'!$K$4,AD39*AB39+AE39*AC39))</f>
        <v>96001.196280000004</v>
      </c>
    </row>
    <row r="40" spans="1:32" s="56" customFormat="1" ht="13.15" hidden="1">
      <c r="A40" s="69" t="s">
        <v>176</v>
      </c>
      <c r="B40" s="66" t="str">
        <f>VLOOKUP(A40,'CENTRO DE COSTOS'!A:D,4,FALSE)</f>
        <v>JOSE MAURICIO HERNANDEZ ROJAS</v>
      </c>
      <c r="C40" s="66" t="str">
        <f>VLOOKUP(A40,'CENTRO DE COSTOS'!A:D,2,FALSE)</f>
        <v>0004-0001</v>
      </c>
      <c r="D40" s="69">
        <v>23001</v>
      </c>
      <c r="E40" s="69">
        <v>2751025</v>
      </c>
      <c r="F40" s="69">
        <v>80898</v>
      </c>
      <c r="G40" s="69" t="s">
        <v>1373</v>
      </c>
      <c r="H40" s="69" t="s">
        <v>178</v>
      </c>
      <c r="I40" s="69" t="s">
        <v>176</v>
      </c>
      <c r="J40" s="69" t="s">
        <v>1520</v>
      </c>
      <c r="K40" s="69" t="s">
        <v>140</v>
      </c>
      <c r="L40" s="69" t="s">
        <v>1521</v>
      </c>
      <c r="M40" s="70">
        <v>45916.711111111108</v>
      </c>
      <c r="N40" s="70">
        <v>45918.495833333327</v>
      </c>
      <c r="O40" s="66"/>
      <c r="P40" s="69" t="s">
        <v>1376</v>
      </c>
      <c r="Q40" s="69" t="s">
        <v>1377</v>
      </c>
      <c r="R40" s="69" t="s">
        <v>142</v>
      </c>
      <c r="S40" s="69" t="s">
        <v>142</v>
      </c>
      <c r="T40" s="69" t="s">
        <v>1379</v>
      </c>
      <c r="U40" s="69" t="s">
        <v>1380</v>
      </c>
      <c r="V40" s="69" t="s">
        <v>1522</v>
      </c>
      <c r="W40" s="69" t="s">
        <v>145</v>
      </c>
      <c r="X40" s="66">
        <v>0</v>
      </c>
      <c r="Y40" s="69" t="s">
        <v>55</v>
      </c>
      <c r="Z40" s="67" t="s">
        <v>159</v>
      </c>
      <c r="AA40" s="69" t="s">
        <v>183</v>
      </c>
      <c r="AB40" s="69">
        <v>1</v>
      </c>
      <c r="AC40" s="66">
        <v>0</v>
      </c>
      <c r="AD40" s="54">
        <f>IF(OR(W40="SOPORTE_TELEFÓNICO",W40="ENVÍO"),0,IF(Y40="TIPO I",'BASE DE LIQUIDACION 2025'!$I$4,IF(Y40="TIPO II",'BASE DE LIQUIDACION 2025'!$I$5,IF(Y40="TIPO III",'BASE DE LIQUIDACION 2025'!$I$6,IF(Y40="TIPO IV",'BASE DE LIQUIDACION 2025'!$I$7,'BASE DE LIQUIDACION 2025'!$I$8)))))</f>
        <v>96001.196280000004</v>
      </c>
      <c r="AE40" s="54">
        <f>IF(OR(W40="SOPORTE_TELEFÓNICO",W40="ENVÍO"),0,IF(Y40="TIPO I",'BASE DE LIQUIDACION 2025'!$J$4,IF(Y40="TIPO II",'BASE DE LIQUIDACION 2025'!$J$5,IF(Y40="TIPO III",'BASE DE LIQUIDACION 2025'!$J$6,IF(Y40="TIPO IV",'BASE DE LIQUIDACION 2025'!$J$7,'BASE DE LIQUIDACION 2025'!$J$8)))))</f>
        <v>57411.974240000003</v>
      </c>
      <c r="AF40" s="54">
        <f>IF(W40="SOPORTE_TELEFÓNICO",'BASE DE LIQUIDACION 2025'!$L$4,IF(W40="ENVÍO",'BASE DE LIQUIDACION 2025'!$K$4,AD40*AB40+AE40*AC40))</f>
        <v>96001.196280000004</v>
      </c>
    </row>
    <row r="41" spans="1:32" s="56" customFormat="1" ht="13.15" hidden="1">
      <c r="A41" s="69" t="s">
        <v>309</v>
      </c>
      <c r="B41" s="66" t="str">
        <f>VLOOKUP(A41,'CENTRO DE COSTOS'!A:D,4,FALSE)</f>
        <v>MIGUEL JULIÁN HERNÁNDEZ GUARÍN</v>
      </c>
      <c r="C41" s="66" t="str">
        <f>VLOOKUP(A41,'CENTRO DE COSTOS'!A:D,2,FALSE)</f>
        <v>0004-0008</v>
      </c>
      <c r="D41" s="69">
        <v>54001</v>
      </c>
      <c r="E41" s="69">
        <v>2748030</v>
      </c>
      <c r="F41" s="69">
        <v>57163</v>
      </c>
      <c r="G41" s="69" t="s">
        <v>1373</v>
      </c>
      <c r="H41" s="69" t="s">
        <v>311</v>
      </c>
      <c r="I41" s="69" t="s">
        <v>309</v>
      </c>
      <c r="J41" s="69" t="s">
        <v>486</v>
      </c>
      <c r="K41" s="69" t="s">
        <v>140</v>
      </c>
      <c r="L41" s="69" t="s">
        <v>1523</v>
      </c>
      <c r="M41" s="70">
        <v>45916.477777777778</v>
      </c>
      <c r="N41" s="70">
        <v>45917.503472222219</v>
      </c>
      <c r="O41" s="66"/>
      <c r="P41" s="69" t="s">
        <v>1376</v>
      </c>
      <c r="Q41" s="69" t="s">
        <v>1377</v>
      </c>
      <c r="R41" s="69" t="s">
        <v>239</v>
      </c>
      <c r="S41" s="69" t="s">
        <v>381</v>
      </c>
      <c r="T41" s="69" t="s">
        <v>1379</v>
      </c>
      <c r="U41" s="69" t="s">
        <v>1380</v>
      </c>
      <c r="V41" s="69" t="s">
        <v>1524</v>
      </c>
      <c r="W41" s="69" t="s">
        <v>145</v>
      </c>
      <c r="X41" s="66">
        <v>0</v>
      </c>
      <c r="Y41" s="69" t="s">
        <v>55</v>
      </c>
      <c r="Z41" s="67" t="s">
        <v>159</v>
      </c>
      <c r="AA41" s="69" t="s">
        <v>316</v>
      </c>
      <c r="AB41" s="69">
        <v>1</v>
      </c>
      <c r="AC41" s="66">
        <v>0</v>
      </c>
      <c r="AD41" s="54">
        <f>IF(OR(W41="SOPORTE_TELEFÓNICO",W41="ENVÍO"),0,IF(Y41="TIPO I",'BASE DE LIQUIDACION 2025'!$I$4,IF(Y41="TIPO II",'BASE DE LIQUIDACION 2025'!$I$5,IF(Y41="TIPO III",'BASE DE LIQUIDACION 2025'!$I$6,IF(Y41="TIPO IV",'BASE DE LIQUIDACION 2025'!$I$7,'BASE DE LIQUIDACION 2025'!$I$8)))))</f>
        <v>96001.196280000004</v>
      </c>
      <c r="AE41" s="54">
        <f>IF(OR(W41="SOPORTE_TELEFÓNICO",W41="ENVÍO"),0,IF(Y41="TIPO I",'BASE DE LIQUIDACION 2025'!$J$4,IF(Y41="TIPO II",'BASE DE LIQUIDACION 2025'!$J$5,IF(Y41="TIPO III",'BASE DE LIQUIDACION 2025'!$J$6,IF(Y41="TIPO IV",'BASE DE LIQUIDACION 2025'!$J$7,'BASE DE LIQUIDACION 2025'!$J$8)))))</f>
        <v>57411.974240000003</v>
      </c>
      <c r="AF41" s="54">
        <f>IF(W41="SOPORTE_TELEFÓNICO",'BASE DE LIQUIDACION 2025'!$L$4,IF(W41="ENVÍO",'BASE DE LIQUIDACION 2025'!$K$4,AD41*AB41+AE41*AC41))</f>
        <v>96001.196280000004</v>
      </c>
    </row>
    <row r="42" spans="1:32" s="56" customFormat="1" ht="13.15" hidden="1">
      <c r="A42" s="69" t="s">
        <v>168</v>
      </c>
      <c r="B42" s="66" t="str">
        <f>VLOOKUP(A42,'CENTRO DE COSTOS'!A:D,4,FALSE)</f>
        <v>DIEGO FERNANDO HENAO CARDONA</v>
      </c>
      <c r="C42" s="66" t="str">
        <f>VLOOKUP(A42,'CENTRO DE COSTOS'!A:D,2,FALSE)</f>
        <v>0004-0002</v>
      </c>
      <c r="D42" s="69">
        <v>66001</v>
      </c>
      <c r="E42" s="69">
        <v>2747412</v>
      </c>
      <c r="F42" s="69">
        <v>62028</v>
      </c>
      <c r="G42" s="69" t="s">
        <v>1373</v>
      </c>
      <c r="H42" s="69" t="s">
        <v>170</v>
      </c>
      <c r="I42" s="69" t="s">
        <v>168</v>
      </c>
      <c r="J42" s="69" t="s">
        <v>1525</v>
      </c>
      <c r="K42" s="69" t="s">
        <v>140</v>
      </c>
      <c r="L42" s="69" t="s">
        <v>1526</v>
      </c>
      <c r="M42" s="70">
        <v>45916.438194444447</v>
      </c>
      <c r="N42" s="70">
        <v>45918.478472222218</v>
      </c>
      <c r="O42" s="66"/>
      <c r="P42" s="69" t="s">
        <v>1376</v>
      </c>
      <c r="Q42" s="69" t="s">
        <v>1377</v>
      </c>
      <c r="R42" s="69" t="s">
        <v>239</v>
      </c>
      <c r="S42" s="69" t="s">
        <v>240</v>
      </c>
      <c r="T42" s="69" t="s">
        <v>1379</v>
      </c>
      <c r="U42" s="69" t="s">
        <v>1380</v>
      </c>
      <c r="V42" s="69" t="s">
        <v>1527</v>
      </c>
      <c r="W42" s="69" t="s">
        <v>145</v>
      </c>
      <c r="X42" s="66">
        <v>0</v>
      </c>
      <c r="Y42" s="69" t="s">
        <v>55</v>
      </c>
      <c r="Z42" s="67" t="s">
        <v>159</v>
      </c>
      <c r="AA42" s="69" t="s">
        <v>1392</v>
      </c>
      <c r="AB42" s="69">
        <v>1</v>
      </c>
      <c r="AC42" s="66">
        <v>0</v>
      </c>
      <c r="AD42" s="54">
        <f>IF(OR(W42="SOPORTE_TELEFÓNICO",W42="ENVÍO"),0,IF(Y42="TIPO I",'BASE DE LIQUIDACION 2025'!$I$4,IF(Y42="TIPO II",'BASE DE LIQUIDACION 2025'!$I$5,IF(Y42="TIPO III",'BASE DE LIQUIDACION 2025'!$I$6,IF(Y42="TIPO IV",'BASE DE LIQUIDACION 2025'!$I$7,'BASE DE LIQUIDACION 2025'!$I$8)))))</f>
        <v>96001.196280000004</v>
      </c>
      <c r="AE42" s="54">
        <f>IF(OR(W42="SOPORTE_TELEFÓNICO",W42="ENVÍO"),0,IF(Y42="TIPO I",'BASE DE LIQUIDACION 2025'!$J$4,IF(Y42="TIPO II",'BASE DE LIQUIDACION 2025'!$J$5,IF(Y42="TIPO III",'BASE DE LIQUIDACION 2025'!$J$6,IF(Y42="TIPO IV",'BASE DE LIQUIDACION 2025'!$J$7,'BASE DE LIQUIDACION 2025'!$J$8)))))</f>
        <v>57411.974240000003</v>
      </c>
      <c r="AF42" s="54">
        <f>IF(W42="SOPORTE_TELEFÓNICO",'BASE DE LIQUIDACION 2025'!$L$4,IF(W42="ENVÍO",'BASE DE LIQUIDACION 2025'!$K$4,AD42*AB42+AE42*AC42))</f>
        <v>96001.196280000004</v>
      </c>
    </row>
    <row r="43" spans="1:32" s="56" customFormat="1" ht="13.15" hidden="1">
      <c r="A43" s="69" t="s">
        <v>201</v>
      </c>
      <c r="B43" s="66" t="str">
        <f>VLOOKUP(A43,'CENTRO DE COSTOS'!A:D,4,FALSE)</f>
        <v>KEVIN ALEXIS CORZO BUSTOS</v>
      </c>
      <c r="C43" s="66" t="str">
        <f>VLOOKUP(A43,'CENTRO DE COSTOS'!A:D,2,FALSE)</f>
        <v>0004-0007</v>
      </c>
      <c r="D43" s="69">
        <v>41001</v>
      </c>
      <c r="E43" s="69">
        <v>2742494</v>
      </c>
      <c r="F43" s="69">
        <v>51047</v>
      </c>
      <c r="G43" s="69" t="s">
        <v>1373</v>
      </c>
      <c r="H43" s="69" t="s">
        <v>447</v>
      </c>
      <c r="I43" s="69" t="s">
        <v>201</v>
      </c>
      <c r="J43" s="69" t="s">
        <v>1528</v>
      </c>
      <c r="K43" s="69" t="s">
        <v>140</v>
      </c>
      <c r="L43" s="69" t="s">
        <v>1529</v>
      </c>
      <c r="M43" s="70">
        <v>45915.568055555559</v>
      </c>
      <c r="N43" s="70">
        <v>45916.493750000001</v>
      </c>
      <c r="O43" s="66"/>
      <c r="P43" s="69" t="s">
        <v>1376</v>
      </c>
      <c r="Q43" s="69" t="s">
        <v>1377</v>
      </c>
      <c r="R43" s="69" t="s">
        <v>1378</v>
      </c>
      <c r="S43" s="69" t="s">
        <v>1378</v>
      </c>
      <c r="T43" s="69" t="s">
        <v>1379</v>
      </c>
      <c r="U43" s="69" t="s">
        <v>1380</v>
      </c>
      <c r="V43" s="69" t="s">
        <v>1530</v>
      </c>
      <c r="W43" s="69" t="s">
        <v>145</v>
      </c>
      <c r="X43" s="66">
        <v>0</v>
      </c>
      <c r="Y43" s="69" t="s">
        <v>55</v>
      </c>
      <c r="Z43" s="67" t="s">
        <v>159</v>
      </c>
      <c r="AA43" s="69" t="s">
        <v>1531</v>
      </c>
      <c r="AB43" s="69">
        <v>1</v>
      </c>
      <c r="AC43" s="66">
        <v>0</v>
      </c>
      <c r="AD43" s="54">
        <f>IF(OR(W43="SOPORTE_TELEFÓNICO",W43="ENVÍO"),0,IF(Y43="TIPO I",'BASE DE LIQUIDACION 2025'!$I$4,IF(Y43="TIPO II",'BASE DE LIQUIDACION 2025'!$I$5,IF(Y43="TIPO III",'BASE DE LIQUIDACION 2025'!$I$6,IF(Y43="TIPO IV",'BASE DE LIQUIDACION 2025'!$I$7,'BASE DE LIQUIDACION 2025'!$I$8)))))</f>
        <v>96001.196280000004</v>
      </c>
      <c r="AE43" s="54">
        <f>IF(OR(W43="SOPORTE_TELEFÓNICO",W43="ENVÍO"),0,IF(Y43="TIPO I",'BASE DE LIQUIDACION 2025'!$J$4,IF(Y43="TIPO II",'BASE DE LIQUIDACION 2025'!$J$5,IF(Y43="TIPO III",'BASE DE LIQUIDACION 2025'!$J$6,IF(Y43="TIPO IV",'BASE DE LIQUIDACION 2025'!$J$7,'BASE DE LIQUIDACION 2025'!$J$8)))))</f>
        <v>57411.974240000003</v>
      </c>
      <c r="AF43" s="54">
        <f>IF(W43="SOPORTE_TELEFÓNICO",'BASE DE LIQUIDACION 2025'!$L$4,IF(W43="ENVÍO",'BASE DE LIQUIDACION 2025'!$K$4,AD43*AB43+AE43*AC43))</f>
        <v>96001.196280000004</v>
      </c>
    </row>
    <row r="44" spans="1:32" s="56" customFormat="1" ht="13.15" hidden="1">
      <c r="A44" s="69" t="s">
        <v>309</v>
      </c>
      <c r="B44" s="66" t="str">
        <f>VLOOKUP(A44,'CENTRO DE COSTOS'!A:D,4,FALSE)</f>
        <v>MIGUEL JULIÁN HERNÁNDEZ GUARÍN</v>
      </c>
      <c r="C44" s="66" t="str">
        <f>VLOOKUP(A44,'CENTRO DE COSTOS'!A:D,2,FALSE)</f>
        <v>0004-0008</v>
      </c>
      <c r="D44" s="69">
        <v>54001</v>
      </c>
      <c r="E44" s="69">
        <v>2741777</v>
      </c>
      <c r="F44" s="69">
        <v>64289</v>
      </c>
      <c r="G44" s="69" t="s">
        <v>1373</v>
      </c>
      <c r="H44" s="69" t="s">
        <v>311</v>
      </c>
      <c r="I44" s="69" t="s">
        <v>309</v>
      </c>
      <c r="J44" s="69" t="s">
        <v>1532</v>
      </c>
      <c r="K44" s="69" t="s">
        <v>140</v>
      </c>
      <c r="L44" s="69" t="s">
        <v>1533</v>
      </c>
      <c r="M44" s="70">
        <v>45915.479166666657</v>
      </c>
      <c r="N44" s="70">
        <v>45918.353472222218</v>
      </c>
      <c r="O44" s="66"/>
      <c r="P44" s="69" t="s">
        <v>1376</v>
      </c>
      <c r="Q44" s="69" t="s">
        <v>1377</v>
      </c>
      <c r="R44" s="69" t="s">
        <v>1378</v>
      </c>
      <c r="S44" s="69" t="s">
        <v>1378</v>
      </c>
      <c r="T44" s="69" t="s">
        <v>1379</v>
      </c>
      <c r="U44" s="69" t="s">
        <v>1380</v>
      </c>
      <c r="V44" s="69" t="s">
        <v>1534</v>
      </c>
      <c r="W44" s="69" t="s">
        <v>145</v>
      </c>
      <c r="X44" s="66">
        <v>0</v>
      </c>
      <c r="Y44" s="69" t="s">
        <v>55</v>
      </c>
      <c r="Z44" s="67" t="s">
        <v>159</v>
      </c>
      <c r="AA44" s="69" t="s">
        <v>322</v>
      </c>
      <c r="AB44" s="69">
        <v>1</v>
      </c>
      <c r="AC44" s="66">
        <v>0</v>
      </c>
      <c r="AD44" s="54">
        <f>IF(OR(W44="SOPORTE_TELEFÓNICO",W44="ENVÍO"),0,IF(Y44="TIPO I",'BASE DE LIQUIDACION 2025'!$I$4,IF(Y44="TIPO II",'BASE DE LIQUIDACION 2025'!$I$5,IF(Y44="TIPO III",'BASE DE LIQUIDACION 2025'!$I$6,IF(Y44="TIPO IV",'BASE DE LIQUIDACION 2025'!$I$7,'BASE DE LIQUIDACION 2025'!$I$8)))))</f>
        <v>96001.196280000004</v>
      </c>
      <c r="AE44" s="54">
        <f>IF(OR(W44="SOPORTE_TELEFÓNICO",W44="ENVÍO"),0,IF(Y44="TIPO I",'BASE DE LIQUIDACION 2025'!$J$4,IF(Y44="TIPO II",'BASE DE LIQUIDACION 2025'!$J$5,IF(Y44="TIPO III",'BASE DE LIQUIDACION 2025'!$J$6,IF(Y44="TIPO IV",'BASE DE LIQUIDACION 2025'!$J$7,'BASE DE LIQUIDACION 2025'!$J$8)))))</f>
        <v>57411.974240000003</v>
      </c>
      <c r="AF44" s="54">
        <f>IF(W44="SOPORTE_TELEFÓNICO",'BASE DE LIQUIDACION 2025'!$L$4,IF(W44="ENVÍO",'BASE DE LIQUIDACION 2025'!$K$4,AD44*AB44+AE44*AC44))</f>
        <v>96001.196280000004</v>
      </c>
    </row>
    <row r="45" spans="1:32" s="56" customFormat="1" ht="13.15" hidden="1">
      <c r="A45" s="69" t="s">
        <v>210</v>
      </c>
      <c r="B45" s="66" t="str">
        <f>VLOOKUP(A45,'CENTRO DE COSTOS'!A:D,4,FALSE)</f>
        <v>KEVIN ALEXIS CORZO BUSTOS</v>
      </c>
      <c r="C45" s="66" t="str">
        <f>VLOOKUP(A45,'CENTRO DE COSTOS'!A:D,2,FALSE)</f>
        <v>0004-0007</v>
      </c>
      <c r="D45" s="69">
        <v>50001</v>
      </c>
      <c r="E45" s="69">
        <v>2741180</v>
      </c>
      <c r="F45" s="69">
        <v>29174</v>
      </c>
      <c r="G45" s="69" t="s">
        <v>1373</v>
      </c>
      <c r="H45" s="69" t="s">
        <v>212</v>
      </c>
      <c r="I45" s="69" t="s">
        <v>210</v>
      </c>
      <c r="J45" s="69" t="s">
        <v>1535</v>
      </c>
      <c r="K45" s="69" t="s">
        <v>140</v>
      </c>
      <c r="L45" s="69" t="s">
        <v>1536</v>
      </c>
      <c r="M45" s="70">
        <v>45915.45</v>
      </c>
      <c r="N45" s="70">
        <v>45917.380555555559</v>
      </c>
      <c r="O45" s="66"/>
      <c r="P45" s="69" t="s">
        <v>1376</v>
      </c>
      <c r="Q45" s="69" t="s">
        <v>1377</v>
      </c>
      <c r="R45" s="69" t="s">
        <v>1378</v>
      </c>
      <c r="S45" s="69" t="s">
        <v>1378</v>
      </c>
      <c r="T45" s="69" t="s">
        <v>1379</v>
      </c>
      <c r="U45" s="69" t="s">
        <v>1380</v>
      </c>
      <c r="V45" s="69" t="s">
        <v>1537</v>
      </c>
      <c r="W45" s="69" t="s">
        <v>145</v>
      </c>
      <c r="X45" s="66">
        <v>0</v>
      </c>
      <c r="Y45" s="69" t="s">
        <v>55</v>
      </c>
      <c r="Z45" s="67" t="s">
        <v>159</v>
      </c>
      <c r="AA45" s="69" t="s">
        <v>1278</v>
      </c>
      <c r="AB45" s="69">
        <v>1</v>
      </c>
      <c r="AC45" s="66">
        <v>0</v>
      </c>
      <c r="AD45" s="54">
        <f>IF(OR(W45="SOPORTE_TELEFÓNICO",W45="ENVÍO"),0,IF(Y45="TIPO I",'BASE DE LIQUIDACION 2025'!$I$4,IF(Y45="TIPO II",'BASE DE LIQUIDACION 2025'!$I$5,IF(Y45="TIPO III",'BASE DE LIQUIDACION 2025'!$I$6,IF(Y45="TIPO IV",'BASE DE LIQUIDACION 2025'!$I$7,'BASE DE LIQUIDACION 2025'!$I$8)))))</f>
        <v>96001.196280000004</v>
      </c>
      <c r="AE45" s="54">
        <f>IF(OR(W45="SOPORTE_TELEFÓNICO",W45="ENVÍO"),0,IF(Y45="TIPO I",'BASE DE LIQUIDACION 2025'!$J$4,IF(Y45="TIPO II",'BASE DE LIQUIDACION 2025'!$J$5,IF(Y45="TIPO III",'BASE DE LIQUIDACION 2025'!$J$6,IF(Y45="TIPO IV",'BASE DE LIQUIDACION 2025'!$J$7,'BASE DE LIQUIDACION 2025'!$J$8)))))</f>
        <v>57411.974240000003</v>
      </c>
      <c r="AF45" s="54">
        <f>IF(W45="SOPORTE_TELEFÓNICO",'BASE DE LIQUIDACION 2025'!$L$4,IF(W45="ENVÍO",'BASE DE LIQUIDACION 2025'!$K$4,AD45*AB45+AE45*AC45))</f>
        <v>96001.196280000004</v>
      </c>
    </row>
    <row r="46" spans="1:32" s="56" customFormat="1" ht="13.15" hidden="1">
      <c r="A46" s="69" t="s">
        <v>432</v>
      </c>
      <c r="B46" s="66" t="str">
        <f>VLOOKUP(A46,'CENTRO DE COSTOS'!A:D,4,FALSE)</f>
        <v>WILLIAM ASDRUBAL ROZO ROZO</v>
      </c>
      <c r="C46" s="66" t="str">
        <f>VLOOKUP(A46,'CENTRO DE COSTOS'!A:D,2,FALSE)</f>
        <v>0004-0004</v>
      </c>
      <c r="D46" s="69">
        <v>11001</v>
      </c>
      <c r="E46" s="69">
        <v>2741170</v>
      </c>
      <c r="F46" s="69">
        <v>68572</v>
      </c>
      <c r="G46" s="69" t="s">
        <v>1373</v>
      </c>
      <c r="H46" s="69" t="s">
        <v>434</v>
      </c>
      <c r="I46" s="69" t="s">
        <v>432</v>
      </c>
      <c r="J46" s="69" t="s">
        <v>1538</v>
      </c>
      <c r="K46" s="69" t="s">
        <v>140</v>
      </c>
      <c r="L46" s="69" t="s">
        <v>1539</v>
      </c>
      <c r="M46" s="70">
        <v>45915.447916666657</v>
      </c>
      <c r="N46" s="70">
        <v>45917.449305555558</v>
      </c>
      <c r="O46" s="66"/>
      <c r="P46" s="69" t="s">
        <v>1376</v>
      </c>
      <c r="Q46" s="69" t="s">
        <v>1377</v>
      </c>
      <c r="R46" s="69" t="s">
        <v>1378</v>
      </c>
      <c r="S46" s="69" t="s">
        <v>1378</v>
      </c>
      <c r="T46" s="69" t="s">
        <v>1379</v>
      </c>
      <c r="U46" s="69" t="s">
        <v>1380</v>
      </c>
      <c r="V46" s="69" t="s">
        <v>1534</v>
      </c>
      <c r="W46" s="69" t="s">
        <v>145</v>
      </c>
      <c r="X46" s="66">
        <v>0</v>
      </c>
      <c r="Y46" s="69" t="s">
        <v>55</v>
      </c>
      <c r="Z46" s="67" t="s">
        <v>159</v>
      </c>
      <c r="AA46" s="69" t="s">
        <v>1519</v>
      </c>
      <c r="AB46" s="69">
        <v>1</v>
      </c>
      <c r="AC46" s="66">
        <v>0</v>
      </c>
      <c r="AD46" s="54">
        <f>IF(OR(W46="SOPORTE_TELEFÓNICO",W46="ENVÍO"),0,IF(Y46="TIPO I",'BASE DE LIQUIDACION 2025'!$I$4,IF(Y46="TIPO II",'BASE DE LIQUIDACION 2025'!$I$5,IF(Y46="TIPO III",'BASE DE LIQUIDACION 2025'!$I$6,IF(Y46="TIPO IV",'BASE DE LIQUIDACION 2025'!$I$7,'BASE DE LIQUIDACION 2025'!$I$8)))))</f>
        <v>96001.196280000004</v>
      </c>
      <c r="AE46" s="54">
        <f>IF(OR(W46="SOPORTE_TELEFÓNICO",W46="ENVÍO"),0,IF(Y46="TIPO I",'BASE DE LIQUIDACION 2025'!$J$4,IF(Y46="TIPO II",'BASE DE LIQUIDACION 2025'!$J$5,IF(Y46="TIPO III",'BASE DE LIQUIDACION 2025'!$J$6,IF(Y46="TIPO IV",'BASE DE LIQUIDACION 2025'!$J$7,'BASE DE LIQUIDACION 2025'!$J$8)))))</f>
        <v>57411.974240000003</v>
      </c>
      <c r="AF46" s="54">
        <f>IF(W46="SOPORTE_TELEFÓNICO",'BASE DE LIQUIDACION 2025'!$L$4,IF(W46="ENVÍO",'BASE DE LIQUIDACION 2025'!$K$4,AD46*AB46+AE46*AC46))</f>
        <v>96001.196280000004</v>
      </c>
    </row>
    <row r="47" spans="1:32" s="56" customFormat="1" ht="13.15" hidden="1">
      <c r="A47" s="69" t="s">
        <v>432</v>
      </c>
      <c r="B47" s="66" t="str">
        <f>VLOOKUP(A47,'CENTRO DE COSTOS'!A:D,4,FALSE)</f>
        <v>WILLIAM ASDRUBAL ROZO ROZO</v>
      </c>
      <c r="C47" s="66" t="str">
        <f>VLOOKUP(A47,'CENTRO DE COSTOS'!A:D,2,FALSE)</f>
        <v>0004-0004</v>
      </c>
      <c r="D47" s="69">
        <v>11001</v>
      </c>
      <c r="E47" s="69">
        <v>2740973</v>
      </c>
      <c r="F47" s="69">
        <v>74390</v>
      </c>
      <c r="G47" s="69" t="s">
        <v>1373</v>
      </c>
      <c r="H47" s="69" t="s">
        <v>434</v>
      </c>
      <c r="I47" s="69" t="s">
        <v>432</v>
      </c>
      <c r="J47" s="69" t="s">
        <v>1540</v>
      </c>
      <c r="K47" s="69" t="s">
        <v>140</v>
      </c>
      <c r="L47" s="69" t="s">
        <v>1541</v>
      </c>
      <c r="M47" s="70">
        <v>45915.4375</v>
      </c>
      <c r="N47" s="70">
        <v>45917.615972222222</v>
      </c>
      <c r="O47" s="66"/>
      <c r="P47" s="69" t="s">
        <v>1376</v>
      </c>
      <c r="Q47" s="69" t="s">
        <v>1377</v>
      </c>
      <c r="R47" s="69" t="s">
        <v>1378</v>
      </c>
      <c r="S47" s="69" t="s">
        <v>1378</v>
      </c>
      <c r="T47" s="69" t="s">
        <v>1379</v>
      </c>
      <c r="U47" s="69" t="s">
        <v>1380</v>
      </c>
      <c r="V47" s="69" t="s">
        <v>1542</v>
      </c>
      <c r="W47" s="69" t="s">
        <v>145</v>
      </c>
      <c r="X47" s="66">
        <v>0</v>
      </c>
      <c r="Y47" s="69" t="s">
        <v>55</v>
      </c>
      <c r="Z47" s="67" t="s">
        <v>159</v>
      </c>
      <c r="AA47" s="69" t="s">
        <v>1519</v>
      </c>
      <c r="AB47" s="69">
        <v>1</v>
      </c>
      <c r="AC47" s="66">
        <v>0</v>
      </c>
      <c r="AD47" s="54">
        <f>IF(OR(W47="SOPORTE_TELEFÓNICO",W47="ENVÍO"),0,IF(Y47="TIPO I",'BASE DE LIQUIDACION 2025'!$I$4,IF(Y47="TIPO II",'BASE DE LIQUIDACION 2025'!$I$5,IF(Y47="TIPO III",'BASE DE LIQUIDACION 2025'!$I$6,IF(Y47="TIPO IV",'BASE DE LIQUIDACION 2025'!$I$7,'BASE DE LIQUIDACION 2025'!$I$8)))))</f>
        <v>96001.196280000004</v>
      </c>
      <c r="AE47" s="54">
        <f>IF(OR(W47="SOPORTE_TELEFÓNICO",W47="ENVÍO"),0,IF(Y47="TIPO I",'BASE DE LIQUIDACION 2025'!$J$4,IF(Y47="TIPO II",'BASE DE LIQUIDACION 2025'!$J$5,IF(Y47="TIPO III",'BASE DE LIQUIDACION 2025'!$J$6,IF(Y47="TIPO IV",'BASE DE LIQUIDACION 2025'!$J$7,'BASE DE LIQUIDACION 2025'!$J$8)))))</f>
        <v>57411.974240000003</v>
      </c>
      <c r="AF47" s="54">
        <f>IF(W47="SOPORTE_TELEFÓNICO",'BASE DE LIQUIDACION 2025'!$L$4,IF(W47="ENVÍO",'BASE DE LIQUIDACION 2025'!$K$4,AD47*AB47+AE47*AC47))</f>
        <v>96001.196280000004</v>
      </c>
    </row>
    <row r="48" spans="1:32" s="56" customFormat="1" ht="13.15" hidden="1">
      <c r="A48" s="69" t="s">
        <v>267</v>
      </c>
      <c r="B48" s="66" t="str">
        <f>VLOOKUP(A48,'CENTRO DE COSTOS'!A:D,4,FALSE)</f>
        <v>JUAN SEBASTIÁN RÍOS CASTRILLÓN</v>
      </c>
      <c r="C48" s="66" t="str">
        <f>VLOOKUP(A48,'CENTRO DE COSTOS'!A:D,2,FALSE)</f>
        <v>0004-0005</v>
      </c>
      <c r="D48" s="69">
        <v>5001</v>
      </c>
      <c r="E48" s="69">
        <v>2739932</v>
      </c>
      <c r="F48" s="69">
        <v>32245</v>
      </c>
      <c r="G48" s="69" t="s">
        <v>1373</v>
      </c>
      <c r="H48" s="69" t="s">
        <v>253</v>
      </c>
      <c r="I48" s="69" t="s">
        <v>267</v>
      </c>
      <c r="J48" s="69" t="s">
        <v>1543</v>
      </c>
      <c r="K48" s="69" t="s">
        <v>140</v>
      </c>
      <c r="L48" s="69" t="s">
        <v>1544</v>
      </c>
      <c r="M48" s="70">
        <v>45915.384027777778</v>
      </c>
      <c r="N48" s="70">
        <v>45916.473611111112</v>
      </c>
      <c r="O48" s="66"/>
      <c r="P48" s="69" t="s">
        <v>1376</v>
      </c>
      <c r="Q48" s="69" t="s">
        <v>1377</v>
      </c>
      <c r="R48" s="69" t="s">
        <v>239</v>
      </c>
      <c r="S48" s="69" t="s">
        <v>381</v>
      </c>
      <c r="T48" s="69" t="s">
        <v>1379</v>
      </c>
      <c r="U48" s="69" t="s">
        <v>1380</v>
      </c>
      <c r="V48" s="69" t="s">
        <v>1545</v>
      </c>
      <c r="W48" s="69" t="s">
        <v>145</v>
      </c>
      <c r="X48" s="66">
        <v>0</v>
      </c>
      <c r="Y48" s="69" t="s">
        <v>55</v>
      </c>
      <c r="Z48" s="67" t="s">
        <v>159</v>
      </c>
      <c r="AA48" s="69" t="s">
        <v>1028</v>
      </c>
      <c r="AB48" s="69">
        <v>1</v>
      </c>
      <c r="AC48" s="66">
        <v>0</v>
      </c>
      <c r="AD48" s="54">
        <f>IF(OR(W48="SOPORTE_TELEFÓNICO",W48="ENVÍO"),0,IF(Y48="TIPO I",'BASE DE LIQUIDACION 2025'!$I$4,IF(Y48="TIPO II",'BASE DE LIQUIDACION 2025'!$I$5,IF(Y48="TIPO III",'BASE DE LIQUIDACION 2025'!$I$6,IF(Y48="TIPO IV",'BASE DE LIQUIDACION 2025'!$I$7,'BASE DE LIQUIDACION 2025'!$I$8)))))</f>
        <v>96001.196280000004</v>
      </c>
      <c r="AE48" s="54">
        <f>IF(OR(W48="SOPORTE_TELEFÓNICO",W48="ENVÍO"),0,IF(Y48="TIPO I",'BASE DE LIQUIDACION 2025'!$J$4,IF(Y48="TIPO II",'BASE DE LIQUIDACION 2025'!$J$5,IF(Y48="TIPO III",'BASE DE LIQUIDACION 2025'!$J$6,IF(Y48="TIPO IV",'BASE DE LIQUIDACION 2025'!$J$7,'BASE DE LIQUIDACION 2025'!$J$8)))))</f>
        <v>57411.974240000003</v>
      </c>
      <c r="AF48" s="54">
        <f>IF(W48="SOPORTE_TELEFÓNICO",'BASE DE LIQUIDACION 2025'!$L$4,IF(W48="ENVÍO",'BASE DE LIQUIDACION 2025'!$K$4,AD48*AB48+AE48*AC48))</f>
        <v>96001.196280000004</v>
      </c>
    </row>
    <row r="49" spans="1:32" s="56" customFormat="1" ht="13.15" hidden="1">
      <c r="A49" s="69" t="s">
        <v>267</v>
      </c>
      <c r="B49" s="66" t="str">
        <f>VLOOKUP(A49,'CENTRO DE COSTOS'!A:D,4,FALSE)</f>
        <v>JUAN SEBASTIÁN RÍOS CASTRILLÓN</v>
      </c>
      <c r="C49" s="66" t="str">
        <f>VLOOKUP(A49,'CENTRO DE COSTOS'!A:D,2,FALSE)</f>
        <v>0004-0005</v>
      </c>
      <c r="D49" s="69">
        <v>5858</v>
      </c>
      <c r="E49" s="69">
        <v>2739656</v>
      </c>
      <c r="F49" s="69">
        <v>68261</v>
      </c>
      <c r="G49" s="69" t="s">
        <v>1373</v>
      </c>
      <c r="H49" s="69" t="s">
        <v>253</v>
      </c>
      <c r="I49" s="69" t="s">
        <v>1546</v>
      </c>
      <c r="J49" s="69" t="s">
        <v>1547</v>
      </c>
      <c r="K49" s="69" t="s">
        <v>140</v>
      </c>
      <c r="L49" s="69" t="s">
        <v>1548</v>
      </c>
      <c r="M49" s="70">
        <v>45915.375</v>
      </c>
      <c r="N49" s="70">
        <v>45920.464583333327</v>
      </c>
      <c r="O49" s="66"/>
      <c r="P49" s="69" t="s">
        <v>1376</v>
      </c>
      <c r="Q49" s="69" t="s">
        <v>1377</v>
      </c>
      <c r="R49" s="69" t="s">
        <v>1378</v>
      </c>
      <c r="S49" s="69" t="s">
        <v>1378</v>
      </c>
      <c r="T49" s="69" t="s">
        <v>1379</v>
      </c>
      <c r="U49" s="69" t="s">
        <v>1380</v>
      </c>
      <c r="V49" s="69" t="s">
        <v>1549</v>
      </c>
      <c r="W49" s="69" t="s">
        <v>145</v>
      </c>
      <c r="X49" s="66">
        <v>0</v>
      </c>
      <c r="Y49" s="69" t="s">
        <v>158</v>
      </c>
      <c r="Z49" s="67" t="s">
        <v>159</v>
      </c>
      <c r="AA49" s="69" t="s">
        <v>273</v>
      </c>
      <c r="AB49" s="69">
        <v>1</v>
      </c>
      <c r="AC49" s="66">
        <v>0</v>
      </c>
      <c r="AD49" s="54">
        <f>IF(OR(W49="SOPORTE_TELEFÓNICO",W49="ENVÍO"),0,IF(Y49="TIPO I",'BASE DE LIQUIDACION 2025'!$I$4,IF(Y49="TIPO II",'BASE DE LIQUIDACION 2025'!$I$5,IF(Y49="TIPO III",'BASE DE LIQUIDACION 2025'!$I$6,IF(Y49="TIPO IV",'BASE DE LIQUIDACION 2025'!$I$7,'BASE DE LIQUIDACION 2025'!$I$8)))))</f>
        <v>344774.56896</v>
      </c>
      <c r="AE49" s="54">
        <f>IF(OR(W49="SOPORTE_TELEFÓNICO",W49="ENVÍO"),0,IF(Y49="TIPO I",'BASE DE LIQUIDACION 2025'!$J$4,IF(Y49="TIPO II",'BASE DE LIQUIDACION 2025'!$J$5,IF(Y49="TIPO III",'BASE DE LIQUIDACION 2025'!$J$6,IF(Y49="TIPO IV",'BASE DE LIQUIDACION 2025'!$J$7,'BASE DE LIQUIDACION 2025'!$J$8)))))</f>
        <v>110808.27512000001</v>
      </c>
      <c r="AF49" s="54">
        <f>IF(W49="SOPORTE_TELEFÓNICO",'BASE DE LIQUIDACION 2025'!$L$4,IF(W49="ENVÍO",'BASE DE LIQUIDACION 2025'!$K$4,AD49*AB49+AE49*AC49))</f>
        <v>344774.56896</v>
      </c>
    </row>
    <row r="50" spans="1:32" s="56" customFormat="1" ht="13.15" hidden="1">
      <c r="A50" s="69" t="s">
        <v>454</v>
      </c>
      <c r="B50" s="66" t="str">
        <f>VLOOKUP(A50,'CENTRO DE COSTOS'!A:D,4,FALSE)</f>
        <v>JOSE MAURICIO HERNANDEZ ROJAS</v>
      </c>
      <c r="C50" s="66" t="str">
        <f>VLOOKUP(A50,'CENTRO DE COSTOS'!A:D,2,FALSE)</f>
        <v>0004-0001</v>
      </c>
      <c r="D50" s="69">
        <v>44001</v>
      </c>
      <c r="E50" s="69">
        <v>2739562</v>
      </c>
      <c r="F50" s="69">
        <v>78629</v>
      </c>
      <c r="G50" s="69" t="s">
        <v>1373</v>
      </c>
      <c r="H50" s="69" t="s">
        <v>735</v>
      </c>
      <c r="I50" s="69" t="s">
        <v>1550</v>
      </c>
      <c r="J50" s="69" t="s">
        <v>1551</v>
      </c>
      <c r="K50" s="69" t="s">
        <v>140</v>
      </c>
      <c r="L50" s="69" t="s">
        <v>1552</v>
      </c>
      <c r="M50" s="70">
        <v>45915.367361111108</v>
      </c>
      <c r="N50" s="70">
        <v>45917.500694444447</v>
      </c>
      <c r="O50" s="66"/>
      <c r="P50" s="69" t="s">
        <v>1376</v>
      </c>
      <c r="Q50" s="69" t="s">
        <v>1377</v>
      </c>
      <c r="R50" s="69" t="s">
        <v>1378</v>
      </c>
      <c r="S50" s="69" t="s">
        <v>1378</v>
      </c>
      <c r="T50" s="69" t="s">
        <v>1379</v>
      </c>
      <c r="U50" s="69" t="s">
        <v>1380</v>
      </c>
      <c r="V50" s="69" t="s">
        <v>1553</v>
      </c>
      <c r="W50" s="69" t="s">
        <v>145</v>
      </c>
      <c r="X50" s="66">
        <v>0</v>
      </c>
      <c r="Y50" s="69" t="s">
        <v>158</v>
      </c>
      <c r="Z50" s="67" t="s">
        <v>159</v>
      </c>
      <c r="AA50" s="69" t="s">
        <v>460</v>
      </c>
      <c r="AB50" s="69">
        <v>1</v>
      </c>
      <c r="AC50" s="66">
        <v>0</v>
      </c>
      <c r="AD50" s="54">
        <f>IF(OR(W50="SOPORTE_TELEFÓNICO",W50="ENVÍO"),0,IF(Y50="TIPO I",'BASE DE LIQUIDACION 2025'!$I$4,IF(Y50="TIPO II",'BASE DE LIQUIDACION 2025'!$I$5,IF(Y50="TIPO III",'BASE DE LIQUIDACION 2025'!$I$6,IF(Y50="TIPO IV",'BASE DE LIQUIDACION 2025'!$I$7,'BASE DE LIQUIDACION 2025'!$I$8)))))</f>
        <v>344774.56896</v>
      </c>
      <c r="AE50" s="54">
        <f>IF(OR(W50="SOPORTE_TELEFÓNICO",W50="ENVÍO"),0,IF(Y50="TIPO I",'BASE DE LIQUIDACION 2025'!$J$4,IF(Y50="TIPO II",'BASE DE LIQUIDACION 2025'!$J$5,IF(Y50="TIPO III",'BASE DE LIQUIDACION 2025'!$J$6,IF(Y50="TIPO IV",'BASE DE LIQUIDACION 2025'!$J$7,'BASE DE LIQUIDACION 2025'!$J$8)))))</f>
        <v>110808.27512000001</v>
      </c>
      <c r="AF50" s="54">
        <f>IF(W50="SOPORTE_TELEFÓNICO",'BASE DE LIQUIDACION 2025'!$L$4,IF(W50="ENVÍO",'BASE DE LIQUIDACION 2025'!$K$4,AD50*AB50+AE50*AC50))</f>
        <v>344774.56896</v>
      </c>
    </row>
    <row r="51" spans="1:32" s="56" customFormat="1" ht="13.15" hidden="1">
      <c r="A51" s="69" t="s">
        <v>711</v>
      </c>
      <c r="B51" s="66" t="str">
        <f>VLOOKUP(A51,'CENTRO DE COSTOS'!A:D,4,FALSE)</f>
        <v>JOSE MAURICIO HERNANDEZ ROJAS</v>
      </c>
      <c r="C51" s="66" t="str">
        <f>VLOOKUP(A51,'CENTRO DE COSTOS'!A:D,2,FALSE)</f>
        <v>0004-0001</v>
      </c>
      <c r="D51" s="69">
        <v>13001</v>
      </c>
      <c r="E51" s="69">
        <v>2737473</v>
      </c>
      <c r="F51" s="69">
        <v>48268</v>
      </c>
      <c r="G51" s="69" t="s">
        <v>1373</v>
      </c>
      <c r="H51" s="69" t="s">
        <v>713</v>
      </c>
      <c r="I51" s="69" t="s">
        <v>711</v>
      </c>
      <c r="J51" s="69" t="s">
        <v>1554</v>
      </c>
      <c r="K51" s="69" t="s">
        <v>140</v>
      </c>
      <c r="L51" s="69" t="s">
        <v>1555</v>
      </c>
      <c r="M51" s="70">
        <v>45915.333333333343</v>
      </c>
      <c r="N51" s="70">
        <v>45915.482638888891</v>
      </c>
      <c r="O51" s="66"/>
      <c r="P51" s="69" t="s">
        <v>1376</v>
      </c>
      <c r="Q51" s="69" t="s">
        <v>1377</v>
      </c>
      <c r="R51" s="69" t="s">
        <v>1378</v>
      </c>
      <c r="S51" s="69" t="s">
        <v>1378</v>
      </c>
      <c r="T51" s="69" t="s">
        <v>1379</v>
      </c>
      <c r="U51" s="69" t="s">
        <v>1380</v>
      </c>
      <c r="V51" s="69" t="s">
        <v>1556</v>
      </c>
      <c r="W51" s="69" t="s">
        <v>145</v>
      </c>
      <c r="X51" s="66">
        <v>0</v>
      </c>
      <c r="Y51" s="69" t="s">
        <v>55</v>
      </c>
      <c r="Z51" s="67" t="s">
        <v>159</v>
      </c>
      <c r="AA51" s="69" t="s">
        <v>1326</v>
      </c>
      <c r="AB51" s="69">
        <v>1</v>
      </c>
      <c r="AC51" s="66">
        <v>0</v>
      </c>
      <c r="AD51" s="54">
        <f>IF(OR(W51="SOPORTE_TELEFÓNICO",W51="ENVÍO"),0,IF(Y51="TIPO I",'BASE DE LIQUIDACION 2025'!$I$4,IF(Y51="TIPO II",'BASE DE LIQUIDACION 2025'!$I$5,IF(Y51="TIPO III",'BASE DE LIQUIDACION 2025'!$I$6,IF(Y51="TIPO IV",'BASE DE LIQUIDACION 2025'!$I$7,'BASE DE LIQUIDACION 2025'!$I$8)))))</f>
        <v>96001.196280000004</v>
      </c>
      <c r="AE51" s="54">
        <f>IF(OR(W51="SOPORTE_TELEFÓNICO",W51="ENVÍO"),0,IF(Y51="TIPO I",'BASE DE LIQUIDACION 2025'!$J$4,IF(Y51="TIPO II",'BASE DE LIQUIDACION 2025'!$J$5,IF(Y51="TIPO III",'BASE DE LIQUIDACION 2025'!$J$6,IF(Y51="TIPO IV",'BASE DE LIQUIDACION 2025'!$J$7,'BASE DE LIQUIDACION 2025'!$J$8)))))</f>
        <v>57411.974240000003</v>
      </c>
      <c r="AF51" s="54">
        <f>IF(W51="SOPORTE_TELEFÓNICO",'BASE DE LIQUIDACION 2025'!$L$4,IF(W51="ENVÍO",'BASE DE LIQUIDACION 2025'!$K$4,AD51*AB51+AE51*AC51))</f>
        <v>96001.196280000004</v>
      </c>
    </row>
    <row r="52" spans="1:32" s="56" customFormat="1" ht="13.15" hidden="1">
      <c r="A52" s="69" t="s">
        <v>309</v>
      </c>
      <c r="B52" s="66" t="str">
        <f>VLOOKUP(A52,'CENTRO DE COSTOS'!A:D,4,FALSE)</f>
        <v>MIGUEL JULIÁN HERNÁNDEZ GUARÍN</v>
      </c>
      <c r="C52" s="66" t="str">
        <f>VLOOKUP(A52,'CENTRO DE COSTOS'!A:D,2,FALSE)</f>
        <v>0004-0008</v>
      </c>
      <c r="D52" s="69">
        <v>54261</v>
      </c>
      <c r="E52" s="69">
        <v>2736976</v>
      </c>
      <c r="F52" s="69">
        <v>46414</v>
      </c>
      <c r="G52" s="69" t="s">
        <v>1373</v>
      </c>
      <c r="H52" s="69" t="s">
        <v>311</v>
      </c>
      <c r="I52" s="69" t="s">
        <v>1557</v>
      </c>
      <c r="J52" s="69" t="s">
        <v>1558</v>
      </c>
      <c r="K52" s="69" t="s">
        <v>140</v>
      </c>
      <c r="L52" s="69" t="s">
        <v>1559</v>
      </c>
      <c r="M52" s="70">
        <v>45913.42083333333</v>
      </c>
      <c r="N52" s="70">
        <v>45919.619444444441</v>
      </c>
      <c r="O52" s="66"/>
      <c r="P52" s="69" t="s">
        <v>1376</v>
      </c>
      <c r="Q52" s="69" t="s">
        <v>1377</v>
      </c>
      <c r="R52" s="69" t="s">
        <v>1378</v>
      </c>
      <c r="S52" s="69" t="s">
        <v>1378</v>
      </c>
      <c r="T52" s="69" t="s">
        <v>1379</v>
      </c>
      <c r="U52" s="69" t="s">
        <v>1380</v>
      </c>
      <c r="V52" s="69" t="s">
        <v>1560</v>
      </c>
      <c r="W52" s="69" t="s">
        <v>145</v>
      </c>
      <c r="X52" s="66">
        <v>0</v>
      </c>
      <c r="Y52" s="69" t="s">
        <v>199</v>
      </c>
      <c r="Z52" s="67" t="s">
        <v>159</v>
      </c>
      <c r="AA52" s="69" t="s">
        <v>322</v>
      </c>
      <c r="AB52" s="69">
        <v>1</v>
      </c>
      <c r="AC52" s="66">
        <v>0</v>
      </c>
      <c r="AD52" s="54">
        <f>IF(OR(W52="SOPORTE_TELEFÓNICO",W52="ENVÍO"),0,IF(Y52="TIPO I",'BASE DE LIQUIDACION 2025'!$I$4,IF(Y52="TIPO II",'BASE DE LIQUIDACION 2025'!$I$5,IF(Y52="TIPO III",'BASE DE LIQUIDACION 2025'!$I$6,IF(Y52="TIPO IV",'BASE DE LIQUIDACION 2025'!$I$7,'BASE DE LIQUIDACION 2025'!$I$8)))))</f>
        <v>232858.60096000001</v>
      </c>
      <c r="AE52" s="54">
        <f>IF(OR(W52="SOPORTE_TELEFÓNICO",W52="ENVÍO"),0,IF(Y52="TIPO I",'BASE DE LIQUIDACION 2025'!$J$4,IF(Y52="TIPO II",'BASE DE LIQUIDACION 2025'!$J$5,IF(Y52="TIPO III",'BASE DE LIQUIDACION 2025'!$J$6,IF(Y52="TIPO IV",'BASE DE LIQUIDACION 2025'!$J$7,'BASE DE LIQUIDACION 2025'!$J$8)))))</f>
        <v>110808.27512000001</v>
      </c>
      <c r="AF52" s="54">
        <f>IF(W52="SOPORTE_TELEFÓNICO",'BASE DE LIQUIDACION 2025'!$L$4,IF(W52="ENVÍO",'BASE DE LIQUIDACION 2025'!$K$4,AD52*AB52+AE52*AC52))</f>
        <v>232858.60096000001</v>
      </c>
    </row>
    <row r="53" spans="1:32" s="56" customFormat="1" ht="13.15" hidden="1">
      <c r="A53" s="69" t="s">
        <v>219</v>
      </c>
      <c r="B53" s="66" t="str">
        <f>VLOOKUP(A53,'CENTRO DE COSTOS'!A:D,4,FALSE)</f>
        <v>MIGUEL JULIÁN HERNÁNDEZ GUARÍN</v>
      </c>
      <c r="C53" s="66" t="str">
        <f>VLOOKUP(A53,'CENTRO DE COSTOS'!A:D,2,FALSE)</f>
        <v>0004-0008</v>
      </c>
      <c r="D53" s="69">
        <v>68406</v>
      </c>
      <c r="E53" s="69">
        <v>2733957</v>
      </c>
      <c r="F53" s="69">
        <v>64474</v>
      </c>
      <c r="G53" s="69" t="s">
        <v>1373</v>
      </c>
      <c r="H53" s="69" t="s">
        <v>221</v>
      </c>
      <c r="I53" s="69" t="s">
        <v>1016</v>
      </c>
      <c r="J53" s="69" t="s">
        <v>1561</v>
      </c>
      <c r="K53" s="69" t="s">
        <v>140</v>
      </c>
      <c r="L53" s="69" t="s">
        <v>1562</v>
      </c>
      <c r="M53" s="70">
        <v>45912.499305555553</v>
      </c>
      <c r="N53" s="70">
        <v>45917.499305555553</v>
      </c>
      <c r="O53" s="66"/>
      <c r="P53" s="69" t="s">
        <v>1376</v>
      </c>
      <c r="Q53" s="69" t="s">
        <v>1377</v>
      </c>
      <c r="R53" s="69" t="s">
        <v>1378</v>
      </c>
      <c r="S53" s="69" t="s">
        <v>1378</v>
      </c>
      <c r="T53" s="69" t="s">
        <v>1379</v>
      </c>
      <c r="U53" s="69" t="s">
        <v>1380</v>
      </c>
      <c r="V53" s="69" t="s">
        <v>1563</v>
      </c>
      <c r="W53" s="69" t="s">
        <v>145</v>
      </c>
      <c r="X53" s="66">
        <v>0</v>
      </c>
      <c r="Y53" s="69" t="s">
        <v>199</v>
      </c>
      <c r="Z53" s="67" t="s">
        <v>159</v>
      </c>
      <c r="AA53" s="69" t="s">
        <v>227</v>
      </c>
      <c r="AB53" s="69">
        <v>1</v>
      </c>
      <c r="AC53" s="66">
        <v>0</v>
      </c>
      <c r="AD53" s="54">
        <f>IF(OR(W53="SOPORTE_TELEFÓNICO",W53="ENVÍO"),0,IF(Y53="TIPO I",'BASE DE LIQUIDACION 2025'!$I$4,IF(Y53="TIPO II",'BASE DE LIQUIDACION 2025'!$I$5,IF(Y53="TIPO III",'BASE DE LIQUIDACION 2025'!$I$6,IF(Y53="TIPO IV",'BASE DE LIQUIDACION 2025'!$I$7,'BASE DE LIQUIDACION 2025'!$I$8)))))</f>
        <v>232858.60096000001</v>
      </c>
      <c r="AE53" s="54">
        <f>IF(OR(W53="SOPORTE_TELEFÓNICO",W53="ENVÍO"),0,IF(Y53="TIPO I",'BASE DE LIQUIDACION 2025'!$J$4,IF(Y53="TIPO II",'BASE DE LIQUIDACION 2025'!$J$5,IF(Y53="TIPO III",'BASE DE LIQUIDACION 2025'!$J$6,IF(Y53="TIPO IV",'BASE DE LIQUIDACION 2025'!$J$7,'BASE DE LIQUIDACION 2025'!$J$8)))))</f>
        <v>110808.27512000001</v>
      </c>
      <c r="AF53" s="54">
        <f>IF(W53="SOPORTE_TELEFÓNICO",'BASE DE LIQUIDACION 2025'!$L$4,IF(W53="ENVÍO",'BASE DE LIQUIDACION 2025'!$K$4,AD53*AB53+AE53*AC53))</f>
        <v>232858.60096000001</v>
      </c>
    </row>
    <row r="54" spans="1:32" s="56" customFormat="1" ht="13.15" hidden="1">
      <c r="A54" s="69" t="s">
        <v>150</v>
      </c>
      <c r="B54" s="66" t="str">
        <f>VLOOKUP(A54,'CENTRO DE COSTOS'!A:D,4,FALSE)</f>
        <v>DIEGO FERNANDO HENAO CARDONA</v>
      </c>
      <c r="C54" s="66" t="str">
        <f>VLOOKUP(A54,'CENTRO DE COSTOS'!A:D,2,FALSE)</f>
        <v>0004-0003</v>
      </c>
      <c r="D54" s="69">
        <v>76001</v>
      </c>
      <c r="E54" s="69">
        <v>2730577</v>
      </c>
      <c r="F54" s="69">
        <v>75001</v>
      </c>
      <c r="G54" s="69" t="s">
        <v>1373</v>
      </c>
      <c r="H54" s="69" t="s">
        <v>229</v>
      </c>
      <c r="I54" s="69" t="s">
        <v>150</v>
      </c>
      <c r="J54" s="69" t="s">
        <v>1564</v>
      </c>
      <c r="K54" s="69" t="s">
        <v>140</v>
      </c>
      <c r="L54" s="69" t="s">
        <v>1565</v>
      </c>
      <c r="M54" s="70">
        <v>45912.333333333343</v>
      </c>
      <c r="N54" s="70">
        <v>45913.615972222222</v>
      </c>
      <c r="O54" s="66"/>
      <c r="P54" s="69" t="s">
        <v>1376</v>
      </c>
      <c r="Q54" s="69" t="s">
        <v>1377</v>
      </c>
      <c r="R54" s="69" t="s">
        <v>239</v>
      </c>
      <c r="S54" s="69" t="s">
        <v>381</v>
      </c>
      <c r="T54" s="69" t="s">
        <v>1379</v>
      </c>
      <c r="U54" s="69" t="s">
        <v>1380</v>
      </c>
      <c r="V54" s="69" t="s">
        <v>1566</v>
      </c>
      <c r="W54" s="69" t="s">
        <v>145</v>
      </c>
      <c r="X54" s="66">
        <v>0</v>
      </c>
      <c r="Y54" s="69" t="s">
        <v>55</v>
      </c>
      <c r="Z54" s="67" t="s">
        <v>159</v>
      </c>
      <c r="AA54" s="69" t="s">
        <v>1251</v>
      </c>
      <c r="AB54" s="69">
        <v>1</v>
      </c>
      <c r="AC54" s="66">
        <v>0</v>
      </c>
      <c r="AD54" s="54">
        <f>IF(OR(W54="SOPORTE_TELEFÓNICO",W54="ENVÍO"),0,IF(Y54="TIPO I",'BASE DE LIQUIDACION 2025'!$I$4,IF(Y54="TIPO II",'BASE DE LIQUIDACION 2025'!$I$5,IF(Y54="TIPO III",'BASE DE LIQUIDACION 2025'!$I$6,IF(Y54="TIPO IV",'BASE DE LIQUIDACION 2025'!$I$7,'BASE DE LIQUIDACION 2025'!$I$8)))))</f>
        <v>96001.196280000004</v>
      </c>
      <c r="AE54" s="54">
        <f>IF(OR(W54="SOPORTE_TELEFÓNICO",W54="ENVÍO"),0,IF(Y54="TIPO I",'BASE DE LIQUIDACION 2025'!$J$4,IF(Y54="TIPO II",'BASE DE LIQUIDACION 2025'!$J$5,IF(Y54="TIPO III",'BASE DE LIQUIDACION 2025'!$J$6,IF(Y54="TIPO IV",'BASE DE LIQUIDACION 2025'!$J$7,'BASE DE LIQUIDACION 2025'!$J$8)))))</f>
        <v>57411.974240000003</v>
      </c>
      <c r="AF54" s="54">
        <f>IF(W54="SOPORTE_TELEFÓNICO",'BASE DE LIQUIDACION 2025'!$L$4,IF(W54="ENVÍO",'BASE DE LIQUIDACION 2025'!$K$4,AD54*AB54+AE54*AC54))</f>
        <v>96001.196280000004</v>
      </c>
    </row>
    <row r="55" spans="1:32" s="56" customFormat="1" ht="13.15" hidden="1">
      <c r="A55" s="69" t="s">
        <v>210</v>
      </c>
      <c r="B55" s="66" t="str">
        <f>VLOOKUP(A55,'CENTRO DE COSTOS'!A:D,4,FALSE)</f>
        <v>KEVIN ALEXIS CORZO BUSTOS</v>
      </c>
      <c r="C55" s="66" t="str">
        <f>VLOOKUP(A55,'CENTRO DE COSTOS'!A:D,2,FALSE)</f>
        <v>0004-0007</v>
      </c>
      <c r="D55" s="69">
        <v>50001</v>
      </c>
      <c r="E55" s="69">
        <v>2729781</v>
      </c>
      <c r="F55" s="69">
        <v>64343</v>
      </c>
      <c r="G55" s="69" t="s">
        <v>1373</v>
      </c>
      <c r="H55" s="69" t="s">
        <v>212</v>
      </c>
      <c r="I55" s="69" t="s">
        <v>210</v>
      </c>
      <c r="J55" s="69" t="s">
        <v>1567</v>
      </c>
      <c r="K55" s="69" t="s">
        <v>140</v>
      </c>
      <c r="L55" s="69" t="s">
        <v>1568</v>
      </c>
      <c r="M55" s="70">
        <v>45911.671527777777</v>
      </c>
      <c r="N55" s="70">
        <v>45912.692361111112</v>
      </c>
      <c r="O55" s="66"/>
      <c r="P55" s="69" t="s">
        <v>1376</v>
      </c>
      <c r="Q55" s="69" t="s">
        <v>1377</v>
      </c>
      <c r="R55" s="69" t="s">
        <v>1378</v>
      </c>
      <c r="S55" s="69" t="s">
        <v>1378</v>
      </c>
      <c r="T55" s="69" t="s">
        <v>1379</v>
      </c>
      <c r="U55" s="69" t="s">
        <v>1380</v>
      </c>
      <c r="V55" s="69" t="s">
        <v>1569</v>
      </c>
      <c r="W55" s="69" t="s">
        <v>145</v>
      </c>
      <c r="X55" s="66">
        <v>0</v>
      </c>
      <c r="Y55" s="69" t="s">
        <v>55</v>
      </c>
      <c r="Z55" s="67" t="s">
        <v>159</v>
      </c>
      <c r="AA55" s="69" t="s">
        <v>1278</v>
      </c>
      <c r="AB55" s="69">
        <v>1</v>
      </c>
      <c r="AC55" s="66">
        <v>0</v>
      </c>
      <c r="AD55" s="54">
        <f>IF(OR(W55="SOPORTE_TELEFÓNICO",W55="ENVÍO"),0,IF(Y55="TIPO I",'BASE DE LIQUIDACION 2025'!$I$4,IF(Y55="TIPO II",'BASE DE LIQUIDACION 2025'!$I$5,IF(Y55="TIPO III",'BASE DE LIQUIDACION 2025'!$I$6,IF(Y55="TIPO IV",'BASE DE LIQUIDACION 2025'!$I$7,'BASE DE LIQUIDACION 2025'!$I$8)))))</f>
        <v>96001.196280000004</v>
      </c>
      <c r="AE55" s="54">
        <f>IF(OR(W55="SOPORTE_TELEFÓNICO",W55="ENVÍO"),0,IF(Y55="TIPO I",'BASE DE LIQUIDACION 2025'!$J$4,IF(Y55="TIPO II",'BASE DE LIQUIDACION 2025'!$J$5,IF(Y55="TIPO III",'BASE DE LIQUIDACION 2025'!$J$6,IF(Y55="TIPO IV",'BASE DE LIQUIDACION 2025'!$J$7,'BASE DE LIQUIDACION 2025'!$J$8)))))</f>
        <v>57411.974240000003</v>
      </c>
      <c r="AF55" s="54">
        <f>IF(W55="SOPORTE_TELEFÓNICO",'BASE DE LIQUIDACION 2025'!$L$4,IF(W55="ENVÍO",'BASE DE LIQUIDACION 2025'!$K$4,AD55*AB55+AE55*AC55))</f>
        <v>96001.196280000004</v>
      </c>
    </row>
    <row r="56" spans="1:32" s="56" customFormat="1" ht="13.15" hidden="1">
      <c r="A56" s="69" t="s">
        <v>168</v>
      </c>
      <c r="B56" s="66" t="str">
        <f>VLOOKUP(A56,'CENTRO DE COSTOS'!A:D,4,FALSE)</f>
        <v>DIEGO FERNANDO HENAO CARDONA</v>
      </c>
      <c r="C56" s="66" t="str">
        <f>VLOOKUP(A56,'CENTRO DE COSTOS'!A:D,2,FALSE)</f>
        <v>0004-0002</v>
      </c>
      <c r="D56" s="69">
        <v>66001</v>
      </c>
      <c r="E56" s="69">
        <v>2728715</v>
      </c>
      <c r="F56" s="69">
        <v>80388</v>
      </c>
      <c r="G56" s="69" t="s">
        <v>1373</v>
      </c>
      <c r="H56" s="69" t="s">
        <v>170</v>
      </c>
      <c r="I56" s="69" t="s">
        <v>168</v>
      </c>
      <c r="J56" s="69" t="s">
        <v>1570</v>
      </c>
      <c r="K56" s="69" t="s">
        <v>140</v>
      </c>
      <c r="L56" s="69" t="s">
        <v>1571</v>
      </c>
      <c r="M56" s="70">
        <v>45911.597916666673</v>
      </c>
      <c r="N56" s="70">
        <v>45912.713888888888</v>
      </c>
      <c r="O56" s="66"/>
      <c r="P56" s="69" t="s">
        <v>1376</v>
      </c>
      <c r="Q56" s="69" t="s">
        <v>1377</v>
      </c>
      <c r="R56" s="69" t="s">
        <v>142</v>
      </c>
      <c r="S56" s="69" t="s">
        <v>142</v>
      </c>
      <c r="T56" s="69" t="s">
        <v>1379</v>
      </c>
      <c r="U56" s="69" t="s">
        <v>1380</v>
      </c>
      <c r="V56" s="69" t="s">
        <v>1572</v>
      </c>
      <c r="W56" s="69" t="s">
        <v>145</v>
      </c>
      <c r="X56" s="66">
        <v>0</v>
      </c>
      <c r="Y56" s="69" t="s">
        <v>55</v>
      </c>
      <c r="Z56" s="67" t="s">
        <v>159</v>
      </c>
      <c r="AA56" s="69" t="s">
        <v>290</v>
      </c>
      <c r="AB56" s="69">
        <v>1</v>
      </c>
      <c r="AC56" s="66">
        <v>0</v>
      </c>
      <c r="AD56" s="54">
        <f>IF(OR(W56="SOPORTE_TELEFÓNICO",W56="ENVÍO"),0,IF(Y56="TIPO I",'BASE DE LIQUIDACION 2025'!$I$4,IF(Y56="TIPO II",'BASE DE LIQUIDACION 2025'!$I$5,IF(Y56="TIPO III",'BASE DE LIQUIDACION 2025'!$I$6,IF(Y56="TIPO IV",'BASE DE LIQUIDACION 2025'!$I$7,'BASE DE LIQUIDACION 2025'!$I$8)))))</f>
        <v>96001.196280000004</v>
      </c>
      <c r="AE56" s="54">
        <f>IF(OR(W56="SOPORTE_TELEFÓNICO",W56="ENVÍO"),0,IF(Y56="TIPO I",'BASE DE LIQUIDACION 2025'!$J$4,IF(Y56="TIPO II",'BASE DE LIQUIDACION 2025'!$J$5,IF(Y56="TIPO III",'BASE DE LIQUIDACION 2025'!$J$6,IF(Y56="TIPO IV",'BASE DE LIQUIDACION 2025'!$J$7,'BASE DE LIQUIDACION 2025'!$J$8)))))</f>
        <v>57411.974240000003</v>
      </c>
      <c r="AF56" s="54">
        <f>IF(W56="SOPORTE_TELEFÓNICO",'BASE DE LIQUIDACION 2025'!$L$4,IF(W56="ENVÍO",'BASE DE LIQUIDACION 2025'!$K$4,AD56*AB56+AE56*AC56))</f>
        <v>96001.196280000004</v>
      </c>
    </row>
    <row r="57" spans="1:32" s="56" customFormat="1" ht="13.15" hidden="1">
      <c r="A57" s="69" t="s">
        <v>518</v>
      </c>
      <c r="B57" s="66" t="str">
        <f>VLOOKUP(A57,'CENTRO DE COSTOS'!A:D,4,FALSE)</f>
        <v>KEVIN ALEXIS CORZO BUSTOS</v>
      </c>
      <c r="C57" s="66" t="str">
        <f>VLOOKUP(A57,'CENTRO DE COSTOS'!A:D,2,FALSE)</f>
        <v>0004-0007</v>
      </c>
      <c r="D57" s="69">
        <v>73001</v>
      </c>
      <c r="E57" s="69">
        <v>2727959</v>
      </c>
      <c r="F57" s="69">
        <v>64368</v>
      </c>
      <c r="G57" s="69" t="s">
        <v>1373</v>
      </c>
      <c r="H57" s="69" t="s">
        <v>520</v>
      </c>
      <c r="I57" s="69" t="s">
        <v>518</v>
      </c>
      <c r="J57" s="69" t="s">
        <v>1573</v>
      </c>
      <c r="K57" s="69" t="s">
        <v>140</v>
      </c>
      <c r="L57" s="69" t="s">
        <v>1574</v>
      </c>
      <c r="M57" s="70">
        <v>45911.506944444453</v>
      </c>
      <c r="N57" s="70">
        <v>45915.60833333333</v>
      </c>
      <c r="O57" s="66"/>
      <c r="P57" s="69" t="s">
        <v>1376</v>
      </c>
      <c r="Q57" s="69" t="s">
        <v>1377</v>
      </c>
      <c r="R57" s="69" t="s">
        <v>239</v>
      </c>
      <c r="S57" s="69" t="s">
        <v>381</v>
      </c>
      <c r="T57" s="69" t="s">
        <v>1379</v>
      </c>
      <c r="U57" s="69" t="s">
        <v>1380</v>
      </c>
      <c r="V57" s="69" t="s">
        <v>1575</v>
      </c>
      <c r="W57" s="69" t="s">
        <v>145</v>
      </c>
      <c r="X57" s="66">
        <v>0</v>
      </c>
      <c r="Y57" s="69" t="s">
        <v>55</v>
      </c>
      <c r="Z57" s="67" t="s">
        <v>159</v>
      </c>
      <c r="AA57" s="69" t="s">
        <v>788</v>
      </c>
      <c r="AB57" s="69">
        <v>1</v>
      </c>
      <c r="AC57" s="66">
        <v>0</v>
      </c>
      <c r="AD57" s="54">
        <f>IF(OR(W57="SOPORTE_TELEFÓNICO",W57="ENVÍO"),0,IF(Y57="TIPO I",'BASE DE LIQUIDACION 2025'!$I$4,IF(Y57="TIPO II",'BASE DE LIQUIDACION 2025'!$I$5,IF(Y57="TIPO III",'BASE DE LIQUIDACION 2025'!$I$6,IF(Y57="TIPO IV",'BASE DE LIQUIDACION 2025'!$I$7,'BASE DE LIQUIDACION 2025'!$I$8)))))</f>
        <v>96001.196280000004</v>
      </c>
      <c r="AE57" s="54">
        <f>IF(OR(W57="SOPORTE_TELEFÓNICO",W57="ENVÍO"),0,IF(Y57="TIPO I",'BASE DE LIQUIDACION 2025'!$J$4,IF(Y57="TIPO II",'BASE DE LIQUIDACION 2025'!$J$5,IF(Y57="TIPO III",'BASE DE LIQUIDACION 2025'!$J$6,IF(Y57="TIPO IV",'BASE DE LIQUIDACION 2025'!$J$7,'BASE DE LIQUIDACION 2025'!$J$8)))))</f>
        <v>57411.974240000003</v>
      </c>
      <c r="AF57" s="54">
        <f>IF(W57="SOPORTE_TELEFÓNICO",'BASE DE LIQUIDACION 2025'!$L$4,IF(W57="ENVÍO",'BASE DE LIQUIDACION 2025'!$K$4,AD57*AB57+AE57*AC57))</f>
        <v>96001.196280000004</v>
      </c>
    </row>
    <row r="58" spans="1:32" s="56" customFormat="1" ht="13.15" hidden="1">
      <c r="A58" s="69" t="s">
        <v>274</v>
      </c>
      <c r="B58" s="66" t="str">
        <f>VLOOKUP(A58,'CENTRO DE COSTOS'!A:D,4,FALSE)</f>
        <v>MIGUEL JULIÁN HERNÁNDEZ GUARÍN</v>
      </c>
      <c r="C58" s="66" t="str">
        <f>VLOOKUP(A58,'CENTRO DE COSTOS'!A:D,2,FALSE)</f>
        <v>0004-0008</v>
      </c>
      <c r="D58" s="69">
        <v>15491</v>
      </c>
      <c r="E58" s="69">
        <v>2724395</v>
      </c>
      <c r="F58" s="69">
        <v>53165</v>
      </c>
      <c r="G58" s="69" t="s">
        <v>1373</v>
      </c>
      <c r="H58" s="69" t="s">
        <v>276</v>
      </c>
      <c r="I58" s="69" t="s">
        <v>1576</v>
      </c>
      <c r="J58" s="69" t="s">
        <v>1577</v>
      </c>
      <c r="K58" s="69" t="s">
        <v>140</v>
      </c>
      <c r="L58" s="69" t="s">
        <v>1578</v>
      </c>
      <c r="M58" s="70">
        <v>45910.732638888891</v>
      </c>
      <c r="N58" s="70">
        <v>45912.695138888892</v>
      </c>
      <c r="O58" s="66"/>
      <c r="P58" s="69" t="s">
        <v>1376</v>
      </c>
      <c r="Q58" s="69" t="s">
        <v>1377</v>
      </c>
      <c r="R58" s="69" t="s">
        <v>1378</v>
      </c>
      <c r="S58" s="69" t="s">
        <v>1378</v>
      </c>
      <c r="T58" s="69" t="s">
        <v>1379</v>
      </c>
      <c r="U58" s="69" t="s">
        <v>1380</v>
      </c>
      <c r="V58" s="69" t="s">
        <v>1579</v>
      </c>
      <c r="W58" s="69" t="s">
        <v>145</v>
      </c>
      <c r="X58" s="66">
        <v>0</v>
      </c>
      <c r="Y58" s="69" t="s">
        <v>199</v>
      </c>
      <c r="Z58" s="67" t="s">
        <v>159</v>
      </c>
      <c r="AA58" s="69" t="s">
        <v>1580</v>
      </c>
      <c r="AB58" s="69">
        <v>1</v>
      </c>
      <c r="AC58" s="66">
        <v>0</v>
      </c>
      <c r="AD58" s="54">
        <f>IF(OR(W58="SOPORTE_TELEFÓNICO",W58="ENVÍO"),0,IF(Y58="TIPO I",'BASE DE LIQUIDACION 2025'!$I$4,IF(Y58="TIPO II",'BASE DE LIQUIDACION 2025'!$I$5,IF(Y58="TIPO III",'BASE DE LIQUIDACION 2025'!$I$6,IF(Y58="TIPO IV",'BASE DE LIQUIDACION 2025'!$I$7,'BASE DE LIQUIDACION 2025'!$I$8)))))</f>
        <v>232858.60096000001</v>
      </c>
      <c r="AE58" s="54">
        <f>IF(OR(W58="SOPORTE_TELEFÓNICO",W58="ENVÍO"),0,IF(Y58="TIPO I",'BASE DE LIQUIDACION 2025'!$J$4,IF(Y58="TIPO II",'BASE DE LIQUIDACION 2025'!$J$5,IF(Y58="TIPO III",'BASE DE LIQUIDACION 2025'!$J$6,IF(Y58="TIPO IV",'BASE DE LIQUIDACION 2025'!$J$7,'BASE DE LIQUIDACION 2025'!$J$8)))))</f>
        <v>110808.27512000001</v>
      </c>
      <c r="AF58" s="54">
        <f>IF(W58="SOPORTE_TELEFÓNICO",'BASE DE LIQUIDACION 2025'!$L$4,IF(W58="ENVÍO",'BASE DE LIQUIDACION 2025'!$K$4,AD58*AB58+AE58*AC58))</f>
        <v>232858.60096000001</v>
      </c>
    </row>
    <row r="59" spans="1:32" s="56" customFormat="1" ht="13.15" hidden="1">
      <c r="A59" s="69" t="s">
        <v>133</v>
      </c>
      <c r="B59" s="66" t="str">
        <f>VLOOKUP(A59,'CENTRO DE COSTOS'!A:D,4,FALSE)</f>
        <v>DIEGO FERNANDO HENAO CARDONA</v>
      </c>
      <c r="C59" s="66" t="str">
        <f>VLOOKUP(A59,'CENTRO DE COSTOS'!A:D,2,FALSE)</f>
        <v>0004-0003</v>
      </c>
      <c r="D59" s="69">
        <v>52240</v>
      </c>
      <c r="E59" s="69">
        <v>2724388</v>
      </c>
      <c r="F59" s="69">
        <v>69678</v>
      </c>
      <c r="G59" s="69" t="s">
        <v>1373</v>
      </c>
      <c r="H59" s="69" t="s">
        <v>137</v>
      </c>
      <c r="I59" s="69" t="s">
        <v>1581</v>
      </c>
      <c r="J59" s="69" t="s">
        <v>1582</v>
      </c>
      <c r="K59" s="69" t="s">
        <v>140</v>
      </c>
      <c r="L59" s="69" t="s">
        <v>1583</v>
      </c>
      <c r="M59" s="70">
        <v>45910.730555555558</v>
      </c>
      <c r="N59" s="70">
        <v>45913.619444444441</v>
      </c>
      <c r="O59" s="66"/>
      <c r="P59" s="69" t="s">
        <v>1376</v>
      </c>
      <c r="Q59" s="69" t="s">
        <v>1377</v>
      </c>
      <c r="R59" s="69" t="s">
        <v>239</v>
      </c>
      <c r="S59" s="69" t="s">
        <v>381</v>
      </c>
      <c r="T59" s="69" t="s">
        <v>1379</v>
      </c>
      <c r="U59" s="69" t="s">
        <v>1380</v>
      </c>
      <c r="V59" s="69" t="s">
        <v>1584</v>
      </c>
      <c r="W59" s="69" t="s">
        <v>145</v>
      </c>
      <c r="X59" s="66">
        <v>0</v>
      </c>
      <c r="Y59" s="69" t="s">
        <v>199</v>
      </c>
      <c r="Z59" s="67" t="s">
        <v>159</v>
      </c>
      <c r="AA59" s="69" t="s">
        <v>149</v>
      </c>
      <c r="AB59" s="69">
        <v>1</v>
      </c>
      <c r="AC59" s="66">
        <v>0</v>
      </c>
      <c r="AD59" s="54">
        <f>IF(OR(W59="SOPORTE_TELEFÓNICO",W59="ENVÍO"),0,IF(Y59="TIPO I",'BASE DE LIQUIDACION 2025'!$I$4,IF(Y59="TIPO II",'BASE DE LIQUIDACION 2025'!$I$5,IF(Y59="TIPO III",'BASE DE LIQUIDACION 2025'!$I$6,IF(Y59="TIPO IV",'BASE DE LIQUIDACION 2025'!$I$7,'BASE DE LIQUIDACION 2025'!$I$8)))))</f>
        <v>232858.60096000001</v>
      </c>
      <c r="AE59" s="54">
        <f>IF(OR(W59="SOPORTE_TELEFÓNICO",W59="ENVÍO"),0,IF(Y59="TIPO I",'BASE DE LIQUIDACION 2025'!$J$4,IF(Y59="TIPO II",'BASE DE LIQUIDACION 2025'!$J$5,IF(Y59="TIPO III",'BASE DE LIQUIDACION 2025'!$J$6,IF(Y59="TIPO IV",'BASE DE LIQUIDACION 2025'!$J$7,'BASE DE LIQUIDACION 2025'!$J$8)))))</f>
        <v>110808.27512000001</v>
      </c>
      <c r="AF59" s="54">
        <f>IF(W59="SOPORTE_TELEFÓNICO",'BASE DE LIQUIDACION 2025'!$L$4,IF(W59="ENVÍO",'BASE DE LIQUIDACION 2025'!$K$4,AD59*AB59+AE59*AC59))</f>
        <v>232858.60096000001</v>
      </c>
    </row>
    <row r="60" spans="1:32" s="56" customFormat="1" ht="13.15" hidden="1">
      <c r="A60" s="69" t="s">
        <v>176</v>
      </c>
      <c r="B60" s="66" t="str">
        <f>VLOOKUP(A60,'CENTRO DE COSTOS'!A:D,4,FALSE)</f>
        <v>JOSE MAURICIO HERNANDEZ ROJAS</v>
      </c>
      <c r="C60" s="66" t="str">
        <f>VLOOKUP(A60,'CENTRO DE COSTOS'!A:D,2,FALSE)</f>
        <v>0004-0001</v>
      </c>
      <c r="D60" s="69">
        <v>5250</v>
      </c>
      <c r="E60" s="69">
        <v>2723144</v>
      </c>
      <c r="F60" s="69">
        <v>44714</v>
      </c>
      <c r="G60" s="69" t="s">
        <v>1373</v>
      </c>
      <c r="H60" s="69" t="s">
        <v>253</v>
      </c>
      <c r="I60" s="69" t="s">
        <v>254</v>
      </c>
      <c r="J60" s="69" t="s">
        <v>1585</v>
      </c>
      <c r="K60" s="69" t="s">
        <v>140</v>
      </c>
      <c r="L60" s="69" t="s">
        <v>1586</v>
      </c>
      <c r="M60" s="70">
        <v>45910.614583333343</v>
      </c>
      <c r="N60" s="70">
        <v>45911.584027777782</v>
      </c>
      <c r="O60" s="66"/>
      <c r="P60" s="69" t="s">
        <v>1376</v>
      </c>
      <c r="Q60" s="69" t="s">
        <v>1377</v>
      </c>
      <c r="R60" s="69" t="s">
        <v>239</v>
      </c>
      <c r="S60" s="69" t="s">
        <v>240</v>
      </c>
      <c r="T60" s="69" t="s">
        <v>1379</v>
      </c>
      <c r="U60" s="69" t="s">
        <v>1380</v>
      </c>
      <c r="V60" s="69" t="s">
        <v>1587</v>
      </c>
      <c r="W60" s="69" t="s">
        <v>145</v>
      </c>
      <c r="X60" s="66">
        <v>0</v>
      </c>
      <c r="Y60" s="69" t="s">
        <v>167</v>
      </c>
      <c r="Z60" s="67" t="s">
        <v>159</v>
      </c>
      <c r="AA60" s="69" t="s">
        <v>1588</v>
      </c>
      <c r="AB60" s="69">
        <v>1</v>
      </c>
      <c r="AC60" s="66">
        <v>0</v>
      </c>
      <c r="AD60" s="54">
        <f>IF(OR(W60="SOPORTE_TELEFÓNICO",W60="ENVÍO"),0,IF(Y60="TIPO I",'BASE DE LIQUIDACION 2025'!$I$4,IF(Y60="TIPO II",'BASE DE LIQUIDACION 2025'!$I$5,IF(Y60="TIPO III",'BASE DE LIQUIDACION 2025'!$I$6,IF(Y60="TIPO IV",'BASE DE LIQUIDACION 2025'!$I$7,'BASE DE LIQUIDACION 2025'!$I$8)))))</f>
        <v>548633.63271999999</v>
      </c>
      <c r="AE60" s="54">
        <f>IF(OR(W60="SOPORTE_TELEFÓNICO",W60="ENVÍO"),0,IF(Y60="TIPO I",'BASE DE LIQUIDACION 2025'!$J$4,IF(Y60="TIPO II",'BASE DE LIQUIDACION 2025'!$J$5,IF(Y60="TIPO III",'BASE DE LIQUIDACION 2025'!$J$6,IF(Y60="TIPO IV",'BASE DE LIQUIDACION 2025'!$J$7,'BASE DE LIQUIDACION 2025'!$J$8)))))</f>
        <v>110808.27512000001</v>
      </c>
      <c r="AF60" s="54">
        <f>IF(W60="SOPORTE_TELEFÓNICO",'BASE DE LIQUIDACION 2025'!$L$4,IF(W60="ENVÍO",'BASE DE LIQUIDACION 2025'!$K$4,AD60*AB60+AE60*AC60))</f>
        <v>548633.63271999999</v>
      </c>
    </row>
    <row r="61" spans="1:32" s="56" customFormat="1" ht="13.15" hidden="1">
      <c r="A61" s="69" t="s">
        <v>454</v>
      </c>
      <c r="B61" s="66" t="str">
        <f>VLOOKUP(A61,'CENTRO DE COSTOS'!A:D,4,FALSE)</f>
        <v>JOSE MAURICIO HERNANDEZ ROJAS</v>
      </c>
      <c r="C61" s="66" t="str">
        <f>VLOOKUP(A61,'CENTRO DE COSTOS'!A:D,2,FALSE)</f>
        <v>0004-0001</v>
      </c>
      <c r="D61" s="69">
        <v>47001</v>
      </c>
      <c r="E61" s="69">
        <v>2721009</v>
      </c>
      <c r="F61" s="69">
        <v>40613</v>
      </c>
      <c r="G61" s="69" t="s">
        <v>1373</v>
      </c>
      <c r="H61" s="69" t="s">
        <v>456</v>
      </c>
      <c r="I61" s="69" t="s">
        <v>454</v>
      </c>
      <c r="J61" s="69" t="s">
        <v>1589</v>
      </c>
      <c r="K61" s="69" t="s">
        <v>140</v>
      </c>
      <c r="L61" s="69" t="s">
        <v>1590</v>
      </c>
      <c r="M61" s="70">
        <v>45910.435416666667</v>
      </c>
      <c r="N61" s="70">
        <v>45911.518750000003</v>
      </c>
      <c r="O61" s="66"/>
      <c r="P61" s="69" t="s">
        <v>1376</v>
      </c>
      <c r="Q61" s="69" t="s">
        <v>1377</v>
      </c>
      <c r="R61" s="69" t="s">
        <v>1378</v>
      </c>
      <c r="S61" s="69" t="s">
        <v>1378</v>
      </c>
      <c r="T61" s="69" t="s">
        <v>1379</v>
      </c>
      <c r="U61" s="69" t="s">
        <v>1380</v>
      </c>
      <c r="V61" s="69" t="s">
        <v>1591</v>
      </c>
      <c r="W61" s="69" t="s">
        <v>145</v>
      </c>
      <c r="X61" s="66">
        <v>0</v>
      </c>
      <c r="Y61" s="69" t="s">
        <v>55</v>
      </c>
      <c r="Z61" s="67" t="s">
        <v>159</v>
      </c>
      <c r="AA61" s="69" t="s">
        <v>460</v>
      </c>
      <c r="AB61" s="69">
        <v>1</v>
      </c>
      <c r="AC61" s="66">
        <v>0</v>
      </c>
      <c r="AD61" s="54">
        <f>IF(OR(W61="SOPORTE_TELEFÓNICO",W61="ENVÍO"),0,IF(Y61="TIPO I",'BASE DE LIQUIDACION 2025'!$I$4,IF(Y61="TIPO II",'BASE DE LIQUIDACION 2025'!$I$5,IF(Y61="TIPO III",'BASE DE LIQUIDACION 2025'!$I$6,IF(Y61="TIPO IV",'BASE DE LIQUIDACION 2025'!$I$7,'BASE DE LIQUIDACION 2025'!$I$8)))))</f>
        <v>96001.196280000004</v>
      </c>
      <c r="AE61" s="54">
        <f>IF(OR(W61="SOPORTE_TELEFÓNICO",W61="ENVÍO"),0,IF(Y61="TIPO I",'BASE DE LIQUIDACION 2025'!$J$4,IF(Y61="TIPO II",'BASE DE LIQUIDACION 2025'!$J$5,IF(Y61="TIPO III",'BASE DE LIQUIDACION 2025'!$J$6,IF(Y61="TIPO IV",'BASE DE LIQUIDACION 2025'!$J$7,'BASE DE LIQUIDACION 2025'!$J$8)))))</f>
        <v>57411.974240000003</v>
      </c>
      <c r="AF61" s="54">
        <f>IF(W61="SOPORTE_TELEFÓNICO",'BASE DE LIQUIDACION 2025'!$L$4,IF(W61="ENVÍO",'BASE DE LIQUIDACION 2025'!$K$4,AD61*AB61+AE61*AC61))</f>
        <v>96001.196280000004</v>
      </c>
    </row>
    <row r="62" spans="1:32" s="56" customFormat="1" ht="13.15" hidden="1">
      <c r="A62" s="69" t="s">
        <v>621</v>
      </c>
      <c r="B62" s="66" t="str">
        <f>VLOOKUP(A62,'CENTRO DE COSTOS'!A:D,4,FALSE)</f>
        <v>JOSE MAURICIO HERNANDEZ ROJAS</v>
      </c>
      <c r="C62" s="66" t="str">
        <f>VLOOKUP(A62,'CENTRO DE COSTOS'!A:D,2,FALSE)</f>
        <v>0004-0001</v>
      </c>
      <c r="D62" s="69">
        <v>20001</v>
      </c>
      <c r="E62" s="69">
        <v>2720770</v>
      </c>
      <c r="F62" s="69">
        <v>20581</v>
      </c>
      <c r="G62" s="69" t="s">
        <v>1373</v>
      </c>
      <c r="H62" s="69" t="s">
        <v>623</v>
      </c>
      <c r="I62" s="69" t="s">
        <v>621</v>
      </c>
      <c r="J62" s="69" t="s">
        <v>1592</v>
      </c>
      <c r="K62" s="69" t="s">
        <v>140</v>
      </c>
      <c r="L62" s="69" t="s">
        <v>1593</v>
      </c>
      <c r="M62" s="70">
        <v>45910.427777777782</v>
      </c>
      <c r="N62" s="70">
        <v>45912.711111111108</v>
      </c>
      <c r="O62" s="66"/>
      <c r="P62" s="69" t="s">
        <v>1376</v>
      </c>
      <c r="Q62" s="69" t="s">
        <v>1377</v>
      </c>
      <c r="R62" s="69" t="s">
        <v>1378</v>
      </c>
      <c r="S62" s="69" t="s">
        <v>1378</v>
      </c>
      <c r="T62" s="69" t="s">
        <v>1433</v>
      </c>
      <c r="U62" s="69" t="s">
        <v>1434</v>
      </c>
      <c r="V62" s="69" t="s">
        <v>1594</v>
      </c>
      <c r="W62" s="69" t="s">
        <v>145</v>
      </c>
      <c r="X62" s="66">
        <v>0</v>
      </c>
      <c r="Y62" s="69" t="s">
        <v>55</v>
      </c>
      <c r="Z62" s="67" t="s">
        <v>159</v>
      </c>
      <c r="AA62" s="69" t="s">
        <v>1595</v>
      </c>
      <c r="AB62" s="69">
        <v>1</v>
      </c>
      <c r="AC62" s="66">
        <v>0</v>
      </c>
      <c r="AD62" s="54">
        <f>IF(OR(W62="SOPORTE_TELEFÓNICO",W62="ENVÍO"),0,IF(Y62="TIPO I",'BASE DE LIQUIDACION 2025'!$I$4,IF(Y62="TIPO II",'BASE DE LIQUIDACION 2025'!$I$5,IF(Y62="TIPO III",'BASE DE LIQUIDACION 2025'!$I$6,IF(Y62="TIPO IV",'BASE DE LIQUIDACION 2025'!$I$7,'BASE DE LIQUIDACION 2025'!$I$8)))))</f>
        <v>96001.196280000004</v>
      </c>
      <c r="AE62" s="54">
        <f>IF(OR(W62="SOPORTE_TELEFÓNICO",W62="ENVÍO"),0,IF(Y62="TIPO I",'BASE DE LIQUIDACION 2025'!$J$4,IF(Y62="TIPO II",'BASE DE LIQUIDACION 2025'!$J$5,IF(Y62="TIPO III",'BASE DE LIQUIDACION 2025'!$J$6,IF(Y62="TIPO IV",'BASE DE LIQUIDACION 2025'!$J$7,'BASE DE LIQUIDACION 2025'!$J$8)))))</f>
        <v>57411.974240000003</v>
      </c>
      <c r="AF62" s="54">
        <f>IF(W62="SOPORTE_TELEFÓNICO",'BASE DE LIQUIDACION 2025'!$L$4,IF(W62="ENVÍO",'BASE DE LIQUIDACION 2025'!$K$4,AD62*AB62+AE62*AC62))</f>
        <v>96001.196280000004</v>
      </c>
    </row>
    <row r="63" spans="1:32" s="56" customFormat="1" ht="13.15" hidden="1">
      <c r="A63" s="69" t="s">
        <v>274</v>
      </c>
      <c r="B63" s="66" t="str">
        <f>VLOOKUP(A63,'CENTRO DE COSTOS'!A:D,4,FALSE)</f>
        <v>MIGUEL JULIÁN HERNÁNDEZ GUARÍN</v>
      </c>
      <c r="C63" s="66" t="str">
        <f>VLOOKUP(A63,'CENTRO DE COSTOS'!A:D,2,FALSE)</f>
        <v>0004-0008</v>
      </c>
      <c r="D63" s="69">
        <v>15861</v>
      </c>
      <c r="E63" s="69">
        <v>2718225</v>
      </c>
      <c r="F63" s="69">
        <v>50347</v>
      </c>
      <c r="G63" s="69" t="s">
        <v>1373</v>
      </c>
      <c r="H63" s="69" t="s">
        <v>276</v>
      </c>
      <c r="I63" s="69" t="s">
        <v>1596</v>
      </c>
      <c r="J63" s="69" t="s">
        <v>1597</v>
      </c>
      <c r="K63" s="69" t="s">
        <v>140</v>
      </c>
      <c r="L63" s="69" t="s">
        <v>1598</v>
      </c>
      <c r="M63" s="70">
        <v>45909.715277777781</v>
      </c>
      <c r="N63" s="70">
        <v>45911.601388888892</v>
      </c>
      <c r="O63" s="66"/>
      <c r="P63" s="69" t="s">
        <v>1376</v>
      </c>
      <c r="Q63" s="69" t="s">
        <v>1377</v>
      </c>
      <c r="R63" s="69" t="s">
        <v>1378</v>
      </c>
      <c r="S63" s="69" t="s">
        <v>1378</v>
      </c>
      <c r="T63" s="69" t="s">
        <v>1379</v>
      </c>
      <c r="U63" s="69" t="s">
        <v>1380</v>
      </c>
      <c r="V63" s="69" t="s">
        <v>1599</v>
      </c>
      <c r="W63" s="69" t="s">
        <v>145</v>
      </c>
      <c r="X63" s="66">
        <v>0</v>
      </c>
      <c r="Y63" s="69" t="s">
        <v>199</v>
      </c>
      <c r="Z63" s="67" t="s">
        <v>159</v>
      </c>
      <c r="AA63" s="69" t="s">
        <v>655</v>
      </c>
      <c r="AB63" s="69">
        <v>1</v>
      </c>
      <c r="AC63" s="66">
        <v>0</v>
      </c>
      <c r="AD63" s="54">
        <f>IF(OR(W63="SOPORTE_TELEFÓNICO",W63="ENVÍO"),0,IF(Y63="TIPO I",'BASE DE LIQUIDACION 2025'!$I$4,IF(Y63="TIPO II",'BASE DE LIQUIDACION 2025'!$I$5,IF(Y63="TIPO III",'BASE DE LIQUIDACION 2025'!$I$6,IF(Y63="TIPO IV",'BASE DE LIQUIDACION 2025'!$I$7,'BASE DE LIQUIDACION 2025'!$I$8)))))</f>
        <v>232858.60096000001</v>
      </c>
      <c r="AE63" s="54">
        <f>IF(OR(W63="SOPORTE_TELEFÓNICO",W63="ENVÍO"),0,IF(Y63="TIPO I",'BASE DE LIQUIDACION 2025'!$J$4,IF(Y63="TIPO II",'BASE DE LIQUIDACION 2025'!$J$5,IF(Y63="TIPO III",'BASE DE LIQUIDACION 2025'!$J$6,IF(Y63="TIPO IV",'BASE DE LIQUIDACION 2025'!$J$7,'BASE DE LIQUIDACION 2025'!$J$8)))))</f>
        <v>110808.27512000001</v>
      </c>
      <c r="AF63" s="54">
        <f>IF(W63="SOPORTE_TELEFÓNICO",'BASE DE LIQUIDACION 2025'!$L$4,IF(W63="ENVÍO",'BASE DE LIQUIDACION 2025'!$K$4,AD63*AB63+AE63*AC63))</f>
        <v>232858.60096000001</v>
      </c>
    </row>
    <row r="64" spans="1:32" s="56" customFormat="1" ht="13.15" hidden="1">
      <c r="A64" s="69" t="s">
        <v>621</v>
      </c>
      <c r="B64" s="66" t="str">
        <f>VLOOKUP(A64,'CENTRO DE COSTOS'!A:D,4,FALSE)</f>
        <v>JOSE MAURICIO HERNANDEZ ROJAS</v>
      </c>
      <c r="C64" s="66" t="str">
        <f>VLOOKUP(A64,'CENTRO DE COSTOS'!A:D,2,FALSE)</f>
        <v>0004-0001</v>
      </c>
      <c r="D64" s="69">
        <v>20001</v>
      </c>
      <c r="E64" s="69">
        <v>2717996</v>
      </c>
      <c r="F64" s="69">
        <v>59280</v>
      </c>
      <c r="G64" s="69" t="s">
        <v>1373</v>
      </c>
      <c r="H64" s="69" t="s">
        <v>623</v>
      </c>
      <c r="I64" s="69" t="s">
        <v>621</v>
      </c>
      <c r="J64" s="69" t="s">
        <v>1600</v>
      </c>
      <c r="K64" s="69" t="s">
        <v>140</v>
      </c>
      <c r="L64" s="69" t="s">
        <v>1601</v>
      </c>
      <c r="M64" s="70">
        <v>45909.707638888889</v>
      </c>
      <c r="N64" s="70">
        <v>45912.712500000001</v>
      </c>
      <c r="O64" s="66"/>
      <c r="P64" s="69" t="s">
        <v>1376</v>
      </c>
      <c r="Q64" s="69" t="s">
        <v>1377</v>
      </c>
      <c r="R64" s="69" t="s">
        <v>1378</v>
      </c>
      <c r="S64" s="69" t="s">
        <v>1378</v>
      </c>
      <c r="T64" s="69" t="s">
        <v>1379</v>
      </c>
      <c r="U64" s="69" t="s">
        <v>1380</v>
      </c>
      <c r="V64" s="69" t="s">
        <v>1602</v>
      </c>
      <c r="W64" s="69" t="s">
        <v>145</v>
      </c>
      <c r="X64" s="66">
        <v>0</v>
      </c>
      <c r="Y64" s="69" t="s">
        <v>55</v>
      </c>
      <c r="Z64" s="67" t="s">
        <v>159</v>
      </c>
      <c r="AA64" s="69" t="s">
        <v>1595</v>
      </c>
      <c r="AB64" s="69">
        <v>1</v>
      </c>
      <c r="AC64" s="66">
        <v>0</v>
      </c>
      <c r="AD64" s="54">
        <f>IF(OR(W64="SOPORTE_TELEFÓNICO",W64="ENVÍO"),0,IF(Y64="TIPO I",'BASE DE LIQUIDACION 2025'!$I$4,IF(Y64="TIPO II",'BASE DE LIQUIDACION 2025'!$I$5,IF(Y64="TIPO III",'BASE DE LIQUIDACION 2025'!$I$6,IF(Y64="TIPO IV",'BASE DE LIQUIDACION 2025'!$I$7,'BASE DE LIQUIDACION 2025'!$I$8)))))</f>
        <v>96001.196280000004</v>
      </c>
      <c r="AE64" s="54">
        <f>IF(OR(W64="SOPORTE_TELEFÓNICO",W64="ENVÍO"),0,IF(Y64="TIPO I",'BASE DE LIQUIDACION 2025'!$J$4,IF(Y64="TIPO II",'BASE DE LIQUIDACION 2025'!$J$5,IF(Y64="TIPO III",'BASE DE LIQUIDACION 2025'!$J$6,IF(Y64="TIPO IV",'BASE DE LIQUIDACION 2025'!$J$7,'BASE DE LIQUIDACION 2025'!$J$8)))))</f>
        <v>57411.974240000003</v>
      </c>
      <c r="AF64" s="54">
        <f>IF(W64="SOPORTE_TELEFÓNICO",'BASE DE LIQUIDACION 2025'!$L$4,IF(W64="ENVÍO",'BASE DE LIQUIDACION 2025'!$K$4,AD64*AB64+AE64*AC64))</f>
        <v>96001.196280000004</v>
      </c>
    </row>
    <row r="65" spans="1:32" s="56" customFormat="1" ht="13.15" hidden="1">
      <c r="A65" s="69" t="s">
        <v>267</v>
      </c>
      <c r="B65" s="66" t="str">
        <f>VLOOKUP(A65,'CENTRO DE COSTOS'!A:D,4,FALSE)</f>
        <v>JUAN SEBASTIÁN RÍOS CASTRILLÓN</v>
      </c>
      <c r="C65" s="66" t="str">
        <f>VLOOKUP(A65,'CENTRO DE COSTOS'!A:D,2,FALSE)</f>
        <v>0004-0005</v>
      </c>
      <c r="D65" s="69">
        <v>5088</v>
      </c>
      <c r="E65" s="69">
        <v>2717492</v>
      </c>
      <c r="F65" s="69">
        <v>74187</v>
      </c>
      <c r="G65" s="69" t="s">
        <v>1373</v>
      </c>
      <c r="H65" s="69" t="s">
        <v>253</v>
      </c>
      <c r="I65" s="69" t="s">
        <v>400</v>
      </c>
      <c r="J65" s="69" t="s">
        <v>1603</v>
      </c>
      <c r="K65" s="69" t="s">
        <v>140</v>
      </c>
      <c r="L65" s="69" t="s">
        <v>1604</v>
      </c>
      <c r="M65" s="70">
        <v>45909.673611111109</v>
      </c>
      <c r="N65" s="70">
        <v>45911.602777777778</v>
      </c>
      <c r="O65" s="66"/>
      <c r="P65" s="69" t="s">
        <v>1376</v>
      </c>
      <c r="Q65" s="69" t="s">
        <v>1377</v>
      </c>
      <c r="R65" s="69" t="s">
        <v>1378</v>
      </c>
      <c r="S65" s="69" t="s">
        <v>1378</v>
      </c>
      <c r="T65" s="69" t="s">
        <v>1379</v>
      </c>
      <c r="U65" s="69" t="s">
        <v>1380</v>
      </c>
      <c r="V65" s="69" t="s">
        <v>1605</v>
      </c>
      <c r="W65" s="69" t="s">
        <v>145</v>
      </c>
      <c r="X65" s="66">
        <v>0</v>
      </c>
      <c r="Y65" s="69" t="s">
        <v>55</v>
      </c>
      <c r="Z65" s="67" t="s">
        <v>159</v>
      </c>
      <c r="AA65" s="69" t="s">
        <v>701</v>
      </c>
      <c r="AB65" s="69">
        <v>1</v>
      </c>
      <c r="AC65" s="66">
        <v>0</v>
      </c>
      <c r="AD65" s="54">
        <f>IF(OR(W65="SOPORTE_TELEFÓNICO",W65="ENVÍO"),0,IF(Y65="TIPO I",'BASE DE LIQUIDACION 2025'!$I$4,IF(Y65="TIPO II",'BASE DE LIQUIDACION 2025'!$I$5,IF(Y65="TIPO III",'BASE DE LIQUIDACION 2025'!$I$6,IF(Y65="TIPO IV",'BASE DE LIQUIDACION 2025'!$I$7,'BASE DE LIQUIDACION 2025'!$I$8)))))</f>
        <v>96001.196280000004</v>
      </c>
      <c r="AE65" s="54">
        <f>IF(OR(W65="SOPORTE_TELEFÓNICO",W65="ENVÍO"),0,IF(Y65="TIPO I",'BASE DE LIQUIDACION 2025'!$J$4,IF(Y65="TIPO II",'BASE DE LIQUIDACION 2025'!$J$5,IF(Y65="TIPO III",'BASE DE LIQUIDACION 2025'!$J$6,IF(Y65="TIPO IV",'BASE DE LIQUIDACION 2025'!$J$7,'BASE DE LIQUIDACION 2025'!$J$8)))))</f>
        <v>57411.974240000003</v>
      </c>
      <c r="AF65" s="54">
        <f>IF(W65="SOPORTE_TELEFÓNICO",'BASE DE LIQUIDACION 2025'!$L$4,IF(W65="ENVÍO",'BASE DE LIQUIDACION 2025'!$K$4,AD65*AB65+AE65*AC65))</f>
        <v>96001.196280000004</v>
      </c>
    </row>
    <row r="66" spans="1:32" s="56" customFormat="1" ht="13.15" hidden="1">
      <c r="A66" s="69" t="s">
        <v>432</v>
      </c>
      <c r="B66" s="66" t="str">
        <f>VLOOKUP(A66,'CENTRO DE COSTOS'!A:D,4,FALSE)</f>
        <v>WILLIAM ASDRUBAL ROZO ROZO</v>
      </c>
      <c r="C66" s="66" t="str">
        <f>VLOOKUP(A66,'CENTRO DE COSTOS'!A:D,2,FALSE)</f>
        <v>0004-0004</v>
      </c>
      <c r="D66" s="69">
        <v>11001</v>
      </c>
      <c r="E66" s="69">
        <v>2715459</v>
      </c>
      <c r="F66" s="69">
        <v>74657</v>
      </c>
      <c r="G66" s="69" t="s">
        <v>1373</v>
      </c>
      <c r="H66" s="69" t="s">
        <v>434</v>
      </c>
      <c r="I66" s="69" t="s">
        <v>432</v>
      </c>
      <c r="J66" s="69" t="s">
        <v>1606</v>
      </c>
      <c r="K66" s="69" t="s">
        <v>140</v>
      </c>
      <c r="L66" s="69" t="s">
        <v>1607</v>
      </c>
      <c r="M66" s="70">
        <v>45909.500694444447</v>
      </c>
      <c r="N66" s="70">
        <v>45910.59375</v>
      </c>
      <c r="O66" s="66"/>
      <c r="P66" s="69" t="s">
        <v>1376</v>
      </c>
      <c r="Q66" s="69" t="s">
        <v>1377</v>
      </c>
      <c r="R66" s="69" t="s">
        <v>239</v>
      </c>
      <c r="S66" s="69" t="s">
        <v>381</v>
      </c>
      <c r="T66" s="69" t="s">
        <v>1379</v>
      </c>
      <c r="U66" s="69" t="s">
        <v>1380</v>
      </c>
      <c r="V66" s="69" t="s">
        <v>1608</v>
      </c>
      <c r="W66" s="69" t="s">
        <v>145</v>
      </c>
      <c r="X66" s="66">
        <v>0</v>
      </c>
      <c r="Y66" s="69" t="s">
        <v>55</v>
      </c>
      <c r="Z66" s="67" t="s">
        <v>159</v>
      </c>
      <c r="AA66" s="69" t="s">
        <v>445</v>
      </c>
      <c r="AB66" s="69">
        <v>1</v>
      </c>
      <c r="AC66" s="66">
        <v>0</v>
      </c>
      <c r="AD66" s="54">
        <f>IF(OR(W66="SOPORTE_TELEFÓNICO",W66="ENVÍO"),0,IF(Y66="TIPO I",'BASE DE LIQUIDACION 2025'!$I$4,IF(Y66="TIPO II",'BASE DE LIQUIDACION 2025'!$I$5,IF(Y66="TIPO III",'BASE DE LIQUIDACION 2025'!$I$6,IF(Y66="TIPO IV",'BASE DE LIQUIDACION 2025'!$I$7,'BASE DE LIQUIDACION 2025'!$I$8)))))</f>
        <v>96001.196280000004</v>
      </c>
      <c r="AE66" s="54">
        <f>IF(OR(W66="SOPORTE_TELEFÓNICO",W66="ENVÍO"),0,IF(Y66="TIPO I",'BASE DE LIQUIDACION 2025'!$J$4,IF(Y66="TIPO II",'BASE DE LIQUIDACION 2025'!$J$5,IF(Y66="TIPO III",'BASE DE LIQUIDACION 2025'!$J$6,IF(Y66="TIPO IV",'BASE DE LIQUIDACION 2025'!$J$7,'BASE DE LIQUIDACION 2025'!$J$8)))))</f>
        <v>57411.974240000003</v>
      </c>
      <c r="AF66" s="54">
        <f>IF(W66="SOPORTE_TELEFÓNICO",'BASE DE LIQUIDACION 2025'!$L$4,IF(W66="ENVÍO",'BASE DE LIQUIDACION 2025'!$K$4,AD66*AB66+AE66*AC66))</f>
        <v>96001.196280000004</v>
      </c>
    </row>
    <row r="67" spans="1:32" s="56" customFormat="1" ht="13.15" hidden="1">
      <c r="A67" s="69" t="s">
        <v>133</v>
      </c>
      <c r="B67" s="66" t="str">
        <f>VLOOKUP(A67,'CENTRO DE COSTOS'!A:D,4,FALSE)</f>
        <v>DIEGO FERNANDO HENAO CARDONA</v>
      </c>
      <c r="C67" s="66" t="str">
        <f>VLOOKUP(A67,'CENTRO DE COSTOS'!A:D,2,FALSE)</f>
        <v>0004-0003</v>
      </c>
      <c r="D67" s="69">
        <v>52001</v>
      </c>
      <c r="E67" s="69">
        <v>2715277</v>
      </c>
      <c r="F67" s="69">
        <v>76803</v>
      </c>
      <c r="G67" s="69" t="s">
        <v>1373</v>
      </c>
      <c r="H67" s="69" t="s">
        <v>137</v>
      </c>
      <c r="I67" s="69" t="s">
        <v>133</v>
      </c>
      <c r="J67" s="69" t="s">
        <v>1609</v>
      </c>
      <c r="K67" s="69" t="s">
        <v>140</v>
      </c>
      <c r="L67" s="69" t="s">
        <v>1610</v>
      </c>
      <c r="M67" s="70">
        <v>45909.492361111108</v>
      </c>
      <c r="N67" s="70">
        <v>45916.341666666667</v>
      </c>
      <c r="O67" s="66"/>
      <c r="P67" s="69" t="s">
        <v>1376</v>
      </c>
      <c r="Q67" s="69" t="s">
        <v>1377</v>
      </c>
      <c r="R67" s="69" t="s">
        <v>142</v>
      </c>
      <c r="S67" s="69" t="s">
        <v>142</v>
      </c>
      <c r="T67" s="69" t="s">
        <v>1379</v>
      </c>
      <c r="U67" s="69" t="s">
        <v>1380</v>
      </c>
      <c r="V67" s="69" t="s">
        <v>1611</v>
      </c>
      <c r="W67" s="69" t="s">
        <v>145</v>
      </c>
      <c r="X67" s="66">
        <v>0</v>
      </c>
      <c r="Y67" s="69" t="s">
        <v>55</v>
      </c>
      <c r="Z67" s="67" t="s">
        <v>159</v>
      </c>
      <c r="AA67" s="69" t="s">
        <v>884</v>
      </c>
      <c r="AB67" s="69">
        <v>1</v>
      </c>
      <c r="AC67" s="66">
        <v>0</v>
      </c>
      <c r="AD67" s="54">
        <f>IF(OR(W67="SOPORTE_TELEFÓNICO",W67="ENVÍO"),0,IF(Y67="TIPO I",'BASE DE LIQUIDACION 2025'!$I$4,IF(Y67="TIPO II",'BASE DE LIQUIDACION 2025'!$I$5,IF(Y67="TIPO III",'BASE DE LIQUIDACION 2025'!$I$6,IF(Y67="TIPO IV",'BASE DE LIQUIDACION 2025'!$I$7,'BASE DE LIQUIDACION 2025'!$I$8)))))</f>
        <v>96001.196280000004</v>
      </c>
      <c r="AE67" s="54">
        <f>IF(OR(W67="SOPORTE_TELEFÓNICO",W67="ENVÍO"),0,IF(Y67="TIPO I",'BASE DE LIQUIDACION 2025'!$J$4,IF(Y67="TIPO II",'BASE DE LIQUIDACION 2025'!$J$5,IF(Y67="TIPO III",'BASE DE LIQUIDACION 2025'!$J$6,IF(Y67="TIPO IV",'BASE DE LIQUIDACION 2025'!$J$7,'BASE DE LIQUIDACION 2025'!$J$8)))))</f>
        <v>57411.974240000003</v>
      </c>
      <c r="AF67" s="54">
        <f>IF(W67="SOPORTE_TELEFÓNICO",'BASE DE LIQUIDACION 2025'!$L$4,IF(W67="ENVÍO",'BASE DE LIQUIDACION 2025'!$K$4,AD67*AB67+AE67*AC67))</f>
        <v>96001.196280000004</v>
      </c>
    </row>
    <row r="68" spans="1:32" s="56" customFormat="1" ht="13.15" hidden="1">
      <c r="A68" s="69" t="s">
        <v>621</v>
      </c>
      <c r="B68" s="66" t="str">
        <f>VLOOKUP(A68,'CENTRO DE COSTOS'!A:D,4,FALSE)</f>
        <v>JOSE MAURICIO HERNANDEZ ROJAS</v>
      </c>
      <c r="C68" s="66" t="str">
        <f>VLOOKUP(A68,'CENTRO DE COSTOS'!A:D,2,FALSE)</f>
        <v>0004-0001</v>
      </c>
      <c r="D68" s="69">
        <v>20001</v>
      </c>
      <c r="E68" s="69">
        <v>2715193</v>
      </c>
      <c r="F68" s="69">
        <v>57432</v>
      </c>
      <c r="G68" s="69" t="s">
        <v>1373</v>
      </c>
      <c r="H68" s="69" t="s">
        <v>623</v>
      </c>
      <c r="I68" s="69" t="s">
        <v>621</v>
      </c>
      <c r="J68" s="69" t="s">
        <v>1612</v>
      </c>
      <c r="K68" s="69" t="s">
        <v>140</v>
      </c>
      <c r="L68" s="69" t="s">
        <v>1613</v>
      </c>
      <c r="M68" s="70">
        <v>45909.48541666667</v>
      </c>
      <c r="N68" s="70">
        <v>45911.706250000003</v>
      </c>
      <c r="O68" s="66"/>
      <c r="P68" s="69" t="s">
        <v>1376</v>
      </c>
      <c r="Q68" s="69" t="s">
        <v>1377</v>
      </c>
      <c r="R68" s="69" t="s">
        <v>1378</v>
      </c>
      <c r="S68" s="69" t="s">
        <v>1378</v>
      </c>
      <c r="T68" s="69" t="s">
        <v>1379</v>
      </c>
      <c r="U68" s="69" t="s">
        <v>1380</v>
      </c>
      <c r="V68" s="69" t="s">
        <v>1614</v>
      </c>
      <c r="W68" s="69" t="s">
        <v>145</v>
      </c>
      <c r="X68" s="66">
        <v>0</v>
      </c>
      <c r="Y68" s="69" t="s">
        <v>55</v>
      </c>
      <c r="Z68" s="67" t="s">
        <v>159</v>
      </c>
      <c r="AA68" s="69" t="s">
        <v>1595</v>
      </c>
      <c r="AB68" s="69">
        <v>1</v>
      </c>
      <c r="AC68" s="66">
        <v>0</v>
      </c>
      <c r="AD68" s="54">
        <f>IF(OR(W68="SOPORTE_TELEFÓNICO",W68="ENVÍO"),0,IF(Y68="TIPO I",'BASE DE LIQUIDACION 2025'!$I$4,IF(Y68="TIPO II",'BASE DE LIQUIDACION 2025'!$I$5,IF(Y68="TIPO III",'BASE DE LIQUIDACION 2025'!$I$6,IF(Y68="TIPO IV",'BASE DE LIQUIDACION 2025'!$I$7,'BASE DE LIQUIDACION 2025'!$I$8)))))</f>
        <v>96001.196280000004</v>
      </c>
      <c r="AE68" s="54">
        <f>IF(OR(W68="SOPORTE_TELEFÓNICO",W68="ENVÍO"),0,IF(Y68="TIPO I",'BASE DE LIQUIDACION 2025'!$J$4,IF(Y68="TIPO II",'BASE DE LIQUIDACION 2025'!$J$5,IF(Y68="TIPO III",'BASE DE LIQUIDACION 2025'!$J$6,IF(Y68="TIPO IV",'BASE DE LIQUIDACION 2025'!$J$7,'BASE DE LIQUIDACION 2025'!$J$8)))))</f>
        <v>57411.974240000003</v>
      </c>
      <c r="AF68" s="54">
        <f>IF(W68="SOPORTE_TELEFÓNICO",'BASE DE LIQUIDACION 2025'!$L$4,IF(W68="ENVÍO",'BASE DE LIQUIDACION 2025'!$K$4,AD68*AB68+AE68*AC68))</f>
        <v>96001.196280000004</v>
      </c>
    </row>
    <row r="69" spans="1:32" s="56" customFormat="1" ht="13.15" hidden="1">
      <c r="A69" s="69" t="s">
        <v>432</v>
      </c>
      <c r="B69" s="66" t="str">
        <f>VLOOKUP(A69,'CENTRO DE COSTOS'!A:D,4,FALSE)</f>
        <v>WILLIAM ASDRUBAL ROZO ROZO</v>
      </c>
      <c r="C69" s="66" t="str">
        <f>VLOOKUP(A69,'CENTRO DE COSTOS'!A:D,2,FALSE)</f>
        <v>0004-0004</v>
      </c>
      <c r="D69" s="69">
        <v>11001</v>
      </c>
      <c r="E69" s="69">
        <v>2711753</v>
      </c>
      <c r="F69" s="69">
        <v>46974</v>
      </c>
      <c r="G69" s="69" t="s">
        <v>1373</v>
      </c>
      <c r="H69" s="69" t="s">
        <v>434</v>
      </c>
      <c r="I69" s="69" t="s">
        <v>432</v>
      </c>
      <c r="J69" s="69" t="s">
        <v>1615</v>
      </c>
      <c r="K69" s="69" t="s">
        <v>140</v>
      </c>
      <c r="L69" s="69" t="s">
        <v>1616</v>
      </c>
      <c r="M69" s="70">
        <v>45908.71597222222</v>
      </c>
      <c r="N69" s="70">
        <v>45911.67083333333</v>
      </c>
      <c r="O69" s="66"/>
      <c r="P69" s="69" t="s">
        <v>1376</v>
      </c>
      <c r="Q69" s="69" t="s">
        <v>1377</v>
      </c>
      <c r="R69" s="69" t="s">
        <v>239</v>
      </c>
      <c r="S69" s="69" t="s">
        <v>381</v>
      </c>
      <c r="T69" s="69" t="s">
        <v>1379</v>
      </c>
      <c r="U69" s="69" t="s">
        <v>1380</v>
      </c>
      <c r="V69" s="69" t="s">
        <v>1617</v>
      </c>
      <c r="W69" s="69" t="s">
        <v>145</v>
      </c>
      <c r="X69" s="66">
        <v>0</v>
      </c>
      <c r="Y69" s="69" t="s">
        <v>55</v>
      </c>
      <c r="Z69" s="67" t="s">
        <v>159</v>
      </c>
      <c r="AA69" s="69" t="s">
        <v>572</v>
      </c>
      <c r="AB69" s="69">
        <v>1</v>
      </c>
      <c r="AC69" s="66">
        <v>0</v>
      </c>
      <c r="AD69" s="54">
        <f>IF(OR(W69="SOPORTE_TELEFÓNICO",W69="ENVÍO"),0,IF(Y69="TIPO I",'BASE DE LIQUIDACION 2025'!$I$4,IF(Y69="TIPO II",'BASE DE LIQUIDACION 2025'!$I$5,IF(Y69="TIPO III",'BASE DE LIQUIDACION 2025'!$I$6,IF(Y69="TIPO IV",'BASE DE LIQUIDACION 2025'!$I$7,'BASE DE LIQUIDACION 2025'!$I$8)))))</f>
        <v>96001.196280000004</v>
      </c>
      <c r="AE69" s="54">
        <f>IF(OR(W69="SOPORTE_TELEFÓNICO",W69="ENVÍO"),0,IF(Y69="TIPO I",'BASE DE LIQUIDACION 2025'!$J$4,IF(Y69="TIPO II",'BASE DE LIQUIDACION 2025'!$J$5,IF(Y69="TIPO III",'BASE DE LIQUIDACION 2025'!$J$6,IF(Y69="TIPO IV",'BASE DE LIQUIDACION 2025'!$J$7,'BASE DE LIQUIDACION 2025'!$J$8)))))</f>
        <v>57411.974240000003</v>
      </c>
      <c r="AF69" s="54">
        <f>IF(W69="SOPORTE_TELEFÓNICO",'BASE DE LIQUIDACION 2025'!$L$4,IF(W69="ENVÍO",'BASE DE LIQUIDACION 2025'!$K$4,AD69*AB69+AE69*AC69))</f>
        <v>96001.196280000004</v>
      </c>
    </row>
    <row r="70" spans="1:32" s="56" customFormat="1" ht="13.15" hidden="1">
      <c r="A70" s="69" t="s">
        <v>219</v>
      </c>
      <c r="B70" s="66" t="str">
        <f>VLOOKUP(A70,'CENTRO DE COSTOS'!A:D,4,FALSE)</f>
        <v>MIGUEL JULIÁN HERNÁNDEZ GUARÍN</v>
      </c>
      <c r="C70" s="66" t="str">
        <f>VLOOKUP(A70,'CENTRO DE COSTOS'!A:D,2,FALSE)</f>
        <v>0004-0008</v>
      </c>
      <c r="D70" s="69">
        <v>68533</v>
      </c>
      <c r="E70" s="69">
        <v>2708099</v>
      </c>
      <c r="F70" s="69">
        <v>12367</v>
      </c>
      <c r="G70" s="69" t="s">
        <v>1373</v>
      </c>
      <c r="H70" s="69" t="s">
        <v>221</v>
      </c>
      <c r="I70" s="69" t="s">
        <v>1618</v>
      </c>
      <c r="J70" s="69" t="s">
        <v>1619</v>
      </c>
      <c r="K70" s="69" t="s">
        <v>140</v>
      </c>
      <c r="L70" s="69" t="s">
        <v>1620</v>
      </c>
      <c r="M70" s="70">
        <v>45908.456944444442</v>
      </c>
      <c r="N70" s="70">
        <v>45911.675000000003</v>
      </c>
      <c r="O70" s="66"/>
      <c r="P70" s="69" t="s">
        <v>1376</v>
      </c>
      <c r="Q70" s="69" t="s">
        <v>1377</v>
      </c>
      <c r="R70" s="69" t="s">
        <v>1378</v>
      </c>
      <c r="S70" s="69" t="s">
        <v>1378</v>
      </c>
      <c r="T70" s="69" t="s">
        <v>1379</v>
      </c>
      <c r="U70" s="69" t="s">
        <v>1380</v>
      </c>
      <c r="V70" s="69" t="s">
        <v>1621</v>
      </c>
      <c r="W70" s="69" t="s">
        <v>145</v>
      </c>
      <c r="X70" s="66">
        <v>0</v>
      </c>
      <c r="Y70" s="69" t="s">
        <v>158</v>
      </c>
      <c r="Z70" s="67" t="s">
        <v>159</v>
      </c>
      <c r="AA70" s="69" t="s">
        <v>1187</v>
      </c>
      <c r="AB70" s="69">
        <v>2</v>
      </c>
      <c r="AC70" s="66">
        <v>3</v>
      </c>
      <c r="AD70" s="54">
        <f>IF(OR(W70="SOPORTE_TELEFÓNICO",W70="ENVÍO"),0,IF(Y70="TIPO I",'BASE DE LIQUIDACION 2025'!$I$4,IF(Y70="TIPO II",'BASE DE LIQUIDACION 2025'!$I$5,IF(Y70="TIPO III",'BASE DE LIQUIDACION 2025'!$I$6,IF(Y70="TIPO IV",'BASE DE LIQUIDACION 2025'!$I$7,'BASE DE LIQUIDACION 2025'!$I$8)))))</f>
        <v>344774.56896</v>
      </c>
      <c r="AE70" s="54">
        <f>IF(OR(W70="SOPORTE_TELEFÓNICO",W70="ENVÍO"),0,IF(Y70="TIPO I",'BASE DE LIQUIDACION 2025'!$J$4,IF(Y70="TIPO II",'BASE DE LIQUIDACION 2025'!$J$5,IF(Y70="TIPO III",'BASE DE LIQUIDACION 2025'!$J$6,IF(Y70="TIPO IV",'BASE DE LIQUIDACION 2025'!$J$7,'BASE DE LIQUIDACION 2025'!$J$8)))))</f>
        <v>110808.27512000001</v>
      </c>
      <c r="AF70" s="54">
        <f>IF(W70="SOPORTE_TELEFÓNICO",'BASE DE LIQUIDACION 2025'!$L$4,IF(W70="ENVÍO",'BASE DE LIQUIDACION 2025'!$K$4,AD70*AB70+AE70*AC70))</f>
        <v>1021973.96328</v>
      </c>
    </row>
    <row r="71" spans="1:32" s="56" customFormat="1" ht="13.15" hidden="1">
      <c r="A71" s="69" t="s">
        <v>219</v>
      </c>
      <c r="B71" s="66" t="str">
        <f>VLOOKUP(A71,'CENTRO DE COSTOS'!A:D,4,FALSE)</f>
        <v>MIGUEL JULIÁN HERNÁNDEZ GUARÍN</v>
      </c>
      <c r="C71" s="66" t="str">
        <f>VLOOKUP(A71,'CENTRO DE COSTOS'!A:D,2,FALSE)</f>
        <v>0004-0008</v>
      </c>
      <c r="D71" s="69">
        <v>68001</v>
      </c>
      <c r="E71" s="69">
        <v>2706750</v>
      </c>
      <c r="F71" s="69">
        <v>66436</v>
      </c>
      <c r="G71" s="69" t="s">
        <v>1373</v>
      </c>
      <c r="H71" s="69" t="s">
        <v>221</v>
      </c>
      <c r="I71" s="69" t="s">
        <v>219</v>
      </c>
      <c r="J71" s="69" t="s">
        <v>1622</v>
      </c>
      <c r="K71" s="69" t="s">
        <v>140</v>
      </c>
      <c r="L71" s="69" t="s">
        <v>1623</v>
      </c>
      <c r="M71" s="70">
        <v>45908.393055555563</v>
      </c>
      <c r="N71" s="70">
        <v>45908.660416666673</v>
      </c>
      <c r="O71" s="66"/>
      <c r="P71" s="69" t="s">
        <v>1376</v>
      </c>
      <c r="Q71" s="69" t="s">
        <v>1377</v>
      </c>
      <c r="R71" s="69" t="s">
        <v>1378</v>
      </c>
      <c r="S71" s="69" t="s">
        <v>1378</v>
      </c>
      <c r="T71" s="69" t="s">
        <v>1379</v>
      </c>
      <c r="U71" s="69" t="s">
        <v>1380</v>
      </c>
      <c r="V71" s="69" t="s">
        <v>1624</v>
      </c>
      <c r="W71" s="69" t="s">
        <v>145</v>
      </c>
      <c r="X71" s="66">
        <v>0</v>
      </c>
      <c r="Y71" s="69" t="s">
        <v>55</v>
      </c>
      <c r="Z71" s="67" t="s">
        <v>159</v>
      </c>
      <c r="AA71" s="69" t="s">
        <v>227</v>
      </c>
      <c r="AB71" s="69">
        <v>1</v>
      </c>
      <c r="AC71" s="66">
        <v>0</v>
      </c>
      <c r="AD71" s="54">
        <f>IF(OR(W71="SOPORTE_TELEFÓNICO",W71="ENVÍO"),0,IF(Y71="TIPO I",'BASE DE LIQUIDACION 2025'!$I$4,IF(Y71="TIPO II",'BASE DE LIQUIDACION 2025'!$I$5,IF(Y71="TIPO III",'BASE DE LIQUIDACION 2025'!$I$6,IF(Y71="TIPO IV",'BASE DE LIQUIDACION 2025'!$I$7,'BASE DE LIQUIDACION 2025'!$I$8)))))</f>
        <v>96001.196280000004</v>
      </c>
      <c r="AE71" s="54">
        <f>IF(OR(W71="SOPORTE_TELEFÓNICO",W71="ENVÍO"),0,IF(Y71="TIPO I",'BASE DE LIQUIDACION 2025'!$J$4,IF(Y71="TIPO II",'BASE DE LIQUIDACION 2025'!$J$5,IF(Y71="TIPO III",'BASE DE LIQUIDACION 2025'!$J$6,IF(Y71="TIPO IV",'BASE DE LIQUIDACION 2025'!$J$7,'BASE DE LIQUIDACION 2025'!$J$8)))))</f>
        <v>57411.974240000003</v>
      </c>
      <c r="AF71" s="54">
        <f>IF(W71="SOPORTE_TELEFÓNICO",'BASE DE LIQUIDACION 2025'!$L$4,IF(W71="ENVÍO",'BASE DE LIQUIDACION 2025'!$K$4,AD71*AB71+AE71*AC71))</f>
        <v>96001.196280000004</v>
      </c>
    </row>
    <row r="72" spans="1:32" s="56" customFormat="1" ht="13.15" hidden="1">
      <c r="A72" s="69" t="s">
        <v>432</v>
      </c>
      <c r="B72" s="66" t="str">
        <f>VLOOKUP(A72,'CENTRO DE COSTOS'!A:D,4,FALSE)</f>
        <v>WILLIAM ASDRUBAL ROZO ROZO</v>
      </c>
      <c r="C72" s="66" t="str">
        <f>VLOOKUP(A72,'CENTRO DE COSTOS'!A:D,2,FALSE)</f>
        <v>0004-0004</v>
      </c>
      <c r="D72" s="69">
        <v>25297</v>
      </c>
      <c r="E72" s="69">
        <v>2706166</v>
      </c>
      <c r="F72" s="69">
        <v>40017</v>
      </c>
      <c r="G72" s="69" t="s">
        <v>1373</v>
      </c>
      <c r="H72" s="69" t="s">
        <v>434</v>
      </c>
      <c r="I72" s="69" t="s">
        <v>1625</v>
      </c>
      <c r="J72" s="69" t="s">
        <v>1626</v>
      </c>
      <c r="K72" s="69" t="s">
        <v>140</v>
      </c>
      <c r="L72" s="69" t="s">
        <v>1627</v>
      </c>
      <c r="M72" s="70">
        <v>45908.367361111108</v>
      </c>
      <c r="N72" s="70">
        <v>45912.71597222222</v>
      </c>
      <c r="O72" s="66"/>
      <c r="P72" s="69" t="s">
        <v>1376</v>
      </c>
      <c r="Q72" s="69" t="s">
        <v>1377</v>
      </c>
      <c r="R72" s="69" t="s">
        <v>1378</v>
      </c>
      <c r="S72" s="69" t="s">
        <v>1378</v>
      </c>
      <c r="T72" s="69" t="s">
        <v>1379</v>
      </c>
      <c r="U72" s="69" t="s">
        <v>1380</v>
      </c>
      <c r="V72" s="69" t="s">
        <v>1628</v>
      </c>
      <c r="W72" s="69" t="s">
        <v>145</v>
      </c>
      <c r="X72" s="66">
        <v>0</v>
      </c>
      <c r="Y72" s="69" t="s">
        <v>158</v>
      </c>
      <c r="Z72" s="67" t="s">
        <v>159</v>
      </c>
      <c r="AA72" s="69" t="s">
        <v>1427</v>
      </c>
      <c r="AB72" s="69">
        <v>1</v>
      </c>
      <c r="AC72" s="66">
        <v>0</v>
      </c>
      <c r="AD72" s="54">
        <f>IF(OR(W72="SOPORTE_TELEFÓNICO",W72="ENVÍO"),0,IF(Y72="TIPO I",'BASE DE LIQUIDACION 2025'!$I$4,IF(Y72="TIPO II",'BASE DE LIQUIDACION 2025'!$I$5,IF(Y72="TIPO III",'BASE DE LIQUIDACION 2025'!$I$6,IF(Y72="TIPO IV",'BASE DE LIQUIDACION 2025'!$I$7,'BASE DE LIQUIDACION 2025'!$I$8)))))</f>
        <v>344774.56896</v>
      </c>
      <c r="AE72" s="54">
        <f>IF(OR(W72="SOPORTE_TELEFÓNICO",W72="ENVÍO"),0,IF(Y72="TIPO I",'BASE DE LIQUIDACION 2025'!$J$4,IF(Y72="TIPO II",'BASE DE LIQUIDACION 2025'!$J$5,IF(Y72="TIPO III",'BASE DE LIQUIDACION 2025'!$J$6,IF(Y72="TIPO IV",'BASE DE LIQUIDACION 2025'!$J$7,'BASE DE LIQUIDACION 2025'!$J$8)))))</f>
        <v>110808.27512000001</v>
      </c>
      <c r="AF72" s="54">
        <f>IF(W72="SOPORTE_TELEFÓNICO",'BASE DE LIQUIDACION 2025'!$L$4,IF(W72="ENVÍO",'BASE DE LIQUIDACION 2025'!$K$4,AD72*AB72+AE72*AC72))</f>
        <v>344774.56896</v>
      </c>
    </row>
    <row r="73" spans="1:32" s="56" customFormat="1" ht="13.15">
      <c r="A73" s="69" t="s">
        <v>259</v>
      </c>
      <c r="B73" s="66" t="str">
        <f>VLOOKUP(A73,'CENTRO DE COSTOS'!A:D,4,FALSE)</f>
        <v>JUAN SEBASTIÁN RÍOS CASTRILLÓN</v>
      </c>
      <c r="C73" s="66" t="str">
        <f>VLOOKUP(A73,'CENTRO DE COSTOS'!A:D,2,FALSE)</f>
        <v>0004-0005</v>
      </c>
      <c r="D73" s="69">
        <v>27615</v>
      </c>
      <c r="E73" s="69">
        <v>2704284</v>
      </c>
      <c r="F73" s="69">
        <v>53794</v>
      </c>
      <c r="G73" s="69" t="s">
        <v>1373</v>
      </c>
      <c r="H73" s="69" t="s">
        <v>972</v>
      </c>
      <c r="I73" s="69" t="s">
        <v>285</v>
      </c>
      <c r="J73" s="69" t="s">
        <v>1629</v>
      </c>
      <c r="K73" s="69" t="s">
        <v>140</v>
      </c>
      <c r="L73" s="69" t="s">
        <v>1630</v>
      </c>
      <c r="M73" s="70">
        <v>45908.333333333343</v>
      </c>
      <c r="N73" s="70">
        <v>45911.682638888888</v>
      </c>
      <c r="O73" s="66"/>
      <c r="P73" s="69" t="s">
        <v>1376</v>
      </c>
      <c r="Q73" s="69" t="s">
        <v>1377</v>
      </c>
      <c r="R73" s="69" t="s">
        <v>1378</v>
      </c>
      <c r="S73" s="69" t="s">
        <v>1378</v>
      </c>
      <c r="T73" s="69" t="s">
        <v>1379</v>
      </c>
      <c r="U73" s="69" t="s">
        <v>1380</v>
      </c>
      <c r="V73" s="69" t="s">
        <v>1631</v>
      </c>
      <c r="W73" s="69" t="s">
        <v>145</v>
      </c>
      <c r="X73" s="66">
        <v>0</v>
      </c>
      <c r="Y73" s="69" t="s">
        <v>147</v>
      </c>
      <c r="Z73" s="67" t="s">
        <v>857</v>
      </c>
      <c r="AA73" s="69" t="s">
        <v>266</v>
      </c>
      <c r="AB73" s="69">
        <v>1</v>
      </c>
      <c r="AC73" s="66">
        <v>0</v>
      </c>
      <c r="AD73" s="54">
        <f>IF(OR(W73="SOPORTE_TELEFÓNICO",W73="ENVÍO"),0,IF(Y73="TIPO I",'BASE DE LIQUIDACION 2025'!$I$4,IF(Y73="TIPO II",'BASE DE LIQUIDACION 2025'!$I$5,IF(Y73="TIPO III",'BASE DE LIQUIDACION 2025'!$I$6,IF(Y73="TIPO IV",'BASE DE LIQUIDACION 2025'!$I$7,'BASE DE LIQUIDACION 2025'!$I$8)))))</f>
        <v>548633.63271999999</v>
      </c>
      <c r="AE73" s="54">
        <f>IF(OR(W73="SOPORTE_TELEFÓNICO",W73="ENVÍO"),0,IF(Y73="TIPO I",'BASE DE LIQUIDACION 2025'!$J$4,IF(Y73="TIPO II",'BASE DE LIQUIDACION 2025'!$J$5,IF(Y73="TIPO III",'BASE DE LIQUIDACION 2025'!$J$6,IF(Y73="TIPO IV",'BASE DE LIQUIDACION 2025'!$J$7,'BASE DE LIQUIDACION 2025'!$J$8)))))</f>
        <v>110808.27512000001</v>
      </c>
      <c r="AF73" s="54">
        <f>IF(W73="SOPORTE_TELEFÓNICO",'BASE DE LIQUIDACION 2025'!$L$4,IF(W73="ENVÍO",'BASE DE LIQUIDACION 2025'!$K$4,AD73*AB73+AE73*AC73))</f>
        <v>548633.63271999999</v>
      </c>
    </row>
    <row r="74" spans="1:32" s="56" customFormat="1" ht="13.15" hidden="1">
      <c r="A74" s="69" t="s">
        <v>150</v>
      </c>
      <c r="B74" s="66" t="str">
        <f>VLOOKUP(A74,'CENTRO DE COSTOS'!A:D,4,FALSE)</f>
        <v>DIEGO FERNANDO HENAO CARDONA</v>
      </c>
      <c r="C74" s="66" t="str">
        <f>VLOOKUP(A74,'CENTRO DE COSTOS'!A:D,2,FALSE)</f>
        <v>0004-0003</v>
      </c>
      <c r="D74" s="69">
        <v>19110</v>
      </c>
      <c r="E74" s="69">
        <v>2703990</v>
      </c>
      <c r="F74" s="69">
        <v>37308</v>
      </c>
      <c r="G74" s="69" t="s">
        <v>1373</v>
      </c>
      <c r="H74" s="69" t="s">
        <v>152</v>
      </c>
      <c r="I74" s="69" t="s">
        <v>1632</v>
      </c>
      <c r="J74" s="69" t="s">
        <v>1633</v>
      </c>
      <c r="K74" s="69" t="s">
        <v>140</v>
      </c>
      <c r="L74" s="69" t="s">
        <v>1634</v>
      </c>
      <c r="M74" s="70">
        <v>45906.477083333331</v>
      </c>
      <c r="N74" s="70">
        <v>45908.661805555559</v>
      </c>
      <c r="O74" s="66"/>
      <c r="P74" s="69" t="s">
        <v>1376</v>
      </c>
      <c r="Q74" s="69" t="s">
        <v>1377</v>
      </c>
      <c r="R74" s="69" t="s">
        <v>1378</v>
      </c>
      <c r="S74" s="69" t="s">
        <v>1378</v>
      </c>
      <c r="T74" s="69" t="s">
        <v>1379</v>
      </c>
      <c r="U74" s="69" t="s">
        <v>1380</v>
      </c>
      <c r="V74" s="69" t="s">
        <v>1635</v>
      </c>
      <c r="W74" s="69" t="s">
        <v>145</v>
      </c>
      <c r="X74" s="66">
        <v>0</v>
      </c>
      <c r="Y74" s="69" t="s">
        <v>199</v>
      </c>
      <c r="Z74" s="67" t="s">
        <v>159</v>
      </c>
      <c r="AA74" s="69" t="s">
        <v>191</v>
      </c>
      <c r="AB74" s="69">
        <v>1</v>
      </c>
      <c r="AC74" s="66">
        <v>0</v>
      </c>
      <c r="AD74" s="54">
        <f>IF(OR(W74="SOPORTE_TELEFÓNICO",W74="ENVÍO"),0,IF(Y74="TIPO I",'BASE DE LIQUIDACION 2025'!$I$4,IF(Y74="TIPO II",'BASE DE LIQUIDACION 2025'!$I$5,IF(Y74="TIPO III",'BASE DE LIQUIDACION 2025'!$I$6,IF(Y74="TIPO IV",'BASE DE LIQUIDACION 2025'!$I$7,'BASE DE LIQUIDACION 2025'!$I$8)))))</f>
        <v>232858.60096000001</v>
      </c>
      <c r="AE74" s="54">
        <f>IF(OR(W74="SOPORTE_TELEFÓNICO",W74="ENVÍO"),0,IF(Y74="TIPO I",'BASE DE LIQUIDACION 2025'!$J$4,IF(Y74="TIPO II",'BASE DE LIQUIDACION 2025'!$J$5,IF(Y74="TIPO III",'BASE DE LIQUIDACION 2025'!$J$6,IF(Y74="TIPO IV",'BASE DE LIQUIDACION 2025'!$J$7,'BASE DE LIQUIDACION 2025'!$J$8)))))</f>
        <v>110808.27512000001</v>
      </c>
      <c r="AF74" s="54">
        <f>IF(W74="SOPORTE_TELEFÓNICO",'BASE DE LIQUIDACION 2025'!$L$4,IF(W74="ENVÍO",'BASE DE LIQUIDACION 2025'!$K$4,AD74*AB74+AE74*AC74))</f>
        <v>232858.60096000001</v>
      </c>
    </row>
    <row r="75" spans="1:32" s="56" customFormat="1" ht="13.15" hidden="1">
      <c r="A75" s="69" t="s">
        <v>201</v>
      </c>
      <c r="B75" s="66" t="str">
        <f>VLOOKUP(A75,'CENTRO DE COSTOS'!A:D,4,FALSE)</f>
        <v>KEVIN ALEXIS CORZO BUSTOS</v>
      </c>
      <c r="C75" s="66" t="str">
        <f>VLOOKUP(A75,'CENTRO DE COSTOS'!A:D,2,FALSE)</f>
        <v>0004-0007</v>
      </c>
      <c r="D75" s="69">
        <v>18001</v>
      </c>
      <c r="E75" s="69">
        <v>2696029</v>
      </c>
      <c r="F75" s="69">
        <v>58862</v>
      </c>
      <c r="G75" s="69" t="s">
        <v>1373</v>
      </c>
      <c r="H75" s="69" t="s">
        <v>203</v>
      </c>
      <c r="I75" s="69" t="s">
        <v>428</v>
      </c>
      <c r="J75" s="69" t="s">
        <v>1636</v>
      </c>
      <c r="K75" s="69" t="s">
        <v>140</v>
      </c>
      <c r="L75" s="69" t="s">
        <v>1637</v>
      </c>
      <c r="M75" s="70">
        <v>45904.606944444437</v>
      </c>
      <c r="N75" s="70">
        <v>45909.661805555559</v>
      </c>
      <c r="O75" s="66"/>
      <c r="P75" s="69" t="s">
        <v>1376</v>
      </c>
      <c r="Q75" s="69" t="s">
        <v>1377</v>
      </c>
      <c r="R75" s="69" t="s">
        <v>1378</v>
      </c>
      <c r="S75" s="69" t="s">
        <v>1378</v>
      </c>
      <c r="T75" s="69" t="s">
        <v>1433</v>
      </c>
      <c r="U75" s="69" t="s">
        <v>1488</v>
      </c>
      <c r="V75" s="69" t="s">
        <v>1638</v>
      </c>
      <c r="W75" s="69" t="s">
        <v>145</v>
      </c>
      <c r="X75" s="66">
        <v>0</v>
      </c>
      <c r="Y75" s="69" t="s">
        <v>167</v>
      </c>
      <c r="Z75" s="67" t="s">
        <v>159</v>
      </c>
      <c r="AA75" s="69" t="s">
        <v>209</v>
      </c>
      <c r="AB75" s="69">
        <v>1</v>
      </c>
      <c r="AC75" s="66">
        <v>0</v>
      </c>
      <c r="AD75" s="54">
        <f>IF(OR(W75="SOPORTE_TELEFÓNICO",W75="ENVÍO"),0,IF(Y75="TIPO I",'BASE DE LIQUIDACION 2025'!$I$4,IF(Y75="TIPO II",'BASE DE LIQUIDACION 2025'!$I$5,IF(Y75="TIPO III",'BASE DE LIQUIDACION 2025'!$I$6,IF(Y75="TIPO IV",'BASE DE LIQUIDACION 2025'!$I$7,'BASE DE LIQUIDACION 2025'!$I$8)))))</f>
        <v>548633.63271999999</v>
      </c>
      <c r="AE75" s="54">
        <f>IF(OR(W75="SOPORTE_TELEFÓNICO",W75="ENVÍO"),0,IF(Y75="TIPO I",'BASE DE LIQUIDACION 2025'!$J$4,IF(Y75="TIPO II",'BASE DE LIQUIDACION 2025'!$J$5,IF(Y75="TIPO III",'BASE DE LIQUIDACION 2025'!$J$6,IF(Y75="TIPO IV",'BASE DE LIQUIDACION 2025'!$J$7,'BASE DE LIQUIDACION 2025'!$J$8)))))</f>
        <v>110808.27512000001</v>
      </c>
      <c r="AF75" s="54">
        <f>IF(W75="SOPORTE_TELEFÓNICO",'BASE DE LIQUIDACION 2025'!$L$4,IF(W75="ENVÍO",'BASE DE LIQUIDACION 2025'!$K$4,AD75*AB75+AE75*AC75))</f>
        <v>548633.63271999999</v>
      </c>
    </row>
    <row r="76" spans="1:32" s="56" customFormat="1" ht="13.15" hidden="1">
      <c r="A76" s="69" t="s">
        <v>432</v>
      </c>
      <c r="B76" s="66" t="str">
        <f>VLOOKUP(A76,'CENTRO DE COSTOS'!A:D,4,FALSE)</f>
        <v>WILLIAM ASDRUBAL ROZO ROZO</v>
      </c>
      <c r="C76" s="66" t="str">
        <f>VLOOKUP(A76,'CENTRO DE COSTOS'!A:D,2,FALSE)</f>
        <v>0004-0004</v>
      </c>
      <c r="D76" s="69">
        <v>11001</v>
      </c>
      <c r="E76" s="69">
        <v>2694271</v>
      </c>
      <c r="F76" s="69">
        <v>78671</v>
      </c>
      <c r="G76" s="69" t="s">
        <v>1373</v>
      </c>
      <c r="H76" s="69" t="s">
        <v>434</v>
      </c>
      <c r="I76" s="69" t="s">
        <v>432</v>
      </c>
      <c r="J76" s="69" t="s">
        <v>1639</v>
      </c>
      <c r="K76" s="69" t="s">
        <v>140</v>
      </c>
      <c r="L76" s="69" t="s">
        <v>1640</v>
      </c>
      <c r="M76" s="70">
        <v>45904.454861111109</v>
      </c>
      <c r="N76" s="70">
        <v>45909.462500000001</v>
      </c>
      <c r="O76" s="66"/>
      <c r="P76" s="69" t="s">
        <v>1376</v>
      </c>
      <c r="Q76" s="69" t="s">
        <v>1377</v>
      </c>
      <c r="R76" s="69" t="s">
        <v>239</v>
      </c>
      <c r="S76" s="69" t="s">
        <v>381</v>
      </c>
      <c r="T76" s="69" t="s">
        <v>1379</v>
      </c>
      <c r="U76" s="69" t="s">
        <v>1380</v>
      </c>
      <c r="V76" s="69" t="s">
        <v>1641</v>
      </c>
      <c r="W76" s="69" t="s">
        <v>145</v>
      </c>
      <c r="X76" s="66">
        <v>0</v>
      </c>
      <c r="Y76" s="69" t="s">
        <v>55</v>
      </c>
      <c r="Z76" s="67" t="s">
        <v>159</v>
      </c>
      <c r="AA76" s="69" t="s">
        <v>1427</v>
      </c>
      <c r="AB76" s="69">
        <v>1</v>
      </c>
      <c r="AC76" s="66">
        <v>0</v>
      </c>
      <c r="AD76" s="54">
        <f>IF(OR(W76="SOPORTE_TELEFÓNICO",W76="ENVÍO"),0,IF(Y76="TIPO I",'BASE DE LIQUIDACION 2025'!$I$4,IF(Y76="TIPO II",'BASE DE LIQUIDACION 2025'!$I$5,IF(Y76="TIPO III",'BASE DE LIQUIDACION 2025'!$I$6,IF(Y76="TIPO IV",'BASE DE LIQUIDACION 2025'!$I$7,'BASE DE LIQUIDACION 2025'!$I$8)))))</f>
        <v>96001.196280000004</v>
      </c>
      <c r="AE76" s="54">
        <f>IF(OR(W76="SOPORTE_TELEFÓNICO",W76="ENVÍO"),0,IF(Y76="TIPO I",'BASE DE LIQUIDACION 2025'!$J$4,IF(Y76="TIPO II",'BASE DE LIQUIDACION 2025'!$J$5,IF(Y76="TIPO III",'BASE DE LIQUIDACION 2025'!$J$6,IF(Y76="TIPO IV",'BASE DE LIQUIDACION 2025'!$J$7,'BASE DE LIQUIDACION 2025'!$J$8)))))</f>
        <v>57411.974240000003</v>
      </c>
      <c r="AF76" s="54">
        <f>IF(W76="SOPORTE_TELEFÓNICO",'BASE DE LIQUIDACION 2025'!$L$4,IF(W76="ENVÍO",'BASE DE LIQUIDACION 2025'!$K$4,AD76*AB76+AE76*AC76))</f>
        <v>96001.196280000004</v>
      </c>
    </row>
    <row r="77" spans="1:32" s="56" customFormat="1" ht="13.15" hidden="1">
      <c r="A77" s="69" t="s">
        <v>621</v>
      </c>
      <c r="B77" s="66" t="str">
        <f>VLOOKUP(A77,'CENTRO DE COSTOS'!A:D,4,FALSE)</f>
        <v>JOSE MAURICIO HERNANDEZ ROJAS</v>
      </c>
      <c r="C77" s="66" t="str">
        <f>VLOOKUP(A77,'CENTRO DE COSTOS'!A:D,2,FALSE)</f>
        <v>0004-0001</v>
      </c>
      <c r="D77" s="69">
        <v>47058</v>
      </c>
      <c r="E77" s="69">
        <v>2694240</v>
      </c>
      <c r="F77" s="69">
        <v>14483</v>
      </c>
      <c r="G77" s="69" t="s">
        <v>1373</v>
      </c>
      <c r="H77" s="69" t="s">
        <v>456</v>
      </c>
      <c r="I77" s="69" t="s">
        <v>1642</v>
      </c>
      <c r="J77" s="69" t="s">
        <v>1643</v>
      </c>
      <c r="K77" s="69" t="s">
        <v>140</v>
      </c>
      <c r="L77" s="69" t="s">
        <v>1644</v>
      </c>
      <c r="M77" s="70">
        <v>45904.449305555558</v>
      </c>
      <c r="N77" s="70">
        <v>45905.981249999997</v>
      </c>
      <c r="O77" s="66"/>
      <c r="P77" s="69" t="s">
        <v>1376</v>
      </c>
      <c r="Q77" s="69" t="s">
        <v>1377</v>
      </c>
      <c r="R77" s="69" t="s">
        <v>1378</v>
      </c>
      <c r="S77" s="69" t="s">
        <v>1378</v>
      </c>
      <c r="T77" s="69" t="s">
        <v>1379</v>
      </c>
      <c r="U77" s="69" t="s">
        <v>1380</v>
      </c>
      <c r="V77" s="69" t="s">
        <v>1645</v>
      </c>
      <c r="W77" s="69" t="s">
        <v>145</v>
      </c>
      <c r="X77" s="66">
        <v>0</v>
      </c>
      <c r="Y77" s="69" t="s">
        <v>158</v>
      </c>
      <c r="Z77" s="67" t="s">
        <v>159</v>
      </c>
      <c r="AA77" s="69" t="s">
        <v>1595</v>
      </c>
      <c r="AB77" s="69">
        <v>1</v>
      </c>
      <c r="AC77" s="66">
        <v>0</v>
      </c>
      <c r="AD77" s="54">
        <f>IF(OR(W77="SOPORTE_TELEFÓNICO",W77="ENVÍO"),0,IF(Y77="TIPO I",'BASE DE LIQUIDACION 2025'!$I$4,IF(Y77="TIPO II",'BASE DE LIQUIDACION 2025'!$I$5,IF(Y77="TIPO III",'BASE DE LIQUIDACION 2025'!$I$6,IF(Y77="TIPO IV",'BASE DE LIQUIDACION 2025'!$I$7,'BASE DE LIQUIDACION 2025'!$I$8)))))</f>
        <v>344774.56896</v>
      </c>
      <c r="AE77" s="54">
        <f>IF(OR(W77="SOPORTE_TELEFÓNICO",W77="ENVÍO"),0,IF(Y77="TIPO I",'BASE DE LIQUIDACION 2025'!$J$4,IF(Y77="TIPO II",'BASE DE LIQUIDACION 2025'!$J$5,IF(Y77="TIPO III",'BASE DE LIQUIDACION 2025'!$J$6,IF(Y77="TIPO IV",'BASE DE LIQUIDACION 2025'!$J$7,'BASE DE LIQUIDACION 2025'!$J$8)))))</f>
        <v>110808.27512000001</v>
      </c>
      <c r="AF77" s="54">
        <f>IF(W77="SOPORTE_TELEFÓNICO",'BASE DE LIQUIDACION 2025'!$L$4,IF(W77="ENVÍO",'BASE DE LIQUIDACION 2025'!$K$4,AD77*AB77+AE77*AC77))</f>
        <v>344774.56896</v>
      </c>
    </row>
    <row r="78" spans="1:32" s="56" customFormat="1" ht="13.15" hidden="1">
      <c r="A78" s="69" t="s">
        <v>274</v>
      </c>
      <c r="B78" s="66" t="str">
        <f>VLOOKUP(A78,'CENTRO DE COSTOS'!A:D,4,FALSE)</f>
        <v>MIGUEL JULIÁN HERNÁNDEZ GUARÍN</v>
      </c>
      <c r="C78" s="66" t="str">
        <f>VLOOKUP(A78,'CENTRO DE COSTOS'!A:D,2,FALSE)</f>
        <v>0004-0008</v>
      </c>
      <c r="D78" s="69">
        <v>15001</v>
      </c>
      <c r="E78" s="69">
        <v>2691564</v>
      </c>
      <c r="F78" s="69">
        <v>69853</v>
      </c>
      <c r="G78" s="69" t="s">
        <v>1373</v>
      </c>
      <c r="H78" s="69" t="s">
        <v>276</v>
      </c>
      <c r="I78" s="69" t="s">
        <v>274</v>
      </c>
      <c r="J78" s="69" t="s">
        <v>1646</v>
      </c>
      <c r="K78" s="69" t="s">
        <v>140</v>
      </c>
      <c r="L78" s="69" t="s">
        <v>1647</v>
      </c>
      <c r="M78" s="70">
        <v>45904.333333333343</v>
      </c>
      <c r="N78" s="70">
        <v>45905.989583333343</v>
      </c>
      <c r="O78" s="66"/>
      <c r="P78" s="69" t="s">
        <v>1376</v>
      </c>
      <c r="Q78" s="69" t="s">
        <v>1377</v>
      </c>
      <c r="R78" s="69" t="s">
        <v>1378</v>
      </c>
      <c r="S78" s="69" t="s">
        <v>1378</v>
      </c>
      <c r="T78" s="69" t="s">
        <v>1379</v>
      </c>
      <c r="U78" s="69" t="s">
        <v>1380</v>
      </c>
      <c r="V78" s="69" t="s">
        <v>1648</v>
      </c>
      <c r="W78" s="69" t="s">
        <v>145</v>
      </c>
      <c r="X78" s="66">
        <v>0</v>
      </c>
      <c r="Y78" s="69" t="s">
        <v>55</v>
      </c>
      <c r="Z78" s="67" t="s">
        <v>159</v>
      </c>
      <c r="AA78" s="69" t="s">
        <v>874</v>
      </c>
      <c r="AB78" s="69">
        <v>1</v>
      </c>
      <c r="AC78" s="66">
        <v>0</v>
      </c>
      <c r="AD78" s="54">
        <f>IF(OR(W78="SOPORTE_TELEFÓNICO",W78="ENVÍO"),0,IF(Y78="TIPO I",'BASE DE LIQUIDACION 2025'!$I$4,IF(Y78="TIPO II",'BASE DE LIQUIDACION 2025'!$I$5,IF(Y78="TIPO III",'BASE DE LIQUIDACION 2025'!$I$6,IF(Y78="TIPO IV",'BASE DE LIQUIDACION 2025'!$I$7,'BASE DE LIQUIDACION 2025'!$I$8)))))</f>
        <v>96001.196280000004</v>
      </c>
      <c r="AE78" s="54">
        <f>IF(OR(W78="SOPORTE_TELEFÓNICO",W78="ENVÍO"),0,IF(Y78="TIPO I",'BASE DE LIQUIDACION 2025'!$J$4,IF(Y78="TIPO II",'BASE DE LIQUIDACION 2025'!$J$5,IF(Y78="TIPO III",'BASE DE LIQUIDACION 2025'!$J$6,IF(Y78="TIPO IV",'BASE DE LIQUIDACION 2025'!$J$7,'BASE DE LIQUIDACION 2025'!$J$8)))))</f>
        <v>57411.974240000003</v>
      </c>
      <c r="AF78" s="54">
        <f>IF(W78="SOPORTE_TELEFÓNICO",'BASE DE LIQUIDACION 2025'!$L$4,IF(W78="ENVÍO",'BASE DE LIQUIDACION 2025'!$K$4,AD78*AB78+AE78*AC78))</f>
        <v>96001.196280000004</v>
      </c>
    </row>
    <row r="79" spans="1:32" s="56" customFormat="1" ht="13.15" hidden="1">
      <c r="A79" s="69" t="s">
        <v>518</v>
      </c>
      <c r="B79" s="66" t="str">
        <f>VLOOKUP(A79,'CENTRO DE COSTOS'!A:D,4,FALSE)</f>
        <v>KEVIN ALEXIS CORZO BUSTOS</v>
      </c>
      <c r="C79" s="66" t="str">
        <f>VLOOKUP(A79,'CENTRO DE COSTOS'!A:D,2,FALSE)</f>
        <v>0004-0007</v>
      </c>
      <c r="D79" s="69">
        <v>73001</v>
      </c>
      <c r="E79" s="69">
        <v>2686229</v>
      </c>
      <c r="F79" s="69">
        <v>55066</v>
      </c>
      <c r="G79" s="69" t="s">
        <v>1373</v>
      </c>
      <c r="H79" s="69" t="s">
        <v>520</v>
      </c>
      <c r="I79" s="69" t="s">
        <v>518</v>
      </c>
      <c r="J79" s="69" t="s">
        <v>1649</v>
      </c>
      <c r="K79" s="69" t="s">
        <v>140</v>
      </c>
      <c r="L79" s="69" t="s">
        <v>1650</v>
      </c>
      <c r="M79" s="70">
        <v>45903.390972222223</v>
      </c>
      <c r="N79" s="70">
        <v>45905.997916666667</v>
      </c>
      <c r="O79" s="66"/>
      <c r="P79" s="69" t="s">
        <v>1376</v>
      </c>
      <c r="Q79" s="69" t="s">
        <v>1377</v>
      </c>
      <c r="R79" s="69" t="s">
        <v>1378</v>
      </c>
      <c r="S79" s="69" t="s">
        <v>1378</v>
      </c>
      <c r="T79" s="69" t="s">
        <v>1433</v>
      </c>
      <c r="U79" s="69" t="s">
        <v>1488</v>
      </c>
      <c r="V79" s="69" t="s">
        <v>1651</v>
      </c>
      <c r="W79" s="69" t="s">
        <v>145</v>
      </c>
      <c r="X79" s="66">
        <v>0</v>
      </c>
      <c r="Y79" s="69" t="s">
        <v>55</v>
      </c>
      <c r="Z79" s="67" t="s">
        <v>159</v>
      </c>
      <c r="AA79" s="69" t="s">
        <v>788</v>
      </c>
      <c r="AB79" s="69">
        <v>1</v>
      </c>
      <c r="AC79" s="66">
        <v>0</v>
      </c>
      <c r="AD79" s="54">
        <f>IF(OR(W79="SOPORTE_TELEFÓNICO",W79="ENVÍO"),0,IF(Y79="TIPO I",'BASE DE LIQUIDACION 2025'!$I$4,IF(Y79="TIPO II",'BASE DE LIQUIDACION 2025'!$I$5,IF(Y79="TIPO III",'BASE DE LIQUIDACION 2025'!$I$6,IF(Y79="TIPO IV",'BASE DE LIQUIDACION 2025'!$I$7,'BASE DE LIQUIDACION 2025'!$I$8)))))</f>
        <v>96001.196280000004</v>
      </c>
      <c r="AE79" s="54">
        <f>IF(OR(W79="SOPORTE_TELEFÓNICO",W79="ENVÍO"),0,IF(Y79="TIPO I",'BASE DE LIQUIDACION 2025'!$J$4,IF(Y79="TIPO II",'BASE DE LIQUIDACION 2025'!$J$5,IF(Y79="TIPO III",'BASE DE LIQUIDACION 2025'!$J$6,IF(Y79="TIPO IV",'BASE DE LIQUIDACION 2025'!$J$7,'BASE DE LIQUIDACION 2025'!$J$8)))))</f>
        <v>57411.974240000003</v>
      </c>
      <c r="AF79" s="54">
        <f>IF(W79="SOPORTE_TELEFÓNICO",'BASE DE LIQUIDACION 2025'!$L$4,IF(W79="ENVÍO",'BASE DE LIQUIDACION 2025'!$K$4,AD79*AB79+AE79*AC79))</f>
        <v>96001.196280000004</v>
      </c>
    </row>
    <row r="80" spans="1:32" s="56" customFormat="1" ht="13.15" hidden="1">
      <c r="A80" s="69" t="s">
        <v>210</v>
      </c>
      <c r="B80" s="66" t="str">
        <f>VLOOKUP(A80,'CENTRO DE COSTOS'!A:D,4,FALSE)</f>
        <v>KEVIN ALEXIS CORZO BUSTOS</v>
      </c>
      <c r="C80" s="66" t="str">
        <f>VLOOKUP(A80,'CENTRO DE COSTOS'!A:D,2,FALSE)</f>
        <v>0004-0007</v>
      </c>
      <c r="D80" s="69">
        <v>50001</v>
      </c>
      <c r="E80" s="69">
        <v>2686259</v>
      </c>
      <c r="F80" s="69">
        <v>43732</v>
      </c>
      <c r="G80" s="69" t="s">
        <v>1373</v>
      </c>
      <c r="H80" s="69" t="s">
        <v>212</v>
      </c>
      <c r="I80" s="69" t="s">
        <v>210</v>
      </c>
      <c r="J80" s="69" t="s">
        <v>1652</v>
      </c>
      <c r="K80" s="69" t="s">
        <v>140</v>
      </c>
      <c r="L80" s="69" t="s">
        <v>1653</v>
      </c>
      <c r="M80" s="70">
        <v>45903.394444444442</v>
      </c>
      <c r="N80" s="70">
        <v>45904.583333333343</v>
      </c>
      <c r="O80" s="66"/>
      <c r="P80" s="69" t="s">
        <v>1376</v>
      </c>
      <c r="Q80" s="69" t="s">
        <v>1377</v>
      </c>
      <c r="R80" s="69" t="s">
        <v>1378</v>
      </c>
      <c r="S80" s="69" t="s">
        <v>1378</v>
      </c>
      <c r="T80" s="69" t="s">
        <v>1379</v>
      </c>
      <c r="U80" s="69" t="s">
        <v>1380</v>
      </c>
      <c r="V80" s="69" t="s">
        <v>1654</v>
      </c>
      <c r="W80" s="69" t="s">
        <v>145</v>
      </c>
      <c r="X80" s="66">
        <v>0</v>
      </c>
      <c r="Y80" s="69" t="s">
        <v>55</v>
      </c>
      <c r="Z80" s="67" t="s">
        <v>159</v>
      </c>
      <c r="AA80" s="69" t="s">
        <v>1278</v>
      </c>
      <c r="AB80" s="69">
        <v>1</v>
      </c>
      <c r="AC80" s="66">
        <v>0</v>
      </c>
      <c r="AD80" s="54">
        <f>IF(OR(W80="SOPORTE_TELEFÓNICO",W80="ENVÍO"),0,IF(Y80="TIPO I",'BASE DE LIQUIDACION 2025'!$I$4,IF(Y80="TIPO II",'BASE DE LIQUIDACION 2025'!$I$5,IF(Y80="TIPO III",'BASE DE LIQUIDACION 2025'!$I$6,IF(Y80="TIPO IV",'BASE DE LIQUIDACION 2025'!$I$7,'BASE DE LIQUIDACION 2025'!$I$8)))))</f>
        <v>96001.196280000004</v>
      </c>
      <c r="AE80" s="54">
        <f>IF(OR(W80="SOPORTE_TELEFÓNICO",W80="ENVÍO"),0,IF(Y80="TIPO I",'BASE DE LIQUIDACION 2025'!$J$4,IF(Y80="TIPO II",'BASE DE LIQUIDACION 2025'!$J$5,IF(Y80="TIPO III",'BASE DE LIQUIDACION 2025'!$J$6,IF(Y80="TIPO IV",'BASE DE LIQUIDACION 2025'!$J$7,'BASE DE LIQUIDACION 2025'!$J$8)))))</f>
        <v>57411.974240000003</v>
      </c>
      <c r="AF80" s="54">
        <f>IF(W80="SOPORTE_TELEFÓNICO",'BASE DE LIQUIDACION 2025'!$L$4,IF(W80="ENVÍO",'BASE DE LIQUIDACION 2025'!$K$4,AD80*AB80+AE80*AC80))</f>
        <v>96001.196280000004</v>
      </c>
    </row>
    <row r="81" spans="1:32" s="56" customFormat="1" ht="13.15" hidden="1">
      <c r="A81" s="69" t="s">
        <v>133</v>
      </c>
      <c r="B81" s="66" t="str">
        <f>VLOOKUP(A81,'CENTRO DE COSTOS'!A:D,4,FALSE)</f>
        <v>DIEGO FERNANDO HENAO CARDONA</v>
      </c>
      <c r="C81" s="66" t="str">
        <f>VLOOKUP(A81,'CENTRO DE COSTOS'!A:D,2,FALSE)</f>
        <v>0004-0003</v>
      </c>
      <c r="D81" s="69">
        <v>52356</v>
      </c>
      <c r="E81" s="69">
        <v>2686319</v>
      </c>
      <c r="F81" s="69">
        <v>56725</v>
      </c>
      <c r="G81" s="69" t="s">
        <v>1373</v>
      </c>
      <c r="H81" s="69" t="s">
        <v>137</v>
      </c>
      <c r="I81" s="69" t="s">
        <v>886</v>
      </c>
      <c r="J81" s="69" t="s">
        <v>1655</v>
      </c>
      <c r="K81" s="69" t="s">
        <v>140</v>
      </c>
      <c r="L81" s="69" t="s">
        <v>1656</v>
      </c>
      <c r="M81" s="70">
        <v>45903.396527777782</v>
      </c>
      <c r="N81" s="70">
        <v>45905.996527777781</v>
      </c>
      <c r="O81" s="66"/>
      <c r="P81" s="69" t="s">
        <v>1376</v>
      </c>
      <c r="Q81" s="69" t="s">
        <v>1377</v>
      </c>
      <c r="R81" s="69" t="s">
        <v>239</v>
      </c>
      <c r="S81" s="69" t="s">
        <v>240</v>
      </c>
      <c r="T81" s="69" t="s">
        <v>1379</v>
      </c>
      <c r="U81" s="69" t="s">
        <v>1380</v>
      </c>
      <c r="V81" s="69" t="s">
        <v>1657</v>
      </c>
      <c r="W81" s="69" t="s">
        <v>145</v>
      </c>
      <c r="X81" s="66">
        <v>0</v>
      </c>
      <c r="Y81" s="69" t="s">
        <v>199</v>
      </c>
      <c r="Z81" s="67" t="s">
        <v>159</v>
      </c>
      <c r="AA81" s="69" t="s">
        <v>149</v>
      </c>
      <c r="AB81" s="69">
        <v>1</v>
      </c>
      <c r="AC81" s="66">
        <v>0</v>
      </c>
      <c r="AD81" s="54">
        <f>IF(OR(W81="SOPORTE_TELEFÓNICO",W81="ENVÍO"),0,IF(Y81="TIPO I",'BASE DE LIQUIDACION 2025'!$I$4,IF(Y81="TIPO II",'BASE DE LIQUIDACION 2025'!$I$5,IF(Y81="TIPO III",'BASE DE LIQUIDACION 2025'!$I$6,IF(Y81="TIPO IV",'BASE DE LIQUIDACION 2025'!$I$7,'BASE DE LIQUIDACION 2025'!$I$8)))))</f>
        <v>232858.60096000001</v>
      </c>
      <c r="AE81" s="54">
        <f>IF(OR(W81="SOPORTE_TELEFÓNICO",W81="ENVÍO"),0,IF(Y81="TIPO I",'BASE DE LIQUIDACION 2025'!$J$4,IF(Y81="TIPO II",'BASE DE LIQUIDACION 2025'!$J$5,IF(Y81="TIPO III",'BASE DE LIQUIDACION 2025'!$J$6,IF(Y81="TIPO IV",'BASE DE LIQUIDACION 2025'!$J$7,'BASE DE LIQUIDACION 2025'!$J$8)))))</f>
        <v>110808.27512000001</v>
      </c>
      <c r="AF81" s="54">
        <f>IF(W81="SOPORTE_TELEFÓNICO",'BASE DE LIQUIDACION 2025'!$L$4,IF(W81="ENVÍO",'BASE DE LIQUIDACION 2025'!$K$4,AD81*AB81+AE81*AC81))</f>
        <v>232858.60096000001</v>
      </c>
    </row>
    <row r="82" spans="1:32" s="56" customFormat="1" ht="13.15" hidden="1">
      <c r="A82" s="69" t="s">
        <v>432</v>
      </c>
      <c r="B82" s="66" t="str">
        <f>VLOOKUP(A82,'CENTRO DE COSTOS'!A:D,4,FALSE)</f>
        <v>WILLIAM ASDRUBAL ROZO ROZO</v>
      </c>
      <c r="C82" s="66" t="str">
        <f>VLOOKUP(A82,'CENTRO DE COSTOS'!A:D,2,FALSE)</f>
        <v>0004-0004</v>
      </c>
      <c r="D82" s="69">
        <v>11001</v>
      </c>
      <c r="E82" s="69">
        <v>2688575</v>
      </c>
      <c r="F82" s="69">
        <v>74971</v>
      </c>
      <c r="G82" s="69" t="s">
        <v>1373</v>
      </c>
      <c r="H82" s="69" t="s">
        <v>434</v>
      </c>
      <c r="I82" s="69" t="s">
        <v>432</v>
      </c>
      <c r="J82" s="69" t="s">
        <v>1658</v>
      </c>
      <c r="K82" s="69" t="s">
        <v>140</v>
      </c>
      <c r="L82" s="69" t="s">
        <v>1659</v>
      </c>
      <c r="M82" s="70">
        <v>45903.507638888892</v>
      </c>
      <c r="N82" s="70">
        <v>45910.507638888892</v>
      </c>
      <c r="O82" s="66"/>
      <c r="P82" s="69" t="s">
        <v>1376</v>
      </c>
      <c r="Q82" s="69" t="s">
        <v>1377</v>
      </c>
      <c r="R82" s="69" t="s">
        <v>1378</v>
      </c>
      <c r="S82" s="69" t="s">
        <v>1378</v>
      </c>
      <c r="T82" s="69" t="s">
        <v>1433</v>
      </c>
      <c r="U82" s="69" t="s">
        <v>1488</v>
      </c>
      <c r="V82" s="69" t="s">
        <v>1660</v>
      </c>
      <c r="W82" s="69" t="s">
        <v>145</v>
      </c>
      <c r="X82" s="66">
        <v>0</v>
      </c>
      <c r="Y82" s="69" t="s">
        <v>55</v>
      </c>
      <c r="Z82" s="67" t="s">
        <v>159</v>
      </c>
      <c r="AA82" s="69" t="s">
        <v>820</v>
      </c>
      <c r="AB82" s="69">
        <v>1</v>
      </c>
      <c r="AC82" s="66">
        <v>0</v>
      </c>
      <c r="AD82" s="54">
        <f>IF(OR(W82="SOPORTE_TELEFÓNICO",W82="ENVÍO"),0,IF(Y82="TIPO I",'BASE DE LIQUIDACION 2025'!$I$4,IF(Y82="TIPO II",'BASE DE LIQUIDACION 2025'!$I$5,IF(Y82="TIPO III",'BASE DE LIQUIDACION 2025'!$I$6,IF(Y82="TIPO IV",'BASE DE LIQUIDACION 2025'!$I$7,'BASE DE LIQUIDACION 2025'!$I$8)))))</f>
        <v>96001.196280000004</v>
      </c>
      <c r="AE82" s="54">
        <f>IF(OR(W82="SOPORTE_TELEFÓNICO",W82="ENVÍO"),0,IF(Y82="TIPO I",'BASE DE LIQUIDACION 2025'!$J$4,IF(Y82="TIPO II",'BASE DE LIQUIDACION 2025'!$J$5,IF(Y82="TIPO III",'BASE DE LIQUIDACION 2025'!$J$6,IF(Y82="TIPO IV",'BASE DE LIQUIDACION 2025'!$J$7,'BASE DE LIQUIDACION 2025'!$J$8)))))</f>
        <v>57411.974240000003</v>
      </c>
      <c r="AF82" s="54">
        <f>IF(W82="SOPORTE_TELEFÓNICO",'BASE DE LIQUIDACION 2025'!$L$4,IF(W82="ENVÍO",'BASE DE LIQUIDACION 2025'!$K$4,AD82*AB82+AE82*AC82))</f>
        <v>96001.196280000004</v>
      </c>
    </row>
    <row r="83" spans="1:32" s="56" customFormat="1" ht="13.15" hidden="1">
      <c r="A83" s="69" t="s">
        <v>168</v>
      </c>
      <c r="B83" s="66" t="str">
        <f>VLOOKUP(A83,'CENTRO DE COSTOS'!A:D,4,FALSE)</f>
        <v>DIEGO FERNANDO HENAO CARDONA</v>
      </c>
      <c r="C83" s="66" t="str">
        <f>VLOOKUP(A83,'CENTRO DE COSTOS'!A:D,2,FALSE)</f>
        <v>0004-0002</v>
      </c>
      <c r="D83" s="69">
        <v>66001</v>
      </c>
      <c r="E83" s="69">
        <v>2683953</v>
      </c>
      <c r="F83" s="69">
        <v>80045</v>
      </c>
      <c r="G83" s="69" t="s">
        <v>1373</v>
      </c>
      <c r="H83" s="69" t="s">
        <v>170</v>
      </c>
      <c r="I83" s="69" t="s">
        <v>168</v>
      </c>
      <c r="J83" s="69" t="s">
        <v>1661</v>
      </c>
      <c r="K83" s="69" t="s">
        <v>140</v>
      </c>
      <c r="L83" s="69" t="s">
        <v>1662</v>
      </c>
      <c r="M83" s="70">
        <v>45902.7</v>
      </c>
      <c r="N83" s="70">
        <v>45909.449305555558</v>
      </c>
      <c r="O83" s="66"/>
      <c r="P83" s="69" t="s">
        <v>1376</v>
      </c>
      <c r="Q83" s="69" t="s">
        <v>1377</v>
      </c>
      <c r="R83" s="69" t="s">
        <v>142</v>
      </c>
      <c r="S83" s="69" t="s">
        <v>142</v>
      </c>
      <c r="T83" s="69" t="s">
        <v>1379</v>
      </c>
      <c r="U83" s="69" t="s">
        <v>1380</v>
      </c>
      <c r="V83" s="69" t="s">
        <v>1663</v>
      </c>
      <c r="W83" s="69" t="s">
        <v>145</v>
      </c>
      <c r="X83" s="66">
        <v>0</v>
      </c>
      <c r="Y83" s="69" t="s">
        <v>55</v>
      </c>
      <c r="Z83" s="67" t="s">
        <v>159</v>
      </c>
      <c r="AA83" s="69" t="s">
        <v>290</v>
      </c>
      <c r="AB83" s="69">
        <v>1</v>
      </c>
      <c r="AC83" s="66">
        <v>0</v>
      </c>
      <c r="AD83" s="54">
        <f>IF(OR(W83="SOPORTE_TELEFÓNICO",W83="ENVÍO"),0,IF(Y83="TIPO I",'BASE DE LIQUIDACION 2025'!$I$4,IF(Y83="TIPO II",'BASE DE LIQUIDACION 2025'!$I$5,IF(Y83="TIPO III",'BASE DE LIQUIDACION 2025'!$I$6,IF(Y83="TIPO IV",'BASE DE LIQUIDACION 2025'!$I$7,'BASE DE LIQUIDACION 2025'!$I$8)))))</f>
        <v>96001.196280000004</v>
      </c>
      <c r="AE83" s="54">
        <f>IF(OR(W83="SOPORTE_TELEFÓNICO",W83="ENVÍO"),0,IF(Y83="TIPO I",'BASE DE LIQUIDACION 2025'!$J$4,IF(Y83="TIPO II",'BASE DE LIQUIDACION 2025'!$J$5,IF(Y83="TIPO III",'BASE DE LIQUIDACION 2025'!$J$6,IF(Y83="TIPO IV",'BASE DE LIQUIDACION 2025'!$J$7,'BASE DE LIQUIDACION 2025'!$J$8)))))</f>
        <v>57411.974240000003</v>
      </c>
      <c r="AF83" s="54">
        <f>IF(W83="SOPORTE_TELEFÓNICO",'BASE DE LIQUIDACION 2025'!$L$4,IF(W83="ENVÍO",'BASE DE LIQUIDACION 2025'!$K$4,AD83*AB83+AE83*AC83))</f>
        <v>96001.196280000004</v>
      </c>
    </row>
    <row r="84" spans="1:32" s="56" customFormat="1" ht="13.15" hidden="1">
      <c r="A84" s="69" t="s">
        <v>150</v>
      </c>
      <c r="B84" s="66" t="str">
        <f>VLOOKUP(A84,'CENTRO DE COSTOS'!A:D,4,FALSE)</f>
        <v>DIEGO FERNANDO HENAO CARDONA</v>
      </c>
      <c r="C84" s="66" t="str">
        <f>VLOOKUP(A84,'CENTRO DE COSTOS'!A:D,2,FALSE)</f>
        <v>0004-0003</v>
      </c>
      <c r="D84" s="69">
        <v>76364</v>
      </c>
      <c r="E84" s="69">
        <v>2680345</v>
      </c>
      <c r="F84" s="69">
        <v>48896</v>
      </c>
      <c r="G84" s="69" t="s">
        <v>1373</v>
      </c>
      <c r="H84" s="69" t="s">
        <v>229</v>
      </c>
      <c r="I84" s="69" t="s">
        <v>795</v>
      </c>
      <c r="J84" s="69" t="s">
        <v>1664</v>
      </c>
      <c r="K84" s="69" t="s">
        <v>140</v>
      </c>
      <c r="L84" s="69" t="s">
        <v>1665</v>
      </c>
      <c r="M84" s="70">
        <v>45902.451388888891</v>
      </c>
      <c r="N84" s="70">
        <v>45903.925694444442</v>
      </c>
      <c r="O84" s="66"/>
      <c r="P84" s="69" t="s">
        <v>1376</v>
      </c>
      <c r="Q84" s="69" t="s">
        <v>1377</v>
      </c>
      <c r="R84" s="69" t="s">
        <v>239</v>
      </c>
      <c r="S84" s="69" t="s">
        <v>381</v>
      </c>
      <c r="T84" s="69" t="s">
        <v>1379</v>
      </c>
      <c r="U84" s="69" t="s">
        <v>1380</v>
      </c>
      <c r="V84" s="69" t="s">
        <v>1666</v>
      </c>
      <c r="W84" s="69" t="s">
        <v>145</v>
      </c>
      <c r="X84" s="66">
        <v>0</v>
      </c>
      <c r="Y84" s="69" t="s">
        <v>199</v>
      </c>
      <c r="Z84" s="67" t="s">
        <v>159</v>
      </c>
      <c r="AA84" s="69" t="s">
        <v>547</v>
      </c>
      <c r="AB84" s="69">
        <v>1</v>
      </c>
      <c r="AC84" s="66">
        <v>0</v>
      </c>
      <c r="AD84" s="54">
        <f>IF(OR(W84="SOPORTE_TELEFÓNICO",W84="ENVÍO"),0,IF(Y84="TIPO I",'BASE DE LIQUIDACION 2025'!$I$4,IF(Y84="TIPO II",'BASE DE LIQUIDACION 2025'!$I$5,IF(Y84="TIPO III",'BASE DE LIQUIDACION 2025'!$I$6,IF(Y84="TIPO IV",'BASE DE LIQUIDACION 2025'!$I$7,'BASE DE LIQUIDACION 2025'!$I$8)))))</f>
        <v>232858.60096000001</v>
      </c>
      <c r="AE84" s="54">
        <f>IF(OR(W84="SOPORTE_TELEFÓNICO",W84="ENVÍO"),0,IF(Y84="TIPO I",'BASE DE LIQUIDACION 2025'!$J$4,IF(Y84="TIPO II",'BASE DE LIQUIDACION 2025'!$J$5,IF(Y84="TIPO III",'BASE DE LIQUIDACION 2025'!$J$6,IF(Y84="TIPO IV",'BASE DE LIQUIDACION 2025'!$J$7,'BASE DE LIQUIDACION 2025'!$J$8)))))</f>
        <v>110808.27512000001</v>
      </c>
      <c r="AF84" s="54">
        <f>IF(W84="SOPORTE_TELEFÓNICO",'BASE DE LIQUIDACION 2025'!$L$4,IF(W84="ENVÍO",'BASE DE LIQUIDACION 2025'!$K$4,AD84*AB84+AE84*AC84))</f>
        <v>232858.60096000001</v>
      </c>
    </row>
    <row r="85" spans="1:32" s="56" customFormat="1" ht="13.15" hidden="1">
      <c r="A85" s="69" t="s">
        <v>210</v>
      </c>
      <c r="B85" s="66" t="str">
        <f>VLOOKUP(A85,'CENTRO DE COSTOS'!A:D,4,FALSE)</f>
        <v>KEVIN ALEXIS CORZO BUSTOS</v>
      </c>
      <c r="C85" s="66" t="str">
        <f>VLOOKUP(A85,'CENTRO DE COSTOS'!A:D,2,FALSE)</f>
        <v>0004-0007</v>
      </c>
      <c r="D85" s="69">
        <v>50001</v>
      </c>
      <c r="E85" s="69">
        <v>2680786</v>
      </c>
      <c r="F85" s="69">
        <v>16761</v>
      </c>
      <c r="G85" s="69" t="s">
        <v>1373</v>
      </c>
      <c r="H85" s="69" t="s">
        <v>212</v>
      </c>
      <c r="I85" s="69" t="s">
        <v>210</v>
      </c>
      <c r="J85" s="69" t="s">
        <v>1667</v>
      </c>
      <c r="K85" s="69" t="s">
        <v>140</v>
      </c>
      <c r="L85" s="69" t="s">
        <v>1668</v>
      </c>
      <c r="M85" s="70">
        <v>45902.476388888892</v>
      </c>
      <c r="N85" s="70">
        <v>45903.924305555563</v>
      </c>
      <c r="O85" s="66"/>
      <c r="P85" s="69" t="s">
        <v>1376</v>
      </c>
      <c r="Q85" s="69" t="s">
        <v>1377</v>
      </c>
      <c r="R85" s="69" t="s">
        <v>142</v>
      </c>
      <c r="S85" s="69" t="s">
        <v>1378</v>
      </c>
      <c r="T85" s="69" t="s">
        <v>1379</v>
      </c>
      <c r="U85" s="69" t="s">
        <v>1380</v>
      </c>
      <c r="V85" s="69" t="s">
        <v>1669</v>
      </c>
      <c r="W85" s="69" t="s">
        <v>145</v>
      </c>
      <c r="X85" s="66">
        <v>0</v>
      </c>
      <c r="Y85" s="69" t="s">
        <v>55</v>
      </c>
      <c r="Z85" s="67" t="s">
        <v>159</v>
      </c>
      <c r="AA85" s="69" t="s">
        <v>1278</v>
      </c>
      <c r="AB85" s="69">
        <v>1</v>
      </c>
      <c r="AC85" s="66">
        <v>0</v>
      </c>
      <c r="AD85" s="54">
        <f>IF(OR(W85="SOPORTE_TELEFÓNICO",W85="ENVÍO"),0,IF(Y85="TIPO I",'BASE DE LIQUIDACION 2025'!$I$4,IF(Y85="TIPO II",'BASE DE LIQUIDACION 2025'!$I$5,IF(Y85="TIPO III",'BASE DE LIQUIDACION 2025'!$I$6,IF(Y85="TIPO IV",'BASE DE LIQUIDACION 2025'!$I$7,'BASE DE LIQUIDACION 2025'!$I$8)))))</f>
        <v>96001.196280000004</v>
      </c>
      <c r="AE85" s="54">
        <f>IF(OR(W85="SOPORTE_TELEFÓNICO",W85="ENVÍO"),0,IF(Y85="TIPO I",'BASE DE LIQUIDACION 2025'!$J$4,IF(Y85="TIPO II",'BASE DE LIQUIDACION 2025'!$J$5,IF(Y85="TIPO III",'BASE DE LIQUIDACION 2025'!$J$6,IF(Y85="TIPO IV",'BASE DE LIQUIDACION 2025'!$J$7,'BASE DE LIQUIDACION 2025'!$J$8)))))</f>
        <v>57411.974240000003</v>
      </c>
      <c r="AF85" s="54">
        <f>IF(W85="SOPORTE_TELEFÓNICO",'BASE DE LIQUIDACION 2025'!$L$4,IF(W85="ENVÍO",'BASE DE LIQUIDACION 2025'!$K$4,AD85*AB85+AE85*AC85))</f>
        <v>96001.196280000004</v>
      </c>
    </row>
    <row r="86" spans="1:32" s="56" customFormat="1" ht="13.15" hidden="1">
      <c r="A86" s="69" t="s">
        <v>267</v>
      </c>
      <c r="B86" s="66" t="str">
        <f>VLOOKUP(A86,'CENTRO DE COSTOS'!A:D,4,FALSE)</f>
        <v>JUAN SEBASTIÁN RÍOS CASTRILLÓN</v>
      </c>
      <c r="C86" s="66" t="str">
        <f>VLOOKUP(A86,'CENTRO DE COSTOS'!A:D,2,FALSE)</f>
        <v>0004-0005</v>
      </c>
      <c r="D86" s="69">
        <v>5088</v>
      </c>
      <c r="E86" s="69">
        <v>2681436</v>
      </c>
      <c r="F86" s="69">
        <v>79918</v>
      </c>
      <c r="G86" s="69" t="s">
        <v>1373</v>
      </c>
      <c r="H86" s="69" t="s">
        <v>253</v>
      </c>
      <c r="I86" s="69" t="s">
        <v>400</v>
      </c>
      <c r="J86" s="69" t="s">
        <v>1670</v>
      </c>
      <c r="K86" s="69" t="s">
        <v>140</v>
      </c>
      <c r="L86" s="69" t="s">
        <v>1671</v>
      </c>
      <c r="M86" s="70">
        <v>45902.509722222218</v>
      </c>
      <c r="N86" s="70">
        <v>45906.003472222219</v>
      </c>
      <c r="O86" s="66"/>
      <c r="P86" s="69" t="s">
        <v>1376</v>
      </c>
      <c r="Q86" s="69" t="s">
        <v>1377</v>
      </c>
      <c r="R86" s="69" t="s">
        <v>239</v>
      </c>
      <c r="S86" s="69" t="s">
        <v>240</v>
      </c>
      <c r="T86" s="69" t="s">
        <v>1379</v>
      </c>
      <c r="U86" s="69" t="s">
        <v>1380</v>
      </c>
      <c r="V86" s="69" t="s">
        <v>1672</v>
      </c>
      <c r="W86" s="69" t="s">
        <v>145</v>
      </c>
      <c r="X86" s="66">
        <v>0</v>
      </c>
      <c r="Y86" s="69" t="s">
        <v>55</v>
      </c>
      <c r="Z86" s="67" t="s">
        <v>159</v>
      </c>
      <c r="AA86" s="69" t="s">
        <v>1028</v>
      </c>
      <c r="AB86" s="69">
        <v>1</v>
      </c>
      <c r="AC86" s="66">
        <v>0</v>
      </c>
      <c r="AD86" s="54">
        <f>IF(OR(W86="SOPORTE_TELEFÓNICO",W86="ENVÍO"),0,IF(Y86="TIPO I",'BASE DE LIQUIDACION 2025'!$I$4,IF(Y86="TIPO II",'BASE DE LIQUIDACION 2025'!$I$5,IF(Y86="TIPO III",'BASE DE LIQUIDACION 2025'!$I$6,IF(Y86="TIPO IV",'BASE DE LIQUIDACION 2025'!$I$7,'BASE DE LIQUIDACION 2025'!$I$8)))))</f>
        <v>96001.196280000004</v>
      </c>
      <c r="AE86" s="54">
        <f>IF(OR(W86="SOPORTE_TELEFÓNICO",W86="ENVÍO"),0,IF(Y86="TIPO I",'BASE DE LIQUIDACION 2025'!$J$4,IF(Y86="TIPO II",'BASE DE LIQUIDACION 2025'!$J$5,IF(Y86="TIPO III",'BASE DE LIQUIDACION 2025'!$J$6,IF(Y86="TIPO IV",'BASE DE LIQUIDACION 2025'!$J$7,'BASE DE LIQUIDACION 2025'!$J$8)))))</f>
        <v>57411.974240000003</v>
      </c>
      <c r="AF86" s="54">
        <f>IF(W86="SOPORTE_TELEFÓNICO",'BASE DE LIQUIDACION 2025'!$L$4,IF(W86="ENVÍO",'BASE DE LIQUIDACION 2025'!$K$4,AD86*AB86+AE86*AC86))</f>
        <v>96001.196280000004</v>
      </c>
    </row>
    <row r="87" spans="1:32" s="56" customFormat="1" ht="13.15">
      <c r="A87" s="69" t="s">
        <v>210</v>
      </c>
      <c r="B87" s="66" t="str">
        <f>VLOOKUP(A87,'CENTRO DE COSTOS'!A:D,4,FALSE)</f>
        <v>KEVIN ALEXIS CORZO BUSTOS</v>
      </c>
      <c r="C87" s="66" t="str">
        <f>VLOOKUP(A87,'CENTRO DE COSTOS'!A:D,2,FALSE)</f>
        <v>0004-0007</v>
      </c>
      <c r="D87" s="69">
        <v>99624</v>
      </c>
      <c r="E87" s="69">
        <v>2676891</v>
      </c>
      <c r="F87" s="69">
        <v>76512</v>
      </c>
      <c r="G87" s="69" t="s">
        <v>1373</v>
      </c>
      <c r="H87" s="69" t="s">
        <v>1673</v>
      </c>
      <c r="I87" s="69" t="s">
        <v>1674</v>
      </c>
      <c r="J87" s="69" t="s">
        <v>1675</v>
      </c>
      <c r="K87" s="69" t="s">
        <v>140</v>
      </c>
      <c r="L87" s="69" t="s">
        <v>1676</v>
      </c>
      <c r="M87" s="70">
        <v>45901.738888888889</v>
      </c>
      <c r="N87" s="70">
        <v>45925.421527777777</v>
      </c>
      <c r="O87" s="66"/>
      <c r="P87" s="69" t="s">
        <v>1376</v>
      </c>
      <c r="Q87" s="69" t="s">
        <v>1377</v>
      </c>
      <c r="R87" s="69" t="s">
        <v>142</v>
      </c>
      <c r="S87" s="69" t="s">
        <v>142</v>
      </c>
      <c r="T87" s="69" t="s">
        <v>1379</v>
      </c>
      <c r="U87" s="69" t="s">
        <v>1380</v>
      </c>
      <c r="V87" s="69" t="s">
        <v>1677</v>
      </c>
      <c r="W87" s="69" t="s">
        <v>145</v>
      </c>
      <c r="X87" s="66">
        <v>0</v>
      </c>
      <c r="Y87" s="69" t="s">
        <v>147</v>
      </c>
      <c r="Z87" s="67" t="s">
        <v>190</v>
      </c>
      <c r="AA87" s="69" t="s">
        <v>1278</v>
      </c>
      <c r="AB87" s="69">
        <v>1</v>
      </c>
      <c r="AC87" s="66">
        <v>0</v>
      </c>
      <c r="AD87" s="54">
        <f>IF(OR(W87="SOPORTE_TELEFÓNICO",W87="ENVÍO"),0,IF(Y87="TIPO I",'BASE DE LIQUIDACION 2025'!$I$4,IF(Y87="TIPO II",'BASE DE LIQUIDACION 2025'!$I$5,IF(Y87="TIPO III",'BASE DE LIQUIDACION 2025'!$I$6,IF(Y87="TIPO IV",'BASE DE LIQUIDACION 2025'!$I$7,'BASE DE LIQUIDACION 2025'!$I$8)))))</f>
        <v>548633.63271999999</v>
      </c>
      <c r="AE87" s="54">
        <f>IF(OR(W87="SOPORTE_TELEFÓNICO",W87="ENVÍO"),0,IF(Y87="TIPO I",'BASE DE LIQUIDACION 2025'!$J$4,IF(Y87="TIPO II",'BASE DE LIQUIDACION 2025'!$J$5,IF(Y87="TIPO III",'BASE DE LIQUIDACION 2025'!$J$6,IF(Y87="TIPO IV",'BASE DE LIQUIDACION 2025'!$J$7,'BASE DE LIQUIDACION 2025'!$J$8)))))</f>
        <v>110808.27512000001</v>
      </c>
      <c r="AF87" s="54">
        <f>IF(W87="SOPORTE_TELEFÓNICO",'BASE DE LIQUIDACION 2025'!$L$4,IF(W87="ENVÍO",'BASE DE LIQUIDACION 2025'!$K$4,AD87*AB87+AE87*AC87))</f>
        <v>548633.63271999999</v>
      </c>
    </row>
    <row r="88" spans="1:32" s="56" customFormat="1" ht="13.15" hidden="1">
      <c r="A88" s="69" t="s">
        <v>309</v>
      </c>
      <c r="B88" s="66" t="str">
        <f>VLOOKUP(A88,'CENTRO DE COSTOS'!A:D,4,FALSE)</f>
        <v>MIGUEL JULIÁN HERNÁNDEZ GUARÍN</v>
      </c>
      <c r="C88" s="66" t="str">
        <f>VLOOKUP(A88,'CENTRO DE COSTOS'!A:D,2,FALSE)</f>
        <v>0004-0008</v>
      </c>
      <c r="D88" s="69">
        <v>54498</v>
      </c>
      <c r="E88" s="69">
        <v>2678889</v>
      </c>
      <c r="F88" s="69">
        <v>79245</v>
      </c>
      <c r="G88" s="69" t="s">
        <v>1373</v>
      </c>
      <c r="H88" s="69" t="s">
        <v>311</v>
      </c>
      <c r="I88" s="69" t="s">
        <v>1183</v>
      </c>
      <c r="J88" s="69" t="s">
        <v>1678</v>
      </c>
      <c r="K88" s="69" t="s">
        <v>140</v>
      </c>
      <c r="L88" s="69" t="s">
        <v>1679</v>
      </c>
      <c r="M88" s="70">
        <v>45902.388194444437</v>
      </c>
      <c r="N88" s="70">
        <v>45903.930555555547</v>
      </c>
      <c r="O88" s="66"/>
      <c r="P88" s="69" t="s">
        <v>1376</v>
      </c>
      <c r="Q88" s="69" t="s">
        <v>1377</v>
      </c>
      <c r="R88" s="69" t="s">
        <v>239</v>
      </c>
      <c r="S88" s="69" t="s">
        <v>240</v>
      </c>
      <c r="T88" s="69" t="s">
        <v>1379</v>
      </c>
      <c r="U88" s="69" t="s">
        <v>1380</v>
      </c>
      <c r="V88" s="69" t="s">
        <v>1680</v>
      </c>
      <c r="W88" s="69" t="s">
        <v>145</v>
      </c>
      <c r="X88" s="66">
        <v>0</v>
      </c>
      <c r="Y88" s="69" t="s">
        <v>167</v>
      </c>
      <c r="Z88" s="67" t="s">
        <v>159</v>
      </c>
      <c r="AA88" s="69" t="s">
        <v>484</v>
      </c>
      <c r="AB88" s="69">
        <v>1</v>
      </c>
      <c r="AC88" s="66">
        <v>0</v>
      </c>
      <c r="AD88" s="54">
        <f>IF(OR(W88="SOPORTE_TELEFÓNICO",W88="ENVÍO"),0,IF(Y88="TIPO I",'BASE DE LIQUIDACION 2025'!$I$4,IF(Y88="TIPO II",'BASE DE LIQUIDACION 2025'!$I$5,IF(Y88="TIPO III",'BASE DE LIQUIDACION 2025'!$I$6,IF(Y88="TIPO IV",'BASE DE LIQUIDACION 2025'!$I$7,'BASE DE LIQUIDACION 2025'!$I$8)))))</f>
        <v>548633.63271999999</v>
      </c>
      <c r="AE88" s="54">
        <f>IF(OR(W88="SOPORTE_TELEFÓNICO",W88="ENVÍO"),0,IF(Y88="TIPO I",'BASE DE LIQUIDACION 2025'!$J$4,IF(Y88="TIPO II",'BASE DE LIQUIDACION 2025'!$J$5,IF(Y88="TIPO III",'BASE DE LIQUIDACION 2025'!$J$6,IF(Y88="TIPO IV",'BASE DE LIQUIDACION 2025'!$J$7,'BASE DE LIQUIDACION 2025'!$J$8)))))</f>
        <v>110808.27512000001</v>
      </c>
      <c r="AF88" s="54">
        <f>IF(W88="SOPORTE_TELEFÓNICO",'BASE DE LIQUIDACION 2025'!$L$4,IF(W88="ENVÍO",'BASE DE LIQUIDACION 2025'!$K$4,AD88*AB88+AE88*AC88))</f>
        <v>548633.63271999999</v>
      </c>
    </row>
    <row r="89" spans="1:32" s="56" customFormat="1" ht="13.15" hidden="1">
      <c r="A89" s="69" t="s">
        <v>518</v>
      </c>
      <c r="B89" s="66" t="str">
        <f>VLOOKUP(A89,'CENTRO DE COSTOS'!A:D,4,FALSE)</f>
        <v>KEVIN ALEXIS CORZO BUSTOS</v>
      </c>
      <c r="C89" s="66" t="str">
        <f>VLOOKUP(A89,'CENTRO DE COSTOS'!A:D,2,FALSE)</f>
        <v>0004-0007</v>
      </c>
      <c r="D89" s="69">
        <v>73001</v>
      </c>
      <c r="E89" s="69">
        <v>2679818</v>
      </c>
      <c r="F89" s="69">
        <v>51480</v>
      </c>
      <c r="G89" s="69" t="s">
        <v>1373</v>
      </c>
      <c r="H89" s="69" t="s">
        <v>520</v>
      </c>
      <c r="I89" s="69" t="s">
        <v>518</v>
      </c>
      <c r="J89" s="69" t="s">
        <v>1681</v>
      </c>
      <c r="K89" s="69" t="s">
        <v>140</v>
      </c>
      <c r="L89" s="69" t="s">
        <v>1682</v>
      </c>
      <c r="M89" s="70">
        <v>45902.416666666657</v>
      </c>
      <c r="N89" s="70">
        <v>45903.928472222222</v>
      </c>
      <c r="O89" s="66"/>
      <c r="P89" s="69" t="s">
        <v>1376</v>
      </c>
      <c r="Q89" s="69" t="s">
        <v>1377</v>
      </c>
      <c r="R89" s="69" t="s">
        <v>1378</v>
      </c>
      <c r="S89" s="69" t="s">
        <v>1378</v>
      </c>
      <c r="T89" s="69" t="s">
        <v>1379</v>
      </c>
      <c r="U89" s="69" t="s">
        <v>1380</v>
      </c>
      <c r="V89" s="69" t="s">
        <v>1683</v>
      </c>
      <c r="W89" s="69" t="s">
        <v>145</v>
      </c>
      <c r="X89" s="66">
        <v>0</v>
      </c>
      <c r="Y89" s="69" t="s">
        <v>55</v>
      </c>
      <c r="Z89" s="67" t="s">
        <v>159</v>
      </c>
      <c r="AA89" s="69" t="s">
        <v>788</v>
      </c>
      <c r="AB89" s="69">
        <v>1</v>
      </c>
      <c r="AC89" s="66">
        <v>0</v>
      </c>
      <c r="AD89" s="54">
        <f>IF(OR(W89="SOPORTE_TELEFÓNICO",W89="ENVÍO"),0,IF(Y89="TIPO I",'BASE DE LIQUIDACION 2025'!$I$4,IF(Y89="TIPO II",'BASE DE LIQUIDACION 2025'!$I$5,IF(Y89="TIPO III",'BASE DE LIQUIDACION 2025'!$I$6,IF(Y89="TIPO IV",'BASE DE LIQUIDACION 2025'!$I$7,'BASE DE LIQUIDACION 2025'!$I$8)))))</f>
        <v>96001.196280000004</v>
      </c>
      <c r="AE89" s="54">
        <f>IF(OR(W89="SOPORTE_TELEFÓNICO",W89="ENVÍO"),0,IF(Y89="TIPO I",'BASE DE LIQUIDACION 2025'!$J$4,IF(Y89="TIPO II",'BASE DE LIQUIDACION 2025'!$J$5,IF(Y89="TIPO III",'BASE DE LIQUIDACION 2025'!$J$6,IF(Y89="TIPO IV",'BASE DE LIQUIDACION 2025'!$J$7,'BASE DE LIQUIDACION 2025'!$J$8)))))</f>
        <v>57411.974240000003</v>
      </c>
      <c r="AF89" s="54">
        <f>IF(W89="SOPORTE_TELEFÓNICO",'BASE DE LIQUIDACION 2025'!$L$4,IF(W89="ENVÍO",'BASE DE LIQUIDACION 2025'!$K$4,AD89*AB89+AE89*AC89))</f>
        <v>96001.196280000004</v>
      </c>
    </row>
    <row r="90" spans="1:32" s="56" customFormat="1" ht="13.15" hidden="1">
      <c r="A90" s="69" t="s">
        <v>201</v>
      </c>
      <c r="B90" s="66" t="str">
        <f>VLOOKUP(A90,'CENTRO DE COSTOS'!A:D,4,FALSE)</f>
        <v>KEVIN ALEXIS CORZO BUSTOS</v>
      </c>
      <c r="C90" s="66" t="str">
        <f>VLOOKUP(A90,'CENTRO DE COSTOS'!A:D,2,FALSE)</f>
        <v>0004-0007</v>
      </c>
      <c r="D90" s="69">
        <v>41001</v>
      </c>
      <c r="E90" s="69">
        <v>2674081</v>
      </c>
      <c r="F90" s="69">
        <v>71430</v>
      </c>
      <c r="G90" s="69" t="s">
        <v>1373</v>
      </c>
      <c r="H90" s="69" t="s">
        <v>447</v>
      </c>
      <c r="I90" s="69" t="s">
        <v>201</v>
      </c>
      <c r="J90" s="69" t="s">
        <v>1684</v>
      </c>
      <c r="K90" s="69" t="s">
        <v>140</v>
      </c>
      <c r="L90" s="69" t="s">
        <v>1685</v>
      </c>
      <c r="M90" s="70">
        <v>45901.521527777782</v>
      </c>
      <c r="N90" s="70">
        <v>45902.529166666667</v>
      </c>
      <c r="O90" s="66"/>
      <c r="P90" s="69" t="s">
        <v>1376</v>
      </c>
      <c r="Q90" s="69" t="s">
        <v>1377</v>
      </c>
      <c r="R90" s="69" t="s">
        <v>1378</v>
      </c>
      <c r="S90" s="69" t="s">
        <v>1378</v>
      </c>
      <c r="T90" s="69" t="s">
        <v>1379</v>
      </c>
      <c r="U90" s="69" t="s">
        <v>1380</v>
      </c>
      <c r="V90" s="69" t="s">
        <v>1686</v>
      </c>
      <c r="W90" s="69" t="s">
        <v>145</v>
      </c>
      <c r="X90" s="66">
        <v>0</v>
      </c>
      <c r="Y90" s="69" t="s">
        <v>55</v>
      </c>
      <c r="Z90" s="67" t="s">
        <v>159</v>
      </c>
      <c r="AA90" s="69" t="s">
        <v>1687</v>
      </c>
      <c r="AB90" s="69">
        <v>1</v>
      </c>
      <c r="AC90" s="66">
        <v>0</v>
      </c>
      <c r="AD90" s="54">
        <f>IF(OR(W90="SOPORTE_TELEFÓNICO",W90="ENVÍO"),0,IF(Y90="TIPO I",'BASE DE LIQUIDACION 2025'!$I$4,IF(Y90="TIPO II",'BASE DE LIQUIDACION 2025'!$I$5,IF(Y90="TIPO III",'BASE DE LIQUIDACION 2025'!$I$6,IF(Y90="TIPO IV",'BASE DE LIQUIDACION 2025'!$I$7,'BASE DE LIQUIDACION 2025'!$I$8)))))</f>
        <v>96001.196280000004</v>
      </c>
      <c r="AE90" s="54">
        <f>IF(OR(W90="SOPORTE_TELEFÓNICO",W90="ENVÍO"),0,IF(Y90="TIPO I",'BASE DE LIQUIDACION 2025'!$J$4,IF(Y90="TIPO II",'BASE DE LIQUIDACION 2025'!$J$5,IF(Y90="TIPO III",'BASE DE LIQUIDACION 2025'!$J$6,IF(Y90="TIPO IV",'BASE DE LIQUIDACION 2025'!$J$7,'BASE DE LIQUIDACION 2025'!$J$8)))))</f>
        <v>57411.974240000003</v>
      </c>
      <c r="AF90" s="54">
        <f>IF(W90="SOPORTE_TELEFÓNICO",'BASE DE LIQUIDACION 2025'!$L$4,IF(W90="ENVÍO",'BASE DE LIQUIDACION 2025'!$K$4,AD90*AB90+AE90*AC90))</f>
        <v>96001.196280000004</v>
      </c>
    </row>
    <row r="91" spans="1:32" s="56" customFormat="1" ht="13.15" hidden="1">
      <c r="A91" s="69" t="s">
        <v>621</v>
      </c>
      <c r="B91" s="66" t="str">
        <f>VLOOKUP(A91,'CENTRO DE COSTOS'!A:D,4,FALSE)</f>
        <v>JOSE MAURICIO HERNANDEZ ROJAS</v>
      </c>
      <c r="C91" s="66" t="str">
        <f>VLOOKUP(A91,'CENTRO DE COSTOS'!A:D,2,FALSE)</f>
        <v>0004-0001</v>
      </c>
      <c r="D91" s="69">
        <v>20001</v>
      </c>
      <c r="E91" s="69">
        <v>2674165</v>
      </c>
      <c r="F91" s="69">
        <v>67111</v>
      </c>
      <c r="G91" s="69" t="s">
        <v>1373</v>
      </c>
      <c r="H91" s="69" t="s">
        <v>623</v>
      </c>
      <c r="I91" s="69" t="s">
        <v>621</v>
      </c>
      <c r="J91" s="69" t="s">
        <v>1688</v>
      </c>
      <c r="K91" s="69" t="s">
        <v>140</v>
      </c>
      <c r="L91" s="69" t="s">
        <v>1689</v>
      </c>
      <c r="M91" s="70">
        <v>45901.535416666673</v>
      </c>
      <c r="N91" s="70">
        <v>45902.527777777781</v>
      </c>
      <c r="O91" s="66"/>
      <c r="P91" s="69" t="s">
        <v>1376</v>
      </c>
      <c r="Q91" s="69" t="s">
        <v>1377</v>
      </c>
      <c r="R91" s="69" t="s">
        <v>1378</v>
      </c>
      <c r="S91" s="69" t="s">
        <v>1378</v>
      </c>
      <c r="T91" s="69" t="s">
        <v>1379</v>
      </c>
      <c r="U91" s="69" t="s">
        <v>1380</v>
      </c>
      <c r="V91" s="69" t="s">
        <v>1690</v>
      </c>
      <c r="W91" s="69" t="s">
        <v>145</v>
      </c>
      <c r="X91" s="66">
        <v>0</v>
      </c>
      <c r="Y91" s="69" t="s">
        <v>55</v>
      </c>
      <c r="Z91" s="67" t="s">
        <v>159</v>
      </c>
      <c r="AA91" s="69" t="s">
        <v>627</v>
      </c>
      <c r="AB91" s="69">
        <v>1</v>
      </c>
      <c r="AC91" s="66">
        <v>0</v>
      </c>
      <c r="AD91" s="54">
        <f>IF(OR(W91="SOPORTE_TELEFÓNICO",W91="ENVÍO"),0,IF(Y91="TIPO I",'BASE DE LIQUIDACION 2025'!$I$4,IF(Y91="TIPO II",'BASE DE LIQUIDACION 2025'!$I$5,IF(Y91="TIPO III",'BASE DE LIQUIDACION 2025'!$I$6,IF(Y91="TIPO IV",'BASE DE LIQUIDACION 2025'!$I$7,'BASE DE LIQUIDACION 2025'!$I$8)))))</f>
        <v>96001.196280000004</v>
      </c>
      <c r="AE91" s="54">
        <f>IF(OR(W91="SOPORTE_TELEFÓNICO",W91="ENVÍO"),0,IF(Y91="TIPO I",'BASE DE LIQUIDACION 2025'!$J$4,IF(Y91="TIPO II",'BASE DE LIQUIDACION 2025'!$J$5,IF(Y91="TIPO III",'BASE DE LIQUIDACION 2025'!$J$6,IF(Y91="TIPO IV",'BASE DE LIQUIDACION 2025'!$J$7,'BASE DE LIQUIDACION 2025'!$J$8)))))</f>
        <v>57411.974240000003</v>
      </c>
      <c r="AF91" s="54">
        <f>IF(W91="SOPORTE_TELEFÓNICO",'BASE DE LIQUIDACION 2025'!$L$4,IF(W91="ENVÍO",'BASE DE LIQUIDACION 2025'!$K$4,AD91*AB91+AE91*AC91))</f>
        <v>96001.196280000004</v>
      </c>
    </row>
    <row r="92" spans="1:32" s="56" customFormat="1" ht="13.15" hidden="1">
      <c r="A92" s="69" t="s">
        <v>210</v>
      </c>
      <c r="B92" s="66" t="str">
        <f>VLOOKUP(A92,'CENTRO DE COSTOS'!A:D,4,FALSE)</f>
        <v>KEVIN ALEXIS CORZO BUSTOS</v>
      </c>
      <c r="C92" s="66" t="str">
        <f>VLOOKUP(A92,'CENTRO DE COSTOS'!A:D,2,FALSE)</f>
        <v>0004-0007</v>
      </c>
      <c r="D92" s="69">
        <v>50001</v>
      </c>
      <c r="E92" s="69">
        <v>2672084</v>
      </c>
      <c r="F92" s="69">
        <v>74216</v>
      </c>
      <c r="G92" s="69" t="s">
        <v>1373</v>
      </c>
      <c r="H92" s="69" t="s">
        <v>212</v>
      </c>
      <c r="I92" s="69" t="s">
        <v>210</v>
      </c>
      <c r="J92" s="69" t="s">
        <v>1691</v>
      </c>
      <c r="K92" s="69" t="s">
        <v>140</v>
      </c>
      <c r="L92" s="69" t="s">
        <v>1692</v>
      </c>
      <c r="M92" s="70">
        <v>45901.426388888889</v>
      </c>
      <c r="N92" s="70">
        <v>45902.53402777778</v>
      </c>
      <c r="O92" s="66"/>
      <c r="P92" s="69" t="s">
        <v>1376</v>
      </c>
      <c r="Q92" s="69" t="s">
        <v>1377</v>
      </c>
      <c r="R92" s="69" t="s">
        <v>1378</v>
      </c>
      <c r="S92" s="69" t="s">
        <v>1378</v>
      </c>
      <c r="T92" s="69" t="s">
        <v>1379</v>
      </c>
      <c r="U92" s="69" t="s">
        <v>1380</v>
      </c>
      <c r="V92" s="69" t="s">
        <v>1693</v>
      </c>
      <c r="W92" s="69" t="s">
        <v>145</v>
      </c>
      <c r="X92" s="66">
        <v>0</v>
      </c>
      <c r="Y92" s="69" t="s">
        <v>55</v>
      </c>
      <c r="Z92" s="67" t="s">
        <v>159</v>
      </c>
      <c r="AA92" s="69" t="s">
        <v>1278</v>
      </c>
      <c r="AB92" s="69">
        <v>1</v>
      </c>
      <c r="AC92" s="66">
        <v>0</v>
      </c>
      <c r="AD92" s="54">
        <f>IF(OR(W92="SOPORTE_TELEFÓNICO",W92="ENVÍO"),0,IF(Y92="TIPO I",'BASE DE LIQUIDACION 2025'!$I$4,IF(Y92="TIPO II",'BASE DE LIQUIDACION 2025'!$I$5,IF(Y92="TIPO III",'BASE DE LIQUIDACION 2025'!$I$6,IF(Y92="TIPO IV",'BASE DE LIQUIDACION 2025'!$I$7,'BASE DE LIQUIDACION 2025'!$I$8)))))</f>
        <v>96001.196280000004</v>
      </c>
      <c r="AE92" s="54">
        <f>IF(OR(W92="SOPORTE_TELEFÓNICO",W92="ENVÍO"),0,IF(Y92="TIPO I",'BASE DE LIQUIDACION 2025'!$J$4,IF(Y92="TIPO II",'BASE DE LIQUIDACION 2025'!$J$5,IF(Y92="TIPO III",'BASE DE LIQUIDACION 2025'!$J$6,IF(Y92="TIPO IV",'BASE DE LIQUIDACION 2025'!$J$7,'BASE DE LIQUIDACION 2025'!$J$8)))))</f>
        <v>57411.974240000003</v>
      </c>
      <c r="AF92" s="54">
        <f>IF(W92="SOPORTE_TELEFÓNICO",'BASE DE LIQUIDACION 2025'!$L$4,IF(W92="ENVÍO",'BASE DE LIQUIDACION 2025'!$K$4,AD92*AB92+AE92*AC92))</f>
        <v>96001.196280000004</v>
      </c>
    </row>
    <row r="93" spans="1:32" s="56" customFormat="1" ht="13.15" hidden="1">
      <c r="A93" s="69" t="s">
        <v>432</v>
      </c>
      <c r="B93" s="66" t="str">
        <f>VLOOKUP(A93,'CENTRO DE COSTOS'!A:D,4,FALSE)</f>
        <v>WILLIAM ASDRUBAL ROZO ROZO</v>
      </c>
      <c r="C93" s="66" t="str">
        <f>VLOOKUP(A93,'CENTRO DE COSTOS'!A:D,2,FALSE)</f>
        <v>0004-0004</v>
      </c>
      <c r="D93" s="69">
        <v>11001</v>
      </c>
      <c r="E93" s="69">
        <v>2670544</v>
      </c>
      <c r="F93" s="69">
        <v>68853</v>
      </c>
      <c r="G93" s="69" t="s">
        <v>1373</v>
      </c>
      <c r="H93" s="69" t="s">
        <v>434</v>
      </c>
      <c r="I93" s="69" t="s">
        <v>432</v>
      </c>
      <c r="J93" s="69" t="s">
        <v>1694</v>
      </c>
      <c r="K93" s="69" t="s">
        <v>140</v>
      </c>
      <c r="L93" s="69" t="s">
        <v>1695</v>
      </c>
      <c r="M93" s="70">
        <v>45901.365277777782</v>
      </c>
      <c r="N93" s="70">
        <v>45901.720833333333</v>
      </c>
      <c r="O93" s="66"/>
      <c r="P93" s="69" t="s">
        <v>1376</v>
      </c>
      <c r="Q93" s="69" t="s">
        <v>1377</v>
      </c>
      <c r="R93" s="69" t="s">
        <v>1378</v>
      </c>
      <c r="S93" s="69" t="s">
        <v>1378</v>
      </c>
      <c r="T93" s="69" t="s">
        <v>1379</v>
      </c>
      <c r="U93" s="69" t="s">
        <v>1380</v>
      </c>
      <c r="V93" s="69" t="s">
        <v>1696</v>
      </c>
      <c r="W93" s="69" t="s">
        <v>145</v>
      </c>
      <c r="X93" s="66">
        <v>0</v>
      </c>
      <c r="Y93" s="69" t="s">
        <v>55</v>
      </c>
      <c r="Z93" s="67" t="s">
        <v>159</v>
      </c>
      <c r="AA93" s="69" t="s">
        <v>1697</v>
      </c>
      <c r="AB93" s="69">
        <v>1</v>
      </c>
      <c r="AC93" s="66">
        <v>0</v>
      </c>
      <c r="AD93" s="54">
        <f>IF(OR(W93="SOPORTE_TELEFÓNICO",W93="ENVÍO"),0,IF(Y93="TIPO I",'BASE DE LIQUIDACION 2025'!$I$4,IF(Y93="TIPO II",'BASE DE LIQUIDACION 2025'!$I$5,IF(Y93="TIPO III",'BASE DE LIQUIDACION 2025'!$I$6,IF(Y93="TIPO IV",'BASE DE LIQUIDACION 2025'!$I$7,'BASE DE LIQUIDACION 2025'!$I$8)))))</f>
        <v>96001.196280000004</v>
      </c>
      <c r="AE93" s="54">
        <f>IF(OR(W93="SOPORTE_TELEFÓNICO",W93="ENVÍO"),0,IF(Y93="TIPO I",'BASE DE LIQUIDACION 2025'!$J$4,IF(Y93="TIPO II",'BASE DE LIQUIDACION 2025'!$J$5,IF(Y93="TIPO III",'BASE DE LIQUIDACION 2025'!$J$6,IF(Y93="TIPO IV",'BASE DE LIQUIDACION 2025'!$J$7,'BASE DE LIQUIDACION 2025'!$J$8)))))</f>
        <v>57411.974240000003</v>
      </c>
      <c r="AF93" s="54">
        <f>IF(W93="SOPORTE_TELEFÓNICO",'BASE DE LIQUIDACION 2025'!$L$4,IF(W93="ENVÍO",'BASE DE LIQUIDACION 2025'!$K$4,AD93*AB93+AE93*AC93))</f>
        <v>96001.196280000004</v>
      </c>
    </row>
    <row r="94" spans="1:32" s="56" customFormat="1" ht="13.15" hidden="1">
      <c r="A94" s="69" t="s">
        <v>432</v>
      </c>
      <c r="B94" s="66" t="str">
        <f>VLOOKUP(A94,'CENTRO DE COSTOS'!A:D,4,FALSE)</f>
        <v>WILLIAM ASDRUBAL ROZO ROZO</v>
      </c>
      <c r="C94" s="66" t="str">
        <f>VLOOKUP(A94,'CENTRO DE COSTOS'!A:D,2,FALSE)</f>
        <v>0004-0004</v>
      </c>
      <c r="D94" s="69">
        <v>11001</v>
      </c>
      <c r="E94" s="69">
        <v>2670640</v>
      </c>
      <c r="F94" s="69">
        <v>25685</v>
      </c>
      <c r="G94" s="69" t="s">
        <v>1373</v>
      </c>
      <c r="H94" s="69" t="s">
        <v>434</v>
      </c>
      <c r="I94" s="69" t="s">
        <v>432</v>
      </c>
      <c r="J94" s="69" t="s">
        <v>1698</v>
      </c>
      <c r="K94" s="69" t="s">
        <v>140</v>
      </c>
      <c r="L94" s="69" t="s">
        <v>1699</v>
      </c>
      <c r="M94" s="70">
        <v>45901.370833333327</v>
      </c>
      <c r="N94" s="70">
        <v>45901.645138888889</v>
      </c>
      <c r="O94" s="66"/>
      <c r="P94" s="69" t="s">
        <v>1376</v>
      </c>
      <c r="Q94" s="69" t="s">
        <v>1377</v>
      </c>
      <c r="R94" s="69" t="s">
        <v>1378</v>
      </c>
      <c r="S94" s="69" t="s">
        <v>1378</v>
      </c>
      <c r="T94" s="69" t="s">
        <v>1379</v>
      </c>
      <c r="U94" s="69" t="s">
        <v>1380</v>
      </c>
      <c r="V94" s="69" t="s">
        <v>1700</v>
      </c>
      <c r="W94" s="69" t="s">
        <v>145</v>
      </c>
      <c r="X94" s="66">
        <v>0</v>
      </c>
      <c r="Y94" s="69" t="s">
        <v>55</v>
      </c>
      <c r="Z94" s="67" t="s">
        <v>159</v>
      </c>
      <c r="AA94" s="69" t="s">
        <v>592</v>
      </c>
      <c r="AB94" s="69">
        <v>1</v>
      </c>
      <c r="AC94" s="66">
        <v>0</v>
      </c>
      <c r="AD94" s="54">
        <f>IF(OR(W94="SOPORTE_TELEFÓNICO",W94="ENVÍO"),0,IF(Y94="TIPO I",'BASE DE LIQUIDACION 2025'!$I$4,IF(Y94="TIPO II",'BASE DE LIQUIDACION 2025'!$I$5,IF(Y94="TIPO III",'BASE DE LIQUIDACION 2025'!$I$6,IF(Y94="TIPO IV",'BASE DE LIQUIDACION 2025'!$I$7,'BASE DE LIQUIDACION 2025'!$I$8)))))</f>
        <v>96001.196280000004</v>
      </c>
      <c r="AE94" s="54">
        <f>IF(OR(W94="SOPORTE_TELEFÓNICO",W94="ENVÍO"),0,IF(Y94="TIPO I",'BASE DE LIQUIDACION 2025'!$J$4,IF(Y94="TIPO II",'BASE DE LIQUIDACION 2025'!$J$5,IF(Y94="TIPO III",'BASE DE LIQUIDACION 2025'!$J$6,IF(Y94="TIPO IV",'BASE DE LIQUIDACION 2025'!$J$7,'BASE DE LIQUIDACION 2025'!$J$8)))))</f>
        <v>57411.974240000003</v>
      </c>
      <c r="AF94" s="54">
        <f>IF(W94="SOPORTE_TELEFÓNICO",'BASE DE LIQUIDACION 2025'!$L$4,IF(W94="ENVÍO",'BASE DE LIQUIDACION 2025'!$K$4,AD94*AB94+AE94*AC94))</f>
        <v>96001.196280000004</v>
      </c>
    </row>
    <row r="95" spans="1:32" s="56" customFormat="1" ht="13.15" hidden="1">
      <c r="A95" s="69" t="s">
        <v>210</v>
      </c>
      <c r="B95" s="66" t="str">
        <f>VLOOKUP(A95,'CENTRO DE COSTOS'!A:D,4,FALSE)</f>
        <v>KEVIN ALEXIS CORZO BUSTOS</v>
      </c>
      <c r="C95" s="66" t="str">
        <f>VLOOKUP(A95,'CENTRO DE COSTOS'!A:D,2,FALSE)</f>
        <v>0004-0007</v>
      </c>
      <c r="D95" s="69">
        <v>50001</v>
      </c>
      <c r="E95" s="69">
        <v>2671233</v>
      </c>
      <c r="F95" s="69">
        <v>70497</v>
      </c>
      <c r="G95" s="69" t="s">
        <v>1373</v>
      </c>
      <c r="H95" s="69" t="s">
        <v>212</v>
      </c>
      <c r="I95" s="69" t="s">
        <v>210</v>
      </c>
      <c r="J95" s="69" t="s">
        <v>1701</v>
      </c>
      <c r="K95" s="69" t="s">
        <v>140</v>
      </c>
      <c r="L95" s="69" t="s">
        <v>1702</v>
      </c>
      <c r="M95" s="70">
        <v>45901.393055555563</v>
      </c>
      <c r="N95" s="70">
        <v>45902.537499999999</v>
      </c>
      <c r="O95" s="66"/>
      <c r="P95" s="69" t="s">
        <v>1376</v>
      </c>
      <c r="Q95" s="69" t="s">
        <v>1377</v>
      </c>
      <c r="R95" s="69" t="s">
        <v>1378</v>
      </c>
      <c r="S95" s="69" t="s">
        <v>1378</v>
      </c>
      <c r="T95" s="69" t="s">
        <v>1379</v>
      </c>
      <c r="U95" s="69" t="s">
        <v>1380</v>
      </c>
      <c r="V95" s="69" t="s">
        <v>1703</v>
      </c>
      <c r="W95" s="69" t="s">
        <v>145</v>
      </c>
      <c r="X95" s="66">
        <v>0</v>
      </c>
      <c r="Y95" s="69" t="s">
        <v>55</v>
      </c>
      <c r="Z95" s="67" t="s">
        <v>159</v>
      </c>
      <c r="AA95" s="69" t="s">
        <v>1278</v>
      </c>
      <c r="AB95" s="69">
        <v>1</v>
      </c>
      <c r="AC95" s="66">
        <v>0</v>
      </c>
      <c r="AD95" s="54">
        <f>IF(OR(W95="SOPORTE_TELEFÓNICO",W95="ENVÍO"),0,IF(Y95="TIPO I",'BASE DE LIQUIDACION 2025'!$I$4,IF(Y95="TIPO II",'BASE DE LIQUIDACION 2025'!$I$5,IF(Y95="TIPO III",'BASE DE LIQUIDACION 2025'!$I$6,IF(Y95="TIPO IV",'BASE DE LIQUIDACION 2025'!$I$7,'BASE DE LIQUIDACION 2025'!$I$8)))))</f>
        <v>96001.196280000004</v>
      </c>
      <c r="AE95" s="54">
        <f>IF(OR(W95="SOPORTE_TELEFÓNICO",W95="ENVÍO"),0,IF(Y95="TIPO I",'BASE DE LIQUIDACION 2025'!$J$4,IF(Y95="TIPO II",'BASE DE LIQUIDACION 2025'!$J$5,IF(Y95="TIPO III",'BASE DE LIQUIDACION 2025'!$J$6,IF(Y95="TIPO IV",'BASE DE LIQUIDACION 2025'!$J$7,'BASE DE LIQUIDACION 2025'!$J$8)))))</f>
        <v>57411.974240000003</v>
      </c>
      <c r="AF95" s="54">
        <f>IF(W95="SOPORTE_TELEFÓNICO",'BASE DE LIQUIDACION 2025'!$L$4,IF(W95="ENVÍO",'BASE DE LIQUIDACION 2025'!$K$4,AD95*AB95+AE95*AC95))</f>
        <v>96001.196280000004</v>
      </c>
    </row>
    <row r="96" spans="1:32" s="56" customFormat="1" ht="13.15" hidden="1">
      <c r="A96" s="69" t="s">
        <v>274</v>
      </c>
      <c r="B96" s="66" t="str">
        <f>VLOOKUP(A96,'CENTRO DE COSTOS'!A:D,4,FALSE)</f>
        <v>MIGUEL JULIÁN HERNÁNDEZ GUARÍN</v>
      </c>
      <c r="C96" s="66" t="str">
        <f>VLOOKUP(A96,'CENTRO DE COSTOS'!A:D,2,FALSE)</f>
        <v>0004-0008</v>
      </c>
      <c r="D96" s="69">
        <v>15464</v>
      </c>
      <c r="E96" s="69">
        <v>2668244</v>
      </c>
      <c r="F96" s="69">
        <v>21022</v>
      </c>
      <c r="G96" s="69" t="s">
        <v>1373</v>
      </c>
      <c r="H96" s="69" t="s">
        <v>276</v>
      </c>
      <c r="I96" s="69" t="s">
        <v>1704</v>
      </c>
      <c r="J96" s="69" t="s">
        <v>1705</v>
      </c>
      <c r="K96" s="69" t="s">
        <v>140</v>
      </c>
      <c r="L96" s="69" t="s">
        <v>1706</v>
      </c>
      <c r="M96" s="70">
        <v>45899.499305555553</v>
      </c>
      <c r="N96" s="70">
        <v>45901.713888888888</v>
      </c>
      <c r="O96" s="66"/>
      <c r="P96" s="69" t="s">
        <v>1376</v>
      </c>
      <c r="Q96" s="69" t="s">
        <v>1377</v>
      </c>
      <c r="R96" s="69" t="s">
        <v>1378</v>
      </c>
      <c r="S96" s="69" t="s">
        <v>1378</v>
      </c>
      <c r="T96" s="69" t="s">
        <v>1379</v>
      </c>
      <c r="U96" s="69" t="s">
        <v>1380</v>
      </c>
      <c r="V96" s="69" t="s">
        <v>1707</v>
      </c>
      <c r="W96" s="69" t="s">
        <v>145</v>
      </c>
      <c r="X96" s="66">
        <v>0</v>
      </c>
      <c r="Y96" s="69" t="s">
        <v>199</v>
      </c>
      <c r="Z96" s="67" t="s">
        <v>159</v>
      </c>
      <c r="AA96" s="69" t="s">
        <v>1580</v>
      </c>
      <c r="AB96" s="69">
        <v>1</v>
      </c>
      <c r="AC96" s="66">
        <v>0</v>
      </c>
      <c r="AD96" s="54">
        <f>IF(OR(W96="SOPORTE_TELEFÓNICO",W96="ENVÍO"),0,IF(Y96="TIPO I",'BASE DE LIQUIDACION 2025'!$I$4,IF(Y96="TIPO II",'BASE DE LIQUIDACION 2025'!$I$5,IF(Y96="TIPO III",'BASE DE LIQUIDACION 2025'!$I$6,IF(Y96="TIPO IV",'BASE DE LIQUIDACION 2025'!$I$7,'BASE DE LIQUIDACION 2025'!$I$8)))))</f>
        <v>232858.60096000001</v>
      </c>
      <c r="AE96" s="54">
        <f>IF(OR(W96="SOPORTE_TELEFÓNICO",W96="ENVÍO"),0,IF(Y96="TIPO I",'BASE DE LIQUIDACION 2025'!$J$4,IF(Y96="TIPO II",'BASE DE LIQUIDACION 2025'!$J$5,IF(Y96="TIPO III",'BASE DE LIQUIDACION 2025'!$J$6,IF(Y96="TIPO IV",'BASE DE LIQUIDACION 2025'!$J$7,'BASE DE LIQUIDACION 2025'!$J$8)))))</f>
        <v>110808.27512000001</v>
      </c>
      <c r="AF96" s="54">
        <f>IF(W96="SOPORTE_TELEFÓNICO",'BASE DE LIQUIDACION 2025'!$L$4,IF(W96="ENVÍO",'BASE DE LIQUIDACION 2025'!$K$4,AD96*AB96+AE96*AC96))</f>
        <v>232858.60096000001</v>
      </c>
    </row>
    <row r="97" spans="1:32" s="56" customFormat="1" ht="13.15" hidden="1">
      <c r="A97" s="69" t="s">
        <v>267</v>
      </c>
      <c r="B97" s="66" t="str">
        <f>VLOOKUP(A97,'CENTRO DE COSTOS'!A:D,4,FALSE)</f>
        <v>JUAN SEBASTIÁN RÍOS CASTRILLÓN</v>
      </c>
      <c r="C97" s="66" t="str">
        <f>VLOOKUP(A97,'CENTRO DE COSTOS'!A:D,2,FALSE)</f>
        <v>0004-0005</v>
      </c>
      <c r="D97" s="69">
        <v>5001</v>
      </c>
      <c r="E97" s="69">
        <v>2665215</v>
      </c>
      <c r="F97" s="69">
        <v>43446</v>
      </c>
      <c r="G97" s="69" t="s">
        <v>1373</v>
      </c>
      <c r="H97" s="69" t="s">
        <v>253</v>
      </c>
      <c r="I97" s="69" t="s">
        <v>267</v>
      </c>
      <c r="J97" s="69" t="s">
        <v>1708</v>
      </c>
      <c r="K97" s="69" t="s">
        <v>140</v>
      </c>
      <c r="L97" s="69" t="s">
        <v>1709</v>
      </c>
      <c r="M97" s="70">
        <v>45898.539583333331</v>
      </c>
      <c r="N97" s="70">
        <v>45901.629861111112</v>
      </c>
      <c r="O97" s="66"/>
      <c r="P97" s="69" t="s">
        <v>1376</v>
      </c>
      <c r="Q97" s="69" t="s">
        <v>1377</v>
      </c>
      <c r="R97" s="69" t="s">
        <v>239</v>
      </c>
      <c r="S97" s="69" t="s">
        <v>381</v>
      </c>
      <c r="T97" s="69" t="s">
        <v>1379</v>
      </c>
      <c r="U97" s="69" t="s">
        <v>1380</v>
      </c>
      <c r="V97" s="69" t="s">
        <v>1710</v>
      </c>
      <c r="W97" s="69" t="s">
        <v>145</v>
      </c>
      <c r="X97" s="66">
        <v>0</v>
      </c>
      <c r="Y97" s="69" t="s">
        <v>55</v>
      </c>
      <c r="Z97" s="67" t="s">
        <v>159</v>
      </c>
      <c r="AA97" s="69" t="s">
        <v>604</v>
      </c>
      <c r="AB97" s="69">
        <v>1</v>
      </c>
      <c r="AC97" s="66">
        <v>0</v>
      </c>
      <c r="AD97" s="54">
        <f>IF(OR(W97="SOPORTE_TELEFÓNICO",W97="ENVÍO"),0,IF(Y97="TIPO I",'BASE DE LIQUIDACION 2025'!$I$4,IF(Y97="TIPO II",'BASE DE LIQUIDACION 2025'!$I$5,IF(Y97="TIPO III",'BASE DE LIQUIDACION 2025'!$I$6,IF(Y97="TIPO IV",'BASE DE LIQUIDACION 2025'!$I$7,'BASE DE LIQUIDACION 2025'!$I$8)))))</f>
        <v>96001.196280000004</v>
      </c>
      <c r="AE97" s="54">
        <f>IF(OR(W97="SOPORTE_TELEFÓNICO",W97="ENVÍO"),0,IF(Y97="TIPO I",'BASE DE LIQUIDACION 2025'!$J$4,IF(Y97="TIPO II",'BASE DE LIQUIDACION 2025'!$J$5,IF(Y97="TIPO III",'BASE DE LIQUIDACION 2025'!$J$6,IF(Y97="TIPO IV",'BASE DE LIQUIDACION 2025'!$J$7,'BASE DE LIQUIDACION 2025'!$J$8)))))</f>
        <v>57411.974240000003</v>
      </c>
      <c r="AF97" s="54">
        <f>IF(W97="SOPORTE_TELEFÓNICO",'BASE DE LIQUIDACION 2025'!$L$4,IF(W97="ENVÍO",'BASE DE LIQUIDACION 2025'!$K$4,AD97*AB97+AE97*AC97))</f>
        <v>96001.196280000004</v>
      </c>
    </row>
    <row r="98" spans="1:32" s="56" customFormat="1" ht="13.15" hidden="1">
      <c r="A98" s="69" t="s">
        <v>267</v>
      </c>
      <c r="B98" s="66" t="str">
        <f>VLOOKUP(A98,'CENTRO DE COSTOS'!A:D,4,FALSE)</f>
        <v>JUAN SEBASTIÁN RÍOS CASTRILLÓN</v>
      </c>
      <c r="C98" s="66" t="str">
        <f>VLOOKUP(A98,'CENTRO DE COSTOS'!A:D,2,FALSE)</f>
        <v>0004-0005</v>
      </c>
      <c r="D98" s="69">
        <v>5001</v>
      </c>
      <c r="E98" s="69">
        <v>2665166</v>
      </c>
      <c r="F98" s="69">
        <v>35717</v>
      </c>
      <c r="G98" s="69" t="s">
        <v>1373</v>
      </c>
      <c r="H98" s="69" t="s">
        <v>253</v>
      </c>
      <c r="I98" s="69" t="s">
        <v>267</v>
      </c>
      <c r="J98" s="69" t="s">
        <v>1711</v>
      </c>
      <c r="K98" s="69" t="s">
        <v>140</v>
      </c>
      <c r="L98" s="69" t="s">
        <v>1712</v>
      </c>
      <c r="M98" s="70">
        <v>45898.55</v>
      </c>
      <c r="N98" s="70">
        <v>45901.618055555547</v>
      </c>
      <c r="O98" s="66"/>
      <c r="P98" s="69" t="s">
        <v>1376</v>
      </c>
      <c r="Q98" s="69" t="s">
        <v>1377</v>
      </c>
      <c r="R98" s="69" t="s">
        <v>1378</v>
      </c>
      <c r="S98" s="69" t="s">
        <v>1378</v>
      </c>
      <c r="T98" s="69" t="s">
        <v>1379</v>
      </c>
      <c r="U98" s="69" t="s">
        <v>1380</v>
      </c>
      <c r="V98" s="69" t="s">
        <v>1710</v>
      </c>
      <c r="W98" s="69" t="s">
        <v>145</v>
      </c>
      <c r="X98" s="66">
        <v>0</v>
      </c>
      <c r="Y98" s="69" t="s">
        <v>55</v>
      </c>
      <c r="Z98" s="67" t="s">
        <v>159</v>
      </c>
      <c r="AA98" s="69" t="s">
        <v>604</v>
      </c>
      <c r="AB98" s="69">
        <v>1</v>
      </c>
      <c r="AC98" s="66">
        <v>0</v>
      </c>
      <c r="AD98" s="54">
        <f>IF(OR(W98="SOPORTE_TELEFÓNICO",W98="ENVÍO"),0,IF(Y98="TIPO I",'BASE DE LIQUIDACION 2025'!$I$4,IF(Y98="TIPO II",'BASE DE LIQUIDACION 2025'!$I$5,IF(Y98="TIPO III",'BASE DE LIQUIDACION 2025'!$I$6,IF(Y98="TIPO IV",'BASE DE LIQUIDACION 2025'!$I$7,'BASE DE LIQUIDACION 2025'!$I$8)))))</f>
        <v>96001.196280000004</v>
      </c>
      <c r="AE98" s="54">
        <f>IF(OR(W98="SOPORTE_TELEFÓNICO",W98="ENVÍO"),0,IF(Y98="TIPO I",'BASE DE LIQUIDACION 2025'!$J$4,IF(Y98="TIPO II",'BASE DE LIQUIDACION 2025'!$J$5,IF(Y98="TIPO III",'BASE DE LIQUIDACION 2025'!$J$6,IF(Y98="TIPO IV",'BASE DE LIQUIDACION 2025'!$J$7,'BASE DE LIQUIDACION 2025'!$J$8)))))</f>
        <v>57411.974240000003</v>
      </c>
      <c r="AF98" s="54">
        <f>IF(W98="SOPORTE_TELEFÓNICO",'BASE DE LIQUIDACION 2025'!$L$4,IF(W98="ENVÍO",'BASE DE LIQUIDACION 2025'!$K$4,AD98*AB98+AE98*AC98))</f>
        <v>96001.196280000004</v>
      </c>
    </row>
    <row r="99" spans="1:32" s="56" customFormat="1" ht="13.15" hidden="1">
      <c r="A99" s="69" t="s">
        <v>267</v>
      </c>
      <c r="B99" s="66" t="str">
        <f>VLOOKUP(A99,'CENTRO DE COSTOS'!A:D,4,FALSE)</f>
        <v>JUAN SEBASTIÁN RÍOS CASTRILLÓN</v>
      </c>
      <c r="C99" s="66" t="str">
        <f>VLOOKUP(A99,'CENTRO DE COSTOS'!A:D,2,FALSE)</f>
        <v>0004-0005</v>
      </c>
      <c r="D99" s="69">
        <v>5001</v>
      </c>
      <c r="E99" s="69">
        <v>2665624</v>
      </c>
      <c r="F99" s="69">
        <v>35262</v>
      </c>
      <c r="G99" s="69" t="s">
        <v>1373</v>
      </c>
      <c r="H99" s="69" t="s">
        <v>253</v>
      </c>
      <c r="I99" s="69" t="s">
        <v>267</v>
      </c>
      <c r="J99" s="69" t="s">
        <v>1713</v>
      </c>
      <c r="K99" s="69" t="s">
        <v>140</v>
      </c>
      <c r="L99" s="69" t="s">
        <v>1714</v>
      </c>
      <c r="M99" s="70">
        <v>45898.598611111112</v>
      </c>
      <c r="N99" s="70">
        <v>45901.60833333333</v>
      </c>
      <c r="O99" s="66"/>
      <c r="P99" s="69" t="s">
        <v>1376</v>
      </c>
      <c r="Q99" s="69" t="s">
        <v>1377</v>
      </c>
      <c r="R99" s="69" t="s">
        <v>239</v>
      </c>
      <c r="S99" s="69" t="s">
        <v>381</v>
      </c>
      <c r="T99" s="69" t="s">
        <v>1379</v>
      </c>
      <c r="U99" s="69" t="s">
        <v>1380</v>
      </c>
      <c r="V99" s="69" t="s">
        <v>1715</v>
      </c>
      <c r="W99" s="69" t="s">
        <v>145</v>
      </c>
      <c r="X99" s="66">
        <v>0</v>
      </c>
      <c r="Y99" s="69" t="s">
        <v>55</v>
      </c>
      <c r="Z99" s="67" t="s">
        <v>159</v>
      </c>
      <c r="AA99" s="69" t="s">
        <v>1028</v>
      </c>
      <c r="AB99" s="69">
        <v>1</v>
      </c>
      <c r="AC99" s="66">
        <v>0</v>
      </c>
      <c r="AD99" s="54">
        <f>IF(OR(W99="SOPORTE_TELEFÓNICO",W99="ENVÍO"),0,IF(Y99="TIPO I",'BASE DE LIQUIDACION 2025'!$I$4,IF(Y99="TIPO II",'BASE DE LIQUIDACION 2025'!$I$5,IF(Y99="TIPO III",'BASE DE LIQUIDACION 2025'!$I$6,IF(Y99="TIPO IV",'BASE DE LIQUIDACION 2025'!$I$7,'BASE DE LIQUIDACION 2025'!$I$8)))))</f>
        <v>96001.196280000004</v>
      </c>
      <c r="AE99" s="54">
        <f>IF(OR(W99="SOPORTE_TELEFÓNICO",W99="ENVÍO"),0,IF(Y99="TIPO I",'BASE DE LIQUIDACION 2025'!$J$4,IF(Y99="TIPO II",'BASE DE LIQUIDACION 2025'!$J$5,IF(Y99="TIPO III",'BASE DE LIQUIDACION 2025'!$J$6,IF(Y99="TIPO IV",'BASE DE LIQUIDACION 2025'!$J$7,'BASE DE LIQUIDACION 2025'!$J$8)))))</f>
        <v>57411.974240000003</v>
      </c>
      <c r="AF99" s="54">
        <f>IF(W99="SOPORTE_TELEFÓNICO",'BASE DE LIQUIDACION 2025'!$L$4,IF(W99="ENVÍO",'BASE DE LIQUIDACION 2025'!$K$4,AD99*AB99+AE99*AC99))</f>
        <v>96001.196280000004</v>
      </c>
    </row>
    <row r="100" spans="1:32" s="56" customFormat="1" ht="13.15" hidden="1">
      <c r="A100" s="69" t="s">
        <v>168</v>
      </c>
      <c r="B100" s="66" t="str">
        <f>VLOOKUP(A100,'CENTRO DE COSTOS'!A:D,4,FALSE)</f>
        <v>DIEGO FERNANDO HENAO CARDONA</v>
      </c>
      <c r="C100" s="66" t="str">
        <f>VLOOKUP(A100,'CENTRO DE COSTOS'!A:D,2,FALSE)</f>
        <v>0004-0002</v>
      </c>
      <c r="D100" s="69">
        <v>63001</v>
      </c>
      <c r="E100" s="69">
        <v>2666668</v>
      </c>
      <c r="F100" s="69">
        <v>46942</v>
      </c>
      <c r="G100" s="69" t="s">
        <v>1373</v>
      </c>
      <c r="H100" s="69" t="s">
        <v>761</v>
      </c>
      <c r="I100" s="69" t="s">
        <v>762</v>
      </c>
      <c r="J100" s="69" t="s">
        <v>1716</v>
      </c>
      <c r="K100" s="69" t="s">
        <v>140</v>
      </c>
      <c r="L100" s="69" t="s">
        <v>1717</v>
      </c>
      <c r="M100" s="70">
        <v>45898.672222222223</v>
      </c>
      <c r="N100" s="70">
        <v>45905.555555555547</v>
      </c>
      <c r="O100" s="66"/>
      <c r="P100" s="69" t="s">
        <v>1376</v>
      </c>
      <c r="Q100" s="69" t="s">
        <v>1377</v>
      </c>
      <c r="R100" s="69" t="s">
        <v>1378</v>
      </c>
      <c r="S100" s="69" t="s">
        <v>1378</v>
      </c>
      <c r="T100" s="69" t="s">
        <v>1379</v>
      </c>
      <c r="U100" s="69" t="s">
        <v>1380</v>
      </c>
      <c r="V100" s="69" t="s">
        <v>1718</v>
      </c>
      <c r="W100" s="69" t="s">
        <v>145</v>
      </c>
      <c r="X100" s="66">
        <v>0</v>
      </c>
      <c r="Y100" s="69" t="s">
        <v>199</v>
      </c>
      <c r="Z100" s="67" t="s">
        <v>159</v>
      </c>
      <c r="AA100" s="69" t="s">
        <v>175</v>
      </c>
      <c r="AB100" s="69">
        <v>1</v>
      </c>
      <c r="AC100" s="66">
        <v>0</v>
      </c>
      <c r="AD100" s="54">
        <f>IF(OR(W100="SOPORTE_TELEFÓNICO",W100="ENVÍO"),0,IF(Y100="TIPO I",'BASE DE LIQUIDACION 2025'!$I$4,IF(Y100="TIPO II",'BASE DE LIQUIDACION 2025'!$I$5,IF(Y100="TIPO III",'BASE DE LIQUIDACION 2025'!$I$6,IF(Y100="TIPO IV",'BASE DE LIQUIDACION 2025'!$I$7,'BASE DE LIQUIDACION 2025'!$I$8)))))</f>
        <v>232858.60096000001</v>
      </c>
      <c r="AE100" s="54">
        <f>IF(OR(W100="SOPORTE_TELEFÓNICO",W100="ENVÍO"),0,IF(Y100="TIPO I",'BASE DE LIQUIDACION 2025'!$J$4,IF(Y100="TIPO II",'BASE DE LIQUIDACION 2025'!$J$5,IF(Y100="TIPO III",'BASE DE LIQUIDACION 2025'!$J$6,IF(Y100="TIPO IV",'BASE DE LIQUIDACION 2025'!$J$7,'BASE DE LIQUIDACION 2025'!$J$8)))))</f>
        <v>110808.27512000001</v>
      </c>
      <c r="AF100" s="54">
        <f>IF(W100="SOPORTE_TELEFÓNICO",'BASE DE LIQUIDACION 2025'!$L$4,IF(W100="ENVÍO",'BASE DE LIQUIDACION 2025'!$K$4,AD100*AB100+AE100*AC100))</f>
        <v>232858.60096000001</v>
      </c>
    </row>
    <row r="101" spans="1:32" s="56" customFormat="1" ht="13.15" hidden="1">
      <c r="A101" s="69" t="s">
        <v>267</v>
      </c>
      <c r="B101" s="66" t="str">
        <f>VLOOKUP(A101,'CENTRO DE COSTOS'!A:D,4,FALSE)</f>
        <v>JUAN SEBASTIÁN RÍOS CASTRILLÓN</v>
      </c>
      <c r="C101" s="66" t="str">
        <f>VLOOKUP(A101,'CENTRO DE COSTOS'!A:D,2,FALSE)</f>
        <v>0004-0005</v>
      </c>
      <c r="D101" s="69">
        <v>5001</v>
      </c>
      <c r="E101" s="69">
        <v>2667555</v>
      </c>
      <c r="F101" s="69">
        <v>24256</v>
      </c>
      <c r="G101" s="69" t="s">
        <v>1373</v>
      </c>
      <c r="H101" s="69" t="s">
        <v>253</v>
      </c>
      <c r="I101" s="69" t="s">
        <v>267</v>
      </c>
      <c r="J101" s="69" t="s">
        <v>1719</v>
      </c>
      <c r="K101" s="69" t="s">
        <v>140</v>
      </c>
      <c r="L101" s="69" t="s">
        <v>1720</v>
      </c>
      <c r="M101" s="70">
        <v>45899.375</v>
      </c>
      <c r="N101" s="70">
        <v>45901.606944444437</v>
      </c>
      <c r="O101" s="66"/>
      <c r="P101" s="69" t="s">
        <v>1376</v>
      </c>
      <c r="Q101" s="69" t="s">
        <v>1377</v>
      </c>
      <c r="R101" s="69" t="s">
        <v>239</v>
      </c>
      <c r="S101" s="69" t="s">
        <v>381</v>
      </c>
      <c r="T101" s="69" t="s">
        <v>1379</v>
      </c>
      <c r="U101" s="69" t="s">
        <v>1380</v>
      </c>
      <c r="V101" s="69" t="s">
        <v>1721</v>
      </c>
      <c r="W101" s="69" t="s">
        <v>145</v>
      </c>
      <c r="X101" s="66">
        <v>0</v>
      </c>
      <c r="Y101" s="69" t="s">
        <v>55</v>
      </c>
      <c r="Z101" s="67" t="s">
        <v>159</v>
      </c>
      <c r="AA101" s="69" t="s">
        <v>1028</v>
      </c>
      <c r="AB101" s="69">
        <v>1</v>
      </c>
      <c r="AC101" s="66">
        <v>0</v>
      </c>
      <c r="AD101" s="54">
        <f>IF(OR(W101="SOPORTE_TELEFÓNICO",W101="ENVÍO"),0,IF(Y101="TIPO I",'BASE DE LIQUIDACION 2025'!$I$4,IF(Y101="TIPO II",'BASE DE LIQUIDACION 2025'!$I$5,IF(Y101="TIPO III",'BASE DE LIQUIDACION 2025'!$I$6,IF(Y101="TIPO IV",'BASE DE LIQUIDACION 2025'!$I$7,'BASE DE LIQUIDACION 2025'!$I$8)))))</f>
        <v>96001.196280000004</v>
      </c>
      <c r="AE101" s="54">
        <f>IF(OR(W101="SOPORTE_TELEFÓNICO",W101="ENVÍO"),0,IF(Y101="TIPO I",'BASE DE LIQUIDACION 2025'!$J$4,IF(Y101="TIPO II",'BASE DE LIQUIDACION 2025'!$J$5,IF(Y101="TIPO III",'BASE DE LIQUIDACION 2025'!$J$6,IF(Y101="TIPO IV",'BASE DE LIQUIDACION 2025'!$J$7,'BASE DE LIQUIDACION 2025'!$J$8)))))</f>
        <v>57411.974240000003</v>
      </c>
      <c r="AF101" s="54">
        <f>IF(W101="SOPORTE_TELEFÓNICO",'BASE DE LIQUIDACION 2025'!$L$4,IF(W101="ENVÍO",'BASE DE LIQUIDACION 2025'!$K$4,AD101*AB101+AE101*AC101))</f>
        <v>96001.196280000004</v>
      </c>
    </row>
    <row r="102" spans="1:32" s="56" customFormat="1" ht="13.15" hidden="1">
      <c r="A102" s="69" t="s">
        <v>518</v>
      </c>
      <c r="B102" s="66" t="str">
        <f>VLOOKUP(A102,'CENTRO DE COSTOS'!A:D,4,FALSE)</f>
        <v>KEVIN ALEXIS CORZO BUSTOS</v>
      </c>
      <c r="C102" s="66" t="str">
        <f>VLOOKUP(A102,'CENTRO DE COSTOS'!A:D,2,FALSE)</f>
        <v>0004-0007</v>
      </c>
      <c r="D102" s="69">
        <v>73001</v>
      </c>
      <c r="E102" s="69">
        <v>2661323</v>
      </c>
      <c r="F102" s="69">
        <v>69727</v>
      </c>
      <c r="G102" s="69" t="s">
        <v>1373</v>
      </c>
      <c r="H102" s="69" t="s">
        <v>520</v>
      </c>
      <c r="I102" s="69" t="s">
        <v>518</v>
      </c>
      <c r="J102" s="69" t="s">
        <v>1722</v>
      </c>
      <c r="K102" s="69" t="s">
        <v>140</v>
      </c>
      <c r="L102" s="69" t="s">
        <v>1723</v>
      </c>
      <c r="M102" s="70">
        <v>45898.333333333343</v>
      </c>
      <c r="N102" s="70">
        <v>45902.51666666667</v>
      </c>
      <c r="O102" s="66"/>
      <c r="P102" s="69" t="s">
        <v>1376</v>
      </c>
      <c r="Q102" s="69" t="s">
        <v>1377</v>
      </c>
      <c r="R102" s="69" t="s">
        <v>239</v>
      </c>
      <c r="S102" s="69" t="s">
        <v>381</v>
      </c>
      <c r="T102" s="69" t="s">
        <v>1379</v>
      </c>
      <c r="U102" s="69" t="s">
        <v>1380</v>
      </c>
      <c r="V102" s="69" t="s">
        <v>1724</v>
      </c>
      <c r="W102" s="69" t="s">
        <v>145</v>
      </c>
      <c r="X102" s="66">
        <v>0</v>
      </c>
      <c r="Y102" s="69" t="s">
        <v>55</v>
      </c>
      <c r="Z102" s="67" t="s">
        <v>159</v>
      </c>
      <c r="AA102" s="69" t="s">
        <v>524</v>
      </c>
      <c r="AB102" s="69">
        <v>1</v>
      </c>
      <c r="AC102" s="66">
        <v>0</v>
      </c>
      <c r="AD102" s="54">
        <f>IF(OR(W102="SOPORTE_TELEFÓNICO",W102="ENVÍO"),0,IF(Y102="TIPO I",'BASE DE LIQUIDACION 2025'!$I$4,IF(Y102="TIPO II",'BASE DE LIQUIDACION 2025'!$I$5,IF(Y102="TIPO III",'BASE DE LIQUIDACION 2025'!$I$6,IF(Y102="TIPO IV",'BASE DE LIQUIDACION 2025'!$I$7,'BASE DE LIQUIDACION 2025'!$I$8)))))</f>
        <v>96001.196280000004</v>
      </c>
      <c r="AE102" s="54">
        <f>IF(OR(W102="SOPORTE_TELEFÓNICO",W102="ENVÍO"),0,IF(Y102="TIPO I",'BASE DE LIQUIDACION 2025'!$J$4,IF(Y102="TIPO II",'BASE DE LIQUIDACION 2025'!$J$5,IF(Y102="TIPO III",'BASE DE LIQUIDACION 2025'!$J$6,IF(Y102="TIPO IV",'BASE DE LIQUIDACION 2025'!$J$7,'BASE DE LIQUIDACION 2025'!$J$8)))))</f>
        <v>57411.974240000003</v>
      </c>
      <c r="AF102" s="54">
        <f>IF(W102="SOPORTE_TELEFÓNICO",'BASE DE LIQUIDACION 2025'!$L$4,IF(W102="ENVÍO",'BASE DE LIQUIDACION 2025'!$K$4,AD102*AB102+AE102*AC102))</f>
        <v>96001.196280000004</v>
      </c>
    </row>
    <row r="103" spans="1:32" s="56" customFormat="1" ht="13.15" hidden="1">
      <c r="A103" s="69" t="s">
        <v>201</v>
      </c>
      <c r="B103" s="66" t="str">
        <f>VLOOKUP(A103,'CENTRO DE COSTOS'!A:D,4,FALSE)</f>
        <v>KEVIN ALEXIS CORZO BUSTOS</v>
      </c>
      <c r="C103" s="66" t="str">
        <f>VLOOKUP(A103,'CENTRO DE COSTOS'!A:D,2,FALSE)</f>
        <v>0004-0007</v>
      </c>
      <c r="D103" s="69">
        <v>41001</v>
      </c>
      <c r="E103" s="69">
        <v>2661429</v>
      </c>
      <c r="F103" s="69">
        <v>35988</v>
      </c>
      <c r="G103" s="69" t="s">
        <v>1373</v>
      </c>
      <c r="H103" s="69" t="s">
        <v>447</v>
      </c>
      <c r="I103" s="69" t="s">
        <v>201</v>
      </c>
      <c r="J103" s="69" t="s">
        <v>1725</v>
      </c>
      <c r="K103" s="69" t="s">
        <v>140</v>
      </c>
      <c r="L103" s="69" t="s">
        <v>1726</v>
      </c>
      <c r="M103" s="70">
        <v>45898.333333333343</v>
      </c>
      <c r="N103" s="70">
        <v>45902.711111111108</v>
      </c>
      <c r="O103" s="66"/>
      <c r="P103" s="69" t="s">
        <v>1376</v>
      </c>
      <c r="Q103" s="69" t="s">
        <v>1377</v>
      </c>
      <c r="R103" s="69" t="s">
        <v>1378</v>
      </c>
      <c r="S103" s="69" t="s">
        <v>1378</v>
      </c>
      <c r="T103" s="69" t="s">
        <v>1379</v>
      </c>
      <c r="U103" s="69" t="s">
        <v>1380</v>
      </c>
      <c r="V103" s="69" t="s">
        <v>1727</v>
      </c>
      <c r="W103" s="69" t="s">
        <v>145</v>
      </c>
      <c r="X103" s="66">
        <v>0</v>
      </c>
      <c r="Y103" s="69" t="s">
        <v>55</v>
      </c>
      <c r="Z103" s="67" t="s">
        <v>159</v>
      </c>
      <c r="AA103" s="69" t="s">
        <v>1531</v>
      </c>
      <c r="AB103" s="69">
        <v>1</v>
      </c>
      <c r="AC103" s="66">
        <v>0</v>
      </c>
      <c r="AD103" s="54">
        <f>IF(OR(W103="SOPORTE_TELEFÓNICO",W103="ENVÍO"),0,IF(Y103="TIPO I",'BASE DE LIQUIDACION 2025'!$I$4,IF(Y103="TIPO II",'BASE DE LIQUIDACION 2025'!$I$5,IF(Y103="TIPO III",'BASE DE LIQUIDACION 2025'!$I$6,IF(Y103="TIPO IV",'BASE DE LIQUIDACION 2025'!$I$7,'BASE DE LIQUIDACION 2025'!$I$8)))))</f>
        <v>96001.196280000004</v>
      </c>
      <c r="AE103" s="54">
        <f>IF(OR(W103="SOPORTE_TELEFÓNICO",W103="ENVÍO"),0,IF(Y103="TIPO I",'BASE DE LIQUIDACION 2025'!$J$4,IF(Y103="TIPO II",'BASE DE LIQUIDACION 2025'!$J$5,IF(Y103="TIPO III",'BASE DE LIQUIDACION 2025'!$J$6,IF(Y103="TIPO IV",'BASE DE LIQUIDACION 2025'!$J$7,'BASE DE LIQUIDACION 2025'!$J$8)))))</f>
        <v>57411.974240000003</v>
      </c>
      <c r="AF103" s="54">
        <f>IF(W103="SOPORTE_TELEFÓNICO",'BASE DE LIQUIDACION 2025'!$L$4,IF(W103="ENVÍO",'BASE DE LIQUIDACION 2025'!$K$4,AD103*AB103+AE103*AC103))</f>
        <v>96001.196280000004</v>
      </c>
    </row>
    <row r="104" spans="1:32" s="56" customFormat="1" ht="13.15" hidden="1">
      <c r="A104" s="69" t="s">
        <v>201</v>
      </c>
      <c r="B104" s="66" t="str">
        <f>VLOOKUP(A104,'CENTRO DE COSTOS'!A:D,4,FALSE)</f>
        <v>KEVIN ALEXIS CORZO BUSTOS</v>
      </c>
      <c r="C104" s="66" t="str">
        <f>VLOOKUP(A104,'CENTRO DE COSTOS'!A:D,2,FALSE)</f>
        <v>0004-0007</v>
      </c>
      <c r="D104" s="69">
        <v>41001</v>
      </c>
      <c r="E104" s="69">
        <v>2660957</v>
      </c>
      <c r="F104" s="69">
        <v>75075</v>
      </c>
      <c r="G104" s="69" t="s">
        <v>1373</v>
      </c>
      <c r="H104" s="69" t="s">
        <v>447</v>
      </c>
      <c r="I104" s="69" t="s">
        <v>201</v>
      </c>
      <c r="J104" s="69" t="s">
        <v>1728</v>
      </c>
      <c r="K104" s="69" t="s">
        <v>140</v>
      </c>
      <c r="L104" s="69" t="s">
        <v>1729</v>
      </c>
      <c r="M104" s="70">
        <v>45897.690972222219</v>
      </c>
      <c r="N104" s="70">
        <v>45902.520138888889</v>
      </c>
      <c r="O104" s="66"/>
      <c r="P104" s="69" t="s">
        <v>1376</v>
      </c>
      <c r="Q104" s="69" t="s">
        <v>1377</v>
      </c>
      <c r="R104" s="69" t="s">
        <v>142</v>
      </c>
      <c r="S104" s="69" t="s">
        <v>142</v>
      </c>
      <c r="T104" s="69" t="s">
        <v>1379</v>
      </c>
      <c r="U104" s="69" t="s">
        <v>1380</v>
      </c>
      <c r="V104" s="69" t="s">
        <v>1730</v>
      </c>
      <c r="W104" s="69" t="s">
        <v>145</v>
      </c>
      <c r="X104" s="66">
        <v>0</v>
      </c>
      <c r="Y104" s="69" t="s">
        <v>55</v>
      </c>
      <c r="Z104" s="67" t="s">
        <v>159</v>
      </c>
      <c r="AA104" s="69" t="s">
        <v>453</v>
      </c>
      <c r="AB104" s="69">
        <v>1</v>
      </c>
      <c r="AC104" s="66">
        <v>0</v>
      </c>
      <c r="AD104" s="54">
        <f>IF(OR(W104="SOPORTE_TELEFÓNICO",W104="ENVÍO"),0,IF(Y104="TIPO I",'BASE DE LIQUIDACION 2025'!$I$4,IF(Y104="TIPO II",'BASE DE LIQUIDACION 2025'!$I$5,IF(Y104="TIPO III",'BASE DE LIQUIDACION 2025'!$I$6,IF(Y104="TIPO IV",'BASE DE LIQUIDACION 2025'!$I$7,'BASE DE LIQUIDACION 2025'!$I$8)))))</f>
        <v>96001.196280000004</v>
      </c>
      <c r="AE104" s="54">
        <f>IF(OR(W104="SOPORTE_TELEFÓNICO",W104="ENVÍO"),0,IF(Y104="TIPO I",'BASE DE LIQUIDACION 2025'!$J$4,IF(Y104="TIPO II",'BASE DE LIQUIDACION 2025'!$J$5,IF(Y104="TIPO III",'BASE DE LIQUIDACION 2025'!$J$6,IF(Y104="TIPO IV",'BASE DE LIQUIDACION 2025'!$J$7,'BASE DE LIQUIDACION 2025'!$J$8)))))</f>
        <v>57411.974240000003</v>
      </c>
      <c r="AF104" s="54">
        <f>IF(W104="SOPORTE_TELEFÓNICO",'BASE DE LIQUIDACION 2025'!$L$4,IF(W104="ENVÍO",'BASE DE LIQUIDACION 2025'!$K$4,AD104*AB104+AE104*AC104))</f>
        <v>96001.196280000004</v>
      </c>
    </row>
    <row r="105" spans="1:32" s="56" customFormat="1" ht="13.15" hidden="1">
      <c r="A105" s="69" t="s">
        <v>432</v>
      </c>
      <c r="B105" s="66" t="str">
        <f>VLOOKUP(A105,'CENTRO DE COSTOS'!A:D,4,FALSE)</f>
        <v>WILLIAM ASDRUBAL ROZO ROZO</v>
      </c>
      <c r="C105" s="66" t="str">
        <f>VLOOKUP(A105,'CENTRO DE COSTOS'!A:D,2,FALSE)</f>
        <v>0004-0004</v>
      </c>
      <c r="D105" s="69">
        <v>11001</v>
      </c>
      <c r="E105" s="69">
        <v>2659831</v>
      </c>
      <c r="F105" s="69">
        <v>80119</v>
      </c>
      <c r="G105" s="69" t="s">
        <v>1373</v>
      </c>
      <c r="H105" s="69" t="s">
        <v>434</v>
      </c>
      <c r="I105" s="69" t="s">
        <v>432</v>
      </c>
      <c r="J105" s="69" t="s">
        <v>1731</v>
      </c>
      <c r="K105" s="69" t="s">
        <v>140</v>
      </c>
      <c r="L105" s="69" t="s">
        <v>1732</v>
      </c>
      <c r="M105" s="70">
        <v>45897.61041666667</v>
      </c>
      <c r="N105" s="70">
        <v>45901.643055555563</v>
      </c>
      <c r="O105" s="66"/>
      <c r="P105" s="69" t="s">
        <v>1376</v>
      </c>
      <c r="Q105" s="69" t="s">
        <v>1377</v>
      </c>
      <c r="R105" s="69" t="s">
        <v>142</v>
      </c>
      <c r="S105" s="69" t="s">
        <v>142</v>
      </c>
      <c r="T105" s="69" t="s">
        <v>1379</v>
      </c>
      <c r="U105" s="69" t="s">
        <v>1380</v>
      </c>
      <c r="V105" s="69" t="s">
        <v>1733</v>
      </c>
      <c r="W105" s="69" t="s">
        <v>145</v>
      </c>
      <c r="X105" s="66">
        <v>0</v>
      </c>
      <c r="Y105" s="69" t="s">
        <v>55</v>
      </c>
      <c r="Z105" s="67" t="s">
        <v>159</v>
      </c>
      <c r="AA105" s="69" t="s">
        <v>572</v>
      </c>
      <c r="AB105" s="69">
        <v>2</v>
      </c>
      <c r="AC105" s="66">
        <v>3</v>
      </c>
      <c r="AD105" s="54">
        <f>IF(OR(W105="SOPORTE_TELEFÓNICO",W105="ENVÍO"),0,IF(Y105="TIPO I",'BASE DE LIQUIDACION 2025'!$I$4,IF(Y105="TIPO II",'BASE DE LIQUIDACION 2025'!$I$5,IF(Y105="TIPO III",'BASE DE LIQUIDACION 2025'!$I$6,IF(Y105="TIPO IV",'BASE DE LIQUIDACION 2025'!$I$7,'BASE DE LIQUIDACION 2025'!$I$8)))))</f>
        <v>96001.196280000004</v>
      </c>
      <c r="AE105" s="54">
        <f>IF(OR(W105="SOPORTE_TELEFÓNICO",W105="ENVÍO"),0,IF(Y105="TIPO I",'BASE DE LIQUIDACION 2025'!$J$4,IF(Y105="TIPO II",'BASE DE LIQUIDACION 2025'!$J$5,IF(Y105="TIPO III",'BASE DE LIQUIDACION 2025'!$J$6,IF(Y105="TIPO IV",'BASE DE LIQUIDACION 2025'!$J$7,'BASE DE LIQUIDACION 2025'!$J$8)))))</f>
        <v>57411.974240000003</v>
      </c>
      <c r="AF105" s="54">
        <f>IF(W105="SOPORTE_TELEFÓNICO",'BASE DE LIQUIDACION 2025'!$L$4,IF(W105="ENVÍO",'BASE DE LIQUIDACION 2025'!$K$4,AD105*AB105+AE105*AC105))</f>
        <v>364238.31527999998</v>
      </c>
    </row>
    <row r="106" spans="1:32" s="56" customFormat="1" ht="13.15" hidden="1">
      <c r="A106" s="69" t="s">
        <v>133</v>
      </c>
      <c r="B106" s="66" t="str">
        <f>VLOOKUP(A106,'CENTRO DE COSTOS'!A:D,4,FALSE)</f>
        <v>DIEGO FERNANDO HENAO CARDONA</v>
      </c>
      <c r="C106" s="66" t="str">
        <f>VLOOKUP(A106,'CENTRO DE COSTOS'!A:D,2,FALSE)</f>
        <v>0004-0003</v>
      </c>
      <c r="D106" s="69">
        <v>86001</v>
      </c>
      <c r="E106" s="69">
        <v>2658874</v>
      </c>
      <c r="F106" s="69">
        <v>79192</v>
      </c>
      <c r="G106" s="69" t="s">
        <v>1373</v>
      </c>
      <c r="H106" s="69" t="s">
        <v>245</v>
      </c>
      <c r="I106" s="69" t="s">
        <v>1280</v>
      </c>
      <c r="J106" s="69" t="s">
        <v>1734</v>
      </c>
      <c r="K106" s="69" t="s">
        <v>140</v>
      </c>
      <c r="L106" s="69" t="s">
        <v>1735</v>
      </c>
      <c r="M106" s="70">
        <v>45897.515972222223</v>
      </c>
      <c r="N106" s="70">
        <v>45902.524305555547</v>
      </c>
      <c r="O106" s="66"/>
      <c r="P106" s="69" t="s">
        <v>1376</v>
      </c>
      <c r="Q106" s="69" t="s">
        <v>1377</v>
      </c>
      <c r="R106" s="69" t="s">
        <v>1378</v>
      </c>
      <c r="S106" s="69" t="s">
        <v>1378</v>
      </c>
      <c r="T106" s="69" t="s">
        <v>1379</v>
      </c>
      <c r="U106" s="69" t="s">
        <v>1380</v>
      </c>
      <c r="V106" s="69" t="s">
        <v>1736</v>
      </c>
      <c r="W106" s="69" t="s">
        <v>145</v>
      </c>
      <c r="X106" s="66">
        <v>0</v>
      </c>
      <c r="Y106" s="69" t="s">
        <v>167</v>
      </c>
      <c r="Z106" s="67" t="s">
        <v>159</v>
      </c>
      <c r="AA106" s="69" t="s">
        <v>251</v>
      </c>
      <c r="AB106" s="69">
        <v>1</v>
      </c>
      <c r="AC106" s="66">
        <v>0</v>
      </c>
      <c r="AD106" s="54">
        <f>IF(OR(W106="SOPORTE_TELEFÓNICO",W106="ENVÍO"),0,IF(Y106="TIPO I",'BASE DE LIQUIDACION 2025'!$I$4,IF(Y106="TIPO II",'BASE DE LIQUIDACION 2025'!$I$5,IF(Y106="TIPO III",'BASE DE LIQUIDACION 2025'!$I$6,IF(Y106="TIPO IV",'BASE DE LIQUIDACION 2025'!$I$7,'BASE DE LIQUIDACION 2025'!$I$8)))))</f>
        <v>548633.63271999999</v>
      </c>
      <c r="AE106" s="54">
        <f>IF(OR(W106="SOPORTE_TELEFÓNICO",W106="ENVÍO"),0,IF(Y106="TIPO I",'BASE DE LIQUIDACION 2025'!$J$4,IF(Y106="TIPO II",'BASE DE LIQUIDACION 2025'!$J$5,IF(Y106="TIPO III",'BASE DE LIQUIDACION 2025'!$J$6,IF(Y106="TIPO IV",'BASE DE LIQUIDACION 2025'!$J$7,'BASE DE LIQUIDACION 2025'!$J$8)))))</f>
        <v>110808.27512000001</v>
      </c>
      <c r="AF106" s="54">
        <f>IF(W106="SOPORTE_TELEFÓNICO",'BASE DE LIQUIDACION 2025'!$L$4,IF(W106="ENVÍO",'BASE DE LIQUIDACION 2025'!$K$4,AD106*AB106+AE106*AC106))</f>
        <v>548633.63271999999</v>
      </c>
    </row>
    <row r="107" spans="1:32" s="56" customFormat="1" ht="13.15" hidden="1">
      <c r="A107" s="69" t="s">
        <v>201</v>
      </c>
      <c r="B107" s="66" t="str">
        <f>VLOOKUP(A107,'CENTRO DE COSTOS'!A:D,4,FALSE)</f>
        <v>KEVIN ALEXIS CORZO BUSTOS</v>
      </c>
      <c r="C107" s="66" t="str">
        <f>VLOOKUP(A107,'CENTRO DE COSTOS'!A:D,2,FALSE)</f>
        <v>0004-0007</v>
      </c>
      <c r="D107" s="69">
        <v>41001</v>
      </c>
      <c r="E107" s="69">
        <v>2658574</v>
      </c>
      <c r="F107" s="69">
        <v>67122</v>
      </c>
      <c r="G107" s="69" t="s">
        <v>1373</v>
      </c>
      <c r="H107" s="69" t="s">
        <v>447</v>
      </c>
      <c r="I107" s="69" t="s">
        <v>201</v>
      </c>
      <c r="J107" s="69" t="s">
        <v>1737</v>
      </c>
      <c r="K107" s="69" t="s">
        <v>140</v>
      </c>
      <c r="L107" s="69" t="s">
        <v>1738</v>
      </c>
      <c r="M107" s="70">
        <v>45897.490972222222</v>
      </c>
      <c r="N107" s="70">
        <v>45902.525694444441</v>
      </c>
      <c r="O107" s="66"/>
      <c r="P107" s="69" t="s">
        <v>1376</v>
      </c>
      <c r="Q107" s="69" t="s">
        <v>1377</v>
      </c>
      <c r="R107" s="69" t="s">
        <v>1378</v>
      </c>
      <c r="S107" s="69" t="s">
        <v>1378</v>
      </c>
      <c r="T107" s="69" t="s">
        <v>1379</v>
      </c>
      <c r="U107" s="69" t="s">
        <v>1380</v>
      </c>
      <c r="V107" s="69" t="s">
        <v>1739</v>
      </c>
      <c r="W107" s="69" t="s">
        <v>145</v>
      </c>
      <c r="X107" s="66">
        <v>0</v>
      </c>
      <c r="Y107" s="69" t="s">
        <v>55</v>
      </c>
      <c r="Z107" s="67" t="s">
        <v>159</v>
      </c>
      <c r="AA107" s="69" t="s">
        <v>453</v>
      </c>
      <c r="AB107" s="69">
        <v>1</v>
      </c>
      <c r="AC107" s="66">
        <v>0</v>
      </c>
      <c r="AD107" s="54">
        <f>IF(OR(W107="SOPORTE_TELEFÓNICO",W107="ENVÍO"),0,IF(Y107="TIPO I",'BASE DE LIQUIDACION 2025'!$I$4,IF(Y107="TIPO II",'BASE DE LIQUIDACION 2025'!$I$5,IF(Y107="TIPO III",'BASE DE LIQUIDACION 2025'!$I$6,IF(Y107="TIPO IV",'BASE DE LIQUIDACION 2025'!$I$7,'BASE DE LIQUIDACION 2025'!$I$8)))))</f>
        <v>96001.196280000004</v>
      </c>
      <c r="AE107" s="54">
        <f>IF(OR(W107="SOPORTE_TELEFÓNICO",W107="ENVÍO"),0,IF(Y107="TIPO I",'BASE DE LIQUIDACION 2025'!$J$4,IF(Y107="TIPO II",'BASE DE LIQUIDACION 2025'!$J$5,IF(Y107="TIPO III",'BASE DE LIQUIDACION 2025'!$J$6,IF(Y107="TIPO IV",'BASE DE LIQUIDACION 2025'!$J$7,'BASE DE LIQUIDACION 2025'!$J$8)))))</f>
        <v>57411.974240000003</v>
      </c>
      <c r="AF107" s="54">
        <f>IF(W107="SOPORTE_TELEFÓNICO",'BASE DE LIQUIDACION 2025'!$L$4,IF(W107="ENVÍO",'BASE DE LIQUIDACION 2025'!$K$4,AD107*AB107+AE107*AC107))</f>
        <v>96001.196280000004</v>
      </c>
    </row>
    <row r="108" spans="1:32" s="56" customFormat="1" ht="13.15" hidden="1">
      <c r="A108" s="69" t="s">
        <v>201</v>
      </c>
      <c r="B108" s="66" t="str">
        <f>VLOOKUP(A108,'CENTRO DE COSTOS'!A:D,4,FALSE)</f>
        <v>KEVIN ALEXIS CORZO BUSTOS</v>
      </c>
      <c r="C108" s="66" t="str">
        <f>VLOOKUP(A108,'CENTRO DE COSTOS'!A:D,2,FALSE)</f>
        <v>0004-0007</v>
      </c>
      <c r="D108" s="69">
        <v>41001</v>
      </c>
      <c r="E108" s="69">
        <v>2651829</v>
      </c>
      <c r="F108" s="69">
        <v>47387</v>
      </c>
      <c r="G108" s="69" t="s">
        <v>1373</v>
      </c>
      <c r="H108" s="69" t="s">
        <v>447</v>
      </c>
      <c r="I108" s="69" t="s">
        <v>201</v>
      </c>
      <c r="J108" s="69" t="s">
        <v>1740</v>
      </c>
      <c r="K108" s="69" t="s">
        <v>140</v>
      </c>
      <c r="L108" s="69" t="s">
        <v>1741</v>
      </c>
      <c r="M108" s="70">
        <v>45896.456944444442</v>
      </c>
      <c r="N108" s="70">
        <v>45902.714583333327</v>
      </c>
      <c r="O108" s="66"/>
      <c r="P108" s="69" t="s">
        <v>1376</v>
      </c>
      <c r="Q108" s="69" t="s">
        <v>1377</v>
      </c>
      <c r="R108" s="69" t="s">
        <v>1378</v>
      </c>
      <c r="S108" s="69" t="s">
        <v>1378</v>
      </c>
      <c r="T108" s="69" t="s">
        <v>1379</v>
      </c>
      <c r="U108" s="69" t="s">
        <v>1380</v>
      </c>
      <c r="V108" s="69" t="s">
        <v>1742</v>
      </c>
      <c r="W108" s="69" t="s">
        <v>145</v>
      </c>
      <c r="X108" s="66">
        <v>0</v>
      </c>
      <c r="Y108" s="69" t="s">
        <v>55</v>
      </c>
      <c r="Z108" s="67" t="s">
        <v>159</v>
      </c>
      <c r="AA108" s="69" t="s">
        <v>1531</v>
      </c>
      <c r="AB108" s="69">
        <v>1</v>
      </c>
      <c r="AC108" s="66">
        <v>0</v>
      </c>
      <c r="AD108" s="54">
        <f>IF(OR(W108="SOPORTE_TELEFÓNICO",W108="ENVÍO"),0,IF(Y108="TIPO I",'BASE DE LIQUIDACION 2025'!$I$4,IF(Y108="TIPO II",'BASE DE LIQUIDACION 2025'!$I$5,IF(Y108="TIPO III",'BASE DE LIQUIDACION 2025'!$I$6,IF(Y108="TIPO IV",'BASE DE LIQUIDACION 2025'!$I$7,'BASE DE LIQUIDACION 2025'!$I$8)))))</f>
        <v>96001.196280000004</v>
      </c>
      <c r="AE108" s="54">
        <f>IF(OR(W108="SOPORTE_TELEFÓNICO",W108="ENVÍO"),0,IF(Y108="TIPO I",'BASE DE LIQUIDACION 2025'!$J$4,IF(Y108="TIPO II",'BASE DE LIQUIDACION 2025'!$J$5,IF(Y108="TIPO III",'BASE DE LIQUIDACION 2025'!$J$6,IF(Y108="TIPO IV",'BASE DE LIQUIDACION 2025'!$J$7,'BASE DE LIQUIDACION 2025'!$J$8)))))</f>
        <v>57411.974240000003</v>
      </c>
      <c r="AF108" s="54">
        <f>IF(W108="SOPORTE_TELEFÓNICO",'BASE DE LIQUIDACION 2025'!$L$4,IF(W108="ENVÍO",'BASE DE LIQUIDACION 2025'!$K$4,AD108*AB108+AE108*AC108))</f>
        <v>96001.196280000004</v>
      </c>
    </row>
    <row r="109" spans="1:32" s="56" customFormat="1" ht="13.15" hidden="1">
      <c r="A109" s="69" t="s">
        <v>133</v>
      </c>
      <c r="B109" s="66" t="str">
        <f>VLOOKUP(A109,'CENTRO DE COSTOS'!A:D,4,FALSE)</f>
        <v>DIEGO FERNANDO HENAO CARDONA</v>
      </c>
      <c r="C109" s="66" t="str">
        <f>VLOOKUP(A109,'CENTRO DE COSTOS'!A:D,2,FALSE)</f>
        <v>0004-0003</v>
      </c>
      <c r="D109" s="69">
        <v>52835</v>
      </c>
      <c r="E109" s="69">
        <v>2650989</v>
      </c>
      <c r="F109" s="69">
        <v>58444</v>
      </c>
      <c r="G109" s="69" t="s">
        <v>1373</v>
      </c>
      <c r="H109" s="69" t="s">
        <v>137</v>
      </c>
      <c r="I109" s="69" t="s">
        <v>1743</v>
      </c>
      <c r="J109" s="69" t="s">
        <v>1744</v>
      </c>
      <c r="K109" s="69" t="s">
        <v>140</v>
      </c>
      <c r="L109" s="69" t="s">
        <v>1745</v>
      </c>
      <c r="M109" s="70">
        <v>45896.413888888892</v>
      </c>
      <c r="N109" s="70">
        <v>45903.921527777777</v>
      </c>
      <c r="O109" s="66"/>
      <c r="P109" s="69" t="s">
        <v>1376</v>
      </c>
      <c r="Q109" s="69" t="s">
        <v>1377</v>
      </c>
      <c r="R109" s="69" t="s">
        <v>239</v>
      </c>
      <c r="S109" s="69" t="s">
        <v>381</v>
      </c>
      <c r="T109" s="69" t="s">
        <v>1379</v>
      </c>
      <c r="U109" s="69" t="s">
        <v>1380</v>
      </c>
      <c r="V109" s="69" t="s">
        <v>1746</v>
      </c>
      <c r="W109" s="69" t="s">
        <v>145</v>
      </c>
      <c r="X109" s="66">
        <v>0</v>
      </c>
      <c r="Y109" s="69" t="s">
        <v>167</v>
      </c>
      <c r="Z109" s="67" t="s">
        <v>159</v>
      </c>
      <c r="AA109" s="69" t="s">
        <v>149</v>
      </c>
      <c r="AB109" s="69">
        <v>1</v>
      </c>
      <c r="AC109" s="66">
        <v>3</v>
      </c>
      <c r="AD109" s="54">
        <f>IF(OR(W109="SOPORTE_TELEFÓNICO",W109="ENVÍO"),0,IF(Y109="TIPO I",'BASE DE LIQUIDACION 2025'!$I$4,IF(Y109="TIPO II",'BASE DE LIQUIDACION 2025'!$I$5,IF(Y109="TIPO III",'BASE DE LIQUIDACION 2025'!$I$6,IF(Y109="TIPO IV",'BASE DE LIQUIDACION 2025'!$I$7,'BASE DE LIQUIDACION 2025'!$I$8)))))</f>
        <v>548633.63271999999</v>
      </c>
      <c r="AE109" s="54">
        <f>IF(OR(W109="SOPORTE_TELEFÓNICO",W109="ENVÍO"),0,IF(Y109="TIPO I",'BASE DE LIQUIDACION 2025'!$J$4,IF(Y109="TIPO II",'BASE DE LIQUIDACION 2025'!$J$5,IF(Y109="TIPO III",'BASE DE LIQUIDACION 2025'!$J$6,IF(Y109="TIPO IV",'BASE DE LIQUIDACION 2025'!$J$7,'BASE DE LIQUIDACION 2025'!$J$8)))))</f>
        <v>110808.27512000001</v>
      </c>
      <c r="AF109" s="54">
        <f>IF(W109="SOPORTE_TELEFÓNICO",'BASE DE LIQUIDACION 2025'!$L$4,IF(W109="ENVÍO",'BASE DE LIQUIDACION 2025'!$K$4,AD109*AB109+AE109*AC109))</f>
        <v>881058.45808000001</v>
      </c>
    </row>
    <row r="110" spans="1:32" s="56" customFormat="1" ht="13.15" hidden="1">
      <c r="A110" s="69" t="s">
        <v>432</v>
      </c>
      <c r="B110" s="66" t="str">
        <f>VLOOKUP(A110,'CENTRO DE COSTOS'!A:D,4,FALSE)</f>
        <v>WILLIAM ASDRUBAL ROZO ROZO</v>
      </c>
      <c r="C110" s="66" t="str">
        <f>VLOOKUP(A110,'CENTRO DE COSTOS'!A:D,2,FALSE)</f>
        <v>0004-0004</v>
      </c>
      <c r="D110" s="69">
        <v>11001</v>
      </c>
      <c r="E110" s="69">
        <v>2644581</v>
      </c>
      <c r="F110" s="69">
        <v>77127</v>
      </c>
      <c r="G110" s="69" t="s">
        <v>1373</v>
      </c>
      <c r="H110" s="69" t="s">
        <v>434</v>
      </c>
      <c r="I110" s="69" t="s">
        <v>432</v>
      </c>
      <c r="J110" s="69" t="s">
        <v>1747</v>
      </c>
      <c r="K110" s="69" t="s">
        <v>140</v>
      </c>
      <c r="L110" s="69" t="s">
        <v>1748</v>
      </c>
      <c r="M110" s="70">
        <v>45895.410416666673</v>
      </c>
      <c r="N110" s="70">
        <v>45901.627083333333</v>
      </c>
      <c r="O110" s="66"/>
      <c r="P110" s="69" t="s">
        <v>1376</v>
      </c>
      <c r="Q110" s="69" t="s">
        <v>1377</v>
      </c>
      <c r="R110" s="69" t="s">
        <v>1378</v>
      </c>
      <c r="S110" s="69" t="s">
        <v>1378</v>
      </c>
      <c r="T110" s="69" t="s">
        <v>1379</v>
      </c>
      <c r="U110" s="69" t="s">
        <v>1380</v>
      </c>
      <c r="V110" s="69" t="s">
        <v>1749</v>
      </c>
      <c r="W110" s="69" t="s">
        <v>145</v>
      </c>
      <c r="X110" s="66">
        <v>0</v>
      </c>
      <c r="Y110" s="69" t="s">
        <v>55</v>
      </c>
      <c r="Z110" s="67" t="s">
        <v>159</v>
      </c>
      <c r="AA110" s="69" t="s">
        <v>567</v>
      </c>
      <c r="AB110" s="69">
        <v>1</v>
      </c>
      <c r="AC110" s="66">
        <v>0</v>
      </c>
      <c r="AD110" s="54">
        <f>IF(OR(W110="SOPORTE_TELEFÓNICO",W110="ENVÍO"),0,IF(Y110="TIPO I",'BASE DE LIQUIDACION 2025'!$I$4,IF(Y110="TIPO II",'BASE DE LIQUIDACION 2025'!$I$5,IF(Y110="TIPO III",'BASE DE LIQUIDACION 2025'!$I$6,IF(Y110="TIPO IV",'BASE DE LIQUIDACION 2025'!$I$7,'BASE DE LIQUIDACION 2025'!$I$8)))))</f>
        <v>96001.196280000004</v>
      </c>
      <c r="AE110" s="54">
        <f>IF(OR(W110="SOPORTE_TELEFÓNICO",W110="ENVÍO"),0,IF(Y110="TIPO I",'BASE DE LIQUIDACION 2025'!$J$4,IF(Y110="TIPO II",'BASE DE LIQUIDACION 2025'!$J$5,IF(Y110="TIPO III",'BASE DE LIQUIDACION 2025'!$J$6,IF(Y110="TIPO IV",'BASE DE LIQUIDACION 2025'!$J$7,'BASE DE LIQUIDACION 2025'!$J$8)))))</f>
        <v>57411.974240000003</v>
      </c>
      <c r="AF110" s="54">
        <f>IF(W110="SOPORTE_TELEFÓNICO",'BASE DE LIQUIDACION 2025'!$L$4,IF(W110="ENVÍO",'BASE DE LIQUIDACION 2025'!$K$4,AD110*AB110+AE110*AC110))</f>
        <v>96001.196280000004</v>
      </c>
    </row>
    <row r="111" spans="1:32" hidden="1">
      <c r="AF111" s="60">
        <f>SUM(AF2:AF110)</f>
        <v>21117207.279399991</v>
      </c>
    </row>
  </sheetData>
  <autoFilter ref="A1:AF111" xr:uid="{00000000-0001-0000-0300-000000000000}">
    <filterColumn colId="22">
      <filters>
        <filter val="VISITA_TÉCNICA"/>
      </filters>
    </filterColumn>
    <filterColumn colId="25">
      <filters>
        <filter val="AEREO"/>
        <filter val="TERRESTRE/FLUVIAL"/>
      </filters>
    </filterColumn>
  </autoFilter>
  <conditionalFormatting sqref="E2:E101">
    <cfRule type="duplicateValues" dxfId="6" priority="6"/>
    <cfRule type="duplicateValues" dxfId="5" priority="7"/>
  </conditionalFormatting>
  <conditionalFormatting sqref="E111:E1048576">
    <cfRule type="duplicateValues" dxfId="4" priority="501"/>
  </conditionalFormatting>
  <conditionalFormatting sqref="F111:F1048576">
    <cfRule type="duplicateValues" dxfId="3" priority="487"/>
  </conditionalFormatting>
  <conditionalFormatting sqref="E2:E110">
    <cfRule type="duplicateValues" dxfId="2" priority="502"/>
  </conditionalFormatting>
  <conditionalFormatting sqref="E102:E110">
    <cfRule type="duplicateValues" dxfId="1" priority="504"/>
    <cfRule type="duplicateValues" dxfId="0" priority="505"/>
  </conditionalFormatting>
  <dataValidations count="1">
    <dataValidation type="list" allowBlank="1" showInputMessage="1" showErrorMessage="1" sqref="U2:U56 U60:U71 U76:U82 U84:U87 Q2:Q110 U89:U110" xr:uid="{766865A5-5F11-4141-80D1-778ED7D3953B}">
      <formula1>INDIRECT(P2)</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9A735-5C55-4E58-9529-A662F7A9B1EC}">
  <dimension ref="A1:F1124"/>
  <sheetViews>
    <sheetView workbookViewId="0">
      <selection activeCell="A2" sqref="A2:F2"/>
    </sheetView>
  </sheetViews>
  <sheetFormatPr defaultColWidth="8.85546875" defaultRowHeight="14.45"/>
  <sheetData>
    <row r="1" spans="1:6" ht="69.599999999999994">
      <c r="A1" s="19" t="s">
        <v>1750</v>
      </c>
      <c r="B1" s="20" t="s">
        <v>111</v>
      </c>
      <c r="C1" s="20" t="s">
        <v>110</v>
      </c>
      <c r="D1" s="20" t="s">
        <v>1751</v>
      </c>
      <c r="E1" s="21" t="s">
        <v>1752</v>
      </c>
      <c r="F1" s="21" t="s">
        <v>1753</v>
      </c>
    </row>
    <row r="2" spans="1:6">
      <c r="A2" s="22">
        <v>91430</v>
      </c>
      <c r="B2" s="23" t="s">
        <v>1754</v>
      </c>
      <c r="C2" s="24" t="s">
        <v>1755</v>
      </c>
      <c r="D2" s="24" t="s">
        <v>432</v>
      </c>
      <c r="E2" s="24" t="s">
        <v>190</v>
      </c>
      <c r="F2" s="25" t="s">
        <v>147</v>
      </c>
    </row>
    <row r="3" spans="1:6">
      <c r="A3" s="22">
        <v>91669</v>
      </c>
      <c r="B3" s="23" t="s">
        <v>1756</v>
      </c>
      <c r="C3" s="24" t="s">
        <v>1755</v>
      </c>
      <c r="D3" s="24" t="s">
        <v>432</v>
      </c>
      <c r="E3" s="24" t="s">
        <v>190</v>
      </c>
      <c r="F3" s="25" t="s">
        <v>147</v>
      </c>
    </row>
    <row r="4" spans="1:6">
      <c r="A4" s="22">
        <v>91263</v>
      </c>
      <c r="B4" s="24" t="s">
        <v>1757</v>
      </c>
      <c r="C4" s="24" t="s">
        <v>1755</v>
      </c>
      <c r="D4" s="24" t="s">
        <v>432</v>
      </c>
      <c r="E4" s="24" t="s">
        <v>190</v>
      </c>
      <c r="F4" s="25" t="s">
        <v>147</v>
      </c>
    </row>
    <row r="5" spans="1:6">
      <c r="A5" s="22">
        <v>91405</v>
      </c>
      <c r="B5" s="24" t="s">
        <v>1758</v>
      </c>
      <c r="C5" s="24" t="s">
        <v>1755</v>
      </c>
      <c r="D5" s="24" t="s">
        <v>432</v>
      </c>
      <c r="E5" s="24" t="s">
        <v>190</v>
      </c>
      <c r="F5" s="25" t="s">
        <v>147</v>
      </c>
    </row>
    <row r="6" spans="1:6">
      <c r="A6" s="22">
        <v>91407</v>
      </c>
      <c r="B6" s="24" t="s">
        <v>1759</v>
      </c>
      <c r="C6" s="24" t="s">
        <v>1755</v>
      </c>
      <c r="D6" s="24" t="s">
        <v>432</v>
      </c>
      <c r="E6" s="24" t="s">
        <v>190</v>
      </c>
      <c r="F6" s="25" t="s">
        <v>147</v>
      </c>
    </row>
    <row r="7" spans="1:6">
      <c r="A7" s="22">
        <v>91001</v>
      </c>
      <c r="B7" s="24" t="s">
        <v>1760</v>
      </c>
      <c r="C7" s="24" t="s">
        <v>1755</v>
      </c>
      <c r="D7" s="24" t="s">
        <v>432</v>
      </c>
      <c r="E7" s="24" t="s">
        <v>190</v>
      </c>
      <c r="F7" s="25" t="s">
        <v>147</v>
      </c>
    </row>
    <row r="8" spans="1:6">
      <c r="A8" s="22">
        <v>91460</v>
      </c>
      <c r="B8" s="24" t="s">
        <v>1761</v>
      </c>
      <c r="C8" s="24" t="s">
        <v>1755</v>
      </c>
      <c r="D8" s="24" t="s">
        <v>432</v>
      </c>
      <c r="E8" s="24" t="s">
        <v>190</v>
      </c>
      <c r="F8" s="25" t="s">
        <v>147</v>
      </c>
    </row>
    <row r="9" spans="1:6">
      <c r="A9" s="22">
        <v>91530</v>
      </c>
      <c r="B9" s="24" t="s">
        <v>1762</v>
      </c>
      <c r="C9" s="24" t="s">
        <v>1755</v>
      </c>
      <c r="D9" s="24" t="s">
        <v>432</v>
      </c>
      <c r="E9" s="24" t="s">
        <v>190</v>
      </c>
      <c r="F9" s="25" t="s">
        <v>147</v>
      </c>
    </row>
    <row r="10" spans="1:6">
      <c r="A10" s="22">
        <v>91536</v>
      </c>
      <c r="B10" s="24" t="s">
        <v>1763</v>
      </c>
      <c r="C10" s="24" t="s">
        <v>1755</v>
      </c>
      <c r="D10" s="24" t="s">
        <v>432</v>
      </c>
      <c r="E10" s="24" t="s">
        <v>190</v>
      </c>
      <c r="F10" s="25" t="s">
        <v>147</v>
      </c>
    </row>
    <row r="11" spans="1:6">
      <c r="A11" s="22">
        <v>91540</v>
      </c>
      <c r="B11" s="24" t="s">
        <v>1764</v>
      </c>
      <c r="C11" s="24" t="s">
        <v>1755</v>
      </c>
      <c r="D11" s="24" t="s">
        <v>432</v>
      </c>
      <c r="E11" s="24" t="s">
        <v>190</v>
      </c>
      <c r="F11" s="25" t="s">
        <v>147</v>
      </c>
    </row>
    <row r="12" spans="1:6">
      <c r="A12" s="22">
        <v>91798</v>
      </c>
      <c r="B12" s="24" t="s">
        <v>1765</v>
      </c>
      <c r="C12" s="24" t="s">
        <v>1755</v>
      </c>
      <c r="D12" s="24" t="s">
        <v>432</v>
      </c>
      <c r="E12" s="24" t="s">
        <v>190</v>
      </c>
      <c r="F12" s="25" t="s">
        <v>147</v>
      </c>
    </row>
    <row r="13" spans="1:6">
      <c r="A13" s="22">
        <v>5055</v>
      </c>
      <c r="B13" s="23" t="s">
        <v>1766</v>
      </c>
      <c r="C13" s="24" t="s">
        <v>253</v>
      </c>
      <c r="D13" s="24" t="s">
        <v>267</v>
      </c>
      <c r="E13" s="24" t="s">
        <v>159</v>
      </c>
      <c r="F13" s="25" t="s">
        <v>167</v>
      </c>
    </row>
    <row r="14" spans="1:6">
      <c r="A14" s="22">
        <v>5059</v>
      </c>
      <c r="B14" s="23" t="s">
        <v>762</v>
      </c>
      <c r="C14" s="24" t="s">
        <v>253</v>
      </c>
      <c r="D14" s="24" t="s">
        <v>267</v>
      </c>
      <c r="E14" s="24" t="s">
        <v>159</v>
      </c>
      <c r="F14" s="25" t="s">
        <v>199</v>
      </c>
    </row>
    <row r="15" spans="1:6">
      <c r="A15" s="22">
        <v>5079</v>
      </c>
      <c r="B15" s="23" t="s">
        <v>1767</v>
      </c>
      <c r="C15" s="24" t="s">
        <v>253</v>
      </c>
      <c r="D15" s="24" t="s">
        <v>267</v>
      </c>
      <c r="E15" s="24" t="s">
        <v>159</v>
      </c>
      <c r="F15" s="25" t="s">
        <v>199</v>
      </c>
    </row>
    <row r="16" spans="1:6">
      <c r="A16" s="22">
        <v>5093</v>
      </c>
      <c r="B16" s="23" t="s">
        <v>1768</v>
      </c>
      <c r="C16" s="24" t="s">
        <v>253</v>
      </c>
      <c r="D16" s="24" t="s">
        <v>267</v>
      </c>
      <c r="E16" s="24" t="s">
        <v>159</v>
      </c>
      <c r="F16" s="25" t="s">
        <v>158</v>
      </c>
    </row>
    <row r="17" spans="1:6">
      <c r="A17" s="22">
        <v>5107</v>
      </c>
      <c r="B17" s="23" t="s">
        <v>1769</v>
      </c>
      <c r="C17" s="24" t="s">
        <v>253</v>
      </c>
      <c r="D17" s="24" t="s">
        <v>267</v>
      </c>
      <c r="E17" s="24" t="s">
        <v>159</v>
      </c>
      <c r="F17" s="25" t="s">
        <v>158</v>
      </c>
    </row>
    <row r="18" spans="1:6">
      <c r="A18" s="22">
        <v>5129</v>
      </c>
      <c r="B18" s="23" t="s">
        <v>284</v>
      </c>
      <c r="C18" s="24" t="s">
        <v>253</v>
      </c>
      <c r="D18" s="24" t="s">
        <v>267</v>
      </c>
      <c r="E18" s="24" t="s">
        <v>159</v>
      </c>
      <c r="F18" s="25" t="s">
        <v>55</v>
      </c>
    </row>
    <row r="19" spans="1:6">
      <c r="A19" s="22">
        <v>5206</v>
      </c>
      <c r="B19" s="23" t="s">
        <v>1770</v>
      </c>
      <c r="C19" s="24" t="s">
        <v>253</v>
      </c>
      <c r="D19" s="24" t="s">
        <v>267</v>
      </c>
      <c r="E19" s="24" t="s">
        <v>159</v>
      </c>
      <c r="F19" s="25" t="s">
        <v>199</v>
      </c>
    </row>
    <row r="20" spans="1:6">
      <c r="A20" s="22">
        <v>5209</v>
      </c>
      <c r="B20" s="23" t="s">
        <v>1771</v>
      </c>
      <c r="C20" s="24" t="s">
        <v>253</v>
      </c>
      <c r="D20" s="24" t="s">
        <v>267</v>
      </c>
      <c r="E20" s="24" t="s">
        <v>159</v>
      </c>
      <c r="F20" s="25" t="s">
        <v>158</v>
      </c>
    </row>
    <row r="21" spans="1:6">
      <c r="A21" s="22">
        <v>5313</v>
      </c>
      <c r="B21" s="23" t="s">
        <v>1400</v>
      </c>
      <c r="C21" s="24" t="s">
        <v>253</v>
      </c>
      <c r="D21" s="24" t="s">
        <v>267</v>
      </c>
      <c r="E21" s="24" t="s">
        <v>159</v>
      </c>
      <c r="F21" s="25" t="s">
        <v>199</v>
      </c>
    </row>
    <row r="22" spans="1:6">
      <c r="A22" s="22">
        <v>5315</v>
      </c>
      <c r="B22" s="23" t="s">
        <v>1772</v>
      </c>
      <c r="C22" s="24" t="s">
        <v>253</v>
      </c>
      <c r="D22" s="24" t="s">
        <v>267</v>
      </c>
      <c r="E22" s="24" t="s">
        <v>159</v>
      </c>
      <c r="F22" s="25" t="s">
        <v>158</v>
      </c>
    </row>
    <row r="23" spans="1:6">
      <c r="A23" s="22">
        <v>5368</v>
      </c>
      <c r="B23" s="23" t="s">
        <v>1773</v>
      </c>
      <c r="C23" s="24" t="s">
        <v>253</v>
      </c>
      <c r="D23" s="24" t="s">
        <v>267</v>
      </c>
      <c r="E23" s="24" t="s">
        <v>159</v>
      </c>
      <c r="F23" s="25" t="s">
        <v>158</v>
      </c>
    </row>
    <row r="24" spans="1:6">
      <c r="A24" s="22">
        <v>5400</v>
      </c>
      <c r="B24" s="23" t="s">
        <v>304</v>
      </c>
      <c r="C24" s="24" t="s">
        <v>253</v>
      </c>
      <c r="D24" s="24" t="s">
        <v>267</v>
      </c>
      <c r="E24" s="24" t="s">
        <v>159</v>
      </c>
      <c r="F24" s="25" t="s">
        <v>199</v>
      </c>
    </row>
    <row r="25" spans="1:6">
      <c r="A25" s="22">
        <v>5483</v>
      </c>
      <c r="B25" s="23" t="s">
        <v>137</v>
      </c>
      <c r="C25" s="24" t="s">
        <v>253</v>
      </c>
      <c r="D25" s="24" t="s">
        <v>267</v>
      </c>
      <c r="E25" s="24" t="s">
        <v>159</v>
      </c>
      <c r="F25" s="25" t="s">
        <v>167</v>
      </c>
    </row>
    <row r="26" spans="1:6">
      <c r="A26" s="22">
        <v>5615</v>
      </c>
      <c r="B26" s="23" t="s">
        <v>1071</v>
      </c>
      <c r="C26" s="24" t="s">
        <v>253</v>
      </c>
      <c r="D26" s="24" t="s">
        <v>267</v>
      </c>
      <c r="E26" s="24" t="s">
        <v>159</v>
      </c>
      <c r="F26" s="25" t="s">
        <v>199</v>
      </c>
    </row>
    <row r="27" spans="1:6">
      <c r="A27" s="22">
        <v>5628</v>
      </c>
      <c r="B27" s="23" t="s">
        <v>1774</v>
      </c>
      <c r="C27" s="24" t="s">
        <v>253</v>
      </c>
      <c r="D27" s="24" t="s">
        <v>267</v>
      </c>
      <c r="E27" s="24" t="s">
        <v>159</v>
      </c>
      <c r="F27" s="25" t="s">
        <v>158</v>
      </c>
    </row>
    <row r="28" spans="1:6">
      <c r="A28" s="22">
        <v>5649</v>
      </c>
      <c r="B28" s="23" t="s">
        <v>1775</v>
      </c>
      <c r="C28" s="24" t="s">
        <v>253</v>
      </c>
      <c r="D28" s="24" t="s">
        <v>267</v>
      </c>
      <c r="E28" s="24" t="s">
        <v>159</v>
      </c>
      <c r="F28" s="25" t="s">
        <v>158</v>
      </c>
    </row>
    <row r="29" spans="1:6">
      <c r="A29" s="22">
        <v>5652</v>
      </c>
      <c r="B29" s="23" t="s">
        <v>1776</v>
      </c>
      <c r="C29" s="24" t="s">
        <v>253</v>
      </c>
      <c r="D29" s="24" t="s">
        <v>267</v>
      </c>
      <c r="E29" s="24" t="s">
        <v>159</v>
      </c>
      <c r="F29" s="25" t="s">
        <v>158</v>
      </c>
    </row>
    <row r="30" spans="1:6">
      <c r="A30" s="22">
        <v>5660</v>
      </c>
      <c r="B30" s="23" t="s">
        <v>1777</v>
      </c>
      <c r="C30" s="24" t="s">
        <v>253</v>
      </c>
      <c r="D30" s="24" t="s">
        <v>267</v>
      </c>
      <c r="E30" s="24" t="s">
        <v>159</v>
      </c>
      <c r="F30" s="25" t="s">
        <v>158</v>
      </c>
    </row>
    <row r="31" spans="1:6">
      <c r="A31" s="22">
        <v>5664</v>
      </c>
      <c r="B31" s="23" t="s">
        <v>606</v>
      </c>
      <c r="C31" s="24" t="s">
        <v>253</v>
      </c>
      <c r="D31" s="24" t="s">
        <v>267</v>
      </c>
      <c r="E31" s="24" t="s">
        <v>159</v>
      </c>
      <c r="F31" s="25" t="s">
        <v>199</v>
      </c>
    </row>
    <row r="32" spans="1:6">
      <c r="A32" s="22">
        <v>5679</v>
      </c>
      <c r="B32" s="23" t="s">
        <v>1778</v>
      </c>
      <c r="C32" s="24" t="s">
        <v>253</v>
      </c>
      <c r="D32" s="24" t="s">
        <v>267</v>
      </c>
      <c r="E32" s="24" t="s">
        <v>159</v>
      </c>
      <c r="F32" s="25" t="s">
        <v>199</v>
      </c>
    </row>
    <row r="33" spans="1:6">
      <c r="A33" s="22">
        <v>5819</v>
      </c>
      <c r="B33" s="23" t="s">
        <v>1779</v>
      </c>
      <c r="C33" s="24" t="s">
        <v>253</v>
      </c>
      <c r="D33" s="24" t="s">
        <v>267</v>
      </c>
      <c r="E33" s="24" t="s">
        <v>159</v>
      </c>
      <c r="F33" s="25" t="s">
        <v>167</v>
      </c>
    </row>
    <row r="34" spans="1:6">
      <c r="A34" s="22">
        <v>5856</v>
      </c>
      <c r="B34" s="23" t="s">
        <v>1780</v>
      </c>
      <c r="C34" s="24" t="s">
        <v>253</v>
      </c>
      <c r="D34" s="24" t="s">
        <v>267</v>
      </c>
      <c r="E34" s="24" t="s">
        <v>159</v>
      </c>
      <c r="F34" s="25" t="s">
        <v>158</v>
      </c>
    </row>
    <row r="35" spans="1:6">
      <c r="A35" s="22">
        <v>5861</v>
      </c>
      <c r="B35" s="23" t="s">
        <v>1781</v>
      </c>
      <c r="C35" s="24" t="s">
        <v>253</v>
      </c>
      <c r="D35" s="24" t="s">
        <v>267</v>
      </c>
      <c r="E35" s="24" t="s">
        <v>159</v>
      </c>
      <c r="F35" s="25" t="s">
        <v>199</v>
      </c>
    </row>
    <row r="36" spans="1:6">
      <c r="A36" s="22">
        <v>5002</v>
      </c>
      <c r="B36" s="24" t="s">
        <v>1782</v>
      </c>
      <c r="C36" s="24" t="s">
        <v>253</v>
      </c>
      <c r="D36" s="24" t="s">
        <v>267</v>
      </c>
      <c r="E36" s="24" t="s">
        <v>159</v>
      </c>
      <c r="F36" s="25" t="s">
        <v>158</v>
      </c>
    </row>
    <row r="37" spans="1:6">
      <c r="A37" s="22">
        <v>5004</v>
      </c>
      <c r="B37" s="24" t="s">
        <v>1783</v>
      </c>
      <c r="C37" s="24" t="s">
        <v>253</v>
      </c>
      <c r="D37" s="24" t="s">
        <v>267</v>
      </c>
      <c r="E37" s="24" t="s">
        <v>159</v>
      </c>
      <c r="F37" s="25" t="s">
        <v>167</v>
      </c>
    </row>
    <row r="38" spans="1:6">
      <c r="A38" s="22">
        <v>5021</v>
      </c>
      <c r="B38" s="24" t="s">
        <v>1784</v>
      </c>
      <c r="C38" s="24" t="s">
        <v>253</v>
      </c>
      <c r="D38" s="24" t="s">
        <v>267</v>
      </c>
      <c r="E38" s="24" t="s">
        <v>159</v>
      </c>
      <c r="F38" s="25" t="s">
        <v>158</v>
      </c>
    </row>
    <row r="39" spans="1:6">
      <c r="A39" s="22">
        <v>5030</v>
      </c>
      <c r="B39" s="24" t="s">
        <v>1785</v>
      </c>
      <c r="C39" s="24" t="s">
        <v>253</v>
      </c>
      <c r="D39" s="24" t="s">
        <v>267</v>
      </c>
      <c r="E39" s="24" t="s">
        <v>159</v>
      </c>
      <c r="F39" s="25" t="s">
        <v>199</v>
      </c>
    </row>
    <row r="40" spans="1:6">
      <c r="A40" s="22">
        <v>5031</v>
      </c>
      <c r="B40" s="24" t="s">
        <v>1786</v>
      </c>
      <c r="C40" s="24" t="s">
        <v>253</v>
      </c>
      <c r="D40" s="24" t="s">
        <v>267</v>
      </c>
      <c r="E40" s="24" t="s">
        <v>159</v>
      </c>
      <c r="F40" s="25" t="s">
        <v>167</v>
      </c>
    </row>
    <row r="41" spans="1:6">
      <c r="A41" s="22">
        <v>5034</v>
      </c>
      <c r="B41" s="24" t="s">
        <v>1787</v>
      </c>
      <c r="C41" s="24" t="s">
        <v>253</v>
      </c>
      <c r="D41" s="24" t="s">
        <v>267</v>
      </c>
      <c r="E41" s="24" t="s">
        <v>159</v>
      </c>
      <c r="F41" s="25" t="s">
        <v>158</v>
      </c>
    </row>
    <row r="42" spans="1:6">
      <c r="A42" s="22">
        <v>5036</v>
      </c>
      <c r="B42" s="24" t="s">
        <v>1788</v>
      </c>
      <c r="C42" s="24" t="s">
        <v>253</v>
      </c>
      <c r="D42" s="24" t="s">
        <v>267</v>
      </c>
      <c r="E42" s="24" t="s">
        <v>159</v>
      </c>
      <c r="F42" s="25" t="s">
        <v>199</v>
      </c>
    </row>
    <row r="43" spans="1:6">
      <c r="A43" s="22">
        <v>5038</v>
      </c>
      <c r="B43" s="24" t="s">
        <v>1789</v>
      </c>
      <c r="C43" s="24" t="s">
        <v>253</v>
      </c>
      <c r="D43" s="24" t="s">
        <v>267</v>
      </c>
      <c r="E43" s="24" t="s">
        <v>159</v>
      </c>
      <c r="F43" s="25" t="s">
        <v>158</v>
      </c>
    </row>
    <row r="44" spans="1:6">
      <c r="A44" s="22">
        <v>5040</v>
      </c>
      <c r="B44" s="24" t="s">
        <v>1790</v>
      </c>
      <c r="C44" s="24" t="s">
        <v>253</v>
      </c>
      <c r="D44" s="24" t="s">
        <v>267</v>
      </c>
      <c r="E44" s="24" t="s">
        <v>159</v>
      </c>
      <c r="F44" s="25" t="s">
        <v>167</v>
      </c>
    </row>
    <row r="45" spans="1:6">
      <c r="A45" s="22">
        <v>5044</v>
      </c>
      <c r="B45" s="24" t="s">
        <v>1791</v>
      </c>
      <c r="C45" s="24" t="s">
        <v>253</v>
      </c>
      <c r="D45" s="24" t="s">
        <v>267</v>
      </c>
      <c r="E45" s="24" t="s">
        <v>159</v>
      </c>
      <c r="F45" s="25" t="s">
        <v>158</v>
      </c>
    </row>
    <row r="46" spans="1:6">
      <c r="A46" s="22">
        <v>5045</v>
      </c>
      <c r="B46" s="24" t="s">
        <v>259</v>
      </c>
      <c r="C46" s="24" t="s">
        <v>253</v>
      </c>
      <c r="D46" s="24" t="s">
        <v>259</v>
      </c>
      <c r="E46" s="24" t="s">
        <v>159</v>
      </c>
      <c r="F46" s="25" t="s">
        <v>55</v>
      </c>
    </row>
    <row r="47" spans="1:6">
      <c r="A47" s="22">
        <v>5051</v>
      </c>
      <c r="B47" s="24" t="s">
        <v>1792</v>
      </c>
      <c r="C47" s="24" t="s">
        <v>253</v>
      </c>
      <c r="D47" s="24" t="s">
        <v>176</v>
      </c>
      <c r="E47" s="24" t="s">
        <v>159</v>
      </c>
      <c r="F47" s="25" t="s">
        <v>199</v>
      </c>
    </row>
    <row r="48" spans="1:6">
      <c r="A48" s="22">
        <v>5088</v>
      </c>
      <c r="B48" s="24" t="s">
        <v>400</v>
      </c>
      <c r="C48" s="24" t="s">
        <v>253</v>
      </c>
      <c r="D48" s="24" t="s">
        <v>267</v>
      </c>
      <c r="E48" s="24" t="s">
        <v>159</v>
      </c>
      <c r="F48" s="25" t="s">
        <v>55</v>
      </c>
    </row>
    <row r="49" spans="1:6">
      <c r="A49" s="22">
        <v>5086</v>
      </c>
      <c r="B49" s="24" t="s">
        <v>1793</v>
      </c>
      <c r="C49" s="24" t="s">
        <v>253</v>
      </c>
      <c r="D49" s="24" t="s">
        <v>267</v>
      </c>
      <c r="E49" s="24" t="s">
        <v>159</v>
      </c>
      <c r="F49" s="25" t="s">
        <v>199</v>
      </c>
    </row>
    <row r="50" spans="1:6">
      <c r="A50" s="22">
        <v>5091</v>
      </c>
      <c r="B50" s="24" t="s">
        <v>1794</v>
      </c>
      <c r="C50" s="24" t="s">
        <v>253</v>
      </c>
      <c r="D50" s="24" t="s">
        <v>267</v>
      </c>
      <c r="E50" s="24" t="s">
        <v>159</v>
      </c>
      <c r="F50" s="25" t="s">
        <v>158</v>
      </c>
    </row>
    <row r="51" spans="1:6">
      <c r="A51" s="22">
        <v>5113</v>
      </c>
      <c r="B51" s="24" t="s">
        <v>1795</v>
      </c>
      <c r="C51" s="24" t="s">
        <v>253</v>
      </c>
      <c r="D51" s="24" t="s">
        <v>267</v>
      </c>
      <c r="E51" s="24" t="s">
        <v>159</v>
      </c>
      <c r="F51" s="25" t="s">
        <v>167</v>
      </c>
    </row>
    <row r="52" spans="1:6">
      <c r="A52" s="22">
        <v>5120</v>
      </c>
      <c r="B52" s="24" t="s">
        <v>1796</v>
      </c>
      <c r="C52" s="24" t="s">
        <v>253</v>
      </c>
      <c r="D52" s="24" t="s">
        <v>267</v>
      </c>
      <c r="E52" s="24" t="s">
        <v>159</v>
      </c>
      <c r="F52" s="25" t="s">
        <v>167</v>
      </c>
    </row>
    <row r="53" spans="1:6">
      <c r="A53" s="22">
        <v>5125</v>
      </c>
      <c r="B53" s="24" t="s">
        <v>1797</v>
      </c>
      <c r="C53" s="24" t="s">
        <v>253</v>
      </c>
      <c r="D53" s="24" t="s">
        <v>267</v>
      </c>
      <c r="E53" s="24" t="s">
        <v>159</v>
      </c>
      <c r="F53" s="25" t="s">
        <v>158</v>
      </c>
    </row>
    <row r="54" spans="1:6">
      <c r="A54" s="22">
        <v>5134</v>
      </c>
      <c r="B54" s="24" t="s">
        <v>1798</v>
      </c>
      <c r="C54" s="24" t="s">
        <v>253</v>
      </c>
      <c r="D54" s="24" t="s">
        <v>267</v>
      </c>
      <c r="E54" s="24" t="s">
        <v>159</v>
      </c>
      <c r="F54" s="25" t="s">
        <v>158</v>
      </c>
    </row>
    <row r="55" spans="1:6">
      <c r="A55" s="22">
        <v>5138</v>
      </c>
      <c r="B55" s="24" t="s">
        <v>1799</v>
      </c>
      <c r="C55" s="24" t="s">
        <v>253</v>
      </c>
      <c r="D55" s="24" t="s">
        <v>267</v>
      </c>
      <c r="E55" s="24" t="s">
        <v>159</v>
      </c>
      <c r="F55" s="25" t="s">
        <v>158</v>
      </c>
    </row>
    <row r="56" spans="1:6">
      <c r="A56" s="22">
        <v>5142</v>
      </c>
      <c r="B56" s="24" t="s">
        <v>1800</v>
      </c>
      <c r="C56" s="24" t="s">
        <v>253</v>
      </c>
      <c r="D56" s="24" t="s">
        <v>267</v>
      </c>
      <c r="E56" s="24" t="s">
        <v>159</v>
      </c>
      <c r="F56" s="25" t="s">
        <v>158</v>
      </c>
    </row>
    <row r="57" spans="1:6">
      <c r="A57" s="22">
        <v>5145</v>
      </c>
      <c r="B57" s="24" t="s">
        <v>1801</v>
      </c>
      <c r="C57" s="24" t="s">
        <v>253</v>
      </c>
      <c r="D57" s="24" t="s">
        <v>267</v>
      </c>
      <c r="E57" s="24" t="s">
        <v>159</v>
      </c>
      <c r="F57" s="25" t="s">
        <v>158</v>
      </c>
    </row>
    <row r="58" spans="1:6">
      <c r="A58" s="22">
        <v>5147</v>
      </c>
      <c r="B58" s="24" t="s">
        <v>1056</v>
      </c>
      <c r="C58" s="24" t="s">
        <v>253</v>
      </c>
      <c r="D58" s="24" t="s">
        <v>259</v>
      </c>
      <c r="E58" s="24" t="s">
        <v>159</v>
      </c>
      <c r="F58" s="25" t="s">
        <v>55</v>
      </c>
    </row>
    <row r="59" spans="1:6">
      <c r="A59" s="22">
        <v>5150</v>
      </c>
      <c r="B59" s="24" t="s">
        <v>1802</v>
      </c>
      <c r="C59" s="24" t="s">
        <v>253</v>
      </c>
      <c r="D59" s="24" t="s">
        <v>267</v>
      </c>
      <c r="E59" s="24" t="s">
        <v>159</v>
      </c>
      <c r="F59" s="25" t="s">
        <v>158</v>
      </c>
    </row>
    <row r="60" spans="1:6">
      <c r="A60" s="22">
        <v>5154</v>
      </c>
      <c r="B60" s="24" t="s">
        <v>1803</v>
      </c>
      <c r="C60" s="24" t="s">
        <v>253</v>
      </c>
      <c r="D60" s="24" t="s">
        <v>176</v>
      </c>
      <c r="E60" s="24" t="s">
        <v>159</v>
      </c>
      <c r="F60" s="25" t="s">
        <v>199</v>
      </c>
    </row>
    <row r="61" spans="1:6">
      <c r="A61" s="22">
        <v>5172</v>
      </c>
      <c r="B61" s="24" t="s">
        <v>1804</v>
      </c>
      <c r="C61" s="24" t="s">
        <v>253</v>
      </c>
      <c r="D61" s="24" t="s">
        <v>259</v>
      </c>
      <c r="E61" s="24" t="s">
        <v>159</v>
      </c>
      <c r="F61" s="25" t="s">
        <v>199</v>
      </c>
    </row>
    <row r="62" spans="1:6">
      <c r="A62" s="22">
        <v>5190</v>
      </c>
      <c r="B62" s="24" t="s">
        <v>1805</v>
      </c>
      <c r="C62" s="24" t="s">
        <v>253</v>
      </c>
      <c r="D62" s="24" t="s">
        <v>267</v>
      </c>
      <c r="E62" s="24" t="s">
        <v>159</v>
      </c>
      <c r="F62" s="25" t="s">
        <v>199</v>
      </c>
    </row>
    <row r="63" spans="1:6">
      <c r="A63" s="22">
        <v>5101</v>
      </c>
      <c r="B63" s="24" t="s">
        <v>1806</v>
      </c>
      <c r="C63" s="24" t="s">
        <v>253</v>
      </c>
      <c r="D63" s="24" t="s">
        <v>267</v>
      </c>
      <c r="E63" s="24" t="s">
        <v>159</v>
      </c>
      <c r="F63" s="25" t="s">
        <v>199</v>
      </c>
    </row>
    <row r="64" spans="1:6">
      <c r="A64" s="22">
        <v>5197</v>
      </c>
      <c r="B64" s="24" t="s">
        <v>1807</v>
      </c>
      <c r="C64" s="24" t="s">
        <v>253</v>
      </c>
      <c r="D64" s="24" t="s">
        <v>267</v>
      </c>
      <c r="E64" s="24" t="s">
        <v>159</v>
      </c>
      <c r="F64" s="25" t="s">
        <v>199</v>
      </c>
    </row>
    <row r="65" spans="1:6">
      <c r="A65" s="22">
        <v>5212</v>
      </c>
      <c r="B65" s="24" t="s">
        <v>1808</v>
      </c>
      <c r="C65" s="24" t="s">
        <v>253</v>
      </c>
      <c r="D65" s="24" t="s">
        <v>267</v>
      </c>
      <c r="E65" s="24" t="s">
        <v>159</v>
      </c>
      <c r="F65" s="25" t="s">
        <v>55</v>
      </c>
    </row>
    <row r="66" spans="1:6">
      <c r="A66" s="22">
        <v>5234</v>
      </c>
      <c r="B66" s="24" t="s">
        <v>1809</v>
      </c>
      <c r="C66" s="24" t="s">
        <v>253</v>
      </c>
      <c r="D66" s="24" t="s">
        <v>267</v>
      </c>
      <c r="E66" s="24" t="s">
        <v>159</v>
      </c>
      <c r="F66" s="25" t="s">
        <v>167</v>
      </c>
    </row>
    <row r="67" spans="1:6">
      <c r="A67" s="22">
        <v>5237</v>
      </c>
      <c r="B67" s="24" t="s">
        <v>1810</v>
      </c>
      <c r="C67" s="24" t="s">
        <v>253</v>
      </c>
      <c r="D67" s="24" t="s">
        <v>267</v>
      </c>
      <c r="E67" s="24" t="s">
        <v>159</v>
      </c>
      <c r="F67" s="25" t="s">
        <v>199</v>
      </c>
    </row>
    <row r="68" spans="1:6">
      <c r="A68" s="22">
        <v>5240</v>
      </c>
      <c r="B68" s="24" t="s">
        <v>1811</v>
      </c>
      <c r="C68" s="24" t="s">
        <v>253</v>
      </c>
      <c r="D68" s="24" t="s">
        <v>267</v>
      </c>
      <c r="E68" s="24" t="s">
        <v>159</v>
      </c>
      <c r="F68" s="25" t="s">
        <v>199</v>
      </c>
    </row>
    <row r="69" spans="1:6">
      <c r="A69" s="22">
        <v>5250</v>
      </c>
      <c r="B69" s="24" t="s">
        <v>254</v>
      </c>
      <c r="C69" s="24" t="s">
        <v>253</v>
      </c>
      <c r="D69" s="24" t="s">
        <v>176</v>
      </c>
      <c r="E69" s="24" t="s">
        <v>159</v>
      </c>
      <c r="F69" s="25" t="s">
        <v>167</v>
      </c>
    </row>
    <row r="70" spans="1:6">
      <c r="A70" s="22">
        <v>5148</v>
      </c>
      <c r="B70" s="24" t="s">
        <v>1812</v>
      </c>
      <c r="C70" s="24" t="s">
        <v>253</v>
      </c>
      <c r="D70" s="24" t="s">
        <v>267</v>
      </c>
      <c r="E70" s="24" t="s">
        <v>159</v>
      </c>
      <c r="F70" s="25" t="s">
        <v>199</v>
      </c>
    </row>
    <row r="71" spans="1:6">
      <c r="A71" s="22">
        <v>5697</v>
      </c>
      <c r="B71" s="24" t="s">
        <v>1813</v>
      </c>
      <c r="C71" s="24" t="s">
        <v>253</v>
      </c>
      <c r="D71" s="24" t="s">
        <v>267</v>
      </c>
      <c r="E71" s="24" t="s">
        <v>159</v>
      </c>
      <c r="F71" s="25" t="s">
        <v>199</v>
      </c>
    </row>
    <row r="72" spans="1:6">
      <c r="A72" s="22">
        <v>5264</v>
      </c>
      <c r="B72" s="24" t="s">
        <v>822</v>
      </c>
      <c r="C72" s="24" t="s">
        <v>253</v>
      </c>
      <c r="D72" s="24" t="s">
        <v>267</v>
      </c>
      <c r="E72" s="24" t="s">
        <v>159</v>
      </c>
      <c r="F72" s="25" t="s">
        <v>199</v>
      </c>
    </row>
    <row r="73" spans="1:6">
      <c r="A73" s="22">
        <v>5266</v>
      </c>
      <c r="B73" s="24" t="s">
        <v>411</v>
      </c>
      <c r="C73" s="24" t="s">
        <v>253</v>
      </c>
      <c r="D73" s="24" t="s">
        <v>267</v>
      </c>
      <c r="E73" s="24" t="s">
        <v>159</v>
      </c>
      <c r="F73" s="25" t="s">
        <v>55</v>
      </c>
    </row>
    <row r="74" spans="1:6">
      <c r="A74" s="22">
        <v>5282</v>
      </c>
      <c r="B74" s="24" t="s">
        <v>1814</v>
      </c>
      <c r="C74" s="24" t="s">
        <v>253</v>
      </c>
      <c r="D74" s="24" t="s">
        <v>267</v>
      </c>
      <c r="E74" s="24" t="s">
        <v>159</v>
      </c>
      <c r="F74" s="25" t="s">
        <v>199</v>
      </c>
    </row>
    <row r="75" spans="1:6">
      <c r="A75" s="22">
        <v>5284</v>
      </c>
      <c r="B75" s="24" t="s">
        <v>1815</v>
      </c>
      <c r="C75" s="24" t="s">
        <v>253</v>
      </c>
      <c r="D75" s="24" t="s">
        <v>267</v>
      </c>
      <c r="E75" s="24" t="s">
        <v>159</v>
      </c>
      <c r="F75" s="25" t="s">
        <v>167</v>
      </c>
    </row>
    <row r="76" spans="1:6">
      <c r="A76" s="22">
        <v>5306</v>
      </c>
      <c r="B76" s="24" t="s">
        <v>1816</v>
      </c>
      <c r="C76" s="24" t="s">
        <v>253</v>
      </c>
      <c r="D76" s="24" t="s">
        <v>267</v>
      </c>
      <c r="E76" s="24" t="s">
        <v>159</v>
      </c>
      <c r="F76" s="25" t="s">
        <v>158</v>
      </c>
    </row>
    <row r="77" spans="1:6">
      <c r="A77" s="22">
        <v>5308</v>
      </c>
      <c r="B77" s="24" t="s">
        <v>1817</v>
      </c>
      <c r="C77" s="24" t="s">
        <v>253</v>
      </c>
      <c r="D77" s="24" t="s">
        <v>267</v>
      </c>
      <c r="E77" s="24" t="s">
        <v>159</v>
      </c>
      <c r="F77" s="25" t="s">
        <v>55</v>
      </c>
    </row>
    <row r="78" spans="1:6">
      <c r="A78" s="22">
        <v>5310</v>
      </c>
      <c r="B78" s="24" t="s">
        <v>1818</v>
      </c>
      <c r="C78" s="24" t="s">
        <v>253</v>
      </c>
      <c r="D78" s="24" t="s">
        <v>267</v>
      </c>
      <c r="E78" s="24" t="s">
        <v>159</v>
      </c>
      <c r="F78" s="25" t="s">
        <v>199</v>
      </c>
    </row>
    <row r="79" spans="1:6">
      <c r="A79" s="22">
        <v>5318</v>
      </c>
      <c r="B79" s="24" t="s">
        <v>1819</v>
      </c>
      <c r="C79" s="24" t="s">
        <v>253</v>
      </c>
      <c r="D79" s="24" t="s">
        <v>267</v>
      </c>
      <c r="E79" s="24" t="s">
        <v>159</v>
      </c>
      <c r="F79" s="25" t="s">
        <v>199</v>
      </c>
    </row>
    <row r="80" spans="1:6">
      <c r="A80" s="22">
        <v>5321</v>
      </c>
      <c r="B80" s="24" t="s">
        <v>599</v>
      </c>
      <c r="C80" s="24" t="s">
        <v>253</v>
      </c>
      <c r="D80" s="24" t="s">
        <v>267</v>
      </c>
      <c r="E80" s="24" t="s">
        <v>159</v>
      </c>
      <c r="F80" s="25" t="s">
        <v>199</v>
      </c>
    </row>
    <row r="81" spans="1:6">
      <c r="A81" s="22">
        <v>5347</v>
      </c>
      <c r="B81" s="24" t="s">
        <v>1820</v>
      </c>
      <c r="C81" s="24" t="s">
        <v>253</v>
      </c>
      <c r="D81" s="24" t="s">
        <v>267</v>
      </c>
      <c r="E81" s="24" t="s">
        <v>159</v>
      </c>
      <c r="F81" s="25" t="s">
        <v>199</v>
      </c>
    </row>
    <row r="82" spans="1:6">
      <c r="A82" s="22">
        <v>5353</v>
      </c>
      <c r="B82" s="24" t="s">
        <v>1821</v>
      </c>
      <c r="C82" s="24" t="s">
        <v>253</v>
      </c>
      <c r="D82" s="24" t="s">
        <v>267</v>
      </c>
      <c r="E82" s="24" t="s">
        <v>159</v>
      </c>
      <c r="F82" s="25" t="s">
        <v>158</v>
      </c>
    </row>
    <row r="83" spans="1:6">
      <c r="A83" s="22">
        <v>5360</v>
      </c>
      <c r="B83" s="24" t="s">
        <v>370</v>
      </c>
      <c r="C83" s="24" t="s">
        <v>253</v>
      </c>
      <c r="D83" s="24" t="s">
        <v>267</v>
      </c>
      <c r="E83" s="24" t="s">
        <v>159</v>
      </c>
      <c r="F83" s="25" t="s">
        <v>55</v>
      </c>
    </row>
    <row r="84" spans="1:6">
      <c r="A84" s="22">
        <v>5361</v>
      </c>
      <c r="B84" s="24" t="s">
        <v>1822</v>
      </c>
      <c r="C84" s="24" t="s">
        <v>253</v>
      </c>
      <c r="D84" s="24" t="s">
        <v>267</v>
      </c>
      <c r="E84" s="24" t="s">
        <v>159</v>
      </c>
      <c r="F84" s="25" t="s">
        <v>167</v>
      </c>
    </row>
    <row r="85" spans="1:6">
      <c r="A85" s="22">
        <v>5364</v>
      </c>
      <c r="B85" s="24" t="s">
        <v>1823</v>
      </c>
      <c r="C85" s="24" t="s">
        <v>253</v>
      </c>
      <c r="D85" s="24" t="s">
        <v>267</v>
      </c>
      <c r="E85" s="24" t="s">
        <v>159</v>
      </c>
      <c r="F85" s="25" t="s">
        <v>158</v>
      </c>
    </row>
    <row r="86" spans="1:6">
      <c r="A86" s="22">
        <v>5376</v>
      </c>
      <c r="B86" s="24" t="s">
        <v>1061</v>
      </c>
      <c r="C86" s="24" t="s">
        <v>253</v>
      </c>
      <c r="D86" s="24" t="s">
        <v>267</v>
      </c>
      <c r="E86" s="24" t="s">
        <v>159</v>
      </c>
      <c r="F86" s="25" t="s">
        <v>199</v>
      </c>
    </row>
    <row r="87" spans="1:6">
      <c r="A87" s="22">
        <v>5380</v>
      </c>
      <c r="B87" s="24" t="s">
        <v>1824</v>
      </c>
      <c r="C87" s="24" t="s">
        <v>253</v>
      </c>
      <c r="D87" s="24" t="s">
        <v>267</v>
      </c>
      <c r="E87" s="24" t="s">
        <v>159</v>
      </c>
      <c r="F87" s="25" t="s">
        <v>55</v>
      </c>
    </row>
    <row r="88" spans="1:6">
      <c r="A88" s="22">
        <v>5390</v>
      </c>
      <c r="B88" s="24" t="s">
        <v>1825</v>
      </c>
      <c r="C88" s="24" t="s">
        <v>253</v>
      </c>
      <c r="D88" s="24" t="s">
        <v>267</v>
      </c>
      <c r="E88" s="24" t="s">
        <v>159</v>
      </c>
      <c r="F88" s="25" t="s">
        <v>199</v>
      </c>
    </row>
    <row r="89" spans="1:6">
      <c r="A89" s="22">
        <v>5411</v>
      </c>
      <c r="B89" s="24" t="s">
        <v>1826</v>
      </c>
      <c r="C89" s="24" t="s">
        <v>253</v>
      </c>
      <c r="D89" s="24" t="s">
        <v>267</v>
      </c>
      <c r="E89" s="24" t="s">
        <v>159</v>
      </c>
      <c r="F89" s="25" t="s">
        <v>158</v>
      </c>
    </row>
    <row r="90" spans="1:6">
      <c r="A90" s="22">
        <v>5425</v>
      </c>
      <c r="B90" s="24" t="s">
        <v>1827</v>
      </c>
      <c r="C90" s="24" t="s">
        <v>253</v>
      </c>
      <c r="D90" s="24" t="s">
        <v>267</v>
      </c>
      <c r="E90" s="24" t="s">
        <v>159</v>
      </c>
      <c r="F90" s="25" t="s">
        <v>158</v>
      </c>
    </row>
    <row r="91" spans="1:6">
      <c r="A91" s="22">
        <v>5440</v>
      </c>
      <c r="B91" s="24" t="s">
        <v>828</v>
      </c>
      <c r="C91" s="24" t="s">
        <v>253</v>
      </c>
      <c r="D91" s="24" t="s">
        <v>267</v>
      </c>
      <c r="E91" s="24" t="s">
        <v>159</v>
      </c>
      <c r="F91" s="25" t="s">
        <v>199</v>
      </c>
    </row>
    <row r="92" spans="1:6">
      <c r="A92" s="22">
        <v>5001</v>
      </c>
      <c r="B92" s="24" t="s">
        <v>267</v>
      </c>
      <c r="C92" s="24" t="s">
        <v>253</v>
      </c>
      <c r="D92" s="24" t="s">
        <v>267</v>
      </c>
      <c r="E92" s="24" t="s">
        <v>159</v>
      </c>
      <c r="F92" s="25" t="s">
        <v>55</v>
      </c>
    </row>
    <row r="93" spans="1:6">
      <c r="A93" s="22">
        <v>5467</v>
      </c>
      <c r="B93" s="24" t="s">
        <v>1828</v>
      </c>
      <c r="C93" s="24" t="s">
        <v>253</v>
      </c>
      <c r="D93" s="24" t="s">
        <v>267</v>
      </c>
      <c r="E93" s="24" t="s">
        <v>159</v>
      </c>
      <c r="F93" s="25" t="s">
        <v>199</v>
      </c>
    </row>
    <row r="94" spans="1:6">
      <c r="A94" s="22">
        <v>5475</v>
      </c>
      <c r="B94" s="24" t="s">
        <v>1829</v>
      </c>
      <c r="C94" s="24" t="s">
        <v>253</v>
      </c>
      <c r="D94" s="24" t="s">
        <v>259</v>
      </c>
      <c r="E94" s="24" t="s">
        <v>148</v>
      </c>
      <c r="F94" s="25" t="s">
        <v>147</v>
      </c>
    </row>
    <row r="95" spans="1:6">
      <c r="A95" s="22">
        <v>5480</v>
      </c>
      <c r="B95" s="24" t="s">
        <v>1830</v>
      </c>
      <c r="C95" s="24" t="s">
        <v>253</v>
      </c>
      <c r="D95" s="24" t="s">
        <v>259</v>
      </c>
      <c r="E95" s="24" t="s">
        <v>159</v>
      </c>
      <c r="F95" s="25" t="s">
        <v>199</v>
      </c>
    </row>
    <row r="96" spans="1:6">
      <c r="A96" s="22">
        <v>5495</v>
      </c>
      <c r="B96" s="24" t="s">
        <v>1448</v>
      </c>
      <c r="C96" s="24" t="s">
        <v>253</v>
      </c>
      <c r="D96" s="24" t="s">
        <v>176</v>
      </c>
      <c r="E96" s="24" t="s">
        <v>159</v>
      </c>
      <c r="F96" s="25" t="s">
        <v>158</v>
      </c>
    </row>
    <row r="97" spans="1:6">
      <c r="A97" s="22">
        <v>5490</v>
      </c>
      <c r="B97" s="24" t="s">
        <v>1831</v>
      </c>
      <c r="C97" s="24" t="s">
        <v>253</v>
      </c>
      <c r="D97" s="24" t="s">
        <v>259</v>
      </c>
      <c r="E97" s="24" t="s">
        <v>159</v>
      </c>
      <c r="F97" s="25" t="s">
        <v>199</v>
      </c>
    </row>
    <row r="98" spans="1:6">
      <c r="A98" s="22">
        <v>5501</v>
      </c>
      <c r="B98" s="24" t="s">
        <v>1832</v>
      </c>
      <c r="C98" s="24" t="s">
        <v>253</v>
      </c>
      <c r="D98" s="24" t="s">
        <v>267</v>
      </c>
      <c r="E98" s="24" t="s">
        <v>159</v>
      </c>
      <c r="F98" s="25" t="s">
        <v>199</v>
      </c>
    </row>
    <row r="99" spans="1:6">
      <c r="A99" s="22">
        <v>5541</v>
      </c>
      <c r="B99" s="24" t="s">
        <v>1407</v>
      </c>
      <c r="C99" s="24" t="s">
        <v>253</v>
      </c>
      <c r="D99" s="24" t="s">
        <v>267</v>
      </c>
      <c r="E99" s="24" t="s">
        <v>159</v>
      </c>
      <c r="F99" s="25" t="s">
        <v>199</v>
      </c>
    </row>
    <row r="100" spans="1:6">
      <c r="A100" s="22">
        <v>5543</v>
      </c>
      <c r="B100" s="24" t="s">
        <v>1833</v>
      </c>
      <c r="C100" s="24" t="s">
        <v>253</v>
      </c>
      <c r="D100" s="24" t="s">
        <v>267</v>
      </c>
      <c r="E100" s="24" t="s">
        <v>159</v>
      </c>
      <c r="F100" s="25" t="s">
        <v>167</v>
      </c>
    </row>
    <row r="101" spans="1:6">
      <c r="A101" s="22">
        <v>5576</v>
      </c>
      <c r="B101" s="24" t="s">
        <v>1834</v>
      </c>
      <c r="C101" s="24" t="s">
        <v>253</v>
      </c>
      <c r="D101" s="24" t="s">
        <v>267</v>
      </c>
      <c r="E101" s="24" t="s">
        <v>159</v>
      </c>
      <c r="F101" s="25" t="s">
        <v>158</v>
      </c>
    </row>
    <row r="102" spans="1:6">
      <c r="A102" s="22">
        <v>5579</v>
      </c>
      <c r="B102" s="24" t="s">
        <v>1835</v>
      </c>
      <c r="C102" s="24" t="s">
        <v>253</v>
      </c>
      <c r="D102" s="24" t="s">
        <v>267</v>
      </c>
      <c r="E102" s="24" t="s">
        <v>159</v>
      </c>
      <c r="F102" s="25" t="s">
        <v>158</v>
      </c>
    </row>
    <row r="103" spans="1:6">
      <c r="A103" s="22">
        <v>5585</v>
      </c>
      <c r="B103" s="24" t="s">
        <v>1836</v>
      </c>
      <c r="C103" s="24" t="s">
        <v>253</v>
      </c>
      <c r="D103" s="24" t="s">
        <v>267</v>
      </c>
      <c r="E103" s="24" t="s">
        <v>159</v>
      </c>
      <c r="F103" s="25" t="s">
        <v>167</v>
      </c>
    </row>
    <row r="104" spans="1:6">
      <c r="A104" s="22">
        <v>5591</v>
      </c>
      <c r="B104" s="24" t="s">
        <v>1503</v>
      </c>
      <c r="C104" s="24" t="s">
        <v>253</v>
      </c>
      <c r="D104" s="24" t="s">
        <v>267</v>
      </c>
      <c r="E104" s="24" t="s">
        <v>159</v>
      </c>
      <c r="F104" s="25" t="s">
        <v>167</v>
      </c>
    </row>
    <row r="105" spans="1:6">
      <c r="A105" s="22">
        <v>5604</v>
      </c>
      <c r="B105" s="24" t="s">
        <v>1006</v>
      </c>
      <c r="C105" s="24" t="s">
        <v>253</v>
      </c>
      <c r="D105" s="24" t="s">
        <v>267</v>
      </c>
      <c r="E105" s="24" t="s">
        <v>159</v>
      </c>
      <c r="F105" s="25" t="s">
        <v>167</v>
      </c>
    </row>
    <row r="106" spans="1:6">
      <c r="A106" s="22">
        <v>5607</v>
      </c>
      <c r="B106" s="24" t="s">
        <v>1837</v>
      </c>
      <c r="C106" s="24" t="s">
        <v>253</v>
      </c>
      <c r="D106" s="24" t="s">
        <v>267</v>
      </c>
      <c r="E106" s="24" t="s">
        <v>159</v>
      </c>
      <c r="F106" s="25" t="s">
        <v>199</v>
      </c>
    </row>
    <row r="107" spans="1:6">
      <c r="A107" s="22">
        <v>5631</v>
      </c>
      <c r="B107" s="24" t="s">
        <v>1463</v>
      </c>
      <c r="C107" s="24" t="s">
        <v>253</v>
      </c>
      <c r="D107" s="24" t="s">
        <v>267</v>
      </c>
      <c r="E107" s="24" t="s">
        <v>159</v>
      </c>
      <c r="F107" s="25" t="s">
        <v>55</v>
      </c>
    </row>
    <row r="108" spans="1:6">
      <c r="A108" s="22">
        <v>5642</v>
      </c>
      <c r="B108" s="24" t="s">
        <v>1838</v>
      </c>
      <c r="C108" s="24" t="s">
        <v>253</v>
      </c>
      <c r="D108" s="24" t="s">
        <v>267</v>
      </c>
      <c r="E108" s="24" t="s">
        <v>159</v>
      </c>
      <c r="F108" s="25" t="s">
        <v>199</v>
      </c>
    </row>
    <row r="109" spans="1:6">
      <c r="A109" s="22">
        <v>5647</v>
      </c>
      <c r="B109" s="24" t="s">
        <v>1839</v>
      </c>
      <c r="C109" s="24" t="s">
        <v>253</v>
      </c>
      <c r="D109" s="24" t="s">
        <v>267</v>
      </c>
      <c r="E109" s="24" t="s">
        <v>159</v>
      </c>
      <c r="F109" s="25" t="s">
        <v>158</v>
      </c>
    </row>
    <row r="110" spans="1:6">
      <c r="A110" s="22">
        <v>5656</v>
      </c>
      <c r="B110" s="24" t="s">
        <v>1840</v>
      </c>
      <c r="C110" s="24" t="s">
        <v>253</v>
      </c>
      <c r="D110" s="24" t="s">
        <v>267</v>
      </c>
      <c r="E110" s="24" t="s">
        <v>159</v>
      </c>
      <c r="F110" s="25" t="s">
        <v>199</v>
      </c>
    </row>
    <row r="111" spans="1:6">
      <c r="A111" s="22">
        <v>5658</v>
      </c>
      <c r="B111" s="24" t="s">
        <v>1841</v>
      </c>
      <c r="C111" s="24" t="s">
        <v>253</v>
      </c>
      <c r="D111" s="24" t="s">
        <v>267</v>
      </c>
      <c r="E111" s="24" t="s">
        <v>159</v>
      </c>
      <c r="F111" s="25" t="s">
        <v>158</v>
      </c>
    </row>
    <row r="112" spans="1:6">
      <c r="A112" s="22">
        <v>5659</v>
      </c>
      <c r="B112" s="24" t="s">
        <v>1842</v>
      </c>
      <c r="C112" s="24" t="s">
        <v>253</v>
      </c>
      <c r="D112" s="24" t="s">
        <v>176</v>
      </c>
      <c r="E112" s="24" t="s">
        <v>159</v>
      </c>
      <c r="F112" s="25" t="s">
        <v>199</v>
      </c>
    </row>
    <row r="113" spans="1:6">
      <c r="A113" s="22">
        <v>5665</v>
      </c>
      <c r="B113" s="24" t="s">
        <v>1843</v>
      </c>
      <c r="C113" s="24" t="s">
        <v>253</v>
      </c>
      <c r="D113" s="24" t="s">
        <v>259</v>
      </c>
      <c r="E113" s="24" t="s">
        <v>159</v>
      </c>
      <c r="F113" s="25" t="s">
        <v>158</v>
      </c>
    </row>
    <row r="114" spans="1:6">
      <c r="A114" s="22">
        <v>5667</v>
      </c>
      <c r="B114" s="24" t="s">
        <v>1844</v>
      </c>
      <c r="C114" s="24" t="s">
        <v>253</v>
      </c>
      <c r="D114" s="24" t="s">
        <v>267</v>
      </c>
      <c r="E114" s="24" t="s">
        <v>159</v>
      </c>
      <c r="F114" s="25" t="s">
        <v>158</v>
      </c>
    </row>
    <row r="115" spans="1:6">
      <c r="A115" s="22">
        <v>5670</v>
      </c>
      <c r="B115" s="24" t="s">
        <v>1845</v>
      </c>
      <c r="C115" s="24" t="s">
        <v>253</v>
      </c>
      <c r="D115" s="24" t="s">
        <v>267</v>
      </c>
      <c r="E115" s="24" t="s">
        <v>159</v>
      </c>
      <c r="F115" s="25" t="s">
        <v>158</v>
      </c>
    </row>
    <row r="116" spans="1:6">
      <c r="A116" s="22">
        <v>5674</v>
      </c>
      <c r="B116" s="24" t="s">
        <v>1846</v>
      </c>
      <c r="C116" s="24" t="s">
        <v>253</v>
      </c>
      <c r="D116" s="24" t="s">
        <v>267</v>
      </c>
      <c r="E116" s="24" t="s">
        <v>159</v>
      </c>
      <c r="F116" s="25" t="s">
        <v>199</v>
      </c>
    </row>
    <row r="117" spans="1:6">
      <c r="A117" s="22">
        <v>5042</v>
      </c>
      <c r="B117" s="24" t="s">
        <v>1847</v>
      </c>
      <c r="C117" s="24" t="s">
        <v>253</v>
      </c>
      <c r="D117" s="24" t="s">
        <v>267</v>
      </c>
      <c r="E117" s="24" t="s">
        <v>159</v>
      </c>
      <c r="F117" s="25" t="s">
        <v>199</v>
      </c>
    </row>
    <row r="118" spans="1:6">
      <c r="A118" s="22">
        <v>5686</v>
      </c>
      <c r="B118" s="24" t="s">
        <v>1848</v>
      </c>
      <c r="C118" s="24" t="s">
        <v>253</v>
      </c>
      <c r="D118" s="24" t="s">
        <v>267</v>
      </c>
      <c r="E118" s="24" t="s">
        <v>159</v>
      </c>
      <c r="F118" s="25" t="s">
        <v>199</v>
      </c>
    </row>
    <row r="119" spans="1:6">
      <c r="A119" s="22">
        <v>5690</v>
      </c>
      <c r="B119" s="24" t="s">
        <v>1849</v>
      </c>
      <c r="C119" s="24" t="s">
        <v>253</v>
      </c>
      <c r="D119" s="24" t="s">
        <v>267</v>
      </c>
      <c r="E119" s="24" t="s">
        <v>159</v>
      </c>
      <c r="F119" s="25" t="s">
        <v>199</v>
      </c>
    </row>
    <row r="120" spans="1:6">
      <c r="A120" s="22">
        <v>5736</v>
      </c>
      <c r="B120" s="24" t="s">
        <v>612</v>
      </c>
      <c r="C120" s="24" t="s">
        <v>253</v>
      </c>
      <c r="D120" s="24" t="s">
        <v>267</v>
      </c>
      <c r="E120" s="24" t="s">
        <v>159</v>
      </c>
      <c r="F120" s="25" t="s">
        <v>167</v>
      </c>
    </row>
    <row r="121" spans="1:6">
      <c r="A121" s="22">
        <v>5756</v>
      </c>
      <c r="B121" s="24" t="s">
        <v>1850</v>
      </c>
      <c r="C121" s="24" t="s">
        <v>253</v>
      </c>
      <c r="D121" s="24" t="s">
        <v>267</v>
      </c>
      <c r="E121" s="24" t="s">
        <v>159</v>
      </c>
      <c r="F121" s="25" t="s">
        <v>158</v>
      </c>
    </row>
    <row r="122" spans="1:6">
      <c r="A122" s="22">
        <v>5761</v>
      </c>
      <c r="B122" s="24" t="s">
        <v>1851</v>
      </c>
      <c r="C122" s="24" t="s">
        <v>253</v>
      </c>
      <c r="D122" s="24" t="s">
        <v>267</v>
      </c>
      <c r="E122" s="24" t="s">
        <v>159</v>
      </c>
      <c r="F122" s="25" t="s">
        <v>199</v>
      </c>
    </row>
    <row r="123" spans="1:6">
      <c r="A123" s="22">
        <v>5789</v>
      </c>
      <c r="B123" s="24" t="s">
        <v>1852</v>
      </c>
      <c r="C123" s="24" t="s">
        <v>253</v>
      </c>
      <c r="D123" s="24" t="s">
        <v>267</v>
      </c>
      <c r="E123" s="24" t="s">
        <v>159</v>
      </c>
      <c r="F123" s="25" t="s">
        <v>158</v>
      </c>
    </row>
    <row r="124" spans="1:6">
      <c r="A124" s="22">
        <v>5790</v>
      </c>
      <c r="B124" s="24" t="s">
        <v>1853</v>
      </c>
      <c r="C124" s="24" t="s">
        <v>253</v>
      </c>
      <c r="D124" s="24" t="s">
        <v>267</v>
      </c>
      <c r="E124" s="24" t="s">
        <v>159</v>
      </c>
      <c r="F124" s="25" t="s">
        <v>167</v>
      </c>
    </row>
    <row r="125" spans="1:6">
      <c r="A125" s="22">
        <v>5792</v>
      </c>
      <c r="B125" s="24" t="s">
        <v>1854</v>
      </c>
      <c r="C125" s="24" t="s">
        <v>253</v>
      </c>
      <c r="D125" s="24" t="s">
        <v>267</v>
      </c>
      <c r="E125" s="24" t="s">
        <v>159</v>
      </c>
      <c r="F125" s="25" t="s">
        <v>158</v>
      </c>
    </row>
    <row r="126" spans="1:6">
      <c r="A126" s="22">
        <v>5809</v>
      </c>
      <c r="B126" s="24" t="s">
        <v>1855</v>
      </c>
      <c r="C126" s="24" t="s">
        <v>253</v>
      </c>
      <c r="D126" s="24" t="s">
        <v>267</v>
      </c>
      <c r="E126" s="24" t="s">
        <v>159</v>
      </c>
      <c r="F126" s="25" t="s">
        <v>199</v>
      </c>
    </row>
    <row r="127" spans="1:6">
      <c r="A127" s="22">
        <v>5837</v>
      </c>
      <c r="B127" s="24" t="s">
        <v>261</v>
      </c>
      <c r="C127" s="24" t="s">
        <v>253</v>
      </c>
      <c r="D127" s="24" t="s">
        <v>259</v>
      </c>
      <c r="E127" s="24" t="s">
        <v>159</v>
      </c>
      <c r="F127" s="25" t="s">
        <v>199</v>
      </c>
    </row>
    <row r="128" spans="1:6">
      <c r="A128" s="22">
        <v>5842</v>
      </c>
      <c r="B128" s="24" t="s">
        <v>1856</v>
      </c>
      <c r="C128" s="24" t="s">
        <v>253</v>
      </c>
      <c r="D128" s="24" t="s">
        <v>267</v>
      </c>
      <c r="E128" s="24" t="s">
        <v>159</v>
      </c>
      <c r="F128" s="25" t="s">
        <v>167</v>
      </c>
    </row>
    <row r="129" spans="1:6">
      <c r="A129" s="22">
        <v>5847</v>
      </c>
      <c r="B129" s="24" t="s">
        <v>1857</v>
      </c>
      <c r="C129" s="24" t="s">
        <v>253</v>
      </c>
      <c r="D129" s="24" t="s">
        <v>267</v>
      </c>
      <c r="E129" s="24" t="s">
        <v>159</v>
      </c>
      <c r="F129" s="25" t="s">
        <v>167</v>
      </c>
    </row>
    <row r="130" spans="1:6">
      <c r="A130" s="22">
        <v>5854</v>
      </c>
      <c r="B130" s="24" t="s">
        <v>269</v>
      </c>
      <c r="C130" s="24" t="s">
        <v>253</v>
      </c>
      <c r="D130" s="24" t="s">
        <v>267</v>
      </c>
      <c r="E130" s="24" t="s">
        <v>159</v>
      </c>
      <c r="F130" s="25" t="s">
        <v>158</v>
      </c>
    </row>
    <row r="131" spans="1:6">
      <c r="A131" s="22">
        <v>5858</v>
      </c>
      <c r="B131" s="24" t="s">
        <v>1546</v>
      </c>
      <c r="C131" s="24" t="s">
        <v>253</v>
      </c>
      <c r="D131" s="24" t="s">
        <v>267</v>
      </c>
      <c r="E131" s="24" t="s">
        <v>159</v>
      </c>
      <c r="F131" s="25" t="s">
        <v>158</v>
      </c>
    </row>
    <row r="132" spans="1:6">
      <c r="A132" s="22">
        <v>5873</v>
      </c>
      <c r="B132" s="24" t="s">
        <v>1858</v>
      </c>
      <c r="C132" s="24" t="s">
        <v>253</v>
      </c>
      <c r="D132" s="24" t="s">
        <v>259</v>
      </c>
      <c r="E132" s="24" t="s">
        <v>190</v>
      </c>
      <c r="F132" s="25" t="s">
        <v>147</v>
      </c>
    </row>
    <row r="133" spans="1:6">
      <c r="A133" s="22">
        <v>5885</v>
      </c>
      <c r="B133" s="24" t="s">
        <v>1859</v>
      </c>
      <c r="C133" s="24" t="s">
        <v>253</v>
      </c>
      <c r="D133" s="24" t="s">
        <v>267</v>
      </c>
      <c r="E133" s="24" t="s">
        <v>159</v>
      </c>
      <c r="F133" s="25" t="s">
        <v>199</v>
      </c>
    </row>
    <row r="134" spans="1:6">
      <c r="A134" s="22">
        <v>5887</v>
      </c>
      <c r="B134" s="24" t="s">
        <v>1860</v>
      </c>
      <c r="C134" s="24" t="s">
        <v>253</v>
      </c>
      <c r="D134" s="24" t="s">
        <v>267</v>
      </c>
      <c r="E134" s="24" t="s">
        <v>159</v>
      </c>
      <c r="F134" s="25" t="s">
        <v>158</v>
      </c>
    </row>
    <row r="135" spans="1:6">
      <c r="A135" s="22">
        <v>5890</v>
      </c>
      <c r="B135" s="24" t="s">
        <v>1861</v>
      </c>
      <c r="C135" s="24" t="s">
        <v>253</v>
      </c>
      <c r="D135" s="24" t="s">
        <v>267</v>
      </c>
      <c r="E135" s="24" t="s">
        <v>159</v>
      </c>
      <c r="F135" s="25" t="s">
        <v>199</v>
      </c>
    </row>
    <row r="136" spans="1:6">
      <c r="A136" s="22">
        <v>5893</v>
      </c>
      <c r="B136" s="24" t="s">
        <v>1862</v>
      </c>
      <c r="C136" s="24" t="s">
        <v>253</v>
      </c>
      <c r="D136" s="24" t="s">
        <v>219</v>
      </c>
      <c r="E136" s="24" t="s">
        <v>159</v>
      </c>
      <c r="F136" s="25" t="s">
        <v>167</v>
      </c>
    </row>
    <row r="137" spans="1:6">
      <c r="A137" s="22">
        <v>5895</v>
      </c>
      <c r="B137" s="24" t="s">
        <v>848</v>
      </c>
      <c r="C137" s="24" t="s">
        <v>253</v>
      </c>
      <c r="D137" s="24" t="s">
        <v>176</v>
      </c>
      <c r="E137" s="24" t="s">
        <v>159</v>
      </c>
      <c r="F137" s="25" t="s">
        <v>167</v>
      </c>
    </row>
    <row r="138" spans="1:6">
      <c r="A138" s="22">
        <v>81001</v>
      </c>
      <c r="B138" s="24" t="s">
        <v>908</v>
      </c>
      <c r="C138" s="24" t="s">
        <v>908</v>
      </c>
      <c r="D138" s="24" t="s">
        <v>219</v>
      </c>
      <c r="E138" s="24" t="s">
        <v>190</v>
      </c>
      <c r="F138" s="25" t="s">
        <v>147</v>
      </c>
    </row>
    <row r="139" spans="1:6">
      <c r="A139" s="22">
        <v>81065</v>
      </c>
      <c r="B139" s="24" t="s">
        <v>1863</v>
      </c>
      <c r="C139" s="24" t="s">
        <v>908</v>
      </c>
      <c r="D139" s="24" t="s">
        <v>219</v>
      </c>
      <c r="E139" s="24" t="s">
        <v>190</v>
      </c>
      <c r="F139" s="25" t="s">
        <v>147</v>
      </c>
    </row>
    <row r="140" spans="1:6">
      <c r="A140" s="22">
        <v>81220</v>
      </c>
      <c r="B140" s="24" t="s">
        <v>1864</v>
      </c>
      <c r="C140" s="24" t="s">
        <v>908</v>
      </c>
      <c r="D140" s="24" t="s">
        <v>219</v>
      </c>
      <c r="E140" s="24" t="s">
        <v>190</v>
      </c>
      <c r="F140" s="25" t="s">
        <v>147</v>
      </c>
    </row>
    <row r="141" spans="1:6">
      <c r="A141" s="22">
        <v>81300</v>
      </c>
      <c r="B141" s="24" t="s">
        <v>1865</v>
      </c>
      <c r="C141" s="24" t="s">
        <v>908</v>
      </c>
      <c r="D141" s="24" t="s">
        <v>219</v>
      </c>
      <c r="E141" s="24" t="s">
        <v>190</v>
      </c>
      <c r="F141" s="25" t="s">
        <v>147</v>
      </c>
    </row>
    <row r="142" spans="1:6">
      <c r="A142" s="22">
        <v>81591</v>
      </c>
      <c r="B142" s="24" t="s">
        <v>1866</v>
      </c>
      <c r="C142" s="24" t="s">
        <v>908</v>
      </c>
      <c r="D142" s="24" t="s">
        <v>219</v>
      </c>
      <c r="E142" s="24" t="s">
        <v>190</v>
      </c>
      <c r="F142" s="25" t="s">
        <v>147</v>
      </c>
    </row>
    <row r="143" spans="1:6">
      <c r="A143" s="22">
        <v>81736</v>
      </c>
      <c r="B143" s="24" t="s">
        <v>915</v>
      </c>
      <c r="C143" s="24" t="s">
        <v>908</v>
      </c>
      <c r="D143" s="24" t="s">
        <v>219</v>
      </c>
      <c r="E143" s="24" t="s">
        <v>190</v>
      </c>
      <c r="F143" s="25" t="s">
        <v>147</v>
      </c>
    </row>
    <row r="144" spans="1:6">
      <c r="A144" s="22">
        <v>81794</v>
      </c>
      <c r="B144" s="24" t="s">
        <v>1867</v>
      </c>
      <c r="C144" s="24" t="s">
        <v>908</v>
      </c>
      <c r="D144" s="24" t="s">
        <v>219</v>
      </c>
      <c r="E144" s="24" t="s">
        <v>190</v>
      </c>
      <c r="F144" s="25" t="s">
        <v>147</v>
      </c>
    </row>
    <row r="145" spans="1:6">
      <c r="A145" s="22">
        <v>8141</v>
      </c>
      <c r="B145" s="23" t="s">
        <v>1868</v>
      </c>
      <c r="C145" s="24" t="s">
        <v>1091</v>
      </c>
      <c r="D145" s="24" t="s">
        <v>1089</v>
      </c>
      <c r="E145" s="24" t="s">
        <v>159</v>
      </c>
      <c r="F145" s="25" t="s">
        <v>199</v>
      </c>
    </row>
    <row r="146" spans="1:6">
      <c r="A146" s="22">
        <v>8573</v>
      </c>
      <c r="B146" s="23" t="s">
        <v>1869</v>
      </c>
      <c r="C146" s="24" t="s">
        <v>1091</v>
      </c>
      <c r="D146" s="24" t="s">
        <v>1089</v>
      </c>
      <c r="E146" s="24" t="s">
        <v>159</v>
      </c>
      <c r="F146" s="25" t="s">
        <v>199</v>
      </c>
    </row>
    <row r="147" spans="1:6">
      <c r="A147" s="22">
        <v>8638</v>
      </c>
      <c r="B147" s="23" t="s">
        <v>1774</v>
      </c>
      <c r="C147" s="24" t="s">
        <v>1091</v>
      </c>
      <c r="D147" s="24" t="s">
        <v>1089</v>
      </c>
      <c r="E147" s="24" t="s">
        <v>159</v>
      </c>
      <c r="F147" s="25" t="s">
        <v>199</v>
      </c>
    </row>
    <row r="148" spans="1:6">
      <c r="A148" s="22">
        <v>8078</v>
      </c>
      <c r="B148" s="24" t="s">
        <v>1870</v>
      </c>
      <c r="C148" s="24" t="s">
        <v>1091</v>
      </c>
      <c r="D148" s="24" t="s">
        <v>1089</v>
      </c>
      <c r="E148" s="24" t="s">
        <v>159</v>
      </c>
      <c r="F148" s="25" t="s">
        <v>199</v>
      </c>
    </row>
    <row r="149" spans="1:6">
      <c r="A149" s="22">
        <v>8001</v>
      </c>
      <c r="B149" s="24" t="s">
        <v>1089</v>
      </c>
      <c r="C149" s="24" t="s">
        <v>1091</v>
      </c>
      <c r="D149" s="24" t="s">
        <v>1089</v>
      </c>
      <c r="E149" s="24" t="s">
        <v>159</v>
      </c>
      <c r="F149" s="25" t="s">
        <v>55</v>
      </c>
    </row>
    <row r="150" spans="1:6">
      <c r="A150" s="22">
        <v>8137</v>
      </c>
      <c r="B150" s="24" t="s">
        <v>1871</v>
      </c>
      <c r="C150" s="24" t="s">
        <v>1091</v>
      </c>
      <c r="D150" s="24" t="s">
        <v>1089</v>
      </c>
      <c r="E150" s="24" t="s">
        <v>159</v>
      </c>
      <c r="F150" s="25" t="s">
        <v>199</v>
      </c>
    </row>
    <row r="151" spans="1:6">
      <c r="A151" s="22">
        <v>8296</v>
      </c>
      <c r="B151" s="24" t="s">
        <v>1872</v>
      </c>
      <c r="C151" s="24" t="s">
        <v>1091</v>
      </c>
      <c r="D151" s="24" t="s">
        <v>1089</v>
      </c>
      <c r="E151" s="24" t="s">
        <v>159</v>
      </c>
      <c r="F151" s="25" t="s">
        <v>55</v>
      </c>
    </row>
    <row r="152" spans="1:6">
      <c r="A152" s="22">
        <v>8372</v>
      </c>
      <c r="B152" s="24" t="s">
        <v>1873</v>
      </c>
      <c r="C152" s="24" t="s">
        <v>1091</v>
      </c>
      <c r="D152" s="24" t="s">
        <v>1089</v>
      </c>
      <c r="E152" s="24" t="s">
        <v>159</v>
      </c>
      <c r="F152" s="25" t="s">
        <v>199</v>
      </c>
    </row>
    <row r="153" spans="1:6">
      <c r="A153" s="22">
        <v>8421</v>
      </c>
      <c r="B153" s="24" t="s">
        <v>1874</v>
      </c>
      <c r="C153" s="24" t="s">
        <v>1091</v>
      </c>
      <c r="D153" s="24" t="s">
        <v>1089</v>
      </c>
      <c r="E153" s="24" t="s">
        <v>159</v>
      </c>
      <c r="F153" s="25" t="s">
        <v>199</v>
      </c>
    </row>
    <row r="154" spans="1:6">
      <c r="A154" s="22">
        <v>8433</v>
      </c>
      <c r="B154" s="24" t="s">
        <v>1875</v>
      </c>
      <c r="C154" s="24" t="s">
        <v>1091</v>
      </c>
      <c r="D154" s="24" t="s">
        <v>1089</v>
      </c>
      <c r="E154" s="24" t="s">
        <v>159</v>
      </c>
      <c r="F154" s="25" t="s">
        <v>199</v>
      </c>
    </row>
    <row r="155" spans="1:6">
      <c r="A155" s="22">
        <v>8436</v>
      </c>
      <c r="B155" s="24" t="s">
        <v>1876</v>
      </c>
      <c r="C155" s="24" t="s">
        <v>1091</v>
      </c>
      <c r="D155" s="24" t="s">
        <v>1089</v>
      </c>
      <c r="E155" s="24" t="s">
        <v>159</v>
      </c>
      <c r="F155" s="25" t="s">
        <v>199</v>
      </c>
    </row>
    <row r="156" spans="1:6">
      <c r="A156" s="22">
        <v>8520</v>
      </c>
      <c r="B156" s="24" t="s">
        <v>1877</v>
      </c>
      <c r="C156" s="24" t="s">
        <v>1091</v>
      </c>
      <c r="D156" s="24" t="s">
        <v>1089</v>
      </c>
      <c r="E156" s="24" t="s">
        <v>159</v>
      </c>
      <c r="F156" s="25" t="s">
        <v>199</v>
      </c>
    </row>
    <row r="157" spans="1:6">
      <c r="A157" s="22">
        <v>8549</v>
      </c>
      <c r="B157" s="24" t="s">
        <v>1878</v>
      </c>
      <c r="C157" s="24" t="s">
        <v>1091</v>
      </c>
      <c r="D157" s="24" t="s">
        <v>1089</v>
      </c>
      <c r="E157" s="24" t="s">
        <v>159</v>
      </c>
      <c r="F157" s="25" t="s">
        <v>199</v>
      </c>
    </row>
    <row r="158" spans="1:6">
      <c r="A158" s="22">
        <v>8558</v>
      </c>
      <c r="B158" s="24" t="s">
        <v>1879</v>
      </c>
      <c r="C158" s="24" t="s">
        <v>1091</v>
      </c>
      <c r="D158" s="24" t="s">
        <v>1089</v>
      </c>
      <c r="E158" s="24" t="s">
        <v>159</v>
      </c>
      <c r="F158" s="25" t="s">
        <v>199</v>
      </c>
    </row>
    <row r="159" spans="1:6">
      <c r="A159" s="22">
        <v>8560</v>
      </c>
      <c r="B159" s="24" t="s">
        <v>1880</v>
      </c>
      <c r="C159" s="24" t="s">
        <v>1091</v>
      </c>
      <c r="D159" s="24" t="s">
        <v>1089</v>
      </c>
      <c r="E159" s="24" t="s">
        <v>159</v>
      </c>
      <c r="F159" s="25" t="s">
        <v>199</v>
      </c>
    </row>
    <row r="160" spans="1:6">
      <c r="A160" s="22">
        <v>8606</v>
      </c>
      <c r="B160" s="24" t="s">
        <v>1881</v>
      </c>
      <c r="C160" s="24" t="s">
        <v>1091</v>
      </c>
      <c r="D160" s="24" t="s">
        <v>1089</v>
      </c>
      <c r="E160" s="24" t="s">
        <v>159</v>
      </c>
      <c r="F160" s="25" t="s">
        <v>199</v>
      </c>
    </row>
    <row r="161" spans="1:6">
      <c r="A161" s="22">
        <v>8634</v>
      </c>
      <c r="B161" s="24" t="s">
        <v>1882</v>
      </c>
      <c r="C161" s="24" t="s">
        <v>1091</v>
      </c>
      <c r="D161" s="24" t="s">
        <v>1089</v>
      </c>
      <c r="E161" s="24" t="s">
        <v>159</v>
      </c>
      <c r="F161" s="25" t="s">
        <v>199</v>
      </c>
    </row>
    <row r="162" spans="1:6">
      <c r="A162" s="22">
        <v>8675</v>
      </c>
      <c r="B162" s="24" t="s">
        <v>1883</v>
      </c>
      <c r="C162" s="24" t="s">
        <v>1091</v>
      </c>
      <c r="D162" s="24" t="s">
        <v>1089</v>
      </c>
      <c r="E162" s="24" t="s">
        <v>159</v>
      </c>
      <c r="F162" s="25" t="s">
        <v>199</v>
      </c>
    </row>
    <row r="163" spans="1:6">
      <c r="A163" s="22">
        <v>8685</v>
      </c>
      <c r="B163" s="24" t="s">
        <v>1884</v>
      </c>
      <c r="C163" s="24" t="s">
        <v>1091</v>
      </c>
      <c r="D163" s="24" t="s">
        <v>1089</v>
      </c>
      <c r="E163" s="24" t="s">
        <v>159</v>
      </c>
      <c r="F163" s="25" t="s">
        <v>199</v>
      </c>
    </row>
    <row r="164" spans="1:6">
      <c r="A164" s="22">
        <v>8758</v>
      </c>
      <c r="B164" s="24" t="s">
        <v>1097</v>
      </c>
      <c r="C164" s="24" t="s">
        <v>1091</v>
      </c>
      <c r="D164" s="24" t="s">
        <v>1089</v>
      </c>
      <c r="E164" s="24" t="s">
        <v>159</v>
      </c>
      <c r="F164" s="25" t="s">
        <v>55</v>
      </c>
    </row>
    <row r="165" spans="1:6">
      <c r="A165" s="22">
        <v>8770</v>
      </c>
      <c r="B165" s="24" t="s">
        <v>1885</v>
      </c>
      <c r="C165" s="24" t="s">
        <v>1091</v>
      </c>
      <c r="D165" s="24" t="s">
        <v>1089</v>
      </c>
      <c r="E165" s="24" t="s">
        <v>159</v>
      </c>
      <c r="F165" s="25" t="s">
        <v>199</v>
      </c>
    </row>
    <row r="166" spans="1:6">
      <c r="A166" s="22">
        <v>8832</v>
      </c>
      <c r="B166" s="24" t="s">
        <v>1886</v>
      </c>
      <c r="C166" s="24" t="s">
        <v>1091</v>
      </c>
      <c r="D166" s="24" t="s">
        <v>1089</v>
      </c>
      <c r="E166" s="24" t="s">
        <v>159</v>
      </c>
      <c r="F166" s="25" t="s">
        <v>199</v>
      </c>
    </row>
    <row r="167" spans="1:6">
      <c r="A167" s="22">
        <v>8849</v>
      </c>
      <c r="B167" s="24" t="s">
        <v>1887</v>
      </c>
      <c r="C167" s="24" t="s">
        <v>1091</v>
      </c>
      <c r="D167" s="24" t="s">
        <v>1089</v>
      </c>
      <c r="E167" s="24" t="s">
        <v>159</v>
      </c>
      <c r="F167" s="25" t="s">
        <v>199</v>
      </c>
    </row>
    <row r="168" spans="1:6">
      <c r="A168" s="22">
        <v>13140</v>
      </c>
      <c r="B168" s="23" t="s">
        <v>1888</v>
      </c>
      <c r="C168" s="24" t="s">
        <v>713</v>
      </c>
      <c r="D168" s="24" t="s">
        <v>711</v>
      </c>
      <c r="E168" s="24" t="s">
        <v>159</v>
      </c>
      <c r="F168" s="25" t="s">
        <v>199</v>
      </c>
    </row>
    <row r="169" spans="1:6">
      <c r="A169" s="22">
        <v>13212</v>
      </c>
      <c r="B169" s="23" t="s">
        <v>178</v>
      </c>
      <c r="C169" s="24" t="s">
        <v>713</v>
      </c>
      <c r="D169" s="24" t="s">
        <v>711</v>
      </c>
      <c r="E169" s="24" t="s">
        <v>159</v>
      </c>
      <c r="F169" s="25" t="s">
        <v>167</v>
      </c>
    </row>
    <row r="170" spans="1:6">
      <c r="A170" s="22">
        <v>13268</v>
      </c>
      <c r="B170" s="23" t="s">
        <v>1889</v>
      </c>
      <c r="C170" s="24" t="s">
        <v>713</v>
      </c>
      <c r="D170" s="24" t="s">
        <v>621</v>
      </c>
      <c r="E170" s="24" t="s">
        <v>159</v>
      </c>
      <c r="F170" s="25" t="s">
        <v>167</v>
      </c>
    </row>
    <row r="171" spans="1:6">
      <c r="A171" s="22">
        <v>13473</v>
      </c>
      <c r="B171" s="23" t="s">
        <v>1890</v>
      </c>
      <c r="C171" s="24" t="s">
        <v>713</v>
      </c>
      <c r="D171" s="24" t="s">
        <v>621</v>
      </c>
      <c r="E171" s="24" t="s">
        <v>159</v>
      </c>
      <c r="F171" s="25" t="s">
        <v>167</v>
      </c>
    </row>
    <row r="172" spans="1:6">
      <c r="A172" s="22">
        <v>13670</v>
      </c>
      <c r="B172" s="23" t="s">
        <v>853</v>
      </c>
      <c r="C172" s="24" t="s">
        <v>713</v>
      </c>
      <c r="D172" s="24" t="s">
        <v>219</v>
      </c>
      <c r="E172" s="24" t="s">
        <v>857</v>
      </c>
      <c r="F172" s="25" t="s">
        <v>147</v>
      </c>
    </row>
    <row r="173" spans="1:6">
      <c r="A173" s="22">
        <v>13683</v>
      </c>
      <c r="B173" s="23" t="s">
        <v>1891</v>
      </c>
      <c r="C173" s="24" t="s">
        <v>713</v>
      </c>
      <c r="D173" s="24" t="s">
        <v>711</v>
      </c>
      <c r="E173" s="24" t="s">
        <v>159</v>
      </c>
      <c r="F173" s="25" t="s">
        <v>199</v>
      </c>
    </row>
    <row r="174" spans="1:6">
      <c r="A174" s="22">
        <v>13873</v>
      </c>
      <c r="B174" s="23" t="s">
        <v>778</v>
      </c>
      <c r="C174" s="24" t="s">
        <v>713</v>
      </c>
      <c r="D174" s="24" t="s">
        <v>711</v>
      </c>
      <c r="E174" s="24" t="s">
        <v>159</v>
      </c>
      <c r="F174" s="25" t="s">
        <v>199</v>
      </c>
    </row>
    <row r="175" spans="1:6">
      <c r="A175" s="22">
        <v>13006</v>
      </c>
      <c r="B175" s="24" t="s">
        <v>1892</v>
      </c>
      <c r="C175" s="24" t="s">
        <v>713</v>
      </c>
      <c r="D175" s="24" t="s">
        <v>711</v>
      </c>
      <c r="E175" s="24" t="s">
        <v>159</v>
      </c>
      <c r="F175" s="25" t="s">
        <v>167</v>
      </c>
    </row>
    <row r="176" spans="1:6">
      <c r="A176" s="22">
        <v>13030</v>
      </c>
      <c r="B176" s="24" t="s">
        <v>1893</v>
      </c>
      <c r="C176" s="24" t="s">
        <v>713</v>
      </c>
      <c r="D176" s="24" t="s">
        <v>711</v>
      </c>
      <c r="E176" s="24" t="s">
        <v>159</v>
      </c>
      <c r="F176" s="25" t="s">
        <v>167</v>
      </c>
    </row>
    <row r="177" spans="1:6">
      <c r="A177" s="22">
        <v>13042</v>
      </c>
      <c r="B177" s="24" t="s">
        <v>1894</v>
      </c>
      <c r="C177" s="24" t="s">
        <v>713</v>
      </c>
      <c r="D177" s="24" t="s">
        <v>621</v>
      </c>
      <c r="E177" s="24" t="s">
        <v>159</v>
      </c>
      <c r="F177" s="25" t="s">
        <v>167</v>
      </c>
    </row>
    <row r="178" spans="1:6">
      <c r="A178" s="22">
        <v>13052</v>
      </c>
      <c r="B178" s="24" t="s">
        <v>1895</v>
      </c>
      <c r="C178" s="24" t="s">
        <v>713</v>
      </c>
      <c r="D178" s="24" t="s">
        <v>711</v>
      </c>
      <c r="E178" s="24" t="s">
        <v>159</v>
      </c>
      <c r="F178" s="25" t="s">
        <v>199</v>
      </c>
    </row>
    <row r="179" spans="1:6">
      <c r="A179" s="22">
        <v>13062</v>
      </c>
      <c r="B179" s="24" t="s">
        <v>1896</v>
      </c>
      <c r="C179" s="24" t="s">
        <v>713</v>
      </c>
      <c r="D179" s="24" t="s">
        <v>711</v>
      </c>
      <c r="E179" s="24" t="s">
        <v>159</v>
      </c>
      <c r="F179" s="25" t="s">
        <v>199</v>
      </c>
    </row>
    <row r="180" spans="1:6">
      <c r="A180" s="22">
        <v>13074</v>
      </c>
      <c r="B180" s="24" t="s">
        <v>1897</v>
      </c>
      <c r="C180" s="24" t="s">
        <v>713</v>
      </c>
      <c r="D180" s="24" t="s">
        <v>621</v>
      </c>
      <c r="E180" s="24" t="s">
        <v>159</v>
      </c>
      <c r="F180" s="25" t="s">
        <v>167</v>
      </c>
    </row>
    <row r="181" spans="1:6">
      <c r="A181" s="22">
        <v>13160</v>
      </c>
      <c r="B181" s="24" t="s">
        <v>1898</v>
      </c>
      <c r="C181" s="24" t="s">
        <v>713</v>
      </c>
      <c r="D181" s="24" t="s">
        <v>219</v>
      </c>
      <c r="E181" s="24" t="s">
        <v>857</v>
      </c>
      <c r="F181" s="25" t="s">
        <v>147</v>
      </c>
    </row>
    <row r="182" spans="1:6">
      <c r="A182" s="22">
        <v>13001</v>
      </c>
      <c r="B182" s="24" t="s">
        <v>711</v>
      </c>
      <c r="C182" s="24" t="s">
        <v>713</v>
      </c>
      <c r="D182" s="24" t="s">
        <v>711</v>
      </c>
      <c r="E182" s="24" t="s">
        <v>159</v>
      </c>
      <c r="F182" s="25" t="s">
        <v>55</v>
      </c>
    </row>
    <row r="183" spans="1:6">
      <c r="A183" s="22">
        <v>13188</v>
      </c>
      <c r="B183" s="24" t="s">
        <v>1899</v>
      </c>
      <c r="C183" s="24" t="s">
        <v>713</v>
      </c>
      <c r="D183" s="24" t="s">
        <v>711</v>
      </c>
      <c r="E183" s="24" t="s">
        <v>159</v>
      </c>
      <c r="F183" s="25" t="s">
        <v>167</v>
      </c>
    </row>
    <row r="184" spans="1:6">
      <c r="A184" s="22">
        <v>13222</v>
      </c>
      <c r="B184" s="24" t="s">
        <v>1900</v>
      </c>
      <c r="C184" s="24" t="s">
        <v>713</v>
      </c>
      <c r="D184" s="24" t="s">
        <v>711</v>
      </c>
      <c r="E184" s="24" t="s">
        <v>159</v>
      </c>
      <c r="F184" s="25" t="s">
        <v>199</v>
      </c>
    </row>
    <row r="185" spans="1:6">
      <c r="A185" s="22">
        <v>13244</v>
      </c>
      <c r="B185" s="24" t="s">
        <v>1901</v>
      </c>
      <c r="C185" s="24" t="s">
        <v>713</v>
      </c>
      <c r="D185" s="24" t="s">
        <v>711</v>
      </c>
      <c r="E185" s="24" t="s">
        <v>159</v>
      </c>
      <c r="F185" s="25" t="s">
        <v>158</v>
      </c>
    </row>
    <row r="186" spans="1:6">
      <c r="A186" s="22">
        <v>13248</v>
      </c>
      <c r="B186" s="24" t="s">
        <v>1902</v>
      </c>
      <c r="C186" s="24" t="s">
        <v>713</v>
      </c>
      <c r="D186" s="24" t="s">
        <v>711</v>
      </c>
      <c r="E186" s="24" t="s">
        <v>159</v>
      </c>
      <c r="F186" s="25" t="s">
        <v>167</v>
      </c>
    </row>
    <row r="187" spans="1:6">
      <c r="A187" s="22">
        <v>13300</v>
      </c>
      <c r="B187" s="24" t="s">
        <v>1903</v>
      </c>
      <c r="C187" s="24" t="s">
        <v>713</v>
      </c>
      <c r="D187" s="24" t="s">
        <v>621</v>
      </c>
      <c r="E187" s="24" t="s">
        <v>159</v>
      </c>
      <c r="F187" s="25" t="s">
        <v>167</v>
      </c>
    </row>
    <row r="188" spans="1:6">
      <c r="A188" s="22">
        <v>13430</v>
      </c>
      <c r="B188" s="24" t="s">
        <v>1904</v>
      </c>
      <c r="C188" s="24" t="s">
        <v>713</v>
      </c>
      <c r="D188" s="24" t="s">
        <v>711</v>
      </c>
      <c r="E188" s="24" t="s">
        <v>159</v>
      </c>
      <c r="F188" s="25" t="s">
        <v>167</v>
      </c>
    </row>
    <row r="189" spans="1:6">
      <c r="A189" s="22">
        <v>13433</v>
      </c>
      <c r="B189" s="24" t="s">
        <v>1905</v>
      </c>
      <c r="C189" s="24" t="s">
        <v>713</v>
      </c>
      <c r="D189" s="24" t="s">
        <v>711</v>
      </c>
      <c r="E189" s="24" t="s">
        <v>159</v>
      </c>
      <c r="F189" s="25" t="s">
        <v>199</v>
      </c>
    </row>
    <row r="190" spans="1:6">
      <c r="A190" s="22">
        <v>13440</v>
      </c>
      <c r="B190" s="24" t="s">
        <v>1906</v>
      </c>
      <c r="C190" s="24" t="s">
        <v>713</v>
      </c>
      <c r="D190" s="24" t="s">
        <v>711</v>
      </c>
      <c r="E190" s="24" t="s">
        <v>159</v>
      </c>
      <c r="F190" s="25" t="s">
        <v>167</v>
      </c>
    </row>
    <row r="191" spans="1:6">
      <c r="A191" s="22">
        <v>13442</v>
      </c>
      <c r="B191" s="24" t="s">
        <v>1907</v>
      </c>
      <c r="C191" s="24" t="s">
        <v>713</v>
      </c>
      <c r="D191" s="24" t="s">
        <v>711</v>
      </c>
      <c r="E191" s="24" t="s">
        <v>159</v>
      </c>
      <c r="F191" s="25" t="s">
        <v>199</v>
      </c>
    </row>
    <row r="192" spans="1:6">
      <c r="A192" s="22">
        <v>13468</v>
      </c>
      <c r="B192" s="24" t="s">
        <v>1908</v>
      </c>
      <c r="C192" s="24" t="s">
        <v>713</v>
      </c>
      <c r="D192" s="24" t="s">
        <v>711</v>
      </c>
      <c r="E192" s="24" t="s">
        <v>159</v>
      </c>
      <c r="F192" s="25" t="s">
        <v>167</v>
      </c>
    </row>
    <row r="193" spans="1:6">
      <c r="A193" s="22">
        <v>13458</v>
      </c>
      <c r="B193" s="24" t="s">
        <v>1909</v>
      </c>
      <c r="C193" s="24" t="s">
        <v>713</v>
      </c>
      <c r="D193" s="24" t="s">
        <v>711</v>
      </c>
      <c r="E193" s="24" t="s">
        <v>857</v>
      </c>
      <c r="F193" s="25" t="s">
        <v>147</v>
      </c>
    </row>
    <row r="194" spans="1:6">
      <c r="A194" s="22">
        <v>13490</v>
      </c>
      <c r="B194" s="24" t="s">
        <v>1910</v>
      </c>
      <c r="C194" s="24" t="s">
        <v>713</v>
      </c>
      <c r="D194" s="24" t="s">
        <v>711</v>
      </c>
      <c r="E194" s="24" t="s">
        <v>159</v>
      </c>
      <c r="F194" s="25" t="s">
        <v>167</v>
      </c>
    </row>
    <row r="195" spans="1:6">
      <c r="A195" s="22">
        <v>13549</v>
      </c>
      <c r="B195" s="24" t="s">
        <v>1911</v>
      </c>
      <c r="C195" s="24" t="s">
        <v>713</v>
      </c>
      <c r="D195" s="24" t="s">
        <v>711</v>
      </c>
      <c r="E195" s="24" t="s">
        <v>159</v>
      </c>
      <c r="F195" s="25" t="s">
        <v>167</v>
      </c>
    </row>
    <row r="196" spans="1:6">
      <c r="A196" s="22">
        <v>13580</v>
      </c>
      <c r="B196" s="24" t="s">
        <v>1912</v>
      </c>
      <c r="C196" s="24" t="s">
        <v>713</v>
      </c>
      <c r="D196" s="24" t="s">
        <v>711</v>
      </c>
      <c r="E196" s="24" t="s">
        <v>159</v>
      </c>
      <c r="F196" s="25" t="s">
        <v>167</v>
      </c>
    </row>
    <row r="197" spans="1:6">
      <c r="A197" s="22">
        <v>13600</v>
      </c>
      <c r="B197" s="24" t="s">
        <v>1913</v>
      </c>
      <c r="C197" s="24" t="s">
        <v>713</v>
      </c>
      <c r="D197" s="24" t="s">
        <v>621</v>
      </c>
      <c r="E197" s="24" t="s">
        <v>159</v>
      </c>
      <c r="F197" s="25" t="s">
        <v>167</v>
      </c>
    </row>
    <row r="198" spans="1:6">
      <c r="A198" s="22">
        <v>13620</v>
      </c>
      <c r="B198" s="24" t="s">
        <v>1914</v>
      </c>
      <c r="C198" s="24" t="s">
        <v>713</v>
      </c>
      <c r="D198" s="24" t="s">
        <v>711</v>
      </c>
      <c r="E198" s="24" t="s">
        <v>159</v>
      </c>
      <c r="F198" s="25" t="s">
        <v>158</v>
      </c>
    </row>
    <row r="199" spans="1:6">
      <c r="A199" s="22">
        <v>13647</v>
      </c>
      <c r="B199" s="24" t="s">
        <v>1915</v>
      </c>
      <c r="C199" s="24" t="s">
        <v>713</v>
      </c>
      <c r="D199" s="24" t="s">
        <v>711</v>
      </c>
      <c r="E199" s="24" t="s">
        <v>159</v>
      </c>
      <c r="F199" s="25" t="s">
        <v>199</v>
      </c>
    </row>
    <row r="200" spans="1:6">
      <c r="A200" s="22">
        <v>13650</v>
      </c>
      <c r="B200" s="24" t="s">
        <v>1916</v>
      </c>
      <c r="C200" s="24" t="s">
        <v>713</v>
      </c>
      <c r="D200" s="24" t="s">
        <v>711</v>
      </c>
      <c r="E200" s="24" t="s">
        <v>159</v>
      </c>
      <c r="F200" s="25" t="s">
        <v>167</v>
      </c>
    </row>
    <row r="201" spans="1:6">
      <c r="A201" s="22">
        <v>13654</v>
      </c>
      <c r="B201" s="24" t="s">
        <v>1917</v>
      </c>
      <c r="C201" s="24" t="s">
        <v>713</v>
      </c>
      <c r="D201" s="24" t="s">
        <v>711</v>
      </c>
      <c r="E201" s="24" t="s">
        <v>159</v>
      </c>
      <c r="F201" s="25" t="s">
        <v>158</v>
      </c>
    </row>
    <row r="202" spans="1:6">
      <c r="A202" s="22">
        <v>13655</v>
      </c>
      <c r="B202" s="24" t="s">
        <v>1918</v>
      </c>
      <c r="C202" s="24" t="s">
        <v>713</v>
      </c>
      <c r="D202" s="24" t="s">
        <v>711</v>
      </c>
      <c r="E202" s="24" t="s">
        <v>159</v>
      </c>
      <c r="F202" s="25" t="s">
        <v>167</v>
      </c>
    </row>
    <row r="203" spans="1:6">
      <c r="A203" s="22">
        <v>13657</v>
      </c>
      <c r="B203" s="24" t="s">
        <v>1919</v>
      </c>
      <c r="C203" s="24" t="s">
        <v>713</v>
      </c>
      <c r="D203" s="24" t="s">
        <v>711</v>
      </c>
      <c r="E203" s="24" t="s">
        <v>159</v>
      </c>
      <c r="F203" s="25" t="s">
        <v>199</v>
      </c>
    </row>
    <row r="204" spans="1:6">
      <c r="A204" s="22">
        <v>13667</v>
      </c>
      <c r="B204" s="24" t="s">
        <v>1920</v>
      </c>
      <c r="C204" s="24" t="s">
        <v>713</v>
      </c>
      <c r="D204" s="24" t="s">
        <v>711</v>
      </c>
      <c r="E204" s="24" t="s">
        <v>159</v>
      </c>
      <c r="F204" s="25" t="s">
        <v>167</v>
      </c>
    </row>
    <row r="205" spans="1:6">
      <c r="A205" s="22">
        <v>13673</v>
      </c>
      <c r="B205" s="24" t="s">
        <v>1921</v>
      </c>
      <c r="C205" s="24" t="s">
        <v>713</v>
      </c>
      <c r="D205" s="24" t="s">
        <v>711</v>
      </c>
      <c r="E205" s="24" t="s">
        <v>159</v>
      </c>
      <c r="F205" s="25" t="s">
        <v>199</v>
      </c>
    </row>
    <row r="206" spans="1:6">
      <c r="A206" s="22">
        <v>13688</v>
      </c>
      <c r="B206" s="24" t="s">
        <v>859</v>
      </c>
      <c r="C206" s="24" t="s">
        <v>713</v>
      </c>
      <c r="D206" s="24" t="s">
        <v>219</v>
      </c>
      <c r="E206" s="24" t="s">
        <v>857</v>
      </c>
      <c r="F206" s="25" t="s">
        <v>147</v>
      </c>
    </row>
    <row r="207" spans="1:6">
      <c r="A207" s="22">
        <v>13744</v>
      </c>
      <c r="B207" s="24" t="s">
        <v>1922</v>
      </c>
      <c r="C207" s="24" t="s">
        <v>713</v>
      </c>
      <c r="D207" s="24" t="s">
        <v>219</v>
      </c>
      <c r="E207" s="24" t="s">
        <v>857</v>
      </c>
      <c r="F207" s="25" t="s">
        <v>147</v>
      </c>
    </row>
    <row r="208" spans="1:6">
      <c r="A208" s="22">
        <v>13760</v>
      </c>
      <c r="B208" s="24" t="s">
        <v>1923</v>
      </c>
      <c r="C208" s="24" t="s">
        <v>713</v>
      </c>
      <c r="D208" s="24" t="s">
        <v>711</v>
      </c>
      <c r="E208" s="24" t="s">
        <v>159</v>
      </c>
      <c r="F208" s="25" t="s">
        <v>158</v>
      </c>
    </row>
    <row r="209" spans="1:6">
      <c r="A209" s="22">
        <v>13780</v>
      </c>
      <c r="B209" s="24" t="s">
        <v>1924</v>
      </c>
      <c r="C209" s="24" t="s">
        <v>713</v>
      </c>
      <c r="D209" s="24" t="s">
        <v>711</v>
      </c>
      <c r="E209" s="24" t="s">
        <v>159</v>
      </c>
      <c r="F209" s="25" t="s">
        <v>167</v>
      </c>
    </row>
    <row r="210" spans="1:6">
      <c r="A210" s="22">
        <v>13810</v>
      </c>
      <c r="B210" s="24" t="s">
        <v>1925</v>
      </c>
      <c r="C210" s="24" t="s">
        <v>713</v>
      </c>
      <c r="D210" s="24" t="s">
        <v>711</v>
      </c>
      <c r="E210" s="24" t="s">
        <v>159</v>
      </c>
      <c r="F210" s="25" t="s">
        <v>167</v>
      </c>
    </row>
    <row r="211" spans="1:6">
      <c r="A211" s="22">
        <v>13836</v>
      </c>
      <c r="B211" s="24" t="s">
        <v>1926</v>
      </c>
      <c r="C211" s="24" t="s">
        <v>713</v>
      </c>
      <c r="D211" s="24" t="s">
        <v>711</v>
      </c>
      <c r="E211" s="24" t="s">
        <v>159</v>
      </c>
      <c r="F211" s="25" t="s">
        <v>199</v>
      </c>
    </row>
    <row r="212" spans="1:6">
      <c r="A212" s="22">
        <v>13838</v>
      </c>
      <c r="B212" s="24" t="s">
        <v>1927</v>
      </c>
      <c r="C212" s="24" t="s">
        <v>713</v>
      </c>
      <c r="D212" s="24" t="s">
        <v>711</v>
      </c>
      <c r="E212" s="24" t="s">
        <v>159</v>
      </c>
      <c r="F212" s="25" t="s">
        <v>199</v>
      </c>
    </row>
    <row r="213" spans="1:6">
      <c r="A213" s="22">
        <v>13894</v>
      </c>
      <c r="B213" s="24" t="s">
        <v>1928</v>
      </c>
      <c r="C213" s="24" t="s">
        <v>713</v>
      </c>
      <c r="D213" s="24" t="s">
        <v>711</v>
      </c>
      <c r="E213" s="24" t="s">
        <v>159</v>
      </c>
      <c r="F213" s="25" t="s">
        <v>167</v>
      </c>
    </row>
    <row r="214" spans="1:6">
      <c r="A214" s="22">
        <v>15087</v>
      </c>
      <c r="B214" s="23" t="s">
        <v>1929</v>
      </c>
      <c r="C214" s="24" t="s">
        <v>276</v>
      </c>
      <c r="D214" s="24" t="s">
        <v>274</v>
      </c>
      <c r="E214" s="24" t="s">
        <v>159</v>
      </c>
      <c r="F214" s="25" t="s">
        <v>199</v>
      </c>
    </row>
    <row r="215" spans="1:6">
      <c r="A215" s="22">
        <v>15106</v>
      </c>
      <c r="B215" s="23" t="s">
        <v>1769</v>
      </c>
      <c r="C215" s="24" t="s">
        <v>276</v>
      </c>
      <c r="D215" s="24" t="s">
        <v>274</v>
      </c>
      <c r="E215" s="24" t="s">
        <v>159</v>
      </c>
      <c r="F215" s="25" t="s">
        <v>158</v>
      </c>
    </row>
    <row r="216" spans="1:6">
      <c r="A216" s="22">
        <v>15109</v>
      </c>
      <c r="B216" s="23" t="s">
        <v>1441</v>
      </c>
      <c r="C216" s="24" t="s">
        <v>276</v>
      </c>
      <c r="D216" s="24" t="s">
        <v>274</v>
      </c>
      <c r="E216" s="24" t="s">
        <v>159</v>
      </c>
      <c r="F216" s="25" t="s">
        <v>167</v>
      </c>
    </row>
    <row r="217" spans="1:6">
      <c r="A217" s="22">
        <v>15131</v>
      </c>
      <c r="B217" s="23" t="s">
        <v>284</v>
      </c>
      <c r="C217" s="24" t="s">
        <v>276</v>
      </c>
      <c r="D217" s="24" t="s">
        <v>274</v>
      </c>
      <c r="E217" s="24" t="s">
        <v>159</v>
      </c>
      <c r="F217" s="25" t="s">
        <v>199</v>
      </c>
    </row>
    <row r="218" spans="1:6">
      <c r="A218" s="22">
        <v>15189</v>
      </c>
      <c r="B218" s="23" t="s">
        <v>1930</v>
      </c>
      <c r="C218" s="24" t="s">
        <v>276</v>
      </c>
      <c r="D218" s="24" t="s">
        <v>274</v>
      </c>
      <c r="E218" s="24" t="s">
        <v>159</v>
      </c>
      <c r="F218" s="25" t="s">
        <v>199</v>
      </c>
    </row>
    <row r="219" spans="1:6">
      <c r="A219" s="22">
        <v>15368</v>
      </c>
      <c r="B219" s="23" t="s">
        <v>1773</v>
      </c>
      <c r="C219" s="24" t="s">
        <v>276</v>
      </c>
      <c r="D219" s="24" t="s">
        <v>274</v>
      </c>
      <c r="E219" s="24" t="s">
        <v>159</v>
      </c>
      <c r="F219" s="25" t="s">
        <v>167</v>
      </c>
    </row>
    <row r="220" spans="1:6">
      <c r="A220" s="22">
        <v>15401</v>
      </c>
      <c r="B220" s="23" t="s">
        <v>1754</v>
      </c>
      <c r="C220" s="24" t="s">
        <v>276</v>
      </c>
      <c r="D220" s="24" t="s">
        <v>274</v>
      </c>
      <c r="E220" s="24" t="s">
        <v>159</v>
      </c>
      <c r="F220" s="25" t="s">
        <v>167</v>
      </c>
    </row>
    <row r="221" spans="1:6">
      <c r="A221" s="22">
        <v>15455</v>
      </c>
      <c r="B221" s="23" t="s">
        <v>1931</v>
      </c>
      <c r="C221" s="24" t="s">
        <v>276</v>
      </c>
      <c r="D221" s="24" t="s">
        <v>274</v>
      </c>
      <c r="E221" s="24" t="s">
        <v>159</v>
      </c>
      <c r="F221" s="25" t="s">
        <v>167</v>
      </c>
    </row>
    <row r="222" spans="1:6">
      <c r="A222" s="22">
        <v>15514</v>
      </c>
      <c r="B222" s="23" t="s">
        <v>1932</v>
      </c>
      <c r="C222" s="24" t="s">
        <v>276</v>
      </c>
      <c r="D222" s="24" t="s">
        <v>274</v>
      </c>
      <c r="E222" s="24" t="s">
        <v>159</v>
      </c>
      <c r="F222" s="25" t="s">
        <v>167</v>
      </c>
    </row>
    <row r="223" spans="1:6">
      <c r="A223" s="22">
        <v>15690</v>
      </c>
      <c r="B223" s="23" t="s">
        <v>1933</v>
      </c>
      <c r="C223" s="24" t="s">
        <v>276</v>
      </c>
      <c r="D223" s="24" t="s">
        <v>274</v>
      </c>
      <c r="E223" s="24" t="s">
        <v>159</v>
      </c>
      <c r="F223" s="25" t="s">
        <v>158</v>
      </c>
    </row>
    <row r="224" spans="1:6">
      <c r="A224" s="22">
        <v>15022</v>
      </c>
      <c r="B224" s="24" t="s">
        <v>1934</v>
      </c>
      <c r="C224" s="24" t="s">
        <v>276</v>
      </c>
      <c r="D224" s="24" t="s">
        <v>274</v>
      </c>
      <c r="E224" s="24" t="s">
        <v>159</v>
      </c>
      <c r="F224" s="25" t="s">
        <v>158</v>
      </c>
    </row>
    <row r="225" spans="1:6">
      <c r="A225" s="22">
        <v>15047</v>
      </c>
      <c r="B225" s="24" t="s">
        <v>1935</v>
      </c>
      <c r="C225" s="24" t="s">
        <v>276</v>
      </c>
      <c r="D225" s="24" t="s">
        <v>274</v>
      </c>
      <c r="E225" s="24" t="s">
        <v>159</v>
      </c>
      <c r="F225" s="25" t="s">
        <v>158</v>
      </c>
    </row>
    <row r="226" spans="1:6">
      <c r="A226" s="22">
        <v>15051</v>
      </c>
      <c r="B226" s="24" t="s">
        <v>1936</v>
      </c>
      <c r="C226" s="24" t="s">
        <v>276</v>
      </c>
      <c r="D226" s="24" t="s">
        <v>274</v>
      </c>
      <c r="E226" s="24" t="s">
        <v>159</v>
      </c>
      <c r="F226" s="25" t="s">
        <v>199</v>
      </c>
    </row>
    <row r="227" spans="1:6">
      <c r="A227" s="22">
        <v>15090</v>
      </c>
      <c r="B227" s="24" t="s">
        <v>1937</v>
      </c>
      <c r="C227" s="24" t="s">
        <v>276</v>
      </c>
      <c r="D227" s="24" t="s">
        <v>274</v>
      </c>
      <c r="E227" s="24" t="s">
        <v>159</v>
      </c>
      <c r="F227" s="25" t="s">
        <v>158</v>
      </c>
    </row>
    <row r="228" spans="1:6">
      <c r="A228" s="22">
        <v>15092</v>
      </c>
      <c r="B228" s="24" t="s">
        <v>1938</v>
      </c>
      <c r="C228" s="24" t="s">
        <v>276</v>
      </c>
      <c r="D228" s="24" t="s">
        <v>274</v>
      </c>
      <c r="E228" s="24" t="s">
        <v>159</v>
      </c>
      <c r="F228" s="25" t="s">
        <v>158</v>
      </c>
    </row>
    <row r="229" spans="1:6">
      <c r="A229" s="22">
        <v>15097</v>
      </c>
      <c r="B229" s="24" t="s">
        <v>1939</v>
      </c>
      <c r="C229" s="24" t="s">
        <v>276</v>
      </c>
      <c r="D229" s="24" t="s">
        <v>274</v>
      </c>
      <c r="E229" s="24" t="s">
        <v>159</v>
      </c>
      <c r="F229" s="25" t="s">
        <v>167</v>
      </c>
    </row>
    <row r="230" spans="1:6">
      <c r="A230" s="22">
        <v>15104</v>
      </c>
      <c r="B230" s="24" t="s">
        <v>276</v>
      </c>
      <c r="C230" s="24" t="s">
        <v>276</v>
      </c>
      <c r="D230" s="24" t="s">
        <v>274</v>
      </c>
      <c r="E230" s="24" t="s">
        <v>159</v>
      </c>
      <c r="F230" s="25" t="s">
        <v>199</v>
      </c>
    </row>
    <row r="231" spans="1:6">
      <c r="A231" s="22">
        <v>15114</v>
      </c>
      <c r="B231" s="24" t="s">
        <v>1940</v>
      </c>
      <c r="C231" s="24" t="s">
        <v>276</v>
      </c>
      <c r="D231" s="24" t="s">
        <v>274</v>
      </c>
      <c r="E231" s="24" t="s">
        <v>159</v>
      </c>
      <c r="F231" s="25" t="s">
        <v>199</v>
      </c>
    </row>
    <row r="232" spans="1:6">
      <c r="A232" s="22">
        <v>15135</v>
      </c>
      <c r="B232" s="24" t="s">
        <v>1941</v>
      </c>
      <c r="C232" s="24" t="s">
        <v>276</v>
      </c>
      <c r="D232" s="24" t="s">
        <v>274</v>
      </c>
      <c r="E232" s="24" t="s">
        <v>159</v>
      </c>
      <c r="F232" s="25" t="s">
        <v>167</v>
      </c>
    </row>
    <row r="233" spans="1:6">
      <c r="A233" s="22">
        <v>15162</v>
      </c>
      <c r="B233" s="24" t="s">
        <v>1942</v>
      </c>
      <c r="C233" s="24" t="s">
        <v>276</v>
      </c>
      <c r="D233" s="24" t="s">
        <v>274</v>
      </c>
      <c r="E233" s="24" t="s">
        <v>159</v>
      </c>
      <c r="F233" s="25" t="s">
        <v>199</v>
      </c>
    </row>
    <row r="234" spans="1:6">
      <c r="A234" s="22">
        <v>15172</v>
      </c>
      <c r="B234" s="24" t="s">
        <v>1943</v>
      </c>
      <c r="C234" s="24" t="s">
        <v>276</v>
      </c>
      <c r="D234" s="24" t="s">
        <v>274</v>
      </c>
      <c r="E234" s="24" t="s">
        <v>159</v>
      </c>
      <c r="F234" s="25" t="s">
        <v>158</v>
      </c>
    </row>
    <row r="235" spans="1:6">
      <c r="A235" s="22">
        <v>15176</v>
      </c>
      <c r="B235" s="24" t="s">
        <v>870</v>
      </c>
      <c r="C235" s="24" t="s">
        <v>276</v>
      </c>
      <c r="D235" s="24" t="s">
        <v>274</v>
      </c>
      <c r="E235" s="24" t="s">
        <v>159</v>
      </c>
      <c r="F235" s="25" t="s">
        <v>158</v>
      </c>
    </row>
    <row r="236" spans="1:6">
      <c r="A236" s="22">
        <v>15232</v>
      </c>
      <c r="B236" s="24" t="s">
        <v>1944</v>
      </c>
      <c r="C236" s="24" t="s">
        <v>276</v>
      </c>
      <c r="D236" s="24" t="s">
        <v>274</v>
      </c>
      <c r="E236" s="24" t="s">
        <v>159</v>
      </c>
      <c r="F236" s="25" t="s">
        <v>199</v>
      </c>
    </row>
    <row r="237" spans="1:6">
      <c r="A237" s="22">
        <v>15180</v>
      </c>
      <c r="B237" s="24" t="s">
        <v>1945</v>
      </c>
      <c r="C237" s="24" t="s">
        <v>276</v>
      </c>
      <c r="D237" s="24" t="s">
        <v>274</v>
      </c>
      <c r="E237" s="24" t="s">
        <v>159</v>
      </c>
      <c r="F237" s="25" t="s">
        <v>167</v>
      </c>
    </row>
    <row r="238" spans="1:6">
      <c r="A238" s="22">
        <v>15183</v>
      </c>
      <c r="B238" s="24" t="s">
        <v>1946</v>
      </c>
      <c r="C238" s="24" t="s">
        <v>276</v>
      </c>
      <c r="D238" s="24" t="s">
        <v>274</v>
      </c>
      <c r="E238" s="24" t="s">
        <v>159</v>
      </c>
      <c r="F238" s="25" t="s">
        <v>167</v>
      </c>
    </row>
    <row r="239" spans="1:6">
      <c r="A239" s="22">
        <v>15185</v>
      </c>
      <c r="B239" s="24" t="s">
        <v>1947</v>
      </c>
      <c r="C239" s="24" t="s">
        <v>276</v>
      </c>
      <c r="D239" s="24" t="s">
        <v>274</v>
      </c>
      <c r="E239" s="24" t="s">
        <v>159</v>
      </c>
      <c r="F239" s="25" t="s">
        <v>199</v>
      </c>
    </row>
    <row r="240" spans="1:6">
      <c r="A240" s="22">
        <v>15187</v>
      </c>
      <c r="B240" s="24" t="s">
        <v>1948</v>
      </c>
      <c r="C240" s="24" t="s">
        <v>276</v>
      </c>
      <c r="D240" s="24" t="s">
        <v>274</v>
      </c>
      <c r="E240" s="24" t="s">
        <v>159</v>
      </c>
      <c r="F240" s="25" t="s">
        <v>199</v>
      </c>
    </row>
    <row r="241" spans="1:6">
      <c r="A241" s="22">
        <v>15236</v>
      </c>
      <c r="B241" s="24" t="s">
        <v>1949</v>
      </c>
      <c r="C241" s="24" t="s">
        <v>276</v>
      </c>
      <c r="D241" s="24" t="s">
        <v>274</v>
      </c>
      <c r="E241" s="24" t="s">
        <v>159</v>
      </c>
      <c r="F241" s="25" t="s">
        <v>158</v>
      </c>
    </row>
    <row r="242" spans="1:6">
      <c r="A242" s="22">
        <v>15204</v>
      </c>
      <c r="B242" s="24" t="s">
        <v>1950</v>
      </c>
      <c r="C242" s="24" t="s">
        <v>276</v>
      </c>
      <c r="D242" s="24" t="s">
        <v>274</v>
      </c>
      <c r="E242" s="24" t="s">
        <v>159</v>
      </c>
      <c r="F242" s="25" t="s">
        <v>199</v>
      </c>
    </row>
    <row r="243" spans="1:6">
      <c r="A243" s="22">
        <v>15212</v>
      </c>
      <c r="B243" s="24" t="s">
        <v>1951</v>
      </c>
      <c r="C243" s="24" t="s">
        <v>276</v>
      </c>
      <c r="D243" s="24" t="s">
        <v>274</v>
      </c>
      <c r="E243" s="24" t="s">
        <v>159</v>
      </c>
      <c r="F243" s="25" t="s">
        <v>158</v>
      </c>
    </row>
    <row r="244" spans="1:6">
      <c r="A244" s="22">
        <v>15215</v>
      </c>
      <c r="B244" s="24" t="s">
        <v>1952</v>
      </c>
      <c r="C244" s="24" t="s">
        <v>276</v>
      </c>
      <c r="D244" s="24" t="s">
        <v>274</v>
      </c>
      <c r="E244" s="24" t="s">
        <v>159</v>
      </c>
      <c r="F244" s="25" t="s">
        <v>199</v>
      </c>
    </row>
    <row r="245" spans="1:6">
      <c r="A245" s="22">
        <v>15218</v>
      </c>
      <c r="B245" s="24" t="s">
        <v>1953</v>
      </c>
      <c r="C245" s="24" t="s">
        <v>276</v>
      </c>
      <c r="D245" s="24" t="s">
        <v>274</v>
      </c>
      <c r="E245" s="24" t="s">
        <v>159</v>
      </c>
      <c r="F245" s="25" t="s">
        <v>167</v>
      </c>
    </row>
    <row r="246" spans="1:6">
      <c r="A246" s="22">
        <v>15223</v>
      </c>
      <c r="B246" s="24" t="s">
        <v>1954</v>
      </c>
      <c r="C246" s="24" t="s">
        <v>276</v>
      </c>
      <c r="D246" s="24" t="s">
        <v>219</v>
      </c>
      <c r="E246" s="24" t="s">
        <v>190</v>
      </c>
      <c r="F246" s="25" t="s">
        <v>147</v>
      </c>
    </row>
    <row r="247" spans="1:6">
      <c r="A247" s="22">
        <v>15224</v>
      </c>
      <c r="B247" s="24" t="s">
        <v>1955</v>
      </c>
      <c r="C247" s="24" t="s">
        <v>276</v>
      </c>
      <c r="D247" s="24" t="s">
        <v>274</v>
      </c>
      <c r="E247" s="24" t="s">
        <v>159</v>
      </c>
      <c r="F247" s="25" t="s">
        <v>199</v>
      </c>
    </row>
    <row r="248" spans="1:6">
      <c r="A248" s="22">
        <v>15226</v>
      </c>
      <c r="B248" s="24" t="s">
        <v>1956</v>
      </c>
      <c r="C248" s="24" t="s">
        <v>276</v>
      </c>
      <c r="D248" s="24" t="s">
        <v>274</v>
      </c>
      <c r="E248" s="24" t="s">
        <v>159</v>
      </c>
      <c r="F248" s="25" t="s">
        <v>199</v>
      </c>
    </row>
    <row r="249" spans="1:6">
      <c r="A249" s="22">
        <v>15238</v>
      </c>
      <c r="B249" s="24" t="s">
        <v>1957</v>
      </c>
      <c r="C249" s="24" t="s">
        <v>276</v>
      </c>
      <c r="D249" s="24" t="s">
        <v>274</v>
      </c>
      <c r="E249" s="24" t="s">
        <v>159</v>
      </c>
      <c r="F249" s="25" t="s">
        <v>199</v>
      </c>
    </row>
    <row r="250" spans="1:6">
      <c r="A250" s="22">
        <v>15244</v>
      </c>
      <c r="B250" s="24" t="s">
        <v>1958</v>
      </c>
      <c r="C250" s="24" t="s">
        <v>276</v>
      </c>
      <c r="D250" s="24" t="s">
        <v>274</v>
      </c>
      <c r="E250" s="24" t="s">
        <v>159</v>
      </c>
      <c r="F250" s="25" t="s">
        <v>167</v>
      </c>
    </row>
    <row r="251" spans="1:6">
      <c r="A251" s="22">
        <v>15248</v>
      </c>
      <c r="B251" s="24" t="s">
        <v>1959</v>
      </c>
      <c r="C251" s="24" t="s">
        <v>276</v>
      </c>
      <c r="D251" s="24" t="s">
        <v>274</v>
      </c>
      <c r="E251" s="24" t="s">
        <v>159</v>
      </c>
      <c r="F251" s="25" t="s">
        <v>167</v>
      </c>
    </row>
    <row r="252" spans="1:6">
      <c r="A252" s="22">
        <v>15272</v>
      </c>
      <c r="B252" s="24" t="s">
        <v>1960</v>
      </c>
      <c r="C252" s="24" t="s">
        <v>276</v>
      </c>
      <c r="D252" s="24" t="s">
        <v>274</v>
      </c>
      <c r="E252" s="24" t="s">
        <v>159</v>
      </c>
      <c r="F252" s="25" t="s">
        <v>199</v>
      </c>
    </row>
    <row r="253" spans="1:6">
      <c r="A253" s="22">
        <v>15276</v>
      </c>
      <c r="B253" s="24" t="s">
        <v>1961</v>
      </c>
      <c r="C253" s="24" t="s">
        <v>276</v>
      </c>
      <c r="D253" s="24" t="s">
        <v>274</v>
      </c>
      <c r="E253" s="24" t="s">
        <v>159</v>
      </c>
      <c r="F253" s="25" t="s">
        <v>199</v>
      </c>
    </row>
    <row r="254" spans="1:6">
      <c r="A254" s="22">
        <v>15293</v>
      </c>
      <c r="B254" s="24" t="s">
        <v>1962</v>
      </c>
      <c r="C254" s="24" t="s">
        <v>276</v>
      </c>
      <c r="D254" s="24" t="s">
        <v>274</v>
      </c>
      <c r="E254" s="24" t="s">
        <v>159</v>
      </c>
      <c r="F254" s="25" t="s">
        <v>199</v>
      </c>
    </row>
    <row r="255" spans="1:6">
      <c r="A255" s="22">
        <v>15296</v>
      </c>
      <c r="B255" s="24" t="s">
        <v>1963</v>
      </c>
      <c r="C255" s="24" t="s">
        <v>276</v>
      </c>
      <c r="D255" s="24" t="s">
        <v>274</v>
      </c>
      <c r="E255" s="24" t="s">
        <v>159</v>
      </c>
      <c r="F255" s="25" t="s">
        <v>158</v>
      </c>
    </row>
    <row r="256" spans="1:6">
      <c r="A256" s="22">
        <v>15299</v>
      </c>
      <c r="B256" s="24" t="s">
        <v>1964</v>
      </c>
      <c r="C256" s="24" t="s">
        <v>276</v>
      </c>
      <c r="D256" s="24" t="s">
        <v>274</v>
      </c>
      <c r="E256" s="24" t="s">
        <v>159</v>
      </c>
      <c r="F256" s="25" t="s">
        <v>158</v>
      </c>
    </row>
    <row r="257" spans="1:6">
      <c r="A257" s="22">
        <v>15317</v>
      </c>
      <c r="B257" s="24" t="s">
        <v>1965</v>
      </c>
      <c r="C257" s="24" t="s">
        <v>276</v>
      </c>
      <c r="D257" s="24" t="s">
        <v>274</v>
      </c>
      <c r="E257" s="24" t="s">
        <v>159</v>
      </c>
      <c r="F257" s="25" t="s">
        <v>167</v>
      </c>
    </row>
    <row r="258" spans="1:6">
      <c r="A258" s="22">
        <v>15322</v>
      </c>
      <c r="B258" s="24" t="s">
        <v>1966</v>
      </c>
      <c r="C258" s="24" t="s">
        <v>276</v>
      </c>
      <c r="D258" s="24" t="s">
        <v>274</v>
      </c>
      <c r="E258" s="24" t="s">
        <v>159</v>
      </c>
      <c r="F258" s="25" t="s">
        <v>199</v>
      </c>
    </row>
    <row r="259" spans="1:6">
      <c r="A259" s="22">
        <v>15325</v>
      </c>
      <c r="B259" s="24" t="s">
        <v>1967</v>
      </c>
      <c r="C259" s="24" t="s">
        <v>276</v>
      </c>
      <c r="D259" s="24" t="s">
        <v>274</v>
      </c>
      <c r="E259" s="24" t="s">
        <v>159</v>
      </c>
      <c r="F259" s="25" t="s">
        <v>158</v>
      </c>
    </row>
    <row r="260" spans="1:6">
      <c r="A260" s="22">
        <v>15332</v>
      </c>
      <c r="B260" s="24" t="s">
        <v>1968</v>
      </c>
      <c r="C260" s="24" t="s">
        <v>276</v>
      </c>
      <c r="D260" s="24" t="s">
        <v>274</v>
      </c>
      <c r="E260" s="24" t="s">
        <v>159</v>
      </c>
      <c r="F260" s="25" t="s">
        <v>167</v>
      </c>
    </row>
    <row r="261" spans="1:6">
      <c r="A261" s="22">
        <v>15362</v>
      </c>
      <c r="B261" s="24" t="s">
        <v>1969</v>
      </c>
      <c r="C261" s="24" t="s">
        <v>276</v>
      </c>
      <c r="D261" s="24" t="s">
        <v>274</v>
      </c>
      <c r="E261" s="24" t="s">
        <v>159</v>
      </c>
      <c r="F261" s="25" t="s">
        <v>199</v>
      </c>
    </row>
    <row r="262" spans="1:6">
      <c r="A262" s="22">
        <v>15367</v>
      </c>
      <c r="B262" s="24" t="s">
        <v>1970</v>
      </c>
      <c r="C262" s="24" t="s">
        <v>276</v>
      </c>
      <c r="D262" s="24" t="s">
        <v>274</v>
      </c>
      <c r="E262" s="24" t="s">
        <v>159</v>
      </c>
      <c r="F262" s="25" t="s">
        <v>199</v>
      </c>
    </row>
    <row r="263" spans="1:6">
      <c r="A263" s="22">
        <v>15380</v>
      </c>
      <c r="B263" s="24" t="s">
        <v>1971</v>
      </c>
      <c r="C263" s="24" t="s">
        <v>276</v>
      </c>
      <c r="D263" s="24" t="s">
        <v>274</v>
      </c>
      <c r="E263" s="24" t="s">
        <v>159</v>
      </c>
      <c r="F263" s="25" t="s">
        <v>158</v>
      </c>
    </row>
    <row r="264" spans="1:6">
      <c r="A264" s="22">
        <v>15403</v>
      </c>
      <c r="B264" s="24" t="s">
        <v>1972</v>
      </c>
      <c r="C264" s="24" t="s">
        <v>276</v>
      </c>
      <c r="D264" s="24" t="s">
        <v>274</v>
      </c>
      <c r="E264" s="24" t="s">
        <v>159</v>
      </c>
      <c r="F264" s="25" t="s">
        <v>167</v>
      </c>
    </row>
    <row r="265" spans="1:6">
      <c r="A265" s="22">
        <v>15377</v>
      </c>
      <c r="B265" s="24" t="s">
        <v>1973</v>
      </c>
      <c r="C265" s="24" t="s">
        <v>276</v>
      </c>
      <c r="D265" s="24" t="s">
        <v>274</v>
      </c>
      <c r="E265" s="24" t="s">
        <v>159</v>
      </c>
      <c r="F265" s="25" t="s">
        <v>167</v>
      </c>
    </row>
    <row r="266" spans="1:6">
      <c r="A266" s="22">
        <v>15425</v>
      </c>
      <c r="B266" s="24" t="s">
        <v>1974</v>
      </c>
      <c r="C266" s="24" t="s">
        <v>276</v>
      </c>
      <c r="D266" s="24" t="s">
        <v>274</v>
      </c>
      <c r="E266" s="24" t="s">
        <v>159</v>
      </c>
      <c r="F266" s="25" t="s">
        <v>158</v>
      </c>
    </row>
    <row r="267" spans="1:6">
      <c r="A267" s="22">
        <v>15442</v>
      </c>
      <c r="B267" s="24" t="s">
        <v>1975</v>
      </c>
      <c r="C267" s="24" t="s">
        <v>276</v>
      </c>
      <c r="D267" s="24" t="s">
        <v>274</v>
      </c>
      <c r="E267" s="24" t="s">
        <v>159</v>
      </c>
      <c r="F267" s="25" t="s">
        <v>167</v>
      </c>
    </row>
    <row r="268" spans="1:6">
      <c r="A268" s="22">
        <v>15464</v>
      </c>
      <c r="B268" s="24" t="s">
        <v>1704</v>
      </c>
      <c r="C268" s="24" t="s">
        <v>276</v>
      </c>
      <c r="D268" s="24" t="s">
        <v>274</v>
      </c>
      <c r="E268" s="24" t="s">
        <v>159</v>
      </c>
      <c r="F268" s="25" t="s">
        <v>199</v>
      </c>
    </row>
    <row r="269" spans="1:6">
      <c r="A269" s="22">
        <v>15466</v>
      </c>
      <c r="B269" s="24" t="s">
        <v>1976</v>
      </c>
      <c r="C269" s="24" t="s">
        <v>276</v>
      </c>
      <c r="D269" s="24" t="s">
        <v>274</v>
      </c>
      <c r="E269" s="24" t="s">
        <v>159</v>
      </c>
      <c r="F269" s="25" t="s">
        <v>158</v>
      </c>
    </row>
    <row r="270" spans="1:6">
      <c r="A270" s="22">
        <v>15469</v>
      </c>
      <c r="B270" s="24" t="s">
        <v>1977</v>
      </c>
      <c r="C270" s="24" t="s">
        <v>276</v>
      </c>
      <c r="D270" s="24" t="s">
        <v>274</v>
      </c>
      <c r="E270" s="24" t="s">
        <v>159</v>
      </c>
      <c r="F270" s="25" t="s">
        <v>199</v>
      </c>
    </row>
    <row r="271" spans="1:6">
      <c r="A271" s="22">
        <v>15476</v>
      </c>
      <c r="B271" s="24" t="s">
        <v>1978</v>
      </c>
      <c r="C271" s="24" t="s">
        <v>276</v>
      </c>
      <c r="D271" s="24" t="s">
        <v>274</v>
      </c>
      <c r="E271" s="24" t="s">
        <v>159</v>
      </c>
      <c r="F271" s="25" t="s">
        <v>55</v>
      </c>
    </row>
    <row r="272" spans="1:6">
      <c r="A272" s="22">
        <v>15480</v>
      </c>
      <c r="B272" s="24" t="s">
        <v>1979</v>
      </c>
      <c r="C272" s="24" t="s">
        <v>276</v>
      </c>
      <c r="D272" s="24" t="s">
        <v>274</v>
      </c>
      <c r="E272" s="24" t="s">
        <v>159</v>
      </c>
      <c r="F272" s="25" t="s">
        <v>167</v>
      </c>
    </row>
    <row r="273" spans="1:6">
      <c r="A273" s="22">
        <v>15491</v>
      </c>
      <c r="B273" s="24" t="s">
        <v>1576</v>
      </c>
      <c r="C273" s="24" t="s">
        <v>276</v>
      </c>
      <c r="D273" s="24" t="s">
        <v>274</v>
      </c>
      <c r="E273" s="24" t="s">
        <v>159</v>
      </c>
      <c r="F273" s="25" t="s">
        <v>199</v>
      </c>
    </row>
    <row r="274" spans="1:6">
      <c r="A274" s="22">
        <v>15494</v>
      </c>
      <c r="B274" s="24" t="s">
        <v>1980</v>
      </c>
      <c r="C274" s="24" t="s">
        <v>276</v>
      </c>
      <c r="D274" s="24" t="s">
        <v>274</v>
      </c>
      <c r="E274" s="24" t="s">
        <v>159</v>
      </c>
      <c r="F274" s="25" t="s">
        <v>199</v>
      </c>
    </row>
    <row r="275" spans="1:6">
      <c r="A275" s="22">
        <v>15500</v>
      </c>
      <c r="B275" s="24" t="s">
        <v>1981</v>
      </c>
      <c r="C275" s="24" t="s">
        <v>276</v>
      </c>
      <c r="D275" s="24" t="s">
        <v>274</v>
      </c>
      <c r="E275" s="24" t="s">
        <v>159</v>
      </c>
      <c r="F275" s="25" t="s">
        <v>199</v>
      </c>
    </row>
    <row r="276" spans="1:6">
      <c r="A276" s="22">
        <v>15507</v>
      </c>
      <c r="B276" s="24" t="s">
        <v>1982</v>
      </c>
      <c r="C276" s="24" t="s">
        <v>276</v>
      </c>
      <c r="D276" s="24" t="s">
        <v>274</v>
      </c>
      <c r="E276" s="24" t="s">
        <v>159</v>
      </c>
      <c r="F276" s="25" t="s">
        <v>167</v>
      </c>
    </row>
    <row r="277" spans="1:6">
      <c r="A277" s="22">
        <v>15511</v>
      </c>
      <c r="B277" s="24" t="s">
        <v>1983</v>
      </c>
      <c r="C277" s="24" t="s">
        <v>276</v>
      </c>
      <c r="D277" s="24" t="s">
        <v>274</v>
      </c>
      <c r="E277" s="24" t="s">
        <v>159</v>
      </c>
      <c r="F277" s="25" t="s">
        <v>158</v>
      </c>
    </row>
    <row r="278" spans="1:6">
      <c r="A278" s="22">
        <v>15516</v>
      </c>
      <c r="B278" s="24" t="s">
        <v>1984</v>
      </c>
      <c r="C278" s="24" t="s">
        <v>276</v>
      </c>
      <c r="D278" s="24" t="s">
        <v>274</v>
      </c>
      <c r="E278" s="24" t="s">
        <v>159</v>
      </c>
      <c r="F278" s="25" t="s">
        <v>199</v>
      </c>
    </row>
    <row r="279" spans="1:6">
      <c r="A279" s="22">
        <v>15518</v>
      </c>
      <c r="B279" s="24" t="s">
        <v>1985</v>
      </c>
      <c r="C279" s="24" t="s">
        <v>276</v>
      </c>
      <c r="D279" s="24" t="s">
        <v>920</v>
      </c>
      <c r="E279" s="24" t="s">
        <v>159</v>
      </c>
      <c r="F279" s="25" t="s">
        <v>158</v>
      </c>
    </row>
    <row r="280" spans="1:6">
      <c r="A280" s="22">
        <v>15522</v>
      </c>
      <c r="B280" s="24" t="s">
        <v>1986</v>
      </c>
      <c r="C280" s="24" t="s">
        <v>276</v>
      </c>
      <c r="D280" s="24" t="s">
        <v>274</v>
      </c>
      <c r="E280" s="24" t="s">
        <v>159</v>
      </c>
      <c r="F280" s="25" t="s">
        <v>167</v>
      </c>
    </row>
    <row r="281" spans="1:6">
      <c r="A281" s="22">
        <v>15531</v>
      </c>
      <c r="B281" s="24" t="s">
        <v>1987</v>
      </c>
      <c r="C281" s="24" t="s">
        <v>276</v>
      </c>
      <c r="D281" s="24" t="s">
        <v>274</v>
      </c>
      <c r="E281" s="24" t="s">
        <v>159</v>
      </c>
      <c r="F281" s="25" t="s">
        <v>158</v>
      </c>
    </row>
    <row r="282" spans="1:6">
      <c r="A282" s="22">
        <v>15533</v>
      </c>
      <c r="B282" s="24" t="s">
        <v>1988</v>
      </c>
      <c r="C282" s="24" t="s">
        <v>276</v>
      </c>
      <c r="D282" s="24" t="s">
        <v>274</v>
      </c>
      <c r="E282" s="24" t="s">
        <v>159</v>
      </c>
      <c r="F282" s="25" t="s">
        <v>167</v>
      </c>
    </row>
    <row r="283" spans="1:6">
      <c r="A283" s="22">
        <v>15537</v>
      </c>
      <c r="B283" s="24" t="s">
        <v>1989</v>
      </c>
      <c r="C283" s="24" t="s">
        <v>276</v>
      </c>
      <c r="D283" s="24" t="s">
        <v>274</v>
      </c>
      <c r="E283" s="24" t="s">
        <v>159</v>
      </c>
      <c r="F283" s="25" t="s">
        <v>199</v>
      </c>
    </row>
    <row r="284" spans="1:6">
      <c r="A284" s="22">
        <v>15542</v>
      </c>
      <c r="B284" s="24" t="s">
        <v>1990</v>
      </c>
      <c r="C284" s="24" t="s">
        <v>276</v>
      </c>
      <c r="D284" s="24" t="s">
        <v>274</v>
      </c>
      <c r="E284" s="24" t="s">
        <v>159</v>
      </c>
      <c r="F284" s="25" t="s">
        <v>158</v>
      </c>
    </row>
    <row r="285" spans="1:6">
      <c r="A285" s="22">
        <v>15550</v>
      </c>
      <c r="B285" s="24" t="s">
        <v>1991</v>
      </c>
      <c r="C285" s="24" t="s">
        <v>276</v>
      </c>
      <c r="D285" s="24" t="s">
        <v>274</v>
      </c>
      <c r="E285" s="24" t="s">
        <v>159</v>
      </c>
      <c r="F285" s="25" t="s">
        <v>167</v>
      </c>
    </row>
    <row r="286" spans="1:6">
      <c r="A286" s="22">
        <v>15572</v>
      </c>
      <c r="B286" s="24" t="s">
        <v>1992</v>
      </c>
      <c r="C286" s="24" t="s">
        <v>276</v>
      </c>
      <c r="D286" s="24" t="s">
        <v>267</v>
      </c>
      <c r="E286" s="24" t="s">
        <v>159</v>
      </c>
      <c r="F286" s="25" t="s">
        <v>167</v>
      </c>
    </row>
    <row r="287" spans="1:6">
      <c r="A287" s="22">
        <v>15580</v>
      </c>
      <c r="B287" s="24" t="s">
        <v>1993</v>
      </c>
      <c r="C287" s="24" t="s">
        <v>276</v>
      </c>
      <c r="D287" s="24" t="s">
        <v>274</v>
      </c>
      <c r="E287" s="24" t="s">
        <v>159</v>
      </c>
      <c r="F287" s="25" t="s">
        <v>167</v>
      </c>
    </row>
    <row r="288" spans="1:6">
      <c r="A288" s="22">
        <v>15599</v>
      </c>
      <c r="B288" s="24" t="s">
        <v>1994</v>
      </c>
      <c r="C288" s="24" t="s">
        <v>276</v>
      </c>
      <c r="D288" s="24" t="s">
        <v>274</v>
      </c>
      <c r="E288" s="24" t="s">
        <v>159</v>
      </c>
      <c r="F288" s="25" t="s">
        <v>199</v>
      </c>
    </row>
    <row r="289" spans="1:6">
      <c r="A289" s="22">
        <v>15600</v>
      </c>
      <c r="B289" s="24" t="s">
        <v>1995</v>
      </c>
      <c r="C289" s="24" t="s">
        <v>276</v>
      </c>
      <c r="D289" s="24" t="s">
        <v>274</v>
      </c>
      <c r="E289" s="24" t="s">
        <v>159</v>
      </c>
      <c r="F289" s="25" t="s">
        <v>199</v>
      </c>
    </row>
    <row r="290" spans="1:6">
      <c r="A290" s="22">
        <v>15621</v>
      </c>
      <c r="B290" s="24" t="s">
        <v>1996</v>
      </c>
      <c r="C290" s="24" t="s">
        <v>276</v>
      </c>
      <c r="D290" s="24" t="s">
        <v>274</v>
      </c>
      <c r="E290" s="24" t="s">
        <v>159</v>
      </c>
      <c r="F290" s="25" t="s">
        <v>158</v>
      </c>
    </row>
    <row r="291" spans="1:6">
      <c r="A291" s="22">
        <v>15632</v>
      </c>
      <c r="B291" s="24" t="s">
        <v>1997</v>
      </c>
      <c r="C291" s="24" t="s">
        <v>276</v>
      </c>
      <c r="D291" s="24" t="s">
        <v>274</v>
      </c>
      <c r="E291" s="24" t="s">
        <v>159</v>
      </c>
      <c r="F291" s="25" t="s">
        <v>199</v>
      </c>
    </row>
    <row r="292" spans="1:6">
      <c r="A292" s="22">
        <v>15638</v>
      </c>
      <c r="B292" s="24" t="s">
        <v>1998</v>
      </c>
      <c r="C292" s="24" t="s">
        <v>276</v>
      </c>
      <c r="D292" s="24" t="s">
        <v>274</v>
      </c>
      <c r="E292" s="24" t="s">
        <v>159</v>
      </c>
      <c r="F292" s="25" t="s">
        <v>199</v>
      </c>
    </row>
    <row r="293" spans="1:6">
      <c r="A293" s="22">
        <v>15646</v>
      </c>
      <c r="B293" s="24" t="s">
        <v>1999</v>
      </c>
      <c r="C293" s="24" t="s">
        <v>276</v>
      </c>
      <c r="D293" s="24" t="s">
        <v>274</v>
      </c>
      <c r="E293" s="24" t="s">
        <v>159</v>
      </c>
      <c r="F293" s="25" t="s">
        <v>199</v>
      </c>
    </row>
    <row r="294" spans="1:6">
      <c r="A294" s="22">
        <v>15660</v>
      </c>
      <c r="B294" s="24" t="s">
        <v>2000</v>
      </c>
      <c r="C294" s="24" t="s">
        <v>276</v>
      </c>
      <c r="D294" s="24" t="s">
        <v>274</v>
      </c>
      <c r="E294" s="24" t="s">
        <v>159</v>
      </c>
      <c r="F294" s="25" t="s">
        <v>167</v>
      </c>
    </row>
    <row r="295" spans="1:6">
      <c r="A295" s="22">
        <v>15664</v>
      </c>
      <c r="B295" s="24" t="s">
        <v>2001</v>
      </c>
      <c r="C295" s="24" t="s">
        <v>276</v>
      </c>
      <c r="D295" s="24" t="s">
        <v>274</v>
      </c>
      <c r="E295" s="24" t="s">
        <v>159</v>
      </c>
      <c r="F295" s="25" t="s">
        <v>199</v>
      </c>
    </row>
    <row r="296" spans="1:6">
      <c r="A296" s="22">
        <v>15667</v>
      </c>
      <c r="B296" s="24" t="s">
        <v>2002</v>
      </c>
      <c r="C296" s="24" t="s">
        <v>276</v>
      </c>
      <c r="D296" s="24" t="s">
        <v>274</v>
      </c>
      <c r="E296" s="24" t="s">
        <v>159</v>
      </c>
      <c r="F296" s="25" t="s">
        <v>158</v>
      </c>
    </row>
    <row r="297" spans="1:6">
      <c r="A297" s="22">
        <v>15673</v>
      </c>
      <c r="B297" s="24" t="s">
        <v>2003</v>
      </c>
      <c r="C297" s="24" t="s">
        <v>276</v>
      </c>
      <c r="D297" s="24" t="s">
        <v>274</v>
      </c>
      <c r="E297" s="24" t="s">
        <v>159</v>
      </c>
      <c r="F297" s="25" t="s">
        <v>167</v>
      </c>
    </row>
    <row r="298" spans="1:6">
      <c r="A298" s="22">
        <v>15676</v>
      </c>
      <c r="B298" s="24" t="s">
        <v>2004</v>
      </c>
      <c r="C298" s="24" t="s">
        <v>276</v>
      </c>
      <c r="D298" s="24" t="s">
        <v>274</v>
      </c>
      <c r="E298" s="24" t="s">
        <v>159</v>
      </c>
      <c r="F298" s="25" t="s">
        <v>158</v>
      </c>
    </row>
    <row r="299" spans="1:6">
      <c r="A299" s="22">
        <v>15681</v>
      </c>
      <c r="B299" s="24" t="s">
        <v>2005</v>
      </c>
      <c r="C299" s="24" t="s">
        <v>276</v>
      </c>
      <c r="D299" s="24" t="s">
        <v>274</v>
      </c>
      <c r="E299" s="24" t="s">
        <v>159</v>
      </c>
      <c r="F299" s="25" t="s">
        <v>167</v>
      </c>
    </row>
    <row r="300" spans="1:6">
      <c r="A300" s="22">
        <v>15693</v>
      </c>
      <c r="B300" s="24" t="s">
        <v>2006</v>
      </c>
      <c r="C300" s="24" t="s">
        <v>276</v>
      </c>
      <c r="D300" s="24" t="s">
        <v>274</v>
      </c>
      <c r="E300" s="24" t="s">
        <v>159</v>
      </c>
      <c r="F300" s="25" t="s">
        <v>199</v>
      </c>
    </row>
    <row r="301" spans="1:6">
      <c r="A301" s="22">
        <v>15696</v>
      </c>
      <c r="B301" s="24" t="s">
        <v>2007</v>
      </c>
      <c r="C301" s="24" t="s">
        <v>276</v>
      </c>
      <c r="D301" s="24" t="s">
        <v>274</v>
      </c>
      <c r="E301" s="24" t="s">
        <v>159</v>
      </c>
      <c r="F301" s="25" t="s">
        <v>199</v>
      </c>
    </row>
    <row r="302" spans="1:6">
      <c r="A302" s="22">
        <v>15686</v>
      </c>
      <c r="B302" s="24" t="s">
        <v>2008</v>
      </c>
      <c r="C302" s="24" t="s">
        <v>276</v>
      </c>
      <c r="D302" s="24" t="s">
        <v>274</v>
      </c>
      <c r="E302" s="24" t="s">
        <v>159</v>
      </c>
      <c r="F302" s="25" t="s">
        <v>158</v>
      </c>
    </row>
    <row r="303" spans="1:6">
      <c r="A303" s="22">
        <v>15720</v>
      </c>
      <c r="B303" s="24" t="s">
        <v>2009</v>
      </c>
      <c r="C303" s="24" t="s">
        <v>276</v>
      </c>
      <c r="D303" s="24" t="s">
        <v>274</v>
      </c>
      <c r="E303" s="24" t="s">
        <v>159</v>
      </c>
      <c r="F303" s="25" t="s">
        <v>158</v>
      </c>
    </row>
    <row r="304" spans="1:6">
      <c r="A304" s="22">
        <v>15723</v>
      </c>
      <c r="B304" s="24" t="s">
        <v>2010</v>
      </c>
      <c r="C304" s="24" t="s">
        <v>276</v>
      </c>
      <c r="D304" s="24" t="s">
        <v>274</v>
      </c>
      <c r="E304" s="24" t="s">
        <v>159</v>
      </c>
      <c r="F304" s="25" t="s">
        <v>158</v>
      </c>
    </row>
    <row r="305" spans="1:6">
      <c r="A305" s="22">
        <v>15740</v>
      </c>
      <c r="B305" s="24" t="s">
        <v>2011</v>
      </c>
      <c r="C305" s="24" t="s">
        <v>276</v>
      </c>
      <c r="D305" s="24" t="s">
        <v>274</v>
      </c>
      <c r="E305" s="24" t="s">
        <v>159</v>
      </c>
      <c r="F305" s="25" t="s">
        <v>199</v>
      </c>
    </row>
    <row r="306" spans="1:6">
      <c r="A306" s="22">
        <v>15753</v>
      </c>
      <c r="B306" s="24" t="s">
        <v>2012</v>
      </c>
      <c r="C306" s="24" t="s">
        <v>276</v>
      </c>
      <c r="D306" s="24" t="s">
        <v>274</v>
      </c>
      <c r="E306" s="24" t="s">
        <v>159</v>
      </c>
      <c r="F306" s="25" t="s">
        <v>158</v>
      </c>
    </row>
    <row r="307" spans="1:6">
      <c r="A307" s="22">
        <v>15757</v>
      </c>
      <c r="B307" s="24" t="s">
        <v>2013</v>
      </c>
      <c r="C307" s="24" t="s">
        <v>276</v>
      </c>
      <c r="D307" s="24" t="s">
        <v>274</v>
      </c>
      <c r="E307" s="24" t="s">
        <v>159</v>
      </c>
      <c r="F307" s="25" t="s">
        <v>158</v>
      </c>
    </row>
    <row r="308" spans="1:6">
      <c r="A308" s="22">
        <v>15755</v>
      </c>
      <c r="B308" s="24" t="s">
        <v>2014</v>
      </c>
      <c r="C308" s="24" t="s">
        <v>276</v>
      </c>
      <c r="D308" s="24" t="s">
        <v>274</v>
      </c>
      <c r="E308" s="24" t="s">
        <v>159</v>
      </c>
      <c r="F308" s="25" t="s">
        <v>158</v>
      </c>
    </row>
    <row r="309" spans="1:6">
      <c r="A309" s="22">
        <v>15759</v>
      </c>
      <c r="B309" s="24" t="s">
        <v>1111</v>
      </c>
      <c r="C309" s="24" t="s">
        <v>276</v>
      </c>
      <c r="D309" s="24" t="s">
        <v>274</v>
      </c>
      <c r="E309" s="24" t="s">
        <v>159</v>
      </c>
      <c r="F309" s="25" t="s">
        <v>199</v>
      </c>
    </row>
    <row r="310" spans="1:6">
      <c r="A310" s="22">
        <v>15761</v>
      </c>
      <c r="B310" s="24" t="s">
        <v>2015</v>
      </c>
      <c r="C310" s="24" t="s">
        <v>276</v>
      </c>
      <c r="D310" s="24" t="s">
        <v>274</v>
      </c>
      <c r="E310" s="24" t="s">
        <v>159</v>
      </c>
      <c r="F310" s="25" t="s">
        <v>158</v>
      </c>
    </row>
    <row r="311" spans="1:6">
      <c r="A311" s="22">
        <v>15762</v>
      </c>
      <c r="B311" s="24" t="s">
        <v>2016</v>
      </c>
      <c r="C311" s="24" t="s">
        <v>276</v>
      </c>
      <c r="D311" s="24" t="s">
        <v>274</v>
      </c>
      <c r="E311" s="24" t="s">
        <v>159</v>
      </c>
      <c r="F311" s="25" t="s">
        <v>199</v>
      </c>
    </row>
    <row r="312" spans="1:6">
      <c r="A312" s="22">
        <v>15764</v>
      </c>
      <c r="B312" s="24" t="s">
        <v>2017</v>
      </c>
      <c r="C312" s="24" t="s">
        <v>276</v>
      </c>
      <c r="D312" s="24" t="s">
        <v>274</v>
      </c>
      <c r="E312" s="24" t="s">
        <v>159</v>
      </c>
      <c r="F312" s="25" t="s">
        <v>55</v>
      </c>
    </row>
    <row r="313" spans="1:6">
      <c r="A313" s="22">
        <v>15763</v>
      </c>
      <c r="B313" s="24" t="s">
        <v>2018</v>
      </c>
      <c r="C313" s="24" t="s">
        <v>276</v>
      </c>
      <c r="D313" s="24" t="s">
        <v>274</v>
      </c>
      <c r="E313" s="24" t="s">
        <v>159</v>
      </c>
      <c r="F313" s="25" t="s">
        <v>199</v>
      </c>
    </row>
    <row r="314" spans="1:6">
      <c r="A314" s="22">
        <v>15774</v>
      </c>
      <c r="B314" s="24" t="s">
        <v>2019</v>
      </c>
      <c r="C314" s="24" t="s">
        <v>276</v>
      </c>
      <c r="D314" s="24" t="s">
        <v>274</v>
      </c>
      <c r="E314" s="24" t="s">
        <v>159</v>
      </c>
      <c r="F314" s="25" t="s">
        <v>158</v>
      </c>
    </row>
    <row r="315" spans="1:6">
      <c r="A315" s="22">
        <v>15776</v>
      </c>
      <c r="B315" s="24" t="s">
        <v>2020</v>
      </c>
      <c r="C315" s="24" t="s">
        <v>276</v>
      </c>
      <c r="D315" s="24" t="s">
        <v>274</v>
      </c>
      <c r="E315" s="24" t="s">
        <v>159</v>
      </c>
      <c r="F315" s="25" t="s">
        <v>199</v>
      </c>
    </row>
    <row r="316" spans="1:6">
      <c r="A316" s="22">
        <v>15778</v>
      </c>
      <c r="B316" s="24" t="s">
        <v>2021</v>
      </c>
      <c r="C316" s="24" t="s">
        <v>276</v>
      </c>
      <c r="D316" s="24" t="s">
        <v>274</v>
      </c>
      <c r="E316" s="24" t="s">
        <v>159</v>
      </c>
      <c r="F316" s="25" t="s">
        <v>158</v>
      </c>
    </row>
    <row r="317" spans="1:6">
      <c r="A317" s="22">
        <v>15790</v>
      </c>
      <c r="B317" s="24" t="s">
        <v>2022</v>
      </c>
      <c r="C317" s="24" t="s">
        <v>276</v>
      </c>
      <c r="D317" s="24" t="s">
        <v>274</v>
      </c>
      <c r="E317" s="24" t="s">
        <v>159</v>
      </c>
      <c r="F317" s="25" t="s">
        <v>158</v>
      </c>
    </row>
    <row r="318" spans="1:6">
      <c r="A318" s="22">
        <v>15798</v>
      </c>
      <c r="B318" s="24" t="s">
        <v>2023</v>
      </c>
      <c r="C318" s="24" t="s">
        <v>276</v>
      </c>
      <c r="D318" s="24" t="s">
        <v>274</v>
      </c>
      <c r="E318" s="24" t="s">
        <v>159</v>
      </c>
      <c r="F318" s="25" t="s">
        <v>158</v>
      </c>
    </row>
    <row r="319" spans="1:6">
      <c r="A319" s="22">
        <v>15804</v>
      </c>
      <c r="B319" s="24" t="s">
        <v>422</v>
      </c>
      <c r="C319" s="24" t="s">
        <v>276</v>
      </c>
      <c r="D319" s="24" t="s">
        <v>274</v>
      </c>
      <c r="E319" s="24" t="s">
        <v>159</v>
      </c>
      <c r="F319" s="25" t="s">
        <v>199</v>
      </c>
    </row>
    <row r="320" spans="1:6">
      <c r="A320" s="22">
        <v>15806</v>
      </c>
      <c r="B320" s="24" t="s">
        <v>2024</v>
      </c>
      <c r="C320" s="24" t="s">
        <v>276</v>
      </c>
      <c r="D320" s="24" t="s">
        <v>274</v>
      </c>
      <c r="E320" s="24" t="s">
        <v>159</v>
      </c>
      <c r="F320" s="25" t="s">
        <v>199</v>
      </c>
    </row>
    <row r="321" spans="1:6">
      <c r="A321" s="22">
        <v>15808</v>
      </c>
      <c r="B321" s="24" t="s">
        <v>2025</v>
      </c>
      <c r="C321" s="24" t="s">
        <v>276</v>
      </c>
      <c r="D321" s="24" t="s">
        <v>274</v>
      </c>
      <c r="E321" s="24" t="s">
        <v>159</v>
      </c>
      <c r="F321" s="25" t="s">
        <v>199</v>
      </c>
    </row>
    <row r="322" spans="1:6">
      <c r="A322" s="22">
        <v>15810</v>
      </c>
      <c r="B322" s="24" t="s">
        <v>2026</v>
      </c>
      <c r="C322" s="24" t="s">
        <v>276</v>
      </c>
      <c r="D322" s="24" t="s">
        <v>274</v>
      </c>
      <c r="E322" s="24" t="s">
        <v>159</v>
      </c>
      <c r="F322" s="25" t="s">
        <v>158</v>
      </c>
    </row>
    <row r="323" spans="1:6">
      <c r="A323" s="22">
        <v>15814</v>
      </c>
      <c r="B323" s="24" t="s">
        <v>2027</v>
      </c>
      <c r="C323" s="24" t="s">
        <v>276</v>
      </c>
      <c r="D323" s="24" t="s">
        <v>274</v>
      </c>
      <c r="E323" s="24" t="s">
        <v>159</v>
      </c>
      <c r="F323" s="25" t="s">
        <v>199</v>
      </c>
    </row>
    <row r="324" spans="1:6">
      <c r="A324" s="22">
        <v>15816</v>
      </c>
      <c r="B324" s="24" t="s">
        <v>2028</v>
      </c>
      <c r="C324" s="24" t="s">
        <v>276</v>
      </c>
      <c r="D324" s="24" t="s">
        <v>274</v>
      </c>
      <c r="E324" s="24" t="s">
        <v>159</v>
      </c>
      <c r="F324" s="25" t="s">
        <v>199</v>
      </c>
    </row>
    <row r="325" spans="1:6">
      <c r="A325" s="22">
        <v>15820</v>
      </c>
      <c r="B325" s="24" t="s">
        <v>2029</v>
      </c>
      <c r="C325" s="24" t="s">
        <v>276</v>
      </c>
      <c r="D325" s="24" t="s">
        <v>274</v>
      </c>
      <c r="E325" s="24" t="s">
        <v>159</v>
      </c>
      <c r="F325" s="25" t="s">
        <v>158</v>
      </c>
    </row>
    <row r="326" spans="1:6">
      <c r="A326" s="22">
        <v>15822</v>
      </c>
      <c r="B326" s="24" t="s">
        <v>2030</v>
      </c>
      <c r="C326" s="24" t="s">
        <v>276</v>
      </c>
      <c r="D326" s="24" t="s">
        <v>274</v>
      </c>
      <c r="E326" s="24" t="s">
        <v>159</v>
      </c>
      <c r="F326" s="25" t="s">
        <v>199</v>
      </c>
    </row>
    <row r="327" spans="1:6">
      <c r="A327" s="22">
        <v>15001</v>
      </c>
      <c r="B327" s="24" t="s">
        <v>274</v>
      </c>
      <c r="C327" s="24" t="s">
        <v>276</v>
      </c>
      <c r="D327" s="24" t="s">
        <v>274</v>
      </c>
      <c r="E327" s="24" t="s">
        <v>159</v>
      </c>
      <c r="F327" s="25" t="s">
        <v>55</v>
      </c>
    </row>
    <row r="328" spans="1:6">
      <c r="A328" s="22">
        <v>15832</v>
      </c>
      <c r="B328" s="24" t="s">
        <v>2031</v>
      </c>
      <c r="C328" s="24" t="s">
        <v>276</v>
      </c>
      <c r="D328" s="24" t="s">
        <v>274</v>
      </c>
      <c r="E328" s="24" t="s">
        <v>159</v>
      </c>
      <c r="F328" s="25" t="s">
        <v>158</v>
      </c>
    </row>
    <row r="329" spans="1:6">
      <c r="A329" s="22">
        <v>15835</v>
      </c>
      <c r="B329" s="24" t="s">
        <v>2032</v>
      </c>
      <c r="C329" s="24" t="s">
        <v>276</v>
      </c>
      <c r="D329" s="24" t="s">
        <v>274</v>
      </c>
      <c r="E329" s="24" t="s">
        <v>159</v>
      </c>
      <c r="F329" s="25" t="s">
        <v>199</v>
      </c>
    </row>
    <row r="330" spans="1:6">
      <c r="A330" s="22">
        <v>15837</v>
      </c>
      <c r="B330" s="24" t="s">
        <v>2033</v>
      </c>
      <c r="C330" s="24" t="s">
        <v>276</v>
      </c>
      <c r="D330" s="24" t="s">
        <v>274</v>
      </c>
      <c r="E330" s="24" t="s">
        <v>159</v>
      </c>
      <c r="F330" s="25" t="s">
        <v>199</v>
      </c>
    </row>
    <row r="331" spans="1:6">
      <c r="A331" s="22">
        <v>15839</v>
      </c>
      <c r="B331" s="24" t="s">
        <v>2034</v>
      </c>
      <c r="C331" s="24" t="s">
        <v>276</v>
      </c>
      <c r="D331" s="24" t="s">
        <v>274</v>
      </c>
      <c r="E331" s="24" t="s">
        <v>159</v>
      </c>
      <c r="F331" s="25" t="s">
        <v>199</v>
      </c>
    </row>
    <row r="332" spans="1:6">
      <c r="A332" s="22">
        <v>15842</v>
      </c>
      <c r="B332" s="24" t="s">
        <v>2035</v>
      </c>
      <c r="C332" s="24" t="s">
        <v>276</v>
      </c>
      <c r="D332" s="24" t="s">
        <v>274</v>
      </c>
      <c r="E332" s="24" t="s">
        <v>159</v>
      </c>
      <c r="F332" s="25" t="s">
        <v>199</v>
      </c>
    </row>
    <row r="333" spans="1:6">
      <c r="A333" s="22">
        <v>15861</v>
      </c>
      <c r="B333" s="24" t="s">
        <v>1596</v>
      </c>
      <c r="C333" s="24" t="s">
        <v>276</v>
      </c>
      <c r="D333" s="24" t="s">
        <v>274</v>
      </c>
      <c r="E333" s="24" t="s">
        <v>159</v>
      </c>
      <c r="F333" s="25" t="s">
        <v>199</v>
      </c>
    </row>
    <row r="334" spans="1:6">
      <c r="A334" s="22">
        <v>15407</v>
      </c>
      <c r="B334" s="24" t="s">
        <v>2036</v>
      </c>
      <c r="C334" s="24" t="s">
        <v>276</v>
      </c>
      <c r="D334" s="24" t="s">
        <v>274</v>
      </c>
      <c r="E334" s="24" t="s">
        <v>159</v>
      </c>
      <c r="F334" s="25" t="s">
        <v>199</v>
      </c>
    </row>
    <row r="335" spans="1:6">
      <c r="A335" s="22">
        <v>15879</v>
      </c>
      <c r="B335" s="24" t="s">
        <v>2037</v>
      </c>
      <c r="C335" s="24" t="s">
        <v>276</v>
      </c>
      <c r="D335" s="24" t="s">
        <v>274</v>
      </c>
      <c r="E335" s="24" t="s">
        <v>159</v>
      </c>
      <c r="F335" s="25" t="s">
        <v>199</v>
      </c>
    </row>
    <row r="336" spans="1:6">
      <c r="A336" s="22">
        <v>15897</v>
      </c>
      <c r="B336" s="24" t="s">
        <v>2038</v>
      </c>
      <c r="C336" s="24" t="s">
        <v>276</v>
      </c>
      <c r="D336" s="24" t="s">
        <v>274</v>
      </c>
      <c r="E336" s="24" t="s">
        <v>159</v>
      </c>
      <c r="F336" s="25" t="s">
        <v>158</v>
      </c>
    </row>
    <row r="337" spans="1:6">
      <c r="A337" s="22">
        <v>17524</v>
      </c>
      <c r="B337" s="23" t="s">
        <v>2039</v>
      </c>
      <c r="C337" s="24" t="s">
        <v>284</v>
      </c>
      <c r="D337" s="24" t="s">
        <v>282</v>
      </c>
      <c r="E337" s="24" t="s">
        <v>159</v>
      </c>
      <c r="F337" s="25" t="s">
        <v>199</v>
      </c>
    </row>
    <row r="338" spans="1:6">
      <c r="A338" s="22">
        <v>17614</v>
      </c>
      <c r="B338" s="23" t="s">
        <v>285</v>
      </c>
      <c r="C338" s="24" t="s">
        <v>284</v>
      </c>
      <c r="D338" s="24" t="s">
        <v>282</v>
      </c>
      <c r="E338" s="24" t="s">
        <v>159</v>
      </c>
      <c r="F338" s="25" t="s">
        <v>199</v>
      </c>
    </row>
    <row r="339" spans="1:6">
      <c r="A339" s="22">
        <v>17653</v>
      </c>
      <c r="B339" s="23" t="s">
        <v>297</v>
      </c>
      <c r="C339" s="24" t="s">
        <v>284</v>
      </c>
      <c r="D339" s="24" t="s">
        <v>282</v>
      </c>
      <c r="E339" s="24" t="s">
        <v>159</v>
      </c>
      <c r="F339" s="25" t="s">
        <v>199</v>
      </c>
    </row>
    <row r="340" spans="1:6">
      <c r="A340" s="22">
        <v>17013</v>
      </c>
      <c r="B340" s="24" t="s">
        <v>2040</v>
      </c>
      <c r="C340" s="24" t="s">
        <v>284</v>
      </c>
      <c r="D340" s="24" t="s">
        <v>282</v>
      </c>
      <c r="E340" s="24" t="s">
        <v>159</v>
      </c>
      <c r="F340" s="25" t="s">
        <v>158</v>
      </c>
    </row>
    <row r="341" spans="1:6">
      <c r="A341" s="22">
        <v>17042</v>
      </c>
      <c r="B341" s="24" t="s">
        <v>2041</v>
      </c>
      <c r="C341" s="24" t="s">
        <v>284</v>
      </c>
      <c r="D341" s="24" t="s">
        <v>282</v>
      </c>
      <c r="E341" s="24" t="s">
        <v>159</v>
      </c>
      <c r="F341" s="25" t="s">
        <v>199</v>
      </c>
    </row>
    <row r="342" spans="1:6">
      <c r="A342" s="22">
        <v>17050</v>
      </c>
      <c r="B342" s="24" t="s">
        <v>2042</v>
      </c>
      <c r="C342" s="24" t="s">
        <v>284</v>
      </c>
      <c r="D342" s="24" t="s">
        <v>282</v>
      </c>
      <c r="E342" s="24" t="s">
        <v>159</v>
      </c>
      <c r="F342" s="25" t="s">
        <v>199</v>
      </c>
    </row>
    <row r="343" spans="1:6">
      <c r="A343" s="22">
        <v>17088</v>
      </c>
      <c r="B343" s="24" t="s">
        <v>2043</v>
      </c>
      <c r="C343" s="24" t="s">
        <v>284</v>
      </c>
      <c r="D343" s="24" t="s">
        <v>282</v>
      </c>
      <c r="E343" s="24" t="s">
        <v>159</v>
      </c>
      <c r="F343" s="25" t="s">
        <v>199</v>
      </c>
    </row>
    <row r="344" spans="1:6">
      <c r="A344" s="22">
        <v>17174</v>
      </c>
      <c r="B344" s="24" t="s">
        <v>2044</v>
      </c>
      <c r="C344" s="24" t="s">
        <v>284</v>
      </c>
      <c r="D344" s="24" t="s">
        <v>282</v>
      </c>
      <c r="E344" s="24" t="s">
        <v>159</v>
      </c>
      <c r="F344" s="25" t="s">
        <v>199</v>
      </c>
    </row>
    <row r="345" spans="1:6">
      <c r="A345" s="22">
        <v>17272</v>
      </c>
      <c r="B345" s="24" t="s">
        <v>2045</v>
      </c>
      <c r="C345" s="24" t="s">
        <v>284</v>
      </c>
      <c r="D345" s="24" t="s">
        <v>282</v>
      </c>
      <c r="E345" s="24" t="s">
        <v>159</v>
      </c>
      <c r="F345" s="25" t="s">
        <v>199</v>
      </c>
    </row>
    <row r="346" spans="1:6">
      <c r="A346" s="22">
        <v>17380</v>
      </c>
      <c r="B346" s="24" t="s">
        <v>2046</v>
      </c>
      <c r="C346" s="24" t="s">
        <v>284</v>
      </c>
      <c r="D346" s="24" t="s">
        <v>518</v>
      </c>
      <c r="E346" s="24" t="s">
        <v>159</v>
      </c>
      <c r="F346" s="25" t="s">
        <v>158</v>
      </c>
    </row>
    <row r="347" spans="1:6">
      <c r="A347" s="22">
        <v>17388</v>
      </c>
      <c r="B347" s="24" t="s">
        <v>2047</v>
      </c>
      <c r="C347" s="24" t="s">
        <v>284</v>
      </c>
      <c r="D347" s="24" t="s">
        <v>282</v>
      </c>
      <c r="E347" s="24" t="s">
        <v>159</v>
      </c>
      <c r="F347" s="25" t="s">
        <v>199</v>
      </c>
    </row>
    <row r="348" spans="1:6">
      <c r="A348" s="22">
        <v>17001</v>
      </c>
      <c r="B348" s="24" t="s">
        <v>282</v>
      </c>
      <c r="C348" s="24" t="s">
        <v>284</v>
      </c>
      <c r="D348" s="24" t="s">
        <v>282</v>
      </c>
      <c r="E348" s="24" t="s">
        <v>159</v>
      </c>
      <c r="F348" s="25" t="s">
        <v>55</v>
      </c>
    </row>
    <row r="349" spans="1:6">
      <c r="A349" s="22">
        <v>17433</v>
      </c>
      <c r="B349" s="24" t="s">
        <v>2048</v>
      </c>
      <c r="C349" s="24" t="s">
        <v>284</v>
      </c>
      <c r="D349" s="24" t="s">
        <v>282</v>
      </c>
      <c r="E349" s="24" t="s">
        <v>159</v>
      </c>
      <c r="F349" s="25" t="s">
        <v>158</v>
      </c>
    </row>
    <row r="350" spans="1:6">
      <c r="A350" s="22">
        <v>17442</v>
      </c>
      <c r="B350" s="24" t="s">
        <v>2049</v>
      </c>
      <c r="C350" s="24" t="s">
        <v>284</v>
      </c>
      <c r="D350" s="24" t="s">
        <v>282</v>
      </c>
      <c r="E350" s="24" t="s">
        <v>159</v>
      </c>
      <c r="F350" s="25" t="s">
        <v>199</v>
      </c>
    </row>
    <row r="351" spans="1:6">
      <c r="A351" s="22">
        <v>17444</v>
      </c>
      <c r="B351" s="24" t="s">
        <v>2050</v>
      </c>
      <c r="C351" s="24" t="s">
        <v>284</v>
      </c>
      <c r="D351" s="24" t="s">
        <v>282</v>
      </c>
      <c r="E351" s="24" t="s">
        <v>159</v>
      </c>
      <c r="F351" s="25" t="s">
        <v>158</v>
      </c>
    </row>
    <row r="352" spans="1:6">
      <c r="A352" s="22">
        <v>17446</v>
      </c>
      <c r="B352" s="24" t="s">
        <v>2051</v>
      </c>
      <c r="C352" s="24" t="s">
        <v>284</v>
      </c>
      <c r="D352" s="24" t="s">
        <v>282</v>
      </c>
      <c r="E352" s="24" t="s">
        <v>159</v>
      </c>
      <c r="F352" s="25" t="s">
        <v>158</v>
      </c>
    </row>
    <row r="353" spans="1:6">
      <c r="A353" s="22">
        <v>17486</v>
      </c>
      <c r="B353" s="24" t="s">
        <v>2052</v>
      </c>
      <c r="C353" s="24" t="s">
        <v>284</v>
      </c>
      <c r="D353" s="24" t="s">
        <v>282</v>
      </c>
      <c r="E353" s="24" t="s">
        <v>159</v>
      </c>
      <c r="F353" s="25" t="s">
        <v>199</v>
      </c>
    </row>
    <row r="354" spans="1:6">
      <c r="A354" s="22">
        <v>17495</v>
      </c>
      <c r="B354" s="24" t="s">
        <v>2053</v>
      </c>
      <c r="C354" s="24" t="s">
        <v>284</v>
      </c>
      <c r="D354" s="24" t="s">
        <v>518</v>
      </c>
      <c r="E354" s="24" t="s">
        <v>159</v>
      </c>
      <c r="F354" s="25" t="s">
        <v>167</v>
      </c>
    </row>
    <row r="355" spans="1:6">
      <c r="A355" s="22">
        <v>17513</v>
      </c>
      <c r="B355" s="24" t="s">
        <v>2054</v>
      </c>
      <c r="C355" s="24" t="s">
        <v>284</v>
      </c>
      <c r="D355" s="24" t="s">
        <v>282</v>
      </c>
      <c r="E355" s="24" t="s">
        <v>159</v>
      </c>
      <c r="F355" s="25" t="s">
        <v>158</v>
      </c>
    </row>
    <row r="356" spans="1:6">
      <c r="A356" s="22">
        <v>17541</v>
      </c>
      <c r="B356" s="24" t="s">
        <v>2055</v>
      </c>
      <c r="C356" s="24" t="s">
        <v>284</v>
      </c>
      <c r="D356" s="24" t="s">
        <v>282</v>
      </c>
      <c r="E356" s="24" t="s">
        <v>159</v>
      </c>
      <c r="F356" s="25" t="s">
        <v>158</v>
      </c>
    </row>
    <row r="357" spans="1:6">
      <c r="A357" s="22">
        <v>17616</v>
      </c>
      <c r="B357" s="24" t="s">
        <v>170</v>
      </c>
      <c r="C357" s="24" t="s">
        <v>284</v>
      </c>
      <c r="D357" s="24" t="s">
        <v>282</v>
      </c>
      <c r="E357" s="24" t="s">
        <v>159</v>
      </c>
      <c r="F357" s="25" t="s">
        <v>199</v>
      </c>
    </row>
    <row r="358" spans="1:6">
      <c r="A358" s="22">
        <v>17662</v>
      </c>
      <c r="B358" s="24" t="s">
        <v>2056</v>
      </c>
      <c r="C358" s="24" t="s">
        <v>284</v>
      </c>
      <c r="D358" s="24" t="s">
        <v>282</v>
      </c>
      <c r="E358" s="24" t="s">
        <v>159</v>
      </c>
      <c r="F358" s="25" t="s">
        <v>167</v>
      </c>
    </row>
    <row r="359" spans="1:6">
      <c r="A359" s="22">
        <v>17665</v>
      </c>
      <c r="B359" s="24" t="s">
        <v>2057</v>
      </c>
      <c r="C359" s="24" t="s">
        <v>284</v>
      </c>
      <c r="D359" s="24" t="s">
        <v>282</v>
      </c>
      <c r="E359" s="24" t="s">
        <v>159</v>
      </c>
      <c r="F359" s="25" t="s">
        <v>199</v>
      </c>
    </row>
    <row r="360" spans="1:6">
      <c r="A360" s="22">
        <v>17777</v>
      </c>
      <c r="B360" s="24" t="s">
        <v>2058</v>
      </c>
      <c r="C360" s="24" t="s">
        <v>284</v>
      </c>
      <c r="D360" s="24" t="s">
        <v>282</v>
      </c>
      <c r="E360" s="24" t="s">
        <v>159</v>
      </c>
      <c r="F360" s="25" t="s">
        <v>199</v>
      </c>
    </row>
    <row r="361" spans="1:6">
      <c r="A361" s="22">
        <v>17867</v>
      </c>
      <c r="B361" s="24" t="s">
        <v>2059</v>
      </c>
      <c r="C361" s="24" t="s">
        <v>284</v>
      </c>
      <c r="D361" s="24" t="s">
        <v>282</v>
      </c>
      <c r="E361" s="24" t="s">
        <v>159</v>
      </c>
      <c r="F361" s="25" t="s">
        <v>158</v>
      </c>
    </row>
    <row r="362" spans="1:6">
      <c r="A362" s="22">
        <v>17873</v>
      </c>
      <c r="B362" s="24" t="s">
        <v>876</v>
      </c>
      <c r="C362" s="24" t="s">
        <v>284</v>
      </c>
      <c r="D362" s="24" t="s">
        <v>282</v>
      </c>
      <c r="E362" s="24" t="s">
        <v>159</v>
      </c>
      <c r="F362" s="25" t="s">
        <v>55</v>
      </c>
    </row>
    <row r="363" spans="1:6">
      <c r="A363" s="22">
        <v>17877</v>
      </c>
      <c r="B363" s="24" t="s">
        <v>2060</v>
      </c>
      <c r="C363" s="24" t="s">
        <v>284</v>
      </c>
      <c r="D363" s="24" t="s">
        <v>168</v>
      </c>
      <c r="E363" s="24" t="s">
        <v>159</v>
      </c>
      <c r="F363" s="25" t="s">
        <v>199</v>
      </c>
    </row>
    <row r="364" spans="1:6">
      <c r="A364" s="22">
        <v>18029</v>
      </c>
      <c r="B364" s="23" t="s">
        <v>2061</v>
      </c>
      <c r="C364" s="24" t="s">
        <v>203</v>
      </c>
      <c r="D364" s="24" t="s">
        <v>201</v>
      </c>
      <c r="E364" s="24" t="s">
        <v>159</v>
      </c>
      <c r="F364" s="25" t="s">
        <v>167</v>
      </c>
    </row>
    <row r="365" spans="1:6">
      <c r="A365" s="22">
        <v>18001</v>
      </c>
      <c r="B365" s="23" t="s">
        <v>428</v>
      </c>
      <c r="C365" s="24" t="s">
        <v>203</v>
      </c>
      <c r="D365" s="24" t="s">
        <v>201</v>
      </c>
      <c r="E365" s="24" t="s">
        <v>159</v>
      </c>
      <c r="F365" s="25" t="s">
        <v>167</v>
      </c>
    </row>
    <row r="366" spans="1:6">
      <c r="A366" s="22">
        <v>18592</v>
      </c>
      <c r="B366" s="23" t="s">
        <v>2062</v>
      </c>
      <c r="C366" s="24" t="s">
        <v>203</v>
      </c>
      <c r="D366" s="24" t="s">
        <v>201</v>
      </c>
      <c r="E366" s="24" t="s">
        <v>159</v>
      </c>
      <c r="F366" s="25" t="s">
        <v>147</v>
      </c>
    </row>
    <row r="367" spans="1:6">
      <c r="A367" s="22">
        <v>18860</v>
      </c>
      <c r="B367" s="23" t="s">
        <v>1780</v>
      </c>
      <c r="C367" s="24" t="s">
        <v>203</v>
      </c>
      <c r="D367" s="24" t="s">
        <v>201</v>
      </c>
      <c r="E367" s="24" t="s">
        <v>159</v>
      </c>
      <c r="F367" s="25" t="s">
        <v>167</v>
      </c>
    </row>
    <row r="368" spans="1:6">
      <c r="A368" s="22">
        <v>18094</v>
      </c>
      <c r="B368" s="24" t="s">
        <v>2063</v>
      </c>
      <c r="C368" s="24" t="s">
        <v>203</v>
      </c>
      <c r="D368" s="24" t="s">
        <v>201</v>
      </c>
      <c r="E368" s="24" t="s">
        <v>159</v>
      </c>
      <c r="F368" s="25" t="s">
        <v>167</v>
      </c>
    </row>
    <row r="369" spans="1:6">
      <c r="A369" s="22">
        <v>18150</v>
      </c>
      <c r="B369" s="24" t="s">
        <v>2064</v>
      </c>
      <c r="C369" s="24" t="s">
        <v>203</v>
      </c>
      <c r="D369" s="24" t="s">
        <v>201</v>
      </c>
      <c r="E369" s="24" t="s">
        <v>159</v>
      </c>
      <c r="F369" s="25" t="s">
        <v>147</v>
      </c>
    </row>
    <row r="370" spans="1:6">
      <c r="A370" s="22">
        <v>18205</v>
      </c>
      <c r="B370" s="24" t="s">
        <v>2065</v>
      </c>
      <c r="C370" s="24" t="s">
        <v>203</v>
      </c>
      <c r="D370" s="24" t="s">
        <v>201</v>
      </c>
      <c r="E370" s="24" t="s">
        <v>159</v>
      </c>
      <c r="F370" s="25" t="s">
        <v>167</v>
      </c>
    </row>
    <row r="371" spans="1:6">
      <c r="A371" s="22">
        <v>18247</v>
      </c>
      <c r="B371" s="24" t="s">
        <v>2066</v>
      </c>
      <c r="C371" s="24" t="s">
        <v>203</v>
      </c>
      <c r="D371" s="24" t="s">
        <v>201</v>
      </c>
      <c r="E371" s="24" t="s">
        <v>159</v>
      </c>
      <c r="F371" s="25" t="s">
        <v>167</v>
      </c>
    </row>
    <row r="372" spans="1:6">
      <c r="A372" s="22">
        <v>18256</v>
      </c>
      <c r="B372" s="24" t="s">
        <v>2067</v>
      </c>
      <c r="C372" s="24" t="s">
        <v>203</v>
      </c>
      <c r="D372" s="24" t="s">
        <v>201</v>
      </c>
      <c r="E372" s="24" t="s">
        <v>159</v>
      </c>
      <c r="F372" s="25" t="s">
        <v>167</v>
      </c>
    </row>
    <row r="373" spans="1:6">
      <c r="A373" s="22">
        <v>18410</v>
      </c>
      <c r="B373" s="24" t="s">
        <v>2068</v>
      </c>
      <c r="C373" s="24" t="s">
        <v>203</v>
      </c>
      <c r="D373" s="24" t="s">
        <v>201</v>
      </c>
      <c r="E373" s="24" t="s">
        <v>159</v>
      </c>
      <c r="F373" s="25" t="s">
        <v>167</v>
      </c>
    </row>
    <row r="374" spans="1:6">
      <c r="A374" s="22">
        <v>18460</v>
      </c>
      <c r="B374" s="24" t="s">
        <v>2069</v>
      </c>
      <c r="C374" s="24" t="s">
        <v>203</v>
      </c>
      <c r="D374" s="24" t="s">
        <v>201</v>
      </c>
      <c r="E374" s="24" t="s">
        <v>159</v>
      </c>
      <c r="F374" s="25" t="s">
        <v>167</v>
      </c>
    </row>
    <row r="375" spans="1:6">
      <c r="A375" s="22">
        <v>18479</v>
      </c>
      <c r="B375" s="24" t="s">
        <v>2070</v>
      </c>
      <c r="C375" s="24" t="s">
        <v>203</v>
      </c>
      <c r="D375" s="24" t="s">
        <v>201</v>
      </c>
      <c r="E375" s="24" t="s">
        <v>159</v>
      </c>
      <c r="F375" s="25" t="s">
        <v>167</v>
      </c>
    </row>
    <row r="376" spans="1:6">
      <c r="A376" s="22">
        <v>18610</v>
      </c>
      <c r="B376" s="24" t="s">
        <v>2071</v>
      </c>
      <c r="C376" s="24" t="s">
        <v>203</v>
      </c>
      <c r="D376" s="24" t="s">
        <v>201</v>
      </c>
      <c r="E376" s="24" t="s">
        <v>159</v>
      </c>
      <c r="F376" s="25" t="s">
        <v>167</v>
      </c>
    </row>
    <row r="377" spans="1:6">
      <c r="A377" s="22">
        <v>18753</v>
      </c>
      <c r="B377" s="24" t="s">
        <v>236</v>
      </c>
      <c r="C377" s="24" t="s">
        <v>203</v>
      </c>
      <c r="D377" s="24" t="s">
        <v>201</v>
      </c>
      <c r="E377" s="24" t="s">
        <v>243</v>
      </c>
      <c r="F377" s="25" t="s">
        <v>147</v>
      </c>
    </row>
    <row r="378" spans="1:6">
      <c r="A378" s="22">
        <v>18756</v>
      </c>
      <c r="B378" s="24" t="s">
        <v>2072</v>
      </c>
      <c r="C378" s="24" t="s">
        <v>203</v>
      </c>
      <c r="D378" s="24" t="s">
        <v>201</v>
      </c>
      <c r="E378" s="24" t="s">
        <v>857</v>
      </c>
      <c r="F378" s="25" t="s">
        <v>147</v>
      </c>
    </row>
    <row r="379" spans="1:6">
      <c r="A379" s="22">
        <v>18785</v>
      </c>
      <c r="B379" s="24" t="s">
        <v>204</v>
      </c>
      <c r="C379" s="24" t="s">
        <v>203</v>
      </c>
      <c r="D379" s="24" t="s">
        <v>201</v>
      </c>
      <c r="E379" s="24" t="s">
        <v>159</v>
      </c>
      <c r="F379" s="25" t="s">
        <v>167</v>
      </c>
    </row>
    <row r="380" spans="1:6">
      <c r="A380" s="22">
        <v>85300</v>
      </c>
      <c r="B380" s="23" t="s">
        <v>1774</v>
      </c>
      <c r="C380" s="24" t="s">
        <v>922</v>
      </c>
      <c r="D380" s="24" t="s">
        <v>920</v>
      </c>
      <c r="E380" s="24" t="s">
        <v>159</v>
      </c>
      <c r="F380" s="25" t="s">
        <v>158</v>
      </c>
    </row>
    <row r="381" spans="1:6">
      <c r="A381" s="22">
        <v>85440</v>
      </c>
      <c r="B381" s="23" t="s">
        <v>778</v>
      </c>
      <c r="C381" s="24" t="s">
        <v>922</v>
      </c>
      <c r="D381" s="24" t="s">
        <v>210</v>
      </c>
      <c r="E381" s="24" t="s">
        <v>159</v>
      </c>
      <c r="F381" s="25" t="s">
        <v>158</v>
      </c>
    </row>
    <row r="382" spans="1:6">
      <c r="A382" s="22">
        <v>85010</v>
      </c>
      <c r="B382" s="24" t="s">
        <v>931</v>
      </c>
      <c r="C382" s="24" t="s">
        <v>922</v>
      </c>
      <c r="D382" s="24" t="s">
        <v>920</v>
      </c>
      <c r="E382" s="24" t="s">
        <v>159</v>
      </c>
      <c r="F382" s="25" t="s">
        <v>199</v>
      </c>
    </row>
    <row r="383" spans="1:6">
      <c r="A383" s="22">
        <v>85015</v>
      </c>
      <c r="B383" s="24" t="s">
        <v>2073</v>
      </c>
      <c r="C383" s="24" t="s">
        <v>922</v>
      </c>
      <c r="D383" s="24" t="s">
        <v>920</v>
      </c>
      <c r="E383" s="24" t="s">
        <v>159</v>
      </c>
      <c r="F383" s="25" t="s">
        <v>167</v>
      </c>
    </row>
    <row r="384" spans="1:6">
      <c r="A384" s="22">
        <v>85125</v>
      </c>
      <c r="B384" s="24" t="s">
        <v>2074</v>
      </c>
      <c r="C384" s="24" t="s">
        <v>922</v>
      </c>
      <c r="D384" s="24" t="s">
        <v>920</v>
      </c>
      <c r="E384" s="24" t="s">
        <v>159</v>
      </c>
      <c r="F384" s="25" t="s">
        <v>158</v>
      </c>
    </row>
    <row r="385" spans="1:6">
      <c r="A385" s="22">
        <v>85136</v>
      </c>
      <c r="B385" s="24" t="s">
        <v>2075</v>
      </c>
      <c r="C385" s="24" t="s">
        <v>922</v>
      </c>
      <c r="D385" s="24" t="s">
        <v>920</v>
      </c>
      <c r="E385" s="24" t="s">
        <v>159</v>
      </c>
      <c r="F385" s="25" t="s">
        <v>167</v>
      </c>
    </row>
    <row r="386" spans="1:6">
      <c r="A386" s="22">
        <v>85139</v>
      </c>
      <c r="B386" s="24" t="s">
        <v>2076</v>
      </c>
      <c r="C386" s="24" t="s">
        <v>922</v>
      </c>
      <c r="D386" s="24" t="s">
        <v>920</v>
      </c>
      <c r="E386" s="24" t="s">
        <v>159</v>
      </c>
      <c r="F386" s="25" t="s">
        <v>199</v>
      </c>
    </row>
    <row r="387" spans="1:6">
      <c r="A387" s="22">
        <v>85162</v>
      </c>
      <c r="B387" s="24" t="s">
        <v>2077</v>
      </c>
      <c r="C387" s="24" t="s">
        <v>922</v>
      </c>
      <c r="D387" s="24" t="s">
        <v>920</v>
      </c>
      <c r="E387" s="24" t="s">
        <v>159</v>
      </c>
      <c r="F387" s="25" t="s">
        <v>199</v>
      </c>
    </row>
    <row r="388" spans="1:6">
      <c r="A388" s="22">
        <v>85225</v>
      </c>
      <c r="B388" s="24" t="s">
        <v>936</v>
      </c>
      <c r="C388" s="24" t="s">
        <v>922</v>
      </c>
      <c r="D388" s="24" t="s">
        <v>920</v>
      </c>
      <c r="E388" s="24" t="s">
        <v>159</v>
      </c>
      <c r="F388" s="25" t="s">
        <v>199</v>
      </c>
    </row>
    <row r="389" spans="1:6">
      <c r="A389" s="22">
        <v>85230</v>
      </c>
      <c r="B389" s="24" t="s">
        <v>2078</v>
      </c>
      <c r="C389" s="24" t="s">
        <v>922</v>
      </c>
      <c r="D389" s="24" t="s">
        <v>920</v>
      </c>
      <c r="E389" s="24" t="s">
        <v>857</v>
      </c>
      <c r="F389" s="25" t="s">
        <v>147</v>
      </c>
    </row>
    <row r="390" spans="1:6">
      <c r="A390" s="22">
        <v>85250</v>
      </c>
      <c r="B390" s="24" t="s">
        <v>2079</v>
      </c>
      <c r="C390" s="24" t="s">
        <v>922</v>
      </c>
      <c r="D390" s="24" t="s">
        <v>920</v>
      </c>
      <c r="E390" s="24" t="s">
        <v>159</v>
      </c>
      <c r="F390" s="25" t="s">
        <v>199</v>
      </c>
    </row>
    <row r="391" spans="1:6">
      <c r="A391" s="22">
        <v>85263</v>
      </c>
      <c r="B391" s="24" t="s">
        <v>2080</v>
      </c>
      <c r="C391" s="24" t="s">
        <v>922</v>
      </c>
      <c r="D391" s="24" t="s">
        <v>920</v>
      </c>
      <c r="E391" s="24" t="s">
        <v>159</v>
      </c>
      <c r="F391" s="25" t="s">
        <v>199</v>
      </c>
    </row>
    <row r="392" spans="1:6">
      <c r="A392" s="22">
        <v>85279</v>
      </c>
      <c r="B392" s="24" t="s">
        <v>2081</v>
      </c>
      <c r="C392" s="24" t="s">
        <v>922</v>
      </c>
      <c r="D392" s="24" t="s">
        <v>920</v>
      </c>
      <c r="E392" s="24" t="s">
        <v>159</v>
      </c>
      <c r="F392" s="25" t="s">
        <v>158</v>
      </c>
    </row>
    <row r="393" spans="1:6">
      <c r="A393" s="22">
        <v>85315</v>
      </c>
      <c r="B393" s="24" t="s">
        <v>2082</v>
      </c>
      <c r="C393" s="24" t="s">
        <v>922</v>
      </c>
      <c r="D393" s="24" t="s">
        <v>920</v>
      </c>
      <c r="E393" s="24" t="s">
        <v>159</v>
      </c>
      <c r="F393" s="25" t="s">
        <v>167</v>
      </c>
    </row>
    <row r="394" spans="1:6">
      <c r="A394" s="22">
        <v>85325</v>
      </c>
      <c r="B394" s="24" t="s">
        <v>2083</v>
      </c>
      <c r="C394" s="24" t="s">
        <v>922</v>
      </c>
      <c r="D394" s="24" t="s">
        <v>920</v>
      </c>
      <c r="E394" s="24" t="s">
        <v>159</v>
      </c>
      <c r="F394" s="25" t="s">
        <v>199</v>
      </c>
    </row>
    <row r="395" spans="1:6">
      <c r="A395" s="22">
        <v>85400</v>
      </c>
      <c r="B395" s="24" t="s">
        <v>2084</v>
      </c>
      <c r="C395" s="24" t="s">
        <v>922</v>
      </c>
      <c r="D395" s="24" t="s">
        <v>920</v>
      </c>
      <c r="E395" s="24" t="s">
        <v>159</v>
      </c>
      <c r="F395" s="25" t="s">
        <v>158</v>
      </c>
    </row>
    <row r="396" spans="1:6">
      <c r="A396" s="22">
        <v>85410</v>
      </c>
      <c r="B396" s="24" t="s">
        <v>2085</v>
      </c>
      <c r="C396" s="24" t="s">
        <v>922</v>
      </c>
      <c r="D396" s="24" t="s">
        <v>920</v>
      </c>
      <c r="E396" s="24" t="s">
        <v>159</v>
      </c>
      <c r="F396" s="25" t="s">
        <v>199</v>
      </c>
    </row>
    <row r="397" spans="1:6">
      <c r="A397" s="22">
        <v>85430</v>
      </c>
      <c r="B397" s="24" t="s">
        <v>2086</v>
      </c>
      <c r="C397" s="24" t="s">
        <v>922</v>
      </c>
      <c r="D397" s="24" t="s">
        <v>920</v>
      </c>
      <c r="E397" s="24" t="s">
        <v>159</v>
      </c>
      <c r="F397" s="25" t="s">
        <v>199</v>
      </c>
    </row>
    <row r="398" spans="1:6">
      <c r="A398" s="22">
        <v>85001</v>
      </c>
      <c r="B398" s="24" t="s">
        <v>920</v>
      </c>
      <c r="C398" s="24" t="s">
        <v>922</v>
      </c>
      <c r="D398" s="24" t="s">
        <v>920</v>
      </c>
      <c r="E398" s="24" t="s">
        <v>159</v>
      </c>
      <c r="F398" s="25" t="s">
        <v>55</v>
      </c>
    </row>
    <row r="399" spans="1:6">
      <c r="A399" s="22">
        <v>19050</v>
      </c>
      <c r="B399" s="23" t="s">
        <v>1766</v>
      </c>
      <c r="C399" s="24" t="s">
        <v>152</v>
      </c>
      <c r="D399" s="24" t="s">
        <v>150</v>
      </c>
      <c r="E399" s="24" t="s">
        <v>159</v>
      </c>
      <c r="F399" s="25" t="s">
        <v>167</v>
      </c>
    </row>
    <row r="400" spans="1:6">
      <c r="A400" s="22">
        <v>19075</v>
      </c>
      <c r="B400" s="23" t="s">
        <v>2087</v>
      </c>
      <c r="C400" s="24" t="s">
        <v>152</v>
      </c>
      <c r="D400" s="24" t="s">
        <v>150</v>
      </c>
      <c r="E400" s="24" t="s">
        <v>159</v>
      </c>
      <c r="F400" s="25" t="s">
        <v>167</v>
      </c>
    </row>
    <row r="401" spans="1:6">
      <c r="A401" s="22">
        <v>19100</v>
      </c>
      <c r="B401" s="23" t="s">
        <v>713</v>
      </c>
      <c r="C401" s="24" t="s">
        <v>152</v>
      </c>
      <c r="D401" s="24" t="s">
        <v>150</v>
      </c>
      <c r="E401" s="24" t="s">
        <v>159</v>
      </c>
      <c r="F401" s="25" t="s">
        <v>167</v>
      </c>
    </row>
    <row r="402" spans="1:6">
      <c r="A402" s="22">
        <v>19256</v>
      </c>
      <c r="B402" s="23" t="s">
        <v>153</v>
      </c>
      <c r="C402" s="24" t="s">
        <v>152</v>
      </c>
      <c r="D402" s="24" t="s">
        <v>150</v>
      </c>
      <c r="E402" s="24" t="s">
        <v>159</v>
      </c>
      <c r="F402" s="25" t="s">
        <v>158</v>
      </c>
    </row>
    <row r="403" spans="1:6">
      <c r="A403" s="22">
        <v>19290</v>
      </c>
      <c r="B403" s="23" t="s">
        <v>428</v>
      </c>
      <c r="C403" s="24" t="s">
        <v>152</v>
      </c>
      <c r="D403" s="24" t="s">
        <v>150</v>
      </c>
      <c r="E403" s="24" t="s">
        <v>159</v>
      </c>
      <c r="F403" s="25" t="s">
        <v>167</v>
      </c>
    </row>
    <row r="404" spans="1:6">
      <c r="A404" s="22">
        <v>19397</v>
      </c>
      <c r="B404" s="23" t="s">
        <v>2088</v>
      </c>
      <c r="C404" s="24" t="s">
        <v>152</v>
      </c>
      <c r="D404" s="24" t="s">
        <v>150</v>
      </c>
      <c r="E404" s="24" t="s">
        <v>159</v>
      </c>
      <c r="F404" s="25" t="s">
        <v>167</v>
      </c>
    </row>
    <row r="405" spans="1:6">
      <c r="A405" s="22">
        <v>19473</v>
      </c>
      <c r="B405" s="23" t="s">
        <v>1890</v>
      </c>
      <c r="C405" s="24" t="s">
        <v>152</v>
      </c>
      <c r="D405" s="24" t="s">
        <v>150</v>
      </c>
      <c r="E405" s="24" t="s">
        <v>159</v>
      </c>
      <c r="F405" s="25" t="s">
        <v>158</v>
      </c>
    </row>
    <row r="406" spans="1:6">
      <c r="A406" s="22">
        <v>19517</v>
      </c>
      <c r="B406" s="23" t="s">
        <v>1932</v>
      </c>
      <c r="C406" s="24" t="s">
        <v>152</v>
      </c>
      <c r="D406" s="24" t="s">
        <v>150</v>
      </c>
      <c r="E406" s="24" t="s">
        <v>159</v>
      </c>
      <c r="F406" s="25" t="s">
        <v>167</v>
      </c>
    </row>
    <row r="407" spans="1:6">
      <c r="A407" s="22">
        <v>19701</v>
      </c>
      <c r="B407" s="23" t="s">
        <v>1891</v>
      </c>
      <c r="C407" s="24" t="s">
        <v>152</v>
      </c>
      <c r="D407" s="24" t="s">
        <v>150</v>
      </c>
      <c r="E407" s="24" t="s">
        <v>159</v>
      </c>
      <c r="F407" s="25" t="s">
        <v>167</v>
      </c>
    </row>
    <row r="408" spans="1:6">
      <c r="A408" s="22">
        <v>19780</v>
      </c>
      <c r="B408" s="23" t="s">
        <v>2089</v>
      </c>
      <c r="C408" s="24" t="s">
        <v>152</v>
      </c>
      <c r="D408" s="24" t="s">
        <v>150</v>
      </c>
      <c r="E408" s="24" t="s">
        <v>159</v>
      </c>
      <c r="F408" s="25" t="s">
        <v>158</v>
      </c>
    </row>
    <row r="409" spans="1:6">
      <c r="A409" s="22">
        <v>19785</v>
      </c>
      <c r="B409" s="23" t="s">
        <v>349</v>
      </c>
      <c r="C409" s="24" t="s">
        <v>152</v>
      </c>
      <c r="D409" s="24" t="s">
        <v>150</v>
      </c>
      <c r="E409" s="24" t="s">
        <v>159</v>
      </c>
      <c r="F409" s="25" t="s">
        <v>167</v>
      </c>
    </row>
    <row r="410" spans="1:6">
      <c r="A410" s="22">
        <v>19022</v>
      </c>
      <c r="B410" s="24" t="s">
        <v>2090</v>
      </c>
      <c r="C410" s="24" t="s">
        <v>152</v>
      </c>
      <c r="D410" s="24" t="s">
        <v>150</v>
      </c>
      <c r="E410" s="24" t="s">
        <v>159</v>
      </c>
      <c r="F410" s="25" t="s">
        <v>167</v>
      </c>
    </row>
    <row r="411" spans="1:6">
      <c r="A411" s="22">
        <v>19110</v>
      </c>
      <c r="B411" s="24" t="s">
        <v>1632</v>
      </c>
      <c r="C411" s="24" t="s">
        <v>152</v>
      </c>
      <c r="D411" s="24" t="s">
        <v>150</v>
      </c>
      <c r="E411" s="24" t="s">
        <v>159</v>
      </c>
      <c r="F411" s="25" t="s">
        <v>199</v>
      </c>
    </row>
    <row r="412" spans="1:6">
      <c r="A412" s="22">
        <v>19130</v>
      </c>
      <c r="B412" s="24" t="s">
        <v>2091</v>
      </c>
      <c r="C412" s="24" t="s">
        <v>152</v>
      </c>
      <c r="D412" s="24" t="s">
        <v>150</v>
      </c>
      <c r="E412" s="24" t="s">
        <v>159</v>
      </c>
      <c r="F412" s="25" t="s">
        <v>158</v>
      </c>
    </row>
    <row r="413" spans="1:6">
      <c r="A413" s="22">
        <v>19137</v>
      </c>
      <c r="B413" s="24" t="s">
        <v>2092</v>
      </c>
      <c r="C413" s="24" t="s">
        <v>152</v>
      </c>
      <c r="D413" s="24" t="s">
        <v>150</v>
      </c>
      <c r="E413" s="24" t="s">
        <v>159</v>
      </c>
      <c r="F413" s="25" t="s">
        <v>158</v>
      </c>
    </row>
    <row r="414" spans="1:6">
      <c r="A414" s="22">
        <v>19142</v>
      </c>
      <c r="B414" s="24" t="s">
        <v>2093</v>
      </c>
      <c r="C414" s="24" t="s">
        <v>152</v>
      </c>
      <c r="D414" s="24" t="s">
        <v>150</v>
      </c>
      <c r="E414" s="24" t="s">
        <v>159</v>
      </c>
      <c r="F414" s="25" t="s">
        <v>199</v>
      </c>
    </row>
    <row r="415" spans="1:6">
      <c r="A415" s="22">
        <v>19212</v>
      </c>
      <c r="B415" s="24" t="s">
        <v>2094</v>
      </c>
      <c r="C415" s="24" t="s">
        <v>152</v>
      </c>
      <c r="D415" s="24" t="s">
        <v>150</v>
      </c>
      <c r="E415" s="24" t="s">
        <v>159</v>
      </c>
      <c r="F415" s="25" t="s">
        <v>158</v>
      </c>
    </row>
    <row r="416" spans="1:6">
      <c r="A416" s="22">
        <v>19300</v>
      </c>
      <c r="B416" s="24" t="s">
        <v>2095</v>
      </c>
      <c r="C416" s="24" t="s">
        <v>152</v>
      </c>
      <c r="D416" s="24" t="s">
        <v>150</v>
      </c>
      <c r="E416" s="24" t="s">
        <v>159</v>
      </c>
      <c r="F416" s="25" t="s">
        <v>199</v>
      </c>
    </row>
    <row r="417" spans="1:6">
      <c r="A417" s="22">
        <v>19318</v>
      </c>
      <c r="B417" s="24" t="s">
        <v>2096</v>
      </c>
      <c r="C417" s="24" t="s">
        <v>152</v>
      </c>
      <c r="D417" s="24" t="s">
        <v>150</v>
      </c>
      <c r="E417" s="24" t="s">
        <v>190</v>
      </c>
      <c r="F417" s="25" t="s">
        <v>147</v>
      </c>
    </row>
    <row r="418" spans="1:6">
      <c r="A418" s="22">
        <v>19355</v>
      </c>
      <c r="B418" s="24" t="s">
        <v>2097</v>
      </c>
      <c r="C418" s="24" t="s">
        <v>152</v>
      </c>
      <c r="D418" s="24" t="s">
        <v>150</v>
      </c>
      <c r="E418" s="24" t="s">
        <v>159</v>
      </c>
      <c r="F418" s="25" t="s">
        <v>167</v>
      </c>
    </row>
    <row r="419" spans="1:6">
      <c r="A419" s="22">
        <v>19364</v>
      </c>
      <c r="B419" s="24" t="s">
        <v>2098</v>
      </c>
      <c r="C419" s="24" t="s">
        <v>152</v>
      </c>
      <c r="D419" s="24" t="s">
        <v>150</v>
      </c>
      <c r="E419" s="24" t="s">
        <v>159</v>
      </c>
      <c r="F419" s="25" t="s">
        <v>158</v>
      </c>
    </row>
    <row r="420" spans="1:6">
      <c r="A420" s="22">
        <v>19392</v>
      </c>
      <c r="B420" s="24" t="s">
        <v>2099</v>
      </c>
      <c r="C420" s="24" t="s">
        <v>152</v>
      </c>
      <c r="D420" s="24" t="s">
        <v>150</v>
      </c>
      <c r="E420" s="24" t="s">
        <v>159</v>
      </c>
      <c r="F420" s="25" t="s">
        <v>158</v>
      </c>
    </row>
    <row r="421" spans="1:6">
      <c r="A421" s="22">
        <v>19418</v>
      </c>
      <c r="B421" s="24" t="s">
        <v>2100</v>
      </c>
      <c r="C421" s="24" t="s">
        <v>152</v>
      </c>
      <c r="D421" s="24" t="s">
        <v>150</v>
      </c>
      <c r="E421" s="24" t="s">
        <v>159</v>
      </c>
      <c r="F421" s="25" t="s">
        <v>167</v>
      </c>
    </row>
    <row r="422" spans="1:6">
      <c r="A422" s="22">
        <v>19450</v>
      </c>
      <c r="B422" s="24" t="s">
        <v>2101</v>
      </c>
      <c r="C422" s="24" t="s">
        <v>152</v>
      </c>
      <c r="D422" s="24" t="s">
        <v>150</v>
      </c>
      <c r="E422" s="24" t="s">
        <v>159</v>
      </c>
      <c r="F422" s="25" t="s">
        <v>167</v>
      </c>
    </row>
    <row r="423" spans="1:6">
      <c r="A423" s="22">
        <v>19455</v>
      </c>
      <c r="B423" s="24" t="s">
        <v>2102</v>
      </c>
      <c r="C423" s="24" t="s">
        <v>152</v>
      </c>
      <c r="D423" s="24" t="s">
        <v>150</v>
      </c>
      <c r="E423" s="24" t="s">
        <v>159</v>
      </c>
      <c r="F423" s="25" t="s">
        <v>158</v>
      </c>
    </row>
    <row r="424" spans="1:6">
      <c r="A424" s="22">
        <v>19513</v>
      </c>
      <c r="B424" s="24" t="s">
        <v>2103</v>
      </c>
      <c r="C424" s="24" t="s">
        <v>152</v>
      </c>
      <c r="D424" s="24" t="s">
        <v>150</v>
      </c>
      <c r="E424" s="24" t="s">
        <v>159</v>
      </c>
      <c r="F424" s="25" t="s">
        <v>199</v>
      </c>
    </row>
    <row r="425" spans="1:6">
      <c r="A425" s="22">
        <v>19532</v>
      </c>
      <c r="B425" s="24" t="s">
        <v>2104</v>
      </c>
      <c r="C425" s="24" t="s">
        <v>152</v>
      </c>
      <c r="D425" s="24" t="s">
        <v>150</v>
      </c>
      <c r="E425" s="24" t="s">
        <v>159</v>
      </c>
      <c r="F425" s="25" t="s">
        <v>167</v>
      </c>
    </row>
    <row r="426" spans="1:6">
      <c r="A426" s="22">
        <v>19533</v>
      </c>
      <c r="B426" s="24" t="s">
        <v>2105</v>
      </c>
      <c r="C426" s="24" t="s">
        <v>152</v>
      </c>
      <c r="D426" s="24" t="s">
        <v>133</v>
      </c>
      <c r="E426" s="24" t="s">
        <v>857</v>
      </c>
      <c r="F426" s="25" t="s">
        <v>147</v>
      </c>
    </row>
    <row r="427" spans="1:6">
      <c r="A427" s="22">
        <v>19548</v>
      </c>
      <c r="B427" s="24" t="s">
        <v>2106</v>
      </c>
      <c r="C427" s="24" t="s">
        <v>152</v>
      </c>
      <c r="D427" s="24" t="s">
        <v>150</v>
      </c>
      <c r="E427" s="24" t="s">
        <v>159</v>
      </c>
      <c r="F427" s="25" t="s">
        <v>158</v>
      </c>
    </row>
    <row r="428" spans="1:6">
      <c r="A428" s="22">
        <v>19001</v>
      </c>
      <c r="B428" s="24" t="s">
        <v>720</v>
      </c>
      <c r="C428" s="24" t="s">
        <v>152</v>
      </c>
      <c r="D428" s="24" t="s">
        <v>150</v>
      </c>
      <c r="E428" s="24" t="s">
        <v>159</v>
      </c>
      <c r="F428" s="25" t="s">
        <v>158</v>
      </c>
    </row>
    <row r="429" spans="1:6">
      <c r="A429" s="22">
        <v>19573</v>
      </c>
      <c r="B429" s="24" t="s">
        <v>2107</v>
      </c>
      <c r="C429" s="24" t="s">
        <v>152</v>
      </c>
      <c r="D429" s="24" t="s">
        <v>150</v>
      </c>
      <c r="E429" s="24" t="s">
        <v>159</v>
      </c>
      <c r="F429" s="25" t="s">
        <v>199</v>
      </c>
    </row>
    <row r="430" spans="1:6">
      <c r="A430" s="22">
        <v>19585</v>
      </c>
      <c r="B430" s="24" t="s">
        <v>2108</v>
      </c>
      <c r="C430" s="24" t="s">
        <v>152</v>
      </c>
      <c r="D430" s="24" t="s">
        <v>150</v>
      </c>
      <c r="E430" s="24" t="s">
        <v>159</v>
      </c>
      <c r="F430" s="25" t="s">
        <v>167</v>
      </c>
    </row>
    <row r="431" spans="1:6">
      <c r="A431" s="22">
        <v>19622</v>
      </c>
      <c r="B431" s="24" t="s">
        <v>2109</v>
      </c>
      <c r="C431" s="24" t="s">
        <v>152</v>
      </c>
      <c r="D431" s="24" t="s">
        <v>150</v>
      </c>
      <c r="E431" s="24" t="s">
        <v>159</v>
      </c>
      <c r="F431" s="25" t="s">
        <v>158</v>
      </c>
    </row>
    <row r="432" spans="1:6">
      <c r="A432" s="22">
        <v>19693</v>
      </c>
      <c r="B432" s="24" t="s">
        <v>2110</v>
      </c>
      <c r="C432" s="24" t="s">
        <v>152</v>
      </c>
      <c r="D432" s="24" t="s">
        <v>150</v>
      </c>
      <c r="E432" s="24" t="s">
        <v>159</v>
      </c>
      <c r="F432" s="25" t="s">
        <v>167</v>
      </c>
    </row>
    <row r="433" spans="1:6">
      <c r="A433" s="22">
        <v>19698</v>
      </c>
      <c r="B433" s="24" t="s">
        <v>2111</v>
      </c>
      <c r="C433" s="24" t="s">
        <v>152</v>
      </c>
      <c r="D433" s="24" t="s">
        <v>150</v>
      </c>
      <c r="E433" s="24" t="s">
        <v>159</v>
      </c>
      <c r="F433" s="25" t="s">
        <v>199</v>
      </c>
    </row>
    <row r="434" spans="1:6">
      <c r="A434" s="22">
        <v>19743</v>
      </c>
      <c r="B434" s="24" t="s">
        <v>2112</v>
      </c>
      <c r="C434" s="24" t="s">
        <v>152</v>
      </c>
      <c r="D434" s="24" t="s">
        <v>150</v>
      </c>
      <c r="E434" s="24" t="s">
        <v>159</v>
      </c>
      <c r="F434" s="25" t="s">
        <v>158</v>
      </c>
    </row>
    <row r="435" spans="1:6">
      <c r="A435" s="22">
        <v>19760</v>
      </c>
      <c r="B435" s="24" t="s">
        <v>2113</v>
      </c>
      <c r="C435" s="24" t="s">
        <v>152</v>
      </c>
      <c r="D435" s="24" t="s">
        <v>150</v>
      </c>
      <c r="E435" s="24" t="s">
        <v>159</v>
      </c>
      <c r="F435" s="25" t="s">
        <v>158</v>
      </c>
    </row>
    <row r="436" spans="1:6">
      <c r="A436" s="22">
        <v>19807</v>
      </c>
      <c r="B436" s="24" t="s">
        <v>2114</v>
      </c>
      <c r="C436" s="24" t="s">
        <v>152</v>
      </c>
      <c r="D436" s="24" t="s">
        <v>150</v>
      </c>
      <c r="E436" s="24" t="s">
        <v>159</v>
      </c>
      <c r="F436" s="25" t="s">
        <v>158</v>
      </c>
    </row>
    <row r="437" spans="1:6">
      <c r="A437" s="22">
        <v>19809</v>
      </c>
      <c r="B437" s="24" t="s">
        <v>185</v>
      </c>
      <c r="C437" s="24" t="s">
        <v>152</v>
      </c>
      <c r="D437" s="24" t="s">
        <v>150</v>
      </c>
      <c r="E437" s="24" t="s">
        <v>190</v>
      </c>
      <c r="F437" s="25" t="s">
        <v>147</v>
      </c>
    </row>
    <row r="438" spans="1:6">
      <c r="A438" s="22">
        <v>19821</v>
      </c>
      <c r="B438" s="24" t="s">
        <v>2115</v>
      </c>
      <c r="C438" s="24" t="s">
        <v>152</v>
      </c>
      <c r="D438" s="24" t="s">
        <v>150</v>
      </c>
      <c r="E438" s="24" t="s">
        <v>159</v>
      </c>
      <c r="F438" s="25" t="s">
        <v>158</v>
      </c>
    </row>
    <row r="439" spans="1:6">
      <c r="A439" s="22">
        <v>19824</v>
      </c>
      <c r="B439" s="24" t="s">
        <v>2116</v>
      </c>
      <c r="C439" s="24" t="s">
        <v>152</v>
      </c>
      <c r="D439" s="24" t="s">
        <v>150</v>
      </c>
      <c r="E439" s="24" t="s">
        <v>159</v>
      </c>
      <c r="F439" s="25" t="s">
        <v>158</v>
      </c>
    </row>
    <row r="440" spans="1:6">
      <c r="A440" s="22">
        <v>19845</v>
      </c>
      <c r="B440" s="24" t="s">
        <v>2117</v>
      </c>
      <c r="C440" s="24" t="s">
        <v>152</v>
      </c>
      <c r="D440" s="24" t="s">
        <v>150</v>
      </c>
      <c r="E440" s="24" t="s">
        <v>159</v>
      </c>
      <c r="F440" s="25" t="s">
        <v>167</v>
      </c>
    </row>
    <row r="441" spans="1:6">
      <c r="A441" s="22">
        <v>20621</v>
      </c>
      <c r="B441" s="23" t="s">
        <v>2118</v>
      </c>
      <c r="C441" s="24" t="s">
        <v>623</v>
      </c>
      <c r="D441" s="24" t="s">
        <v>621</v>
      </c>
      <c r="E441" s="24" t="s">
        <v>159</v>
      </c>
      <c r="F441" s="25" t="s">
        <v>199</v>
      </c>
    </row>
    <row r="442" spans="1:6">
      <c r="A442" s="22">
        <v>20443</v>
      </c>
      <c r="B442" s="23" t="s">
        <v>2119</v>
      </c>
      <c r="C442" s="24" t="s">
        <v>623</v>
      </c>
      <c r="D442" s="24" t="s">
        <v>621</v>
      </c>
      <c r="E442" s="24" t="s">
        <v>159</v>
      </c>
      <c r="F442" s="25" t="s">
        <v>199</v>
      </c>
    </row>
    <row r="443" spans="1:6">
      <c r="A443" s="22">
        <v>20770</v>
      </c>
      <c r="B443" s="23" t="s">
        <v>2120</v>
      </c>
      <c r="C443" s="24" t="s">
        <v>623</v>
      </c>
      <c r="D443" s="24" t="s">
        <v>219</v>
      </c>
      <c r="E443" s="24" t="s">
        <v>159</v>
      </c>
      <c r="F443" s="25" t="s">
        <v>158</v>
      </c>
    </row>
    <row r="444" spans="1:6">
      <c r="A444" s="22">
        <v>20011</v>
      </c>
      <c r="B444" s="24" t="s">
        <v>1120</v>
      </c>
      <c r="C444" s="24" t="s">
        <v>623</v>
      </c>
      <c r="D444" s="24" t="s">
        <v>621</v>
      </c>
      <c r="E444" s="24" t="s">
        <v>159</v>
      </c>
      <c r="F444" s="25" t="s">
        <v>167</v>
      </c>
    </row>
    <row r="445" spans="1:6">
      <c r="A445" s="22">
        <v>20013</v>
      </c>
      <c r="B445" s="24" t="s">
        <v>2121</v>
      </c>
      <c r="C445" s="24" t="s">
        <v>623</v>
      </c>
      <c r="D445" s="24" t="s">
        <v>621</v>
      </c>
      <c r="E445" s="24" t="s">
        <v>159</v>
      </c>
      <c r="F445" s="25" t="s">
        <v>199</v>
      </c>
    </row>
    <row r="446" spans="1:6">
      <c r="A446" s="22">
        <v>20032</v>
      </c>
      <c r="B446" s="24" t="s">
        <v>2122</v>
      </c>
      <c r="C446" s="24" t="s">
        <v>623</v>
      </c>
      <c r="D446" s="24" t="s">
        <v>621</v>
      </c>
      <c r="E446" s="24" t="s">
        <v>159</v>
      </c>
      <c r="F446" s="25" t="s">
        <v>158</v>
      </c>
    </row>
    <row r="447" spans="1:6">
      <c r="A447" s="22">
        <v>20045</v>
      </c>
      <c r="B447" s="24" t="s">
        <v>2123</v>
      </c>
      <c r="C447" s="24" t="s">
        <v>623</v>
      </c>
      <c r="D447" s="24" t="s">
        <v>621</v>
      </c>
      <c r="E447" s="24" t="s">
        <v>159</v>
      </c>
      <c r="F447" s="25" t="s">
        <v>199</v>
      </c>
    </row>
    <row r="448" spans="1:6">
      <c r="A448" s="22">
        <v>20060</v>
      </c>
      <c r="B448" s="24" t="s">
        <v>2124</v>
      </c>
      <c r="C448" s="24" t="s">
        <v>623</v>
      </c>
      <c r="D448" s="24" t="s">
        <v>621</v>
      </c>
      <c r="E448" s="24" t="s">
        <v>159</v>
      </c>
      <c r="F448" s="25" t="s">
        <v>199</v>
      </c>
    </row>
    <row r="449" spans="1:6">
      <c r="A449" s="22">
        <v>20175</v>
      </c>
      <c r="B449" s="24" t="s">
        <v>2125</v>
      </c>
      <c r="C449" s="24" t="s">
        <v>623</v>
      </c>
      <c r="D449" s="24" t="s">
        <v>621</v>
      </c>
      <c r="E449" s="24" t="s">
        <v>159</v>
      </c>
      <c r="F449" s="25" t="s">
        <v>167</v>
      </c>
    </row>
    <row r="450" spans="1:6">
      <c r="A450" s="22">
        <v>20178</v>
      </c>
      <c r="B450" s="24" t="s">
        <v>2126</v>
      </c>
      <c r="C450" s="24" t="s">
        <v>623</v>
      </c>
      <c r="D450" s="24" t="s">
        <v>621</v>
      </c>
      <c r="E450" s="24" t="s">
        <v>159</v>
      </c>
      <c r="F450" s="25" t="s">
        <v>158</v>
      </c>
    </row>
    <row r="451" spans="1:6">
      <c r="A451" s="22">
        <v>20228</v>
      </c>
      <c r="B451" s="24" t="s">
        <v>2127</v>
      </c>
      <c r="C451" s="24" t="s">
        <v>623</v>
      </c>
      <c r="D451" s="24" t="s">
        <v>621</v>
      </c>
      <c r="E451" s="24" t="s">
        <v>159</v>
      </c>
      <c r="F451" s="25" t="s">
        <v>158</v>
      </c>
    </row>
    <row r="452" spans="1:6">
      <c r="A452" s="22">
        <v>20238</v>
      </c>
      <c r="B452" s="24" t="s">
        <v>2128</v>
      </c>
      <c r="C452" s="24" t="s">
        <v>623</v>
      </c>
      <c r="D452" s="24" t="s">
        <v>621</v>
      </c>
      <c r="E452" s="24" t="s">
        <v>159</v>
      </c>
      <c r="F452" s="25" t="s">
        <v>199</v>
      </c>
    </row>
    <row r="453" spans="1:6">
      <c r="A453" s="22">
        <v>20250</v>
      </c>
      <c r="B453" s="24" t="s">
        <v>2129</v>
      </c>
      <c r="C453" s="24" t="s">
        <v>623</v>
      </c>
      <c r="D453" s="24" t="s">
        <v>621</v>
      </c>
      <c r="E453" s="24" t="s">
        <v>159</v>
      </c>
      <c r="F453" s="25" t="s">
        <v>158</v>
      </c>
    </row>
    <row r="454" spans="1:6">
      <c r="A454" s="22">
        <v>20295</v>
      </c>
      <c r="B454" s="24" t="s">
        <v>2130</v>
      </c>
      <c r="C454" s="24" t="s">
        <v>623</v>
      </c>
      <c r="D454" s="24" t="s">
        <v>621</v>
      </c>
      <c r="E454" s="24" t="s">
        <v>159</v>
      </c>
      <c r="F454" s="25" t="s">
        <v>167</v>
      </c>
    </row>
    <row r="455" spans="1:6">
      <c r="A455" s="22">
        <v>20310</v>
      </c>
      <c r="B455" s="24" t="s">
        <v>2131</v>
      </c>
      <c r="C455" s="24" t="s">
        <v>623</v>
      </c>
      <c r="D455" s="24" t="s">
        <v>621</v>
      </c>
      <c r="E455" s="24" t="s">
        <v>159</v>
      </c>
      <c r="F455" s="25" t="s">
        <v>167</v>
      </c>
    </row>
    <row r="456" spans="1:6">
      <c r="A456" s="22">
        <v>20383</v>
      </c>
      <c r="B456" s="24" t="s">
        <v>2132</v>
      </c>
      <c r="C456" s="24" t="s">
        <v>623</v>
      </c>
      <c r="D456" s="24" t="s">
        <v>621</v>
      </c>
      <c r="E456" s="24" t="s">
        <v>159</v>
      </c>
      <c r="F456" s="25" t="s">
        <v>167</v>
      </c>
    </row>
    <row r="457" spans="1:6">
      <c r="A457" s="22">
        <v>20400</v>
      </c>
      <c r="B457" s="24" t="s">
        <v>2133</v>
      </c>
      <c r="C457" s="24" t="s">
        <v>623</v>
      </c>
      <c r="D457" s="24" t="s">
        <v>621</v>
      </c>
      <c r="E457" s="24" t="s">
        <v>159</v>
      </c>
      <c r="F457" s="25" t="s">
        <v>158</v>
      </c>
    </row>
    <row r="458" spans="1:6">
      <c r="A458" s="22">
        <v>20517</v>
      </c>
      <c r="B458" s="24" t="s">
        <v>2134</v>
      </c>
      <c r="C458" s="24" t="s">
        <v>623</v>
      </c>
      <c r="D458" s="24" t="s">
        <v>621</v>
      </c>
      <c r="E458" s="24" t="s">
        <v>159</v>
      </c>
      <c r="F458" s="25" t="s">
        <v>167</v>
      </c>
    </row>
    <row r="459" spans="1:6">
      <c r="A459" s="22">
        <v>20550</v>
      </c>
      <c r="B459" s="24" t="s">
        <v>2135</v>
      </c>
      <c r="C459" s="24" t="s">
        <v>623</v>
      </c>
      <c r="D459" s="24" t="s">
        <v>621</v>
      </c>
      <c r="E459" s="24" t="s">
        <v>159</v>
      </c>
      <c r="F459" s="25" t="s">
        <v>167</v>
      </c>
    </row>
    <row r="460" spans="1:6">
      <c r="A460" s="22">
        <v>20570</v>
      </c>
      <c r="B460" s="24" t="s">
        <v>2136</v>
      </c>
      <c r="C460" s="24" t="s">
        <v>623</v>
      </c>
      <c r="D460" s="24" t="s">
        <v>621</v>
      </c>
      <c r="E460" s="24" t="s">
        <v>159</v>
      </c>
      <c r="F460" s="25" t="s">
        <v>158</v>
      </c>
    </row>
    <row r="461" spans="1:6">
      <c r="A461" s="22">
        <v>20614</v>
      </c>
      <c r="B461" s="24" t="s">
        <v>2137</v>
      </c>
      <c r="C461" s="24" t="s">
        <v>623</v>
      </c>
      <c r="D461" s="24" t="s">
        <v>621</v>
      </c>
      <c r="E461" s="24" t="s">
        <v>159</v>
      </c>
      <c r="F461" s="25" t="s">
        <v>167</v>
      </c>
    </row>
    <row r="462" spans="1:6">
      <c r="A462" s="22">
        <v>20710</v>
      </c>
      <c r="B462" s="24" t="s">
        <v>2138</v>
      </c>
      <c r="C462" s="24" t="s">
        <v>623</v>
      </c>
      <c r="D462" s="24" t="s">
        <v>219</v>
      </c>
      <c r="E462" s="24" t="s">
        <v>159</v>
      </c>
      <c r="F462" s="25" t="s">
        <v>158</v>
      </c>
    </row>
    <row r="463" spans="1:6">
      <c r="A463" s="22">
        <v>20750</v>
      </c>
      <c r="B463" s="24" t="s">
        <v>2139</v>
      </c>
      <c r="C463" s="24" t="s">
        <v>623</v>
      </c>
      <c r="D463" s="24" t="s">
        <v>621</v>
      </c>
      <c r="E463" s="24" t="s">
        <v>159</v>
      </c>
      <c r="F463" s="25" t="s">
        <v>199</v>
      </c>
    </row>
    <row r="464" spans="1:6">
      <c r="A464" s="22">
        <v>20787</v>
      </c>
      <c r="B464" s="24" t="s">
        <v>2140</v>
      </c>
      <c r="C464" s="24" t="s">
        <v>623</v>
      </c>
      <c r="D464" s="24" t="s">
        <v>621</v>
      </c>
      <c r="E464" s="24" t="s">
        <v>159</v>
      </c>
      <c r="F464" s="25" t="s">
        <v>167</v>
      </c>
    </row>
    <row r="465" spans="1:6">
      <c r="A465" s="22">
        <v>20001</v>
      </c>
      <c r="B465" s="24" t="s">
        <v>621</v>
      </c>
      <c r="C465" s="24" t="s">
        <v>623</v>
      </c>
      <c r="D465" s="24" t="s">
        <v>621</v>
      </c>
      <c r="E465" s="24" t="s">
        <v>159</v>
      </c>
      <c r="F465" s="25" t="s">
        <v>55</v>
      </c>
    </row>
    <row r="466" spans="1:6">
      <c r="A466" s="22">
        <v>27615</v>
      </c>
      <c r="B466" s="23" t="s">
        <v>285</v>
      </c>
      <c r="C466" s="24" t="s">
        <v>972</v>
      </c>
      <c r="D466" s="24" t="s">
        <v>259</v>
      </c>
      <c r="E466" s="24" t="s">
        <v>857</v>
      </c>
      <c r="F466" s="25" t="s">
        <v>147</v>
      </c>
    </row>
    <row r="467" spans="1:6">
      <c r="A467" s="22">
        <v>27006</v>
      </c>
      <c r="B467" s="24" t="s">
        <v>2141</v>
      </c>
      <c r="C467" s="24" t="s">
        <v>972</v>
      </c>
      <c r="D467" s="24" t="s">
        <v>259</v>
      </c>
      <c r="E467" s="24" t="s">
        <v>190</v>
      </c>
      <c r="F467" s="25" t="s">
        <v>147</v>
      </c>
    </row>
    <row r="468" spans="1:6">
      <c r="A468" s="22">
        <v>27025</v>
      </c>
      <c r="B468" s="24" t="s">
        <v>2142</v>
      </c>
      <c r="C468" s="24" t="s">
        <v>972</v>
      </c>
      <c r="D468" s="24" t="s">
        <v>267</v>
      </c>
      <c r="E468" s="24" t="s">
        <v>190</v>
      </c>
      <c r="F468" s="25" t="s">
        <v>147</v>
      </c>
    </row>
    <row r="469" spans="1:6">
      <c r="A469" s="22">
        <v>27050</v>
      </c>
      <c r="B469" s="24" t="s">
        <v>2143</v>
      </c>
      <c r="C469" s="24" t="s">
        <v>972</v>
      </c>
      <c r="D469" s="24" t="s">
        <v>259</v>
      </c>
      <c r="E469" s="24" t="s">
        <v>243</v>
      </c>
      <c r="F469" s="25" t="s">
        <v>147</v>
      </c>
    </row>
    <row r="470" spans="1:6">
      <c r="A470" s="22">
        <v>27073</v>
      </c>
      <c r="B470" s="24" t="s">
        <v>2144</v>
      </c>
      <c r="C470" s="24" t="s">
        <v>972</v>
      </c>
      <c r="D470" s="24" t="s">
        <v>267</v>
      </c>
      <c r="E470" s="24" t="s">
        <v>190</v>
      </c>
      <c r="F470" s="25" t="s">
        <v>147</v>
      </c>
    </row>
    <row r="471" spans="1:6">
      <c r="A471" s="22">
        <v>27075</v>
      </c>
      <c r="B471" s="24" t="s">
        <v>2145</v>
      </c>
      <c r="C471" s="24" t="s">
        <v>972</v>
      </c>
      <c r="D471" s="24" t="s">
        <v>267</v>
      </c>
      <c r="E471" s="24" t="s">
        <v>190</v>
      </c>
      <c r="F471" s="25" t="s">
        <v>147</v>
      </c>
    </row>
    <row r="472" spans="1:6">
      <c r="A472" s="22">
        <v>27077</v>
      </c>
      <c r="B472" s="24" t="s">
        <v>2146</v>
      </c>
      <c r="C472" s="24" t="s">
        <v>972</v>
      </c>
      <c r="D472" s="24" t="s">
        <v>259</v>
      </c>
      <c r="E472" s="24" t="s">
        <v>190</v>
      </c>
      <c r="F472" s="25" t="s">
        <v>147</v>
      </c>
    </row>
    <row r="473" spans="1:6">
      <c r="A473" s="22">
        <v>27086</v>
      </c>
      <c r="B473" s="24" t="s">
        <v>2147</v>
      </c>
      <c r="C473" s="24" t="s">
        <v>972</v>
      </c>
      <c r="D473" s="24" t="s">
        <v>259</v>
      </c>
      <c r="E473" s="24" t="s">
        <v>159</v>
      </c>
      <c r="F473" s="25" t="s">
        <v>167</v>
      </c>
    </row>
    <row r="474" spans="1:6">
      <c r="A474" s="22">
        <v>27099</v>
      </c>
      <c r="B474" s="24" t="s">
        <v>2148</v>
      </c>
      <c r="C474" s="24" t="s">
        <v>972</v>
      </c>
      <c r="D474" s="24" t="s">
        <v>267</v>
      </c>
      <c r="E474" s="24" t="s">
        <v>190</v>
      </c>
      <c r="F474" s="25" t="s">
        <v>147</v>
      </c>
    </row>
    <row r="475" spans="1:6">
      <c r="A475" s="22">
        <v>27150</v>
      </c>
      <c r="B475" s="24" t="s">
        <v>2149</v>
      </c>
      <c r="C475" s="24" t="s">
        <v>972</v>
      </c>
      <c r="D475" s="24" t="s">
        <v>259</v>
      </c>
      <c r="E475" s="24" t="s">
        <v>159</v>
      </c>
      <c r="F475" s="25" t="s">
        <v>167</v>
      </c>
    </row>
    <row r="476" spans="1:6">
      <c r="A476" s="22">
        <v>27160</v>
      </c>
      <c r="B476" s="24" t="s">
        <v>2150</v>
      </c>
      <c r="C476" s="24" t="s">
        <v>972</v>
      </c>
      <c r="D476" s="24" t="s">
        <v>259</v>
      </c>
      <c r="E476" s="24" t="s">
        <v>159</v>
      </c>
      <c r="F476" s="25" t="s">
        <v>167</v>
      </c>
    </row>
    <row r="477" spans="1:6">
      <c r="A477" s="22">
        <v>27205</v>
      </c>
      <c r="B477" s="24" t="s">
        <v>2151</v>
      </c>
      <c r="C477" s="24" t="s">
        <v>972</v>
      </c>
      <c r="D477" s="24" t="s">
        <v>267</v>
      </c>
      <c r="E477" s="24" t="s">
        <v>190</v>
      </c>
      <c r="F477" s="25" t="s">
        <v>147</v>
      </c>
    </row>
    <row r="478" spans="1:6">
      <c r="A478" s="22">
        <v>27135</v>
      </c>
      <c r="B478" s="24" t="s">
        <v>2152</v>
      </c>
      <c r="C478" s="24" t="s">
        <v>972</v>
      </c>
      <c r="D478" s="24" t="s">
        <v>259</v>
      </c>
      <c r="E478" s="24" t="s">
        <v>159</v>
      </c>
      <c r="F478" s="25" t="s">
        <v>167</v>
      </c>
    </row>
    <row r="479" spans="1:6">
      <c r="A479" s="22">
        <v>27245</v>
      </c>
      <c r="B479" s="24" t="s">
        <v>2153</v>
      </c>
      <c r="C479" s="24" t="s">
        <v>972</v>
      </c>
      <c r="D479" s="24" t="s">
        <v>267</v>
      </c>
      <c r="E479" s="24" t="s">
        <v>159</v>
      </c>
      <c r="F479" s="25" t="s">
        <v>167</v>
      </c>
    </row>
    <row r="480" spans="1:6">
      <c r="A480" s="22">
        <v>27250</v>
      </c>
      <c r="B480" s="24" t="s">
        <v>2154</v>
      </c>
      <c r="C480" s="24" t="s">
        <v>972</v>
      </c>
      <c r="D480" s="24" t="s">
        <v>150</v>
      </c>
      <c r="E480" s="24" t="s">
        <v>2155</v>
      </c>
      <c r="F480" s="25" t="s">
        <v>147</v>
      </c>
    </row>
    <row r="481" spans="1:6">
      <c r="A481" s="22">
        <v>27361</v>
      </c>
      <c r="B481" s="24" t="s">
        <v>1485</v>
      </c>
      <c r="C481" s="24" t="s">
        <v>972</v>
      </c>
      <c r="D481" s="24" t="s">
        <v>267</v>
      </c>
      <c r="E481" s="24" t="s">
        <v>190</v>
      </c>
      <c r="F481" s="25" t="s">
        <v>147</v>
      </c>
    </row>
    <row r="482" spans="1:6">
      <c r="A482" s="22">
        <v>27372</v>
      </c>
      <c r="B482" s="24" t="s">
        <v>2156</v>
      </c>
      <c r="C482" s="24" t="s">
        <v>972</v>
      </c>
      <c r="D482" s="24" t="s">
        <v>259</v>
      </c>
      <c r="E482" s="24" t="s">
        <v>148</v>
      </c>
      <c r="F482" s="25" t="s">
        <v>147</v>
      </c>
    </row>
    <row r="483" spans="1:6">
      <c r="A483" s="22">
        <v>27413</v>
      </c>
      <c r="B483" s="24" t="s">
        <v>2157</v>
      </c>
      <c r="C483" s="24" t="s">
        <v>972</v>
      </c>
      <c r="D483" s="24" t="s">
        <v>259</v>
      </c>
      <c r="E483" s="24" t="s">
        <v>159</v>
      </c>
      <c r="F483" s="25" t="s">
        <v>167</v>
      </c>
    </row>
    <row r="484" spans="1:6">
      <c r="A484" s="22">
        <v>27425</v>
      </c>
      <c r="B484" s="24" t="s">
        <v>2158</v>
      </c>
      <c r="C484" s="24" t="s">
        <v>972</v>
      </c>
      <c r="D484" s="24" t="s">
        <v>259</v>
      </c>
      <c r="E484" s="24" t="s">
        <v>159</v>
      </c>
      <c r="F484" s="25" t="s">
        <v>167</v>
      </c>
    </row>
    <row r="485" spans="1:6">
      <c r="A485" s="22">
        <v>27430</v>
      </c>
      <c r="B485" s="24" t="s">
        <v>2159</v>
      </c>
      <c r="C485" s="24" t="s">
        <v>972</v>
      </c>
      <c r="D485" s="24" t="s">
        <v>259</v>
      </c>
      <c r="E485" s="24" t="s">
        <v>159</v>
      </c>
      <c r="F485" s="25" t="s">
        <v>167</v>
      </c>
    </row>
    <row r="486" spans="1:6">
      <c r="A486" s="22">
        <v>27450</v>
      </c>
      <c r="B486" s="24" t="s">
        <v>2160</v>
      </c>
      <c r="C486" s="24" t="s">
        <v>972</v>
      </c>
      <c r="D486" s="24" t="s">
        <v>259</v>
      </c>
      <c r="E486" s="24" t="s">
        <v>159</v>
      </c>
      <c r="F486" s="25" t="s">
        <v>167</v>
      </c>
    </row>
    <row r="487" spans="1:6">
      <c r="A487" s="22">
        <v>27491</v>
      </c>
      <c r="B487" s="24" t="s">
        <v>2161</v>
      </c>
      <c r="C487" s="24" t="s">
        <v>972</v>
      </c>
      <c r="D487" s="24" t="s">
        <v>267</v>
      </c>
      <c r="E487" s="24" t="s">
        <v>190</v>
      </c>
      <c r="F487" s="25" t="s">
        <v>147</v>
      </c>
    </row>
    <row r="488" spans="1:6">
      <c r="A488" s="22">
        <v>27495</v>
      </c>
      <c r="B488" s="24" t="s">
        <v>2162</v>
      </c>
      <c r="C488" s="24" t="s">
        <v>972</v>
      </c>
      <c r="D488" s="24" t="s">
        <v>267</v>
      </c>
      <c r="E488" s="24" t="s">
        <v>190</v>
      </c>
      <c r="F488" s="25" t="s">
        <v>147</v>
      </c>
    </row>
    <row r="489" spans="1:6">
      <c r="A489" s="22">
        <v>27001</v>
      </c>
      <c r="B489" s="24" t="s">
        <v>2163</v>
      </c>
      <c r="C489" s="24" t="s">
        <v>972</v>
      </c>
      <c r="D489" s="24" t="s">
        <v>267</v>
      </c>
      <c r="E489" s="24" t="s">
        <v>190</v>
      </c>
      <c r="F489" s="25" t="s">
        <v>147</v>
      </c>
    </row>
    <row r="490" spans="1:6">
      <c r="A490" s="22">
        <v>27580</v>
      </c>
      <c r="B490" s="24" t="s">
        <v>2164</v>
      </c>
      <c r="C490" s="24" t="s">
        <v>972</v>
      </c>
      <c r="D490" s="24" t="s">
        <v>259</v>
      </c>
      <c r="E490" s="24" t="s">
        <v>159</v>
      </c>
      <c r="F490" s="25" t="s">
        <v>167</v>
      </c>
    </row>
    <row r="491" spans="1:6">
      <c r="A491" s="22">
        <v>27600</v>
      </c>
      <c r="B491" s="24" t="s">
        <v>2165</v>
      </c>
      <c r="C491" s="24" t="s">
        <v>972</v>
      </c>
      <c r="D491" s="24" t="s">
        <v>267</v>
      </c>
      <c r="E491" s="24" t="s">
        <v>190</v>
      </c>
      <c r="F491" s="25" t="s">
        <v>147</v>
      </c>
    </row>
    <row r="492" spans="1:6">
      <c r="A492" s="22">
        <v>27660</v>
      </c>
      <c r="B492" s="24" t="s">
        <v>2166</v>
      </c>
      <c r="C492" s="24" t="s">
        <v>972</v>
      </c>
      <c r="D492" s="24" t="s">
        <v>168</v>
      </c>
      <c r="E492" s="24" t="s">
        <v>159</v>
      </c>
      <c r="F492" s="25" t="s">
        <v>167</v>
      </c>
    </row>
    <row r="493" spans="1:6">
      <c r="A493" s="22">
        <v>27745</v>
      </c>
      <c r="B493" s="24" t="s">
        <v>2167</v>
      </c>
      <c r="C493" s="24" t="s">
        <v>972</v>
      </c>
      <c r="D493" s="24" t="s">
        <v>267</v>
      </c>
      <c r="E493" s="24" t="s">
        <v>190</v>
      </c>
      <c r="F493" s="25" t="s">
        <v>147</v>
      </c>
    </row>
    <row r="494" spans="1:6">
      <c r="A494" s="22">
        <v>27787</v>
      </c>
      <c r="B494" s="24" t="s">
        <v>2168</v>
      </c>
      <c r="C494" s="24" t="s">
        <v>972</v>
      </c>
      <c r="D494" s="24" t="s">
        <v>267</v>
      </c>
      <c r="E494" s="24" t="s">
        <v>190</v>
      </c>
      <c r="F494" s="25" t="s">
        <v>147</v>
      </c>
    </row>
    <row r="495" spans="1:6">
      <c r="A495" s="22">
        <v>27800</v>
      </c>
      <c r="B495" s="24" t="s">
        <v>2169</v>
      </c>
      <c r="C495" s="24" t="s">
        <v>972</v>
      </c>
      <c r="D495" s="24" t="s">
        <v>259</v>
      </c>
      <c r="E495" s="24" t="s">
        <v>148</v>
      </c>
      <c r="F495" s="25" t="s">
        <v>147</v>
      </c>
    </row>
    <row r="496" spans="1:6">
      <c r="A496" s="22">
        <v>27810</v>
      </c>
      <c r="B496" s="24" t="s">
        <v>2170</v>
      </c>
      <c r="C496" s="24" t="s">
        <v>972</v>
      </c>
      <c r="D496" s="24" t="s">
        <v>259</v>
      </c>
      <c r="E496" s="24" t="s">
        <v>159</v>
      </c>
      <c r="F496" s="25" t="s">
        <v>167</v>
      </c>
    </row>
    <row r="497" spans="1:6">
      <c r="A497" s="22">
        <v>23079</v>
      </c>
      <c r="B497" s="23" t="s">
        <v>1441</v>
      </c>
      <c r="C497" s="24" t="s">
        <v>178</v>
      </c>
      <c r="D497" s="24" t="s">
        <v>176</v>
      </c>
      <c r="E497" s="24" t="s">
        <v>159</v>
      </c>
      <c r="F497" s="25" t="s">
        <v>199</v>
      </c>
    </row>
    <row r="498" spans="1:6">
      <c r="A498" s="22">
        <v>23168</v>
      </c>
      <c r="B498" s="23" t="s">
        <v>2171</v>
      </c>
      <c r="C498" s="24" t="s">
        <v>178</v>
      </c>
      <c r="D498" s="24" t="s">
        <v>176</v>
      </c>
      <c r="E498" s="24" t="s">
        <v>159</v>
      </c>
      <c r="F498" s="25" t="s">
        <v>158</v>
      </c>
    </row>
    <row r="499" spans="1:6">
      <c r="A499" s="22">
        <v>23678</v>
      </c>
      <c r="B499" s="23" t="s">
        <v>1775</v>
      </c>
      <c r="C499" s="24" t="s">
        <v>178</v>
      </c>
      <c r="D499" s="24" t="s">
        <v>176</v>
      </c>
      <c r="E499" s="24" t="s">
        <v>159</v>
      </c>
      <c r="F499" s="25" t="s">
        <v>199</v>
      </c>
    </row>
    <row r="500" spans="1:6">
      <c r="A500" s="22">
        <v>23068</v>
      </c>
      <c r="B500" s="24" t="s">
        <v>2172</v>
      </c>
      <c r="C500" s="24" t="s">
        <v>178</v>
      </c>
      <c r="D500" s="24" t="s">
        <v>176</v>
      </c>
      <c r="E500" s="24" t="s">
        <v>159</v>
      </c>
      <c r="F500" s="25" t="s">
        <v>158</v>
      </c>
    </row>
    <row r="501" spans="1:6">
      <c r="A501" s="22">
        <v>23090</v>
      </c>
      <c r="B501" s="24" t="s">
        <v>2173</v>
      </c>
      <c r="C501" s="24" t="s">
        <v>178</v>
      </c>
      <c r="D501" s="24" t="s">
        <v>176</v>
      </c>
      <c r="E501" s="24" t="s">
        <v>159</v>
      </c>
      <c r="F501" s="25" t="s">
        <v>199</v>
      </c>
    </row>
    <row r="502" spans="1:6">
      <c r="A502" s="22">
        <v>23162</v>
      </c>
      <c r="B502" s="24" t="s">
        <v>2174</v>
      </c>
      <c r="C502" s="24" t="s">
        <v>178</v>
      </c>
      <c r="D502" s="24" t="s">
        <v>176</v>
      </c>
      <c r="E502" s="24" t="s">
        <v>159</v>
      </c>
      <c r="F502" s="25" t="s">
        <v>55</v>
      </c>
    </row>
    <row r="503" spans="1:6">
      <c r="A503" s="22">
        <v>23182</v>
      </c>
      <c r="B503" s="24" t="s">
        <v>2175</v>
      </c>
      <c r="C503" s="24" t="s">
        <v>178</v>
      </c>
      <c r="D503" s="24" t="s">
        <v>176</v>
      </c>
      <c r="E503" s="24" t="s">
        <v>159</v>
      </c>
      <c r="F503" s="25" t="s">
        <v>199</v>
      </c>
    </row>
    <row r="504" spans="1:6">
      <c r="A504" s="22">
        <v>23189</v>
      </c>
      <c r="B504" s="24" t="s">
        <v>2176</v>
      </c>
      <c r="C504" s="24" t="s">
        <v>178</v>
      </c>
      <c r="D504" s="24" t="s">
        <v>176</v>
      </c>
      <c r="E504" s="24" t="s">
        <v>159</v>
      </c>
      <c r="F504" s="25" t="s">
        <v>199</v>
      </c>
    </row>
    <row r="505" spans="1:6">
      <c r="A505" s="22">
        <v>23300</v>
      </c>
      <c r="B505" s="24" t="s">
        <v>2177</v>
      </c>
      <c r="C505" s="24" t="s">
        <v>178</v>
      </c>
      <c r="D505" s="24" t="s">
        <v>176</v>
      </c>
      <c r="E505" s="24" t="s">
        <v>159</v>
      </c>
      <c r="F505" s="25" t="s">
        <v>199</v>
      </c>
    </row>
    <row r="506" spans="1:6">
      <c r="A506" s="22">
        <v>23350</v>
      </c>
      <c r="B506" s="24" t="s">
        <v>1132</v>
      </c>
      <c r="C506" s="24" t="s">
        <v>178</v>
      </c>
      <c r="D506" s="24" t="s">
        <v>176</v>
      </c>
      <c r="E506" s="24" t="s">
        <v>159</v>
      </c>
      <c r="F506" s="25" t="s">
        <v>199</v>
      </c>
    </row>
    <row r="507" spans="1:6">
      <c r="A507" s="22">
        <v>23417</v>
      </c>
      <c r="B507" s="24" t="s">
        <v>2178</v>
      </c>
      <c r="C507" s="24" t="s">
        <v>178</v>
      </c>
      <c r="D507" s="24" t="s">
        <v>176</v>
      </c>
      <c r="E507" s="24" t="s">
        <v>159</v>
      </c>
      <c r="F507" s="25" t="s">
        <v>199</v>
      </c>
    </row>
    <row r="508" spans="1:6">
      <c r="A508" s="22">
        <v>23419</v>
      </c>
      <c r="B508" s="24" t="s">
        <v>2179</v>
      </c>
      <c r="C508" s="24" t="s">
        <v>178</v>
      </c>
      <c r="D508" s="24" t="s">
        <v>176</v>
      </c>
      <c r="E508" s="24" t="s">
        <v>159</v>
      </c>
      <c r="F508" s="25" t="s">
        <v>199</v>
      </c>
    </row>
    <row r="509" spans="1:6">
      <c r="A509" s="22">
        <v>23464</v>
      </c>
      <c r="B509" s="24" t="s">
        <v>2180</v>
      </c>
      <c r="C509" s="24" t="s">
        <v>178</v>
      </c>
      <c r="D509" s="24" t="s">
        <v>176</v>
      </c>
      <c r="E509" s="24" t="s">
        <v>159</v>
      </c>
      <c r="F509" s="25" t="s">
        <v>199</v>
      </c>
    </row>
    <row r="510" spans="1:6">
      <c r="A510" s="22">
        <v>23466</v>
      </c>
      <c r="B510" s="24" t="s">
        <v>2181</v>
      </c>
      <c r="C510" s="24" t="s">
        <v>178</v>
      </c>
      <c r="D510" s="24" t="s">
        <v>176</v>
      </c>
      <c r="E510" s="24" t="s">
        <v>159</v>
      </c>
      <c r="F510" s="25" t="s">
        <v>167</v>
      </c>
    </row>
    <row r="511" spans="1:6">
      <c r="A511" s="22">
        <v>23001</v>
      </c>
      <c r="B511" s="24" t="s">
        <v>176</v>
      </c>
      <c r="C511" s="24" t="s">
        <v>178</v>
      </c>
      <c r="D511" s="24" t="s">
        <v>176</v>
      </c>
      <c r="E511" s="24" t="s">
        <v>159</v>
      </c>
      <c r="F511" s="25" t="s">
        <v>55</v>
      </c>
    </row>
    <row r="512" spans="1:6">
      <c r="A512" s="22">
        <v>23500</v>
      </c>
      <c r="B512" s="24" t="s">
        <v>2182</v>
      </c>
      <c r="C512" s="24" t="s">
        <v>178</v>
      </c>
      <c r="D512" s="24" t="s">
        <v>176</v>
      </c>
      <c r="E512" s="24" t="s">
        <v>159</v>
      </c>
      <c r="F512" s="25" t="s">
        <v>158</v>
      </c>
    </row>
    <row r="513" spans="1:6">
      <c r="A513" s="22">
        <v>23555</v>
      </c>
      <c r="B513" s="24" t="s">
        <v>629</v>
      </c>
      <c r="C513" s="24" t="s">
        <v>178</v>
      </c>
      <c r="D513" s="24" t="s">
        <v>176</v>
      </c>
      <c r="E513" s="24" t="s">
        <v>159</v>
      </c>
      <c r="F513" s="25" t="s">
        <v>199</v>
      </c>
    </row>
    <row r="514" spans="1:6">
      <c r="A514" s="22">
        <v>23570</v>
      </c>
      <c r="B514" s="24" t="s">
        <v>2183</v>
      </c>
      <c r="C514" s="24" t="s">
        <v>178</v>
      </c>
      <c r="D514" s="24" t="s">
        <v>176</v>
      </c>
      <c r="E514" s="24" t="s">
        <v>159</v>
      </c>
      <c r="F514" s="25" t="s">
        <v>199</v>
      </c>
    </row>
    <row r="515" spans="1:6">
      <c r="A515" s="22">
        <v>23574</v>
      </c>
      <c r="B515" s="24" t="s">
        <v>2184</v>
      </c>
      <c r="C515" s="24" t="s">
        <v>178</v>
      </c>
      <c r="D515" s="24" t="s">
        <v>176</v>
      </c>
      <c r="E515" s="24" t="s">
        <v>159</v>
      </c>
      <c r="F515" s="25" t="s">
        <v>158</v>
      </c>
    </row>
    <row r="516" spans="1:6">
      <c r="A516" s="22">
        <v>23580</v>
      </c>
      <c r="B516" s="24" t="s">
        <v>2185</v>
      </c>
      <c r="C516" s="24" t="s">
        <v>178</v>
      </c>
      <c r="D516" s="24" t="s">
        <v>176</v>
      </c>
      <c r="E516" s="24" t="s">
        <v>159</v>
      </c>
      <c r="F516" s="25" t="s">
        <v>167</v>
      </c>
    </row>
    <row r="517" spans="1:6">
      <c r="A517" s="22">
        <v>23586</v>
      </c>
      <c r="B517" s="24" t="s">
        <v>2186</v>
      </c>
      <c r="C517" s="24" t="s">
        <v>178</v>
      </c>
      <c r="D517" s="24" t="s">
        <v>176</v>
      </c>
      <c r="E517" s="24" t="s">
        <v>159</v>
      </c>
      <c r="F517" s="25" t="s">
        <v>199</v>
      </c>
    </row>
    <row r="518" spans="1:6">
      <c r="A518" s="22">
        <v>23660</v>
      </c>
      <c r="B518" s="24" t="s">
        <v>1137</v>
      </c>
      <c r="C518" s="24" t="s">
        <v>178</v>
      </c>
      <c r="D518" s="24" t="s">
        <v>176</v>
      </c>
      <c r="E518" s="24" t="s">
        <v>159</v>
      </c>
      <c r="F518" s="25" t="s">
        <v>199</v>
      </c>
    </row>
    <row r="519" spans="1:6">
      <c r="A519" s="22">
        <v>23670</v>
      </c>
      <c r="B519" s="24" t="s">
        <v>2187</v>
      </c>
      <c r="C519" s="24" t="s">
        <v>178</v>
      </c>
      <c r="D519" s="24" t="s">
        <v>176</v>
      </c>
      <c r="E519" s="24" t="s">
        <v>159</v>
      </c>
      <c r="F519" s="25" t="s">
        <v>199</v>
      </c>
    </row>
    <row r="520" spans="1:6">
      <c r="A520" s="22">
        <v>23672</v>
      </c>
      <c r="B520" s="24" t="s">
        <v>2188</v>
      </c>
      <c r="C520" s="24" t="s">
        <v>178</v>
      </c>
      <c r="D520" s="24" t="s">
        <v>176</v>
      </c>
      <c r="E520" s="24" t="s">
        <v>159</v>
      </c>
      <c r="F520" s="25" t="s">
        <v>199</v>
      </c>
    </row>
    <row r="521" spans="1:6">
      <c r="A521" s="22">
        <v>23675</v>
      </c>
      <c r="B521" s="24" t="s">
        <v>2189</v>
      </c>
      <c r="C521" s="24" t="s">
        <v>178</v>
      </c>
      <c r="D521" s="24" t="s">
        <v>176</v>
      </c>
      <c r="E521" s="24" t="s">
        <v>159</v>
      </c>
      <c r="F521" s="25" t="s">
        <v>199</v>
      </c>
    </row>
    <row r="522" spans="1:6">
      <c r="A522" s="22">
        <v>23686</v>
      </c>
      <c r="B522" s="24" t="s">
        <v>1142</v>
      </c>
      <c r="C522" s="24" t="s">
        <v>178</v>
      </c>
      <c r="D522" s="24" t="s">
        <v>176</v>
      </c>
      <c r="E522" s="24" t="s">
        <v>159</v>
      </c>
      <c r="F522" s="25" t="s">
        <v>199</v>
      </c>
    </row>
    <row r="523" spans="1:6">
      <c r="A523" s="22">
        <v>23807</v>
      </c>
      <c r="B523" s="24" t="s">
        <v>2190</v>
      </c>
      <c r="C523" s="24" t="s">
        <v>178</v>
      </c>
      <c r="D523" s="24" t="s">
        <v>176</v>
      </c>
      <c r="E523" s="24" t="s">
        <v>159</v>
      </c>
      <c r="F523" s="25" t="s">
        <v>158</v>
      </c>
    </row>
    <row r="524" spans="1:6">
      <c r="A524" s="22">
        <v>23855</v>
      </c>
      <c r="B524" s="24" t="s">
        <v>683</v>
      </c>
      <c r="C524" s="24" t="s">
        <v>178</v>
      </c>
      <c r="D524" s="24" t="s">
        <v>176</v>
      </c>
      <c r="E524" s="24" t="s">
        <v>159</v>
      </c>
      <c r="F524" s="25" t="s">
        <v>158</v>
      </c>
    </row>
    <row r="525" spans="1:6">
      <c r="A525" s="22">
        <v>25019</v>
      </c>
      <c r="B525" s="23" t="s">
        <v>2191</v>
      </c>
      <c r="C525" s="24" t="s">
        <v>434</v>
      </c>
      <c r="D525" s="24" t="s">
        <v>432</v>
      </c>
      <c r="E525" s="24" t="s">
        <v>159</v>
      </c>
      <c r="F525" s="25" t="s">
        <v>199</v>
      </c>
    </row>
    <row r="526" spans="1:6">
      <c r="A526" s="22">
        <v>25120</v>
      </c>
      <c r="B526" s="23" t="s">
        <v>2192</v>
      </c>
      <c r="C526" s="24" t="s">
        <v>434</v>
      </c>
      <c r="D526" s="24" t="s">
        <v>432</v>
      </c>
      <c r="E526" s="24" t="s">
        <v>159</v>
      </c>
      <c r="F526" s="25" t="s">
        <v>158</v>
      </c>
    </row>
    <row r="527" spans="1:6">
      <c r="A527" s="22">
        <v>25258</v>
      </c>
      <c r="B527" s="23" t="s">
        <v>1889</v>
      </c>
      <c r="C527" s="24" t="s">
        <v>434</v>
      </c>
      <c r="D527" s="24" t="s">
        <v>432</v>
      </c>
      <c r="E527" s="24" t="s">
        <v>159</v>
      </c>
      <c r="F527" s="25" t="s">
        <v>158</v>
      </c>
    </row>
    <row r="528" spans="1:6">
      <c r="A528" s="22">
        <v>25312</v>
      </c>
      <c r="B528" s="23" t="s">
        <v>1400</v>
      </c>
      <c r="C528" s="24" t="s">
        <v>434</v>
      </c>
      <c r="D528" s="24" t="s">
        <v>432</v>
      </c>
      <c r="E528" s="24" t="s">
        <v>159</v>
      </c>
      <c r="F528" s="25" t="s">
        <v>199</v>
      </c>
    </row>
    <row r="529" spans="1:6">
      <c r="A529" s="22">
        <v>25402</v>
      </c>
      <c r="B529" s="23" t="s">
        <v>2088</v>
      </c>
      <c r="C529" s="24" t="s">
        <v>434</v>
      </c>
      <c r="D529" s="24" t="s">
        <v>432</v>
      </c>
      <c r="E529" s="24" t="s">
        <v>159</v>
      </c>
      <c r="F529" s="25" t="s">
        <v>199</v>
      </c>
    </row>
    <row r="530" spans="1:6">
      <c r="A530" s="22">
        <v>25473</v>
      </c>
      <c r="B530" s="23" t="s">
        <v>730</v>
      </c>
      <c r="C530" s="24" t="s">
        <v>434</v>
      </c>
      <c r="D530" s="24" t="s">
        <v>432</v>
      </c>
      <c r="E530" s="24" t="s">
        <v>159</v>
      </c>
      <c r="F530" s="25" t="s">
        <v>55</v>
      </c>
    </row>
    <row r="531" spans="1:6">
      <c r="A531" s="22">
        <v>25483</v>
      </c>
      <c r="B531" s="23" t="s">
        <v>137</v>
      </c>
      <c r="C531" s="24" t="s">
        <v>434</v>
      </c>
      <c r="D531" s="24" t="s">
        <v>432</v>
      </c>
      <c r="E531" s="24" t="s">
        <v>159</v>
      </c>
      <c r="F531" s="25" t="s">
        <v>158</v>
      </c>
    </row>
    <row r="532" spans="1:6">
      <c r="A532" s="22">
        <v>25612</v>
      </c>
      <c r="B532" s="23" t="s">
        <v>2193</v>
      </c>
      <c r="C532" s="24" t="s">
        <v>434</v>
      </c>
      <c r="D532" s="24" t="s">
        <v>432</v>
      </c>
      <c r="E532" s="24" t="s">
        <v>159</v>
      </c>
      <c r="F532" s="25" t="s">
        <v>158</v>
      </c>
    </row>
    <row r="533" spans="1:6">
      <c r="A533" s="22">
        <v>25649</v>
      </c>
      <c r="B533" s="23" t="s">
        <v>2194</v>
      </c>
      <c r="C533" s="24" t="s">
        <v>434</v>
      </c>
      <c r="D533" s="24" t="s">
        <v>432</v>
      </c>
      <c r="E533" s="24" t="s">
        <v>159</v>
      </c>
      <c r="F533" s="25" t="s">
        <v>158</v>
      </c>
    </row>
    <row r="534" spans="1:6">
      <c r="A534" s="22">
        <v>25653</v>
      </c>
      <c r="B534" s="23" t="s">
        <v>2195</v>
      </c>
      <c r="C534" s="24" t="s">
        <v>434</v>
      </c>
      <c r="D534" s="24" t="s">
        <v>432</v>
      </c>
      <c r="E534" s="24" t="s">
        <v>159</v>
      </c>
      <c r="F534" s="25" t="s">
        <v>158</v>
      </c>
    </row>
    <row r="535" spans="1:6">
      <c r="A535" s="22">
        <v>25658</v>
      </c>
      <c r="B535" s="23" t="s">
        <v>1776</v>
      </c>
      <c r="C535" s="24" t="s">
        <v>434</v>
      </c>
      <c r="D535" s="24" t="s">
        <v>432</v>
      </c>
      <c r="E535" s="24" t="s">
        <v>159</v>
      </c>
      <c r="F535" s="25" t="s">
        <v>199</v>
      </c>
    </row>
    <row r="536" spans="1:6">
      <c r="A536" s="22">
        <v>25506</v>
      </c>
      <c r="B536" s="23" t="s">
        <v>1781</v>
      </c>
      <c r="C536" s="24" t="s">
        <v>434</v>
      </c>
      <c r="D536" s="24" t="s">
        <v>432</v>
      </c>
      <c r="E536" s="24" t="s">
        <v>159</v>
      </c>
      <c r="F536" s="25" t="s">
        <v>158</v>
      </c>
    </row>
    <row r="537" spans="1:6">
      <c r="A537" s="22">
        <v>25001</v>
      </c>
      <c r="B537" s="24" t="s">
        <v>2196</v>
      </c>
      <c r="C537" s="24" t="s">
        <v>434</v>
      </c>
      <c r="D537" s="24" t="s">
        <v>432</v>
      </c>
      <c r="E537" s="24" t="s">
        <v>159</v>
      </c>
      <c r="F537" s="25" t="s">
        <v>158</v>
      </c>
    </row>
    <row r="538" spans="1:6">
      <c r="A538" s="22">
        <v>25035</v>
      </c>
      <c r="B538" s="24" t="s">
        <v>2197</v>
      </c>
      <c r="C538" s="24" t="s">
        <v>434</v>
      </c>
      <c r="D538" s="24" t="s">
        <v>432</v>
      </c>
      <c r="E538" s="24" t="s">
        <v>159</v>
      </c>
      <c r="F538" s="25" t="s">
        <v>199</v>
      </c>
    </row>
    <row r="539" spans="1:6">
      <c r="A539" s="22">
        <v>25040</v>
      </c>
      <c r="B539" s="24" t="s">
        <v>2198</v>
      </c>
      <c r="C539" s="24" t="s">
        <v>434</v>
      </c>
      <c r="D539" s="24" t="s">
        <v>432</v>
      </c>
      <c r="E539" s="24" t="s">
        <v>159</v>
      </c>
      <c r="F539" s="25" t="s">
        <v>199</v>
      </c>
    </row>
    <row r="540" spans="1:6">
      <c r="A540" s="22">
        <v>25599</v>
      </c>
      <c r="B540" s="24" t="s">
        <v>2199</v>
      </c>
      <c r="C540" s="24" t="s">
        <v>434</v>
      </c>
      <c r="D540" s="24" t="s">
        <v>432</v>
      </c>
      <c r="E540" s="24" t="s">
        <v>159</v>
      </c>
      <c r="F540" s="25" t="s">
        <v>158</v>
      </c>
    </row>
    <row r="541" spans="1:6">
      <c r="A541" s="22">
        <v>25053</v>
      </c>
      <c r="B541" s="24" t="s">
        <v>2200</v>
      </c>
      <c r="C541" s="24" t="s">
        <v>434</v>
      </c>
      <c r="D541" s="24" t="s">
        <v>432</v>
      </c>
      <c r="E541" s="24" t="s">
        <v>159</v>
      </c>
      <c r="F541" s="25" t="s">
        <v>199</v>
      </c>
    </row>
    <row r="542" spans="1:6">
      <c r="A542" s="22">
        <v>25086</v>
      </c>
      <c r="B542" s="24" t="s">
        <v>2201</v>
      </c>
      <c r="C542" s="24" t="s">
        <v>434</v>
      </c>
      <c r="D542" s="24" t="s">
        <v>432</v>
      </c>
      <c r="E542" s="24" t="s">
        <v>159</v>
      </c>
      <c r="F542" s="25" t="s">
        <v>158</v>
      </c>
    </row>
    <row r="543" spans="1:6">
      <c r="A543" s="22">
        <v>25095</v>
      </c>
      <c r="B543" s="24" t="s">
        <v>2202</v>
      </c>
      <c r="C543" s="24" t="s">
        <v>434</v>
      </c>
      <c r="D543" s="24" t="s">
        <v>432</v>
      </c>
      <c r="E543" s="24" t="s">
        <v>159</v>
      </c>
      <c r="F543" s="25" t="s">
        <v>158</v>
      </c>
    </row>
    <row r="544" spans="1:6">
      <c r="A544" s="22">
        <v>11001</v>
      </c>
      <c r="B544" s="24" t="s">
        <v>432</v>
      </c>
      <c r="C544" s="24" t="s">
        <v>434</v>
      </c>
      <c r="D544" s="24" t="s">
        <v>432</v>
      </c>
      <c r="E544" s="24" t="s">
        <v>159</v>
      </c>
      <c r="F544" s="25" t="s">
        <v>55</v>
      </c>
    </row>
    <row r="545" spans="1:6">
      <c r="A545" s="22">
        <v>25099</v>
      </c>
      <c r="B545" s="24" t="s">
        <v>2203</v>
      </c>
      <c r="C545" s="24" t="s">
        <v>434</v>
      </c>
      <c r="D545" s="24" t="s">
        <v>432</v>
      </c>
      <c r="E545" s="24" t="s">
        <v>159</v>
      </c>
      <c r="F545" s="25" t="s">
        <v>199</v>
      </c>
    </row>
    <row r="546" spans="1:6">
      <c r="A546" s="22">
        <v>25123</v>
      </c>
      <c r="B546" s="24" t="s">
        <v>2204</v>
      </c>
      <c r="C546" s="24" t="s">
        <v>434</v>
      </c>
      <c r="D546" s="24" t="s">
        <v>432</v>
      </c>
      <c r="E546" s="24" t="s">
        <v>159</v>
      </c>
      <c r="F546" s="25" t="s">
        <v>199</v>
      </c>
    </row>
    <row r="547" spans="1:6">
      <c r="A547" s="22">
        <v>25126</v>
      </c>
      <c r="B547" s="24" t="s">
        <v>2205</v>
      </c>
      <c r="C547" s="24" t="s">
        <v>434</v>
      </c>
      <c r="D547" s="24" t="s">
        <v>432</v>
      </c>
      <c r="E547" s="24" t="s">
        <v>159</v>
      </c>
      <c r="F547" s="25" t="s">
        <v>199</v>
      </c>
    </row>
    <row r="548" spans="1:6">
      <c r="A548" s="22">
        <v>25148</v>
      </c>
      <c r="B548" s="24" t="s">
        <v>2206</v>
      </c>
      <c r="C548" s="24" t="s">
        <v>434</v>
      </c>
      <c r="D548" s="24" t="s">
        <v>432</v>
      </c>
      <c r="E548" s="24" t="s">
        <v>159</v>
      </c>
      <c r="F548" s="25" t="s">
        <v>158</v>
      </c>
    </row>
    <row r="549" spans="1:6">
      <c r="A549" s="22">
        <v>25151</v>
      </c>
      <c r="B549" s="24" t="s">
        <v>2207</v>
      </c>
      <c r="C549" s="24" t="s">
        <v>434</v>
      </c>
      <c r="D549" s="24" t="s">
        <v>432</v>
      </c>
      <c r="E549" s="24" t="s">
        <v>159</v>
      </c>
      <c r="F549" s="25" t="s">
        <v>199</v>
      </c>
    </row>
    <row r="550" spans="1:6">
      <c r="A550" s="22">
        <v>25154</v>
      </c>
      <c r="B550" s="24" t="s">
        <v>2208</v>
      </c>
      <c r="C550" s="24" t="s">
        <v>434</v>
      </c>
      <c r="D550" s="24" t="s">
        <v>432</v>
      </c>
      <c r="E550" s="24" t="s">
        <v>159</v>
      </c>
      <c r="F550" s="25" t="s">
        <v>158</v>
      </c>
    </row>
    <row r="551" spans="1:6">
      <c r="A551" s="22">
        <v>25168</v>
      </c>
      <c r="B551" s="24" t="s">
        <v>2209</v>
      </c>
      <c r="C551" s="24" t="s">
        <v>434</v>
      </c>
      <c r="D551" s="24" t="s">
        <v>432</v>
      </c>
      <c r="E551" s="24" t="s">
        <v>159</v>
      </c>
      <c r="F551" s="25" t="s">
        <v>158</v>
      </c>
    </row>
    <row r="552" spans="1:6">
      <c r="A552" s="22">
        <v>25175</v>
      </c>
      <c r="B552" s="24" t="s">
        <v>2210</v>
      </c>
      <c r="C552" s="24" t="s">
        <v>434</v>
      </c>
      <c r="D552" s="24" t="s">
        <v>432</v>
      </c>
      <c r="E552" s="24" t="s">
        <v>159</v>
      </c>
      <c r="F552" s="25" t="s">
        <v>199</v>
      </c>
    </row>
    <row r="553" spans="1:6">
      <c r="A553" s="22">
        <v>25178</v>
      </c>
      <c r="B553" s="24" t="s">
        <v>2211</v>
      </c>
      <c r="C553" s="24" t="s">
        <v>434</v>
      </c>
      <c r="D553" s="24" t="s">
        <v>432</v>
      </c>
      <c r="E553" s="24" t="s">
        <v>159</v>
      </c>
      <c r="F553" s="25" t="s">
        <v>199</v>
      </c>
    </row>
    <row r="554" spans="1:6">
      <c r="A554" s="22">
        <v>25181</v>
      </c>
      <c r="B554" s="24" t="s">
        <v>2212</v>
      </c>
      <c r="C554" s="24" t="s">
        <v>434</v>
      </c>
      <c r="D554" s="24" t="s">
        <v>432</v>
      </c>
      <c r="E554" s="24" t="s">
        <v>159</v>
      </c>
      <c r="F554" s="25" t="s">
        <v>199</v>
      </c>
    </row>
    <row r="555" spans="1:6">
      <c r="A555" s="22">
        <v>25183</v>
      </c>
      <c r="B555" s="24" t="s">
        <v>2213</v>
      </c>
      <c r="C555" s="24" t="s">
        <v>434</v>
      </c>
      <c r="D555" s="24" t="s">
        <v>274</v>
      </c>
      <c r="E555" s="24" t="s">
        <v>159</v>
      </c>
      <c r="F555" s="25" t="s">
        <v>199</v>
      </c>
    </row>
    <row r="556" spans="1:6">
      <c r="A556" s="22">
        <v>25200</v>
      </c>
      <c r="B556" s="24" t="s">
        <v>2214</v>
      </c>
      <c r="C556" s="24" t="s">
        <v>434</v>
      </c>
      <c r="D556" s="24" t="s">
        <v>432</v>
      </c>
      <c r="E556" s="24" t="s">
        <v>159</v>
      </c>
      <c r="F556" s="25" t="s">
        <v>199</v>
      </c>
    </row>
    <row r="557" spans="1:6">
      <c r="A557" s="22">
        <v>25214</v>
      </c>
      <c r="B557" s="24" t="s">
        <v>725</v>
      </c>
      <c r="C557" s="24" t="s">
        <v>434</v>
      </c>
      <c r="D557" s="24" t="s">
        <v>432</v>
      </c>
      <c r="E557" s="24" t="s">
        <v>159</v>
      </c>
      <c r="F557" s="25" t="s">
        <v>199</v>
      </c>
    </row>
    <row r="558" spans="1:6">
      <c r="A558" s="22">
        <v>25224</v>
      </c>
      <c r="B558" s="24" t="s">
        <v>2215</v>
      </c>
      <c r="C558" s="24" t="s">
        <v>434</v>
      </c>
      <c r="D558" s="24" t="s">
        <v>432</v>
      </c>
      <c r="E558" s="24" t="s">
        <v>159</v>
      </c>
      <c r="F558" s="25" t="s">
        <v>158</v>
      </c>
    </row>
    <row r="559" spans="1:6">
      <c r="A559" s="22">
        <v>25245</v>
      </c>
      <c r="B559" s="24" t="s">
        <v>2216</v>
      </c>
      <c r="C559" s="24" t="s">
        <v>434</v>
      </c>
      <c r="D559" s="24" t="s">
        <v>432</v>
      </c>
      <c r="E559" s="24" t="s">
        <v>159</v>
      </c>
      <c r="F559" s="25" t="s">
        <v>199</v>
      </c>
    </row>
    <row r="560" spans="1:6">
      <c r="A560" s="22">
        <v>25260</v>
      </c>
      <c r="B560" s="24" t="s">
        <v>2217</v>
      </c>
      <c r="C560" s="24" t="s">
        <v>434</v>
      </c>
      <c r="D560" s="24" t="s">
        <v>432</v>
      </c>
      <c r="E560" s="24" t="s">
        <v>159</v>
      </c>
      <c r="F560" s="25" t="s">
        <v>199</v>
      </c>
    </row>
    <row r="561" spans="1:6">
      <c r="A561" s="22">
        <v>25269</v>
      </c>
      <c r="B561" s="24" t="s">
        <v>2218</v>
      </c>
      <c r="C561" s="24" t="s">
        <v>434</v>
      </c>
      <c r="D561" s="24" t="s">
        <v>432</v>
      </c>
      <c r="E561" s="24" t="s">
        <v>159</v>
      </c>
      <c r="F561" s="25" t="s">
        <v>199</v>
      </c>
    </row>
    <row r="562" spans="1:6">
      <c r="A562" s="22">
        <v>25279</v>
      </c>
      <c r="B562" s="24" t="s">
        <v>2219</v>
      </c>
      <c r="C562" s="24" t="s">
        <v>434</v>
      </c>
      <c r="D562" s="24" t="s">
        <v>432</v>
      </c>
      <c r="E562" s="24" t="s">
        <v>159</v>
      </c>
      <c r="F562" s="25" t="s">
        <v>199</v>
      </c>
    </row>
    <row r="563" spans="1:6">
      <c r="A563" s="22">
        <v>25281</v>
      </c>
      <c r="B563" s="24" t="s">
        <v>2220</v>
      </c>
      <c r="C563" s="24" t="s">
        <v>434</v>
      </c>
      <c r="D563" s="24" t="s">
        <v>432</v>
      </c>
      <c r="E563" s="24" t="s">
        <v>159</v>
      </c>
      <c r="F563" s="25" t="s">
        <v>199</v>
      </c>
    </row>
    <row r="564" spans="1:6">
      <c r="A564" s="22">
        <v>25286</v>
      </c>
      <c r="B564" s="24" t="s">
        <v>2221</v>
      </c>
      <c r="C564" s="24" t="s">
        <v>434</v>
      </c>
      <c r="D564" s="24" t="s">
        <v>432</v>
      </c>
      <c r="E564" s="24" t="s">
        <v>159</v>
      </c>
      <c r="F564" s="25" t="s">
        <v>199</v>
      </c>
    </row>
    <row r="565" spans="1:6">
      <c r="A565" s="22">
        <v>25288</v>
      </c>
      <c r="B565" s="24" t="s">
        <v>2222</v>
      </c>
      <c r="C565" s="24" t="s">
        <v>434</v>
      </c>
      <c r="D565" s="24" t="s">
        <v>432</v>
      </c>
      <c r="E565" s="24" t="s">
        <v>159</v>
      </c>
      <c r="F565" s="25" t="s">
        <v>158</v>
      </c>
    </row>
    <row r="566" spans="1:6">
      <c r="A566" s="22">
        <v>25290</v>
      </c>
      <c r="B566" s="24" t="s">
        <v>1393</v>
      </c>
      <c r="C566" s="24" t="s">
        <v>434</v>
      </c>
      <c r="D566" s="24" t="s">
        <v>432</v>
      </c>
      <c r="E566" s="24" t="s">
        <v>159</v>
      </c>
      <c r="F566" s="25" t="s">
        <v>199</v>
      </c>
    </row>
    <row r="567" spans="1:6">
      <c r="A567" s="22">
        <v>25293</v>
      </c>
      <c r="B567" s="24" t="s">
        <v>2223</v>
      </c>
      <c r="C567" s="24" t="s">
        <v>434</v>
      </c>
      <c r="D567" s="24" t="s">
        <v>432</v>
      </c>
      <c r="E567" s="24" t="s">
        <v>159</v>
      </c>
      <c r="F567" s="25" t="s">
        <v>158</v>
      </c>
    </row>
    <row r="568" spans="1:6">
      <c r="A568" s="22">
        <v>25295</v>
      </c>
      <c r="B568" s="24" t="s">
        <v>2224</v>
      </c>
      <c r="C568" s="24" t="s">
        <v>434</v>
      </c>
      <c r="D568" s="24" t="s">
        <v>432</v>
      </c>
      <c r="E568" s="24" t="s">
        <v>159</v>
      </c>
      <c r="F568" s="25" t="s">
        <v>199</v>
      </c>
    </row>
    <row r="569" spans="1:6">
      <c r="A569" s="22">
        <v>25297</v>
      </c>
      <c r="B569" s="24" t="s">
        <v>1625</v>
      </c>
      <c r="C569" s="24" t="s">
        <v>434</v>
      </c>
      <c r="D569" s="24" t="s">
        <v>432</v>
      </c>
      <c r="E569" s="24" t="s">
        <v>159</v>
      </c>
      <c r="F569" s="25" t="s">
        <v>158</v>
      </c>
    </row>
    <row r="570" spans="1:6">
      <c r="A570" s="22">
        <v>25299</v>
      </c>
      <c r="B570" s="24" t="s">
        <v>2225</v>
      </c>
      <c r="C570" s="24" t="s">
        <v>434</v>
      </c>
      <c r="D570" s="24" t="s">
        <v>432</v>
      </c>
      <c r="E570" s="24" t="s">
        <v>159</v>
      </c>
      <c r="F570" s="25" t="s">
        <v>158</v>
      </c>
    </row>
    <row r="571" spans="1:6">
      <c r="A571" s="22">
        <v>25307</v>
      </c>
      <c r="B571" s="24" t="s">
        <v>2226</v>
      </c>
      <c r="C571" s="24" t="s">
        <v>434</v>
      </c>
      <c r="D571" s="24" t="s">
        <v>432</v>
      </c>
      <c r="E571" s="24" t="s">
        <v>159</v>
      </c>
      <c r="F571" s="25" t="s">
        <v>158</v>
      </c>
    </row>
    <row r="572" spans="1:6">
      <c r="A572" s="22">
        <v>25317</v>
      </c>
      <c r="B572" s="24" t="s">
        <v>2227</v>
      </c>
      <c r="C572" s="24" t="s">
        <v>434</v>
      </c>
      <c r="D572" s="24" t="s">
        <v>432</v>
      </c>
      <c r="E572" s="24" t="s">
        <v>159</v>
      </c>
      <c r="F572" s="25" t="s">
        <v>158</v>
      </c>
    </row>
    <row r="573" spans="1:6">
      <c r="A573" s="22">
        <v>25320</v>
      </c>
      <c r="B573" s="24" t="s">
        <v>2228</v>
      </c>
      <c r="C573" s="24" t="s">
        <v>434</v>
      </c>
      <c r="D573" s="24" t="s">
        <v>432</v>
      </c>
      <c r="E573" s="24" t="s">
        <v>159</v>
      </c>
      <c r="F573" s="25" t="s">
        <v>158</v>
      </c>
    </row>
    <row r="574" spans="1:6">
      <c r="A574" s="22">
        <v>25322</v>
      </c>
      <c r="B574" s="24" t="s">
        <v>2229</v>
      </c>
      <c r="C574" s="24" t="s">
        <v>434</v>
      </c>
      <c r="D574" s="24" t="s">
        <v>432</v>
      </c>
      <c r="E574" s="24" t="s">
        <v>159</v>
      </c>
      <c r="F574" s="25" t="s">
        <v>199</v>
      </c>
    </row>
    <row r="575" spans="1:6">
      <c r="A575" s="22">
        <v>25324</v>
      </c>
      <c r="B575" s="24" t="s">
        <v>2230</v>
      </c>
      <c r="C575" s="24" t="s">
        <v>434</v>
      </c>
      <c r="D575" s="24" t="s">
        <v>518</v>
      </c>
      <c r="E575" s="24" t="s">
        <v>159</v>
      </c>
      <c r="F575" s="25" t="s">
        <v>158</v>
      </c>
    </row>
    <row r="576" spans="1:6">
      <c r="A576" s="22">
        <v>25326</v>
      </c>
      <c r="B576" s="24" t="s">
        <v>2231</v>
      </c>
      <c r="C576" s="24" t="s">
        <v>434</v>
      </c>
      <c r="D576" s="24" t="s">
        <v>432</v>
      </c>
      <c r="E576" s="24" t="s">
        <v>159</v>
      </c>
      <c r="F576" s="25" t="s">
        <v>199</v>
      </c>
    </row>
    <row r="577" spans="1:6">
      <c r="A577" s="22">
        <v>25328</v>
      </c>
      <c r="B577" s="24" t="s">
        <v>2232</v>
      </c>
      <c r="C577" s="24" t="s">
        <v>434</v>
      </c>
      <c r="D577" s="24" t="s">
        <v>432</v>
      </c>
      <c r="E577" s="24" t="s">
        <v>159</v>
      </c>
      <c r="F577" s="25" t="s">
        <v>158</v>
      </c>
    </row>
    <row r="578" spans="1:6">
      <c r="A578" s="22">
        <v>25335</v>
      </c>
      <c r="B578" s="24" t="s">
        <v>2233</v>
      </c>
      <c r="C578" s="24" t="s">
        <v>434</v>
      </c>
      <c r="D578" s="24" t="s">
        <v>210</v>
      </c>
      <c r="E578" s="24" t="s">
        <v>159</v>
      </c>
      <c r="F578" s="25" t="s">
        <v>199</v>
      </c>
    </row>
    <row r="579" spans="1:6">
      <c r="A579" s="22">
        <v>25339</v>
      </c>
      <c r="B579" s="24" t="s">
        <v>2234</v>
      </c>
      <c r="C579" s="24" t="s">
        <v>434</v>
      </c>
      <c r="D579" s="24" t="s">
        <v>432</v>
      </c>
      <c r="E579" s="24" t="s">
        <v>159</v>
      </c>
      <c r="F579" s="25" t="s">
        <v>158</v>
      </c>
    </row>
    <row r="580" spans="1:6">
      <c r="A580" s="22">
        <v>25368</v>
      </c>
      <c r="B580" s="24" t="s">
        <v>2235</v>
      </c>
      <c r="C580" s="24" t="s">
        <v>434</v>
      </c>
      <c r="D580" s="24" t="s">
        <v>432</v>
      </c>
      <c r="E580" s="24" t="s">
        <v>159</v>
      </c>
      <c r="F580" s="25" t="s">
        <v>158</v>
      </c>
    </row>
    <row r="581" spans="1:6">
      <c r="A581" s="22">
        <v>25372</v>
      </c>
      <c r="B581" s="24" t="s">
        <v>2236</v>
      </c>
      <c r="C581" s="24" t="s">
        <v>434</v>
      </c>
      <c r="D581" s="24" t="s">
        <v>432</v>
      </c>
      <c r="E581" s="24" t="s">
        <v>159</v>
      </c>
      <c r="F581" s="25" t="s">
        <v>158</v>
      </c>
    </row>
    <row r="582" spans="1:6">
      <c r="A582" s="22">
        <v>25377</v>
      </c>
      <c r="B582" s="24" t="s">
        <v>2237</v>
      </c>
      <c r="C582" s="24" t="s">
        <v>434</v>
      </c>
      <c r="D582" s="24" t="s">
        <v>432</v>
      </c>
      <c r="E582" s="24" t="s">
        <v>159</v>
      </c>
      <c r="F582" s="25" t="s">
        <v>199</v>
      </c>
    </row>
    <row r="583" spans="1:6">
      <c r="A583" s="22">
        <v>25386</v>
      </c>
      <c r="B583" s="24" t="s">
        <v>2238</v>
      </c>
      <c r="C583" s="24" t="s">
        <v>434</v>
      </c>
      <c r="D583" s="24" t="s">
        <v>432</v>
      </c>
      <c r="E583" s="24" t="s">
        <v>159</v>
      </c>
      <c r="F583" s="25" t="s">
        <v>199</v>
      </c>
    </row>
    <row r="584" spans="1:6">
      <c r="A584" s="22">
        <v>25394</v>
      </c>
      <c r="B584" s="24" t="s">
        <v>2239</v>
      </c>
      <c r="C584" s="24" t="s">
        <v>434</v>
      </c>
      <c r="D584" s="24" t="s">
        <v>432</v>
      </c>
      <c r="E584" s="24" t="s">
        <v>159</v>
      </c>
      <c r="F584" s="25" t="s">
        <v>158</v>
      </c>
    </row>
    <row r="585" spans="1:6">
      <c r="A585" s="22">
        <v>25398</v>
      </c>
      <c r="B585" s="24" t="s">
        <v>2240</v>
      </c>
      <c r="C585" s="24" t="s">
        <v>434</v>
      </c>
      <c r="D585" s="24" t="s">
        <v>432</v>
      </c>
      <c r="E585" s="24" t="s">
        <v>159</v>
      </c>
      <c r="F585" s="25" t="s">
        <v>158</v>
      </c>
    </row>
    <row r="586" spans="1:6">
      <c r="A586" s="22">
        <v>25407</v>
      </c>
      <c r="B586" s="24" t="s">
        <v>2241</v>
      </c>
      <c r="C586" s="24" t="s">
        <v>434</v>
      </c>
      <c r="D586" s="24" t="s">
        <v>432</v>
      </c>
      <c r="E586" s="24" t="s">
        <v>159</v>
      </c>
      <c r="F586" s="25" t="s">
        <v>158</v>
      </c>
    </row>
    <row r="587" spans="1:6">
      <c r="A587" s="22">
        <v>25426</v>
      </c>
      <c r="B587" s="24" t="s">
        <v>2242</v>
      </c>
      <c r="C587" s="24" t="s">
        <v>434</v>
      </c>
      <c r="D587" s="24" t="s">
        <v>432</v>
      </c>
      <c r="E587" s="24" t="s">
        <v>159</v>
      </c>
      <c r="F587" s="25" t="s">
        <v>158</v>
      </c>
    </row>
    <row r="588" spans="1:6">
      <c r="A588" s="22">
        <v>25430</v>
      </c>
      <c r="B588" s="24" t="s">
        <v>2243</v>
      </c>
      <c r="C588" s="24" t="s">
        <v>434</v>
      </c>
      <c r="D588" s="24" t="s">
        <v>432</v>
      </c>
      <c r="E588" s="24" t="s">
        <v>159</v>
      </c>
      <c r="F588" s="25" t="s">
        <v>199</v>
      </c>
    </row>
    <row r="589" spans="1:6">
      <c r="A589" s="22">
        <v>25436</v>
      </c>
      <c r="B589" s="24" t="s">
        <v>2244</v>
      </c>
      <c r="C589" s="24" t="s">
        <v>434</v>
      </c>
      <c r="D589" s="24" t="s">
        <v>432</v>
      </c>
      <c r="E589" s="24" t="s">
        <v>159</v>
      </c>
      <c r="F589" s="25" t="s">
        <v>158</v>
      </c>
    </row>
    <row r="590" spans="1:6">
      <c r="A590" s="22">
        <v>25438</v>
      </c>
      <c r="B590" s="24" t="s">
        <v>2245</v>
      </c>
      <c r="C590" s="24" t="s">
        <v>434</v>
      </c>
      <c r="D590" s="24" t="s">
        <v>210</v>
      </c>
      <c r="E590" s="24" t="s">
        <v>159</v>
      </c>
      <c r="F590" s="25" t="s">
        <v>167</v>
      </c>
    </row>
    <row r="591" spans="1:6">
      <c r="A591" s="22">
        <v>25486</v>
      </c>
      <c r="B591" s="24" t="s">
        <v>636</v>
      </c>
      <c r="C591" s="24" t="s">
        <v>434</v>
      </c>
      <c r="D591" s="24" t="s">
        <v>432</v>
      </c>
      <c r="E591" s="24" t="s">
        <v>159</v>
      </c>
      <c r="F591" s="25" t="s">
        <v>199</v>
      </c>
    </row>
    <row r="592" spans="1:6">
      <c r="A592" s="22">
        <v>25488</v>
      </c>
      <c r="B592" s="24" t="s">
        <v>2246</v>
      </c>
      <c r="C592" s="24" t="s">
        <v>434</v>
      </c>
      <c r="D592" s="24" t="s">
        <v>432</v>
      </c>
      <c r="E592" s="24" t="s">
        <v>159</v>
      </c>
      <c r="F592" s="25" t="s">
        <v>158</v>
      </c>
    </row>
    <row r="593" spans="1:6">
      <c r="A593" s="22">
        <v>25489</v>
      </c>
      <c r="B593" s="24" t="s">
        <v>2247</v>
      </c>
      <c r="C593" s="24" t="s">
        <v>434</v>
      </c>
      <c r="D593" s="24" t="s">
        <v>432</v>
      </c>
      <c r="E593" s="24" t="s">
        <v>159</v>
      </c>
      <c r="F593" s="25" t="s">
        <v>158</v>
      </c>
    </row>
    <row r="594" spans="1:6">
      <c r="A594" s="22">
        <v>25491</v>
      </c>
      <c r="B594" s="24" t="s">
        <v>2248</v>
      </c>
      <c r="C594" s="24" t="s">
        <v>434</v>
      </c>
      <c r="D594" s="24" t="s">
        <v>432</v>
      </c>
      <c r="E594" s="24" t="s">
        <v>159</v>
      </c>
      <c r="F594" s="25" t="s">
        <v>158</v>
      </c>
    </row>
    <row r="595" spans="1:6">
      <c r="A595" s="22">
        <v>25513</v>
      </c>
      <c r="B595" s="24" t="s">
        <v>2249</v>
      </c>
      <c r="C595" s="24" t="s">
        <v>434</v>
      </c>
      <c r="D595" s="24" t="s">
        <v>432</v>
      </c>
      <c r="E595" s="24" t="s">
        <v>159</v>
      </c>
      <c r="F595" s="25" t="s">
        <v>158</v>
      </c>
    </row>
    <row r="596" spans="1:6">
      <c r="A596" s="22">
        <v>25518</v>
      </c>
      <c r="B596" s="24" t="s">
        <v>2250</v>
      </c>
      <c r="C596" s="24" t="s">
        <v>434</v>
      </c>
      <c r="D596" s="24" t="s">
        <v>432</v>
      </c>
      <c r="E596" s="24" t="s">
        <v>159</v>
      </c>
      <c r="F596" s="25" t="s">
        <v>167</v>
      </c>
    </row>
    <row r="597" spans="1:6">
      <c r="A597" s="22">
        <v>25524</v>
      </c>
      <c r="B597" s="24" t="s">
        <v>2251</v>
      </c>
      <c r="C597" s="24" t="s">
        <v>434</v>
      </c>
      <c r="D597" s="24" t="s">
        <v>432</v>
      </c>
      <c r="E597" s="24" t="s">
        <v>159</v>
      </c>
      <c r="F597" s="25" t="s">
        <v>158</v>
      </c>
    </row>
    <row r="598" spans="1:6">
      <c r="A598" s="22">
        <v>25530</v>
      </c>
      <c r="B598" s="24" t="s">
        <v>2252</v>
      </c>
      <c r="C598" s="24" t="s">
        <v>434</v>
      </c>
      <c r="D598" s="24" t="s">
        <v>210</v>
      </c>
      <c r="E598" s="24" t="s">
        <v>159</v>
      </c>
      <c r="F598" s="25" t="s">
        <v>158</v>
      </c>
    </row>
    <row r="599" spans="1:6">
      <c r="A599" s="22">
        <v>25535</v>
      </c>
      <c r="B599" s="24" t="s">
        <v>2253</v>
      </c>
      <c r="C599" s="24" t="s">
        <v>434</v>
      </c>
      <c r="D599" s="24" t="s">
        <v>432</v>
      </c>
      <c r="E599" s="24" t="s">
        <v>159</v>
      </c>
      <c r="F599" s="25" t="s">
        <v>199</v>
      </c>
    </row>
    <row r="600" spans="1:6">
      <c r="A600" s="22">
        <v>25572</v>
      </c>
      <c r="B600" s="24" t="s">
        <v>2254</v>
      </c>
      <c r="C600" s="24" t="s">
        <v>434</v>
      </c>
      <c r="D600" s="24" t="s">
        <v>432</v>
      </c>
      <c r="E600" s="24" t="s">
        <v>159</v>
      </c>
      <c r="F600" s="25" t="s">
        <v>167</v>
      </c>
    </row>
    <row r="601" spans="1:6">
      <c r="A601" s="22">
        <v>25580</v>
      </c>
      <c r="B601" s="24" t="s">
        <v>2255</v>
      </c>
      <c r="C601" s="24" t="s">
        <v>434</v>
      </c>
      <c r="D601" s="24" t="s">
        <v>432</v>
      </c>
      <c r="E601" s="24" t="s">
        <v>159</v>
      </c>
      <c r="F601" s="25" t="s">
        <v>158</v>
      </c>
    </row>
    <row r="602" spans="1:6">
      <c r="A602" s="22">
        <v>25592</v>
      </c>
      <c r="B602" s="24" t="s">
        <v>2256</v>
      </c>
      <c r="C602" s="24" t="s">
        <v>434</v>
      </c>
      <c r="D602" s="24" t="s">
        <v>432</v>
      </c>
      <c r="E602" s="24" t="s">
        <v>159</v>
      </c>
      <c r="F602" s="25" t="s">
        <v>158</v>
      </c>
    </row>
    <row r="603" spans="1:6">
      <c r="A603" s="22">
        <v>25594</v>
      </c>
      <c r="B603" s="24" t="s">
        <v>2257</v>
      </c>
      <c r="C603" s="24" t="s">
        <v>434</v>
      </c>
      <c r="D603" s="24" t="s">
        <v>432</v>
      </c>
      <c r="E603" s="24" t="s">
        <v>159</v>
      </c>
      <c r="F603" s="25" t="s">
        <v>158</v>
      </c>
    </row>
    <row r="604" spans="1:6">
      <c r="A604" s="22">
        <v>25596</v>
      </c>
      <c r="B604" s="24" t="s">
        <v>2258</v>
      </c>
      <c r="C604" s="24" t="s">
        <v>434</v>
      </c>
      <c r="D604" s="24" t="s">
        <v>432</v>
      </c>
      <c r="E604" s="24" t="s">
        <v>159</v>
      </c>
      <c r="F604" s="25" t="s">
        <v>158</v>
      </c>
    </row>
    <row r="605" spans="1:6">
      <c r="A605" s="22">
        <v>25645</v>
      </c>
      <c r="B605" s="24" t="s">
        <v>2259</v>
      </c>
      <c r="C605" s="24" t="s">
        <v>434</v>
      </c>
      <c r="D605" s="24" t="s">
        <v>432</v>
      </c>
      <c r="E605" s="24" t="s">
        <v>159</v>
      </c>
      <c r="F605" s="25" t="s">
        <v>199</v>
      </c>
    </row>
    <row r="606" spans="1:6">
      <c r="A606" s="22">
        <v>25662</v>
      </c>
      <c r="B606" s="24" t="s">
        <v>2260</v>
      </c>
      <c r="C606" s="24" t="s">
        <v>434</v>
      </c>
      <c r="D606" s="24" t="s">
        <v>432</v>
      </c>
      <c r="E606" s="24" t="s">
        <v>159</v>
      </c>
      <c r="F606" s="25" t="s">
        <v>158</v>
      </c>
    </row>
    <row r="607" spans="1:6">
      <c r="A607" s="22">
        <v>25718</v>
      </c>
      <c r="B607" s="24" t="s">
        <v>2261</v>
      </c>
      <c r="C607" s="24" t="s">
        <v>434</v>
      </c>
      <c r="D607" s="24" t="s">
        <v>432</v>
      </c>
      <c r="E607" s="24" t="s">
        <v>159</v>
      </c>
      <c r="F607" s="25" t="s">
        <v>199</v>
      </c>
    </row>
    <row r="608" spans="1:6">
      <c r="A608" s="22">
        <v>25736</v>
      </c>
      <c r="B608" s="24" t="s">
        <v>2262</v>
      </c>
      <c r="C608" s="24" t="s">
        <v>434</v>
      </c>
      <c r="D608" s="24" t="s">
        <v>432</v>
      </c>
      <c r="E608" s="24" t="s">
        <v>159</v>
      </c>
      <c r="F608" s="25" t="s">
        <v>199</v>
      </c>
    </row>
    <row r="609" spans="1:6">
      <c r="A609" s="22">
        <v>25740</v>
      </c>
      <c r="B609" s="24" t="s">
        <v>2263</v>
      </c>
      <c r="C609" s="24" t="s">
        <v>434</v>
      </c>
      <c r="D609" s="24" t="s">
        <v>432</v>
      </c>
      <c r="E609" s="24" t="s">
        <v>159</v>
      </c>
      <c r="F609" s="25" t="s">
        <v>199</v>
      </c>
    </row>
    <row r="610" spans="1:6">
      <c r="A610" s="22">
        <v>25743</v>
      </c>
      <c r="B610" s="24" t="s">
        <v>2264</v>
      </c>
      <c r="C610" s="24" t="s">
        <v>434</v>
      </c>
      <c r="D610" s="24" t="s">
        <v>432</v>
      </c>
      <c r="E610" s="24" t="s">
        <v>159</v>
      </c>
      <c r="F610" s="25" t="s">
        <v>199</v>
      </c>
    </row>
    <row r="611" spans="1:6">
      <c r="A611" s="22">
        <v>25745</v>
      </c>
      <c r="B611" s="24" t="s">
        <v>2265</v>
      </c>
      <c r="C611" s="24" t="s">
        <v>434</v>
      </c>
      <c r="D611" s="24" t="s">
        <v>274</v>
      </c>
      <c r="E611" s="24" t="s">
        <v>159</v>
      </c>
      <c r="F611" s="25" t="s">
        <v>158</v>
      </c>
    </row>
    <row r="612" spans="1:6">
      <c r="A612" s="22">
        <v>25754</v>
      </c>
      <c r="B612" s="24" t="s">
        <v>435</v>
      </c>
      <c r="C612" s="24" t="s">
        <v>434</v>
      </c>
      <c r="D612" s="24" t="s">
        <v>432</v>
      </c>
      <c r="E612" s="24" t="s">
        <v>159</v>
      </c>
      <c r="F612" s="25" t="s">
        <v>55</v>
      </c>
    </row>
    <row r="613" spans="1:6">
      <c r="A613" s="22">
        <v>25758</v>
      </c>
      <c r="B613" s="24" t="s">
        <v>2266</v>
      </c>
      <c r="C613" s="24" t="s">
        <v>434</v>
      </c>
      <c r="D613" s="24" t="s">
        <v>432</v>
      </c>
      <c r="E613" s="24" t="s">
        <v>159</v>
      </c>
      <c r="F613" s="25" t="s">
        <v>199</v>
      </c>
    </row>
    <row r="614" spans="1:6">
      <c r="A614" s="22">
        <v>25769</v>
      </c>
      <c r="B614" s="24" t="s">
        <v>2267</v>
      </c>
      <c r="C614" s="24" t="s">
        <v>434</v>
      </c>
      <c r="D614" s="24" t="s">
        <v>432</v>
      </c>
      <c r="E614" s="24" t="s">
        <v>159</v>
      </c>
      <c r="F614" s="25" t="s">
        <v>199</v>
      </c>
    </row>
    <row r="615" spans="1:6">
      <c r="A615" s="22">
        <v>25772</v>
      </c>
      <c r="B615" s="24" t="s">
        <v>2268</v>
      </c>
      <c r="C615" s="24" t="s">
        <v>434</v>
      </c>
      <c r="D615" s="24" t="s">
        <v>432</v>
      </c>
      <c r="E615" s="24" t="s">
        <v>159</v>
      </c>
      <c r="F615" s="25" t="s">
        <v>199</v>
      </c>
    </row>
    <row r="616" spans="1:6">
      <c r="A616" s="22">
        <v>25777</v>
      </c>
      <c r="B616" s="24" t="s">
        <v>2269</v>
      </c>
      <c r="C616" s="24" t="s">
        <v>434</v>
      </c>
      <c r="D616" s="24" t="s">
        <v>432</v>
      </c>
      <c r="E616" s="24" t="s">
        <v>159</v>
      </c>
      <c r="F616" s="25" t="s">
        <v>199</v>
      </c>
    </row>
    <row r="617" spans="1:6">
      <c r="A617" s="22">
        <v>25779</v>
      </c>
      <c r="B617" s="24" t="s">
        <v>2270</v>
      </c>
      <c r="C617" s="24" t="s">
        <v>434</v>
      </c>
      <c r="D617" s="24" t="s">
        <v>432</v>
      </c>
      <c r="E617" s="24" t="s">
        <v>159</v>
      </c>
      <c r="F617" s="25" t="s">
        <v>158</v>
      </c>
    </row>
    <row r="618" spans="1:6">
      <c r="A618" s="22">
        <v>25781</v>
      </c>
      <c r="B618" s="24" t="s">
        <v>2271</v>
      </c>
      <c r="C618" s="24" t="s">
        <v>434</v>
      </c>
      <c r="D618" s="24" t="s">
        <v>432</v>
      </c>
      <c r="E618" s="24" t="s">
        <v>159</v>
      </c>
      <c r="F618" s="25" t="s">
        <v>199</v>
      </c>
    </row>
    <row r="619" spans="1:6">
      <c r="A619" s="22">
        <v>25785</v>
      </c>
      <c r="B619" s="24" t="s">
        <v>441</v>
      </c>
      <c r="C619" s="24" t="s">
        <v>434</v>
      </c>
      <c r="D619" s="24" t="s">
        <v>432</v>
      </c>
      <c r="E619" s="24" t="s">
        <v>159</v>
      </c>
      <c r="F619" s="25" t="s">
        <v>199</v>
      </c>
    </row>
    <row r="620" spans="1:6">
      <c r="A620" s="22">
        <v>25793</v>
      </c>
      <c r="B620" s="24" t="s">
        <v>2272</v>
      </c>
      <c r="C620" s="24" t="s">
        <v>434</v>
      </c>
      <c r="D620" s="24" t="s">
        <v>432</v>
      </c>
      <c r="E620" s="24" t="s">
        <v>159</v>
      </c>
      <c r="F620" s="25" t="s">
        <v>199</v>
      </c>
    </row>
    <row r="621" spans="1:6">
      <c r="A621" s="22">
        <v>25797</v>
      </c>
      <c r="B621" s="24" t="s">
        <v>641</v>
      </c>
      <c r="C621" s="24" t="s">
        <v>434</v>
      </c>
      <c r="D621" s="24" t="s">
        <v>432</v>
      </c>
      <c r="E621" s="24" t="s">
        <v>159</v>
      </c>
      <c r="F621" s="25" t="s">
        <v>199</v>
      </c>
    </row>
    <row r="622" spans="1:6">
      <c r="A622" s="22">
        <v>25799</v>
      </c>
      <c r="B622" s="24" t="s">
        <v>2273</v>
      </c>
      <c r="C622" s="24" t="s">
        <v>434</v>
      </c>
      <c r="D622" s="24" t="s">
        <v>432</v>
      </c>
      <c r="E622" s="24" t="s">
        <v>159</v>
      </c>
      <c r="F622" s="25" t="s">
        <v>199</v>
      </c>
    </row>
    <row r="623" spans="1:6">
      <c r="A623" s="22">
        <v>25805</v>
      </c>
      <c r="B623" s="24" t="s">
        <v>2274</v>
      </c>
      <c r="C623" s="24" t="s">
        <v>434</v>
      </c>
      <c r="D623" s="24" t="s">
        <v>432</v>
      </c>
      <c r="E623" s="24" t="s">
        <v>159</v>
      </c>
      <c r="F623" s="25" t="s">
        <v>199</v>
      </c>
    </row>
    <row r="624" spans="1:6">
      <c r="A624" s="22">
        <v>25807</v>
      </c>
      <c r="B624" s="24" t="s">
        <v>2275</v>
      </c>
      <c r="C624" s="24" t="s">
        <v>434</v>
      </c>
      <c r="D624" s="24" t="s">
        <v>432</v>
      </c>
      <c r="E624" s="24" t="s">
        <v>159</v>
      </c>
      <c r="F624" s="25" t="s">
        <v>158</v>
      </c>
    </row>
    <row r="625" spans="1:6">
      <c r="A625" s="22">
        <v>25815</v>
      </c>
      <c r="B625" s="24" t="s">
        <v>2276</v>
      </c>
      <c r="C625" s="24" t="s">
        <v>434</v>
      </c>
      <c r="D625" s="24" t="s">
        <v>432</v>
      </c>
      <c r="E625" s="24" t="s">
        <v>159</v>
      </c>
      <c r="F625" s="25" t="s">
        <v>158</v>
      </c>
    </row>
    <row r="626" spans="1:6">
      <c r="A626" s="22">
        <v>25817</v>
      </c>
      <c r="B626" s="24" t="s">
        <v>2277</v>
      </c>
      <c r="C626" s="24" t="s">
        <v>434</v>
      </c>
      <c r="D626" s="24" t="s">
        <v>432</v>
      </c>
      <c r="E626" s="24" t="s">
        <v>159</v>
      </c>
      <c r="F626" s="25" t="s">
        <v>199</v>
      </c>
    </row>
    <row r="627" spans="1:6">
      <c r="A627" s="22">
        <v>25823</v>
      </c>
      <c r="B627" s="24" t="s">
        <v>2278</v>
      </c>
      <c r="C627" s="24" t="s">
        <v>434</v>
      </c>
      <c r="D627" s="24" t="s">
        <v>432</v>
      </c>
      <c r="E627" s="24" t="s">
        <v>159</v>
      </c>
      <c r="F627" s="25" t="s">
        <v>158</v>
      </c>
    </row>
    <row r="628" spans="1:6">
      <c r="A628" s="22">
        <v>25839</v>
      </c>
      <c r="B628" s="24" t="s">
        <v>2279</v>
      </c>
      <c r="C628" s="24" t="s">
        <v>434</v>
      </c>
      <c r="D628" s="24" t="s">
        <v>432</v>
      </c>
      <c r="E628" s="24" t="s">
        <v>159</v>
      </c>
      <c r="F628" s="25" t="s">
        <v>158</v>
      </c>
    </row>
    <row r="629" spans="1:6">
      <c r="A629" s="22">
        <v>25841</v>
      </c>
      <c r="B629" s="24" t="s">
        <v>2280</v>
      </c>
      <c r="C629" s="24" t="s">
        <v>434</v>
      </c>
      <c r="D629" s="24" t="s">
        <v>432</v>
      </c>
      <c r="E629" s="24" t="s">
        <v>159</v>
      </c>
      <c r="F629" s="25" t="s">
        <v>199</v>
      </c>
    </row>
    <row r="630" spans="1:6">
      <c r="A630" s="22">
        <v>25845</v>
      </c>
      <c r="B630" s="24" t="s">
        <v>2281</v>
      </c>
      <c r="C630" s="24" t="s">
        <v>434</v>
      </c>
      <c r="D630" s="24" t="s">
        <v>432</v>
      </c>
      <c r="E630" s="24" t="s">
        <v>159</v>
      </c>
      <c r="F630" s="25" t="s">
        <v>199</v>
      </c>
    </row>
    <row r="631" spans="1:6">
      <c r="A631" s="22">
        <v>25851</v>
      </c>
      <c r="B631" s="24" t="s">
        <v>2282</v>
      </c>
      <c r="C631" s="24" t="s">
        <v>434</v>
      </c>
      <c r="D631" s="24" t="s">
        <v>432</v>
      </c>
      <c r="E631" s="24" t="s">
        <v>159</v>
      </c>
      <c r="F631" s="25" t="s">
        <v>158</v>
      </c>
    </row>
    <row r="632" spans="1:6">
      <c r="A632" s="22">
        <v>25862</v>
      </c>
      <c r="B632" s="24" t="s">
        <v>2283</v>
      </c>
      <c r="C632" s="24" t="s">
        <v>434</v>
      </c>
      <c r="D632" s="24" t="s">
        <v>432</v>
      </c>
      <c r="E632" s="24" t="s">
        <v>159</v>
      </c>
      <c r="F632" s="25" t="s">
        <v>158</v>
      </c>
    </row>
    <row r="633" spans="1:6">
      <c r="A633" s="22">
        <v>25867</v>
      </c>
      <c r="B633" s="24" t="s">
        <v>2284</v>
      </c>
      <c r="C633" s="24" t="s">
        <v>434</v>
      </c>
      <c r="D633" s="24" t="s">
        <v>432</v>
      </c>
      <c r="E633" s="24" t="s">
        <v>159</v>
      </c>
      <c r="F633" s="25" t="s">
        <v>158</v>
      </c>
    </row>
    <row r="634" spans="1:6">
      <c r="A634" s="22">
        <v>25843</v>
      </c>
      <c r="B634" s="24" t="s">
        <v>2285</v>
      </c>
      <c r="C634" s="24" t="s">
        <v>434</v>
      </c>
      <c r="D634" s="24" t="s">
        <v>432</v>
      </c>
      <c r="E634" s="24" t="s">
        <v>159</v>
      </c>
      <c r="F634" s="25" t="s">
        <v>199</v>
      </c>
    </row>
    <row r="635" spans="1:6">
      <c r="A635" s="22">
        <v>25871</v>
      </c>
      <c r="B635" s="24" t="s">
        <v>2286</v>
      </c>
      <c r="C635" s="24" t="s">
        <v>434</v>
      </c>
      <c r="D635" s="24" t="s">
        <v>432</v>
      </c>
      <c r="E635" s="24" t="s">
        <v>159</v>
      </c>
      <c r="F635" s="25" t="s">
        <v>158</v>
      </c>
    </row>
    <row r="636" spans="1:6">
      <c r="A636" s="22">
        <v>25873</v>
      </c>
      <c r="B636" s="24" t="s">
        <v>2287</v>
      </c>
      <c r="C636" s="24" t="s">
        <v>434</v>
      </c>
      <c r="D636" s="24" t="s">
        <v>274</v>
      </c>
      <c r="E636" s="24" t="s">
        <v>159</v>
      </c>
      <c r="F636" s="25" t="s">
        <v>199</v>
      </c>
    </row>
    <row r="637" spans="1:6">
      <c r="A637" s="22">
        <v>25875</v>
      </c>
      <c r="B637" s="24" t="s">
        <v>2288</v>
      </c>
      <c r="C637" s="24" t="s">
        <v>434</v>
      </c>
      <c r="D637" s="24" t="s">
        <v>432</v>
      </c>
      <c r="E637" s="24" t="s">
        <v>159</v>
      </c>
      <c r="F637" s="25" t="s">
        <v>199</v>
      </c>
    </row>
    <row r="638" spans="1:6">
      <c r="A638" s="22">
        <v>25878</v>
      </c>
      <c r="B638" s="24" t="s">
        <v>2289</v>
      </c>
      <c r="C638" s="24" t="s">
        <v>434</v>
      </c>
      <c r="D638" s="24" t="s">
        <v>432</v>
      </c>
      <c r="E638" s="24" t="s">
        <v>159</v>
      </c>
      <c r="F638" s="25" t="s">
        <v>158</v>
      </c>
    </row>
    <row r="639" spans="1:6">
      <c r="A639" s="22">
        <v>25885</v>
      </c>
      <c r="B639" s="24" t="s">
        <v>2290</v>
      </c>
      <c r="C639" s="24" t="s">
        <v>434</v>
      </c>
      <c r="D639" s="24" t="s">
        <v>432</v>
      </c>
      <c r="E639" s="24" t="s">
        <v>159</v>
      </c>
      <c r="F639" s="25" t="s">
        <v>167</v>
      </c>
    </row>
    <row r="640" spans="1:6">
      <c r="A640" s="22">
        <v>25898</v>
      </c>
      <c r="B640" s="24" t="s">
        <v>2291</v>
      </c>
      <c r="C640" s="24" t="s">
        <v>434</v>
      </c>
      <c r="D640" s="24" t="s">
        <v>432</v>
      </c>
      <c r="E640" s="24" t="s">
        <v>159</v>
      </c>
      <c r="F640" s="25" t="s">
        <v>199</v>
      </c>
    </row>
    <row r="641" spans="1:6">
      <c r="A641" s="22">
        <v>25899</v>
      </c>
      <c r="B641" s="24" t="s">
        <v>1420</v>
      </c>
      <c r="C641" s="24" t="s">
        <v>434</v>
      </c>
      <c r="D641" s="24" t="s">
        <v>432</v>
      </c>
      <c r="E641" s="24" t="s">
        <v>159</v>
      </c>
      <c r="F641" s="25" t="s">
        <v>199</v>
      </c>
    </row>
    <row r="642" spans="1:6">
      <c r="A642" s="22">
        <v>94884</v>
      </c>
      <c r="B642" s="23" t="s">
        <v>1869</v>
      </c>
      <c r="C642" s="24" t="s">
        <v>2292</v>
      </c>
      <c r="D642" s="24" t="s">
        <v>210</v>
      </c>
      <c r="E642" s="24" t="s">
        <v>190</v>
      </c>
      <c r="F642" s="25" t="s">
        <v>147</v>
      </c>
    </row>
    <row r="643" spans="1:6">
      <c r="A643" s="22">
        <v>94343</v>
      </c>
      <c r="B643" s="24" t="s">
        <v>2293</v>
      </c>
      <c r="C643" s="24" t="s">
        <v>2292</v>
      </c>
      <c r="D643" s="24" t="s">
        <v>210</v>
      </c>
      <c r="E643" s="24" t="s">
        <v>190</v>
      </c>
      <c r="F643" s="25" t="s">
        <v>147</v>
      </c>
    </row>
    <row r="644" spans="1:6">
      <c r="A644" s="22">
        <v>94886</v>
      </c>
      <c r="B644" s="24" t="s">
        <v>2294</v>
      </c>
      <c r="C644" s="24" t="s">
        <v>2292</v>
      </c>
      <c r="D644" s="24" t="s">
        <v>210</v>
      </c>
      <c r="E644" s="24" t="s">
        <v>190</v>
      </c>
      <c r="F644" s="25" t="s">
        <v>147</v>
      </c>
    </row>
    <row r="645" spans="1:6">
      <c r="A645" s="22">
        <v>94001</v>
      </c>
      <c r="B645" s="24" t="s">
        <v>2295</v>
      </c>
      <c r="C645" s="24" t="s">
        <v>2292</v>
      </c>
      <c r="D645" s="24" t="s">
        <v>432</v>
      </c>
      <c r="E645" s="24" t="s">
        <v>190</v>
      </c>
      <c r="F645" s="25" t="s">
        <v>147</v>
      </c>
    </row>
    <row r="646" spans="1:6">
      <c r="A646" s="22">
        <v>94885</v>
      </c>
      <c r="B646" s="24" t="s">
        <v>2296</v>
      </c>
      <c r="C646" s="24" t="s">
        <v>2292</v>
      </c>
      <c r="D646" s="24" t="s">
        <v>210</v>
      </c>
      <c r="E646" s="24" t="s">
        <v>190</v>
      </c>
      <c r="F646" s="25" t="s">
        <v>147</v>
      </c>
    </row>
    <row r="647" spans="1:6">
      <c r="A647" s="22">
        <v>94663</v>
      </c>
      <c r="B647" s="24" t="s">
        <v>2297</v>
      </c>
      <c r="C647" s="24" t="s">
        <v>2292</v>
      </c>
      <c r="D647" s="24" t="s">
        <v>210</v>
      </c>
      <c r="E647" s="24" t="s">
        <v>190</v>
      </c>
      <c r="F647" s="25" t="s">
        <v>147</v>
      </c>
    </row>
    <row r="648" spans="1:6">
      <c r="A648" s="22">
        <v>94888</v>
      </c>
      <c r="B648" s="24" t="s">
        <v>2298</v>
      </c>
      <c r="C648" s="24" t="s">
        <v>2292</v>
      </c>
      <c r="D648" s="24" t="s">
        <v>210</v>
      </c>
      <c r="E648" s="24" t="s">
        <v>190</v>
      </c>
      <c r="F648" s="25" t="s">
        <v>147</v>
      </c>
    </row>
    <row r="649" spans="1:6">
      <c r="A649" s="22">
        <v>94887</v>
      </c>
      <c r="B649" s="24" t="s">
        <v>2299</v>
      </c>
      <c r="C649" s="24" t="s">
        <v>2292</v>
      </c>
      <c r="D649" s="24" t="s">
        <v>210</v>
      </c>
      <c r="E649" s="24" t="s">
        <v>190</v>
      </c>
      <c r="F649" s="25" t="s">
        <v>147</v>
      </c>
    </row>
    <row r="650" spans="1:6">
      <c r="A650" s="22">
        <v>94883</v>
      </c>
      <c r="B650" s="24" t="s">
        <v>2300</v>
      </c>
      <c r="C650" s="24" t="s">
        <v>2292</v>
      </c>
      <c r="D650" s="24" t="s">
        <v>210</v>
      </c>
      <c r="E650" s="24" t="s">
        <v>190</v>
      </c>
      <c r="F650" s="25" t="s">
        <v>147</v>
      </c>
    </row>
    <row r="651" spans="1:6">
      <c r="A651" s="22">
        <v>95015</v>
      </c>
      <c r="B651" s="23" t="s">
        <v>1888</v>
      </c>
      <c r="C651" s="24" t="s">
        <v>1508</v>
      </c>
      <c r="D651" s="24" t="s">
        <v>210</v>
      </c>
      <c r="E651" s="24" t="s">
        <v>190</v>
      </c>
      <c r="F651" s="25" t="s">
        <v>147</v>
      </c>
    </row>
    <row r="652" spans="1:6">
      <c r="A652" s="22">
        <v>95200</v>
      </c>
      <c r="B652" s="23" t="s">
        <v>1931</v>
      </c>
      <c r="C652" s="24" t="s">
        <v>1508</v>
      </c>
      <c r="D652" s="24" t="s">
        <v>210</v>
      </c>
      <c r="E652" s="24" t="s">
        <v>190</v>
      </c>
      <c r="F652" s="25" t="s">
        <v>147</v>
      </c>
    </row>
    <row r="653" spans="1:6">
      <c r="A653" s="22">
        <v>95025</v>
      </c>
      <c r="B653" s="24" t="s">
        <v>2301</v>
      </c>
      <c r="C653" s="24" t="s">
        <v>1508</v>
      </c>
      <c r="D653" s="24" t="s">
        <v>210</v>
      </c>
      <c r="E653" s="24" t="s">
        <v>159</v>
      </c>
      <c r="F653" s="25" t="s">
        <v>167</v>
      </c>
    </row>
    <row r="654" spans="1:6">
      <c r="A654" s="22">
        <v>95001</v>
      </c>
      <c r="B654" s="24" t="s">
        <v>1509</v>
      </c>
      <c r="C654" s="24" t="s">
        <v>1508</v>
      </c>
      <c r="D654" s="24" t="s">
        <v>210</v>
      </c>
      <c r="E654" s="24" t="s">
        <v>159</v>
      </c>
      <c r="F654" s="25" t="s">
        <v>167</v>
      </c>
    </row>
    <row r="655" spans="1:6">
      <c r="A655" s="22">
        <v>41319</v>
      </c>
      <c r="B655" s="23" t="s">
        <v>1772</v>
      </c>
      <c r="C655" s="24" t="s">
        <v>447</v>
      </c>
      <c r="D655" s="24" t="s">
        <v>201</v>
      </c>
      <c r="E655" s="24" t="s">
        <v>159</v>
      </c>
      <c r="F655" s="25" t="s">
        <v>158</v>
      </c>
    </row>
    <row r="656" spans="1:6">
      <c r="A656" s="22">
        <v>41530</v>
      </c>
      <c r="B656" s="23" t="s">
        <v>2039</v>
      </c>
      <c r="C656" s="24" t="s">
        <v>447</v>
      </c>
      <c r="D656" s="24" t="s">
        <v>201</v>
      </c>
      <c r="E656" s="24" t="s">
        <v>159</v>
      </c>
      <c r="F656" s="25" t="s">
        <v>167</v>
      </c>
    </row>
    <row r="657" spans="1:6">
      <c r="A657" s="22">
        <v>41676</v>
      </c>
      <c r="B657" s="23" t="s">
        <v>1933</v>
      </c>
      <c r="C657" s="24" t="s">
        <v>447</v>
      </c>
      <c r="D657" s="24" t="s">
        <v>201</v>
      </c>
      <c r="E657" s="24" t="s">
        <v>159</v>
      </c>
      <c r="F657" s="25" t="s">
        <v>158</v>
      </c>
    </row>
    <row r="658" spans="1:6">
      <c r="A658" s="22">
        <v>41006</v>
      </c>
      <c r="B658" s="24" t="s">
        <v>2302</v>
      </c>
      <c r="C658" s="24" t="s">
        <v>447</v>
      </c>
      <c r="D658" s="24" t="s">
        <v>201</v>
      </c>
      <c r="E658" s="24" t="s">
        <v>159</v>
      </c>
      <c r="F658" s="25" t="s">
        <v>158</v>
      </c>
    </row>
    <row r="659" spans="1:6">
      <c r="A659" s="22">
        <v>41013</v>
      </c>
      <c r="B659" s="24" t="s">
        <v>2303</v>
      </c>
      <c r="C659" s="24" t="s">
        <v>447</v>
      </c>
      <c r="D659" s="24" t="s">
        <v>201</v>
      </c>
      <c r="E659" s="24" t="s">
        <v>159</v>
      </c>
      <c r="F659" s="25" t="s">
        <v>158</v>
      </c>
    </row>
    <row r="660" spans="1:6">
      <c r="A660" s="22">
        <v>41016</v>
      </c>
      <c r="B660" s="24" t="s">
        <v>2304</v>
      </c>
      <c r="C660" s="24" t="s">
        <v>447</v>
      </c>
      <c r="D660" s="24" t="s">
        <v>201</v>
      </c>
      <c r="E660" s="24" t="s">
        <v>159</v>
      </c>
      <c r="F660" s="25" t="s">
        <v>199</v>
      </c>
    </row>
    <row r="661" spans="1:6">
      <c r="A661" s="22">
        <v>41020</v>
      </c>
      <c r="B661" s="24" t="s">
        <v>2305</v>
      </c>
      <c r="C661" s="24" t="s">
        <v>447</v>
      </c>
      <c r="D661" s="24" t="s">
        <v>201</v>
      </c>
      <c r="E661" s="24" t="s">
        <v>159</v>
      </c>
      <c r="F661" s="25" t="s">
        <v>199</v>
      </c>
    </row>
    <row r="662" spans="1:6">
      <c r="A662" s="22">
        <v>41026</v>
      </c>
      <c r="B662" s="24" t="s">
        <v>2306</v>
      </c>
      <c r="C662" s="24" t="s">
        <v>447</v>
      </c>
      <c r="D662" s="24" t="s">
        <v>201</v>
      </c>
      <c r="E662" s="24" t="s">
        <v>159</v>
      </c>
      <c r="F662" s="25" t="s">
        <v>158</v>
      </c>
    </row>
    <row r="663" spans="1:6">
      <c r="A663" s="22">
        <v>41078</v>
      </c>
      <c r="B663" s="24" t="s">
        <v>2307</v>
      </c>
      <c r="C663" s="24" t="s">
        <v>447</v>
      </c>
      <c r="D663" s="24" t="s">
        <v>201</v>
      </c>
      <c r="E663" s="24" t="s">
        <v>159</v>
      </c>
      <c r="F663" s="25" t="s">
        <v>199</v>
      </c>
    </row>
    <row r="664" spans="1:6">
      <c r="A664" s="22">
        <v>41132</v>
      </c>
      <c r="B664" s="24" t="s">
        <v>2308</v>
      </c>
      <c r="C664" s="24" t="s">
        <v>447</v>
      </c>
      <c r="D664" s="24" t="s">
        <v>201</v>
      </c>
      <c r="E664" s="24" t="s">
        <v>159</v>
      </c>
      <c r="F664" s="25" t="s">
        <v>199</v>
      </c>
    </row>
    <row r="665" spans="1:6">
      <c r="A665" s="22">
        <v>41206</v>
      </c>
      <c r="B665" s="24" t="s">
        <v>2309</v>
      </c>
      <c r="C665" s="24" t="s">
        <v>447</v>
      </c>
      <c r="D665" s="24" t="s">
        <v>201</v>
      </c>
      <c r="E665" s="24" t="s">
        <v>159</v>
      </c>
      <c r="F665" s="25" t="s">
        <v>158</v>
      </c>
    </row>
    <row r="666" spans="1:6">
      <c r="A666" s="22">
        <v>41244</v>
      </c>
      <c r="B666" s="24" t="s">
        <v>2310</v>
      </c>
      <c r="C666" s="24" t="s">
        <v>447</v>
      </c>
      <c r="D666" s="24" t="s">
        <v>201</v>
      </c>
      <c r="E666" s="24" t="s">
        <v>159</v>
      </c>
      <c r="F666" s="25" t="s">
        <v>158</v>
      </c>
    </row>
    <row r="667" spans="1:6">
      <c r="A667" s="22">
        <v>41298</v>
      </c>
      <c r="B667" s="24" t="s">
        <v>1011</v>
      </c>
      <c r="C667" s="24" t="s">
        <v>447</v>
      </c>
      <c r="D667" s="24" t="s">
        <v>201</v>
      </c>
      <c r="E667" s="24" t="s">
        <v>159</v>
      </c>
      <c r="F667" s="25" t="s">
        <v>158</v>
      </c>
    </row>
    <row r="668" spans="1:6">
      <c r="A668" s="22">
        <v>41306</v>
      </c>
      <c r="B668" s="24" t="s">
        <v>2311</v>
      </c>
      <c r="C668" s="24" t="s">
        <v>447</v>
      </c>
      <c r="D668" s="24" t="s">
        <v>201</v>
      </c>
      <c r="E668" s="24" t="s">
        <v>159</v>
      </c>
      <c r="F668" s="25" t="s">
        <v>199</v>
      </c>
    </row>
    <row r="669" spans="1:6">
      <c r="A669" s="22">
        <v>41349</v>
      </c>
      <c r="B669" s="24" t="s">
        <v>2312</v>
      </c>
      <c r="C669" s="24" t="s">
        <v>447</v>
      </c>
      <c r="D669" s="24" t="s">
        <v>201</v>
      </c>
      <c r="E669" s="24" t="s">
        <v>159</v>
      </c>
      <c r="F669" s="25" t="s">
        <v>199</v>
      </c>
    </row>
    <row r="670" spans="1:6">
      <c r="A670" s="22">
        <v>41357</v>
      </c>
      <c r="B670" s="24" t="s">
        <v>2313</v>
      </c>
      <c r="C670" s="24" t="s">
        <v>447</v>
      </c>
      <c r="D670" s="24" t="s">
        <v>201</v>
      </c>
      <c r="E670" s="24" t="s">
        <v>159</v>
      </c>
      <c r="F670" s="25" t="s">
        <v>199</v>
      </c>
    </row>
    <row r="671" spans="1:6">
      <c r="A671" s="22">
        <v>41359</v>
      </c>
      <c r="B671" s="24" t="s">
        <v>2314</v>
      </c>
      <c r="C671" s="24" t="s">
        <v>447</v>
      </c>
      <c r="D671" s="24" t="s">
        <v>201</v>
      </c>
      <c r="E671" s="24" t="s">
        <v>159</v>
      </c>
      <c r="F671" s="25" t="s">
        <v>167</v>
      </c>
    </row>
    <row r="672" spans="1:6">
      <c r="A672" s="22">
        <v>41378</v>
      </c>
      <c r="B672" s="24" t="s">
        <v>2315</v>
      </c>
      <c r="C672" s="24" t="s">
        <v>447</v>
      </c>
      <c r="D672" s="24" t="s">
        <v>201</v>
      </c>
      <c r="E672" s="24" t="s">
        <v>159</v>
      </c>
      <c r="F672" s="25" t="s">
        <v>158</v>
      </c>
    </row>
    <row r="673" spans="1:6">
      <c r="A673" s="22">
        <v>41396</v>
      </c>
      <c r="B673" s="24" t="s">
        <v>448</v>
      </c>
      <c r="C673" s="24" t="s">
        <v>447</v>
      </c>
      <c r="D673" s="24" t="s">
        <v>201</v>
      </c>
      <c r="E673" s="24" t="s">
        <v>159</v>
      </c>
      <c r="F673" s="25" t="s">
        <v>158</v>
      </c>
    </row>
    <row r="674" spans="1:6">
      <c r="A674" s="22">
        <v>41483</v>
      </c>
      <c r="B674" s="24" t="s">
        <v>2316</v>
      </c>
      <c r="C674" s="24" t="s">
        <v>447</v>
      </c>
      <c r="D674" s="24" t="s">
        <v>201</v>
      </c>
      <c r="E674" s="24" t="s">
        <v>159</v>
      </c>
      <c r="F674" s="25" t="s">
        <v>158</v>
      </c>
    </row>
    <row r="675" spans="1:6">
      <c r="A675" s="22">
        <v>41001</v>
      </c>
      <c r="B675" s="24" t="s">
        <v>201</v>
      </c>
      <c r="C675" s="24" t="s">
        <v>447</v>
      </c>
      <c r="D675" s="24" t="s">
        <v>201</v>
      </c>
      <c r="E675" s="24" t="s">
        <v>159</v>
      </c>
      <c r="F675" s="25" t="s">
        <v>55</v>
      </c>
    </row>
    <row r="676" spans="1:6">
      <c r="A676" s="22">
        <v>41503</v>
      </c>
      <c r="B676" s="24" t="s">
        <v>2317</v>
      </c>
      <c r="C676" s="24" t="s">
        <v>447</v>
      </c>
      <c r="D676" s="24" t="s">
        <v>201</v>
      </c>
      <c r="E676" s="24" t="s">
        <v>159</v>
      </c>
      <c r="F676" s="25" t="s">
        <v>167</v>
      </c>
    </row>
    <row r="677" spans="1:6">
      <c r="A677" s="22">
        <v>41518</v>
      </c>
      <c r="B677" s="24" t="s">
        <v>2318</v>
      </c>
      <c r="C677" s="24" t="s">
        <v>447</v>
      </c>
      <c r="D677" s="24" t="s">
        <v>201</v>
      </c>
      <c r="E677" s="24" t="s">
        <v>159</v>
      </c>
      <c r="F677" s="25" t="s">
        <v>199</v>
      </c>
    </row>
    <row r="678" spans="1:6">
      <c r="A678" s="22">
        <v>41524</v>
      </c>
      <c r="B678" s="24" t="s">
        <v>2319</v>
      </c>
      <c r="C678" s="24" t="s">
        <v>447</v>
      </c>
      <c r="D678" s="24" t="s">
        <v>201</v>
      </c>
      <c r="E678" s="24" t="s">
        <v>159</v>
      </c>
      <c r="F678" s="25" t="s">
        <v>55</v>
      </c>
    </row>
    <row r="679" spans="1:6">
      <c r="A679" s="22">
        <v>41548</v>
      </c>
      <c r="B679" s="24" t="s">
        <v>2320</v>
      </c>
      <c r="C679" s="24" t="s">
        <v>447</v>
      </c>
      <c r="D679" s="24" t="s">
        <v>201</v>
      </c>
      <c r="E679" s="24" t="s">
        <v>159</v>
      </c>
      <c r="F679" s="25" t="s">
        <v>158</v>
      </c>
    </row>
    <row r="680" spans="1:6">
      <c r="A680" s="22">
        <v>41551</v>
      </c>
      <c r="B680" s="24" t="s">
        <v>2321</v>
      </c>
      <c r="C680" s="24" t="s">
        <v>447</v>
      </c>
      <c r="D680" s="24" t="s">
        <v>201</v>
      </c>
      <c r="E680" s="24" t="s">
        <v>159</v>
      </c>
      <c r="F680" s="25" t="s">
        <v>158</v>
      </c>
    </row>
    <row r="681" spans="1:6">
      <c r="A681" s="22">
        <v>41615</v>
      </c>
      <c r="B681" s="24" t="s">
        <v>2322</v>
      </c>
      <c r="C681" s="24" t="s">
        <v>447</v>
      </c>
      <c r="D681" s="24" t="s">
        <v>201</v>
      </c>
      <c r="E681" s="24" t="s">
        <v>159</v>
      </c>
      <c r="F681" s="25" t="s">
        <v>55</v>
      </c>
    </row>
    <row r="682" spans="1:6">
      <c r="A682" s="22">
        <v>41660</v>
      </c>
      <c r="B682" s="24" t="s">
        <v>2323</v>
      </c>
      <c r="C682" s="24" t="s">
        <v>447</v>
      </c>
      <c r="D682" s="24" t="s">
        <v>201</v>
      </c>
      <c r="E682" s="24" t="s">
        <v>159</v>
      </c>
      <c r="F682" s="25" t="s">
        <v>167</v>
      </c>
    </row>
    <row r="683" spans="1:6">
      <c r="A683" s="22">
        <v>41668</v>
      </c>
      <c r="B683" s="24" t="s">
        <v>2324</v>
      </c>
      <c r="C683" s="24" t="s">
        <v>447</v>
      </c>
      <c r="D683" s="24" t="s">
        <v>201</v>
      </c>
      <c r="E683" s="24" t="s">
        <v>159</v>
      </c>
      <c r="F683" s="25" t="s">
        <v>167</v>
      </c>
    </row>
    <row r="684" spans="1:6">
      <c r="A684" s="22">
        <v>41770</v>
      </c>
      <c r="B684" s="24" t="s">
        <v>2325</v>
      </c>
      <c r="C684" s="24" t="s">
        <v>447</v>
      </c>
      <c r="D684" s="24" t="s">
        <v>201</v>
      </c>
      <c r="E684" s="24" t="s">
        <v>159</v>
      </c>
      <c r="F684" s="25" t="s">
        <v>158</v>
      </c>
    </row>
    <row r="685" spans="1:6">
      <c r="A685" s="22">
        <v>41791</v>
      </c>
      <c r="B685" s="24" t="s">
        <v>2326</v>
      </c>
      <c r="C685" s="24" t="s">
        <v>447</v>
      </c>
      <c r="D685" s="24" t="s">
        <v>201</v>
      </c>
      <c r="E685" s="24" t="s">
        <v>159</v>
      </c>
      <c r="F685" s="25" t="s">
        <v>158</v>
      </c>
    </row>
    <row r="686" spans="1:6">
      <c r="A686" s="22">
        <v>41799</v>
      </c>
      <c r="B686" s="24" t="s">
        <v>2327</v>
      </c>
      <c r="C686" s="24" t="s">
        <v>447</v>
      </c>
      <c r="D686" s="24" t="s">
        <v>201</v>
      </c>
      <c r="E686" s="24" t="s">
        <v>159</v>
      </c>
      <c r="F686" s="25" t="s">
        <v>199</v>
      </c>
    </row>
    <row r="687" spans="1:6">
      <c r="A687" s="22">
        <v>41801</v>
      </c>
      <c r="B687" s="24" t="s">
        <v>2328</v>
      </c>
      <c r="C687" s="24" t="s">
        <v>447</v>
      </c>
      <c r="D687" s="24" t="s">
        <v>201</v>
      </c>
      <c r="E687" s="24" t="s">
        <v>159</v>
      </c>
      <c r="F687" s="25" t="s">
        <v>199</v>
      </c>
    </row>
    <row r="688" spans="1:6">
      <c r="A688" s="22">
        <v>41797</v>
      </c>
      <c r="B688" s="24" t="s">
        <v>2329</v>
      </c>
      <c r="C688" s="24" t="s">
        <v>447</v>
      </c>
      <c r="D688" s="24" t="s">
        <v>201</v>
      </c>
      <c r="E688" s="24" t="s">
        <v>159</v>
      </c>
      <c r="F688" s="25" t="s">
        <v>199</v>
      </c>
    </row>
    <row r="689" spans="1:6">
      <c r="A689" s="22">
        <v>41807</v>
      </c>
      <c r="B689" s="24" t="s">
        <v>2330</v>
      </c>
      <c r="C689" s="24" t="s">
        <v>447</v>
      </c>
      <c r="D689" s="24" t="s">
        <v>201</v>
      </c>
      <c r="E689" s="24" t="s">
        <v>159</v>
      </c>
      <c r="F689" s="25" t="s">
        <v>158</v>
      </c>
    </row>
    <row r="690" spans="1:6">
      <c r="A690" s="22">
        <v>41872</v>
      </c>
      <c r="B690" s="24" t="s">
        <v>2331</v>
      </c>
      <c r="C690" s="24" t="s">
        <v>447</v>
      </c>
      <c r="D690" s="24" t="s">
        <v>201</v>
      </c>
      <c r="E690" s="24" t="s">
        <v>159</v>
      </c>
      <c r="F690" s="25" t="s">
        <v>199</v>
      </c>
    </row>
    <row r="691" spans="1:6">
      <c r="A691" s="22">
        <v>41885</v>
      </c>
      <c r="B691" s="24" t="s">
        <v>2332</v>
      </c>
      <c r="C691" s="24" t="s">
        <v>447</v>
      </c>
      <c r="D691" s="24" t="s">
        <v>201</v>
      </c>
      <c r="E691" s="24" t="s">
        <v>159</v>
      </c>
      <c r="F691" s="25" t="s">
        <v>199</v>
      </c>
    </row>
    <row r="692" spans="1:6">
      <c r="A692" s="22">
        <v>44035</v>
      </c>
      <c r="B692" s="23" t="s">
        <v>2061</v>
      </c>
      <c r="C692" s="24" t="s">
        <v>735</v>
      </c>
      <c r="D692" s="24" t="s">
        <v>621</v>
      </c>
      <c r="E692" s="24" t="s">
        <v>159</v>
      </c>
      <c r="F692" s="25" t="s">
        <v>158</v>
      </c>
    </row>
    <row r="693" spans="1:6">
      <c r="A693" s="22">
        <v>44560</v>
      </c>
      <c r="B693" s="23" t="s">
        <v>2119</v>
      </c>
      <c r="C693" s="24" t="s">
        <v>735</v>
      </c>
      <c r="D693" s="24" t="s">
        <v>454</v>
      </c>
      <c r="E693" s="24" t="s">
        <v>159</v>
      </c>
      <c r="F693" s="25" t="s">
        <v>167</v>
      </c>
    </row>
    <row r="694" spans="1:6">
      <c r="A694" s="22">
        <v>44874</v>
      </c>
      <c r="B694" s="23" t="s">
        <v>778</v>
      </c>
      <c r="C694" s="24" t="s">
        <v>735</v>
      </c>
      <c r="D694" s="24" t="s">
        <v>621</v>
      </c>
      <c r="E694" s="24" t="s">
        <v>159</v>
      </c>
      <c r="F694" s="25" t="s">
        <v>199</v>
      </c>
    </row>
    <row r="695" spans="1:6">
      <c r="A695" s="22">
        <v>44078</v>
      </c>
      <c r="B695" s="24" t="s">
        <v>2333</v>
      </c>
      <c r="C695" s="24" t="s">
        <v>735</v>
      </c>
      <c r="D695" s="24" t="s">
        <v>621</v>
      </c>
      <c r="E695" s="24" t="s">
        <v>159</v>
      </c>
      <c r="F695" s="25" t="s">
        <v>199</v>
      </c>
    </row>
    <row r="696" spans="1:6">
      <c r="A696" s="22">
        <v>44090</v>
      </c>
      <c r="B696" s="24" t="s">
        <v>2334</v>
      </c>
      <c r="C696" s="24" t="s">
        <v>735</v>
      </c>
      <c r="D696" s="24" t="s">
        <v>454</v>
      </c>
      <c r="E696" s="24" t="s">
        <v>159</v>
      </c>
      <c r="F696" s="25" t="s">
        <v>158</v>
      </c>
    </row>
    <row r="697" spans="1:6">
      <c r="A697" s="22">
        <v>44098</v>
      </c>
      <c r="B697" s="24" t="s">
        <v>2335</v>
      </c>
      <c r="C697" s="24" t="s">
        <v>735</v>
      </c>
      <c r="D697" s="24" t="s">
        <v>621</v>
      </c>
      <c r="E697" s="24" t="s">
        <v>159</v>
      </c>
      <c r="F697" s="25" t="s">
        <v>199</v>
      </c>
    </row>
    <row r="698" spans="1:6">
      <c r="A698" s="22">
        <v>44110</v>
      </c>
      <c r="B698" s="24" t="s">
        <v>2336</v>
      </c>
      <c r="C698" s="24" t="s">
        <v>735</v>
      </c>
      <c r="D698" s="24" t="s">
        <v>621</v>
      </c>
      <c r="E698" s="24" t="s">
        <v>159</v>
      </c>
      <c r="F698" s="25" t="s">
        <v>199</v>
      </c>
    </row>
    <row r="699" spans="1:6">
      <c r="A699" s="22">
        <v>44279</v>
      </c>
      <c r="B699" s="24" t="s">
        <v>2337</v>
      </c>
      <c r="C699" s="24" t="s">
        <v>735</v>
      </c>
      <c r="D699" s="24" t="s">
        <v>621</v>
      </c>
      <c r="E699" s="24" t="s">
        <v>159</v>
      </c>
      <c r="F699" s="25" t="s">
        <v>199</v>
      </c>
    </row>
    <row r="700" spans="1:6">
      <c r="A700" s="22">
        <v>44378</v>
      </c>
      <c r="B700" s="24" t="s">
        <v>2338</v>
      </c>
      <c r="C700" s="24" t="s">
        <v>735</v>
      </c>
      <c r="D700" s="24" t="s">
        <v>621</v>
      </c>
      <c r="E700" s="24" t="s">
        <v>159</v>
      </c>
      <c r="F700" s="25" t="s">
        <v>158</v>
      </c>
    </row>
    <row r="701" spans="1:6">
      <c r="A701" s="22">
        <v>44420</v>
      </c>
      <c r="B701" s="24" t="s">
        <v>2339</v>
      </c>
      <c r="C701" s="24" t="s">
        <v>735</v>
      </c>
      <c r="D701" s="24" t="s">
        <v>621</v>
      </c>
      <c r="E701" s="24" t="s">
        <v>159</v>
      </c>
      <c r="F701" s="25" t="s">
        <v>199</v>
      </c>
    </row>
    <row r="702" spans="1:6">
      <c r="A702" s="22">
        <v>44430</v>
      </c>
      <c r="B702" s="24" t="s">
        <v>736</v>
      </c>
      <c r="C702" s="24" t="s">
        <v>735</v>
      </c>
      <c r="D702" s="24" t="s">
        <v>454</v>
      </c>
      <c r="E702" s="24" t="s">
        <v>159</v>
      </c>
      <c r="F702" s="25" t="s">
        <v>167</v>
      </c>
    </row>
    <row r="703" spans="1:6">
      <c r="A703" s="22">
        <v>44001</v>
      </c>
      <c r="B703" s="24" t="s">
        <v>1550</v>
      </c>
      <c r="C703" s="24" t="s">
        <v>735</v>
      </c>
      <c r="D703" s="24" t="s">
        <v>454</v>
      </c>
      <c r="E703" s="24" t="s">
        <v>159</v>
      </c>
      <c r="F703" s="25" t="s">
        <v>158</v>
      </c>
    </row>
    <row r="704" spans="1:6">
      <c r="A704" s="22">
        <v>44650</v>
      </c>
      <c r="B704" s="24" t="s">
        <v>2340</v>
      </c>
      <c r="C704" s="24" t="s">
        <v>735</v>
      </c>
      <c r="D704" s="24" t="s">
        <v>621</v>
      </c>
      <c r="E704" s="24" t="s">
        <v>159</v>
      </c>
      <c r="F704" s="25" t="s">
        <v>199</v>
      </c>
    </row>
    <row r="705" spans="1:6">
      <c r="A705" s="22">
        <v>44847</v>
      </c>
      <c r="B705" s="24" t="s">
        <v>2341</v>
      </c>
      <c r="C705" s="24" t="s">
        <v>735</v>
      </c>
      <c r="D705" s="24" t="s">
        <v>454</v>
      </c>
      <c r="E705" s="24" t="s">
        <v>159</v>
      </c>
      <c r="F705" s="25" t="s">
        <v>167</v>
      </c>
    </row>
    <row r="706" spans="1:6">
      <c r="A706" s="22">
        <v>44855</v>
      </c>
      <c r="B706" s="24" t="s">
        <v>2342</v>
      </c>
      <c r="C706" s="24" t="s">
        <v>735</v>
      </c>
      <c r="D706" s="24" t="s">
        <v>621</v>
      </c>
      <c r="E706" s="24" t="s">
        <v>159</v>
      </c>
      <c r="F706" s="25" t="s">
        <v>199</v>
      </c>
    </row>
    <row r="707" spans="1:6">
      <c r="A707" s="22">
        <v>47189</v>
      </c>
      <c r="B707" s="23" t="s">
        <v>1930</v>
      </c>
      <c r="C707" s="24" t="s">
        <v>456</v>
      </c>
      <c r="D707" s="24" t="s">
        <v>454</v>
      </c>
      <c r="E707" s="24" t="s">
        <v>159</v>
      </c>
      <c r="F707" s="25" t="s">
        <v>199</v>
      </c>
    </row>
    <row r="708" spans="1:6">
      <c r="A708" s="22">
        <v>47205</v>
      </c>
      <c r="B708" s="23" t="s">
        <v>1771</v>
      </c>
      <c r="C708" s="24" t="s">
        <v>456</v>
      </c>
      <c r="D708" s="24" t="s">
        <v>1089</v>
      </c>
      <c r="E708" s="24" t="s">
        <v>159</v>
      </c>
      <c r="F708" s="25" t="s">
        <v>158</v>
      </c>
    </row>
    <row r="709" spans="1:6">
      <c r="A709" s="22">
        <v>47318</v>
      </c>
      <c r="B709" s="23" t="s">
        <v>1455</v>
      </c>
      <c r="C709" s="24" t="s">
        <v>456</v>
      </c>
      <c r="D709" s="24" t="s">
        <v>454</v>
      </c>
      <c r="E709" s="24" t="s">
        <v>159</v>
      </c>
      <c r="F709" s="25" t="s">
        <v>167</v>
      </c>
    </row>
    <row r="710" spans="1:6">
      <c r="A710" s="22">
        <v>47675</v>
      </c>
      <c r="B710" s="23" t="s">
        <v>297</v>
      </c>
      <c r="C710" s="24" t="s">
        <v>456</v>
      </c>
      <c r="D710" s="24" t="s">
        <v>1089</v>
      </c>
      <c r="E710" s="24" t="s">
        <v>159</v>
      </c>
      <c r="F710" s="25" t="s">
        <v>199</v>
      </c>
    </row>
    <row r="711" spans="1:6">
      <c r="A711" s="22">
        <v>47030</v>
      </c>
      <c r="B711" s="24" t="s">
        <v>462</v>
      </c>
      <c r="C711" s="24" t="s">
        <v>456</v>
      </c>
      <c r="D711" s="24" t="s">
        <v>454</v>
      </c>
      <c r="E711" s="24" t="s">
        <v>159</v>
      </c>
      <c r="F711" s="25" t="s">
        <v>167</v>
      </c>
    </row>
    <row r="712" spans="1:6">
      <c r="A712" s="22">
        <v>47053</v>
      </c>
      <c r="B712" s="24" t="s">
        <v>2343</v>
      </c>
      <c r="C712" s="24" t="s">
        <v>456</v>
      </c>
      <c r="D712" s="24" t="s">
        <v>454</v>
      </c>
      <c r="E712" s="24" t="s">
        <v>159</v>
      </c>
      <c r="F712" s="25" t="s">
        <v>158</v>
      </c>
    </row>
    <row r="713" spans="1:6">
      <c r="A713" s="22">
        <v>47058</v>
      </c>
      <c r="B713" s="24" t="s">
        <v>1642</v>
      </c>
      <c r="C713" s="24" t="s">
        <v>456</v>
      </c>
      <c r="D713" s="24" t="s">
        <v>621</v>
      </c>
      <c r="E713" s="24" t="s">
        <v>159</v>
      </c>
      <c r="F713" s="25" t="s">
        <v>158</v>
      </c>
    </row>
    <row r="714" spans="1:6">
      <c r="A714" s="22">
        <v>47161</v>
      </c>
      <c r="B714" s="24" t="s">
        <v>2344</v>
      </c>
      <c r="C714" s="24" t="s">
        <v>456</v>
      </c>
      <c r="D714" s="24" t="s">
        <v>1089</v>
      </c>
      <c r="E714" s="24" t="s">
        <v>159</v>
      </c>
      <c r="F714" s="25" t="s">
        <v>167</v>
      </c>
    </row>
    <row r="715" spans="1:6">
      <c r="A715" s="22">
        <v>47170</v>
      </c>
      <c r="B715" s="24" t="s">
        <v>2345</v>
      </c>
      <c r="C715" s="24" t="s">
        <v>456</v>
      </c>
      <c r="D715" s="24" t="s">
        <v>454</v>
      </c>
      <c r="E715" s="24" t="s">
        <v>159</v>
      </c>
      <c r="F715" s="25" t="s">
        <v>167</v>
      </c>
    </row>
    <row r="716" spans="1:6">
      <c r="A716" s="22">
        <v>47245</v>
      </c>
      <c r="B716" s="24" t="s">
        <v>677</v>
      </c>
      <c r="C716" s="24" t="s">
        <v>456</v>
      </c>
      <c r="D716" s="24" t="s">
        <v>454</v>
      </c>
      <c r="E716" s="24" t="s">
        <v>159</v>
      </c>
      <c r="F716" s="25" t="s">
        <v>167</v>
      </c>
    </row>
    <row r="717" spans="1:6">
      <c r="A717" s="22">
        <v>47258</v>
      </c>
      <c r="B717" s="24" t="s">
        <v>2346</v>
      </c>
      <c r="C717" s="24" t="s">
        <v>456</v>
      </c>
      <c r="D717" s="24" t="s">
        <v>1089</v>
      </c>
      <c r="E717" s="24" t="s">
        <v>159</v>
      </c>
      <c r="F717" s="25" t="s">
        <v>158</v>
      </c>
    </row>
    <row r="718" spans="1:6">
      <c r="A718" s="22">
        <v>47268</v>
      </c>
      <c r="B718" s="24" t="s">
        <v>2347</v>
      </c>
      <c r="C718" s="24" t="s">
        <v>456</v>
      </c>
      <c r="D718" s="24" t="s">
        <v>454</v>
      </c>
      <c r="E718" s="24" t="s">
        <v>159</v>
      </c>
      <c r="F718" s="25" t="s">
        <v>158</v>
      </c>
    </row>
    <row r="719" spans="1:6">
      <c r="A719" s="22">
        <v>47288</v>
      </c>
      <c r="B719" s="24" t="s">
        <v>2348</v>
      </c>
      <c r="C719" s="24" t="s">
        <v>456</v>
      </c>
      <c r="D719" s="24" t="s">
        <v>454</v>
      </c>
      <c r="E719" s="24" t="s">
        <v>159</v>
      </c>
      <c r="F719" s="25" t="s">
        <v>158</v>
      </c>
    </row>
    <row r="720" spans="1:6">
      <c r="A720" s="22">
        <v>47460</v>
      </c>
      <c r="B720" s="24" t="s">
        <v>2349</v>
      </c>
      <c r="C720" s="24" t="s">
        <v>456</v>
      </c>
      <c r="D720" s="24" t="s">
        <v>621</v>
      </c>
      <c r="E720" s="24" t="s">
        <v>159</v>
      </c>
      <c r="F720" s="25" t="s">
        <v>167</v>
      </c>
    </row>
    <row r="721" spans="1:6">
      <c r="A721" s="22">
        <v>47541</v>
      </c>
      <c r="B721" s="24" t="s">
        <v>2350</v>
      </c>
      <c r="C721" s="24" t="s">
        <v>456</v>
      </c>
      <c r="D721" s="24" t="s">
        <v>1089</v>
      </c>
      <c r="E721" s="24" t="s">
        <v>159</v>
      </c>
      <c r="F721" s="25" t="s">
        <v>158</v>
      </c>
    </row>
    <row r="722" spans="1:6">
      <c r="A722" s="22">
        <v>47545</v>
      </c>
      <c r="B722" s="24" t="s">
        <v>2351</v>
      </c>
      <c r="C722" s="24" t="s">
        <v>456</v>
      </c>
      <c r="D722" s="24" t="s">
        <v>454</v>
      </c>
      <c r="E722" s="24" t="s">
        <v>159</v>
      </c>
      <c r="F722" s="25" t="s">
        <v>167</v>
      </c>
    </row>
    <row r="723" spans="1:6">
      <c r="A723" s="22">
        <v>47551</v>
      </c>
      <c r="B723" s="24" t="s">
        <v>2352</v>
      </c>
      <c r="C723" s="24" t="s">
        <v>456</v>
      </c>
      <c r="D723" s="24" t="s">
        <v>454</v>
      </c>
      <c r="E723" s="24" t="s">
        <v>159</v>
      </c>
      <c r="F723" s="25" t="s">
        <v>167</v>
      </c>
    </row>
    <row r="724" spans="1:6">
      <c r="A724" s="22">
        <v>47555</v>
      </c>
      <c r="B724" s="24" t="s">
        <v>2353</v>
      </c>
      <c r="C724" s="24" t="s">
        <v>456</v>
      </c>
      <c r="D724" s="24" t="s">
        <v>454</v>
      </c>
      <c r="E724" s="24" t="s">
        <v>159</v>
      </c>
      <c r="F724" s="25" t="s">
        <v>167</v>
      </c>
    </row>
    <row r="725" spans="1:6">
      <c r="A725" s="22">
        <v>47570</v>
      </c>
      <c r="B725" s="24" t="s">
        <v>2354</v>
      </c>
      <c r="C725" s="24" t="s">
        <v>456</v>
      </c>
      <c r="D725" s="24" t="s">
        <v>454</v>
      </c>
      <c r="E725" s="24" t="s">
        <v>159</v>
      </c>
      <c r="F725" s="25" t="s">
        <v>199</v>
      </c>
    </row>
    <row r="726" spans="1:6">
      <c r="A726" s="22">
        <v>47605</v>
      </c>
      <c r="B726" s="24" t="s">
        <v>2355</v>
      </c>
      <c r="C726" s="24" t="s">
        <v>456</v>
      </c>
      <c r="D726" s="24" t="s">
        <v>1089</v>
      </c>
      <c r="E726" s="24" t="s">
        <v>159</v>
      </c>
      <c r="F726" s="25" t="s">
        <v>158</v>
      </c>
    </row>
    <row r="727" spans="1:6">
      <c r="A727" s="22">
        <v>47660</v>
      </c>
      <c r="B727" s="24" t="s">
        <v>2356</v>
      </c>
      <c r="C727" s="24" t="s">
        <v>456</v>
      </c>
      <c r="D727" s="24" t="s">
        <v>454</v>
      </c>
      <c r="E727" s="24" t="s">
        <v>159</v>
      </c>
      <c r="F727" s="25" t="s">
        <v>167</v>
      </c>
    </row>
    <row r="728" spans="1:6">
      <c r="A728" s="22">
        <v>47692</v>
      </c>
      <c r="B728" s="24" t="s">
        <v>2357</v>
      </c>
      <c r="C728" s="24" t="s">
        <v>456</v>
      </c>
      <c r="D728" s="24" t="s">
        <v>454</v>
      </c>
      <c r="E728" s="24" t="s">
        <v>159</v>
      </c>
      <c r="F728" s="25" t="s">
        <v>167</v>
      </c>
    </row>
    <row r="729" spans="1:6">
      <c r="A729" s="22">
        <v>47703</v>
      </c>
      <c r="B729" s="24" t="s">
        <v>2358</v>
      </c>
      <c r="C729" s="24" t="s">
        <v>456</v>
      </c>
      <c r="D729" s="24" t="s">
        <v>454</v>
      </c>
      <c r="E729" s="24" t="s">
        <v>159</v>
      </c>
      <c r="F729" s="25" t="s">
        <v>167</v>
      </c>
    </row>
    <row r="730" spans="1:6">
      <c r="A730" s="22">
        <v>47707</v>
      </c>
      <c r="B730" s="24" t="s">
        <v>2359</v>
      </c>
      <c r="C730" s="24" t="s">
        <v>456</v>
      </c>
      <c r="D730" s="24" t="s">
        <v>454</v>
      </c>
      <c r="E730" s="24" t="s">
        <v>159</v>
      </c>
      <c r="F730" s="25" t="s">
        <v>167</v>
      </c>
    </row>
    <row r="731" spans="1:6">
      <c r="A731" s="22">
        <v>47720</v>
      </c>
      <c r="B731" s="24" t="s">
        <v>2360</v>
      </c>
      <c r="C731" s="24" t="s">
        <v>456</v>
      </c>
      <c r="D731" s="24" t="s">
        <v>454</v>
      </c>
      <c r="E731" s="24" t="s">
        <v>159</v>
      </c>
      <c r="F731" s="25" t="s">
        <v>167</v>
      </c>
    </row>
    <row r="732" spans="1:6">
      <c r="A732" s="22">
        <v>47001</v>
      </c>
      <c r="B732" s="24" t="s">
        <v>454</v>
      </c>
      <c r="C732" s="24" t="s">
        <v>456</v>
      </c>
      <c r="D732" s="24" t="s">
        <v>454</v>
      </c>
      <c r="E732" s="24" t="s">
        <v>159</v>
      </c>
      <c r="F732" s="25" t="s">
        <v>55</v>
      </c>
    </row>
    <row r="733" spans="1:6">
      <c r="A733" s="22">
        <v>47745</v>
      </c>
      <c r="B733" s="24" t="s">
        <v>2361</v>
      </c>
      <c r="C733" s="24" t="s">
        <v>456</v>
      </c>
      <c r="D733" s="24" t="s">
        <v>1089</v>
      </c>
      <c r="E733" s="24" t="s">
        <v>159</v>
      </c>
      <c r="F733" s="25" t="s">
        <v>199</v>
      </c>
    </row>
    <row r="734" spans="1:6">
      <c r="A734" s="22">
        <v>47798</v>
      </c>
      <c r="B734" s="24" t="s">
        <v>2362</v>
      </c>
      <c r="C734" s="24" t="s">
        <v>456</v>
      </c>
      <c r="D734" s="24" t="s">
        <v>454</v>
      </c>
      <c r="E734" s="24" t="s">
        <v>159</v>
      </c>
      <c r="F734" s="25" t="s">
        <v>167</v>
      </c>
    </row>
    <row r="735" spans="1:6">
      <c r="A735" s="22">
        <v>47960</v>
      </c>
      <c r="B735" s="24" t="s">
        <v>2363</v>
      </c>
      <c r="C735" s="24" t="s">
        <v>456</v>
      </c>
      <c r="D735" s="24" t="s">
        <v>1089</v>
      </c>
      <c r="E735" s="24" t="s">
        <v>148</v>
      </c>
      <c r="F735" s="25" t="s">
        <v>147</v>
      </c>
    </row>
    <row r="736" spans="1:6">
      <c r="A736" s="22">
        <v>47980</v>
      </c>
      <c r="B736" s="24" t="s">
        <v>2364</v>
      </c>
      <c r="C736" s="24" t="s">
        <v>456</v>
      </c>
      <c r="D736" s="24" t="s">
        <v>454</v>
      </c>
      <c r="E736" s="24" t="s">
        <v>159</v>
      </c>
      <c r="F736" s="25" t="s">
        <v>199</v>
      </c>
    </row>
    <row r="737" spans="1:6">
      <c r="A737" s="22">
        <v>50313</v>
      </c>
      <c r="B737" s="23" t="s">
        <v>1400</v>
      </c>
      <c r="C737" s="24" t="s">
        <v>212</v>
      </c>
      <c r="D737" s="24" t="s">
        <v>210</v>
      </c>
      <c r="E737" s="24" t="s">
        <v>159</v>
      </c>
      <c r="F737" s="25" t="s">
        <v>199</v>
      </c>
    </row>
    <row r="738" spans="1:6">
      <c r="A738" s="22">
        <v>50318</v>
      </c>
      <c r="B738" s="23" t="s">
        <v>1455</v>
      </c>
      <c r="C738" s="24" t="s">
        <v>212</v>
      </c>
      <c r="D738" s="24" t="s">
        <v>210</v>
      </c>
      <c r="E738" s="24" t="s">
        <v>159</v>
      </c>
      <c r="F738" s="25" t="s">
        <v>199</v>
      </c>
    </row>
    <row r="739" spans="1:6">
      <c r="A739" s="22">
        <v>50590</v>
      </c>
      <c r="B739" s="23" t="s">
        <v>2062</v>
      </c>
      <c r="C739" s="24" t="s">
        <v>212</v>
      </c>
      <c r="D739" s="24" t="s">
        <v>210</v>
      </c>
      <c r="E739" s="24" t="s">
        <v>159</v>
      </c>
      <c r="F739" s="25" t="s">
        <v>167</v>
      </c>
    </row>
    <row r="740" spans="1:6">
      <c r="A740" s="22">
        <v>50606</v>
      </c>
      <c r="B740" s="23" t="s">
        <v>2365</v>
      </c>
      <c r="C740" s="24" t="s">
        <v>212</v>
      </c>
      <c r="D740" s="24" t="s">
        <v>210</v>
      </c>
      <c r="E740" s="24" t="s">
        <v>159</v>
      </c>
      <c r="F740" s="25" t="s">
        <v>199</v>
      </c>
    </row>
    <row r="741" spans="1:6">
      <c r="A741" s="22">
        <v>50689</v>
      </c>
      <c r="B741" s="23" t="s">
        <v>2120</v>
      </c>
      <c r="C741" s="24" t="s">
        <v>212</v>
      </c>
      <c r="D741" s="24" t="s">
        <v>210</v>
      </c>
      <c r="E741" s="24" t="s">
        <v>159</v>
      </c>
      <c r="F741" s="25" t="s">
        <v>199</v>
      </c>
    </row>
    <row r="742" spans="1:6">
      <c r="A742" s="22">
        <v>50006</v>
      </c>
      <c r="B742" s="24" t="s">
        <v>2366</v>
      </c>
      <c r="C742" s="24" t="s">
        <v>212</v>
      </c>
      <c r="D742" s="24" t="s">
        <v>210</v>
      </c>
      <c r="E742" s="24" t="s">
        <v>159</v>
      </c>
      <c r="F742" s="25" t="s">
        <v>199</v>
      </c>
    </row>
    <row r="743" spans="1:6">
      <c r="A743" s="22">
        <v>50110</v>
      </c>
      <c r="B743" s="24" t="s">
        <v>2367</v>
      </c>
      <c r="C743" s="24" t="s">
        <v>212</v>
      </c>
      <c r="D743" s="24" t="s">
        <v>210</v>
      </c>
      <c r="E743" s="24" t="s">
        <v>159</v>
      </c>
      <c r="F743" s="25" t="s">
        <v>199</v>
      </c>
    </row>
    <row r="744" spans="1:6">
      <c r="A744" s="22">
        <v>50124</v>
      </c>
      <c r="B744" s="24" t="s">
        <v>2368</v>
      </c>
      <c r="C744" s="24" t="s">
        <v>212</v>
      </c>
      <c r="D744" s="24" t="s">
        <v>210</v>
      </c>
      <c r="E744" s="24" t="s">
        <v>159</v>
      </c>
      <c r="F744" s="25" t="s">
        <v>158</v>
      </c>
    </row>
    <row r="745" spans="1:6">
      <c r="A745" s="22">
        <v>50150</v>
      </c>
      <c r="B745" s="24" t="s">
        <v>2369</v>
      </c>
      <c r="C745" s="24" t="s">
        <v>212</v>
      </c>
      <c r="D745" s="24" t="s">
        <v>210</v>
      </c>
      <c r="E745" s="24" t="s">
        <v>159</v>
      </c>
      <c r="F745" s="25" t="s">
        <v>199</v>
      </c>
    </row>
    <row r="746" spans="1:6">
      <c r="A746" s="22">
        <v>50223</v>
      </c>
      <c r="B746" s="24" t="s">
        <v>2370</v>
      </c>
      <c r="C746" s="24" t="s">
        <v>212</v>
      </c>
      <c r="D746" s="24" t="s">
        <v>210</v>
      </c>
      <c r="E746" s="24" t="s">
        <v>159</v>
      </c>
      <c r="F746" s="25" t="s">
        <v>199</v>
      </c>
    </row>
    <row r="747" spans="1:6">
      <c r="A747" s="22">
        <v>50226</v>
      </c>
      <c r="B747" s="24" t="s">
        <v>2371</v>
      </c>
      <c r="C747" s="24" t="s">
        <v>212</v>
      </c>
      <c r="D747" s="24" t="s">
        <v>210</v>
      </c>
      <c r="E747" s="24" t="s">
        <v>159</v>
      </c>
      <c r="F747" s="25" t="s">
        <v>199</v>
      </c>
    </row>
    <row r="748" spans="1:6">
      <c r="A748" s="22">
        <v>50245</v>
      </c>
      <c r="B748" s="24" t="s">
        <v>2372</v>
      </c>
      <c r="C748" s="24" t="s">
        <v>212</v>
      </c>
      <c r="D748" s="24" t="s">
        <v>210</v>
      </c>
      <c r="E748" s="24" t="s">
        <v>159</v>
      </c>
      <c r="F748" s="25" t="s">
        <v>167</v>
      </c>
    </row>
    <row r="749" spans="1:6">
      <c r="A749" s="22">
        <v>50251</v>
      </c>
      <c r="B749" s="24" t="s">
        <v>2373</v>
      </c>
      <c r="C749" s="24" t="s">
        <v>212</v>
      </c>
      <c r="D749" s="24" t="s">
        <v>210</v>
      </c>
      <c r="E749" s="24" t="s">
        <v>159</v>
      </c>
      <c r="F749" s="25" t="s">
        <v>199</v>
      </c>
    </row>
    <row r="750" spans="1:6">
      <c r="A750" s="22">
        <v>50270</v>
      </c>
      <c r="B750" s="24" t="s">
        <v>2374</v>
      </c>
      <c r="C750" s="24" t="s">
        <v>212</v>
      </c>
      <c r="D750" s="24" t="s">
        <v>210</v>
      </c>
      <c r="E750" s="24" t="s">
        <v>159</v>
      </c>
      <c r="F750" s="25" t="s">
        <v>199</v>
      </c>
    </row>
    <row r="751" spans="1:6">
      <c r="A751" s="22">
        <v>50287</v>
      </c>
      <c r="B751" s="24" t="s">
        <v>2375</v>
      </c>
      <c r="C751" s="24" t="s">
        <v>212</v>
      </c>
      <c r="D751" s="24" t="s">
        <v>210</v>
      </c>
      <c r="E751" s="24" t="s">
        <v>159</v>
      </c>
      <c r="F751" s="25" t="s">
        <v>158</v>
      </c>
    </row>
    <row r="752" spans="1:6">
      <c r="A752" s="22">
        <v>50350</v>
      </c>
      <c r="B752" s="24" t="s">
        <v>213</v>
      </c>
      <c r="C752" s="24" t="s">
        <v>212</v>
      </c>
      <c r="D752" s="24" t="s">
        <v>210</v>
      </c>
      <c r="E752" s="24" t="s">
        <v>190</v>
      </c>
      <c r="F752" s="25" t="s">
        <v>147</v>
      </c>
    </row>
    <row r="753" spans="1:6">
      <c r="A753" s="22">
        <v>50400</v>
      </c>
      <c r="B753" s="24" t="s">
        <v>2376</v>
      </c>
      <c r="C753" s="24" t="s">
        <v>212</v>
      </c>
      <c r="D753" s="24" t="s">
        <v>210</v>
      </c>
      <c r="E753" s="24" t="s">
        <v>159</v>
      </c>
      <c r="F753" s="25" t="s">
        <v>158</v>
      </c>
    </row>
    <row r="754" spans="1:6">
      <c r="A754" s="22">
        <v>50325</v>
      </c>
      <c r="B754" s="24" t="s">
        <v>2377</v>
      </c>
      <c r="C754" s="24" t="s">
        <v>212</v>
      </c>
      <c r="D754" s="24" t="s">
        <v>210</v>
      </c>
      <c r="E754" s="24" t="s">
        <v>190</v>
      </c>
      <c r="F754" s="25" t="s">
        <v>147</v>
      </c>
    </row>
    <row r="755" spans="1:6">
      <c r="A755" s="22">
        <v>50330</v>
      </c>
      <c r="B755" s="24" t="s">
        <v>2378</v>
      </c>
      <c r="C755" s="24" t="s">
        <v>212</v>
      </c>
      <c r="D755" s="24" t="s">
        <v>210</v>
      </c>
      <c r="E755" s="24" t="s">
        <v>159</v>
      </c>
      <c r="F755" s="25" t="s">
        <v>158</v>
      </c>
    </row>
    <row r="756" spans="1:6">
      <c r="A756" s="22">
        <v>50450</v>
      </c>
      <c r="B756" s="24" t="s">
        <v>2379</v>
      </c>
      <c r="C756" s="24" t="s">
        <v>212</v>
      </c>
      <c r="D756" s="24" t="s">
        <v>210</v>
      </c>
      <c r="E756" s="24" t="s">
        <v>159</v>
      </c>
      <c r="F756" s="25" t="s">
        <v>167</v>
      </c>
    </row>
    <row r="757" spans="1:6">
      <c r="A757" s="22">
        <v>50568</v>
      </c>
      <c r="B757" s="24" t="s">
        <v>1459</v>
      </c>
      <c r="C757" s="24" t="s">
        <v>212</v>
      </c>
      <c r="D757" s="24" t="s">
        <v>210</v>
      </c>
      <c r="E757" s="24" t="s">
        <v>159</v>
      </c>
      <c r="F757" s="25" t="s">
        <v>158</v>
      </c>
    </row>
    <row r="758" spans="1:6">
      <c r="A758" s="22">
        <v>50577</v>
      </c>
      <c r="B758" s="24" t="s">
        <v>2380</v>
      </c>
      <c r="C758" s="24" t="s">
        <v>212</v>
      </c>
      <c r="D758" s="24" t="s">
        <v>210</v>
      </c>
      <c r="E758" s="24" t="s">
        <v>159</v>
      </c>
      <c r="F758" s="25" t="s">
        <v>158</v>
      </c>
    </row>
    <row r="759" spans="1:6">
      <c r="A759" s="22">
        <v>50573</v>
      </c>
      <c r="B759" s="24" t="s">
        <v>2381</v>
      </c>
      <c r="C759" s="24" t="s">
        <v>212</v>
      </c>
      <c r="D759" s="24" t="s">
        <v>210</v>
      </c>
      <c r="E759" s="24" t="s">
        <v>159</v>
      </c>
      <c r="F759" s="25" t="s">
        <v>199</v>
      </c>
    </row>
    <row r="760" spans="1:6">
      <c r="A760" s="22">
        <v>50680</v>
      </c>
      <c r="B760" s="24" t="s">
        <v>2382</v>
      </c>
      <c r="C760" s="24" t="s">
        <v>212</v>
      </c>
      <c r="D760" s="24" t="s">
        <v>210</v>
      </c>
      <c r="E760" s="24" t="s">
        <v>159</v>
      </c>
      <c r="F760" s="25" t="s">
        <v>199</v>
      </c>
    </row>
    <row r="761" spans="1:6">
      <c r="A761" s="22">
        <v>50683</v>
      </c>
      <c r="B761" s="24" t="s">
        <v>2383</v>
      </c>
      <c r="C761" s="24" t="s">
        <v>212</v>
      </c>
      <c r="D761" s="24" t="s">
        <v>210</v>
      </c>
      <c r="E761" s="24" t="s">
        <v>159</v>
      </c>
      <c r="F761" s="25" t="s">
        <v>158</v>
      </c>
    </row>
    <row r="762" spans="1:6">
      <c r="A762" s="22">
        <v>50686</v>
      </c>
      <c r="B762" s="24" t="s">
        <v>2384</v>
      </c>
      <c r="C762" s="24" t="s">
        <v>212</v>
      </c>
      <c r="D762" s="24" t="s">
        <v>210</v>
      </c>
      <c r="E762" s="24" t="s">
        <v>159</v>
      </c>
      <c r="F762" s="25" t="s">
        <v>167</v>
      </c>
    </row>
    <row r="763" spans="1:6">
      <c r="A763" s="22">
        <v>50370</v>
      </c>
      <c r="B763" s="24" t="s">
        <v>2385</v>
      </c>
      <c r="C763" s="24" t="s">
        <v>212</v>
      </c>
      <c r="D763" s="24" t="s">
        <v>210</v>
      </c>
      <c r="E763" s="24" t="s">
        <v>190</v>
      </c>
      <c r="F763" s="25" t="s">
        <v>147</v>
      </c>
    </row>
    <row r="764" spans="1:6">
      <c r="A764" s="22">
        <v>50001</v>
      </c>
      <c r="B764" s="24" t="s">
        <v>210</v>
      </c>
      <c r="C764" s="24" t="s">
        <v>212</v>
      </c>
      <c r="D764" s="24" t="s">
        <v>210</v>
      </c>
      <c r="E764" s="24" t="s">
        <v>159</v>
      </c>
      <c r="F764" s="25" t="s">
        <v>55</v>
      </c>
    </row>
    <row r="765" spans="1:6">
      <c r="A765" s="22">
        <v>50711</v>
      </c>
      <c r="B765" s="24" t="s">
        <v>2386</v>
      </c>
      <c r="C765" s="24" t="s">
        <v>212</v>
      </c>
      <c r="D765" s="24" t="s">
        <v>210</v>
      </c>
      <c r="E765" s="24" t="s">
        <v>159</v>
      </c>
      <c r="F765" s="25" t="s">
        <v>158</v>
      </c>
    </row>
    <row r="766" spans="1:6">
      <c r="A766" s="22">
        <v>52019</v>
      </c>
      <c r="B766" s="23" t="s">
        <v>2191</v>
      </c>
      <c r="C766" s="24" t="s">
        <v>137</v>
      </c>
      <c r="D766" s="24" t="s">
        <v>133</v>
      </c>
      <c r="E766" s="24" t="s">
        <v>159</v>
      </c>
      <c r="F766" s="25" t="s">
        <v>199</v>
      </c>
    </row>
    <row r="767" spans="1:6">
      <c r="A767" s="22">
        <v>52083</v>
      </c>
      <c r="B767" s="23" t="s">
        <v>1929</v>
      </c>
      <c r="C767" s="24" t="s">
        <v>137</v>
      </c>
      <c r="D767" s="24" t="s">
        <v>133</v>
      </c>
      <c r="E767" s="24" t="s">
        <v>159</v>
      </c>
      <c r="F767" s="25" t="s">
        <v>158</v>
      </c>
    </row>
    <row r="768" spans="1:6">
      <c r="A768" s="22">
        <v>52203</v>
      </c>
      <c r="B768" s="23" t="s">
        <v>2387</v>
      </c>
      <c r="C768" s="24" t="s">
        <v>137</v>
      </c>
      <c r="D768" s="24" t="s">
        <v>133</v>
      </c>
      <c r="E768" s="24" t="s">
        <v>159</v>
      </c>
      <c r="F768" s="25" t="s">
        <v>167</v>
      </c>
    </row>
    <row r="769" spans="1:6">
      <c r="A769" s="22">
        <v>52215</v>
      </c>
      <c r="B769" s="23" t="s">
        <v>178</v>
      </c>
      <c r="C769" s="24" t="s">
        <v>137</v>
      </c>
      <c r="D769" s="24" t="s">
        <v>133</v>
      </c>
      <c r="E769" s="24" t="s">
        <v>159</v>
      </c>
      <c r="F769" s="25" t="s">
        <v>199</v>
      </c>
    </row>
    <row r="770" spans="1:6">
      <c r="A770" s="22">
        <v>52260</v>
      </c>
      <c r="B770" s="23" t="s">
        <v>153</v>
      </c>
      <c r="C770" s="24" t="s">
        <v>137</v>
      </c>
      <c r="D770" s="24" t="s">
        <v>133</v>
      </c>
      <c r="E770" s="24" t="s">
        <v>159</v>
      </c>
      <c r="F770" s="25" t="s">
        <v>199</v>
      </c>
    </row>
    <row r="771" spans="1:6">
      <c r="A771" s="22">
        <v>52399</v>
      </c>
      <c r="B771" s="23" t="s">
        <v>304</v>
      </c>
      <c r="C771" s="24" t="s">
        <v>137</v>
      </c>
      <c r="D771" s="24" t="s">
        <v>133</v>
      </c>
      <c r="E771" s="24" t="s">
        <v>159</v>
      </c>
      <c r="F771" s="25" t="s">
        <v>158</v>
      </c>
    </row>
    <row r="772" spans="1:6">
      <c r="A772" s="22">
        <v>52473</v>
      </c>
      <c r="B772" s="23" t="s">
        <v>730</v>
      </c>
      <c r="C772" s="24" t="s">
        <v>137</v>
      </c>
      <c r="D772" s="24" t="s">
        <v>133</v>
      </c>
      <c r="E772" s="24" t="s">
        <v>159</v>
      </c>
      <c r="F772" s="25" t="s">
        <v>167</v>
      </c>
    </row>
    <row r="773" spans="1:6">
      <c r="A773" s="22">
        <v>52480</v>
      </c>
      <c r="B773" s="23" t="s">
        <v>137</v>
      </c>
      <c r="C773" s="24" t="s">
        <v>137</v>
      </c>
      <c r="D773" s="24" t="s">
        <v>133</v>
      </c>
      <c r="E773" s="24" t="s">
        <v>159</v>
      </c>
      <c r="F773" s="25" t="s">
        <v>199</v>
      </c>
    </row>
    <row r="774" spans="1:6">
      <c r="A774" s="22">
        <v>52565</v>
      </c>
      <c r="B774" s="23" t="s">
        <v>2388</v>
      </c>
      <c r="C774" s="24" t="s">
        <v>137</v>
      </c>
      <c r="D774" s="24" t="s">
        <v>133</v>
      </c>
      <c r="E774" s="24" t="s">
        <v>159</v>
      </c>
      <c r="F774" s="25" t="s">
        <v>158</v>
      </c>
    </row>
    <row r="775" spans="1:6">
      <c r="A775" s="22">
        <v>52612</v>
      </c>
      <c r="B775" s="23" t="s">
        <v>2193</v>
      </c>
      <c r="C775" s="24" t="s">
        <v>137</v>
      </c>
      <c r="D775" s="24" t="s">
        <v>133</v>
      </c>
      <c r="E775" s="24" t="s">
        <v>159</v>
      </c>
      <c r="F775" s="25" t="s">
        <v>158</v>
      </c>
    </row>
    <row r="776" spans="1:6">
      <c r="A776" s="22">
        <v>52685</v>
      </c>
      <c r="B776" s="23" t="s">
        <v>2194</v>
      </c>
      <c r="C776" s="24" t="s">
        <v>137</v>
      </c>
      <c r="D776" s="24" t="s">
        <v>133</v>
      </c>
      <c r="E776" s="24" t="s">
        <v>159</v>
      </c>
      <c r="F776" s="25" t="s">
        <v>199</v>
      </c>
    </row>
    <row r="777" spans="1:6">
      <c r="A777" s="22">
        <v>52693</v>
      </c>
      <c r="B777" s="23" t="s">
        <v>853</v>
      </c>
      <c r="C777" s="24" t="s">
        <v>137</v>
      </c>
      <c r="D777" s="24" t="s">
        <v>133</v>
      </c>
      <c r="E777" s="24" t="s">
        <v>159</v>
      </c>
      <c r="F777" s="25" t="s">
        <v>167</v>
      </c>
    </row>
    <row r="778" spans="1:6">
      <c r="A778" s="22">
        <v>52696</v>
      </c>
      <c r="B778" s="23" t="s">
        <v>1778</v>
      </c>
      <c r="C778" s="24" t="s">
        <v>137</v>
      </c>
      <c r="D778" s="24" t="s">
        <v>133</v>
      </c>
      <c r="E778" s="24" t="s">
        <v>857</v>
      </c>
      <c r="F778" s="25" t="s">
        <v>147</v>
      </c>
    </row>
    <row r="779" spans="1:6">
      <c r="A779" s="22">
        <v>52022</v>
      </c>
      <c r="B779" s="24" t="s">
        <v>2389</v>
      </c>
      <c r="C779" s="24" t="s">
        <v>137</v>
      </c>
      <c r="D779" s="24" t="s">
        <v>133</v>
      </c>
      <c r="E779" s="24" t="s">
        <v>159</v>
      </c>
      <c r="F779" s="25" t="s">
        <v>199</v>
      </c>
    </row>
    <row r="780" spans="1:6">
      <c r="A780" s="22">
        <v>52036</v>
      </c>
      <c r="B780" s="24" t="s">
        <v>2390</v>
      </c>
      <c r="C780" s="24" t="s">
        <v>137</v>
      </c>
      <c r="D780" s="24" t="s">
        <v>133</v>
      </c>
      <c r="E780" s="24" t="s">
        <v>159</v>
      </c>
      <c r="F780" s="25" t="s">
        <v>199</v>
      </c>
    </row>
    <row r="781" spans="1:6">
      <c r="A781" s="22">
        <v>52051</v>
      </c>
      <c r="B781" s="24" t="s">
        <v>2391</v>
      </c>
      <c r="C781" s="24" t="s">
        <v>137</v>
      </c>
      <c r="D781" s="24" t="s">
        <v>133</v>
      </c>
      <c r="E781" s="24" t="s">
        <v>159</v>
      </c>
      <c r="F781" s="25" t="s">
        <v>199</v>
      </c>
    </row>
    <row r="782" spans="1:6">
      <c r="A782" s="22">
        <v>52079</v>
      </c>
      <c r="B782" s="24" t="s">
        <v>162</v>
      </c>
      <c r="C782" s="24" t="s">
        <v>137</v>
      </c>
      <c r="D782" s="24" t="s">
        <v>133</v>
      </c>
      <c r="E782" s="24" t="s">
        <v>159</v>
      </c>
      <c r="F782" s="25" t="s">
        <v>167</v>
      </c>
    </row>
    <row r="783" spans="1:6">
      <c r="A783" s="22">
        <v>52110</v>
      </c>
      <c r="B783" s="24" t="s">
        <v>1161</v>
      </c>
      <c r="C783" s="24" t="s">
        <v>137</v>
      </c>
      <c r="D783" s="24" t="s">
        <v>133</v>
      </c>
      <c r="E783" s="24" t="s">
        <v>159</v>
      </c>
      <c r="F783" s="25" t="s">
        <v>199</v>
      </c>
    </row>
    <row r="784" spans="1:6">
      <c r="A784" s="22">
        <v>52240</v>
      </c>
      <c r="B784" s="24" t="s">
        <v>1581</v>
      </c>
      <c r="C784" s="24" t="s">
        <v>137</v>
      </c>
      <c r="D784" s="24" t="s">
        <v>133</v>
      </c>
      <c r="E784" s="24" t="s">
        <v>159</v>
      </c>
      <c r="F784" s="25" t="s">
        <v>199</v>
      </c>
    </row>
    <row r="785" spans="1:6">
      <c r="A785" s="22">
        <v>52207</v>
      </c>
      <c r="B785" s="24" t="s">
        <v>2392</v>
      </c>
      <c r="C785" s="24" t="s">
        <v>137</v>
      </c>
      <c r="D785" s="24" t="s">
        <v>133</v>
      </c>
      <c r="E785" s="24" t="s">
        <v>159</v>
      </c>
      <c r="F785" s="25" t="s">
        <v>199</v>
      </c>
    </row>
    <row r="786" spans="1:6">
      <c r="A786" s="22">
        <v>52210</v>
      </c>
      <c r="B786" s="24" t="s">
        <v>2393</v>
      </c>
      <c r="C786" s="24" t="s">
        <v>137</v>
      </c>
      <c r="D786" s="24" t="s">
        <v>133</v>
      </c>
      <c r="E786" s="24" t="s">
        <v>159</v>
      </c>
      <c r="F786" s="25" t="s">
        <v>199</v>
      </c>
    </row>
    <row r="787" spans="1:6">
      <c r="A787" s="22">
        <v>52224</v>
      </c>
      <c r="B787" s="24" t="s">
        <v>2394</v>
      </c>
      <c r="C787" s="24" t="s">
        <v>137</v>
      </c>
      <c r="D787" s="24" t="s">
        <v>133</v>
      </c>
      <c r="E787" s="24" t="s">
        <v>159</v>
      </c>
      <c r="F787" s="25" t="s">
        <v>199</v>
      </c>
    </row>
    <row r="788" spans="1:6">
      <c r="A788" s="22">
        <v>52227</v>
      </c>
      <c r="B788" s="24" t="s">
        <v>2395</v>
      </c>
      <c r="C788" s="24" t="s">
        <v>137</v>
      </c>
      <c r="D788" s="24" t="s">
        <v>133</v>
      </c>
      <c r="E788" s="24" t="s">
        <v>159</v>
      </c>
      <c r="F788" s="25" t="s">
        <v>158</v>
      </c>
    </row>
    <row r="789" spans="1:6">
      <c r="A789" s="22">
        <v>52233</v>
      </c>
      <c r="B789" s="24" t="s">
        <v>2396</v>
      </c>
      <c r="C789" s="24" t="s">
        <v>137</v>
      </c>
      <c r="D789" s="24" t="s">
        <v>133</v>
      </c>
      <c r="E789" s="24" t="s">
        <v>159</v>
      </c>
      <c r="F789" s="25" t="s">
        <v>199</v>
      </c>
    </row>
    <row r="790" spans="1:6">
      <c r="A790" s="22">
        <v>52250</v>
      </c>
      <c r="B790" s="24" t="s">
        <v>2397</v>
      </c>
      <c r="C790" s="24" t="s">
        <v>137</v>
      </c>
      <c r="D790" s="24" t="s">
        <v>133</v>
      </c>
      <c r="E790" s="24" t="s">
        <v>148</v>
      </c>
      <c r="F790" s="25" t="s">
        <v>147</v>
      </c>
    </row>
    <row r="791" spans="1:6">
      <c r="A791" s="22">
        <v>52254</v>
      </c>
      <c r="B791" s="24" t="s">
        <v>2398</v>
      </c>
      <c r="C791" s="24" t="s">
        <v>137</v>
      </c>
      <c r="D791" s="24" t="s">
        <v>133</v>
      </c>
      <c r="E791" s="24" t="s">
        <v>159</v>
      </c>
      <c r="F791" s="25" t="s">
        <v>199</v>
      </c>
    </row>
    <row r="792" spans="1:6">
      <c r="A792" s="22">
        <v>52256</v>
      </c>
      <c r="B792" s="24" t="s">
        <v>2399</v>
      </c>
      <c r="C792" s="24" t="s">
        <v>137</v>
      </c>
      <c r="D792" s="24" t="s">
        <v>133</v>
      </c>
      <c r="E792" s="24" t="s">
        <v>159</v>
      </c>
      <c r="F792" s="25" t="s">
        <v>199</v>
      </c>
    </row>
    <row r="793" spans="1:6">
      <c r="A793" s="22">
        <v>52258</v>
      </c>
      <c r="B793" s="24" t="s">
        <v>2400</v>
      </c>
      <c r="C793" s="24" t="s">
        <v>137</v>
      </c>
      <c r="D793" s="24" t="s">
        <v>133</v>
      </c>
      <c r="E793" s="24" t="s">
        <v>159</v>
      </c>
      <c r="F793" s="25" t="s">
        <v>199</v>
      </c>
    </row>
    <row r="794" spans="1:6">
      <c r="A794" s="22">
        <v>52520</v>
      </c>
      <c r="B794" s="24" t="s">
        <v>2401</v>
      </c>
      <c r="C794" s="24" t="s">
        <v>137</v>
      </c>
      <c r="D794" s="24" t="s">
        <v>133</v>
      </c>
      <c r="E794" s="24" t="s">
        <v>148</v>
      </c>
      <c r="F794" s="25" t="s">
        <v>147</v>
      </c>
    </row>
    <row r="795" spans="1:6">
      <c r="A795" s="22">
        <v>52287</v>
      </c>
      <c r="B795" s="24" t="s">
        <v>2402</v>
      </c>
      <c r="C795" s="24" t="s">
        <v>137</v>
      </c>
      <c r="D795" s="24" t="s">
        <v>133</v>
      </c>
      <c r="E795" s="24" t="s">
        <v>159</v>
      </c>
      <c r="F795" s="25" t="s">
        <v>199</v>
      </c>
    </row>
    <row r="796" spans="1:6">
      <c r="A796" s="22">
        <v>52317</v>
      </c>
      <c r="B796" s="24" t="s">
        <v>2403</v>
      </c>
      <c r="C796" s="24" t="s">
        <v>137</v>
      </c>
      <c r="D796" s="24" t="s">
        <v>133</v>
      </c>
      <c r="E796" s="24" t="s">
        <v>159</v>
      </c>
      <c r="F796" s="25" t="s">
        <v>199</v>
      </c>
    </row>
    <row r="797" spans="1:6">
      <c r="A797" s="22">
        <v>52320</v>
      </c>
      <c r="B797" s="24" t="s">
        <v>2404</v>
      </c>
      <c r="C797" s="24" t="s">
        <v>137</v>
      </c>
      <c r="D797" s="24" t="s">
        <v>133</v>
      </c>
      <c r="E797" s="24" t="s">
        <v>159</v>
      </c>
      <c r="F797" s="25" t="s">
        <v>199</v>
      </c>
    </row>
    <row r="798" spans="1:6">
      <c r="A798" s="22">
        <v>52323</v>
      </c>
      <c r="B798" s="24" t="s">
        <v>2405</v>
      </c>
      <c r="C798" s="24" t="s">
        <v>137</v>
      </c>
      <c r="D798" s="24" t="s">
        <v>133</v>
      </c>
      <c r="E798" s="24" t="s">
        <v>159</v>
      </c>
      <c r="F798" s="25" t="s">
        <v>199</v>
      </c>
    </row>
    <row r="799" spans="1:6">
      <c r="A799" s="22">
        <v>52352</v>
      </c>
      <c r="B799" s="24" t="s">
        <v>2406</v>
      </c>
      <c r="C799" s="24" t="s">
        <v>137</v>
      </c>
      <c r="D799" s="24" t="s">
        <v>133</v>
      </c>
      <c r="E799" s="24" t="s">
        <v>159</v>
      </c>
      <c r="F799" s="25" t="s">
        <v>199</v>
      </c>
    </row>
    <row r="800" spans="1:6">
      <c r="A800" s="22">
        <v>52354</v>
      </c>
      <c r="B800" s="24" t="s">
        <v>2407</v>
      </c>
      <c r="C800" s="24" t="s">
        <v>137</v>
      </c>
      <c r="D800" s="24" t="s">
        <v>133</v>
      </c>
      <c r="E800" s="24" t="s">
        <v>159</v>
      </c>
      <c r="F800" s="25" t="s">
        <v>199</v>
      </c>
    </row>
    <row r="801" spans="1:6">
      <c r="A801" s="22">
        <v>52356</v>
      </c>
      <c r="B801" s="24" t="s">
        <v>886</v>
      </c>
      <c r="C801" s="24" t="s">
        <v>137</v>
      </c>
      <c r="D801" s="24" t="s">
        <v>133</v>
      </c>
      <c r="E801" s="24" t="s">
        <v>159</v>
      </c>
      <c r="F801" s="25" t="s">
        <v>199</v>
      </c>
    </row>
    <row r="802" spans="1:6">
      <c r="A802" s="22">
        <v>52378</v>
      </c>
      <c r="B802" s="24" t="s">
        <v>2408</v>
      </c>
      <c r="C802" s="24" t="s">
        <v>137</v>
      </c>
      <c r="D802" s="24" t="s">
        <v>133</v>
      </c>
      <c r="E802" s="24" t="s">
        <v>159</v>
      </c>
      <c r="F802" s="25" t="s">
        <v>158</v>
      </c>
    </row>
    <row r="803" spans="1:6">
      <c r="A803" s="22">
        <v>52381</v>
      </c>
      <c r="B803" s="24" t="s">
        <v>2409</v>
      </c>
      <c r="C803" s="24" t="s">
        <v>137</v>
      </c>
      <c r="D803" s="24" t="s">
        <v>133</v>
      </c>
      <c r="E803" s="24" t="s">
        <v>159</v>
      </c>
      <c r="F803" s="25" t="s">
        <v>199</v>
      </c>
    </row>
    <row r="804" spans="1:6">
      <c r="A804" s="22">
        <v>52385</v>
      </c>
      <c r="B804" s="24" t="s">
        <v>467</v>
      </c>
      <c r="C804" s="24" t="s">
        <v>137</v>
      </c>
      <c r="D804" s="24" t="s">
        <v>133</v>
      </c>
      <c r="E804" s="24" t="s">
        <v>159</v>
      </c>
      <c r="F804" s="25" t="s">
        <v>167</v>
      </c>
    </row>
    <row r="805" spans="1:6">
      <c r="A805" s="22">
        <v>52390</v>
      </c>
      <c r="B805" s="24" t="s">
        <v>2410</v>
      </c>
      <c r="C805" s="24" t="s">
        <v>137</v>
      </c>
      <c r="D805" s="24" t="s">
        <v>133</v>
      </c>
      <c r="E805" s="24" t="s">
        <v>148</v>
      </c>
      <c r="F805" s="25" t="s">
        <v>147</v>
      </c>
    </row>
    <row r="806" spans="1:6">
      <c r="A806" s="22">
        <v>52405</v>
      </c>
      <c r="B806" s="24" t="s">
        <v>2411</v>
      </c>
      <c r="C806" s="24" t="s">
        <v>137</v>
      </c>
      <c r="D806" s="24" t="s">
        <v>133</v>
      </c>
      <c r="E806" s="24" t="s">
        <v>159</v>
      </c>
      <c r="F806" s="25" t="s">
        <v>158</v>
      </c>
    </row>
    <row r="807" spans="1:6">
      <c r="A807" s="22">
        <v>52411</v>
      </c>
      <c r="B807" s="24" t="s">
        <v>2412</v>
      </c>
      <c r="C807" s="24" t="s">
        <v>137</v>
      </c>
      <c r="D807" s="24" t="s">
        <v>133</v>
      </c>
      <c r="E807" s="24" t="s">
        <v>159</v>
      </c>
      <c r="F807" s="25" t="s">
        <v>158</v>
      </c>
    </row>
    <row r="808" spans="1:6">
      <c r="A808" s="22">
        <v>52418</v>
      </c>
      <c r="B808" s="24" t="s">
        <v>2413</v>
      </c>
      <c r="C808" s="24" t="s">
        <v>137</v>
      </c>
      <c r="D808" s="24" t="s">
        <v>133</v>
      </c>
      <c r="E808" s="24" t="s">
        <v>159</v>
      </c>
      <c r="F808" s="25" t="s">
        <v>158</v>
      </c>
    </row>
    <row r="809" spans="1:6">
      <c r="A809" s="22">
        <v>52427</v>
      </c>
      <c r="B809" s="24" t="s">
        <v>2414</v>
      </c>
      <c r="C809" s="24" t="s">
        <v>137</v>
      </c>
      <c r="D809" s="24" t="s">
        <v>133</v>
      </c>
      <c r="E809" s="24" t="s">
        <v>148</v>
      </c>
      <c r="F809" s="25" t="s">
        <v>147</v>
      </c>
    </row>
    <row r="810" spans="1:6">
      <c r="A810" s="22">
        <v>52435</v>
      </c>
      <c r="B810" s="24" t="s">
        <v>2415</v>
      </c>
      <c r="C810" s="24" t="s">
        <v>137</v>
      </c>
      <c r="D810" s="24" t="s">
        <v>133</v>
      </c>
      <c r="E810" s="24" t="s">
        <v>159</v>
      </c>
      <c r="F810" s="25" t="s">
        <v>158</v>
      </c>
    </row>
    <row r="811" spans="1:6">
      <c r="A811" s="22">
        <v>52490</v>
      </c>
      <c r="B811" s="24" t="s">
        <v>2416</v>
      </c>
      <c r="C811" s="24" t="s">
        <v>137</v>
      </c>
      <c r="D811" s="24" t="s">
        <v>133</v>
      </c>
      <c r="E811" s="24" t="s">
        <v>148</v>
      </c>
      <c r="F811" s="25" t="s">
        <v>147</v>
      </c>
    </row>
    <row r="812" spans="1:6">
      <c r="A812" s="22">
        <v>52506</v>
      </c>
      <c r="B812" s="24" t="s">
        <v>2417</v>
      </c>
      <c r="C812" s="24" t="s">
        <v>137</v>
      </c>
      <c r="D812" s="24" t="s">
        <v>133</v>
      </c>
      <c r="E812" s="24" t="s">
        <v>159</v>
      </c>
      <c r="F812" s="25" t="s">
        <v>199</v>
      </c>
    </row>
    <row r="813" spans="1:6">
      <c r="A813" s="22">
        <v>52001</v>
      </c>
      <c r="B813" s="24" t="s">
        <v>133</v>
      </c>
      <c r="C813" s="24" t="s">
        <v>137</v>
      </c>
      <c r="D813" s="24" t="s">
        <v>133</v>
      </c>
      <c r="E813" s="24" t="s">
        <v>159</v>
      </c>
      <c r="F813" s="25" t="s">
        <v>55</v>
      </c>
    </row>
    <row r="814" spans="1:6">
      <c r="A814" s="22">
        <v>52540</v>
      </c>
      <c r="B814" s="24" t="s">
        <v>1430</v>
      </c>
      <c r="C814" s="24" t="s">
        <v>137</v>
      </c>
      <c r="D814" s="24" t="s">
        <v>133</v>
      </c>
      <c r="E814" s="24" t="s">
        <v>159</v>
      </c>
      <c r="F814" s="25" t="s">
        <v>167</v>
      </c>
    </row>
    <row r="815" spans="1:6">
      <c r="A815" s="22">
        <v>52560</v>
      </c>
      <c r="B815" s="24" t="s">
        <v>2418</v>
      </c>
      <c r="C815" s="24" t="s">
        <v>137</v>
      </c>
      <c r="D815" s="24" t="s">
        <v>133</v>
      </c>
      <c r="E815" s="24" t="s">
        <v>159</v>
      </c>
      <c r="F815" s="25" t="s">
        <v>199</v>
      </c>
    </row>
    <row r="816" spans="1:6">
      <c r="A816" s="22">
        <v>52573</v>
      </c>
      <c r="B816" s="24" t="s">
        <v>2419</v>
      </c>
      <c r="C816" s="24" t="s">
        <v>137</v>
      </c>
      <c r="D816" s="24" t="s">
        <v>133</v>
      </c>
      <c r="E816" s="24" t="s">
        <v>159</v>
      </c>
      <c r="F816" s="25" t="s">
        <v>199</v>
      </c>
    </row>
    <row r="817" spans="1:6">
      <c r="A817" s="22">
        <v>52585</v>
      </c>
      <c r="B817" s="24" t="s">
        <v>2420</v>
      </c>
      <c r="C817" s="24" t="s">
        <v>137</v>
      </c>
      <c r="D817" s="24" t="s">
        <v>133</v>
      </c>
      <c r="E817" s="24" t="s">
        <v>159</v>
      </c>
      <c r="F817" s="25" t="s">
        <v>199</v>
      </c>
    </row>
    <row r="818" spans="1:6">
      <c r="A818" s="22">
        <v>52621</v>
      </c>
      <c r="B818" s="24" t="s">
        <v>138</v>
      </c>
      <c r="C818" s="24" t="s">
        <v>137</v>
      </c>
      <c r="D818" s="24" t="s">
        <v>133</v>
      </c>
      <c r="E818" s="24" t="s">
        <v>148</v>
      </c>
      <c r="F818" s="25" t="s">
        <v>147</v>
      </c>
    </row>
    <row r="819" spans="1:6">
      <c r="A819" s="22">
        <v>52678</v>
      </c>
      <c r="B819" s="24" t="s">
        <v>892</v>
      </c>
      <c r="C819" s="24" t="s">
        <v>137</v>
      </c>
      <c r="D819" s="24" t="s">
        <v>133</v>
      </c>
      <c r="E819" s="24" t="s">
        <v>159</v>
      </c>
      <c r="F819" s="25" t="s">
        <v>158</v>
      </c>
    </row>
    <row r="820" spans="1:6">
      <c r="A820" s="22">
        <v>52835</v>
      </c>
      <c r="B820" s="24" t="s">
        <v>1743</v>
      </c>
      <c r="C820" s="24" t="s">
        <v>137</v>
      </c>
      <c r="D820" s="24" t="s">
        <v>133</v>
      </c>
      <c r="E820" s="24" t="s">
        <v>159</v>
      </c>
      <c r="F820" s="25" t="s">
        <v>167</v>
      </c>
    </row>
    <row r="821" spans="1:6">
      <c r="A821" s="22">
        <v>52687</v>
      </c>
      <c r="B821" s="24" t="s">
        <v>193</v>
      </c>
      <c r="C821" s="24" t="s">
        <v>137</v>
      </c>
      <c r="D821" s="24" t="s">
        <v>133</v>
      </c>
      <c r="E821" s="24" t="s">
        <v>159</v>
      </c>
      <c r="F821" s="25" t="s">
        <v>199</v>
      </c>
    </row>
    <row r="822" spans="1:6">
      <c r="A822" s="22">
        <v>52694</v>
      </c>
      <c r="B822" s="24" t="s">
        <v>2421</v>
      </c>
      <c r="C822" s="24" t="s">
        <v>137</v>
      </c>
      <c r="D822" s="24" t="s">
        <v>133</v>
      </c>
      <c r="E822" s="24" t="s">
        <v>159</v>
      </c>
      <c r="F822" s="25" t="s">
        <v>199</v>
      </c>
    </row>
    <row r="823" spans="1:6">
      <c r="A823" s="22">
        <v>52683</v>
      </c>
      <c r="B823" s="24" t="s">
        <v>898</v>
      </c>
      <c r="C823" s="24" t="s">
        <v>137</v>
      </c>
      <c r="D823" s="24" t="s">
        <v>133</v>
      </c>
      <c r="E823" s="24" t="s">
        <v>159</v>
      </c>
      <c r="F823" s="25" t="s">
        <v>199</v>
      </c>
    </row>
    <row r="824" spans="1:6">
      <c r="A824" s="22">
        <v>52699</v>
      </c>
      <c r="B824" s="24" t="s">
        <v>2422</v>
      </c>
      <c r="C824" s="24" t="s">
        <v>137</v>
      </c>
      <c r="D824" s="24" t="s">
        <v>133</v>
      </c>
      <c r="E824" s="24" t="s">
        <v>159</v>
      </c>
      <c r="F824" s="25" t="s">
        <v>167</v>
      </c>
    </row>
    <row r="825" spans="1:6">
      <c r="A825" s="22">
        <v>52720</v>
      </c>
      <c r="B825" s="24" t="s">
        <v>2423</v>
      </c>
      <c r="C825" s="24" t="s">
        <v>137</v>
      </c>
      <c r="D825" s="24" t="s">
        <v>133</v>
      </c>
      <c r="E825" s="24" t="s">
        <v>159</v>
      </c>
      <c r="F825" s="25" t="s">
        <v>199</v>
      </c>
    </row>
    <row r="826" spans="1:6">
      <c r="A826" s="22">
        <v>52786</v>
      </c>
      <c r="B826" s="24" t="s">
        <v>2424</v>
      </c>
      <c r="C826" s="24" t="s">
        <v>137</v>
      </c>
      <c r="D826" s="24" t="s">
        <v>133</v>
      </c>
      <c r="E826" s="24" t="s">
        <v>159</v>
      </c>
      <c r="F826" s="25" t="s">
        <v>199</v>
      </c>
    </row>
    <row r="827" spans="1:6">
      <c r="A827" s="22">
        <v>52788</v>
      </c>
      <c r="B827" s="24" t="s">
        <v>2425</v>
      </c>
      <c r="C827" s="24" t="s">
        <v>137</v>
      </c>
      <c r="D827" s="24" t="s">
        <v>133</v>
      </c>
      <c r="E827" s="24" t="s">
        <v>159</v>
      </c>
      <c r="F827" s="25" t="s">
        <v>199</v>
      </c>
    </row>
    <row r="828" spans="1:6">
      <c r="A828" s="22">
        <v>52838</v>
      </c>
      <c r="B828" s="24" t="s">
        <v>472</v>
      </c>
      <c r="C828" s="24" t="s">
        <v>137</v>
      </c>
      <c r="D828" s="24" t="s">
        <v>133</v>
      </c>
      <c r="E828" s="24" t="s">
        <v>159</v>
      </c>
      <c r="F828" s="25" t="s">
        <v>199</v>
      </c>
    </row>
    <row r="829" spans="1:6">
      <c r="A829" s="22">
        <v>52885</v>
      </c>
      <c r="B829" s="24" t="s">
        <v>2426</v>
      </c>
      <c r="C829" s="24" t="s">
        <v>137</v>
      </c>
      <c r="D829" s="24" t="s">
        <v>133</v>
      </c>
      <c r="E829" s="24" t="s">
        <v>159</v>
      </c>
      <c r="F829" s="25" t="s">
        <v>199</v>
      </c>
    </row>
    <row r="830" spans="1:6">
      <c r="A830" s="22">
        <v>54553</v>
      </c>
      <c r="B830" s="23" t="s">
        <v>1756</v>
      </c>
      <c r="C830" s="24" t="s">
        <v>311</v>
      </c>
      <c r="D830" s="24" t="s">
        <v>309</v>
      </c>
      <c r="E830" s="24" t="s">
        <v>159</v>
      </c>
      <c r="F830" s="25" t="s">
        <v>199</v>
      </c>
    </row>
    <row r="831" spans="1:6">
      <c r="A831" s="22">
        <v>54673</v>
      </c>
      <c r="B831" s="23" t="s">
        <v>2195</v>
      </c>
      <c r="C831" s="24" t="s">
        <v>311</v>
      </c>
      <c r="D831" s="24" t="s">
        <v>309</v>
      </c>
      <c r="E831" s="24" t="s">
        <v>159</v>
      </c>
      <c r="F831" s="25" t="s">
        <v>199</v>
      </c>
    </row>
    <row r="832" spans="1:6">
      <c r="A832" s="22">
        <v>54680</v>
      </c>
      <c r="B832" s="23" t="s">
        <v>2427</v>
      </c>
      <c r="C832" s="24" t="s">
        <v>311</v>
      </c>
      <c r="D832" s="24" t="s">
        <v>309</v>
      </c>
      <c r="E832" s="24" t="s">
        <v>159</v>
      </c>
      <c r="F832" s="25" t="s">
        <v>199</v>
      </c>
    </row>
    <row r="833" spans="1:6">
      <c r="A833" s="22">
        <v>54820</v>
      </c>
      <c r="B833" s="23" t="s">
        <v>1779</v>
      </c>
      <c r="C833" s="24" t="s">
        <v>311</v>
      </c>
      <c r="D833" s="24" t="s">
        <v>309</v>
      </c>
      <c r="E833" s="24" t="s">
        <v>159</v>
      </c>
      <c r="F833" s="25" t="s">
        <v>167</v>
      </c>
    </row>
    <row r="834" spans="1:6">
      <c r="A834" s="22">
        <v>54003</v>
      </c>
      <c r="B834" s="24" t="s">
        <v>2428</v>
      </c>
      <c r="C834" s="24" t="s">
        <v>311</v>
      </c>
      <c r="D834" s="24" t="s">
        <v>309</v>
      </c>
      <c r="E834" s="24" t="s">
        <v>159</v>
      </c>
      <c r="F834" s="25" t="s">
        <v>158</v>
      </c>
    </row>
    <row r="835" spans="1:6">
      <c r="A835" s="22">
        <v>54051</v>
      </c>
      <c r="B835" s="24" t="s">
        <v>2429</v>
      </c>
      <c r="C835" s="24" t="s">
        <v>311</v>
      </c>
      <c r="D835" s="24" t="s">
        <v>309</v>
      </c>
      <c r="E835" s="24" t="s">
        <v>159</v>
      </c>
      <c r="F835" s="25" t="s">
        <v>167</v>
      </c>
    </row>
    <row r="836" spans="1:6">
      <c r="A836" s="22">
        <v>54099</v>
      </c>
      <c r="B836" s="24" t="s">
        <v>490</v>
      </c>
      <c r="C836" s="24" t="s">
        <v>311</v>
      </c>
      <c r="D836" s="24" t="s">
        <v>309</v>
      </c>
      <c r="E836" s="24" t="s">
        <v>159</v>
      </c>
      <c r="F836" s="25" t="s">
        <v>199</v>
      </c>
    </row>
    <row r="837" spans="1:6">
      <c r="A837" s="22">
        <v>54109</v>
      </c>
      <c r="B837" s="24" t="s">
        <v>2430</v>
      </c>
      <c r="C837" s="24" t="s">
        <v>311</v>
      </c>
      <c r="D837" s="24" t="s">
        <v>309</v>
      </c>
      <c r="E837" s="24" t="s">
        <v>159</v>
      </c>
      <c r="F837" s="25" t="s">
        <v>158</v>
      </c>
    </row>
    <row r="838" spans="1:6">
      <c r="A838" s="22">
        <v>54128</v>
      </c>
      <c r="B838" s="24" t="s">
        <v>2431</v>
      </c>
      <c r="C838" s="24" t="s">
        <v>311</v>
      </c>
      <c r="D838" s="24" t="s">
        <v>309</v>
      </c>
      <c r="E838" s="24" t="s">
        <v>159</v>
      </c>
      <c r="F838" s="25" t="s">
        <v>167</v>
      </c>
    </row>
    <row r="839" spans="1:6">
      <c r="A839" s="22">
        <v>54125</v>
      </c>
      <c r="B839" s="24" t="s">
        <v>2432</v>
      </c>
      <c r="C839" s="24" t="s">
        <v>311</v>
      </c>
      <c r="D839" s="24" t="s">
        <v>309</v>
      </c>
      <c r="E839" s="24" t="s">
        <v>159</v>
      </c>
      <c r="F839" s="25" t="s">
        <v>158</v>
      </c>
    </row>
    <row r="840" spans="1:6">
      <c r="A840" s="22">
        <v>54172</v>
      </c>
      <c r="B840" s="24" t="s">
        <v>2433</v>
      </c>
      <c r="C840" s="24" t="s">
        <v>311</v>
      </c>
      <c r="D840" s="24" t="s">
        <v>309</v>
      </c>
      <c r="E840" s="24" t="s">
        <v>159</v>
      </c>
      <c r="F840" s="25" t="s">
        <v>199</v>
      </c>
    </row>
    <row r="841" spans="1:6">
      <c r="A841" s="22">
        <v>54174</v>
      </c>
      <c r="B841" s="24" t="s">
        <v>2434</v>
      </c>
      <c r="C841" s="24" t="s">
        <v>311</v>
      </c>
      <c r="D841" s="24" t="s">
        <v>309</v>
      </c>
      <c r="E841" s="24" t="s">
        <v>159</v>
      </c>
      <c r="F841" s="25" t="s">
        <v>167</v>
      </c>
    </row>
    <row r="842" spans="1:6">
      <c r="A842" s="22">
        <v>54206</v>
      </c>
      <c r="B842" s="24" t="s">
        <v>329</v>
      </c>
      <c r="C842" s="24" t="s">
        <v>311</v>
      </c>
      <c r="D842" s="24" t="s">
        <v>309</v>
      </c>
      <c r="E842" s="24" t="s">
        <v>159</v>
      </c>
      <c r="F842" s="25" t="s">
        <v>167</v>
      </c>
    </row>
    <row r="843" spans="1:6">
      <c r="A843" s="22">
        <v>54001</v>
      </c>
      <c r="B843" s="24" t="s">
        <v>309</v>
      </c>
      <c r="C843" s="24" t="s">
        <v>311</v>
      </c>
      <c r="D843" s="24" t="s">
        <v>309</v>
      </c>
      <c r="E843" s="24" t="s">
        <v>159</v>
      </c>
      <c r="F843" s="25" t="s">
        <v>55</v>
      </c>
    </row>
    <row r="844" spans="1:6">
      <c r="A844" s="22">
        <v>54223</v>
      </c>
      <c r="B844" s="24" t="s">
        <v>2435</v>
      </c>
      <c r="C844" s="24" t="s">
        <v>311</v>
      </c>
      <c r="D844" s="24" t="s">
        <v>309</v>
      </c>
      <c r="E844" s="24" t="s">
        <v>159</v>
      </c>
      <c r="F844" s="25" t="s">
        <v>167</v>
      </c>
    </row>
    <row r="845" spans="1:6">
      <c r="A845" s="22">
        <v>54239</v>
      </c>
      <c r="B845" s="24" t="s">
        <v>2436</v>
      </c>
      <c r="C845" s="24" t="s">
        <v>311</v>
      </c>
      <c r="D845" s="24" t="s">
        <v>309</v>
      </c>
      <c r="E845" s="24" t="s">
        <v>159</v>
      </c>
      <c r="F845" s="25" t="s">
        <v>199</v>
      </c>
    </row>
    <row r="846" spans="1:6">
      <c r="A846" s="22">
        <v>54245</v>
      </c>
      <c r="B846" s="24" t="s">
        <v>2437</v>
      </c>
      <c r="C846" s="24" t="s">
        <v>311</v>
      </c>
      <c r="D846" s="24" t="s">
        <v>309</v>
      </c>
      <c r="E846" s="24" t="s">
        <v>159</v>
      </c>
      <c r="F846" s="25" t="s">
        <v>167</v>
      </c>
    </row>
    <row r="847" spans="1:6">
      <c r="A847" s="22">
        <v>54250</v>
      </c>
      <c r="B847" s="24" t="s">
        <v>2438</v>
      </c>
      <c r="C847" s="24" t="s">
        <v>311</v>
      </c>
      <c r="D847" s="24" t="s">
        <v>309</v>
      </c>
      <c r="E847" s="24" t="s">
        <v>159</v>
      </c>
      <c r="F847" s="25" t="s">
        <v>167</v>
      </c>
    </row>
    <row r="848" spans="1:6">
      <c r="A848" s="22">
        <v>54261</v>
      </c>
      <c r="B848" s="24" t="s">
        <v>1557</v>
      </c>
      <c r="C848" s="24" t="s">
        <v>311</v>
      </c>
      <c r="D848" s="24" t="s">
        <v>309</v>
      </c>
      <c r="E848" s="24" t="s">
        <v>159</v>
      </c>
      <c r="F848" s="25" t="s">
        <v>199</v>
      </c>
    </row>
    <row r="849" spans="1:6">
      <c r="A849" s="22">
        <v>54313</v>
      </c>
      <c r="B849" s="24" t="s">
        <v>2439</v>
      </c>
      <c r="C849" s="24" t="s">
        <v>311</v>
      </c>
      <c r="D849" s="24" t="s">
        <v>309</v>
      </c>
      <c r="E849" s="24" t="s">
        <v>159</v>
      </c>
      <c r="F849" s="25" t="s">
        <v>199</v>
      </c>
    </row>
    <row r="850" spans="1:6">
      <c r="A850" s="22">
        <v>54344</v>
      </c>
      <c r="B850" s="24" t="s">
        <v>2440</v>
      </c>
      <c r="C850" s="24" t="s">
        <v>311</v>
      </c>
      <c r="D850" s="24" t="s">
        <v>309</v>
      </c>
      <c r="E850" s="24" t="s">
        <v>159</v>
      </c>
      <c r="F850" s="25" t="s">
        <v>167</v>
      </c>
    </row>
    <row r="851" spans="1:6">
      <c r="A851" s="22">
        <v>54347</v>
      </c>
      <c r="B851" s="24" t="s">
        <v>2441</v>
      </c>
      <c r="C851" s="24" t="s">
        <v>311</v>
      </c>
      <c r="D851" s="24" t="s">
        <v>309</v>
      </c>
      <c r="E851" s="24" t="s">
        <v>159</v>
      </c>
      <c r="F851" s="25" t="s">
        <v>158</v>
      </c>
    </row>
    <row r="852" spans="1:6">
      <c r="A852" s="22">
        <v>54385</v>
      </c>
      <c r="B852" s="24" t="s">
        <v>2442</v>
      </c>
      <c r="C852" s="24" t="s">
        <v>311</v>
      </c>
      <c r="D852" s="24" t="s">
        <v>219</v>
      </c>
      <c r="E852" s="24" t="s">
        <v>159</v>
      </c>
      <c r="F852" s="25" t="s">
        <v>158</v>
      </c>
    </row>
    <row r="853" spans="1:6">
      <c r="A853" s="22">
        <v>54398</v>
      </c>
      <c r="B853" s="24" t="s">
        <v>2443</v>
      </c>
      <c r="C853" s="24" t="s">
        <v>311</v>
      </c>
      <c r="D853" s="24" t="s">
        <v>309</v>
      </c>
      <c r="E853" s="24" t="s">
        <v>159</v>
      </c>
      <c r="F853" s="25" t="s">
        <v>167</v>
      </c>
    </row>
    <row r="854" spans="1:6">
      <c r="A854" s="22">
        <v>54377</v>
      </c>
      <c r="B854" s="24" t="s">
        <v>2444</v>
      </c>
      <c r="C854" s="24" t="s">
        <v>311</v>
      </c>
      <c r="D854" s="24" t="s">
        <v>309</v>
      </c>
      <c r="E854" s="24" t="s">
        <v>159</v>
      </c>
      <c r="F854" s="25" t="s">
        <v>167</v>
      </c>
    </row>
    <row r="855" spans="1:6">
      <c r="A855" s="22">
        <v>54405</v>
      </c>
      <c r="B855" s="24" t="s">
        <v>1178</v>
      </c>
      <c r="C855" s="24" t="s">
        <v>311</v>
      </c>
      <c r="D855" s="24" t="s">
        <v>309</v>
      </c>
      <c r="E855" s="24" t="s">
        <v>159</v>
      </c>
      <c r="F855" s="25" t="s">
        <v>55</v>
      </c>
    </row>
    <row r="856" spans="1:6">
      <c r="A856" s="22">
        <v>54418</v>
      </c>
      <c r="B856" s="24" t="s">
        <v>2445</v>
      </c>
      <c r="C856" s="24" t="s">
        <v>311</v>
      </c>
      <c r="D856" s="24" t="s">
        <v>309</v>
      </c>
      <c r="E856" s="24" t="s">
        <v>159</v>
      </c>
      <c r="F856" s="25" t="s">
        <v>158</v>
      </c>
    </row>
    <row r="857" spans="1:6">
      <c r="A857" s="22">
        <v>54480</v>
      </c>
      <c r="B857" s="24" t="s">
        <v>2446</v>
      </c>
      <c r="C857" s="24" t="s">
        <v>311</v>
      </c>
      <c r="D857" s="24" t="s">
        <v>309</v>
      </c>
      <c r="E857" s="24" t="s">
        <v>159</v>
      </c>
      <c r="F857" s="25" t="s">
        <v>158</v>
      </c>
    </row>
    <row r="858" spans="1:6">
      <c r="A858" s="22">
        <v>54498</v>
      </c>
      <c r="B858" s="24" t="s">
        <v>1183</v>
      </c>
      <c r="C858" s="24" t="s">
        <v>311</v>
      </c>
      <c r="D858" s="24" t="s">
        <v>309</v>
      </c>
      <c r="E858" s="24" t="s">
        <v>159</v>
      </c>
      <c r="F858" s="25" t="s">
        <v>167</v>
      </c>
    </row>
    <row r="859" spans="1:6">
      <c r="A859" s="22">
        <v>54518</v>
      </c>
      <c r="B859" s="24" t="s">
        <v>2447</v>
      </c>
      <c r="C859" s="24" t="s">
        <v>311</v>
      </c>
      <c r="D859" s="24" t="s">
        <v>309</v>
      </c>
      <c r="E859" s="24" t="s">
        <v>159</v>
      </c>
      <c r="F859" s="25" t="s">
        <v>158</v>
      </c>
    </row>
    <row r="860" spans="1:6">
      <c r="A860" s="22">
        <v>54520</v>
      </c>
      <c r="B860" s="24" t="s">
        <v>2448</v>
      </c>
      <c r="C860" s="24" t="s">
        <v>311</v>
      </c>
      <c r="D860" s="24" t="s">
        <v>309</v>
      </c>
      <c r="E860" s="24" t="s">
        <v>159</v>
      </c>
      <c r="F860" s="25" t="s">
        <v>158</v>
      </c>
    </row>
    <row r="861" spans="1:6">
      <c r="A861" s="22">
        <v>54599</v>
      </c>
      <c r="B861" s="24" t="s">
        <v>2449</v>
      </c>
      <c r="C861" s="24" t="s">
        <v>311</v>
      </c>
      <c r="D861" s="24" t="s">
        <v>309</v>
      </c>
      <c r="E861" s="24" t="s">
        <v>159</v>
      </c>
      <c r="F861" s="25" t="s">
        <v>158</v>
      </c>
    </row>
    <row r="862" spans="1:6">
      <c r="A862" s="22">
        <v>54660</v>
      </c>
      <c r="B862" s="24" t="s">
        <v>2450</v>
      </c>
      <c r="C862" s="24" t="s">
        <v>311</v>
      </c>
      <c r="D862" s="24" t="s">
        <v>309</v>
      </c>
      <c r="E862" s="24" t="s">
        <v>159</v>
      </c>
      <c r="F862" s="25" t="s">
        <v>199</v>
      </c>
    </row>
    <row r="863" spans="1:6">
      <c r="A863" s="22">
        <v>54670</v>
      </c>
      <c r="B863" s="24" t="s">
        <v>2451</v>
      </c>
      <c r="C863" s="24" t="s">
        <v>311</v>
      </c>
      <c r="D863" s="24" t="s">
        <v>309</v>
      </c>
      <c r="E863" s="24" t="s">
        <v>159</v>
      </c>
      <c r="F863" s="25" t="s">
        <v>167</v>
      </c>
    </row>
    <row r="864" spans="1:6">
      <c r="A864" s="22">
        <v>54720</v>
      </c>
      <c r="B864" s="24" t="s">
        <v>2452</v>
      </c>
      <c r="C864" s="24" t="s">
        <v>311</v>
      </c>
      <c r="D864" s="24" t="s">
        <v>309</v>
      </c>
      <c r="E864" s="24" t="s">
        <v>159</v>
      </c>
      <c r="F864" s="25" t="s">
        <v>199</v>
      </c>
    </row>
    <row r="865" spans="1:6">
      <c r="A865" s="22">
        <v>54743</v>
      </c>
      <c r="B865" s="24" t="s">
        <v>2453</v>
      </c>
      <c r="C865" s="24" t="s">
        <v>311</v>
      </c>
      <c r="D865" s="24" t="s">
        <v>309</v>
      </c>
      <c r="E865" s="24" t="s">
        <v>159</v>
      </c>
      <c r="F865" s="25" t="s">
        <v>167</v>
      </c>
    </row>
    <row r="866" spans="1:6">
      <c r="A866" s="22">
        <v>54800</v>
      </c>
      <c r="B866" s="24" t="s">
        <v>754</v>
      </c>
      <c r="C866" s="24" t="s">
        <v>311</v>
      </c>
      <c r="D866" s="24" t="s">
        <v>309</v>
      </c>
      <c r="E866" s="24" t="s">
        <v>159</v>
      </c>
      <c r="F866" s="25" t="s">
        <v>167</v>
      </c>
    </row>
    <row r="867" spans="1:6">
      <c r="A867" s="22">
        <v>54810</v>
      </c>
      <c r="B867" s="24" t="s">
        <v>2454</v>
      </c>
      <c r="C867" s="24" t="s">
        <v>311</v>
      </c>
      <c r="D867" s="24" t="s">
        <v>309</v>
      </c>
      <c r="E867" s="24" t="s">
        <v>159</v>
      </c>
      <c r="F867" s="25" t="s">
        <v>147</v>
      </c>
    </row>
    <row r="868" spans="1:6">
      <c r="A868" s="22">
        <v>54871</v>
      </c>
      <c r="B868" s="24" t="s">
        <v>2455</v>
      </c>
      <c r="C868" s="24" t="s">
        <v>311</v>
      </c>
      <c r="D868" s="24" t="s">
        <v>309</v>
      </c>
      <c r="E868" s="24" t="s">
        <v>159</v>
      </c>
      <c r="F868" s="25" t="s">
        <v>167</v>
      </c>
    </row>
    <row r="869" spans="1:6">
      <c r="A869" s="22">
        <v>54874</v>
      </c>
      <c r="B869" s="24" t="s">
        <v>336</v>
      </c>
      <c r="C869" s="24" t="s">
        <v>311</v>
      </c>
      <c r="D869" s="24" t="s">
        <v>309</v>
      </c>
      <c r="E869" s="24" t="s">
        <v>159</v>
      </c>
      <c r="F869" s="25" t="s">
        <v>55</v>
      </c>
    </row>
    <row r="870" spans="1:6">
      <c r="A870" s="22">
        <v>86219</v>
      </c>
      <c r="B870" s="23" t="s">
        <v>2387</v>
      </c>
      <c r="C870" s="24" t="s">
        <v>245</v>
      </c>
      <c r="D870" s="24" t="s">
        <v>133</v>
      </c>
      <c r="E870" s="24" t="s">
        <v>159</v>
      </c>
      <c r="F870" s="25" t="s">
        <v>199</v>
      </c>
    </row>
    <row r="871" spans="1:6">
      <c r="A871" s="22">
        <v>86755</v>
      </c>
      <c r="B871" s="23" t="s">
        <v>1776</v>
      </c>
      <c r="C871" s="24" t="s">
        <v>245</v>
      </c>
      <c r="D871" s="24" t="s">
        <v>133</v>
      </c>
      <c r="E871" s="24" t="s">
        <v>159</v>
      </c>
      <c r="F871" s="25" t="s">
        <v>158</v>
      </c>
    </row>
    <row r="872" spans="1:6">
      <c r="A872" s="22">
        <v>86757</v>
      </c>
      <c r="B872" s="23" t="s">
        <v>2456</v>
      </c>
      <c r="C872" s="24" t="s">
        <v>245</v>
      </c>
      <c r="D872" s="24" t="s">
        <v>133</v>
      </c>
      <c r="E872" s="24" t="s">
        <v>159</v>
      </c>
      <c r="F872" s="25" t="s">
        <v>167</v>
      </c>
    </row>
    <row r="873" spans="1:6">
      <c r="A873" s="22">
        <v>86760</v>
      </c>
      <c r="B873" s="23" t="s">
        <v>2427</v>
      </c>
      <c r="C873" s="24" t="s">
        <v>245</v>
      </c>
      <c r="D873" s="24" t="s">
        <v>133</v>
      </c>
      <c r="E873" s="24" t="s">
        <v>159</v>
      </c>
      <c r="F873" s="25" t="s">
        <v>199</v>
      </c>
    </row>
    <row r="874" spans="1:6">
      <c r="A874" s="22">
        <v>86573</v>
      </c>
      <c r="B874" s="24" t="s">
        <v>2457</v>
      </c>
      <c r="C874" s="24" t="s">
        <v>245</v>
      </c>
      <c r="D874" s="24" t="s">
        <v>133</v>
      </c>
      <c r="E874" s="26" t="s">
        <v>190</v>
      </c>
      <c r="F874" s="25" t="s">
        <v>167</v>
      </c>
    </row>
    <row r="875" spans="1:6">
      <c r="A875" s="22">
        <v>86001</v>
      </c>
      <c r="B875" s="24" t="s">
        <v>1280</v>
      </c>
      <c r="C875" s="24" t="s">
        <v>245</v>
      </c>
      <c r="D875" s="24" t="s">
        <v>133</v>
      </c>
      <c r="E875" s="24" t="s">
        <v>159</v>
      </c>
      <c r="F875" s="25" t="s">
        <v>167</v>
      </c>
    </row>
    <row r="876" spans="1:6">
      <c r="A876" s="22">
        <v>86320</v>
      </c>
      <c r="B876" s="24" t="s">
        <v>2458</v>
      </c>
      <c r="C876" s="24" t="s">
        <v>245</v>
      </c>
      <c r="D876" s="24" t="s">
        <v>133</v>
      </c>
      <c r="E876" s="24" t="s">
        <v>159</v>
      </c>
      <c r="F876" s="25" t="s">
        <v>167</v>
      </c>
    </row>
    <row r="877" spans="1:6">
      <c r="A877" s="22">
        <v>86568</v>
      </c>
      <c r="B877" s="24" t="s">
        <v>246</v>
      </c>
      <c r="C877" s="24" t="s">
        <v>245</v>
      </c>
      <c r="D877" s="24" t="s">
        <v>133</v>
      </c>
      <c r="E877" s="24" t="s">
        <v>159</v>
      </c>
      <c r="F877" s="25" t="s">
        <v>167</v>
      </c>
    </row>
    <row r="878" spans="1:6">
      <c r="A878" s="22">
        <v>86569</v>
      </c>
      <c r="B878" s="24" t="s">
        <v>2459</v>
      </c>
      <c r="C878" s="24" t="s">
        <v>245</v>
      </c>
      <c r="D878" s="24" t="s">
        <v>133</v>
      </c>
      <c r="E878" s="24" t="s">
        <v>159</v>
      </c>
      <c r="F878" s="25" t="s">
        <v>167</v>
      </c>
    </row>
    <row r="879" spans="1:6">
      <c r="A879" s="22">
        <v>86571</v>
      </c>
      <c r="B879" s="24" t="s">
        <v>2460</v>
      </c>
      <c r="C879" s="24" t="s">
        <v>245</v>
      </c>
      <c r="D879" s="24" t="s">
        <v>133</v>
      </c>
      <c r="E879" s="24" t="s">
        <v>159</v>
      </c>
      <c r="F879" s="25" t="s">
        <v>167</v>
      </c>
    </row>
    <row r="880" spans="1:6">
      <c r="A880" s="22">
        <v>86749</v>
      </c>
      <c r="B880" s="24" t="s">
        <v>941</v>
      </c>
      <c r="C880" s="24" t="s">
        <v>245</v>
      </c>
      <c r="D880" s="24" t="s">
        <v>133</v>
      </c>
      <c r="E880" s="24" t="s">
        <v>159</v>
      </c>
      <c r="F880" s="25" t="s">
        <v>158</v>
      </c>
    </row>
    <row r="881" spans="1:6">
      <c r="A881" s="22">
        <v>86865</v>
      </c>
      <c r="B881" s="24" t="s">
        <v>667</v>
      </c>
      <c r="C881" s="24" t="s">
        <v>245</v>
      </c>
      <c r="D881" s="24" t="s">
        <v>133</v>
      </c>
      <c r="E881" s="24" t="s">
        <v>159</v>
      </c>
      <c r="F881" s="25" t="s">
        <v>167</v>
      </c>
    </row>
    <row r="882" spans="1:6">
      <c r="A882" s="22">
        <v>86885</v>
      </c>
      <c r="B882" s="24" t="s">
        <v>2461</v>
      </c>
      <c r="C882" s="24" t="s">
        <v>245</v>
      </c>
      <c r="D882" s="24" t="s">
        <v>133</v>
      </c>
      <c r="E882" s="24" t="s">
        <v>159</v>
      </c>
      <c r="F882" s="25" t="s">
        <v>167</v>
      </c>
    </row>
    <row r="883" spans="1:6">
      <c r="A883" s="22">
        <v>63001</v>
      </c>
      <c r="B883" s="23" t="s">
        <v>762</v>
      </c>
      <c r="C883" s="24" t="s">
        <v>761</v>
      </c>
      <c r="D883" s="24" t="s">
        <v>168</v>
      </c>
      <c r="E883" s="24" t="s">
        <v>159</v>
      </c>
      <c r="F883" s="25" t="s">
        <v>199</v>
      </c>
    </row>
    <row r="884" spans="1:6">
      <c r="A884" s="22">
        <v>63111</v>
      </c>
      <c r="B884" s="23" t="s">
        <v>1441</v>
      </c>
      <c r="C884" s="24" t="s">
        <v>761</v>
      </c>
      <c r="D884" s="24" t="s">
        <v>168</v>
      </c>
      <c r="E884" s="24" t="s">
        <v>159</v>
      </c>
      <c r="F884" s="25" t="s">
        <v>199</v>
      </c>
    </row>
    <row r="885" spans="1:6">
      <c r="A885" s="22">
        <v>63212</v>
      </c>
      <c r="B885" s="23" t="s">
        <v>178</v>
      </c>
      <c r="C885" s="24" t="s">
        <v>761</v>
      </c>
      <c r="D885" s="24" t="s">
        <v>168</v>
      </c>
      <c r="E885" s="24" t="s">
        <v>159</v>
      </c>
      <c r="F885" s="25" t="s">
        <v>199</v>
      </c>
    </row>
    <row r="886" spans="1:6">
      <c r="A886" s="22">
        <v>63130</v>
      </c>
      <c r="B886" s="24" t="s">
        <v>1467</v>
      </c>
      <c r="C886" s="24" t="s">
        <v>761</v>
      </c>
      <c r="D886" s="24" t="s">
        <v>168</v>
      </c>
      <c r="E886" s="24" t="s">
        <v>159</v>
      </c>
      <c r="F886" s="25" t="s">
        <v>199</v>
      </c>
    </row>
    <row r="887" spans="1:6">
      <c r="A887" s="22">
        <v>63190</v>
      </c>
      <c r="B887" s="24" t="s">
        <v>2462</v>
      </c>
      <c r="C887" s="24" t="s">
        <v>761</v>
      </c>
      <c r="D887" s="24" t="s">
        <v>168</v>
      </c>
      <c r="E887" s="24" t="s">
        <v>159</v>
      </c>
      <c r="F887" s="25" t="s">
        <v>199</v>
      </c>
    </row>
    <row r="888" spans="1:6">
      <c r="A888" s="22">
        <v>63272</v>
      </c>
      <c r="B888" s="24" t="s">
        <v>2463</v>
      </c>
      <c r="C888" s="24" t="s">
        <v>761</v>
      </c>
      <c r="D888" s="24" t="s">
        <v>168</v>
      </c>
      <c r="E888" s="24" t="s">
        <v>159</v>
      </c>
      <c r="F888" s="25" t="s">
        <v>199</v>
      </c>
    </row>
    <row r="889" spans="1:6">
      <c r="A889" s="22">
        <v>63302</v>
      </c>
      <c r="B889" s="24" t="s">
        <v>2464</v>
      </c>
      <c r="C889" s="24" t="s">
        <v>761</v>
      </c>
      <c r="D889" s="24" t="s">
        <v>168</v>
      </c>
      <c r="E889" s="24" t="s">
        <v>159</v>
      </c>
      <c r="F889" s="25" t="s">
        <v>158</v>
      </c>
    </row>
    <row r="890" spans="1:6">
      <c r="A890" s="22">
        <v>63401</v>
      </c>
      <c r="B890" s="24" t="s">
        <v>2465</v>
      </c>
      <c r="C890" s="24" t="s">
        <v>761</v>
      </c>
      <c r="D890" s="24" t="s">
        <v>168</v>
      </c>
      <c r="E890" s="24" t="s">
        <v>159</v>
      </c>
      <c r="F890" s="25" t="s">
        <v>199</v>
      </c>
    </row>
    <row r="891" spans="1:6">
      <c r="A891" s="22">
        <v>63470</v>
      </c>
      <c r="B891" s="24" t="s">
        <v>2466</v>
      </c>
      <c r="C891" s="24" t="s">
        <v>761</v>
      </c>
      <c r="D891" s="24" t="s">
        <v>168</v>
      </c>
      <c r="E891" s="24" t="s">
        <v>159</v>
      </c>
      <c r="F891" s="25" t="s">
        <v>199</v>
      </c>
    </row>
    <row r="892" spans="1:6">
      <c r="A892" s="22">
        <v>63548</v>
      </c>
      <c r="B892" s="24" t="s">
        <v>2467</v>
      </c>
      <c r="C892" s="24" t="s">
        <v>761</v>
      </c>
      <c r="D892" s="24" t="s">
        <v>168</v>
      </c>
      <c r="E892" s="24" t="s">
        <v>159</v>
      </c>
      <c r="F892" s="25" t="s">
        <v>158</v>
      </c>
    </row>
    <row r="893" spans="1:6">
      <c r="A893" s="22">
        <v>63594</v>
      </c>
      <c r="B893" s="24" t="s">
        <v>2468</v>
      </c>
      <c r="C893" s="24" t="s">
        <v>761</v>
      </c>
      <c r="D893" s="24" t="s">
        <v>168</v>
      </c>
      <c r="E893" s="24" t="s">
        <v>159</v>
      </c>
      <c r="F893" s="25" t="s">
        <v>199</v>
      </c>
    </row>
    <row r="894" spans="1:6">
      <c r="A894" s="22">
        <v>63690</v>
      </c>
      <c r="B894" s="24" t="s">
        <v>2469</v>
      </c>
      <c r="C894" s="24" t="s">
        <v>761</v>
      </c>
      <c r="D894" s="24" t="s">
        <v>168</v>
      </c>
      <c r="E894" s="24" t="s">
        <v>159</v>
      </c>
      <c r="F894" s="25" t="s">
        <v>199</v>
      </c>
    </row>
    <row r="895" spans="1:6">
      <c r="A895" s="22">
        <v>66075</v>
      </c>
      <c r="B895" s="23" t="s">
        <v>2087</v>
      </c>
      <c r="C895" s="24" t="s">
        <v>170</v>
      </c>
      <c r="D895" s="24" t="s">
        <v>168</v>
      </c>
      <c r="E895" s="24" t="s">
        <v>159</v>
      </c>
      <c r="F895" s="25" t="s">
        <v>199</v>
      </c>
    </row>
    <row r="896" spans="1:6">
      <c r="A896" s="22">
        <v>66045</v>
      </c>
      <c r="B896" s="24" t="s">
        <v>2470</v>
      </c>
      <c r="C896" s="24" t="s">
        <v>170</v>
      </c>
      <c r="D896" s="24" t="s">
        <v>168</v>
      </c>
      <c r="E896" s="24" t="s">
        <v>159</v>
      </c>
      <c r="F896" s="25" t="s">
        <v>199</v>
      </c>
    </row>
    <row r="897" spans="1:6">
      <c r="A897" s="22">
        <v>66088</v>
      </c>
      <c r="B897" s="24" t="s">
        <v>2471</v>
      </c>
      <c r="C897" s="24" t="s">
        <v>170</v>
      </c>
      <c r="D897" s="24" t="s">
        <v>168</v>
      </c>
      <c r="E897" s="24" t="s">
        <v>159</v>
      </c>
      <c r="F897" s="25" t="s">
        <v>199</v>
      </c>
    </row>
    <row r="898" spans="1:6">
      <c r="A898" s="22">
        <v>66170</v>
      </c>
      <c r="B898" s="24" t="s">
        <v>1474</v>
      </c>
      <c r="C898" s="24" t="s">
        <v>170</v>
      </c>
      <c r="D898" s="24" t="s">
        <v>168</v>
      </c>
      <c r="E898" s="24" t="s">
        <v>159</v>
      </c>
      <c r="F898" s="25" t="s">
        <v>55</v>
      </c>
    </row>
    <row r="899" spans="1:6">
      <c r="A899" s="22">
        <v>66318</v>
      </c>
      <c r="B899" s="24" t="s">
        <v>2472</v>
      </c>
      <c r="C899" s="24" t="s">
        <v>170</v>
      </c>
      <c r="D899" s="24" t="s">
        <v>168</v>
      </c>
      <c r="E899" s="24" t="s">
        <v>159</v>
      </c>
      <c r="F899" s="25" t="s">
        <v>199</v>
      </c>
    </row>
    <row r="900" spans="1:6">
      <c r="A900" s="22">
        <v>66383</v>
      </c>
      <c r="B900" s="24" t="s">
        <v>2473</v>
      </c>
      <c r="C900" s="24" t="s">
        <v>170</v>
      </c>
      <c r="D900" s="24" t="s">
        <v>168</v>
      </c>
      <c r="E900" s="24" t="s">
        <v>159</v>
      </c>
      <c r="F900" s="25" t="s">
        <v>199</v>
      </c>
    </row>
    <row r="901" spans="1:6">
      <c r="A901" s="22">
        <v>66400</v>
      </c>
      <c r="B901" s="24" t="s">
        <v>1189</v>
      </c>
      <c r="C901" s="24" t="s">
        <v>170</v>
      </c>
      <c r="D901" s="24" t="s">
        <v>168</v>
      </c>
      <c r="E901" s="24" t="s">
        <v>159</v>
      </c>
      <c r="F901" s="25" t="s">
        <v>55</v>
      </c>
    </row>
    <row r="902" spans="1:6">
      <c r="A902" s="22">
        <v>66440</v>
      </c>
      <c r="B902" s="24" t="s">
        <v>2474</v>
      </c>
      <c r="C902" s="24" t="s">
        <v>170</v>
      </c>
      <c r="D902" s="24" t="s">
        <v>168</v>
      </c>
      <c r="E902" s="24" t="s">
        <v>159</v>
      </c>
      <c r="F902" s="25" t="s">
        <v>199</v>
      </c>
    </row>
    <row r="903" spans="1:6">
      <c r="A903" s="22">
        <v>66456</v>
      </c>
      <c r="B903" s="24" t="s">
        <v>2475</v>
      </c>
      <c r="C903" s="24" t="s">
        <v>170</v>
      </c>
      <c r="D903" s="24" t="s">
        <v>168</v>
      </c>
      <c r="E903" s="24" t="s">
        <v>159</v>
      </c>
      <c r="F903" s="25" t="s">
        <v>199</v>
      </c>
    </row>
    <row r="904" spans="1:6">
      <c r="A904" s="22">
        <v>66001</v>
      </c>
      <c r="B904" s="24" t="s">
        <v>168</v>
      </c>
      <c r="C904" s="24" t="s">
        <v>170</v>
      </c>
      <c r="D904" s="24" t="s">
        <v>168</v>
      </c>
      <c r="E904" s="24" t="s">
        <v>159</v>
      </c>
      <c r="F904" s="25" t="s">
        <v>55</v>
      </c>
    </row>
    <row r="905" spans="1:6">
      <c r="A905" s="22">
        <v>66572</v>
      </c>
      <c r="B905" s="24" t="s">
        <v>2476</v>
      </c>
      <c r="C905" s="24" t="s">
        <v>170</v>
      </c>
      <c r="D905" s="24" t="s">
        <v>168</v>
      </c>
      <c r="E905" s="24" t="s">
        <v>159</v>
      </c>
      <c r="F905" s="25" t="s">
        <v>199</v>
      </c>
    </row>
    <row r="906" spans="1:6">
      <c r="A906" s="22">
        <v>66594</v>
      </c>
      <c r="B906" s="24" t="s">
        <v>2477</v>
      </c>
      <c r="C906" s="24" t="s">
        <v>170</v>
      </c>
      <c r="D906" s="24" t="s">
        <v>168</v>
      </c>
      <c r="E906" s="24" t="s">
        <v>159</v>
      </c>
      <c r="F906" s="25" t="s">
        <v>199</v>
      </c>
    </row>
    <row r="907" spans="1:6">
      <c r="A907" s="22">
        <v>66682</v>
      </c>
      <c r="B907" s="24" t="s">
        <v>2478</v>
      </c>
      <c r="C907" s="24" t="s">
        <v>170</v>
      </c>
      <c r="D907" s="24" t="s">
        <v>168</v>
      </c>
      <c r="E907" s="24" t="s">
        <v>159</v>
      </c>
      <c r="F907" s="25" t="s">
        <v>55</v>
      </c>
    </row>
    <row r="908" spans="1:6">
      <c r="A908" s="22">
        <v>66687</v>
      </c>
      <c r="B908" s="24" t="s">
        <v>2479</v>
      </c>
      <c r="C908" s="24" t="s">
        <v>170</v>
      </c>
      <c r="D908" s="24" t="s">
        <v>168</v>
      </c>
      <c r="E908" s="24" t="s">
        <v>159</v>
      </c>
      <c r="F908" s="25" t="s">
        <v>199</v>
      </c>
    </row>
    <row r="909" spans="1:6">
      <c r="A909" s="22">
        <v>88564</v>
      </c>
      <c r="B909" s="23" t="s">
        <v>2388</v>
      </c>
      <c r="C909" s="24" t="s">
        <v>2480</v>
      </c>
      <c r="D909" s="24" t="s">
        <v>1089</v>
      </c>
      <c r="E909" s="24" t="s">
        <v>190</v>
      </c>
      <c r="F909" s="25" t="s">
        <v>147</v>
      </c>
    </row>
    <row r="910" spans="1:6">
      <c r="A910" s="22">
        <v>88001</v>
      </c>
      <c r="B910" s="23" t="s">
        <v>2481</v>
      </c>
      <c r="C910" s="24" t="s">
        <v>2480</v>
      </c>
      <c r="D910" s="24" t="s">
        <v>1089</v>
      </c>
      <c r="E910" s="24" t="s">
        <v>190</v>
      </c>
      <c r="F910" s="25" t="s">
        <v>147</v>
      </c>
    </row>
    <row r="911" spans="1:6">
      <c r="A911" s="22">
        <v>68020</v>
      </c>
      <c r="B911" s="23" t="s">
        <v>2061</v>
      </c>
      <c r="C911" s="24" t="s">
        <v>221</v>
      </c>
      <c r="D911" s="24" t="s">
        <v>274</v>
      </c>
      <c r="E911" s="24" t="s">
        <v>159</v>
      </c>
      <c r="F911" s="25" t="s">
        <v>158</v>
      </c>
    </row>
    <row r="912" spans="1:6">
      <c r="A912" s="22">
        <v>68077</v>
      </c>
      <c r="B912" s="23" t="s">
        <v>1767</v>
      </c>
      <c r="C912" s="24" t="s">
        <v>221</v>
      </c>
      <c r="D912" s="24" t="s">
        <v>274</v>
      </c>
      <c r="E912" s="24" t="s">
        <v>159</v>
      </c>
      <c r="F912" s="25" t="s">
        <v>199</v>
      </c>
    </row>
    <row r="913" spans="1:6">
      <c r="A913" s="22">
        <v>68092</v>
      </c>
      <c r="B913" s="23" t="s">
        <v>1768</v>
      </c>
      <c r="C913" s="24" t="s">
        <v>221</v>
      </c>
      <c r="D913" s="24" t="s">
        <v>219</v>
      </c>
      <c r="E913" s="24" t="s">
        <v>159</v>
      </c>
      <c r="F913" s="25" t="s">
        <v>167</v>
      </c>
    </row>
    <row r="914" spans="1:6">
      <c r="A914" s="22">
        <v>68101</v>
      </c>
      <c r="B914" s="23" t="s">
        <v>713</v>
      </c>
      <c r="C914" s="24" t="s">
        <v>221</v>
      </c>
      <c r="D914" s="24" t="s">
        <v>274</v>
      </c>
      <c r="E914" s="24" t="s">
        <v>159</v>
      </c>
      <c r="F914" s="25" t="s">
        <v>158</v>
      </c>
    </row>
    <row r="915" spans="1:6">
      <c r="A915" s="22">
        <v>68121</v>
      </c>
      <c r="B915" s="23" t="s">
        <v>2192</v>
      </c>
      <c r="C915" s="24" t="s">
        <v>221</v>
      </c>
      <c r="D915" s="24" t="s">
        <v>219</v>
      </c>
      <c r="E915" s="24" t="s">
        <v>159</v>
      </c>
      <c r="F915" s="25" t="s">
        <v>158</v>
      </c>
    </row>
    <row r="916" spans="1:6">
      <c r="A916" s="22">
        <v>68176</v>
      </c>
      <c r="B916" s="23" t="s">
        <v>2171</v>
      </c>
      <c r="C916" s="24" t="s">
        <v>221</v>
      </c>
      <c r="D916" s="24" t="s">
        <v>219</v>
      </c>
      <c r="E916" s="24" t="s">
        <v>159</v>
      </c>
      <c r="F916" s="25" t="s">
        <v>167</v>
      </c>
    </row>
    <row r="917" spans="1:6">
      <c r="A917" s="22">
        <v>68207</v>
      </c>
      <c r="B917" s="23" t="s">
        <v>1770</v>
      </c>
      <c r="C917" s="24" t="s">
        <v>221</v>
      </c>
      <c r="D917" s="24" t="s">
        <v>219</v>
      </c>
      <c r="E917" s="24" t="s">
        <v>159</v>
      </c>
      <c r="F917" s="25" t="s">
        <v>167</v>
      </c>
    </row>
    <row r="918" spans="1:6">
      <c r="A918" s="22">
        <v>68250</v>
      </c>
      <c r="B918" s="23" t="s">
        <v>1889</v>
      </c>
      <c r="C918" s="24" t="s">
        <v>221</v>
      </c>
      <c r="D918" s="24" t="s">
        <v>219</v>
      </c>
      <c r="E918" s="24" t="s">
        <v>159</v>
      </c>
      <c r="F918" s="25" t="s">
        <v>167</v>
      </c>
    </row>
    <row r="919" spans="1:6">
      <c r="A919" s="22">
        <v>68320</v>
      </c>
      <c r="B919" s="23" t="s">
        <v>1772</v>
      </c>
      <c r="C919" s="24" t="s">
        <v>221</v>
      </c>
      <c r="D919" s="24" t="s">
        <v>219</v>
      </c>
      <c r="E919" s="24" t="s">
        <v>159</v>
      </c>
      <c r="F919" s="25" t="s">
        <v>167</v>
      </c>
    </row>
    <row r="920" spans="1:6">
      <c r="A920" s="22">
        <v>68397</v>
      </c>
      <c r="B920" s="23" t="s">
        <v>2118</v>
      </c>
      <c r="C920" s="24" t="s">
        <v>221</v>
      </c>
      <c r="D920" s="24" t="s">
        <v>219</v>
      </c>
      <c r="E920" s="24" t="s">
        <v>159</v>
      </c>
      <c r="F920" s="25" t="s">
        <v>167</v>
      </c>
    </row>
    <row r="921" spans="1:6">
      <c r="A921" s="22">
        <v>68615</v>
      </c>
      <c r="B921" s="23" t="s">
        <v>1071</v>
      </c>
      <c r="C921" s="24" t="s">
        <v>221</v>
      </c>
      <c r="D921" s="24" t="s">
        <v>219</v>
      </c>
      <c r="E921" s="24" t="s">
        <v>159</v>
      </c>
      <c r="F921" s="25" t="s">
        <v>199</v>
      </c>
    </row>
    <row r="922" spans="1:6">
      <c r="A922" s="22">
        <v>68669</v>
      </c>
      <c r="B922" s="23" t="s">
        <v>2481</v>
      </c>
      <c r="C922" s="24" t="s">
        <v>221</v>
      </c>
      <c r="D922" s="24" t="s">
        <v>219</v>
      </c>
      <c r="E922" s="24" t="s">
        <v>159</v>
      </c>
      <c r="F922" s="25" t="s">
        <v>158</v>
      </c>
    </row>
    <row r="923" spans="1:6">
      <c r="A923" s="22">
        <v>68686</v>
      </c>
      <c r="B923" s="23" t="s">
        <v>2456</v>
      </c>
      <c r="C923" s="24" t="s">
        <v>221</v>
      </c>
      <c r="D923" s="24" t="s">
        <v>274</v>
      </c>
      <c r="E923" s="24" t="s">
        <v>159</v>
      </c>
      <c r="F923" s="25" t="s">
        <v>167</v>
      </c>
    </row>
    <row r="924" spans="1:6">
      <c r="A924" s="22">
        <v>68705</v>
      </c>
      <c r="B924" s="23" t="s">
        <v>1778</v>
      </c>
      <c r="C924" s="24" t="s">
        <v>221</v>
      </c>
      <c r="D924" s="24" t="s">
        <v>219</v>
      </c>
      <c r="E924" s="24" t="s">
        <v>159</v>
      </c>
      <c r="F924" s="25" t="s">
        <v>199</v>
      </c>
    </row>
    <row r="925" spans="1:6">
      <c r="A925" s="22">
        <v>68773</v>
      </c>
      <c r="B925" s="23" t="s">
        <v>349</v>
      </c>
      <c r="C925" s="24" t="s">
        <v>221</v>
      </c>
      <c r="D925" s="24" t="s">
        <v>274</v>
      </c>
      <c r="E925" s="24" t="s">
        <v>159</v>
      </c>
      <c r="F925" s="25" t="s">
        <v>158</v>
      </c>
    </row>
    <row r="926" spans="1:6">
      <c r="A926" s="22">
        <v>68872</v>
      </c>
      <c r="B926" s="23" t="s">
        <v>778</v>
      </c>
      <c r="C926" s="24" t="s">
        <v>221</v>
      </c>
      <c r="D926" s="24" t="s">
        <v>219</v>
      </c>
      <c r="E926" s="24" t="s">
        <v>159</v>
      </c>
      <c r="F926" s="25" t="s">
        <v>158</v>
      </c>
    </row>
    <row r="927" spans="1:6">
      <c r="A927" s="22">
        <v>68013</v>
      </c>
      <c r="B927" s="24" t="s">
        <v>2482</v>
      </c>
      <c r="C927" s="24" t="s">
        <v>221</v>
      </c>
      <c r="D927" s="24" t="s">
        <v>219</v>
      </c>
      <c r="E927" s="24" t="s">
        <v>159</v>
      </c>
      <c r="F927" s="25" t="s">
        <v>167</v>
      </c>
    </row>
    <row r="928" spans="1:6">
      <c r="A928" s="22">
        <v>68051</v>
      </c>
      <c r="B928" s="24" t="s">
        <v>2483</v>
      </c>
      <c r="C928" s="24" t="s">
        <v>221</v>
      </c>
      <c r="D928" s="24" t="s">
        <v>219</v>
      </c>
      <c r="E928" s="24" t="s">
        <v>159</v>
      </c>
      <c r="F928" s="25" t="s">
        <v>199</v>
      </c>
    </row>
    <row r="929" spans="1:6">
      <c r="A929" s="22">
        <v>68079</v>
      </c>
      <c r="B929" s="24" t="s">
        <v>2484</v>
      </c>
      <c r="C929" s="24" t="s">
        <v>221</v>
      </c>
      <c r="D929" s="24" t="s">
        <v>219</v>
      </c>
      <c r="E929" s="24" t="s">
        <v>159</v>
      </c>
      <c r="F929" s="25" t="s">
        <v>158</v>
      </c>
    </row>
    <row r="930" spans="1:6">
      <c r="A930" s="22">
        <v>68081</v>
      </c>
      <c r="B930" s="24" t="s">
        <v>2485</v>
      </c>
      <c r="C930" s="24" t="s">
        <v>221</v>
      </c>
      <c r="D930" s="24" t="s">
        <v>219</v>
      </c>
      <c r="E930" s="24" t="s">
        <v>159</v>
      </c>
      <c r="F930" s="25" t="s">
        <v>158</v>
      </c>
    </row>
    <row r="931" spans="1:6">
      <c r="A931" s="22">
        <v>68001</v>
      </c>
      <c r="B931" s="24" t="s">
        <v>219</v>
      </c>
      <c r="C931" s="24" t="s">
        <v>221</v>
      </c>
      <c r="D931" s="24" t="s">
        <v>219</v>
      </c>
      <c r="E931" s="24" t="s">
        <v>159</v>
      </c>
      <c r="F931" s="25" t="s">
        <v>55</v>
      </c>
    </row>
    <row r="932" spans="1:6">
      <c r="A932" s="22">
        <v>68132</v>
      </c>
      <c r="B932" s="24" t="s">
        <v>2486</v>
      </c>
      <c r="C932" s="24" t="s">
        <v>221</v>
      </c>
      <c r="D932" s="24" t="s">
        <v>219</v>
      </c>
      <c r="E932" s="24" t="s">
        <v>159</v>
      </c>
      <c r="F932" s="25" t="s">
        <v>158</v>
      </c>
    </row>
    <row r="933" spans="1:6">
      <c r="A933" s="22">
        <v>68147</v>
      </c>
      <c r="B933" s="24" t="s">
        <v>2487</v>
      </c>
      <c r="C933" s="24" t="s">
        <v>221</v>
      </c>
      <c r="D933" s="24" t="s">
        <v>219</v>
      </c>
      <c r="E933" s="24" t="s">
        <v>159</v>
      </c>
      <c r="F933" s="25" t="s">
        <v>167</v>
      </c>
    </row>
    <row r="934" spans="1:6">
      <c r="A934" s="22">
        <v>68152</v>
      </c>
      <c r="B934" s="24" t="s">
        <v>2488</v>
      </c>
      <c r="C934" s="24" t="s">
        <v>221</v>
      </c>
      <c r="D934" s="24" t="s">
        <v>219</v>
      </c>
      <c r="E934" s="24" t="s">
        <v>159</v>
      </c>
      <c r="F934" s="25" t="s">
        <v>167</v>
      </c>
    </row>
    <row r="935" spans="1:6">
      <c r="A935" s="22">
        <v>68160</v>
      </c>
      <c r="B935" s="24" t="s">
        <v>2489</v>
      </c>
      <c r="C935" s="24" t="s">
        <v>221</v>
      </c>
      <c r="D935" s="24" t="s">
        <v>219</v>
      </c>
      <c r="E935" s="24" t="s">
        <v>159</v>
      </c>
      <c r="F935" s="25" t="s">
        <v>158</v>
      </c>
    </row>
    <row r="936" spans="1:6">
      <c r="A936" s="22">
        <v>68162</v>
      </c>
      <c r="B936" s="24" t="s">
        <v>2490</v>
      </c>
      <c r="C936" s="24" t="s">
        <v>221</v>
      </c>
      <c r="D936" s="24" t="s">
        <v>219</v>
      </c>
      <c r="E936" s="24" t="s">
        <v>159</v>
      </c>
      <c r="F936" s="25" t="s">
        <v>167</v>
      </c>
    </row>
    <row r="937" spans="1:6">
      <c r="A937" s="22">
        <v>68167</v>
      </c>
      <c r="B937" s="24" t="s">
        <v>2491</v>
      </c>
      <c r="C937" s="24" t="s">
        <v>221</v>
      </c>
      <c r="D937" s="24" t="s">
        <v>219</v>
      </c>
      <c r="E937" s="24" t="s">
        <v>159</v>
      </c>
      <c r="F937" s="25" t="s">
        <v>167</v>
      </c>
    </row>
    <row r="938" spans="1:6">
      <c r="A938" s="22">
        <v>68169</v>
      </c>
      <c r="B938" s="24" t="s">
        <v>2492</v>
      </c>
      <c r="C938" s="24" t="s">
        <v>221</v>
      </c>
      <c r="D938" s="24" t="s">
        <v>219</v>
      </c>
      <c r="E938" s="24" t="s">
        <v>159</v>
      </c>
      <c r="F938" s="25" t="s">
        <v>199</v>
      </c>
    </row>
    <row r="939" spans="1:6">
      <c r="A939" s="22">
        <v>68179</v>
      </c>
      <c r="B939" s="24" t="s">
        <v>2493</v>
      </c>
      <c r="C939" s="24" t="s">
        <v>221</v>
      </c>
      <c r="D939" s="24" t="s">
        <v>274</v>
      </c>
      <c r="E939" s="24" t="s">
        <v>159</v>
      </c>
      <c r="F939" s="25" t="s">
        <v>167</v>
      </c>
    </row>
    <row r="940" spans="1:6">
      <c r="A940" s="22">
        <v>68190</v>
      </c>
      <c r="B940" s="24" t="s">
        <v>2494</v>
      </c>
      <c r="C940" s="24" t="s">
        <v>221</v>
      </c>
      <c r="D940" s="24" t="s">
        <v>219</v>
      </c>
      <c r="E940" s="24" t="s">
        <v>159</v>
      </c>
      <c r="F940" s="25" t="s">
        <v>167</v>
      </c>
    </row>
    <row r="941" spans="1:6">
      <c r="A941" s="22">
        <v>68209</v>
      </c>
      <c r="B941" s="24" t="s">
        <v>2495</v>
      </c>
      <c r="C941" s="24" t="s">
        <v>221</v>
      </c>
      <c r="D941" s="24" t="s">
        <v>219</v>
      </c>
      <c r="E941" s="24" t="s">
        <v>159</v>
      </c>
      <c r="F941" s="25" t="s">
        <v>158</v>
      </c>
    </row>
    <row r="942" spans="1:6">
      <c r="A942" s="22">
        <v>68211</v>
      </c>
      <c r="B942" s="24" t="s">
        <v>2496</v>
      </c>
      <c r="C942" s="24" t="s">
        <v>221</v>
      </c>
      <c r="D942" s="24" t="s">
        <v>219</v>
      </c>
      <c r="E942" s="24" t="s">
        <v>159</v>
      </c>
      <c r="F942" s="25" t="s">
        <v>167</v>
      </c>
    </row>
    <row r="943" spans="1:6">
      <c r="A943" s="22">
        <v>68217</v>
      </c>
      <c r="B943" s="24" t="s">
        <v>2497</v>
      </c>
      <c r="C943" s="24" t="s">
        <v>221</v>
      </c>
      <c r="D943" s="24" t="s">
        <v>219</v>
      </c>
      <c r="E943" s="24" t="s">
        <v>159</v>
      </c>
      <c r="F943" s="25" t="s">
        <v>167</v>
      </c>
    </row>
    <row r="944" spans="1:6">
      <c r="A944" s="22">
        <v>68229</v>
      </c>
      <c r="B944" s="24" t="s">
        <v>2498</v>
      </c>
      <c r="C944" s="24" t="s">
        <v>221</v>
      </c>
      <c r="D944" s="24" t="s">
        <v>219</v>
      </c>
      <c r="E944" s="24" t="s">
        <v>159</v>
      </c>
      <c r="F944" s="25" t="s">
        <v>199</v>
      </c>
    </row>
    <row r="945" spans="1:6">
      <c r="A945" s="22">
        <v>68235</v>
      </c>
      <c r="B945" s="24" t="s">
        <v>2499</v>
      </c>
      <c r="C945" s="24" t="s">
        <v>221</v>
      </c>
      <c r="D945" s="24" t="s">
        <v>219</v>
      </c>
      <c r="E945" s="24" t="s">
        <v>159</v>
      </c>
      <c r="F945" s="25" t="s">
        <v>167</v>
      </c>
    </row>
    <row r="946" spans="1:6">
      <c r="A946" s="22">
        <v>68245</v>
      </c>
      <c r="B946" s="24" t="s">
        <v>2500</v>
      </c>
      <c r="C946" s="24" t="s">
        <v>221</v>
      </c>
      <c r="D946" s="24" t="s">
        <v>219</v>
      </c>
      <c r="E946" s="24" t="s">
        <v>159</v>
      </c>
      <c r="F946" s="25" t="s">
        <v>167</v>
      </c>
    </row>
    <row r="947" spans="1:6">
      <c r="A947" s="22">
        <v>68255</v>
      </c>
      <c r="B947" s="24" t="s">
        <v>2501</v>
      </c>
      <c r="C947" s="24" t="s">
        <v>221</v>
      </c>
      <c r="D947" s="24" t="s">
        <v>219</v>
      </c>
      <c r="E947" s="24" t="s">
        <v>159</v>
      </c>
      <c r="F947" s="25" t="s">
        <v>199</v>
      </c>
    </row>
    <row r="948" spans="1:6">
      <c r="A948" s="22">
        <v>68264</v>
      </c>
      <c r="B948" s="24" t="s">
        <v>2502</v>
      </c>
      <c r="C948" s="24" t="s">
        <v>221</v>
      </c>
      <c r="D948" s="24" t="s">
        <v>219</v>
      </c>
      <c r="E948" s="24" t="s">
        <v>159</v>
      </c>
      <c r="F948" s="25" t="s">
        <v>167</v>
      </c>
    </row>
    <row r="949" spans="1:6">
      <c r="A949" s="22">
        <v>68266</v>
      </c>
      <c r="B949" s="24" t="s">
        <v>2503</v>
      </c>
      <c r="C949" s="24" t="s">
        <v>221</v>
      </c>
      <c r="D949" s="24" t="s">
        <v>219</v>
      </c>
      <c r="E949" s="24" t="s">
        <v>159</v>
      </c>
      <c r="F949" s="25" t="s">
        <v>167</v>
      </c>
    </row>
    <row r="950" spans="1:6">
      <c r="A950" s="22">
        <v>68271</v>
      </c>
      <c r="B950" s="24" t="s">
        <v>2504</v>
      </c>
      <c r="C950" s="24" t="s">
        <v>221</v>
      </c>
      <c r="D950" s="24" t="s">
        <v>274</v>
      </c>
      <c r="E950" s="24" t="s">
        <v>159</v>
      </c>
      <c r="F950" s="25" t="s">
        <v>167</v>
      </c>
    </row>
    <row r="951" spans="1:6">
      <c r="A951" s="22">
        <v>68276</v>
      </c>
      <c r="B951" s="24" t="s">
        <v>2505</v>
      </c>
      <c r="C951" s="24" t="s">
        <v>221</v>
      </c>
      <c r="D951" s="24" t="s">
        <v>219</v>
      </c>
      <c r="E951" s="24" t="s">
        <v>159</v>
      </c>
      <c r="F951" s="25" t="s">
        <v>55</v>
      </c>
    </row>
    <row r="952" spans="1:6">
      <c r="A952" s="22">
        <v>68296</v>
      </c>
      <c r="B952" s="24" t="s">
        <v>2506</v>
      </c>
      <c r="C952" s="24" t="s">
        <v>221</v>
      </c>
      <c r="D952" s="24" t="s">
        <v>219</v>
      </c>
      <c r="E952" s="24" t="s">
        <v>159</v>
      </c>
      <c r="F952" s="25" t="s">
        <v>158</v>
      </c>
    </row>
    <row r="953" spans="1:6">
      <c r="A953" s="22">
        <v>68298</v>
      </c>
      <c r="B953" s="24" t="s">
        <v>2507</v>
      </c>
      <c r="C953" s="24" t="s">
        <v>221</v>
      </c>
      <c r="D953" s="24" t="s">
        <v>219</v>
      </c>
      <c r="E953" s="24" t="s">
        <v>159</v>
      </c>
      <c r="F953" s="25" t="s">
        <v>167</v>
      </c>
    </row>
    <row r="954" spans="1:6">
      <c r="A954" s="22">
        <v>68307</v>
      </c>
      <c r="B954" s="24" t="s">
        <v>500</v>
      </c>
      <c r="C954" s="24" t="s">
        <v>221</v>
      </c>
      <c r="D954" s="24" t="s">
        <v>219</v>
      </c>
      <c r="E954" s="24" t="s">
        <v>159</v>
      </c>
      <c r="F954" s="25" t="s">
        <v>55</v>
      </c>
    </row>
    <row r="955" spans="1:6">
      <c r="A955" s="22">
        <v>68318</v>
      </c>
      <c r="B955" s="24" t="s">
        <v>2508</v>
      </c>
      <c r="C955" s="24" t="s">
        <v>221</v>
      </c>
      <c r="D955" s="24" t="s">
        <v>219</v>
      </c>
      <c r="E955" s="24" t="s">
        <v>159</v>
      </c>
      <c r="F955" s="25" t="s">
        <v>158</v>
      </c>
    </row>
    <row r="956" spans="1:6">
      <c r="A956" s="22">
        <v>68322</v>
      </c>
      <c r="B956" s="24" t="s">
        <v>2509</v>
      </c>
      <c r="C956" s="24" t="s">
        <v>221</v>
      </c>
      <c r="D956" s="24" t="s">
        <v>219</v>
      </c>
      <c r="E956" s="24" t="s">
        <v>159</v>
      </c>
      <c r="F956" s="25" t="s">
        <v>167</v>
      </c>
    </row>
    <row r="957" spans="1:6">
      <c r="A957" s="22">
        <v>68324</v>
      </c>
      <c r="B957" s="24" t="s">
        <v>2510</v>
      </c>
      <c r="C957" s="24" t="s">
        <v>221</v>
      </c>
      <c r="D957" s="24" t="s">
        <v>219</v>
      </c>
      <c r="E957" s="24" t="s">
        <v>159</v>
      </c>
      <c r="F957" s="25" t="s">
        <v>167</v>
      </c>
    </row>
    <row r="958" spans="1:6">
      <c r="A958" s="22">
        <v>68327</v>
      </c>
      <c r="B958" s="24" t="s">
        <v>2511</v>
      </c>
      <c r="C958" s="24" t="s">
        <v>221</v>
      </c>
      <c r="D958" s="24" t="s">
        <v>219</v>
      </c>
      <c r="E958" s="24" t="s">
        <v>159</v>
      </c>
      <c r="F958" s="25" t="s">
        <v>158</v>
      </c>
    </row>
    <row r="959" spans="1:6">
      <c r="A959" s="22">
        <v>68344</v>
      </c>
      <c r="B959" s="24" t="s">
        <v>2512</v>
      </c>
      <c r="C959" s="24" t="s">
        <v>221</v>
      </c>
      <c r="D959" s="24" t="s">
        <v>219</v>
      </c>
      <c r="E959" s="24" t="s">
        <v>159</v>
      </c>
      <c r="F959" s="25" t="s">
        <v>158</v>
      </c>
    </row>
    <row r="960" spans="1:6">
      <c r="A960" s="22">
        <v>68368</v>
      </c>
      <c r="B960" s="24" t="s">
        <v>2513</v>
      </c>
      <c r="C960" s="24" t="s">
        <v>221</v>
      </c>
      <c r="D960" s="24" t="s">
        <v>274</v>
      </c>
      <c r="E960" s="24" t="s">
        <v>159</v>
      </c>
      <c r="F960" s="25" t="s">
        <v>167</v>
      </c>
    </row>
    <row r="961" spans="1:6">
      <c r="A961" s="22">
        <v>68370</v>
      </c>
      <c r="B961" s="24" t="s">
        <v>2514</v>
      </c>
      <c r="C961" s="24" t="s">
        <v>221</v>
      </c>
      <c r="D961" s="24" t="s">
        <v>219</v>
      </c>
      <c r="E961" s="24" t="s">
        <v>159</v>
      </c>
      <c r="F961" s="25" t="s">
        <v>158</v>
      </c>
    </row>
    <row r="962" spans="1:6">
      <c r="A962" s="22">
        <v>68377</v>
      </c>
      <c r="B962" s="24" t="s">
        <v>2515</v>
      </c>
      <c r="C962" s="24" t="s">
        <v>221</v>
      </c>
      <c r="D962" s="24" t="s">
        <v>274</v>
      </c>
      <c r="E962" s="24" t="s">
        <v>159</v>
      </c>
      <c r="F962" s="25" t="s">
        <v>167</v>
      </c>
    </row>
    <row r="963" spans="1:6">
      <c r="A963" s="22">
        <v>68385</v>
      </c>
      <c r="B963" s="24" t="s">
        <v>2516</v>
      </c>
      <c r="C963" s="24" t="s">
        <v>221</v>
      </c>
      <c r="D963" s="24" t="s">
        <v>274</v>
      </c>
      <c r="E963" s="24" t="s">
        <v>159</v>
      </c>
      <c r="F963" s="25" t="s">
        <v>158</v>
      </c>
    </row>
    <row r="964" spans="1:6">
      <c r="A964" s="22">
        <v>68406</v>
      </c>
      <c r="B964" s="24" t="s">
        <v>1016</v>
      </c>
      <c r="C964" s="24" t="s">
        <v>221</v>
      </c>
      <c r="D964" s="24" t="s">
        <v>219</v>
      </c>
      <c r="E964" s="24" t="s">
        <v>159</v>
      </c>
      <c r="F964" s="25" t="s">
        <v>199</v>
      </c>
    </row>
    <row r="965" spans="1:6">
      <c r="A965" s="22">
        <v>68418</v>
      </c>
      <c r="B965" s="24" t="s">
        <v>2517</v>
      </c>
      <c r="C965" s="24" t="s">
        <v>221</v>
      </c>
      <c r="D965" s="24" t="s">
        <v>219</v>
      </c>
      <c r="E965" s="24" t="s">
        <v>159</v>
      </c>
      <c r="F965" s="25" t="s">
        <v>199</v>
      </c>
    </row>
    <row r="966" spans="1:6">
      <c r="A966" s="22">
        <v>68425</v>
      </c>
      <c r="B966" s="24" t="s">
        <v>2518</v>
      </c>
      <c r="C966" s="24" t="s">
        <v>221</v>
      </c>
      <c r="D966" s="24" t="s">
        <v>219</v>
      </c>
      <c r="E966" s="24" t="s">
        <v>159</v>
      </c>
      <c r="F966" s="25" t="s">
        <v>167</v>
      </c>
    </row>
    <row r="967" spans="1:6">
      <c r="A967" s="22">
        <v>68432</v>
      </c>
      <c r="B967" s="24" t="s">
        <v>507</v>
      </c>
      <c r="C967" s="24" t="s">
        <v>221</v>
      </c>
      <c r="D967" s="24" t="s">
        <v>219</v>
      </c>
      <c r="E967" s="24" t="s">
        <v>159</v>
      </c>
      <c r="F967" s="25" t="s">
        <v>167</v>
      </c>
    </row>
    <row r="968" spans="1:6">
      <c r="A968" s="22">
        <v>68444</v>
      </c>
      <c r="B968" s="24" t="s">
        <v>2519</v>
      </c>
      <c r="C968" s="24" t="s">
        <v>221</v>
      </c>
      <c r="D968" s="24" t="s">
        <v>219</v>
      </c>
      <c r="E968" s="24" t="s">
        <v>159</v>
      </c>
      <c r="F968" s="25" t="s">
        <v>158</v>
      </c>
    </row>
    <row r="969" spans="1:6">
      <c r="A969" s="22">
        <v>68464</v>
      </c>
      <c r="B969" s="24" t="s">
        <v>2520</v>
      </c>
      <c r="C969" s="24" t="s">
        <v>221</v>
      </c>
      <c r="D969" s="24" t="s">
        <v>219</v>
      </c>
      <c r="E969" s="24" t="s">
        <v>159</v>
      </c>
      <c r="F969" s="25" t="s">
        <v>158</v>
      </c>
    </row>
    <row r="970" spans="1:6">
      <c r="A970" s="22">
        <v>68468</v>
      </c>
      <c r="B970" s="24" t="s">
        <v>2521</v>
      </c>
      <c r="C970" s="24" t="s">
        <v>221</v>
      </c>
      <c r="D970" s="24" t="s">
        <v>219</v>
      </c>
      <c r="E970" s="24" t="s">
        <v>159</v>
      </c>
      <c r="F970" s="25" t="s">
        <v>167</v>
      </c>
    </row>
    <row r="971" spans="1:6">
      <c r="A971" s="22">
        <v>68498</v>
      </c>
      <c r="B971" s="24" t="s">
        <v>2522</v>
      </c>
      <c r="C971" s="24" t="s">
        <v>221</v>
      </c>
      <c r="D971" s="24" t="s">
        <v>219</v>
      </c>
      <c r="E971" s="24" t="s">
        <v>159</v>
      </c>
      <c r="F971" s="25" t="s">
        <v>167</v>
      </c>
    </row>
    <row r="972" spans="1:6">
      <c r="A972" s="22">
        <v>68500</v>
      </c>
      <c r="B972" s="24" t="s">
        <v>2523</v>
      </c>
      <c r="C972" s="24" t="s">
        <v>221</v>
      </c>
      <c r="D972" s="24" t="s">
        <v>219</v>
      </c>
      <c r="E972" s="24" t="s">
        <v>159</v>
      </c>
      <c r="F972" s="25" t="s">
        <v>158</v>
      </c>
    </row>
    <row r="973" spans="1:6">
      <c r="A973" s="22">
        <v>68502</v>
      </c>
      <c r="B973" s="24" t="s">
        <v>2524</v>
      </c>
      <c r="C973" s="24" t="s">
        <v>221</v>
      </c>
      <c r="D973" s="24" t="s">
        <v>219</v>
      </c>
      <c r="E973" s="24" t="s">
        <v>159</v>
      </c>
      <c r="F973" s="25" t="s">
        <v>167</v>
      </c>
    </row>
    <row r="974" spans="1:6">
      <c r="A974" s="22">
        <v>68522</v>
      </c>
      <c r="B974" s="24" t="s">
        <v>2525</v>
      </c>
      <c r="C974" s="24" t="s">
        <v>221</v>
      </c>
      <c r="D974" s="24" t="s">
        <v>219</v>
      </c>
      <c r="E974" s="24" t="s">
        <v>159</v>
      </c>
      <c r="F974" s="25" t="s">
        <v>158</v>
      </c>
    </row>
    <row r="975" spans="1:6">
      <c r="A975" s="22">
        <v>68524</v>
      </c>
      <c r="B975" s="24" t="s">
        <v>2526</v>
      </c>
      <c r="C975" s="24" t="s">
        <v>221</v>
      </c>
      <c r="D975" s="24" t="s">
        <v>219</v>
      </c>
      <c r="E975" s="24" t="s">
        <v>159</v>
      </c>
      <c r="F975" s="25" t="s">
        <v>158</v>
      </c>
    </row>
    <row r="976" spans="1:6">
      <c r="A976" s="22">
        <v>68533</v>
      </c>
      <c r="B976" s="24" t="s">
        <v>1618</v>
      </c>
      <c r="C976" s="24" t="s">
        <v>221</v>
      </c>
      <c r="D976" s="24" t="s">
        <v>219</v>
      </c>
      <c r="E976" s="24" t="s">
        <v>159</v>
      </c>
      <c r="F976" s="25" t="s">
        <v>158</v>
      </c>
    </row>
    <row r="977" spans="1:6">
      <c r="A977" s="22">
        <v>68547</v>
      </c>
      <c r="B977" s="24" t="s">
        <v>772</v>
      </c>
      <c r="C977" s="24" t="s">
        <v>221</v>
      </c>
      <c r="D977" s="24" t="s">
        <v>219</v>
      </c>
      <c r="E977" s="24" t="s">
        <v>159</v>
      </c>
      <c r="F977" s="25" t="s">
        <v>199</v>
      </c>
    </row>
    <row r="978" spans="1:6">
      <c r="A978" s="22">
        <v>68549</v>
      </c>
      <c r="B978" s="24" t="s">
        <v>2527</v>
      </c>
      <c r="C978" s="24" t="s">
        <v>221</v>
      </c>
      <c r="D978" s="24" t="s">
        <v>219</v>
      </c>
      <c r="E978" s="24" t="s">
        <v>159</v>
      </c>
      <c r="F978" s="25" t="s">
        <v>158</v>
      </c>
    </row>
    <row r="979" spans="1:6">
      <c r="A979" s="22">
        <v>68572</v>
      </c>
      <c r="B979" s="24" t="s">
        <v>2528</v>
      </c>
      <c r="C979" s="24" t="s">
        <v>221</v>
      </c>
      <c r="D979" s="24" t="s">
        <v>274</v>
      </c>
      <c r="E979" s="24" t="s">
        <v>159</v>
      </c>
      <c r="F979" s="25" t="s">
        <v>199</v>
      </c>
    </row>
    <row r="980" spans="1:6">
      <c r="A980" s="22">
        <v>68573</v>
      </c>
      <c r="B980" s="24" t="s">
        <v>2529</v>
      </c>
      <c r="C980" s="24" t="s">
        <v>221</v>
      </c>
      <c r="D980" s="24" t="s">
        <v>219</v>
      </c>
      <c r="E980" s="24" t="s">
        <v>159</v>
      </c>
      <c r="F980" s="25" t="s">
        <v>158</v>
      </c>
    </row>
    <row r="981" spans="1:6">
      <c r="A981" s="22">
        <v>68575</v>
      </c>
      <c r="B981" s="24" t="s">
        <v>2530</v>
      </c>
      <c r="C981" s="24" t="s">
        <v>221</v>
      </c>
      <c r="D981" s="24" t="s">
        <v>219</v>
      </c>
      <c r="E981" s="24" t="s">
        <v>159</v>
      </c>
      <c r="F981" s="25" t="s">
        <v>167</v>
      </c>
    </row>
    <row r="982" spans="1:6">
      <c r="A982" s="22">
        <v>68655</v>
      </c>
      <c r="B982" s="24" t="s">
        <v>2531</v>
      </c>
      <c r="C982" s="24" t="s">
        <v>221</v>
      </c>
      <c r="D982" s="24" t="s">
        <v>219</v>
      </c>
      <c r="E982" s="24" t="s">
        <v>159</v>
      </c>
      <c r="F982" s="25" t="s">
        <v>158</v>
      </c>
    </row>
    <row r="983" spans="1:6">
      <c r="A983" s="22">
        <v>68673</v>
      </c>
      <c r="B983" s="24" t="s">
        <v>2532</v>
      </c>
      <c r="C983" s="24" t="s">
        <v>221</v>
      </c>
      <c r="D983" s="24" t="s">
        <v>219</v>
      </c>
      <c r="E983" s="24" t="s">
        <v>159</v>
      </c>
      <c r="F983" s="25" t="s">
        <v>167</v>
      </c>
    </row>
    <row r="984" spans="1:6">
      <c r="A984" s="22">
        <v>68679</v>
      </c>
      <c r="B984" s="24" t="s">
        <v>222</v>
      </c>
      <c r="C984" s="24" t="s">
        <v>221</v>
      </c>
      <c r="D984" s="24" t="s">
        <v>219</v>
      </c>
      <c r="E984" s="24" t="s">
        <v>159</v>
      </c>
      <c r="F984" s="25" t="s">
        <v>199</v>
      </c>
    </row>
    <row r="985" spans="1:6">
      <c r="A985" s="22">
        <v>68682</v>
      </c>
      <c r="B985" s="24" t="s">
        <v>2533</v>
      </c>
      <c r="C985" s="24" t="s">
        <v>221</v>
      </c>
      <c r="D985" s="24" t="s">
        <v>219</v>
      </c>
      <c r="E985" s="24" t="s">
        <v>159</v>
      </c>
      <c r="F985" s="25" t="s">
        <v>167</v>
      </c>
    </row>
    <row r="986" spans="1:6">
      <c r="A986" s="22">
        <v>68684</v>
      </c>
      <c r="B986" s="24" t="s">
        <v>2534</v>
      </c>
      <c r="C986" s="24" t="s">
        <v>221</v>
      </c>
      <c r="D986" s="24" t="s">
        <v>219</v>
      </c>
      <c r="E986" s="24" t="s">
        <v>159</v>
      </c>
      <c r="F986" s="25" t="s">
        <v>167</v>
      </c>
    </row>
    <row r="987" spans="1:6">
      <c r="A987" s="22">
        <v>68689</v>
      </c>
      <c r="B987" s="24" t="s">
        <v>2535</v>
      </c>
      <c r="C987" s="24" t="s">
        <v>221</v>
      </c>
      <c r="D987" s="24" t="s">
        <v>219</v>
      </c>
      <c r="E987" s="24" t="s">
        <v>159</v>
      </c>
      <c r="F987" s="25" t="s">
        <v>158</v>
      </c>
    </row>
    <row r="988" spans="1:6">
      <c r="A988" s="22">
        <v>68720</v>
      </c>
      <c r="B988" s="24" t="s">
        <v>2536</v>
      </c>
      <c r="C988" s="24" t="s">
        <v>221</v>
      </c>
      <c r="D988" s="24" t="s">
        <v>219</v>
      </c>
      <c r="E988" s="24" t="s">
        <v>159</v>
      </c>
      <c r="F988" s="25" t="s">
        <v>167</v>
      </c>
    </row>
    <row r="989" spans="1:6">
      <c r="A989" s="22">
        <v>68745</v>
      </c>
      <c r="B989" s="24" t="s">
        <v>2537</v>
      </c>
      <c r="C989" s="24" t="s">
        <v>221</v>
      </c>
      <c r="D989" s="24" t="s">
        <v>219</v>
      </c>
      <c r="E989" s="24" t="s">
        <v>159</v>
      </c>
      <c r="F989" s="25" t="s">
        <v>158</v>
      </c>
    </row>
    <row r="990" spans="1:6">
      <c r="A990" s="22">
        <v>68755</v>
      </c>
      <c r="B990" s="24" t="s">
        <v>2538</v>
      </c>
      <c r="C990" s="24" t="s">
        <v>221</v>
      </c>
      <c r="D990" s="24" t="s">
        <v>219</v>
      </c>
      <c r="E990" s="24" t="s">
        <v>159</v>
      </c>
      <c r="F990" s="25" t="s">
        <v>158</v>
      </c>
    </row>
    <row r="991" spans="1:6">
      <c r="A991" s="22">
        <v>68770</v>
      </c>
      <c r="B991" s="24" t="s">
        <v>2539</v>
      </c>
      <c r="C991" s="24" t="s">
        <v>221</v>
      </c>
      <c r="D991" s="24" t="s">
        <v>219</v>
      </c>
      <c r="E991" s="24" t="s">
        <v>159</v>
      </c>
      <c r="F991" s="25" t="s">
        <v>158</v>
      </c>
    </row>
    <row r="992" spans="1:6">
      <c r="A992" s="22">
        <v>68780</v>
      </c>
      <c r="B992" s="24" t="s">
        <v>2540</v>
      </c>
      <c r="C992" s="24" t="s">
        <v>221</v>
      </c>
      <c r="D992" s="24" t="s">
        <v>219</v>
      </c>
      <c r="E992" s="24" t="s">
        <v>159</v>
      </c>
      <c r="F992" s="25" t="s">
        <v>158</v>
      </c>
    </row>
    <row r="993" spans="1:6">
      <c r="A993" s="22">
        <v>68820</v>
      </c>
      <c r="B993" s="24" t="s">
        <v>2541</v>
      </c>
      <c r="C993" s="24" t="s">
        <v>221</v>
      </c>
      <c r="D993" s="24" t="s">
        <v>219</v>
      </c>
      <c r="E993" s="24" t="s">
        <v>159</v>
      </c>
      <c r="F993" s="25" t="s">
        <v>199</v>
      </c>
    </row>
    <row r="994" spans="1:6">
      <c r="A994" s="22">
        <v>68855</v>
      </c>
      <c r="B994" s="24" t="s">
        <v>2542</v>
      </c>
      <c r="C994" s="24" t="s">
        <v>221</v>
      </c>
      <c r="D994" s="24" t="s">
        <v>219</v>
      </c>
      <c r="E994" s="24" t="s">
        <v>159</v>
      </c>
      <c r="F994" s="25" t="s">
        <v>158</v>
      </c>
    </row>
    <row r="995" spans="1:6">
      <c r="A995" s="22">
        <v>68861</v>
      </c>
      <c r="B995" s="24" t="s">
        <v>651</v>
      </c>
      <c r="C995" s="24" t="s">
        <v>221</v>
      </c>
      <c r="D995" s="24" t="s">
        <v>274</v>
      </c>
      <c r="E995" s="24" t="s">
        <v>159</v>
      </c>
      <c r="F995" s="25" t="s">
        <v>199</v>
      </c>
    </row>
    <row r="996" spans="1:6">
      <c r="A996" s="22">
        <v>68867</v>
      </c>
      <c r="B996" s="24" t="s">
        <v>513</v>
      </c>
      <c r="C996" s="24" t="s">
        <v>221</v>
      </c>
      <c r="D996" s="24" t="s">
        <v>309</v>
      </c>
      <c r="E996" s="24" t="s">
        <v>159</v>
      </c>
      <c r="F996" s="25" t="s">
        <v>167</v>
      </c>
    </row>
    <row r="997" spans="1:6">
      <c r="A997" s="22">
        <v>68895</v>
      </c>
      <c r="B997" s="24" t="s">
        <v>2543</v>
      </c>
      <c r="C997" s="24" t="s">
        <v>221</v>
      </c>
      <c r="D997" s="24" t="s">
        <v>219</v>
      </c>
      <c r="E997" s="24" t="s">
        <v>159</v>
      </c>
      <c r="F997" s="25" t="s">
        <v>158</v>
      </c>
    </row>
    <row r="998" spans="1:6">
      <c r="A998" s="22">
        <v>70110</v>
      </c>
      <c r="B998" s="23" t="s">
        <v>1441</v>
      </c>
      <c r="C998" s="24" t="s">
        <v>349</v>
      </c>
      <c r="D998" s="24" t="s">
        <v>347</v>
      </c>
      <c r="E998" s="24" t="s">
        <v>159</v>
      </c>
      <c r="F998" s="25" t="s">
        <v>199</v>
      </c>
    </row>
    <row r="999" spans="1:6">
      <c r="A999" s="22">
        <v>70400</v>
      </c>
      <c r="B999" s="23" t="s">
        <v>304</v>
      </c>
      <c r="C999" s="24" t="s">
        <v>349</v>
      </c>
      <c r="D999" s="24" t="s">
        <v>347</v>
      </c>
      <c r="E999" s="24" t="s">
        <v>159</v>
      </c>
      <c r="F999" s="25" t="s">
        <v>199</v>
      </c>
    </row>
    <row r="1000" spans="1:6">
      <c r="A1000" s="22">
        <v>70717</v>
      </c>
      <c r="B1000" s="23" t="s">
        <v>2544</v>
      </c>
      <c r="C1000" s="24" t="s">
        <v>349</v>
      </c>
      <c r="D1000" s="24" t="s">
        <v>347</v>
      </c>
      <c r="E1000" s="24" t="s">
        <v>159</v>
      </c>
      <c r="F1000" s="25" t="s">
        <v>199</v>
      </c>
    </row>
    <row r="1001" spans="1:6">
      <c r="A1001" s="22">
        <v>70771</v>
      </c>
      <c r="B1001" s="23" t="s">
        <v>349</v>
      </c>
      <c r="C1001" s="24" t="s">
        <v>349</v>
      </c>
      <c r="D1001" s="24" t="s">
        <v>347</v>
      </c>
      <c r="E1001" s="24" t="s">
        <v>159</v>
      </c>
      <c r="F1001" s="25" t="s">
        <v>147</v>
      </c>
    </row>
    <row r="1002" spans="1:6">
      <c r="A1002" s="22">
        <v>70124</v>
      </c>
      <c r="B1002" s="24" t="s">
        <v>2545</v>
      </c>
      <c r="C1002" s="24" t="s">
        <v>349</v>
      </c>
      <c r="D1002" s="24" t="s">
        <v>347</v>
      </c>
      <c r="E1002" s="24" t="s">
        <v>159</v>
      </c>
      <c r="F1002" s="25" t="s">
        <v>167</v>
      </c>
    </row>
    <row r="1003" spans="1:6">
      <c r="A1003" s="22">
        <v>70230</v>
      </c>
      <c r="B1003" s="24" t="s">
        <v>2546</v>
      </c>
      <c r="C1003" s="24" t="s">
        <v>349</v>
      </c>
      <c r="D1003" s="24" t="s">
        <v>347</v>
      </c>
      <c r="E1003" s="24" t="s">
        <v>159</v>
      </c>
      <c r="F1003" s="25" t="s">
        <v>158</v>
      </c>
    </row>
    <row r="1004" spans="1:6">
      <c r="A1004" s="22">
        <v>70204</v>
      </c>
      <c r="B1004" s="24" t="s">
        <v>2547</v>
      </c>
      <c r="C1004" s="24" t="s">
        <v>349</v>
      </c>
      <c r="D1004" s="24" t="s">
        <v>347</v>
      </c>
      <c r="E1004" s="24" t="s">
        <v>159</v>
      </c>
      <c r="F1004" s="25" t="s">
        <v>158</v>
      </c>
    </row>
    <row r="1005" spans="1:6">
      <c r="A1005" s="22">
        <v>70215</v>
      </c>
      <c r="B1005" s="24" t="s">
        <v>350</v>
      </c>
      <c r="C1005" s="24" t="s">
        <v>349</v>
      </c>
      <c r="D1005" s="24" t="s">
        <v>347</v>
      </c>
      <c r="E1005" s="24" t="s">
        <v>159</v>
      </c>
      <c r="F1005" s="25" t="s">
        <v>199</v>
      </c>
    </row>
    <row r="1006" spans="1:6">
      <c r="A1006" s="22">
        <v>70221</v>
      </c>
      <c r="B1006" s="24" t="s">
        <v>2548</v>
      </c>
      <c r="C1006" s="24" t="s">
        <v>349</v>
      </c>
      <c r="D1006" s="24" t="s">
        <v>347</v>
      </c>
      <c r="E1006" s="24" t="s">
        <v>159</v>
      </c>
      <c r="F1006" s="25" t="s">
        <v>199</v>
      </c>
    </row>
    <row r="1007" spans="1:6">
      <c r="A1007" s="22">
        <v>70233</v>
      </c>
      <c r="B1007" s="24" t="s">
        <v>2549</v>
      </c>
      <c r="C1007" s="24" t="s">
        <v>349</v>
      </c>
      <c r="D1007" s="24" t="s">
        <v>347</v>
      </c>
      <c r="E1007" s="24" t="s">
        <v>159</v>
      </c>
      <c r="F1007" s="25" t="s">
        <v>199</v>
      </c>
    </row>
    <row r="1008" spans="1:6">
      <c r="A1008" s="22">
        <v>70235</v>
      </c>
      <c r="B1008" s="24" t="s">
        <v>2550</v>
      </c>
      <c r="C1008" s="24" t="s">
        <v>349</v>
      </c>
      <c r="D1008" s="24" t="s">
        <v>347</v>
      </c>
      <c r="E1008" s="24" t="s">
        <v>159</v>
      </c>
      <c r="F1008" s="25" t="s">
        <v>199</v>
      </c>
    </row>
    <row r="1009" spans="1:6">
      <c r="A1009" s="22">
        <v>70265</v>
      </c>
      <c r="B1009" s="24" t="s">
        <v>2551</v>
      </c>
      <c r="C1009" s="24" t="s">
        <v>349</v>
      </c>
      <c r="D1009" s="24" t="s">
        <v>347</v>
      </c>
      <c r="E1009" s="24" t="s">
        <v>159</v>
      </c>
      <c r="F1009" s="25" t="s">
        <v>167</v>
      </c>
    </row>
    <row r="1010" spans="1:6">
      <c r="A1010" s="22">
        <v>70418</v>
      </c>
      <c r="B1010" s="24" t="s">
        <v>2552</v>
      </c>
      <c r="C1010" s="24" t="s">
        <v>349</v>
      </c>
      <c r="D1010" s="24" t="s">
        <v>347</v>
      </c>
      <c r="E1010" s="24" t="s">
        <v>159</v>
      </c>
      <c r="F1010" s="25" t="s">
        <v>199</v>
      </c>
    </row>
    <row r="1011" spans="1:6">
      <c r="A1011" s="22">
        <v>70429</v>
      </c>
      <c r="B1011" s="24" t="s">
        <v>2553</v>
      </c>
      <c r="C1011" s="24" t="s">
        <v>349</v>
      </c>
      <c r="D1011" s="24" t="s">
        <v>347</v>
      </c>
      <c r="E1011" s="24" t="s">
        <v>148</v>
      </c>
      <c r="F1011" s="25" t="s">
        <v>167</v>
      </c>
    </row>
    <row r="1012" spans="1:6">
      <c r="A1012" s="22">
        <v>70473</v>
      </c>
      <c r="B1012" s="24" t="s">
        <v>2554</v>
      </c>
      <c r="C1012" s="24" t="s">
        <v>349</v>
      </c>
      <c r="D1012" s="24" t="s">
        <v>347</v>
      </c>
      <c r="E1012" s="24" t="s">
        <v>159</v>
      </c>
      <c r="F1012" s="25" t="s">
        <v>199</v>
      </c>
    </row>
    <row r="1013" spans="1:6">
      <c r="A1013" s="22">
        <v>70508</v>
      </c>
      <c r="B1013" s="24" t="s">
        <v>2555</v>
      </c>
      <c r="C1013" s="24" t="s">
        <v>349</v>
      </c>
      <c r="D1013" s="24" t="s">
        <v>347</v>
      </c>
      <c r="E1013" s="24" t="s">
        <v>159</v>
      </c>
      <c r="F1013" s="25" t="s">
        <v>199</v>
      </c>
    </row>
    <row r="1014" spans="1:6">
      <c r="A1014" s="22">
        <v>70523</v>
      </c>
      <c r="B1014" s="24" t="s">
        <v>2556</v>
      </c>
      <c r="C1014" s="24" t="s">
        <v>349</v>
      </c>
      <c r="D1014" s="24" t="s">
        <v>347</v>
      </c>
      <c r="E1014" s="24" t="s">
        <v>159</v>
      </c>
      <c r="F1014" s="25" t="s">
        <v>199</v>
      </c>
    </row>
    <row r="1015" spans="1:6">
      <c r="A1015" s="22">
        <v>70670</v>
      </c>
      <c r="B1015" s="24" t="s">
        <v>2557</v>
      </c>
      <c r="C1015" s="24" t="s">
        <v>349</v>
      </c>
      <c r="D1015" s="24" t="s">
        <v>347</v>
      </c>
      <c r="E1015" s="24" t="s">
        <v>159</v>
      </c>
      <c r="F1015" s="25" t="s">
        <v>199</v>
      </c>
    </row>
    <row r="1016" spans="1:6">
      <c r="A1016" s="22">
        <v>70678</v>
      </c>
      <c r="B1016" s="24" t="s">
        <v>2558</v>
      </c>
      <c r="C1016" s="24" t="s">
        <v>349</v>
      </c>
      <c r="D1016" s="24" t="s">
        <v>347</v>
      </c>
      <c r="E1016" s="24" t="s">
        <v>159</v>
      </c>
      <c r="F1016" s="25" t="s">
        <v>199</v>
      </c>
    </row>
    <row r="1017" spans="1:6">
      <c r="A1017" s="22">
        <v>70702</v>
      </c>
      <c r="B1017" s="24" t="s">
        <v>2559</v>
      </c>
      <c r="C1017" s="24" t="s">
        <v>349</v>
      </c>
      <c r="D1017" s="24" t="s">
        <v>347</v>
      </c>
      <c r="E1017" s="24" t="s">
        <v>159</v>
      </c>
      <c r="F1017" s="25" t="s">
        <v>199</v>
      </c>
    </row>
    <row r="1018" spans="1:6">
      <c r="A1018" s="22">
        <v>70742</v>
      </c>
      <c r="B1018" s="24" t="s">
        <v>2560</v>
      </c>
      <c r="C1018" s="24" t="s">
        <v>349</v>
      </c>
      <c r="D1018" s="24" t="s">
        <v>347</v>
      </c>
      <c r="E1018" s="24" t="s">
        <v>159</v>
      </c>
      <c r="F1018" s="25" t="s">
        <v>199</v>
      </c>
    </row>
    <row r="1019" spans="1:6">
      <c r="A1019" s="22">
        <v>70708</v>
      </c>
      <c r="B1019" s="24" t="s">
        <v>2561</v>
      </c>
      <c r="C1019" s="24" t="s">
        <v>349</v>
      </c>
      <c r="D1019" s="24" t="s">
        <v>347</v>
      </c>
      <c r="E1019" s="24" t="s">
        <v>159</v>
      </c>
      <c r="F1019" s="25" t="s">
        <v>158</v>
      </c>
    </row>
    <row r="1020" spans="1:6">
      <c r="A1020" s="22">
        <v>70713</v>
      </c>
      <c r="B1020" s="24" t="s">
        <v>2562</v>
      </c>
      <c r="C1020" s="24" t="s">
        <v>349</v>
      </c>
      <c r="D1020" s="24" t="s">
        <v>347</v>
      </c>
      <c r="E1020" s="24" t="s">
        <v>159</v>
      </c>
      <c r="F1020" s="25" t="s">
        <v>199</v>
      </c>
    </row>
    <row r="1021" spans="1:6">
      <c r="A1021" s="22">
        <v>70820</v>
      </c>
      <c r="B1021" s="24" t="s">
        <v>2563</v>
      </c>
      <c r="C1021" s="24" t="s">
        <v>349</v>
      </c>
      <c r="D1021" s="24" t="s">
        <v>347</v>
      </c>
      <c r="E1021" s="24" t="s">
        <v>159</v>
      </c>
      <c r="F1021" s="25" t="s">
        <v>199</v>
      </c>
    </row>
    <row r="1022" spans="1:6">
      <c r="A1022" s="22">
        <v>70001</v>
      </c>
      <c r="B1022" s="24" t="s">
        <v>347</v>
      </c>
      <c r="C1022" s="24" t="s">
        <v>349</v>
      </c>
      <c r="D1022" s="24" t="s">
        <v>347</v>
      </c>
      <c r="E1022" s="24" t="s">
        <v>159</v>
      </c>
      <c r="F1022" s="25" t="s">
        <v>55</v>
      </c>
    </row>
    <row r="1023" spans="1:6">
      <c r="A1023" s="22">
        <v>70823</v>
      </c>
      <c r="B1023" s="24" t="s">
        <v>2564</v>
      </c>
      <c r="C1023" s="24" t="s">
        <v>349</v>
      </c>
      <c r="D1023" s="24" t="s">
        <v>347</v>
      </c>
      <c r="E1023" s="24" t="s">
        <v>159</v>
      </c>
      <c r="F1023" s="25" t="s">
        <v>199</v>
      </c>
    </row>
    <row r="1024" spans="1:6">
      <c r="A1024" s="22">
        <v>73678</v>
      </c>
      <c r="B1024" s="23" t="s">
        <v>1777</v>
      </c>
      <c r="C1024" s="24" t="s">
        <v>520</v>
      </c>
      <c r="D1024" s="24" t="s">
        <v>518</v>
      </c>
      <c r="E1024" s="24" t="s">
        <v>159</v>
      </c>
      <c r="F1024" s="25" t="s">
        <v>199</v>
      </c>
    </row>
    <row r="1025" spans="1:6">
      <c r="A1025" s="22">
        <v>73770</v>
      </c>
      <c r="B1025" s="23" t="s">
        <v>2089</v>
      </c>
      <c r="C1025" s="24" t="s">
        <v>520</v>
      </c>
      <c r="D1025" s="24" t="s">
        <v>518</v>
      </c>
      <c r="E1025" s="24" t="s">
        <v>159</v>
      </c>
      <c r="F1025" s="25" t="s">
        <v>199</v>
      </c>
    </row>
    <row r="1026" spans="1:6">
      <c r="A1026" s="22">
        <v>73024</v>
      </c>
      <c r="B1026" s="24" t="s">
        <v>2565</v>
      </c>
      <c r="C1026" s="24" t="s">
        <v>520</v>
      </c>
      <c r="D1026" s="24" t="s">
        <v>518</v>
      </c>
      <c r="E1026" s="24" t="s">
        <v>159</v>
      </c>
      <c r="F1026" s="25" t="s">
        <v>167</v>
      </c>
    </row>
    <row r="1027" spans="1:6">
      <c r="A1027" s="22">
        <v>73026</v>
      </c>
      <c r="B1027" s="24" t="s">
        <v>2566</v>
      </c>
      <c r="C1027" s="24" t="s">
        <v>520</v>
      </c>
      <c r="D1027" s="24" t="s">
        <v>518</v>
      </c>
      <c r="E1027" s="24" t="s">
        <v>159</v>
      </c>
      <c r="F1027" s="25" t="s">
        <v>199</v>
      </c>
    </row>
    <row r="1028" spans="1:6">
      <c r="A1028" s="22">
        <v>73030</v>
      </c>
      <c r="B1028" s="24" t="s">
        <v>2567</v>
      </c>
      <c r="C1028" s="24" t="s">
        <v>520</v>
      </c>
      <c r="D1028" s="24" t="s">
        <v>518</v>
      </c>
      <c r="E1028" s="24" t="s">
        <v>159</v>
      </c>
      <c r="F1028" s="25" t="s">
        <v>199</v>
      </c>
    </row>
    <row r="1029" spans="1:6">
      <c r="A1029" s="22">
        <v>73043</v>
      </c>
      <c r="B1029" s="24" t="s">
        <v>2568</v>
      </c>
      <c r="C1029" s="24" t="s">
        <v>520</v>
      </c>
      <c r="D1029" s="24" t="s">
        <v>518</v>
      </c>
      <c r="E1029" s="24" t="s">
        <v>159</v>
      </c>
      <c r="F1029" s="25" t="s">
        <v>199</v>
      </c>
    </row>
    <row r="1030" spans="1:6">
      <c r="A1030" s="22">
        <v>73055</v>
      </c>
      <c r="B1030" s="24" t="s">
        <v>2569</v>
      </c>
      <c r="C1030" s="24" t="s">
        <v>520</v>
      </c>
      <c r="D1030" s="24" t="s">
        <v>518</v>
      </c>
      <c r="E1030" s="24" t="s">
        <v>159</v>
      </c>
      <c r="F1030" s="25" t="s">
        <v>199</v>
      </c>
    </row>
    <row r="1031" spans="1:6">
      <c r="A1031" s="22">
        <v>73067</v>
      </c>
      <c r="B1031" s="24" t="s">
        <v>2570</v>
      </c>
      <c r="C1031" s="24" t="s">
        <v>520</v>
      </c>
      <c r="D1031" s="24" t="s">
        <v>518</v>
      </c>
      <c r="E1031" s="24" t="s">
        <v>159</v>
      </c>
      <c r="F1031" s="25" t="s">
        <v>158</v>
      </c>
    </row>
    <row r="1032" spans="1:6">
      <c r="A1032" s="22">
        <v>73124</v>
      </c>
      <c r="B1032" s="24" t="s">
        <v>2571</v>
      </c>
      <c r="C1032" s="24" t="s">
        <v>520</v>
      </c>
      <c r="D1032" s="24" t="s">
        <v>518</v>
      </c>
      <c r="E1032" s="24" t="s">
        <v>159</v>
      </c>
      <c r="F1032" s="25" t="s">
        <v>199</v>
      </c>
    </row>
    <row r="1033" spans="1:6">
      <c r="A1033" s="22">
        <v>73148</v>
      </c>
      <c r="B1033" s="24" t="s">
        <v>2572</v>
      </c>
      <c r="C1033" s="24" t="s">
        <v>520</v>
      </c>
      <c r="D1033" s="24" t="s">
        <v>432</v>
      </c>
      <c r="E1033" s="24" t="s">
        <v>159</v>
      </c>
      <c r="F1033" s="25" t="s">
        <v>199</v>
      </c>
    </row>
    <row r="1034" spans="1:6">
      <c r="A1034" s="22">
        <v>73152</v>
      </c>
      <c r="B1034" s="24" t="s">
        <v>2573</v>
      </c>
      <c r="C1034" s="24" t="s">
        <v>520</v>
      </c>
      <c r="D1034" s="24" t="s">
        <v>518</v>
      </c>
      <c r="E1034" s="24" t="s">
        <v>159</v>
      </c>
      <c r="F1034" s="25" t="s">
        <v>158</v>
      </c>
    </row>
    <row r="1035" spans="1:6">
      <c r="A1035" s="22">
        <v>73168</v>
      </c>
      <c r="B1035" s="24" t="s">
        <v>2574</v>
      </c>
      <c r="C1035" s="24" t="s">
        <v>520</v>
      </c>
      <c r="D1035" s="24" t="s">
        <v>518</v>
      </c>
      <c r="E1035" s="24" t="s">
        <v>159</v>
      </c>
      <c r="F1035" s="25" t="s">
        <v>158</v>
      </c>
    </row>
    <row r="1036" spans="1:6">
      <c r="A1036" s="22">
        <v>73200</v>
      </c>
      <c r="B1036" s="24" t="s">
        <v>2575</v>
      </c>
      <c r="C1036" s="24" t="s">
        <v>520</v>
      </c>
      <c r="D1036" s="24" t="s">
        <v>518</v>
      </c>
      <c r="E1036" s="24" t="s">
        <v>159</v>
      </c>
      <c r="F1036" s="25" t="s">
        <v>199</v>
      </c>
    </row>
    <row r="1037" spans="1:6">
      <c r="A1037" s="22">
        <v>73217</v>
      </c>
      <c r="B1037" s="24" t="s">
        <v>2576</v>
      </c>
      <c r="C1037" s="24" t="s">
        <v>520</v>
      </c>
      <c r="D1037" s="24" t="s">
        <v>518</v>
      </c>
      <c r="E1037" s="24" t="s">
        <v>159</v>
      </c>
      <c r="F1037" s="25" t="s">
        <v>158</v>
      </c>
    </row>
    <row r="1038" spans="1:6">
      <c r="A1038" s="22">
        <v>73226</v>
      </c>
      <c r="B1038" s="24" t="s">
        <v>2577</v>
      </c>
      <c r="C1038" s="24" t="s">
        <v>520</v>
      </c>
      <c r="D1038" s="24" t="s">
        <v>518</v>
      </c>
      <c r="E1038" s="24" t="s">
        <v>159</v>
      </c>
      <c r="F1038" s="25" t="s">
        <v>199</v>
      </c>
    </row>
    <row r="1039" spans="1:6">
      <c r="A1039" s="22">
        <v>73236</v>
      </c>
      <c r="B1039" s="24" t="s">
        <v>2578</v>
      </c>
      <c r="C1039" s="24" t="s">
        <v>520</v>
      </c>
      <c r="D1039" s="24" t="s">
        <v>518</v>
      </c>
      <c r="E1039" s="24" t="s">
        <v>159</v>
      </c>
      <c r="F1039" s="25" t="s">
        <v>167</v>
      </c>
    </row>
    <row r="1040" spans="1:6">
      <c r="A1040" s="22">
        <v>73268</v>
      </c>
      <c r="B1040" s="24" t="s">
        <v>2579</v>
      </c>
      <c r="C1040" s="24" t="s">
        <v>520</v>
      </c>
      <c r="D1040" s="24" t="s">
        <v>518</v>
      </c>
      <c r="E1040" s="24" t="s">
        <v>159</v>
      </c>
      <c r="F1040" s="25" t="s">
        <v>199</v>
      </c>
    </row>
    <row r="1041" spans="1:6">
      <c r="A1041" s="22">
        <v>73270</v>
      </c>
      <c r="B1041" s="24" t="s">
        <v>2580</v>
      </c>
      <c r="C1041" s="24" t="s">
        <v>520</v>
      </c>
      <c r="D1041" s="24" t="s">
        <v>518</v>
      </c>
      <c r="E1041" s="24" t="s">
        <v>159</v>
      </c>
      <c r="F1041" s="25" t="s">
        <v>158</v>
      </c>
    </row>
    <row r="1042" spans="1:6">
      <c r="A1042" s="22">
        <v>73275</v>
      </c>
      <c r="B1042" s="24" t="s">
        <v>2581</v>
      </c>
      <c r="C1042" s="24" t="s">
        <v>520</v>
      </c>
      <c r="D1042" s="24" t="s">
        <v>518</v>
      </c>
      <c r="E1042" s="24" t="s">
        <v>159</v>
      </c>
      <c r="F1042" s="25" t="s">
        <v>199</v>
      </c>
    </row>
    <row r="1043" spans="1:6">
      <c r="A1043" s="22">
        <v>73283</v>
      </c>
      <c r="B1043" s="24" t="s">
        <v>2582</v>
      </c>
      <c r="C1043" s="24" t="s">
        <v>520</v>
      </c>
      <c r="D1043" s="24" t="s">
        <v>518</v>
      </c>
      <c r="E1043" s="24" t="s">
        <v>159</v>
      </c>
      <c r="F1043" s="25" t="s">
        <v>158</v>
      </c>
    </row>
    <row r="1044" spans="1:6">
      <c r="A1044" s="22">
        <v>73319</v>
      </c>
      <c r="B1044" s="24" t="s">
        <v>2583</v>
      </c>
      <c r="C1044" s="24" t="s">
        <v>520</v>
      </c>
      <c r="D1044" s="24" t="s">
        <v>518</v>
      </c>
      <c r="E1044" s="24" t="s">
        <v>159</v>
      </c>
      <c r="F1044" s="25" t="s">
        <v>199</v>
      </c>
    </row>
    <row r="1045" spans="1:6">
      <c r="A1045" s="22">
        <v>73347</v>
      </c>
      <c r="B1045" s="24" t="s">
        <v>2584</v>
      </c>
      <c r="C1045" s="24" t="s">
        <v>520</v>
      </c>
      <c r="D1045" s="24" t="s">
        <v>282</v>
      </c>
      <c r="E1045" s="24" t="s">
        <v>159</v>
      </c>
      <c r="F1045" s="25" t="s">
        <v>158</v>
      </c>
    </row>
    <row r="1046" spans="1:6">
      <c r="A1046" s="22">
        <v>73349</v>
      </c>
      <c r="B1046" s="24" t="s">
        <v>2585</v>
      </c>
      <c r="C1046" s="24" t="s">
        <v>520</v>
      </c>
      <c r="D1046" s="24" t="s">
        <v>518</v>
      </c>
      <c r="E1046" s="24" t="s">
        <v>159</v>
      </c>
      <c r="F1046" s="25" t="s">
        <v>158</v>
      </c>
    </row>
    <row r="1047" spans="1:6">
      <c r="A1047" s="22">
        <v>73001</v>
      </c>
      <c r="B1047" s="24" t="s">
        <v>518</v>
      </c>
      <c r="C1047" s="24" t="s">
        <v>520</v>
      </c>
      <c r="D1047" s="24" t="s">
        <v>518</v>
      </c>
      <c r="E1047" s="24" t="s">
        <v>159</v>
      </c>
      <c r="F1047" s="25" t="s">
        <v>55</v>
      </c>
    </row>
    <row r="1048" spans="1:6">
      <c r="A1048" s="22">
        <v>73352</v>
      </c>
      <c r="B1048" s="24" t="s">
        <v>2586</v>
      </c>
      <c r="C1048" s="24" t="s">
        <v>520</v>
      </c>
      <c r="D1048" s="24" t="s">
        <v>518</v>
      </c>
      <c r="E1048" s="24" t="s">
        <v>159</v>
      </c>
      <c r="F1048" s="25" t="s">
        <v>158</v>
      </c>
    </row>
    <row r="1049" spans="1:6">
      <c r="A1049" s="22">
        <v>73408</v>
      </c>
      <c r="B1049" s="24" t="s">
        <v>2587</v>
      </c>
      <c r="C1049" s="24" t="s">
        <v>520</v>
      </c>
      <c r="D1049" s="24" t="s">
        <v>518</v>
      </c>
      <c r="E1049" s="24" t="s">
        <v>159</v>
      </c>
      <c r="F1049" s="25" t="s">
        <v>199</v>
      </c>
    </row>
    <row r="1050" spans="1:6">
      <c r="A1050" s="22">
        <v>73411</v>
      </c>
      <c r="B1050" s="24" t="s">
        <v>657</v>
      </c>
      <c r="C1050" s="24" t="s">
        <v>520</v>
      </c>
      <c r="D1050" s="24" t="s">
        <v>518</v>
      </c>
      <c r="E1050" s="24" t="s">
        <v>159</v>
      </c>
      <c r="F1050" s="25" t="s">
        <v>158</v>
      </c>
    </row>
    <row r="1051" spans="1:6">
      <c r="A1051" s="22">
        <v>73443</v>
      </c>
      <c r="B1051" s="24" t="s">
        <v>2588</v>
      </c>
      <c r="C1051" s="24" t="s">
        <v>520</v>
      </c>
      <c r="D1051" s="24" t="s">
        <v>518</v>
      </c>
      <c r="E1051" s="24" t="s">
        <v>159</v>
      </c>
      <c r="F1051" s="25" t="s">
        <v>158</v>
      </c>
    </row>
    <row r="1052" spans="1:6">
      <c r="A1052" s="22">
        <v>73449</v>
      </c>
      <c r="B1052" s="24" t="s">
        <v>2589</v>
      </c>
      <c r="C1052" s="24" t="s">
        <v>520</v>
      </c>
      <c r="D1052" s="24" t="s">
        <v>432</v>
      </c>
      <c r="E1052" s="24" t="s">
        <v>159</v>
      </c>
      <c r="F1052" s="25" t="s">
        <v>199</v>
      </c>
    </row>
    <row r="1053" spans="1:6">
      <c r="A1053" s="22">
        <v>73461</v>
      </c>
      <c r="B1053" s="24" t="s">
        <v>2590</v>
      </c>
      <c r="C1053" s="24" t="s">
        <v>520</v>
      </c>
      <c r="D1053" s="24" t="s">
        <v>518</v>
      </c>
      <c r="E1053" s="24" t="s">
        <v>159</v>
      </c>
      <c r="F1053" s="25" t="s">
        <v>167</v>
      </c>
    </row>
    <row r="1054" spans="1:6">
      <c r="A1054" s="22">
        <v>73483</v>
      </c>
      <c r="B1054" s="24" t="s">
        <v>2591</v>
      </c>
      <c r="C1054" s="24" t="s">
        <v>520</v>
      </c>
      <c r="D1054" s="24" t="s">
        <v>201</v>
      </c>
      <c r="E1054" s="24" t="s">
        <v>159</v>
      </c>
      <c r="F1054" s="25" t="s">
        <v>199</v>
      </c>
    </row>
    <row r="1055" spans="1:6">
      <c r="A1055" s="22">
        <v>73504</v>
      </c>
      <c r="B1055" s="24" t="s">
        <v>2592</v>
      </c>
      <c r="C1055" s="24" t="s">
        <v>520</v>
      </c>
      <c r="D1055" s="24" t="s">
        <v>518</v>
      </c>
      <c r="E1055" s="24" t="s">
        <v>159</v>
      </c>
      <c r="F1055" s="25" t="s">
        <v>158</v>
      </c>
    </row>
    <row r="1056" spans="1:6">
      <c r="A1056" s="22">
        <v>73520</v>
      </c>
      <c r="B1056" s="24" t="s">
        <v>2593</v>
      </c>
      <c r="C1056" s="24" t="s">
        <v>520</v>
      </c>
      <c r="D1056" s="24" t="s">
        <v>518</v>
      </c>
      <c r="E1056" s="24" t="s">
        <v>159</v>
      </c>
      <c r="F1056" s="25" t="s">
        <v>158</v>
      </c>
    </row>
    <row r="1057" spans="1:6">
      <c r="A1057" s="22">
        <v>73547</v>
      </c>
      <c r="B1057" s="24" t="s">
        <v>2594</v>
      </c>
      <c r="C1057" s="24" t="s">
        <v>520</v>
      </c>
      <c r="D1057" s="24" t="s">
        <v>518</v>
      </c>
      <c r="E1057" s="24" t="s">
        <v>159</v>
      </c>
      <c r="F1057" s="25" t="s">
        <v>199</v>
      </c>
    </row>
    <row r="1058" spans="1:6">
      <c r="A1058" s="22">
        <v>73555</v>
      </c>
      <c r="B1058" s="24" t="s">
        <v>2595</v>
      </c>
      <c r="C1058" s="24" t="s">
        <v>520</v>
      </c>
      <c r="D1058" s="24" t="s">
        <v>518</v>
      </c>
      <c r="E1058" s="24" t="s">
        <v>159</v>
      </c>
      <c r="F1058" s="25" t="s">
        <v>167</v>
      </c>
    </row>
    <row r="1059" spans="1:6">
      <c r="A1059" s="22">
        <v>73563</v>
      </c>
      <c r="B1059" s="24" t="s">
        <v>2596</v>
      </c>
      <c r="C1059" s="24" t="s">
        <v>520</v>
      </c>
      <c r="D1059" s="24" t="s">
        <v>518</v>
      </c>
      <c r="E1059" s="24" t="s">
        <v>159</v>
      </c>
      <c r="F1059" s="25" t="s">
        <v>158</v>
      </c>
    </row>
    <row r="1060" spans="1:6">
      <c r="A1060" s="22">
        <v>73585</v>
      </c>
      <c r="B1060" s="24" t="s">
        <v>2597</v>
      </c>
      <c r="C1060" s="24" t="s">
        <v>520</v>
      </c>
      <c r="D1060" s="24" t="s">
        <v>518</v>
      </c>
      <c r="E1060" s="24" t="s">
        <v>159</v>
      </c>
      <c r="F1060" s="25" t="s">
        <v>199</v>
      </c>
    </row>
    <row r="1061" spans="1:6">
      <c r="A1061" s="22">
        <v>73616</v>
      </c>
      <c r="B1061" s="24" t="s">
        <v>2598</v>
      </c>
      <c r="C1061" s="24" t="s">
        <v>520</v>
      </c>
      <c r="D1061" s="24" t="s">
        <v>518</v>
      </c>
      <c r="E1061" s="24" t="s">
        <v>159</v>
      </c>
      <c r="F1061" s="25" t="s">
        <v>167</v>
      </c>
    </row>
    <row r="1062" spans="1:6">
      <c r="A1062" s="22">
        <v>73622</v>
      </c>
      <c r="B1062" s="24" t="s">
        <v>2599</v>
      </c>
      <c r="C1062" s="24" t="s">
        <v>520</v>
      </c>
      <c r="D1062" s="24" t="s">
        <v>518</v>
      </c>
      <c r="E1062" s="24" t="s">
        <v>159</v>
      </c>
      <c r="F1062" s="25" t="s">
        <v>167</v>
      </c>
    </row>
    <row r="1063" spans="1:6">
      <c r="A1063" s="22">
        <v>73624</v>
      </c>
      <c r="B1063" s="24" t="s">
        <v>2600</v>
      </c>
      <c r="C1063" s="24" t="s">
        <v>520</v>
      </c>
      <c r="D1063" s="24" t="s">
        <v>518</v>
      </c>
      <c r="E1063" s="24" t="s">
        <v>159</v>
      </c>
      <c r="F1063" s="25" t="s">
        <v>158</v>
      </c>
    </row>
    <row r="1064" spans="1:6">
      <c r="A1064" s="22">
        <v>73671</v>
      </c>
      <c r="B1064" s="24" t="s">
        <v>2601</v>
      </c>
      <c r="C1064" s="24" t="s">
        <v>520</v>
      </c>
      <c r="D1064" s="24" t="s">
        <v>518</v>
      </c>
      <c r="E1064" s="24" t="s">
        <v>159</v>
      </c>
      <c r="F1064" s="25" t="s">
        <v>199</v>
      </c>
    </row>
    <row r="1065" spans="1:6">
      <c r="A1065" s="22">
        <v>73675</v>
      </c>
      <c r="B1065" s="24" t="s">
        <v>2602</v>
      </c>
      <c r="C1065" s="24" t="s">
        <v>520</v>
      </c>
      <c r="D1065" s="24" t="s">
        <v>518</v>
      </c>
      <c r="E1065" s="24" t="s">
        <v>159</v>
      </c>
      <c r="F1065" s="25" t="s">
        <v>167</v>
      </c>
    </row>
    <row r="1066" spans="1:6">
      <c r="A1066" s="22">
        <v>73686</v>
      </c>
      <c r="B1066" s="24" t="s">
        <v>2603</v>
      </c>
      <c r="C1066" s="24" t="s">
        <v>520</v>
      </c>
      <c r="D1066" s="24" t="s">
        <v>518</v>
      </c>
      <c r="E1066" s="24" t="s">
        <v>159</v>
      </c>
      <c r="F1066" s="25" t="s">
        <v>158</v>
      </c>
    </row>
    <row r="1067" spans="1:6">
      <c r="A1067" s="22">
        <v>73854</v>
      </c>
      <c r="B1067" s="24" t="s">
        <v>2604</v>
      </c>
      <c r="C1067" s="24" t="s">
        <v>520</v>
      </c>
      <c r="D1067" s="24" t="s">
        <v>518</v>
      </c>
      <c r="E1067" s="24" t="s">
        <v>159</v>
      </c>
      <c r="F1067" s="25" t="s">
        <v>199</v>
      </c>
    </row>
    <row r="1068" spans="1:6">
      <c r="A1068" s="22">
        <v>73861</v>
      </c>
      <c r="B1068" s="24" t="s">
        <v>2605</v>
      </c>
      <c r="C1068" s="24" t="s">
        <v>520</v>
      </c>
      <c r="D1068" s="24" t="s">
        <v>518</v>
      </c>
      <c r="E1068" s="24" t="s">
        <v>159</v>
      </c>
      <c r="F1068" s="25" t="s">
        <v>199</v>
      </c>
    </row>
    <row r="1069" spans="1:6">
      <c r="A1069" s="22">
        <v>73870</v>
      </c>
      <c r="B1069" s="24" t="s">
        <v>2606</v>
      </c>
      <c r="C1069" s="24" t="s">
        <v>520</v>
      </c>
      <c r="D1069" s="24" t="s">
        <v>518</v>
      </c>
      <c r="E1069" s="24" t="s">
        <v>159</v>
      </c>
      <c r="F1069" s="25" t="s">
        <v>158</v>
      </c>
    </row>
    <row r="1070" spans="1:6">
      <c r="A1070" s="22">
        <v>73873</v>
      </c>
      <c r="B1070" s="24" t="s">
        <v>2607</v>
      </c>
      <c r="C1070" s="24" t="s">
        <v>520</v>
      </c>
      <c r="D1070" s="24" t="s">
        <v>518</v>
      </c>
      <c r="E1070" s="24" t="s">
        <v>159</v>
      </c>
      <c r="F1070" s="25" t="s">
        <v>158</v>
      </c>
    </row>
    <row r="1071" spans="1:6">
      <c r="A1071" s="22">
        <v>76054</v>
      </c>
      <c r="B1071" s="23" t="s">
        <v>1766</v>
      </c>
      <c r="C1071" s="24" t="s">
        <v>229</v>
      </c>
      <c r="D1071" s="24" t="s">
        <v>168</v>
      </c>
      <c r="E1071" s="24" t="s">
        <v>159</v>
      </c>
      <c r="F1071" s="25" t="s">
        <v>158</v>
      </c>
    </row>
    <row r="1072" spans="1:6">
      <c r="A1072" s="22">
        <v>76100</v>
      </c>
      <c r="B1072" s="23" t="s">
        <v>713</v>
      </c>
      <c r="C1072" s="24" t="s">
        <v>229</v>
      </c>
      <c r="D1072" s="24" t="s">
        <v>168</v>
      </c>
      <c r="E1072" s="24" t="s">
        <v>159</v>
      </c>
      <c r="F1072" s="25" t="s">
        <v>199</v>
      </c>
    </row>
    <row r="1073" spans="1:6">
      <c r="A1073" s="22">
        <v>76130</v>
      </c>
      <c r="B1073" s="23" t="s">
        <v>1868</v>
      </c>
      <c r="C1073" s="24" t="s">
        <v>229</v>
      </c>
      <c r="D1073" s="24" t="s">
        <v>150</v>
      </c>
      <c r="E1073" s="24" t="s">
        <v>159</v>
      </c>
      <c r="F1073" s="25" t="s">
        <v>199</v>
      </c>
    </row>
    <row r="1074" spans="1:6">
      <c r="A1074" s="22">
        <v>76400</v>
      </c>
      <c r="B1074" s="23" t="s">
        <v>304</v>
      </c>
      <c r="C1074" s="24" t="s">
        <v>229</v>
      </c>
      <c r="D1074" s="24" t="s">
        <v>168</v>
      </c>
      <c r="E1074" s="24" t="s">
        <v>159</v>
      </c>
      <c r="F1074" s="25" t="s">
        <v>199</v>
      </c>
    </row>
    <row r="1075" spans="1:6">
      <c r="A1075" s="22">
        <v>76403</v>
      </c>
      <c r="B1075" s="23" t="s">
        <v>1754</v>
      </c>
      <c r="C1075" s="24" t="s">
        <v>229</v>
      </c>
      <c r="D1075" s="24" t="s">
        <v>168</v>
      </c>
      <c r="E1075" s="24" t="s">
        <v>159</v>
      </c>
      <c r="F1075" s="25" t="s">
        <v>199</v>
      </c>
    </row>
    <row r="1076" spans="1:6">
      <c r="A1076" s="22">
        <v>76606</v>
      </c>
      <c r="B1076" s="23" t="s">
        <v>2365</v>
      </c>
      <c r="C1076" s="24" t="s">
        <v>229</v>
      </c>
      <c r="D1076" s="24" t="s">
        <v>150</v>
      </c>
      <c r="E1076" s="24" t="s">
        <v>159</v>
      </c>
      <c r="F1076" s="25" t="s">
        <v>199</v>
      </c>
    </row>
    <row r="1077" spans="1:6">
      <c r="A1077" s="22">
        <v>76670</v>
      </c>
      <c r="B1077" s="23" t="s">
        <v>2544</v>
      </c>
      <c r="C1077" s="24" t="s">
        <v>229</v>
      </c>
      <c r="D1077" s="24" t="s">
        <v>150</v>
      </c>
      <c r="E1077" s="24" t="s">
        <v>159</v>
      </c>
      <c r="F1077" s="25" t="s">
        <v>199</v>
      </c>
    </row>
    <row r="1078" spans="1:6">
      <c r="A1078" s="22">
        <v>76020</v>
      </c>
      <c r="B1078" s="24" t="s">
        <v>2608</v>
      </c>
      <c r="C1078" s="24" t="s">
        <v>229</v>
      </c>
      <c r="D1078" s="24" t="s">
        <v>168</v>
      </c>
      <c r="E1078" s="24" t="s">
        <v>159</v>
      </c>
      <c r="F1078" s="25" t="s">
        <v>199</v>
      </c>
    </row>
    <row r="1079" spans="1:6">
      <c r="A1079" s="22">
        <v>76036</v>
      </c>
      <c r="B1079" s="24" t="s">
        <v>2609</v>
      </c>
      <c r="C1079" s="24" t="s">
        <v>229</v>
      </c>
      <c r="D1079" s="24" t="s">
        <v>150</v>
      </c>
      <c r="E1079" s="24" t="s">
        <v>159</v>
      </c>
      <c r="F1079" s="25" t="s">
        <v>199</v>
      </c>
    </row>
    <row r="1080" spans="1:6">
      <c r="A1080" s="22">
        <v>76041</v>
      </c>
      <c r="B1080" s="24" t="s">
        <v>2610</v>
      </c>
      <c r="C1080" s="24" t="s">
        <v>229</v>
      </c>
      <c r="D1080" s="24" t="s">
        <v>168</v>
      </c>
      <c r="E1080" s="24" t="s">
        <v>159</v>
      </c>
      <c r="F1080" s="25" t="s">
        <v>199</v>
      </c>
    </row>
    <row r="1081" spans="1:6">
      <c r="A1081" s="22">
        <v>76109</v>
      </c>
      <c r="B1081" s="24" t="s">
        <v>790</v>
      </c>
      <c r="C1081" s="24" t="s">
        <v>229</v>
      </c>
      <c r="D1081" s="24" t="s">
        <v>150</v>
      </c>
      <c r="E1081" s="24" t="s">
        <v>159</v>
      </c>
      <c r="F1081" s="25" t="s">
        <v>158</v>
      </c>
    </row>
    <row r="1082" spans="1:6">
      <c r="A1082" s="22">
        <v>76113</v>
      </c>
      <c r="B1082" s="24" t="s">
        <v>2611</v>
      </c>
      <c r="C1082" s="24" t="s">
        <v>229</v>
      </c>
      <c r="D1082" s="24" t="s">
        <v>150</v>
      </c>
      <c r="E1082" s="24" t="s">
        <v>159</v>
      </c>
      <c r="F1082" s="25" t="s">
        <v>199</v>
      </c>
    </row>
    <row r="1083" spans="1:6">
      <c r="A1083" s="22">
        <v>76122</v>
      </c>
      <c r="B1083" s="24" t="s">
        <v>2612</v>
      </c>
      <c r="C1083" s="24" t="s">
        <v>229</v>
      </c>
      <c r="D1083" s="24" t="s">
        <v>168</v>
      </c>
      <c r="E1083" s="24" t="s">
        <v>159</v>
      </c>
      <c r="F1083" s="25" t="s">
        <v>199</v>
      </c>
    </row>
    <row r="1084" spans="1:6">
      <c r="A1084" s="22">
        <v>76001</v>
      </c>
      <c r="B1084" s="24" t="s">
        <v>150</v>
      </c>
      <c r="C1084" s="24" t="s">
        <v>229</v>
      </c>
      <c r="D1084" s="24" t="s">
        <v>150</v>
      </c>
      <c r="E1084" s="24" t="s">
        <v>159</v>
      </c>
      <c r="F1084" s="25" t="s">
        <v>55</v>
      </c>
    </row>
    <row r="1085" spans="1:6">
      <c r="A1085" s="22">
        <v>76126</v>
      </c>
      <c r="B1085" s="24" t="s">
        <v>2613</v>
      </c>
      <c r="C1085" s="24" t="s">
        <v>229</v>
      </c>
      <c r="D1085" s="24" t="s">
        <v>150</v>
      </c>
      <c r="E1085" s="24" t="s">
        <v>159</v>
      </c>
      <c r="F1085" s="25" t="s">
        <v>199</v>
      </c>
    </row>
    <row r="1086" spans="1:6">
      <c r="A1086" s="22">
        <v>76147</v>
      </c>
      <c r="B1086" s="24" t="s">
        <v>1253</v>
      </c>
      <c r="C1086" s="24" t="s">
        <v>229</v>
      </c>
      <c r="D1086" s="24" t="s">
        <v>168</v>
      </c>
      <c r="E1086" s="24" t="s">
        <v>159</v>
      </c>
      <c r="F1086" s="25" t="s">
        <v>55</v>
      </c>
    </row>
    <row r="1087" spans="1:6">
      <c r="A1087" s="22">
        <v>76233</v>
      </c>
      <c r="B1087" s="24" t="s">
        <v>2614</v>
      </c>
      <c r="C1087" s="24" t="s">
        <v>229</v>
      </c>
      <c r="D1087" s="24" t="s">
        <v>150</v>
      </c>
      <c r="E1087" s="24" t="s">
        <v>159</v>
      </c>
      <c r="F1087" s="25" t="s">
        <v>199</v>
      </c>
    </row>
    <row r="1088" spans="1:6">
      <c r="A1088" s="22">
        <v>76243</v>
      </c>
      <c r="B1088" s="24" t="s">
        <v>2615</v>
      </c>
      <c r="C1088" s="24" t="s">
        <v>229</v>
      </c>
      <c r="D1088" s="24" t="s">
        <v>168</v>
      </c>
      <c r="E1088" s="24" t="s">
        <v>159</v>
      </c>
      <c r="F1088" s="25" t="s">
        <v>158</v>
      </c>
    </row>
    <row r="1089" spans="1:6">
      <c r="A1089" s="22">
        <v>76246</v>
      </c>
      <c r="B1089" s="24" t="s">
        <v>2616</v>
      </c>
      <c r="C1089" s="24" t="s">
        <v>229</v>
      </c>
      <c r="D1089" s="24" t="s">
        <v>168</v>
      </c>
      <c r="E1089" s="24" t="s">
        <v>159</v>
      </c>
      <c r="F1089" s="25" t="s">
        <v>158</v>
      </c>
    </row>
    <row r="1090" spans="1:6">
      <c r="A1090" s="22">
        <v>76248</v>
      </c>
      <c r="B1090" s="24" t="s">
        <v>2617</v>
      </c>
      <c r="C1090" s="24" t="s">
        <v>229</v>
      </c>
      <c r="D1090" s="24" t="s">
        <v>150</v>
      </c>
      <c r="E1090" s="24" t="s">
        <v>159</v>
      </c>
      <c r="F1090" s="25" t="s">
        <v>199</v>
      </c>
    </row>
    <row r="1091" spans="1:6">
      <c r="A1091" s="22">
        <v>76250</v>
      </c>
      <c r="B1091" s="24" t="s">
        <v>2618</v>
      </c>
      <c r="C1091" s="24" t="s">
        <v>229</v>
      </c>
      <c r="D1091" s="24" t="s">
        <v>168</v>
      </c>
      <c r="E1091" s="24" t="s">
        <v>159</v>
      </c>
      <c r="F1091" s="25" t="s">
        <v>199</v>
      </c>
    </row>
    <row r="1092" spans="1:6">
      <c r="A1092" s="22">
        <v>76275</v>
      </c>
      <c r="B1092" s="24" t="s">
        <v>2619</v>
      </c>
      <c r="C1092" s="24" t="s">
        <v>229</v>
      </c>
      <c r="D1092" s="24" t="s">
        <v>150</v>
      </c>
      <c r="E1092" s="24" t="s">
        <v>159</v>
      </c>
      <c r="F1092" s="25" t="s">
        <v>199</v>
      </c>
    </row>
    <row r="1093" spans="1:6">
      <c r="A1093" s="22">
        <v>76306</v>
      </c>
      <c r="B1093" s="24" t="s">
        <v>2620</v>
      </c>
      <c r="C1093" s="24" t="s">
        <v>229</v>
      </c>
      <c r="D1093" s="24" t="s">
        <v>150</v>
      </c>
      <c r="E1093" s="24" t="s">
        <v>159</v>
      </c>
      <c r="F1093" s="25" t="s">
        <v>199</v>
      </c>
    </row>
    <row r="1094" spans="1:6">
      <c r="A1094" s="22">
        <v>76318</v>
      </c>
      <c r="B1094" s="24" t="s">
        <v>2621</v>
      </c>
      <c r="C1094" s="24" t="s">
        <v>229</v>
      </c>
      <c r="D1094" s="24" t="s">
        <v>150</v>
      </c>
      <c r="E1094" s="24" t="s">
        <v>159</v>
      </c>
      <c r="F1094" s="25" t="s">
        <v>199</v>
      </c>
    </row>
    <row r="1095" spans="1:6">
      <c r="A1095" s="22">
        <v>76111</v>
      </c>
      <c r="B1095" s="24" t="s">
        <v>2622</v>
      </c>
      <c r="C1095" s="24" t="s">
        <v>229</v>
      </c>
      <c r="D1095" s="24" t="s">
        <v>150</v>
      </c>
      <c r="E1095" s="24" t="s">
        <v>159</v>
      </c>
      <c r="F1095" s="25" t="s">
        <v>199</v>
      </c>
    </row>
    <row r="1096" spans="1:6">
      <c r="A1096" s="22">
        <v>76364</v>
      </c>
      <c r="B1096" s="24" t="s">
        <v>795</v>
      </c>
      <c r="C1096" s="24" t="s">
        <v>229</v>
      </c>
      <c r="D1096" s="24" t="s">
        <v>150</v>
      </c>
      <c r="E1096" s="24" t="s">
        <v>159</v>
      </c>
      <c r="F1096" s="25" t="s">
        <v>199</v>
      </c>
    </row>
    <row r="1097" spans="1:6">
      <c r="A1097" s="22">
        <v>76377</v>
      </c>
      <c r="B1097" s="24" t="s">
        <v>2623</v>
      </c>
      <c r="C1097" s="24" t="s">
        <v>229</v>
      </c>
      <c r="D1097" s="24" t="s">
        <v>150</v>
      </c>
      <c r="E1097" s="24" t="s">
        <v>159</v>
      </c>
      <c r="F1097" s="25" t="s">
        <v>199</v>
      </c>
    </row>
    <row r="1098" spans="1:6">
      <c r="A1098" s="22">
        <v>76497</v>
      </c>
      <c r="B1098" s="24" t="s">
        <v>2624</v>
      </c>
      <c r="C1098" s="24" t="s">
        <v>229</v>
      </c>
      <c r="D1098" s="24" t="s">
        <v>168</v>
      </c>
      <c r="E1098" s="24" t="s">
        <v>159</v>
      </c>
      <c r="F1098" s="25" t="s">
        <v>199</v>
      </c>
    </row>
    <row r="1099" spans="1:6">
      <c r="A1099" s="22">
        <v>76520</v>
      </c>
      <c r="B1099" s="24" t="s">
        <v>1258</v>
      </c>
      <c r="C1099" s="24" t="s">
        <v>229</v>
      </c>
      <c r="D1099" s="24" t="s">
        <v>150</v>
      </c>
      <c r="E1099" s="24" t="s">
        <v>159</v>
      </c>
      <c r="F1099" s="25" t="s">
        <v>55</v>
      </c>
    </row>
    <row r="1100" spans="1:6">
      <c r="A1100" s="22">
        <v>76563</v>
      </c>
      <c r="B1100" s="24" t="s">
        <v>2625</v>
      </c>
      <c r="C1100" s="24" t="s">
        <v>229</v>
      </c>
      <c r="D1100" s="24" t="s">
        <v>150</v>
      </c>
      <c r="E1100" s="24" t="s">
        <v>159</v>
      </c>
      <c r="F1100" s="25" t="s">
        <v>199</v>
      </c>
    </row>
    <row r="1101" spans="1:6">
      <c r="A1101" s="22">
        <v>76616</v>
      </c>
      <c r="B1101" s="24" t="s">
        <v>2626</v>
      </c>
      <c r="C1101" s="24" t="s">
        <v>229</v>
      </c>
      <c r="D1101" s="24" t="s">
        <v>150</v>
      </c>
      <c r="E1101" s="24" t="s">
        <v>159</v>
      </c>
      <c r="F1101" s="25" t="s">
        <v>199</v>
      </c>
    </row>
    <row r="1102" spans="1:6">
      <c r="A1102" s="22">
        <v>76622</v>
      </c>
      <c r="B1102" s="24" t="s">
        <v>2627</v>
      </c>
      <c r="C1102" s="24" t="s">
        <v>229</v>
      </c>
      <c r="D1102" s="24" t="s">
        <v>168</v>
      </c>
      <c r="E1102" s="24" t="s">
        <v>159</v>
      </c>
      <c r="F1102" s="25" t="s">
        <v>158</v>
      </c>
    </row>
    <row r="1103" spans="1:6">
      <c r="A1103" s="22">
        <v>76736</v>
      </c>
      <c r="B1103" s="24" t="s">
        <v>2628</v>
      </c>
      <c r="C1103" s="24" t="s">
        <v>229</v>
      </c>
      <c r="D1103" s="24" t="s">
        <v>168</v>
      </c>
      <c r="E1103" s="24" t="s">
        <v>159</v>
      </c>
      <c r="F1103" s="25" t="s">
        <v>199</v>
      </c>
    </row>
    <row r="1104" spans="1:6">
      <c r="A1104" s="22">
        <v>76823</v>
      </c>
      <c r="B1104" s="24" t="s">
        <v>2629</v>
      </c>
      <c r="C1104" s="24" t="s">
        <v>229</v>
      </c>
      <c r="D1104" s="24" t="s">
        <v>168</v>
      </c>
      <c r="E1104" s="24" t="s">
        <v>159</v>
      </c>
      <c r="F1104" s="25" t="s">
        <v>199</v>
      </c>
    </row>
    <row r="1105" spans="1:6">
      <c r="A1105" s="22">
        <v>76828</v>
      </c>
      <c r="B1105" s="24" t="s">
        <v>2630</v>
      </c>
      <c r="C1105" s="24" t="s">
        <v>229</v>
      </c>
      <c r="D1105" s="24" t="s">
        <v>168</v>
      </c>
      <c r="E1105" s="24" t="s">
        <v>159</v>
      </c>
      <c r="F1105" s="25" t="s">
        <v>199</v>
      </c>
    </row>
    <row r="1106" spans="1:6">
      <c r="A1106" s="22">
        <v>76834</v>
      </c>
      <c r="B1106" s="24" t="s">
        <v>357</v>
      </c>
      <c r="C1106" s="24" t="s">
        <v>229</v>
      </c>
      <c r="D1106" s="24" t="s">
        <v>150</v>
      </c>
      <c r="E1106" s="24" t="s">
        <v>159</v>
      </c>
      <c r="F1106" s="25" t="s">
        <v>199</v>
      </c>
    </row>
    <row r="1107" spans="1:6">
      <c r="A1107" s="22">
        <v>76845</v>
      </c>
      <c r="B1107" s="24" t="s">
        <v>2631</v>
      </c>
      <c r="C1107" s="24" t="s">
        <v>229</v>
      </c>
      <c r="D1107" s="24" t="s">
        <v>168</v>
      </c>
      <c r="E1107" s="24" t="s">
        <v>159</v>
      </c>
      <c r="F1107" s="25" t="s">
        <v>199</v>
      </c>
    </row>
    <row r="1108" spans="1:6">
      <c r="A1108" s="22">
        <v>76863</v>
      </c>
      <c r="B1108" s="24" t="s">
        <v>2632</v>
      </c>
      <c r="C1108" s="24" t="s">
        <v>229</v>
      </c>
      <c r="D1108" s="24" t="s">
        <v>168</v>
      </c>
      <c r="E1108" s="24" t="s">
        <v>159</v>
      </c>
      <c r="F1108" s="25" t="s">
        <v>158</v>
      </c>
    </row>
    <row r="1109" spans="1:6">
      <c r="A1109" s="22">
        <v>76869</v>
      </c>
      <c r="B1109" s="24" t="s">
        <v>2633</v>
      </c>
      <c r="C1109" s="24" t="s">
        <v>229</v>
      </c>
      <c r="D1109" s="24" t="s">
        <v>150</v>
      </c>
      <c r="E1109" s="24" t="s">
        <v>159</v>
      </c>
      <c r="F1109" s="25" t="s">
        <v>199</v>
      </c>
    </row>
    <row r="1110" spans="1:6">
      <c r="A1110" s="22">
        <v>76890</v>
      </c>
      <c r="B1110" s="24" t="s">
        <v>2634</v>
      </c>
      <c r="C1110" s="24" t="s">
        <v>229</v>
      </c>
      <c r="D1110" s="24" t="s">
        <v>150</v>
      </c>
      <c r="E1110" s="24" t="s">
        <v>159</v>
      </c>
      <c r="F1110" s="25" t="s">
        <v>199</v>
      </c>
    </row>
    <row r="1111" spans="1:6">
      <c r="A1111" s="22">
        <v>76892</v>
      </c>
      <c r="B1111" s="24" t="s">
        <v>804</v>
      </c>
      <c r="C1111" s="24" t="s">
        <v>229</v>
      </c>
      <c r="D1111" s="24" t="s">
        <v>150</v>
      </c>
      <c r="E1111" s="24" t="s">
        <v>159</v>
      </c>
      <c r="F1111" s="25" t="s">
        <v>55</v>
      </c>
    </row>
    <row r="1112" spans="1:6">
      <c r="A1112" s="22">
        <v>76895</v>
      </c>
      <c r="B1112" s="24" t="s">
        <v>903</v>
      </c>
      <c r="C1112" s="24" t="s">
        <v>229</v>
      </c>
      <c r="D1112" s="24" t="s">
        <v>168</v>
      </c>
      <c r="E1112" s="24" t="s">
        <v>159</v>
      </c>
      <c r="F1112" s="25" t="s">
        <v>158</v>
      </c>
    </row>
    <row r="1113" spans="1:6">
      <c r="A1113" s="22">
        <v>97161</v>
      </c>
      <c r="B1113" s="24" t="s">
        <v>2635</v>
      </c>
      <c r="C1113" s="24" t="s">
        <v>2636</v>
      </c>
      <c r="D1113" s="24" t="s">
        <v>210</v>
      </c>
      <c r="E1113" s="24" t="s">
        <v>190</v>
      </c>
      <c r="F1113" s="25" t="s">
        <v>147</v>
      </c>
    </row>
    <row r="1114" spans="1:6">
      <c r="A1114" s="22">
        <v>97001</v>
      </c>
      <c r="B1114" s="24" t="s">
        <v>2637</v>
      </c>
      <c r="C1114" s="24" t="s">
        <v>2636</v>
      </c>
      <c r="D1114" s="24" t="s">
        <v>432</v>
      </c>
      <c r="E1114" s="24" t="s">
        <v>190</v>
      </c>
      <c r="F1114" s="25" t="s">
        <v>147</v>
      </c>
    </row>
    <row r="1115" spans="1:6">
      <c r="A1115" s="22">
        <v>97511</v>
      </c>
      <c r="B1115" s="24" t="s">
        <v>2638</v>
      </c>
      <c r="C1115" s="24" t="s">
        <v>2636</v>
      </c>
      <c r="D1115" s="24" t="s">
        <v>210</v>
      </c>
      <c r="E1115" s="24" t="s">
        <v>190</v>
      </c>
      <c r="F1115" s="25" t="s">
        <v>147</v>
      </c>
    </row>
    <row r="1116" spans="1:6">
      <c r="A1116" s="22">
        <v>97777</v>
      </c>
      <c r="B1116" s="24" t="s">
        <v>2639</v>
      </c>
      <c r="C1116" s="24" t="s">
        <v>2636</v>
      </c>
      <c r="D1116" s="24" t="s">
        <v>210</v>
      </c>
      <c r="E1116" s="24" t="s">
        <v>190</v>
      </c>
      <c r="F1116" s="25" t="s">
        <v>147</v>
      </c>
    </row>
    <row r="1117" spans="1:6">
      <c r="A1117" s="22">
        <v>97666</v>
      </c>
      <c r="B1117" s="24" t="s">
        <v>2640</v>
      </c>
      <c r="C1117" s="24" t="s">
        <v>2636</v>
      </c>
      <c r="D1117" s="24" t="s">
        <v>210</v>
      </c>
      <c r="E1117" s="24" t="s">
        <v>190</v>
      </c>
      <c r="F1117" s="25" t="s">
        <v>147</v>
      </c>
    </row>
    <row r="1118" spans="1:6">
      <c r="A1118" s="22">
        <v>97889</v>
      </c>
      <c r="B1118" s="24" t="s">
        <v>2641</v>
      </c>
      <c r="C1118" s="24" t="s">
        <v>2636</v>
      </c>
      <c r="D1118" s="24" t="s">
        <v>210</v>
      </c>
      <c r="E1118" s="24" t="s">
        <v>190</v>
      </c>
      <c r="F1118" s="25" t="s">
        <v>147</v>
      </c>
    </row>
    <row r="1119" spans="1:6">
      <c r="A1119" s="22">
        <v>99773</v>
      </c>
      <c r="B1119" s="24" t="s">
        <v>2642</v>
      </c>
      <c r="C1119" s="24" t="s">
        <v>1673</v>
      </c>
      <c r="D1119" s="24" t="s">
        <v>210</v>
      </c>
      <c r="E1119" s="24" t="s">
        <v>190</v>
      </c>
      <c r="F1119" s="25" t="s">
        <v>147</v>
      </c>
    </row>
    <row r="1120" spans="1:6">
      <c r="A1120" s="22">
        <v>99524</v>
      </c>
      <c r="B1120" s="24" t="s">
        <v>2643</v>
      </c>
      <c r="C1120" s="24" t="s">
        <v>1673</v>
      </c>
      <c r="D1120" s="24" t="s">
        <v>210</v>
      </c>
      <c r="E1120" s="24" t="s">
        <v>190</v>
      </c>
      <c r="F1120" s="25" t="s">
        <v>147</v>
      </c>
    </row>
    <row r="1121" spans="1:6">
      <c r="A1121" s="22">
        <v>99001</v>
      </c>
      <c r="B1121" s="24" t="s">
        <v>2644</v>
      </c>
      <c r="C1121" s="24" t="s">
        <v>1673</v>
      </c>
      <c r="D1121" s="24" t="s">
        <v>432</v>
      </c>
      <c r="E1121" s="24" t="s">
        <v>190</v>
      </c>
      <c r="F1121" s="25" t="s">
        <v>147</v>
      </c>
    </row>
    <row r="1122" spans="1:6">
      <c r="A1122" s="22">
        <v>99624</v>
      </c>
      <c r="B1122" s="24" t="s">
        <v>1674</v>
      </c>
      <c r="C1122" s="24" t="s">
        <v>1673</v>
      </c>
      <c r="D1122" s="24" t="s">
        <v>210</v>
      </c>
      <c r="E1122" s="24" t="s">
        <v>190</v>
      </c>
      <c r="F1122" s="25" t="s">
        <v>147</v>
      </c>
    </row>
    <row r="1123" spans="1:6">
      <c r="A1123" s="22">
        <v>23815</v>
      </c>
      <c r="B1123" s="24" t="s">
        <v>2645</v>
      </c>
      <c r="C1123" s="24" t="s">
        <v>178</v>
      </c>
      <c r="D1123" s="24" t="s">
        <v>176</v>
      </c>
      <c r="E1123" s="24" t="s">
        <v>159</v>
      </c>
      <c r="F1123" s="25" t="s">
        <v>158</v>
      </c>
    </row>
    <row r="1124" spans="1:6">
      <c r="A1124" s="22">
        <v>23682</v>
      </c>
      <c r="B1124" s="24" t="s">
        <v>2646</v>
      </c>
      <c r="C1124" s="24" t="s">
        <v>178</v>
      </c>
      <c r="D1124" s="24" t="s">
        <v>176</v>
      </c>
      <c r="E1124" s="24" t="s">
        <v>159</v>
      </c>
      <c r="F1124" s="25" t="s">
        <v>158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4F18-2DC0-411C-9F63-5FA172F030F4}">
  <dimension ref="A1:D23"/>
  <sheetViews>
    <sheetView workbookViewId="0">
      <selection activeCell="A2" sqref="A2:D23"/>
    </sheetView>
  </sheetViews>
  <sheetFormatPr defaultColWidth="11.42578125" defaultRowHeight="14.45"/>
  <cols>
    <col min="1" max="1" width="15.28515625" style="13" bestFit="1" customWidth="1"/>
    <col min="2" max="2" width="18.28515625" style="13" bestFit="1" customWidth="1"/>
    <col min="3" max="4" width="30.28515625" style="13" bestFit="1" customWidth="1"/>
    <col min="5" max="16384" width="11.42578125" style="13"/>
  </cols>
  <sheetData>
    <row r="1" spans="1:4">
      <c r="A1" s="12" t="s">
        <v>111</v>
      </c>
      <c r="B1" s="12" t="s">
        <v>2647</v>
      </c>
      <c r="C1" s="12" t="s">
        <v>2648</v>
      </c>
      <c r="D1" s="12" t="s">
        <v>78</v>
      </c>
    </row>
    <row r="2" spans="1:4">
      <c r="A2" s="30" t="s">
        <v>259</v>
      </c>
      <c r="B2" s="31" t="s">
        <v>93</v>
      </c>
      <c r="C2" s="31" t="s">
        <v>91</v>
      </c>
      <c r="D2" s="31" t="s">
        <v>92</v>
      </c>
    </row>
    <row r="3" spans="1:4">
      <c r="A3" s="32" t="s">
        <v>1089</v>
      </c>
      <c r="B3" s="33" t="s">
        <v>90</v>
      </c>
      <c r="C3" s="33" t="s">
        <v>86</v>
      </c>
      <c r="D3" s="33" t="s">
        <v>89</v>
      </c>
    </row>
    <row r="4" spans="1:4">
      <c r="A4" s="32" t="s">
        <v>432</v>
      </c>
      <c r="B4" s="33" t="s">
        <v>102</v>
      </c>
      <c r="C4" s="33" t="s">
        <v>83</v>
      </c>
      <c r="D4" s="33" t="s">
        <v>101</v>
      </c>
    </row>
    <row r="5" spans="1:4">
      <c r="A5" s="32" t="s">
        <v>219</v>
      </c>
      <c r="B5" s="33" t="s">
        <v>99</v>
      </c>
      <c r="C5" s="33" t="s">
        <v>97</v>
      </c>
      <c r="D5" s="33" t="s">
        <v>98</v>
      </c>
    </row>
    <row r="6" spans="1:4">
      <c r="A6" s="32" t="s">
        <v>150</v>
      </c>
      <c r="B6" s="33" t="s">
        <v>87</v>
      </c>
      <c r="C6" s="33" t="s">
        <v>100</v>
      </c>
      <c r="D6" s="33" t="s">
        <v>84</v>
      </c>
    </row>
    <row r="7" spans="1:4">
      <c r="A7" s="32" t="s">
        <v>711</v>
      </c>
      <c r="B7" s="33" t="s">
        <v>90</v>
      </c>
      <c r="C7" s="33" t="s">
        <v>86</v>
      </c>
      <c r="D7" s="33" t="s">
        <v>89</v>
      </c>
    </row>
    <row r="8" spans="1:4">
      <c r="A8" s="32" t="s">
        <v>309</v>
      </c>
      <c r="B8" s="33" t="s">
        <v>99</v>
      </c>
      <c r="C8" s="33" t="s">
        <v>97</v>
      </c>
      <c r="D8" s="33" t="s">
        <v>98</v>
      </c>
    </row>
    <row r="9" spans="1:4">
      <c r="A9" s="32" t="s">
        <v>428</v>
      </c>
      <c r="B9" s="33" t="s">
        <v>96</v>
      </c>
      <c r="C9" s="33" t="s">
        <v>94</v>
      </c>
      <c r="D9" s="33" t="s">
        <v>95</v>
      </c>
    </row>
    <row r="10" spans="1:4">
      <c r="A10" s="32" t="s">
        <v>518</v>
      </c>
      <c r="B10" s="33" t="s">
        <v>96</v>
      </c>
      <c r="C10" s="33" t="s">
        <v>94</v>
      </c>
      <c r="D10" s="33" t="s">
        <v>95</v>
      </c>
    </row>
    <row r="11" spans="1:4">
      <c r="A11" s="32" t="s">
        <v>282</v>
      </c>
      <c r="B11" s="33" t="s">
        <v>85</v>
      </c>
      <c r="C11" s="33" t="s">
        <v>88</v>
      </c>
      <c r="D11" s="33" t="s">
        <v>84</v>
      </c>
    </row>
    <row r="12" spans="1:4">
      <c r="A12" s="32" t="s">
        <v>267</v>
      </c>
      <c r="B12" s="33" t="s">
        <v>93</v>
      </c>
      <c r="C12" s="33" t="s">
        <v>91</v>
      </c>
      <c r="D12" s="33" t="s">
        <v>92</v>
      </c>
    </row>
    <row r="13" spans="1:4">
      <c r="A13" s="32" t="s">
        <v>176</v>
      </c>
      <c r="B13" s="33" t="s">
        <v>90</v>
      </c>
      <c r="C13" s="33" t="s">
        <v>86</v>
      </c>
      <c r="D13" s="33" t="s">
        <v>89</v>
      </c>
    </row>
    <row r="14" spans="1:4">
      <c r="A14" s="32" t="s">
        <v>201</v>
      </c>
      <c r="B14" s="33" t="s">
        <v>96</v>
      </c>
      <c r="C14" s="33" t="s">
        <v>94</v>
      </c>
      <c r="D14" s="33" t="s">
        <v>95</v>
      </c>
    </row>
    <row r="15" spans="1:4">
      <c r="A15" s="32" t="s">
        <v>133</v>
      </c>
      <c r="B15" s="33" t="s">
        <v>87</v>
      </c>
      <c r="C15" s="33" t="s">
        <v>100</v>
      </c>
      <c r="D15" s="33" t="s">
        <v>84</v>
      </c>
    </row>
    <row r="16" spans="1:4">
      <c r="A16" s="32" t="s">
        <v>168</v>
      </c>
      <c r="B16" s="33" t="s">
        <v>85</v>
      </c>
      <c r="C16" s="33" t="s">
        <v>88</v>
      </c>
      <c r="D16" s="33" t="s">
        <v>84</v>
      </c>
    </row>
    <row r="17" spans="1:4">
      <c r="A17" s="32" t="s">
        <v>720</v>
      </c>
      <c r="B17" s="33" t="s">
        <v>87</v>
      </c>
      <c r="C17" s="33" t="s">
        <v>100</v>
      </c>
      <c r="D17" s="33" t="s">
        <v>84</v>
      </c>
    </row>
    <row r="18" spans="1:4">
      <c r="A18" s="32" t="s">
        <v>454</v>
      </c>
      <c r="B18" s="33" t="s">
        <v>90</v>
      </c>
      <c r="C18" s="33" t="s">
        <v>86</v>
      </c>
      <c r="D18" s="33" t="s">
        <v>89</v>
      </c>
    </row>
    <row r="19" spans="1:4">
      <c r="A19" s="32" t="s">
        <v>347</v>
      </c>
      <c r="B19" s="33" t="s">
        <v>90</v>
      </c>
      <c r="C19" s="33" t="s">
        <v>86</v>
      </c>
      <c r="D19" s="33" t="s">
        <v>89</v>
      </c>
    </row>
    <row r="20" spans="1:4">
      <c r="A20" s="32" t="s">
        <v>274</v>
      </c>
      <c r="B20" s="33" t="s">
        <v>99</v>
      </c>
      <c r="C20" s="33" t="s">
        <v>97</v>
      </c>
      <c r="D20" s="33" t="s">
        <v>98</v>
      </c>
    </row>
    <row r="21" spans="1:4">
      <c r="A21" s="32" t="s">
        <v>621</v>
      </c>
      <c r="B21" s="33" t="s">
        <v>90</v>
      </c>
      <c r="C21" s="33" t="s">
        <v>86</v>
      </c>
      <c r="D21" s="33" t="s">
        <v>89</v>
      </c>
    </row>
    <row r="22" spans="1:4">
      <c r="A22" s="32" t="s">
        <v>210</v>
      </c>
      <c r="B22" s="33" t="s">
        <v>96</v>
      </c>
      <c r="C22" s="33" t="s">
        <v>94</v>
      </c>
      <c r="D22" s="33" t="s">
        <v>95</v>
      </c>
    </row>
    <row r="23" spans="1:4">
      <c r="A23" s="32" t="s">
        <v>920</v>
      </c>
      <c r="B23" s="33" t="s">
        <v>96</v>
      </c>
      <c r="C23" s="33" t="s">
        <v>94</v>
      </c>
      <c r="D23" s="33" t="s">
        <v>95</v>
      </c>
    </row>
  </sheetData>
  <autoFilter ref="A1:D23" xr:uid="{875A4F18-2DC0-411C-9F63-5FA172F030F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19F79FE7-D807-498C-8978-7765562AAF69}"/>
</file>

<file path=customXml/itemProps2.xml><?xml version="1.0" encoding="utf-8"?>
<ds:datastoreItem xmlns:ds="http://schemas.openxmlformats.org/officeDocument/2006/customXml" ds:itemID="{38927F35-18D0-4073-A591-CF5E9743F221}"/>
</file>

<file path=customXml/itemProps3.xml><?xml version="1.0" encoding="utf-8"?>
<ds:datastoreItem xmlns:ds="http://schemas.openxmlformats.org/officeDocument/2006/customXml" ds:itemID="{4BE33116-06BA-44A1-8C65-43578B6966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Lini Jhojana Hernandez Mora</cp:lastModifiedBy>
  <cp:revision/>
  <dcterms:created xsi:type="dcterms:W3CDTF">2015-02-09T21:21:29Z</dcterms:created>
  <dcterms:modified xsi:type="dcterms:W3CDTF">2025-10-06T21:46:10Z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