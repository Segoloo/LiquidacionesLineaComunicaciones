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 REDEBAN/FACTURACION/2025/SEPTIEMBRE/"/>
    </mc:Choice>
  </mc:AlternateContent>
  <xr:revisionPtr revIDLastSave="610" documentId="13_ncr:1_{155C5C84-4AFD-48B4-90DE-8C02CB79D3F7}" xr6:coauthVersionLast="47" xr6:coauthVersionMax="47" xr10:uidLastSave="{E305B5A9-F00C-429F-BD4C-16F68CF1BBCF}"/>
  <bookViews>
    <workbookView xWindow="28680" yWindow="-120" windowWidth="29040" windowHeight="15720" tabRatio="866" activeTab="2" xr2:uid="{00000000-000D-0000-FFFF-FFFF00000000}"/>
  </bookViews>
  <sheets>
    <sheet name="RESUMEN" sheetId="3" r:id="rId1"/>
    <sheet name="BASE DE LIQUIDACION 2025" sheetId="7" state="hidden" r:id="rId2"/>
    <sheet name="Tabla Dinámica" sheetId="55" r:id="rId3"/>
    <sheet name="CIERRES" sheetId="52" r:id="rId4"/>
    <sheet name="TIPOLOGIAS" sheetId="54" state="hidden" r:id="rId5"/>
    <sheet name="CENTRO DE COSTOS" sheetId="53" state="hidden" r:id="rId6"/>
  </sheets>
  <externalReferences>
    <externalReference r:id="rId7"/>
    <externalReference r:id="rId8"/>
    <externalReference r:id="rId9"/>
    <externalReference r:id="rId10"/>
    <externalReference r:id="rId11"/>
  </externalReferences>
  <definedNames>
    <definedName name="_xlnm._FilterDatabase" localSheetId="5" hidden="1">'CENTRO DE COSTOS'!$A$1:$D$23</definedName>
    <definedName name="_xlnm._FilterDatabase" localSheetId="3" hidden="1">CIERRES!$A$1:$AD$109</definedName>
    <definedName name="ACTIVIDAD">[1]Hoja2!$P$2:$P$30</definedName>
    <definedName name="Clientes">[2]Clientes!$A$2:$A$100</definedName>
    <definedName name="COORDINADOR">[1]Hoja2!$D$2:$D$30</definedName>
    <definedName name="Coordinadores">[3]Coordinadores!$A$2:$A$1000</definedName>
    <definedName name="DOCUMENTADOR">[1]Hoja2!$A$2:$A$30</definedName>
    <definedName name="ES">[1]Hoja2!$K$2:$K$30</definedName>
    <definedName name="ESS">[1]Hoja2!$K$2:$K$30</definedName>
    <definedName name="Estado">[2]Formulas!$K$2:$K$5000</definedName>
    <definedName name="ESTADOACTIVIDAD">[1]Hoja2!$M$2:$M$30</definedName>
    <definedName name="ESTADOSCIERRES">'[4]lista desplegable'!$CX$1:$DA$1</definedName>
    <definedName name="Facturacion">'[5]Listas desplegables'!$AO$1:$AR$1</definedName>
    <definedName name="solicitudes">'[5]Listas desplegables'!$U$1:$AF$1</definedName>
    <definedName name="Tecnicos">[2]Tecnicos!$A$2:$A$1000</definedName>
  </definedNames>
  <calcPr calcId="191028"/>
  <pivotCaches>
    <pivotCache cacheId="4184"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8" i="52" l="1"/>
  <c r="C108" i="52"/>
  <c r="B107" i="52"/>
  <c r="C107" i="52"/>
  <c r="Y107" i="52"/>
  <c r="Z107" i="52"/>
  <c r="Y108" i="52"/>
  <c r="Z108" i="52"/>
  <c r="Y3" i="52"/>
  <c r="Y4" i="52"/>
  <c r="Y5" i="52"/>
  <c r="Y6" i="52"/>
  <c r="Y7" i="52"/>
  <c r="Y8" i="52"/>
  <c r="Y9" i="52"/>
  <c r="Y10" i="52"/>
  <c r="Y11" i="52"/>
  <c r="Y12" i="52"/>
  <c r="Y13" i="52"/>
  <c r="Y14" i="52"/>
  <c r="Y15" i="52"/>
  <c r="Y16" i="52"/>
  <c r="Y17" i="52"/>
  <c r="Y18" i="52"/>
  <c r="Y19" i="52"/>
  <c r="Y20" i="52"/>
  <c r="Y21" i="52"/>
  <c r="Y22" i="52"/>
  <c r="Y23" i="52"/>
  <c r="Y24" i="52"/>
  <c r="Y25" i="52"/>
  <c r="Y26" i="52"/>
  <c r="Y27" i="52"/>
  <c r="Y28" i="52"/>
  <c r="Y29" i="52"/>
  <c r="Y30" i="52"/>
  <c r="Y31" i="52"/>
  <c r="Y32" i="52"/>
  <c r="Y33" i="52"/>
  <c r="Y34" i="52"/>
  <c r="Y35" i="52"/>
  <c r="Y36" i="52"/>
  <c r="Y37" i="52"/>
  <c r="Y38" i="52"/>
  <c r="Y39" i="52"/>
  <c r="Y40" i="52"/>
  <c r="Y41" i="52"/>
  <c r="Y42" i="52"/>
  <c r="Y43" i="52"/>
  <c r="Y44" i="52"/>
  <c r="Y45" i="52"/>
  <c r="Y46" i="52"/>
  <c r="Y47" i="52"/>
  <c r="Y48" i="52"/>
  <c r="Y49" i="52"/>
  <c r="Y50" i="52"/>
  <c r="Y51" i="52"/>
  <c r="Y52" i="52"/>
  <c r="Y53" i="52"/>
  <c r="Y54" i="52"/>
  <c r="Y55" i="52"/>
  <c r="Y56" i="52"/>
  <c r="Y57" i="52"/>
  <c r="Y58" i="52"/>
  <c r="Y59" i="52"/>
  <c r="Y60" i="52"/>
  <c r="Y61" i="52"/>
  <c r="Y62" i="52"/>
  <c r="Y63" i="52"/>
  <c r="Y64" i="52"/>
  <c r="Y65" i="52"/>
  <c r="Y66" i="52"/>
  <c r="Y67" i="52"/>
  <c r="Y68" i="52"/>
  <c r="Y69" i="52"/>
  <c r="Y70" i="52"/>
  <c r="Y71" i="52"/>
  <c r="Y72" i="52"/>
  <c r="Y73" i="52"/>
  <c r="Y74" i="52"/>
  <c r="Y75" i="52"/>
  <c r="Y76" i="52"/>
  <c r="Y77" i="52"/>
  <c r="Y78" i="52"/>
  <c r="Y79" i="52"/>
  <c r="Y80" i="52"/>
  <c r="Y81" i="52"/>
  <c r="Y82" i="52"/>
  <c r="Y83" i="52"/>
  <c r="Y84" i="52"/>
  <c r="Y85" i="52"/>
  <c r="Y86" i="52"/>
  <c r="Y87" i="52"/>
  <c r="Y88" i="52"/>
  <c r="Y89" i="52"/>
  <c r="Y90" i="52"/>
  <c r="Y91" i="52"/>
  <c r="Y92" i="52"/>
  <c r="Y93" i="52"/>
  <c r="Y94" i="52"/>
  <c r="Y95" i="52"/>
  <c r="Y96" i="52"/>
  <c r="Y97" i="52"/>
  <c r="Y98" i="52"/>
  <c r="Y99" i="52"/>
  <c r="Y100" i="52"/>
  <c r="Y101" i="52"/>
  <c r="Y102" i="52"/>
  <c r="Y103" i="52"/>
  <c r="Y104" i="52"/>
  <c r="Y105" i="52"/>
  <c r="Y106" i="52"/>
  <c r="Y2" i="52"/>
  <c r="B46" i="52"/>
  <c r="C46" i="52"/>
  <c r="B47" i="52"/>
  <c r="C47" i="52"/>
  <c r="B48" i="52"/>
  <c r="C48" i="52"/>
  <c r="B49" i="52"/>
  <c r="C49" i="52"/>
  <c r="B50" i="52"/>
  <c r="C50" i="52"/>
  <c r="B51" i="52"/>
  <c r="C51" i="52"/>
  <c r="B52" i="52"/>
  <c r="C52" i="52"/>
  <c r="B53" i="52"/>
  <c r="C53" i="52"/>
  <c r="B54" i="52"/>
  <c r="C54" i="52"/>
  <c r="B55" i="52"/>
  <c r="C55" i="52"/>
  <c r="B56" i="52"/>
  <c r="C56" i="52"/>
  <c r="B57" i="52"/>
  <c r="C57" i="52"/>
  <c r="B58" i="52"/>
  <c r="C58" i="52"/>
  <c r="B59" i="52"/>
  <c r="C59" i="52"/>
  <c r="B60" i="52"/>
  <c r="C60" i="52"/>
  <c r="B61" i="52"/>
  <c r="C61" i="52"/>
  <c r="B62" i="52"/>
  <c r="C62" i="52"/>
  <c r="B63" i="52"/>
  <c r="C63" i="52"/>
  <c r="B64" i="52"/>
  <c r="C64" i="52"/>
  <c r="B65" i="52"/>
  <c r="C65" i="52"/>
  <c r="B66" i="52"/>
  <c r="C66" i="52"/>
  <c r="B67" i="52"/>
  <c r="C67" i="52"/>
  <c r="B68" i="52"/>
  <c r="C68" i="52"/>
  <c r="B69" i="52"/>
  <c r="C69" i="52"/>
  <c r="B70" i="52"/>
  <c r="C70" i="52"/>
  <c r="B71" i="52"/>
  <c r="C71" i="52"/>
  <c r="B72" i="52"/>
  <c r="C72" i="52"/>
  <c r="B73" i="52"/>
  <c r="C73" i="52"/>
  <c r="B74" i="52"/>
  <c r="C74" i="52"/>
  <c r="B75" i="52"/>
  <c r="C75" i="52"/>
  <c r="B76" i="52"/>
  <c r="C76" i="52"/>
  <c r="B77" i="52"/>
  <c r="C77" i="52"/>
  <c r="B78" i="52"/>
  <c r="C78" i="52"/>
  <c r="B79" i="52"/>
  <c r="C79" i="52"/>
  <c r="B80" i="52"/>
  <c r="C80" i="52"/>
  <c r="B81" i="52"/>
  <c r="C81" i="52"/>
  <c r="B82" i="52"/>
  <c r="C82" i="52"/>
  <c r="B83" i="52"/>
  <c r="C83" i="52"/>
  <c r="B84" i="52"/>
  <c r="C84" i="52"/>
  <c r="B85" i="52"/>
  <c r="C85" i="52"/>
  <c r="B86" i="52"/>
  <c r="C86" i="52"/>
  <c r="B87" i="52"/>
  <c r="C87" i="52"/>
  <c r="B88" i="52"/>
  <c r="C88" i="52"/>
  <c r="B89" i="52"/>
  <c r="C89" i="52"/>
  <c r="B90" i="52"/>
  <c r="C90" i="52"/>
  <c r="B91" i="52"/>
  <c r="C91" i="52"/>
  <c r="B92" i="52"/>
  <c r="C92" i="52"/>
  <c r="B93" i="52"/>
  <c r="C93" i="52"/>
  <c r="B94" i="52"/>
  <c r="C94" i="52"/>
  <c r="B95" i="52"/>
  <c r="C95" i="52"/>
  <c r="B96" i="52"/>
  <c r="C96" i="52"/>
  <c r="B97" i="52"/>
  <c r="C97" i="52"/>
  <c r="B98" i="52"/>
  <c r="C98" i="52"/>
  <c r="B99" i="52"/>
  <c r="C99" i="52"/>
  <c r="B100" i="52"/>
  <c r="C100" i="52"/>
  <c r="B101" i="52"/>
  <c r="C101" i="52"/>
  <c r="B102" i="52"/>
  <c r="C102" i="52"/>
  <c r="B103" i="52"/>
  <c r="C103" i="52"/>
  <c r="B104" i="52"/>
  <c r="C104" i="52"/>
  <c r="B105" i="52"/>
  <c r="C105" i="52"/>
  <c r="B106" i="52"/>
  <c r="C106" i="52"/>
  <c r="C3" i="52"/>
  <c r="C4" i="52"/>
  <c r="C5" i="52"/>
  <c r="C6" i="52"/>
  <c r="C7" i="52"/>
  <c r="C8" i="52"/>
  <c r="C9" i="52"/>
  <c r="C10" i="52"/>
  <c r="C11" i="52"/>
  <c r="C12" i="52"/>
  <c r="C13" i="52"/>
  <c r="C14" i="52"/>
  <c r="C15" i="52"/>
  <c r="C16" i="52"/>
  <c r="C17" i="52"/>
  <c r="C18" i="52"/>
  <c r="C19" i="52"/>
  <c r="C20" i="52"/>
  <c r="C21" i="52"/>
  <c r="C22" i="52"/>
  <c r="C23" i="52"/>
  <c r="C24" i="52"/>
  <c r="C25" i="52"/>
  <c r="C26" i="52"/>
  <c r="C27" i="52"/>
  <c r="C28" i="52"/>
  <c r="C29" i="52"/>
  <c r="C30" i="52"/>
  <c r="C31" i="52"/>
  <c r="C32" i="52"/>
  <c r="C33" i="52"/>
  <c r="C34" i="52"/>
  <c r="C35" i="52"/>
  <c r="C36" i="52"/>
  <c r="C37" i="52"/>
  <c r="C38" i="52"/>
  <c r="C39" i="52"/>
  <c r="C40" i="52"/>
  <c r="C41" i="52"/>
  <c r="C42" i="52"/>
  <c r="C43" i="52"/>
  <c r="C44" i="52"/>
  <c r="C45" i="52"/>
  <c r="B3" i="52"/>
  <c r="B4" i="52"/>
  <c r="B5" i="52"/>
  <c r="B6" i="52"/>
  <c r="B7" i="52"/>
  <c r="B8" i="52"/>
  <c r="B9" i="52"/>
  <c r="B10" i="52"/>
  <c r="B11" i="52"/>
  <c r="B12" i="52"/>
  <c r="B13" i="52"/>
  <c r="B14" i="52"/>
  <c r="B15" i="52"/>
  <c r="B16" i="52"/>
  <c r="B17" i="52"/>
  <c r="B18" i="52"/>
  <c r="B19" i="52"/>
  <c r="B20" i="52"/>
  <c r="B21" i="52"/>
  <c r="B22" i="52"/>
  <c r="B23" i="52"/>
  <c r="B24" i="52"/>
  <c r="B25" i="52"/>
  <c r="B26" i="52"/>
  <c r="B27" i="52"/>
  <c r="B28" i="52"/>
  <c r="B29" i="52"/>
  <c r="B30" i="52"/>
  <c r="B31" i="52"/>
  <c r="B32" i="52"/>
  <c r="B33" i="52"/>
  <c r="B34" i="52"/>
  <c r="B35" i="52"/>
  <c r="B36" i="52"/>
  <c r="B37" i="52"/>
  <c r="B38" i="52"/>
  <c r="B39" i="52"/>
  <c r="B40" i="52"/>
  <c r="B41" i="52"/>
  <c r="B42" i="52"/>
  <c r="B43" i="52"/>
  <c r="B44" i="52"/>
  <c r="B45" i="52"/>
  <c r="Z3" i="52"/>
  <c r="Z4" i="52"/>
  <c r="Z5" i="52"/>
  <c r="Z6" i="52"/>
  <c r="Z7" i="52"/>
  <c r="Z8" i="52"/>
  <c r="Z9" i="52"/>
  <c r="Z10" i="52"/>
  <c r="Z11" i="52"/>
  <c r="Z12" i="52"/>
  <c r="Z13" i="52"/>
  <c r="Z14" i="52"/>
  <c r="Z15" i="52"/>
  <c r="Z16" i="52"/>
  <c r="Z17" i="52"/>
  <c r="Z18" i="52"/>
  <c r="Z19" i="52"/>
  <c r="Z20" i="52"/>
  <c r="Z21" i="52"/>
  <c r="Z22" i="52"/>
  <c r="Z23" i="52"/>
  <c r="Z24" i="52"/>
  <c r="Z25" i="52"/>
  <c r="Z26" i="52"/>
  <c r="Z27" i="52"/>
  <c r="Z28" i="52"/>
  <c r="Z29" i="52"/>
  <c r="Z30" i="52"/>
  <c r="Z31" i="52"/>
  <c r="Z32" i="52"/>
  <c r="Z33" i="52"/>
  <c r="Z34" i="52"/>
  <c r="Z35" i="52"/>
  <c r="Z36" i="52"/>
  <c r="Z37" i="52"/>
  <c r="Z38" i="52"/>
  <c r="Z39" i="52"/>
  <c r="Z40" i="52"/>
  <c r="Z41" i="52"/>
  <c r="Z42" i="52"/>
  <c r="Z43" i="52"/>
  <c r="Z44" i="52"/>
  <c r="Z45" i="52"/>
  <c r="Z46" i="52"/>
  <c r="Z47" i="52"/>
  <c r="Z48" i="52"/>
  <c r="Z49" i="52"/>
  <c r="Z50" i="52"/>
  <c r="Z51" i="52"/>
  <c r="Z52" i="52"/>
  <c r="Z53" i="52"/>
  <c r="Z54" i="52"/>
  <c r="Z55" i="52"/>
  <c r="Z56" i="52"/>
  <c r="Z57" i="52"/>
  <c r="Z58" i="52"/>
  <c r="Z59" i="52"/>
  <c r="Z60" i="52"/>
  <c r="Z61" i="52"/>
  <c r="Z62" i="52"/>
  <c r="Z63" i="52"/>
  <c r="Z64" i="52"/>
  <c r="Z65" i="52"/>
  <c r="Z66" i="52"/>
  <c r="Z67" i="52"/>
  <c r="Z68" i="52"/>
  <c r="Z69" i="52"/>
  <c r="Z70" i="52"/>
  <c r="Z71" i="52"/>
  <c r="Z72" i="52"/>
  <c r="Z73" i="52"/>
  <c r="Z74" i="52"/>
  <c r="Z75" i="52"/>
  <c r="Z76" i="52"/>
  <c r="Z77" i="52"/>
  <c r="Z78" i="52"/>
  <c r="Z79" i="52"/>
  <c r="Z80" i="52"/>
  <c r="Z81" i="52"/>
  <c r="Z82" i="52"/>
  <c r="Z83" i="52"/>
  <c r="Z84" i="52"/>
  <c r="Z85" i="52"/>
  <c r="Z86" i="52"/>
  <c r="Z87" i="52"/>
  <c r="Z88" i="52"/>
  <c r="Z89" i="52"/>
  <c r="Z90" i="52"/>
  <c r="Z91" i="52"/>
  <c r="Z92" i="52"/>
  <c r="Z93" i="52"/>
  <c r="Z94" i="52"/>
  <c r="Z95" i="52"/>
  <c r="Z96" i="52"/>
  <c r="Z97" i="52"/>
  <c r="Z98" i="52"/>
  <c r="Z99" i="52"/>
  <c r="Z100" i="52"/>
  <c r="Z101" i="52"/>
  <c r="Z102" i="52"/>
  <c r="Z103" i="52"/>
  <c r="Z104" i="52"/>
  <c r="Z105" i="52"/>
  <c r="Z106" i="52"/>
  <c r="Z2" i="52"/>
  <c r="B2" i="52"/>
  <c r="C2" i="52"/>
  <c r="H10" i="3"/>
  <c r="B9" i="7"/>
  <c r="C6" i="7"/>
  <c r="C5" i="7"/>
  <c r="C4" i="7"/>
  <c r="C3" i="7"/>
  <c r="E5" i="55"/>
  <c r="E6" i="55"/>
  <c r="E7" i="55"/>
  <c r="E8" i="55"/>
  <c r="E9" i="55"/>
  <c r="E10" i="55"/>
  <c r="E4" i="55"/>
  <c r="AC46" i="52" l="1"/>
  <c r="AD46" i="52" s="1"/>
  <c r="AC108" i="52"/>
  <c r="AD108" i="52" s="1"/>
  <c r="AC107" i="52"/>
  <c r="AD107" i="52" s="1"/>
  <c r="AC47" i="52"/>
  <c r="AD47" i="52" s="1"/>
  <c r="AC48" i="52"/>
  <c r="AD48" i="52" s="1"/>
  <c r="AC51" i="52"/>
  <c r="AD51" i="52" s="1"/>
  <c r="AC55" i="52"/>
  <c r="AD55" i="52" s="1"/>
  <c r="AC57" i="52"/>
  <c r="AD57" i="52" s="1"/>
  <c r="AC58" i="52"/>
  <c r="AD58" i="52" s="1"/>
  <c r="AC59" i="52"/>
  <c r="AD59" i="52" s="1"/>
  <c r="AC62" i="52"/>
  <c r="AD62" i="52" s="1"/>
  <c r="AC66" i="52"/>
  <c r="AD66" i="52" s="1"/>
  <c r="AC67" i="52"/>
  <c r="AD67" i="52" s="1"/>
  <c r="AC70" i="52"/>
  <c r="AD70" i="52" s="1"/>
  <c r="AC75" i="52"/>
  <c r="AD75" i="52" s="1"/>
  <c r="AC76" i="52"/>
  <c r="AD76" i="52" s="1"/>
  <c r="AC77" i="52"/>
  <c r="AD77" i="52" s="1"/>
  <c r="AC78" i="52"/>
  <c r="AD78" i="52" s="1"/>
  <c r="AC80" i="52"/>
  <c r="AD80" i="52" s="1"/>
  <c r="AC81" i="52"/>
  <c r="AD81" i="52" s="1"/>
  <c r="AC82" i="52"/>
  <c r="AD82" i="52" s="1"/>
  <c r="AC83" i="52"/>
  <c r="AD83" i="52" s="1"/>
  <c r="AC85" i="52"/>
  <c r="AD85" i="52" s="1"/>
  <c r="AC87" i="52"/>
  <c r="AD87" i="52" s="1"/>
  <c r="AC90" i="52"/>
  <c r="AD90" i="52" s="1"/>
  <c r="AC93" i="52"/>
  <c r="AD93" i="52" s="1"/>
  <c r="AC94" i="52"/>
  <c r="AD94" i="52" s="1"/>
  <c r="AC95" i="52"/>
  <c r="AD95" i="52" s="1"/>
  <c r="AC96" i="52"/>
  <c r="AD96" i="52" s="1"/>
  <c r="AC98" i="52"/>
  <c r="AD98" i="52" s="1"/>
  <c r="AC100" i="52"/>
  <c r="AD100" i="52" s="1"/>
  <c r="AC103" i="52"/>
  <c r="AD103" i="52" s="1"/>
  <c r="AC104" i="52"/>
  <c r="AD104" i="52" s="1"/>
  <c r="AC105" i="52"/>
  <c r="AD105" i="52" s="1"/>
  <c r="AC106" i="52"/>
  <c r="AD106" i="52" s="1"/>
  <c r="AC61" i="52"/>
  <c r="AD61" i="52" s="1"/>
  <c r="AC69" i="52"/>
  <c r="AD69" i="52" s="1"/>
  <c r="AC73" i="52"/>
  <c r="AD73" i="52" s="1"/>
  <c r="AC74" i="52"/>
  <c r="AD74" i="52" s="1"/>
  <c r="AC79" i="52"/>
  <c r="AD79" i="52" s="1"/>
  <c r="AC86" i="52"/>
  <c r="AD86" i="52" s="1"/>
  <c r="AC99" i="52"/>
  <c r="AD99" i="52" s="1"/>
  <c r="AC101" i="52"/>
  <c r="AD101" i="52" s="1"/>
  <c r="AC52" i="52"/>
  <c r="AD52" i="52" s="1"/>
  <c r="AC60" i="52"/>
  <c r="AD60" i="52" s="1"/>
  <c r="AC63" i="52"/>
  <c r="AD63" i="52" s="1"/>
  <c r="AC88" i="52"/>
  <c r="AD88" i="52" s="1"/>
  <c r="AC92" i="52"/>
  <c r="AD92" i="52" s="1"/>
  <c r="AC97" i="52"/>
  <c r="AD97" i="52" s="1"/>
  <c r="AC53" i="52"/>
  <c r="AD53" i="52" s="1"/>
  <c r="AC64" i="52"/>
  <c r="AD64" i="52" s="1"/>
  <c r="AC65" i="52"/>
  <c r="AD65" i="52" s="1"/>
  <c r="AC68" i="52"/>
  <c r="AD68" i="52" s="1"/>
  <c r="AC71" i="52"/>
  <c r="AD71" i="52" s="1"/>
  <c r="AC84" i="52"/>
  <c r="AD84" i="52" s="1"/>
  <c r="AC89" i="52"/>
  <c r="AD89" i="52" s="1"/>
  <c r="AC49" i="52"/>
  <c r="AD49" i="52" s="1"/>
  <c r="AC50" i="52"/>
  <c r="AD50" i="52" s="1"/>
  <c r="AC54" i="52"/>
  <c r="AD54" i="52" s="1"/>
  <c r="AC56" i="52"/>
  <c r="AD56" i="52" s="1"/>
  <c r="AC72" i="52"/>
  <c r="AD72" i="52" s="1"/>
  <c r="AC91" i="52"/>
  <c r="AD91" i="52" s="1"/>
  <c r="AC102" i="52"/>
  <c r="AD102" i="52" s="1"/>
  <c r="AC27" i="52"/>
  <c r="AD27" i="52" s="1"/>
  <c r="AC30" i="52"/>
  <c r="AD30" i="52" s="1"/>
  <c r="AC34" i="52"/>
  <c r="AD34" i="52" s="1"/>
  <c r="AC36" i="52"/>
  <c r="AD36" i="52" s="1"/>
  <c r="AC37" i="52"/>
  <c r="AD37" i="52" s="1"/>
  <c r="AC38" i="52"/>
  <c r="AD38" i="52" s="1"/>
  <c r="AC39" i="52"/>
  <c r="AD39" i="52" s="1"/>
  <c r="AC41" i="52"/>
  <c r="AD41" i="52" s="1"/>
  <c r="AC42" i="52"/>
  <c r="AD42" i="52" s="1"/>
  <c r="AC43" i="52"/>
  <c r="AD43" i="52" s="1"/>
  <c r="AC44" i="52"/>
  <c r="AD44" i="52" s="1"/>
  <c r="AC45" i="52"/>
  <c r="AD45" i="52" s="1"/>
  <c r="AC26" i="52"/>
  <c r="AD26" i="52" s="1"/>
  <c r="AC28" i="52"/>
  <c r="AD28" i="52" s="1"/>
  <c r="AC35" i="52"/>
  <c r="AD35" i="52" s="1"/>
  <c r="AC40" i="52"/>
  <c r="AD40" i="52" s="1"/>
  <c r="AC24" i="52"/>
  <c r="AD24" i="52" s="1"/>
  <c r="AC25" i="52"/>
  <c r="AD25" i="52" s="1"/>
  <c r="AC29" i="52"/>
  <c r="AD29" i="52" s="1"/>
  <c r="AC31" i="52"/>
  <c r="AD31" i="52" s="1"/>
  <c r="AC32" i="52"/>
  <c r="AD32" i="52" s="1"/>
  <c r="AC33" i="52"/>
  <c r="AD33" i="52" s="1"/>
  <c r="AC2" i="52"/>
  <c r="AD2" i="52" s="1"/>
  <c r="AC5" i="52"/>
  <c r="AD5" i="52" s="1"/>
  <c r="AC7" i="52"/>
  <c r="AD7" i="52" s="1"/>
  <c r="AC8" i="52"/>
  <c r="AD8" i="52" s="1"/>
  <c r="AC9" i="52"/>
  <c r="AD9" i="52" s="1"/>
  <c r="AC10" i="52"/>
  <c r="AD10" i="52" s="1"/>
  <c r="AC12" i="52"/>
  <c r="AD12" i="52" s="1"/>
  <c r="AC13" i="52"/>
  <c r="AD13" i="52" s="1"/>
  <c r="AC14" i="52"/>
  <c r="AD14" i="52" s="1"/>
  <c r="AC16" i="52"/>
  <c r="AD16" i="52" s="1"/>
  <c r="AC18" i="52"/>
  <c r="AD18" i="52" s="1"/>
  <c r="AC20" i="52"/>
  <c r="AD20" i="52" s="1"/>
  <c r="AC22" i="52"/>
  <c r="AD22" i="52" s="1"/>
  <c r="AC23" i="52"/>
  <c r="AD23" i="52" s="1"/>
  <c r="AC4" i="52"/>
  <c r="AD4" i="52" s="1"/>
  <c r="AC6" i="52"/>
  <c r="AD6" i="52" s="1"/>
  <c r="AC11" i="52"/>
  <c r="AD11" i="52" s="1"/>
  <c r="AC15" i="52"/>
  <c r="AD15" i="52" s="1"/>
  <c r="AC3" i="52"/>
  <c r="AD3" i="52" s="1"/>
  <c r="AC17" i="52"/>
  <c r="AD17" i="52" s="1"/>
  <c r="AC19" i="52"/>
  <c r="AD19" i="52" s="1"/>
  <c r="AC21" i="52"/>
  <c r="AD21" i="52" s="1"/>
  <c r="AD109" i="52" l="1"/>
  <c r="D6" i="3" s="1"/>
  <c r="A6" i="3"/>
  <c r="I6" i="3" l="1"/>
  <c r="J6" i="3" s="1"/>
  <c r="I7" i="3"/>
  <c r="J7" i="3" s="1"/>
  <c r="F2" i="3" l="1"/>
  <c r="I5" i="3" l="1"/>
  <c r="I10" i="3" s="1"/>
  <c r="J5" i="3" l="1"/>
  <c r="B6" i="3"/>
  <c r="J10" i="3" l="1"/>
  <c r="D7" i="3" s="1"/>
  <c r="D8" i="3" l="1"/>
  <c r="D9" i="3" s="1"/>
  <c r="D10"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Natacha Gutierrez Tamayo</author>
  </authors>
  <commentList>
    <comment ref="C7" authorId="0" shapeId="0" xr:uid="{00000000-0006-0000-0100-000001000000}">
      <text>
        <r>
          <rPr>
            <b/>
            <sz val="9"/>
            <color indexed="81"/>
            <rFont val="Tahoma"/>
            <family val="2"/>
          </rPr>
          <t>Zoom</t>
        </r>
      </text>
    </comment>
  </commentList>
</comments>
</file>

<file path=xl/sharedStrings.xml><?xml version="1.0" encoding="utf-8"?>
<sst xmlns="http://schemas.openxmlformats.org/spreadsheetml/2006/main" count="7720" uniqueCount="1739">
  <si>
    <t>LÍNEA COMUNICACIONES S.A.S</t>
  </si>
  <si>
    <t>FACTURACIÓN CORRESPONSALES BANCARIOS TIQUIETES AÉREOS</t>
  </si>
  <si>
    <t>FACTURACIÓN VISITAS FALLIDAS CORRESPONSALES BANCARIOS</t>
  </si>
  <si>
    <t>SEPTIEMBRE 2025</t>
  </si>
  <si>
    <t>CONCEPTOS</t>
  </si>
  <si>
    <t>TRAYECTOS</t>
  </si>
  <si>
    <t>TOTAL</t>
  </si>
  <si>
    <t>% ADMINISTRACIÓN</t>
  </si>
  <si>
    <t>CANT</t>
  </si>
  <si>
    <t>TIQUETES</t>
  </si>
  <si>
    <t>SUBTOTAL</t>
  </si>
  <si>
    <t>IVA</t>
  </si>
  <si>
    <t>CIERRE CB - VISITAS FALLIDAS O CIERRES NO EXITOSOS TARIFAS 2024</t>
  </si>
  <si>
    <t>Incremento 2025</t>
  </si>
  <si>
    <t xml:space="preserve">Tipificación </t>
  </si>
  <si>
    <t>Descripción</t>
  </si>
  <si>
    <t xml:space="preserve">Tarifa </t>
  </si>
  <si>
    <t>Tipo I</t>
  </si>
  <si>
    <t>Metropolitano</t>
  </si>
  <si>
    <t>Tipo II</t>
  </si>
  <si>
    <t>Hasta 3 horas</t>
  </si>
  <si>
    <t>Tipo III</t>
  </si>
  <si>
    <t>De 3 a 5 horas</t>
  </si>
  <si>
    <t>Tipo IV</t>
  </si>
  <si>
    <t>Más de 5 horas</t>
  </si>
  <si>
    <t>Trayecto Especial</t>
  </si>
  <si>
    <t>No incluye valor del Tiquete</t>
  </si>
  <si>
    <t>Valor de actividad Tipo IV + Valor tiquete aéreo (o fluvial) + 12% administración)</t>
  </si>
  <si>
    <t>Gestión telefonica</t>
  </si>
  <si>
    <t>COORDINADOR</t>
  </si>
  <si>
    <t>CENTRO DE COSTOS LÍNEACOM</t>
  </si>
  <si>
    <t>%</t>
  </si>
  <si>
    <t>Suma de VALOR TOTAL2</t>
  </si>
  <si>
    <t>NOMBRE CC</t>
  </si>
  <si>
    <t>DIEGO FERNANDO HENAO CARDONA</t>
  </si>
  <si>
    <t>0004-0002</t>
  </si>
  <si>
    <t>0004-0003</t>
  </si>
  <si>
    <t>JOSE MAURICIO HERNANDEZ ROJAS</t>
  </si>
  <si>
    <t>0004-0001</t>
  </si>
  <si>
    <t>JUAN SEBASTIÁN RÍOS CASTRILLÓN</t>
  </si>
  <si>
    <t>0004-0005</t>
  </si>
  <si>
    <t>KEVIN ALEXIS CORZO BUSTOS</t>
  </si>
  <si>
    <t>0004-0007</t>
  </si>
  <si>
    <t>MIGUEL JULIÁN HERNÁNDEZ GUARÍN</t>
  </si>
  <si>
    <t>0004-0008</t>
  </si>
  <si>
    <t>WILLIAM ASDRUBAL ROZO ROZO</t>
  </si>
  <si>
    <t>0004-0004</t>
  </si>
  <si>
    <t>Total general</t>
  </si>
  <si>
    <t>CIUDAD SEDE</t>
  </si>
  <si>
    <t>CÓDIGO DANE</t>
  </si>
  <si>
    <t>TA/CODIGO ACTIVIDAD</t>
  </si>
  <si>
    <t>CODIGO CB</t>
  </si>
  <si>
    <t>ACTIVIDAD</t>
  </si>
  <si>
    <t>DEPARTAMENTO</t>
  </si>
  <si>
    <t>CIUDAD</t>
  </si>
  <si>
    <t xml:space="preserve">NOMBRE  DEL CB </t>
  </si>
  <si>
    <t>RED</t>
  </si>
  <si>
    <t>FO</t>
  </si>
  <si>
    <t>FECHA ASIGNACION A LINEA COMUNICACIONES</t>
  </si>
  <si>
    <t>FECHA DEL CIERRE DEL TICKET (DD/MM/AAAA)</t>
  </si>
  <si>
    <t>ACOMETIDA</t>
  </si>
  <si>
    <t>SOLICITUD</t>
  </si>
  <si>
    <t>DESCRIPCIÓN</t>
  </si>
  <si>
    <t>FORMATO</t>
  </si>
  <si>
    <t>CADENA</t>
  </si>
  <si>
    <t>ESTADO</t>
  </si>
  <si>
    <t>CAUSAL ESTADO</t>
  </si>
  <si>
    <t>OBSERVACION</t>
  </si>
  <si>
    <t>FORMA DE ATENCIÓN</t>
  </si>
  <si>
    <t xml:space="preserve">TERMINAL </t>
  </si>
  <si>
    <t>TIPIFICACION</t>
  </si>
  <si>
    <t>TIPO DE TRAYECTO</t>
  </si>
  <si>
    <t xml:space="preserve">NOMBRE DEL TECNICO </t>
  </si>
  <si>
    <t>DIAS DE VISITA</t>
  </si>
  <si>
    <t>VALOR ACTIVIDAD</t>
  </si>
  <si>
    <t>VALOR TOTAL</t>
  </si>
  <si>
    <t>BOGOTA</t>
  </si>
  <si>
    <t>LC-CS-25-000620</t>
  </si>
  <si>
    <t>ORDEN DE CAMBIO</t>
  </si>
  <si>
    <t>CUNDINAMARCA</t>
  </si>
  <si>
    <t>BARRIO SAN CIPRIANO BOGOTA 3</t>
  </si>
  <si>
    <t>REDEBAN</t>
  </si>
  <si>
    <t>FO-25-1600137</t>
  </si>
  <si>
    <t>CIERRE</t>
  </si>
  <si>
    <t>RECUPERACION DE EQUIPOS</t>
  </si>
  <si>
    <t>UNO A UNO</t>
  </si>
  <si>
    <t>CB UNO A UNO</t>
  </si>
  <si>
    <t>ILOCALIZADO</t>
  </si>
  <si>
    <t>CB CERRADO - DESOCUPADO</t>
  </si>
  <si>
    <t>30/09/2025 SE REALIZA VISITA DE CAMPO ENCONTRADO QUE COMERCIO YA NO EXISTE YA QUE CAMBIARON DE DUEÑO Y DESCONOCEN DE LA UBICACIÓN DE LOS EQUIPOS, SE INTENTA COMUNICACIÓN A LA LINEA 3108875578 PERO NO HAY RESPUESTA, POR LO ANTERIOR SE DA CIERRE A SOLICITUD.</t>
  </si>
  <si>
    <t>VISITA_TÉCNICA</t>
  </si>
  <si>
    <t>0</t>
  </si>
  <si>
    <t>LOZADA ROJAS CHRISTIAN ANDRES</t>
  </si>
  <si>
    <t>LC-CS-25-000614</t>
  </si>
  <si>
    <t>BARRIO LA ESMERALDA BOGOTA 1</t>
  </si>
  <si>
    <t>FO-25-1592229</t>
  </si>
  <si>
    <t>NO_EXITOSO</t>
  </si>
  <si>
    <t>CB NO ENTREGA EQUIPO</t>
  </si>
  <si>
    <t>27/09/2025 SE INTENTA COMUNICACIÓN AL NÚMERO 3158820631 SUENA PERO NO HAY CONTACTO, SE INTENTARÁ NUEVAMENTE | 29/09/2025 SE INFORMA AL SEÑOR YEISON ESTIVEN AMEZQUITA GALINDO CC:   TELÉFONO 3158820631 SOBRE LA ORDEN DEL CIERRE  EN LA CUAL EL INDICA QUE NUNCA LE INFORMARON SOBRE ESTO Y POR LO CUAL NO ENTREGARA EQUIPOS NI PUBLICIDAD HASTA QUE LOGRÉ VALIDAR CON EL BANCO</t>
  </si>
  <si>
    <t>AD09Z923</t>
  </si>
  <si>
    <t>ALARCON AREVALO JOHAN STIVEN</t>
  </si>
  <si>
    <t>CUCUTA</t>
  </si>
  <si>
    <t>LC-CS-25-000611</t>
  </si>
  <si>
    <t>NORTE DE SANTANDER</t>
  </si>
  <si>
    <t>LOS PATIOS</t>
  </si>
  <si>
    <t>PTM PUNTOSERVIS LOS PATIOS 1 L</t>
  </si>
  <si>
    <t>FO-25-1586207</t>
  </si>
  <si>
    <t>AGREGADOR</t>
  </si>
  <si>
    <t>COMCARD - PTM</t>
  </si>
  <si>
    <t>26/09/2025 SE VISITA DIRECCIÓN Y NO SE ENCUENTRA CB ACTIVO, SE REALIZA LLAMADAS AL CLIENTE Y NO SE OBTIENE RESPUESTA.</t>
  </si>
  <si>
    <t>NA</t>
  </si>
  <si>
    <t>TORRES MANTILLA JOSE DANIEL</t>
  </si>
  <si>
    <t>CALI</t>
  </si>
  <si>
    <t>LC-CS-25-000597</t>
  </si>
  <si>
    <t>CAUCA</t>
  </si>
  <si>
    <t>TIMBIO</t>
  </si>
  <si>
    <t>BARRIO PUEBLO NUEVO TIMBIO</t>
  </si>
  <si>
    <t>FO-25-1584952</t>
  </si>
  <si>
    <t>26/09/2025 EN COMUNICACIÓN CON EL SR MARIO ANDRES GUZMAN PORTILLA AL NÚMERO 3228034636 NOS CONFIRMA LA SOLICITUD, DATOS CORRECTOS. SE ESCALA PARA VISITA | 29/09/2025 SE INGRESA SE ENCUENTRA COMERCIO CERRADO</t>
  </si>
  <si>
    <t>FAZZZ526</t>
  </si>
  <si>
    <t>GIMBUEL LASSO LUIS GERMAN</t>
  </si>
  <si>
    <t>LC-CS-25-000598</t>
  </si>
  <si>
    <t>FACATATIVA</t>
  </si>
  <si>
    <t>BARRIO CENTRO FACATATIVA 8</t>
  </si>
  <si>
    <t>FO-25-1584930</t>
  </si>
  <si>
    <t>26/09/2025 SE REALIZA VISITA DE CAMPO ENCONTRADO QUE COMERCIO NO EXISTE EN DIRECCIÓN INDICADA EN RUTA, SE INTENTA COMUNICACIÓN A LA LÍNEA 3138969621 NO HAY RESPUESTA, SE INFORMA A SUPERVISOR Y AUTORIZA CIERRE DE VISITA.</t>
  </si>
  <si>
    <t>TUNJA</t>
  </si>
  <si>
    <t>LC-CS-25-000582</t>
  </si>
  <si>
    <t>BOYACA</t>
  </si>
  <si>
    <t>MIRAFLORES</t>
  </si>
  <si>
    <t>BARRIO CANTRO MIRAFLORES</t>
  </si>
  <si>
    <t>FO-25-1581608</t>
  </si>
  <si>
    <t>SIN CONTACTO CON EL CB</t>
  </si>
  <si>
    <t xml:space="preserve">25/09/2025 SE INTENTA COMUNICACIÓN AL NÚMERO 3202735450 SUENA PERO NO HAY CONTACTO, SE INTENTARÁ NUEVAMENTE | 26/09/2025 SE INTENTA COMUNICACIÓN AL NÚMERO 3202735450 SUENA PERO NO HAY CONTACTO, SE INTENTARÁ NUEVAMENTE | 29/09/2025 SE INTENTA COMUNICACIÓN AL NÚMERO 3202735450 SE ENCUENTRA APAGADO | 25/09/2025 SE INTENTA COMUNICION CON LA SEÑORA MARCIA NELY SERRATO GIL AL NÚMERO DE CONTACTO 3202735450 NÚMERO APAGADO SE DEJA MENSAJE POR WHATSAPP INDICANDO SOBRE LA VISITA NO SE OPTIENE RESPUESTA | 30/09/2025 SE INTENTA COMUNICACIÓN POR DIFERENTES MEDIOS CON LA SEÑORA NELY SERRATO AL NÚMERO 3202735450 PERO NO SE OBTIENE RESPUESTA, SE INTENTARA COMUNICACIÓN NUEVAMENTE EN EL TRANSCURSO DEL DIA. | 30/09/2025 SE INTENTA COMUNICACION CON EL CLIENTE POR DIFERENTES MEDIOS DESDE EL DIA 25/09/2025 HASTA EL DIA 30/09/2025 SIN EXITO, NO SE OBTIENE RESPUESTA POR PARTE DEL CLIENTE PARA REALIZAR LA RECOLECCIÓN DE LOS EQUIPOS, SE CIERRA ORDEN YA QUE ENTIDAD NO PERMITE REALIZAR VISITA SIN CONFIRMAR CON EL CLIENTE </t>
  </si>
  <si>
    <t>SOPORTE_TELEFÓNICO</t>
  </si>
  <si>
    <t>SOLER HOYOS CRISTIAN LEONARDO</t>
  </si>
  <si>
    <t>LC-CS-25-000584</t>
  </si>
  <si>
    <t>BARRIO MOTILONES CUCUTA 26</t>
  </si>
  <si>
    <t>FO-25-1581629</t>
  </si>
  <si>
    <t>26/09/2025 SE INTENTA COMUNICACIÓN AL NÚMERO 3128324364 SUENA PERO NO HAY CONTACTO, SE INTENTARÁ NUEVAMENTE | 26/09/2025 SE INTENTA COMUNICACIÓN AL NÚMERO 3128324364 SUENA PERO NO HAY CONTACTO, SE INTENTARÁ NUEVAMENTE | 29/09/2025 SE INTENTA COMUNICACIÓN AL NÚMERO 3128324364 SE ENCUENTRA APAGADO | 29/09/2025 SE VISITA CB EN DIRECCION, NO SE ENCUENTRA CB EN SITIO, SE COMUNICA CON EL CLIENTE SIN RESPUESTA.</t>
  </si>
  <si>
    <t>NARANJO AFANADOR RUBEN JESUS</t>
  </si>
  <si>
    <t>PEREIRA</t>
  </si>
  <si>
    <t>LC-CS-25-000590</t>
  </si>
  <si>
    <t>VALLE DEL CAUCA</t>
  </si>
  <si>
    <t>SEVILLA</t>
  </si>
  <si>
    <t>BARRIO CENTRO SEVILLA 7</t>
  </si>
  <si>
    <t>FO-25-1589612 | FO-25-1581633</t>
  </si>
  <si>
    <t>EJECUTADO_EXITOSO</t>
  </si>
  <si>
    <t>CIERRE EXITOSO</t>
  </si>
  <si>
    <t>26/09/2025 SE LLAMA A CLIENTE ANTES DE DESPLAZAMIENTO NO HAY RESPUESTA, UNA VEZ LLEGADA  A LA DIRECCIÓN SE EVIDENCIA QUE EN DIRECCIÓN SE ENCUENTRA CERRADO Y NO SALIR NADIE SE LOGRA CONTACTO POR VÍA TELEFÓNICA INDICAN QUE LOS EQUIPOS LOS ENVIARON A LA CIUDAD DE ARMENIA QUINDIO EDIFICIO ZAPSURRO APTO 210.
26/09/2025 SE INTENTA COMUNICACIÓN AL NÚMERO 3184397787 SUENA PERO NO HAY CONTACTO, SE INTENTARÁ NUEVAMENTE | 26/09/2025 SE INTENTA COMUNICACIÓN AL NÚMERO 3184397787 SUENA PERO NO HAY CONTACTO, SE INTENTARÁ NUEVAMENTE | 26/09/2025 SE VISITA DIRECCIÓN INDICA POR CLIENTE EN LA CIUDAD DE ARMENIA SE RECOGEN SÓLO EQUIPOS, DATAFONO, LECTOR, PINPAD Y HUB</t>
  </si>
  <si>
    <t>OA00C269</t>
  </si>
  <si>
    <t>SANCHEZ SOLORZANO JUAN SEBASTIAN</t>
  </si>
  <si>
    <t>LC-CS-25-000563</t>
  </si>
  <si>
    <t>FUSAGASUGA</t>
  </si>
  <si>
    <t>BARRIO SANTA ANIATA FUSAGASUGA</t>
  </si>
  <si>
    <t>FO-25-1574977</t>
  </si>
  <si>
    <t>25/09/2025 SE LLEGA A COMERCIO EL CUAL SE ENCUENTRA CERRADO SE REALIZA CONTACTO TELEFÓNICO CON CLIENTE PEDRO PARRA A NÚMERO REGISTRADO 3115056548 EL CUAL INFORMA QUE LA CHICA QUE ATIENDE EL LOCAL SE ENCUENTRA EN CITAS MÉDICAS Y EL NO CUENTA EN EL MOMENTO CON LAS LLAVES DEL LOCAL .. Y NO TIENE HORA ESTIMADA DE LLEGA AL COMERCIO. SE ESCALA CON COORDINADOR DE ZONA Y SE CIERRA</t>
  </si>
  <si>
    <t>ORTIZ MARTINEZ STIVEN</t>
  </si>
  <si>
    <t>MEDELLIN</t>
  </si>
  <si>
    <t>LC-CS-25-000558</t>
  </si>
  <si>
    <t>ANTIOQUIA</t>
  </si>
  <si>
    <t>PUERTO TRIUNFO</t>
  </si>
  <si>
    <t>COMCARD PTO TRIUNFO SERVIPUNTO</t>
  </si>
  <si>
    <t>FO-25-1572672</t>
  </si>
  <si>
    <t>24/09/2025 SE LLEGA A LA DIRECCIÓN DEL CB Y SE EVIDENCIA QUE YA LA TITULAR NO SE ENCUENTRA , LA USUARIA INDICA QUE LA DUEÑA ANTERIOR SE LLEVÓ LOS EQUIPOS E INDICA QUE ESTÁN LLEGANDO TIPO 3.30 A 4 PM YA QUE TIENE QUE IR A PUERTO TRIUNFO POR LOS EQUIPOS , PERO NO SE ENCUENTRA EN DORADAL PARA IR POR ELLOS VISITA FALLIDA YA QUE LOS EQUIPOS NO SE ENCUENTRAN EN EL LUGAR</t>
  </si>
  <si>
    <t>N/A</t>
  </si>
  <si>
    <t>MONTOYA VELEZ ANDRES FELIPE</t>
  </si>
  <si>
    <t>VALLEDUPAR</t>
  </si>
  <si>
    <t>LC-CS-25-000543</t>
  </si>
  <si>
    <t>CESAR</t>
  </si>
  <si>
    <t>BARRIO VILLAMIRIAN VALLEDUPAR</t>
  </si>
  <si>
    <t>FO-25-1574027 | FO-25-1566871 | FO-25-1609143</t>
  </si>
  <si>
    <t>23/09/2025 SE INTENTA COMUNICACIÓN A LOS NÚMEROS 3023597031-3161328813 PERO NO HAY CONTACTO, SE INTENTARÁ NUEVAMENTE | 23/09/2025 SE LLEGA A SITIO PARA CIERRE DE CB, LA CUAL SE ENCUENTRA CERRADO SE REALIZA GESTION VIA WHATSAPP ATENDIENDO CLIENTE INDICANDO QUE NO SE ENCUENTRA DISPOBIBLE PARA ATENDER EL DIA ,,QUE SI ES POSIBLE VISITARLA EL DIA DE MAÑANA
24/09/2025 SE INTENTA COMUNICACIÓN A LOS NÚMEROS 3023597031-3161328813 PERO NO HAY CONTACTO, SE INTENTARÁ NUEVAMENTE | 24/09/2025 SE REALIZA DESMONTÉ DE CB EN DIRECCIÓN ,SIN PUBLICIDAD</t>
  </si>
  <si>
    <t>NONE
7A06Z966-9TZZZ208</t>
  </si>
  <si>
    <t>MAESTRE MENGUAL EDGAR ENRIQUE</t>
  </si>
  <si>
    <t>LC-CS-25-000551</t>
  </si>
  <si>
    <t>PTM MEDELLIN DROGUERIA BIOFARM</t>
  </si>
  <si>
    <t>FO-25-1566888</t>
  </si>
  <si>
    <t>23/09/2025 SE INTENTA COMUNICACIÓN A LOS NÚMEROS 3014160737-3014099230 SUENA PERO NO HAY CONTACTO, SE INTENTARÁ NUEVAMENTE | 24/09/2025 SE INTENTA COMUNICACIÓN A LOS NÚMEROS 3014160737-3014099230 SUENA PERO NO HAY CONTACTO, SE INTENTARÁ NUEVAMENTE | 24/09/2025 SE LLEGA A PUNTO Y COMERCIO YA NO EXISTE, SE PREGUNTA Y NO DAN RAZON, SE LLAMA A NUMEROS Y SALE APAGADO</t>
  </si>
  <si>
    <t xml:space="preserve">NO DISPONIBLE </t>
  </si>
  <si>
    <t>BADEL ACUÑA LUIS ALBERTO</t>
  </si>
  <si>
    <t>LC-CS-25-000553</t>
  </si>
  <si>
    <t>BUENOS AIRES</t>
  </si>
  <si>
    <t>DISTRICOL DISTRIB. LA GRAN ESQ</t>
  </si>
  <si>
    <t>FO-25-1566857</t>
  </si>
  <si>
    <t>DISTRICOL</t>
  </si>
  <si>
    <t>23/09/2025 EN COMUNICACIÓN CON LA SRA VANESSA FERNANDA MARTINEZ AL NÚMERO 3217704283 NOS INFORMA QUE LOS EQUIPOS FUERON ENVIADOS HACE VARIOS DIAS A DISTRICOL EN MEDELLIN | 26/09/2025 SE LLAMA AL CORRESPONSAL E INFORMA QUE REALIZÓ EL ENVÍO DE LOS EQUIPOS A LA CIUDAD DE MEDELLÍN POR SOLICITUD DE DISTRICOL. INFORMA QUE DESTRUYÓ Y DESECHO PUBLICIDAD DE PUNTO.</t>
  </si>
  <si>
    <t>BOLAÑOS TABORDA JORGE ENRIQUE</t>
  </si>
  <si>
    <t>BUCARAMANGA</t>
  </si>
  <si>
    <t>LC-CS-25-000556</t>
  </si>
  <si>
    <t>SANTANDER</t>
  </si>
  <si>
    <t>FLORIDABLANCA</t>
  </si>
  <si>
    <t>PTM FLORIDABLANCA LICORT SHOP</t>
  </si>
  <si>
    <t>FO-25-1566847</t>
  </si>
  <si>
    <t>23/09/2025 SE INTENTA COMUNICACIÓN CON CLIENTE AL CELULAR 3176660016, Y NO FUE POSIBLE LA COMUNICACIÓN, SE REALIZA DESPLAZAMIENTO HACIA EL SITIO Y COMERCIO SE ENCUENTRA CERRADO, SE INTENTA COMUNICACIÓN NUEVAMENTE Y NO CONTESTA, SE PROCEDE A CERRAR ORDEN POR COMERCIO CERRADO CLIENTE NO CONTESTA NÚMERO SUMINISTRADO EN SYTEX.</t>
  </si>
  <si>
    <t>A1MZZ038 - A1MZZ153</t>
  </si>
  <si>
    <t>MARTINEZ FLOREZ DONIS ALBERTO</t>
  </si>
  <si>
    <t>LC-CS-25-000496</t>
  </si>
  <si>
    <t>HISPANIA</t>
  </si>
  <si>
    <t>BARRIO HISPANIA HISPANIA 2</t>
  </si>
  <si>
    <t>FO-25-1557080</t>
  </si>
  <si>
    <t>20/09/2025 SE INTENTA COMUNICACIÓN AL NÚMERO 3104890698 SUENA PERO NO HAY CONTACTO, SE INTENTARÁ NUEVAMENTE | 23/09/2025 SE INTENTA COMUNICACIÓN AL NÚMERO 3104890698 SUENA PERO NO HAY CONTACTO, SE INTENTARÁ NUEVAMENTE | 23/09/2025 SE INTENTA COMUNICACIÓN AL NÚMERO 3104890698 SUENA PERO NO HAY CONTACTO | 25/09/2025 SE VISITA DIRECCIÓN RELACIONADA NO EXISTE CORRESPONSAL SE INTENTÓ COMUNICACIÓN POR LÍNEA TELEFÓNICA Y POR WHATSAPP SIN RESPUESTA VECINO DE LA ZONA NOS INDICA QUE DONDE OPERABA EL CORRESPONSAL ERA UN TALLER Y SE LO LLEVARON PARA ANDES</t>
  </si>
  <si>
    <t>CASTAÑEDA PALACIO CARLOS FELIPE</t>
  </si>
  <si>
    <t>LC-CS-25-000512</t>
  </si>
  <si>
    <t>MOSQUERA</t>
  </si>
  <si>
    <t>BARRIO CENTRO MOSQUERA  3</t>
  </si>
  <si>
    <t>FO-25-1559366 | FO-25-1557010</t>
  </si>
  <si>
    <t>20/09/2025 DURANTE LA VISITA DE TECNICA PARA ATENDER CIERRE DE CORRESPONSAL BANCARIO, NO ES POSIBLE PORQUE COMERCIO SE ENCUENTRA CERRADO SE LLAMA AL CELULAR 3134074094 EL CUAL ATIENDE  DANIEL ORLANDO VARGAS BAUTISTA NOS INDICA  QUE NO ES POSIBLE LA ATENCIÓN EL DÍA DE HOY POR MOTIVOS PERSONALES SE INFORMA A COORDINADOR SE PROCEDE A REPROGRAMAR LA ACTIVIDAD
22/09/2025 SE INTENTA COMUNICACIÓN AL NÚMERO 3134074094 SUENA PERO NO HAY CONTACTO, SE INTENTARÁ NUEVAMENTE | 23/09/2025 EN COMUNICACIÓN CON EL SR DANIEL ORLANDO VARGAS BAUTISTA AL NÚMERO 3143924894 NOS CONFIRMA LA SOLICITUD, INDICA QUE LA DIRECCIÓN PARA LA RECOLECCIÓN DE LOS EQUIPOS ES CARRERA 3 # 4 -32  SE ESCALA PARA VISITA | 24/09/2025 SE REALIZA VISITA A DIRECCIÓN DE COMERCIO, SE ENCUENTRA COMERCIO CERRADO Y SELLADO POR SECRETARIA DE SALUD, SIN RESPUESTA EN NÚMEROS DE CONTACTO.</t>
  </si>
  <si>
    <t>TV000651</t>
  </si>
  <si>
    <t>MURCIA HERNANDEZ HARVEY IGNACIO</t>
  </si>
  <si>
    <t>SANTA MARTA</t>
  </si>
  <si>
    <t>LC-CS-25-000514</t>
  </si>
  <si>
    <t>MAGDALENA</t>
  </si>
  <si>
    <t>BARRIO VILLA DEL RIO SANTA MAR</t>
  </si>
  <si>
    <t>FO-25-1556956</t>
  </si>
  <si>
    <t>22/09/2025 SE REALIZA LA VISITA, EL CORRESPONSAL SE ENCUENTRA E EL SITIO PERO NO ESTÁ LA PERSONA ENCARGADA, SE HACE GESTIÓN TELEFÓNICA EL CLIENTE INFORMA QUE NO LE RETIREN LOS EQUIPOS TODAVÍA YA QUE SE VA A COMUNICAR  CON LA LINEA DE CORRESPONSAL ARA QUE LE DIGAN EL POR QUÉ DEL CIERRE</t>
  </si>
  <si>
    <t>7A00P529</t>
  </si>
  <si>
    <t>THOMAS  CAMPO SIGIFREDO SEGUNDO</t>
  </si>
  <si>
    <t>LC-CS-25-000522</t>
  </si>
  <si>
    <t>BARRIO PORVENIR BUCARAMANGA 2</t>
  </si>
  <si>
    <t>FO-25-1560610 | FO-25-1557069</t>
  </si>
  <si>
    <t>20/09/2025 SE ESTABLECE CONTACTO TELEFÓNICO CON EL USUARIO EDUARDO DÍAZ AL CELULAR: 3155397649 Y NOS INDICAN QUE PODEMOS PASAR EL DÍA LUNES PARA RETIRAR LOS EQUIPOS | 20/09/2025 SE REALIZA DESPLAZAMIENTO AL PUNTO EL CUAL SE ENCUENTRA CERRADO SE ESTABLECE CONTACTO TELEFÓNICO Y EL CLIENTE SOLICITA PASAR EL DIA LUNES
22/09/2025 SE REALIZA RECOLECCIÓN DE DATAFONO Y LECTORA NO SE ENCUENTRA PUBLICIDAD EN SITIO</t>
  </si>
  <si>
    <t>A16ZZ182</t>
  </si>
  <si>
    <t>REYES RAMIREZ DIEGO ALEXANDER</t>
  </si>
  <si>
    <t>LC-CS-25-000524</t>
  </si>
  <si>
    <t>BARRIO CENTRO CALI 6</t>
  </si>
  <si>
    <t>FO-25-1559733 | FO-25-1557026</t>
  </si>
  <si>
    <t>PARCIAL EXITOSO ACCESORIOS</t>
  </si>
  <si>
    <t>20/09/2025 SE VISITA CORRESPONSAL Y SE YA NO SE ENCONTRÓ EN LA DIRECCIÓN. SE LLAMA AL CLIENTE Y PIDE RECOGER EQUIPOS EN LA SIGUIENTE DIRECCIÓN CC CALIMA LOCAL
23/09/2025 EN COMUNICAIÓN CON EL  SR JORGE LUIS LOPEZ ESCOBAR AL NÚMERO 3136081858 NOS CONFIRMAN LA SOLICITUD, INDICA QUE LA DIRECCIÓN PARA LA RECOLECCIÓN DE LOS EQUIPOS ES CALIMA CC PT O5. SE ESCALA PARA VISITA, POR FAVOR LLAMAR ANTES DE DESPLARZARSE | 24/09/2025 SE VISITÓ DIRECCIÓN ACORDADA CON EL CLIENTE Y SE RETIRA  DATÁFONO EN BUEN ESTADO Y SIN LECTOR . CLIENTE HIZO DISPOSICIÓN FINAL DE PUBLICIDAD ( DESTRUYÓ Y DESECHO)</t>
  </si>
  <si>
    <t>NO APLICA 
1UZZZ660</t>
  </si>
  <si>
    <t>LC-CS-25-000525</t>
  </si>
  <si>
    <t>BARRIO SAN ANTONIO CALI 1</t>
  </si>
  <si>
    <t>FO-25-1557089</t>
  </si>
  <si>
    <t>20/09/2025 SE VISITÓ CORRESPONSAL Y CLIENTE INFORMA QUE NO SOLICITÓ EL CIERRE Y QUE TUVO UN PROBLEMA CON LA COMPENSACIÓN Y QUE LE PIDIÓ TIEMPO AL ASESOR PARA TRATAR DE REVERTIR EL CIERRE DEL CORRESPONSAL . SOLICITA NO CERRAR EN ESTA VISITA CORRESPONSAL</t>
  </si>
  <si>
    <t>NRZZZ597</t>
  </si>
  <si>
    <t>PASTO</t>
  </si>
  <si>
    <t>LC-CS-25-000529</t>
  </si>
  <si>
    <t>PUTUMAYO</t>
  </si>
  <si>
    <t>ORITO</t>
  </si>
  <si>
    <t>VILLA DOCENTE</t>
  </si>
  <si>
    <t>FO-25-1557348</t>
  </si>
  <si>
    <t>23/09/2025 SE INTENTA COMUNICACIÓN AL NÚMERO 3217753399 SUENA PERO NO HAY CONTACTO, SE INTENTARÁ NUEVAMENTE | 23/09/2025 SE INTENTA COMUNICACIÓN AL NÚMERO 3217753399 SUENA PERO NO HAY CONTACTO, SE INTENTARÁ NUEVAMENTE | 23/09/2025 SE INTENTA COMUNICACIÓN AL NÚMERO 3217753399 SUENA PERO NO HAY CONTACTO | 26/09/2025 SE HABLA CON LA CLIENTE LA MAMA DE LA SEÑORA SYNDI QUIEN NOS INDICA QUE ELLOS YA NO SE ENCUENTRA EN EL MUNICIPIO , QUE SE DESPLAZARA A PASTO Y SE VALIDARA PARA ENTREGAR LOS EQUIPOS, YA QUE ES UNA ZONA LEJANA Y CON ALGUNOS PROBLEMAS DE ORDEN PUBLICO, SE ESPERARA QUE EL CLIENTE ESTE EN LA CIUDAD DE PASTO Y PODAMOS EFECTUAR EL CIERRE Y RECOJIDA DE LOS EQUIPOS COMO UN CIERRE VOLUNTARIO Y PODER DARLE FIN AL TEMA.</t>
  </si>
  <si>
    <t>HENAO CARDONA DIEGO FERNANDO</t>
  </si>
  <si>
    <t>LC-CS-25-000531</t>
  </si>
  <si>
    <t>BARRIO FONTIBON BOGOTA 9</t>
  </si>
  <si>
    <t>FO-25-1557043</t>
  </si>
  <si>
    <t>20/09/2025 CLIENTE INDICA QUE PRIMERO VA VALIDAR CON EL BANCO SOBRE EL TEMA DEL CIERRE YA QUE NO TENÍAN CONOCIMIENTO</t>
  </si>
  <si>
    <t>GA00M866</t>
  </si>
  <si>
    <t>BARRAGAN LAGOS JUAN MANUEL</t>
  </si>
  <si>
    <t>LC-CS-25-000534</t>
  </si>
  <si>
    <t>BARRIO BOSA EL ANHELO BOGOTA 1</t>
  </si>
  <si>
    <t>FO-25-1556951</t>
  </si>
  <si>
    <t>20/09/2025 SE LLEGA A DIRECCIÓN PARA CIERRE DE CB ENCONTRANDO CERRADO SE INTENTA CONTACTO AL NÚMERO 3058027609 SIN ÉXITO SE DEJA REGISTRO FOTOGRÁFICO</t>
  </si>
  <si>
    <t>BUSTOS MORA DIEGO MANUEL</t>
  </si>
  <si>
    <t>LC-CS-25-000535</t>
  </si>
  <si>
    <t>BARRIO VESALLES BOGOTA</t>
  </si>
  <si>
    <t>FO-25-1563294 | FO-25-1556994</t>
  </si>
  <si>
    <t>22/09/2025 EL ALMACÉN SE ENCUENTRA CERRADO
22/09/2025 SE HACE RETIRO DEL CORRESPONSAL CLIENTE ENTREGA POS Y LECTORA</t>
  </si>
  <si>
    <t>105ZZ329</t>
  </si>
  <si>
    <t>GONZALEZ FANDIÑO SANTIAGO ERNESTO</t>
  </si>
  <si>
    <t>LC-CS-25-000538</t>
  </si>
  <si>
    <t>BARRIO LAS AGUAS BOGOTA 1</t>
  </si>
  <si>
    <t>FO-25-1557013</t>
  </si>
  <si>
    <t>20/09/2025 SE REALIZA VISITA DE CAMPO ENCONTRADO QUE COMERCIO NO EXISTE EN DIRECCIÓN INDICADA EN RUTA DA EN UNA CASA, SE INTENTA COMUNICACIÓN A LA LÍNEA 3247389616 Y 3007713226 PERO NO CONTESTA, SE INFORMA A SUPERVISOR Y AUTORIZA CIERRE DE SOLICITUD.</t>
  </si>
  <si>
    <t>LC-CS-25-000479</t>
  </si>
  <si>
    <t>NARIÑO</t>
  </si>
  <si>
    <t>DISTRICOL MINIMARKET 2 VENTE#O</t>
  </si>
  <si>
    <t>FO-25-1555488</t>
  </si>
  <si>
    <t>19/09/2025 EN COMUNICACIÓN CON EL SR LEONARDO FABIO OJEDA CERON AL NÚMERO 3184375336 NOS CONFIRMA LA SOLICITUD, DATOS CORRECTOS. SE ESCALA PARA VISITA | 20/09/2025 SE LLEGÓ A SITIO PERO EL ENCARGADO DEL COMERCIO NO TIENE LOS EQUIPOS, SE REALIZA COMUNICACIÓN CON USUARIO ENCARGADO DEL CORRESPONSAL E INFORMA QUE ESTÁ POR FUERA DE LA CIUDAD, QUE SE PODRÍA RETIRAR LOS EQUIPOS A PARTIR DEL DÍA LUNES, YA QUE LA PERSONA QUE ESTÁ EN EL COMERCIO NO ESTÁ AUTORIZADA</t>
  </si>
  <si>
    <t>AB0FZ056, ON0IZ812</t>
  </si>
  <si>
    <t>GUERRERO RAMIREZ OSCAR DARIO</t>
  </si>
  <si>
    <t>BARRANQUILLA</t>
  </si>
  <si>
    <t>LC-CS-25-000452</t>
  </si>
  <si>
    <t>ATLANTICO</t>
  </si>
  <si>
    <t>BARRIO EL BOSQUE BARRANQUILLA  4</t>
  </si>
  <si>
    <t>FO-25-1550369</t>
  </si>
  <si>
    <t>19/09/2025 SE INTENTA COMUNICACIÓN AL NÚMERO 3017151786 SUENA PERO NO HAY CONTACTO, SE INTENTARÁ NUEVAMENTE | 19/09/2025 SE INTENTA COMUNICACIÓN AL NÚMERO 3017151786 SUENA PERO NO HAY CONTACTO, SE INTENTARÁ NUEVAMENTE | 19/09/2025 SE INTENTA COMUNICACIÓN AL NÚMERO 3017151786 SUENA PERO NO HAY CONTACTO | 20/09/2025 SE REALIZA LLAMADA AL CLIENTE EL DÍA 19 DE SEPTIEMBRE ,PERO O DICA QUE NO ESTÁ EN  EL LOCAL ,Q PUEDE ENTREGAR EL DÍA 20 DE SEPTIEMBRE ,EL DÍA 20 DICE Q NO PUEDES ESTAR ,SE LE INDICA QUE SI PUEDE DEJAR UNA PERSONA ENCARGADA ,PARA LA ENTREGA DICE Q SI Q LO DEJA DONDE EL VECINO ,SE REALIZA VISITA ,PERO NO DEJA EQUIPOS DONDE EL VECINO ,SE LE INDICA QUE PARA REALIZAR ENTREGA DE EQUIPOS LLAME A SOLICITAR LA RECOGIDA ,DE FECHA Y HORA PARA LA ENTREGA DE LOS MISMOS ,CIERRE FALLIDO.</t>
  </si>
  <si>
    <t>FACZZ307</t>
  </si>
  <si>
    <t>PORRAS CASTRO DARLON NASCK</t>
  </si>
  <si>
    <t>CARTAGENA</t>
  </si>
  <si>
    <t>LC-CS-25-000453</t>
  </si>
  <si>
    <t>BOLIVAR</t>
  </si>
  <si>
    <t>BARRIO EL PRADO SEC BAZURTO CA</t>
  </si>
  <si>
    <t>FO-25-1550389</t>
  </si>
  <si>
    <t>19/09/2025 SE INTENTA COMUNICACIÓN AL NÚMERO 3164531010-FUERA DE SERVICIO | 24/09/2025 SE LLEGA AL SITIO INFORMAN QUE YA EL COMERCIO NO EXISTE SE LLAMA AL CONTACTO MARTIN QUINTERO CEL  304 3050494 INFORMA QUE NO ESTÁ EN EL PAIS  ESTÁ EN CHINA Y REGRESA EN OCTUBRE Y EL ES ÚNICO AUTORIZADO PARA ENTREGAR EL EQUIPO</t>
  </si>
  <si>
    <t>99991250</t>
  </si>
  <si>
    <t>CANEDO HERRERA ALEXANDER</t>
  </si>
  <si>
    <t>NEIVA</t>
  </si>
  <si>
    <t>LC-CS-25-000463</t>
  </si>
  <si>
    <t>CAQUETA</t>
  </si>
  <si>
    <t>FLORENCIA</t>
  </si>
  <si>
    <t>BARRIO ANGEL RICARDO ACOSTA FL</t>
  </si>
  <si>
    <t>FO-25-1550374</t>
  </si>
  <si>
    <t>19/09/2025 SE INTENTA COMUNICACIÓN A LOS NÚMEROS 3134689318-3107588199 SUENA PERO NO HAY CONTACTO, SE INTENTARÁ NUEVAMENTE | 19/09/2025 SE INTENTA COMUNICACIÓN A LOS NÚMEROS 3134689318-3107588199 SUENA PERO NO HAY CONTACTO, SE INTENTARÁ NUEVAMENTE | 19/09/2025 SE INTENTA COMUNICACIÓN A LOS NÚMEROS 3134689318-3107588199 SUENA PERO NO HAY CONTACTO | 25/09/2025 SE LLAGA A LA DIRECCIÓN INDICADA PERO ENCARGADA DICE QUE NO TIENE CONOCIMIENTO DE LA ENTREGA</t>
  </si>
  <si>
    <t>9C0NZ327 - V1000869</t>
  </si>
  <si>
    <t>BERMUDEZ SANCHEZ JOSE NEYBER</t>
  </si>
  <si>
    <t>LC-CS-25-000464</t>
  </si>
  <si>
    <t>BARRIO LA MILAGROSA MEDELLIN</t>
  </si>
  <si>
    <t>FO-25-1550366</t>
  </si>
  <si>
    <t>19/09/2025 SE INTENTA COMUNICACIÓN A LOS NÚMEROS 3163865085 APAGADO-3023290752 SUENA PERO NO HAY CONTACTO, SE INTENTARÁ NUEVAMENTE | 19/09/2025 SE INTENTA COMUNICACIÓN A LOS NÚMEROS 3163865085 APAGADO-3023290752 SUENA PERO NO HAY CONTACTO, SE INTENTARÁ NUEVAMENTE | 19/09/2025 SE LLEGA A LA DIRECCIÓN INDICADA EL COMERCIO ESTÁ CERRADO Y SIN PUBLICIDAD, LLAMO Y HABLO POR WHATSAPP A LOS DOS NÚMEROS REGISTRADOS PERO NO CONTESTAN</t>
  </si>
  <si>
    <t>TRDZZ698</t>
  </si>
  <si>
    <t>RUA ALVAREZ RICHARD ANDRES</t>
  </si>
  <si>
    <t>VILLAVICENCIO</t>
  </si>
  <si>
    <t>LC-CS-25-000467</t>
  </si>
  <si>
    <t>META</t>
  </si>
  <si>
    <t>BARRIO DOCE DE OCTUBRE VILLAVI</t>
  </si>
  <si>
    <t>FO-25-1550294</t>
  </si>
  <si>
    <t>19/09/2025 EN COMUNICACIÓN CON LA SRA PATRICIA CECILIA RIVERA IGUITA AL NÚMERO 3205871783 NOS CONFIRMA LA SOLICITUD, DATOS CORRECTOS. SE ESCALA PARA VISITA | 20/09/2025 SE REALIZA VISITA Y NOS INFORMA QUE EL ENCARGADO NO SE ENCUENTRA Y NO TIENEN CONOCIMIENTO</t>
  </si>
  <si>
    <t>NONE</t>
  </si>
  <si>
    <t>PEDREROS CONTRERAS MICHAEL STEVENS</t>
  </si>
  <si>
    <t>LC-CS-25-000471</t>
  </si>
  <si>
    <t>DISTRICOL EL MERCADO DE CARMEL</t>
  </si>
  <si>
    <t>FO-25-1550234</t>
  </si>
  <si>
    <t>19/09/2025 EN COMUNICACIÓN AL NÚMERO 3233953269 INDICAN NÚMERO EQUIVOCADO | 22/09/2025 SE LLEGO A SITIO PERO SE ENCUENTRA COMERCIO CERRADO, SE TRATÓ DE COMUNICAR CON EL CLIENTE PERO EL NÚMERO TELEFÓNICO REGISTARO EN SISTEMA ES ERRADO NÚMERO EQUIVOCADO, SE AVERIGUÓ OTRO UMERO PERO EN ESE NO RESPONDE, SE CIERRA ACTIVIDAD POR COMERCIO CERRADO.</t>
  </si>
  <si>
    <t>GB00C494</t>
  </si>
  <si>
    <t>REMICIO AMADO JOHN HEBER</t>
  </si>
  <si>
    <t>LC-CS-25-000475</t>
  </si>
  <si>
    <t>LA GUAJIRA</t>
  </si>
  <si>
    <t>MAICAO</t>
  </si>
  <si>
    <t>PTM MAIICAO INUMOS KATTY</t>
  </si>
  <si>
    <t>FO-25-1550341</t>
  </si>
  <si>
    <t>19/09/2025 EN COMUNICACIÓN CON LA SRA ADRIANA BADILO AL NÚMERO 3215116269 NOS CONFIRMA LA SOLICITUD, DATOS CORRECTOS. SE SCALA PARA VISITA | 23/09/2025 SE REALIZA LA VISITA NO SE ENCUENTRA EL CORRESPONSAL EN EL SITIO LAS PERSONAS EN EL LOCAL NO DAN INFORMACIÓN DEL USUARIO SE HACE GESTIÓN TELEFÓNICA AL USUARIO NO RESPONDE EL TELÉFONO</t>
  </si>
  <si>
    <t>IBAGUE</t>
  </si>
  <si>
    <t>LC-CS-25-000476</t>
  </si>
  <si>
    <t>TOLIMA</t>
  </si>
  <si>
    <t>PTM IBAGUE DISTRIBUIDORA AYV</t>
  </si>
  <si>
    <t>FO-25-1550382</t>
  </si>
  <si>
    <t>19/09/2025 SE INTENTA COMUNICACIÓN AL NÚMERO 3026622583 SUENA PERO NO HAY CONTACTO, SE INTENTARÁ NUEVAMENTE | 19/09/2025 SE LLEGA A LA DIRECCIÓN DEL COMERCIO Y ESTÁ CERRADO. SE LLAMA AL NÚMERO DE TELÉFONO 3026622583, DEL SEÑOR VÍCTOR SANTOYA, Y NO CONTESTA.</t>
  </si>
  <si>
    <t>VARGAS HERRERA JHON JAIRO</t>
  </si>
  <si>
    <t>LC-CS-25-000478</t>
  </si>
  <si>
    <t>PTM BOGOTA CORRESPONSAL BANCAR</t>
  </si>
  <si>
    <t>FO-25-1562254 | FO-25-1557553 | FO-25-1550353</t>
  </si>
  <si>
    <t>19/09/2025 EN COMUNICACIÓN CON EL SR JOSE OSTOS AL NÚMERO 3168059592 NOS CONFIRMA LA SOLICITUD, INDICA QUE LA DIRECCIÓN PARA LA RECOLECCIÓN DE LOS EQUIPOS ES CL 132 B #101A 65, INFORMA QUE LO LLAMEN ANTES DE DSPLAZARSE, SI PUEDEN RECOGERLOS EL DIA DE MAÑANA 20-09 ANTES DE MEDIO DIA PORQUE NO SE ENCONTRARÁ EN LA CIUDAD | 19/09/2025 LA DIRECCIÓN ENVIADA EN TA ES ERRADA SE REALIZA LLAMADA TELEFÓNICA SE HABLA CON EL SR. JOSÉ OSTOS 316 8059592 INDICA QUE LA DIRECCIÓN CORRECTA ES CALLE 132B 101A-65, ADICIONAL SOLICITA INFORMA DE DE VISITA CON DOS DÍAS DE ANTELACIÓN PARA ESTAR EN LA DIRECCIÓN Y ENTREGAR LOS EQUIPOS.
22/09/2025 SE REALIZA DESPLAZAMIENTO A DIRECCIÓN INDICADA, NO HAY NADIE EN EL PREDIO, SE REALIZA LLAMADA A NÚMERO DE CONTACTO Y NO SE OBTIENE RESPUESTA, SEGUNDA VISITA.
23/09/2025 SE REALIZA VISITA A CB PARA REALIZAR CIERRE SE RETIRAN DATAFONO, BASE FUENTE DATOS Y LECTORA,SE DESTRUYE PUBLICIDAD.</t>
  </si>
  <si>
    <t>NN00P197
3168059592</t>
  </si>
  <si>
    <t>GALINDO ROJAS LUIS FELIPE</t>
  </si>
  <si>
    <t>TA-25-1120960</t>
  </si>
  <si>
    <t>BARRIO LA CORDIALIDAD CARTAGEN</t>
  </si>
  <si>
    <t>FO-25-1546441</t>
  </si>
  <si>
    <t>RETIRO VOLUNTARIO</t>
  </si>
  <si>
    <t>PARCIAL EXITOSO PTE. DATAFONO</t>
  </si>
  <si>
    <t>19/09/2025 SE REALIZA CIERRE DEL CB CLIENTE ENTREGA EQUIPO LECTORA PINPAD HUB ESTABA PENDIENTE POR ENTREGAR NO TIENE PUBLICIDAD</t>
  </si>
  <si>
    <t>GA02Z090</t>
  </si>
  <si>
    <t>LC-CS-25-000419</t>
  </si>
  <si>
    <t>BARRIO SAN FRANCISCO - BARRANQ</t>
  </si>
  <si>
    <t>FO-25-1545932</t>
  </si>
  <si>
    <t>18/09/2025 EN COMUNICACIÓN CON EL SR JAIME RUEDA SANTOYO AL NÚMERO 3014878189 INFORMA QUE EL BANCO NO SE HA COMUNICADO CON ÉL, NO CONFIRMA DIRECCIÓN | 19/09/2025 SE REALIZA VISITA SE LE INDICA AL CLIENTE DEL CIERRE O RECOGIDA DE EQUIPOS ,PERO EL MUY MOLESTO NOS INDICA QUE NO VA A ENTREGAR EQUIPOS SI NO LE ENVÍAN UNA CARTA DICIÉNDOLE EL MOTIVO Y INFORMÁNDOLE SOBRE EL RETIRO DE LOS EQUIPOS ,SE LE INDICA QUE SE LE ENTREGA ACTA PERO DICE Q ANTES DE QUE LE ENTREGUEN LO QUE LE TENGAN Q ENTREGAN HAY Q DARLE UNA CARTA DE BANCOLOMBIA EXPLICÁNDOLE EL POR QUÉ DEL RETIRO Y LA ANUNCIACIÓN DE LA RETIRADA DE LOS EQUIPOS,NO PERMITE EL CIERRE O ENTREGA DE EQUIPOS.</t>
  </si>
  <si>
    <t>A30CZ908</t>
  </si>
  <si>
    <t>LC-CS-25-000424</t>
  </si>
  <si>
    <t>NOVATERRA GUAYACAN</t>
  </si>
  <si>
    <t>FO-25-1550200 | FO-25-1545936</t>
  </si>
  <si>
    <t>18/09/2025 SE INTENTA COMUNICACIÓN AL NÚMERO 3015018526 SUENA PERO NO HAY CONTACTO, SE INTENTARÁ NUEVAMENTE | 18/09/2025 EN COMUNICACIÓN CON LA SR JULIANA NIETO RODRIGUEZ AL NÚMERO 3015018526 NOS CONFIRMA LA SOLICITUD, DATOS CORRECTOS. SE ESALA PARA VISITA, POR FAVOR LLAMAR ANTES DE DESPLAZARSE YA QUE NO TODOS LOS DIAS SE ENCUENTRA ABIERTO EL ESTABLECIMIENTO | 18/09/2025 DURANTE LA VISITA DE TECNICA PARA ATENDER CIERRE DE CORRESPONSAL BANCARIO, NO ES POSIBLE PORQUE COMERCIO SE ENCUENTRA CERRADO SE LLAMA AL CELULAR 3015018526 EL CUAL ATIENDE LA SR ANA MILENA RODRÍGUEZ MENDOZA NOS INDICA  QUE NO ES POSIBLE LA ATENCIÓN EL DÍA DE HOY POR MOTIVOS PERSONALES SE INFORMA A COORDINADOR SE PROCEDE A REPROGRAMAR LA ACTIVIDAD
20/09/2025 SE REALIZA CIERRE DE CORRESPONSAL SIN NOVEDAD PUBLICIDAD CORRESPONSAL INDICA QUE FUE RETIRADA Y DESTRUIDA</t>
  </si>
  <si>
    <t>9L08Z761</t>
  </si>
  <si>
    <t>GALEANO SORIANO JUAN DAVID</t>
  </si>
  <si>
    <t>LC-CS-25-000425</t>
  </si>
  <si>
    <t>BARRIO LA LA MADRID VILLAVICEN</t>
  </si>
  <si>
    <t>FO-25-1545944</t>
  </si>
  <si>
    <t>18/09/2025 EN COMUNICACIÓN CON LA SRA LUZ DEYER NOVOA DIAZ AL NÚMERO 3157851428 NOS CONFIRMA LA SOLICITUD, DATOS CORRECTOS. SE ESCALA PARA VISITA, POR FAVOR LLAMAR ANTES DED ESPLAZARSE | 18/09/2025 SE VISITA DIRECCIÓN DE COMERCIO PERO AL LLEGAR AL CONJUNTO CERRDO. INFORMAN QUÉ EL COMERCIO SE ENCUENTRA CERRADO. ME COMUNICO CON EL CLIENTE Y NOS INFORMAN QUE NO SE ENCUENTRA EN EL SITIO.</t>
  </si>
  <si>
    <t xml:space="preserve">COMERCIO CERRADO </t>
  </si>
  <si>
    <t>GARZON RUIZ LUIS MIGUEL</t>
  </si>
  <si>
    <t>LC-CS-25-000434</t>
  </si>
  <si>
    <t>CASANARE</t>
  </si>
  <si>
    <t>VILLANUEVA</t>
  </si>
  <si>
    <t>BARRIO FUNDADORES VILLANUEVA</t>
  </si>
  <si>
    <t>FO-25-1546068</t>
  </si>
  <si>
    <t>18/09/2025 SE INTENTA COMUNICACIÓN A LOS  NÚMEROS 3203701890-3125533335 SUENA PERO NO HAY CONTACTO, SE INTENTARÁ NUEVAMENTE | 18/09/2025 SE INTENTA COMUNICACIÓN A LOS  NÚMEROS 3203701890-3125533335 SUENA PERO NO HAY CONTACTO, SE INTENTARÁ NUEVAMENTE | 18/09/2025 SE LLAMA LA PERSONA PARA VERIFICAR LA DIRECCIÓN INFORMA QUE NO SE ENCUENTRA EN LA DIRECCIÓN DICE QUE ESTÁ EN UNA REUNIÓN QUE NO PUEDE SALIR, ME ENVIÓ A UNA DIRECCIÓN PARA QUE OTRA PERSONA ENTREGUE LOS EQUIPOS ME DIRIJO HACIA ESA DIRECCIÓN PERO AL AHORA DE PREGUNTAR POR EL ADMINISTRADOR NO SE ENCUENTRA</t>
  </si>
  <si>
    <t>MOLINA CASTRO JAVIER ALBERTO</t>
  </si>
  <si>
    <t>LC-CS-25-000435</t>
  </si>
  <si>
    <t>BARRIO BOSA TERMINAL DE TRANSPORTES BOGOTA</t>
  </si>
  <si>
    <t>FO-25-1545956</t>
  </si>
  <si>
    <t>18/09/2025 SE INTENTA COMUNICACIÓN A LOS  NÚMEROS 3023744062-3103988221 SUENA PERO NO HAY CONTACTO, SE INTENTARÁ NUEVAMENTE | 18/09/2025 SE INTENTA COMUNICACIÓN A LOS  NÚMEROS 3023744062-3103988221 SUENA PERO NO HAY CONTACTO, SE INTENTARÁ NUEVAMENTE | 18/09/2025 EN COMUNICACIÓN CON EL SR NASSER PEÑA AL NÚMERO 3023744062 NOS CONFIRMA LA SOLICITUD, DATOS CORRECTOS. SE ESCALA PARA VISITA, POR FAVOR LLAMAR ANTES DE DESPLAZARSE | 18/09/2025 EL CORRESPONSAL NO EXISTE DENTRO DEL TERMINAL SE COMUNICA A LOS NÚMEROS Y NO DAN RESPUESTA LOS VIGILANTES DEL TERMINAL INFORMAN QUE EL CORRESPONSAL NO EXISTE HACE TIEMPO</t>
  </si>
  <si>
    <t>LC-CS-25-000436</t>
  </si>
  <si>
    <t>LA CASTELLANA BOGOTA 3</t>
  </si>
  <si>
    <t>FO-25-1546071</t>
  </si>
  <si>
    <t>18/09/2025 SE INTENTA COMUNICACIÓN AL NÚMERO 3116207484 SUENA PERO NO HAY CONTACTO, SE INTENTARÁ NUEVAMENTE | 18/09/2025 EN COMUNICACIÓN CON LA SRA MARCELA D ANTONIO AL NÚMERO 3116207484 NOS CONFIRMA LA SOLICITUD, DATOS CORRECTOS. SE ESCALA PARA VISITA. POR FAVOR LLAMAR ANTES DE DESPLAZARSE | 18/09/2025 SE LLEGA A COMERCIO PERSONA ENCARGADA INDICA QUE NO TIENE TIEMPO PARA ENTREGAR LOS EQUIPOS Y QUE NO LE AVISARON PARA PASAR NO DA DATOS</t>
  </si>
  <si>
    <t>TV00L345</t>
  </si>
  <si>
    <t>INFANTE SIERRA MANUEL FERNANDO</t>
  </si>
  <si>
    <t>LC-CS-25-000400</t>
  </si>
  <si>
    <t>BARRIO CABECERA BUCARAMANGA 14</t>
  </si>
  <si>
    <t>FO-25-1540185</t>
  </si>
  <si>
    <t>17/09/2025 SE INTENTA COMUNICACIÓN A LOS NÚMEROS 3147137564- 3228672599 SUENA PERO NO HAY CONTACTO, SE INTENTARÁ NUEVAMENTE | 17/09/2025 SE VISITA COMERCIO CLIENTE ANYELO INFORMA QUE NO SABE POR QUE LE VAN A CERRAR EL CORRESPONSAL SE LE INDICA QUE SE DEBE COMUNICAR CON EL ASESOR QUIEN LE DIRA EL POR QUE Y QUE TAN PRONTO EL ASESOR LE DE UNA RESPUESTA LLAMAR A LA LINEA 018000953344 Y SOLICITAR LA RECOLECCIÓN DE LOS EQUIPOS</t>
  </si>
  <si>
    <t xml:space="preserve">NO SE MANIPULA EQUIPO </t>
  </si>
  <si>
    <t>BARRERA ORTEGA MARLON STWAR</t>
  </si>
  <si>
    <t>LC-CS-25-000401</t>
  </si>
  <si>
    <t>CIMITARRA</t>
  </si>
  <si>
    <t>BARRIO CENTRO CIMITARRA 18</t>
  </si>
  <si>
    <t>FO-25-1540200</t>
  </si>
  <si>
    <t>17/09/2025 SE INTENTA COMUNICACIÓN AL NÚMERO 3153120674 SUENA PERO NO HAY CONTACTO, SE INTENTARÁ NUEVAMENTE | 17/09/2025 SE INTENTA COMUNICACIÓN AL NÚMERO 3153120674 SUENA PERO NO HAY CONTACTO, SE INTENTARÁ NUEVAMENTE | 18/09/2025 SE INTENTA COMUNICACIÓN AL NÚMERO 3153120674 SUENA PERO NO HAY CONTACTO | 18/09/2025 SE LLEGA A COMERCIO CLIENTE INDICA , Q NO HACE ENTREGA DE LOS EQUIPOS DEBIDO , A Q NO LE HAN NOTIFICADO EL MOTIVO DEL CIERRE, MANIFIESTA QUE ESTA ESPERANDO RESPUESTA DEL ASESOR ,MANIFIESTA Q CUANDO TENGA RESPUESTA SE COMUNICARA, NO DA MAS INFORMACIÓN</t>
  </si>
  <si>
    <t>NINGUNA</t>
  </si>
  <si>
    <t>GELVEZ MOGOLLON JOSE ELISEO</t>
  </si>
  <si>
    <t>LC-CS-25-000402</t>
  </si>
  <si>
    <t>BARRIO ASOVISUR 1 FLORIDABLANC</t>
  </si>
  <si>
    <t>FO-25-1540175</t>
  </si>
  <si>
    <t>17/09/2025 SE INTENTA COMUNICACIÓN A LOS NÚMEROS 3042459513 APAGADO-3152823396 SUENA PERO NO HAY CONTACTO, SE INTENTARÁ NUEVAMENTE | 17/09/2025 EN COMUNICACIÓN CON LA SRA MILEYDY LEON ARAQUE AL NÚMERO 3152823396 NOS CONFIRMA LA SOLICITUD, DATOS CORRECTOS. SE ESCALA PARA VISITA, POR FAVOR LLAMAR ANTES DE DESPLAZARSE | 17/09/2025 SE LLEGA A SITIO, LOCAL SE ENCUENTRA CERRADO, SE INTENTA COMUNICACIÓN CON CLIENTE AL CELULAR 3042459513 | 3152823396 Y NO CONTESTA, VISITA FALLIDA POR COMERCIO CERRADO.</t>
  </si>
  <si>
    <t>EF007280</t>
  </si>
  <si>
    <t>LC-CS-25-000404</t>
  </si>
  <si>
    <t>BARRIO ALFONSO BONILLA ARAGON</t>
  </si>
  <si>
    <t>FO-25-1540154</t>
  </si>
  <si>
    <t>17/09/2025 EN COMUNICACIÓN CON LA SRA VIRGINIA VANEGAS MARLES AL NÚMERO 3152723343 DATOS CORRECTOS, INFORMA QUE EL BANCO NO LE HA COMUNICADO EL MOTIVO DEL CIERRE | 18/09/2025 SE RETIRA DATÁFONO LECTOR PINPAD HUD SE RETIRA PUBLICIDAD Y SE DESTRUYE EN SITIO  CLIENTE SOLO ENTREGA ESTOS EQUIPOS</t>
  </si>
  <si>
    <t>9A001804</t>
  </si>
  <si>
    <t>CUERO RUIZ JHONNY</t>
  </si>
  <si>
    <t>LC-CS-25-000406</t>
  </si>
  <si>
    <t>BARRIO ALCAZARES BOGOTA 2</t>
  </si>
  <si>
    <t>FO-25-1540194</t>
  </si>
  <si>
    <t>17/09/2025 EN COMUNICACIÓN CON EL SR JUAN FRANCISCO FERRERO INFANTE AL NÚMERO 3223744917 NOS INFORMA QUE EL BANCO NO LE HA DADO EL MOTIVO DEL CIERRE DEL CB Y QUE NO ENTREGARÁ LOS EQUIPOS | 17/09/2025 SE REALIZA VISITA AL LLEGAR A COMERCIO INDICA NO TENER NOTIFICACIÓN NI CORREO POR TAL MOTIVO NO ENTREGA EQUIPOS, NO PERMITE EL RETIRO DE LOS EQUIPO Y ACCESORIOS</t>
  </si>
  <si>
    <t>9ABZZ369</t>
  </si>
  <si>
    <t>JAIMES VALERO NELSON RICARDO</t>
  </si>
  <si>
    <t>LC-CS-25-000411</t>
  </si>
  <si>
    <t>BARRIO PICHINDE CALI 1</t>
  </si>
  <si>
    <t>FO-25-1540222</t>
  </si>
  <si>
    <t>17/09/2025 EN COMUNICACIÓN CON LA SRA VIRGINIA VANEGAS MARLES AL NÚMERO 3152723343 DATOS CORRECTOS, INFORMA QUE EL BANCO NO LE HA COMUNICADO EL MOTIVO DEL CIERRE | 18/09/2025 SE REALIZA LLAMADA TELEFÓNICA PARA ESTABLECER COMUNICACIÓN CON EL CLIENTE EN DONDE NO SE HALLA COMUNICACIÓN Y SE DECIDE REALIZAR VISITA TÉCNICA EN DONDE SE LLEGA AL SITIO Y EL SEÑOR YIMI ME INDICA QUE ENVIO LOS EQUIPOS DE SU CORRESPONSAL A LA CIUDAD DE CALI, EL EQUIPO NO SE ENCUENTRA EN EL COMERCIO UBICADO EN PICHINDE SE PROCEDE A CERRAR</t>
  </si>
  <si>
    <t>ESCOBAR LENIS JUAN SEBASTIAN</t>
  </si>
  <si>
    <t>LC-CS-25-000377</t>
  </si>
  <si>
    <t>LA ESTRELLA</t>
  </si>
  <si>
    <t>PTM EXPRESARTE VARIEDADES Y VA</t>
  </si>
  <si>
    <t>FO-25-1534218</t>
  </si>
  <si>
    <t>16/09/2025 SE INTENTA COMUNICACIÓN AL NÚMERO 3008066190 SUENA PERO NO HAY CONTACTO, SE INTENTARÁ NUEVAMENTE | 16/09/2025 SE INTENTA COMUNICACIÓN AL NÚMERO 3008066190 SUENA PERO NO HAY CONTACTO, SE INTENTARÁ NUEVAMENTE | 16/09/2025 SE VISITA EN 2 OCASIONES SE ENCUENTRA CERRADO, SE INTENTA CONTACTAR POR MEDIO DEL TELÉFONO DE CONTACTO Y WHATSAPP SIN RESPUESTA</t>
  </si>
  <si>
    <t>TR00M902</t>
  </si>
  <si>
    <t>LC-CS-25-000380</t>
  </si>
  <si>
    <t>BARRANCABERMEJA</t>
  </si>
  <si>
    <t>PTM BARRANCA CEVECOM</t>
  </si>
  <si>
    <t>FO-25-1534171</t>
  </si>
  <si>
    <t>16/09/2025 SE INTENTA COMUNICACIÓN AL NÚMERO 3154024314 SUENA PERO NO HAY CONTACTO, SE INTENTARÁ NUEVAMENTE | 16/09/2025 SE INTENTA COMUNICACIÓN AL NÚMERO 3154024314 SUENA PERO NO HAY CONTACTO, SE INTENTARÁ NUEVAMENTE | 16/09/2025 SE INTENTA COMUNICACIÓN AL NÚMERO 3154024314 SUENA PERO NO HAY CONTACTO | 17/09/2025 SE REALIZA VISITA AL COMERCIO EN LA  DIRECCIÓN INDICADA SE ESTABLECE COMUNICACIÓN CON EL SEÑOR ALDEMAR FERNEY RODRÍGUEZ Y NOS INDICA QUE NO HACE ENTREGA DE LOS EQUIPOS DEBIDO A QUE PTM NO LE HA DEVOLUCIÓN DEL DINERO QUE NO HAY GARANTÍA QUE EL ENTREGANDO LOS EQUIPOS LE DEVUELVAN EL DINERO</t>
  </si>
  <si>
    <t xml:space="preserve">NO APLICA </t>
  </si>
  <si>
    <t>MARIÑO PABON JORGE ENRIQUE</t>
  </si>
  <si>
    <t>LC-CS-25-000382</t>
  </si>
  <si>
    <t>PUERTO BOYACA</t>
  </si>
  <si>
    <t>MULTIPAGAS PUERTO BOYACA</t>
  </si>
  <si>
    <t>FO-25-1534167</t>
  </si>
  <si>
    <t>ROBUSTO</t>
  </si>
  <si>
    <t>MULTIPAGAS</t>
  </si>
  <si>
    <t>16/09/2025 EN COMUNICACIÓN CON LA SRA NATALIA BUITRAGO AL NÚMERO 3225922930 NOS CONFIRMA LA SOLICITUD, DATOS CORRECTOS. SE ESCALA PARA VISITA | 17/09/2025 SE REALIZA VISITA TÉCNICA AL CORRESPONSAL ROBUSTO MULTIPAGAS CON EL OBJETIVO DE RETIRAR EQUIPOS. AL LLEGAR AL PUNTO, EL USUARIO CONFIRMA LA IDENTIFICACIÓN DEL TÉCNICO Y ACLARA QUE LA SOLICITUD REALIZADA A TRAVÉS DE LA LÍNEA DE ATENCIÓN CORRESPONDE ÚNICAMENTE AL RETIRO DE DOS PINPAD QUE NO ESTABAN EN FUNCIONAMIENTO NI EN USO. EL USUARIO ENFATIZA QUE NO SE TRATA DE UN CIERRE TOTAL DE LOS DATÁFONOS, SINO DE UNA INTERVENCIÓN PUNTUAL PARA RETIRAR LOS DISPOSITIVOS MENCIONADOS.</t>
  </si>
  <si>
    <t>AD00I844</t>
  </si>
  <si>
    <t>MARTINEZ TOVAR OSCAR DAVID</t>
  </si>
  <si>
    <t>LC-CS-25-000383</t>
  </si>
  <si>
    <t>REVAL JUMBO CC SANTAFE BOGOTA</t>
  </si>
  <si>
    <t>FO-25-1534164</t>
  </si>
  <si>
    <t>REVAL</t>
  </si>
  <si>
    <t>16/09/2025 EN COMUNICACIÓN CON LA SRA DOLLY BAUTISTA AL NÚMERO 3203076573 NOS CONFIRMA LA SOLICITUD, DATOS CORRECTOS. SE ESCALA PARA VISITA | 17/09/2025 SE REALIZA RETIRO DE 2 DATAFONOS, 1 LECTORA Y 1 PINPAD</t>
  </si>
  <si>
    <t>JYZZZ347</t>
  </si>
  <si>
    <t>LC-CS-25-000386</t>
  </si>
  <si>
    <t>FO-25-1534206</t>
  </si>
  <si>
    <t>16/09/2025 EN COMUNICACIÓN AL NÚMERO 3125308729 NOS INDICAN QUE EL SR ROBERTO GALVIS YA NO LABORA EN EL ESTABLECIMIENTO Y CREE QUE LOS EQUIPOS DEL CB 56213 SE LOS LLLEVARON AL INSTALAR EL NUEVO CB | 17/09/2025 DATAFONO FUE RECOGIDO EL DÍA LUNES 15 DE SEPTIEMBRE CON LA TA-25-1107264, SE VISITO COMERCIO NUEVAMENTE PERO USUARIO NO ENTREGO EL LECTOR  940683</t>
  </si>
  <si>
    <t>XPMZZ098</t>
  </si>
  <si>
    <t>LC-CS-25-000388</t>
  </si>
  <si>
    <t>BARRIO VILLA MARIA BOGOTA 4</t>
  </si>
  <si>
    <t>FO-25-1534179</t>
  </si>
  <si>
    <t>16/09/2025 EN COMUNICACIÓN CON LA SRA ADRIANA  AL NÚEMERO 3027541096  NOS CONFIRMA LA SOLICITUD, DATOS CORRECTOS. SE ESCALA PARA VISITA. POR FAVOR LLAMAR ANTES DE DESPLAZARSE | 17/09/2025 SE VISITA DIRECCIÓN INDICADA EN LA ORDEN, SE EVIDENCIA EN EL PUNTO NO EXISTE NINGÚNA EVIDENCIA DE CB BANCOLOMBIA, SE LLAMA A LOS TELÉFONOS DE CONTACTO 3027541096 3222128521 Y NO SE LOGRA COMUNICACIÓN CON EL CLIENTE, SE TOMA EVIDENCIA DE LA VISITA Y NOS RETIRAMOS.</t>
  </si>
  <si>
    <t>VEGA MANRIQUE JONATAN MAURICIO</t>
  </si>
  <si>
    <t>LC-CS-25-000370</t>
  </si>
  <si>
    <t>GUADUAS</t>
  </si>
  <si>
    <t>BARRIO CENTRO GUADUAS 3</t>
  </si>
  <si>
    <t>FO-25-1526646</t>
  </si>
  <si>
    <t>13/09/2025 SE INTENTA COMUNICACIÓN AL NÚMERO 3222223587 SE ENCUENTRA APAGADO, SE INTENTARÁ NUEVAMENTE | 15/09/2025 SE INTENTA COMUNICACIÓN AL NÚMERO 3222223587 SE ENCUENTRA APAGADO, SE INTENTARÁ NUEVAMENTE | 15/09/2025 SE INTENTA COMUNICACIÓN AL NÚMERO 3222223587 SE ENCUENTRA APAGADO | 17/09/2025 SE REALIZA VISITA AL COMERCIO A LA DIRECCIÓN CALLE 2 # 6 34 GUADUAS NO LOS DAN RAZÓN DEL CLIENTE SE REALIZA CONTACTO TELÉFONICO 3222235837 CON O SEÑORA ADRIANA VALENCIA LA CUAL NOS INDICA QUE NO SE ENCUENTRA EN EL PUEBLO SE LE INDICA AL USUARIO QUE DEBE LLAMAR CUANDO CUANDO CON TIEMPO DISPONIBLE</t>
  </si>
  <si>
    <t>HERNANDEZ NARANJO OSCAR EDUARDO</t>
  </si>
  <si>
    <t>LC-CS-25-000347</t>
  </si>
  <si>
    <t>DISTRICOL DON PAGO VARIEDADES</t>
  </si>
  <si>
    <t>FO-25-1526691</t>
  </si>
  <si>
    <t>13/09/2025 SE INTENTA COMUNICACIÓN AL NÚMERO 3167405474 SUENA PERO NO HAY CONTACTO, SE INTENTARÁ NUEVAMENTE | 15/09/2025 SE INTENTA COMUNICACIÓN AL NÚMERO 3167405474 SE ENCUENTRA APAGADO, SE INTENTARÁ NUEVAMENTE | 15/09/2025 EN COMUNICACIÓN CON LA SRA DIANA CAROLINA RIAÑO SUAREZ AL NÚMERO 3167405474 INFORMA QUE LA DIRECCIÓN ES DONDE SE ENCUENTRA EL LOCAL  PERO QUE ESTE CB YA ESTÁ A NOMBRE DE DIANA MARCELA, NOS FACILITA EL NÚMERO 3213904189 SE INTENTA COMUNICACIÓN PERO NO HAY CONTACTO | 15/09/2025 SE REALIZA DESPLAZAMIENTO A DIRECCIÓN INDICADA, SE ENCUENTRA COMERCIO CERRADO, SE REALIZA LLAMADA A PERSONA DE CONTACTO QUIEN INFORMA QUE YA NO ES LA DUEÑA DEL LOCAL, QUE VENDIO HACE DOS AÑOS, LUEGO DE ESTO SE RECIBE LLAMADA TELEFÓNICA DE PARTE DE LA SRA. DIANA GAMBOA 3167405474 QUIEN INFORMA QUE NO PUEDE ENTREGAR LOS EQUIPOS ENTRE SEMANA, INFORMA DISPONIBILIDAD PARA LOS SÁBADOS APARTIR DE LAS 9AM, SE LE INDICA QUE DEBE COMUNICARSE A LA LÍNEA 01800953344 Y SOLICITAR LA VISITA PARA LA ENTREGA DE LOS</t>
  </si>
  <si>
    <t>LA00V273</t>
  </si>
  <si>
    <t>LC-CS-25-000353</t>
  </si>
  <si>
    <t>COMCARD BOGOTA ALTAVISTA</t>
  </si>
  <si>
    <t>FO-25-1526708</t>
  </si>
  <si>
    <t>13/09/2025 EN COMUNICACIÓN CON EL SR JAIBER GORDILLO AL NÚMERO 3508309021 NOS CONFIRMA LA SOLICITUD, DATOS CORRECTOS. SE ESCALA PARA VISITA, INDICA QUE ES DENTRO DEL CONJUNTO POR FAVOR LLAMAR ANTES DE DESPLAZARSE | 16/09/2025 SE REALIZA VISITA DE CAMPO ENCONTRADO QUE COMERCIO NO EXISTE EN DIRECCIÓN INDICADA EN RUTA, CABE RESALTAR QUE LA DIRECCIÓN QUEDA EN UN CONJUNTO RESIDENCIAL SE INDAGA POR EL NOMBRE DE CONTACTO EN ORDEN DE SERVICIO NO LO CONOCEN, LOCAL TAMPOCO CONOCEN, SE LLAMA A LA LÍNEA 3508309021 NO HAY RESPUESTA, SE INFORMA A SUPERVISOR QUIEN AUTORIZA CIERRE DE SOLICITUD.</t>
  </si>
  <si>
    <t>LC-CS-25-000322</t>
  </si>
  <si>
    <t>BRR PICACHO MEDELLIN</t>
  </si>
  <si>
    <t>FO-25-1516457</t>
  </si>
  <si>
    <t>12/09/2025 SE INTENTA COMUNICACIÓN AL NÚMERO 3022095454 SUENA PERO NO HAY CONTACTO, SE INTENTARÁ NUEVAMENTE | 12/09/2025 SE INTENTA COMUNICACIÓN AL NÚMERO 3022095454 SUENA PERO NO HAY CONTACTO, SE INTENTARÁ NUEVAMENTE | 13/09/2025 SE INTENTA COMUNICACIÓN AL NÚMERO 3022095454 SUENA PERO NO HAY CONTACTO | 13/09/2025 SE HACEN VARIAS LLAMADAS AL CLIENTE, NO CINTESTA, SE LLEGA AL PUNTO Y NOS CONTACTAN CON EL CLIENTE EL CUAL NOS DICE QUE SE ENCUENTRA EN CALI  Y QUE LOS EQUIPOS A RETIRAR NO SE ENCUENTRAN EN EL PUNTO</t>
  </si>
  <si>
    <t>CARDONA MOLINA BROLIN STIVEN</t>
  </si>
  <si>
    <t>LC-CS-25-000327</t>
  </si>
  <si>
    <t>BARRIO CENTRO TUNJA 9</t>
  </si>
  <si>
    <t>FO-25-1516531</t>
  </si>
  <si>
    <t>12/09/2025 SE INTENTA COMUNICACIÓN AL NÚMERO 3103261632 SUENA PERO NO HAY CONTACTO, SE INTENTARÁ NUEVAMENTE | 12/09/2025 SE INTENTA COMUNICACIÓN AL NÚMERO 3103261632 SUENA PERO NO HAY CONTACTO, SE INTENTARÁ NUEVAMENTE | 12/09/2025 EN COMUNICACIÓN CON LA LÍNEA 3008426660 LA SEÑORA DEISY LILIANA VELANDIA PIRA INDICA QUE NO SOLICITO CIERRE DEL CORRESPONSAL QUE SE ENCUENTRA EN NEGOCIACIONES CON EL BANCO Y QUE NO PUEDE ENTREGAR LOS EQUIPOS HASTA QUE LE DEN RESPUESTA, YA QUE INDICA QUE QUIERE CONTINUAR CON EL SERVICIO, SE LE INDICA QUE DEBE COMUNICARSE CON LA LÍNEA NACIONAL 018000953344 PARA MAYOR INFORMACION.</t>
  </si>
  <si>
    <t>HERRERA GARZON JEYSON STEVENT</t>
  </si>
  <si>
    <t>LC-CS-25-000328</t>
  </si>
  <si>
    <t>BARRIO LA LIBERTAD FLORENCIA 2</t>
  </si>
  <si>
    <t>FO-25-1516526</t>
  </si>
  <si>
    <t>12/09/2025 SE INTENTA COMUNICACIÓN AL NÚMERO 3114785004 SUENA PERO NO HAY CONTACTO, SE INTENTARÁ NUEVAMENTE | 12/09/2025 SE INTENTA COMUNICACIÓN AL NÚMERO 3114785004 SUENA PERO NO HAY CONTACTO, SE INTENTARÁ NUEVAMENTE | 13/09/2025 SE INTENTA COMUNICACIÓN AL NÚMERO 3114785004 SUENA PERO NO HAY CONTACTO | 16/09/2025 SE REALIZA VISITA AL CB PERO SE ENCUENTRA CERRADO SE LLAMA A LA CLIENTA QUIEN MANIFESTÓ NO PODER REALIZAR LA ENTREGA DE LOS EQUIPOS YA QUE NO SE ENCUENTRA EN FLORENCIA Y QUE POR MOTIVOS PERSONALES LE TOCÓ VIAJAR A OTRA CIUDAD, QUE CUANDO ESTÉ EN FLORENCIA NUEVAMENTE LLAMARÁ A LÍNEA PARA SOLICITAR LA ENTREGA DE LOS EQUIPOS</t>
  </si>
  <si>
    <t>F7ZZZ994</t>
  </si>
  <si>
    <t>LC-CS-25-000329</t>
  </si>
  <si>
    <t>POPAYAN</t>
  </si>
  <si>
    <t>BARRIO BELLO HORIZONTE POPAYAN</t>
  </si>
  <si>
    <t>FO-25-1516562</t>
  </si>
  <si>
    <t>12/09/2025 SE LLEGA AL SITIO SE ENCUENTRA COMERCIO CERRADO SE REALIZA LLAMADA CELULAR CB NO SE TIENE RESPUESTA</t>
  </si>
  <si>
    <t>6A0AZ069</t>
  </si>
  <si>
    <t>SINCELEJO</t>
  </si>
  <si>
    <t>LC-CS-25-000338</t>
  </si>
  <si>
    <t>SUCRE</t>
  </si>
  <si>
    <t>SAN MARCOS</t>
  </si>
  <si>
    <t>BARRIO VEREDA PALO ALTO SAN MA</t>
  </si>
  <si>
    <t>FO-25-1516494</t>
  </si>
  <si>
    <t>12/09/2025 EN COMUNICACIÓN CON EL SR LUIS ALFONZO RUIZ CHAVEZ AL NÚMERO 3105333817 NOS CONFIRMA LA SOLICITUD, DATOS CORRECTOS. SE ESCALA PARA VISITA | 17/09/2025 SE LLEGA AL SITIO Y NO NOS ENTREGAN LOS EQUIPOS YA QUE EL SR LUIS ALFONSO NO SE ENCUENTRA EN EL SITIO, SE LE LLAMA AL NO 3105331817 Y NOS INFORMA QUE ESTÁ POR FUERA DE LA VEREDA Y NO PUEDE REALIZAR LA ENTREGA. INFORMA QUE SE COMUNICARÁ CON EL BANCO.</t>
  </si>
  <si>
    <t>NO APLICA</t>
  </si>
  <si>
    <t>CASSIANI PEREZ RAUL RAMIRO</t>
  </si>
  <si>
    <t>LC-CS-25-000339</t>
  </si>
  <si>
    <t>SAN MARCOS VEREDA EL OASIS</t>
  </si>
  <si>
    <t>FO-25-1516520</t>
  </si>
  <si>
    <t>12/09/2025 EN COMUNICACIÓN CON EL SR LUIS ALFONZO RUIZ CHAVEZ AL NÚMERO 3105333817 NOS CONFIRMA LA SOLICITUD, DATOS CORRECTOS. SE ESCALA PARA VISITA | 17/09/2025 SE LLEGA AL SITIO Y NO ENTREGAN EQUIPOS, INFORMAN QUE EL CLIENTE NO SE ENCUENTRA EN SITIO, SE LLAMA AL NO 315333817, CON EL SR LUIS ALFONSO RUIZ CHÁVES, NOS INFORMA QUE ESTÁ POR FUERA DE LA VEREDA Y SE COMUNICARÁ CON EL BANCO PARA ACORDAR LA ENTREGA.</t>
  </si>
  <si>
    <t>NO APLCA</t>
  </si>
  <si>
    <t>YOPAL</t>
  </si>
  <si>
    <t>LC-CS-25-000340</t>
  </si>
  <si>
    <t>BARRIO  CHAPARRERA YOPAL</t>
  </si>
  <si>
    <t>FO-25-1516476</t>
  </si>
  <si>
    <t>12/09/2025 EN COMUNICACIÓN CON LA SRA ERIKA RODRIGUEZ BETANCOURT AL NÚMERO 3142422602 NOS CONFIRMA LA SOLICITUD, DATOS CORRECTOS. SE ESCALA PARA VISITA | 18/09/2025 EN COMUNICACIÓN CON LA SEÑORA ANDREA OROS AL NUMERO 3105608091 INDICA NO TIENE AUTORIZADO ENTREGAR LOS EQUIPOS, REALIZO VARIAS LLAMADAS A LA DUEÑA INFORMA QUE SE ENCUENTRA EN DIALOGOS CON LA ENTIDAD.</t>
  </si>
  <si>
    <t>BERNAL ELAICA EDGAR ALEXIS</t>
  </si>
  <si>
    <t>LC-CS-25-000343</t>
  </si>
  <si>
    <t>BARRIO BOSA PORVENIR BOGOTA 4</t>
  </si>
  <si>
    <t>FO-25-1516536</t>
  </si>
  <si>
    <t>12/09/2025 SE INTENTA COMUNICACIÓN AL NÚMERO 3213628097 SUENA PERO NO HAY CONTACTO, SE INTENTARÁ NUEVAMENTE | 12/09/2025 SE INTENTA COMUNICACIÓN AL NÚMERO 3213628097 SUENA PERO NO HAY CONTACTO, SE INTENTARÁ NUEVAMENTE | 13/09/2025 SE INTENTA COMUNICACIÓN AL NÚMERO 3213628097 SUENA PERO NO HAY CONTACTO | 13/09/2025 SE REALIZA VISITA AL A DIRECCIÓN SE PREGUNTA POR LA SEÑORA AURORA GODOY EN LA PORTERÍA DEL CONJUNTO SENDEROS DEL PORVENIR 4 NO NOS DAN RAZON DE ELLA TEL DE CONTACTO NO RESPONDE 3213628097</t>
  </si>
  <si>
    <t>LC-CS-25-000344</t>
  </si>
  <si>
    <t>BARRIO DANUBIO AZAUL BOGOTA</t>
  </si>
  <si>
    <t>FO-25-1523495 | FO-25-1516540</t>
  </si>
  <si>
    <t>12/09/2025 EN COMUNICACIÓN CON LA SRA LAURA DANIELA VARGAS VANEGAS AL NÚMERO 3103101824 NOS CONFIRMA LA SOLICITUD, DATOS CORRECTOS. SE ESCALA PARA VISITA | 12/09/2025 SE VISITA COMERCIO POR CIERRE. AL LLEGAR A LA DIRECCIÓN ESTE SE ENCUENTRA CERRADO SE PROCEDE A GENERAR COMUNICACIÓN TELEFÓNICA AL NÚMERO 313 302 3847 DONDE ATIENDE TITULAR Y CONFIRMA REPROGRAMAR VISITA YA QUE EN EL LUGAR NO SE ENCUENTRA NADIE Y SE DEBE PROGRAMAR CON UN DÍA DE ANTICIPACIÓN LA RECOGIDA DE LOS EQUIPOS SE PROCEDE A FINALIZAR ACTIVIDAD SIN MÁS NOVEDAD
13/09/2025 SE REALIZA GESTIÓN TELEFÓNICA CON CLIENTE AL NÚMERO +57 310 3101824 DONDE LA CLIENTE SOLICITA RECOGER EQUIPO EN CONJUNTO RESIDENCIAL RESERVA DEL PORTAL LOCALIDAD USME, SE PROCEDE A REALIZAR RECOGIDA EN PUNTO ACORDADO DONDE CLIENTE ENTREGA DATÁFONO, BASE,LECTORA,MAGICBOX,CABLE DE RED FUENTE DE PODER ,SE REALIZAN IMPRESIONES DE PRUEBA OK Y SE COMPLETA CIERRE DE PUNTO SIN NOVEDAD CLIENTE MANIFIESTA QUE LA PUBLICIDAD YA LA BOTO A LA BASURA.</t>
  </si>
  <si>
    <t>NO APLICA 
10008839</t>
  </si>
  <si>
    <t>ROZO ROZO WILLIAM ASDRUBAL</t>
  </si>
  <si>
    <t>MONTERIA</t>
  </si>
  <si>
    <t>LC-CS-25-000345</t>
  </si>
  <si>
    <t>EL BAGRE</t>
  </si>
  <si>
    <t>BARRIO PORTUGAL EL BAGRE</t>
  </si>
  <si>
    <t>FO-25-1516546</t>
  </si>
  <si>
    <t>12/09/2025 SE INTENTA COMUNICACIÓN A LOS NÚMEROS 3127212972-3215994007 SUENA PERO NO HAY CONTACTO, SE INTENTARÁ NUEVAMENTE | 12/09/2025 EN COMUNICACIÓN CON EL SR ISMAEL RAMIREZ FERNADEZ AL NÚMERO 3215994007 NOS CONFIRMA LA SOLICITUD, DATOS CORRECTOS. SE ESCALA PARA VISITA, POR FAVOR LLAMAR ANTES DE DESPLAZASE AL NÚMERO 3215994007 | 15/09/2025 SE VISITA SITIO, LOCAL SE ENCUENTRA CERRADO SE INTENTA COMUNICACIÓN CON EL CB A LOS NÚMEROS REGISTRADOS PERO NO RESPONDEN. CIERRE FALLIDO</t>
  </si>
  <si>
    <t xml:space="preserve">NO SE INTERVIENE </t>
  </si>
  <si>
    <t>COGOLLO VERTEL EDER LUIS</t>
  </si>
  <si>
    <t>LC-CS-25-000317</t>
  </si>
  <si>
    <t>BARRIO BOSA SAN BERNARDO BOGOTA</t>
  </si>
  <si>
    <t>FO-25-1521523 | FO-25-1511647</t>
  </si>
  <si>
    <t>11/09/2025 EN COMUNICACIÓN CON LA SRA CARMENZA GONZALEZ ROJAS AL NÚMERO 3115297440 NOS CONFIRMA LA SOLICITUD, DATOS CORRECTOS. SE ESCALA PARA VISITA, POR FAVOR LLAMAR ANTES DE DESPLAZARSE | 11/09/2025 NO SE PUDO REALIZAR VISITA CLIENTE NO SE ENCUENTRA
13/09/2025 CIERRE FALLIDO 
CLIENTE NO REALIZA LA ENTREGA DE LOS EQUIPOS SE ENCUENTRA A LA ESPERA DE LA RESPUESTA DEL BANCO</t>
  </si>
  <si>
    <t>0
NA</t>
  </si>
  <si>
    <t>LC-CS-25-000321</t>
  </si>
  <si>
    <t>VILLAS DE GRANADA 2</t>
  </si>
  <si>
    <t>FO-25-1511640</t>
  </si>
  <si>
    <t>11/09/2025 EN COMUNICACIÓN CON LA SRA MAGDA MARTINEZ BRICEÑO AL NÚMERO 3138415840  NOS CONFIRMA LA SOLICITUD, DATOS CORRECTOS. SE ESCALA PARA VISITA, POR FAVOR LLAMAR ANTES DE DESPLAZARSE | 13/09/2025 SE VISITA DIRECCIÓN INDICADA EN LA ORDEN, SE PREGUNTA EN LOS COMERCIOS SI EXISTE O EXISTIÓ UN CB BANCOLOMBIA YA QUE NO SE UBICA ALGUNO Y NO HAY INFORMACIÓN, SE LLAMA A LOS TELÉFONOS DE CONTACTO 3138855074 - 3138415840 Y NO HAY RESPUESTA, SE TOMA EVIDENCIA DE LA VISITA Y NOS RETIRAMOS.</t>
  </si>
  <si>
    <t>LC-CS-25-000303</t>
  </si>
  <si>
    <t>RISARALDA</t>
  </si>
  <si>
    <t>PTM LUMBER BARBER SHOP</t>
  </si>
  <si>
    <t>FO-25-1520710 | FO-25-1504342</t>
  </si>
  <si>
    <t>10/09/2025 EN COMUNICACIÓN CON EL SR CARLOS ANDRES QUICENO AL NÚMERO 3106648827 NOS CONFIRMA LA SOLICITUD, DATOS CORRECTOS. SE ESCALA PARA VISITA, POR FAVOR LLAMAR ANTES DE DESPLAZARSE | 12/09/2025 SE LLEGA AL PUNTO, SE ENCUENTRA CERRADO, SE LLAMA AL CLIENTE E INDICA QUE POR FAVOR SE VISITE EL DÍA DE MAÑANA EN TORRE CENTRAL, YA QUE SE ENCONTRA FUERA DE LA CIUDAD.
12/09/2025 SE RETIRA CB BANCOLOMBIA DE LA DIRECCIÓN TORRE CENTRAL PISO 1 LC 121 DATÁFONO, BASE, LECTORA, HUB, PIN PAD, MAGIC BOX, EL CLIENTE INDICA QUE VOTO LA PUBLICIDAD YA QUE TODA ESTABA EN MAL ESTADO.</t>
  </si>
  <si>
    <t>NO APLICA
GB0KZ170-AB1FZ676</t>
  </si>
  <si>
    <t>FRANCO CAÑAVERAL YAMID RAUL</t>
  </si>
  <si>
    <t>LC-CS-25-000306</t>
  </si>
  <si>
    <t>SANDONA</t>
  </si>
  <si>
    <t>PTM  SANDONA  TIENDAS PICASSO</t>
  </si>
  <si>
    <t>FO-25-1504441</t>
  </si>
  <si>
    <t>10/09/2025 SE INTENTA COMUNICACIÓN AL NÚMERO 6050962 FALLIDO-NO HAY CONTACTO | 12/09/2025 SE LLEGA A CB Y SE ENCUENTRA CERRADO. SE INTENTA COMUNICACIÓN TELEFÓNICA CON LA CLIENTE A NÚMEROS REGISTRADOS Y ESTÁN ERRADOS. VECINOS COMPARTEN EL NÚMERO CORRECTO DE LA SEÑORA LEIDY QUE ES 3177112835 E INFORMA QUE EL DÍA DE HOY NO TIENE DISPONIBILIDAD PARA ENTREGAR EQUIPOS YA QUE SE ENCUENTRA TRABAJANDO EN OTRO LADO, PIDE QUE SE LA LLAME CON ANTERIORIDAD AL 3177112835 PARA AGENDAR VISITA.</t>
  </si>
  <si>
    <t>AD00S272</t>
  </si>
  <si>
    <t>CASTILLO HERRERA ALEX RICARDO</t>
  </si>
  <si>
    <t>LC-CS-25-000309</t>
  </si>
  <si>
    <t>DOSQUEBRADAS</t>
  </si>
  <si>
    <t>DISTRICOL LUVIDASAR INMOBILIAR</t>
  </si>
  <si>
    <t>FO-25-1504407</t>
  </si>
  <si>
    <t>10/09/2025 SE INTENTA COMUICACIÓN AL NÚEMERO 3137386440 SUENA PERO NO HAY CONTACTO, SE INTENTARÁ NUEVAMENTE | 10/09/2025 EN COMUNICACIÓN CON LA SRA VIVIANA ANDREA GALLEGO GARZON AL NÚMERO 3137386440 INDICA QUE HIZO ENTREGA DE LOS EQUIPOS AL GESTOR DE DISTRICOL | 12/09/2025 EN COMUNICACIÓN CON LA SR VIVIANA INDICA QUE LOS EQUIPOS YA LOS ENTREGO AL ASESOR DE DISTRICOL.</t>
  </si>
  <si>
    <t>LC-CS-25-000315</t>
  </si>
  <si>
    <t>DISTRICOL LA CANASTA MAX BARAT</t>
  </si>
  <si>
    <t>FO-25-1504384</t>
  </si>
  <si>
    <t>10/09/2025 EN COMUNICACIÓN CON EL SR DANI DUBIAN HOYOS LOPEZ AL NÚMERO 3002075085 INDICA QUE NO HA SIDO NOTIFICADO SOBRE EL CIERRE, SIN EMBARGO CONFIRMA LOS DATOS CORRECTOS, SE ESCALA PARA VISITA | 10/09/2025 CLIENTE INDICA QUE NO PUEDE ENTREGAR LOS EQUIPOS YA QUE HIZO UNA PETICION Y ESTA ESPERANDO LA RESPUESTA</t>
  </si>
  <si>
    <t>SV00C187</t>
  </si>
  <si>
    <t>MANIZALES</t>
  </si>
  <si>
    <t>LC-CS-25-000290</t>
  </si>
  <si>
    <t>CALDAS</t>
  </si>
  <si>
    <t>ANSERMA</t>
  </si>
  <si>
    <t>BARRIO CENTRO ANSERMA 10</t>
  </si>
  <si>
    <t>FO-25-1503876 | FO-25-1497744</t>
  </si>
  <si>
    <t>08/09/2025 SE INTENTA COMUNICACIÓN A LOS NÚMEROS 3155437009-3059542559 SUENA PERO NO HAY CONTACTO, SE INTENTARÁ NUEVAMENTE | 08/09/2025 SE INTENTA COMUNICACIÓN A LOS NÚMEROS 3155437009-3059542559 SUENA PERO NO HAY CONTACTO, SE INTENTARÁ NUEVAMENTE | 09/09/2025 SE REALIZA INTENTO DE COMUNICACIÓN CON USUARIO PERO NO RESPONDE, SE LLEGA A LA DIRECCIÓN DEL COMERCIO PERO SE ENCUENTRA CERRADO, NO ES POSIBLE RETIRAR EQUIPOS
10/09/2025 VISITAMOS COMERCIO REALIZAMOS RETIRO DE DATÁFONO CON LECTOR DE BARRAS, DESMONTAMOS PUBLICIDAD Y LA DESTRUIMOS EN EL PUNTO NO RETIRAMOS ROLLO YA QUE NO TIENE.</t>
  </si>
  <si>
    <t>ON00N703</t>
  </si>
  <si>
    <t>ARROYAVE CANO MANUEL GUILLERMO</t>
  </si>
  <si>
    <t>LC-CS-25-000272</t>
  </si>
  <si>
    <t>BARRIO LA VIRGEN DEL CARMEN MO</t>
  </si>
  <si>
    <t>FO-25-1510326 | FO-25-1495391 | FO-25-1487657</t>
  </si>
  <si>
    <t>06/09/2025 EN COMUNICACIÓN CON LA SRA YOLANDA BUSTOS AL NÚMERO 3182101491 NOS CONFIRMA LA SOLICITUD-INDICA QUE TIENE UN PROCESO CON EL BANCO POR TRASLADO,NOS INDICA QUE LA DIRECCIÓN PARA LA RECOLECCIÓN DE LOS EQUIPOS ES FUNZA CR 20 A 9A 57 HACIENDA LOS CABALLOS. SE ESCALA PARA VISTA | 08/09/2025 SE LLEGA AL PARQUE LA VIRGEN Y NO SE UBICA EL COMERCIO, SE LLAMA A NÚMERO DE CONTACTO Y LA SEÑORA YOLANDA BUSTOS INDICA QUE EL COMERCIO NO EXISTE Y QUE SE REQUIERE RETIRAR LOS EQUIPOS DESPUÉS DEL MIÉRCOLES EN CONJUNTO HACIENDA LOS CABALLOS EN FUNZA
10/09/2025 SE LLEGA AL COMERCIO Y SE LLAMA AL CONTACTO QUIÉN INDICA QUE NO ALCANZA A LLEGAR HOY SOLICITA ATENCIÓN EL DÍA 11 SEP
11/09/2025 SE LLEGA A LA DIRECCIÓN INDICADA POR EL USUARIO EN VISITAS ANTERIORES, NO SE ENCUENTRA EN SITIO, SE REALIZA LLAMADA Y EL CLIENTE INDICA QUE TUVO QUE SALIR. S</t>
  </si>
  <si>
    <t>FUA0H958</t>
  </si>
  <si>
    <t>ECHEVERRI ECHEVERRI EVELIN DANIELA</t>
  </si>
  <si>
    <t>LC-CS-25-000274</t>
  </si>
  <si>
    <t>ZIPAQUIRA</t>
  </si>
  <si>
    <t>BARRIO ALGARRA 3 ZIPAQUIRA ZIP</t>
  </si>
  <si>
    <t>FO-25-1502165 | FO-25-1497880 | FO-25-1487695</t>
  </si>
  <si>
    <t>06/09/2025 SE INTENTA COMUNICACIÓN AL NÚMERO 3124488792 SE ENCUENTRA APAGADO, SE INTENTARÁ NUEVAMENTE | 06/09/2025 SE INTENTA COMUNICACIÓN AL NÚMERO 3124488792 SE ENCUENTRA APAGADO, SE INTENTARÁ NUEVAMENTE | 08/09/2025 SE INTENTA COMUNICACIÓN AL NÚMERO 3124488792 SE ENCUENTRA APAGADO | 08/09/2025 SE REALIZA VISITA DE CAMPO DONDE SE RETIRA EQUIPOS SIN NOVEDAD, NO SE REALIZA DESMONTE DEL AVISO EXTERIOR YA QUE NO SE PUEDE RETIRAR AVISO PORQUE HAY UNOS VEHÍCULOS ESTACIONADOS , SEGÚN REPORTE DEL COMERCIO LOS RETIRAN EN LA TARDE. ADICIONAL EL COMERCIO TIENE UN PARASOL DONDE IMPIDE EL RETIRO DEL AVISO. ESTO LIMITA EL DESMONTE DEL AVISO, SE INFORMA A SUPERVISOR DE DICHA NOVEDAD QUIEN ESCALA A REDEBAN(SEBASTIÁN GONZÁLES)  DONDE NOS SOLICITAN REPROGRAMAR ACTIVIDAD PARA DESMONTE DEL AVISO.
09/09/2025 SE LLEGA A COMERCIO EL CUAL SE ENCUENTRA CERRADO SE REALIZA INTENTOS DE COMUNICACIÓN CON CLIENTE A NÚMERO REGISTRADO 3124488792 EL CUAL SE ENCUENTRA CERRADO SE ESCALA CON COORDINADOR DE ZONA Y SE REPOGRAMA
11/</t>
  </si>
  <si>
    <t xml:space="preserve">AALUZ245
NA
LOS EQUIPOS YA FUERON RETIRADOS PREVIAMENTE </t>
  </si>
  <si>
    <t>ROMERO ROJAS BREIDY JHOHAN</t>
  </si>
  <si>
    <t>LC-CS-25-000281</t>
  </si>
  <si>
    <t>BARRIO SEVILLA SEVILLA 1</t>
  </si>
  <si>
    <t>FO-25-1487685</t>
  </si>
  <si>
    <t>06/09/2025 SE INTENTA COMUNICACIÓN A LOS NÚMEROS 3104150269-3104250279 NO HAY CONTACTO. SE INTENTARÁ NUEVAMENTE | 06/09/2025 SE INTENTA COMUNICACIÓN A LOS NÚMEROS 3104150269-3104250279 NO HAY CONTACTO. SE INTENTARÁ NUEVAMENTE | 08/09/2025 SE INTENTA COMUNICACIÓN A LOS NÚMEROS 3104150269-3104250279 NO HAY CONTACTO | 10/09/2025 SE VISITA COMERCIO, NO SE REALIZÓ DESINSTALACIÓN DE EQUIPOS Y PUBLICIDAD YA QUE COMERCIO INDICA QUE ESTÁ EN PROCESO DE REACTIVACIÓN YA QUE FUE UN PROBLEMA DE DESVÍO DE COMPENSACIÓN CON OTRA ENTIDAD PERO QUE YA ESTÁN EN TRÁMITE CON EL BANCO PARA LA CORRECCIÓN Y REACTIVACIÓN DEL CB.</t>
  </si>
  <si>
    <t>FA09Z481</t>
  </si>
  <si>
    <t>LC-CS-25-000285</t>
  </si>
  <si>
    <t>BARRIO FONTIBON BOGOTA13</t>
  </si>
  <si>
    <t>FO-25-1487663</t>
  </si>
  <si>
    <t>06/09/2025 EN COMUNICACIÓN CON EL NÚMERO 3144845432 NOS INDICAN NRO EQUIVOCADO | 08/09/2025 CIERRE FALLIDO 
SE REALIZA VISITA AL COMERCIO PARA REALIZAR EL CIERRE CLIENTE NO REALIZA ENTREGA DE LOS EQUIPOS YA QUE SE ENCUENTRA A LA ESPERA DE LA DECISIÓN DEL BANCO NO SE MANIPULAN EQUIPOS</t>
  </si>
  <si>
    <t>TYZZZ709</t>
  </si>
  <si>
    <t>LC-CS-25-000288</t>
  </si>
  <si>
    <t>BARRIO LA PLAYA CUCUTA 9</t>
  </si>
  <si>
    <t>FO-25-1487676</t>
  </si>
  <si>
    <t>COOGUASIMALES</t>
  </si>
  <si>
    <t>06/09/2025 EN COMUNICACIÓN CON LA SRA TUJEI SUAREZ AL NÚMERO 3124857645 NOS CONFIRMA LA SOLICITUD, DATOS CORECTOS. SE ESCALA PARA VISITA | 10/09/2025 SE REALIZÓ LLAMADA TELEFÓNICA AL NÚMERO 3124857645 SE HABLÓ CON LA SRA  TUJEI SUÁREZ Y MANIFIESTA QUE AÚN NO TIENEN LOS EQUIPOS EN LA DIRECCIÓN ASIGNADA, QUE NOS CONFIRMA DÍA 09/09/2025 EN HORAS AM | 10/09/2025 SE REALIZÓ VISITA AL COMERCIO Y CLIENTE MANIFIESTA QUE NO DESEA ENTREGAR LOS EQUIPOS YA QUE SE ENCUENTRA ACTIVOS</t>
  </si>
  <si>
    <t>MORA VEGA JEAMPIER</t>
  </si>
  <si>
    <t>LC-CS-25-000229</t>
  </si>
  <si>
    <t>GUACAMAYAS</t>
  </si>
  <si>
    <t>BARRIO LA ESPERANZA GUACAMAYAS</t>
  </si>
  <si>
    <t>FO-25-1479937</t>
  </si>
  <si>
    <t>04/09/2025 EN COMUNICACIÓN CON LA SRA JULY CAROLINA CHALACA MENESE  AL NÚMERO 3125167539 NOS CONFIRMA LA SOLICITUD, DATOS CORRECTOS. SE ESCALA PARA VISITA | 08/09/2025 EN COMUNICACIÓN CON LA LÍNEA 3125167539 LA SEÑORA ROSA NELLY JURADO CONFIRMA CIERRE DEL CORRESPONSAL, INDICA QUE PORFAVOR SE LE REALICE LLAMADA EL DÍA DE MAÑANA 09/09 PARA PODER CONFIRMAR VISITA NO SE ENCUENTRA EN EL MUNICIPIO, YA QUE TAMBIÉN TIENE PENDIENTE LA INSTALACIÓN DE CORRESPONSAL BANCOLOMBIA RED WOMPI. SE LE REALIZARÁ LLAMADA  MARTES 09/09 PARA CONFIRMAR. | 10/09/2025 EN COMUNICACIÓN CON LA LÍNEA 3125167539 LA SEÑORA ROSA NELLY JURADO INFORMA QUE NO SE ENCUENTRA EN EL MUNICIPIO Y QUE LE ES IMPOSIBLE ATENDERNOS DEBIDO A DILIGENCIAS PERSONALES, INDICA QUE ELLA LLAMARA A LA LÍNEA 018000953344 TAN PRONTO LLEGUE AL MUNICIPIO PARA REALIZAR LA ENTREGA DE LOS EQUIPOS. EN BASE A ESTA INFORMACIÓN SE CIERRA ORDEN CONFIRMANDO A CLIENTE QUE UNA VEZ ESTE EN EL MUNICIPIO DEBE LLAMAR A LA LÍNEA PARA ENTREGA.</t>
  </si>
  <si>
    <t>LC-CS-25-000234</t>
  </si>
  <si>
    <t>BARRIO COMUNEROS CUCUTA 12</t>
  </si>
  <si>
    <t>FO-25-1480043</t>
  </si>
  <si>
    <t>05/09/2025 SE INTENTA COMUNICACIÓN AL NÚMERO 3133531422, SIN SERVICIO | 06/09/2025 COMERCIO YA NO EXISTE EN LA DIRECCIÓN, NO SE LOGRÓ COMUNICACIÓN CON EL CLIENTE PARA SABER UBICACIÓN DE LOS EQUIPOS</t>
  </si>
  <si>
    <t>DURAN ACOSTA FRANK YONNY</t>
  </si>
  <si>
    <t>LC-CS-25-000237</t>
  </si>
  <si>
    <t>CUNDINAMARCA BOGOTA 2</t>
  </si>
  <si>
    <t>FO-25-1486475 | FO-25-1479985</t>
  </si>
  <si>
    <t>05/09/2025 EN COMUNICACIÓN CON LA SRA LUZ MARINA VELASQUEZ VILLAMIL AL NÚMERO 3103429736 NOS CONFIRMA LA SOLICITUD, DATOS CORRECTOS. SE ESCALA PARA VISITA | 05/09/2025 SE LLEGA AL COMERCIO Y SE VÁLIDA QUE SE ENCUENTRA CERRADO
06/09/2025 SE REALIZA VISITA DE CAMPO DONDE SE RETIRA EQUIPO SIN NOVEDAD</t>
  </si>
  <si>
    <t>NA
LN00M197</t>
  </si>
  <si>
    <t>LC-CS-25-000240</t>
  </si>
  <si>
    <t>EL DONCELLO</t>
  </si>
  <si>
    <t>BARRIO EL RECREO EL DONCELLO</t>
  </si>
  <si>
    <t>FO-25-1479889</t>
  </si>
  <si>
    <t>05/09/2025 SE INTENTA COMUNICAIÓN AL NÚMERO 3125064391 SE ENCUENTRA APAGADO. SE INTENTARÁ NUEVAMENTE | 05/09/2025 SE INTENTA COMUNICAIÓN AL NÚMERO 3125064391 SE ENCUENTRA APAGADO. SE INTENTARÁ NUEVAMENTE | 05/09/2025 SE INTENTA COMUNICAIÓN AL NÚMERO 3125064391 SE ENCUENTRA APAGADO | 06/09/2025 SE LLEGA A LA DIRECCIÓN INDICADA Y PERSONA QUE ATIENDE MANIFIESTA QUE AHÍ YA NO HAY CORRESPONSAL.</t>
  </si>
  <si>
    <t>LC-CS-25-000241</t>
  </si>
  <si>
    <t>SOLANO</t>
  </si>
  <si>
    <t>BARRIO CORREGIMIENTO DE CAMPO ALEGRE SOLANO</t>
  </si>
  <si>
    <t>FO-25-1479976</t>
  </si>
  <si>
    <t>05/09/2025 SE INTENTA COMUNICAIÓN AL NÚMERO 3125094432 SE ENCUENTRA APAGADO. SE INTENTARÁ NUEVAMENTE | 05/09/2025 SE INTENTA COMUNICAIÓN AL NÚMERO 3125094432 SE ENCUENTRA APAGADO. SE INTENTARÁ NUEVAMENTE | 05/09/2025 SE INTENTA COMUNICAIÓN AL NÚMERO 3125094432 SE ENCUENTRA APAGADO | 09/09/2025 SE HA REALIZADO VARIAS LLAMADAS AL CB PERO NO HA SABIDO POSIBLE TENER CONTACTO CON EL CLIENTE, YA QUE PARA PODER INGRESAR HASTA DICHA INSPECCIÓN SE DEBE TENER UN PERMISO DE INGRESO POR PARTE DE LOS GRUPOS ARMADOS DE ESA ZONA, SE SEGUIRA INSISTIENDO HASTA TENER RESPUESTA. | 11/09/2025 SE REALIZAN VARIAS LLAMAS AL CLIENTE PERO NO ES POSIBLE TENER CONTACTO CON EL, ACTIVIDAD DE CIERRA YA QUE PARA PODER INGRESAR A ESTE LUGAR SE DEBE TENER UN PERMISO ESPECIAL POR PARTE DE LOS GRUPOS ARMADOS DE ESA ZONA, CIERRE FALLIDO.</t>
  </si>
  <si>
    <t>LC-CS-25-000250</t>
  </si>
  <si>
    <t>LA SIERRA</t>
  </si>
  <si>
    <t>DISTRICOL DROGUERIA SUPERDROGA</t>
  </si>
  <si>
    <t>FO-25-1479989</t>
  </si>
  <si>
    <t>05/09/2025 EN COMUNICACIÓN CON LA SRA ESTHER ROSARIO ANACONA HOYOS AL NÚMERO 3136303212 NOS CONFIRMA LA SOLICITUD, DATOS CORRECTOS. SE ESCALA PARA VISITA, POR FAVOR LLAMAR ANTES DE DESPLAZARSE | 11/09/2025 SE REALIZA LLAMADA Y CONTACTO CON EL CLIENTE, YA QUE POR SER UNA ZONA DE ALTO RIESGO NO SE PUEDE DESPLAZAR SIN CONTACTO PREVIO, EL CLIENTE NOS INDICA QUE SE ENCUENTRA POR FUERA DE LA ZONA Y NO HABRIA NADIE EN EL SITIO QUE NOS ENTREGUE LOS EQUIOPOS, NOS MANIFIESTA QUE POR TEMAS DE SALUD NO TIENE FECHA UN DE REGRESO QUE LA PROXIMA SEMANA NOS ESTARIA CONFIRMANDO, COMO EL CASO SE VENCE , SE LE INDICA AL CLIENTE QUE UNA VEZ RETORNE A LA ZONA Y PODAMOS DESPLAZARNOS POR LOS EQUIPOS SE COMUNIQUE PARA PODER EFECTUARLE EL CIERRE.</t>
  </si>
  <si>
    <t>APARTADO</t>
  </si>
  <si>
    <t>LC-CS-25-000253</t>
  </si>
  <si>
    <t>DISTRICOL BACOTA FRUTAS Y VERD</t>
  </si>
  <si>
    <t>FO-25-1498124 | FO-25-1479894</t>
  </si>
  <si>
    <t>05/09/2025 SE INTENTA COMUNICACIÓN AL NÚMERO 3207232595 SUENA PERO NO HAY CONTACTO. SE INTENTARÁ NUEVAMENTE | 05/09/2025 SE INTENTA COMUNICACIÓN AL NÚMERO 3207232595 SUENA PERO NO HAY CONTACTO. SE INTENTARÁ NUEVAMENTE | 05/09/2025 SE INTENTA COMUNICACIÓN AL NÚMERO 3207232595 SUENA PERO NO HAY CONTACTO | 08/09/2025 SE LLEGA A SITIO SE ENCUENTRA COMERCIO CERRADO, SE LLAMA A CLIENTE Y ESTE INDICA QUE APARTIR DE MAÑANA DEJA ALGUIEN ENCARGADO PARA LA ENTREGA DE LOS EQUIPOS
11/09/2025 SE LLEGA A SITIO, CB SE ENCUENTRA CERRADO, EN MINIMIZADO INFORMAN QUE NO TIENEN NADA QUE VER CON EL CB, SE INTENTA COMUNICACIÓN POR WSAP Y LLAMADA NO SE CUENTA CON RESPUESTA ALGUNA.</t>
  </si>
  <si>
    <t>9BMZZ441</t>
  </si>
  <si>
    <t>CASTRO HENAO DANIEL ESTEBAN</t>
  </si>
  <si>
    <t>LC-CS-25-000254</t>
  </si>
  <si>
    <t>PTM CALI CENTRO DE MANTENIMIE</t>
  </si>
  <si>
    <t>FO-25-1480034</t>
  </si>
  <si>
    <t>05/09/2025 SE INTENTA COMUNICACIÓN AL NÚMERO 3217218550 SUENA PERO NO HAY CONTACTO. SE INTENTARÁ NUEVAMENTE | 05/09/2025 EN  COMUNICACIÓN CON EL SR PAULO RICHARD RAMOS DAZA AL NÚMERO 3217218550 NOS CONFIRMA LA SOLICITUD, DATOS CORRECTOS. SE ESCALA PARA VISITA, POR FAVOR LLMAR ANTES DE DESPLAZARSE-NOMBRE DEL LOCAL SERVITECA OFICINA LAVADERO | 08/09/2025 SE REALIZÓ VISITA TÉCNICA EN DONDE SE ENCONTRABA UNA SEÑORITA DONDE ME INFORMA QUE EL SEÑOR RICHARD RAMOS SE ENCUENTRA DE VIAJE Y QUE POR LO TANTO A EL LE GUSTARÍA ESTAR PRESENTE, POR LO TANTO SE LE INFORMA QUE NO SE PUEDE YA QUE NO SE PUEDE REPRÓCHALAS EL SERVICIO POR LO TANTO TAMBIÉN SE LE INFORMA QUE PUEDE LLAMAR A SOLICITAR EL CIERRE EL DÍA QUE EL SE ENCUENTRE EN LA CIUDAD</t>
  </si>
  <si>
    <t>5A00K499</t>
  </si>
  <si>
    <t>LC-CS-25-000256</t>
  </si>
  <si>
    <t>YALI</t>
  </si>
  <si>
    <t>PTM YALI  DROGUERIA VIDA YALI</t>
  </si>
  <si>
    <t>FO-25-1480013</t>
  </si>
  <si>
    <t>05/09/2025 SE INTENTA COMUNICACIÓN AL NÚMERO 3146364613 SUENA PERO NO HAY CONTACTO. SE INTENTARÁ NUEVAMENTE | 05/09/2025 SE INTENTA COMUNICACIÓN AL NÚMERO 3146364613 SUENA PERO NO HAY CONTACTO. SE INTENTARÁ NUEVAMENTE | 05/09/2025 SE INTENTA COMUNICACIÓN AL NÚMERO 3146364613 SUENA PERO NO HAY CONTACTO | 06/09/2025 SE VISITA COMERCIO ESPERO MÁS DE MEDIA HORA PARA VER SI ABREN PERO NO ABRIERON DESDE EL DÍA 05/09/2025 SE LLAMA A TODOS LOS NÚMEROS REGISTRADOS Y SE LES HABLA POR WHATSAPP PERO NO CONTESTARON, VECINOS DE LA ZONA INDICAN QUE POSIBLEMENTE YA NO EXISTA ESE COMERCIO AHÍ.</t>
  </si>
  <si>
    <t>EF8ZZ124</t>
  </si>
  <si>
    <t>LC-CS-25-000260</t>
  </si>
  <si>
    <t>DISTRICOL COMERCIALIZADORA</t>
  </si>
  <si>
    <t>FO-25-1479899</t>
  </si>
  <si>
    <t>05/09/2025 EN COMUNICACIÓN CON LA SRA MARLEN ROJAS AL NÚMERO 3137341056 NOS CONFIRMA LA SOLICITUD, DATOS CORRECTOS. SE ESCALA PARA VISITA, POR FAVOR LLAMAR ANES DE DESPLAZARSE | 08/09/2025 SE REALIZA LA VISITA EL CB NO SE ENCUENTRA EN EL SITIO, SE HACE GESTIÓN TELEFÓNICA EL USUARIO INDICA QUE ENVÍO LOS EQUIPOS AL PERSONAL DE DISTRICOL DONDE ELLOS LE DIJERON EL CLIENTE NO SUMINISTRA INFORMACIÓN DE DONDE ENVÍO LOS EQUIPOS NI A QUIEN</t>
  </si>
  <si>
    <t>LC-CS-25-000261</t>
  </si>
  <si>
    <t>DISTRICOL TECNOCOMPUTER M&amp;G</t>
  </si>
  <si>
    <t>FO-25-1479967</t>
  </si>
  <si>
    <t>05/09/2025 EN COMUNICACIÓN CON LA SRA GINET ALEXANDRA LOPEZ CONTRERAS AL NÚMERO 3219410121 NOS CONFIRMA LA SOLICITUD, DATOS CORRECTOS. SE ESCALA PARA VISITA, POR FAVOR LLMAR ANTES DE DESPLAZARSE | 05/09/2025 SE VISITA COMERCIO SE ENCUENTRA LOCAL CERRADO VECINA SE COMUNICA CON CLIENTE INDICA QUE NO TIENE DISPONIBILIDAD PARA HACER ENTREGA DE EQUIPOS</t>
  </si>
  <si>
    <t>SDZZZ934</t>
  </si>
  <si>
    <t>LOAIZA LOPEZ JHON FREDDY</t>
  </si>
  <si>
    <t>TA-25-1062497</t>
  </si>
  <si>
    <t>JAMUNDI</t>
  </si>
  <si>
    <t>BARRIO BONANZA TULIPANES JAMUN</t>
  </si>
  <si>
    <t>FO-25-1472817</t>
  </si>
  <si>
    <t>04/09/2025 EN COMUNICACIÓN CON EL SR JORGE ELIECER BALCAZA AL NÚMERO 3148705656 NOS CONFIRMA LA SOLICITUD, EL USUARIO INDICA QUE LA DIRECCIÓN PARA LA RECOLECCIÓN DE LOS EQUIPOS ES EN VALLE DEL CAUCA-CALI CR 47 B # 37 72 | 11/09/2025 EN LA VISITA TÉCNICA SE RECOLECTÓ EN EL SITIO EL LECTOR QUE FALTABA POR RECUPERAR</t>
  </si>
  <si>
    <t>SANCHEZ URREGO ROBINSON DAVID</t>
  </si>
  <si>
    <t>LC-CS-25-000223</t>
  </si>
  <si>
    <t>CORDOBA</t>
  </si>
  <si>
    <t>PTM MONTERIA INVERSIONES DO CA</t>
  </si>
  <si>
    <t>FO-25-1457699</t>
  </si>
  <si>
    <t>02/09/2025 SE INTENTA COMUNICACIÓN AL LOS NÚMEROS 3502154340-3003868073 SUENA PERO NO HAY CONTACTO. SE INTENTARÁ NUEVAMENTE | 02/09/2025 EN COMUNICACIÓN CON ROSI BABILONIA AL NÚMERO 3502154340 NOS CONFIRMA LA SOLICITUD, DATOS CORRECTOS. SE ESCALA PARA VISITA | 02/09/2025 SE LLEGA A CB ESTÁ CERRADO, SE MARCA A CLIENTE INFORMA QUE NO SE ENCUENTRA EN LA CIUDAD PARA ENTREGAR LOS EQUIPOS</t>
  </si>
  <si>
    <t>LA2ZZ424</t>
  </si>
  <si>
    <t>COGOLLO ROSSO CAMILO ANDRES</t>
  </si>
  <si>
    <t>LC-CS-25-000214</t>
  </si>
  <si>
    <t>FO-25-1450718</t>
  </si>
  <si>
    <t>30/08/2025 EN COMUNICACIÓN CON EL SR OSCAR VARGAS AL NÚMERO 3107984174 NOS CONFIRMA LA SOLICITUD, DATOS CORRECTOS. SE ESCALA PARA VISITA | 01/09/2025 SE REALIZA VISITA A COMERCIO CB, EL USUARIO MANIFIESTA NO TENER LOS EQUIPOS EN EL COMERCIO SE LE INFORMA UNA VEZ TENGA LOS EQUIPOS EN LA DIRECCIÓN DEBE COMUNICARSE ALA LÍNEA 018000953344 PARA REALIZAR EL RETIRO</t>
  </si>
  <si>
    <t>LC-CS-25-000207</t>
  </si>
  <si>
    <t>SOACHA</t>
  </si>
  <si>
    <t>MULTIPAGAS UNISUR</t>
  </si>
  <si>
    <t>FO-25-1450733</t>
  </si>
  <si>
    <t>30/08/2025 SE INTENTA COMUNICACIÓN AL NÚMERO 3104847201 SUENA PERO NO HAY CONTACTO. SE INTENTARÁ NUEVAMENTE | 30/08/2025 SE INTENTA COMUNICACIÓN AL NÚMERO 3104847201 SUENA PERO NO HAY CONTACTO. SE INTENTARÁ NUEVAMENTE | 30/08/2025 SE INTENTA COMUNICACIÓN AL NÚMERO 3104847201 NO DISPONIBLE | 01/09/2025 SE REALIZA RETIRO DE DATANO ICT 250 DE PLACA 706249 SIN NOVEDAD SE PREGUNTA A CORRESPONSAL SI VA ENTREGAR EQUIPOS ADICIONALES EL CUAL INDICA QUE NO SALDO NO SE INGRESA A COMERCIO</t>
  </si>
  <si>
    <t>ABCOZ165</t>
  </si>
  <si>
    <t>LC-CS-25-000208</t>
  </si>
  <si>
    <t>FO-25-1450738</t>
  </si>
  <si>
    <t>30/08/2025 EN COMUNICACIÓN CON LA SRA NATALIA BUITRAGO AL NÚMERO 3225922930 NOS CONFIRMA LA SOLICITUD, DATPS CORRECTOS. SE ESCALA PARA VISITA | 05/09/2025 VISITA FALLIDA EL CB ROBUSTO ESTA OPERANDO SIN PROBLEMAS NO VAN A CERRAR NI A RETIRAR NINGÚN EQUIPO DE RBM VAN AVERIGUAR POR QUÉ  ESTÁ SOLICITUD NO PERMITEN RETIRAR</t>
  </si>
  <si>
    <t>PAREJA ECHAVARRIA JHON DAVID</t>
  </si>
  <si>
    <t>LC-CS-25-000178</t>
  </si>
  <si>
    <t>FO-25-1442616</t>
  </si>
  <si>
    <t>29/08/2025 SE INTENTA COMUNICACIÓN AL NÚMERO 3127212972 SUENA PERO NO HAY CONTACTO. SE INETNATRÁ NUEVAMENTE | 29/08/2025 EN COMUNICACIÓN CON LA SRA MARTHA UDIELY RAMIREZ BUSTAMANTE AL NÚMERO 3127212972 NOS CONFIRMA LA SOLICITUD,DATOS CORRECTOS. SE ESCALA PARA VISITA, POR FAVOR LLAMAR ANTES DE DESPLAZARSE | 02/09/2025 SE LLEGÓ A LA DIRECCIÓN Y EL LOCAL SE ENCUENTRA CERRADO, SE INTENTÓ COMUNICACIÓN TELEFÓNICA CON EL CLIENTE Y NO FUÉ POSIBLE.</t>
  </si>
  <si>
    <t>00000000</t>
  </si>
  <si>
    <t>CALDERA SALCEDO CARLOS JULIO</t>
  </si>
  <si>
    <t>LC-CS-25-000183</t>
  </si>
  <si>
    <t>GAMA</t>
  </si>
  <si>
    <t>BARRIO CENTRO GAMA GAMA</t>
  </si>
  <si>
    <t>FO-25-1442508</t>
  </si>
  <si>
    <t>29/08/2025 SE INTENTA COMUNICACIÓN AL NÚMERO 3125118169 SE ENCUENTRA APAGADO. SE INTENTARÁ NUEVAMENTE | 29/08/2025 SE INTENTA COMUNICACIÓN AL NÚMERO 3125118169 SE ENCUENTRA APAGADO. SE INTENTARÁ NUEVAMENTE | 29/08/2025 SE INTENTA COMUNICACIÓN AL NÚMERO 3125118169 SE ENCUENTRA APAGADO | 02/09/2025 SE LLEGA A DIRECCIÓN PARA RETIRO DE EQUIPOS LA SEÑORA LUCY NO HA SIDO NOTIFICADA LLAMA A LÍNEAS DE CB PARA VALIDAR NO HAY RESPUESTA AÚN POR LO TANTO NO SE ENTREGARÁN LOS EQUIPOS HASTA TENER RESPUESTA DEL BANCO YA SEA PARA ENTREGARLOS O VOLVER A ACTIVAR EL PUNTO</t>
  </si>
  <si>
    <t>LC-CS-25-000185</t>
  </si>
  <si>
    <t>BARRIO BARANDILLAS ZIPAQUIRA 7</t>
  </si>
  <si>
    <t>FO-25-1442571</t>
  </si>
  <si>
    <t>29/08/2025 SE INTENTA COMUNICACIÓN AL NÚMERO 3103376707 SUENA PERO NO HAY CONTACTO. SE INTENTARÁ NUEVAMENTE | 29/08/2025 SE INTENTA COMUNICACIÓN AL NÚMERO 3103376707 SUENA PERO NO HAY CONTACTO. SE INTENTARÁ NUEVAMENTE | 29/08/2025 SE INTENTA COMUNICACIÓN AL NÚMERO 3103376707 SUENA PERO NO HAY CONTACTO | 01/09/2025 SE REALIZA VISITA DE CAMPO ENCONTRADO QUE COMERCIO NO EXISTE EN LA DIRECCIÓN INDICADA  EN RUTA, SE INTENTA COMUNICACIÓN A LA LINEA 3103376707 NO HAY RESPUESTA, SE INFORMA A SUPERVISOR DE NOVEDAD QUIEN AUTORIZA CIERRE DE VISITA.</t>
  </si>
  <si>
    <t>LC-CS-25-000195</t>
  </si>
  <si>
    <t>BARRIO CENTRO IBAGUE  46</t>
  </si>
  <si>
    <t>FO-25-1442523</t>
  </si>
  <si>
    <t>29/08/2025 EN COMUNICACIÓN CON EL SR LUIS CARLOS ORTEGA VIA WHATSAPP AL NÚMERO 3177701606 NOS INDICA QUE TIENE UN TRAMITE PENDIENTE CON EL BANCO DEBIDO A UN MAL ENTENDIDO, NOS INDICA WUE LA DIRECCIÓN PARA LA RECOLECCIÓN DE LOS EQUIPOS ES CL 90 # 4 D SUR- 15 CONJUNTO AVENTURA CLUB HOUSE, INDICA QUE LA RECOLECCIÓNSEA EL DIA LUNES O MARTES, YA QUE NO SE ENCUENTRA | 02/09/2025 SE LLEGA AL SITIO PARA REALIZAR ACTIVIDAD DE CIERRE, PERO EL COMERCIO SE ENCUENTRA CERRADO POR REMODELACIÓN; SE COMUNICA AL NÚMERO 31777001606 SIN NINGÚN RESULTADO.</t>
  </si>
  <si>
    <t>BARRAGAN TAFUR EDWIN ESTEBAN</t>
  </si>
  <si>
    <t>LC-CS-25-000196</t>
  </si>
  <si>
    <t>RIOBLANCO</t>
  </si>
  <si>
    <t>BARRIO RIOBLANCO TOLIMA</t>
  </si>
  <si>
    <t>FO-25-1442555</t>
  </si>
  <si>
    <t>29/08/2025 EN COMUNICACIÓN CON LA SRA LISBETH RAMIREZ OCAMPO AL NÚMERO 3134516096 NOS CONFIRMA LA SOLICITUD, INDICA QUE LA DIRECCIÓN PARA LA RECOLECCIÓN DE LOS EQUIPOS ES  CR 6 NÚMERO 3 22 CORREGIMIENTO HERRERA. SE ESCALA PARA VISITA, POR FAVOR LLAMAR ANTES DE DESPLAZARSE | 02/09/2025 SE HABLA CON LA SEÑORA LISBETH RAMÍREZ, AL NÚMERO 3134516096, ME INDICA QUE NO VIVE EN HERRERA Y QUE CAMBIO DE CIUDAD.</t>
  </si>
  <si>
    <t>LC-CS-25-000199</t>
  </si>
  <si>
    <t>GUAVIARE</t>
  </si>
  <si>
    <t>SAN JOSE DEL GUAVIARE</t>
  </si>
  <si>
    <t>BARR EL PROGRESO SAN JOSE DEL GUAVIARE</t>
  </si>
  <si>
    <t>FO-25-1442604</t>
  </si>
  <si>
    <t>29/08/2025 EN COMUNICACIÓN  CON EL SR JHON FREDY GRAJALES MARIN AL NÚMERO 3219614033 NOS CONFIRMA LA SOLICITUD, DATOS CORRECTOS. SE ESCALA PARA VISITA | 03/09/2025 SE REALIZA VISITA A COMERCIO CB NO EXISTE NO ES POSIBLE COMUNICARSE CON EL SEÑOR JHON FREDY AL NÚMERO 3219614033</t>
  </si>
  <si>
    <t>CASTRILLON URREA LONDIER LEANDRO</t>
  </si>
  <si>
    <t>LC-CS-25-000203</t>
  </si>
  <si>
    <t>BARRIO BILBAO SUBA BOGOTA</t>
  </si>
  <si>
    <t>FO-25-1442725</t>
  </si>
  <si>
    <t>29/08/2025 EN COMUNICACIÓN CON LA SRA MELISA PAOLA MUÑOZ ECHEVERRY AL NÚMERO 3137755966 NOS CONFRIMA LA SOLICITUD, DATOS CORRECTOS. SE ESCALA PARA VISITA, POR FAVOR LLAMAR ANTES DE DESPLAZARSE | 01/09/2025 SE REALIZA CONTACTO PARA VALIDACIÓN DE ENTREGA EQUIPOS, SE HABLA CON LA SRA. MELISSA QUIEN INDICA QUE ENTRE SEMANA ESTÁ DESPUÉS DE LAS 5:30PM, INDICA QUE LOS DÍAS SÁBADOS ESTA EN LA DIRECCIÓN DE ENTREGA EN HORAS DE LA MAÑANA.SE LE INFORMA QUE CUANDO TENGA LA DISPONIBLIDAD SE COMUNIQUE CON LA ENTIDAD PARA GESTIONAR EL RETIRO</t>
  </si>
  <si>
    <t>LC-CS-25-000205</t>
  </si>
  <si>
    <t>FUNZA</t>
  </si>
  <si>
    <t>BARRIO FUNZA FUNZA 3</t>
  </si>
  <si>
    <t>FO-25-1442548</t>
  </si>
  <si>
    <t>29/08/2025 EN COMUNICACIÓN CON LA SRA MARTA LUCIA PARRA AL NÚMERO 3002113867 NOS CONFRIMA LA SOLICITUD, DATOS CORRECTOS. SE ESCALA PARA VISITA, POR FAVOR LLAMAR ANTES DE DESPLAZARSE | 02/09/2025 RECUPERACIÓN DE EQUIPOS OK SE RETIRA DATAFONO Y LECTORA EN LA DIRECCIÓN YA EXISTE UN CB OPERATIVO</t>
  </si>
  <si>
    <t>AD00A067</t>
  </si>
  <si>
    <t>LC-CS-25-000174</t>
  </si>
  <si>
    <t>BARRIO EL ESPINAL CARTAGENA DE</t>
  </si>
  <si>
    <t>FO-25-1437790</t>
  </si>
  <si>
    <t>28/08/2025 EN COMUNICACIÓN CON EL SR LUIS EDGARDO CHACON PINILLA AL NÚMERO 3005559080 NO CONFIRMA NINGUN DATO, INDICA QUE EL BANCO NO LE HA DADO NINGUNA INFORMACIÓN | 02/09/2025 SE VISITA DIRECCIÓN EL LOCAL SE ENCUENTRA CERRADO Y EN COMUNICACION CON CLIENTE INDICA QUE NO AUTORIZA EL RETIRO DE LOS EQUIPOS, INDICA QUE DEBE SER BANCOLOMBIA QUE SE COMUNIQUE CON EL</t>
  </si>
  <si>
    <t>MARTINEZ SALGUEDO ANDRES AUGUSTO</t>
  </si>
  <si>
    <t>LC-CS-25-000153</t>
  </si>
  <si>
    <t>ARAUCA</t>
  </si>
  <si>
    <t>SARAVENA</t>
  </si>
  <si>
    <t>DISTRICOL COMBO BURGER</t>
  </si>
  <si>
    <t>FO-25-1424020</t>
  </si>
  <si>
    <t>26/08/2025 EN COMUNICACIÓN CON EL SR ALVARO LEONARDO SANDOVAL JAIMES AL NÚMERO 3186310547 NOS INDICA QUE LOS EQUIPOS YA FUERON ENVIADOS A MEDELLIN | 01/09/2025 SE REALIZA LLAMADA TELEFÓNICA PARA REALIZAR CIERRE DE CB ,SE HABLÓ CON EL SEÑOR ÁLVARO SANDOVAL AL NÚMERO 3186310547 QUIEN NOS INDICA QUE FUE ENVIADO A LA CIUDAD DE MEDELLÍN A LA ASESORA DE DISTRICOL</t>
  </si>
  <si>
    <t>PEÑA DIAZ IVAN YESID</t>
  </si>
  <si>
    <t>LC-CS-25-000169</t>
  </si>
  <si>
    <t>PUERTO GAITAN</t>
  </si>
  <si>
    <t>BARRIO PUERTO GAITAN BATEAS</t>
  </si>
  <si>
    <t>FO-25-1430308</t>
  </si>
  <si>
    <t>27/08/2025 EN COMUNICACIÓN CON LA SRA TATIANA MESA AL NÚMERO 3224206522 NOS CONFIRMA LA SOLICITUD, NOS INDICA QUE LA DIRECCIÓN PARA LA RECOLECCIÓN DE LOS EQUIPOS ES PUERTO GAITAN MZ 38 CA 13 BARRIO BATEAS. SE ESCALA PRA VISITA, POR FAVOR LLAMAR ANTES DE DESPLAZARSE, SI NO LE CONTESTAN ESCRIBIR AL NÚMERO 318303497 | 01/09/2025 SE REALIZA VISITA Y COMERCIO NO CONOCEN AL CLIENTE EN LA DIRECCIÓN, SE REALIZA CONTACTO CON EL CLIENTE EL CUAL NOS INDICA QUE YA NOS REALIZA LA ENTREGA DE LOS EQUIPOS PERO SE ESPERA POR MÁS DE 30 MINUTOS Y NO SALE CLIENTE</t>
  </si>
  <si>
    <t>LC-CS-25-000130</t>
  </si>
  <si>
    <t>BARBOSA</t>
  </si>
  <si>
    <t>BARRIO HATILLO BARBOSA 1</t>
  </si>
  <si>
    <t>FO-25-1446260 | FO-25-1424150</t>
  </si>
  <si>
    <t>26/08/2025 EN COMUNICACIÓN CON EL SR ELKIN ANDRÉS BEDOYA SANCHEZ AL NÚMERO 3208982165 NOS CONFIRMA LA SOLICITUD, DATOS CORRECTOS. SE ESCALA PARA  VISITA | 29/08/2025 SE VISTA PUNTO Y EN COMERCIO OPERA OTRO COMERCIO CON OTRO CB EN COMUNICACIÓN CON EL CLIENTE INDICA QUE ENTREGA EN COPACABANA
01/09/2025 SE REALIZA CONTACTO TELEFÓNICO CON EL USUARIO PARA VALIDAR EL CIERRE DEL CORRESPONSAL. DURANTE LA LLAMADA, EL USUARIO INFORMA QUE NO SE ENCUENTRA EN LA DIRECCIÓN INICIALMENTE REGISTRADA, POR LO CUAL COORDINA LA ENTREGA DE LOS EQUIPOS EN UNA UBICACIÓN ALTERNATIVA.  
EN EL NUEVO PUNTO DE ENCUENTRO, SE PROCEDE AL RETIRO DEL DATÁFONO Y LECTOR AMBOS EN BUEN ESTADO FÍSICO Y FUNCIONAL.  
CIERRE CONFIRMADO Y EQUIPOS RECUPERADOS SIN NOVEDADES.</t>
  </si>
  <si>
    <t>NA
MA00L642</t>
  </si>
  <si>
    <t>COD. CIUDAD</t>
  </si>
  <si>
    <t>DESDE DONDE SE ATIENDE</t>
  </si>
  <si>
    <t>TIPO DE TRAYECTO NUEVO</t>
  </si>
  <si>
    <t>TIPOLOGIA NUEVA</t>
  </si>
  <si>
    <t>LA VICTORIA</t>
  </si>
  <si>
    <t>AMAZONAS</t>
  </si>
  <si>
    <t>AEREO</t>
  </si>
  <si>
    <t>TIPO IV ESPECIAL</t>
  </si>
  <si>
    <t>PUERTO SANTANDER</t>
  </si>
  <si>
    <t>EL ENCANTO</t>
  </si>
  <si>
    <t>LA CHORRERA</t>
  </si>
  <si>
    <t>LA PEDRERA</t>
  </si>
  <si>
    <t>LETICIA</t>
  </si>
  <si>
    <t>MIRITI - PARANA</t>
  </si>
  <si>
    <t>PUERTO ALEGRIA</t>
  </si>
  <si>
    <t>PUERTO ARICA</t>
  </si>
  <si>
    <t>PUERTO NARIÑO</t>
  </si>
  <si>
    <t>TARAPACA</t>
  </si>
  <si>
    <t>ARGELIA</t>
  </si>
  <si>
    <t>TERRESTRE</t>
  </si>
  <si>
    <t>TIPO IV</t>
  </si>
  <si>
    <t>ARMENIA</t>
  </si>
  <si>
    <t>TIPO II</t>
  </si>
  <si>
    <t>BETULIA</t>
  </si>
  <si>
    <t>TIPO III</t>
  </si>
  <si>
    <t>BRICEÑO</t>
  </si>
  <si>
    <t>TIPO I</t>
  </si>
  <si>
    <t>CONCEPCION</t>
  </si>
  <si>
    <t>CONCORDIA</t>
  </si>
  <si>
    <t>GRANADA</t>
  </si>
  <si>
    <t>GUADALUPE</t>
  </si>
  <si>
    <t>JERICO</t>
  </si>
  <si>
    <t>LA UNION</t>
  </si>
  <si>
    <t>RIONEGRO</t>
  </si>
  <si>
    <t>SABANALARGA</t>
  </si>
  <si>
    <t>SAN CARLOS</t>
  </si>
  <si>
    <t>SAN FRANCISCO</t>
  </si>
  <si>
    <t>SAN LUIS</t>
  </si>
  <si>
    <t>SAN PEDRO DE LOS MILAGROS</t>
  </si>
  <si>
    <t>SANTA BARBARA</t>
  </si>
  <si>
    <t>TOLEDO</t>
  </si>
  <si>
    <t>VALPARAISO</t>
  </si>
  <si>
    <t>VENECIA</t>
  </si>
  <si>
    <t>ABEJORRAL</t>
  </si>
  <si>
    <t>ABRIAQUI</t>
  </si>
  <si>
    <t>ALEJANDRIA</t>
  </si>
  <si>
    <t>AMAGA</t>
  </si>
  <si>
    <t>AMALFI</t>
  </si>
  <si>
    <t>ANDES</t>
  </si>
  <si>
    <t>ANGELOPOLIS</t>
  </si>
  <si>
    <t>ANGOSTURA</t>
  </si>
  <si>
    <t>ANORI</t>
  </si>
  <si>
    <t>ANZA</t>
  </si>
  <si>
    <t>ARBOLETES</t>
  </si>
  <si>
    <t>BELLO</t>
  </si>
  <si>
    <t>BELMIRA</t>
  </si>
  <si>
    <t>BETANIA</t>
  </si>
  <si>
    <t>BURITICA</t>
  </si>
  <si>
    <t>CACERES</t>
  </si>
  <si>
    <t>CAICEDO</t>
  </si>
  <si>
    <t>CAMPAMENTO</t>
  </si>
  <si>
    <t>CAÑASGORDAS</t>
  </si>
  <si>
    <t>CARACOLI</t>
  </si>
  <si>
    <t>CARAMANTA</t>
  </si>
  <si>
    <t>CAREPA</t>
  </si>
  <si>
    <t>CAROLINA</t>
  </si>
  <si>
    <t>CAUCASIA</t>
  </si>
  <si>
    <t>CHIGORODO</t>
  </si>
  <si>
    <t>CISNEROS</t>
  </si>
  <si>
    <t>CIUDAD BOLIVAR</t>
  </si>
  <si>
    <t>COCORNA</t>
  </si>
  <si>
    <t>COPACABANA</t>
  </si>
  <si>
    <t>DABEIBA</t>
  </si>
  <si>
    <t>DON MATIAS</t>
  </si>
  <si>
    <t>EBEJICO</t>
  </si>
  <si>
    <t>EL CARMEN DE VIBORAL</t>
  </si>
  <si>
    <t>EL SANTUARIO</t>
  </si>
  <si>
    <t>ENTRERRIOS</t>
  </si>
  <si>
    <t>ENVIGADO</t>
  </si>
  <si>
    <t>FREDONIA</t>
  </si>
  <si>
    <t>FRONTINO</t>
  </si>
  <si>
    <t>GIRALDO</t>
  </si>
  <si>
    <t>GIRARDOTA</t>
  </si>
  <si>
    <t>GOMEZ PLATA</t>
  </si>
  <si>
    <t>GUARNE</t>
  </si>
  <si>
    <t>GUATAPE</t>
  </si>
  <si>
    <t>HELICONIA</t>
  </si>
  <si>
    <t>ITAGUI</t>
  </si>
  <si>
    <t>ITUANGO</t>
  </si>
  <si>
    <t>JARDIN</t>
  </si>
  <si>
    <t>LA CEJA</t>
  </si>
  <si>
    <t>LA PINTADA</t>
  </si>
  <si>
    <t>LIBORINA</t>
  </si>
  <si>
    <t>MACEO</t>
  </si>
  <si>
    <t>MARINILLA</t>
  </si>
  <si>
    <t>MONTEBELLO</t>
  </si>
  <si>
    <t>MURINDO</t>
  </si>
  <si>
    <t>FLUVIAL</t>
  </si>
  <si>
    <t>MUTATA</t>
  </si>
  <si>
    <t>NECHI</t>
  </si>
  <si>
    <t>NECOCLI</t>
  </si>
  <si>
    <t>OLAYA</t>
  </si>
  <si>
    <t>PEÑOL</t>
  </si>
  <si>
    <t>PEQUE</t>
  </si>
  <si>
    <t>PUEBLORRICO</t>
  </si>
  <si>
    <t>PUERTO BERRIO</t>
  </si>
  <si>
    <t>PUERTO NARE</t>
  </si>
  <si>
    <t>REMEDIOS</t>
  </si>
  <si>
    <t>RETIRO</t>
  </si>
  <si>
    <t>SABANETA</t>
  </si>
  <si>
    <t>SALGAR</t>
  </si>
  <si>
    <t>SAN ANDRES DE CUERQUIA</t>
  </si>
  <si>
    <t>SAN JERONIMO</t>
  </si>
  <si>
    <t>SAN JOSE DE LA MONTAÑA</t>
  </si>
  <si>
    <t>SAN JUAN DE URABA</t>
  </si>
  <si>
    <t>SAN PEDRO DE URABA</t>
  </si>
  <si>
    <t>SAN RAFAEL</t>
  </si>
  <si>
    <t>SAN ROQUE</t>
  </si>
  <si>
    <t>SAN VICENTE</t>
  </si>
  <si>
    <t>SANTA FE DE ANTIOQUIA</t>
  </si>
  <si>
    <t>SANTA ROSA DE OSOS</t>
  </si>
  <si>
    <t>SANTO DOMINGO</t>
  </si>
  <si>
    <t>SEGOVIA</t>
  </si>
  <si>
    <t>SONSON</t>
  </si>
  <si>
    <t>SOPETRAN</t>
  </si>
  <si>
    <t>TAMESIS</t>
  </si>
  <si>
    <t>TARAZA</t>
  </si>
  <si>
    <t>TARSO</t>
  </si>
  <si>
    <t>TITIRIBI</t>
  </si>
  <si>
    <t>TURBO</t>
  </si>
  <si>
    <t>URAMITA</t>
  </si>
  <si>
    <t>URRAO</t>
  </si>
  <si>
    <t>VALDIVIA</t>
  </si>
  <si>
    <t>VEGACHI</t>
  </si>
  <si>
    <t>VIGIA DEL FUERTE</t>
  </si>
  <si>
    <t>YARUMAL</t>
  </si>
  <si>
    <t>YOLOMBO</t>
  </si>
  <si>
    <t>YONDO</t>
  </si>
  <si>
    <t>ZARAGOZA</t>
  </si>
  <si>
    <t>ARAUQUITA</t>
  </si>
  <si>
    <t>CRAVO NORTE</t>
  </si>
  <si>
    <t>FORTUL</t>
  </si>
  <si>
    <t>PUERTO RONDON</t>
  </si>
  <si>
    <t>TAME</t>
  </si>
  <si>
    <t>CANDELARIA</t>
  </si>
  <si>
    <t>PUERTO COLOMBIA</t>
  </si>
  <si>
    <t>BARANOA</t>
  </si>
  <si>
    <t>CAMPO DE LA CRUZ</t>
  </si>
  <si>
    <t>GALAPA</t>
  </si>
  <si>
    <t>JUAN DE ACOSTA</t>
  </si>
  <si>
    <t>LURUACO</t>
  </si>
  <si>
    <t>MALAMBO</t>
  </si>
  <si>
    <t>MANATI</t>
  </si>
  <si>
    <t>PALMAR DE VARELA</t>
  </si>
  <si>
    <t>PIOJO</t>
  </si>
  <si>
    <t>POLONUEVO</t>
  </si>
  <si>
    <t>PONEDERA</t>
  </si>
  <si>
    <t>REPELON</t>
  </si>
  <si>
    <t>SABANAGRANDE</t>
  </si>
  <si>
    <t>SANTA LUCIA</t>
  </si>
  <si>
    <t>SANTO TOMAS</t>
  </si>
  <si>
    <t>SOLEDAD</t>
  </si>
  <si>
    <t>SUAN</t>
  </si>
  <si>
    <t>TUBARA</t>
  </si>
  <si>
    <t>USIACURI</t>
  </si>
  <si>
    <t>CALAMAR</t>
  </si>
  <si>
    <t>EL PEÑON</t>
  </si>
  <si>
    <t>MORALES</t>
  </si>
  <si>
    <t>SAN PABLO</t>
  </si>
  <si>
    <t>TERRESTRE/FLUVIAL</t>
  </si>
  <si>
    <t>SANTA ROSA</t>
  </si>
  <si>
    <t>ACHI</t>
  </si>
  <si>
    <t>ALTOS DEL ROSARIO</t>
  </si>
  <si>
    <t>ARENAL</t>
  </si>
  <si>
    <t>ARJONA</t>
  </si>
  <si>
    <t>ARROYOHONDO</t>
  </si>
  <si>
    <t>BARRANCO DE LOBA</t>
  </si>
  <si>
    <t>CANTAGALLO</t>
  </si>
  <si>
    <t>CICUCO</t>
  </si>
  <si>
    <t>CLEMENCIA</t>
  </si>
  <si>
    <t>EL CARMEN DE BOLIVAR</t>
  </si>
  <si>
    <t>EL GUAMO</t>
  </si>
  <si>
    <t>HATILLO DE LOBA</t>
  </si>
  <si>
    <t>MAGANGUE</t>
  </si>
  <si>
    <t>MAHATES</t>
  </si>
  <si>
    <t>MARGARITA</t>
  </si>
  <si>
    <t>MARIA LA BAJA</t>
  </si>
  <si>
    <t>MOMPOS</t>
  </si>
  <si>
    <t>MONTECRISTO</t>
  </si>
  <si>
    <t>NOROSI</t>
  </si>
  <si>
    <t>PINILLOS</t>
  </si>
  <si>
    <t>REGIDOR</t>
  </si>
  <si>
    <t>RIO VIEJO</t>
  </si>
  <si>
    <t>SAN CRISTOBAL</t>
  </si>
  <si>
    <t>SAN ESTANISLAO</t>
  </si>
  <si>
    <t>SAN FERNANDO</t>
  </si>
  <si>
    <t>SAN JACINTO</t>
  </si>
  <si>
    <t>SAN JACINTO DEL CAUCA</t>
  </si>
  <si>
    <t>SAN JUAN NEPOMUCENO</t>
  </si>
  <si>
    <t>SAN MARTIN DE LOBA</t>
  </si>
  <si>
    <t>SANTA CATALINA</t>
  </si>
  <si>
    <t>SANTA ROSA DEL SUR</t>
  </si>
  <si>
    <t>SIMITI</t>
  </si>
  <si>
    <t>SOPLAVIENTO</t>
  </si>
  <si>
    <t>TALAIGUA NUEVO</t>
  </si>
  <si>
    <t>TIQUISIO</t>
  </si>
  <si>
    <t>TURBACO</t>
  </si>
  <si>
    <t>TURBANA</t>
  </si>
  <si>
    <t>ZAMBRANO</t>
  </si>
  <si>
    <t>BELEN</t>
  </si>
  <si>
    <t>BUENAVISTA</t>
  </si>
  <si>
    <t>CIENAGA</t>
  </si>
  <si>
    <t>PAEZ</t>
  </si>
  <si>
    <t>SANTA MARIA</t>
  </si>
  <si>
    <t>ALMEIDA</t>
  </si>
  <si>
    <t>AQUITANIA</t>
  </si>
  <si>
    <t>ARCABUCO</t>
  </si>
  <si>
    <t>BERBEO</t>
  </si>
  <si>
    <t>BETEITIVA</t>
  </si>
  <si>
    <t>BOAVITA</t>
  </si>
  <si>
    <t>BUSBANZA</t>
  </si>
  <si>
    <t>CAMPOHERMOSO</t>
  </si>
  <si>
    <t>CERINZA</t>
  </si>
  <si>
    <t>CHINAVITA</t>
  </si>
  <si>
    <t>CHIQUINQUIRA</t>
  </si>
  <si>
    <t>CHIQUIZA</t>
  </si>
  <si>
    <t>CHISCAS</t>
  </si>
  <si>
    <t>CHITA</t>
  </si>
  <si>
    <t>CHITARAQUE</t>
  </si>
  <si>
    <t>CHIVATA</t>
  </si>
  <si>
    <t>CHIVOR</t>
  </si>
  <si>
    <t>COMBITA</t>
  </si>
  <si>
    <t>COPER</t>
  </si>
  <si>
    <t>CORRALES</t>
  </si>
  <si>
    <t>COVARACHIA</t>
  </si>
  <si>
    <t>CUBARA</t>
  </si>
  <si>
    <t>CUCAITA</t>
  </si>
  <si>
    <t>CUITIVA</t>
  </si>
  <si>
    <t>DUITAMA</t>
  </si>
  <si>
    <t>EL COCUY</t>
  </si>
  <si>
    <t>EL ESPINO</t>
  </si>
  <si>
    <t>FIRAVITOBA</t>
  </si>
  <si>
    <t>FLORESTA</t>
  </si>
  <si>
    <t>GACHANTIVA</t>
  </si>
  <si>
    <t>GAMEZA</t>
  </si>
  <si>
    <t>GARAGOA</t>
  </si>
  <si>
    <t>GUATEQUE</t>
  </si>
  <si>
    <t>GUAYATA</t>
  </si>
  <si>
    <t>GUICAN</t>
  </si>
  <si>
    <t>IZA</t>
  </si>
  <si>
    <t>JENESANO</t>
  </si>
  <si>
    <t>LA CAPILLA</t>
  </si>
  <si>
    <t>LA UVITA</t>
  </si>
  <si>
    <t>LABRANZAGRANDE</t>
  </si>
  <si>
    <t>MACANAL</t>
  </si>
  <si>
    <t>MARIPI</t>
  </si>
  <si>
    <t>MONGUA</t>
  </si>
  <si>
    <t>MONGUI</t>
  </si>
  <si>
    <t>MONIQUIRA</t>
  </si>
  <si>
    <t>MOTAVITA</t>
  </si>
  <si>
    <t>MUZO</t>
  </si>
  <si>
    <t>NOBSA</t>
  </si>
  <si>
    <t>NUEVO COLON</t>
  </si>
  <si>
    <t>OICATA</t>
  </si>
  <si>
    <t>OTANCHE</t>
  </si>
  <si>
    <t>PACHAVITA</t>
  </si>
  <si>
    <t>PAIPA</t>
  </si>
  <si>
    <t>PAJARITO</t>
  </si>
  <si>
    <t>PANQUEBA</t>
  </si>
  <si>
    <t>PAUNA</t>
  </si>
  <si>
    <t>PAYA</t>
  </si>
  <si>
    <t>PAZ DE RIO</t>
  </si>
  <si>
    <t>PESCA</t>
  </si>
  <si>
    <t>PISBA</t>
  </si>
  <si>
    <t>QUIPAMA</t>
  </si>
  <si>
    <t>RAMIRIQUI</t>
  </si>
  <si>
    <t>RAQUIRA</t>
  </si>
  <si>
    <t>RONDON</t>
  </si>
  <si>
    <t>SABOYA</t>
  </si>
  <si>
    <t>SACHICA</t>
  </si>
  <si>
    <t>SAMACA</t>
  </si>
  <si>
    <t>SAN EDUARDO</t>
  </si>
  <si>
    <t>SAN JOSE DE PARE</t>
  </si>
  <si>
    <t>SAN LUIS DE GACENO</t>
  </si>
  <si>
    <t>SAN MATEO</t>
  </si>
  <si>
    <t>SAN MIGUEL DE SEMA</t>
  </si>
  <si>
    <t>SAN PABLO DE BORBUR</t>
  </si>
  <si>
    <t>SANTA ROSA DE VITERBO</t>
  </si>
  <si>
    <t>SANTA SOFIA</t>
  </si>
  <si>
    <t>SANTANA</t>
  </si>
  <si>
    <t>SATIVANORTE</t>
  </si>
  <si>
    <t>SATIVASUR</t>
  </si>
  <si>
    <t>SIACHOQUE</t>
  </si>
  <si>
    <t>SOATA</t>
  </si>
  <si>
    <t>SOCHA</t>
  </si>
  <si>
    <t>SOCOTA</t>
  </si>
  <si>
    <t>SOGAMOSO</t>
  </si>
  <si>
    <t>SOMONDOCO</t>
  </si>
  <si>
    <t>SORA</t>
  </si>
  <si>
    <t>SORACA</t>
  </si>
  <si>
    <t>SOTAQUIRA</t>
  </si>
  <si>
    <t>SUSACON</t>
  </si>
  <si>
    <t>SUTAMARCHAN</t>
  </si>
  <si>
    <t>SUTATENZA</t>
  </si>
  <si>
    <t>TASCO</t>
  </si>
  <si>
    <t>TENZA</t>
  </si>
  <si>
    <t>TIBANA</t>
  </si>
  <si>
    <t>TIBASOSA</t>
  </si>
  <si>
    <t>TINJACA</t>
  </si>
  <si>
    <t>TIPACOQUE</t>
  </si>
  <si>
    <t>TOCA</t>
  </si>
  <si>
    <t>TOGÜI</t>
  </si>
  <si>
    <t>TOPAGA</t>
  </si>
  <si>
    <t>TOTA</t>
  </si>
  <si>
    <t>TUNUNGUA</t>
  </si>
  <si>
    <t>TURMEQUE</t>
  </si>
  <si>
    <t>TUTA</t>
  </si>
  <si>
    <t>TUTAZA</t>
  </si>
  <si>
    <t>UMBITA</t>
  </si>
  <si>
    <t>VENTAQUEMADA</t>
  </si>
  <si>
    <t>VILLA DE LEYVA</t>
  </si>
  <si>
    <t>VIRACACHA</t>
  </si>
  <si>
    <t>ZETAQUIRA</t>
  </si>
  <si>
    <t>PALESTINA</t>
  </si>
  <si>
    <t>RIOSUCIO</t>
  </si>
  <si>
    <t>SALAMINA</t>
  </si>
  <si>
    <t>AGUADAS</t>
  </si>
  <si>
    <t>ARANZAZU</t>
  </si>
  <si>
    <t>BELALCAZAR</t>
  </si>
  <si>
    <t>CHINCHINA</t>
  </si>
  <si>
    <t>FILADELFIA</t>
  </si>
  <si>
    <t>LA DORADA</t>
  </si>
  <si>
    <t>LA MERCED</t>
  </si>
  <si>
    <t>MANZANARES</t>
  </si>
  <si>
    <t>MARMATO</t>
  </si>
  <si>
    <t>MARQUETALIA</t>
  </si>
  <si>
    <t>MARULANDA</t>
  </si>
  <si>
    <t>NEIRA</t>
  </si>
  <si>
    <t>NORCASIA</t>
  </si>
  <si>
    <t>PACORA</t>
  </si>
  <si>
    <t>PENSILVANIA</t>
  </si>
  <si>
    <t>SAMANA</t>
  </si>
  <si>
    <t>SAN JOSE</t>
  </si>
  <si>
    <t>SUPIA</t>
  </si>
  <si>
    <t>VICTORIA</t>
  </si>
  <si>
    <t>VILLAMARIA</t>
  </si>
  <si>
    <t>VITERBO</t>
  </si>
  <si>
    <t>ALBANIA</t>
  </si>
  <si>
    <t>PUERTO RICO</t>
  </si>
  <si>
    <t>BELEN DE LOS ANDAQUIES</t>
  </si>
  <si>
    <t>CARTAGENA DEL CHAIRA</t>
  </si>
  <si>
    <t>CURILLO</t>
  </si>
  <si>
    <t>EL PAUJIL</t>
  </si>
  <si>
    <t>LA MONTAÑITA</t>
  </si>
  <si>
    <t>MILAN</t>
  </si>
  <si>
    <t>MORELIA</t>
  </si>
  <si>
    <t>SAN JOSE DEL FRAGUA</t>
  </si>
  <si>
    <t>SAN VICENTE DEL CAGUAN</t>
  </si>
  <si>
    <t>TERRESTRE / AEREO</t>
  </si>
  <si>
    <t>SOLITA</t>
  </si>
  <si>
    <t>AGUAZUL</t>
  </si>
  <si>
    <t>CHAMEZA</t>
  </si>
  <si>
    <t>HATO COROZAL</t>
  </si>
  <si>
    <t>LA SALINA</t>
  </si>
  <si>
    <t>MANI</t>
  </si>
  <si>
    <t>MONTERREY</t>
  </si>
  <si>
    <t>NUNCHIA</t>
  </si>
  <si>
    <t>OROCUE</t>
  </si>
  <si>
    <t>PAZ DE ARIPORO</t>
  </si>
  <si>
    <t>PORE</t>
  </si>
  <si>
    <t>RECETOR</t>
  </si>
  <si>
    <t>SACAMA</t>
  </si>
  <si>
    <t>SAN LUIS DE PALENQUE</t>
  </si>
  <si>
    <t>TAMARA</t>
  </si>
  <si>
    <t>TAURAMENA</t>
  </si>
  <si>
    <t>TRINIDAD</t>
  </si>
  <si>
    <t>BALBOA</t>
  </si>
  <si>
    <t>EL TAMBO</t>
  </si>
  <si>
    <t>LA VEGA</t>
  </si>
  <si>
    <t>SUAREZ</t>
  </si>
  <si>
    <t>ALMAGUER</t>
  </si>
  <si>
    <t>CAJIBIO</t>
  </si>
  <si>
    <t>CALDONO</t>
  </si>
  <si>
    <t>CALOTO</t>
  </si>
  <si>
    <t>CORINTO</t>
  </si>
  <si>
    <t>GUACHENE</t>
  </si>
  <si>
    <t>GUAPI</t>
  </si>
  <si>
    <t>INZA</t>
  </si>
  <si>
    <t>JAMBALO</t>
  </si>
  <si>
    <t>LOPEZ</t>
  </si>
  <si>
    <t>MERCADERES</t>
  </si>
  <si>
    <t>MIRANDA</t>
  </si>
  <si>
    <t>PADILLA</t>
  </si>
  <si>
    <t>PATIA</t>
  </si>
  <si>
    <t>PIAMONTE</t>
  </si>
  <si>
    <t>PIENDAMO</t>
  </si>
  <si>
    <t>PUERTO TEJADA</t>
  </si>
  <si>
    <t>PURACE</t>
  </si>
  <si>
    <t>ROSAS</t>
  </si>
  <si>
    <t>SAN SEBASTIAN</t>
  </si>
  <si>
    <t>SANTANDER DE QUILICHAO</t>
  </si>
  <si>
    <t>SILVIA</t>
  </si>
  <si>
    <t>SOTARA</t>
  </si>
  <si>
    <t>TIMBIQUI</t>
  </si>
  <si>
    <t>TORIBIO</t>
  </si>
  <si>
    <t>TOTORO</t>
  </si>
  <si>
    <t>VILLA RICA</t>
  </si>
  <si>
    <t>LA PAZ</t>
  </si>
  <si>
    <t>MANAURE</t>
  </si>
  <si>
    <t>SAN MARTIN</t>
  </si>
  <si>
    <t>AGUACHICA</t>
  </si>
  <si>
    <t>AGUSTIN CODAZZI</t>
  </si>
  <si>
    <t>ASTREA</t>
  </si>
  <si>
    <t>BECERRIL</t>
  </si>
  <si>
    <t>BOSCONIA</t>
  </si>
  <si>
    <t>CHIMICHAGUA</t>
  </si>
  <si>
    <t>CHIRIGUANA</t>
  </si>
  <si>
    <t>CURUMANI</t>
  </si>
  <si>
    <t>EL COPEY</t>
  </si>
  <si>
    <t>EL PASO</t>
  </si>
  <si>
    <t>GAMARRA</t>
  </si>
  <si>
    <t>GONZALEZ</t>
  </si>
  <si>
    <t>LA GLORIA</t>
  </si>
  <si>
    <t>LA JAGUA DE IBIRICO</t>
  </si>
  <si>
    <t>PAILITAS</t>
  </si>
  <si>
    <t>PELAYA</t>
  </si>
  <si>
    <t>PUEBLO BELLO</t>
  </si>
  <si>
    <t>RIO DE ORO</t>
  </si>
  <si>
    <t>SAN ALBERTO</t>
  </si>
  <si>
    <t>SAN DIEGO</t>
  </si>
  <si>
    <t>TAMALAMEQUE</t>
  </si>
  <si>
    <t>CHOCO</t>
  </si>
  <si>
    <t>ACANDI</t>
  </si>
  <si>
    <t>ALTO BAUDO</t>
  </si>
  <si>
    <t>ATRATO</t>
  </si>
  <si>
    <t>BAGADO</t>
  </si>
  <si>
    <t>BAHIA SOLANO</t>
  </si>
  <si>
    <t>BAJO BAUDO</t>
  </si>
  <si>
    <t>BELEN DE BAJIRA</t>
  </si>
  <si>
    <t>BOJAYA</t>
  </si>
  <si>
    <t>CARMEN DEL DARIEN</t>
  </si>
  <si>
    <t>CERTEGUI</t>
  </si>
  <si>
    <t>CONDOTO</t>
  </si>
  <si>
    <t>EL CANTON DEL SAN PABLO</t>
  </si>
  <si>
    <t>EL CARMEN DE ATRATO</t>
  </si>
  <si>
    <t>EL LITORAL DEL SAN JUAN</t>
  </si>
  <si>
    <t>TERRESTRE / FLUVIAL</t>
  </si>
  <si>
    <t>ISTMINA</t>
  </si>
  <si>
    <t>JURADO</t>
  </si>
  <si>
    <t>LLORO</t>
  </si>
  <si>
    <t>MEDIO ATRATO</t>
  </si>
  <si>
    <t>MEDIO BAUDO</t>
  </si>
  <si>
    <t>MEDIO SAN JUAN</t>
  </si>
  <si>
    <t>NOVITA</t>
  </si>
  <si>
    <t>NUQUI</t>
  </si>
  <si>
    <t>QUIBDO</t>
  </si>
  <si>
    <t>RIO IRO</t>
  </si>
  <si>
    <t>RIO QUITO</t>
  </si>
  <si>
    <t>SAN JOSE DEL PALMAR</t>
  </si>
  <si>
    <t>SIPI</t>
  </si>
  <si>
    <t>TADO</t>
  </si>
  <si>
    <t>UNGUIA</t>
  </si>
  <si>
    <t>UNION PANAMERICANA</t>
  </si>
  <si>
    <t>CHIMA</t>
  </si>
  <si>
    <t>AYAPEL</t>
  </si>
  <si>
    <t>CANALETE</t>
  </si>
  <si>
    <t>CERETE</t>
  </si>
  <si>
    <t>CHINU</t>
  </si>
  <si>
    <t>CIENAGA DE ORO</t>
  </si>
  <si>
    <t>COTORRA</t>
  </si>
  <si>
    <t>LA APARTADA</t>
  </si>
  <si>
    <t>LORICA</t>
  </si>
  <si>
    <t>LOS CORDOBAS</t>
  </si>
  <si>
    <t>MOMIL</t>
  </si>
  <si>
    <t>MONTELIBANO</t>
  </si>
  <si>
    <t>MOÑITOS</t>
  </si>
  <si>
    <t>PLANETA RICA</t>
  </si>
  <si>
    <t>PUEBLO NUEVO</t>
  </si>
  <si>
    <t>PUERTO ESCONDIDO</t>
  </si>
  <si>
    <t>PUERTO LIBERTADOR</t>
  </si>
  <si>
    <t>PURISIMA</t>
  </si>
  <si>
    <t>SAHAGUN</t>
  </si>
  <si>
    <t>SAN ANDRES SOTAVENTO</t>
  </si>
  <si>
    <t>SAN ANTERO</t>
  </si>
  <si>
    <t>SAN BERNARDO DEL VIENTO</t>
  </si>
  <si>
    <t>SAN PELAYO</t>
  </si>
  <si>
    <t>TIERRALTA</t>
  </si>
  <si>
    <t>VALENCIA</t>
  </si>
  <si>
    <t>ALBAN</t>
  </si>
  <si>
    <t>CABRERA</t>
  </si>
  <si>
    <t>RICAURTE</t>
  </si>
  <si>
    <t>SAN BERNARDO</t>
  </si>
  <si>
    <t>SAN CAYETANO</t>
  </si>
  <si>
    <t>AGUA DE DIOS</t>
  </si>
  <si>
    <t>ANAPOIMA</t>
  </si>
  <si>
    <t>ANOLAIMA</t>
  </si>
  <si>
    <t>APULO</t>
  </si>
  <si>
    <t>ARBELAEZ</t>
  </si>
  <si>
    <t>BELTRAN</t>
  </si>
  <si>
    <t>BITUIMA</t>
  </si>
  <si>
    <t>BOJACA</t>
  </si>
  <si>
    <t>CACHIPAY</t>
  </si>
  <si>
    <t>CAJICA</t>
  </si>
  <si>
    <t>CAPARRAPI</t>
  </si>
  <si>
    <t>CAQUEZA</t>
  </si>
  <si>
    <t>CARMEN DE CARUPA</t>
  </si>
  <si>
    <t>CHAGUANI</t>
  </si>
  <si>
    <t>CHIA</t>
  </si>
  <si>
    <t>CHIPAQUE</t>
  </si>
  <si>
    <t>CHOACHI</t>
  </si>
  <si>
    <t>CHOCONTA</t>
  </si>
  <si>
    <t>COGUA</t>
  </si>
  <si>
    <t>COTA</t>
  </si>
  <si>
    <t>CUCUNUBA</t>
  </si>
  <si>
    <t>EL COLEGIO</t>
  </si>
  <si>
    <t>EL ROSAL</t>
  </si>
  <si>
    <t>FOMEQUE</t>
  </si>
  <si>
    <t>FOSCA</t>
  </si>
  <si>
    <t>FUQUENE</t>
  </si>
  <si>
    <t>GACHALA</t>
  </si>
  <si>
    <t>GACHANCIPA</t>
  </si>
  <si>
    <t>GACHETA</t>
  </si>
  <si>
    <t>GIRARDOT</t>
  </si>
  <si>
    <t>GUACHETA</t>
  </si>
  <si>
    <t>GUASCA</t>
  </si>
  <si>
    <t>GUATAQUI</t>
  </si>
  <si>
    <t>GUATAVITA</t>
  </si>
  <si>
    <t>GUAYABAL DE SIQUIMA</t>
  </si>
  <si>
    <t>GUAYABETAL</t>
  </si>
  <si>
    <t>GUTIERREZ</t>
  </si>
  <si>
    <t>JERUSALEN</t>
  </si>
  <si>
    <t>JUNIN</t>
  </si>
  <si>
    <t>LA CALERA</t>
  </si>
  <si>
    <t>LA MESA</t>
  </si>
  <si>
    <t>LA PALMA</t>
  </si>
  <si>
    <t>LA PEÑA</t>
  </si>
  <si>
    <t>LENGUAZAQUE</t>
  </si>
  <si>
    <t>MACHETA</t>
  </si>
  <si>
    <t>MADRID</t>
  </si>
  <si>
    <t>MANTA</t>
  </si>
  <si>
    <t>MEDINA</t>
  </si>
  <si>
    <t>NEMOCON</t>
  </si>
  <si>
    <t>NILO</t>
  </si>
  <si>
    <t>NIMAIMA</t>
  </si>
  <si>
    <t>NOCAIMA</t>
  </si>
  <si>
    <t>PACHO</t>
  </si>
  <si>
    <t>PAIME</t>
  </si>
  <si>
    <t>PANDI</t>
  </si>
  <si>
    <t>PARATEBUENO</t>
  </si>
  <si>
    <t>PASCA</t>
  </si>
  <si>
    <t>PUERTO SALGAR</t>
  </si>
  <si>
    <t>PULI</t>
  </si>
  <si>
    <t>QUEBRADANEGRA</t>
  </si>
  <si>
    <t>QUETAME</t>
  </si>
  <si>
    <t>QUIPILE</t>
  </si>
  <si>
    <t>SAN ANTONIO DEL TEQUENDAMA</t>
  </si>
  <si>
    <t>SAN JUAN DE RIO SECO</t>
  </si>
  <si>
    <t>SASAIMA</t>
  </si>
  <si>
    <t>SESQUILE</t>
  </si>
  <si>
    <t>SIBATE</t>
  </si>
  <si>
    <t>SILVANIA</t>
  </si>
  <si>
    <t>SIMIJACA</t>
  </si>
  <si>
    <t>SOPO</t>
  </si>
  <si>
    <t>SUBACHOQUE</t>
  </si>
  <si>
    <t>SUESCA</t>
  </si>
  <si>
    <t>SUPATA</t>
  </si>
  <si>
    <t>SUSA</t>
  </si>
  <si>
    <t>SUTATAUSA</t>
  </si>
  <si>
    <t>TABIO</t>
  </si>
  <si>
    <t>TAUSA</t>
  </si>
  <si>
    <t>TENA</t>
  </si>
  <si>
    <t>TENJO</t>
  </si>
  <si>
    <t>TIBACUY</t>
  </si>
  <si>
    <t>TIBIRITA</t>
  </si>
  <si>
    <t>TOCAIMA</t>
  </si>
  <si>
    <t>TOCANCIPA</t>
  </si>
  <si>
    <t>TOPAIPI</t>
  </si>
  <si>
    <t>UBALA</t>
  </si>
  <si>
    <t>UBAQUE</t>
  </si>
  <si>
    <t>UNE</t>
  </si>
  <si>
    <t>UTICA</t>
  </si>
  <si>
    <t>VERGARA</t>
  </si>
  <si>
    <t>VIANI</t>
  </si>
  <si>
    <t>VILLA DE SAN DIEGO DE UBATE</t>
  </si>
  <si>
    <t>VILLAGOMEZ</t>
  </si>
  <si>
    <t>VILLAPINZON</t>
  </si>
  <si>
    <t>VILLETA</t>
  </si>
  <si>
    <t>VIOTA</t>
  </si>
  <si>
    <t>YACOPI</t>
  </si>
  <si>
    <t>ZIPACON</t>
  </si>
  <si>
    <t>GUAINIA</t>
  </si>
  <si>
    <t>BARRANCO MINAS</t>
  </si>
  <si>
    <t>CACAHUAL</t>
  </si>
  <si>
    <t>INIRIDA</t>
  </si>
  <si>
    <t>LA GUADALUPE</t>
  </si>
  <si>
    <t>MAPIRIPANA</t>
  </si>
  <si>
    <t>MORICHAL</t>
  </si>
  <si>
    <t>PANA PANA</t>
  </si>
  <si>
    <t>SAN FELIPE</t>
  </si>
  <si>
    <t>EL RETORNO</t>
  </si>
  <si>
    <t>HUILA</t>
  </si>
  <si>
    <t>ACEVEDO</t>
  </si>
  <si>
    <t>AGRADO</t>
  </si>
  <si>
    <t>AIPE</t>
  </si>
  <si>
    <t>ALGECIRAS</t>
  </si>
  <si>
    <t>ALTAMIRA</t>
  </si>
  <si>
    <t>BARAYA</t>
  </si>
  <si>
    <t>CAMPOALEGRE</t>
  </si>
  <si>
    <t>COLOMBIA</t>
  </si>
  <si>
    <t>ELIAS</t>
  </si>
  <si>
    <t>GARZON</t>
  </si>
  <si>
    <t>GIGANTE</t>
  </si>
  <si>
    <t>HOBO</t>
  </si>
  <si>
    <t>IQUIRA</t>
  </si>
  <si>
    <t>ISNOS</t>
  </si>
  <si>
    <t>LA ARGENTINA</t>
  </si>
  <si>
    <t>LA PLATA</t>
  </si>
  <si>
    <t>NATAGA</t>
  </si>
  <si>
    <t>OPORAPA</t>
  </si>
  <si>
    <t>PAICOL</t>
  </si>
  <si>
    <t>PALERMO</t>
  </si>
  <si>
    <t>PITAL</t>
  </si>
  <si>
    <t>PITALITO</t>
  </si>
  <si>
    <t>RIVERA</t>
  </si>
  <si>
    <t>SALADOBLANCO</t>
  </si>
  <si>
    <t>SAN AGUSTIN</t>
  </si>
  <si>
    <t>SUAZA</t>
  </si>
  <si>
    <t>TARQUI</t>
  </si>
  <si>
    <t>TELLO</t>
  </si>
  <si>
    <t>TERUEL</t>
  </si>
  <si>
    <t>TESALIA</t>
  </si>
  <si>
    <t>TIMANA</t>
  </si>
  <si>
    <t>VILLAVIEJA</t>
  </si>
  <si>
    <t>YAGUARA</t>
  </si>
  <si>
    <t>BARRANCAS</t>
  </si>
  <si>
    <t>DIBULLA</t>
  </si>
  <si>
    <t>DISTRACCION</t>
  </si>
  <si>
    <t>EL MOLINO</t>
  </si>
  <si>
    <t>FONSECA</t>
  </si>
  <si>
    <t>HATONUEVO</t>
  </si>
  <si>
    <t>LA JAGUA DEL PILAR</t>
  </si>
  <si>
    <t>RIOHACHA</t>
  </si>
  <si>
    <t>SAN JUAN DEL CESAR</t>
  </si>
  <si>
    <t>URIBIA</t>
  </si>
  <si>
    <t>URUMITA</t>
  </si>
  <si>
    <t>GUAMAL</t>
  </si>
  <si>
    <t>ALGARROBO</t>
  </si>
  <si>
    <t>ARACATACA</t>
  </si>
  <si>
    <t>ARIGUANI</t>
  </si>
  <si>
    <t>CERRO SAN ANTONIO</t>
  </si>
  <si>
    <t>CHIBOLO</t>
  </si>
  <si>
    <t>EL BANCO</t>
  </si>
  <si>
    <t>EL PIÑON</t>
  </si>
  <si>
    <t>EL RETEN</t>
  </si>
  <si>
    <t>FUNDACION</t>
  </si>
  <si>
    <t>NUEVA GRANADA</t>
  </si>
  <si>
    <t>PEDRAZA</t>
  </si>
  <si>
    <t>PIJIÑO DEL CARMEN</t>
  </si>
  <si>
    <t>PIVIJAY</t>
  </si>
  <si>
    <t>PLATO</t>
  </si>
  <si>
    <t>PUEBLOVIEJO</t>
  </si>
  <si>
    <t>REMOLINO</t>
  </si>
  <si>
    <t>SABANAS DE SAN ANGEL</t>
  </si>
  <si>
    <t>SAN SEBASTIAN DE BUENAVISTA</t>
  </si>
  <si>
    <t>SAN ZENON</t>
  </si>
  <si>
    <t>SANTA ANA</t>
  </si>
  <si>
    <t>SANTA BARBARA DE PINTO</t>
  </si>
  <si>
    <t>SITIONUEVO</t>
  </si>
  <si>
    <t>TENERIFE</t>
  </si>
  <si>
    <t>ZAPAYAN</t>
  </si>
  <si>
    <t>ZONA BANANERA</t>
  </si>
  <si>
    <t>RESTREPO</t>
  </si>
  <si>
    <t>ACACIAS</t>
  </si>
  <si>
    <t>BARRANCA DE UPIA</t>
  </si>
  <si>
    <t>CABUYARO</t>
  </si>
  <si>
    <t>CASTILLA LA NUEVA</t>
  </si>
  <si>
    <t>CUBARRAL</t>
  </si>
  <si>
    <t>CUMARAL</t>
  </si>
  <si>
    <t>EL CALVARIO</t>
  </si>
  <si>
    <t>EL CASTILLO</t>
  </si>
  <si>
    <t>EL DORADO</t>
  </si>
  <si>
    <t>FUENTE DE ORO</t>
  </si>
  <si>
    <t>LA MACARENA</t>
  </si>
  <si>
    <t>LEJANIAS</t>
  </si>
  <si>
    <t>MAPIRIPAN</t>
  </si>
  <si>
    <t>MESETAS</t>
  </si>
  <si>
    <t>PUERTO CONCORDIA</t>
  </si>
  <si>
    <t>PUERTO LLERAS</t>
  </si>
  <si>
    <t>PUERTO LOPEZ</t>
  </si>
  <si>
    <t>SAN CARLOS DE GUAROA</t>
  </si>
  <si>
    <t>SAN JUAN DE ARAMA</t>
  </si>
  <si>
    <t>SAN JUANITO</t>
  </si>
  <si>
    <t>URIBE</t>
  </si>
  <si>
    <t>VISTAHERMOSA</t>
  </si>
  <si>
    <t>COLON</t>
  </si>
  <si>
    <t>PROVIDENCIA</t>
  </si>
  <si>
    <t>ALDANA</t>
  </si>
  <si>
    <t>ANCUYA</t>
  </si>
  <si>
    <t>ARBOLEDA</t>
  </si>
  <si>
    <t>BARBACOAS</t>
  </si>
  <si>
    <t>BUESACO</t>
  </si>
  <si>
    <t>CHACHAGUI</t>
  </si>
  <si>
    <t>CONSACA</t>
  </si>
  <si>
    <t>CONTADERO</t>
  </si>
  <si>
    <t>CUASPUD</t>
  </si>
  <si>
    <t>CUMBAL</t>
  </si>
  <si>
    <t>CUMBITARA</t>
  </si>
  <si>
    <t>EL CHARCO</t>
  </si>
  <si>
    <t>EL PEÑOL</t>
  </si>
  <si>
    <t>EL ROSARIO</t>
  </si>
  <si>
    <t>EL TABLON DE GOMEZ</t>
  </si>
  <si>
    <t>FRANCISCO PIZARRO</t>
  </si>
  <si>
    <t>FUNES</t>
  </si>
  <si>
    <t>GUACHUCAL</t>
  </si>
  <si>
    <t>GUAITARILLA</t>
  </si>
  <si>
    <t>GUALMATAN</t>
  </si>
  <si>
    <t>ILES</t>
  </si>
  <si>
    <t>IMUES</t>
  </si>
  <si>
    <t>IPIALES</t>
  </si>
  <si>
    <t>LA CRUZ</t>
  </si>
  <si>
    <t>LA FLORIDA</t>
  </si>
  <si>
    <t>LA LLANADA</t>
  </si>
  <si>
    <t>LA TOLA</t>
  </si>
  <si>
    <t>LEIVA</t>
  </si>
  <si>
    <t>LINARES</t>
  </si>
  <si>
    <t>LOS ANDES</t>
  </si>
  <si>
    <t>MAGUI</t>
  </si>
  <si>
    <t>MALLAMA</t>
  </si>
  <si>
    <t>OLAYA HERRERA</t>
  </si>
  <si>
    <t>OSPINA</t>
  </si>
  <si>
    <t>POLICARPA</t>
  </si>
  <si>
    <t>POTOSI</t>
  </si>
  <si>
    <t>PUERRES</t>
  </si>
  <si>
    <t>PUPIALES</t>
  </si>
  <si>
    <t>ROBERTO PAYAN</t>
  </si>
  <si>
    <t>SAMANIEGO</t>
  </si>
  <si>
    <t>SAN ANDRES DE TUMACO</t>
  </si>
  <si>
    <t>SAN LORENZO</t>
  </si>
  <si>
    <t>SAN PEDRO DE CARTAGO</t>
  </si>
  <si>
    <t>SANTACRUZ</t>
  </si>
  <si>
    <t>SAPUYES</t>
  </si>
  <si>
    <t>TAMINANGO</t>
  </si>
  <si>
    <t>TANGUA</t>
  </si>
  <si>
    <t>TUQUERRES</t>
  </si>
  <si>
    <t>YACUANQUER</t>
  </si>
  <si>
    <t>SANTIAGO</t>
  </si>
  <si>
    <t>ABREGO</t>
  </si>
  <si>
    <t>ARBOLEDAS</t>
  </si>
  <si>
    <t>BOCHALEMA</t>
  </si>
  <si>
    <t>BUCARASICA</t>
  </si>
  <si>
    <t>CACHIRA</t>
  </si>
  <si>
    <t>CACOTA</t>
  </si>
  <si>
    <t>CHINACOTA</t>
  </si>
  <si>
    <t>CHITAGA</t>
  </si>
  <si>
    <t>CONVENCION</t>
  </si>
  <si>
    <t>CUCUTILLA</t>
  </si>
  <si>
    <t>DURANIA</t>
  </si>
  <si>
    <t>EL CARMEN</t>
  </si>
  <si>
    <t>EL TARRA</t>
  </si>
  <si>
    <t>EL ZULIA</t>
  </si>
  <si>
    <t>GRAMALOTE</t>
  </si>
  <si>
    <t>HACARI</t>
  </si>
  <si>
    <t>HERRAN</t>
  </si>
  <si>
    <t>LA ESPERANZA</t>
  </si>
  <si>
    <t>LA PLAYA</t>
  </si>
  <si>
    <t>LABATECA</t>
  </si>
  <si>
    <t>LOURDES</t>
  </si>
  <si>
    <t>MUTISCUA</t>
  </si>
  <si>
    <t>OCAÑA</t>
  </si>
  <si>
    <t>PAMPLONA</t>
  </si>
  <si>
    <t>PAMPLONITA</t>
  </si>
  <si>
    <t>RAGONVALIA</t>
  </si>
  <si>
    <t>SALAZAR</t>
  </si>
  <si>
    <t>SAN CALIXTO</t>
  </si>
  <si>
    <t>SARDINATA</t>
  </si>
  <si>
    <t>SILOS</t>
  </si>
  <si>
    <t>TEORAMA</t>
  </si>
  <si>
    <t>TIBU</t>
  </si>
  <si>
    <t>VILLA CARO</t>
  </si>
  <si>
    <t>VILLA DEL ROSARIO</t>
  </si>
  <si>
    <t>SAN MIGUEL</t>
  </si>
  <si>
    <t>LEGUIZAMO</t>
  </si>
  <si>
    <t>MOCOA</t>
  </si>
  <si>
    <t>PUERTO ASIS</t>
  </si>
  <si>
    <t>PUERTO CAICEDO</t>
  </si>
  <si>
    <t>PUERTO GUZMAN</t>
  </si>
  <si>
    <t>SIBUNDOY</t>
  </si>
  <si>
    <t>VALLE DEL GUAMUEZ</t>
  </si>
  <si>
    <t>VILLAGARZON</t>
  </si>
  <si>
    <t>QUINDIO</t>
  </si>
  <si>
    <t>CALARCA</t>
  </si>
  <si>
    <t>CIRCASIA</t>
  </si>
  <si>
    <t>FILANDIA</t>
  </si>
  <si>
    <t>GENOVA</t>
  </si>
  <si>
    <t>LA TEBAIDA</t>
  </si>
  <si>
    <t>MONTENEGRO</t>
  </si>
  <si>
    <t>PIJAO</t>
  </si>
  <si>
    <t>QUIMBAYA</t>
  </si>
  <si>
    <t>SALENTO</t>
  </si>
  <si>
    <t>APIA</t>
  </si>
  <si>
    <t>BELEN DE UMBRIA</t>
  </si>
  <si>
    <t>GUATICA</t>
  </si>
  <si>
    <t>LA CELIA</t>
  </si>
  <si>
    <t>LA VIRGINIA</t>
  </si>
  <si>
    <t>MARSELLA</t>
  </si>
  <si>
    <t>MISTRATO</t>
  </si>
  <si>
    <t>PUEBLO RICO</t>
  </si>
  <si>
    <t>QUINCHIA</t>
  </si>
  <si>
    <t>SANTA ROSA DE CABAL</t>
  </si>
  <si>
    <t>SANTUARIO</t>
  </si>
  <si>
    <t>ARCHIPIELAGO DE SAN ANDRES Y PROVIDENCIA</t>
  </si>
  <si>
    <t>SAN ANDRES</t>
  </si>
  <si>
    <t>AGUADA</t>
  </si>
  <si>
    <t>ARATOCA</t>
  </si>
  <si>
    <t>BARICHARA</t>
  </si>
  <si>
    <t>CALIFORNIA</t>
  </si>
  <si>
    <t>CAPITANEJO</t>
  </si>
  <si>
    <t>CARCASI</t>
  </si>
  <si>
    <t>CEPITA</t>
  </si>
  <si>
    <t>CERRITO</t>
  </si>
  <si>
    <t>CHARALA</t>
  </si>
  <si>
    <t>CHARTA</t>
  </si>
  <si>
    <t>CHIPATA</t>
  </si>
  <si>
    <t>CONFINES</t>
  </si>
  <si>
    <t>CONTRATACION</t>
  </si>
  <si>
    <t>COROMORO</t>
  </si>
  <si>
    <t>CURITI</t>
  </si>
  <si>
    <t>EL CARMEN DE CHUCURI</t>
  </si>
  <si>
    <t>EL GUACAMAYO</t>
  </si>
  <si>
    <t>EL PLAYON</t>
  </si>
  <si>
    <t>ENCINO</t>
  </si>
  <si>
    <t>ENCISO</t>
  </si>
  <si>
    <t>FLORIAN</t>
  </si>
  <si>
    <t>GALAN</t>
  </si>
  <si>
    <t>GAMBITA</t>
  </si>
  <si>
    <t>GIRON</t>
  </si>
  <si>
    <t>GUACA</t>
  </si>
  <si>
    <t>GUAPOTA</t>
  </si>
  <si>
    <t>GUAVATA</t>
  </si>
  <si>
    <t>GUEPSA</t>
  </si>
  <si>
    <t>HATO</t>
  </si>
  <si>
    <t>JESUS MARIA</t>
  </si>
  <si>
    <t>JORDAN</t>
  </si>
  <si>
    <t>LA BELLEZA</t>
  </si>
  <si>
    <t>LANDAZURI</t>
  </si>
  <si>
    <t>LEBRIJA</t>
  </si>
  <si>
    <t>LOS SANTOS</t>
  </si>
  <si>
    <t>MACARAVITA</t>
  </si>
  <si>
    <t>MALAGA</t>
  </si>
  <si>
    <t>MATANZA</t>
  </si>
  <si>
    <t>MOGOTES</t>
  </si>
  <si>
    <t>MOLAGAVITA</t>
  </si>
  <si>
    <t>OCAMONTE</t>
  </si>
  <si>
    <t>OIBA</t>
  </si>
  <si>
    <t>ONZAGA</t>
  </si>
  <si>
    <t>PALMAR</t>
  </si>
  <si>
    <t>PALMAS DEL SOCORRO</t>
  </si>
  <si>
    <t>PARAMO</t>
  </si>
  <si>
    <t>PIEDECUESTA</t>
  </si>
  <si>
    <t>PINCHOTE</t>
  </si>
  <si>
    <t>PUENTE NACIONAL</t>
  </si>
  <si>
    <t>PUERTO PARRA</t>
  </si>
  <si>
    <t>PUERTO WILCHES</t>
  </si>
  <si>
    <t>SABANA DE TORRES</t>
  </si>
  <si>
    <t>SAN BENITO</t>
  </si>
  <si>
    <t>SAN GIL</t>
  </si>
  <si>
    <t>SAN JOAQUIN</t>
  </si>
  <si>
    <t>SAN JOSE DE MIRANDA</t>
  </si>
  <si>
    <t>SAN VICENTE DE CHUCURI</t>
  </si>
  <si>
    <t>SANTA HELENA DEL OPON</t>
  </si>
  <si>
    <t>SIMACOTA</t>
  </si>
  <si>
    <t>SOCORRO</t>
  </si>
  <si>
    <t>SUAITA</t>
  </si>
  <si>
    <t>SURATA</t>
  </si>
  <si>
    <t>TONA</t>
  </si>
  <si>
    <t>VALLE DE SAN JOSE</t>
  </si>
  <si>
    <t>VELEZ</t>
  </si>
  <si>
    <t>VETAS</t>
  </si>
  <si>
    <t>ZAPATOCA</t>
  </si>
  <si>
    <t>SAN PEDRO</t>
  </si>
  <si>
    <t>CAIMITO</t>
  </si>
  <si>
    <t>CHALAN</t>
  </si>
  <si>
    <t>COLOSO</t>
  </si>
  <si>
    <t>COROZAL</t>
  </si>
  <si>
    <t>COVEÑAS</t>
  </si>
  <si>
    <t>EL ROBLE</t>
  </si>
  <si>
    <t>GALERAS</t>
  </si>
  <si>
    <t>GUARANDA</t>
  </si>
  <si>
    <t>LOS PALMITOS</t>
  </si>
  <si>
    <t>MAJAGUAL</t>
  </si>
  <si>
    <t>MORROA</t>
  </si>
  <si>
    <t>OVEJAS</t>
  </si>
  <si>
    <t>PALMITO</t>
  </si>
  <si>
    <t>SAMPUES</t>
  </si>
  <si>
    <t>SAN BENITO ABAD</t>
  </si>
  <si>
    <t>SAN JUAN DE BETULIA</t>
  </si>
  <si>
    <t>SAN LUIS DE SINCE</t>
  </si>
  <si>
    <t>SAN ONOFRE</t>
  </si>
  <si>
    <t>SANTIAGO DE TOLU</t>
  </si>
  <si>
    <t>TOLU VIEJO</t>
  </si>
  <si>
    <t>ALPUJARRA</t>
  </si>
  <si>
    <t>ALVARADO</t>
  </si>
  <si>
    <t>AMBALEMA</t>
  </si>
  <si>
    <t>ANZOATEGUI</t>
  </si>
  <si>
    <t>ARMERO</t>
  </si>
  <si>
    <t>ATACO</t>
  </si>
  <si>
    <t>CAJAMARCA</t>
  </si>
  <si>
    <t>CARMEN DE APICALA</t>
  </si>
  <si>
    <t>CASABIANCA</t>
  </si>
  <si>
    <t>CHAPARRAL</t>
  </si>
  <si>
    <t>COELLO</t>
  </si>
  <si>
    <t>COYAIMA</t>
  </si>
  <si>
    <t>CUNDAY</t>
  </si>
  <si>
    <t>DOLORES</t>
  </si>
  <si>
    <t>ESPINAL</t>
  </si>
  <si>
    <t>FALAN</t>
  </si>
  <si>
    <t>FLANDES</t>
  </si>
  <si>
    <t>FRESNO</t>
  </si>
  <si>
    <t>GUAMO</t>
  </si>
  <si>
    <t>HERVEO</t>
  </si>
  <si>
    <t>HONDA</t>
  </si>
  <si>
    <t>ICONONZO</t>
  </si>
  <si>
    <t>LERIDA</t>
  </si>
  <si>
    <t>LIBANO</t>
  </si>
  <si>
    <t>MARIQUITA</t>
  </si>
  <si>
    <t>MELGAR</t>
  </si>
  <si>
    <t>MURILLO</t>
  </si>
  <si>
    <t>NATAGAIMA</t>
  </si>
  <si>
    <t>ORTEGA</t>
  </si>
  <si>
    <t>PALOCABILDO</t>
  </si>
  <si>
    <t>PIEDRAS</t>
  </si>
  <si>
    <t>PLANADAS</t>
  </si>
  <si>
    <t>PRADO</t>
  </si>
  <si>
    <t>PURIFICACION</t>
  </si>
  <si>
    <t>RONCESVALLES</t>
  </si>
  <si>
    <t>ROVIRA</t>
  </si>
  <si>
    <t>SALDAÑA</t>
  </si>
  <si>
    <t>SAN ANTONIO</t>
  </si>
  <si>
    <t>SANTA ISABEL</t>
  </si>
  <si>
    <t>VALLE DE SAN JUAN</t>
  </si>
  <si>
    <t>VENADILLO</t>
  </si>
  <si>
    <t>VILLAHERMOSA</t>
  </si>
  <si>
    <t>VILLARRICA</t>
  </si>
  <si>
    <t>ALCALA</t>
  </si>
  <si>
    <t>ANDALUCIA</t>
  </si>
  <si>
    <t>ANSERMANUEVO</t>
  </si>
  <si>
    <t>BUENAVENTURA</t>
  </si>
  <si>
    <t>BUGALAGRANDE</t>
  </si>
  <si>
    <t>CAICEDONIA</t>
  </si>
  <si>
    <t>CALIMA</t>
  </si>
  <si>
    <t>CARTAGO</t>
  </si>
  <si>
    <t>DAGUA</t>
  </si>
  <si>
    <t>EL AGUILA</t>
  </si>
  <si>
    <t>EL CAIRO</t>
  </si>
  <si>
    <t>EL CERRITO</t>
  </si>
  <si>
    <t>EL DOVIO</t>
  </si>
  <si>
    <t>FLORIDA</t>
  </si>
  <si>
    <t>GINEBRA</t>
  </si>
  <si>
    <t>GUACARI</t>
  </si>
  <si>
    <t>GUADALAJARA DE BUGA</t>
  </si>
  <si>
    <t>LA CUMBRE</t>
  </si>
  <si>
    <t>OBANDO</t>
  </si>
  <si>
    <t>PALMIRA</t>
  </si>
  <si>
    <t>PRADERA</t>
  </si>
  <si>
    <t>RIOFRIO</t>
  </si>
  <si>
    <t>ROLDANILLO</t>
  </si>
  <si>
    <t>TORO</t>
  </si>
  <si>
    <t>TRUJILLO</t>
  </si>
  <si>
    <t>TULUA</t>
  </si>
  <si>
    <t>ULLOA</t>
  </si>
  <si>
    <t>VERSALLES</t>
  </si>
  <si>
    <t>VIJES</t>
  </si>
  <si>
    <t>YOTOCO</t>
  </si>
  <si>
    <t>YUMBO</t>
  </si>
  <si>
    <t>ZARZAL</t>
  </si>
  <si>
    <t>CARURU</t>
  </si>
  <si>
    <t>VAUPES</t>
  </si>
  <si>
    <t>MITU</t>
  </si>
  <si>
    <t>PACOA</t>
  </si>
  <si>
    <t>PAPUNAUA</t>
  </si>
  <si>
    <t>TARAIRA</t>
  </si>
  <si>
    <t>YAVARATE</t>
  </si>
  <si>
    <t>CUMARIBO</t>
  </si>
  <si>
    <t>VICHADA</t>
  </si>
  <si>
    <t>LA PRIMAVERA</t>
  </si>
  <si>
    <t>PUERTO CARREÑO</t>
  </si>
  <si>
    <t>SANTA ROSALIA</t>
  </si>
  <si>
    <t>TUCHIN</t>
  </si>
  <si>
    <t>SAN JOSE DE URE</t>
  </si>
  <si>
    <t>CENTRO_COSTO</t>
  </si>
  <si>
    <t>DESCRIPCION</t>
  </si>
  <si>
    <t>Redeban Noroccidente (Medellín)</t>
  </si>
  <si>
    <t>Redeban Costa (Barranqullla)</t>
  </si>
  <si>
    <t>Redeban Centro ( Bogotá)</t>
  </si>
  <si>
    <t>Redeban Santander</t>
  </si>
  <si>
    <t>Redeban Suroccidente (Cali)</t>
  </si>
  <si>
    <t>Redeban Oriente (Otros)</t>
  </si>
  <si>
    <t>Redeban Eje Cafetero (Pereira)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</si>
</sst>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164" formatCode="_(&quot;$&quot;\ * #,##0.00_);_(&quot;$&quot;\ * \(#,##0.00\);_(&quot;$&quot;\ * &quot;-&quot;??_);_(@_)"/>
    <numFmt numFmtId="165" formatCode="_-&quot;$&quot;* #,##0.00_-;\-&quot;$&quot;* #,##0.00_-;_-&quot;$&quot;* &quot;-&quot;??_-;_-@_-"/>
    <numFmt numFmtId="166" formatCode="_(&quot;$&quot;\ * #,##0_);_(&quot;$&quot;\ * \(#,##0\);_(&quot;$&quot;\ * &quot;-&quot;??_);_(@_)"/>
    <numFmt numFmtId="167" formatCode="&quot;$&quot;\ #,##0"/>
    <numFmt numFmtId="168" formatCode="_-&quot;$&quot;* #,##0_-;\-&quot;$&quot;* #,##0_-;_-&quot;$&quot;* &quot;-&quot;??_-;_-@_-"/>
    <numFmt numFmtId="169" formatCode="[$-240A]dddd\,\ dd&quot; de &quot;mmmm&quot; de &quot;yyyy"/>
    <numFmt numFmtId="170" formatCode="dd/mm/yyyy\ hh:mm"/>
  </numFmts>
  <fonts count="24">
    <font>
      <sz val="11"/>
      <color theme="1"/>
      <name val="Calibri"/>
      <family val="2"/>
      <scheme val="minor"/>
    </font>
    <font>
      <sz val="11"/>
      <color theme="1"/>
      <name val="Calibri"/>
      <family val="2"/>
      <scheme val="minor"/>
    </font>
    <font>
      <sz val="10"/>
      <color theme="1"/>
      <name val="Apex"/>
      <family val="2"/>
    </font>
    <font>
      <sz val="10"/>
      <name val="Arial"/>
      <family val="2"/>
    </font>
    <font>
      <b/>
      <sz val="9"/>
      <color indexed="81"/>
      <name val="Tahoma"/>
      <family val="2"/>
    </font>
    <font>
      <sz val="8"/>
      <color theme="1"/>
      <name val="Gelion Thin"/>
    </font>
    <font>
      <b/>
      <sz val="8"/>
      <name val="Gelion Thin"/>
    </font>
    <font>
      <b/>
      <sz val="10"/>
      <name val="Gelion Thin"/>
    </font>
    <font>
      <sz val="10"/>
      <color rgb="FF000000"/>
      <name val="Gelion Thin"/>
    </font>
    <font>
      <sz val="10"/>
      <color theme="1"/>
      <name val="Gelion Thin"/>
    </font>
    <font>
      <sz val="8"/>
      <color rgb="FF000000"/>
      <name val="Gelion Thin"/>
    </font>
    <font>
      <sz val="10"/>
      <name val="Gelion Thin"/>
    </font>
    <font>
      <sz val="8"/>
      <name val="Gelion Thin"/>
    </font>
    <font>
      <b/>
      <sz val="11"/>
      <color theme="1"/>
      <name val="Gelion Thin"/>
    </font>
    <font>
      <b/>
      <i/>
      <sz val="11"/>
      <color rgb="FFFFFFFF"/>
      <name val="Century Gothic"/>
      <family val="2"/>
    </font>
    <font>
      <sz val="10"/>
      <color rgb="FF000000"/>
      <name val="Century Gothic"/>
      <family val="2"/>
    </font>
    <font>
      <sz val="10"/>
      <color rgb="FF3A3838"/>
      <name val="Century Gothic"/>
      <family val="2"/>
    </font>
    <font>
      <sz val="11"/>
      <color rgb="FF000000"/>
      <name val="Gelion Thin"/>
    </font>
    <font>
      <sz val="8"/>
      <name val="Gelion Light"/>
    </font>
    <font>
      <b/>
      <sz val="9"/>
      <color rgb="FFC00000"/>
      <name val="Gelion Thin"/>
    </font>
    <font>
      <sz val="11"/>
      <color rgb="FFC00000"/>
      <name val="Calibri"/>
      <family val="2"/>
      <scheme val="minor"/>
    </font>
    <font>
      <b/>
      <sz val="10"/>
      <name val="Gelion Light"/>
    </font>
    <font>
      <sz val="10"/>
      <color rgb="FFC00000"/>
      <name val="Gelion Light"/>
    </font>
    <font>
      <sz val="11"/>
      <name val="Calibri"/>
      <family val="2"/>
      <scheme val="minor"/>
    </font>
  </fonts>
  <fills count="11">
    <fill>
      <patternFill patternType="none"/>
    </fill>
    <fill>
      <patternFill patternType="gray125"/>
    </fill>
    <fill>
      <patternFill patternType="solid">
        <fgColor theme="0" tint="-0.34998626667073579"/>
        <bgColor indexed="64"/>
      </patternFill>
    </fill>
    <fill>
      <patternFill patternType="solid">
        <fgColor rgb="FF9B9B9A"/>
        <bgColor indexed="64"/>
      </patternFill>
    </fill>
    <fill>
      <patternFill patternType="solid">
        <fgColor rgb="FF305496"/>
        <bgColor rgb="FF000000"/>
      </patternFill>
    </fill>
    <fill>
      <patternFill patternType="solid">
        <fgColor rgb="FFACB9CA"/>
        <bgColor rgb="FF000000"/>
      </patternFill>
    </fill>
    <fill>
      <patternFill patternType="solid">
        <fgColor rgb="FF00B0F0"/>
        <bgColor rgb="FF000000"/>
      </patternFill>
    </fill>
    <fill>
      <patternFill patternType="solid">
        <fgColor rgb="FFFFFF00"/>
        <bgColor rgb="FF000000"/>
      </patternFill>
    </fill>
    <fill>
      <patternFill patternType="solid">
        <fgColor rgb="FF00B0F0"/>
        <bgColor indexed="64"/>
      </patternFill>
    </fill>
    <fill>
      <patternFill patternType="solid">
        <fgColor rgb="FF92D050"/>
        <bgColor indexed="64"/>
      </patternFill>
    </fill>
    <fill>
      <patternFill patternType="solid">
        <fgColor theme="6"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7">
    <xf numFmtId="0" fontId="0" fillId="0" borderId="0"/>
    <xf numFmtId="165" fontId="1" fillId="0" borderId="0" applyFont="0" applyFill="0" applyBorder="0" applyAlignment="0" applyProtection="0"/>
    <xf numFmtId="0" fontId="1" fillId="0" borderId="0"/>
    <xf numFmtId="0" fontId="2" fillId="0" borderId="0"/>
    <xf numFmtId="164" fontId="3" fillId="0" borderId="0" applyFont="0" applyFill="0" applyBorder="0" applyAlignment="0" applyProtection="0"/>
    <xf numFmtId="0" fontId="3" fillId="0" borderId="0"/>
    <xf numFmtId="0" fontId="1" fillId="0" borderId="0"/>
  </cellStyleXfs>
  <cellXfs count="97">
    <xf numFmtId="0" fontId="0" fillId="0" borderId="0" xfId="0"/>
    <xf numFmtId="164" fontId="7" fillId="2" borderId="1" xfId="4" applyFont="1" applyFill="1" applyBorder="1" applyAlignment="1">
      <alignment horizontal="center" vertical="center"/>
    </xf>
    <xf numFmtId="0" fontId="8" fillId="0" borderId="1" xfId="0" applyFont="1" applyBorder="1" applyAlignment="1">
      <alignment vertical="center"/>
    </xf>
    <xf numFmtId="6" fontId="9" fillId="0" borderId="1" xfId="0" applyNumberFormat="1" applyFont="1" applyBorder="1" applyAlignment="1">
      <alignment vertical="center" wrapText="1"/>
    </xf>
    <xf numFmtId="0" fontId="10" fillId="0" borderId="2" xfId="0" applyFont="1" applyBorder="1" applyAlignment="1">
      <alignment vertical="center"/>
    </xf>
    <xf numFmtId="0" fontId="10" fillId="0" borderId="0" xfId="0" applyFont="1" applyAlignment="1">
      <alignment vertical="center"/>
    </xf>
    <xf numFmtId="166" fontId="5" fillId="0" borderId="0" xfId="4" applyNumberFormat="1" applyFont="1" applyAlignment="1">
      <alignment horizontal="center" vertical="center"/>
    </xf>
    <xf numFmtId="0" fontId="10" fillId="0" borderId="1" xfId="0" applyFont="1" applyBorder="1" applyAlignment="1">
      <alignment vertical="center"/>
    </xf>
    <xf numFmtId="0" fontId="5" fillId="0" borderId="0" xfId="0" applyFont="1"/>
    <xf numFmtId="0" fontId="7" fillId="0" borderId="1" xfId="0" applyFont="1" applyBorder="1" applyAlignment="1">
      <alignment horizontal="center"/>
    </xf>
    <xf numFmtId="0" fontId="11" fillId="0" borderId="1" xfId="0" applyFont="1" applyBorder="1"/>
    <xf numFmtId="167" fontId="11" fillId="0" borderId="1" xfId="0" applyNumberFormat="1" applyFont="1" applyBorder="1"/>
    <xf numFmtId="166" fontId="7" fillId="0" borderId="1" xfId="1" applyNumberFormat="1" applyFont="1" applyBorder="1"/>
    <xf numFmtId="0" fontId="5" fillId="0" borderId="1" xfId="5" applyFont="1" applyBorder="1" applyProtection="1">
      <protection locked="0"/>
    </xf>
    <xf numFmtId="0" fontId="5" fillId="0" borderId="1" xfId="5" applyFont="1" applyBorder="1"/>
    <xf numFmtId="166" fontId="5" fillId="0" borderId="1" xfId="4" applyNumberFormat="1" applyFont="1" applyBorder="1" applyAlignment="1">
      <alignment vertical="center"/>
    </xf>
    <xf numFmtId="166" fontId="5" fillId="0" borderId="1" xfId="5" applyNumberFormat="1" applyFont="1" applyBorder="1" applyAlignment="1">
      <alignment vertical="center"/>
    </xf>
    <xf numFmtId="0" fontId="13" fillId="0" borderId="1" xfId="0" applyFont="1" applyBorder="1"/>
    <xf numFmtId="0" fontId="7" fillId="3" borderId="1" xfId="0" applyFont="1" applyFill="1" applyBorder="1"/>
    <xf numFmtId="0" fontId="6" fillId="3" borderId="1" xfId="5" applyFont="1" applyFill="1" applyBorder="1" applyAlignment="1">
      <alignment horizontal="center"/>
    </xf>
    <xf numFmtId="167" fontId="6" fillId="3" borderId="1" xfId="5" applyNumberFormat="1" applyFont="1" applyFill="1" applyBorder="1" applyAlignment="1">
      <alignment horizontal="center" vertical="center"/>
    </xf>
    <xf numFmtId="166" fontId="7" fillId="3" borderId="1" xfId="1" applyNumberFormat="1" applyFont="1" applyFill="1" applyBorder="1"/>
    <xf numFmtId="0" fontId="13" fillId="0" borderId="1" xfId="6" applyFont="1" applyBorder="1"/>
    <xf numFmtId="0" fontId="12" fillId="0" borderId="7" xfId="5" applyFont="1" applyBorder="1"/>
    <xf numFmtId="0" fontId="6" fillId="3" borderId="8" xfId="5" applyFont="1" applyFill="1" applyBorder="1" applyAlignment="1">
      <alignment horizontal="center"/>
    </xf>
    <xf numFmtId="167" fontId="6" fillId="3" borderId="9" xfId="5" applyNumberFormat="1" applyFont="1" applyFill="1" applyBorder="1" applyAlignment="1">
      <alignment horizontal="center" vertical="center"/>
    </xf>
    <xf numFmtId="0" fontId="14" fillId="4" borderId="1" xfId="0" applyFont="1" applyFill="1" applyBorder="1" applyAlignment="1">
      <alignment wrapText="1"/>
    </xf>
    <xf numFmtId="0" fontId="14" fillId="4" borderId="4" xfId="0" applyFont="1" applyFill="1" applyBorder="1" applyAlignment="1">
      <alignment wrapText="1"/>
    </xf>
    <xf numFmtId="0" fontId="14" fillId="5" borderId="4" xfId="0" applyFont="1" applyFill="1" applyBorder="1" applyAlignment="1">
      <alignment wrapText="1"/>
    </xf>
    <xf numFmtId="0" fontId="15" fillId="0" borderId="5" xfId="0" applyFont="1" applyBorder="1"/>
    <xf numFmtId="0" fontId="15" fillId="6" borderId="13" xfId="0" applyFont="1" applyFill="1" applyBorder="1"/>
    <xf numFmtId="0" fontId="15" fillId="0" borderId="13" xfId="0" applyFont="1" applyBorder="1"/>
    <xf numFmtId="0" fontId="16" fillId="0" borderId="13" xfId="0" applyFont="1" applyBorder="1"/>
    <xf numFmtId="0" fontId="15" fillId="7" borderId="13" xfId="0" applyFont="1" applyFill="1" applyBorder="1"/>
    <xf numFmtId="0" fontId="17" fillId="0" borderId="1" xfId="0" applyFont="1" applyBorder="1"/>
    <xf numFmtId="0" fontId="17" fillId="0" borderId="4" xfId="0" applyFont="1" applyBorder="1"/>
    <xf numFmtId="0" fontId="17" fillId="0" borderId="5" xfId="0" applyFont="1" applyBorder="1"/>
    <xf numFmtId="0" fontId="17" fillId="0" borderId="13" xfId="0" applyFont="1" applyBorder="1"/>
    <xf numFmtId="0" fontId="0" fillId="0" borderId="0" xfId="0" pivotButton="1"/>
    <xf numFmtId="0" fontId="0" fillId="0" borderId="0" xfId="0" applyAlignment="1">
      <alignment horizontal="center"/>
    </xf>
    <xf numFmtId="10" fontId="0" fillId="0" borderId="0" xfId="0" applyNumberFormat="1" applyAlignment="1">
      <alignment horizontal="center"/>
    </xf>
    <xf numFmtId="168" fontId="0" fillId="0" borderId="0" xfId="0" applyNumberFormat="1"/>
    <xf numFmtId="6" fontId="0" fillId="0" borderId="0" xfId="0" applyNumberFormat="1"/>
    <xf numFmtId="10" fontId="0" fillId="9" borderId="7" xfId="0" applyNumberFormat="1" applyFill="1" applyBorder="1" applyAlignment="1">
      <alignment horizontal="center"/>
    </xf>
    <xf numFmtId="164" fontId="7" fillId="2" borderId="3" xfId="4" applyFont="1" applyFill="1" applyBorder="1" applyAlignment="1">
      <alignment horizontal="center" vertical="center"/>
    </xf>
    <xf numFmtId="164" fontId="7" fillId="2" borderId="8" xfId="4" applyFont="1" applyFill="1" applyBorder="1" applyAlignment="1">
      <alignment horizontal="center" vertical="center"/>
    </xf>
    <xf numFmtId="167" fontId="11" fillId="0" borderId="5" xfId="0" applyNumberFormat="1" applyFont="1" applyBorder="1"/>
    <xf numFmtId="6" fontId="9" fillId="10" borderId="1" xfId="0" applyNumberFormat="1" applyFont="1" applyFill="1" applyBorder="1" applyAlignment="1">
      <alignment horizontal="center"/>
    </xf>
    <xf numFmtId="166" fontId="5" fillId="10" borderId="1" xfId="4" applyNumberFormat="1" applyFont="1" applyFill="1" applyBorder="1" applyAlignment="1">
      <alignment horizontal="center" vertical="center"/>
    </xf>
    <xf numFmtId="0" fontId="18" fillId="0" borderId="7" xfId="0" applyFont="1" applyBorder="1" applyAlignment="1">
      <alignment horizontal="center"/>
    </xf>
    <xf numFmtId="166" fontId="5" fillId="0" borderId="7" xfId="4" applyNumberFormat="1" applyFont="1" applyBorder="1" applyAlignment="1">
      <alignment vertical="center"/>
    </xf>
    <xf numFmtId="166" fontId="5" fillId="0" borderId="7" xfId="5" applyNumberFormat="1" applyFont="1" applyBorder="1" applyAlignment="1">
      <alignment vertical="center"/>
    </xf>
    <xf numFmtId="0" fontId="5" fillId="0" borderId="7" xfId="5" applyFont="1" applyBorder="1" applyAlignment="1" applyProtection="1">
      <alignment horizontal="center" vertical="center"/>
      <protection locked="0"/>
    </xf>
    <xf numFmtId="0" fontId="18" fillId="0" borderId="10" xfId="0" applyFont="1" applyBorder="1" applyAlignment="1">
      <alignment horizontal="center"/>
    </xf>
    <xf numFmtId="166" fontId="5" fillId="0" borderId="8" xfId="4" applyNumberFormat="1" applyFont="1" applyBorder="1" applyAlignment="1">
      <alignment vertical="center"/>
    </xf>
    <xf numFmtId="166" fontId="5" fillId="0" borderId="8" xfId="5" applyNumberFormat="1" applyFont="1" applyBorder="1" applyAlignment="1">
      <alignment vertical="center"/>
    </xf>
    <xf numFmtId="167" fontId="6" fillId="3" borderId="13" xfId="5" applyNumberFormat="1" applyFont="1" applyFill="1" applyBorder="1" applyAlignment="1">
      <alignment horizontal="center" vertical="center"/>
    </xf>
    <xf numFmtId="167" fontId="6" fillId="3" borderId="5" xfId="5" applyNumberFormat="1" applyFont="1" applyFill="1" applyBorder="1" applyAlignment="1">
      <alignment horizontal="center" vertical="center"/>
    </xf>
    <xf numFmtId="0" fontId="11" fillId="0" borderId="8" xfId="0" applyFont="1" applyBorder="1"/>
    <xf numFmtId="167" fontId="11" fillId="0" borderId="8" xfId="0" applyNumberFormat="1" applyFont="1" applyBorder="1"/>
    <xf numFmtId="168" fontId="19" fillId="0" borderId="5" xfId="0" applyNumberFormat="1" applyFont="1" applyBorder="1" applyAlignment="1">
      <alignment horizontal="center"/>
    </xf>
    <xf numFmtId="0" fontId="20" fillId="0" borderId="0" xfId="0" applyFont="1"/>
    <xf numFmtId="0" fontId="21" fillId="0" borderId="0" xfId="0" applyFont="1" applyAlignment="1">
      <alignment vertical="center"/>
    </xf>
    <xf numFmtId="0" fontId="22" fillId="0" borderId="0" xfId="0" applyFont="1"/>
    <xf numFmtId="0" fontId="23" fillId="0" borderId="0" xfId="0" applyFont="1"/>
    <xf numFmtId="1" fontId="20" fillId="0" borderId="0" xfId="0" applyNumberFormat="1" applyFont="1" applyAlignment="1">
      <alignment horizontal="right" vertical="center"/>
    </xf>
    <xf numFmtId="0" fontId="7" fillId="8" borderId="1" xfId="0" applyFont="1" applyFill="1" applyBorder="1" applyAlignment="1">
      <alignment horizontal="center" vertical="center" wrapText="1"/>
    </xf>
    <xf numFmtId="0" fontId="7" fillId="8" borderId="1" xfId="0" applyFont="1" applyFill="1" applyBorder="1" applyAlignment="1" applyProtection="1">
      <alignment horizontal="center" vertical="center" wrapText="1"/>
      <protection locked="0"/>
    </xf>
    <xf numFmtId="168" fontId="7" fillId="8" borderId="1" xfId="1" applyNumberFormat="1" applyFont="1" applyFill="1" applyBorder="1" applyAlignment="1">
      <alignment horizontal="center" vertical="center" wrapText="1"/>
    </xf>
    <xf numFmtId="169" fontId="7" fillId="8" borderId="1" xfId="0" applyNumberFormat="1" applyFont="1" applyFill="1" applyBorder="1" applyAlignment="1">
      <alignment horizontal="center" vertical="center" wrapText="1"/>
    </xf>
    <xf numFmtId="169" fontId="7" fillId="8" borderId="1" xfId="0" applyNumberFormat="1" applyFont="1" applyFill="1" applyBorder="1" applyAlignment="1" applyProtection="1">
      <alignment horizontal="center" vertical="center" wrapText="1"/>
      <protection locked="0"/>
    </xf>
    <xf numFmtId="1" fontId="7" fillId="8" borderId="1" xfId="0" applyNumberFormat="1" applyFont="1" applyFill="1" applyBorder="1" applyAlignment="1">
      <alignment horizontal="right" vertical="center" wrapText="1"/>
    </xf>
    <xf numFmtId="168" fontId="7" fillId="8" borderId="1" xfId="1" applyNumberFormat="1" applyFont="1" applyFill="1" applyBorder="1" applyAlignment="1" applyProtection="1">
      <alignment horizontal="left" vertical="center"/>
      <protection locked="0"/>
    </xf>
    <xf numFmtId="0" fontId="11" fillId="0" borderId="1" xfId="0" applyFont="1" applyBorder="1" applyAlignment="1">
      <alignment horizontal="left"/>
    </xf>
    <xf numFmtId="170" fontId="11" fillId="0" borderId="1" xfId="0" applyNumberFormat="1" applyFont="1" applyBorder="1"/>
    <xf numFmtId="1" fontId="11" fillId="0" borderId="1" xfId="0" applyNumberFormat="1" applyFont="1" applyBorder="1" applyAlignment="1">
      <alignment horizontal="right"/>
    </xf>
    <xf numFmtId="168" fontId="11" fillId="0" borderId="1" xfId="0" applyNumberFormat="1" applyFont="1" applyBorder="1" applyAlignment="1">
      <alignment horizontal="center" vertical="center"/>
    </xf>
    <xf numFmtId="0" fontId="11" fillId="0" borderId="1" xfId="0" applyFont="1" applyBorder="1" applyAlignment="1">
      <alignment horizontal="right"/>
    </xf>
    <xf numFmtId="0" fontId="7" fillId="0" borderId="1" xfId="0" applyFont="1" applyBorder="1" applyAlignment="1">
      <alignment horizontal="center"/>
    </xf>
    <xf numFmtId="0" fontId="7" fillId="3" borderId="3" xfId="0" applyFont="1" applyFill="1" applyBorder="1" applyAlignment="1">
      <alignment horizontal="center"/>
    </xf>
    <xf numFmtId="0" fontId="7" fillId="3" borderId="6" xfId="0" applyFont="1" applyFill="1" applyBorder="1" applyAlignment="1">
      <alignment horizontal="center"/>
    </xf>
    <xf numFmtId="0" fontId="7" fillId="3" borderId="4" xfId="0" applyFont="1" applyFill="1" applyBorder="1" applyAlignment="1">
      <alignment horizontal="center"/>
    </xf>
    <xf numFmtId="0" fontId="7" fillId="0" borderId="5"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1" fontId="11" fillId="0" borderId="11" xfId="1" applyNumberFormat="1" applyFont="1" applyBorder="1" applyAlignment="1">
      <alignment horizontal="center"/>
    </xf>
    <xf numFmtId="1" fontId="11" fillId="0" borderId="12" xfId="1" applyNumberFormat="1" applyFont="1" applyBorder="1" applyAlignment="1">
      <alignment horizontal="center"/>
    </xf>
    <xf numFmtId="0" fontId="7" fillId="3" borderId="3" xfId="5" applyFont="1" applyFill="1" applyBorder="1" applyAlignment="1">
      <alignment horizontal="center"/>
    </xf>
    <xf numFmtId="0" fontId="7" fillId="3" borderId="6" xfId="5" applyFont="1" applyFill="1" applyBorder="1" applyAlignment="1">
      <alignment horizontal="center"/>
    </xf>
    <xf numFmtId="0" fontId="7" fillId="3" borderId="4" xfId="5" applyFont="1" applyFill="1" applyBorder="1" applyAlignment="1">
      <alignment horizontal="center"/>
    </xf>
    <xf numFmtId="17" fontId="7" fillId="3" borderId="3" xfId="5" applyNumberFormat="1" applyFont="1" applyFill="1" applyBorder="1" applyAlignment="1" applyProtection="1">
      <alignment horizontal="center"/>
      <protection locked="0"/>
    </xf>
    <xf numFmtId="17" fontId="7" fillId="3" borderId="6" xfId="5" applyNumberFormat="1" applyFont="1" applyFill="1" applyBorder="1" applyAlignment="1" applyProtection="1">
      <alignment horizontal="center"/>
      <protection locked="0"/>
    </xf>
    <xf numFmtId="17" fontId="7" fillId="3" borderId="4" xfId="5" applyNumberFormat="1" applyFont="1" applyFill="1" applyBorder="1" applyAlignment="1" applyProtection="1">
      <alignment horizontal="center"/>
      <protection locked="0"/>
    </xf>
    <xf numFmtId="1" fontId="11" fillId="0" borderId="1" xfId="1" applyNumberFormat="1" applyFont="1" applyBorder="1" applyAlignment="1">
      <alignment horizontal="center"/>
    </xf>
    <xf numFmtId="0" fontId="7" fillId="3" borderId="1" xfId="0" applyFont="1" applyFill="1" applyBorder="1" applyAlignment="1">
      <alignment horizontal="center"/>
    </xf>
    <xf numFmtId="49" fontId="7" fillId="3" borderId="1" xfId="0" applyNumberFormat="1" applyFont="1" applyFill="1" applyBorder="1" applyAlignment="1">
      <alignment horizontal="center"/>
    </xf>
    <xf numFmtId="0" fontId="7" fillId="2" borderId="0" xfId="0" applyFont="1" applyFill="1" applyAlignment="1">
      <alignment horizontal="center"/>
    </xf>
  </cellXfs>
  <cellStyles count="7">
    <cellStyle name="Moneda" xfId="1" builtinId="4"/>
    <cellStyle name="Moneda 2 10" xfId="4" xr:uid="{00000000-0005-0000-0000-000001000000}"/>
    <cellStyle name="Normal" xfId="0" builtinId="0"/>
    <cellStyle name="Normal 172" xfId="3" xr:uid="{00000000-0005-0000-0000-000003000000}"/>
    <cellStyle name="Normal 177" xfId="6" xr:uid="{0A95A77B-9D49-42E9-8927-52D2AFB01FA1}"/>
    <cellStyle name="Normal 2 10 2" xfId="5" xr:uid="{00000000-0005-0000-0000-000004000000}"/>
    <cellStyle name="Normal 2 2 2 2 6 2" xfId="2" xr:uid="{00000000-0005-0000-0000-000005000000}"/>
  </cellStyles>
  <dxfs count="4">
    <dxf>
      <font>
        <color rgb="FF9C0006"/>
      </font>
      <fill>
        <patternFill>
          <bgColor rgb="FFFFC7CE"/>
        </patternFill>
      </fill>
    </dxf>
    <dxf>
      <alignment horizontal="center"/>
    </dxf>
    <dxf>
      <alignment horizontal="center"/>
    </dxf>
    <dxf>
      <numFmt numFmtId="168" formatCode="_-&quot;$&quot;* #,##0_-;\-&quot;$&quot;* #,##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pivotCacheDefinition" Target="pivotCache/pivotCacheDefinition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13</xdr:col>
      <xdr:colOff>752475</xdr:colOff>
      <xdr:row>0</xdr:row>
      <xdr:rowOff>0</xdr:rowOff>
    </xdr:from>
    <xdr:to>
      <xdr:col>13</xdr:col>
      <xdr:colOff>752475</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55CCF4B3-253F-479B-87D6-7D92DD202B28}"/>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752475</xdr:colOff>
      <xdr:row>0</xdr:row>
      <xdr:rowOff>76200</xdr:rowOff>
    </xdr:to>
    <xdr:pic>
      <xdr:nvPicPr>
        <xdr:cNvPr id="4" name="Picture 3">
          <a:extLst>
            <a:ext uri="{FF2B5EF4-FFF2-40B4-BE49-F238E27FC236}">
              <a16:creationId xmlns:a16="http://schemas.microsoft.com/office/drawing/2014/main" id="{39674A97-53B7-4AA9-B4CF-8D52833B83B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5" name="Picture 4">
          <a:extLst>
            <a:ext uri="{FF2B5EF4-FFF2-40B4-BE49-F238E27FC236}">
              <a16:creationId xmlns:a16="http://schemas.microsoft.com/office/drawing/2014/main" id="{00943430-7326-4322-954C-BBA0F29393C7}"/>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pic>
      <xdr:nvPicPr>
        <xdr:cNvPr id="6" name="ComboBox1">
          <a:extLst>
            <a:ext uri="{FF2B5EF4-FFF2-40B4-BE49-F238E27FC236}">
              <a16:creationId xmlns:a16="http://schemas.microsoft.com/office/drawing/2014/main" id="{5EE9C55E-5702-4BEC-BCB8-CD5064E8C4E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752475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D76E7B39-2056-45C4-891A-F622CBBF22F0}"/>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8" name="ComboBox1" hidden="1">
          <a:extLst>
            <a:ext uri="{63B3BB69-23CF-44E3-9099-C40C66FF867C}">
              <a14:compatExt xmlns:a14="http://schemas.microsoft.com/office/drawing/2010/main" spid="_x0000_s1028"/>
            </a:ext>
            <a:ext uri="{FF2B5EF4-FFF2-40B4-BE49-F238E27FC236}">
              <a16:creationId xmlns:a16="http://schemas.microsoft.com/office/drawing/2014/main" id="{117D3C09-ECC0-45CD-850D-82F09C814FC2}"/>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23098184-A18A-44D5-B9D3-BD6B4CD528E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0" name="ComboBox1" hidden="1">
          <a:extLst>
            <a:ext uri="{63B3BB69-23CF-44E3-9099-C40C66FF867C}">
              <a14:compatExt xmlns:a14="http://schemas.microsoft.com/office/drawing/2010/main" spid="_x0000_s1028"/>
            </a:ext>
            <a:ext uri="{FF2B5EF4-FFF2-40B4-BE49-F238E27FC236}">
              <a16:creationId xmlns:a16="http://schemas.microsoft.com/office/drawing/2014/main" id="{76ABE6AF-11A4-4CDC-88DB-03B68E76E4E6}"/>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A6170E98-F50B-4860-B0FF-8A1F35E6A4C6}"/>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F7667E46-FD47-4BBF-A362-668465AB29E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11</xdr:col>
      <xdr:colOff>0</xdr:colOff>
      <xdr:row>0</xdr:row>
      <xdr:rowOff>0</xdr:rowOff>
    </xdr:from>
    <xdr:to>
      <xdr:col>11</xdr:col>
      <xdr:colOff>17145</xdr:colOff>
      <xdr:row>0</xdr:row>
      <xdr:rowOff>76200</xdr:rowOff>
    </xdr:to>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8CA529D1-EE55-4F38-B481-CA553B81B782}"/>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14" name="Picture 3">
          <a:extLst>
            <a:ext uri="{FF2B5EF4-FFF2-40B4-BE49-F238E27FC236}">
              <a16:creationId xmlns:a16="http://schemas.microsoft.com/office/drawing/2014/main" id="{B964519B-D46F-4727-ACAD-66D43D149DB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15" name="Picture 4">
          <a:extLst>
            <a:ext uri="{FF2B5EF4-FFF2-40B4-BE49-F238E27FC236}">
              <a16:creationId xmlns:a16="http://schemas.microsoft.com/office/drawing/2014/main" id="{8C05851D-E6F3-47F8-ABE6-25660E74C05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16" name="ComboBox1">
          <a:extLst>
            <a:ext uri="{FF2B5EF4-FFF2-40B4-BE49-F238E27FC236}">
              <a16:creationId xmlns:a16="http://schemas.microsoft.com/office/drawing/2014/main" id="{B6B8717B-C2F2-469E-A3F8-7F31A986749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077E73C0-F778-483E-AEC0-73FBBBCDAAF5}"/>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752475</xdr:colOff>
      <xdr:row>0</xdr:row>
      <xdr:rowOff>76200</xdr:rowOff>
    </xdr:to>
    <xdr:sp macro="" textlink="">
      <xdr:nvSpPr>
        <xdr:cNvPr id="19" name="ComboBox1" hidden="1">
          <a:extLst>
            <a:ext uri="{63B3BB69-23CF-44E3-9099-C40C66FF867C}">
              <a14:compatExt xmlns:a14="http://schemas.microsoft.com/office/drawing/2010/main" spid="_x0000_s1028"/>
            </a:ext>
            <a:ext uri="{FF2B5EF4-FFF2-40B4-BE49-F238E27FC236}">
              <a16:creationId xmlns:a16="http://schemas.microsoft.com/office/drawing/2014/main" id="{F728C50A-E37D-4E6D-9A29-283B91A68DB1}"/>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752475</xdr:colOff>
      <xdr:row>0</xdr:row>
      <xdr:rowOff>76200</xdr:rowOff>
    </xdr:to>
    <xdr:pic>
      <xdr:nvPicPr>
        <xdr:cNvPr id="20" name="Picture 3">
          <a:extLst>
            <a:ext uri="{FF2B5EF4-FFF2-40B4-BE49-F238E27FC236}">
              <a16:creationId xmlns:a16="http://schemas.microsoft.com/office/drawing/2014/main" id="{56B3192C-6999-4560-9E73-7D7D170E6C6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pic>
      <xdr:nvPicPr>
        <xdr:cNvPr id="21" name="Picture 4">
          <a:extLst>
            <a:ext uri="{FF2B5EF4-FFF2-40B4-BE49-F238E27FC236}">
              <a16:creationId xmlns:a16="http://schemas.microsoft.com/office/drawing/2014/main" id="{65F538B9-F36C-4212-9119-F91BB51E01B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pic>
      <xdr:nvPicPr>
        <xdr:cNvPr id="22" name="ComboBox1">
          <a:extLst>
            <a:ext uri="{FF2B5EF4-FFF2-40B4-BE49-F238E27FC236}">
              <a16:creationId xmlns:a16="http://schemas.microsoft.com/office/drawing/2014/main" id="{2B53B498-1DE5-4B6A-A4D7-4F5F99BA5C5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sp macro="" textlink="">
      <xdr:nvSpPr>
        <xdr:cNvPr id="23" name="ComboBox1" hidden="1">
          <a:extLst>
            <a:ext uri="{63B3BB69-23CF-44E3-9099-C40C66FF867C}">
              <a14:compatExt xmlns:a14="http://schemas.microsoft.com/office/drawing/2010/main" spid="_x0000_s1028"/>
            </a:ext>
            <a:ext uri="{FF2B5EF4-FFF2-40B4-BE49-F238E27FC236}">
              <a16:creationId xmlns:a16="http://schemas.microsoft.com/office/drawing/2014/main" id="{2859CE56-129B-465C-869F-76303385D5B7}"/>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519762152777" createdVersion="8" refreshedVersion="8" minRefreshableVersion="3" recordCount="109" xr:uid="{47C888AB-724F-43CB-9535-8CFDEF0BAE70}">
  <cacheSource type="worksheet">
    <worksheetSource ref="A1:AD1048576" sheet="CIERRES"/>
  </cacheSource>
  <cacheFields count="30">
    <cacheField name="CIUDAD SEDE" numFmtId="0">
      <sharedItems containsBlank="1"/>
    </cacheField>
    <cacheField name="COORDINADOR" numFmtId="0">
      <sharedItems containsBlank="1" count="8">
        <s v="WILLIAM ASDRUBAL ROZO ROZO"/>
        <s v="MIGUEL JULIÁN HERNÁNDEZ GUARÍN"/>
        <s v="DIEGO FERNANDO HENAO CARDONA"/>
        <s v="JUAN SEBASTIÁN RÍOS CASTRILLÓN"/>
        <s v="JOSE MAURICIO HERNANDEZ ROJAS"/>
        <s v="KEVIN ALEXIS CORZO BUSTOS"/>
        <m/>
        <e v="#N/A" u="1"/>
      </sharedItems>
    </cacheField>
    <cacheField name="CENTRO DE COSTOS LÍNEACOM" numFmtId="0">
      <sharedItems containsBlank="1" count="8">
        <s v="0004-0004"/>
        <s v="0004-0008"/>
        <s v="0004-0003"/>
        <s v="0004-0002"/>
        <s v="0004-0005"/>
        <s v="0004-0001"/>
        <s v="0004-0007"/>
        <m/>
      </sharedItems>
    </cacheField>
    <cacheField name="CÓDIGO DANE" numFmtId="0">
      <sharedItems containsString="0" containsBlank="1" containsNumber="1" containsInteger="1" minValue="5001" maxValue="95001"/>
    </cacheField>
    <cacheField name="TA/CODIGO ACTIVIDAD" numFmtId="0">
      <sharedItems containsBlank="1"/>
    </cacheField>
    <cacheField name="CODIGO CB" numFmtId="0">
      <sharedItems containsString="0" containsBlank="1" containsNumber="1" containsInteger="1" minValue="10028" maxValue="80786"/>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8-25T08:00:00" maxDate="2025-10-01T16:10:00"/>
    </cacheField>
    <cacheField name="FECHA DEL CIERRE DEL TICKET (DD/MM/AAAA)" numFmtId="0">
      <sharedItems containsNonDate="0" containsDate="1" containsString="0" containsBlank="1" minDate="2025-09-01T15:41:00" maxDate="2025-09-30T16:41:00"/>
    </cacheField>
    <cacheField name="ACOMETIDA" numFmtId="0">
      <sharedItems containsNonDate="0" containsString="0" containsBlank="1"/>
    </cacheField>
    <cacheField name="SOLICITUD" numFmtId="0">
      <sharedItems containsBlank="1"/>
    </cacheField>
    <cacheField name="DESCRIPCIÓ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TERMINAL "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3"/>
    </cacheField>
    <cacheField name="VALOR ACTIVIDAD" numFmtId="0">
      <sharedItems containsString="0" containsBlank="1" containsNumber="1" minValue="0" maxValue="464809.36800000002"/>
    </cacheField>
    <cacheField name="VALOR TOTAL" numFmtId="0">
      <sharedItems containsString="0" containsBlank="1" containsNumber="1" minValue="0" maxValue="12918631.53599999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s v="BOGOTA"/>
    <x v="0"/>
    <x v="0"/>
    <n v="11001"/>
    <s v="LC-CS-25-000620"/>
    <n v="56213"/>
    <s v="ORDEN DE CAMBIO"/>
    <s v="CUNDINAMARCA"/>
    <s v="BOGOTA"/>
    <s v="BARRIO SAN CIPRIANO BOGOTA 3"/>
    <s v="REDEBAN"/>
    <s v="FO-25-1600137"/>
    <d v="2025-09-29T15:21:00"/>
    <d v="2025-09-30T16:41:00"/>
    <m/>
    <s v="CIERRE"/>
    <s v="RECUPERACION DE EQUIPOS"/>
    <s v="UNO A UNO"/>
    <s v="CB UNO A UNO"/>
    <s v="ILOCALIZADO"/>
    <s v="CB CERRADO - DESOCUPADO"/>
    <s v="30/09/2025 SE REALIZA VISITA DE CAMPO ENCONTRADO QUE COMERCIO YA NO EXISTE YA QUE CAMBIARON DE DUEÑO Y DESCONOCEN DE LA UBICACIÓN DE LOS EQUIPOS, SE INTENTA COMUNICACIÓN A LA LINEA 3108875578 PERO NO HAY RESPUESTA, POR LO ANTERIOR SE DA CIERRE A SOLICITUD."/>
    <s v="VISITA_TÉCNICA"/>
    <s v="0"/>
    <s v="TIPO I"/>
    <s v="TERRESTRE"/>
    <s v="LOZADA ROJAS CHRISTIAN ANDRES"/>
    <n v="1"/>
    <n v="44559.563999999998"/>
    <n v="44559.563999999998"/>
  </r>
  <r>
    <s v="BOGOTA"/>
    <x v="0"/>
    <x v="0"/>
    <n v="11001"/>
    <s v="LC-CS-25-000614"/>
    <n v="51555"/>
    <s v="ORDEN DE CAMBIO"/>
    <s v="CUNDINAMARCA"/>
    <s v="BOGOTA"/>
    <s v="BARRIO LA ESMERALDA BOGOTA 1"/>
    <s v="REDEBAN"/>
    <s v="FO-25-1592229"/>
    <d v="2025-09-27T09:00:00"/>
    <d v="2025-09-29T11:48:00"/>
    <m/>
    <s v="CIERRE"/>
    <s v="CIERRE"/>
    <s v="UNO A UNO"/>
    <s v="CB UNO A UNO"/>
    <s v="NO_EXITOSO"/>
    <s v="CB NO ENTREGA EQUIPO"/>
    <s v="27/09/2025 SE INTENTA COMUNICACIÓN AL NÚMERO 3158820631 SUENA PERO NO HAY CONTACTO, SE INTENTARÁ NUEVAMENTE | 29/09/2025 SE INFORMA AL SEÑOR YEISON ESTIVEN AMEZQUITA GALINDO CC:   TELÉFONO 3158820631 SOBRE LA ORDEN DEL CIERRE  EN LA CUAL EL INDICA QUE NUNCA LE INFORMARON SOBRE ESTO Y POR LO CUAL NO ENTREGARA EQUIPOS NI PUBLICIDAD HASTA QUE LOGRÉ VALIDAR CON EL BANCO"/>
    <s v="VISITA_TÉCNICA"/>
    <s v="AD09Z923"/>
    <s v="TIPO I"/>
    <s v="TERRESTRE"/>
    <s v="ALARCON AREVALO JOHAN STIVEN"/>
    <n v="1"/>
    <n v="44559.563999999998"/>
    <n v="44559.563999999998"/>
  </r>
  <r>
    <s v="CUCUTA"/>
    <x v="1"/>
    <x v="1"/>
    <n v="54405"/>
    <s v="LC-CS-25-000611"/>
    <n v="77857"/>
    <s v="ORDEN DE CAMBIO"/>
    <s v="NORTE DE SANTANDER"/>
    <s v="LOS PATIOS"/>
    <s v="PTM PUNTOSERVIS LOS PATIOS 1 L"/>
    <s v="REDEBAN"/>
    <s v="FO-25-1586207"/>
    <d v="2025-09-26T08:00:00"/>
    <d v="2025-09-26T12:24:00"/>
    <m/>
    <s v="CIERRE"/>
    <s v="RECUPERACION DE EQUIPOS"/>
    <s v="AGREGADOR"/>
    <s v="COMCARD - PTM"/>
    <s v="ILOCALIZADO"/>
    <s v="CB CERRADO - DESOCUPADO"/>
    <s v="26/09/2025 SE VISITA DIRECCIÓN Y NO SE ENCUENTRA CB ACTIVO, SE REALIZA LLAMADAS AL CLIENTE Y NO SE OBTIENE RESPUESTA."/>
    <s v="VISITA_TÉCNICA"/>
    <s v="NA"/>
    <s v="TIPO I"/>
    <s v="TERRESTRE"/>
    <s v="TORRES MANTILLA JOSE DANIEL"/>
    <n v="1"/>
    <n v="44559.563999999998"/>
    <n v="44559.563999999998"/>
  </r>
  <r>
    <s v="CALI"/>
    <x v="2"/>
    <x v="2"/>
    <n v="19807"/>
    <s v="LC-CS-25-000597"/>
    <n v="80309"/>
    <s v="ORDEN DE CAMBIO"/>
    <s v="CAUCA"/>
    <s v="TIMBIO"/>
    <s v="BARRIO PUEBLO NUEVO TIMBIO"/>
    <s v="REDEBAN"/>
    <s v="FO-25-1584952"/>
    <d v="2025-09-25T15:13:00"/>
    <d v="2025-09-29T15:43:00"/>
    <m/>
    <s v="CIERRE"/>
    <s v="CIERRE"/>
    <s v="UNO A UNO"/>
    <s v="UNO A UNO"/>
    <s v="ILOCALIZADO"/>
    <s v="CB CERRADO - DESOCUPADO"/>
    <s v="26/09/2025 EN COMUNICACIÓN CON EL SR MARIO ANDRES GUZMAN PORTILLA AL NÚMERO 3228034636 NOS CONFIRMA LA SOLICITUD, DATOS CORRECTOS. SE ESCALA PARA VISITA | 29/09/2025 SE INGRESA SE ENCUENTRA COMERCIO CERRADO"/>
    <s v="VISITA_TÉCNICA"/>
    <s v="FAZZZ526"/>
    <s v="TIPO III"/>
    <s v="TERRESTRE"/>
    <s v="GIMBUEL LASSO LUIS GERMAN"/>
    <n v="1"/>
    <n v="222904.07200000001"/>
    <n v="222904.07200000001"/>
  </r>
  <r>
    <s v="BOGOTA"/>
    <x v="0"/>
    <x v="0"/>
    <n v="25269"/>
    <s v="LC-CS-25-000598"/>
    <n v="79939"/>
    <s v="ORDEN DE CAMBIO"/>
    <s v="CUNDINAMARCA"/>
    <s v="FACATATIVA"/>
    <s v="BARRIO CENTRO FACATATIVA 8"/>
    <s v="REDEBAN"/>
    <s v="FO-25-1584930"/>
    <d v="2025-09-25T15:13:00"/>
    <d v="2025-09-26T14:03:00"/>
    <m/>
    <s v="CIERRE"/>
    <s v="CIERRE"/>
    <s v="UNO A UNO"/>
    <s v="UNO A UNO"/>
    <s v="ILOCALIZADO"/>
    <s v="CB CERRADO - DESOCUPADO"/>
    <s v="26/09/2025 SE REALIZA VISITA DE CAMPO ENCONTRADO QUE COMERCIO NO EXISTE EN DIRECCIÓN INDICADA EN RUTA, SE INTENTA COMUNICACIÓN A LA LÍNEA 3138969621 NO HAY RESPUESTA, SE INFORMA A SUPERVISOR Y AUTORIZA CIERRE DE VISITA."/>
    <s v="VISITA_TÉCNICA"/>
    <s v="0"/>
    <s v="TIPO II"/>
    <s v="TERRESTRE"/>
    <s v="LOZADA ROJAS CHRISTIAN ANDRES"/>
    <n v="1"/>
    <n v="134410.88400000002"/>
    <n v="134410.88400000002"/>
  </r>
  <r>
    <s v="TUNJA"/>
    <x v="1"/>
    <x v="1"/>
    <n v="15455"/>
    <s v="LC-CS-25-000582"/>
    <n v="30209"/>
    <s v="ORDEN DE CAMBIO"/>
    <s v="BOYACA"/>
    <s v="MIRAFLORES"/>
    <s v="BARRIO CANTRO MIRAFLORES"/>
    <s v="REDEBAN"/>
    <s v="FO-25-1581608"/>
    <d v="2025-09-25T08:00:00"/>
    <d v="2025-09-30T10:19:00"/>
    <m/>
    <s v="CIERRE"/>
    <s v="CIERRE"/>
    <s v="CB UNO A UNO"/>
    <s v="CB UNO A UNO"/>
    <s v="ILOCALIZADO"/>
    <s v="SIN CONTACTO CON EL CB"/>
    <s v="25/09/2025 SE INTENTA COMUNICACIÓN AL NÚMERO 3202735450 SUENA PERO NO HAY CONTACTO, SE INTENTARÁ NUEVAMENTE | 26/09/2025 SE INTENTA COMUNICACIÓN AL NÚMERO 3202735450 SUENA PERO NO HAY CONTACTO, SE INTENTARÁ NUEVAMENTE | 29/09/2025 SE INTENTA COMUNICACIÓN AL NÚMERO 3202735450 SE ENCUENTRA APAGADO | 25/09/2025 SE INTENTA COMUNICION CON LA SEÑORA MARCIA NELY SERRATO GIL AL NÚMERO DE CONTACTO 3202735450 NÚMERO APAGADO SE DEJA MENSAJE POR WHATSAPP INDICANDO SOBRE LA VISITA NO SE OPTIENE RESPUESTA | 30/09/2025 SE INTENTA COMUNICACIÓN POR DIFERENTES MEDIOS CON LA SEÑORA NELY SERRATO AL NÚMERO 3202735450 PERO NO SE OBTIENE RESPUESTA, SE INTENTARA COMUNICACIÓN NUEVAMENTE EN EL TRANSCURSO DEL DIA. | 30/09/2025 SE INTENTA COMUNICACION CON EL CLIENTE POR DIFERENTES MEDIOS DESDE EL DIA 25/09/2025 HASTA EL DIA 30/09/2025 SIN EXITO, NO SE OBTIENE RESPUESTA POR PARTE DEL CLIENTE PARA REALIZAR LA RECOLECCIÓN DE LOS EQUIPOS, SE CIERRA ORDEN YA QUE ENTIDAD NO PERMITE REALIZAR VISITA SIN CONFIRMAR CON EL CLIENTE "/>
    <s v="SOPORTE_TELEFÓNICO"/>
    <s v="0"/>
    <s v="TIPO IV"/>
    <s v="TERRESTRE"/>
    <s v="SOLER HOYOS CRISTIAN LEONARDO"/>
    <n v="0"/>
    <n v="0"/>
    <n v="0"/>
  </r>
  <r>
    <s v="CUCUTA"/>
    <x v="1"/>
    <x v="1"/>
    <n v="54001"/>
    <s v="LC-CS-25-000584"/>
    <n v="76724"/>
    <s v="ORDEN DE CAMBIO"/>
    <s v="NORTE DE SANTANDER"/>
    <s v="CUCUTA"/>
    <s v="BARRIO MOTILONES CUCUTA 26"/>
    <s v="REDEBAN"/>
    <s v="FO-25-1581629"/>
    <d v="2025-09-25T08:00:00"/>
    <d v="2025-09-29T12:59:00"/>
    <m/>
    <s v="CIERRE"/>
    <s v="CIERRE"/>
    <s v="CB UNO A UNO"/>
    <s v="CB UNO A UNO"/>
    <s v="ILOCALIZADO"/>
    <s v="CB CERRADO - DESOCUPADO"/>
    <s v="26/09/2025 SE INTENTA COMUNICACIÓN AL NÚMERO 3128324364 SUENA PERO NO HAY CONTACTO, SE INTENTARÁ NUEVAMENTE | 26/09/2025 SE INTENTA COMUNICACIÓN AL NÚMERO 3128324364 SUENA PERO NO HAY CONTACTO, SE INTENTARÁ NUEVAMENTE | 29/09/2025 SE INTENTA COMUNICACIÓN AL NÚMERO 3128324364 SE ENCUENTRA APAGADO | 29/09/2025 SE VISITA CB EN DIRECCION, NO SE ENCUENTRA CB EN SITIO, SE COMUNICA CON EL CLIENTE SIN RESPUESTA."/>
    <s v="VISITA_TÉCNICA"/>
    <s v="0"/>
    <s v="TIPO I"/>
    <s v="TERRESTRE"/>
    <s v="NARANJO AFANADOR RUBEN JESUS"/>
    <n v="1"/>
    <n v="44559.563999999998"/>
    <n v="44559.563999999998"/>
  </r>
  <r>
    <s v="PEREIRA"/>
    <x v="2"/>
    <x v="3"/>
    <n v="76736"/>
    <s v="LC-CS-25-000590"/>
    <n v="62347"/>
    <s v="ORDEN DE CAMBIO"/>
    <s v="VALLE DEL CAUCA"/>
    <s v="SEVILLA"/>
    <s v="BARRIO CENTRO SEVILLA 7"/>
    <s v="REDEBAN"/>
    <s v="FO-25-1589612 | FO-25-1581633"/>
    <d v="2025-09-25T08:00:00"/>
    <d v="2025-09-26T16:38:00"/>
    <m/>
    <s v="CIERRE"/>
    <s v="CIERRE"/>
    <s v="UNO A UNO"/>
    <s v="CB UNO A UNO"/>
    <s v="EJECUTADO_EXITOSO"/>
    <s v="CIERRE EXITOSO"/>
    <s v="26/09/2025 SE LLAMA A CLIENTE ANTES DE DESPLAZAMIENTO NO HAY RESPUESTA, UNA VEZ LLEGADA  A LA DIRECCIÓN SE EVIDENCIA QUE EN DIRECCIÓN SE ENCUENTRA CERRADO Y NO SALIR NADIE SE LOGRA CONTACTO POR VÍA TELEFÓNICA INDICAN QUE LOS EQUIPOS LOS ENVIARON A LA CIUDAD DE ARMENIA QUINDIO EDIFICIO ZAPSURRO APTO 210._x000a_26/09/2025 SE INTENTA COMUNICACIÓN AL NÚMERO 3184397787 SUENA PERO NO HAY CONTACTO, SE INTENTARÁ NUEVAMENTE | 26/09/2025 SE INTENTA COMUNICACIÓN AL NÚMERO 3184397787 SUENA PERO NO HAY CONTACTO, SE INTENTARÁ NUEVAMENTE | 26/09/2025 SE VISITA DIRECCIÓN INDICA POR CLIENTE EN LA CIUDAD DE ARMENIA SE RECOGEN SÓLO EQUIPOS, DATAFONO, LECTOR, PINPAD Y HUB"/>
    <s v="VISITA_TÉCNICA"/>
    <s v="OA00C269"/>
    <s v="TIPO II"/>
    <s v="TERRESTRE"/>
    <s v="SANCHEZ SOLORZANO JUAN SEBASTIAN"/>
    <n v="1"/>
    <n v="134410.88400000002"/>
    <n v="134410.88400000002"/>
  </r>
  <r>
    <s v="BOGOTA"/>
    <x v="0"/>
    <x v="0"/>
    <n v="25290"/>
    <s v="LC-CS-25-000563"/>
    <n v="76134"/>
    <s v="ORDEN DE CAMBIO"/>
    <s v="CUNDINAMARCA"/>
    <s v="FUSAGASUGA"/>
    <s v="BARRIO SANTA ANIATA FUSAGASUGA"/>
    <s v="REDEBAN"/>
    <s v="FO-25-1574977"/>
    <d v="2025-09-24T08:00:00"/>
    <d v="2025-09-25T12:09:00"/>
    <m/>
    <s v="CIERRE"/>
    <s v="RECUPERACION DE EQUIPOS"/>
    <s v="UNO A UNO"/>
    <s v="UNO A UNO"/>
    <s v="NO_EXITOSO"/>
    <s v="CB NO ENTREGA EQUIPO"/>
    <s v="25/09/2025 SE LLEGA A COMERCIO EL CUAL SE ENCUENTRA CERRADO SE REALIZA CONTACTO TELEFÓNICO CON CLIENTE PEDRO PARRA A NÚMERO REGISTRADO 3115056548 EL CUAL INFORMA QUE LA CHICA QUE ATIENDE EL LOCAL SE ENCUENTRA EN CITAS MÉDICAS Y EL NO CUENTA EN EL MOMENTO CON LAS LLAVES DEL LOCAL .. Y NO TIENE HORA ESTIMADA DE LLEGA AL COMERCIO. SE ESCALA CON COORDINADOR DE ZONA Y SE CIERRA"/>
    <s v="VISITA_TÉCNICA"/>
    <s v="NA"/>
    <s v="TIPO II"/>
    <s v="TERRESTRE"/>
    <s v="ORTIZ MARTINEZ STIVEN"/>
    <n v="1"/>
    <n v="134410.88400000002"/>
    <n v="134410.88400000002"/>
  </r>
  <r>
    <s v="MEDELLIN"/>
    <x v="3"/>
    <x v="4"/>
    <n v="5591"/>
    <s v="LC-CS-25-000558"/>
    <n v="21001"/>
    <s v="ORDEN DE CAMBIO"/>
    <s v="ANTIOQUIA"/>
    <s v="PUERTO TRIUNFO"/>
    <s v="COMCARD PTO TRIUNFO SERVIPUNTO"/>
    <s v="REDEBAN"/>
    <s v="FO-25-1572672"/>
    <d v="2025-09-23T13:51:00"/>
    <d v="2025-09-24T10:52:00"/>
    <m/>
    <s v="CIERRE"/>
    <s v="CIERRE"/>
    <s v="AGREGADOR"/>
    <s v="COMCARD - PTM"/>
    <s v="NO_EXITOSO"/>
    <s v="CB NO ENTREGA EQUIPO"/>
    <s v="24/09/2025 SE LLEGA A LA DIRECCIÓN DEL CB Y SE EVIDENCIA QUE YA LA TITULAR NO SE ENCUENTRA , LA USUARIA INDICA QUE LA DUEÑA ANTERIOR SE LLEVÓ LOS EQUIPOS E INDICA QUE ESTÁN LLEGANDO TIPO 3.30 A 4 PM YA QUE TIENE QUE IR A PUERTO TRIUNFO POR LOS EQUIPOS , PERO NO SE ENCUENTRA EN DORADAL PARA IR POR ELLOS VISITA FALLIDA YA QUE LOS EQUIPOS NO SE ENCUENTRAN EN EL LUGAR"/>
    <s v="VISITA_TÉCNICA"/>
    <s v="N/A"/>
    <s v="TIPO IV"/>
    <s v="TERRESTRE"/>
    <s v="MONTOYA VELEZ ANDRES FELIPE"/>
    <n v="1"/>
    <n v="464809.36800000002"/>
    <n v="464809.36800000002"/>
  </r>
  <r>
    <s v="VALLEDUPAR"/>
    <x v="4"/>
    <x v="5"/>
    <n v="20001"/>
    <s v="LC-CS-25-000543"/>
    <n v="61190"/>
    <s v="ORDEN DE CAMBIO"/>
    <s v="CESAR"/>
    <s v="VALLEDUPAR"/>
    <s v="BARRIO VILLAMIRIAN VALLEDUPAR"/>
    <s v="REDEBAN"/>
    <s v="FO-25-1574027 | FO-25-1566871 | FO-25-1609143"/>
    <d v="2025-10-01T16:10:00"/>
    <d v="2025-09-24T11:59:00"/>
    <m/>
    <s v="CIERRE"/>
    <s v="CIERRE"/>
    <s v="CB UNO A UNO"/>
    <s v="CB UNO A UNO"/>
    <s v="EJECUTADO_EXITOSO"/>
    <s v="CIERRE EXITOSO"/>
    <s v="23/09/2025 SE INTENTA COMUNICACIÓN A LOS NÚMEROS 3023597031-3161328813 PERO NO HAY CONTACTO, SE INTENTARÁ NUEVAMENTE | 23/09/2025 SE LLEGA A SITIO PARA CIERRE DE CB, LA CUAL SE ENCUENTRA CERRADO SE REALIZA GESTION VIA WHATSAPP ATENDIENDO CLIENTE INDICANDO QUE NO SE ENCUENTRA DISPOBIBLE PARA ATENDER EL DIA ,,QUE SI ES POSIBLE VISITARLA EL DIA DE MAÑANA_x000a_24/09/2025 SE INTENTA COMUNICACIÓN A LOS NÚMEROS 3023597031-3161328813 PERO NO HAY CONTACTO, SE INTENTARÁ NUEVAMENTE | 24/09/2025 SE REALIZA DESMONTÉ DE CB EN DIRECCIÓN ,SIN PUBLICIDAD"/>
    <s v="VISITA_TÉCNICA"/>
    <s v="NONE_x000a_7A06Z966-9TZZZ208"/>
    <s v="TIPO I"/>
    <s v="TERRESTRE"/>
    <s v="MAESTRE MENGUAL EDGAR ENRIQUE"/>
    <n v="1"/>
    <n v="44559.563999999998"/>
    <n v="44559.563999999998"/>
  </r>
  <r>
    <s v="MEDELLIN"/>
    <x v="3"/>
    <x v="4"/>
    <n v="5001"/>
    <s v="LC-CS-25-000551"/>
    <n v="74661"/>
    <s v="ORDEN DE CAMBIO"/>
    <s v="ANTIOQUIA"/>
    <s v="MEDELLIN"/>
    <s v="PTM MEDELLIN DROGUERIA BIOFARM"/>
    <s v="REDEBAN"/>
    <s v="FO-25-1566888"/>
    <d v="2025-09-22T16:16:00"/>
    <d v="2025-09-24T14:11:00"/>
    <m/>
    <s v="CIERRE"/>
    <s v="CIERRE"/>
    <s v="AGREGADOR"/>
    <s v="COMCARD - PTM"/>
    <s v="ILOCALIZADO"/>
    <s v="CB CERRADO - DESOCUPADO"/>
    <s v="23/09/2025 SE INTENTA COMUNICACIÓN A LOS NÚMEROS 3014160737-3014099230 SUENA PERO NO HAY CONTACTO, SE INTENTARÁ NUEVAMENTE | 24/09/2025 SE INTENTA COMUNICACIÓN A LOS NÚMEROS 3014160737-3014099230 SUENA PERO NO HAY CONTACTO, SE INTENTARÁ NUEVAMENTE | 24/09/2025 SE LLEGA A PUNTO Y COMERCIO YA NO EXISTE, SE PREGUNTA Y NO DAN RAZON, SE LLAMA A NUMEROS Y SALE APAGADO"/>
    <s v="VISITA_TÉCNICA"/>
    <s v="NO DISPONIBLE "/>
    <s v="TIPO I"/>
    <s v="TERRESTRE"/>
    <s v="BADEL ACUÑA LUIS ALBERTO"/>
    <n v="1"/>
    <n v="44559.563999999998"/>
    <n v="44559.563999999998"/>
  </r>
  <r>
    <s v="CALI"/>
    <x v="2"/>
    <x v="2"/>
    <n v="19110"/>
    <s v="LC-CS-25-000553"/>
    <n v="70402"/>
    <s v="ORDEN DE CAMBIO"/>
    <s v="CAUCA"/>
    <s v="BUENOS AIRES"/>
    <s v="DISTRICOL DISTRIB. LA GRAN ESQ"/>
    <s v="REDEBAN"/>
    <s v="FO-25-1566857"/>
    <d v="2025-09-22T16:16:00"/>
    <d v="2025-09-27T10:52:00"/>
    <m/>
    <s v="CIERRE"/>
    <s v="CIERRE"/>
    <s v="AGREGADOR"/>
    <s v="DISTRICOL"/>
    <s v="NO_EXITOSO"/>
    <s v="CB NO ENTREGA EQUIPO"/>
    <s v="23/09/2025 EN COMUNICACIÓN CON LA SRA VANESSA FERNANDA MARTINEZ AL NÚMERO 3217704283 NOS INFORMA QUE LOS EQUIPOS FUERON ENVIADOS HACE VARIOS DIAS A DISTRICOL EN MEDELLIN | 26/09/2025 SE LLAMA AL CORRESPONSAL E INFORMA QUE REALIZÓ EL ENVÍO DE LOS EQUIPOS A LA CIUDAD DE MEDELLÍN POR SOLICITUD DE DISTRICOL. INFORMA QUE DESTRUYÓ Y DESECHO PUBLICIDAD DE PUNTO."/>
    <s v="SOPORTE_TELEFÓNICO"/>
    <s v="0"/>
    <s v="TIPO II"/>
    <s v="TERRESTRE"/>
    <s v="BOLAÑOS TABORDA JORGE ENRIQUE"/>
    <n v="0"/>
    <n v="37904.612000000001"/>
    <n v="37904.612000000001"/>
  </r>
  <r>
    <s v="BUCARAMANGA"/>
    <x v="1"/>
    <x v="1"/>
    <n v="68276"/>
    <s v="LC-CS-25-000556"/>
    <n v="77854"/>
    <s v="ORDEN DE CAMBIO"/>
    <s v="SANTANDER"/>
    <s v="FLORIDABLANCA"/>
    <s v="PTM FLORIDABLANCA LICORT SHOP"/>
    <s v="REDEBAN"/>
    <s v="FO-25-1566847"/>
    <d v="2025-09-22T16:16:00"/>
    <d v="2025-09-23T13:21:00"/>
    <m/>
    <s v="CIERRE"/>
    <s v="CIERRE"/>
    <s v="AGREGADOR"/>
    <s v="COMCARD - PTM"/>
    <s v="ILOCALIZADO"/>
    <s v="CB CERRADO - DESOCUPADO"/>
    <s v="23/09/2025 SE INTENTA COMUNICACIÓN CON CLIENTE AL CELULAR 3176660016, Y NO FUE POSIBLE LA COMUNICACIÓN, SE REALIZA DESPLAZAMIENTO HACIA EL SITIO Y COMERCIO SE ENCUENTRA CERRADO, SE INTENTA COMUNICACIÓN NUEVAMENTE Y NO CONTESTA, SE PROCEDE A CERRAR ORDEN POR COMERCIO CERRADO CLIENTE NO CONTESTA NÚMERO SUMINISTRADO EN SYTEX."/>
    <s v="VISITA_TÉCNICA"/>
    <s v="A1MZZ038 - A1MZZ153"/>
    <s v="TIPO I"/>
    <s v="TERRESTRE"/>
    <s v="MARTINEZ FLOREZ DONIS ALBERTO"/>
    <n v="1"/>
    <n v="44559.563999999998"/>
    <n v="44559.563999999998"/>
  </r>
  <r>
    <s v="MEDELLIN"/>
    <x v="3"/>
    <x v="4"/>
    <n v="5353"/>
    <s v="LC-CS-25-000496"/>
    <n v="68957"/>
    <s v="ORDEN DE CAMBIO"/>
    <s v="ANTIOQUIA"/>
    <s v="HISPANIA"/>
    <s v="BARRIO HISPANIA HISPANIA 2"/>
    <s v="REDEBAN"/>
    <s v="FO-25-1557080"/>
    <d v="2025-10-01T16:08:00"/>
    <d v="2025-09-29T12:16:00"/>
    <m/>
    <s v="CIERRE"/>
    <s v="CIERRE"/>
    <s v="UNO A UNO"/>
    <s v="CB UNO A UNO"/>
    <s v="ILOCALIZADO"/>
    <s v="CB CERRADO - DESOCUPADO"/>
    <s v="20/09/2025 SE INTENTA COMUNICACIÓN AL NÚMERO 3104890698 SUENA PERO NO HAY CONTACTO, SE INTENTARÁ NUEVAMENTE | 23/09/2025 SE INTENTA COMUNICACIÓN AL NÚMERO 3104890698 SUENA PERO NO HAY CONTACTO, SE INTENTARÁ NUEVAMENTE | 23/09/2025 SE INTENTA COMUNICACIÓN AL NÚMERO 3104890698 SUENA PERO NO HAY CONTACTO | 25/09/2025 SE VISITA DIRECCIÓN RELACIONADA NO EXISTE CORRESPONSAL SE INTENTÓ COMUNICACIÓN POR LÍNEA TELEFÓNICA Y POR WHATSAPP SIN RESPUESTA VECINO DE LA ZONA NOS INDICA QUE DONDE OPERABA EL CORRESPONSAL ERA UN TALLER Y SE LO LLEVARON PARA ANDES"/>
    <s v="VISITA_TÉCNICA"/>
    <s v="0"/>
    <s v="TIPO III"/>
    <s v="TERRESTRE"/>
    <s v="CASTAÑEDA PALACIO CARLOS FELIPE"/>
    <n v="1"/>
    <n v="222904.07200000001"/>
    <n v="222904.07200000001"/>
  </r>
  <r>
    <s v="BOGOTA"/>
    <x v="0"/>
    <x v="0"/>
    <n v="25473"/>
    <s v="LC-CS-25-000512"/>
    <n v="69890"/>
    <s v="ORDEN DE CAMBIO"/>
    <s v="CUNDINAMARCA"/>
    <s v="MOSQUERA"/>
    <s v="BARRIO CENTRO MOSQUERA  3"/>
    <s v="REDEBAN"/>
    <s v="FO-25-1559366 | FO-25-1557010"/>
    <d v="2025-09-19T16:26:00"/>
    <d v="2025-09-24T15:49:00"/>
    <m/>
    <s v="CIERRE"/>
    <s v="CIERRE"/>
    <s v="UNO A UNO"/>
    <s v="CB UNO A UNO"/>
    <s v="ILOCALIZADO"/>
    <s v="CB CERRADO - DESOCUPADO"/>
    <s v="20/09/2025 DURANTE LA VISITA DE TECNICA PARA ATENDER CIERRE DE CORRESPONSAL BANCARIO, NO ES POSIBLE PORQUE COMERCIO SE ENCUENTRA CERRADO SE LLAMA AL CELULAR 3134074094 EL CUAL ATIENDE  DANIEL ORLANDO VARGAS BAUTISTA NOS INDICA  QUE NO ES POSIBLE LA ATENCIÓN EL DÍA DE HOY POR MOTIVOS PERSONALES SE INFORMA A COORDINADOR SE PROCEDE A REPROGRAMAR LA ACTIVIDAD_x000a_22/09/2025 SE INTENTA COMUNICACIÓN AL NÚMERO 3134074094 SUENA PERO NO HAY CONTACTO, SE INTENTARÁ NUEVAMENTE | 23/09/2025 EN COMUNICACIÓN CON EL SR DANIEL ORLANDO VARGAS BAUTISTA AL NÚMERO 3143924894 NOS CONFIRMA LA SOLICITUD, INDICA QUE LA DIRECCIÓN PARA LA RECOLECCIÓN DE LOS EQUIPOS ES CARRERA 3 # 4 -32  SE ESCALA PARA VISITA | 24/09/2025 SE REALIZA VISITA A DIRECCIÓN DE COMERCIO, SE ENCUENTRA COMERCIO CERRADO Y SELLADO POR SECRETARIA DE SALUD, SIN RESPUESTA EN NÚMEROS DE CONTACTO."/>
    <s v="VISITA_TÉCNICA"/>
    <s v="TV000651"/>
    <s v="TIPO I"/>
    <s v="TERRESTRE"/>
    <s v="MURCIA HERNANDEZ HARVEY IGNACIO"/>
    <n v="2"/>
    <n v="44559.563999999998"/>
    <n v="89119.127999999997"/>
  </r>
  <r>
    <s v="SANTA MARTA"/>
    <x v="4"/>
    <x v="5"/>
    <n v="47001"/>
    <s v="LC-CS-25-000514"/>
    <n v="66305"/>
    <s v="ORDEN DE CAMBIO"/>
    <s v="MAGDALENA"/>
    <s v="SANTA MARTA"/>
    <s v="BARRIO VILLA DEL RIO SANTA MAR"/>
    <s v="REDEBAN"/>
    <s v="FO-25-1556956"/>
    <d v="2025-09-19T16:26:00"/>
    <d v="2025-09-22T16:26:00"/>
    <m/>
    <s v="CIERRE"/>
    <s v="CIERRE"/>
    <s v="UNO A UNO"/>
    <s v="CB UNO A UNO"/>
    <s v="NO_EXITOSO"/>
    <s v="CB NO ENTREGA EQUIPO"/>
    <s v="22/09/2025 SE REALIZA LA VISITA, EL CORRESPONSAL SE ENCUENTRA E EL SITIO PERO NO ESTÁ LA PERSONA ENCARGADA, SE HACE GESTIÓN TELEFÓNICA EL CLIENTE INFORMA QUE NO LE RETIREN LOS EQUIPOS TODAVÍA YA QUE SE VA A COMUNICAR  CON LA LINEA DE CORRESPONSAL ARA QUE LE DIGAN EL POR QUÉ DEL CIERRE"/>
    <s v="VISITA_TÉCNICA"/>
    <s v="7A00P529"/>
    <s v="TIPO I"/>
    <s v="TERRESTRE"/>
    <s v="THOMAS  CAMPO SIGIFREDO SEGUNDO"/>
    <n v="1"/>
    <n v="44559.563999999998"/>
    <n v="44559.563999999998"/>
  </r>
  <r>
    <s v="BUCARAMANGA"/>
    <x v="1"/>
    <x v="1"/>
    <n v="68001"/>
    <s v="LC-CS-25-000522"/>
    <n v="76883"/>
    <s v="ORDEN DE CAMBIO"/>
    <s v="SANTANDER"/>
    <s v="BUCARAMANGA"/>
    <s v="BARRIO PORVENIR BUCARAMANGA 2"/>
    <s v="REDEBAN"/>
    <s v="FO-25-1560610 | FO-25-1557069"/>
    <d v="2025-09-19T16:26:00"/>
    <d v="2025-09-22T12:10:00"/>
    <m/>
    <s v="CIERRE"/>
    <s v="CIERRE"/>
    <s v="CB UNO A UNO"/>
    <s v="CB UNO A UNO"/>
    <s v="EJECUTADO_EXITOSO"/>
    <s v="CIERRE EXITOSO"/>
    <s v="20/09/2025 SE ESTABLECE CONTACTO TELEFÓNICO CON EL USUARIO EDUARDO DÍAZ AL CELULAR: 3155397649 Y NOS INDICAN QUE PODEMOS PASAR EL DÍA LUNES PARA RETIRAR LOS EQUIPOS | 20/09/2025 SE REALIZA DESPLAZAMIENTO AL PUNTO EL CUAL SE ENCUENTRA CERRADO SE ESTABLECE CONTACTO TELEFÓNICO Y EL CLIENTE SOLICITA PASAR EL DIA LUNES_x000a_22/09/2025 SE REALIZA RECOLECCIÓN DE DATAFONO Y LECTORA NO SE ENCUENTRA PUBLICIDAD EN SITIO"/>
    <s v="VISITA_TÉCNICA"/>
    <s v="A16ZZ182"/>
    <s v="TIPO I"/>
    <s v="TERRESTRE"/>
    <s v="REYES RAMIREZ DIEGO ALEXANDER"/>
    <n v="1"/>
    <n v="44559.563999999998"/>
    <n v="44559.563999999998"/>
  </r>
  <r>
    <s v="CALI"/>
    <x v="2"/>
    <x v="2"/>
    <n v="76001"/>
    <s v="LC-CS-25-000524"/>
    <n v="33653"/>
    <s v="ORDEN DE CAMBIO"/>
    <s v="VALLE DEL CAUCA"/>
    <s v="CALI"/>
    <s v="BARRIO CENTRO CALI 6"/>
    <s v="REDEBAN"/>
    <s v="FO-25-1559733 | FO-25-1557026"/>
    <d v="2025-09-19T16:26:00"/>
    <d v="2025-09-24T12:01:00"/>
    <m/>
    <s v="CIERRE"/>
    <s v="CIERRE"/>
    <s v="CB UNO A UNO"/>
    <s v="CB UNO A UNO"/>
    <s v="EJECUTADO_EXITOSO"/>
    <s v="PARCIAL EXITOSO ACCESORIOS"/>
    <s v="20/09/2025 SE VISITA CORRESPONSAL Y SE YA NO SE ENCONTRÓ EN LA DIRECCIÓN. SE LLAMA AL CLIENTE Y PIDE RECOGER EQUIPOS EN LA SIGUIENTE DIRECCIÓN CC CALIMA LOCAL_x000a_23/09/2025 EN COMUNICAIÓN CON EL  SR JORGE LUIS LOPEZ ESCOBAR AL NÚMERO 3136081858 NOS CONFIRMAN LA SOLICITUD, INDICA QUE LA DIRECCIÓN PARA LA RECOLECCIÓN DE LOS EQUIPOS ES CALIMA CC PT O5. SE ESCALA PARA VISITA, POR FAVOR LLAMAR ANTES DE DESPLARZARSE | 24/09/2025 SE VISITÓ DIRECCIÓN ACORDADA CON EL CLIENTE Y SE RETIRA  DATÁFONO EN BUEN ESTADO Y SIN LECTOR . CLIENTE HIZO DISPOSICIÓN FINAL DE PUBLICIDAD ( DESTRUYÓ Y DESECHO)"/>
    <s v="VISITA_TÉCNICA"/>
    <s v="NO APLICA _x000a_1UZZZ660"/>
    <s v="TIPO I"/>
    <s v="TERRESTRE"/>
    <s v="BOLAÑOS TABORDA JORGE ENRIQUE"/>
    <n v="1"/>
    <n v="44559.563999999998"/>
    <n v="44559.563999999998"/>
  </r>
  <r>
    <s v="CALI"/>
    <x v="2"/>
    <x v="2"/>
    <n v="76001"/>
    <s v="LC-CS-25-000525"/>
    <n v="75113"/>
    <s v="ORDEN DE CAMBIO"/>
    <s v="VALLE DEL CAUCA"/>
    <s v="CALI"/>
    <s v="BARRIO SAN ANTONIO CALI 1"/>
    <s v="REDEBAN"/>
    <s v="FO-25-1557089"/>
    <d v="2025-09-19T16:26:00"/>
    <d v="2025-09-20T12:08:00"/>
    <m/>
    <s v="CIERRE"/>
    <s v="CIERRE"/>
    <s v="UNO A UNO"/>
    <s v="UNO A UNO"/>
    <s v="NO_EXITOSO"/>
    <s v="CB NO ENTREGA EQUIPO"/>
    <s v="20/09/2025 SE VISITÓ CORRESPONSAL Y CLIENTE INFORMA QUE NO SOLICITÓ EL CIERRE Y QUE TUVO UN PROBLEMA CON LA COMPENSACIÓN Y QUE LE PIDIÓ TIEMPO AL ASESOR PARA TRATAR DE REVERTIR EL CIERRE DEL CORRESPONSAL . SOLICITA NO CERRAR EN ESTA VISITA CORRESPONSAL"/>
    <s v="VISITA_TÉCNICA"/>
    <s v="NRZZZ597"/>
    <s v="TIPO I"/>
    <s v="TERRESTRE"/>
    <s v="BOLAÑOS TABORDA JORGE ENRIQUE"/>
    <n v="1"/>
    <n v="44559.563999999998"/>
    <n v="44559.563999999998"/>
  </r>
  <r>
    <s v="PASTO"/>
    <x v="2"/>
    <x v="2"/>
    <n v="86320"/>
    <s v="LC-CS-25-000529"/>
    <n v="70954"/>
    <s v="ORDEN DE CAMBIO"/>
    <s v="PUTUMAYO"/>
    <s v="ORITO"/>
    <s v="VILLA DOCENTE"/>
    <s v="REDEBAN"/>
    <s v="FO-25-1557348"/>
    <d v="2025-09-19T16:26:00"/>
    <d v="2025-09-26T15:32:00"/>
    <m/>
    <s v="CIERRE"/>
    <s v="CIERRE"/>
    <s v="UNO A UNO"/>
    <s v="UNO A UNO"/>
    <s v="NO_EXITOSO"/>
    <s v="CB NO ENTREGA EQUIPO"/>
    <s v="23/09/2025 SE INTENTA COMUNICACIÓN AL NÚMERO 3217753399 SUENA PERO NO HAY CONTACTO, SE INTENTARÁ NUEVAMENTE | 23/09/2025 SE INTENTA COMUNICACIÓN AL NÚMERO 3217753399 SUENA PERO NO HAY CONTACTO, SE INTENTARÁ NUEVAMENTE | 23/09/2025 SE INTENTA COMUNICACIÓN AL NÚMERO 3217753399 SUENA PERO NO HAY CONTACTO | 26/09/2025 SE HABLA CON LA CLIENTE LA MAMA DE LA SEÑORA SYNDI QUIEN NOS INDICA QUE ELLOS YA NO SE ENCUENTRA EN EL MUNICIPIO , QUE SE DESPLAZARA A PASTO Y SE VALIDARA PARA ENTREGAR LOS EQUIPOS, YA QUE ES UNA ZONA LEJANA Y CON ALGUNOS PROBLEMAS DE ORDEN PUBLICO, SE ESPERARA QUE EL CLIENTE ESTE EN LA CIUDAD DE PASTO Y PODAMOS EFECTUAR EL CIERRE Y RECOJIDA DE LOS EQUIPOS COMO UN CIERRE VOLUNTARIO Y PODER DARLE FIN AL TEMA."/>
    <s v="SOPORTE_TELEFÓNICO"/>
    <s v="0"/>
    <s v="TIPO IV"/>
    <s v="TERRESTRE"/>
    <s v="HENAO CARDONA DIEGO FERNANDO"/>
    <n v="0"/>
    <n v="37904.612000000001"/>
    <n v="37904.612000000001"/>
  </r>
  <r>
    <s v="BOGOTA"/>
    <x v="0"/>
    <x v="0"/>
    <n v="11001"/>
    <s v="LC-CS-25-000531"/>
    <n v="43355"/>
    <s v="ORDEN DE CAMBIO"/>
    <s v="CUNDINAMARCA"/>
    <s v="BOGOTA"/>
    <s v="BARRIO FONTIBON BOGOTA 9"/>
    <s v="REDEBAN"/>
    <s v="FO-25-1557043"/>
    <d v="2025-09-19T16:26:00"/>
    <d v="2025-09-20T13:54:00"/>
    <m/>
    <s v="CIERRE"/>
    <s v="CIERRE"/>
    <s v="CB UNO A UNO"/>
    <s v="CB UNO A UNO"/>
    <s v="NO_EXITOSO"/>
    <s v="CB NO ENTREGA EQUIPO"/>
    <s v="20/09/2025 CLIENTE INDICA QUE PRIMERO VA VALIDAR CON EL BANCO SOBRE EL TEMA DEL CIERRE YA QUE NO TENÍAN CONOCIMIENTO"/>
    <s v="VISITA_TÉCNICA"/>
    <s v="GA00M866"/>
    <s v="TIPO I"/>
    <s v="TERRESTRE"/>
    <s v="BARRAGAN LAGOS JUAN MANUEL"/>
    <n v="1"/>
    <n v="44559.563999999998"/>
    <n v="44559.563999999998"/>
  </r>
  <r>
    <s v="BOGOTA"/>
    <x v="0"/>
    <x v="0"/>
    <n v="11001"/>
    <s v="LC-CS-25-000534"/>
    <n v="74824"/>
    <s v="ORDEN DE CAMBIO"/>
    <s v="CUNDINAMARCA"/>
    <s v="BOGOTA"/>
    <s v="BARRIO BOSA EL ANHELO BOGOTA 1"/>
    <s v="REDEBAN"/>
    <s v="FO-25-1556951"/>
    <d v="2025-09-19T16:26:00"/>
    <d v="2025-09-20T12:04:00"/>
    <m/>
    <s v="CIERRE"/>
    <s v="CIERRE"/>
    <s v="CB UNO A UNO"/>
    <s v="CB UNO A UNO"/>
    <s v="ILOCALIZADO"/>
    <s v="CB CERRADO - DESOCUPADO"/>
    <s v="20/09/2025 SE LLEGA A DIRECCIÓN PARA CIERRE DE CB ENCONTRANDO CERRADO SE INTENTA CONTACTO AL NÚMERO 3058027609 SIN ÉXITO SE DEJA REGISTRO FOTOGRÁFICO"/>
    <s v="VISITA_TÉCNICA"/>
    <s v="0"/>
    <s v="TIPO I"/>
    <s v="TERRESTRE"/>
    <s v="BUSTOS MORA DIEGO MANUEL"/>
    <n v="1"/>
    <n v="44559.563999999998"/>
    <n v="44559.563999999998"/>
  </r>
  <r>
    <s v="BOGOTA"/>
    <x v="0"/>
    <x v="0"/>
    <n v="11001"/>
    <s v="LC-CS-25-000535"/>
    <n v="76783"/>
    <s v="ORDEN DE CAMBIO"/>
    <s v="CUNDINAMARCA"/>
    <s v="BOGOTA"/>
    <s v="BARRIO VESALLES BOGOTA"/>
    <s v="REDEBAN"/>
    <s v="FO-25-1563294 | FO-25-1556994"/>
    <d v="2025-09-19T16:26:00"/>
    <d v="2025-09-22T15:56:00"/>
    <m/>
    <s v="CIERRE"/>
    <s v="CIERRE"/>
    <s v="UNO A UNO"/>
    <s v="UNO A UNO"/>
    <s v="EJECUTADO_EXITOSO"/>
    <s v="CIERRE EXITOSO"/>
    <s v="22/09/2025 EL ALMACÉN SE ENCUENTRA CERRADO_x000a_22/09/2025 SE HACE RETIRO DEL CORRESPONSAL CLIENTE ENTREGA POS Y LECTORA"/>
    <s v="VISITA_TÉCNICA"/>
    <s v="105ZZ329"/>
    <s v="TIPO I"/>
    <s v="TERRESTRE"/>
    <s v="GONZALEZ FANDIÑO SANTIAGO ERNESTO"/>
    <n v="1"/>
    <n v="44559.563999999998"/>
    <n v="44559.563999999998"/>
  </r>
  <r>
    <s v="BOGOTA"/>
    <x v="0"/>
    <x v="0"/>
    <n v="11001"/>
    <s v="LC-CS-25-000538"/>
    <n v="62799"/>
    <s v="ORDEN DE CAMBIO"/>
    <s v="CUNDINAMARCA"/>
    <s v="BOGOTA"/>
    <s v="BARRIO LAS AGUAS BOGOTA 1"/>
    <s v="REDEBAN"/>
    <s v="FO-25-1557013"/>
    <d v="2025-09-19T16:26:00"/>
    <d v="2025-09-20T12:53:00"/>
    <m/>
    <s v="CIERRE"/>
    <s v="RECUPERACION DE EQUIPOS"/>
    <s v="UNO A UNO"/>
    <s v="CB UNO A UNO"/>
    <s v="ILOCALIZADO"/>
    <s v="CB CERRADO - DESOCUPADO"/>
    <s v="20/09/2025 SE REALIZA VISITA DE CAMPO ENCONTRADO QUE COMERCIO NO EXISTE EN DIRECCIÓN INDICADA EN RUTA DA EN UNA CASA, SE INTENTA COMUNICACIÓN A LA LÍNEA 3247389616 Y 3007713226 PERO NO CONTESTA, SE INFORMA A SUPERVISOR Y AUTORIZA CIERRE DE SOLICITUD."/>
    <s v="VISITA_TÉCNICA"/>
    <s v="0"/>
    <s v="TIPO I"/>
    <s v="TERRESTRE"/>
    <s v="LOZADA ROJAS CHRISTIAN ANDRES"/>
    <n v="1"/>
    <n v="44559.563999999998"/>
    <n v="44559.563999999998"/>
  </r>
  <r>
    <s v="PASTO"/>
    <x v="2"/>
    <x v="2"/>
    <n v="52001"/>
    <s v="LC-CS-25-000479"/>
    <n v="40055"/>
    <s v="ORDEN DE CAMBIO"/>
    <s v="NARIÑO"/>
    <s v="PASTO"/>
    <s v="DISTRICOL MINIMARKET 2 VENTE#O"/>
    <s v="REDEBAN"/>
    <s v="FO-25-1555488"/>
    <d v="2025-10-01T16:02:00"/>
    <d v="2025-09-20T11:11:00"/>
    <m/>
    <s v="CIERRE"/>
    <s v="CIERRE"/>
    <s v="AGREGADOR"/>
    <s v="DISTRICOL"/>
    <s v="NO_EXITOSO"/>
    <s v="CB NO ENTREGA EQUIPO"/>
    <s v="19/09/2025 EN COMUNICACIÓN CON EL SR LEONARDO FABIO OJEDA CERON AL NÚMERO 3184375336 NOS CONFIRMA LA SOLICITUD, DATOS CORRECTOS. SE ESCALA PARA VISITA | 20/09/2025 SE LLEGÓ A SITIO PERO EL ENCARGADO DEL COMERCIO NO TIENE LOS EQUIPOS, SE REALIZA COMUNICACIÓN CON USUARIO ENCARGADO DEL CORRESPONSAL E INFORMA QUE ESTÁ POR FUERA DE LA CIUDAD, QUE SE PODRÍA RETIRAR LOS EQUIPOS A PARTIR DEL DÍA LUNES, YA QUE LA PERSONA QUE ESTÁ EN EL COMERCIO NO ESTÁ AUTORIZADA"/>
    <s v="VISITA_TÉCNICA"/>
    <s v="AB0FZ056, ON0IZ812"/>
    <s v="TIPO I"/>
    <s v="TERRESTRE"/>
    <s v="GUERRERO RAMIREZ OSCAR DARIO"/>
    <n v="1"/>
    <n v="44559.563999999998"/>
    <n v="44559.563999999998"/>
  </r>
  <r>
    <s v="BARRANQUILLA"/>
    <x v="4"/>
    <x v="5"/>
    <n v="8001"/>
    <s v="LC-CS-25-000452"/>
    <n v="77270"/>
    <s v="ORDEN DE CAMBIO"/>
    <s v="ATLANTICO"/>
    <s v="BARRANQUILLA"/>
    <s v="BARRIO EL BOSQUE BARRANQUILLA  4"/>
    <s v="REDEBAN"/>
    <s v="FO-25-1550369"/>
    <d v="2025-09-18T16:03:00"/>
    <d v="2025-09-22T07:56:00"/>
    <m/>
    <s v="CIERRE"/>
    <s v="CIERRE"/>
    <s v="UNO A UNO"/>
    <s v="UNO A UNO"/>
    <s v="NO_EXITOSO"/>
    <s v="CB NO ENTREGA EQUIPO"/>
    <s v="19/09/2025 SE INTENTA COMUNICACIÓN AL NÚMERO 3017151786 SUENA PERO NO HAY CONTACTO, SE INTENTARÁ NUEVAMENTE | 19/09/2025 SE INTENTA COMUNICACIÓN AL NÚMERO 3017151786 SUENA PERO NO HAY CONTACTO, SE INTENTARÁ NUEVAMENTE | 19/09/2025 SE INTENTA COMUNICACIÓN AL NÚMERO 3017151786 SUENA PERO NO HAY CONTACTO | 20/09/2025 SE REALIZA LLAMADA AL CLIENTE EL DÍA 19 DE SEPTIEMBRE ,PERO O DICA QUE NO ESTÁ EN  EL LOCAL ,Q PUEDE ENTREGAR EL DÍA 20 DE SEPTIEMBRE ,EL DÍA 20 DICE Q NO PUEDES ESTAR ,SE LE INDICA QUE SI PUEDE DEJAR UNA PERSONA ENCARGADA ,PARA LA ENTREGA DICE Q SI Q LO DEJA DONDE EL VECINO ,SE REALIZA VISITA ,PERO NO DEJA EQUIPOS DONDE EL VECINO ,SE LE INDICA QUE PARA REALIZAR ENTREGA DE EQUIPOS LLAME A SOLICITAR LA RECOGIDA ,DE FECHA Y HORA PARA LA ENTREGA DE LOS MISMOS ,CIERRE FALLIDO."/>
    <s v="VISITA_TÉCNICA"/>
    <s v="FACZZ307"/>
    <s v="TIPO I"/>
    <s v="TERRESTRE"/>
    <s v="PORRAS CASTRO DARLON NASCK"/>
    <n v="1"/>
    <n v="44559.563999999998"/>
    <n v="44559.563999999998"/>
  </r>
  <r>
    <s v="CARTAGENA"/>
    <x v="4"/>
    <x v="5"/>
    <n v="13001"/>
    <s v="LC-CS-25-000453"/>
    <n v="26247"/>
    <s v="ORDEN DE CAMBIO"/>
    <s v="BOLIVAR"/>
    <s v="CARTAGENA"/>
    <s v="BARRIO EL PRADO SEC BAZURTO CA"/>
    <s v="REDEBAN"/>
    <s v="FO-25-1550389"/>
    <d v="2025-09-18T16:03:00"/>
    <d v="2025-09-24T17:11:00"/>
    <m/>
    <s v="CIERRE"/>
    <s v="CIERRE"/>
    <s v="CB UNO A UNO"/>
    <s v="CB UNO A UNO"/>
    <s v="NO_EXITOSO"/>
    <s v="CB NO ENTREGA EQUIPO"/>
    <s v="19/09/2025 SE INTENTA COMUNICACIÓN AL NÚMERO 3164531010-FUERA DE SERVICIO | 24/09/2025 SE LLEGA AL SITIO INFORMAN QUE YA EL COMERCIO NO EXISTE SE LLAMA AL CONTACTO MARTIN QUINTERO CEL  304 3050494 INFORMA QUE NO ESTÁ EN EL PAIS  ESTÁ EN CHINA Y REGRESA EN OCTUBRE Y EL ES ÚNICO AUTORIZADO PARA ENTREGAR EL EQUIPO"/>
    <s v="VISITA_TÉCNICA"/>
    <s v="99991250"/>
    <s v="TIPO I"/>
    <s v="TERRESTRE"/>
    <s v="CANEDO HERRERA ALEXANDER"/>
    <n v="1"/>
    <n v="44559.563999999998"/>
    <n v="44559.563999999998"/>
  </r>
  <r>
    <s v="NEIVA"/>
    <x v="5"/>
    <x v="6"/>
    <n v="18001"/>
    <s v="LC-CS-25-000463"/>
    <n v="53117"/>
    <s v="ORDEN DE CAMBIO"/>
    <s v="CAQUETA"/>
    <s v="FLORENCIA"/>
    <s v="BARRIO ANGEL RICARDO ACOSTA FL"/>
    <s v="REDEBAN"/>
    <s v="FO-25-1550374"/>
    <d v="2025-09-18T16:03:00"/>
    <d v="2025-09-25T10:12:00"/>
    <m/>
    <s v="CIERRE"/>
    <s v="RECUPERACION DE EQUIPOS"/>
    <s v="UNO A UNO"/>
    <s v="CB UNO A UNO"/>
    <s v="NO_EXITOSO"/>
    <s v="CB NO ENTREGA EQUIPO"/>
    <s v="19/09/2025 SE INTENTA COMUNICACIÓN A LOS NÚMEROS 3134689318-3107588199 SUENA PERO NO HAY CONTACTO, SE INTENTARÁ NUEVAMENTE | 19/09/2025 SE INTENTA COMUNICACIÓN A LOS NÚMEROS 3134689318-3107588199 SUENA PERO NO HAY CONTACTO, SE INTENTARÁ NUEVAMENTE | 19/09/2025 SE INTENTA COMUNICACIÓN A LOS NÚMEROS 3134689318-3107588199 SUENA PERO NO HAY CONTACTO | 25/09/2025 SE LLAGA A LA DIRECCIÓN INDICADA PERO ENCARGADA DICE QUE NO TIENE CONOCIMIENTO DE LA ENTREGA"/>
    <s v="VISITA_TÉCNICA"/>
    <s v="9C0NZ327 - V1000869"/>
    <s v="TIPO IV"/>
    <s v="TERRESTRE"/>
    <s v="BERMUDEZ SANCHEZ JOSE NEYBER"/>
    <n v="1"/>
    <n v="464809.36800000002"/>
    <n v="464809.36800000002"/>
  </r>
  <r>
    <s v="MEDELLIN"/>
    <x v="3"/>
    <x v="4"/>
    <n v="5001"/>
    <s v="LC-CS-25-000464"/>
    <n v="55316"/>
    <s v="ORDEN DE CAMBIO"/>
    <s v="ANTIOQUIA"/>
    <s v="MEDELLIN"/>
    <s v="BARRIO LA MILAGROSA MEDELLIN"/>
    <s v="REDEBAN"/>
    <s v="FO-25-1550366"/>
    <d v="2025-09-18T16:03:00"/>
    <d v="2025-09-19T13:29:00"/>
    <m/>
    <s v="CIERRE"/>
    <s v="RECUPERACION DE EQUIPOS"/>
    <s v="UNO A UNO"/>
    <s v="CB UNO A UNO"/>
    <s v="ILOCALIZADO"/>
    <s v="CB CERRADO - DESOCUPADO"/>
    <s v="19/09/2025 SE INTENTA COMUNICACIÓN A LOS NÚMEROS 3163865085 APAGADO-3023290752 SUENA PERO NO HAY CONTACTO, SE INTENTARÁ NUEVAMENTE | 19/09/2025 SE INTENTA COMUNICACIÓN A LOS NÚMEROS 3163865085 APAGADO-3023290752 SUENA PERO NO HAY CONTACTO, SE INTENTARÁ NUEVAMENTE | 19/09/2025 SE LLEGA A LA DIRECCIÓN INDICADA EL COMERCIO ESTÁ CERRADO Y SIN PUBLICIDAD, LLAMO Y HABLO POR WHATSAPP A LOS DOS NÚMEROS REGISTRADOS PERO NO CONTESTAN"/>
    <s v="VISITA_TÉCNICA"/>
    <s v="TRDZZ698"/>
    <s v="TIPO I"/>
    <s v="TERRESTRE"/>
    <s v="RUA ALVAREZ RICHARD ANDRES"/>
    <n v="1"/>
    <n v="44559.563999999998"/>
    <n v="44559.563999999998"/>
  </r>
  <r>
    <s v="VILLAVICENCIO"/>
    <x v="5"/>
    <x v="6"/>
    <n v="50001"/>
    <s v="LC-CS-25-000467"/>
    <n v="74538"/>
    <s v="ORDEN DE CAMBIO"/>
    <s v="META"/>
    <s v="VILLAVICENCIO"/>
    <s v="BARRIO DOCE DE OCTUBRE VILLAVI"/>
    <s v="REDEBAN"/>
    <s v="FO-25-1550294"/>
    <d v="2025-09-18T16:03:00"/>
    <d v="2025-09-20T10:22:00"/>
    <m/>
    <s v="CIERRE"/>
    <s v="RECUPERACION DE EQUIPOS"/>
    <s v="CB UNO A UNO"/>
    <s v="CB UNO A UNO"/>
    <s v="NO_EXITOSO"/>
    <s v="CB NO ENTREGA EQUIPO"/>
    <s v="19/09/2025 EN COMUNICACIÓN CON LA SRA PATRICIA CECILIA RIVERA IGUITA AL NÚMERO 3205871783 NOS CONFIRMA LA SOLICITUD, DATOS CORRECTOS. SE ESCALA PARA VISITA | 20/09/2025 SE REALIZA VISITA Y NOS INFORMA QUE EL ENCARGADO NO SE ENCUENTRA Y NO TIENEN CONOCIMIENTO"/>
    <s v="VISITA_TÉCNICA"/>
    <s v="NONE"/>
    <s v="TIPO I"/>
    <s v="TERRESTRE"/>
    <s v="PEDREROS CONTRERAS MICHAEL STEVENS"/>
    <n v="1"/>
    <n v="44559.563999999998"/>
    <n v="44559.563999999998"/>
  </r>
  <r>
    <s v="PASTO"/>
    <x v="2"/>
    <x v="2"/>
    <n v="52001"/>
    <s v="LC-CS-25-000471"/>
    <n v="46832"/>
    <s v="ORDEN DE CAMBIO"/>
    <s v="NARIÑO"/>
    <s v="PASTO"/>
    <s v="DISTRICOL EL MERCADO DE CARMEL"/>
    <s v="REDEBAN"/>
    <s v="FO-25-1550234"/>
    <d v="2025-09-18T16:03:00"/>
    <d v="2025-09-22T15:32:00"/>
    <m/>
    <s v="CIERRE"/>
    <s v="CIERRE"/>
    <s v="AGREGADOR"/>
    <s v="DISTRICOL"/>
    <s v="ILOCALIZADO"/>
    <s v="CB CERRADO - DESOCUPADO"/>
    <s v="19/09/2025 EN COMUNICACIÓN AL NÚMERO 3233953269 INDICAN NÚMERO EQUIVOCADO | 22/09/2025 SE LLEGO A SITIO PERO SE ENCUENTRA COMERCIO CERRADO, SE TRATÓ DE COMUNICAR CON EL CLIENTE PERO EL NÚMERO TELEFÓNICO REGISTARO EN SISTEMA ES ERRADO NÚMERO EQUIVOCADO, SE AVERIGUÓ OTRO UMERO PERO EN ESE NO RESPONDE, SE CIERRA ACTIVIDAD POR COMERCIO CERRADO."/>
    <s v="VISITA_TÉCNICA"/>
    <s v="GB00C494"/>
    <s v="TIPO I"/>
    <s v="TERRESTRE"/>
    <s v="REMICIO AMADO JOHN HEBER"/>
    <n v="1"/>
    <n v="44559.563999999998"/>
    <n v="44559.563999999998"/>
  </r>
  <r>
    <s v="SANTA MARTA"/>
    <x v="4"/>
    <x v="5"/>
    <n v="44430"/>
    <s v="LC-CS-25-000475"/>
    <n v="58719"/>
    <s v="ORDEN DE CAMBIO"/>
    <s v="LA GUAJIRA"/>
    <s v="MAICAO"/>
    <s v="PTM MAIICAO INUMOS KATTY"/>
    <s v="REDEBAN"/>
    <s v="FO-25-1550341"/>
    <d v="2025-09-18T16:03:00"/>
    <d v="2025-09-24T07:58:00"/>
    <m/>
    <s v="CIERRE"/>
    <s v="RECUPERACION DE EQUIPOS"/>
    <s v="AGREGADOR"/>
    <s v="COMCARD - PTM"/>
    <s v="ILOCALIZADO"/>
    <s v="CB CERRADO - DESOCUPADO"/>
    <s v="19/09/2025 EN COMUNICACIÓN CON LA SRA ADRIANA BADILO AL NÚMERO 3215116269 NOS CONFIRMA LA SOLICITUD, DATOS CORRECTOS. SE SCALA PARA VISITA | 23/09/2025 SE REALIZA LA VISITA NO SE ENCUENTRA EL CORRESPONSAL EN EL SITIO LAS PERSONAS EN EL LOCAL NO DAN INFORMACIÓN DEL USUARIO SE HACE GESTIÓN TELEFÓNICA AL USUARIO NO RESPONDE EL TELÉFONO"/>
    <s v="VISITA_TÉCNICA"/>
    <s v="0"/>
    <s v="TIPO IV"/>
    <s v="TERRESTRE"/>
    <s v="THOMAS  CAMPO SIGIFREDO SEGUNDO"/>
    <n v="1"/>
    <n v="464809.36800000002"/>
    <n v="464809.36800000002"/>
  </r>
  <r>
    <s v="IBAGUE"/>
    <x v="5"/>
    <x v="6"/>
    <n v="73001"/>
    <s v="LC-CS-25-000476"/>
    <n v="63213"/>
    <s v="ORDEN DE CAMBIO"/>
    <s v="TOLIMA"/>
    <s v="IBAGUE"/>
    <s v="PTM IBAGUE DISTRIBUIDORA AYV"/>
    <s v="REDEBAN"/>
    <s v="FO-25-1550382"/>
    <d v="2025-09-18T16:03:00"/>
    <d v="2025-09-19T12:32:00"/>
    <m/>
    <s v="CIERRE"/>
    <s v="RECUPERACION DE EQUIPOS"/>
    <s v="AGREGADOR"/>
    <s v="COMCARD - PTM"/>
    <s v="ILOCALIZADO"/>
    <s v="CB CERRADO - DESOCUPADO"/>
    <s v="19/09/2025 SE INTENTA COMUNICACIÓN AL NÚMERO 3026622583 SUENA PERO NO HAY CONTACTO, SE INTENTARÁ NUEVAMENTE | 19/09/2025 SE LLEGA A LA DIRECCIÓN DEL COMERCIO Y ESTÁ CERRADO. SE LLAMA AL NÚMERO DE TELÉFONO 3026622583, DEL SEÑOR VÍCTOR SANTOYA, Y NO CONTESTA."/>
    <s v="VISITA_TÉCNICA"/>
    <s v="NONE"/>
    <s v="TIPO I"/>
    <s v="TERRESTRE"/>
    <s v="VARGAS HERRERA JHON JAIRO"/>
    <n v="1"/>
    <n v="44559.563999999998"/>
    <n v="44559.563999999998"/>
  </r>
  <r>
    <s v="BOGOTA"/>
    <x v="0"/>
    <x v="0"/>
    <n v="11001"/>
    <s v="LC-CS-25-000478"/>
    <n v="73140"/>
    <s v="ORDEN DE CAMBIO"/>
    <s v="CUNDINAMARCA"/>
    <s v="BOGOTA"/>
    <s v="PTM BOGOTA CORRESPONSAL BANCAR"/>
    <s v="REDEBAN"/>
    <s v="FO-25-1562254 | FO-25-1557553 | FO-25-1550353"/>
    <d v="2025-09-18T16:03:00"/>
    <d v="2025-09-23T16:12:00"/>
    <m/>
    <s v="CIERRE"/>
    <s v="RECUPERACION DE EQUIPOS"/>
    <s v="AGREGADOR"/>
    <s v="COMCARD - PTM"/>
    <s v="EJECUTADO_EXITOSO"/>
    <s v="CIERRE EXITOSO"/>
    <s v="19/09/2025 EN COMUNICACIÓN CON EL SR JOSE OSTOS AL NÚMERO 3168059592 NOS CONFIRMA LA SOLICITUD, INDICA QUE LA DIRECCIÓN PARA LA RECOLECCIÓN DE LOS EQUIPOS ES CL 132 B #101A 65, INFORMA QUE LO LLAMEN ANTES DE DSPLAZARSE, SI PUEDEN RECOGERLOS EL DIA DE MAÑANA 20-09 ANTES DE MEDIO DIA PORQUE NO SE ENCONTRARÁ EN LA CIUDAD | 19/09/2025 LA DIRECCIÓN ENVIADA EN TA ES ERRADA SE REALIZA LLAMADA TELEFÓNICA SE HABLA CON EL SR. JOSÉ OSTOS 316 8059592 INDICA QUE LA DIRECCIÓN CORRECTA ES CALLE 132B 101A-65, ADICIONAL SOLICITA INFORMA DE DE VISITA CON DOS DÍAS DE ANTELACIÓN PARA ESTAR EN LA DIRECCIÓN Y ENTREGAR LOS EQUIPOS._x000a_22/09/2025 SE REALIZA DESPLAZAMIENTO A DIRECCIÓN INDICADA, NO HAY NADIE EN EL PREDIO, SE REALIZA LLAMADA A NÚMERO DE CONTACTO Y NO SE OBTIENE RESPUESTA, SEGUNDA VISITA._x000a_23/09/2025 SE REALIZA VISITA A CB PARA REALIZAR CIERRE SE RETIRAN DATAFONO, BASE FUENTE DATOS Y LECTORA,SE DESTRUYE PUBLICIDAD."/>
    <s v="VISITA_TÉCNICA"/>
    <s v="NN00P197_x000a_3168059592"/>
    <s v="TIPO I"/>
    <s v="TERRESTRE"/>
    <s v="GALINDO ROJAS LUIS FELIPE"/>
    <n v="2"/>
    <n v="44559.563999999998"/>
    <n v="89119.127999999997"/>
  </r>
  <r>
    <s v="CARTAGENA"/>
    <x v="4"/>
    <x v="5"/>
    <n v="13001"/>
    <s v="TA-25-1120960"/>
    <n v="43018"/>
    <s v="ORDEN DE CAMBIO"/>
    <s v="BOLIVAR"/>
    <s v="CARTAGENA"/>
    <s v="BARRIO LA CORDIALIDAD CARTAGEN"/>
    <s v="REDEBAN"/>
    <s v="FO-25-1546441"/>
    <d v="2025-09-18T08:38:00"/>
    <d v="2025-09-19T16:25:00"/>
    <m/>
    <s v="CIERRE"/>
    <s v="RETIRO VOLUNTARIO"/>
    <s v="UNO A UNO"/>
    <s v="CB UNO A UNO"/>
    <s v="NO_EXITOSO"/>
    <s v="PARCIAL EXITOSO PTE. DATAFONO"/>
    <s v="19/09/2025 SE REALIZA CIERRE DEL CB CLIENTE ENTREGA EQUIPO LECTORA PINPAD HUB ESTABA PENDIENTE POR ENTREGAR NO TIENE PUBLICIDAD"/>
    <s v="VISITA_TÉCNICA"/>
    <s v="GA02Z090"/>
    <s v="TIPO I"/>
    <s v="TERRESTRE"/>
    <s v="CANEDO HERRERA ALEXANDER"/>
    <n v="1"/>
    <n v="44559.563999999998"/>
    <n v="44559.563999999998"/>
  </r>
  <r>
    <s v="BARRANQUILLA"/>
    <x v="4"/>
    <x v="5"/>
    <n v="8001"/>
    <s v="LC-CS-25-000419"/>
    <n v="10028"/>
    <s v="ORDEN DE CAMBIO"/>
    <s v="ATLANTICO"/>
    <s v="BARRANQUILLA"/>
    <s v="BARRIO SAN FRANCISCO - BARRANQ"/>
    <s v="REDEBAN"/>
    <s v="FO-25-1545932"/>
    <d v="2025-09-17T17:00:00"/>
    <d v="2025-09-19T15:56:00"/>
    <m/>
    <s v="CIERRE"/>
    <s v="CIERRE"/>
    <s v="CB UNO A UNO"/>
    <s v="CB UNO A UNO"/>
    <s v="NO_EXITOSO"/>
    <s v="CB NO ENTREGA EQUIPO"/>
    <s v="18/09/2025 EN COMUNICACIÓN CON EL SR JAIME RUEDA SANTOYO AL NÚMERO 3014878189 INFORMA QUE EL BANCO NO SE HA COMUNICADO CON ÉL, NO CONFIRMA DIRECCIÓN | 19/09/2025 SE REALIZA VISITA SE LE INDICA AL CLIENTE DEL CIERRE O RECOGIDA DE EQUIPOS ,PERO EL MUY MOLESTO NOS INDICA QUE NO VA A ENTREGAR EQUIPOS SI NO LE ENVÍAN UNA CARTA DICIÉNDOLE EL MOTIVO Y INFORMÁNDOLE SOBRE EL RETIRO DE LOS EQUIPOS ,SE LE INDICA QUE SE LE ENTREGA ACTA PERO DICE Q ANTES DE QUE LE ENTREGUEN LO QUE LE TENGAN Q ENTREGAN HAY Q DARLE UNA CARTA DE BANCOLOMBIA EXPLICÁNDOLE EL POR QUÉ DEL RETIRO Y LA ANUNCIACIÓN DE LA RETIRADA DE LOS EQUIPOS,NO PERMITE EL CIERRE O ENTREGA DE EQUIPOS."/>
    <s v="VISITA_TÉCNICA"/>
    <s v="A30CZ908"/>
    <s v="TIPO I"/>
    <s v="TERRESTRE"/>
    <s v="PORRAS CASTRO DARLON NASCK"/>
    <n v="1"/>
    <n v="44559.563999999998"/>
    <n v="44559.563999999998"/>
  </r>
  <r>
    <s v="BOGOTA"/>
    <x v="0"/>
    <x v="0"/>
    <n v="25473"/>
    <s v="LC-CS-25-000424"/>
    <n v="68158"/>
    <s v="ORDEN DE CAMBIO"/>
    <s v="CUNDINAMARCA"/>
    <s v="MOSQUERA"/>
    <s v="NOVATERRA GUAYACAN"/>
    <s v="REDEBAN"/>
    <s v="FO-25-1550200 | FO-25-1545936"/>
    <d v="2025-09-17T17:00:00"/>
    <d v="2025-09-20T11:49:00"/>
    <m/>
    <s v="CIERRE"/>
    <s v="CIERRE"/>
    <s v="CB UNO A UNO"/>
    <s v="CB UNO A UNO"/>
    <s v="EJECUTADO_EXITOSO"/>
    <s v="CIERRE EXITOSO"/>
    <s v="18/09/2025 SE INTENTA COMUNICACIÓN AL NÚMERO 3015018526 SUENA PERO NO HAY CONTACTO, SE INTENTARÁ NUEVAMENTE | 18/09/2025 EN COMUNICACIÓN CON LA SR JULIANA NIETO RODRIGUEZ AL NÚMERO 3015018526 NOS CONFIRMA LA SOLICITUD, DATOS CORRECTOS. SE ESALA PARA VISITA, POR FAVOR LLAMAR ANTES DE DESPLAZARSE YA QUE NO TODOS LOS DIAS SE ENCUENTRA ABIERTO EL ESTABLECIMIENTO | 18/09/2025 DURANTE LA VISITA DE TECNICA PARA ATENDER CIERRE DE CORRESPONSAL BANCARIO, NO ES POSIBLE PORQUE COMERCIO SE ENCUENTRA CERRADO SE LLAMA AL CELULAR 3015018526 EL CUAL ATIENDE LA SR ANA MILENA RODRÍGUEZ MENDOZA NOS INDICA  QUE NO ES POSIBLE LA ATENCIÓN EL DÍA DE HOY POR MOTIVOS PERSONALES SE INFORMA A COORDINADOR SE PROCEDE A REPROGRAMAR LA ACTIVIDAD_x000a_20/09/2025 SE REALIZA CIERRE DE CORRESPONSAL SIN NOVEDAD PUBLICIDAD CORRESPONSAL INDICA QUE FUE RETIRADA Y DESTRUIDA"/>
    <s v="VISITA_TÉCNICA"/>
    <s v="9L08Z761"/>
    <s v="TIPO I"/>
    <s v="TERRESTRE"/>
    <s v="GALEANO SORIANO JUAN DAVID"/>
    <n v="1"/>
    <n v="44559.563999999998"/>
    <n v="44559.563999999998"/>
  </r>
  <r>
    <s v="VILLAVICENCIO"/>
    <x v="5"/>
    <x v="6"/>
    <n v="50001"/>
    <s v="LC-CS-25-000425"/>
    <n v="60578"/>
    <s v="ORDEN DE CAMBIO"/>
    <s v="META"/>
    <s v="VILLAVICENCIO"/>
    <s v="BARRIO LA LA MADRID VILLAVICEN"/>
    <s v="REDEBAN"/>
    <s v="FO-25-1545944"/>
    <d v="2025-09-17T17:00:00"/>
    <d v="2025-09-18T15:17:00"/>
    <m/>
    <s v="CIERRE"/>
    <s v="CIERRE"/>
    <s v="CB UNO A UNO"/>
    <s v="CB UNO A UNO"/>
    <s v="NO_EXITOSO"/>
    <s v="CB NO ENTREGA EQUIPO"/>
    <s v="18/09/2025 EN COMUNICACIÓN CON LA SRA LUZ DEYER NOVOA DIAZ AL NÚMERO 3157851428 NOS CONFIRMA LA SOLICITUD, DATOS CORRECTOS. SE ESCALA PARA VISITA, POR FAVOR LLAMAR ANTES DED ESPLAZARSE | 18/09/2025 SE VISITA DIRECCIÓN DE COMERCIO PERO AL LLEGAR AL CONJUNTO CERRDO. INFORMAN QUÉ EL COMERCIO SE ENCUENTRA CERRADO. ME COMUNICO CON EL CLIENTE Y NOS INFORMAN QUE NO SE ENCUENTRA EN EL SITIO."/>
    <s v="VISITA_TÉCNICA"/>
    <s v="COMERCIO CERRADO "/>
    <s v="TIPO I"/>
    <s v="TERRESTRE"/>
    <s v="GARZON RUIZ LUIS MIGUEL"/>
    <n v="1"/>
    <n v="44559.563999999998"/>
    <n v="44559.563999999998"/>
  </r>
  <r>
    <s v="VILLAVICENCIO"/>
    <x v="5"/>
    <x v="6"/>
    <n v="85440"/>
    <s v="LC-CS-25-000434"/>
    <n v="34510"/>
    <s v="ORDEN DE CAMBIO"/>
    <s v="CASANARE"/>
    <s v="VILLANUEVA"/>
    <s v="BARRIO FUNDADORES VILLANUEVA"/>
    <s v="REDEBAN"/>
    <s v="FO-25-1546068"/>
    <d v="2025-09-17T17:00:00"/>
    <d v="2025-09-18T16:02:00"/>
    <m/>
    <s v="CIERRE"/>
    <s v="RECUPERACION DE EQUIPOS"/>
    <s v="CB UNO A UNO"/>
    <s v="CB UNO A UNO"/>
    <s v="NO_EXITOSO"/>
    <s v="CB NO ENTREGA EQUIPO"/>
    <s v="18/09/2025 SE INTENTA COMUNICACIÓN A LOS  NÚMEROS 3203701890-3125533335 SUENA PERO NO HAY CONTACTO, SE INTENTARÁ NUEVAMENTE | 18/09/2025 SE INTENTA COMUNICACIÓN A LOS  NÚMEROS 3203701890-3125533335 SUENA PERO NO HAY CONTACTO, SE INTENTARÁ NUEVAMENTE | 18/09/2025 SE LLAMA LA PERSONA PARA VERIFICAR LA DIRECCIÓN INFORMA QUE NO SE ENCUENTRA EN LA DIRECCIÓN DICE QUE ESTÁ EN UNA REUNIÓN QUE NO PUEDE SALIR, ME ENVIÓ A UNA DIRECCIÓN PARA QUE OTRA PERSONA ENTREGUE LOS EQUIPOS ME DIRIJO HACIA ESA DIRECCIÓN PERO AL AHORA DE PREGUNTAR POR EL ADMINISTRADOR NO SE ENCUENTRA"/>
    <s v="VISITA_TÉCNICA"/>
    <s v="N/A"/>
    <s v="TIPO III"/>
    <s v="TERRESTRE"/>
    <s v="MOLINA CASTRO JAVIER ALBERTO"/>
    <n v="1"/>
    <n v="222904.07200000001"/>
    <n v="222904.07200000001"/>
  </r>
  <r>
    <s v="BOGOTA"/>
    <x v="0"/>
    <x v="0"/>
    <n v="11001"/>
    <s v="LC-CS-25-000435"/>
    <n v="63057"/>
    <s v="ORDEN DE CAMBIO"/>
    <s v="CUNDINAMARCA"/>
    <s v="BOGOTA"/>
    <s v="BARRIO BOSA TERMINAL DE TRANSPORTES BOGOTA"/>
    <s v="REDEBAN"/>
    <s v="FO-25-1545956"/>
    <d v="2025-09-17T17:00:00"/>
    <d v="2025-09-19T07:47:00"/>
    <m/>
    <s v="CIERRE"/>
    <s v="RECUPERACION DE EQUIPOS"/>
    <s v="UNO A UNO"/>
    <s v="CB UNO A UNO"/>
    <s v="ILOCALIZADO"/>
    <s v="CB CERRADO - DESOCUPADO"/>
    <s v="18/09/2025 SE INTENTA COMUNICACIÓN A LOS  NÚMEROS 3023744062-3103988221 SUENA PERO NO HAY CONTACTO, SE INTENTARÁ NUEVAMENTE | 18/09/2025 SE INTENTA COMUNICACIÓN A LOS  NÚMEROS 3023744062-3103988221 SUENA PERO NO HAY CONTACTO, SE INTENTARÁ NUEVAMENTE | 18/09/2025 EN COMUNICACIÓN CON EL SR NASSER PEÑA AL NÚMERO 3023744062 NOS CONFIRMA LA SOLICITUD, DATOS CORRECTOS. SE ESCALA PARA VISITA, POR FAVOR LLAMAR ANTES DE DESPLAZARSE | 18/09/2025 EL CORRESPONSAL NO EXISTE DENTRO DEL TERMINAL SE COMUNICA A LOS NÚMEROS Y NO DAN RESPUESTA LOS VIGILANTES DEL TERMINAL INFORMAN QUE EL CORRESPONSAL NO EXISTE HACE TIEMPO"/>
    <s v="VISITA_TÉCNICA"/>
    <s v="0"/>
    <s v="TIPO I"/>
    <s v="TERRESTRE"/>
    <s v="GONZALEZ FANDIÑO SANTIAGO ERNESTO"/>
    <n v="1"/>
    <n v="44559.563999999998"/>
    <n v="44559.563999999998"/>
  </r>
  <r>
    <s v="BOGOTA"/>
    <x v="0"/>
    <x v="0"/>
    <n v="11001"/>
    <s v="LC-CS-25-000436"/>
    <n v="72530"/>
    <s v="ORDEN DE CAMBIO"/>
    <s v="CUNDINAMARCA"/>
    <s v="BOGOTA"/>
    <s v="LA CASTELLANA BOGOTA 3"/>
    <s v="REDEBAN"/>
    <s v="FO-25-1546071"/>
    <d v="2025-09-17T17:00:00"/>
    <d v="2025-09-18T15:15:00"/>
    <m/>
    <s v="CIERRE"/>
    <s v="RECUPERACION DE EQUIPOS"/>
    <s v="UNO A UNO"/>
    <s v="UNO A UNO"/>
    <s v="NO_EXITOSO"/>
    <s v="CB NO ENTREGA EQUIPO"/>
    <s v="18/09/2025 SE INTENTA COMUNICACIÓN AL NÚMERO 3116207484 SUENA PERO NO HAY CONTACTO, SE INTENTARÁ NUEVAMENTE | 18/09/2025 EN COMUNICACIÓN CON LA SRA MARCELA D ANTONIO AL NÚMERO 3116207484 NOS CONFIRMA LA SOLICITUD, DATOS CORRECTOS. SE ESCALA PARA VISITA. POR FAVOR LLAMAR ANTES DE DESPLAZARSE | 18/09/2025 SE LLEGA A COMERCIO PERSONA ENCARGADA INDICA QUE NO TIENE TIEMPO PARA ENTREGAR LOS EQUIPOS Y QUE NO LE AVISARON PARA PASAR NO DA DATOS"/>
    <s v="VISITA_TÉCNICA"/>
    <s v="TV00L345"/>
    <s v="TIPO I"/>
    <s v="TERRESTRE"/>
    <s v="INFANTE SIERRA MANUEL FERNANDO"/>
    <n v="1"/>
    <n v="44559.563999999998"/>
    <n v="44559.563999999998"/>
  </r>
  <r>
    <s v="BUCARAMANGA"/>
    <x v="1"/>
    <x v="1"/>
    <n v="68001"/>
    <s v="LC-CS-25-000400"/>
    <n v="57288"/>
    <s v="ORDEN DE CAMBIO"/>
    <s v="SANTANDER"/>
    <s v="BUCARAMANGA"/>
    <s v="BARRIO CABECERA BUCARAMANGA 14"/>
    <s v="REDEBAN"/>
    <s v="FO-25-1540185"/>
    <d v="2025-09-16T16:51:00"/>
    <d v="2025-09-17T12:22:00"/>
    <m/>
    <s v="CIERRE"/>
    <s v="CIERRE"/>
    <s v="CB UNO A UNO"/>
    <s v="CB UNO A UNO"/>
    <s v="NO_EXITOSO"/>
    <s v="CB NO ENTREGA EQUIPO"/>
    <s v="17/09/2025 SE INTENTA COMUNICACIÓN A LOS NÚMEROS 3147137564- 3228672599 SUENA PERO NO HAY CONTACTO, SE INTENTARÁ NUEVAMENTE | 17/09/2025 SE VISITA COMERCIO CLIENTE ANYELO INFORMA QUE NO SABE POR QUE LE VAN A CERRAR EL CORRESPONSAL SE LE INDICA QUE SE DEBE COMUNICAR CON EL ASESOR QUIEN LE DIRA EL POR QUE Y QUE TAN PRONTO EL ASESOR LE DE UNA RESPUESTA LLAMAR A LA LINEA 018000953344 Y SOLICITAR LA RECOLECCIÓN DE LOS EQUIPOS"/>
    <s v="VISITA_TÉCNICA"/>
    <s v="NO SE MANIPULA EQUIPO "/>
    <s v="TIPO I"/>
    <s v="TERRESTRE"/>
    <s v="BARRERA ORTEGA MARLON STWAR"/>
    <n v="1"/>
    <n v="44559.563999999998"/>
    <n v="44559.563999999998"/>
  </r>
  <r>
    <s v="BUCARAMANGA"/>
    <x v="1"/>
    <x v="1"/>
    <n v="68190"/>
    <s v="LC-CS-25-000401"/>
    <n v="57395"/>
    <s v="ORDEN DE CAMBIO"/>
    <s v="SANTANDER"/>
    <s v="CIMITARRA"/>
    <s v="BARRIO CENTRO CIMITARRA 18"/>
    <s v="REDEBAN"/>
    <s v="FO-25-1540200"/>
    <d v="2025-09-16T16:51:00"/>
    <d v="2025-09-18T16:14:00"/>
    <m/>
    <s v="CIERRE"/>
    <s v="CIERRE"/>
    <s v="UNO A UNO"/>
    <s v="CB UNO A UNO"/>
    <s v="NO_EXITOSO"/>
    <s v="CB NO ENTREGA EQUIPO"/>
    <s v="17/09/2025 SE INTENTA COMUNICACIÓN AL NÚMERO 3153120674 SUENA PERO NO HAY CONTACTO, SE INTENTARÁ NUEVAMENTE | 17/09/2025 SE INTENTA COMUNICACIÓN AL NÚMERO 3153120674 SUENA PERO NO HAY CONTACTO, SE INTENTARÁ NUEVAMENTE | 18/09/2025 SE INTENTA COMUNICACIÓN AL NÚMERO 3153120674 SUENA PERO NO HAY CONTACTO | 18/09/2025 SE LLEGA A COMERCIO CLIENTE INDICA , Q NO HACE ENTREGA DE LOS EQUIPOS DEBIDO , A Q NO LE HAN NOTIFICADO EL MOTIVO DEL CIERRE, MANIFIESTA QUE ESTA ESPERANDO RESPUESTA DEL ASESOR ,MANIFIESTA Q CUANDO TENGA RESPUESTA SE COMUNICARA, NO DA MAS INFORMACIÓN"/>
    <s v="VISITA_TÉCNICA"/>
    <s v="NINGUNA"/>
    <s v="TIPO IV"/>
    <s v="TERRESTRE"/>
    <s v="GELVEZ MOGOLLON JOSE ELISEO"/>
    <n v="1"/>
    <n v="464809.36800000002"/>
    <n v="464809.36800000002"/>
  </r>
  <r>
    <s v="BUCARAMANGA"/>
    <x v="1"/>
    <x v="1"/>
    <n v="68276"/>
    <s v="LC-CS-25-000402"/>
    <n v="70191"/>
    <s v="ORDEN DE CAMBIO"/>
    <s v="SANTANDER"/>
    <s v="FLORIDABLANCA"/>
    <s v="BARRIO ASOVISUR 1 FLORIDABLANC"/>
    <s v="REDEBAN"/>
    <s v="FO-25-1540175"/>
    <d v="2025-09-16T16:51:00"/>
    <d v="2025-09-18T09:11:00"/>
    <m/>
    <s v="CIERRE"/>
    <s v="CIERRE"/>
    <s v="CB UNO A UNO"/>
    <s v="CB UNO A UNO"/>
    <s v="ILOCALIZADO"/>
    <s v="CB CERRADO - DESOCUPADO"/>
    <s v="17/09/2025 SE INTENTA COMUNICACIÓN A LOS NÚMEROS 3042459513 APAGADO-3152823396 SUENA PERO NO HAY CONTACTO, SE INTENTARÁ NUEVAMENTE | 17/09/2025 EN COMUNICACIÓN CON LA SRA MILEYDY LEON ARAQUE AL NÚMERO 3152823396 NOS CONFIRMA LA SOLICITUD, DATOS CORRECTOS. SE ESCALA PARA VISITA, POR FAVOR LLAMAR ANTES DE DESPLAZARSE | 17/09/2025 SE LLEGA A SITIO, LOCAL SE ENCUENTRA CERRADO, SE INTENTA COMUNICACIÓN CON CLIENTE AL CELULAR 3042459513 | 3152823396 Y NO CONTESTA, VISITA FALLIDA POR COMERCIO CERRADO."/>
    <s v="VISITA_TÉCNICA"/>
    <s v="EF007280"/>
    <s v="TIPO I"/>
    <s v="TERRESTRE"/>
    <s v="MARTINEZ FLOREZ DONIS ALBERTO"/>
    <n v="1"/>
    <n v="44559.563999999998"/>
    <n v="44559.563999999998"/>
  </r>
  <r>
    <s v="CALI"/>
    <x v="2"/>
    <x v="2"/>
    <n v="76001"/>
    <s v="LC-CS-25-000404"/>
    <n v="34308"/>
    <s v="ORDEN DE CAMBIO"/>
    <s v="VALLE DEL CAUCA"/>
    <s v="CALI"/>
    <s v="BARRIO ALFONSO BONILLA ARAGON"/>
    <s v="REDEBAN"/>
    <s v="FO-25-1540154"/>
    <d v="2025-09-16T16:51:00"/>
    <d v="2025-09-18T12:06:00"/>
    <m/>
    <s v="CIERRE"/>
    <s v="CIERRE"/>
    <s v="CB UNO A UNO"/>
    <s v="CB UNO A UNO"/>
    <s v="NO_EXITOSO"/>
    <s v="PARCIAL EXITOSO PTE. DATAFONO"/>
    <s v="17/09/2025 EN COMUNICACIÓN CON LA SRA VIRGINIA VANEGAS MARLES AL NÚMERO 3152723343 DATOS CORRECTOS, INFORMA QUE EL BANCO NO LE HA COMUNICADO EL MOTIVO DEL CIERRE | 18/09/2025 SE RETIRA DATÁFONO LECTOR PINPAD HUD SE RETIRA PUBLICIDAD Y SE DESTRUYE EN SITIO  CLIENTE SOLO ENTREGA ESTOS EQUIPOS"/>
    <s v="VISITA_TÉCNICA"/>
    <s v="9A001804"/>
    <s v="TIPO I"/>
    <s v="TERRESTRE"/>
    <s v="CUERO RUIZ JHONNY"/>
    <n v="1"/>
    <n v="44559.563999999998"/>
    <n v="44559.563999999998"/>
  </r>
  <r>
    <s v="BOGOTA"/>
    <x v="0"/>
    <x v="0"/>
    <n v="11001"/>
    <s v="LC-CS-25-000406"/>
    <n v="43118"/>
    <s v="ORDEN DE CAMBIO"/>
    <s v="CUNDINAMARCA"/>
    <s v="BOGOTA"/>
    <s v="BARRIO ALCAZARES BOGOTA 2"/>
    <s v="REDEBAN"/>
    <s v="FO-25-1540194"/>
    <d v="2025-09-16T16:51:00"/>
    <d v="2025-09-18T09:13:00"/>
    <m/>
    <s v="CIERRE"/>
    <s v="CIERRE"/>
    <s v="UNO A UNO"/>
    <s v="CB UNO A UNO"/>
    <s v="NO_EXITOSO"/>
    <s v="CB NO ENTREGA EQUIPO"/>
    <s v="17/09/2025 EN COMUNICACIÓN CON EL SR JUAN FRANCISCO FERRERO INFANTE AL NÚMERO 3223744917 NOS INFORMA QUE EL BANCO NO LE HA DADO EL MOTIVO DEL CIERRE DEL CB Y QUE NO ENTREGARÁ LOS EQUIPOS | 17/09/2025 SE REALIZA VISITA AL LLEGAR A COMERCIO INDICA NO TENER NOTIFICACIÓN NI CORREO POR TAL MOTIVO NO ENTREGA EQUIPOS, NO PERMITE EL RETIRO DE LOS EQUIPO Y ACCESORIOS"/>
    <s v="VISITA_TÉCNICA"/>
    <s v="9ABZZ369"/>
    <s v="TIPO I"/>
    <s v="TERRESTRE"/>
    <s v="JAIMES VALERO NELSON RICARDO"/>
    <n v="1"/>
    <n v="44559.563999999998"/>
    <n v="44559.563999999998"/>
  </r>
  <r>
    <s v="CALI"/>
    <x v="2"/>
    <x v="2"/>
    <n v="76001"/>
    <s v="LC-CS-25-000411"/>
    <n v="64726"/>
    <s v="ORDEN DE CAMBIO"/>
    <s v="VALLE DEL CAUCA"/>
    <s v="CALI"/>
    <s v="BARRIO PICHINDE CALI 1"/>
    <s v="REDEBAN"/>
    <s v="FO-25-1540222"/>
    <d v="2025-09-16T16:51:00"/>
    <d v="2025-09-19T08:26:00"/>
    <m/>
    <s v="CIERRE"/>
    <s v="CIERRE"/>
    <s v="CB UNO A UNO"/>
    <s v="CB UNO A UNO"/>
    <s v="NO_EXITOSO"/>
    <s v="CB NO ENTREGA EQUIPO"/>
    <s v="17/09/2025 EN COMUNICACIÓN CON LA SRA VIRGINIA VANEGAS MARLES AL NÚMERO 3152723343 DATOS CORRECTOS, INFORMA QUE EL BANCO NO LE HA COMUNICADO EL MOTIVO DEL CIERRE | 18/09/2025 SE REALIZA LLAMADA TELEFÓNICA PARA ESTABLECER COMUNICACIÓN CON EL CLIENTE EN DONDE NO SE HALLA COMUNICACIÓN Y SE DECIDE REALIZAR VISITA TÉCNICA EN DONDE SE LLEGA AL SITIO Y EL SEÑOR YIMI ME INDICA QUE ENVIO LOS EQUIPOS DE SU CORRESPONSAL A LA CIUDAD DE CALI, EL EQUIPO NO SE ENCUENTRA EN EL COMERCIO UBICADO EN PICHINDE SE PROCEDE A CERRAR"/>
    <s v="VISITA_TÉCNICA"/>
    <s v="0"/>
    <s v="TIPO I"/>
    <s v="TERRESTRE"/>
    <s v="ESCOBAR LENIS JUAN SEBASTIAN"/>
    <n v="1"/>
    <n v="44559.563999999998"/>
    <n v="44559.563999999998"/>
  </r>
  <r>
    <s v="MEDELLIN"/>
    <x v="3"/>
    <x v="4"/>
    <n v="5380"/>
    <s v="LC-CS-25-000377"/>
    <n v="49130"/>
    <s v="ORDEN DE CAMBIO"/>
    <s v="ANTIOQUIA"/>
    <s v="LA ESTRELLA"/>
    <s v="PTM EXPRESARTE VARIEDADES Y VA"/>
    <s v="REDEBAN"/>
    <s v="FO-25-1534218"/>
    <d v="2025-09-15T16:20:00"/>
    <d v="2025-09-16T15:38:00"/>
    <m/>
    <s v="CIERRE"/>
    <s v="CIERRE"/>
    <s v="AGREGADOR"/>
    <s v="COMCARD - PTM"/>
    <s v="ILOCALIZADO"/>
    <s v="CB CERRADO - DESOCUPADO"/>
    <s v="16/09/2025 SE INTENTA COMUNICACIÓN AL NÚMERO 3008066190 SUENA PERO NO HAY CONTACTO, SE INTENTARÁ NUEVAMENTE | 16/09/2025 SE INTENTA COMUNICACIÓN AL NÚMERO 3008066190 SUENA PERO NO HAY CONTACTO, SE INTENTARÁ NUEVAMENTE | 16/09/2025 SE VISITA EN 2 OCASIONES SE ENCUENTRA CERRADO, SE INTENTA CONTACTAR POR MEDIO DEL TELÉFONO DE CONTACTO Y WHATSAPP SIN RESPUESTA"/>
    <s v="VISITA_TÉCNICA"/>
    <s v="TR00M902"/>
    <s v="TIPO I"/>
    <s v="TERRESTRE"/>
    <s v="CASTAÑEDA PALACIO CARLOS FELIPE"/>
    <n v="1"/>
    <n v="44559.563999999998"/>
    <n v="44559.563999999998"/>
  </r>
  <r>
    <s v="BUCARAMANGA"/>
    <x v="1"/>
    <x v="1"/>
    <n v="68081"/>
    <s v="LC-CS-25-000380"/>
    <n v="42183"/>
    <s v="ORDEN DE CAMBIO"/>
    <s v="SANTANDER"/>
    <s v="BARRANCABERMEJA"/>
    <s v="PTM BARRANCA CEVECOM"/>
    <s v="REDEBAN"/>
    <s v="FO-25-1534171"/>
    <d v="2025-09-15T16:20:00"/>
    <d v="2025-09-18T08:40:00"/>
    <m/>
    <s v="CIERRE"/>
    <s v="CIERRE"/>
    <s v="AGREGADOR"/>
    <s v="COMCARD - PTM"/>
    <s v="NO_EXITOSO"/>
    <s v="CB NO ENTREGA EQUIPO"/>
    <s v="16/09/2025 SE INTENTA COMUNICACIÓN AL NÚMERO 3154024314 SUENA PERO NO HAY CONTACTO, SE INTENTARÁ NUEVAMENTE | 16/09/2025 SE INTENTA COMUNICACIÓN AL NÚMERO 3154024314 SUENA PERO NO HAY CONTACTO, SE INTENTARÁ NUEVAMENTE | 16/09/2025 SE INTENTA COMUNICACIÓN AL NÚMERO 3154024314 SUENA PERO NO HAY CONTACTO | 17/09/2025 SE REALIZA VISITA AL COMERCIO EN LA  DIRECCIÓN INDICADA SE ESTABLECE COMUNICACIÓN CON EL SEÑOR ALDEMAR FERNEY RODRÍGUEZ Y NOS INDICA QUE NO HACE ENTREGA DE LOS EQUIPOS DEBIDO A QUE PTM NO LE HA DEVOLUCIÓN DEL DINERO QUE NO HAY GARANTÍA QUE EL ENTREGANDO LOS EQUIPOS LE DEVUELVAN EL DINERO"/>
    <s v="VISITA_TÉCNICA"/>
    <s v="NO APLICA "/>
    <s v="TIPO III"/>
    <s v="TERRESTRE"/>
    <s v="MARIÑO PABON JORGE ENRIQUE"/>
    <n v="1"/>
    <n v="222904.07200000001"/>
    <n v="222904.07200000001"/>
  </r>
  <r>
    <s v="MEDELLIN"/>
    <x v="3"/>
    <x v="4"/>
    <n v="15572"/>
    <s v="LC-CS-25-000382"/>
    <n v="31843"/>
    <s v="ORDEN DE CAMBIO"/>
    <s v="BOYACA"/>
    <s v="PUERTO BOYACA"/>
    <s v="MULTIPAGAS PUERTO BOYACA"/>
    <s v="REDEBAN"/>
    <s v="FO-25-1534167"/>
    <d v="2025-09-15T16:20:00"/>
    <d v="2025-09-18T08:43:00"/>
    <m/>
    <s v="CIERRE"/>
    <s v="RECUPERACION DE EQUIPOS"/>
    <s v="ROBUSTO"/>
    <s v="MULTIPAGAS"/>
    <s v="NO_EXITOSO"/>
    <s v="PARCIAL EXITOSO PTE. DATAFONO"/>
    <s v="16/09/2025 EN COMUNICACIÓN CON LA SRA NATALIA BUITRAGO AL NÚMERO 3225922930 NOS CONFIRMA LA SOLICITUD, DATOS CORRECTOS. SE ESCALA PARA VISITA | 17/09/2025 SE REALIZA VISITA TÉCNICA AL CORRESPONSAL ROBUSTO MULTIPAGAS CON EL OBJETIVO DE RETIRAR EQUIPOS. AL LLEGAR AL PUNTO, EL USUARIO CONFIRMA LA IDENTIFICACIÓN DEL TÉCNICO Y ACLARA QUE LA SOLICITUD REALIZADA A TRAVÉS DE LA LÍNEA DE ATENCIÓN CORRESPONDE ÚNICAMENTE AL RETIRO DE DOS PINPAD QUE NO ESTABAN EN FUNCIONAMIENTO NI EN USO. EL USUARIO ENFATIZA QUE NO SE TRATA DE UN CIERRE TOTAL DE LOS DATÁFONOS, SINO DE UNA INTERVENCIÓN PUNTUAL PARA RETIRAR LOS DISPOSITIVOS MENCIONADOS."/>
    <s v="VISITA_TÉCNICA"/>
    <s v="AD00I844"/>
    <s v="TIPO IV"/>
    <s v="TERRESTRE"/>
    <s v="MARTINEZ TOVAR OSCAR DAVID"/>
    <n v="1"/>
    <n v="464809.36800000002"/>
    <n v="464809.36800000002"/>
  </r>
  <r>
    <s v="BOGOTA"/>
    <x v="0"/>
    <x v="0"/>
    <n v="11001"/>
    <s v="LC-CS-25-000383"/>
    <n v="18301"/>
    <s v="ORDEN DE CAMBIO"/>
    <s v="CUNDINAMARCA"/>
    <s v="BOGOTA"/>
    <s v="REVAL JUMBO CC SANTAFE BOGOTA"/>
    <s v="REDEBAN"/>
    <s v="FO-25-1534164"/>
    <d v="2025-09-15T16:20:00"/>
    <d v="2025-09-17T12:18:00"/>
    <m/>
    <s v="CIERRE"/>
    <s v="RECUPERACION DE EQUIPOS"/>
    <s v="ROBUSTO"/>
    <s v="REVAL"/>
    <s v="NO_EXITOSO"/>
    <s v="PARCIAL EXITOSO PTE. DATAFONO"/>
    <s v="16/09/2025 EN COMUNICACIÓN CON LA SRA DOLLY BAUTISTA AL NÚMERO 3203076573 NOS CONFIRMA LA SOLICITUD, DATOS CORRECTOS. SE ESCALA PARA VISITA | 17/09/2025 SE REALIZA RETIRO DE 2 DATAFONOS, 1 LECTORA Y 1 PINPAD"/>
    <s v="VISITA_TÉCNICA"/>
    <s v="JYZZZ347"/>
    <s v="TIPO I"/>
    <s v="TERRESTRE"/>
    <s v="ALARCON AREVALO JOHAN STIVEN"/>
    <n v="1"/>
    <n v="44559.563999999998"/>
    <n v="44559.563999999998"/>
  </r>
  <r>
    <s v="BOGOTA"/>
    <x v="0"/>
    <x v="0"/>
    <n v="11001"/>
    <s v="LC-CS-25-000386"/>
    <n v="56213"/>
    <s v="ORDEN DE CAMBIO"/>
    <s v="CUNDINAMARCA"/>
    <s v="BOGOTA"/>
    <s v="BARRIO SAN CIPRIANO BOGOTA 3"/>
    <s v="REDEBAN"/>
    <s v="FO-25-1534206"/>
    <d v="2025-09-15T16:20:00"/>
    <d v="2025-09-18T08:59:00"/>
    <m/>
    <s v="CIERRE"/>
    <s v="CIERRE"/>
    <s v="UNO A UNO"/>
    <s v="CB UNO A UNO"/>
    <s v="NO_EXITOSO"/>
    <s v="CB NO ENTREGA EQUIPO"/>
    <s v="16/09/2025 EN COMUNICACIÓN AL NÚMERO 3125308729 NOS INDICAN QUE EL SR ROBERTO GALVIS YA NO LABORA EN EL ESTABLECIMIENTO Y CREE QUE LOS EQUIPOS DEL CB 56213 SE LOS LLLEVARON AL INSTALAR EL NUEVO CB | 17/09/2025 DATAFONO FUE RECOGIDO EL DÍA LUNES 15 DE SEPTIEMBRE CON LA TA-25-1107264, SE VISITO COMERCIO NUEVAMENTE PERO USUARIO NO ENTREGO EL LECTOR  940683"/>
    <s v="VISITA_TÉCNICA"/>
    <s v="XPMZZ098"/>
    <s v="TIPO I"/>
    <s v="TERRESTRE"/>
    <s v="ALARCON AREVALO JOHAN STIVEN"/>
    <n v="1"/>
    <n v="44559.563999999998"/>
    <n v="44559.563999999998"/>
  </r>
  <r>
    <s v="BOGOTA"/>
    <x v="0"/>
    <x v="0"/>
    <n v="11001"/>
    <s v="LC-CS-25-000388"/>
    <n v="74490"/>
    <s v="ORDEN DE CAMBIO"/>
    <s v="CUNDINAMARCA"/>
    <s v="BOGOTA"/>
    <s v="BARRIO VILLA MARIA BOGOTA 4"/>
    <s v="REDEBAN"/>
    <s v="FO-25-1534179"/>
    <d v="2025-09-15T16:20:00"/>
    <d v="2025-09-18T09:09:00"/>
    <m/>
    <s v="CIERRE"/>
    <s v="RECUPERACION DE EQUIPOS"/>
    <s v="UNO A UNO"/>
    <s v="UNO A UNO"/>
    <s v="ILOCALIZADO"/>
    <s v="CB CERRADO - DESOCUPADO"/>
    <s v="16/09/2025 EN COMUNICACIÓN CON LA SRA ADRIANA  AL NÚEMERO 3027541096  NOS CONFIRMA LA SOLICITUD, DATOS CORRECTOS. SE ESCALA PARA VISITA. POR FAVOR LLAMAR ANTES DE DESPLAZARSE | 17/09/2025 SE VISITA DIRECCIÓN INDICADA EN LA ORDEN, SE EVIDENCIA EN EL PUNTO NO EXISTE NINGÚNA EVIDENCIA DE CB BANCOLOMBIA, SE LLAMA A LOS TELÉFONOS DE CONTACTO 3027541096 3222128521 Y NO SE LOGRA COMUNICACIÓN CON EL CLIENTE, SE TOMA EVIDENCIA DE LA VISITA Y NOS RETIRAMOS."/>
    <s v="VISITA_TÉCNICA"/>
    <s v="NONE"/>
    <s v="TIPO I"/>
    <s v="TERRESTRE"/>
    <s v="VEGA MANRIQUE JONATAN MAURICIO"/>
    <n v="1"/>
    <n v="44559.563999999998"/>
    <n v="44559.563999999998"/>
  </r>
  <r>
    <s v="BOGOTA"/>
    <x v="0"/>
    <x v="0"/>
    <n v="25320"/>
    <s v="LC-CS-25-000370"/>
    <n v="76091"/>
    <s v="ORDEN DE CAMBIO"/>
    <s v="CUNDINAMARCA"/>
    <s v="GUADUAS"/>
    <s v="BARRIO CENTRO GUADUAS 3"/>
    <s v="REDEBAN"/>
    <s v="FO-25-1526646"/>
    <d v="2025-09-13T09:00:00"/>
    <d v="2025-09-17T14:39:00"/>
    <m/>
    <s v="CIERRE"/>
    <s v="CIERRE"/>
    <m/>
    <m/>
    <s v="NO_EXITOSO"/>
    <s v="CB NO ENTREGA EQUIPO"/>
    <s v="13/09/2025 SE INTENTA COMUNICACIÓN AL NÚMERO 3222223587 SE ENCUENTRA APAGADO, SE INTENTARÁ NUEVAMENTE | 15/09/2025 SE INTENTA COMUNICACIÓN AL NÚMERO 3222223587 SE ENCUENTRA APAGADO, SE INTENTARÁ NUEVAMENTE | 15/09/2025 SE INTENTA COMUNICACIÓN AL NÚMERO 3222223587 SE ENCUENTRA APAGADO | 17/09/2025 SE REALIZA VISITA AL COMERCIO A LA DIRECCIÓN CALLE 2 # 6 34 GUADUAS NO LOS DAN RAZÓN DEL CLIENTE SE REALIZA CONTACTO TELÉFONICO 3222235837 CON O SEÑORA ADRIANA VALENCIA LA CUAL NOS INDICA QUE NO SE ENCUENTRA EN EL PUEBLO SE LE INDICA AL USUARIO QUE DEBE LLAMAR CUANDO CUANDO CON TIEMPO DISPONIBLE"/>
    <s v="VISITA_TÉCNICA"/>
    <s v="NA"/>
    <s v="TIPO III"/>
    <s v="TERRESTRE"/>
    <s v="HERNANDEZ NARANJO OSCAR EDUARDO"/>
    <n v="1"/>
    <n v="222904.07200000001"/>
    <n v="222904.07200000001"/>
  </r>
  <r>
    <s v="BOGOTA"/>
    <x v="0"/>
    <x v="0"/>
    <n v="11001"/>
    <s v="LC-CS-25-000347"/>
    <n v="63341"/>
    <s v="ORDEN DE CAMBIO"/>
    <s v="CUNDINAMARCA"/>
    <s v="BOGOTA"/>
    <s v="DISTRICOL DON PAGO VARIEDADES"/>
    <s v="REDEBAN"/>
    <s v="FO-25-1526691"/>
    <d v="2025-09-13T09:00:00"/>
    <d v="2025-09-16T09:05:00"/>
    <m/>
    <s v="CIERRE"/>
    <s v="CIERRE"/>
    <s v="AGREGADOR"/>
    <s v="DISTRICOL"/>
    <s v="NO_EXITOSO"/>
    <s v="CB NO ENTREGA EQUIPO"/>
    <s v="13/09/2025 SE INTENTA COMUNICACIÓN AL NÚMERO 3167405474 SUENA PERO NO HAY CONTACTO, SE INTENTARÁ NUEVAMENTE | 15/09/2025 SE INTENTA COMUNICACIÓN AL NÚMERO 3167405474 SE ENCUENTRA APAGADO, SE INTENTARÁ NUEVAMENTE | 15/09/2025 EN COMUNICACIÓN CON LA SRA DIANA CAROLINA RIAÑO SUAREZ AL NÚMERO 3167405474 INFORMA QUE LA DIRECCIÓN ES DONDE SE ENCUENTRA EL LOCAL  PERO QUE ESTE CB YA ESTÁ A NOMBRE DE DIANA MARCELA, NOS FACILITA EL NÚMERO 3213904189 SE INTENTA COMUNICACIÓN PERO NO HAY CONTACTO | 15/09/2025 SE REALIZA DESPLAZAMIENTO A DIRECCIÓN INDICADA, SE ENCUENTRA COMERCIO CERRADO, SE REALIZA LLAMADA A PERSONA DE CONTACTO QUIEN INFORMA QUE YA NO ES LA DUEÑA DEL LOCAL, QUE VENDIO HACE DOS AÑOS, LUEGO DE ESTO SE RECIBE LLAMADA TELEFÓNICA DE PARTE DE LA SRA. DIANA GAMBOA 3167405474 QUIEN INFORMA QUE NO PUEDE ENTREGAR LOS EQUIPOS ENTRE SEMANA, INFORMA DISPONIBILIDAD PARA LOS SÁBADOS APARTIR DE LAS 9AM, SE LE INDICA QUE DEBE COMUNICARSE A LA LÍNEA 01800953344 Y SOLICITAR LA VISITA PARA LA ENTREGA DE LOS"/>
    <s v="VISITA_TÉCNICA"/>
    <s v="LA00V273"/>
    <s v="TIPO I"/>
    <s v="TERRESTRE"/>
    <s v="MURCIA HERNANDEZ HARVEY IGNACIO"/>
    <n v="1"/>
    <n v="44559.563999999998"/>
    <n v="44559.563999999998"/>
  </r>
  <r>
    <s v="BOGOTA"/>
    <x v="0"/>
    <x v="0"/>
    <n v="11001"/>
    <s v="LC-CS-25-000353"/>
    <n v="33556"/>
    <s v="ORDEN DE CAMBIO"/>
    <s v="CUNDINAMARCA"/>
    <s v="BOGOTA"/>
    <s v="COMCARD BOGOTA ALTAVISTA"/>
    <s v="REDEBAN"/>
    <s v="FO-25-1526708"/>
    <d v="2025-09-13T09:00:00"/>
    <d v="2025-09-17T09:54:00"/>
    <m/>
    <s v="CIERRE"/>
    <s v="RECUPERACION DE EQUIPOS"/>
    <s v="AGREGADOR"/>
    <s v="COMCARD - PTM"/>
    <s v="ILOCALIZADO"/>
    <s v="CB CERRADO - DESOCUPADO"/>
    <s v="13/09/2025 EN COMUNICACIÓN CON EL SR JAIBER GORDILLO AL NÚMERO 3508309021 NOS CONFIRMA LA SOLICITUD, DATOS CORRECTOS. SE ESCALA PARA VISITA, INDICA QUE ES DENTRO DEL CONJUNTO POR FAVOR LLAMAR ANTES DE DESPLAZARSE | 16/09/2025 SE REALIZA VISITA DE CAMPO ENCONTRADO QUE COMERCIO NO EXISTE EN DIRECCIÓN INDICADA EN RUTA, CABE RESALTAR QUE LA DIRECCIÓN QUEDA EN UN CONJUNTO RESIDENCIAL SE INDAGA POR EL NOMBRE DE CONTACTO EN ORDEN DE SERVICIO NO LO CONOCEN, LOCAL TAMPOCO CONOCEN, SE LLAMA A LA LÍNEA 3508309021 NO HAY RESPUESTA, SE INFORMA A SUPERVISOR QUIEN AUTORIZA CIERRE DE SOLICITUD."/>
    <s v="VISITA_TÉCNICA"/>
    <s v="0"/>
    <s v="TIPO I"/>
    <s v="TERRESTRE"/>
    <s v="LOZADA ROJAS CHRISTIAN ANDRES"/>
    <n v="1"/>
    <n v="44559.563999999998"/>
    <n v="44559.563999999998"/>
  </r>
  <r>
    <s v="MEDELLIN"/>
    <x v="3"/>
    <x v="4"/>
    <n v="5001"/>
    <s v="LC-CS-25-000322"/>
    <n v="12600"/>
    <s v="ORDEN DE CAMBIO"/>
    <s v="ANTIOQUIA"/>
    <s v="MEDELLIN"/>
    <s v="BRR PICACHO MEDELLIN"/>
    <s v="REDEBAN"/>
    <s v="FO-25-1516457"/>
    <d v="2025-09-11T15:50:00"/>
    <d v="2025-09-13T12:09:00"/>
    <m/>
    <s v="CIERRE"/>
    <s v="CIERRE"/>
    <s v="CB UNO A UNO"/>
    <s v="CB UNO A UNO"/>
    <s v="NO_EXITOSO"/>
    <s v="CB NO ENTREGA EQUIPO"/>
    <s v="12/09/2025 SE INTENTA COMUNICACIÓN AL NÚMERO 3022095454 SUENA PERO NO HAY CONTACTO, SE INTENTARÁ NUEVAMENTE | 12/09/2025 SE INTENTA COMUNICACIÓN AL NÚMERO 3022095454 SUENA PERO NO HAY CONTACTO, SE INTENTARÁ NUEVAMENTE | 13/09/2025 SE INTENTA COMUNICACIÓN AL NÚMERO 3022095454 SUENA PERO NO HAY CONTACTO | 13/09/2025 SE HACEN VARIAS LLAMADAS AL CLIENTE, NO CINTESTA, SE LLEGA AL PUNTO Y NOS CONTACTAN CON EL CLIENTE EL CUAL NOS DICE QUE SE ENCUENTRA EN CALI  Y QUE LOS EQUIPOS A RETIRAR NO SE ENCUENTRAN EN EL PUNTO"/>
    <s v="VISITA_TÉCNICA"/>
    <s v="NONE"/>
    <s v="TIPO I"/>
    <s v="TERRESTRE"/>
    <s v="CARDONA MOLINA BROLIN STIVEN"/>
    <n v="1"/>
    <n v="44559.563999999998"/>
    <n v="44559.563999999998"/>
  </r>
  <r>
    <s v="TUNJA"/>
    <x v="1"/>
    <x v="1"/>
    <n v="15001"/>
    <s v="LC-CS-25-000327"/>
    <n v="41641"/>
    <s v="ORDEN DE CAMBIO"/>
    <s v="BOYACA"/>
    <s v="TUNJA"/>
    <s v="BARRIO CENTRO TUNJA 9"/>
    <s v="REDEBAN"/>
    <s v="FO-25-1516531"/>
    <d v="2025-09-11T15:50:00"/>
    <d v="2025-09-12T17:37:00"/>
    <m/>
    <s v="CIERRE"/>
    <s v="CIERRE"/>
    <s v="CB UNO A UNO"/>
    <s v="CB UNO A UNO"/>
    <s v="NO_EXITOSO"/>
    <s v="CB NO ENTREGA EQUIPO"/>
    <s v="12/09/2025 SE INTENTA COMUNICACIÓN AL NÚMERO 3103261632 SUENA PERO NO HAY CONTACTO, SE INTENTARÁ NUEVAMENTE | 12/09/2025 SE INTENTA COMUNICACIÓN AL NÚMERO 3103261632 SUENA PERO NO HAY CONTACTO, SE INTENTARÁ NUEVAMENTE | 12/09/2025 EN COMUNICACIÓN CON LA LÍNEA 3008426660 LA SEÑORA DEISY LILIANA VELANDIA PIRA INDICA QUE NO SOLICITO CIERRE DEL CORRESPONSAL QUE SE ENCUENTRA EN NEGOCIACIONES CON EL BANCO Y QUE NO PUEDE ENTREGAR LOS EQUIPOS HASTA QUE LE DEN RESPUESTA, YA QUE INDICA QUE QUIERE CONTINUAR CON EL SERVICIO, SE LE INDICA QUE DEBE COMUNICARSE CON LA LÍNEA NACIONAL 018000953344 PARA MAYOR INFORMACION."/>
    <s v="SOPORTE_TELEFÓNICO"/>
    <s v="0"/>
    <s v="TIPO I"/>
    <s v="TERRESTRE"/>
    <s v="HERRERA GARZON JEYSON STEVENT"/>
    <n v="0"/>
    <n v="37904.612000000001"/>
    <n v="37904.612000000001"/>
  </r>
  <r>
    <s v="NEIVA"/>
    <x v="5"/>
    <x v="6"/>
    <n v="18001"/>
    <s v="LC-CS-25-000328"/>
    <n v="80786"/>
    <s v="ORDEN DE CAMBIO"/>
    <s v="CAQUETA"/>
    <s v="FLORENCIA"/>
    <s v="BARRIO LA LIBERTAD FLORENCIA 2"/>
    <s v="REDEBAN"/>
    <s v="FO-25-1516526"/>
    <d v="2025-09-11T15:50:00"/>
    <d v="2025-09-17T09:25:00"/>
    <m/>
    <s v="CIERRE"/>
    <s v="CIERRE"/>
    <s v="UNO A UNO"/>
    <s v="UNO A UNO"/>
    <s v="NO_EXITOSO"/>
    <s v="CB NO ENTREGA EQUIPO"/>
    <s v="12/09/2025 SE INTENTA COMUNICACIÓN AL NÚMERO 3114785004 SUENA PERO NO HAY CONTACTO, SE INTENTARÁ NUEVAMENTE | 12/09/2025 SE INTENTA COMUNICACIÓN AL NÚMERO 3114785004 SUENA PERO NO HAY CONTACTO, SE INTENTARÁ NUEVAMENTE | 13/09/2025 SE INTENTA COMUNICACIÓN AL NÚMERO 3114785004 SUENA PERO NO HAY CONTACTO | 16/09/2025 SE REALIZA VISITA AL CB PERO SE ENCUENTRA CERRADO SE LLAMA A LA CLIENTA QUIEN MANIFESTÓ NO PODER REALIZAR LA ENTREGA DE LOS EQUIPOS YA QUE NO SE ENCUENTRA EN FLORENCIA Y QUE POR MOTIVOS PERSONALES LE TOCÓ VIAJAR A OTRA CIUDAD, QUE CUANDO ESTÉ EN FLORENCIA NUEVAMENTE LLAMARÁ A LÍNEA PARA SOLICITAR LA ENTREGA DE LOS EQUIPOS"/>
    <s v="VISITA_TÉCNICA"/>
    <s v="F7ZZZ994"/>
    <s v="TIPO IV"/>
    <s v="TERRESTRE"/>
    <s v="BERMUDEZ SANCHEZ JOSE NEYBER"/>
    <n v="1"/>
    <n v="464809.36800000002"/>
    <n v="464809.36800000002"/>
  </r>
  <r>
    <s v="CALI"/>
    <x v="2"/>
    <x v="2"/>
    <n v="19001"/>
    <s v="LC-CS-25-000329"/>
    <n v="66559"/>
    <s v="ORDEN DE CAMBIO"/>
    <s v="CAUCA"/>
    <s v="POPAYAN"/>
    <s v="BARRIO BELLO HORIZONTE POPAYAN"/>
    <s v="REDEBAN"/>
    <s v="FO-25-1516562"/>
    <d v="2025-09-11T15:50:00"/>
    <d v="2025-09-12T15:29:00"/>
    <m/>
    <s v="CIERRE"/>
    <s v="CIERRE"/>
    <s v="CB UNO A UNO"/>
    <s v="CB UNO A UNO"/>
    <s v="ILOCALIZADO"/>
    <s v="CB CERRADO - DESOCUPADO"/>
    <s v="12/09/2025 SE LLEGA AL SITIO SE ENCUENTRA COMERCIO CERRADO SE REALIZA LLAMADA CELULAR CB NO SE TIENE RESPUESTA"/>
    <s v="VISITA_TÉCNICA"/>
    <s v="6A0AZ069"/>
    <s v="TIPO III"/>
    <s v="TERRESTRE"/>
    <s v="GIMBUEL LASSO LUIS GERMAN"/>
    <n v="1"/>
    <n v="222904.07200000001"/>
    <n v="222904.07200000001"/>
  </r>
  <r>
    <s v="SINCELEJO"/>
    <x v="4"/>
    <x v="5"/>
    <n v="70708"/>
    <s v="LC-CS-25-000338"/>
    <n v="67061"/>
    <s v="ORDEN DE CAMBIO"/>
    <s v="SUCRE"/>
    <s v="SAN MARCOS"/>
    <s v="BARRIO VEREDA PALO ALTO SAN MA"/>
    <s v="REDEBAN"/>
    <s v="FO-25-1516494"/>
    <d v="2025-09-11T15:50:00"/>
    <d v="2025-09-17T14:15:00"/>
    <m/>
    <s v="CIERRE"/>
    <s v="CIERRE"/>
    <s v="UNO A UNO"/>
    <s v="CB UNO A UNO"/>
    <s v="NO_EXITOSO"/>
    <s v="CB NO ENTREGA EQUIPO"/>
    <s v="12/09/2025 EN COMUNICACIÓN CON EL SR LUIS ALFONZO RUIZ CHAVEZ AL NÚMERO 3105333817 NOS CONFIRMA LA SOLICITUD, DATOS CORRECTOS. SE ESCALA PARA VISITA | 17/09/2025 SE LLEGA AL SITIO Y NO NOS ENTREGAN LOS EQUIPOS YA QUE EL SR LUIS ALFONSO NO SE ENCUENTRA EN EL SITIO, SE LE LLAMA AL NO 3105331817 Y NOS INFORMA QUE ESTÁ POR FUERA DE LA VEREDA Y NO PUEDE REALIZAR LA ENTREGA. INFORMA QUE SE COMUNICARÁ CON EL BANCO."/>
    <s v="VISITA_TÉCNICA"/>
    <s v="NO APLICA"/>
    <s v="TIPO III"/>
    <s v="TERRESTRE"/>
    <s v="CASSIANI PEREZ RAUL RAMIRO"/>
    <n v="1"/>
    <n v="222904.07200000001"/>
    <n v="222904.07200000001"/>
  </r>
  <r>
    <s v="SINCELEJO"/>
    <x v="4"/>
    <x v="5"/>
    <n v="70708"/>
    <s v="LC-CS-25-000339"/>
    <n v="71759"/>
    <s v="ORDEN DE CAMBIO"/>
    <s v="SUCRE"/>
    <s v="SAN MARCOS"/>
    <s v="SAN MARCOS VEREDA EL OASIS"/>
    <s v="REDEBAN"/>
    <s v="FO-25-1516520"/>
    <d v="2025-09-11T15:50:00"/>
    <d v="2025-09-17T14:32:00"/>
    <m/>
    <s v="CIERRE"/>
    <s v="CIERRE"/>
    <s v="UNO A UNO"/>
    <s v="UNO A UNO"/>
    <s v="NO_EXITOSO"/>
    <s v="CB NO ENTREGA EQUIPO"/>
    <s v="12/09/2025 EN COMUNICACIÓN CON EL SR LUIS ALFONZO RUIZ CHAVEZ AL NÚMERO 3105333817 NOS CONFIRMA LA SOLICITUD, DATOS CORRECTOS. SE ESCALA PARA VISITA | 17/09/2025 SE LLEGA AL SITIO Y NO ENTREGAN EQUIPOS, INFORMAN QUE EL CLIENTE NO SE ENCUENTRA EN SITIO, SE LLAMA AL NO 315333817, CON EL SR LUIS ALFONSO RUIZ CHÁVES, NOS INFORMA QUE ESTÁ POR FUERA DE LA VEREDA Y SE COMUNICARÁ CON EL BANCO PARA ACORDAR LA ENTREGA."/>
    <s v="VISITA_TÉCNICA"/>
    <s v="NO APLCA"/>
    <s v="TIPO III"/>
    <s v="TERRESTRE"/>
    <s v="CASSIANI PEREZ RAUL RAMIRO"/>
    <n v="1"/>
    <n v="222904.07200000001"/>
    <n v="222904.07200000001"/>
  </r>
  <r>
    <s v="YOPAL"/>
    <x v="5"/>
    <x v="6"/>
    <n v="85001"/>
    <s v="LC-CS-25-000340"/>
    <n v="78582"/>
    <s v="ORDEN DE CAMBIO"/>
    <s v="CASANARE"/>
    <s v="YOPAL"/>
    <s v="BARRIO  CHAPARRERA YOPAL"/>
    <s v="REDEBAN"/>
    <s v="FO-25-1516476"/>
    <d v="2025-09-11T15:50:00"/>
    <d v="2025-09-18T11:56:00"/>
    <m/>
    <s v="CIERRE"/>
    <s v="CIERRE"/>
    <s v="UNO A UNO"/>
    <s v="UNO A UNO"/>
    <s v="NO_EXITOSO"/>
    <s v="CB NO ENTREGA EQUIPO"/>
    <s v="12/09/2025 EN COMUNICACIÓN CON LA SRA ERIKA RODRIGUEZ BETANCOURT AL NÚMERO 3142422602 NOS CONFIRMA LA SOLICITUD, DATOS CORRECTOS. SE ESCALA PARA VISITA | 18/09/2025 EN COMUNICACIÓN CON LA SEÑORA ANDREA OROS AL NUMERO 3105608091 INDICA NO TIENE AUTORIZADO ENTREGAR LOS EQUIPOS, REALIZO VARIAS LLAMADAS A LA DUEÑA INFORMA QUE SE ENCUENTRA EN DIALOGOS CON LA ENTIDAD."/>
    <s v="SOPORTE_TELEFÓNICO"/>
    <s v="0"/>
    <s v="TIPO I"/>
    <s v="TERRESTRE"/>
    <s v="BERNAL ELAICA EDGAR ALEXIS"/>
    <n v="0"/>
    <n v="37904.612000000001"/>
    <n v="37904.612000000001"/>
  </r>
  <r>
    <s v="BOGOTA"/>
    <x v="0"/>
    <x v="0"/>
    <n v="11001"/>
    <s v="LC-CS-25-000343"/>
    <n v="51349"/>
    <s v="ORDEN DE CAMBIO"/>
    <s v="CUNDINAMARCA"/>
    <s v="BOGOTA"/>
    <s v="BARRIO BOSA PORVENIR BOGOTA 4"/>
    <s v="REDEBAN"/>
    <s v="FO-25-1516536"/>
    <d v="2025-09-11T15:50:00"/>
    <d v="2025-09-13T15:41:00"/>
    <m/>
    <s v="CIERRE"/>
    <s v="CIERRE"/>
    <s v="CB UNO A UNO"/>
    <s v="CB UNO A UNO"/>
    <s v="ILOCALIZADO"/>
    <s v="SIN CONTACTO CON EL CB"/>
    <s v="12/09/2025 SE INTENTA COMUNICACIÓN AL NÚMERO 3213628097 SUENA PERO NO HAY CONTACTO, SE INTENTARÁ NUEVAMENTE | 12/09/2025 SE INTENTA COMUNICACIÓN AL NÚMERO 3213628097 SUENA PERO NO HAY CONTACTO, SE INTENTARÁ NUEVAMENTE | 13/09/2025 SE INTENTA COMUNICACIÓN AL NÚMERO 3213628097 SUENA PERO NO HAY CONTACTO | 13/09/2025 SE REALIZA VISITA AL A DIRECCIÓN SE PREGUNTA POR LA SEÑORA AURORA GODOY EN LA PORTERÍA DEL CONJUNTO SENDEROS DEL PORVENIR 4 NO NOS DAN RAZON DE ELLA TEL DE CONTACTO NO RESPONDE 3213628097"/>
    <s v="VISITA_TÉCNICA"/>
    <s v="NA"/>
    <s v="TIPO I"/>
    <s v="TERRESTRE"/>
    <s v="HERNANDEZ NARANJO OSCAR EDUARDO"/>
    <n v="1"/>
    <n v="44559.563999999998"/>
    <n v="44559.563999999998"/>
  </r>
  <r>
    <s v="BOGOTA"/>
    <x v="0"/>
    <x v="0"/>
    <n v="11001"/>
    <s v="LC-CS-25-000344"/>
    <n v="75365"/>
    <s v="ORDEN DE CAMBIO"/>
    <s v="CUNDINAMARCA"/>
    <s v="BOGOTA"/>
    <s v="BARRIO DANUBIO AZAUL BOGOTA"/>
    <s v="REDEBAN"/>
    <s v="FO-25-1523495 | FO-25-1516540"/>
    <d v="2025-09-11T15:50:00"/>
    <d v="2025-09-13T12:13:00"/>
    <m/>
    <s v="CIERRE"/>
    <s v="CIERRE"/>
    <s v="UNO A UNO"/>
    <s v="UNO A UNO"/>
    <s v="EJECUTADO_EXITOSO"/>
    <s v="CIERRE EXITOSO"/>
    <s v="12/09/2025 EN COMUNICACIÓN CON LA SRA LAURA DANIELA VARGAS VANEGAS AL NÚMERO 3103101824 NOS CONFIRMA LA SOLICITUD, DATOS CORRECTOS. SE ESCALA PARA VISITA | 12/09/2025 SE VISITA COMERCIO POR CIERRE. AL LLEGAR A LA DIRECCIÓN ESTE SE ENCUENTRA CERRADO SE PROCEDE A GENERAR COMUNICACIÓN TELEFÓNICA AL NÚMERO 313 302 3847 DONDE ATIENDE TITULAR Y CONFIRMA REPROGRAMAR VISITA YA QUE EN EL LUGAR NO SE ENCUENTRA NADIE Y SE DEBE PROGRAMAR CON UN DÍA DE ANTICIPACIÓN LA RECOGIDA DE LOS EQUIPOS SE PROCEDE A FINALIZAR ACTIVIDAD SIN MÁS NOVEDAD_x000a_13/09/2025 SE REALIZA GESTIÓN TELEFÓNICA CON CLIENTE AL NÚMERO +57 310 3101824 DONDE LA CLIENTE SOLICITA RECOGER EQUIPO EN CONJUNTO RESIDENCIAL RESERVA DEL PORTAL LOCALIDAD USME, SE PROCEDE A REALIZAR RECOGIDA EN PUNTO ACORDADO DONDE CLIENTE ENTREGA DATÁFONO, BASE,LECTORA,MAGICBOX,CABLE DE RED FUENTE DE PODER ,SE REALIZAN IMPRESIONES DE PRUEBA OK Y SE COMPLETA CIERRE DE PUNTO SIN NOVEDAD CLIENTE MANIFIESTA QUE LA PUBLICIDAD YA LA BOTO A LA BASURA."/>
    <s v="VISITA_TÉCNICA"/>
    <s v="NO APLICA _x000a_10008839"/>
    <s v="TIPO I"/>
    <s v="TERRESTRE"/>
    <s v="ROZO ROZO WILLIAM ASDRUBAL"/>
    <n v="1"/>
    <n v="44559.563999999998"/>
    <n v="44559.563999999998"/>
  </r>
  <r>
    <s v="MONTERIA"/>
    <x v="4"/>
    <x v="5"/>
    <n v="5250"/>
    <s v="LC-CS-25-000345"/>
    <n v="79771"/>
    <s v="ORDEN DE CAMBIO"/>
    <s v="ANTIOQUIA"/>
    <s v="EL BAGRE"/>
    <s v="BARRIO PORTUGAL EL BAGRE"/>
    <s v="REDEBAN"/>
    <s v="FO-25-1516546"/>
    <d v="2025-09-11T15:50:00"/>
    <d v="2025-09-15T13:55:00"/>
    <m/>
    <s v="CIERRE"/>
    <s v="RECUPERACION DE EQUIPOS"/>
    <s v="UNO A UNO"/>
    <s v="UNO A UNO"/>
    <s v="ILOCALIZADO"/>
    <s v="CB CERRADO - DESOCUPADO"/>
    <s v="12/09/2025 SE INTENTA COMUNICACIÓN A LOS NÚMEROS 3127212972-3215994007 SUENA PERO NO HAY CONTACTO, SE INTENTARÁ NUEVAMENTE | 12/09/2025 EN COMUNICACIÓN CON EL SR ISMAEL RAMIREZ FERNADEZ AL NÚMERO 3215994007 NOS CONFIRMA LA SOLICITUD, DATOS CORRECTOS. SE ESCALA PARA VISITA, POR FAVOR LLAMAR ANTES DE DESPLAZASE AL NÚMERO 3215994007 | 15/09/2025 SE VISITA SITIO, LOCAL SE ENCUENTRA CERRADO SE INTENTA COMUNICACIÓN CON EL CB A LOS NÚMEROS REGISTRADOS PERO NO RESPONDEN. CIERRE FALLIDO"/>
    <s v="VISITA_TÉCNICA"/>
    <s v="NO SE INTERVIENE "/>
    <s v="TIPO IV"/>
    <s v="TERRESTRE"/>
    <s v="COGOLLO VERTEL EDER LUIS"/>
    <n v="1"/>
    <n v="464809.36800000002"/>
    <n v="464809.36800000002"/>
  </r>
  <r>
    <s v="BOGOTA"/>
    <x v="0"/>
    <x v="0"/>
    <n v="11001"/>
    <s v="LC-CS-25-000317"/>
    <n v="75907"/>
    <s v="ORDEN DE CAMBIO"/>
    <s v="CUNDINAMARCA"/>
    <s v="BOGOTA"/>
    <s v="BARRIO BOSA SAN BERNARDO BOGOTA"/>
    <s v="REDEBAN"/>
    <s v="FO-25-1521523 | FO-25-1511647"/>
    <d v="2025-09-11T08:00:00"/>
    <d v="2025-09-14T14:12:00"/>
    <m/>
    <s v="CIERRE"/>
    <s v="CIERRE"/>
    <s v="UNO A UNO"/>
    <s v="UNO A UNO"/>
    <s v="NO_EXITOSO"/>
    <s v="CB NO ENTREGA EQUIPO"/>
    <s v="11/09/2025 EN COMUNICACIÓN CON LA SRA CARMENZA GONZALEZ ROJAS AL NÚMERO 3115297440 NOS CONFIRMA LA SOLICITUD, DATOS CORRECTOS. SE ESCALA PARA VISITA, POR FAVOR LLAMAR ANTES DE DESPLAZARSE | 11/09/2025 NO SE PUDO REALIZAR VISITA CLIENTE NO SE ENCUENTRA_x000a_13/09/2025 CIERRE FALLIDO _x000a_CLIENTE NO REALIZA LA ENTREGA DE LOS EQUIPOS SE ENCUENTRA A LA ESPERA DE LA RESPUESTA DEL BANCO"/>
    <s v="VISITA_TÉCNICA"/>
    <s v="0_x000a_NA"/>
    <s v="TIPO I"/>
    <s v="TERRESTRE"/>
    <s v="HERNANDEZ NARANJO OSCAR EDUARDO"/>
    <n v="2"/>
    <n v="44559.563999999998"/>
    <n v="89119.127999999997"/>
  </r>
  <r>
    <s v="BOGOTA"/>
    <x v="0"/>
    <x v="0"/>
    <n v="11001"/>
    <s v="LC-CS-25-000321"/>
    <n v="68171"/>
    <s v="ORDEN DE CAMBIO"/>
    <s v="CUNDINAMARCA"/>
    <s v="BOGOTA"/>
    <s v="VILLAS DE GRANADA 2"/>
    <s v="REDEBAN"/>
    <s v="FO-25-1511640"/>
    <d v="2025-09-11T08:00:00"/>
    <d v="2025-09-13T12:16:00"/>
    <m/>
    <s v="CIERRE"/>
    <s v="RECUPERACION DE EQUIPOS"/>
    <s v="UNO A UNO"/>
    <s v="CB UNO A UNO"/>
    <s v="ILOCALIZADO"/>
    <s v="CB CERRADO - DESOCUPADO"/>
    <s v="11/09/2025 EN COMUNICACIÓN CON LA SRA MAGDA MARTINEZ BRICEÑO AL NÚMERO 3138415840  NOS CONFIRMA LA SOLICITUD, DATOS CORRECTOS. SE ESCALA PARA VISITA, POR FAVOR LLAMAR ANTES DE DESPLAZARSE | 13/09/2025 SE VISITA DIRECCIÓN INDICADA EN LA ORDEN, SE PREGUNTA EN LOS COMERCIOS SI EXISTE O EXISTIÓ UN CB BANCOLOMBIA YA QUE NO SE UBICA ALGUNO Y NO HAY INFORMACIÓN, SE LLAMA A LOS TELÉFONOS DE CONTACTO 3138855074 - 3138415840 Y NO HAY RESPUESTA, SE TOMA EVIDENCIA DE LA VISITA Y NOS RETIRAMOS."/>
    <s v="VISITA_TÉCNICA"/>
    <s v="0"/>
    <s v="TIPO I"/>
    <s v="TERRESTRE"/>
    <s v="VEGA MANRIQUE JONATAN MAURICIO"/>
    <n v="1"/>
    <n v="44559.563999999998"/>
    <n v="44559.563999999998"/>
  </r>
  <r>
    <s v="PEREIRA"/>
    <x v="2"/>
    <x v="3"/>
    <n v="66001"/>
    <s v="LC-CS-25-000303"/>
    <n v="44863"/>
    <s v="ORDEN DE CAMBIO"/>
    <s v="RISARALDA"/>
    <s v="PEREIRA"/>
    <s v="PTM LUMBER BARBER SHOP"/>
    <s v="REDEBAN"/>
    <s v="FO-25-1520710 | FO-25-1504342"/>
    <d v="2025-09-09T15:44:00"/>
    <d v="2025-09-12T15:41:00"/>
    <m/>
    <s v="CIERRE"/>
    <s v="CIERRE"/>
    <s v="AGREGADOR"/>
    <s v="COMCARD - PTM"/>
    <s v="EJECUTADO_EXITOSO"/>
    <s v="CIERRE EXITOSO"/>
    <s v="10/09/2025 EN COMUNICACIÓN CON EL SR CARLOS ANDRES QUICENO AL NÚMERO 3106648827 NOS CONFIRMA LA SOLICITUD, DATOS CORRECTOS. SE ESCALA PARA VISITA, POR FAVOR LLAMAR ANTES DE DESPLAZARSE | 12/09/2025 SE LLEGA AL PUNTO, SE ENCUENTRA CERRADO, SE LLAMA AL CLIENTE E INDICA QUE POR FAVOR SE VISITE EL DÍA DE MAÑANA EN TORRE CENTRAL, YA QUE SE ENCONTRA FUERA DE LA CIUDAD._x000a_12/09/2025 SE RETIRA CB BANCOLOMBIA DE LA DIRECCIÓN TORRE CENTRAL PISO 1 LC 121 DATÁFONO, BASE, LECTORA, HUB, PIN PAD, MAGIC BOX, EL CLIENTE INDICA QUE VOTO LA PUBLICIDAD YA QUE TODA ESTABA EN MAL ESTADO."/>
    <s v="VISITA_TÉCNICA"/>
    <s v="NO APLICA_x000a_GB0KZ170-AB1FZ676"/>
    <s v="TIPO I"/>
    <s v="TERRESTRE"/>
    <s v="FRANCO CAÑAVERAL YAMID RAUL"/>
    <n v="1"/>
    <n v="44559.563999999998"/>
    <n v="44559.563999999998"/>
  </r>
  <r>
    <s v="PASTO"/>
    <x v="2"/>
    <x v="2"/>
    <n v="52683"/>
    <s v="LC-CS-25-000306"/>
    <n v="49693"/>
    <s v="ORDEN DE CAMBIO"/>
    <s v="NARIÑO"/>
    <s v="SANDONA"/>
    <s v="PTM  SANDONA  TIENDAS PICASSO"/>
    <s v="REDEBAN"/>
    <s v="FO-25-1504441"/>
    <d v="2025-09-09T15:44:00"/>
    <d v="2025-09-12T17:27:00"/>
    <m/>
    <s v="CIERRE"/>
    <s v="CIERRE"/>
    <s v="AGREGADOR"/>
    <s v="COMCARD - PTM"/>
    <s v="NO_EXITOSO"/>
    <s v="CB NO ENTREGA EQUIPO"/>
    <s v="10/09/2025 SE INTENTA COMUNICACIÓN AL NÚMERO 6050962 FALLIDO-NO HAY CONTACTO | 12/09/2025 SE LLEGA A CB Y SE ENCUENTRA CERRADO. SE INTENTA COMUNICACIÓN TELEFÓNICA CON LA CLIENTE A NÚMEROS REGISTRADOS Y ESTÁN ERRADOS. VECINOS COMPARTEN EL NÚMERO CORRECTO DE LA SEÑORA LEIDY QUE ES 3177112835 E INFORMA QUE EL DÍA DE HOY NO TIENE DISPONIBILIDAD PARA ENTREGAR EQUIPOS YA QUE SE ENCUENTRA TRABAJANDO EN OTRO LADO, PIDE QUE SE LA LLAME CON ANTERIORIDAD AL 3177112835 PARA AGENDAR VISITA."/>
    <s v="VISITA_TÉCNICA"/>
    <s v="AD00S272"/>
    <s v="TIPO II"/>
    <s v="TERRESTRE"/>
    <s v="CASTILLO HERRERA ALEX RICARDO"/>
    <n v="1"/>
    <n v="134410.88400000002"/>
    <n v="134410.88400000002"/>
  </r>
  <r>
    <s v="PEREIRA"/>
    <x v="2"/>
    <x v="3"/>
    <n v="66170"/>
    <s v="LC-CS-25-000309"/>
    <n v="78766"/>
    <s v="ORDEN DE CAMBIO"/>
    <s v="RISARALDA"/>
    <s v="DOSQUEBRADAS"/>
    <s v="DISTRICOL LUVIDASAR INMOBILIAR"/>
    <s v="REDEBAN"/>
    <s v="FO-25-1504407"/>
    <d v="2025-09-09T15:44:00"/>
    <d v="2025-09-12T13:13:00"/>
    <m/>
    <s v="CIERRE"/>
    <s v="CIERRE"/>
    <s v="AGREGADOR"/>
    <s v="DISTRICOL"/>
    <s v="NO_EXITOSO"/>
    <s v="CB NO ENTREGA EQUIPO"/>
    <s v="10/09/2025 SE INTENTA COMUICACIÓN AL NÚEMERO 3137386440 SUENA PERO NO HAY CONTACTO, SE INTENTARÁ NUEVAMENTE | 10/09/2025 EN COMUNICACIÓN CON LA SRA VIVIANA ANDREA GALLEGO GARZON AL NÚMERO 3137386440 INDICA QUE HIZO ENTREGA DE LOS EQUIPOS AL GESTOR DE DISTRICOL | 12/09/2025 EN COMUNICACIÓN CON LA SR VIVIANA INDICA QUE LOS EQUIPOS YA LOS ENTREGO AL ASESOR DE DISTRICOL."/>
    <s v="SOPORTE_TELEFÓNICO"/>
    <s v="0"/>
    <s v="TIPO I"/>
    <s v="TERRESTRE"/>
    <s v="FRANCO CAÑAVERAL YAMID RAUL"/>
    <n v="0"/>
    <n v="37904.612000000001"/>
    <n v="37904.612000000001"/>
  </r>
  <r>
    <s v="CALI"/>
    <x v="2"/>
    <x v="2"/>
    <n v="76001"/>
    <s v="LC-CS-25-000315"/>
    <n v="71364"/>
    <s v="ORDEN DE CAMBIO"/>
    <s v="VALLE DEL CAUCA"/>
    <s v="CALI"/>
    <s v="DISTRICOL LA CANASTA MAX BARAT"/>
    <s v="REDEBAN"/>
    <s v="FO-25-1504384"/>
    <d v="2025-09-09T15:44:00"/>
    <d v="2025-09-10T10:42:00"/>
    <m/>
    <s v="CIERRE"/>
    <s v="CIERRE"/>
    <s v="AGREGADOR"/>
    <s v="DISTRICOL"/>
    <s v="NO_EXITOSO"/>
    <s v="CB NO ENTREGA EQUIPO"/>
    <s v="10/09/2025 EN COMUNICACIÓN CON EL SR DANI DUBIAN HOYOS LOPEZ AL NÚMERO 3002075085 INDICA QUE NO HA SIDO NOTIFICADO SOBRE EL CIERRE, SIN EMBARGO CONFIRMA LOS DATOS CORRECTOS, SE ESCALA PARA VISITA | 10/09/2025 CLIENTE INDICA QUE NO PUEDE ENTREGAR LOS EQUIPOS YA QUE HIZO UNA PETICION Y ESTA ESPERANDO LA RESPUESTA"/>
    <s v="VISITA_TÉCNICA"/>
    <s v="SV00C187"/>
    <s v="TIPO I"/>
    <s v="TERRESTRE"/>
    <s v="CUERO RUIZ JHONNY"/>
    <n v="1"/>
    <n v="44559.563999999998"/>
    <n v="44559.563999999998"/>
  </r>
  <r>
    <s v="MANIZALES"/>
    <x v="2"/>
    <x v="3"/>
    <n v="17042"/>
    <s v="LC-CS-25-000290"/>
    <n v="72257"/>
    <s v="ORDEN DE CAMBIO"/>
    <s v="CALDAS"/>
    <s v="ANSERMA"/>
    <s v="BARRIO CENTRO ANSERMA 10"/>
    <s v="REDEBAN"/>
    <s v="FO-25-1503876 | FO-25-1497744"/>
    <d v="2025-09-08T14:12:00"/>
    <d v="2025-09-10T13:40:00"/>
    <m/>
    <s v="CIERRE"/>
    <s v="CIERRE"/>
    <s v="CB UNO A UNO"/>
    <s v="CB UNO A UNO"/>
    <s v="EJECUTADO_EXITOSO"/>
    <s v="CIERRE EXITOSO"/>
    <s v="08/09/2025 SE INTENTA COMUNICACIÓN A LOS NÚMEROS 3155437009-3059542559 SUENA PERO NO HAY CONTACTO, SE INTENTARÁ NUEVAMENTE | 08/09/2025 SE INTENTA COMUNICACIÓN A LOS NÚMEROS 3155437009-3059542559 SUENA PERO NO HAY CONTACTO, SE INTENTARÁ NUEVAMENTE | 09/09/2025 SE REALIZA INTENTO DE COMUNICACIÓN CON USUARIO PERO NO RESPONDE, SE LLEGA A LA DIRECCIÓN DEL COMERCIO PERO SE ENCUENTRA CERRADO, NO ES POSIBLE RETIRAR EQUIPOS_x000a_10/09/2025 VISITAMOS COMERCIO REALIZAMOS RETIRO DE DATÁFONO CON LECTOR DE BARRAS, DESMONTAMOS PUBLICIDAD Y LA DESTRUIMOS EN EL PUNTO NO RETIRAMOS ROLLO YA QUE NO TIENE."/>
    <s v="VISITA_TÉCNICA"/>
    <s v="ON00N703"/>
    <s v="TIPO II"/>
    <s v="TERRESTRE"/>
    <s v="ARROYAVE CANO MANUEL GUILLERMO"/>
    <n v="1"/>
    <n v="134410.88400000002"/>
    <n v="134410.88400000002"/>
  </r>
  <r>
    <s v="BOGOTA"/>
    <x v="0"/>
    <x v="0"/>
    <n v="25473"/>
    <s v="LC-CS-25-000272"/>
    <n v="61269"/>
    <s v="ORDEN DE CAMBIO"/>
    <s v="CUNDINAMARCA"/>
    <s v="MOSQUERA"/>
    <s v="BARRIO LA VIRGEN DEL CARMEN MO"/>
    <s v="REDEBAN"/>
    <s v="FO-25-1510326 | FO-25-1495391 | FO-25-1487657"/>
    <d v="2025-09-05T16:50:00"/>
    <d v="2025-09-11T15:19:00"/>
    <m/>
    <s v="CIERRE"/>
    <s v="CIERRE"/>
    <s v="UNO A UNO"/>
    <s v="CB UNO A UNO"/>
    <s v="ILOCALIZADO"/>
    <s v="CB CERRADO - DESOCUPADO"/>
    <s v="06/09/2025 EN COMUNICACIÓN CON LA SRA YOLANDA BUSTOS AL NÚMERO 3182101491 NOS CONFIRMA LA SOLICITUD-INDICA QUE TIENE UN PROCESO CON EL BANCO POR TRASLADO,NOS INDICA QUE LA DIRECCIÓN PARA LA RECOLECCIÓN DE LOS EQUIPOS ES FUNZA CR 20 A 9A 57 HACIENDA LOS CABALLOS. SE ESCALA PARA VISTA | 08/09/2025 SE LLEGA AL PARQUE LA VIRGEN Y NO SE UBICA EL COMERCIO, SE LLAMA A NÚMERO DE CONTACTO Y LA SEÑORA YOLANDA BUSTOS INDICA QUE EL COMERCIO NO EXISTE Y QUE SE REQUIERE RETIRAR LOS EQUIPOS DESPUÉS DEL MIÉRCOLES EN CONJUNTO HACIENDA LOS CABALLOS EN FUNZA_x000a_10/09/2025 SE LLEGA AL COMERCIO Y SE LLAMA AL CONTACTO QUIÉN INDICA QUE NO ALCANZA A LLEGAR HOY SOLICITA ATENCIÓN EL DÍA 11 SEP_x000a_11/09/2025 SE LLEGA A LA DIRECCIÓN INDICADA POR EL USUARIO EN VISITAS ANTERIORES, NO SE ENCUENTRA EN SITIO, SE REALIZA LLAMADA Y EL CLIENTE INDICA QUE TUVO QUE SALIR. S"/>
    <s v="VISITA_TÉCNICA"/>
    <s v="FUA0H958"/>
    <s v="TIPO I"/>
    <s v="TERRESTRE"/>
    <s v="ECHEVERRI ECHEVERRI EVELIN DANIELA"/>
    <n v="3"/>
    <n v="44559.563999999998"/>
    <n v="133678.69199999998"/>
  </r>
  <r>
    <s v="BOGOTA"/>
    <x v="0"/>
    <x v="0"/>
    <n v="25899"/>
    <s v="LC-CS-25-000274"/>
    <n v="68819"/>
    <s v="ORDEN DE CAMBIO"/>
    <s v="CUNDINAMARCA"/>
    <s v="ZIPAQUIRA"/>
    <s v="BARRIO ALGARRA 3 ZIPAQUIRA ZIP"/>
    <s v="REDEBAN"/>
    <s v="FO-25-1502165 | FO-25-1497880 | FO-25-1487695"/>
    <d v="2025-09-05T16:50:00"/>
    <d v="2025-09-12T13:02:00"/>
    <m/>
    <s v="CIERRE"/>
    <s v="CIERRE"/>
    <s v="CB UNO A UNO"/>
    <s v="CB UNO A UNO"/>
    <s v="EJECUTADO_EXITOSO"/>
    <s v="CIERRE EXITOSO"/>
    <s v="06/09/2025 SE INTENTA COMUNICACIÓN AL NÚMERO 3124488792 SE ENCUENTRA APAGADO, SE INTENTARÁ NUEVAMENTE | 06/09/2025 SE INTENTA COMUNICACIÓN AL NÚMERO 3124488792 SE ENCUENTRA APAGADO, SE INTENTARÁ NUEVAMENTE | 08/09/2025 SE INTENTA COMUNICACIÓN AL NÚMERO 3124488792 SE ENCUENTRA APAGADO | 08/09/2025 SE REALIZA VISITA DE CAMPO DONDE SE RETIRA EQUIPOS SIN NOVEDAD, NO SE REALIZA DESMONTE DEL AVISO EXTERIOR YA QUE NO SE PUEDE RETIRAR AVISO PORQUE HAY UNOS VEHÍCULOS ESTACIONADOS , SEGÚN REPORTE DEL COMERCIO LOS RETIRAN EN LA TARDE. ADICIONAL EL COMERCIO TIENE UN PARASOL DONDE IMPIDE EL RETIRO DEL AVISO. ESTO LIMITA EL DESMONTE DEL AVISO, SE INFORMA A SUPERVISOR DE DICHA NOVEDAD QUIEN ESCALA A REDEBAN(SEBASTIÁN GONZÁLES)  DONDE NOS SOLICITAN REPROGRAMAR ACTIVIDAD PARA DESMONTE DEL AVISO._x000a_09/09/2025 SE LLEGA A COMERCIO EL CUAL SE ENCUENTRA CERRADO SE REALIZA INTENTOS DE COMUNICACIÓN CON CLIENTE A NÚMERO REGISTRADO 3124488792 EL CUAL SE ENCUENTRA CERRADO SE ESCALA CON COORDINADOR DE ZONA Y SE REPOGRAMA_x000a_11/"/>
    <s v="VISITA_TÉCNICA"/>
    <s v="AALUZ245_x000a_NA_x000a_LOS EQUIPOS YA FUERON RETIRADOS PREVIAMENTE "/>
    <s v="TIPO II"/>
    <s v="TERRESTRE"/>
    <s v="ROMERO ROJAS BREIDY JHOHAN"/>
    <n v="2"/>
    <n v="134410.88400000002"/>
    <n v="268821.76800000004"/>
  </r>
  <r>
    <s v="PEREIRA"/>
    <x v="2"/>
    <x v="3"/>
    <n v="76736"/>
    <s v="LC-CS-25-000281"/>
    <n v="75952"/>
    <s v="ORDEN DE CAMBIO"/>
    <s v="VALLE DEL CAUCA"/>
    <s v="SEVILLA"/>
    <s v="BARRIO SEVILLA SEVILLA 1"/>
    <s v="REDEBAN"/>
    <s v="FO-25-1487685"/>
    <d v="2025-09-05T16:50:00"/>
    <d v="2025-09-10T14:44:00"/>
    <m/>
    <s v="CIERRE"/>
    <s v="CIERRE"/>
    <s v="CB UNO A UNO"/>
    <s v="CB UNO A UNO"/>
    <s v="NO_EXITOSO"/>
    <s v="CB NO ENTREGA EQUIPO"/>
    <s v="06/09/2025 SE INTENTA COMUNICACIÓN A LOS NÚMEROS 3104150269-3104250279 NO HAY CONTACTO. SE INTENTARÁ NUEVAMENTE | 06/09/2025 SE INTENTA COMUNICACIÓN A LOS NÚMEROS 3104150269-3104250279 NO HAY CONTACTO. SE INTENTARÁ NUEVAMENTE | 08/09/2025 SE INTENTA COMUNICACIÓN A LOS NÚMEROS 3104150269-3104250279 NO HAY CONTACTO | 10/09/2025 SE VISITA COMERCIO, NO SE REALIZÓ DESINSTALACIÓN DE EQUIPOS Y PUBLICIDAD YA QUE COMERCIO INDICA QUE ESTÁ EN PROCESO DE REACTIVACIÓN YA QUE FUE UN PROBLEMA DE DESVÍO DE COMPENSACIÓN CON OTRA ENTIDAD PERO QUE YA ESTÁN EN TRÁMITE CON EL BANCO PARA LA CORRECCIÓN Y REACTIVACIÓN DEL CB."/>
    <s v="VISITA_TÉCNICA"/>
    <s v="FA09Z481"/>
    <s v="TIPO II"/>
    <s v="TERRESTRE"/>
    <s v="SANCHEZ SOLORZANO JUAN SEBASTIAN"/>
    <n v="1"/>
    <n v="134410.88400000002"/>
    <n v="134410.88400000002"/>
  </r>
  <r>
    <s v="BOGOTA"/>
    <x v="0"/>
    <x v="0"/>
    <n v="11001"/>
    <s v="LC-CS-25-000285"/>
    <n v="58590"/>
    <s v="ORDEN DE CAMBIO"/>
    <s v="CUNDINAMARCA"/>
    <s v="BOGOTA"/>
    <s v="BARRIO FONTIBON BOGOTA13"/>
    <s v="REDEBAN"/>
    <s v="FO-25-1487663"/>
    <d v="2025-09-05T16:50:00"/>
    <d v="2025-09-08T15:14:00"/>
    <m/>
    <s v="CIERRE"/>
    <s v="CIERRE"/>
    <s v="CB UNO A UNO"/>
    <s v="CB UNO A UNO"/>
    <s v="NO_EXITOSO"/>
    <s v="CB NO ENTREGA EQUIPO"/>
    <s v="06/09/2025 EN COMUNICACIÓN CON EL NÚMERO 3144845432 NOS INDICAN NRO EQUIVOCADO | 08/09/2025 CIERRE FALLIDO _x000a_SE REALIZA VISITA AL COMERCIO PARA REALIZAR EL CIERRE CLIENTE NO REALIZA ENTREGA DE LOS EQUIPOS YA QUE SE ENCUENTRA A LA ESPERA DE LA DECISIÓN DEL BANCO NO SE MANIPULAN EQUIPOS"/>
    <s v="VISITA_TÉCNICA"/>
    <s v="TYZZZ709"/>
    <s v="TIPO I"/>
    <s v="TERRESTRE"/>
    <s v="HERNANDEZ NARANJO OSCAR EDUARDO"/>
    <n v="1"/>
    <n v="44559.563999999998"/>
    <n v="44559.563999999998"/>
  </r>
  <r>
    <s v="CUCUTA"/>
    <x v="1"/>
    <x v="1"/>
    <n v="54001"/>
    <s v="LC-CS-25-000288"/>
    <n v="61168"/>
    <s v="ORDEN DE CAMBIO"/>
    <s v="NORTE DE SANTANDER"/>
    <s v="CUCUTA"/>
    <s v="BARRIO LA PLAYA CUCUTA 9"/>
    <s v="REDEBAN"/>
    <s v="FO-25-1487676"/>
    <d v="2025-09-05T16:50:00"/>
    <d v="2025-09-10T10:46:00"/>
    <m/>
    <s v="CIERRE"/>
    <s v="RECUPERACION DE EQUIPOS"/>
    <s v="CB UNO A UNO"/>
    <s v="COOGUASIMALES"/>
    <s v="NO_EXITOSO"/>
    <s v="CB NO ENTREGA EQUIPO"/>
    <s v="06/09/2025 EN COMUNICACIÓN CON LA SRA TUJEI SUAREZ AL NÚMERO 3124857645 NOS CONFIRMA LA SOLICITUD, DATOS CORECTOS. SE ESCALA PARA VISITA | 10/09/2025 SE REALIZÓ LLAMADA TELEFÓNICA AL NÚMERO 3124857645 SE HABLÓ CON LA SRA  TUJEI SUÁREZ Y MANIFIESTA QUE AÚN NO TIENEN LOS EQUIPOS EN LA DIRECCIÓN ASIGNADA, QUE NOS CONFIRMA DÍA 09/09/2025 EN HORAS AM | 10/09/2025 SE REALIZÓ VISITA AL COMERCIO Y CLIENTE MANIFIESTA QUE NO DESEA ENTREGAR LOS EQUIPOS YA QUE SE ENCUENTRA ACTIVOS"/>
    <s v="VISITA_TÉCNICA"/>
    <s v="NONE"/>
    <s v="TIPO I"/>
    <s v="TERRESTRE"/>
    <s v="MORA VEGA JEAMPIER"/>
    <n v="1"/>
    <n v="44559.563999999998"/>
    <n v="44559.563999999998"/>
  </r>
  <r>
    <s v="TUNJA"/>
    <x v="1"/>
    <x v="1"/>
    <n v="15317"/>
    <s v="LC-CS-25-000229"/>
    <n v="66393"/>
    <s v="ORDEN DE CAMBIO"/>
    <s v="BOYACA"/>
    <s v="GUACAMAYAS"/>
    <s v="BARRIO LA ESPERANZA GUACAMAYAS"/>
    <s v="REDEBAN"/>
    <s v="FO-25-1479937"/>
    <d v="2025-09-04T15:31:00"/>
    <d v="2025-09-10T13:44:00"/>
    <m/>
    <s v="CIERRE"/>
    <s v="CIERRE"/>
    <s v="UNO A UNO"/>
    <s v="CB UNO A UNO"/>
    <s v="NO_EXITOSO"/>
    <s v="CB NO ENTREGA EQUIPO"/>
    <s v="04/09/2025 EN COMUNICACIÓN CON LA SRA JULY CAROLINA CHALACA MENESE  AL NÚMERO 3125167539 NOS CONFIRMA LA SOLICITUD, DATOS CORRECTOS. SE ESCALA PARA VISITA | 08/09/2025 EN COMUNICACIÓN CON LA LÍNEA 3125167539 LA SEÑORA ROSA NELLY JURADO CONFIRMA CIERRE DEL CORRESPONSAL, INDICA QUE PORFAVOR SE LE REALICE LLAMADA EL DÍA DE MAÑANA 09/09 PARA PODER CONFIRMAR VISITA NO SE ENCUENTRA EN EL MUNICIPIO, YA QUE TAMBIÉN TIENE PENDIENTE LA INSTALACIÓN DE CORRESPONSAL BANCOLOMBIA RED WOMPI. SE LE REALIZARÁ LLAMADA  MARTES 09/09 PARA CONFIRMAR. | 10/09/2025 EN COMUNICACIÓN CON LA LÍNEA 3125167539 LA SEÑORA ROSA NELLY JURADO INFORMA QUE NO SE ENCUENTRA EN EL MUNICIPIO Y QUE LE ES IMPOSIBLE ATENDERNOS DEBIDO A DILIGENCIAS PERSONALES, INDICA QUE ELLA LLAMARA A LA LÍNEA 018000953344 TAN PRONTO LLEGUE AL MUNICIPIO PARA REALIZAR LA ENTREGA DE LOS EQUIPOS. EN BASE A ESTA INFORMACIÓN SE CIERRA ORDEN CONFIRMANDO A CLIENTE QUE UNA VEZ ESTE EN EL MUNICIPIO DEBE LLAMAR A LA LÍNEA PARA ENTREGA."/>
    <s v="SOPORTE_TELEFÓNICO"/>
    <s v="0"/>
    <s v="TIPO IV"/>
    <s v="TERRESTRE"/>
    <s v="HERRERA GARZON JEYSON STEVENT"/>
    <n v="0"/>
    <n v="37904.612000000001"/>
    <n v="37904.612000000001"/>
  </r>
  <r>
    <s v="CUCUTA"/>
    <x v="1"/>
    <x v="1"/>
    <n v="54001"/>
    <s v="LC-CS-25-000234"/>
    <n v="76416"/>
    <s v="ORDEN DE CAMBIO"/>
    <s v="NORTE DE SANTANDER"/>
    <s v="CUCUTA"/>
    <s v="BARRIO COMUNEROS CUCUTA 12"/>
    <s v="REDEBAN"/>
    <s v="FO-25-1480043"/>
    <d v="2025-09-04T15:31:00"/>
    <d v="2025-09-06T15:54:00"/>
    <m/>
    <s v="CIERRE"/>
    <s v="CIERRE"/>
    <s v="CB UNO A UNO"/>
    <s v="CB UNO A UNO"/>
    <s v="ILOCALIZADO"/>
    <s v="CB CERRADO - DESOCUPADO"/>
    <s v="05/09/2025 SE INTENTA COMUNICACIÓN AL NÚMERO 3133531422, SIN SERVICIO | 06/09/2025 COMERCIO YA NO EXISTE EN LA DIRECCIÓN, NO SE LOGRÓ COMUNICACIÓN CON EL CLIENTE PARA SABER UBICACIÓN DE LOS EQUIPOS"/>
    <s v="VISITA_TÉCNICA"/>
    <s v="0"/>
    <s v="TIPO I"/>
    <s v="TERRESTRE"/>
    <s v="DURAN ACOSTA FRANK YONNY"/>
    <n v="1"/>
    <n v="44559.563999999998"/>
    <n v="44559.563999999998"/>
  </r>
  <r>
    <s v="BOGOTA"/>
    <x v="0"/>
    <x v="0"/>
    <n v="11001"/>
    <s v="LC-CS-25-000237"/>
    <n v="71987"/>
    <s v="ORDEN DE CAMBIO"/>
    <s v="CUNDINAMARCA"/>
    <s v="BOGOTA"/>
    <s v="CUNDINAMARCA BOGOTA 2"/>
    <s v="REDEBAN"/>
    <s v="FO-25-1486475 | FO-25-1479985"/>
    <d v="2025-09-04T15:31:00"/>
    <d v="2025-09-06T15:59:00"/>
    <m/>
    <s v="CIERRE"/>
    <s v="CIERRE"/>
    <s v="UNO A UNO"/>
    <s v="UNO A UNO"/>
    <s v="EJECUTADO_EXITOSO"/>
    <s v="CIERRE EXITOSO"/>
    <s v="05/09/2025 EN COMUNICACIÓN CON LA SRA LUZ MARINA VELASQUEZ VILLAMIL AL NÚMERO 3103429736 NOS CONFIRMA LA SOLICITUD, DATOS CORRECTOS. SE ESCALA PARA VISITA | 05/09/2025 SE LLEGA AL COMERCIO Y SE VÁLIDA QUE SE ENCUENTRA CERRADO_x000a_06/09/2025 SE REALIZA VISITA DE CAMPO DONDE SE RETIRA EQUIPO SIN NOVEDAD"/>
    <s v="VISITA_TÉCNICA"/>
    <s v="NA_x000a_LN00M197"/>
    <s v="TIPO I"/>
    <s v="TERRESTRE"/>
    <s v="LOZADA ROJAS CHRISTIAN ANDRES"/>
    <n v="1"/>
    <n v="44559.563999999998"/>
    <n v="44559.563999999998"/>
  </r>
  <r>
    <s v="NEIVA"/>
    <x v="5"/>
    <x v="6"/>
    <n v="18247"/>
    <s v="LC-CS-25-000240"/>
    <n v="77453"/>
    <s v="ORDEN DE CAMBIO"/>
    <s v="CAQUETA"/>
    <s v="EL DONCELLO"/>
    <s v="BARRIO EL RECREO EL DONCELLO"/>
    <s v="REDEBAN"/>
    <s v="FO-25-1479889"/>
    <d v="2025-09-04T15:31:00"/>
    <d v="2025-09-06T15:25:00"/>
    <m/>
    <s v="CIERRE"/>
    <s v="CIERRE"/>
    <s v="UNO A UNO"/>
    <s v="UNO A UNO"/>
    <s v="ILOCALIZADO"/>
    <s v="CB CERRADO - DESOCUPADO"/>
    <s v="05/09/2025 SE INTENTA COMUNICAIÓN AL NÚMERO 3125064391 SE ENCUENTRA APAGADO. SE INTENTARÁ NUEVAMENTE | 05/09/2025 SE INTENTA COMUNICAIÓN AL NÚMERO 3125064391 SE ENCUENTRA APAGADO. SE INTENTARÁ NUEVAMENTE | 05/09/2025 SE INTENTA COMUNICAIÓN AL NÚMERO 3125064391 SE ENCUENTRA APAGADO | 06/09/2025 SE LLEGA A LA DIRECCIÓN INDICADA Y PERSONA QUE ATIENDE MANIFIESTA QUE AHÍ YA NO HAY CORRESPONSAL."/>
    <s v="VISITA_TÉCNICA"/>
    <s v="0"/>
    <s v="TIPO IV"/>
    <s v="TERRESTRE"/>
    <s v="BERMUDEZ SANCHEZ JOSE NEYBER"/>
    <n v="1"/>
    <n v="464809.36800000002"/>
    <n v="464809.36800000002"/>
  </r>
  <r>
    <s v="NEIVA"/>
    <x v="5"/>
    <x v="6"/>
    <n v="18756"/>
    <s v="LC-CS-25-000241"/>
    <n v="77585"/>
    <s v="ORDEN DE CAMBIO"/>
    <s v="CAQUETA"/>
    <s v="SOLANO"/>
    <s v="BARRIO CORREGIMIENTO DE CAMPO ALEGRE SOLANO"/>
    <s v="REDEBAN"/>
    <s v="FO-25-1479976"/>
    <d v="2025-09-04T15:31:00"/>
    <d v="2025-09-11T15:05:00"/>
    <m/>
    <s v="CIERRE"/>
    <s v="CIERRE"/>
    <s v="UNO A UNO"/>
    <s v="UNO A UNO"/>
    <s v="ILOCALIZADO"/>
    <s v="SIN CONTACTO CON EL CB"/>
    <s v="05/09/2025 SE INTENTA COMUNICAIÓN AL NÚMERO 3125094432 SE ENCUENTRA APAGADO. SE INTENTARÁ NUEVAMENTE | 05/09/2025 SE INTENTA COMUNICAIÓN AL NÚMERO 3125094432 SE ENCUENTRA APAGADO. SE INTENTARÁ NUEVAMENTE | 05/09/2025 SE INTENTA COMUNICAIÓN AL NÚMERO 3125094432 SE ENCUENTRA APAGADO | 09/09/2025 SE HA REALIZADO VARIAS LLAMADAS AL CB PERO NO HA SABIDO POSIBLE TENER CONTACTO CON EL CLIENTE, YA QUE PARA PODER INGRESAR HASTA DICHA INSPECCIÓN SE DEBE TENER UN PERMISO DE INGRESO POR PARTE DE LOS GRUPOS ARMADOS DE ESA ZONA, SE SEGUIRA INSISTIENDO HASTA TENER RESPUESTA. | 11/09/2025 SE REALIZAN VARIAS LLAMAS AL CLIENTE PERO NO ES POSIBLE TENER CONTACTO CON EL, ACTIVIDAD DE CIERRA YA QUE PARA PODER INGRESAR A ESTE LUGAR SE DEBE TENER UN PERMISO ESPECIAL POR PARTE DE LOS GRUPOS ARMADOS DE ESA ZONA, CIERRE FALLIDO."/>
    <s v="SOPORTE_TELEFÓNICO"/>
    <s v="0"/>
    <s v="TIPO IV ESPECIAL"/>
    <s v="TERRESTRE/FLUVIAL"/>
    <s v="BERMUDEZ SANCHEZ JOSE NEYBER"/>
    <n v="0"/>
    <n v="0"/>
    <n v="0"/>
  </r>
  <r>
    <s v="CALI"/>
    <x v="2"/>
    <x v="2"/>
    <n v="19392"/>
    <s v="LC-CS-25-000250"/>
    <n v="48186"/>
    <s v="ORDEN DE CAMBIO"/>
    <s v="CAUCA"/>
    <s v="LA SIERRA"/>
    <s v="DISTRICOL DROGUERIA SUPERDROGA"/>
    <s v="REDEBAN"/>
    <s v="FO-25-1479989"/>
    <d v="2025-09-04T15:31:00"/>
    <d v="2025-09-11T11:07:00"/>
    <m/>
    <s v="CIERRE"/>
    <s v="CIERRE"/>
    <s v="AGREGADOR"/>
    <s v="DISTRICOL"/>
    <s v="NO_EXITOSO"/>
    <s v="CB NO ENTREGA EQUIPO"/>
    <s v="05/09/2025 EN COMUNICACIÓN CON LA SRA ESTHER ROSARIO ANACONA HOYOS AL NÚMERO 3136303212 NOS CONFIRMA LA SOLICITUD, DATOS CORRECTOS. SE ESCALA PARA VISITA, POR FAVOR LLAMAR ANTES DE DESPLAZARSE | 11/09/2025 SE REALIZA LLAMADA Y CONTACTO CON EL CLIENTE, YA QUE POR SER UNA ZONA DE ALTO RIESGO NO SE PUEDE DESPLAZAR SIN CONTACTO PREVIO, EL CLIENTE NOS INDICA QUE SE ENCUENTRA POR FUERA DE LA ZONA Y NO HABRIA NADIE EN EL SITIO QUE NOS ENTREGUE LOS EQUIOPOS, NOS MANIFIESTA QUE POR TEMAS DE SALUD NO TIENE FECHA UN DE REGRESO QUE LA PROXIMA SEMANA NOS ESTARIA CONFIRMANDO, COMO EL CASO SE VENCE , SE LE INDICA AL CLIENTE QUE UNA VEZ RETORNE A LA ZONA Y PODAMOS DESPLAZARNOS POR LOS EQUIPOS SE COMUNIQUE PARA PODER EFECTUARLE EL CIERRE."/>
    <s v="SOPORTE_TELEFÓNICO"/>
    <s v="0"/>
    <s v="TIPO III"/>
    <s v="TERRESTRE"/>
    <s v="GIMBUEL LASSO LUIS GERMAN"/>
    <n v="0"/>
    <n v="37904.612000000001"/>
    <n v="37904.612000000001"/>
  </r>
  <r>
    <s v="APARTADO"/>
    <x v="3"/>
    <x v="4"/>
    <n v="5045"/>
    <s v="LC-CS-25-000253"/>
    <n v="56080"/>
    <s v="ORDEN DE CAMBIO"/>
    <s v="ANTIOQUIA"/>
    <s v="APARTADO"/>
    <s v="DISTRICOL BACOTA FRUTAS Y VERD"/>
    <s v="REDEBAN"/>
    <s v="FO-25-1498124 | FO-25-1479894"/>
    <d v="2025-09-04T15:31:00"/>
    <d v="2025-09-11T11:10:00"/>
    <m/>
    <s v="CIERRE"/>
    <s v="CIERRE"/>
    <s v="AGREGADOR"/>
    <s v="DISTRICOL"/>
    <s v="ILOCALIZADO"/>
    <s v="CB CERRADO - DESOCUPADO"/>
    <s v="05/09/2025 SE INTENTA COMUNICACIÓN AL NÚMERO 3207232595 SUENA PERO NO HAY CONTACTO. SE INTENTARÁ NUEVAMENTE | 05/09/2025 SE INTENTA COMUNICACIÓN AL NÚMERO 3207232595 SUENA PERO NO HAY CONTACTO. SE INTENTARÁ NUEVAMENTE | 05/09/2025 SE INTENTA COMUNICACIÓN AL NÚMERO 3207232595 SUENA PERO NO HAY CONTACTO | 08/09/2025 SE LLEGA A SITIO SE ENCUENTRA COMERCIO CERRADO, SE LLAMA A CLIENTE Y ESTE INDICA QUE APARTIR DE MAÑANA DEJA ALGUIEN ENCARGADO PARA LA ENTREGA DE LOS EQUIPOS_x000a_11/09/2025 SE LLEGA A SITIO, CB SE ENCUENTRA CERRADO, EN MINIMIZADO INFORMAN QUE NO TIENEN NADA QUE VER CON EL CB, SE INTENTA COMUNICACIÓN POR WSAP Y LLAMADA NO SE CUENTA CON RESPUESTA ALGUNA."/>
    <s v="VISITA_TÉCNICA"/>
    <s v="9BMZZ441"/>
    <s v="TIPO I"/>
    <s v="TERRESTRE"/>
    <s v="CASTRO HENAO DANIEL ESTEBAN"/>
    <n v="2"/>
    <n v="44559.563999999998"/>
    <n v="89119.127999999997"/>
  </r>
  <r>
    <s v="CALI"/>
    <x v="2"/>
    <x v="2"/>
    <n v="76001"/>
    <s v="LC-CS-25-000254"/>
    <n v="66254"/>
    <s v="ORDEN DE CAMBIO"/>
    <s v="VALLE DEL CAUCA"/>
    <s v="CALI"/>
    <s v="PTM CALI CENTRO DE MANTENIMIE"/>
    <s v="REDEBAN"/>
    <s v="FO-25-1480034"/>
    <d v="2025-09-04T15:31:00"/>
    <d v="2025-09-09T08:30:00"/>
    <m/>
    <s v="CIERRE"/>
    <s v="CIERRE"/>
    <s v="AGREGADOR"/>
    <s v="COMCARD - PTM"/>
    <s v="NO_EXITOSO"/>
    <s v="CB NO ENTREGA EQUIPO"/>
    <s v="05/09/2025 SE INTENTA COMUNICACIÓN AL NÚMERO 3217218550 SUENA PERO NO HAY CONTACTO. SE INTENTARÁ NUEVAMENTE | 05/09/2025 EN  COMUNICACIÓN CON EL SR PAULO RICHARD RAMOS DAZA AL NÚMERO 3217218550 NOS CONFIRMA LA SOLICITUD, DATOS CORRECTOS. SE ESCALA PARA VISITA, POR FAVOR LLMAR ANTES DE DESPLAZARSE-NOMBRE DEL LOCAL SERVITECA OFICINA LAVADERO | 08/09/2025 SE REALIZÓ VISITA TÉCNICA EN DONDE SE ENCONTRABA UNA SEÑORITA DONDE ME INFORMA QUE EL SEÑOR RICHARD RAMOS SE ENCUENTRA DE VIAJE Y QUE POR LO TANTO A EL LE GUSTARÍA ESTAR PRESENTE, POR LO TANTO SE LE INFORMA QUE NO SE PUEDE YA QUE NO SE PUEDE REPRÓCHALAS EL SERVICIO POR LO TANTO TAMBIÉN SE LE INFORMA QUE PUEDE LLAMAR A SOLICITAR EL CIERRE EL DÍA QUE EL SE ENCUENTRE EN LA CIUDAD"/>
    <s v="VISITA_TÉCNICA"/>
    <s v="5A00K499"/>
    <s v="TIPO I"/>
    <s v="TERRESTRE"/>
    <s v="ESCOBAR LENIS JUAN SEBASTIAN"/>
    <n v="1"/>
    <n v="44559.563999999998"/>
    <n v="44559.563999999998"/>
  </r>
  <r>
    <s v="MEDELLIN"/>
    <x v="3"/>
    <x v="4"/>
    <n v="5885"/>
    <s v="LC-CS-25-000256"/>
    <n v="74324"/>
    <s v="ORDEN DE CAMBIO"/>
    <s v="ANTIOQUIA"/>
    <s v="YALI"/>
    <s v="PTM YALI  DROGUERIA VIDA YALI"/>
    <s v="REDEBAN"/>
    <s v="FO-25-1480013"/>
    <d v="2025-09-04T15:31:00"/>
    <d v="2025-09-06T15:42:00"/>
    <m/>
    <s v="CIERRE"/>
    <s v="CIERRE"/>
    <s v="AGREGADOR"/>
    <s v="COMCARD - PTM"/>
    <s v="ILOCALIZADO"/>
    <s v="CB CERRADO - DESOCUPADO"/>
    <s v="05/09/2025 SE INTENTA COMUNICACIÓN AL NÚMERO 3146364613 SUENA PERO NO HAY CONTACTO. SE INTENTARÁ NUEVAMENTE | 05/09/2025 SE INTENTA COMUNICACIÓN AL NÚMERO 3146364613 SUENA PERO NO HAY CONTACTO. SE INTENTARÁ NUEVAMENTE | 05/09/2025 SE INTENTA COMUNICACIÓN AL NÚMERO 3146364613 SUENA PERO NO HAY CONTACTO | 06/09/2025 SE VISITA COMERCIO ESPERO MÁS DE MEDIA HORA PARA VER SI ABREN PERO NO ABRIERON DESDE EL DÍA 05/09/2025 SE LLAMA A TODOS LOS NÚMEROS REGISTRADOS Y SE LES HABLA POR WHATSAPP PERO NO CONTESTARON, VECINOS DE LA ZONA INDICAN QUE POSIBLEMENTE YA NO EXISTA ESE COMERCIO AHÍ."/>
    <s v="VISITA_TÉCNICA"/>
    <s v="EF8ZZ124"/>
    <s v="TIPO II"/>
    <s v="TERRESTRE"/>
    <s v="RUA ALVAREZ RICHARD ANDRES"/>
    <n v="1"/>
    <n v="134410.88400000002"/>
    <n v="134410.88400000002"/>
  </r>
  <r>
    <s v="SANTA MARTA"/>
    <x v="4"/>
    <x v="5"/>
    <n v="44430"/>
    <s v="LC-CS-25-000260"/>
    <n v="79898"/>
    <s v="ORDEN DE CAMBIO"/>
    <s v="LA GUAJIRA"/>
    <s v="MAICAO"/>
    <s v="DISTRICOL COMERCIALIZADORA"/>
    <s v="REDEBAN"/>
    <s v="FO-25-1479899"/>
    <d v="2025-09-04T15:31:00"/>
    <d v="2025-09-08T17:14:00"/>
    <m/>
    <s v="CIERRE"/>
    <s v="CIERRE"/>
    <s v="AGREGADOR"/>
    <s v="DISTRICOL"/>
    <s v="NO_EXITOSO"/>
    <s v="CB NO ENTREGA EQUIPO"/>
    <s v="05/09/2025 EN COMUNICACIÓN CON LA SRA MARLEN ROJAS AL NÚMERO 3137341056 NOS CONFIRMA LA SOLICITUD, DATOS CORRECTOS. SE ESCALA PARA VISITA, POR FAVOR LLAMAR ANES DE DESPLAZARSE | 08/09/2025 SE REALIZA LA VISITA EL CB NO SE ENCUENTRA EN EL SITIO, SE HACE GESTIÓN TELEFÓNICA EL USUARIO INDICA QUE ENVÍO LOS EQUIPOS AL PERSONAL DE DISTRICOL DONDE ELLOS LE DIJERON EL CLIENTE NO SUMINISTRA INFORMACIÓN DE DONDE ENVÍO LOS EQUIPOS NI A QUIEN"/>
    <s v="VISITA_TÉCNICA"/>
    <s v="0"/>
    <s v="TIPO IV"/>
    <s v="TERRESTRE"/>
    <s v="THOMAS  CAMPO SIGIFREDO SEGUNDO"/>
    <n v="1"/>
    <n v="464809.36800000002"/>
    <n v="464809.36800000002"/>
  </r>
  <r>
    <s v="PEREIRA"/>
    <x v="2"/>
    <x v="3"/>
    <n v="66170"/>
    <s v="LC-CS-25-000261"/>
    <n v="80485"/>
    <s v="ORDEN DE CAMBIO"/>
    <s v="RISARALDA"/>
    <s v="DOSQUEBRADAS"/>
    <s v="DISTRICOL TECNOCOMPUTER M&amp;G"/>
    <s v="REDEBAN"/>
    <s v="FO-25-1479967"/>
    <d v="2025-09-04T15:31:00"/>
    <d v="2025-09-05T16:39:00"/>
    <m/>
    <s v="CIERRE"/>
    <s v="CIERRE"/>
    <s v="AGREGADOR"/>
    <s v="DISTRICOL"/>
    <s v="NO_EXITOSO"/>
    <s v="CB NO ENTREGA EQUIPO"/>
    <s v="05/09/2025 EN COMUNICACIÓN CON LA SRA GINET ALEXANDRA LOPEZ CONTRERAS AL NÚMERO 3219410121 NOS CONFIRMA LA SOLICITUD, DATOS CORRECTOS. SE ESCALA PARA VISITA, POR FAVOR LLMAR ANTES DE DESPLAZARSE | 05/09/2025 SE VISITA COMERCIO SE ENCUENTRA LOCAL CERRADO VECINA SE COMUNICA CON CLIENTE INDICA QUE NO TIENE DISPONIBILIDAD PARA HACER ENTREGA DE EQUIPOS"/>
    <s v="VISITA_TÉCNICA"/>
    <s v="SDZZZ934"/>
    <s v="TIPO I"/>
    <s v="TERRESTRE"/>
    <s v="LOAIZA LOPEZ JHON FREDDY"/>
    <n v="1"/>
    <n v="44559.563999999998"/>
    <n v="44559.563999999998"/>
  </r>
  <r>
    <s v="CALI"/>
    <x v="2"/>
    <x v="2"/>
    <n v="76364"/>
    <s v="TA-25-1062497"/>
    <n v="67540"/>
    <s v="ORDEN DE CAMBIO"/>
    <s v="VALLE DEL CAUCA"/>
    <s v="JAMUNDI"/>
    <s v="BARRIO BONANZA TULIPANES JAMUN"/>
    <s v="REDEBAN"/>
    <s v="FO-25-1472817"/>
    <d v="2025-09-04T08:00:00"/>
    <d v="2025-09-10T07:50:00"/>
    <m/>
    <s v="CIERRE"/>
    <s v="RECUPERACION DE EQUIPOS"/>
    <s v="CB UNO A UNO"/>
    <s v="CB UNO A UNO"/>
    <s v="NO_EXITOSO"/>
    <s v="PARCIAL EXITOSO PTE. DATAFONO"/>
    <s v="04/09/2025 EN COMUNICACIÓN CON EL SR JORGE ELIECER BALCAZA AL NÚMERO 3148705656 NOS CONFIRMA LA SOLICITUD, EL USUARIO INDICA QUE LA DIRECCIÓN PARA LA RECOLECCIÓN DE LOS EQUIPOS ES EN VALLE DEL CAUCA-CALI CR 47 B # 37 72 | 11/09/2025 EN LA VISITA TÉCNICA SE RECOLECTÓ EN EL SITIO EL LECTOR QUE FALTABA POR RECUPERAR"/>
    <s v="VISITA_TÉCNICA"/>
    <s v="NONE"/>
    <s v="TIPO II"/>
    <s v="TERRESTRE"/>
    <s v="SANCHEZ URREGO ROBINSON DAVID"/>
    <n v="1"/>
    <n v="134410.88400000002"/>
    <n v="134410.88400000002"/>
  </r>
  <r>
    <s v="MONTERIA"/>
    <x v="4"/>
    <x v="5"/>
    <n v="23001"/>
    <s v="LC-CS-25-000223"/>
    <n v="76641"/>
    <s v="ORDEN DE CAMBIO"/>
    <s v="CORDOBA"/>
    <s v="MONTERIA"/>
    <s v="PTM MONTERIA INVERSIONES DO CA"/>
    <s v="REDEBAN"/>
    <s v="FO-25-1457699"/>
    <d v="2025-09-01T13:25:00"/>
    <d v="2025-09-02T15:32:00"/>
    <m/>
    <s v="CIERRE"/>
    <s v="RECUPERACION DE EQUIPOS"/>
    <s v="AGREGADOR"/>
    <s v="COMCARD - PTM"/>
    <s v="NO_EXITOSO"/>
    <s v="CB NO ENTREGA EQUIPO"/>
    <s v="02/09/2025 SE INTENTA COMUNICACIÓN AL LOS NÚMEROS 3502154340-3003868073 SUENA PERO NO HAY CONTACTO. SE INTENTARÁ NUEVAMENTE | 02/09/2025 EN COMUNICACIÓN CON ROSI BABILONIA AL NÚMERO 3502154340 NOS CONFIRMA LA SOLICITUD, DATOS CORRECTOS. SE ESCALA PARA VISITA | 02/09/2025 SE LLEGA A CB ESTÁ CERRADO, SE MARCA A CLIENTE INFORMA QUE NO SE ENCUENTRA EN LA CIUDAD PARA ENTREGAR LOS EQUIPOS"/>
    <s v="VISITA_TÉCNICA"/>
    <s v="LA2ZZ424"/>
    <s v="TIPO I"/>
    <s v="TERRESTRE"/>
    <s v="COGOLLO ROSSO CAMILO ANDRES"/>
    <n v="1"/>
    <n v="44559.563999999998"/>
    <n v="44559.563999999998"/>
  </r>
  <r>
    <s v="VILLAVICENCIO"/>
    <x v="5"/>
    <x v="6"/>
    <n v="50001"/>
    <s v="LC-CS-25-000214"/>
    <n v="74538"/>
    <s v="ORDEN DE CAMBIO"/>
    <s v="META"/>
    <s v="VILLAVICENCIO"/>
    <s v="BARRIO DOCE DE OCTUBRE VILLAVI"/>
    <s v="REDEBAN"/>
    <s v="FO-25-1450718"/>
    <d v="2025-08-29T16:52:00"/>
    <d v="2025-09-01T15:41:00"/>
    <m/>
    <s v="CIERRE"/>
    <s v="RECUPERACION DE EQUIPOS"/>
    <s v="CB UNO A UNO"/>
    <s v="CB UNO A UNO"/>
    <s v="NO_EXITOSO"/>
    <s v="CB NO ENTREGA EQUIPO"/>
    <s v="30/08/2025 EN COMUNICACIÓN CON EL SR OSCAR VARGAS AL NÚMERO 3107984174 NOS CONFIRMA LA SOLICITUD, DATOS CORRECTOS. SE ESCALA PARA VISITA | 01/09/2025 SE REALIZA VISITA A COMERCIO CB, EL USUARIO MANIFIESTA NO TENER LOS EQUIPOS EN EL COMERCIO SE LE INFORMA UNA VEZ TENGA LOS EQUIPOS EN LA DIRECCIÓN DEBE COMUNICARSE ALA LÍNEA 018000953344 PARA REALIZAR EL RETIRO"/>
    <s v="VISITA_TÉCNICA"/>
    <s v="N/A"/>
    <s v="TIPO I"/>
    <s v="TERRESTRE"/>
    <s v="MOLINA CASTRO JAVIER ALBERTO"/>
    <n v="1"/>
    <n v="44559.563999999998"/>
    <n v="44559.563999999998"/>
  </r>
  <r>
    <s v="BOGOTA"/>
    <x v="0"/>
    <x v="0"/>
    <n v="25754"/>
    <s v="LC-CS-25-000207"/>
    <n v="24614"/>
    <s v="ORDEN DE CAMBIO"/>
    <s v="CUNDINAMARCA"/>
    <s v="SOACHA"/>
    <s v="MULTIPAGAS UNISUR"/>
    <s v="REDEBAN"/>
    <s v="FO-25-1450733"/>
    <d v="2025-08-29T15:26:00"/>
    <d v="2025-09-01T16:18:00"/>
    <m/>
    <s v="CIERRE"/>
    <s v="RECUPERACION DE EQUIPOS"/>
    <s v="ROBUSTO"/>
    <s v="MULTIPAGAS"/>
    <s v="NO_EXITOSO"/>
    <s v="PARCIAL EXITOSO PTE. DATAFONO"/>
    <s v="30/08/2025 SE INTENTA COMUNICACIÓN AL NÚMERO 3104847201 SUENA PERO NO HAY CONTACTO. SE INTENTARÁ NUEVAMENTE | 30/08/2025 SE INTENTA COMUNICACIÓN AL NÚMERO 3104847201 SUENA PERO NO HAY CONTACTO. SE INTENTARÁ NUEVAMENTE | 30/08/2025 SE INTENTA COMUNICACIÓN AL NÚMERO 3104847201 NO DISPONIBLE | 01/09/2025 SE REALIZA RETIRO DE DATANO ICT 250 DE PLACA 706249 SIN NOVEDAD SE PREGUNTA A CORRESPONSAL SI VA ENTREGAR EQUIPOS ADICIONALES EL CUAL INDICA QUE NO SALDO NO SE INGRESA A COMERCIO"/>
    <s v="VISITA_TÉCNICA"/>
    <s v="ABCOZ165"/>
    <s v="TIPO I"/>
    <s v="TERRESTRE"/>
    <s v="GALEANO SORIANO JUAN DAVID"/>
    <n v="1"/>
    <n v="44559.563999999998"/>
    <n v="44559.563999999998"/>
  </r>
  <r>
    <s v="MEDELLIN"/>
    <x v="3"/>
    <x v="4"/>
    <n v="15572"/>
    <s v="LC-CS-25-000208"/>
    <n v="31843"/>
    <s v="ORDEN DE CAMBIO"/>
    <s v="BOYACA"/>
    <s v="PUERTO BOYACA"/>
    <s v="MULTIPAGAS PUERTO BOYACA"/>
    <s v="REDEBAN"/>
    <s v="FO-25-1450738"/>
    <d v="2025-08-29T15:26:00"/>
    <d v="2025-09-05T10:59:00"/>
    <m/>
    <s v="CIERRE"/>
    <s v="RECUPERACION DE EQUIPOS"/>
    <s v="ROBUSTO"/>
    <s v="MULTIPAGAS"/>
    <s v="NO_EXITOSO"/>
    <s v="CB NO ENTREGA EQUIPO"/>
    <s v="30/08/2025 EN COMUNICACIÓN CON LA SRA NATALIA BUITRAGO AL NÚMERO 3225922930 NOS CONFIRMA LA SOLICITUD, DATPS CORRECTOS. SE ESCALA PARA VISITA | 05/09/2025 VISITA FALLIDA EL CB ROBUSTO ESTA OPERANDO SIN PROBLEMAS NO VAN A CERRAR NI A RETIRAR NINGÚN EQUIPO DE RBM VAN AVERIGUAR POR QUÉ  ESTÁ SOLICITUD NO PERMITEN RETIRAR"/>
    <s v="VISITA_TÉCNICA"/>
    <s v="NINGUNA"/>
    <s v="TIPO IV"/>
    <s v="TERRESTRE"/>
    <s v="PAREJA ECHAVARRIA JHON DAVID"/>
    <n v="1"/>
    <n v="464809.36800000002"/>
    <n v="464809.36800000002"/>
  </r>
  <r>
    <s v="MONTERIA"/>
    <x v="4"/>
    <x v="5"/>
    <n v="5250"/>
    <s v="LC-CS-25-000178"/>
    <n v="79771"/>
    <s v="ORDEN DE CAMBIO"/>
    <s v="ANTIOQUIA"/>
    <s v="EL BAGRE"/>
    <s v="BARRIO PORTUGAL EL BAGRE"/>
    <s v="REDEBAN"/>
    <s v="FO-25-1442616"/>
    <d v="2025-08-28T16:50:00"/>
    <d v="2025-09-02T17:26:00"/>
    <m/>
    <s v="CIERRE"/>
    <s v="CIERRE"/>
    <s v="UNO A UNO"/>
    <s v="UNO A UNO"/>
    <s v="ILOCALIZADO"/>
    <s v="CB CERRADO - DESOCUPADO"/>
    <s v="29/08/2025 SE INTENTA COMUNICACIÓN AL NÚMERO 3127212972 SUENA PERO NO HAY CONTACTO. SE INETNATRÁ NUEVAMENTE | 29/08/2025 EN COMUNICACIÓN CON LA SRA MARTHA UDIELY RAMIREZ BUSTAMANTE AL NÚMERO 3127212972 NOS CONFIRMA LA SOLICITUD,DATOS CORRECTOS. SE ESCALA PARA VISITA, POR FAVOR LLAMAR ANTES DE DESPLAZARSE | 02/09/2025 SE LLEGÓ A LA DIRECCIÓN Y EL LOCAL SE ENCUENTRA CERRADO, SE INTENTÓ COMUNICACIÓN TELEFÓNICA CON EL CLIENTE Y NO FUÉ POSIBLE."/>
    <s v="VISITA_TÉCNICA"/>
    <s v="00000000"/>
    <s v="TIPO IV"/>
    <s v="TERRESTRE"/>
    <s v="CALDERA SALCEDO CARLOS JULIO"/>
    <n v="1"/>
    <n v="464809.36800000002"/>
    <n v="464809.36800000002"/>
  </r>
  <r>
    <s v="BOGOTA"/>
    <x v="0"/>
    <x v="0"/>
    <n v="25299"/>
    <s v="LC-CS-25-000183"/>
    <n v="79392"/>
    <s v="ORDEN DE CAMBIO"/>
    <s v="CUNDINAMARCA"/>
    <s v="GAMA"/>
    <s v="BARRIO CENTRO GAMA GAMA"/>
    <s v="REDEBAN"/>
    <s v="FO-25-1442508"/>
    <d v="2025-08-28T16:50:00"/>
    <d v="2025-09-02T13:36:00"/>
    <m/>
    <s v="CIERRE"/>
    <s v="CIERRE"/>
    <s v="UNO A UNO"/>
    <s v="UNO A UNO"/>
    <s v="NO_EXITOSO"/>
    <s v="CB NO ENTREGA EQUIPO"/>
    <s v="29/08/2025 SE INTENTA COMUNICACIÓN AL NÚMERO 3125118169 SE ENCUENTRA APAGADO. SE INTENTARÁ NUEVAMENTE | 29/08/2025 SE INTENTA COMUNICACIÓN AL NÚMERO 3125118169 SE ENCUENTRA APAGADO. SE INTENTARÁ NUEVAMENTE | 29/08/2025 SE INTENTA COMUNICACIÓN AL NÚMERO 3125118169 SE ENCUENTRA APAGADO | 02/09/2025 SE LLEGA A DIRECCIÓN PARA RETIRO DE EQUIPOS LA SEÑORA LUCY NO HA SIDO NOTIFICADA LLAMA A LÍNEAS DE CB PARA VALIDAR NO HAY RESPUESTA AÚN POR LO TANTO NO SE ENTREGARÁN LOS EQUIPOS HASTA TENER RESPUESTA DEL BANCO YA SEA PARA ENTREGARLOS O VOLVER A ACTIVAR EL PUNTO"/>
    <s v="VISITA_TÉCNICA"/>
    <s v="0"/>
    <s v="TIPO III"/>
    <s v="TERRESTRE"/>
    <s v="BUSTOS MORA DIEGO MANUEL"/>
    <n v="1"/>
    <n v="222904.07200000001"/>
    <n v="222904.07200000001"/>
  </r>
  <r>
    <s v="BOGOTA"/>
    <x v="0"/>
    <x v="0"/>
    <n v="25899"/>
    <s v="LC-CS-25-000185"/>
    <n v="63146"/>
    <s v="ORDEN DE CAMBIO"/>
    <s v="CUNDINAMARCA"/>
    <s v="ZIPAQUIRA"/>
    <s v="BARRIO BARANDILLAS ZIPAQUIRA 7"/>
    <s v="REDEBAN"/>
    <s v="FO-25-1442571"/>
    <d v="2025-08-28T16:50:00"/>
    <d v="2025-09-01T16:05:00"/>
    <m/>
    <s v="CIERRE"/>
    <s v="CIERRE"/>
    <s v="CB UNO A UNO"/>
    <s v="CB UNO A UNO"/>
    <s v="ILOCALIZADO"/>
    <s v="CB CERRADO - DESOCUPADO"/>
    <s v="29/08/2025 SE INTENTA COMUNICACIÓN AL NÚMERO 3103376707 SUENA PERO NO HAY CONTACTO. SE INTENTARÁ NUEVAMENTE | 29/08/2025 SE INTENTA COMUNICACIÓN AL NÚMERO 3103376707 SUENA PERO NO HAY CONTACTO. SE INTENTARÁ NUEVAMENTE | 29/08/2025 SE INTENTA COMUNICACIÓN AL NÚMERO 3103376707 SUENA PERO NO HAY CONTACTO | 01/09/2025 SE REALIZA VISITA DE CAMPO ENCONTRADO QUE COMERCIO NO EXISTE EN LA DIRECCIÓN INDICADA  EN RUTA, SE INTENTA COMUNICACIÓN A LA LINEA 3103376707 NO HAY RESPUESTA, SE INFORMA A SUPERVISOR DE NOVEDAD QUIEN AUTORIZA CIERRE DE VISITA."/>
    <s v="VISITA_TÉCNICA"/>
    <s v="0"/>
    <s v="TIPO II"/>
    <s v="TERRESTRE"/>
    <s v="LOZADA ROJAS CHRISTIAN ANDRES"/>
    <n v="1"/>
    <n v="134410.88400000002"/>
    <n v="134410.88400000002"/>
  </r>
  <r>
    <s v="IBAGUE"/>
    <x v="5"/>
    <x v="6"/>
    <n v="73001"/>
    <s v="LC-CS-25-000195"/>
    <n v="77541"/>
    <s v="ORDEN DE CAMBIO"/>
    <s v="TOLIMA"/>
    <s v="IBAGUE"/>
    <s v="BARRIO CENTRO IBAGUE  46"/>
    <s v="REDEBAN"/>
    <s v="FO-25-1442523"/>
    <d v="2025-08-28T16:50:00"/>
    <d v="2025-09-02T13:39:00"/>
    <m/>
    <s v="CIERRE"/>
    <s v="CIERRE"/>
    <s v="CB UNO A UNO"/>
    <s v="CB UNO A UNO"/>
    <s v="ILOCALIZADO"/>
    <s v="CB CERRADO - DESOCUPADO"/>
    <s v="29/08/2025 EN COMUNICACIÓN CON EL SR LUIS CARLOS ORTEGA VIA WHATSAPP AL NÚMERO 3177701606 NOS INDICA QUE TIENE UN TRAMITE PENDIENTE CON EL BANCO DEBIDO A UN MAL ENTENDIDO, NOS INDICA WUE LA DIRECCIÓN PARA LA RECOLECCIÓN DE LOS EQUIPOS ES CL 90 # 4 D SUR- 15 CONJUNTO AVENTURA CLUB HOUSE, INDICA QUE LA RECOLECCIÓNSEA EL DIA LUNES O MARTES, YA QUE NO SE ENCUENTRA | 02/09/2025 SE LLEGA AL SITIO PARA REALIZAR ACTIVIDAD DE CIERRE, PERO EL COMERCIO SE ENCUENTRA CERRADO POR REMODELACIÓN; SE COMUNICA AL NÚMERO 31777001606 SIN NINGÚN RESULTADO."/>
    <s v="VISITA_TÉCNICA"/>
    <s v="0"/>
    <s v="TIPO I"/>
    <s v="TERRESTRE"/>
    <s v="BARRAGAN TAFUR EDWIN ESTEBAN"/>
    <n v="1"/>
    <n v="44559.563999999998"/>
    <n v="44559.563999999998"/>
  </r>
  <r>
    <s v="IBAGUE"/>
    <x v="5"/>
    <x v="6"/>
    <n v="73616"/>
    <s v="LC-CS-25-000196"/>
    <n v="36897"/>
    <s v="ORDEN DE CAMBIO"/>
    <s v="TOLIMA"/>
    <s v="RIOBLANCO"/>
    <s v="BARRIO RIOBLANCO TOLIMA"/>
    <s v="REDEBAN"/>
    <s v="FO-25-1442555"/>
    <d v="2025-08-28T16:50:00"/>
    <d v="2025-09-02T15:10:00"/>
    <m/>
    <s v="CIERRE"/>
    <s v="CIERRE"/>
    <s v="UNO A UNO"/>
    <s v="UNO A UNO"/>
    <s v="NO_EXITOSO"/>
    <s v="CB NO ENTREGA EQUIPO"/>
    <s v="29/08/2025 EN COMUNICACIÓN CON LA SRA LISBETH RAMIREZ OCAMPO AL NÚMERO 3134516096 NOS CONFIRMA LA SOLICITUD, INDICA QUE LA DIRECCIÓN PARA LA RECOLECCIÓN DE LOS EQUIPOS ES  CR 6 NÚMERO 3 22 CORREGIMIENTO HERRERA. SE ESCALA PARA VISITA, POR FAVOR LLAMAR ANTES DE DESPLAZARSE | 02/09/2025 SE HABLA CON LA SEÑORA LISBETH RAMÍREZ, AL NÚMERO 3134516096, ME INDICA QUE NO VIVE EN HERRERA Y QUE CAMBIO DE CIUDAD."/>
    <s v="SOPORTE_TELEFÓNICO"/>
    <s v="0"/>
    <s v="TIPO IV"/>
    <s v="TERRESTRE"/>
    <s v="VARGAS HERRERA JHON JAIRO"/>
    <n v="0"/>
    <n v="37904.612000000001"/>
    <n v="37904.612000000001"/>
  </r>
  <r>
    <s v="VILLAVICENCIO"/>
    <x v="5"/>
    <x v="6"/>
    <n v="95001"/>
    <s v="LC-CS-25-000199"/>
    <n v="79787"/>
    <s v="ORDEN DE CAMBIO"/>
    <s v="GUAVIARE"/>
    <s v="SAN JOSE DEL GUAVIARE"/>
    <s v="BARR EL PROGRESO SAN JOSE DEL GUAVIARE"/>
    <s v="REDEBAN"/>
    <s v="FO-25-1442604"/>
    <d v="2025-08-28T16:50:00"/>
    <d v="2025-09-03T15:21:00"/>
    <m/>
    <s v="CIERRE"/>
    <s v="CIERRE"/>
    <s v="UNO A UNO"/>
    <s v="UNO A UNO"/>
    <s v="ILOCALIZADO"/>
    <s v="CB CERRADO - DESOCUPADO"/>
    <s v="29/08/2025 EN COMUNICACIÓN  CON EL SR JHON FREDY GRAJALES MARIN AL NÚMERO 3219614033 NOS CONFIRMA LA SOLICITUD, DATOS CORRECTOS. SE ESCALA PARA VISITA | 03/09/2025 SE REALIZA VISITA A COMERCIO CB NO EXISTE NO ES POSIBLE COMUNICARSE CON EL SEÑOR JHON FREDY AL NÚMERO 3219614033"/>
    <s v="VISITA_TÉCNICA"/>
    <s v="0"/>
    <s v="TIPO IV"/>
    <s v="TERRESTRE"/>
    <s v="CASTRILLON URREA LONDIER LEANDRO"/>
    <n v="1"/>
    <n v="464809.36800000002"/>
    <n v="464809.36800000002"/>
  </r>
  <r>
    <s v="BOGOTA"/>
    <x v="0"/>
    <x v="0"/>
    <n v="11001"/>
    <s v="LC-CS-25-000203"/>
    <n v="64124"/>
    <s v="ORDEN DE CAMBIO"/>
    <s v="CUNDINAMARCA"/>
    <s v="BOGOTA"/>
    <s v="BARRIO BILBAO SUBA BOGOTA"/>
    <s v="REDEBAN"/>
    <s v="FO-25-1442725"/>
    <d v="2025-08-28T16:50:00"/>
    <d v="2025-09-02T14:03:00"/>
    <m/>
    <s v="CIERRE"/>
    <s v="CIERRE"/>
    <s v="UNO A UNO"/>
    <s v="CB UNO A UNO"/>
    <s v="NO_EXITOSO"/>
    <s v="CB NO ENTREGA EQUIPO"/>
    <s v="29/08/2025 EN COMUNICACIÓN CON LA SRA MELISA PAOLA MUÑOZ ECHEVERRY AL NÚMERO 3137755966 NOS CONFRIMA LA SOLICITUD, DATOS CORRECTOS. SE ESCALA PARA VISITA, POR FAVOR LLAMAR ANTES DE DESPLAZARSE | 01/09/2025 SE REALIZA CONTACTO PARA VALIDACIÓN DE ENTREGA EQUIPOS, SE HABLA CON LA SRA. MELISSA QUIEN INDICA QUE ENTRE SEMANA ESTÁ DESPUÉS DE LAS 5:30PM, INDICA QUE LOS DÍAS SÁBADOS ESTA EN LA DIRECCIÓN DE ENTREGA EN HORAS DE LA MAÑANA.SE LE INFORMA QUE CUANDO TENGA LA DISPONIBLIDAD SE COMUNIQUE CON LA ENTIDAD PARA GESTIONAR EL RETIRO"/>
    <s v="SOPORTE_TELEFÓNICO"/>
    <s v="0"/>
    <s v="TIPO I"/>
    <s v="TERRESTRE"/>
    <s v="MURCIA HERNANDEZ HARVEY IGNACIO"/>
    <n v="0"/>
    <n v="37904.612000000001"/>
    <n v="37904.612000000001"/>
  </r>
  <r>
    <s v="BOGOTA"/>
    <x v="0"/>
    <x v="0"/>
    <n v="25286"/>
    <s v="LC-CS-25-000205"/>
    <n v="46905"/>
    <s v="ORDEN DE CAMBIO"/>
    <s v="CUNDINAMARCA"/>
    <s v="FUNZA"/>
    <s v="BARRIO FUNZA FUNZA 3"/>
    <s v="REDEBAN"/>
    <s v="FO-25-1442548"/>
    <d v="2025-08-28T16:50:00"/>
    <d v="2025-09-02T13:50:00"/>
    <m/>
    <s v="CIERRE"/>
    <s v="RECUPERACION DE EQUIPOS"/>
    <s v="UNO A UNO"/>
    <s v="CB UNO A UNO"/>
    <s v="NO_EXITOSO"/>
    <s v="PARCIAL EXITOSO PTE. DATAFONO"/>
    <s v="29/08/2025 EN COMUNICACIÓN CON LA SRA MARTA LUCIA PARRA AL NÚMERO 3002113867 NOS CONFRIMA LA SOLICITUD, DATOS CORRECTOS. SE ESCALA PARA VISITA, POR FAVOR LLAMAR ANTES DE DESPLAZARSE | 02/09/2025 RECUPERACIÓN DE EQUIPOS OK SE RETIRA DATAFONO Y LECTORA EN LA DIRECCIÓN YA EXISTE UN CB OPERATIVO"/>
    <s v="VISITA_TÉCNICA"/>
    <s v="AD00A067"/>
    <s v="TIPO II"/>
    <s v="TERRESTRE"/>
    <s v="HERNANDEZ NARANJO OSCAR EDUARDO"/>
    <n v="1"/>
    <n v="134410.88400000002"/>
    <n v="134410.88400000002"/>
  </r>
  <r>
    <s v="CARTAGENA"/>
    <x v="4"/>
    <x v="5"/>
    <n v="13001"/>
    <s v="LC-CS-25-000174"/>
    <n v="75045"/>
    <s v="ORDEN DE CAMBIO"/>
    <s v="BOLIVAR"/>
    <s v="CARTAGENA"/>
    <s v="BARRIO EL ESPINAL CARTAGENA DE"/>
    <s v="REDEBAN"/>
    <s v="FO-25-1437790"/>
    <d v="2025-08-27T16:37:00"/>
    <d v="2025-09-02T14:07:00"/>
    <m/>
    <s v="CIERRE"/>
    <s v="CIERRE"/>
    <s v="UNO A UNO"/>
    <s v="UNO A UNO"/>
    <s v="NO_EXITOSO"/>
    <s v="CB NO ENTREGA EQUIPO"/>
    <s v="28/08/2025 EN COMUNICACIÓN CON EL SR LUIS EDGARDO CHACON PINILLA AL NÚMERO 3005559080 NO CONFIRMA NINGUN DATO, INDICA QUE EL BANCO NO LE HA DADO NINGUNA INFORMACIÓN | 02/09/2025 SE VISITA DIRECCIÓN EL LOCAL SE ENCUENTRA CERRADO Y EN COMUNICACION CON CLIENTE INDICA QUE NO AUTORIZA EL RETIRO DE LOS EQUIPOS, INDICA QUE DEBE SER BANCOLOMBIA QUE SE COMUNIQUE CON EL"/>
    <s v="VISITA_TÉCNICA"/>
    <s v="N/A"/>
    <s v="TIPO I"/>
    <s v="TERRESTRE"/>
    <s v="MARTINEZ SALGUEDO ANDRES AUGUSTO"/>
    <n v="1"/>
    <n v="44559.563999999998"/>
    <n v="44559.563999999998"/>
  </r>
  <r>
    <s v="BUCARAMANGA"/>
    <x v="1"/>
    <x v="1"/>
    <n v="81736"/>
    <s v="LC-CS-25-000153"/>
    <n v="67912"/>
    <s v="ORDEN DE CAMBIO"/>
    <s v="ARAUCA"/>
    <s v="SARAVENA"/>
    <s v="DISTRICOL COMBO BURGER"/>
    <s v="REDEBAN"/>
    <s v="FO-25-1424020"/>
    <d v="2025-08-26T08:00:00"/>
    <d v="2025-09-02T07:35:00"/>
    <m/>
    <s v="CIERRE"/>
    <s v="CIERRE"/>
    <s v="AGREGADOR"/>
    <s v="DISTRICOL"/>
    <s v="NO_EXITOSO"/>
    <s v="CB NO ENTREGA EQUIPO"/>
    <s v="26/08/2025 EN COMUNICACIÓN CON EL SR ALVARO LEONARDO SANDOVAL JAIMES AL NÚMERO 3186310547 NOS INDICA QUE LOS EQUIPOS YA FUERON ENVIADOS A MEDELLIN | 01/09/2025 SE REALIZA LLAMADA TELEFÓNICA PARA REALIZAR CIERRE DE CB ,SE HABLÓ CON EL SEÑOR ÁLVARO SANDOVAL AL NÚMERO 3186310547 QUIEN NOS INDICA QUE FUE ENVIADO A LA CIUDAD DE MEDELLÍN A LA ASESORA DE DISTRICOL"/>
    <s v="SOPORTE_TELEFÓNICO"/>
    <s v="0"/>
    <s v="TIPO IV ESPECIAL"/>
    <s v="AEREO"/>
    <s v="PEÑA DIAZ IVAN YESID"/>
    <n v="0"/>
    <n v="37904.612000000001"/>
    <n v="37904.612000000001"/>
  </r>
  <r>
    <s v="VILLAVICENCIO"/>
    <x v="5"/>
    <x v="6"/>
    <n v="50568"/>
    <s v="LC-CS-25-000169"/>
    <n v="72483"/>
    <s v="ORDEN DE CAMBIO"/>
    <s v="META"/>
    <s v="PUERTO GAITAN"/>
    <s v="BARRIO PUERTO GAITAN BATEAS"/>
    <s v="REDEBAN"/>
    <s v="FO-25-1430308"/>
    <d v="2025-08-26T08:00:00"/>
    <d v="2025-09-01T16:13:00"/>
    <m/>
    <s v="CIERRE"/>
    <s v="RECUPERACION DE EQUIPOS"/>
    <s v="UNO A UNO"/>
    <s v="UNO A UNO"/>
    <s v="NO_EXITOSO"/>
    <s v="CB NO ENTREGA EQUIPO"/>
    <s v="27/08/2025 EN COMUNICACIÓN CON LA SRA TATIANA MESA AL NÚMERO 3224206522 NOS CONFIRMA LA SOLICITUD, NOS INDICA QUE LA DIRECCIÓN PARA LA RECOLECCIÓN DE LOS EQUIPOS ES PUERTO GAITAN MZ 38 CA 13 BARRIO BATEAS. SE ESCALA PRA VISITA, POR FAVOR LLAMAR ANTES DE DESPLAZARSE, SI NO LE CONTESTAN ESCRIBIR AL NÚMERO 318303497 | 01/09/2025 SE REALIZA VISITA Y COMERCIO NO CONOCEN AL CLIENTE EN LA DIRECCIÓN, SE REALIZA CONTACTO CON EL CLIENTE EL CUAL NOS INDICA QUE YA NOS REALIZA LA ENTREGA DE LOS EQUIPOS PERO SE ESPERA POR MÁS DE 30 MINUTOS Y NO SALE CLIENTE"/>
    <s v="VISITA_TÉCNICA"/>
    <s v="NONE"/>
    <s v="TIPO III"/>
    <s v="TERRESTRE"/>
    <s v="PEDREROS CONTRERAS MICHAEL STEVENS"/>
    <n v="1"/>
    <n v="222904.07200000001"/>
    <n v="222904.07200000001"/>
  </r>
  <r>
    <s v="MEDELLIN"/>
    <x v="3"/>
    <x v="4"/>
    <n v="5079"/>
    <s v="LC-CS-25-000130"/>
    <n v="62137"/>
    <s v="ORDEN DE CAMBIO"/>
    <s v="ANTIOQUIA"/>
    <s v="BARBOSA"/>
    <s v="BARRIO HATILLO BARBOSA 1"/>
    <s v="REDEBAN"/>
    <s v="FO-25-1446260 | FO-25-1424150"/>
    <d v="2025-08-25T08:00:00"/>
    <d v="2025-09-02T07:37:00"/>
    <m/>
    <s v="CIERRE"/>
    <s v="CIERRE"/>
    <s v="UNO A UNO"/>
    <s v="CB UNO A UNO"/>
    <s v="EJECUTADO_EXITOSO"/>
    <s v="CIERRE EXITOSO"/>
    <s v="26/08/2025 EN COMUNICACIÓN CON EL SR ELKIN ANDRÉS BEDOYA SANCHEZ AL NÚMERO 3208982165 NOS CONFIRMA LA SOLICITUD, DATOS CORRECTOS. SE ESCALA PARA  VISITA | 29/08/2025 SE VISTA PUNTO Y EN COMERCIO OPERA OTRO COMERCIO CON OTRO CB EN COMUNICACIÓN CON EL CLIENTE INDICA QUE ENTREGA EN COPACABANA_x000a_01/09/2025 SE REALIZA CONTACTO TELEFÓNICO CON EL USUARIO PARA VALIDAR EL CIERRE DEL CORRESPONSAL. DURANTE LA LLAMADA, EL USUARIO INFORMA QUE NO SE ENCUENTRA EN LA DIRECCIÓN INICIALMENTE REGISTRADA, POR LO CUAL COORDINA LA ENTREGA DE LOS EQUIPOS EN UNA UBICACIÓN ALTERNATIVA.  _x000a_EN EL NUEVO PUNTO DE ENCUENTRO, SE PROCEDE AL RETIRO DEL DATÁFONO Y LECTOR AMBOS EN BUEN ESTADO FÍSICO Y FUNCIONAL.  _x000a_CIERRE CONFIRMADO Y EQUIPOS RECUPERADOS SIN NOVEDADES."/>
    <s v="VISITA_TÉCNICA"/>
    <s v="NA_x000a_MA00L642"/>
    <s v="TIPO II"/>
    <s v="TERRESTRE"/>
    <s v="MARTINEZ TOVAR OSCAR DAVID"/>
    <n v="1"/>
    <n v="134410.88400000002"/>
    <n v="134410.88400000002"/>
  </r>
  <r>
    <m/>
    <x v="6"/>
    <x v="7"/>
    <m/>
    <m/>
    <m/>
    <m/>
    <m/>
    <m/>
    <m/>
    <m/>
    <m/>
    <m/>
    <m/>
    <m/>
    <m/>
    <m/>
    <m/>
    <m/>
    <m/>
    <m/>
    <m/>
    <m/>
    <m/>
    <m/>
    <m/>
    <m/>
    <m/>
    <m/>
    <n v="12918631.535999991"/>
  </r>
  <r>
    <m/>
    <x v="6"/>
    <x v="7"/>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98F422-378D-4B3A-9EF3-E354DDA3582B}" name="TablaDinámica1" cacheId="418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 firstHeaderRow="0" firstDataRow="1" firstDataCol="2"/>
  <pivotFields count="30">
    <pivotField compact="0" outline="0" showAll="0"/>
    <pivotField axis="axisRow" compact="0" outline="0" showAll="0" defaultSubtotal="0">
      <items count="8">
        <item x="2"/>
        <item x="4"/>
        <item x="3"/>
        <item x="5"/>
        <item x="1"/>
        <item x="0"/>
        <item h="1" x="6"/>
        <item h="1" m="1" x="7"/>
      </items>
    </pivotField>
    <pivotField axis="axisRow" compact="0" outline="0" showAll="0">
      <items count="9">
        <item x="5"/>
        <item x="3"/>
        <item x="2"/>
        <item x="0"/>
        <item x="4"/>
        <item x="6"/>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29" showDataAs="percentOfTotal" baseField="0" baseItem="0" numFmtId="10"/>
    <dataField name="Suma de VALOR TOTAL2" fld="29" baseField="0" baseItem="0" numFmtId="168"/>
  </dataFields>
  <formats count="3">
    <format dxfId="1">
      <pivotArea outline="0"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 dxfId="3">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workbookViewId="0">
      <selection activeCell="F18" sqref="F18"/>
    </sheetView>
  </sheetViews>
  <sheetFormatPr defaultColWidth="11.42578125" defaultRowHeight="14.45"/>
  <cols>
    <col min="1" max="1" width="31" customWidth="1"/>
    <col min="4" max="4" width="13.7109375" bestFit="1" customWidth="1"/>
    <col min="5" max="5" width="4" customWidth="1"/>
    <col min="6" max="6" width="21.5703125" customWidth="1"/>
    <col min="7" max="7" width="30" customWidth="1"/>
    <col min="9" max="9" width="16.42578125" bestFit="1" customWidth="1"/>
    <col min="15" max="15" width="20.140625" customWidth="1"/>
  </cols>
  <sheetData>
    <row r="1" spans="1:10">
      <c r="A1" s="94" t="s">
        <v>0</v>
      </c>
      <c r="B1" s="94"/>
      <c r="C1" s="94"/>
      <c r="D1" s="94"/>
      <c r="F1" s="87" t="s">
        <v>1</v>
      </c>
      <c r="G1" s="88"/>
      <c r="H1" s="88"/>
      <c r="I1" s="88"/>
      <c r="J1" s="89"/>
    </row>
    <row r="2" spans="1:10">
      <c r="A2" s="94" t="s">
        <v>2</v>
      </c>
      <c r="B2" s="94"/>
      <c r="C2" s="94"/>
      <c r="D2" s="94"/>
      <c r="F2" s="90" t="str">
        <f>A3</f>
        <v>SEPTIEMBRE 2025</v>
      </c>
      <c r="G2" s="91"/>
      <c r="H2" s="91"/>
      <c r="I2" s="91"/>
      <c r="J2" s="92"/>
    </row>
    <row r="3" spans="1:10">
      <c r="A3" s="95" t="s">
        <v>3</v>
      </c>
      <c r="B3" s="95"/>
      <c r="C3" s="95"/>
      <c r="D3" s="95"/>
      <c r="F3" s="13"/>
      <c r="G3" s="13"/>
      <c r="H3" s="13"/>
      <c r="I3" s="14"/>
      <c r="J3" s="14"/>
    </row>
    <row r="4" spans="1:10">
      <c r="A4" s="9"/>
      <c r="B4" s="83"/>
      <c r="C4" s="84"/>
      <c r="D4" s="9"/>
      <c r="F4" s="24" t="s">
        <v>4</v>
      </c>
      <c r="G4" s="19" t="s">
        <v>5</v>
      </c>
      <c r="H4" s="19" t="s">
        <v>6</v>
      </c>
      <c r="I4" s="19" t="s">
        <v>7</v>
      </c>
      <c r="J4" s="20" t="s">
        <v>6</v>
      </c>
    </row>
    <row r="5" spans="1:10">
      <c r="A5" s="18" t="s">
        <v>4</v>
      </c>
      <c r="B5" s="79" t="s">
        <v>8</v>
      </c>
      <c r="C5" s="81"/>
      <c r="D5" s="18" t="s">
        <v>6</v>
      </c>
      <c r="F5" s="49"/>
      <c r="G5" s="49"/>
      <c r="H5" s="15"/>
      <c r="I5" s="16">
        <f>H5*0.12</f>
        <v>0</v>
      </c>
      <c r="J5" s="16">
        <f>H5+I5</f>
        <v>0</v>
      </c>
    </row>
    <row r="6" spans="1:10">
      <c r="A6" s="58" t="str">
        <f>CONCATENATE("CIERRES NO EXITOSOS ",A3)</f>
        <v>CIERRES NO EXITOSOS SEPTIEMBRE 2025</v>
      </c>
      <c r="B6" s="85">
        <f>COUNTA(CIERRES!A:A)-1</f>
        <v>107</v>
      </c>
      <c r="C6" s="86"/>
      <c r="D6" s="59">
        <f>CIERRES!AD109</f>
        <v>12918631.535999991</v>
      </c>
      <c r="F6" s="53"/>
      <c r="G6" s="53"/>
      <c r="H6" s="54"/>
      <c r="I6" s="55">
        <f>H6*0.12</f>
        <v>0</v>
      </c>
      <c r="J6" s="55">
        <f>H6+I6</f>
        <v>0</v>
      </c>
    </row>
    <row r="7" spans="1:10">
      <c r="A7" s="10" t="s">
        <v>9</v>
      </c>
      <c r="B7" s="93">
        <v>0</v>
      </c>
      <c r="C7" s="93"/>
      <c r="D7" s="11">
        <f>J10</f>
        <v>0</v>
      </c>
      <c r="F7" s="23"/>
      <c r="G7" s="23"/>
      <c r="H7" s="50"/>
      <c r="I7" s="51">
        <f>H7*0.12</f>
        <v>0</v>
      </c>
      <c r="J7" s="51">
        <f>H7+I7</f>
        <v>0</v>
      </c>
    </row>
    <row r="8" spans="1:10">
      <c r="A8" s="82" t="s">
        <v>10</v>
      </c>
      <c r="B8" s="82"/>
      <c r="C8" s="82"/>
      <c r="D8" s="46">
        <f>SUM(D6:D7)</f>
        <v>12918631.535999991</v>
      </c>
      <c r="F8" s="23"/>
      <c r="G8" s="52"/>
      <c r="H8" s="50"/>
      <c r="I8" s="51"/>
      <c r="J8" s="51"/>
    </row>
    <row r="9" spans="1:10">
      <c r="A9" s="78" t="s">
        <v>11</v>
      </c>
      <c r="B9" s="78"/>
      <c r="C9" s="78"/>
      <c r="D9" s="12">
        <f>D8*0.19</f>
        <v>2454539.9918399984</v>
      </c>
      <c r="F9" s="23"/>
      <c r="G9" s="52"/>
      <c r="H9" s="50"/>
      <c r="I9" s="51"/>
      <c r="J9" s="51"/>
    </row>
    <row r="10" spans="1:10">
      <c r="A10" s="79" t="s">
        <v>6</v>
      </c>
      <c r="B10" s="80"/>
      <c r="C10" s="81"/>
      <c r="D10" s="21">
        <f>SUM(D8:D9)</f>
        <v>15373171.527839988</v>
      </c>
      <c r="F10" s="25" t="s">
        <v>6</v>
      </c>
      <c r="G10" s="56"/>
      <c r="H10" s="57">
        <f>SUM(H5:H7)</f>
        <v>0</v>
      </c>
      <c r="I10" s="57">
        <f>SUM(I5:I7)</f>
        <v>0</v>
      </c>
      <c r="J10" s="57">
        <f>SUM(J5:J7)</f>
        <v>0</v>
      </c>
    </row>
  </sheetData>
  <mergeCells count="12">
    <mergeCell ref="F1:J1"/>
    <mergeCell ref="F2:J2"/>
    <mergeCell ref="B7:C7"/>
    <mergeCell ref="A1:D1"/>
    <mergeCell ref="A2:D2"/>
    <mergeCell ref="A3:D3"/>
    <mergeCell ref="A9:C9"/>
    <mergeCell ref="A10:C10"/>
    <mergeCell ref="A8:C8"/>
    <mergeCell ref="B4:C4"/>
    <mergeCell ref="B5:C5"/>
    <mergeCell ref="B6:C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election activeCell="C22" sqref="C22"/>
    </sheetView>
  </sheetViews>
  <sheetFormatPr defaultColWidth="11.42578125" defaultRowHeight="14.45"/>
  <cols>
    <col min="1" max="1" width="15" bestFit="1" customWidth="1"/>
    <col min="2" max="2" width="22.7109375" bestFit="1" customWidth="1"/>
    <col min="3" max="3" width="42" customWidth="1"/>
    <col min="4" max="4" width="14.42578125" customWidth="1"/>
  </cols>
  <sheetData>
    <row r="1" spans="1:4">
      <c r="A1" s="96" t="s">
        <v>12</v>
      </c>
      <c r="B1" s="96"/>
      <c r="C1" s="96"/>
      <c r="D1" s="45" t="s">
        <v>13</v>
      </c>
    </row>
    <row r="2" spans="1:4">
      <c r="A2" s="1" t="s">
        <v>14</v>
      </c>
      <c r="B2" s="1" t="s">
        <v>15</v>
      </c>
      <c r="C2" s="44" t="s">
        <v>16</v>
      </c>
      <c r="D2" s="43">
        <v>5.1999999999999998E-2</v>
      </c>
    </row>
    <row r="3" spans="1:4">
      <c r="A3" s="2" t="s">
        <v>17</v>
      </c>
      <c r="B3" s="2" t="s">
        <v>18</v>
      </c>
      <c r="C3" s="47">
        <f>42357*(1+$D$2)</f>
        <v>44559.563999999998</v>
      </c>
      <c r="D3" s="42"/>
    </row>
    <row r="4" spans="1:4">
      <c r="A4" s="2" t="s">
        <v>19</v>
      </c>
      <c r="B4" s="2" t="s">
        <v>20</v>
      </c>
      <c r="C4" s="47">
        <f>127767*(1+$D$2)</f>
        <v>134410.88400000002</v>
      </c>
      <c r="D4" s="42"/>
    </row>
    <row r="5" spans="1:4">
      <c r="A5" s="2" t="s">
        <v>21</v>
      </c>
      <c r="B5" s="2" t="s">
        <v>22</v>
      </c>
      <c r="C5" s="47">
        <f>211886*(1+$D$2)</f>
        <v>222904.07200000001</v>
      </c>
      <c r="D5" s="42"/>
    </row>
    <row r="6" spans="1:4">
      <c r="A6" s="2" t="s">
        <v>23</v>
      </c>
      <c r="B6" s="2" t="s">
        <v>24</v>
      </c>
      <c r="C6" s="47">
        <f>441834*(1+$D$2)</f>
        <v>464809.36800000002</v>
      </c>
      <c r="D6" s="42"/>
    </row>
    <row r="7" spans="1:4" ht="24.75" customHeight="1">
      <c r="A7" s="2" t="s">
        <v>25</v>
      </c>
      <c r="B7" s="2" t="s">
        <v>26</v>
      </c>
      <c r="C7" s="3" t="s">
        <v>27</v>
      </c>
      <c r="D7" s="42"/>
    </row>
    <row r="8" spans="1:4">
      <c r="A8" s="4"/>
      <c r="B8" s="5"/>
      <c r="C8" s="6"/>
    </row>
    <row r="9" spans="1:4">
      <c r="A9" s="7" t="s">
        <v>28</v>
      </c>
      <c r="B9" s="48">
        <f>36031*(1+$D$2)</f>
        <v>37904.612000000001</v>
      </c>
      <c r="C9" s="8"/>
    </row>
  </sheetData>
  <mergeCells count="1">
    <mergeCell ref="A1:C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D87C1-98F8-4E35-87EF-7DADBAA268DD}">
  <dimension ref="A3:E11"/>
  <sheetViews>
    <sheetView tabSelected="1" workbookViewId="0">
      <selection activeCell="D16" sqref="D16"/>
    </sheetView>
  </sheetViews>
  <sheetFormatPr defaultColWidth="8.85546875" defaultRowHeight="14.45"/>
  <cols>
    <col min="1" max="1" width="32.85546875" bestFit="1" customWidth="1"/>
    <col min="2" max="2" width="32.5703125" bestFit="1" customWidth="1"/>
    <col min="3" max="3" width="8.7109375" style="39" bestFit="1" customWidth="1"/>
    <col min="4" max="4" width="23.140625" bestFit="1" customWidth="1"/>
  </cols>
  <sheetData>
    <row r="3" spans="1:5">
      <c r="A3" s="38" t="s">
        <v>29</v>
      </c>
      <c r="B3" s="38" t="s">
        <v>30</v>
      </c>
      <c r="C3" s="39" t="s">
        <v>31</v>
      </c>
      <c r="D3" t="s">
        <v>32</v>
      </c>
      <c r="E3" t="s">
        <v>33</v>
      </c>
    </row>
    <row r="4" spans="1:5">
      <c r="A4" t="s">
        <v>34</v>
      </c>
      <c r="B4" t="s">
        <v>35</v>
      </c>
      <c r="C4" s="40">
        <v>4.1045863915411533E-2</v>
      </c>
      <c r="D4" s="41">
        <v>530256.39199999999</v>
      </c>
      <c r="E4" t="str">
        <f>VLOOKUP(B4,'CENTRO DE COSTOS'!B:C,2,0)</f>
        <v>Redeban Eje Cafetero (Pereira)</v>
      </c>
    </row>
    <row r="5" spans="1:5">
      <c r="B5" t="s">
        <v>36</v>
      </c>
      <c r="C5" s="40">
        <v>9.1714068684310215E-2</v>
      </c>
      <c r="D5" s="41">
        <v>1184820.2600000002</v>
      </c>
      <c r="E5" t="str">
        <f>VLOOKUP(B5,'CENTRO DE COSTOS'!B:C,2,0)</f>
        <v>Redeban Suroccidente (Cali)</v>
      </c>
    </row>
    <row r="6" spans="1:5">
      <c r="A6" t="s">
        <v>37</v>
      </c>
      <c r="B6" t="s">
        <v>38</v>
      </c>
      <c r="C6" s="40">
        <v>0.20602198619747053</v>
      </c>
      <c r="D6" s="41">
        <v>2661522.128</v>
      </c>
      <c r="E6" t="str">
        <f>VLOOKUP(B6,'CENTRO DE COSTOS'!B:C,2,0)</f>
        <v>Redeban Costa (Barranqullla)</v>
      </c>
    </row>
    <row r="7" spans="1:5">
      <c r="A7" t="s">
        <v>39</v>
      </c>
      <c r="B7" t="s">
        <v>40</v>
      </c>
      <c r="C7" s="40">
        <v>0.16669809971736313</v>
      </c>
      <c r="D7" s="41">
        <v>2153511.3280000002</v>
      </c>
      <c r="E7" t="str">
        <f>VLOOKUP(B7,'CENTRO DE COSTOS'!B:C,2,0)</f>
        <v>Redeban Noroccidente (Medellín)</v>
      </c>
    </row>
    <row r="8" spans="1:5">
      <c r="A8" t="s">
        <v>41</v>
      </c>
      <c r="B8" t="s">
        <v>42</v>
      </c>
      <c r="C8" s="40">
        <v>0.20154245074212943</v>
      </c>
      <c r="D8" s="41">
        <v>2603652.66</v>
      </c>
      <c r="E8" t="str">
        <f>VLOOKUP(B8,'CENTRO DE COSTOS'!B:C,2,0)</f>
        <v>Redeban Oriente (Otros)</v>
      </c>
    </row>
    <row r="9" spans="1:5">
      <c r="A9" t="s">
        <v>43</v>
      </c>
      <c r="B9" t="s">
        <v>44</v>
      </c>
      <c r="C9" s="40">
        <v>8.9630529733222969E-2</v>
      </c>
      <c r="D9" s="41">
        <v>1157903.7880000002</v>
      </c>
      <c r="E9" t="str">
        <f>VLOOKUP(B9,'CENTRO DE COSTOS'!B:C,2,0)</f>
        <v>Redeban Santander</v>
      </c>
    </row>
    <row r="10" spans="1:5">
      <c r="A10" t="s">
        <v>45</v>
      </c>
      <c r="B10" t="s">
        <v>46</v>
      </c>
      <c r="C10" s="40">
        <v>0.20334700101009218</v>
      </c>
      <c r="D10" s="41">
        <v>2626964.9800000009</v>
      </c>
      <c r="E10" t="str">
        <f>VLOOKUP(B10,'CENTRO DE COSTOS'!B:C,2,0)</f>
        <v>Redeban Centro ( Bogotá)</v>
      </c>
    </row>
    <row r="11" spans="1:5">
      <c r="A11" t="s">
        <v>47</v>
      </c>
      <c r="C11" s="40">
        <v>1</v>
      </c>
      <c r="D11" s="41">
        <v>12918631.536000002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AD109"/>
  <sheetViews>
    <sheetView zoomScaleNormal="100" workbookViewId="0">
      <pane ySplit="1" topLeftCell="F2" activePane="bottomLeft" state="frozen"/>
      <selection pane="bottomLeft" activeCell="F2" sqref="F2"/>
    </sheetView>
  </sheetViews>
  <sheetFormatPr defaultColWidth="11.42578125" defaultRowHeight="14.45"/>
  <cols>
    <col min="1" max="1" width="15.42578125" style="61" bestFit="1" customWidth="1"/>
    <col min="2" max="3" width="13.140625" style="64" customWidth="1"/>
    <col min="4" max="4" width="11.85546875" style="61" customWidth="1"/>
    <col min="5" max="5" width="19.28515625" style="61" customWidth="1"/>
    <col min="6" max="6" width="11.7109375" style="61" bestFit="1" customWidth="1"/>
    <col min="7" max="7" width="11.42578125" style="61" customWidth="1"/>
    <col min="8" max="8" width="17.42578125" style="61" bestFit="1" customWidth="1"/>
    <col min="9" max="9" width="12.42578125" style="61" bestFit="1" customWidth="1"/>
    <col min="10" max="10" width="32" style="61" bestFit="1" customWidth="1"/>
    <col min="11" max="11" width="11.42578125" style="61"/>
    <col min="12" max="12" width="11.42578125" style="61" customWidth="1"/>
    <col min="13" max="14" width="17.28515625" style="61" customWidth="1"/>
    <col min="15" max="19" width="11.42578125" style="61"/>
    <col min="20" max="21" width="16.28515625" style="61" customWidth="1"/>
    <col min="22" max="22" width="11.5703125" style="61" bestFit="1" customWidth="1"/>
    <col min="23" max="23" width="12" style="61" bestFit="1" customWidth="1"/>
    <col min="24" max="24" width="11.7109375" style="61" bestFit="1" customWidth="1"/>
    <col min="25" max="25" width="12.85546875" style="64" bestFit="1" customWidth="1"/>
    <col min="26" max="26" width="18.7109375" style="64" customWidth="1"/>
    <col min="27" max="27" width="28.28515625" style="61" bestFit="1" customWidth="1"/>
    <col min="28" max="28" width="11.7109375" style="65" bestFit="1" customWidth="1"/>
    <col min="29" max="30" width="12.7109375" style="61" bestFit="1" customWidth="1"/>
    <col min="31" max="16384" width="11.42578125" style="61"/>
  </cols>
  <sheetData>
    <row r="1" spans="1:30" s="62" customFormat="1" ht="30.75" customHeight="1">
      <c r="A1" s="66" t="s">
        <v>48</v>
      </c>
      <c r="B1" s="66" t="s">
        <v>29</v>
      </c>
      <c r="C1" s="66" t="s">
        <v>30</v>
      </c>
      <c r="D1" s="66" t="s">
        <v>49</v>
      </c>
      <c r="E1" s="66" t="s">
        <v>50</v>
      </c>
      <c r="F1" s="66" t="s">
        <v>51</v>
      </c>
      <c r="G1" s="67" t="s">
        <v>52</v>
      </c>
      <c r="H1" s="66" t="s">
        <v>53</v>
      </c>
      <c r="I1" s="66" t="s">
        <v>54</v>
      </c>
      <c r="J1" s="66" t="s">
        <v>55</v>
      </c>
      <c r="K1" s="66" t="s">
        <v>56</v>
      </c>
      <c r="L1" s="66" t="s">
        <v>57</v>
      </c>
      <c r="M1" s="66" t="s">
        <v>58</v>
      </c>
      <c r="N1" s="66" t="s">
        <v>59</v>
      </c>
      <c r="O1" s="68" t="s">
        <v>60</v>
      </c>
      <c r="P1" s="66" t="s">
        <v>61</v>
      </c>
      <c r="Q1" s="66" t="s">
        <v>62</v>
      </c>
      <c r="R1" s="69" t="s">
        <v>63</v>
      </c>
      <c r="S1" s="69" t="s">
        <v>64</v>
      </c>
      <c r="T1" s="70" t="s">
        <v>65</v>
      </c>
      <c r="U1" s="66" t="s">
        <v>66</v>
      </c>
      <c r="V1" s="66" t="s">
        <v>67</v>
      </c>
      <c r="W1" s="66" t="s">
        <v>68</v>
      </c>
      <c r="X1" s="66" t="s">
        <v>69</v>
      </c>
      <c r="Y1" s="66" t="s">
        <v>70</v>
      </c>
      <c r="Z1" s="66" t="s">
        <v>71</v>
      </c>
      <c r="AA1" s="70" t="s">
        <v>72</v>
      </c>
      <c r="AB1" s="71" t="s">
        <v>73</v>
      </c>
      <c r="AC1" s="72" t="s">
        <v>74</v>
      </c>
      <c r="AD1" s="72" t="s">
        <v>75</v>
      </c>
    </row>
    <row r="2" spans="1:30" s="63" customFormat="1" ht="13.15">
      <c r="A2" s="10" t="s">
        <v>76</v>
      </c>
      <c r="B2" s="73" t="str">
        <f>VLOOKUP(A2,'CENTRO DE COSTOS'!A:D,4,FALSE)</f>
        <v>WILLIAM ASDRUBAL ROZO ROZO</v>
      </c>
      <c r="C2" s="73" t="str">
        <f>VLOOKUP(A2,'CENTRO DE COSTOS'!A:C,2,FALSE)</f>
        <v>0004-0004</v>
      </c>
      <c r="D2" s="10">
        <v>11001</v>
      </c>
      <c r="E2" s="10" t="s">
        <v>77</v>
      </c>
      <c r="F2" s="10">
        <v>56213</v>
      </c>
      <c r="G2" s="10" t="s">
        <v>78</v>
      </c>
      <c r="H2" s="10" t="s">
        <v>79</v>
      </c>
      <c r="I2" s="10" t="s">
        <v>76</v>
      </c>
      <c r="J2" s="10" t="s">
        <v>80</v>
      </c>
      <c r="K2" s="10" t="s">
        <v>81</v>
      </c>
      <c r="L2" s="10" t="s">
        <v>82</v>
      </c>
      <c r="M2" s="74">
        <v>45929.63958333333</v>
      </c>
      <c r="N2" s="74">
        <v>45930.695138888892</v>
      </c>
      <c r="O2" s="10"/>
      <c r="P2" s="10" t="s">
        <v>83</v>
      </c>
      <c r="Q2" s="10" t="s">
        <v>84</v>
      </c>
      <c r="R2" s="10" t="s">
        <v>85</v>
      </c>
      <c r="S2" s="10" t="s">
        <v>86</v>
      </c>
      <c r="T2" s="10" t="s">
        <v>87</v>
      </c>
      <c r="U2" s="10" t="s">
        <v>88</v>
      </c>
      <c r="V2" s="10" t="s">
        <v>89</v>
      </c>
      <c r="W2" s="10" t="s">
        <v>90</v>
      </c>
      <c r="X2" s="10" t="s">
        <v>91</v>
      </c>
      <c r="Y2" s="73" t="str">
        <f>VLOOKUP(D2,TIPOLOGIAS!A:F,6,0)</f>
        <v>TIPO I</v>
      </c>
      <c r="Z2" s="73" t="str">
        <f>VLOOKUP(D2,TIPOLOGIAS!A:F,5,0)</f>
        <v>TERRESTRE</v>
      </c>
      <c r="AA2" s="10" t="s">
        <v>92</v>
      </c>
      <c r="AB2" s="75">
        <v>1</v>
      </c>
      <c r="AC2" s="76">
        <f>IF(AND(W2="SOPORTE_TELEFÓNICO",OR(U2="SIN CONTACTO CON EL CB",U2="NÚMEROS DE CONTACTO ERRADOS")),0,IF(W2="SOPORTE_TELEFÓNICO",'BASE DE LIQUIDACION 2025'!$B$9,IF(Y2="TIPO I",'BASE DE LIQUIDACION 2025'!$C$3,IF(Y2="TIPO II",'BASE DE LIQUIDACION 2025'!$C$4,IF(Y2="TIPO III",'BASE DE LIQUIDACION 2025'!$C$5,'BASE DE LIQUIDACION 2025'!$C$6)))))</f>
        <v>44559.563999999998</v>
      </c>
      <c r="AD2" s="76">
        <f>IF(W2="SOPORTE_TELEFÓNICO",AC2,CIERRES!AB2*CIERRES!AC2)</f>
        <v>44559.563999999998</v>
      </c>
    </row>
    <row r="3" spans="1:30" s="63" customFormat="1" ht="13.15">
      <c r="A3" s="10" t="s">
        <v>76</v>
      </c>
      <c r="B3" s="73" t="str">
        <f>VLOOKUP(A3,'CENTRO DE COSTOS'!A:D,4,FALSE)</f>
        <v>WILLIAM ASDRUBAL ROZO ROZO</v>
      </c>
      <c r="C3" s="73" t="str">
        <f>VLOOKUP(A3,'CENTRO DE COSTOS'!A:C,2,FALSE)</f>
        <v>0004-0004</v>
      </c>
      <c r="D3" s="10">
        <v>11001</v>
      </c>
      <c r="E3" s="10" t="s">
        <v>93</v>
      </c>
      <c r="F3" s="10">
        <v>51555</v>
      </c>
      <c r="G3" s="10" t="s">
        <v>78</v>
      </c>
      <c r="H3" s="10" t="s">
        <v>79</v>
      </c>
      <c r="I3" s="10" t="s">
        <v>76</v>
      </c>
      <c r="J3" s="10" t="s">
        <v>94</v>
      </c>
      <c r="K3" s="10" t="s">
        <v>81</v>
      </c>
      <c r="L3" s="10" t="s">
        <v>95</v>
      </c>
      <c r="M3" s="74">
        <v>45927.375</v>
      </c>
      <c r="N3" s="74">
        <v>45929.491666666669</v>
      </c>
      <c r="O3" s="10"/>
      <c r="P3" s="10" t="s">
        <v>83</v>
      </c>
      <c r="Q3" s="10" t="s">
        <v>83</v>
      </c>
      <c r="R3" s="10" t="s">
        <v>85</v>
      </c>
      <c r="S3" s="10" t="s">
        <v>86</v>
      </c>
      <c r="T3" s="10" t="s">
        <v>96</v>
      </c>
      <c r="U3" s="10" t="s">
        <v>97</v>
      </c>
      <c r="V3" s="10" t="s">
        <v>98</v>
      </c>
      <c r="W3" s="10" t="s">
        <v>90</v>
      </c>
      <c r="X3" s="10" t="s">
        <v>99</v>
      </c>
      <c r="Y3" s="73" t="str">
        <f>VLOOKUP(D3,TIPOLOGIAS!A:F,6,0)</f>
        <v>TIPO I</v>
      </c>
      <c r="Z3" s="73" t="str">
        <f>VLOOKUP(D3,TIPOLOGIAS!A:F,5,0)</f>
        <v>TERRESTRE</v>
      </c>
      <c r="AA3" s="10" t="s">
        <v>100</v>
      </c>
      <c r="AB3" s="75">
        <v>1</v>
      </c>
      <c r="AC3" s="76">
        <f>IF(AND(W3="SOPORTE_TELEFÓNICO",OR(U3="SIN CONTACTO CON EL CB",U3="NÚMEROS DE CONTACTO ERRADOS")),0,IF(W3="SOPORTE_TELEFÓNICO",'BASE DE LIQUIDACION 2025'!$B$9,IF(Y3="TIPO I",'BASE DE LIQUIDACION 2025'!$C$3,IF(Y3="TIPO II",'BASE DE LIQUIDACION 2025'!$C$4,IF(Y3="TIPO III",'BASE DE LIQUIDACION 2025'!$C$5,'BASE DE LIQUIDACION 2025'!$C$6)))))</f>
        <v>44559.563999999998</v>
      </c>
      <c r="AD3" s="76">
        <f>IF(W3="SOPORTE_TELEFÓNICO",AC3,CIERRES!AB3*CIERRES!AC3)</f>
        <v>44559.563999999998</v>
      </c>
    </row>
    <row r="4" spans="1:30" s="63" customFormat="1" ht="13.15">
      <c r="A4" s="10" t="s">
        <v>101</v>
      </c>
      <c r="B4" s="73" t="str">
        <f>VLOOKUP(A4,'CENTRO DE COSTOS'!A:D,4,FALSE)</f>
        <v>MIGUEL JULIÁN HERNÁNDEZ GUARÍN</v>
      </c>
      <c r="C4" s="73" t="str">
        <f>VLOOKUP(A4,'CENTRO DE COSTOS'!A:C,2,FALSE)</f>
        <v>0004-0008</v>
      </c>
      <c r="D4" s="10">
        <v>54405</v>
      </c>
      <c r="E4" s="10" t="s">
        <v>102</v>
      </c>
      <c r="F4" s="10">
        <v>77857</v>
      </c>
      <c r="G4" s="10" t="s">
        <v>78</v>
      </c>
      <c r="H4" s="10" t="s">
        <v>103</v>
      </c>
      <c r="I4" s="10" t="s">
        <v>104</v>
      </c>
      <c r="J4" s="10" t="s">
        <v>105</v>
      </c>
      <c r="K4" s="10" t="s">
        <v>81</v>
      </c>
      <c r="L4" s="10" t="s">
        <v>106</v>
      </c>
      <c r="M4" s="74">
        <v>45926.333333333343</v>
      </c>
      <c r="N4" s="74">
        <v>45926.51666666667</v>
      </c>
      <c r="O4" s="10"/>
      <c r="P4" s="10" t="s">
        <v>83</v>
      </c>
      <c r="Q4" s="10" t="s">
        <v>84</v>
      </c>
      <c r="R4" s="10" t="s">
        <v>107</v>
      </c>
      <c r="S4" s="10" t="s">
        <v>108</v>
      </c>
      <c r="T4" s="10" t="s">
        <v>87</v>
      </c>
      <c r="U4" s="10" t="s">
        <v>88</v>
      </c>
      <c r="V4" s="10" t="s">
        <v>109</v>
      </c>
      <c r="W4" s="10" t="s">
        <v>90</v>
      </c>
      <c r="X4" s="10" t="s">
        <v>110</v>
      </c>
      <c r="Y4" s="73" t="str">
        <f>VLOOKUP(D4,TIPOLOGIAS!A:F,6,0)</f>
        <v>TIPO I</v>
      </c>
      <c r="Z4" s="73" t="str">
        <f>VLOOKUP(D4,TIPOLOGIAS!A:F,5,0)</f>
        <v>TERRESTRE</v>
      </c>
      <c r="AA4" s="10" t="s">
        <v>111</v>
      </c>
      <c r="AB4" s="75">
        <v>1</v>
      </c>
      <c r="AC4" s="76">
        <f>IF(AND(W4="SOPORTE_TELEFÓNICO",OR(U4="SIN CONTACTO CON EL CB",U4="NÚMEROS DE CONTACTO ERRADOS")),0,IF(W4="SOPORTE_TELEFÓNICO",'BASE DE LIQUIDACION 2025'!$B$9,IF(Y4="TIPO I",'BASE DE LIQUIDACION 2025'!$C$3,IF(Y4="TIPO II",'BASE DE LIQUIDACION 2025'!$C$4,IF(Y4="TIPO III",'BASE DE LIQUIDACION 2025'!$C$5,'BASE DE LIQUIDACION 2025'!$C$6)))))</f>
        <v>44559.563999999998</v>
      </c>
      <c r="AD4" s="76">
        <f>IF(W4="SOPORTE_TELEFÓNICO",AC4,CIERRES!AB4*CIERRES!AC4)</f>
        <v>44559.563999999998</v>
      </c>
    </row>
    <row r="5" spans="1:30" s="63" customFormat="1" ht="13.15">
      <c r="A5" s="10" t="s">
        <v>112</v>
      </c>
      <c r="B5" s="73" t="str">
        <f>VLOOKUP(A5,'CENTRO DE COSTOS'!A:D,4,FALSE)</f>
        <v>DIEGO FERNANDO HENAO CARDONA</v>
      </c>
      <c r="C5" s="73" t="str">
        <f>VLOOKUP(A5,'CENTRO DE COSTOS'!A:C,2,FALSE)</f>
        <v>0004-0003</v>
      </c>
      <c r="D5" s="10">
        <v>19807</v>
      </c>
      <c r="E5" s="10" t="s">
        <v>113</v>
      </c>
      <c r="F5" s="10">
        <v>80309</v>
      </c>
      <c r="G5" s="10" t="s">
        <v>78</v>
      </c>
      <c r="H5" s="10" t="s">
        <v>114</v>
      </c>
      <c r="I5" s="10" t="s">
        <v>115</v>
      </c>
      <c r="J5" s="10" t="s">
        <v>116</v>
      </c>
      <c r="K5" s="10" t="s">
        <v>81</v>
      </c>
      <c r="L5" s="10" t="s">
        <v>117</v>
      </c>
      <c r="M5" s="74">
        <v>45925.634027777778</v>
      </c>
      <c r="N5" s="74">
        <v>45929.654861111107</v>
      </c>
      <c r="O5" s="10"/>
      <c r="P5" s="10" t="s">
        <v>83</v>
      </c>
      <c r="Q5" s="10" t="s">
        <v>83</v>
      </c>
      <c r="R5" s="10" t="s">
        <v>85</v>
      </c>
      <c r="S5" s="10" t="s">
        <v>85</v>
      </c>
      <c r="T5" s="10" t="s">
        <v>87</v>
      </c>
      <c r="U5" s="10" t="s">
        <v>88</v>
      </c>
      <c r="V5" s="10" t="s">
        <v>118</v>
      </c>
      <c r="W5" s="10" t="s">
        <v>90</v>
      </c>
      <c r="X5" s="10" t="s">
        <v>119</v>
      </c>
      <c r="Y5" s="73" t="str">
        <f>VLOOKUP(D5,TIPOLOGIAS!A:F,6,0)</f>
        <v>TIPO III</v>
      </c>
      <c r="Z5" s="73" t="str">
        <f>VLOOKUP(D5,TIPOLOGIAS!A:F,5,0)</f>
        <v>TERRESTRE</v>
      </c>
      <c r="AA5" s="10" t="s">
        <v>120</v>
      </c>
      <c r="AB5" s="75">
        <v>1</v>
      </c>
      <c r="AC5" s="76">
        <f>IF(AND(W5="SOPORTE_TELEFÓNICO",OR(U5="SIN CONTACTO CON EL CB",U5="NÚMEROS DE CONTACTO ERRADOS")),0,IF(W5="SOPORTE_TELEFÓNICO",'BASE DE LIQUIDACION 2025'!$B$9,IF(Y5="TIPO I",'BASE DE LIQUIDACION 2025'!$C$3,IF(Y5="TIPO II",'BASE DE LIQUIDACION 2025'!$C$4,IF(Y5="TIPO III",'BASE DE LIQUIDACION 2025'!$C$5,'BASE DE LIQUIDACION 2025'!$C$6)))))</f>
        <v>222904.07200000001</v>
      </c>
      <c r="AD5" s="76">
        <f>IF(W5="SOPORTE_TELEFÓNICO",AC5,CIERRES!AB5*CIERRES!AC5)</f>
        <v>222904.07200000001</v>
      </c>
    </row>
    <row r="6" spans="1:30" s="63" customFormat="1" ht="13.15">
      <c r="A6" s="10" t="s">
        <v>76</v>
      </c>
      <c r="B6" s="73" t="str">
        <f>VLOOKUP(A6,'CENTRO DE COSTOS'!A:D,4,FALSE)</f>
        <v>WILLIAM ASDRUBAL ROZO ROZO</v>
      </c>
      <c r="C6" s="73" t="str">
        <f>VLOOKUP(A6,'CENTRO DE COSTOS'!A:C,2,FALSE)</f>
        <v>0004-0004</v>
      </c>
      <c r="D6" s="10">
        <v>25269</v>
      </c>
      <c r="E6" s="10" t="s">
        <v>121</v>
      </c>
      <c r="F6" s="10">
        <v>79939</v>
      </c>
      <c r="G6" s="10" t="s">
        <v>78</v>
      </c>
      <c r="H6" s="10" t="s">
        <v>79</v>
      </c>
      <c r="I6" s="10" t="s">
        <v>122</v>
      </c>
      <c r="J6" s="10" t="s">
        <v>123</v>
      </c>
      <c r="K6" s="10" t="s">
        <v>81</v>
      </c>
      <c r="L6" s="10" t="s">
        <v>124</v>
      </c>
      <c r="M6" s="74">
        <v>45925.634027777778</v>
      </c>
      <c r="N6" s="74">
        <v>45926.585416666669</v>
      </c>
      <c r="O6" s="10"/>
      <c r="P6" s="10" t="s">
        <v>83</v>
      </c>
      <c r="Q6" s="10" t="s">
        <v>83</v>
      </c>
      <c r="R6" s="10" t="s">
        <v>85</v>
      </c>
      <c r="S6" s="10" t="s">
        <v>85</v>
      </c>
      <c r="T6" s="10" t="s">
        <v>87</v>
      </c>
      <c r="U6" s="10" t="s">
        <v>88</v>
      </c>
      <c r="V6" s="10" t="s">
        <v>125</v>
      </c>
      <c r="W6" s="10" t="s">
        <v>90</v>
      </c>
      <c r="X6" s="10" t="s">
        <v>91</v>
      </c>
      <c r="Y6" s="73" t="str">
        <f>VLOOKUP(D6,TIPOLOGIAS!A:F,6,0)</f>
        <v>TIPO II</v>
      </c>
      <c r="Z6" s="73" t="str">
        <f>VLOOKUP(D6,TIPOLOGIAS!A:F,5,0)</f>
        <v>TERRESTRE</v>
      </c>
      <c r="AA6" s="10" t="s">
        <v>92</v>
      </c>
      <c r="AB6" s="75">
        <v>1</v>
      </c>
      <c r="AC6" s="76">
        <f>IF(AND(W6="SOPORTE_TELEFÓNICO",OR(U6="SIN CONTACTO CON EL CB",U6="NÚMEROS DE CONTACTO ERRADOS")),0,IF(W6="SOPORTE_TELEFÓNICO",'BASE DE LIQUIDACION 2025'!$B$9,IF(Y6="TIPO I",'BASE DE LIQUIDACION 2025'!$C$3,IF(Y6="TIPO II",'BASE DE LIQUIDACION 2025'!$C$4,IF(Y6="TIPO III",'BASE DE LIQUIDACION 2025'!$C$5,'BASE DE LIQUIDACION 2025'!$C$6)))))</f>
        <v>134410.88400000002</v>
      </c>
      <c r="AD6" s="76">
        <f>IF(W6="SOPORTE_TELEFÓNICO",AC6,CIERRES!AB6*CIERRES!AC6)</f>
        <v>134410.88400000002</v>
      </c>
    </row>
    <row r="7" spans="1:30" s="63" customFormat="1" ht="13.15">
      <c r="A7" s="10" t="s">
        <v>126</v>
      </c>
      <c r="B7" s="73" t="str">
        <f>VLOOKUP(A7,'CENTRO DE COSTOS'!A:D,4,FALSE)</f>
        <v>MIGUEL JULIÁN HERNÁNDEZ GUARÍN</v>
      </c>
      <c r="C7" s="73" t="str">
        <f>VLOOKUP(A7,'CENTRO DE COSTOS'!A:C,2,FALSE)</f>
        <v>0004-0008</v>
      </c>
      <c r="D7" s="10">
        <v>15455</v>
      </c>
      <c r="E7" s="10" t="s">
        <v>127</v>
      </c>
      <c r="F7" s="10">
        <v>30209</v>
      </c>
      <c r="G7" s="10" t="s">
        <v>78</v>
      </c>
      <c r="H7" s="10" t="s">
        <v>128</v>
      </c>
      <c r="I7" s="10" t="s">
        <v>129</v>
      </c>
      <c r="J7" s="10" t="s">
        <v>130</v>
      </c>
      <c r="K7" s="10" t="s">
        <v>81</v>
      </c>
      <c r="L7" s="10" t="s">
        <v>131</v>
      </c>
      <c r="M7" s="74">
        <v>45925.333333333343</v>
      </c>
      <c r="N7" s="74">
        <v>45930.429861111108</v>
      </c>
      <c r="O7" s="10"/>
      <c r="P7" s="10" t="s">
        <v>83</v>
      </c>
      <c r="Q7" s="10" t="s">
        <v>83</v>
      </c>
      <c r="R7" s="10" t="s">
        <v>86</v>
      </c>
      <c r="S7" s="10" t="s">
        <v>86</v>
      </c>
      <c r="T7" s="10" t="s">
        <v>87</v>
      </c>
      <c r="U7" s="10" t="s">
        <v>132</v>
      </c>
      <c r="V7" s="10" t="s">
        <v>133</v>
      </c>
      <c r="W7" s="10" t="s">
        <v>134</v>
      </c>
      <c r="X7" s="10" t="s">
        <v>91</v>
      </c>
      <c r="Y7" s="73" t="str">
        <f>VLOOKUP(D7,TIPOLOGIAS!A:F,6,0)</f>
        <v>TIPO IV</v>
      </c>
      <c r="Z7" s="73" t="str">
        <f>VLOOKUP(D7,TIPOLOGIAS!A:F,5,0)</f>
        <v>TERRESTRE</v>
      </c>
      <c r="AA7" s="10" t="s">
        <v>135</v>
      </c>
      <c r="AB7" s="77">
        <v>0</v>
      </c>
      <c r="AC7" s="76">
        <f>IF(AND(W7="SOPORTE_TELEFÓNICO",OR(U7="SIN CONTACTO CON EL CB",U7="NÚMEROS DE CONTACTO ERRADOS")),0,IF(W7="SOPORTE_TELEFÓNICO",'BASE DE LIQUIDACION 2025'!$B$9,IF(Y7="TIPO I",'BASE DE LIQUIDACION 2025'!$C$3,IF(Y7="TIPO II",'BASE DE LIQUIDACION 2025'!$C$4,IF(Y7="TIPO III",'BASE DE LIQUIDACION 2025'!$C$5,'BASE DE LIQUIDACION 2025'!$C$6)))))</f>
        <v>0</v>
      </c>
      <c r="AD7" s="76">
        <f>IF(W7="SOPORTE_TELEFÓNICO",AC7,CIERRES!AB7*CIERRES!AC7)</f>
        <v>0</v>
      </c>
    </row>
    <row r="8" spans="1:30" s="63" customFormat="1" ht="13.15">
      <c r="A8" s="10" t="s">
        <v>101</v>
      </c>
      <c r="B8" s="73" t="str">
        <f>VLOOKUP(A8,'CENTRO DE COSTOS'!A:D,4,FALSE)</f>
        <v>MIGUEL JULIÁN HERNÁNDEZ GUARÍN</v>
      </c>
      <c r="C8" s="73" t="str">
        <f>VLOOKUP(A8,'CENTRO DE COSTOS'!A:C,2,FALSE)</f>
        <v>0004-0008</v>
      </c>
      <c r="D8" s="10">
        <v>54001</v>
      </c>
      <c r="E8" s="10" t="s">
        <v>136</v>
      </c>
      <c r="F8" s="10">
        <v>76724</v>
      </c>
      <c r="G8" s="10" t="s">
        <v>78</v>
      </c>
      <c r="H8" s="10" t="s">
        <v>103</v>
      </c>
      <c r="I8" s="10" t="s">
        <v>101</v>
      </c>
      <c r="J8" s="10" t="s">
        <v>137</v>
      </c>
      <c r="K8" s="10" t="s">
        <v>81</v>
      </c>
      <c r="L8" s="10" t="s">
        <v>138</v>
      </c>
      <c r="M8" s="74">
        <v>45925.333333333343</v>
      </c>
      <c r="N8" s="74">
        <v>45929.540972222218</v>
      </c>
      <c r="O8" s="10"/>
      <c r="P8" s="10" t="s">
        <v>83</v>
      </c>
      <c r="Q8" s="10" t="s">
        <v>83</v>
      </c>
      <c r="R8" s="10" t="s">
        <v>86</v>
      </c>
      <c r="S8" s="10" t="s">
        <v>86</v>
      </c>
      <c r="T8" s="10" t="s">
        <v>87</v>
      </c>
      <c r="U8" s="10" t="s">
        <v>88</v>
      </c>
      <c r="V8" s="10" t="s">
        <v>139</v>
      </c>
      <c r="W8" s="10" t="s">
        <v>90</v>
      </c>
      <c r="X8" s="10" t="s">
        <v>91</v>
      </c>
      <c r="Y8" s="73" t="str">
        <f>VLOOKUP(D8,TIPOLOGIAS!A:F,6,0)</f>
        <v>TIPO I</v>
      </c>
      <c r="Z8" s="73" t="str">
        <f>VLOOKUP(D8,TIPOLOGIAS!A:F,5,0)</f>
        <v>TERRESTRE</v>
      </c>
      <c r="AA8" s="10" t="s">
        <v>140</v>
      </c>
      <c r="AB8" s="75">
        <v>1</v>
      </c>
      <c r="AC8" s="76">
        <f>IF(AND(W8="SOPORTE_TELEFÓNICO",OR(U8="SIN CONTACTO CON EL CB",U8="NÚMEROS DE CONTACTO ERRADOS")),0,IF(W8="SOPORTE_TELEFÓNICO",'BASE DE LIQUIDACION 2025'!$B$9,IF(Y8="TIPO I",'BASE DE LIQUIDACION 2025'!$C$3,IF(Y8="TIPO II",'BASE DE LIQUIDACION 2025'!$C$4,IF(Y8="TIPO III",'BASE DE LIQUIDACION 2025'!$C$5,'BASE DE LIQUIDACION 2025'!$C$6)))))</f>
        <v>44559.563999999998</v>
      </c>
      <c r="AD8" s="76">
        <f>IF(W8="SOPORTE_TELEFÓNICO",AC8,CIERRES!AB8*CIERRES!AC8)</f>
        <v>44559.563999999998</v>
      </c>
    </row>
    <row r="9" spans="1:30" s="63" customFormat="1" ht="13.15">
      <c r="A9" s="10" t="s">
        <v>141</v>
      </c>
      <c r="B9" s="73" t="str">
        <f>VLOOKUP(A9,'CENTRO DE COSTOS'!A:D,4,FALSE)</f>
        <v>DIEGO FERNANDO HENAO CARDONA</v>
      </c>
      <c r="C9" s="73" t="str">
        <f>VLOOKUP(A9,'CENTRO DE COSTOS'!A:C,2,FALSE)</f>
        <v>0004-0002</v>
      </c>
      <c r="D9" s="10">
        <v>76736</v>
      </c>
      <c r="E9" s="10" t="s">
        <v>142</v>
      </c>
      <c r="F9" s="10">
        <v>62347</v>
      </c>
      <c r="G9" s="10" t="s">
        <v>78</v>
      </c>
      <c r="H9" s="10" t="s">
        <v>143</v>
      </c>
      <c r="I9" s="10" t="s">
        <v>144</v>
      </c>
      <c r="J9" s="10" t="s">
        <v>145</v>
      </c>
      <c r="K9" s="10" t="s">
        <v>81</v>
      </c>
      <c r="L9" s="10" t="s">
        <v>146</v>
      </c>
      <c r="M9" s="74">
        <v>45925.333333333343</v>
      </c>
      <c r="N9" s="74">
        <v>45926.693055555559</v>
      </c>
      <c r="O9" s="10"/>
      <c r="P9" s="10" t="s">
        <v>83</v>
      </c>
      <c r="Q9" s="10" t="s">
        <v>83</v>
      </c>
      <c r="R9" s="10" t="s">
        <v>85</v>
      </c>
      <c r="S9" s="10" t="s">
        <v>86</v>
      </c>
      <c r="T9" s="10" t="s">
        <v>147</v>
      </c>
      <c r="U9" s="10" t="s">
        <v>148</v>
      </c>
      <c r="V9" s="10" t="s">
        <v>149</v>
      </c>
      <c r="W9" s="10" t="s">
        <v>90</v>
      </c>
      <c r="X9" s="10" t="s">
        <v>150</v>
      </c>
      <c r="Y9" s="73" t="str">
        <f>VLOOKUP(D9,TIPOLOGIAS!A:F,6,0)</f>
        <v>TIPO II</v>
      </c>
      <c r="Z9" s="73" t="str">
        <f>VLOOKUP(D9,TIPOLOGIAS!A:F,5,0)</f>
        <v>TERRESTRE</v>
      </c>
      <c r="AA9" s="10" t="s">
        <v>151</v>
      </c>
      <c r="AB9" s="75">
        <v>1</v>
      </c>
      <c r="AC9" s="76">
        <f>IF(AND(W9="SOPORTE_TELEFÓNICO",OR(U9="SIN CONTACTO CON EL CB",U9="NÚMEROS DE CONTACTO ERRADOS")),0,IF(W9="SOPORTE_TELEFÓNICO",'BASE DE LIQUIDACION 2025'!$B$9,IF(Y9="TIPO I",'BASE DE LIQUIDACION 2025'!$C$3,IF(Y9="TIPO II",'BASE DE LIQUIDACION 2025'!$C$4,IF(Y9="TIPO III",'BASE DE LIQUIDACION 2025'!$C$5,'BASE DE LIQUIDACION 2025'!$C$6)))))</f>
        <v>134410.88400000002</v>
      </c>
      <c r="AD9" s="76">
        <f>IF(W9="SOPORTE_TELEFÓNICO",AC9,CIERRES!AB9*CIERRES!AC9)</f>
        <v>134410.88400000002</v>
      </c>
    </row>
    <row r="10" spans="1:30" s="63" customFormat="1" ht="13.15">
      <c r="A10" s="10" t="s">
        <v>76</v>
      </c>
      <c r="B10" s="73" t="str">
        <f>VLOOKUP(A10,'CENTRO DE COSTOS'!A:D,4,FALSE)</f>
        <v>WILLIAM ASDRUBAL ROZO ROZO</v>
      </c>
      <c r="C10" s="73" t="str">
        <f>VLOOKUP(A10,'CENTRO DE COSTOS'!A:C,2,FALSE)</f>
        <v>0004-0004</v>
      </c>
      <c r="D10" s="10">
        <v>25290</v>
      </c>
      <c r="E10" s="10" t="s">
        <v>152</v>
      </c>
      <c r="F10" s="10">
        <v>76134</v>
      </c>
      <c r="G10" s="10" t="s">
        <v>78</v>
      </c>
      <c r="H10" s="10" t="s">
        <v>79</v>
      </c>
      <c r="I10" s="10" t="s">
        <v>153</v>
      </c>
      <c r="J10" s="10" t="s">
        <v>154</v>
      </c>
      <c r="K10" s="10" t="s">
        <v>81</v>
      </c>
      <c r="L10" s="10" t="s">
        <v>155</v>
      </c>
      <c r="M10" s="74">
        <v>45924.333333333343</v>
      </c>
      <c r="N10" s="74">
        <v>45925.506249999999</v>
      </c>
      <c r="O10" s="10"/>
      <c r="P10" s="10" t="s">
        <v>83</v>
      </c>
      <c r="Q10" s="10" t="s">
        <v>84</v>
      </c>
      <c r="R10" s="10" t="s">
        <v>85</v>
      </c>
      <c r="S10" s="10" t="s">
        <v>85</v>
      </c>
      <c r="T10" s="10" t="s">
        <v>96</v>
      </c>
      <c r="U10" s="10" t="s">
        <v>97</v>
      </c>
      <c r="V10" s="10" t="s">
        <v>156</v>
      </c>
      <c r="W10" s="10" t="s">
        <v>90</v>
      </c>
      <c r="X10" s="10" t="s">
        <v>110</v>
      </c>
      <c r="Y10" s="73" t="str">
        <f>VLOOKUP(D10,TIPOLOGIAS!A:F,6,0)</f>
        <v>TIPO II</v>
      </c>
      <c r="Z10" s="73" t="str">
        <f>VLOOKUP(D10,TIPOLOGIAS!A:F,5,0)</f>
        <v>TERRESTRE</v>
      </c>
      <c r="AA10" s="10" t="s">
        <v>157</v>
      </c>
      <c r="AB10" s="75">
        <v>1</v>
      </c>
      <c r="AC10" s="76">
        <f>IF(AND(W10="SOPORTE_TELEFÓNICO",OR(U10="SIN CONTACTO CON EL CB",U10="NÚMEROS DE CONTACTO ERRADOS")),0,IF(W10="SOPORTE_TELEFÓNICO",'BASE DE LIQUIDACION 2025'!$B$9,IF(Y10="TIPO I",'BASE DE LIQUIDACION 2025'!$C$3,IF(Y10="TIPO II",'BASE DE LIQUIDACION 2025'!$C$4,IF(Y10="TIPO III",'BASE DE LIQUIDACION 2025'!$C$5,'BASE DE LIQUIDACION 2025'!$C$6)))))</f>
        <v>134410.88400000002</v>
      </c>
      <c r="AD10" s="76">
        <f>IF(W10="SOPORTE_TELEFÓNICO",AC10,CIERRES!AB10*CIERRES!AC10)</f>
        <v>134410.88400000002</v>
      </c>
    </row>
    <row r="11" spans="1:30" s="63" customFormat="1" ht="13.15">
      <c r="A11" s="10" t="s">
        <v>158</v>
      </c>
      <c r="B11" s="73" t="str">
        <f>VLOOKUP(A11,'CENTRO DE COSTOS'!A:D,4,FALSE)</f>
        <v>JUAN SEBASTIÁN RÍOS CASTRILLÓN</v>
      </c>
      <c r="C11" s="73" t="str">
        <f>VLOOKUP(A11,'CENTRO DE COSTOS'!A:C,2,FALSE)</f>
        <v>0004-0005</v>
      </c>
      <c r="D11" s="10">
        <v>5591</v>
      </c>
      <c r="E11" s="10" t="s">
        <v>159</v>
      </c>
      <c r="F11" s="10">
        <v>21001</v>
      </c>
      <c r="G11" s="10" t="s">
        <v>78</v>
      </c>
      <c r="H11" s="10" t="s">
        <v>160</v>
      </c>
      <c r="I11" s="10" t="s">
        <v>161</v>
      </c>
      <c r="J11" s="10" t="s">
        <v>162</v>
      </c>
      <c r="K11" s="10" t="s">
        <v>81</v>
      </c>
      <c r="L11" s="10" t="s">
        <v>163</v>
      </c>
      <c r="M11" s="74">
        <v>45923.57708333333</v>
      </c>
      <c r="N11" s="74">
        <v>45924.452777777777</v>
      </c>
      <c r="O11" s="10"/>
      <c r="P11" s="10" t="s">
        <v>83</v>
      </c>
      <c r="Q11" s="10" t="s">
        <v>83</v>
      </c>
      <c r="R11" s="10" t="s">
        <v>107</v>
      </c>
      <c r="S11" s="10" t="s">
        <v>108</v>
      </c>
      <c r="T11" s="10" t="s">
        <v>96</v>
      </c>
      <c r="U11" s="10" t="s">
        <v>97</v>
      </c>
      <c r="V11" s="10" t="s">
        <v>164</v>
      </c>
      <c r="W11" s="10" t="s">
        <v>90</v>
      </c>
      <c r="X11" s="10" t="s">
        <v>165</v>
      </c>
      <c r="Y11" s="73" t="str">
        <f>VLOOKUP(D11,TIPOLOGIAS!A:F,6,0)</f>
        <v>TIPO IV</v>
      </c>
      <c r="Z11" s="73" t="str">
        <f>VLOOKUP(D11,TIPOLOGIAS!A:F,5,0)</f>
        <v>TERRESTRE</v>
      </c>
      <c r="AA11" s="10" t="s">
        <v>166</v>
      </c>
      <c r="AB11" s="75">
        <v>1</v>
      </c>
      <c r="AC11" s="76">
        <f>IF(AND(W11="SOPORTE_TELEFÓNICO",OR(U11="SIN CONTACTO CON EL CB",U11="NÚMEROS DE CONTACTO ERRADOS")),0,IF(W11="SOPORTE_TELEFÓNICO",'BASE DE LIQUIDACION 2025'!$B$9,IF(Y11="TIPO I",'BASE DE LIQUIDACION 2025'!$C$3,IF(Y11="TIPO II",'BASE DE LIQUIDACION 2025'!$C$4,IF(Y11="TIPO III",'BASE DE LIQUIDACION 2025'!$C$5,'BASE DE LIQUIDACION 2025'!$C$6)))))</f>
        <v>464809.36800000002</v>
      </c>
      <c r="AD11" s="76">
        <f>IF(W11="SOPORTE_TELEFÓNICO",AC11,CIERRES!AB11*CIERRES!AC11)</f>
        <v>464809.36800000002</v>
      </c>
    </row>
    <row r="12" spans="1:30" s="63" customFormat="1" ht="13.15">
      <c r="A12" s="10" t="s">
        <v>167</v>
      </c>
      <c r="B12" s="73" t="str">
        <f>VLOOKUP(A12,'CENTRO DE COSTOS'!A:D,4,FALSE)</f>
        <v>JOSE MAURICIO HERNANDEZ ROJAS</v>
      </c>
      <c r="C12" s="73" t="str">
        <f>VLOOKUP(A12,'CENTRO DE COSTOS'!A:C,2,FALSE)</f>
        <v>0004-0001</v>
      </c>
      <c r="D12" s="10">
        <v>20001</v>
      </c>
      <c r="E12" s="10" t="s">
        <v>168</v>
      </c>
      <c r="F12" s="10">
        <v>61190</v>
      </c>
      <c r="G12" s="10" t="s">
        <v>78</v>
      </c>
      <c r="H12" s="10" t="s">
        <v>169</v>
      </c>
      <c r="I12" s="10" t="s">
        <v>167</v>
      </c>
      <c r="J12" s="10" t="s">
        <v>170</v>
      </c>
      <c r="K12" s="10" t="s">
        <v>81</v>
      </c>
      <c r="L12" s="10" t="s">
        <v>171</v>
      </c>
      <c r="M12" s="74">
        <v>45931.673611111109</v>
      </c>
      <c r="N12" s="74">
        <v>45924.499305555553</v>
      </c>
      <c r="O12" s="10"/>
      <c r="P12" s="10" t="s">
        <v>83</v>
      </c>
      <c r="Q12" s="10" t="s">
        <v>83</v>
      </c>
      <c r="R12" s="10" t="s">
        <v>86</v>
      </c>
      <c r="S12" s="10" t="s">
        <v>86</v>
      </c>
      <c r="T12" s="10" t="s">
        <v>147</v>
      </c>
      <c r="U12" s="10" t="s">
        <v>148</v>
      </c>
      <c r="V12" s="10" t="s">
        <v>172</v>
      </c>
      <c r="W12" s="10" t="s">
        <v>90</v>
      </c>
      <c r="X12" s="10" t="s">
        <v>173</v>
      </c>
      <c r="Y12" s="73" t="str">
        <f>VLOOKUP(D12,TIPOLOGIAS!A:F,6,0)</f>
        <v>TIPO I</v>
      </c>
      <c r="Z12" s="73" t="str">
        <f>VLOOKUP(D12,TIPOLOGIAS!A:F,5,0)</f>
        <v>TERRESTRE</v>
      </c>
      <c r="AA12" s="10" t="s">
        <v>174</v>
      </c>
      <c r="AB12" s="75">
        <v>1</v>
      </c>
      <c r="AC12" s="76">
        <f>IF(AND(W12="SOPORTE_TELEFÓNICO",OR(U12="SIN CONTACTO CON EL CB",U12="NÚMEROS DE CONTACTO ERRADOS")),0,IF(W12="SOPORTE_TELEFÓNICO",'BASE DE LIQUIDACION 2025'!$B$9,IF(Y12="TIPO I",'BASE DE LIQUIDACION 2025'!$C$3,IF(Y12="TIPO II",'BASE DE LIQUIDACION 2025'!$C$4,IF(Y12="TIPO III",'BASE DE LIQUIDACION 2025'!$C$5,'BASE DE LIQUIDACION 2025'!$C$6)))))</f>
        <v>44559.563999999998</v>
      </c>
      <c r="AD12" s="76">
        <f>IF(W12="SOPORTE_TELEFÓNICO",AC12,CIERRES!AB12*CIERRES!AC12)</f>
        <v>44559.563999999998</v>
      </c>
    </row>
    <row r="13" spans="1:30" s="63" customFormat="1" ht="13.15">
      <c r="A13" s="10" t="s">
        <v>158</v>
      </c>
      <c r="B13" s="73" t="str">
        <f>VLOOKUP(A13,'CENTRO DE COSTOS'!A:D,4,FALSE)</f>
        <v>JUAN SEBASTIÁN RÍOS CASTRILLÓN</v>
      </c>
      <c r="C13" s="73" t="str">
        <f>VLOOKUP(A13,'CENTRO DE COSTOS'!A:C,2,FALSE)</f>
        <v>0004-0005</v>
      </c>
      <c r="D13" s="10">
        <v>5001</v>
      </c>
      <c r="E13" s="10" t="s">
        <v>175</v>
      </c>
      <c r="F13" s="10">
        <v>74661</v>
      </c>
      <c r="G13" s="10" t="s">
        <v>78</v>
      </c>
      <c r="H13" s="10" t="s">
        <v>160</v>
      </c>
      <c r="I13" s="10" t="s">
        <v>158</v>
      </c>
      <c r="J13" s="10" t="s">
        <v>176</v>
      </c>
      <c r="K13" s="10" t="s">
        <v>81</v>
      </c>
      <c r="L13" s="10" t="s">
        <v>177</v>
      </c>
      <c r="M13" s="74">
        <v>45922.677777777782</v>
      </c>
      <c r="N13" s="74">
        <v>45924.59097222222</v>
      </c>
      <c r="O13" s="10"/>
      <c r="P13" s="10" t="s">
        <v>83</v>
      </c>
      <c r="Q13" s="10" t="s">
        <v>83</v>
      </c>
      <c r="R13" s="10" t="s">
        <v>107</v>
      </c>
      <c r="S13" s="10" t="s">
        <v>108</v>
      </c>
      <c r="T13" s="10" t="s">
        <v>87</v>
      </c>
      <c r="U13" s="10" t="s">
        <v>88</v>
      </c>
      <c r="V13" s="10" t="s">
        <v>178</v>
      </c>
      <c r="W13" s="10" t="s">
        <v>90</v>
      </c>
      <c r="X13" s="10" t="s">
        <v>179</v>
      </c>
      <c r="Y13" s="73" t="str">
        <f>VLOOKUP(D13,TIPOLOGIAS!A:F,6,0)</f>
        <v>TIPO I</v>
      </c>
      <c r="Z13" s="73" t="str">
        <f>VLOOKUP(D13,TIPOLOGIAS!A:F,5,0)</f>
        <v>TERRESTRE</v>
      </c>
      <c r="AA13" s="10" t="s">
        <v>180</v>
      </c>
      <c r="AB13" s="75">
        <v>1</v>
      </c>
      <c r="AC13" s="76">
        <f>IF(AND(W13="SOPORTE_TELEFÓNICO",OR(U13="SIN CONTACTO CON EL CB",U13="NÚMEROS DE CONTACTO ERRADOS")),0,IF(W13="SOPORTE_TELEFÓNICO",'BASE DE LIQUIDACION 2025'!$B$9,IF(Y13="TIPO I",'BASE DE LIQUIDACION 2025'!$C$3,IF(Y13="TIPO II",'BASE DE LIQUIDACION 2025'!$C$4,IF(Y13="TIPO III",'BASE DE LIQUIDACION 2025'!$C$5,'BASE DE LIQUIDACION 2025'!$C$6)))))</f>
        <v>44559.563999999998</v>
      </c>
      <c r="AD13" s="76">
        <f>IF(W13="SOPORTE_TELEFÓNICO",AC13,CIERRES!AB13*CIERRES!AC13)</f>
        <v>44559.563999999998</v>
      </c>
    </row>
    <row r="14" spans="1:30" s="63" customFormat="1" ht="13.15">
      <c r="A14" s="10" t="s">
        <v>112</v>
      </c>
      <c r="B14" s="73" t="str">
        <f>VLOOKUP(A14,'CENTRO DE COSTOS'!A:D,4,FALSE)</f>
        <v>DIEGO FERNANDO HENAO CARDONA</v>
      </c>
      <c r="C14" s="73" t="str">
        <f>VLOOKUP(A14,'CENTRO DE COSTOS'!A:C,2,FALSE)</f>
        <v>0004-0003</v>
      </c>
      <c r="D14" s="10">
        <v>19110</v>
      </c>
      <c r="E14" s="10" t="s">
        <v>181</v>
      </c>
      <c r="F14" s="10">
        <v>70402</v>
      </c>
      <c r="G14" s="10" t="s">
        <v>78</v>
      </c>
      <c r="H14" s="10" t="s">
        <v>114</v>
      </c>
      <c r="I14" s="10" t="s">
        <v>182</v>
      </c>
      <c r="J14" s="10" t="s">
        <v>183</v>
      </c>
      <c r="K14" s="10" t="s">
        <v>81</v>
      </c>
      <c r="L14" s="10" t="s">
        <v>184</v>
      </c>
      <c r="M14" s="74">
        <v>45922.677777777782</v>
      </c>
      <c r="N14" s="74">
        <v>45927.452777777777</v>
      </c>
      <c r="O14" s="10"/>
      <c r="P14" s="10" t="s">
        <v>83</v>
      </c>
      <c r="Q14" s="10" t="s">
        <v>83</v>
      </c>
      <c r="R14" s="10" t="s">
        <v>107</v>
      </c>
      <c r="S14" s="10" t="s">
        <v>185</v>
      </c>
      <c r="T14" s="10" t="s">
        <v>96</v>
      </c>
      <c r="U14" s="10" t="s">
        <v>97</v>
      </c>
      <c r="V14" s="10" t="s">
        <v>186</v>
      </c>
      <c r="W14" s="10" t="s">
        <v>134</v>
      </c>
      <c r="X14" s="10" t="s">
        <v>91</v>
      </c>
      <c r="Y14" s="73" t="str">
        <f>VLOOKUP(D14,TIPOLOGIAS!A:F,6,0)</f>
        <v>TIPO II</v>
      </c>
      <c r="Z14" s="73" t="str">
        <f>VLOOKUP(D14,TIPOLOGIAS!A:F,5,0)</f>
        <v>TERRESTRE</v>
      </c>
      <c r="AA14" s="10" t="s">
        <v>187</v>
      </c>
      <c r="AB14" s="77">
        <v>0</v>
      </c>
      <c r="AC14" s="76">
        <f>IF(AND(W14="SOPORTE_TELEFÓNICO",OR(U14="SIN CONTACTO CON EL CB",U14="NÚMEROS DE CONTACTO ERRADOS")),0,IF(W14="SOPORTE_TELEFÓNICO",'BASE DE LIQUIDACION 2025'!$B$9,IF(Y14="TIPO I",'BASE DE LIQUIDACION 2025'!$C$3,IF(Y14="TIPO II",'BASE DE LIQUIDACION 2025'!$C$4,IF(Y14="TIPO III",'BASE DE LIQUIDACION 2025'!$C$5,'BASE DE LIQUIDACION 2025'!$C$6)))))</f>
        <v>37904.612000000001</v>
      </c>
      <c r="AD14" s="76">
        <f>IF(W14="SOPORTE_TELEFÓNICO",AC14,CIERRES!AB14*CIERRES!AC14)</f>
        <v>37904.612000000001</v>
      </c>
    </row>
    <row r="15" spans="1:30" s="63" customFormat="1" ht="13.15">
      <c r="A15" s="10" t="s">
        <v>188</v>
      </c>
      <c r="B15" s="73" t="str">
        <f>VLOOKUP(A15,'CENTRO DE COSTOS'!A:D,4,FALSE)</f>
        <v>MIGUEL JULIÁN HERNÁNDEZ GUARÍN</v>
      </c>
      <c r="C15" s="73" t="str">
        <f>VLOOKUP(A15,'CENTRO DE COSTOS'!A:C,2,FALSE)</f>
        <v>0004-0008</v>
      </c>
      <c r="D15" s="10">
        <v>68276</v>
      </c>
      <c r="E15" s="10" t="s">
        <v>189</v>
      </c>
      <c r="F15" s="10">
        <v>77854</v>
      </c>
      <c r="G15" s="10" t="s">
        <v>78</v>
      </c>
      <c r="H15" s="10" t="s">
        <v>190</v>
      </c>
      <c r="I15" s="10" t="s">
        <v>191</v>
      </c>
      <c r="J15" s="10" t="s">
        <v>192</v>
      </c>
      <c r="K15" s="10" t="s">
        <v>81</v>
      </c>
      <c r="L15" s="10" t="s">
        <v>193</v>
      </c>
      <c r="M15" s="74">
        <v>45922.677777777782</v>
      </c>
      <c r="N15" s="74">
        <v>45923.556250000001</v>
      </c>
      <c r="O15" s="10"/>
      <c r="P15" s="10" t="s">
        <v>83</v>
      </c>
      <c r="Q15" s="10" t="s">
        <v>83</v>
      </c>
      <c r="R15" s="10" t="s">
        <v>107</v>
      </c>
      <c r="S15" s="10" t="s">
        <v>108</v>
      </c>
      <c r="T15" s="10" t="s">
        <v>87</v>
      </c>
      <c r="U15" s="10" t="s">
        <v>88</v>
      </c>
      <c r="V15" s="10" t="s">
        <v>194</v>
      </c>
      <c r="W15" s="10" t="s">
        <v>90</v>
      </c>
      <c r="X15" s="10" t="s">
        <v>195</v>
      </c>
      <c r="Y15" s="73" t="str">
        <f>VLOOKUP(D15,TIPOLOGIAS!A:F,6,0)</f>
        <v>TIPO I</v>
      </c>
      <c r="Z15" s="73" t="str">
        <f>VLOOKUP(D15,TIPOLOGIAS!A:F,5,0)</f>
        <v>TERRESTRE</v>
      </c>
      <c r="AA15" s="10" t="s">
        <v>196</v>
      </c>
      <c r="AB15" s="75">
        <v>1</v>
      </c>
      <c r="AC15" s="76">
        <f>IF(AND(W15="SOPORTE_TELEFÓNICO",OR(U15="SIN CONTACTO CON EL CB",U15="NÚMEROS DE CONTACTO ERRADOS")),0,IF(W15="SOPORTE_TELEFÓNICO",'BASE DE LIQUIDACION 2025'!$B$9,IF(Y15="TIPO I",'BASE DE LIQUIDACION 2025'!$C$3,IF(Y15="TIPO II",'BASE DE LIQUIDACION 2025'!$C$4,IF(Y15="TIPO III",'BASE DE LIQUIDACION 2025'!$C$5,'BASE DE LIQUIDACION 2025'!$C$6)))))</f>
        <v>44559.563999999998</v>
      </c>
      <c r="AD15" s="76">
        <f>IF(W15="SOPORTE_TELEFÓNICO",AC15,CIERRES!AB15*CIERRES!AC15)</f>
        <v>44559.563999999998</v>
      </c>
    </row>
    <row r="16" spans="1:30" s="63" customFormat="1" ht="13.15">
      <c r="A16" s="10" t="s">
        <v>158</v>
      </c>
      <c r="B16" s="73" t="str">
        <f>VLOOKUP(A16,'CENTRO DE COSTOS'!A:D,4,FALSE)</f>
        <v>JUAN SEBASTIÁN RÍOS CASTRILLÓN</v>
      </c>
      <c r="C16" s="73" t="str">
        <f>VLOOKUP(A16,'CENTRO DE COSTOS'!A:C,2,FALSE)</f>
        <v>0004-0005</v>
      </c>
      <c r="D16" s="10">
        <v>5353</v>
      </c>
      <c r="E16" s="10" t="s">
        <v>197</v>
      </c>
      <c r="F16" s="10">
        <v>68957</v>
      </c>
      <c r="G16" s="10" t="s">
        <v>78</v>
      </c>
      <c r="H16" s="10" t="s">
        <v>160</v>
      </c>
      <c r="I16" s="10" t="s">
        <v>198</v>
      </c>
      <c r="J16" s="10" t="s">
        <v>199</v>
      </c>
      <c r="K16" s="10" t="s">
        <v>81</v>
      </c>
      <c r="L16" s="10" t="s">
        <v>200</v>
      </c>
      <c r="M16" s="74">
        <v>45931.672222222223</v>
      </c>
      <c r="N16" s="74">
        <v>45929.511111111111</v>
      </c>
      <c r="O16" s="10"/>
      <c r="P16" s="10" t="s">
        <v>83</v>
      </c>
      <c r="Q16" s="10" t="s">
        <v>83</v>
      </c>
      <c r="R16" s="10" t="s">
        <v>85</v>
      </c>
      <c r="S16" s="10" t="s">
        <v>86</v>
      </c>
      <c r="T16" s="10" t="s">
        <v>87</v>
      </c>
      <c r="U16" s="10" t="s">
        <v>88</v>
      </c>
      <c r="V16" s="10" t="s">
        <v>201</v>
      </c>
      <c r="W16" s="10" t="s">
        <v>90</v>
      </c>
      <c r="X16" s="10" t="s">
        <v>91</v>
      </c>
      <c r="Y16" s="73" t="str">
        <f>VLOOKUP(D16,TIPOLOGIAS!A:F,6,0)</f>
        <v>TIPO III</v>
      </c>
      <c r="Z16" s="73" t="str">
        <f>VLOOKUP(D16,TIPOLOGIAS!A:F,5,0)</f>
        <v>TERRESTRE</v>
      </c>
      <c r="AA16" s="10" t="s">
        <v>202</v>
      </c>
      <c r="AB16" s="75">
        <v>1</v>
      </c>
      <c r="AC16" s="76">
        <f>IF(AND(W16="SOPORTE_TELEFÓNICO",OR(U16="SIN CONTACTO CON EL CB",U16="NÚMEROS DE CONTACTO ERRADOS")),0,IF(W16="SOPORTE_TELEFÓNICO",'BASE DE LIQUIDACION 2025'!$B$9,IF(Y16="TIPO I",'BASE DE LIQUIDACION 2025'!$C$3,IF(Y16="TIPO II",'BASE DE LIQUIDACION 2025'!$C$4,IF(Y16="TIPO III",'BASE DE LIQUIDACION 2025'!$C$5,'BASE DE LIQUIDACION 2025'!$C$6)))))</f>
        <v>222904.07200000001</v>
      </c>
      <c r="AD16" s="76">
        <f>IF(W16="SOPORTE_TELEFÓNICO",AC16,CIERRES!AB16*CIERRES!AC16)</f>
        <v>222904.07200000001</v>
      </c>
    </row>
    <row r="17" spans="1:30" s="63" customFormat="1" ht="13.15">
      <c r="A17" s="10" t="s">
        <v>76</v>
      </c>
      <c r="B17" s="73" t="str">
        <f>VLOOKUP(A17,'CENTRO DE COSTOS'!A:D,4,FALSE)</f>
        <v>WILLIAM ASDRUBAL ROZO ROZO</v>
      </c>
      <c r="C17" s="73" t="str">
        <f>VLOOKUP(A17,'CENTRO DE COSTOS'!A:C,2,FALSE)</f>
        <v>0004-0004</v>
      </c>
      <c r="D17" s="10">
        <v>25473</v>
      </c>
      <c r="E17" s="10" t="s">
        <v>203</v>
      </c>
      <c r="F17" s="10">
        <v>69890</v>
      </c>
      <c r="G17" s="10" t="s">
        <v>78</v>
      </c>
      <c r="H17" s="10" t="s">
        <v>79</v>
      </c>
      <c r="I17" s="10" t="s">
        <v>204</v>
      </c>
      <c r="J17" s="10" t="s">
        <v>205</v>
      </c>
      <c r="K17" s="10" t="s">
        <v>81</v>
      </c>
      <c r="L17" s="10" t="s">
        <v>206</v>
      </c>
      <c r="M17" s="74">
        <v>45919.68472222222</v>
      </c>
      <c r="N17" s="74">
        <v>45924.65902777778</v>
      </c>
      <c r="O17" s="10"/>
      <c r="P17" s="10" t="s">
        <v>83</v>
      </c>
      <c r="Q17" s="10" t="s">
        <v>83</v>
      </c>
      <c r="R17" s="10" t="s">
        <v>85</v>
      </c>
      <c r="S17" s="10" t="s">
        <v>86</v>
      </c>
      <c r="T17" s="10" t="s">
        <v>87</v>
      </c>
      <c r="U17" s="10" t="s">
        <v>88</v>
      </c>
      <c r="V17" s="10" t="s">
        <v>207</v>
      </c>
      <c r="W17" s="10" t="s">
        <v>90</v>
      </c>
      <c r="X17" s="10" t="s">
        <v>208</v>
      </c>
      <c r="Y17" s="73" t="str">
        <f>VLOOKUP(D17,TIPOLOGIAS!A:F,6,0)</f>
        <v>TIPO I</v>
      </c>
      <c r="Z17" s="73" t="str">
        <f>VLOOKUP(D17,TIPOLOGIAS!A:F,5,0)</f>
        <v>TERRESTRE</v>
      </c>
      <c r="AA17" s="10" t="s">
        <v>209</v>
      </c>
      <c r="AB17" s="75">
        <v>2</v>
      </c>
      <c r="AC17" s="76">
        <f>IF(AND(W17="SOPORTE_TELEFÓNICO",OR(U17="SIN CONTACTO CON EL CB",U17="NÚMEROS DE CONTACTO ERRADOS")),0,IF(W17="SOPORTE_TELEFÓNICO",'BASE DE LIQUIDACION 2025'!$B$9,IF(Y17="TIPO I",'BASE DE LIQUIDACION 2025'!$C$3,IF(Y17="TIPO II",'BASE DE LIQUIDACION 2025'!$C$4,IF(Y17="TIPO III",'BASE DE LIQUIDACION 2025'!$C$5,'BASE DE LIQUIDACION 2025'!$C$6)))))</f>
        <v>44559.563999999998</v>
      </c>
      <c r="AD17" s="76">
        <f>IF(W17="SOPORTE_TELEFÓNICO",AC17,CIERRES!AB17*CIERRES!AC17)</f>
        <v>89119.127999999997</v>
      </c>
    </row>
    <row r="18" spans="1:30" s="63" customFormat="1" ht="13.15">
      <c r="A18" s="10" t="s">
        <v>210</v>
      </c>
      <c r="B18" s="73" t="str">
        <f>VLOOKUP(A18,'CENTRO DE COSTOS'!A:D,4,FALSE)</f>
        <v>JOSE MAURICIO HERNANDEZ ROJAS</v>
      </c>
      <c r="C18" s="73" t="str">
        <f>VLOOKUP(A18,'CENTRO DE COSTOS'!A:C,2,FALSE)</f>
        <v>0004-0001</v>
      </c>
      <c r="D18" s="10">
        <v>47001</v>
      </c>
      <c r="E18" s="10" t="s">
        <v>211</v>
      </c>
      <c r="F18" s="10">
        <v>66305</v>
      </c>
      <c r="G18" s="10" t="s">
        <v>78</v>
      </c>
      <c r="H18" s="10" t="s">
        <v>212</v>
      </c>
      <c r="I18" s="10" t="s">
        <v>210</v>
      </c>
      <c r="J18" s="10" t="s">
        <v>213</v>
      </c>
      <c r="K18" s="10" t="s">
        <v>81</v>
      </c>
      <c r="L18" s="10" t="s">
        <v>214</v>
      </c>
      <c r="M18" s="74">
        <v>45919.68472222222</v>
      </c>
      <c r="N18" s="74">
        <v>45922.68472222222</v>
      </c>
      <c r="O18" s="10"/>
      <c r="P18" s="10" t="s">
        <v>83</v>
      </c>
      <c r="Q18" s="10" t="s">
        <v>83</v>
      </c>
      <c r="R18" s="10" t="s">
        <v>85</v>
      </c>
      <c r="S18" s="10" t="s">
        <v>86</v>
      </c>
      <c r="T18" s="10" t="s">
        <v>96</v>
      </c>
      <c r="U18" s="10" t="s">
        <v>97</v>
      </c>
      <c r="V18" s="10" t="s">
        <v>215</v>
      </c>
      <c r="W18" s="10" t="s">
        <v>90</v>
      </c>
      <c r="X18" s="10" t="s">
        <v>216</v>
      </c>
      <c r="Y18" s="73" t="str">
        <f>VLOOKUP(D18,TIPOLOGIAS!A:F,6,0)</f>
        <v>TIPO I</v>
      </c>
      <c r="Z18" s="73" t="str">
        <f>VLOOKUP(D18,TIPOLOGIAS!A:F,5,0)</f>
        <v>TERRESTRE</v>
      </c>
      <c r="AA18" s="10" t="s">
        <v>217</v>
      </c>
      <c r="AB18" s="75">
        <v>1</v>
      </c>
      <c r="AC18" s="76">
        <f>IF(AND(W18="SOPORTE_TELEFÓNICO",OR(U18="SIN CONTACTO CON EL CB",U18="NÚMEROS DE CONTACTO ERRADOS")),0,IF(W18="SOPORTE_TELEFÓNICO",'BASE DE LIQUIDACION 2025'!$B$9,IF(Y18="TIPO I",'BASE DE LIQUIDACION 2025'!$C$3,IF(Y18="TIPO II",'BASE DE LIQUIDACION 2025'!$C$4,IF(Y18="TIPO III",'BASE DE LIQUIDACION 2025'!$C$5,'BASE DE LIQUIDACION 2025'!$C$6)))))</f>
        <v>44559.563999999998</v>
      </c>
      <c r="AD18" s="76">
        <f>IF(W18="SOPORTE_TELEFÓNICO",AC18,CIERRES!AB18*CIERRES!AC18)</f>
        <v>44559.563999999998</v>
      </c>
    </row>
    <row r="19" spans="1:30" s="63" customFormat="1" ht="13.15">
      <c r="A19" s="10" t="s">
        <v>188</v>
      </c>
      <c r="B19" s="73" t="str">
        <f>VLOOKUP(A19,'CENTRO DE COSTOS'!A:D,4,FALSE)</f>
        <v>MIGUEL JULIÁN HERNÁNDEZ GUARÍN</v>
      </c>
      <c r="C19" s="73" t="str">
        <f>VLOOKUP(A19,'CENTRO DE COSTOS'!A:C,2,FALSE)</f>
        <v>0004-0008</v>
      </c>
      <c r="D19" s="10">
        <v>68001</v>
      </c>
      <c r="E19" s="10" t="s">
        <v>218</v>
      </c>
      <c r="F19" s="10">
        <v>76883</v>
      </c>
      <c r="G19" s="10" t="s">
        <v>78</v>
      </c>
      <c r="H19" s="10" t="s">
        <v>190</v>
      </c>
      <c r="I19" s="10" t="s">
        <v>188</v>
      </c>
      <c r="J19" s="10" t="s">
        <v>219</v>
      </c>
      <c r="K19" s="10" t="s">
        <v>81</v>
      </c>
      <c r="L19" s="10" t="s">
        <v>220</v>
      </c>
      <c r="M19" s="74">
        <v>45919.68472222222</v>
      </c>
      <c r="N19" s="74">
        <v>45922.506944444453</v>
      </c>
      <c r="O19" s="10"/>
      <c r="P19" s="10" t="s">
        <v>83</v>
      </c>
      <c r="Q19" s="10" t="s">
        <v>83</v>
      </c>
      <c r="R19" s="10" t="s">
        <v>86</v>
      </c>
      <c r="S19" s="10" t="s">
        <v>86</v>
      </c>
      <c r="T19" s="10" t="s">
        <v>147</v>
      </c>
      <c r="U19" s="10" t="s">
        <v>148</v>
      </c>
      <c r="V19" s="10" t="s">
        <v>221</v>
      </c>
      <c r="W19" s="10" t="s">
        <v>90</v>
      </c>
      <c r="X19" s="10" t="s">
        <v>222</v>
      </c>
      <c r="Y19" s="73" t="str">
        <f>VLOOKUP(D19,TIPOLOGIAS!A:F,6,0)</f>
        <v>TIPO I</v>
      </c>
      <c r="Z19" s="73" t="str">
        <f>VLOOKUP(D19,TIPOLOGIAS!A:F,5,0)</f>
        <v>TERRESTRE</v>
      </c>
      <c r="AA19" s="10" t="s">
        <v>223</v>
      </c>
      <c r="AB19" s="75">
        <v>1</v>
      </c>
      <c r="AC19" s="76">
        <f>IF(AND(W19="SOPORTE_TELEFÓNICO",OR(U19="SIN CONTACTO CON EL CB",U19="NÚMEROS DE CONTACTO ERRADOS")),0,IF(W19="SOPORTE_TELEFÓNICO",'BASE DE LIQUIDACION 2025'!$B$9,IF(Y19="TIPO I",'BASE DE LIQUIDACION 2025'!$C$3,IF(Y19="TIPO II",'BASE DE LIQUIDACION 2025'!$C$4,IF(Y19="TIPO III",'BASE DE LIQUIDACION 2025'!$C$5,'BASE DE LIQUIDACION 2025'!$C$6)))))</f>
        <v>44559.563999999998</v>
      </c>
      <c r="AD19" s="76">
        <f>IF(W19="SOPORTE_TELEFÓNICO",AC19,CIERRES!AB19*CIERRES!AC19)</f>
        <v>44559.563999999998</v>
      </c>
    </row>
    <row r="20" spans="1:30" s="63" customFormat="1" ht="13.15">
      <c r="A20" s="10" t="s">
        <v>112</v>
      </c>
      <c r="B20" s="73" t="str">
        <f>VLOOKUP(A20,'CENTRO DE COSTOS'!A:D,4,FALSE)</f>
        <v>DIEGO FERNANDO HENAO CARDONA</v>
      </c>
      <c r="C20" s="73" t="str">
        <f>VLOOKUP(A20,'CENTRO DE COSTOS'!A:C,2,FALSE)</f>
        <v>0004-0003</v>
      </c>
      <c r="D20" s="10">
        <v>76001</v>
      </c>
      <c r="E20" s="10" t="s">
        <v>224</v>
      </c>
      <c r="F20" s="10">
        <v>33653</v>
      </c>
      <c r="G20" s="10" t="s">
        <v>78</v>
      </c>
      <c r="H20" s="10" t="s">
        <v>143</v>
      </c>
      <c r="I20" s="10" t="s">
        <v>112</v>
      </c>
      <c r="J20" s="10" t="s">
        <v>225</v>
      </c>
      <c r="K20" s="10" t="s">
        <v>81</v>
      </c>
      <c r="L20" s="10" t="s">
        <v>226</v>
      </c>
      <c r="M20" s="74">
        <v>45919.68472222222</v>
      </c>
      <c r="N20" s="74">
        <v>45924.500694444447</v>
      </c>
      <c r="O20" s="10"/>
      <c r="P20" s="10" t="s">
        <v>83</v>
      </c>
      <c r="Q20" s="10" t="s">
        <v>83</v>
      </c>
      <c r="R20" s="10" t="s">
        <v>86</v>
      </c>
      <c r="S20" s="10" t="s">
        <v>86</v>
      </c>
      <c r="T20" s="10" t="s">
        <v>147</v>
      </c>
      <c r="U20" s="10" t="s">
        <v>227</v>
      </c>
      <c r="V20" s="10" t="s">
        <v>228</v>
      </c>
      <c r="W20" s="10" t="s">
        <v>90</v>
      </c>
      <c r="X20" s="10" t="s">
        <v>229</v>
      </c>
      <c r="Y20" s="73" t="str">
        <f>VLOOKUP(D20,TIPOLOGIAS!A:F,6,0)</f>
        <v>TIPO I</v>
      </c>
      <c r="Z20" s="73" t="str">
        <f>VLOOKUP(D20,TIPOLOGIAS!A:F,5,0)</f>
        <v>TERRESTRE</v>
      </c>
      <c r="AA20" s="10" t="s">
        <v>187</v>
      </c>
      <c r="AB20" s="75">
        <v>1</v>
      </c>
      <c r="AC20" s="76">
        <f>IF(AND(W20="SOPORTE_TELEFÓNICO",OR(U20="SIN CONTACTO CON EL CB",U20="NÚMEROS DE CONTACTO ERRADOS")),0,IF(W20="SOPORTE_TELEFÓNICO",'BASE DE LIQUIDACION 2025'!$B$9,IF(Y20="TIPO I",'BASE DE LIQUIDACION 2025'!$C$3,IF(Y20="TIPO II",'BASE DE LIQUIDACION 2025'!$C$4,IF(Y20="TIPO III",'BASE DE LIQUIDACION 2025'!$C$5,'BASE DE LIQUIDACION 2025'!$C$6)))))</f>
        <v>44559.563999999998</v>
      </c>
      <c r="AD20" s="76">
        <f>IF(W20="SOPORTE_TELEFÓNICO",AC20,CIERRES!AB20*CIERRES!AC20)</f>
        <v>44559.563999999998</v>
      </c>
    </row>
    <row r="21" spans="1:30" s="63" customFormat="1" ht="13.15">
      <c r="A21" s="10" t="s">
        <v>112</v>
      </c>
      <c r="B21" s="73" t="str">
        <f>VLOOKUP(A21,'CENTRO DE COSTOS'!A:D,4,FALSE)</f>
        <v>DIEGO FERNANDO HENAO CARDONA</v>
      </c>
      <c r="C21" s="73" t="str">
        <f>VLOOKUP(A21,'CENTRO DE COSTOS'!A:C,2,FALSE)</f>
        <v>0004-0003</v>
      </c>
      <c r="D21" s="10">
        <v>76001</v>
      </c>
      <c r="E21" s="10" t="s">
        <v>230</v>
      </c>
      <c r="F21" s="10">
        <v>75113</v>
      </c>
      <c r="G21" s="10" t="s">
        <v>78</v>
      </c>
      <c r="H21" s="10" t="s">
        <v>143</v>
      </c>
      <c r="I21" s="10" t="s">
        <v>112</v>
      </c>
      <c r="J21" s="10" t="s">
        <v>231</v>
      </c>
      <c r="K21" s="10" t="s">
        <v>81</v>
      </c>
      <c r="L21" s="10" t="s">
        <v>232</v>
      </c>
      <c r="M21" s="74">
        <v>45919.68472222222</v>
      </c>
      <c r="N21" s="74">
        <v>45920.505555555559</v>
      </c>
      <c r="O21" s="10"/>
      <c r="P21" s="10" t="s">
        <v>83</v>
      </c>
      <c r="Q21" s="10" t="s">
        <v>83</v>
      </c>
      <c r="R21" s="10" t="s">
        <v>85</v>
      </c>
      <c r="S21" s="10" t="s">
        <v>85</v>
      </c>
      <c r="T21" s="10" t="s">
        <v>96</v>
      </c>
      <c r="U21" s="10" t="s">
        <v>97</v>
      </c>
      <c r="V21" s="10" t="s">
        <v>233</v>
      </c>
      <c r="W21" s="10" t="s">
        <v>90</v>
      </c>
      <c r="X21" s="10" t="s">
        <v>234</v>
      </c>
      <c r="Y21" s="73" t="str">
        <f>VLOOKUP(D21,TIPOLOGIAS!A:F,6,0)</f>
        <v>TIPO I</v>
      </c>
      <c r="Z21" s="73" t="str">
        <f>VLOOKUP(D21,TIPOLOGIAS!A:F,5,0)</f>
        <v>TERRESTRE</v>
      </c>
      <c r="AA21" s="10" t="s">
        <v>187</v>
      </c>
      <c r="AB21" s="75">
        <v>1</v>
      </c>
      <c r="AC21" s="76">
        <f>IF(AND(W21="SOPORTE_TELEFÓNICO",OR(U21="SIN CONTACTO CON EL CB",U21="NÚMEROS DE CONTACTO ERRADOS")),0,IF(W21="SOPORTE_TELEFÓNICO",'BASE DE LIQUIDACION 2025'!$B$9,IF(Y21="TIPO I",'BASE DE LIQUIDACION 2025'!$C$3,IF(Y21="TIPO II",'BASE DE LIQUIDACION 2025'!$C$4,IF(Y21="TIPO III",'BASE DE LIQUIDACION 2025'!$C$5,'BASE DE LIQUIDACION 2025'!$C$6)))))</f>
        <v>44559.563999999998</v>
      </c>
      <c r="AD21" s="76">
        <f>IF(W21="SOPORTE_TELEFÓNICO",AC21,CIERRES!AB21*CIERRES!AC21)</f>
        <v>44559.563999999998</v>
      </c>
    </row>
    <row r="22" spans="1:30" s="63" customFormat="1" ht="13.15">
      <c r="A22" s="10" t="s">
        <v>235</v>
      </c>
      <c r="B22" s="73" t="str">
        <f>VLOOKUP(A22,'CENTRO DE COSTOS'!A:D,4,FALSE)</f>
        <v>DIEGO FERNANDO HENAO CARDONA</v>
      </c>
      <c r="C22" s="73" t="str">
        <f>VLOOKUP(A22,'CENTRO DE COSTOS'!A:C,2,FALSE)</f>
        <v>0004-0003</v>
      </c>
      <c r="D22" s="10">
        <v>86320</v>
      </c>
      <c r="E22" s="10" t="s">
        <v>236</v>
      </c>
      <c r="F22" s="10">
        <v>70954</v>
      </c>
      <c r="G22" s="10" t="s">
        <v>78</v>
      </c>
      <c r="H22" s="10" t="s">
        <v>237</v>
      </c>
      <c r="I22" s="10" t="s">
        <v>238</v>
      </c>
      <c r="J22" s="10" t="s">
        <v>239</v>
      </c>
      <c r="K22" s="10" t="s">
        <v>81</v>
      </c>
      <c r="L22" s="10" t="s">
        <v>240</v>
      </c>
      <c r="M22" s="74">
        <v>45919.68472222222</v>
      </c>
      <c r="N22" s="74">
        <v>45926.647222222222</v>
      </c>
      <c r="O22" s="10"/>
      <c r="P22" s="10" t="s">
        <v>83</v>
      </c>
      <c r="Q22" s="10" t="s">
        <v>83</v>
      </c>
      <c r="R22" s="10" t="s">
        <v>85</v>
      </c>
      <c r="S22" s="10" t="s">
        <v>85</v>
      </c>
      <c r="T22" s="10" t="s">
        <v>96</v>
      </c>
      <c r="U22" s="10" t="s">
        <v>97</v>
      </c>
      <c r="V22" s="10" t="s">
        <v>241</v>
      </c>
      <c r="W22" s="10" t="s">
        <v>134</v>
      </c>
      <c r="X22" s="10" t="s">
        <v>91</v>
      </c>
      <c r="Y22" s="73" t="str">
        <f>VLOOKUP(D22,TIPOLOGIAS!A:F,6,0)</f>
        <v>TIPO IV</v>
      </c>
      <c r="Z22" s="73" t="str">
        <f>VLOOKUP(D22,TIPOLOGIAS!A:F,5,0)</f>
        <v>TERRESTRE</v>
      </c>
      <c r="AA22" s="10" t="s">
        <v>242</v>
      </c>
      <c r="AB22" s="77">
        <v>0</v>
      </c>
      <c r="AC22" s="76">
        <f>IF(AND(W22="SOPORTE_TELEFÓNICO",OR(U22="SIN CONTACTO CON EL CB",U22="NÚMEROS DE CONTACTO ERRADOS")),0,IF(W22="SOPORTE_TELEFÓNICO",'BASE DE LIQUIDACION 2025'!$B$9,IF(Y22="TIPO I",'BASE DE LIQUIDACION 2025'!$C$3,IF(Y22="TIPO II",'BASE DE LIQUIDACION 2025'!$C$4,IF(Y22="TIPO III",'BASE DE LIQUIDACION 2025'!$C$5,'BASE DE LIQUIDACION 2025'!$C$6)))))</f>
        <v>37904.612000000001</v>
      </c>
      <c r="AD22" s="76">
        <f>IF(W22="SOPORTE_TELEFÓNICO",AC22,CIERRES!AB22*CIERRES!AC22)</f>
        <v>37904.612000000001</v>
      </c>
    </row>
    <row r="23" spans="1:30" s="63" customFormat="1" ht="13.15">
      <c r="A23" s="10" t="s">
        <v>76</v>
      </c>
      <c r="B23" s="73" t="str">
        <f>VLOOKUP(A23,'CENTRO DE COSTOS'!A:D,4,FALSE)</f>
        <v>WILLIAM ASDRUBAL ROZO ROZO</v>
      </c>
      <c r="C23" s="73" t="str">
        <f>VLOOKUP(A23,'CENTRO DE COSTOS'!A:C,2,FALSE)</f>
        <v>0004-0004</v>
      </c>
      <c r="D23" s="10">
        <v>11001</v>
      </c>
      <c r="E23" s="10" t="s">
        <v>243</v>
      </c>
      <c r="F23" s="10">
        <v>43355</v>
      </c>
      <c r="G23" s="10" t="s">
        <v>78</v>
      </c>
      <c r="H23" s="10" t="s">
        <v>79</v>
      </c>
      <c r="I23" s="10" t="s">
        <v>76</v>
      </c>
      <c r="J23" s="10" t="s">
        <v>244</v>
      </c>
      <c r="K23" s="10" t="s">
        <v>81</v>
      </c>
      <c r="L23" s="10" t="s">
        <v>245</v>
      </c>
      <c r="M23" s="74">
        <v>45919.68472222222</v>
      </c>
      <c r="N23" s="74">
        <v>45920.57916666667</v>
      </c>
      <c r="O23" s="10"/>
      <c r="P23" s="10" t="s">
        <v>83</v>
      </c>
      <c r="Q23" s="10" t="s">
        <v>83</v>
      </c>
      <c r="R23" s="10" t="s">
        <v>86</v>
      </c>
      <c r="S23" s="10" t="s">
        <v>86</v>
      </c>
      <c r="T23" s="10" t="s">
        <v>96</v>
      </c>
      <c r="U23" s="10" t="s">
        <v>97</v>
      </c>
      <c r="V23" s="10" t="s">
        <v>246</v>
      </c>
      <c r="W23" s="10" t="s">
        <v>90</v>
      </c>
      <c r="X23" s="10" t="s">
        <v>247</v>
      </c>
      <c r="Y23" s="73" t="str">
        <f>VLOOKUP(D23,TIPOLOGIAS!A:F,6,0)</f>
        <v>TIPO I</v>
      </c>
      <c r="Z23" s="73" t="str">
        <f>VLOOKUP(D23,TIPOLOGIAS!A:F,5,0)</f>
        <v>TERRESTRE</v>
      </c>
      <c r="AA23" s="10" t="s">
        <v>248</v>
      </c>
      <c r="AB23" s="75">
        <v>1</v>
      </c>
      <c r="AC23" s="76">
        <f>IF(AND(W23="SOPORTE_TELEFÓNICO",OR(U23="SIN CONTACTO CON EL CB",U23="NÚMEROS DE CONTACTO ERRADOS")),0,IF(W23="SOPORTE_TELEFÓNICO",'BASE DE LIQUIDACION 2025'!$B$9,IF(Y23="TIPO I",'BASE DE LIQUIDACION 2025'!$C$3,IF(Y23="TIPO II",'BASE DE LIQUIDACION 2025'!$C$4,IF(Y23="TIPO III",'BASE DE LIQUIDACION 2025'!$C$5,'BASE DE LIQUIDACION 2025'!$C$6)))))</f>
        <v>44559.563999999998</v>
      </c>
      <c r="AD23" s="76">
        <f>IF(W23="SOPORTE_TELEFÓNICO",AC23,CIERRES!AB23*CIERRES!AC23)</f>
        <v>44559.563999999998</v>
      </c>
    </row>
    <row r="24" spans="1:30" s="63" customFormat="1" ht="13.15">
      <c r="A24" s="10" t="s">
        <v>76</v>
      </c>
      <c r="B24" s="73" t="str">
        <f>VLOOKUP(A24,'CENTRO DE COSTOS'!A:D,4,FALSE)</f>
        <v>WILLIAM ASDRUBAL ROZO ROZO</v>
      </c>
      <c r="C24" s="73" t="str">
        <f>VLOOKUP(A24,'CENTRO DE COSTOS'!A:C,2,FALSE)</f>
        <v>0004-0004</v>
      </c>
      <c r="D24" s="10">
        <v>11001</v>
      </c>
      <c r="E24" s="10" t="s">
        <v>249</v>
      </c>
      <c r="F24" s="10">
        <v>74824</v>
      </c>
      <c r="G24" s="10" t="s">
        <v>78</v>
      </c>
      <c r="H24" s="10" t="s">
        <v>79</v>
      </c>
      <c r="I24" s="10" t="s">
        <v>76</v>
      </c>
      <c r="J24" s="10" t="s">
        <v>250</v>
      </c>
      <c r="K24" s="10" t="s">
        <v>81</v>
      </c>
      <c r="L24" s="10" t="s">
        <v>251</v>
      </c>
      <c r="M24" s="74">
        <v>45919.68472222222</v>
      </c>
      <c r="N24" s="74">
        <v>45920.50277777778</v>
      </c>
      <c r="O24" s="10"/>
      <c r="P24" s="10" t="s">
        <v>83</v>
      </c>
      <c r="Q24" s="10" t="s">
        <v>83</v>
      </c>
      <c r="R24" s="10" t="s">
        <v>86</v>
      </c>
      <c r="S24" s="10" t="s">
        <v>86</v>
      </c>
      <c r="T24" s="10" t="s">
        <v>87</v>
      </c>
      <c r="U24" s="10" t="s">
        <v>88</v>
      </c>
      <c r="V24" s="10" t="s">
        <v>252</v>
      </c>
      <c r="W24" s="10" t="s">
        <v>90</v>
      </c>
      <c r="X24" s="10" t="s">
        <v>91</v>
      </c>
      <c r="Y24" s="73" t="str">
        <f>VLOOKUP(D24,TIPOLOGIAS!A:F,6,0)</f>
        <v>TIPO I</v>
      </c>
      <c r="Z24" s="73" t="str">
        <f>VLOOKUP(D24,TIPOLOGIAS!A:F,5,0)</f>
        <v>TERRESTRE</v>
      </c>
      <c r="AA24" s="10" t="s">
        <v>253</v>
      </c>
      <c r="AB24" s="75">
        <v>1</v>
      </c>
      <c r="AC24" s="76">
        <f>IF(AND(W24="SOPORTE_TELEFÓNICO",OR(U24="SIN CONTACTO CON EL CB",U24="NÚMEROS DE CONTACTO ERRADOS")),0,IF(W24="SOPORTE_TELEFÓNICO",'BASE DE LIQUIDACION 2025'!$B$9,IF(Y24="TIPO I",'BASE DE LIQUIDACION 2025'!$C$3,IF(Y24="TIPO II",'BASE DE LIQUIDACION 2025'!$C$4,IF(Y24="TIPO III",'BASE DE LIQUIDACION 2025'!$C$5,'BASE DE LIQUIDACION 2025'!$C$6)))))</f>
        <v>44559.563999999998</v>
      </c>
      <c r="AD24" s="76">
        <f>IF(W24="SOPORTE_TELEFÓNICO",AC24,CIERRES!AB24*CIERRES!AC24)</f>
        <v>44559.563999999998</v>
      </c>
    </row>
    <row r="25" spans="1:30" s="63" customFormat="1" ht="13.15">
      <c r="A25" s="10" t="s">
        <v>76</v>
      </c>
      <c r="B25" s="73" t="str">
        <f>VLOOKUP(A25,'CENTRO DE COSTOS'!A:D,4,FALSE)</f>
        <v>WILLIAM ASDRUBAL ROZO ROZO</v>
      </c>
      <c r="C25" s="73" t="str">
        <f>VLOOKUP(A25,'CENTRO DE COSTOS'!A:C,2,FALSE)</f>
        <v>0004-0004</v>
      </c>
      <c r="D25" s="10">
        <v>11001</v>
      </c>
      <c r="E25" s="10" t="s">
        <v>254</v>
      </c>
      <c r="F25" s="10">
        <v>76783</v>
      </c>
      <c r="G25" s="10" t="s">
        <v>78</v>
      </c>
      <c r="H25" s="10" t="s">
        <v>79</v>
      </c>
      <c r="I25" s="10" t="s">
        <v>76</v>
      </c>
      <c r="J25" s="10" t="s">
        <v>255</v>
      </c>
      <c r="K25" s="10" t="s">
        <v>81</v>
      </c>
      <c r="L25" s="10" t="s">
        <v>256</v>
      </c>
      <c r="M25" s="74">
        <v>45919.68472222222</v>
      </c>
      <c r="N25" s="74">
        <v>45922.663888888892</v>
      </c>
      <c r="O25" s="10"/>
      <c r="P25" s="10" t="s">
        <v>83</v>
      </c>
      <c r="Q25" s="10" t="s">
        <v>83</v>
      </c>
      <c r="R25" s="10" t="s">
        <v>85</v>
      </c>
      <c r="S25" s="10" t="s">
        <v>85</v>
      </c>
      <c r="T25" s="10" t="s">
        <v>147</v>
      </c>
      <c r="U25" s="10" t="s">
        <v>148</v>
      </c>
      <c r="V25" s="10" t="s">
        <v>257</v>
      </c>
      <c r="W25" s="10" t="s">
        <v>90</v>
      </c>
      <c r="X25" s="10" t="s">
        <v>258</v>
      </c>
      <c r="Y25" s="73" t="str">
        <f>VLOOKUP(D25,TIPOLOGIAS!A:F,6,0)</f>
        <v>TIPO I</v>
      </c>
      <c r="Z25" s="73" t="str">
        <f>VLOOKUP(D25,TIPOLOGIAS!A:F,5,0)</f>
        <v>TERRESTRE</v>
      </c>
      <c r="AA25" s="10" t="s">
        <v>259</v>
      </c>
      <c r="AB25" s="75">
        <v>1</v>
      </c>
      <c r="AC25" s="76">
        <f>IF(AND(W25="SOPORTE_TELEFÓNICO",OR(U25="SIN CONTACTO CON EL CB",U25="NÚMEROS DE CONTACTO ERRADOS")),0,IF(W25="SOPORTE_TELEFÓNICO",'BASE DE LIQUIDACION 2025'!$B$9,IF(Y25="TIPO I",'BASE DE LIQUIDACION 2025'!$C$3,IF(Y25="TIPO II",'BASE DE LIQUIDACION 2025'!$C$4,IF(Y25="TIPO III",'BASE DE LIQUIDACION 2025'!$C$5,'BASE DE LIQUIDACION 2025'!$C$6)))))</f>
        <v>44559.563999999998</v>
      </c>
      <c r="AD25" s="76">
        <f>IF(W25="SOPORTE_TELEFÓNICO",AC25,CIERRES!AB25*CIERRES!AC25)</f>
        <v>44559.563999999998</v>
      </c>
    </row>
    <row r="26" spans="1:30" s="63" customFormat="1" ht="13.15">
      <c r="A26" s="10" t="s">
        <v>76</v>
      </c>
      <c r="B26" s="73" t="str">
        <f>VLOOKUP(A26,'CENTRO DE COSTOS'!A:D,4,FALSE)</f>
        <v>WILLIAM ASDRUBAL ROZO ROZO</v>
      </c>
      <c r="C26" s="73" t="str">
        <f>VLOOKUP(A26,'CENTRO DE COSTOS'!A:C,2,FALSE)</f>
        <v>0004-0004</v>
      </c>
      <c r="D26" s="10">
        <v>11001</v>
      </c>
      <c r="E26" s="10" t="s">
        <v>260</v>
      </c>
      <c r="F26" s="10">
        <v>62799</v>
      </c>
      <c r="G26" s="10" t="s">
        <v>78</v>
      </c>
      <c r="H26" s="10" t="s">
        <v>79</v>
      </c>
      <c r="I26" s="10" t="s">
        <v>76</v>
      </c>
      <c r="J26" s="10" t="s">
        <v>261</v>
      </c>
      <c r="K26" s="10" t="s">
        <v>81</v>
      </c>
      <c r="L26" s="10" t="s">
        <v>262</v>
      </c>
      <c r="M26" s="74">
        <v>45919.68472222222</v>
      </c>
      <c r="N26" s="74">
        <v>45920.536805555559</v>
      </c>
      <c r="O26" s="10"/>
      <c r="P26" s="10" t="s">
        <v>83</v>
      </c>
      <c r="Q26" s="10" t="s">
        <v>84</v>
      </c>
      <c r="R26" s="10" t="s">
        <v>85</v>
      </c>
      <c r="S26" s="10" t="s">
        <v>86</v>
      </c>
      <c r="T26" s="10" t="s">
        <v>87</v>
      </c>
      <c r="U26" s="10" t="s">
        <v>88</v>
      </c>
      <c r="V26" s="10" t="s">
        <v>263</v>
      </c>
      <c r="W26" s="10" t="s">
        <v>90</v>
      </c>
      <c r="X26" s="10" t="s">
        <v>91</v>
      </c>
      <c r="Y26" s="73" t="str">
        <f>VLOOKUP(D26,TIPOLOGIAS!A:F,6,0)</f>
        <v>TIPO I</v>
      </c>
      <c r="Z26" s="73" t="str">
        <f>VLOOKUP(D26,TIPOLOGIAS!A:F,5,0)</f>
        <v>TERRESTRE</v>
      </c>
      <c r="AA26" s="10" t="s">
        <v>92</v>
      </c>
      <c r="AB26" s="75">
        <v>1</v>
      </c>
      <c r="AC26" s="76">
        <f>IF(AND(W26="SOPORTE_TELEFÓNICO",OR(U26="SIN CONTACTO CON EL CB",U26="NÚMEROS DE CONTACTO ERRADOS")),0,IF(W26="SOPORTE_TELEFÓNICO",'BASE DE LIQUIDACION 2025'!$B$9,IF(Y26="TIPO I",'BASE DE LIQUIDACION 2025'!$C$3,IF(Y26="TIPO II",'BASE DE LIQUIDACION 2025'!$C$4,IF(Y26="TIPO III",'BASE DE LIQUIDACION 2025'!$C$5,'BASE DE LIQUIDACION 2025'!$C$6)))))</f>
        <v>44559.563999999998</v>
      </c>
      <c r="AD26" s="76">
        <f>IF(W26="SOPORTE_TELEFÓNICO",AC26,CIERRES!AB26*CIERRES!AC26)</f>
        <v>44559.563999999998</v>
      </c>
    </row>
    <row r="27" spans="1:30" s="63" customFormat="1" ht="13.15">
      <c r="A27" s="10" t="s">
        <v>235</v>
      </c>
      <c r="B27" s="73" t="str">
        <f>VLOOKUP(A27,'CENTRO DE COSTOS'!A:D,4,FALSE)</f>
        <v>DIEGO FERNANDO HENAO CARDONA</v>
      </c>
      <c r="C27" s="73" t="str">
        <f>VLOOKUP(A27,'CENTRO DE COSTOS'!A:C,2,FALSE)</f>
        <v>0004-0003</v>
      </c>
      <c r="D27" s="10">
        <v>52001</v>
      </c>
      <c r="E27" s="10" t="s">
        <v>264</v>
      </c>
      <c r="F27" s="10">
        <v>40055</v>
      </c>
      <c r="G27" s="10" t="s">
        <v>78</v>
      </c>
      <c r="H27" s="10" t="s">
        <v>265</v>
      </c>
      <c r="I27" s="10" t="s">
        <v>235</v>
      </c>
      <c r="J27" s="10" t="s">
        <v>266</v>
      </c>
      <c r="K27" s="10" t="s">
        <v>81</v>
      </c>
      <c r="L27" s="10" t="s">
        <v>267</v>
      </c>
      <c r="M27" s="74">
        <v>45931.668055555558</v>
      </c>
      <c r="N27" s="74">
        <v>45920.46597222222</v>
      </c>
      <c r="O27" s="10"/>
      <c r="P27" s="10" t="s">
        <v>83</v>
      </c>
      <c r="Q27" s="10" t="s">
        <v>83</v>
      </c>
      <c r="R27" s="10" t="s">
        <v>107</v>
      </c>
      <c r="S27" s="10" t="s">
        <v>185</v>
      </c>
      <c r="T27" s="10" t="s">
        <v>96</v>
      </c>
      <c r="U27" s="10" t="s">
        <v>97</v>
      </c>
      <c r="V27" s="10" t="s">
        <v>268</v>
      </c>
      <c r="W27" s="10" t="s">
        <v>90</v>
      </c>
      <c r="X27" s="10" t="s">
        <v>269</v>
      </c>
      <c r="Y27" s="73" t="str">
        <f>VLOOKUP(D27,TIPOLOGIAS!A:F,6,0)</f>
        <v>TIPO I</v>
      </c>
      <c r="Z27" s="73" t="str">
        <f>VLOOKUP(D27,TIPOLOGIAS!A:F,5,0)</f>
        <v>TERRESTRE</v>
      </c>
      <c r="AA27" s="10" t="s">
        <v>270</v>
      </c>
      <c r="AB27" s="75">
        <v>1</v>
      </c>
      <c r="AC27" s="76">
        <f>IF(AND(W27="SOPORTE_TELEFÓNICO",OR(U27="SIN CONTACTO CON EL CB",U27="NÚMEROS DE CONTACTO ERRADOS")),0,IF(W27="SOPORTE_TELEFÓNICO",'BASE DE LIQUIDACION 2025'!$B$9,IF(Y27="TIPO I",'BASE DE LIQUIDACION 2025'!$C$3,IF(Y27="TIPO II",'BASE DE LIQUIDACION 2025'!$C$4,IF(Y27="TIPO III",'BASE DE LIQUIDACION 2025'!$C$5,'BASE DE LIQUIDACION 2025'!$C$6)))))</f>
        <v>44559.563999999998</v>
      </c>
      <c r="AD27" s="76">
        <f>IF(W27="SOPORTE_TELEFÓNICO",AC27,CIERRES!AB27*CIERRES!AC27)</f>
        <v>44559.563999999998</v>
      </c>
    </row>
    <row r="28" spans="1:30" s="63" customFormat="1" ht="13.15">
      <c r="A28" s="10" t="s">
        <v>271</v>
      </c>
      <c r="B28" s="73" t="str">
        <f>VLOOKUP(A28,'CENTRO DE COSTOS'!A:D,4,FALSE)</f>
        <v>JOSE MAURICIO HERNANDEZ ROJAS</v>
      </c>
      <c r="C28" s="73" t="str">
        <f>VLOOKUP(A28,'CENTRO DE COSTOS'!A:C,2,FALSE)</f>
        <v>0004-0001</v>
      </c>
      <c r="D28" s="10">
        <v>8001</v>
      </c>
      <c r="E28" s="10" t="s">
        <v>272</v>
      </c>
      <c r="F28" s="10">
        <v>77270</v>
      </c>
      <c r="G28" s="10" t="s">
        <v>78</v>
      </c>
      <c r="H28" s="10" t="s">
        <v>273</v>
      </c>
      <c r="I28" s="10" t="s">
        <v>271</v>
      </c>
      <c r="J28" s="10" t="s">
        <v>274</v>
      </c>
      <c r="K28" s="10" t="s">
        <v>81</v>
      </c>
      <c r="L28" s="10" t="s">
        <v>275</v>
      </c>
      <c r="M28" s="74">
        <v>45918.668749999997</v>
      </c>
      <c r="N28" s="74">
        <v>45922.330555555563</v>
      </c>
      <c r="O28" s="10"/>
      <c r="P28" s="10" t="s">
        <v>83</v>
      </c>
      <c r="Q28" s="10" t="s">
        <v>83</v>
      </c>
      <c r="R28" s="10" t="s">
        <v>85</v>
      </c>
      <c r="S28" s="10" t="s">
        <v>85</v>
      </c>
      <c r="T28" s="10" t="s">
        <v>96</v>
      </c>
      <c r="U28" s="10" t="s">
        <v>97</v>
      </c>
      <c r="V28" s="10" t="s">
        <v>276</v>
      </c>
      <c r="W28" s="10" t="s">
        <v>90</v>
      </c>
      <c r="X28" s="10" t="s">
        <v>277</v>
      </c>
      <c r="Y28" s="73" t="str">
        <f>VLOOKUP(D28,TIPOLOGIAS!A:F,6,0)</f>
        <v>TIPO I</v>
      </c>
      <c r="Z28" s="73" t="str">
        <f>VLOOKUP(D28,TIPOLOGIAS!A:F,5,0)</f>
        <v>TERRESTRE</v>
      </c>
      <c r="AA28" s="10" t="s">
        <v>278</v>
      </c>
      <c r="AB28" s="75">
        <v>1</v>
      </c>
      <c r="AC28" s="76">
        <f>IF(AND(W28="SOPORTE_TELEFÓNICO",OR(U28="SIN CONTACTO CON EL CB",U28="NÚMEROS DE CONTACTO ERRADOS")),0,IF(W28="SOPORTE_TELEFÓNICO",'BASE DE LIQUIDACION 2025'!$B$9,IF(Y28="TIPO I",'BASE DE LIQUIDACION 2025'!$C$3,IF(Y28="TIPO II",'BASE DE LIQUIDACION 2025'!$C$4,IF(Y28="TIPO III",'BASE DE LIQUIDACION 2025'!$C$5,'BASE DE LIQUIDACION 2025'!$C$6)))))</f>
        <v>44559.563999999998</v>
      </c>
      <c r="AD28" s="76">
        <f>IF(W28="SOPORTE_TELEFÓNICO",AC28,CIERRES!AB28*CIERRES!AC28)</f>
        <v>44559.563999999998</v>
      </c>
    </row>
    <row r="29" spans="1:30" s="63" customFormat="1" ht="13.15">
      <c r="A29" s="10" t="s">
        <v>279</v>
      </c>
      <c r="B29" s="73" t="str">
        <f>VLOOKUP(A29,'CENTRO DE COSTOS'!A:D,4,FALSE)</f>
        <v>JOSE MAURICIO HERNANDEZ ROJAS</v>
      </c>
      <c r="C29" s="73" t="str">
        <f>VLOOKUP(A29,'CENTRO DE COSTOS'!A:C,2,FALSE)</f>
        <v>0004-0001</v>
      </c>
      <c r="D29" s="10">
        <v>13001</v>
      </c>
      <c r="E29" s="10" t="s">
        <v>280</v>
      </c>
      <c r="F29" s="10">
        <v>26247</v>
      </c>
      <c r="G29" s="10" t="s">
        <v>78</v>
      </c>
      <c r="H29" s="10" t="s">
        <v>281</v>
      </c>
      <c r="I29" s="10" t="s">
        <v>279</v>
      </c>
      <c r="J29" s="10" t="s">
        <v>282</v>
      </c>
      <c r="K29" s="10" t="s">
        <v>81</v>
      </c>
      <c r="L29" s="10" t="s">
        <v>283</v>
      </c>
      <c r="M29" s="74">
        <v>45918.668749999997</v>
      </c>
      <c r="N29" s="74">
        <v>45924.71597222222</v>
      </c>
      <c r="O29" s="10"/>
      <c r="P29" s="10" t="s">
        <v>83</v>
      </c>
      <c r="Q29" s="10" t="s">
        <v>83</v>
      </c>
      <c r="R29" s="10" t="s">
        <v>86</v>
      </c>
      <c r="S29" s="10" t="s">
        <v>86</v>
      </c>
      <c r="T29" s="10" t="s">
        <v>96</v>
      </c>
      <c r="U29" s="10" t="s">
        <v>97</v>
      </c>
      <c r="V29" s="10" t="s">
        <v>284</v>
      </c>
      <c r="W29" s="10" t="s">
        <v>90</v>
      </c>
      <c r="X29" s="10" t="s">
        <v>285</v>
      </c>
      <c r="Y29" s="73" t="str">
        <f>VLOOKUP(D29,TIPOLOGIAS!A:F,6,0)</f>
        <v>TIPO I</v>
      </c>
      <c r="Z29" s="73" t="str">
        <f>VLOOKUP(D29,TIPOLOGIAS!A:F,5,0)</f>
        <v>TERRESTRE</v>
      </c>
      <c r="AA29" s="10" t="s">
        <v>286</v>
      </c>
      <c r="AB29" s="75">
        <v>1</v>
      </c>
      <c r="AC29" s="76">
        <f>IF(AND(W29="SOPORTE_TELEFÓNICO",OR(U29="SIN CONTACTO CON EL CB",U29="NÚMEROS DE CONTACTO ERRADOS")),0,IF(W29="SOPORTE_TELEFÓNICO",'BASE DE LIQUIDACION 2025'!$B$9,IF(Y29="TIPO I",'BASE DE LIQUIDACION 2025'!$C$3,IF(Y29="TIPO II",'BASE DE LIQUIDACION 2025'!$C$4,IF(Y29="TIPO III",'BASE DE LIQUIDACION 2025'!$C$5,'BASE DE LIQUIDACION 2025'!$C$6)))))</f>
        <v>44559.563999999998</v>
      </c>
      <c r="AD29" s="76">
        <f>IF(W29="SOPORTE_TELEFÓNICO",AC29,CIERRES!AB29*CIERRES!AC29)</f>
        <v>44559.563999999998</v>
      </c>
    </row>
    <row r="30" spans="1:30" s="63" customFormat="1" ht="13.15">
      <c r="A30" s="10" t="s">
        <v>287</v>
      </c>
      <c r="B30" s="73" t="str">
        <f>VLOOKUP(A30,'CENTRO DE COSTOS'!A:D,4,FALSE)</f>
        <v>KEVIN ALEXIS CORZO BUSTOS</v>
      </c>
      <c r="C30" s="73" t="str">
        <f>VLOOKUP(A30,'CENTRO DE COSTOS'!A:C,2,FALSE)</f>
        <v>0004-0007</v>
      </c>
      <c r="D30" s="10">
        <v>18001</v>
      </c>
      <c r="E30" s="10" t="s">
        <v>288</v>
      </c>
      <c r="F30" s="10">
        <v>53117</v>
      </c>
      <c r="G30" s="10" t="s">
        <v>78</v>
      </c>
      <c r="H30" s="10" t="s">
        <v>289</v>
      </c>
      <c r="I30" s="10" t="s">
        <v>290</v>
      </c>
      <c r="J30" s="10" t="s">
        <v>291</v>
      </c>
      <c r="K30" s="10" t="s">
        <v>81</v>
      </c>
      <c r="L30" s="10" t="s">
        <v>292</v>
      </c>
      <c r="M30" s="74">
        <v>45918.668749999997</v>
      </c>
      <c r="N30" s="74">
        <v>45925.425000000003</v>
      </c>
      <c r="O30" s="10"/>
      <c r="P30" s="10" t="s">
        <v>83</v>
      </c>
      <c r="Q30" s="10" t="s">
        <v>84</v>
      </c>
      <c r="R30" s="10" t="s">
        <v>85</v>
      </c>
      <c r="S30" s="10" t="s">
        <v>86</v>
      </c>
      <c r="T30" s="10" t="s">
        <v>96</v>
      </c>
      <c r="U30" s="10" t="s">
        <v>97</v>
      </c>
      <c r="V30" s="10" t="s">
        <v>293</v>
      </c>
      <c r="W30" s="10" t="s">
        <v>90</v>
      </c>
      <c r="X30" s="10" t="s">
        <v>294</v>
      </c>
      <c r="Y30" s="73" t="str">
        <f>VLOOKUP(D30,TIPOLOGIAS!A:F,6,0)</f>
        <v>TIPO IV</v>
      </c>
      <c r="Z30" s="73" t="str">
        <f>VLOOKUP(D30,TIPOLOGIAS!A:F,5,0)</f>
        <v>TERRESTRE</v>
      </c>
      <c r="AA30" s="10" t="s">
        <v>295</v>
      </c>
      <c r="AB30" s="75">
        <v>1</v>
      </c>
      <c r="AC30" s="76">
        <f>IF(AND(W30="SOPORTE_TELEFÓNICO",OR(U30="SIN CONTACTO CON EL CB",U30="NÚMEROS DE CONTACTO ERRADOS")),0,IF(W30="SOPORTE_TELEFÓNICO",'BASE DE LIQUIDACION 2025'!$B$9,IF(Y30="TIPO I",'BASE DE LIQUIDACION 2025'!$C$3,IF(Y30="TIPO II",'BASE DE LIQUIDACION 2025'!$C$4,IF(Y30="TIPO III",'BASE DE LIQUIDACION 2025'!$C$5,'BASE DE LIQUIDACION 2025'!$C$6)))))</f>
        <v>464809.36800000002</v>
      </c>
      <c r="AD30" s="76">
        <f>IF(W30="SOPORTE_TELEFÓNICO",AC30,CIERRES!AB30*CIERRES!AC30)</f>
        <v>464809.36800000002</v>
      </c>
    </row>
    <row r="31" spans="1:30" s="63" customFormat="1" ht="13.15">
      <c r="A31" s="10" t="s">
        <v>158</v>
      </c>
      <c r="B31" s="73" t="str">
        <f>VLOOKUP(A31,'CENTRO DE COSTOS'!A:D,4,FALSE)</f>
        <v>JUAN SEBASTIÁN RÍOS CASTRILLÓN</v>
      </c>
      <c r="C31" s="73" t="str">
        <f>VLOOKUP(A31,'CENTRO DE COSTOS'!A:C,2,FALSE)</f>
        <v>0004-0005</v>
      </c>
      <c r="D31" s="10">
        <v>5001</v>
      </c>
      <c r="E31" s="10" t="s">
        <v>296</v>
      </c>
      <c r="F31" s="10">
        <v>55316</v>
      </c>
      <c r="G31" s="10" t="s">
        <v>78</v>
      </c>
      <c r="H31" s="10" t="s">
        <v>160</v>
      </c>
      <c r="I31" s="10" t="s">
        <v>158</v>
      </c>
      <c r="J31" s="10" t="s">
        <v>297</v>
      </c>
      <c r="K31" s="10" t="s">
        <v>81</v>
      </c>
      <c r="L31" s="10" t="s">
        <v>298</v>
      </c>
      <c r="M31" s="74">
        <v>45918.668749999997</v>
      </c>
      <c r="N31" s="74">
        <v>45919.561805555553</v>
      </c>
      <c r="O31" s="10"/>
      <c r="P31" s="10" t="s">
        <v>83</v>
      </c>
      <c r="Q31" s="10" t="s">
        <v>84</v>
      </c>
      <c r="R31" s="10" t="s">
        <v>85</v>
      </c>
      <c r="S31" s="10" t="s">
        <v>86</v>
      </c>
      <c r="T31" s="10" t="s">
        <v>87</v>
      </c>
      <c r="U31" s="10" t="s">
        <v>88</v>
      </c>
      <c r="V31" s="10" t="s">
        <v>299</v>
      </c>
      <c r="W31" s="10" t="s">
        <v>90</v>
      </c>
      <c r="X31" s="10" t="s">
        <v>300</v>
      </c>
      <c r="Y31" s="73" t="str">
        <f>VLOOKUP(D31,TIPOLOGIAS!A:F,6,0)</f>
        <v>TIPO I</v>
      </c>
      <c r="Z31" s="73" t="str">
        <f>VLOOKUP(D31,TIPOLOGIAS!A:F,5,0)</f>
        <v>TERRESTRE</v>
      </c>
      <c r="AA31" s="10" t="s">
        <v>301</v>
      </c>
      <c r="AB31" s="75">
        <v>1</v>
      </c>
      <c r="AC31" s="76">
        <f>IF(AND(W31="SOPORTE_TELEFÓNICO",OR(U31="SIN CONTACTO CON EL CB",U31="NÚMEROS DE CONTACTO ERRADOS")),0,IF(W31="SOPORTE_TELEFÓNICO",'BASE DE LIQUIDACION 2025'!$B$9,IF(Y31="TIPO I",'BASE DE LIQUIDACION 2025'!$C$3,IF(Y31="TIPO II",'BASE DE LIQUIDACION 2025'!$C$4,IF(Y31="TIPO III",'BASE DE LIQUIDACION 2025'!$C$5,'BASE DE LIQUIDACION 2025'!$C$6)))))</f>
        <v>44559.563999999998</v>
      </c>
      <c r="AD31" s="76">
        <f>IF(W31="SOPORTE_TELEFÓNICO",AC31,CIERRES!AB31*CIERRES!AC31)</f>
        <v>44559.563999999998</v>
      </c>
    </row>
    <row r="32" spans="1:30" s="63" customFormat="1" ht="13.15">
      <c r="A32" s="10" t="s">
        <v>302</v>
      </c>
      <c r="B32" s="73" t="str">
        <f>VLOOKUP(A32,'CENTRO DE COSTOS'!A:D,4,FALSE)</f>
        <v>KEVIN ALEXIS CORZO BUSTOS</v>
      </c>
      <c r="C32" s="73" t="str">
        <f>VLOOKUP(A32,'CENTRO DE COSTOS'!A:C,2,FALSE)</f>
        <v>0004-0007</v>
      </c>
      <c r="D32" s="10">
        <v>50001</v>
      </c>
      <c r="E32" s="10" t="s">
        <v>303</v>
      </c>
      <c r="F32" s="10">
        <v>74538</v>
      </c>
      <c r="G32" s="10" t="s">
        <v>78</v>
      </c>
      <c r="H32" s="10" t="s">
        <v>304</v>
      </c>
      <c r="I32" s="10" t="s">
        <v>302</v>
      </c>
      <c r="J32" s="10" t="s">
        <v>305</v>
      </c>
      <c r="K32" s="10" t="s">
        <v>81</v>
      </c>
      <c r="L32" s="10" t="s">
        <v>306</v>
      </c>
      <c r="M32" s="74">
        <v>45918.668749999997</v>
      </c>
      <c r="N32" s="74">
        <v>45920.431944444441</v>
      </c>
      <c r="O32" s="10"/>
      <c r="P32" s="10" t="s">
        <v>83</v>
      </c>
      <c r="Q32" s="10" t="s">
        <v>84</v>
      </c>
      <c r="R32" s="10" t="s">
        <v>86</v>
      </c>
      <c r="S32" s="10" t="s">
        <v>86</v>
      </c>
      <c r="T32" s="10" t="s">
        <v>96</v>
      </c>
      <c r="U32" s="10" t="s">
        <v>97</v>
      </c>
      <c r="V32" s="10" t="s">
        <v>307</v>
      </c>
      <c r="W32" s="10" t="s">
        <v>90</v>
      </c>
      <c r="X32" s="10" t="s">
        <v>308</v>
      </c>
      <c r="Y32" s="73" t="str">
        <f>VLOOKUP(D32,TIPOLOGIAS!A:F,6,0)</f>
        <v>TIPO I</v>
      </c>
      <c r="Z32" s="73" t="str">
        <f>VLOOKUP(D32,TIPOLOGIAS!A:F,5,0)</f>
        <v>TERRESTRE</v>
      </c>
      <c r="AA32" s="10" t="s">
        <v>309</v>
      </c>
      <c r="AB32" s="75">
        <v>1</v>
      </c>
      <c r="AC32" s="76">
        <f>IF(AND(W32="SOPORTE_TELEFÓNICO",OR(U32="SIN CONTACTO CON EL CB",U32="NÚMEROS DE CONTACTO ERRADOS")),0,IF(W32="SOPORTE_TELEFÓNICO",'BASE DE LIQUIDACION 2025'!$B$9,IF(Y32="TIPO I",'BASE DE LIQUIDACION 2025'!$C$3,IF(Y32="TIPO II",'BASE DE LIQUIDACION 2025'!$C$4,IF(Y32="TIPO III",'BASE DE LIQUIDACION 2025'!$C$5,'BASE DE LIQUIDACION 2025'!$C$6)))))</f>
        <v>44559.563999999998</v>
      </c>
      <c r="AD32" s="76">
        <f>IF(W32="SOPORTE_TELEFÓNICO",AC32,CIERRES!AB32*CIERRES!AC32)</f>
        <v>44559.563999999998</v>
      </c>
    </row>
    <row r="33" spans="1:30" s="63" customFormat="1" ht="13.15">
      <c r="A33" s="10" t="s">
        <v>235</v>
      </c>
      <c r="B33" s="73" t="str">
        <f>VLOOKUP(A33,'CENTRO DE COSTOS'!A:D,4,FALSE)</f>
        <v>DIEGO FERNANDO HENAO CARDONA</v>
      </c>
      <c r="C33" s="73" t="str">
        <f>VLOOKUP(A33,'CENTRO DE COSTOS'!A:C,2,FALSE)</f>
        <v>0004-0003</v>
      </c>
      <c r="D33" s="10">
        <v>52001</v>
      </c>
      <c r="E33" s="10" t="s">
        <v>310</v>
      </c>
      <c r="F33" s="10">
        <v>46832</v>
      </c>
      <c r="G33" s="10" t="s">
        <v>78</v>
      </c>
      <c r="H33" s="10" t="s">
        <v>265</v>
      </c>
      <c r="I33" s="10" t="s">
        <v>235</v>
      </c>
      <c r="J33" s="10" t="s">
        <v>311</v>
      </c>
      <c r="K33" s="10" t="s">
        <v>81</v>
      </c>
      <c r="L33" s="10" t="s">
        <v>312</v>
      </c>
      <c r="M33" s="74">
        <v>45918.668749999997</v>
      </c>
      <c r="N33" s="74">
        <v>45922.647222222222</v>
      </c>
      <c r="O33" s="10"/>
      <c r="P33" s="10" t="s">
        <v>83</v>
      </c>
      <c r="Q33" s="10" t="s">
        <v>83</v>
      </c>
      <c r="R33" s="10" t="s">
        <v>107</v>
      </c>
      <c r="S33" s="10" t="s">
        <v>185</v>
      </c>
      <c r="T33" s="10" t="s">
        <v>87</v>
      </c>
      <c r="U33" s="10" t="s">
        <v>88</v>
      </c>
      <c r="V33" s="10" t="s">
        <v>313</v>
      </c>
      <c r="W33" s="10" t="s">
        <v>90</v>
      </c>
      <c r="X33" s="10" t="s">
        <v>314</v>
      </c>
      <c r="Y33" s="73" t="str">
        <f>VLOOKUP(D33,TIPOLOGIAS!A:F,6,0)</f>
        <v>TIPO I</v>
      </c>
      <c r="Z33" s="73" t="str">
        <f>VLOOKUP(D33,TIPOLOGIAS!A:F,5,0)</f>
        <v>TERRESTRE</v>
      </c>
      <c r="AA33" s="10" t="s">
        <v>315</v>
      </c>
      <c r="AB33" s="75">
        <v>1</v>
      </c>
      <c r="AC33" s="76">
        <f>IF(AND(W33="SOPORTE_TELEFÓNICO",OR(U33="SIN CONTACTO CON EL CB",U33="NÚMEROS DE CONTACTO ERRADOS")),0,IF(W33="SOPORTE_TELEFÓNICO",'BASE DE LIQUIDACION 2025'!$B$9,IF(Y33="TIPO I",'BASE DE LIQUIDACION 2025'!$C$3,IF(Y33="TIPO II",'BASE DE LIQUIDACION 2025'!$C$4,IF(Y33="TIPO III",'BASE DE LIQUIDACION 2025'!$C$5,'BASE DE LIQUIDACION 2025'!$C$6)))))</f>
        <v>44559.563999999998</v>
      </c>
      <c r="AD33" s="76">
        <f>IF(W33="SOPORTE_TELEFÓNICO",AC33,CIERRES!AB33*CIERRES!AC33)</f>
        <v>44559.563999999998</v>
      </c>
    </row>
    <row r="34" spans="1:30" s="63" customFormat="1" ht="13.15">
      <c r="A34" s="10" t="s">
        <v>210</v>
      </c>
      <c r="B34" s="73" t="str">
        <f>VLOOKUP(A34,'CENTRO DE COSTOS'!A:D,4,FALSE)</f>
        <v>JOSE MAURICIO HERNANDEZ ROJAS</v>
      </c>
      <c r="C34" s="73" t="str">
        <f>VLOOKUP(A34,'CENTRO DE COSTOS'!A:C,2,FALSE)</f>
        <v>0004-0001</v>
      </c>
      <c r="D34" s="10">
        <v>44430</v>
      </c>
      <c r="E34" s="10" t="s">
        <v>316</v>
      </c>
      <c r="F34" s="10">
        <v>58719</v>
      </c>
      <c r="G34" s="10" t="s">
        <v>78</v>
      </c>
      <c r="H34" s="10" t="s">
        <v>317</v>
      </c>
      <c r="I34" s="10" t="s">
        <v>318</v>
      </c>
      <c r="J34" s="10" t="s">
        <v>319</v>
      </c>
      <c r="K34" s="10" t="s">
        <v>81</v>
      </c>
      <c r="L34" s="10" t="s">
        <v>320</v>
      </c>
      <c r="M34" s="74">
        <v>45918.668749999997</v>
      </c>
      <c r="N34" s="74">
        <v>45924.331944444442</v>
      </c>
      <c r="O34" s="10"/>
      <c r="P34" s="10" t="s">
        <v>83</v>
      </c>
      <c r="Q34" s="10" t="s">
        <v>84</v>
      </c>
      <c r="R34" s="10" t="s">
        <v>107</v>
      </c>
      <c r="S34" s="10" t="s">
        <v>108</v>
      </c>
      <c r="T34" s="10" t="s">
        <v>87</v>
      </c>
      <c r="U34" s="10" t="s">
        <v>88</v>
      </c>
      <c r="V34" s="10" t="s">
        <v>321</v>
      </c>
      <c r="W34" s="10" t="s">
        <v>90</v>
      </c>
      <c r="X34" s="10" t="s">
        <v>91</v>
      </c>
      <c r="Y34" s="73" t="str">
        <f>VLOOKUP(D34,TIPOLOGIAS!A:F,6,0)</f>
        <v>TIPO IV</v>
      </c>
      <c r="Z34" s="73" t="str">
        <f>VLOOKUP(D34,TIPOLOGIAS!A:F,5,0)</f>
        <v>TERRESTRE</v>
      </c>
      <c r="AA34" s="10" t="s">
        <v>217</v>
      </c>
      <c r="AB34" s="75">
        <v>1</v>
      </c>
      <c r="AC34" s="76">
        <f>IF(AND(W34="SOPORTE_TELEFÓNICO",OR(U34="SIN CONTACTO CON EL CB",U34="NÚMEROS DE CONTACTO ERRADOS")),0,IF(W34="SOPORTE_TELEFÓNICO",'BASE DE LIQUIDACION 2025'!$B$9,IF(Y34="TIPO I",'BASE DE LIQUIDACION 2025'!$C$3,IF(Y34="TIPO II",'BASE DE LIQUIDACION 2025'!$C$4,IF(Y34="TIPO III",'BASE DE LIQUIDACION 2025'!$C$5,'BASE DE LIQUIDACION 2025'!$C$6)))))</f>
        <v>464809.36800000002</v>
      </c>
      <c r="AD34" s="76">
        <f>IF(W34="SOPORTE_TELEFÓNICO",AC34,CIERRES!AB34*CIERRES!AC34)</f>
        <v>464809.36800000002</v>
      </c>
    </row>
    <row r="35" spans="1:30" s="63" customFormat="1" ht="13.15">
      <c r="A35" s="10" t="s">
        <v>322</v>
      </c>
      <c r="B35" s="73" t="str">
        <f>VLOOKUP(A35,'CENTRO DE COSTOS'!A:D,4,FALSE)</f>
        <v>KEVIN ALEXIS CORZO BUSTOS</v>
      </c>
      <c r="C35" s="73" t="str">
        <f>VLOOKUP(A35,'CENTRO DE COSTOS'!A:C,2,FALSE)</f>
        <v>0004-0007</v>
      </c>
      <c r="D35" s="10">
        <v>73001</v>
      </c>
      <c r="E35" s="10" t="s">
        <v>323</v>
      </c>
      <c r="F35" s="10">
        <v>63213</v>
      </c>
      <c r="G35" s="10" t="s">
        <v>78</v>
      </c>
      <c r="H35" s="10" t="s">
        <v>324</v>
      </c>
      <c r="I35" s="10" t="s">
        <v>322</v>
      </c>
      <c r="J35" s="10" t="s">
        <v>325</v>
      </c>
      <c r="K35" s="10" t="s">
        <v>81</v>
      </c>
      <c r="L35" s="10" t="s">
        <v>326</v>
      </c>
      <c r="M35" s="74">
        <v>45918.668749999997</v>
      </c>
      <c r="N35" s="74">
        <v>45919.522222222222</v>
      </c>
      <c r="O35" s="10"/>
      <c r="P35" s="10" t="s">
        <v>83</v>
      </c>
      <c r="Q35" s="10" t="s">
        <v>84</v>
      </c>
      <c r="R35" s="10" t="s">
        <v>107</v>
      </c>
      <c r="S35" s="10" t="s">
        <v>108</v>
      </c>
      <c r="T35" s="10" t="s">
        <v>87</v>
      </c>
      <c r="U35" s="10" t="s">
        <v>88</v>
      </c>
      <c r="V35" s="10" t="s">
        <v>327</v>
      </c>
      <c r="W35" s="10" t="s">
        <v>90</v>
      </c>
      <c r="X35" s="10" t="s">
        <v>308</v>
      </c>
      <c r="Y35" s="73" t="str">
        <f>VLOOKUP(D35,TIPOLOGIAS!A:F,6,0)</f>
        <v>TIPO I</v>
      </c>
      <c r="Z35" s="73" t="str">
        <f>VLOOKUP(D35,TIPOLOGIAS!A:F,5,0)</f>
        <v>TERRESTRE</v>
      </c>
      <c r="AA35" s="10" t="s">
        <v>328</v>
      </c>
      <c r="AB35" s="75">
        <v>1</v>
      </c>
      <c r="AC35" s="76">
        <f>IF(AND(W35="SOPORTE_TELEFÓNICO",OR(U35="SIN CONTACTO CON EL CB",U35="NÚMEROS DE CONTACTO ERRADOS")),0,IF(W35="SOPORTE_TELEFÓNICO",'BASE DE LIQUIDACION 2025'!$B$9,IF(Y35="TIPO I",'BASE DE LIQUIDACION 2025'!$C$3,IF(Y35="TIPO II",'BASE DE LIQUIDACION 2025'!$C$4,IF(Y35="TIPO III",'BASE DE LIQUIDACION 2025'!$C$5,'BASE DE LIQUIDACION 2025'!$C$6)))))</f>
        <v>44559.563999999998</v>
      </c>
      <c r="AD35" s="76">
        <f>IF(W35="SOPORTE_TELEFÓNICO",AC35,CIERRES!AB35*CIERRES!AC35)</f>
        <v>44559.563999999998</v>
      </c>
    </row>
    <row r="36" spans="1:30" s="63" customFormat="1" ht="13.15">
      <c r="A36" s="10" t="s">
        <v>76</v>
      </c>
      <c r="B36" s="73" t="str">
        <f>VLOOKUP(A36,'CENTRO DE COSTOS'!A:D,4,FALSE)</f>
        <v>WILLIAM ASDRUBAL ROZO ROZO</v>
      </c>
      <c r="C36" s="73" t="str">
        <f>VLOOKUP(A36,'CENTRO DE COSTOS'!A:C,2,FALSE)</f>
        <v>0004-0004</v>
      </c>
      <c r="D36" s="10">
        <v>11001</v>
      </c>
      <c r="E36" s="10" t="s">
        <v>329</v>
      </c>
      <c r="F36" s="10">
        <v>73140</v>
      </c>
      <c r="G36" s="10" t="s">
        <v>78</v>
      </c>
      <c r="H36" s="10" t="s">
        <v>79</v>
      </c>
      <c r="I36" s="10" t="s">
        <v>76</v>
      </c>
      <c r="J36" s="10" t="s">
        <v>330</v>
      </c>
      <c r="K36" s="10" t="s">
        <v>81</v>
      </c>
      <c r="L36" s="10" t="s">
        <v>331</v>
      </c>
      <c r="M36" s="74">
        <v>45918.668749999997</v>
      </c>
      <c r="N36" s="74">
        <v>45923.675000000003</v>
      </c>
      <c r="O36" s="10"/>
      <c r="P36" s="10" t="s">
        <v>83</v>
      </c>
      <c r="Q36" s="10" t="s">
        <v>84</v>
      </c>
      <c r="R36" s="10" t="s">
        <v>107</v>
      </c>
      <c r="S36" s="10" t="s">
        <v>108</v>
      </c>
      <c r="T36" s="10" t="s">
        <v>147</v>
      </c>
      <c r="U36" s="10" t="s">
        <v>148</v>
      </c>
      <c r="V36" s="10" t="s">
        <v>332</v>
      </c>
      <c r="W36" s="10" t="s">
        <v>90</v>
      </c>
      <c r="X36" s="10" t="s">
        <v>333</v>
      </c>
      <c r="Y36" s="73" t="str">
        <f>VLOOKUP(D36,TIPOLOGIAS!A:F,6,0)</f>
        <v>TIPO I</v>
      </c>
      <c r="Z36" s="73" t="str">
        <f>VLOOKUP(D36,TIPOLOGIAS!A:F,5,0)</f>
        <v>TERRESTRE</v>
      </c>
      <c r="AA36" s="10" t="s">
        <v>334</v>
      </c>
      <c r="AB36" s="75">
        <v>2</v>
      </c>
      <c r="AC36" s="76">
        <f>IF(AND(W36="SOPORTE_TELEFÓNICO",OR(U36="SIN CONTACTO CON EL CB",U36="NÚMEROS DE CONTACTO ERRADOS")),0,IF(W36="SOPORTE_TELEFÓNICO",'BASE DE LIQUIDACION 2025'!$B$9,IF(Y36="TIPO I",'BASE DE LIQUIDACION 2025'!$C$3,IF(Y36="TIPO II",'BASE DE LIQUIDACION 2025'!$C$4,IF(Y36="TIPO III",'BASE DE LIQUIDACION 2025'!$C$5,'BASE DE LIQUIDACION 2025'!$C$6)))))</f>
        <v>44559.563999999998</v>
      </c>
      <c r="AD36" s="76">
        <f>IF(W36="SOPORTE_TELEFÓNICO",AC36,CIERRES!AB36*CIERRES!AC36)</f>
        <v>89119.127999999997</v>
      </c>
    </row>
    <row r="37" spans="1:30" s="63" customFormat="1" ht="13.15">
      <c r="A37" s="10" t="s">
        <v>279</v>
      </c>
      <c r="B37" s="73" t="str">
        <f>VLOOKUP(A37,'CENTRO DE COSTOS'!A:D,4,FALSE)</f>
        <v>JOSE MAURICIO HERNANDEZ ROJAS</v>
      </c>
      <c r="C37" s="73" t="str">
        <f>VLOOKUP(A37,'CENTRO DE COSTOS'!A:C,2,FALSE)</f>
        <v>0004-0001</v>
      </c>
      <c r="D37" s="10">
        <v>13001</v>
      </c>
      <c r="E37" s="10" t="s">
        <v>335</v>
      </c>
      <c r="F37" s="10">
        <v>43018</v>
      </c>
      <c r="G37" s="10" t="s">
        <v>78</v>
      </c>
      <c r="H37" s="10" t="s">
        <v>281</v>
      </c>
      <c r="I37" s="10" t="s">
        <v>279</v>
      </c>
      <c r="J37" s="10" t="s">
        <v>336</v>
      </c>
      <c r="K37" s="10" t="s">
        <v>81</v>
      </c>
      <c r="L37" s="10" t="s">
        <v>337</v>
      </c>
      <c r="M37" s="74">
        <v>45918.359722222223</v>
      </c>
      <c r="N37" s="74">
        <v>45919.684027777781</v>
      </c>
      <c r="O37" s="10"/>
      <c r="P37" s="10" t="s">
        <v>83</v>
      </c>
      <c r="Q37" s="10" t="s">
        <v>338</v>
      </c>
      <c r="R37" s="10" t="s">
        <v>85</v>
      </c>
      <c r="S37" s="10" t="s">
        <v>86</v>
      </c>
      <c r="T37" s="10" t="s">
        <v>96</v>
      </c>
      <c r="U37" s="10" t="s">
        <v>339</v>
      </c>
      <c r="V37" s="10" t="s">
        <v>340</v>
      </c>
      <c r="W37" s="10" t="s">
        <v>90</v>
      </c>
      <c r="X37" s="10" t="s">
        <v>341</v>
      </c>
      <c r="Y37" s="73" t="str">
        <f>VLOOKUP(D37,TIPOLOGIAS!A:F,6,0)</f>
        <v>TIPO I</v>
      </c>
      <c r="Z37" s="73" t="str">
        <f>VLOOKUP(D37,TIPOLOGIAS!A:F,5,0)</f>
        <v>TERRESTRE</v>
      </c>
      <c r="AA37" s="10" t="s">
        <v>286</v>
      </c>
      <c r="AB37" s="75">
        <v>1</v>
      </c>
      <c r="AC37" s="76">
        <f>IF(AND(W37="SOPORTE_TELEFÓNICO",OR(U37="SIN CONTACTO CON EL CB",U37="NÚMEROS DE CONTACTO ERRADOS")),0,IF(W37="SOPORTE_TELEFÓNICO",'BASE DE LIQUIDACION 2025'!$B$9,IF(Y37="TIPO I",'BASE DE LIQUIDACION 2025'!$C$3,IF(Y37="TIPO II",'BASE DE LIQUIDACION 2025'!$C$4,IF(Y37="TIPO III",'BASE DE LIQUIDACION 2025'!$C$5,'BASE DE LIQUIDACION 2025'!$C$6)))))</f>
        <v>44559.563999999998</v>
      </c>
      <c r="AD37" s="76">
        <f>IF(W37="SOPORTE_TELEFÓNICO",AC37,CIERRES!AB37*CIERRES!AC37)</f>
        <v>44559.563999999998</v>
      </c>
    </row>
    <row r="38" spans="1:30" s="63" customFormat="1" ht="13.15">
      <c r="A38" s="10" t="s">
        <v>271</v>
      </c>
      <c r="B38" s="73" t="str">
        <f>VLOOKUP(A38,'CENTRO DE COSTOS'!A:D,4,FALSE)</f>
        <v>JOSE MAURICIO HERNANDEZ ROJAS</v>
      </c>
      <c r="C38" s="73" t="str">
        <f>VLOOKUP(A38,'CENTRO DE COSTOS'!A:C,2,FALSE)</f>
        <v>0004-0001</v>
      </c>
      <c r="D38" s="10">
        <v>8001</v>
      </c>
      <c r="E38" s="10" t="s">
        <v>342</v>
      </c>
      <c r="F38" s="10">
        <v>10028</v>
      </c>
      <c r="G38" s="10" t="s">
        <v>78</v>
      </c>
      <c r="H38" s="10" t="s">
        <v>273</v>
      </c>
      <c r="I38" s="10" t="s">
        <v>271</v>
      </c>
      <c r="J38" s="10" t="s">
        <v>343</v>
      </c>
      <c r="K38" s="10" t="s">
        <v>81</v>
      </c>
      <c r="L38" s="10" t="s">
        <v>344</v>
      </c>
      <c r="M38" s="74">
        <v>45917.708333333343</v>
      </c>
      <c r="N38" s="74">
        <v>45919.663888888892</v>
      </c>
      <c r="O38" s="10"/>
      <c r="P38" s="10" t="s">
        <v>83</v>
      </c>
      <c r="Q38" s="10" t="s">
        <v>83</v>
      </c>
      <c r="R38" s="10" t="s">
        <v>86</v>
      </c>
      <c r="S38" s="10" t="s">
        <v>86</v>
      </c>
      <c r="T38" s="10" t="s">
        <v>96</v>
      </c>
      <c r="U38" s="10" t="s">
        <v>97</v>
      </c>
      <c r="V38" s="10" t="s">
        <v>345</v>
      </c>
      <c r="W38" s="10" t="s">
        <v>90</v>
      </c>
      <c r="X38" s="10" t="s">
        <v>346</v>
      </c>
      <c r="Y38" s="73" t="str">
        <f>VLOOKUP(D38,TIPOLOGIAS!A:F,6,0)</f>
        <v>TIPO I</v>
      </c>
      <c r="Z38" s="73" t="str">
        <f>VLOOKUP(D38,TIPOLOGIAS!A:F,5,0)</f>
        <v>TERRESTRE</v>
      </c>
      <c r="AA38" s="10" t="s">
        <v>278</v>
      </c>
      <c r="AB38" s="75">
        <v>1</v>
      </c>
      <c r="AC38" s="76">
        <f>IF(AND(W38="SOPORTE_TELEFÓNICO",OR(U38="SIN CONTACTO CON EL CB",U38="NÚMEROS DE CONTACTO ERRADOS")),0,IF(W38="SOPORTE_TELEFÓNICO",'BASE DE LIQUIDACION 2025'!$B$9,IF(Y38="TIPO I",'BASE DE LIQUIDACION 2025'!$C$3,IF(Y38="TIPO II",'BASE DE LIQUIDACION 2025'!$C$4,IF(Y38="TIPO III",'BASE DE LIQUIDACION 2025'!$C$5,'BASE DE LIQUIDACION 2025'!$C$6)))))</f>
        <v>44559.563999999998</v>
      </c>
      <c r="AD38" s="76">
        <f>IF(W38="SOPORTE_TELEFÓNICO",AC38,CIERRES!AB38*CIERRES!AC38)</f>
        <v>44559.563999999998</v>
      </c>
    </row>
    <row r="39" spans="1:30" s="63" customFormat="1" ht="13.15">
      <c r="A39" s="10" t="s">
        <v>76</v>
      </c>
      <c r="B39" s="73" t="str">
        <f>VLOOKUP(A39,'CENTRO DE COSTOS'!A:D,4,FALSE)</f>
        <v>WILLIAM ASDRUBAL ROZO ROZO</v>
      </c>
      <c r="C39" s="73" t="str">
        <f>VLOOKUP(A39,'CENTRO DE COSTOS'!A:C,2,FALSE)</f>
        <v>0004-0004</v>
      </c>
      <c r="D39" s="10">
        <v>25473</v>
      </c>
      <c r="E39" s="10" t="s">
        <v>347</v>
      </c>
      <c r="F39" s="10">
        <v>68158</v>
      </c>
      <c r="G39" s="10" t="s">
        <v>78</v>
      </c>
      <c r="H39" s="10" t="s">
        <v>79</v>
      </c>
      <c r="I39" s="10" t="s">
        <v>204</v>
      </c>
      <c r="J39" s="10" t="s">
        <v>348</v>
      </c>
      <c r="K39" s="10" t="s">
        <v>81</v>
      </c>
      <c r="L39" s="10" t="s">
        <v>349</v>
      </c>
      <c r="M39" s="74">
        <v>45917.708333333343</v>
      </c>
      <c r="N39" s="74">
        <v>45920.492361111108</v>
      </c>
      <c r="O39" s="10"/>
      <c r="P39" s="10" t="s">
        <v>83</v>
      </c>
      <c r="Q39" s="10" t="s">
        <v>83</v>
      </c>
      <c r="R39" s="10" t="s">
        <v>86</v>
      </c>
      <c r="S39" s="10" t="s">
        <v>86</v>
      </c>
      <c r="T39" s="10" t="s">
        <v>147</v>
      </c>
      <c r="U39" s="10" t="s">
        <v>148</v>
      </c>
      <c r="V39" s="10" t="s">
        <v>350</v>
      </c>
      <c r="W39" s="10" t="s">
        <v>90</v>
      </c>
      <c r="X39" s="10" t="s">
        <v>351</v>
      </c>
      <c r="Y39" s="73" t="str">
        <f>VLOOKUP(D39,TIPOLOGIAS!A:F,6,0)</f>
        <v>TIPO I</v>
      </c>
      <c r="Z39" s="73" t="str">
        <f>VLOOKUP(D39,TIPOLOGIAS!A:F,5,0)</f>
        <v>TERRESTRE</v>
      </c>
      <c r="AA39" s="10" t="s">
        <v>352</v>
      </c>
      <c r="AB39" s="75">
        <v>1</v>
      </c>
      <c r="AC39" s="76">
        <f>IF(AND(W39="SOPORTE_TELEFÓNICO",OR(U39="SIN CONTACTO CON EL CB",U39="NÚMEROS DE CONTACTO ERRADOS")),0,IF(W39="SOPORTE_TELEFÓNICO",'BASE DE LIQUIDACION 2025'!$B$9,IF(Y39="TIPO I",'BASE DE LIQUIDACION 2025'!$C$3,IF(Y39="TIPO II",'BASE DE LIQUIDACION 2025'!$C$4,IF(Y39="TIPO III",'BASE DE LIQUIDACION 2025'!$C$5,'BASE DE LIQUIDACION 2025'!$C$6)))))</f>
        <v>44559.563999999998</v>
      </c>
      <c r="AD39" s="76">
        <f>IF(W39="SOPORTE_TELEFÓNICO",AC39,CIERRES!AB39*CIERRES!AC39)</f>
        <v>44559.563999999998</v>
      </c>
    </row>
    <row r="40" spans="1:30" s="63" customFormat="1" ht="13.15">
      <c r="A40" s="10" t="s">
        <v>302</v>
      </c>
      <c r="B40" s="73" t="str">
        <f>VLOOKUP(A40,'CENTRO DE COSTOS'!A:D,4,FALSE)</f>
        <v>KEVIN ALEXIS CORZO BUSTOS</v>
      </c>
      <c r="C40" s="73" t="str">
        <f>VLOOKUP(A40,'CENTRO DE COSTOS'!A:C,2,FALSE)</f>
        <v>0004-0007</v>
      </c>
      <c r="D40" s="10">
        <v>50001</v>
      </c>
      <c r="E40" s="10" t="s">
        <v>353</v>
      </c>
      <c r="F40" s="10">
        <v>60578</v>
      </c>
      <c r="G40" s="10" t="s">
        <v>78</v>
      </c>
      <c r="H40" s="10" t="s">
        <v>304</v>
      </c>
      <c r="I40" s="10" t="s">
        <v>302</v>
      </c>
      <c r="J40" s="10" t="s">
        <v>354</v>
      </c>
      <c r="K40" s="10" t="s">
        <v>81</v>
      </c>
      <c r="L40" s="10" t="s">
        <v>355</v>
      </c>
      <c r="M40" s="74">
        <v>45917.708333333343</v>
      </c>
      <c r="N40" s="74">
        <v>45918.636805555558</v>
      </c>
      <c r="O40" s="10"/>
      <c r="P40" s="10" t="s">
        <v>83</v>
      </c>
      <c r="Q40" s="10" t="s">
        <v>83</v>
      </c>
      <c r="R40" s="10" t="s">
        <v>86</v>
      </c>
      <c r="S40" s="10" t="s">
        <v>86</v>
      </c>
      <c r="T40" s="10" t="s">
        <v>96</v>
      </c>
      <c r="U40" s="10" t="s">
        <v>97</v>
      </c>
      <c r="V40" s="10" t="s">
        <v>356</v>
      </c>
      <c r="W40" s="10" t="s">
        <v>90</v>
      </c>
      <c r="X40" s="10" t="s">
        <v>357</v>
      </c>
      <c r="Y40" s="73" t="str">
        <f>VLOOKUP(D40,TIPOLOGIAS!A:F,6,0)</f>
        <v>TIPO I</v>
      </c>
      <c r="Z40" s="73" t="str">
        <f>VLOOKUP(D40,TIPOLOGIAS!A:F,5,0)</f>
        <v>TERRESTRE</v>
      </c>
      <c r="AA40" s="10" t="s">
        <v>358</v>
      </c>
      <c r="AB40" s="75">
        <v>1</v>
      </c>
      <c r="AC40" s="76">
        <f>IF(AND(W40="SOPORTE_TELEFÓNICO",OR(U40="SIN CONTACTO CON EL CB",U40="NÚMEROS DE CONTACTO ERRADOS")),0,IF(W40="SOPORTE_TELEFÓNICO",'BASE DE LIQUIDACION 2025'!$B$9,IF(Y40="TIPO I",'BASE DE LIQUIDACION 2025'!$C$3,IF(Y40="TIPO II",'BASE DE LIQUIDACION 2025'!$C$4,IF(Y40="TIPO III",'BASE DE LIQUIDACION 2025'!$C$5,'BASE DE LIQUIDACION 2025'!$C$6)))))</f>
        <v>44559.563999999998</v>
      </c>
      <c r="AD40" s="76">
        <f>IF(W40="SOPORTE_TELEFÓNICO",AC40,CIERRES!AB40*CIERRES!AC40)</f>
        <v>44559.563999999998</v>
      </c>
    </row>
    <row r="41" spans="1:30" s="63" customFormat="1" ht="13.15">
      <c r="A41" s="10" t="s">
        <v>302</v>
      </c>
      <c r="B41" s="73" t="str">
        <f>VLOOKUP(A41,'CENTRO DE COSTOS'!A:D,4,FALSE)</f>
        <v>KEVIN ALEXIS CORZO BUSTOS</v>
      </c>
      <c r="C41" s="73" t="str">
        <f>VLOOKUP(A41,'CENTRO DE COSTOS'!A:C,2,FALSE)</f>
        <v>0004-0007</v>
      </c>
      <c r="D41" s="10">
        <v>85440</v>
      </c>
      <c r="E41" s="10" t="s">
        <v>359</v>
      </c>
      <c r="F41" s="10">
        <v>34510</v>
      </c>
      <c r="G41" s="10" t="s">
        <v>78</v>
      </c>
      <c r="H41" s="10" t="s">
        <v>360</v>
      </c>
      <c r="I41" s="10" t="s">
        <v>361</v>
      </c>
      <c r="J41" s="10" t="s">
        <v>362</v>
      </c>
      <c r="K41" s="10" t="s">
        <v>81</v>
      </c>
      <c r="L41" s="10" t="s">
        <v>363</v>
      </c>
      <c r="M41" s="74">
        <v>45917.708333333343</v>
      </c>
      <c r="N41" s="74">
        <v>45918.668055555558</v>
      </c>
      <c r="O41" s="10"/>
      <c r="P41" s="10" t="s">
        <v>83</v>
      </c>
      <c r="Q41" s="10" t="s">
        <v>84</v>
      </c>
      <c r="R41" s="10" t="s">
        <v>86</v>
      </c>
      <c r="S41" s="10" t="s">
        <v>86</v>
      </c>
      <c r="T41" s="10" t="s">
        <v>96</v>
      </c>
      <c r="U41" s="10" t="s">
        <v>97</v>
      </c>
      <c r="V41" s="10" t="s">
        <v>364</v>
      </c>
      <c r="W41" s="10" t="s">
        <v>90</v>
      </c>
      <c r="X41" s="10" t="s">
        <v>165</v>
      </c>
      <c r="Y41" s="73" t="str">
        <f>VLOOKUP(D41,TIPOLOGIAS!A:F,6,0)</f>
        <v>TIPO III</v>
      </c>
      <c r="Z41" s="73" t="str">
        <f>VLOOKUP(D41,TIPOLOGIAS!A:F,5,0)</f>
        <v>TERRESTRE</v>
      </c>
      <c r="AA41" s="10" t="s">
        <v>365</v>
      </c>
      <c r="AB41" s="75">
        <v>1</v>
      </c>
      <c r="AC41" s="76">
        <f>IF(AND(W41="SOPORTE_TELEFÓNICO",OR(U41="SIN CONTACTO CON EL CB",U41="NÚMEROS DE CONTACTO ERRADOS")),0,IF(W41="SOPORTE_TELEFÓNICO",'BASE DE LIQUIDACION 2025'!$B$9,IF(Y41="TIPO I",'BASE DE LIQUIDACION 2025'!$C$3,IF(Y41="TIPO II",'BASE DE LIQUIDACION 2025'!$C$4,IF(Y41="TIPO III",'BASE DE LIQUIDACION 2025'!$C$5,'BASE DE LIQUIDACION 2025'!$C$6)))))</f>
        <v>222904.07200000001</v>
      </c>
      <c r="AD41" s="76">
        <f>IF(W41="SOPORTE_TELEFÓNICO",AC41,CIERRES!AB41*CIERRES!AC41)</f>
        <v>222904.07200000001</v>
      </c>
    </row>
    <row r="42" spans="1:30" s="63" customFormat="1" ht="13.15">
      <c r="A42" s="10" t="s">
        <v>76</v>
      </c>
      <c r="B42" s="73" t="str">
        <f>VLOOKUP(A42,'CENTRO DE COSTOS'!A:D,4,FALSE)</f>
        <v>WILLIAM ASDRUBAL ROZO ROZO</v>
      </c>
      <c r="C42" s="73" t="str">
        <f>VLOOKUP(A42,'CENTRO DE COSTOS'!A:C,2,FALSE)</f>
        <v>0004-0004</v>
      </c>
      <c r="D42" s="10">
        <v>11001</v>
      </c>
      <c r="E42" s="10" t="s">
        <v>366</v>
      </c>
      <c r="F42" s="10">
        <v>63057</v>
      </c>
      <c r="G42" s="10" t="s">
        <v>78</v>
      </c>
      <c r="H42" s="10" t="s">
        <v>79</v>
      </c>
      <c r="I42" s="10" t="s">
        <v>76</v>
      </c>
      <c r="J42" s="10" t="s">
        <v>367</v>
      </c>
      <c r="K42" s="10" t="s">
        <v>81</v>
      </c>
      <c r="L42" s="10" t="s">
        <v>368</v>
      </c>
      <c r="M42" s="74">
        <v>45917.708333333343</v>
      </c>
      <c r="N42" s="74">
        <v>45919.324305555558</v>
      </c>
      <c r="O42" s="10"/>
      <c r="P42" s="10" t="s">
        <v>83</v>
      </c>
      <c r="Q42" s="10" t="s">
        <v>84</v>
      </c>
      <c r="R42" s="10" t="s">
        <v>85</v>
      </c>
      <c r="S42" s="10" t="s">
        <v>86</v>
      </c>
      <c r="T42" s="10" t="s">
        <v>87</v>
      </c>
      <c r="U42" s="10" t="s">
        <v>88</v>
      </c>
      <c r="V42" s="10" t="s">
        <v>369</v>
      </c>
      <c r="W42" s="10" t="s">
        <v>90</v>
      </c>
      <c r="X42" s="10" t="s">
        <v>91</v>
      </c>
      <c r="Y42" s="73" t="str">
        <f>VLOOKUP(D42,TIPOLOGIAS!A:F,6,0)</f>
        <v>TIPO I</v>
      </c>
      <c r="Z42" s="73" t="str">
        <f>VLOOKUP(D42,TIPOLOGIAS!A:F,5,0)</f>
        <v>TERRESTRE</v>
      </c>
      <c r="AA42" s="10" t="s">
        <v>259</v>
      </c>
      <c r="AB42" s="75">
        <v>1</v>
      </c>
      <c r="AC42" s="76">
        <f>IF(AND(W42="SOPORTE_TELEFÓNICO",OR(U42="SIN CONTACTO CON EL CB",U42="NÚMEROS DE CONTACTO ERRADOS")),0,IF(W42="SOPORTE_TELEFÓNICO",'BASE DE LIQUIDACION 2025'!$B$9,IF(Y42="TIPO I",'BASE DE LIQUIDACION 2025'!$C$3,IF(Y42="TIPO II",'BASE DE LIQUIDACION 2025'!$C$4,IF(Y42="TIPO III",'BASE DE LIQUIDACION 2025'!$C$5,'BASE DE LIQUIDACION 2025'!$C$6)))))</f>
        <v>44559.563999999998</v>
      </c>
      <c r="AD42" s="76">
        <f>IF(W42="SOPORTE_TELEFÓNICO",AC42,CIERRES!AB42*CIERRES!AC42)</f>
        <v>44559.563999999998</v>
      </c>
    </row>
    <row r="43" spans="1:30" s="63" customFormat="1" ht="13.15">
      <c r="A43" s="10" t="s">
        <v>76</v>
      </c>
      <c r="B43" s="73" t="str">
        <f>VLOOKUP(A43,'CENTRO DE COSTOS'!A:D,4,FALSE)</f>
        <v>WILLIAM ASDRUBAL ROZO ROZO</v>
      </c>
      <c r="C43" s="73" t="str">
        <f>VLOOKUP(A43,'CENTRO DE COSTOS'!A:C,2,FALSE)</f>
        <v>0004-0004</v>
      </c>
      <c r="D43" s="10">
        <v>11001</v>
      </c>
      <c r="E43" s="10" t="s">
        <v>370</v>
      </c>
      <c r="F43" s="10">
        <v>72530</v>
      </c>
      <c r="G43" s="10" t="s">
        <v>78</v>
      </c>
      <c r="H43" s="10" t="s">
        <v>79</v>
      </c>
      <c r="I43" s="10" t="s">
        <v>76</v>
      </c>
      <c r="J43" s="10" t="s">
        <v>371</v>
      </c>
      <c r="K43" s="10" t="s">
        <v>81</v>
      </c>
      <c r="L43" s="10" t="s">
        <v>372</v>
      </c>
      <c r="M43" s="74">
        <v>45917.708333333343</v>
      </c>
      <c r="N43" s="74">
        <v>45918.635416666657</v>
      </c>
      <c r="O43" s="10"/>
      <c r="P43" s="10" t="s">
        <v>83</v>
      </c>
      <c r="Q43" s="10" t="s">
        <v>84</v>
      </c>
      <c r="R43" s="10" t="s">
        <v>85</v>
      </c>
      <c r="S43" s="10" t="s">
        <v>85</v>
      </c>
      <c r="T43" s="10" t="s">
        <v>96</v>
      </c>
      <c r="U43" s="10" t="s">
        <v>97</v>
      </c>
      <c r="V43" s="10" t="s">
        <v>373</v>
      </c>
      <c r="W43" s="10" t="s">
        <v>90</v>
      </c>
      <c r="X43" s="10" t="s">
        <v>374</v>
      </c>
      <c r="Y43" s="73" t="str">
        <f>VLOOKUP(D43,TIPOLOGIAS!A:F,6,0)</f>
        <v>TIPO I</v>
      </c>
      <c r="Z43" s="73" t="str">
        <f>VLOOKUP(D43,TIPOLOGIAS!A:F,5,0)</f>
        <v>TERRESTRE</v>
      </c>
      <c r="AA43" s="10" t="s">
        <v>375</v>
      </c>
      <c r="AB43" s="75">
        <v>1</v>
      </c>
      <c r="AC43" s="76">
        <f>IF(AND(W43="SOPORTE_TELEFÓNICO",OR(U43="SIN CONTACTO CON EL CB",U43="NÚMEROS DE CONTACTO ERRADOS")),0,IF(W43="SOPORTE_TELEFÓNICO",'BASE DE LIQUIDACION 2025'!$B$9,IF(Y43="TIPO I",'BASE DE LIQUIDACION 2025'!$C$3,IF(Y43="TIPO II",'BASE DE LIQUIDACION 2025'!$C$4,IF(Y43="TIPO III",'BASE DE LIQUIDACION 2025'!$C$5,'BASE DE LIQUIDACION 2025'!$C$6)))))</f>
        <v>44559.563999999998</v>
      </c>
      <c r="AD43" s="76">
        <f>IF(W43="SOPORTE_TELEFÓNICO",AC43,CIERRES!AB43*CIERRES!AC43)</f>
        <v>44559.563999999998</v>
      </c>
    </row>
    <row r="44" spans="1:30" s="63" customFormat="1" ht="13.15">
      <c r="A44" s="10" t="s">
        <v>188</v>
      </c>
      <c r="B44" s="73" t="str">
        <f>VLOOKUP(A44,'CENTRO DE COSTOS'!A:D,4,FALSE)</f>
        <v>MIGUEL JULIÁN HERNÁNDEZ GUARÍN</v>
      </c>
      <c r="C44" s="73" t="str">
        <f>VLOOKUP(A44,'CENTRO DE COSTOS'!A:C,2,FALSE)</f>
        <v>0004-0008</v>
      </c>
      <c r="D44" s="10">
        <v>68001</v>
      </c>
      <c r="E44" s="10" t="s">
        <v>376</v>
      </c>
      <c r="F44" s="10">
        <v>57288</v>
      </c>
      <c r="G44" s="10" t="s">
        <v>78</v>
      </c>
      <c r="H44" s="10" t="s">
        <v>190</v>
      </c>
      <c r="I44" s="10" t="s">
        <v>188</v>
      </c>
      <c r="J44" s="10" t="s">
        <v>377</v>
      </c>
      <c r="K44" s="10" t="s">
        <v>81</v>
      </c>
      <c r="L44" s="10" t="s">
        <v>378</v>
      </c>
      <c r="M44" s="74">
        <v>45916.70208333333</v>
      </c>
      <c r="N44" s="74">
        <v>45917.515277777777</v>
      </c>
      <c r="O44" s="10"/>
      <c r="P44" s="10" t="s">
        <v>83</v>
      </c>
      <c r="Q44" s="10" t="s">
        <v>83</v>
      </c>
      <c r="R44" s="10" t="s">
        <v>86</v>
      </c>
      <c r="S44" s="10" t="s">
        <v>86</v>
      </c>
      <c r="T44" s="10" t="s">
        <v>96</v>
      </c>
      <c r="U44" s="10" t="s">
        <v>97</v>
      </c>
      <c r="V44" s="10" t="s">
        <v>379</v>
      </c>
      <c r="W44" s="10" t="s">
        <v>90</v>
      </c>
      <c r="X44" s="10" t="s">
        <v>380</v>
      </c>
      <c r="Y44" s="73" t="str">
        <f>VLOOKUP(D44,TIPOLOGIAS!A:F,6,0)</f>
        <v>TIPO I</v>
      </c>
      <c r="Z44" s="73" t="str">
        <f>VLOOKUP(D44,TIPOLOGIAS!A:F,5,0)</f>
        <v>TERRESTRE</v>
      </c>
      <c r="AA44" s="10" t="s">
        <v>381</v>
      </c>
      <c r="AB44" s="75">
        <v>1</v>
      </c>
      <c r="AC44" s="76">
        <f>IF(AND(W44="SOPORTE_TELEFÓNICO",OR(U44="SIN CONTACTO CON EL CB",U44="NÚMEROS DE CONTACTO ERRADOS")),0,IF(W44="SOPORTE_TELEFÓNICO",'BASE DE LIQUIDACION 2025'!$B$9,IF(Y44="TIPO I",'BASE DE LIQUIDACION 2025'!$C$3,IF(Y44="TIPO II",'BASE DE LIQUIDACION 2025'!$C$4,IF(Y44="TIPO III",'BASE DE LIQUIDACION 2025'!$C$5,'BASE DE LIQUIDACION 2025'!$C$6)))))</f>
        <v>44559.563999999998</v>
      </c>
      <c r="AD44" s="76">
        <f>IF(W44="SOPORTE_TELEFÓNICO",AC44,CIERRES!AB44*CIERRES!AC44)</f>
        <v>44559.563999999998</v>
      </c>
    </row>
    <row r="45" spans="1:30" s="63" customFormat="1" ht="13.15">
      <c r="A45" s="10" t="s">
        <v>188</v>
      </c>
      <c r="B45" s="73" t="str">
        <f>VLOOKUP(A45,'CENTRO DE COSTOS'!A:D,4,FALSE)</f>
        <v>MIGUEL JULIÁN HERNÁNDEZ GUARÍN</v>
      </c>
      <c r="C45" s="73" t="str">
        <f>VLOOKUP(A45,'CENTRO DE COSTOS'!A:C,2,FALSE)</f>
        <v>0004-0008</v>
      </c>
      <c r="D45" s="10">
        <v>68190</v>
      </c>
      <c r="E45" s="10" t="s">
        <v>382</v>
      </c>
      <c r="F45" s="10">
        <v>57395</v>
      </c>
      <c r="G45" s="10" t="s">
        <v>78</v>
      </c>
      <c r="H45" s="10" t="s">
        <v>190</v>
      </c>
      <c r="I45" s="10" t="s">
        <v>383</v>
      </c>
      <c r="J45" s="10" t="s">
        <v>384</v>
      </c>
      <c r="K45" s="10" t="s">
        <v>81</v>
      </c>
      <c r="L45" s="10" t="s">
        <v>385</v>
      </c>
      <c r="M45" s="74">
        <v>45916.70208333333</v>
      </c>
      <c r="N45" s="74">
        <v>45918.676388888889</v>
      </c>
      <c r="O45" s="10"/>
      <c r="P45" s="10" t="s">
        <v>83</v>
      </c>
      <c r="Q45" s="10" t="s">
        <v>83</v>
      </c>
      <c r="R45" s="10" t="s">
        <v>85</v>
      </c>
      <c r="S45" s="10" t="s">
        <v>86</v>
      </c>
      <c r="T45" s="10" t="s">
        <v>96</v>
      </c>
      <c r="U45" s="10" t="s">
        <v>97</v>
      </c>
      <c r="V45" s="10" t="s">
        <v>386</v>
      </c>
      <c r="W45" s="10" t="s">
        <v>90</v>
      </c>
      <c r="X45" s="10" t="s">
        <v>387</v>
      </c>
      <c r="Y45" s="73" t="str">
        <f>VLOOKUP(D45,TIPOLOGIAS!A:F,6,0)</f>
        <v>TIPO IV</v>
      </c>
      <c r="Z45" s="73" t="str">
        <f>VLOOKUP(D45,TIPOLOGIAS!A:F,5,0)</f>
        <v>TERRESTRE</v>
      </c>
      <c r="AA45" s="10" t="s">
        <v>388</v>
      </c>
      <c r="AB45" s="75">
        <v>1</v>
      </c>
      <c r="AC45" s="76">
        <f>IF(AND(W45="SOPORTE_TELEFÓNICO",OR(U45="SIN CONTACTO CON EL CB",U45="NÚMEROS DE CONTACTO ERRADOS")),0,IF(W45="SOPORTE_TELEFÓNICO",'BASE DE LIQUIDACION 2025'!$B$9,IF(Y45="TIPO I",'BASE DE LIQUIDACION 2025'!$C$3,IF(Y45="TIPO II",'BASE DE LIQUIDACION 2025'!$C$4,IF(Y45="TIPO III",'BASE DE LIQUIDACION 2025'!$C$5,'BASE DE LIQUIDACION 2025'!$C$6)))))</f>
        <v>464809.36800000002</v>
      </c>
      <c r="AD45" s="76">
        <f>IF(W45="SOPORTE_TELEFÓNICO",AC45,CIERRES!AB45*CIERRES!AC45)</f>
        <v>464809.36800000002</v>
      </c>
    </row>
    <row r="46" spans="1:30" s="63" customFormat="1" ht="13.15">
      <c r="A46" s="10" t="s">
        <v>188</v>
      </c>
      <c r="B46" s="73" t="str">
        <f>VLOOKUP(A46,'CENTRO DE COSTOS'!A:D,4,FALSE)</f>
        <v>MIGUEL JULIÁN HERNÁNDEZ GUARÍN</v>
      </c>
      <c r="C46" s="73" t="str">
        <f>VLOOKUP(A46,'CENTRO DE COSTOS'!A:C,2,FALSE)</f>
        <v>0004-0008</v>
      </c>
      <c r="D46" s="10">
        <v>68276</v>
      </c>
      <c r="E46" s="10" t="s">
        <v>389</v>
      </c>
      <c r="F46" s="10">
        <v>70191</v>
      </c>
      <c r="G46" s="10" t="s">
        <v>78</v>
      </c>
      <c r="H46" s="10" t="s">
        <v>190</v>
      </c>
      <c r="I46" s="10" t="s">
        <v>191</v>
      </c>
      <c r="J46" s="10" t="s">
        <v>390</v>
      </c>
      <c r="K46" s="10" t="s">
        <v>81</v>
      </c>
      <c r="L46" s="10" t="s">
        <v>391</v>
      </c>
      <c r="M46" s="74">
        <v>45916.70208333333</v>
      </c>
      <c r="N46" s="74">
        <v>45918.382638888892</v>
      </c>
      <c r="O46" s="10"/>
      <c r="P46" s="10" t="s">
        <v>83</v>
      </c>
      <c r="Q46" s="10" t="s">
        <v>83</v>
      </c>
      <c r="R46" s="10" t="s">
        <v>86</v>
      </c>
      <c r="S46" s="10" t="s">
        <v>86</v>
      </c>
      <c r="T46" s="10" t="s">
        <v>87</v>
      </c>
      <c r="U46" s="10" t="s">
        <v>88</v>
      </c>
      <c r="V46" s="10" t="s">
        <v>392</v>
      </c>
      <c r="W46" s="10" t="s">
        <v>90</v>
      </c>
      <c r="X46" s="10" t="s">
        <v>393</v>
      </c>
      <c r="Y46" s="73" t="str">
        <f>VLOOKUP(D46,TIPOLOGIAS!A:F,6,0)</f>
        <v>TIPO I</v>
      </c>
      <c r="Z46" s="73" t="str">
        <f>VLOOKUP(D46,TIPOLOGIAS!A:F,5,0)</f>
        <v>TERRESTRE</v>
      </c>
      <c r="AA46" s="10" t="s">
        <v>196</v>
      </c>
      <c r="AB46" s="75">
        <v>1</v>
      </c>
      <c r="AC46" s="76">
        <f>IF(AND(W46="SOPORTE_TELEFÓNICO",OR(U46="SIN CONTACTO CON EL CB",U46="NÚMEROS DE CONTACTO ERRADOS")),0,IF(W46="SOPORTE_TELEFÓNICO",'BASE DE LIQUIDACION 2025'!$B$9,IF(Y46="TIPO I",'BASE DE LIQUIDACION 2025'!$C$3,IF(Y46="TIPO II",'BASE DE LIQUIDACION 2025'!$C$4,IF(Y46="TIPO III",'BASE DE LIQUIDACION 2025'!$C$5,'BASE DE LIQUIDACION 2025'!$C$6)))))</f>
        <v>44559.563999999998</v>
      </c>
      <c r="AD46" s="76">
        <f>IF(W46="SOPORTE_TELEFÓNICO",AC46,CIERRES!AB46*CIERRES!AC46)</f>
        <v>44559.563999999998</v>
      </c>
    </row>
    <row r="47" spans="1:30" s="63" customFormat="1" ht="13.15">
      <c r="A47" s="10" t="s">
        <v>112</v>
      </c>
      <c r="B47" s="73" t="str">
        <f>VLOOKUP(A47,'CENTRO DE COSTOS'!A:D,4,FALSE)</f>
        <v>DIEGO FERNANDO HENAO CARDONA</v>
      </c>
      <c r="C47" s="73" t="str">
        <f>VLOOKUP(A47,'CENTRO DE COSTOS'!A:C,2,FALSE)</f>
        <v>0004-0003</v>
      </c>
      <c r="D47" s="10">
        <v>76001</v>
      </c>
      <c r="E47" s="10" t="s">
        <v>394</v>
      </c>
      <c r="F47" s="10">
        <v>34308</v>
      </c>
      <c r="G47" s="10" t="s">
        <v>78</v>
      </c>
      <c r="H47" s="10" t="s">
        <v>143</v>
      </c>
      <c r="I47" s="10" t="s">
        <v>112</v>
      </c>
      <c r="J47" s="10" t="s">
        <v>395</v>
      </c>
      <c r="K47" s="10" t="s">
        <v>81</v>
      </c>
      <c r="L47" s="10" t="s">
        <v>396</v>
      </c>
      <c r="M47" s="74">
        <v>45916.70208333333</v>
      </c>
      <c r="N47" s="74">
        <v>45918.504166666673</v>
      </c>
      <c r="O47" s="10"/>
      <c r="P47" s="10" t="s">
        <v>83</v>
      </c>
      <c r="Q47" s="10" t="s">
        <v>83</v>
      </c>
      <c r="R47" s="10" t="s">
        <v>86</v>
      </c>
      <c r="S47" s="10" t="s">
        <v>86</v>
      </c>
      <c r="T47" s="10" t="s">
        <v>96</v>
      </c>
      <c r="U47" s="10" t="s">
        <v>339</v>
      </c>
      <c r="V47" s="10" t="s">
        <v>397</v>
      </c>
      <c r="W47" s="10" t="s">
        <v>90</v>
      </c>
      <c r="X47" s="10" t="s">
        <v>398</v>
      </c>
      <c r="Y47" s="73" t="str">
        <f>VLOOKUP(D47,TIPOLOGIAS!A:F,6,0)</f>
        <v>TIPO I</v>
      </c>
      <c r="Z47" s="73" t="str">
        <f>VLOOKUP(D47,TIPOLOGIAS!A:F,5,0)</f>
        <v>TERRESTRE</v>
      </c>
      <c r="AA47" s="10" t="s">
        <v>399</v>
      </c>
      <c r="AB47" s="75">
        <v>1</v>
      </c>
      <c r="AC47" s="76">
        <f>IF(AND(W47="SOPORTE_TELEFÓNICO",OR(U47="SIN CONTACTO CON EL CB",U47="NÚMEROS DE CONTACTO ERRADOS")),0,IF(W47="SOPORTE_TELEFÓNICO",'BASE DE LIQUIDACION 2025'!$B$9,IF(Y47="TIPO I",'BASE DE LIQUIDACION 2025'!$C$3,IF(Y47="TIPO II",'BASE DE LIQUIDACION 2025'!$C$4,IF(Y47="TIPO III",'BASE DE LIQUIDACION 2025'!$C$5,'BASE DE LIQUIDACION 2025'!$C$6)))))</f>
        <v>44559.563999999998</v>
      </c>
      <c r="AD47" s="76">
        <f>IF(W47="SOPORTE_TELEFÓNICO",AC47,CIERRES!AB47*CIERRES!AC47)</f>
        <v>44559.563999999998</v>
      </c>
    </row>
    <row r="48" spans="1:30" s="63" customFormat="1" ht="13.15">
      <c r="A48" s="10" t="s">
        <v>76</v>
      </c>
      <c r="B48" s="73" t="str">
        <f>VLOOKUP(A48,'CENTRO DE COSTOS'!A:D,4,FALSE)</f>
        <v>WILLIAM ASDRUBAL ROZO ROZO</v>
      </c>
      <c r="C48" s="73" t="str">
        <f>VLOOKUP(A48,'CENTRO DE COSTOS'!A:C,2,FALSE)</f>
        <v>0004-0004</v>
      </c>
      <c r="D48" s="10">
        <v>11001</v>
      </c>
      <c r="E48" s="10" t="s">
        <v>400</v>
      </c>
      <c r="F48" s="10">
        <v>43118</v>
      </c>
      <c r="G48" s="10" t="s">
        <v>78</v>
      </c>
      <c r="H48" s="10" t="s">
        <v>79</v>
      </c>
      <c r="I48" s="10" t="s">
        <v>76</v>
      </c>
      <c r="J48" s="10" t="s">
        <v>401</v>
      </c>
      <c r="K48" s="10" t="s">
        <v>81</v>
      </c>
      <c r="L48" s="10" t="s">
        <v>402</v>
      </c>
      <c r="M48" s="74">
        <v>45916.70208333333</v>
      </c>
      <c r="N48" s="74">
        <v>45918.384027777778</v>
      </c>
      <c r="O48" s="10"/>
      <c r="P48" s="10" t="s">
        <v>83</v>
      </c>
      <c r="Q48" s="10" t="s">
        <v>83</v>
      </c>
      <c r="R48" s="10" t="s">
        <v>85</v>
      </c>
      <c r="S48" s="10" t="s">
        <v>86</v>
      </c>
      <c r="T48" s="10" t="s">
        <v>96</v>
      </c>
      <c r="U48" s="10" t="s">
        <v>97</v>
      </c>
      <c r="V48" s="10" t="s">
        <v>403</v>
      </c>
      <c r="W48" s="10" t="s">
        <v>90</v>
      </c>
      <c r="X48" s="10" t="s">
        <v>404</v>
      </c>
      <c r="Y48" s="73" t="str">
        <f>VLOOKUP(D48,TIPOLOGIAS!A:F,6,0)</f>
        <v>TIPO I</v>
      </c>
      <c r="Z48" s="73" t="str">
        <f>VLOOKUP(D48,TIPOLOGIAS!A:F,5,0)</f>
        <v>TERRESTRE</v>
      </c>
      <c r="AA48" s="10" t="s">
        <v>405</v>
      </c>
      <c r="AB48" s="75">
        <v>1</v>
      </c>
      <c r="AC48" s="76">
        <f>IF(AND(W48="SOPORTE_TELEFÓNICO",OR(U48="SIN CONTACTO CON EL CB",U48="NÚMEROS DE CONTACTO ERRADOS")),0,IF(W48="SOPORTE_TELEFÓNICO",'BASE DE LIQUIDACION 2025'!$B$9,IF(Y48="TIPO I",'BASE DE LIQUIDACION 2025'!$C$3,IF(Y48="TIPO II",'BASE DE LIQUIDACION 2025'!$C$4,IF(Y48="TIPO III",'BASE DE LIQUIDACION 2025'!$C$5,'BASE DE LIQUIDACION 2025'!$C$6)))))</f>
        <v>44559.563999999998</v>
      </c>
      <c r="AD48" s="76">
        <f>IF(W48="SOPORTE_TELEFÓNICO",AC48,CIERRES!AB48*CIERRES!AC48)</f>
        <v>44559.563999999998</v>
      </c>
    </row>
    <row r="49" spans="1:30" s="63" customFormat="1" ht="13.15">
      <c r="A49" s="10" t="s">
        <v>112</v>
      </c>
      <c r="B49" s="73" t="str">
        <f>VLOOKUP(A49,'CENTRO DE COSTOS'!A:D,4,FALSE)</f>
        <v>DIEGO FERNANDO HENAO CARDONA</v>
      </c>
      <c r="C49" s="73" t="str">
        <f>VLOOKUP(A49,'CENTRO DE COSTOS'!A:C,2,FALSE)</f>
        <v>0004-0003</v>
      </c>
      <c r="D49" s="10">
        <v>76001</v>
      </c>
      <c r="E49" s="10" t="s">
        <v>406</v>
      </c>
      <c r="F49" s="10">
        <v>64726</v>
      </c>
      <c r="G49" s="10" t="s">
        <v>78</v>
      </c>
      <c r="H49" s="10" t="s">
        <v>143</v>
      </c>
      <c r="I49" s="10" t="s">
        <v>112</v>
      </c>
      <c r="J49" s="10" t="s">
        <v>407</v>
      </c>
      <c r="K49" s="10" t="s">
        <v>81</v>
      </c>
      <c r="L49" s="10" t="s">
        <v>408</v>
      </c>
      <c r="M49" s="74">
        <v>45916.70208333333</v>
      </c>
      <c r="N49" s="74">
        <v>45919.351388888892</v>
      </c>
      <c r="O49" s="10"/>
      <c r="P49" s="10" t="s">
        <v>83</v>
      </c>
      <c r="Q49" s="10" t="s">
        <v>83</v>
      </c>
      <c r="R49" s="10" t="s">
        <v>86</v>
      </c>
      <c r="S49" s="10" t="s">
        <v>86</v>
      </c>
      <c r="T49" s="10" t="s">
        <v>96</v>
      </c>
      <c r="U49" s="10" t="s">
        <v>97</v>
      </c>
      <c r="V49" s="10" t="s">
        <v>409</v>
      </c>
      <c r="W49" s="10" t="s">
        <v>90</v>
      </c>
      <c r="X49" s="10" t="s">
        <v>91</v>
      </c>
      <c r="Y49" s="73" t="str">
        <f>VLOOKUP(D49,TIPOLOGIAS!A:F,6,0)</f>
        <v>TIPO I</v>
      </c>
      <c r="Z49" s="73" t="str">
        <f>VLOOKUP(D49,TIPOLOGIAS!A:F,5,0)</f>
        <v>TERRESTRE</v>
      </c>
      <c r="AA49" s="10" t="s">
        <v>410</v>
      </c>
      <c r="AB49" s="75">
        <v>1</v>
      </c>
      <c r="AC49" s="76">
        <f>IF(AND(W49="SOPORTE_TELEFÓNICO",OR(U49="SIN CONTACTO CON EL CB",U49="NÚMEROS DE CONTACTO ERRADOS")),0,IF(W49="SOPORTE_TELEFÓNICO",'BASE DE LIQUIDACION 2025'!$B$9,IF(Y49="TIPO I",'BASE DE LIQUIDACION 2025'!$C$3,IF(Y49="TIPO II",'BASE DE LIQUIDACION 2025'!$C$4,IF(Y49="TIPO III",'BASE DE LIQUIDACION 2025'!$C$5,'BASE DE LIQUIDACION 2025'!$C$6)))))</f>
        <v>44559.563999999998</v>
      </c>
      <c r="AD49" s="76">
        <f>IF(W49="SOPORTE_TELEFÓNICO",AC49,CIERRES!AB49*CIERRES!AC49)</f>
        <v>44559.563999999998</v>
      </c>
    </row>
    <row r="50" spans="1:30" s="63" customFormat="1" ht="13.15">
      <c r="A50" s="10" t="s">
        <v>158</v>
      </c>
      <c r="B50" s="73" t="str">
        <f>VLOOKUP(A50,'CENTRO DE COSTOS'!A:D,4,FALSE)</f>
        <v>JUAN SEBASTIÁN RÍOS CASTRILLÓN</v>
      </c>
      <c r="C50" s="73" t="str">
        <f>VLOOKUP(A50,'CENTRO DE COSTOS'!A:C,2,FALSE)</f>
        <v>0004-0005</v>
      </c>
      <c r="D50" s="10">
        <v>5380</v>
      </c>
      <c r="E50" s="10" t="s">
        <v>411</v>
      </c>
      <c r="F50" s="10">
        <v>49130</v>
      </c>
      <c r="G50" s="10" t="s">
        <v>78</v>
      </c>
      <c r="H50" s="10" t="s">
        <v>160</v>
      </c>
      <c r="I50" s="10" t="s">
        <v>412</v>
      </c>
      <c r="J50" s="10" t="s">
        <v>413</v>
      </c>
      <c r="K50" s="10" t="s">
        <v>81</v>
      </c>
      <c r="L50" s="10" t="s">
        <v>414</v>
      </c>
      <c r="M50" s="74">
        <v>45915.680555555547</v>
      </c>
      <c r="N50" s="74">
        <v>45916.651388888888</v>
      </c>
      <c r="O50" s="10"/>
      <c r="P50" s="10" t="s">
        <v>83</v>
      </c>
      <c r="Q50" s="10" t="s">
        <v>83</v>
      </c>
      <c r="R50" s="10" t="s">
        <v>107</v>
      </c>
      <c r="S50" s="10" t="s">
        <v>108</v>
      </c>
      <c r="T50" s="10" t="s">
        <v>87</v>
      </c>
      <c r="U50" s="10" t="s">
        <v>88</v>
      </c>
      <c r="V50" s="10" t="s">
        <v>415</v>
      </c>
      <c r="W50" s="10" t="s">
        <v>90</v>
      </c>
      <c r="X50" s="10" t="s">
        <v>416</v>
      </c>
      <c r="Y50" s="73" t="str">
        <f>VLOOKUP(D50,TIPOLOGIAS!A:F,6,0)</f>
        <v>TIPO I</v>
      </c>
      <c r="Z50" s="73" t="str">
        <f>VLOOKUP(D50,TIPOLOGIAS!A:F,5,0)</f>
        <v>TERRESTRE</v>
      </c>
      <c r="AA50" s="10" t="s">
        <v>202</v>
      </c>
      <c r="AB50" s="75">
        <v>1</v>
      </c>
      <c r="AC50" s="76">
        <f>IF(AND(W50="SOPORTE_TELEFÓNICO",OR(U50="SIN CONTACTO CON EL CB",U50="NÚMEROS DE CONTACTO ERRADOS")),0,IF(W50="SOPORTE_TELEFÓNICO",'BASE DE LIQUIDACION 2025'!$B$9,IF(Y50="TIPO I",'BASE DE LIQUIDACION 2025'!$C$3,IF(Y50="TIPO II",'BASE DE LIQUIDACION 2025'!$C$4,IF(Y50="TIPO III",'BASE DE LIQUIDACION 2025'!$C$5,'BASE DE LIQUIDACION 2025'!$C$6)))))</f>
        <v>44559.563999999998</v>
      </c>
      <c r="AD50" s="76">
        <f>IF(W50="SOPORTE_TELEFÓNICO",AC50,CIERRES!AB50*CIERRES!AC50)</f>
        <v>44559.563999999998</v>
      </c>
    </row>
    <row r="51" spans="1:30" s="63" customFormat="1" ht="13.15">
      <c r="A51" s="10" t="s">
        <v>188</v>
      </c>
      <c r="B51" s="73" t="str">
        <f>VLOOKUP(A51,'CENTRO DE COSTOS'!A:D,4,FALSE)</f>
        <v>MIGUEL JULIÁN HERNÁNDEZ GUARÍN</v>
      </c>
      <c r="C51" s="73" t="str">
        <f>VLOOKUP(A51,'CENTRO DE COSTOS'!A:C,2,FALSE)</f>
        <v>0004-0008</v>
      </c>
      <c r="D51" s="10">
        <v>68081</v>
      </c>
      <c r="E51" s="10" t="s">
        <v>417</v>
      </c>
      <c r="F51" s="10">
        <v>42183</v>
      </c>
      <c r="G51" s="10" t="s">
        <v>78</v>
      </c>
      <c r="H51" s="10" t="s">
        <v>190</v>
      </c>
      <c r="I51" s="10" t="s">
        <v>418</v>
      </c>
      <c r="J51" s="10" t="s">
        <v>419</v>
      </c>
      <c r="K51" s="10" t="s">
        <v>81</v>
      </c>
      <c r="L51" s="10" t="s">
        <v>420</v>
      </c>
      <c r="M51" s="74">
        <v>45915.680555555547</v>
      </c>
      <c r="N51" s="74">
        <v>45918.361111111109</v>
      </c>
      <c r="O51" s="10"/>
      <c r="P51" s="10" t="s">
        <v>83</v>
      </c>
      <c r="Q51" s="10" t="s">
        <v>83</v>
      </c>
      <c r="R51" s="10" t="s">
        <v>107</v>
      </c>
      <c r="S51" s="10" t="s">
        <v>108</v>
      </c>
      <c r="T51" s="10" t="s">
        <v>96</v>
      </c>
      <c r="U51" s="10" t="s">
        <v>97</v>
      </c>
      <c r="V51" s="10" t="s">
        <v>421</v>
      </c>
      <c r="W51" s="10" t="s">
        <v>90</v>
      </c>
      <c r="X51" s="10" t="s">
        <v>422</v>
      </c>
      <c r="Y51" s="73" t="str">
        <f>VLOOKUP(D51,TIPOLOGIAS!A:F,6,0)</f>
        <v>TIPO III</v>
      </c>
      <c r="Z51" s="73" t="str">
        <f>VLOOKUP(D51,TIPOLOGIAS!A:F,5,0)</f>
        <v>TERRESTRE</v>
      </c>
      <c r="AA51" s="10" t="s">
        <v>423</v>
      </c>
      <c r="AB51" s="75">
        <v>1</v>
      </c>
      <c r="AC51" s="76">
        <f>IF(AND(W51="SOPORTE_TELEFÓNICO",OR(U51="SIN CONTACTO CON EL CB",U51="NÚMEROS DE CONTACTO ERRADOS")),0,IF(W51="SOPORTE_TELEFÓNICO",'BASE DE LIQUIDACION 2025'!$B$9,IF(Y51="TIPO I",'BASE DE LIQUIDACION 2025'!$C$3,IF(Y51="TIPO II",'BASE DE LIQUIDACION 2025'!$C$4,IF(Y51="TIPO III",'BASE DE LIQUIDACION 2025'!$C$5,'BASE DE LIQUIDACION 2025'!$C$6)))))</f>
        <v>222904.07200000001</v>
      </c>
      <c r="AD51" s="76">
        <f>IF(W51="SOPORTE_TELEFÓNICO",AC51,CIERRES!AB51*CIERRES!AC51)</f>
        <v>222904.07200000001</v>
      </c>
    </row>
    <row r="52" spans="1:30" s="63" customFormat="1" ht="13.15">
      <c r="A52" s="10" t="s">
        <v>158</v>
      </c>
      <c r="B52" s="73" t="str">
        <f>VLOOKUP(A52,'CENTRO DE COSTOS'!A:D,4,FALSE)</f>
        <v>JUAN SEBASTIÁN RÍOS CASTRILLÓN</v>
      </c>
      <c r="C52" s="73" t="str">
        <f>VLOOKUP(A52,'CENTRO DE COSTOS'!A:C,2,FALSE)</f>
        <v>0004-0005</v>
      </c>
      <c r="D52" s="10">
        <v>15572</v>
      </c>
      <c r="E52" s="10" t="s">
        <v>424</v>
      </c>
      <c r="F52" s="10">
        <v>31843</v>
      </c>
      <c r="G52" s="10" t="s">
        <v>78</v>
      </c>
      <c r="H52" s="10" t="s">
        <v>128</v>
      </c>
      <c r="I52" s="10" t="s">
        <v>425</v>
      </c>
      <c r="J52" s="10" t="s">
        <v>426</v>
      </c>
      <c r="K52" s="10" t="s">
        <v>81</v>
      </c>
      <c r="L52" s="10" t="s">
        <v>427</v>
      </c>
      <c r="M52" s="74">
        <v>45915.680555555547</v>
      </c>
      <c r="N52" s="74">
        <v>45918.363194444442</v>
      </c>
      <c r="O52" s="10"/>
      <c r="P52" s="10" t="s">
        <v>83</v>
      </c>
      <c r="Q52" s="10" t="s">
        <v>84</v>
      </c>
      <c r="R52" s="10" t="s">
        <v>428</v>
      </c>
      <c r="S52" s="10" t="s">
        <v>429</v>
      </c>
      <c r="T52" s="10" t="s">
        <v>96</v>
      </c>
      <c r="U52" s="10" t="s">
        <v>339</v>
      </c>
      <c r="V52" s="10" t="s">
        <v>430</v>
      </c>
      <c r="W52" s="10" t="s">
        <v>90</v>
      </c>
      <c r="X52" s="10" t="s">
        <v>431</v>
      </c>
      <c r="Y52" s="73" t="str">
        <f>VLOOKUP(D52,TIPOLOGIAS!A:F,6,0)</f>
        <v>TIPO IV</v>
      </c>
      <c r="Z52" s="73" t="str">
        <f>VLOOKUP(D52,TIPOLOGIAS!A:F,5,0)</f>
        <v>TERRESTRE</v>
      </c>
      <c r="AA52" s="10" t="s">
        <v>432</v>
      </c>
      <c r="AB52" s="75">
        <v>1</v>
      </c>
      <c r="AC52" s="76">
        <f>IF(AND(W52="SOPORTE_TELEFÓNICO",OR(U52="SIN CONTACTO CON EL CB",U52="NÚMEROS DE CONTACTO ERRADOS")),0,IF(W52="SOPORTE_TELEFÓNICO",'BASE DE LIQUIDACION 2025'!$B$9,IF(Y52="TIPO I",'BASE DE LIQUIDACION 2025'!$C$3,IF(Y52="TIPO II",'BASE DE LIQUIDACION 2025'!$C$4,IF(Y52="TIPO III",'BASE DE LIQUIDACION 2025'!$C$5,'BASE DE LIQUIDACION 2025'!$C$6)))))</f>
        <v>464809.36800000002</v>
      </c>
      <c r="AD52" s="76">
        <f>IF(W52="SOPORTE_TELEFÓNICO",AC52,CIERRES!AB52*CIERRES!AC52)</f>
        <v>464809.36800000002</v>
      </c>
    </row>
    <row r="53" spans="1:30" s="63" customFormat="1" ht="13.15">
      <c r="A53" s="10" t="s">
        <v>76</v>
      </c>
      <c r="B53" s="73" t="str">
        <f>VLOOKUP(A53,'CENTRO DE COSTOS'!A:D,4,FALSE)</f>
        <v>WILLIAM ASDRUBAL ROZO ROZO</v>
      </c>
      <c r="C53" s="73" t="str">
        <f>VLOOKUP(A53,'CENTRO DE COSTOS'!A:C,2,FALSE)</f>
        <v>0004-0004</v>
      </c>
      <c r="D53" s="10">
        <v>11001</v>
      </c>
      <c r="E53" s="10" t="s">
        <v>433</v>
      </c>
      <c r="F53" s="10">
        <v>18301</v>
      </c>
      <c r="G53" s="10" t="s">
        <v>78</v>
      </c>
      <c r="H53" s="10" t="s">
        <v>79</v>
      </c>
      <c r="I53" s="10" t="s">
        <v>76</v>
      </c>
      <c r="J53" s="10" t="s">
        <v>434</v>
      </c>
      <c r="K53" s="10" t="s">
        <v>81</v>
      </c>
      <c r="L53" s="10" t="s">
        <v>435</v>
      </c>
      <c r="M53" s="74">
        <v>45915.680555555547</v>
      </c>
      <c r="N53" s="74">
        <v>45917.512499999997</v>
      </c>
      <c r="O53" s="10"/>
      <c r="P53" s="10" t="s">
        <v>83</v>
      </c>
      <c r="Q53" s="10" t="s">
        <v>84</v>
      </c>
      <c r="R53" s="10" t="s">
        <v>428</v>
      </c>
      <c r="S53" s="10" t="s">
        <v>436</v>
      </c>
      <c r="T53" s="10" t="s">
        <v>96</v>
      </c>
      <c r="U53" s="10" t="s">
        <v>339</v>
      </c>
      <c r="V53" s="10" t="s">
        <v>437</v>
      </c>
      <c r="W53" s="10" t="s">
        <v>90</v>
      </c>
      <c r="X53" s="10" t="s">
        <v>438</v>
      </c>
      <c r="Y53" s="73" t="str">
        <f>VLOOKUP(D53,TIPOLOGIAS!A:F,6,0)</f>
        <v>TIPO I</v>
      </c>
      <c r="Z53" s="73" t="str">
        <f>VLOOKUP(D53,TIPOLOGIAS!A:F,5,0)</f>
        <v>TERRESTRE</v>
      </c>
      <c r="AA53" s="10" t="s">
        <v>100</v>
      </c>
      <c r="AB53" s="75">
        <v>1</v>
      </c>
      <c r="AC53" s="76">
        <f>IF(AND(W53="SOPORTE_TELEFÓNICO",OR(U53="SIN CONTACTO CON EL CB",U53="NÚMEROS DE CONTACTO ERRADOS")),0,IF(W53="SOPORTE_TELEFÓNICO",'BASE DE LIQUIDACION 2025'!$B$9,IF(Y53="TIPO I",'BASE DE LIQUIDACION 2025'!$C$3,IF(Y53="TIPO II",'BASE DE LIQUIDACION 2025'!$C$4,IF(Y53="TIPO III",'BASE DE LIQUIDACION 2025'!$C$5,'BASE DE LIQUIDACION 2025'!$C$6)))))</f>
        <v>44559.563999999998</v>
      </c>
      <c r="AD53" s="76">
        <f>IF(W53="SOPORTE_TELEFÓNICO",AC53,CIERRES!AB53*CIERRES!AC53)</f>
        <v>44559.563999999998</v>
      </c>
    </row>
    <row r="54" spans="1:30" s="63" customFormat="1" ht="13.15">
      <c r="A54" s="10" t="s">
        <v>76</v>
      </c>
      <c r="B54" s="73" t="str">
        <f>VLOOKUP(A54,'CENTRO DE COSTOS'!A:D,4,FALSE)</f>
        <v>WILLIAM ASDRUBAL ROZO ROZO</v>
      </c>
      <c r="C54" s="73" t="str">
        <f>VLOOKUP(A54,'CENTRO DE COSTOS'!A:C,2,FALSE)</f>
        <v>0004-0004</v>
      </c>
      <c r="D54" s="10">
        <v>11001</v>
      </c>
      <c r="E54" s="10" t="s">
        <v>439</v>
      </c>
      <c r="F54" s="10">
        <v>56213</v>
      </c>
      <c r="G54" s="10" t="s">
        <v>78</v>
      </c>
      <c r="H54" s="10" t="s">
        <v>79</v>
      </c>
      <c r="I54" s="10" t="s">
        <v>76</v>
      </c>
      <c r="J54" s="10" t="s">
        <v>80</v>
      </c>
      <c r="K54" s="10" t="s">
        <v>81</v>
      </c>
      <c r="L54" s="10" t="s">
        <v>440</v>
      </c>
      <c r="M54" s="74">
        <v>45915.680555555547</v>
      </c>
      <c r="N54" s="74">
        <v>45918.374305555553</v>
      </c>
      <c r="O54" s="10"/>
      <c r="P54" s="10" t="s">
        <v>83</v>
      </c>
      <c r="Q54" s="10" t="s">
        <v>83</v>
      </c>
      <c r="R54" s="10" t="s">
        <v>85</v>
      </c>
      <c r="S54" s="10" t="s">
        <v>86</v>
      </c>
      <c r="T54" s="10" t="s">
        <v>96</v>
      </c>
      <c r="U54" s="10" t="s">
        <v>97</v>
      </c>
      <c r="V54" s="10" t="s">
        <v>441</v>
      </c>
      <c r="W54" s="10" t="s">
        <v>90</v>
      </c>
      <c r="X54" s="10" t="s">
        <v>442</v>
      </c>
      <c r="Y54" s="73" t="str">
        <f>VLOOKUP(D54,TIPOLOGIAS!A:F,6,0)</f>
        <v>TIPO I</v>
      </c>
      <c r="Z54" s="73" t="str">
        <f>VLOOKUP(D54,TIPOLOGIAS!A:F,5,0)</f>
        <v>TERRESTRE</v>
      </c>
      <c r="AA54" s="10" t="s">
        <v>100</v>
      </c>
      <c r="AB54" s="75">
        <v>1</v>
      </c>
      <c r="AC54" s="76">
        <f>IF(AND(W54="SOPORTE_TELEFÓNICO",OR(U54="SIN CONTACTO CON EL CB",U54="NÚMEROS DE CONTACTO ERRADOS")),0,IF(W54="SOPORTE_TELEFÓNICO",'BASE DE LIQUIDACION 2025'!$B$9,IF(Y54="TIPO I",'BASE DE LIQUIDACION 2025'!$C$3,IF(Y54="TIPO II",'BASE DE LIQUIDACION 2025'!$C$4,IF(Y54="TIPO III",'BASE DE LIQUIDACION 2025'!$C$5,'BASE DE LIQUIDACION 2025'!$C$6)))))</f>
        <v>44559.563999999998</v>
      </c>
      <c r="AD54" s="76">
        <f>IF(W54="SOPORTE_TELEFÓNICO",AC54,CIERRES!AB54*CIERRES!AC54)</f>
        <v>44559.563999999998</v>
      </c>
    </row>
    <row r="55" spans="1:30" s="63" customFormat="1" ht="13.15">
      <c r="A55" s="10" t="s">
        <v>76</v>
      </c>
      <c r="B55" s="73" t="str">
        <f>VLOOKUP(A55,'CENTRO DE COSTOS'!A:D,4,FALSE)</f>
        <v>WILLIAM ASDRUBAL ROZO ROZO</v>
      </c>
      <c r="C55" s="73" t="str">
        <f>VLOOKUP(A55,'CENTRO DE COSTOS'!A:C,2,FALSE)</f>
        <v>0004-0004</v>
      </c>
      <c r="D55" s="10">
        <v>11001</v>
      </c>
      <c r="E55" s="10" t="s">
        <v>443</v>
      </c>
      <c r="F55" s="10">
        <v>74490</v>
      </c>
      <c r="G55" s="10" t="s">
        <v>78</v>
      </c>
      <c r="H55" s="10" t="s">
        <v>79</v>
      </c>
      <c r="I55" s="10" t="s">
        <v>76</v>
      </c>
      <c r="J55" s="10" t="s">
        <v>444</v>
      </c>
      <c r="K55" s="10" t="s">
        <v>81</v>
      </c>
      <c r="L55" s="10" t="s">
        <v>445</v>
      </c>
      <c r="M55" s="74">
        <v>45915.680555555547</v>
      </c>
      <c r="N55" s="74">
        <v>45918.381249999999</v>
      </c>
      <c r="O55" s="10"/>
      <c r="P55" s="10" t="s">
        <v>83</v>
      </c>
      <c r="Q55" s="10" t="s">
        <v>84</v>
      </c>
      <c r="R55" s="10" t="s">
        <v>85</v>
      </c>
      <c r="S55" s="10" t="s">
        <v>85</v>
      </c>
      <c r="T55" s="10" t="s">
        <v>87</v>
      </c>
      <c r="U55" s="10" t="s">
        <v>88</v>
      </c>
      <c r="V55" s="10" t="s">
        <v>446</v>
      </c>
      <c r="W55" s="10" t="s">
        <v>90</v>
      </c>
      <c r="X55" s="10" t="s">
        <v>308</v>
      </c>
      <c r="Y55" s="73" t="str">
        <f>VLOOKUP(D55,TIPOLOGIAS!A:F,6,0)</f>
        <v>TIPO I</v>
      </c>
      <c r="Z55" s="73" t="str">
        <f>VLOOKUP(D55,TIPOLOGIAS!A:F,5,0)</f>
        <v>TERRESTRE</v>
      </c>
      <c r="AA55" s="10" t="s">
        <v>447</v>
      </c>
      <c r="AB55" s="75">
        <v>1</v>
      </c>
      <c r="AC55" s="76">
        <f>IF(AND(W55="SOPORTE_TELEFÓNICO",OR(U55="SIN CONTACTO CON EL CB",U55="NÚMEROS DE CONTACTO ERRADOS")),0,IF(W55="SOPORTE_TELEFÓNICO",'BASE DE LIQUIDACION 2025'!$B$9,IF(Y55="TIPO I",'BASE DE LIQUIDACION 2025'!$C$3,IF(Y55="TIPO II",'BASE DE LIQUIDACION 2025'!$C$4,IF(Y55="TIPO III",'BASE DE LIQUIDACION 2025'!$C$5,'BASE DE LIQUIDACION 2025'!$C$6)))))</f>
        <v>44559.563999999998</v>
      </c>
      <c r="AD55" s="76">
        <f>IF(W55="SOPORTE_TELEFÓNICO",AC55,CIERRES!AB55*CIERRES!AC55)</f>
        <v>44559.563999999998</v>
      </c>
    </row>
    <row r="56" spans="1:30" s="63" customFormat="1" ht="13.15">
      <c r="A56" s="10" t="s">
        <v>76</v>
      </c>
      <c r="B56" s="73" t="str">
        <f>VLOOKUP(A56,'CENTRO DE COSTOS'!A:D,4,FALSE)</f>
        <v>WILLIAM ASDRUBAL ROZO ROZO</v>
      </c>
      <c r="C56" s="73" t="str">
        <f>VLOOKUP(A56,'CENTRO DE COSTOS'!A:C,2,FALSE)</f>
        <v>0004-0004</v>
      </c>
      <c r="D56" s="10">
        <v>25320</v>
      </c>
      <c r="E56" s="10" t="s">
        <v>448</v>
      </c>
      <c r="F56" s="10">
        <v>76091</v>
      </c>
      <c r="G56" s="10" t="s">
        <v>78</v>
      </c>
      <c r="H56" s="10" t="s">
        <v>79</v>
      </c>
      <c r="I56" s="10" t="s">
        <v>449</v>
      </c>
      <c r="J56" s="10" t="s">
        <v>450</v>
      </c>
      <c r="K56" s="10" t="s">
        <v>81</v>
      </c>
      <c r="L56" s="10" t="s">
        <v>451</v>
      </c>
      <c r="M56" s="74">
        <v>45913.375</v>
      </c>
      <c r="N56" s="74">
        <v>45917.61041666667</v>
      </c>
      <c r="O56" s="10"/>
      <c r="P56" s="10" t="s">
        <v>83</v>
      </c>
      <c r="Q56" s="10" t="s">
        <v>83</v>
      </c>
      <c r="R56" s="10"/>
      <c r="S56" s="10"/>
      <c r="T56" s="10" t="s">
        <v>96</v>
      </c>
      <c r="U56" s="10" t="s">
        <v>97</v>
      </c>
      <c r="V56" s="10" t="s">
        <v>452</v>
      </c>
      <c r="W56" s="10" t="s">
        <v>90</v>
      </c>
      <c r="X56" s="10" t="s">
        <v>110</v>
      </c>
      <c r="Y56" s="73" t="str">
        <f>VLOOKUP(D56,TIPOLOGIAS!A:F,6,0)</f>
        <v>TIPO III</v>
      </c>
      <c r="Z56" s="73" t="str">
        <f>VLOOKUP(D56,TIPOLOGIAS!A:F,5,0)</f>
        <v>TERRESTRE</v>
      </c>
      <c r="AA56" s="10" t="s">
        <v>453</v>
      </c>
      <c r="AB56" s="75">
        <v>1</v>
      </c>
      <c r="AC56" s="76">
        <f>IF(AND(W56="SOPORTE_TELEFÓNICO",OR(U56="SIN CONTACTO CON EL CB",U56="NÚMEROS DE CONTACTO ERRADOS")),0,IF(W56="SOPORTE_TELEFÓNICO",'BASE DE LIQUIDACION 2025'!$B$9,IF(Y56="TIPO I",'BASE DE LIQUIDACION 2025'!$C$3,IF(Y56="TIPO II",'BASE DE LIQUIDACION 2025'!$C$4,IF(Y56="TIPO III",'BASE DE LIQUIDACION 2025'!$C$5,'BASE DE LIQUIDACION 2025'!$C$6)))))</f>
        <v>222904.07200000001</v>
      </c>
      <c r="AD56" s="76">
        <f>IF(W56="SOPORTE_TELEFÓNICO",AC56,CIERRES!AB56*CIERRES!AC56)</f>
        <v>222904.07200000001</v>
      </c>
    </row>
    <row r="57" spans="1:30" s="63" customFormat="1" ht="13.15">
      <c r="A57" s="10" t="s">
        <v>76</v>
      </c>
      <c r="B57" s="73" t="str">
        <f>VLOOKUP(A57,'CENTRO DE COSTOS'!A:D,4,FALSE)</f>
        <v>WILLIAM ASDRUBAL ROZO ROZO</v>
      </c>
      <c r="C57" s="73" t="str">
        <f>VLOOKUP(A57,'CENTRO DE COSTOS'!A:C,2,FALSE)</f>
        <v>0004-0004</v>
      </c>
      <c r="D57" s="10">
        <v>11001</v>
      </c>
      <c r="E57" s="10" t="s">
        <v>454</v>
      </c>
      <c r="F57" s="10">
        <v>63341</v>
      </c>
      <c r="G57" s="10" t="s">
        <v>78</v>
      </c>
      <c r="H57" s="10" t="s">
        <v>79</v>
      </c>
      <c r="I57" s="10" t="s">
        <v>76</v>
      </c>
      <c r="J57" s="10" t="s">
        <v>455</v>
      </c>
      <c r="K57" s="10" t="s">
        <v>81</v>
      </c>
      <c r="L57" s="10" t="s">
        <v>456</v>
      </c>
      <c r="M57" s="74">
        <v>45913.375</v>
      </c>
      <c r="N57" s="74">
        <v>45916.378472222219</v>
      </c>
      <c r="O57" s="10"/>
      <c r="P57" s="10" t="s">
        <v>83</v>
      </c>
      <c r="Q57" s="10" t="s">
        <v>83</v>
      </c>
      <c r="R57" s="10" t="s">
        <v>107</v>
      </c>
      <c r="S57" s="10" t="s">
        <v>185</v>
      </c>
      <c r="T57" s="10" t="s">
        <v>96</v>
      </c>
      <c r="U57" s="10" t="s">
        <v>97</v>
      </c>
      <c r="V57" s="10" t="s">
        <v>457</v>
      </c>
      <c r="W57" s="10" t="s">
        <v>90</v>
      </c>
      <c r="X57" s="10" t="s">
        <v>458</v>
      </c>
      <c r="Y57" s="73" t="str">
        <f>VLOOKUP(D57,TIPOLOGIAS!A:F,6,0)</f>
        <v>TIPO I</v>
      </c>
      <c r="Z57" s="73" t="str">
        <f>VLOOKUP(D57,TIPOLOGIAS!A:F,5,0)</f>
        <v>TERRESTRE</v>
      </c>
      <c r="AA57" s="10" t="s">
        <v>209</v>
      </c>
      <c r="AB57" s="75">
        <v>1</v>
      </c>
      <c r="AC57" s="76">
        <f>IF(AND(W57="SOPORTE_TELEFÓNICO",OR(U57="SIN CONTACTO CON EL CB",U57="NÚMEROS DE CONTACTO ERRADOS")),0,IF(W57="SOPORTE_TELEFÓNICO",'BASE DE LIQUIDACION 2025'!$B$9,IF(Y57="TIPO I",'BASE DE LIQUIDACION 2025'!$C$3,IF(Y57="TIPO II",'BASE DE LIQUIDACION 2025'!$C$4,IF(Y57="TIPO III",'BASE DE LIQUIDACION 2025'!$C$5,'BASE DE LIQUIDACION 2025'!$C$6)))))</f>
        <v>44559.563999999998</v>
      </c>
      <c r="AD57" s="76">
        <f>IF(W57="SOPORTE_TELEFÓNICO",AC57,CIERRES!AB57*CIERRES!AC57)</f>
        <v>44559.563999999998</v>
      </c>
    </row>
    <row r="58" spans="1:30" s="63" customFormat="1" ht="13.15">
      <c r="A58" s="10" t="s">
        <v>76</v>
      </c>
      <c r="B58" s="73" t="str">
        <f>VLOOKUP(A58,'CENTRO DE COSTOS'!A:D,4,FALSE)</f>
        <v>WILLIAM ASDRUBAL ROZO ROZO</v>
      </c>
      <c r="C58" s="73" t="str">
        <f>VLOOKUP(A58,'CENTRO DE COSTOS'!A:C,2,FALSE)</f>
        <v>0004-0004</v>
      </c>
      <c r="D58" s="10">
        <v>11001</v>
      </c>
      <c r="E58" s="10" t="s">
        <v>459</v>
      </c>
      <c r="F58" s="10">
        <v>33556</v>
      </c>
      <c r="G58" s="10" t="s">
        <v>78</v>
      </c>
      <c r="H58" s="10" t="s">
        <v>79</v>
      </c>
      <c r="I58" s="10" t="s">
        <v>76</v>
      </c>
      <c r="J58" s="10" t="s">
        <v>460</v>
      </c>
      <c r="K58" s="10" t="s">
        <v>81</v>
      </c>
      <c r="L58" s="10" t="s">
        <v>461</v>
      </c>
      <c r="M58" s="74">
        <v>45913.375</v>
      </c>
      <c r="N58" s="74">
        <v>45917.412499999999</v>
      </c>
      <c r="O58" s="10"/>
      <c r="P58" s="10" t="s">
        <v>83</v>
      </c>
      <c r="Q58" s="10" t="s">
        <v>84</v>
      </c>
      <c r="R58" s="10" t="s">
        <v>107</v>
      </c>
      <c r="S58" s="10" t="s">
        <v>108</v>
      </c>
      <c r="T58" s="10" t="s">
        <v>87</v>
      </c>
      <c r="U58" s="10" t="s">
        <v>88</v>
      </c>
      <c r="V58" s="10" t="s">
        <v>462</v>
      </c>
      <c r="W58" s="10" t="s">
        <v>90</v>
      </c>
      <c r="X58" s="10" t="s">
        <v>91</v>
      </c>
      <c r="Y58" s="73" t="str">
        <f>VLOOKUP(D58,TIPOLOGIAS!A:F,6,0)</f>
        <v>TIPO I</v>
      </c>
      <c r="Z58" s="73" t="str">
        <f>VLOOKUP(D58,TIPOLOGIAS!A:F,5,0)</f>
        <v>TERRESTRE</v>
      </c>
      <c r="AA58" s="10" t="s">
        <v>92</v>
      </c>
      <c r="AB58" s="75">
        <v>1</v>
      </c>
      <c r="AC58" s="76">
        <f>IF(AND(W58="SOPORTE_TELEFÓNICO",OR(U58="SIN CONTACTO CON EL CB",U58="NÚMEROS DE CONTACTO ERRADOS")),0,IF(W58="SOPORTE_TELEFÓNICO",'BASE DE LIQUIDACION 2025'!$B$9,IF(Y58="TIPO I",'BASE DE LIQUIDACION 2025'!$C$3,IF(Y58="TIPO II",'BASE DE LIQUIDACION 2025'!$C$4,IF(Y58="TIPO III",'BASE DE LIQUIDACION 2025'!$C$5,'BASE DE LIQUIDACION 2025'!$C$6)))))</f>
        <v>44559.563999999998</v>
      </c>
      <c r="AD58" s="76">
        <f>IF(W58="SOPORTE_TELEFÓNICO",AC58,CIERRES!AB58*CIERRES!AC58)</f>
        <v>44559.563999999998</v>
      </c>
    </row>
    <row r="59" spans="1:30" s="63" customFormat="1" ht="13.15">
      <c r="A59" s="10" t="s">
        <v>158</v>
      </c>
      <c r="B59" s="73" t="str">
        <f>VLOOKUP(A59,'CENTRO DE COSTOS'!A:D,4,FALSE)</f>
        <v>JUAN SEBASTIÁN RÍOS CASTRILLÓN</v>
      </c>
      <c r="C59" s="73" t="str">
        <f>VLOOKUP(A59,'CENTRO DE COSTOS'!A:C,2,FALSE)</f>
        <v>0004-0005</v>
      </c>
      <c r="D59" s="10">
        <v>5001</v>
      </c>
      <c r="E59" s="10" t="s">
        <v>463</v>
      </c>
      <c r="F59" s="10">
        <v>12600</v>
      </c>
      <c r="G59" s="10" t="s">
        <v>78</v>
      </c>
      <c r="H59" s="10" t="s">
        <v>160</v>
      </c>
      <c r="I59" s="10" t="s">
        <v>158</v>
      </c>
      <c r="J59" s="10" t="s">
        <v>464</v>
      </c>
      <c r="K59" s="10" t="s">
        <v>81</v>
      </c>
      <c r="L59" s="10" t="s">
        <v>465</v>
      </c>
      <c r="M59" s="74">
        <v>45911.659722222219</v>
      </c>
      <c r="N59" s="74">
        <v>45913.506249999999</v>
      </c>
      <c r="O59" s="10"/>
      <c r="P59" s="10" t="s">
        <v>83</v>
      </c>
      <c r="Q59" s="10" t="s">
        <v>83</v>
      </c>
      <c r="R59" s="10" t="s">
        <v>86</v>
      </c>
      <c r="S59" s="10" t="s">
        <v>86</v>
      </c>
      <c r="T59" s="10" t="s">
        <v>96</v>
      </c>
      <c r="U59" s="10" t="s">
        <v>97</v>
      </c>
      <c r="V59" s="10" t="s">
        <v>466</v>
      </c>
      <c r="W59" s="10" t="s">
        <v>90</v>
      </c>
      <c r="X59" s="10" t="s">
        <v>308</v>
      </c>
      <c r="Y59" s="73" t="str">
        <f>VLOOKUP(D59,TIPOLOGIAS!A:F,6,0)</f>
        <v>TIPO I</v>
      </c>
      <c r="Z59" s="73" t="str">
        <f>VLOOKUP(D59,TIPOLOGIAS!A:F,5,0)</f>
        <v>TERRESTRE</v>
      </c>
      <c r="AA59" s="10" t="s">
        <v>467</v>
      </c>
      <c r="AB59" s="75">
        <v>1</v>
      </c>
      <c r="AC59" s="76">
        <f>IF(AND(W59="SOPORTE_TELEFÓNICO",OR(U59="SIN CONTACTO CON EL CB",U59="NÚMEROS DE CONTACTO ERRADOS")),0,IF(W59="SOPORTE_TELEFÓNICO",'BASE DE LIQUIDACION 2025'!$B$9,IF(Y59="TIPO I",'BASE DE LIQUIDACION 2025'!$C$3,IF(Y59="TIPO II",'BASE DE LIQUIDACION 2025'!$C$4,IF(Y59="TIPO III",'BASE DE LIQUIDACION 2025'!$C$5,'BASE DE LIQUIDACION 2025'!$C$6)))))</f>
        <v>44559.563999999998</v>
      </c>
      <c r="AD59" s="76">
        <f>IF(W59="SOPORTE_TELEFÓNICO",AC59,CIERRES!AB59*CIERRES!AC59)</f>
        <v>44559.563999999998</v>
      </c>
    </row>
    <row r="60" spans="1:30" s="63" customFormat="1" ht="13.15">
      <c r="A60" s="10" t="s">
        <v>126</v>
      </c>
      <c r="B60" s="73" t="str">
        <f>VLOOKUP(A60,'CENTRO DE COSTOS'!A:D,4,FALSE)</f>
        <v>MIGUEL JULIÁN HERNÁNDEZ GUARÍN</v>
      </c>
      <c r="C60" s="73" t="str">
        <f>VLOOKUP(A60,'CENTRO DE COSTOS'!A:C,2,FALSE)</f>
        <v>0004-0008</v>
      </c>
      <c r="D60" s="10">
        <v>15001</v>
      </c>
      <c r="E60" s="10" t="s">
        <v>468</v>
      </c>
      <c r="F60" s="10">
        <v>41641</v>
      </c>
      <c r="G60" s="10" t="s">
        <v>78</v>
      </c>
      <c r="H60" s="10" t="s">
        <v>128</v>
      </c>
      <c r="I60" s="10" t="s">
        <v>126</v>
      </c>
      <c r="J60" s="10" t="s">
        <v>469</v>
      </c>
      <c r="K60" s="10" t="s">
        <v>81</v>
      </c>
      <c r="L60" s="10" t="s">
        <v>470</v>
      </c>
      <c r="M60" s="74">
        <v>45911.659722222219</v>
      </c>
      <c r="N60" s="74">
        <v>45912.734027777777</v>
      </c>
      <c r="O60" s="10"/>
      <c r="P60" s="10" t="s">
        <v>83</v>
      </c>
      <c r="Q60" s="10" t="s">
        <v>83</v>
      </c>
      <c r="R60" s="10" t="s">
        <v>86</v>
      </c>
      <c r="S60" s="10" t="s">
        <v>86</v>
      </c>
      <c r="T60" s="10" t="s">
        <v>96</v>
      </c>
      <c r="U60" s="10" t="s">
        <v>97</v>
      </c>
      <c r="V60" s="10" t="s">
        <v>471</v>
      </c>
      <c r="W60" s="10" t="s">
        <v>134</v>
      </c>
      <c r="X60" s="10" t="s">
        <v>91</v>
      </c>
      <c r="Y60" s="73" t="str">
        <f>VLOOKUP(D60,TIPOLOGIAS!A:F,6,0)</f>
        <v>TIPO I</v>
      </c>
      <c r="Z60" s="73" t="str">
        <f>VLOOKUP(D60,TIPOLOGIAS!A:F,5,0)</f>
        <v>TERRESTRE</v>
      </c>
      <c r="AA60" s="10" t="s">
        <v>472</v>
      </c>
      <c r="AB60" s="77">
        <v>0</v>
      </c>
      <c r="AC60" s="76">
        <f>IF(AND(W60="SOPORTE_TELEFÓNICO",OR(U60="SIN CONTACTO CON EL CB",U60="NÚMEROS DE CONTACTO ERRADOS")),0,IF(W60="SOPORTE_TELEFÓNICO",'BASE DE LIQUIDACION 2025'!$B$9,IF(Y60="TIPO I",'BASE DE LIQUIDACION 2025'!$C$3,IF(Y60="TIPO II",'BASE DE LIQUIDACION 2025'!$C$4,IF(Y60="TIPO III",'BASE DE LIQUIDACION 2025'!$C$5,'BASE DE LIQUIDACION 2025'!$C$6)))))</f>
        <v>37904.612000000001</v>
      </c>
      <c r="AD60" s="76">
        <f>IF(W60="SOPORTE_TELEFÓNICO",AC60,CIERRES!AB60*CIERRES!AC60)</f>
        <v>37904.612000000001</v>
      </c>
    </row>
    <row r="61" spans="1:30" s="63" customFormat="1" ht="13.15">
      <c r="A61" s="10" t="s">
        <v>287</v>
      </c>
      <c r="B61" s="73" t="str">
        <f>VLOOKUP(A61,'CENTRO DE COSTOS'!A:D,4,FALSE)</f>
        <v>KEVIN ALEXIS CORZO BUSTOS</v>
      </c>
      <c r="C61" s="73" t="str">
        <f>VLOOKUP(A61,'CENTRO DE COSTOS'!A:C,2,FALSE)</f>
        <v>0004-0007</v>
      </c>
      <c r="D61" s="10">
        <v>18001</v>
      </c>
      <c r="E61" s="10" t="s">
        <v>473</v>
      </c>
      <c r="F61" s="10">
        <v>80786</v>
      </c>
      <c r="G61" s="10" t="s">
        <v>78</v>
      </c>
      <c r="H61" s="10" t="s">
        <v>289</v>
      </c>
      <c r="I61" s="10" t="s">
        <v>290</v>
      </c>
      <c r="J61" s="10" t="s">
        <v>474</v>
      </c>
      <c r="K61" s="10" t="s">
        <v>81</v>
      </c>
      <c r="L61" s="10" t="s">
        <v>475</v>
      </c>
      <c r="M61" s="74">
        <v>45911.659722222219</v>
      </c>
      <c r="N61" s="74">
        <v>45917.392361111109</v>
      </c>
      <c r="O61" s="10"/>
      <c r="P61" s="10" t="s">
        <v>83</v>
      </c>
      <c r="Q61" s="10" t="s">
        <v>83</v>
      </c>
      <c r="R61" s="10" t="s">
        <v>85</v>
      </c>
      <c r="S61" s="10" t="s">
        <v>85</v>
      </c>
      <c r="T61" s="10" t="s">
        <v>96</v>
      </c>
      <c r="U61" s="10" t="s">
        <v>97</v>
      </c>
      <c r="V61" s="10" t="s">
        <v>476</v>
      </c>
      <c r="W61" s="10" t="s">
        <v>90</v>
      </c>
      <c r="X61" s="10" t="s">
        <v>477</v>
      </c>
      <c r="Y61" s="73" t="str">
        <f>VLOOKUP(D61,TIPOLOGIAS!A:F,6,0)</f>
        <v>TIPO IV</v>
      </c>
      <c r="Z61" s="73" t="str">
        <f>VLOOKUP(D61,TIPOLOGIAS!A:F,5,0)</f>
        <v>TERRESTRE</v>
      </c>
      <c r="AA61" s="10" t="s">
        <v>295</v>
      </c>
      <c r="AB61" s="75">
        <v>1</v>
      </c>
      <c r="AC61" s="76">
        <f>IF(AND(W61="SOPORTE_TELEFÓNICO",OR(U61="SIN CONTACTO CON EL CB",U61="NÚMEROS DE CONTACTO ERRADOS")),0,IF(W61="SOPORTE_TELEFÓNICO",'BASE DE LIQUIDACION 2025'!$B$9,IF(Y61="TIPO I",'BASE DE LIQUIDACION 2025'!$C$3,IF(Y61="TIPO II",'BASE DE LIQUIDACION 2025'!$C$4,IF(Y61="TIPO III",'BASE DE LIQUIDACION 2025'!$C$5,'BASE DE LIQUIDACION 2025'!$C$6)))))</f>
        <v>464809.36800000002</v>
      </c>
      <c r="AD61" s="76">
        <f>IF(W61="SOPORTE_TELEFÓNICO",AC61,CIERRES!AB61*CIERRES!AC61)</f>
        <v>464809.36800000002</v>
      </c>
    </row>
    <row r="62" spans="1:30" s="63" customFormat="1" ht="13.15">
      <c r="A62" s="10" t="s">
        <v>112</v>
      </c>
      <c r="B62" s="73" t="str">
        <f>VLOOKUP(A62,'CENTRO DE COSTOS'!A:D,4,FALSE)</f>
        <v>DIEGO FERNANDO HENAO CARDONA</v>
      </c>
      <c r="C62" s="73" t="str">
        <f>VLOOKUP(A62,'CENTRO DE COSTOS'!A:C,2,FALSE)</f>
        <v>0004-0003</v>
      </c>
      <c r="D62" s="10">
        <v>19001</v>
      </c>
      <c r="E62" s="10" t="s">
        <v>478</v>
      </c>
      <c r="F62" s="10">
        <v>66559</v>
      </c>
      <c r="G62" s="10" t="s">
        <v>78</v>
      </c>
      <c r="H62" s="10" t="s">
        <v>114</v>
      </c>
      <c r="I62" s="10" t="s">
        <v>479</v>
      </c>
      <c r="J62" s="10" t="s">
        <v>480</v>
      </c>
      <c r="K62" s="10" t="s">
        <v>81</v>
      </c>
      <c r="L62" s="10" t="s">
        <v>481</v>
      </c>
      <c r="M62" s="74">
        <v>45911.659722222219</v>
      </c>
      <c r="N62" s="74">
        <v>45912.645138888889</v>
      </c>
      <c r="O62" s="10"/>
      <c r="P62" s="10" t="s">
        <v>83</v>
      </c>
      <c r="Q62" s="10" t="s">
        <v>83</v>
      </c>
      <c r="R62" s="10" t="s">
        <v>86</v>
      </c>
      <c r="S62" s="10" t="s">
        <v>86</v>
      </c>
      <c r="T62" s="10" t="s">
        <v>87</v>
      </c>
      <c r="U62" s="10" t="s">
        <v>88</v>
      </c>
      <c r="V62" s="10" t="s">
        <v>482</v>
      </c>
      <c r="W62" s="10" t="s">
        <v>90</v>
      </c>
      <c r="X62" s="10" t="s">
        <v>483</v>
      </c>
      <c r="Y62" s="73" t="str">
        <f>VLOOKUP(D62,TIPOLOGIAS!A:F,6,0)</f>
        <v>TIPO III</v>
      </c>
      <c r="Z62" s="73" t="str">
        <f>VLOOKUP(D62,TIPOLOGIAS!A:F,5,0)</f>
        <v>TERRESTRE</v>
      </c>
      <c r="AA62" s="10" t="s">
        <v>120</v>
      </c>
      <c r="AB62" s="75">
        <v>1</v>
      </c>
      <c r="AC62" s="76">
        <f>IF(AND(W62="SOPORTE_TELEFÓNICO",OR(U62="SIN CONTACTO CON EL CB",U62="NÚMEROS DE CONTACTO ERRADOS")),0,IF(W62="SOPORTE_TELEFÓNICO",'BASE DE LIQUIDACION 2025'!$B$9,IF(Y62="TIPO I",'BASE DE LIQUIDACION 2025'!$C$3,IF(Y62="TIPO II",'BASE DE LIQUIDACION 2025'!$C$4,IF(Y62="TIPO III",'BASE DE LIQUIDACION 2025'!$C$5,'BASE DE LIQUIDACION 2025'!$C$6)))))</f>
        <v>222904.07200000001</v>
      </c>
      <c r="AD62" s="76">
        <f>IF(W62="SOPORTE_TELEFÓNICO",AC62,CIERRES!AB62*CIERRES!AC62)</f>
        <v>222904.07200000001</v>
      </c>
    </row>
    <row r="63" spans="1:30" s="63" customFormat="1" ht="13.15">
      <c r="A63" s="10" t="s">
        <v>484</v>
      </c>
      <c r="B63" s="73" t="str">
        <f>VLOOKUP(A63,'CENTRO DE COSTOS'!A:D,4,FALSE)</f>
        <v>JOSE MAURICIO HERNANDEZ ROJAS</v>
      </c>
      <c r="C63" s="73" t="str">
        <f>VLOOKUP(A63,'CENTRO DE COSTOS'!A:C,2,FALSE)</f>
        <v>0004-0001</v>
      </c>
      <c r="D63" s="10">
        <v>70708</v>
      </c>
      <c r="E63" s="10" t="s">
        <v>485</v>
      </c>
      <c r="F63" s="10">
        <v>67061</v>
      </c>
      <c r="G63" s="10" t="s">
        <v>78</v>
      </c>
      <c r="H63" s="10" t="s">
        <v>486</v>
      </c>
      <c r="I63" s="10" t="s">
        <v>487</v>
      </c>
      <c r="J63" s="10" t="s">
        <v>488</v>
      </c>
      <c r="K63" s="10" t="s">
        <v>81</v>
      </c>
      <c r="L63" s="10" t="s">
        <v>489</v>
      </c>
      <c r="M63" s="74">
        <v>45911.659722222219</v>
      </c>
      <c r="N63" s="74">
        <v>45917.59375</v>
      </c>
      <c r="O63" s="10"/>
      <c r="P63" s="10" t="s">
        <v>83</v>
      </c>
      <c r="Q63" s="10" t="s">
        <v>83</v>
      </c>
      <c r="R63" s="10" t="s">
        <v>85</v>
      </c>
      <c r="S63" s="10" t="s">
        <v>86</v>
      </c>
      <c r="T63" s="10" t="s">
        <v>96</v>
      </c>
      <c r="U63" s="10" t="s">
        <v>97</v>
      </c>
      <c r="V63" s="10" t="s">
        <v>490</v>
      </c>
      <c r="W63" s="10" t="s">
        <v>90</v>
      </c>
      <c r="X63" s="10" t="s">
        <v>491</v>
      </c>
      <c r="Y63" s="73" t="str">
        <f>VLOOKUP(D63,TIPOLOGIAS!A:F,6,0)</f>
        <v>TIPO III</v>
      </c>
      <c r="Z63" s="73" t="str">
        <f>VLOOKUP(D63,TIPOLOGIAS!A:F,5,0)</f>
        <v>TERRESTRE</v>
      </c>
      <c r="AA63" s="10" t="s">
        <v>492</v>
      </c>
      <c r="AB63" s="75">
        <v>1</v>
      </c>
      <c r="AC63" s="76">
        <f>IF(AND(W63="SOPORTE_TELEFÓNICO",OR(U63="SIN CONTACTO CON EL CB",U63="NÚMEROS DE CONTACTO ERRADOS")),0,IF(W63="SOPORTE_TELEFÓNICO",'BASE DE LIQUIDACION 2025'!$B$9,IF(Y63="TIPO I",'BASE DE LIQUIDACION 2025'!$C$3,IF(Y63="TIPO II",'BASE DE LIQUIDACION 2025'!$C$4,IF(Y63="TIPO III",'BASE DE LIQUIDACION 2025'!$C$5,'BASE DE LIQUIDACION 2025'!$C$6)))))</f>
        <v>222904.07200000001</v>
      </c>
      <c r="AD63" s="76">
        <f>IF(W63="SOPORTE_TELEFÓNICO",AC63,CIERRES!AB63*CIERRES!AC63)</f>
        <v>222904.07200000001</v>
      </c>
    </row>
    <row r="64" spans="1:30" s="63" customFormat="1" ht="13.15">
      <c r="A64" s="10" t="s">
        <v>484</v>
      </c>
      <c r="B64" s="73" t="str">
        <f>VLOOKUP(A64,'CENTRO DE COSTOS'!A:D,4,FALSE)</f>
        <v>JOSE MAURICIO HERNANDEZ ROJAS</v>
      </c>
      <c r="C64" s="73" t="str">
        <f>VLOOKUP(A64,'CENTRO DE COSTOS'!A:C,2,FALSE)</f>
        <v>0004-0001</v>
      </c>
      <c r="D64" s="10">
        <v>70708</v>
      </c>
      <c r="E64" s="10" t="s">
        <v>493</v>
      </c>
      <c r="F64" s="10">
        <v>71759</v>
      </c>
      <c r="G64" s="10" t="s">
        <v>78</v>
      </c>
      <c r="H64" s="10" t="s">
        <v>486</v>
      </c>
      <c r="I64" s="10" t="s">
        <v>487</v>
      </c>
      <c r="J64" s="10" t="s">
        <v>494</v>
      </c>
      <c r="K64" s="10" t="s">
        <v>81</v>
      </c>
      <c r="L64" s="10" t="s">
        <v>495</v>
      </c>
      <c r="M64" s="74">
        <v>45911.659722222219</v>
      </c>
      <c r="N64" s="74">
        <v>45917.605555555558</v>
      </c>
      <c r="O64" s="10"/>
      <c r="P64" s="10" t="s">
        <v>83</v>
      </c>
      <c r="Q64" s="10" t="s">
        <v>83</v>
      </c>
      <c r="R64" s="10" t="s">
        <v>85</v>
      </c>
      <c r="S64" s="10" t="s">
        <v>85</v>
      </c>
      <c r="T64" s="10" t="s">
        <v>96</v>
      </c>
      <c r="U64" s="10" t="s">
        <v>97</v>
      </c>
      <c r="V64" s="10" t="s">
        <v>496</v>
      </c>
      <c r="W64" s="10" t="s">
        <v>90</v>
      </c>
      <c r="X64" s="10" t="s">
        <v>497</v>
      </c>
      <c r="Y64" s="73" t="str">
        <f>VLOOKUP(D64,TIPOLOGIAS!A:F,6,0)</f>
        <v>TIPO III</v>
      </c>
      <c r="Z64" s="73" t="str">
        <f>VLOOKUP(D64,TIPOLOGIAS!A:F,5,0)</f>
        <v>TERRESTRE</v>
      </c>
      <c r="AA64" s="10" t="s">
        <v>492</v>
      </c>
      <c r="AB64" s="75">
        <v>1</v>
      </c>
      <c r="AC64" s="76">
        <f>IF(AND(W64="SOPORTE_TELEFÓNICO",OR(U64="SIN CONTACTO CON EL CB",U64="NÚMEROS DE CONTACTO ERRADOS")),0,IF(W64="SOPORTE_TELEFÓNICO",'BASE DE LIQUIDACION 2025'!$B$9,IF(Y64="TIPO I",'BASE DE LIQUIDACION 2025'!$C$3,IF(Y64="TIPO II",'BASE DE LIQUIDACION 2025'!$C$4,IF(Y64="TIPO III",'BASE DE LIQUIDACION 2025'!$C$5,'BASE DE LIQUIDACION 2025'!$C$6)))))</f>
        <v>222904.07200000001</v>
      </c>
      <c r="AD64" s="76">
        <f>IF(W64="SOPORTE_TELEFÓNICO",AC64,CIERRES!AB64*CIERRES!AC64)</f>
        <v>222904.07200000001</v>
      </c>
    </row>
    <row r="65" spans="1:30" s="63" customFormat="1" ht="13.15">
      <c r="A65" s="10" t="s">
        <v>498</v>
      </c>
      <c r="B65" s="73" t="str">
        <f>VLOOKUP(A65,'CENTRO DE COSTOS'!A:D,4,FALSE)</f>
        <v>KEVIN ALEXIS CORZO BUSTOS</v>
      </c>
      <c r="C65" s="73" t="str">
        <f>VLOOKUP(A65,'CENTRO DE COSTOS'!A:C,2,FALSE)</f>
        <v>0004-0007</v>
      </c>
      <c r="D65" s="10">
        <v>85001</v>
      </c>
      <c r="E65" s="10" t="s">
        <v>499</v>
      </c>
      <c r="F65" s="10">
        <v>78582</v>
      </c>
      <c r="G65" s="10" t="s">
        <v>78</v>
      </c>
      <c r="H65" s="10" t="s">
        <v>360</v>
      </c>
      <c r="I65" s="10" t="s">
        <v>498</v>
      </c>
      <c r="J65" s="10" t="s">
        <v>500</v>
      </c>
      <c r="K65" s="10" t="s">
        <v>81</v>
      </c>
      <c r="L65" s="10" t="s">
        <v>501</v>
      </c>
      <c r="M65" s="74">
        <v>45911.659722222219</v>
      </c>
      <c r="N65" s="74">
        <v>45918.49722222222</v>
      </c>
      <c r="O65" s="10"/>
      <c r="P65" s="10" t="s">
        <v>83</v>
      </c>
      <c r="Q65" s="10" t="s">
        <v>83</v>
      </c>
      <c r="R65" s="10" t="s">
        <v>85</v>
      </c>
      <c r="S65" s="10" t="s">
        <v>85</v>
      </c>
      <c r="T65" s="10" t="s">
        <v>96</v>
      </c>
      <c r="U65" s="10" t="s">
        <v>97</v>
      </c>
      <c r="V65" s="10" t="s">
        <v>502</v>
      </c>
      <c r="W65" s="10" t="s">
        <v>134</v>
      </c>
      <c r="X65" s="10" t="s">
        <v>91</v>
      </c>
      <c r="Y65" s="73" t="str">
        <f>VLOOKUP(D65,TIPOLOGIAS!A:F,6,0)</f>
        <v>TIPO I</v>
      </c>
      <c r="Z65" s="73" t="str">
        <f>VLOOKUP(D65,TIPOLOGIAS!A:F,5,0)</f>
        <v>TERRESTRE</v>
      </c>
      <c r="AA65" s="10" t="s">
        <v>503</v>
      </c>
      <c r="AB65" s="77">
        <v>0</v>
      </c>
      <c r="AC65" s="76">
        <f>IF(AND(W65="SOPORTE_TELEFÓNICO",OR(U65="SIN CONTACTO CON EL CB",U65="NÚMEROS DE CONTACTO ERRADOS")),0,IF(W65="SOPORTE_TELEFÓNICO",'BASE DE LIQUIDACION 2025'!$B$9,IF(Y65="TIPO I",'BASE DE LIQUIDACION 2025'!$C$3,IF(Y65="TIPO II",'BASE DE LIQUIDACION 2025'!$C$4,IF(Y65="TIPO III",'BASE DE LIQUIDACION 2025'!$C$5,'BASE DE LIQUIDACION 2025'!$C$6)))))</f>
        <v>37904.612000000001</v>
      </c>
      <c r="AD65" s="76">
        <f>IF(W65="SOPORTE_TELEFÓNICO",AC65,CIERRES!AB65*CIERRES!AC65)</f>
        <v>37904.612000000001</v>
      </c>
    </row>
    <row r="66" spans="1:30" s="63" customFormat="1" ht="13.15">
      <c r="A66" s="10" t="s">
        <v>76</v>
      </c>
      <c r="B66" s="73" t="str">
        <f>VLOOKUP(A66,'CENTRO DE COSTOS'!A:D,4,FALSE)</f>
        <v>WILLIAM ASDRUBAL ROZO ROZO</v>
      </c>
      <c r="C66" s="73" t="str">
        <f>VLOOKUP(A66,'CENTRO DE COSTOS'!A:C,2,FALSE)</f>
        <v>0004-0004</v>
      </c>
      <c r="D66" s="10">
        <v>11001</v>
      </c>
      <c r="E66" s="10" t="s">
        <v>504</v>
      </c>
      <c r="F66" s="10">
        <v>51349</v>
      </c>
      <c r="G66" s="10" t="s">
        <v>78</v>
      </c>
      <c r="H66" s="10" t="s">
        <v>79</v>
      </c>
      <c r="I66" s="10" t="s">
        <v>76</v>
      </c>
      <c r="J66" s="10" t="s">
        <v>505</v>
      </c>
      <c r="K66" s="10" t="s">
        <v>81</v>
      </c>
      <c r="L66" s="10" t="s">
        <v>506</v>
      </c>
      <c r="M66" s="74">
        <v>45911.659722222219</v>
      </c>
      <c r="N66" s="74">
        <v>45913.65347222222</v>
      </c>
      <c r="O66" s="10"/>
      <c r="P66" s="10" t="s">
        <v>83</v>
      </c>
      <c r="Q66" s="10" t="s">
        <v>83</v>
      </c>
      <c r="R66" s="10" t="s">
        <v>86</v>
      </c>
      <c r="S66" s="10" t="s">
        <v>86</v>
      </c>
      <c r="T66" s="10" t="s">
        <v>87</v>
      </c>
      <c r="U66" s="10" t="s">
        <v>132</v>
      </c>
      <c r="V66" s="10" t="s">
        <v>507</v>
      </c>
      <c r="W66" s="10" t="s">
        <v>90</v>
      </c>
      <c r="X66" s="10" t="s">
        <v>110</v>
      </c>
      <c r="Y66" s="73" t="str">
        <f>VLOOKUP(D66,TIPOLOGIAS!A:F,6,0)</f>
        <v>TIPO I</v>
      </c>
      <c r="Z66" s="73" t="str">
        <f>VLOOKUP(D66,TIPOLOGIAS!A:F,5,0)</f>
        <v>TERRESTRE</v>
      </c>
      <c r="AA66" s="10" t="s">
        <v>453</v>
      </c>
      <c r="AB66" s="75">
        <v>1</v>
      </c>
      <c r="AC66" s="76">
        <f>IF(AND(W66="SOPORTE_TELEFÓNICO",OR(U66="SIN CONTACTO CON EL CB",U66="NÚMEROS DE CONTACTO ERRADOS")),0,IF(W66="SOPORTE_TELEFÓNICO",'BASE DE LIQUIDACION 2025'!$B$9,IF(Y66="TIPO I",'BASE DE LIQUIDACION 2025'!$C$3,IF(Y66="TIPO II",'BASE DE LIQUIDACION 2025'!$C$4,IF(Y66="TIPO III",'BASE DE LIQUIDACION 2025'!$C$5,'BASE DE LIQUIDACION 2025'!$C$6)))))</f>
        <v>44559.563999999998</v>
      </c>
      <c r="AD66" s="76">
        <f>IF(W66="SOPORTE_TELEFÓNICO",AC66,CIERRES!AB66*CIERRES!AC66)</f>
        <v>44559.563999999998</v>
      </c>
    </row>
    <row r="67" spans="1:30" s="63" customFormat="1" ht="13.15">
      <c r="A67" s="10" t="s">
        <v>76</v>
      </c>
      <c r="B67" s="73" t="str">
        <f>VLOOKUP(A67,'CENTRO DE COSTOS'!A:D,4,FALSE)</f>
        <v>WILLIAM ASDRUBAL ROZO ROZO</v>
      </c>
      <c r="C67" s="73" t="str">
        <f>VLOOKUP(A67,'CENTRO DE COSTOS'!A:C,2,FALSE)</f>
        <v>0004-0004</v>
      </c>
      <c r="D67" s="10">
        <v>11001</v>
      </c>
      <c r="E67" s="10" t="s">
        <v>508</v>
      </c>
      <c r="F67" s="10">
        <v>75365</v>
      </c>
      <c r="G67" s="10" t="s">
        <v>78</v>
      </c>
      <c r="H67" s="10" t="s">
        <v>79</v>
      </c>
      <c r="I67" s="10" t="s">
        <v>76</v>
      </c>
      <c r="J67" s="10" t="s">
        <v>509</v>
      </c>
      <c r="K67" s="10" t="s">
        <v>81</v>
      </c>
      <c r="L67" s="10" t="s">
        <v>510</v>
      </c>
      <c r="M67" s="74">
        <v>45911.659722222219</v>
      </c>
      <c r="N67" s="74">
        <v>45913.509027777778</v>
      </c>
      <c r="O67" s="10"/>
      <c r="P67" s="10" t="s">
        <v>83</v>
      </c>
      <c r="Q67" s="10" t="s">
        <v>83</v>
      </c>
      <c r="R67" s="10" t="s">
        <v>85</v>
      </c>
      <c r="S67" s="10" t="s">
        <v>85</v>
      </c>
      <c r="T67" s="10" t="s">
        <v>147</v>
      </c>
      <c r="U67" s="10" t="s">
        <v>148</v>
      </c>
      <c r="V67" s="10" t="s">
        <v>511</v>
      </c>
      <c r="W67" s="10" t="s">
        <v>90</v>
      </c>
      <c r="X67" s="10" t="s">
        <v>512</v>
      </c>
      <c r="Y67" s="73" t="str">
        <f>VLOOKUP(D67,TIPOLOGIAS!A:F,6,0)</f>
        <v>TIPO I</v>
      </c>
      <c r="Z67" s="73" t="str">
        <f>VLOOKUP(D67,TIPOLOGIAS!A:F,5,0)</f>
        <v>TERRESTRE</v>
      </c>
      <c r="AA67" s="10" t="s">
        <v>513</v>
      </c>
      <c r="AB67" s="75">
        <v>1</v>
      </c>
      <c r="AC67" s="76">
        <f>IF(AND(W67="SOPORTE_TELEFÓNICO",OR(U67="SIN CONTACTO CON EL CB",U67="NÚMEROS DE CONTACTO ERRADOS")),0,IF(W67="SOPORTE_TELEFÓNICO",'BASE DE LIQUIDACION 2025'!$B$9,IF(Y67="TIPO I",'BASE DE LIQUIDACION 2025'!$C$3,IF(Y67="TIPO II",'BASE DE LIQUIDACION 2025'!$C$4,IF(Y67="TIPO III",'BASE DE LIQUIDACION 2025'!$C$5,'BASE DE LIQUIDACION 2025'!$C$6)))))</f>
        <v>44559.563999999998</v>
      </c>
      <c r="AD67" s="76">
        <f>IF(W67="SOPORTE_TELEFÓNICO",AC67,CIERRES!AB67*CIERRES!AC67)</f>
        <v>44559.563999999998</v>
      </c>
    </row>
    <row r="68" spans="1:30" s="63" customFormat="1" ht="13.15">
      <c r="A68" s="10" t="s">
        <v>514</v>
      </c>
      <c r="B68" s="73" t="str">
        <f>VLOOKUP(A68,'CENTRO DE COSTOS'!A:D,4,FALSE)</f>
        <v>JOSE MAURICIO HERNANDEZ ROJAS</v>
      </c>
      <c r="C68" s="73" t="str">
        <f>VLOOKUP(A68,'CENTRO DE COSTOS'!A:C,2,FALSE)</f>
        <v>0004-0001</v>
      </c>
      <c r="D68" s="10">
        <v>5250</v>
      </c>
      <c r="E68" s="10" t="s">
        <v>515</v>
      </c>
      <c r="F68" s="10">
        <v>79771</v>
      </c>
      <c r="G68" s="10" t="s">
        <v>78</v>
      </c>
      <c r="H68" s="10" t="s">
        <v>160</v>
      </c>
      <c r="I68" s="10" t="s">
        <v>516</v>
      </c>
      <c r="J68" s="10" t="s">
        <v>517</v>
      </c>
      <c r="K68" s="10" t="s">
        <v>81</v>
      </c>
      <c r="L68" s="10" t="s">
        <v>518</v>
      </c>
      <c r="M68" s="74">
        <v>45911.659722222219</v>
      </c>
      <c r="N68" s="74">
        <v>45915.579861111109</v>
      </c>
      <c r="O68" s="10"/>
      <c r="P68" s="10" t="s">
        <v>83</v>
      </c>
      <c r="Q68" s="10" t="s">
        <v>84</v>
      </c>
      <c r="R68" s="10" t="s">
        <v>85</v>
      </c>
      <c r="S68" s="10" t="s">
        <v>85</v>
      </c>
      <c r="T68" s="10" t="s">
        <v>87</v>
      </c>
      <c r="U68" s="10" t="s">
        <v>88</v>
      </c>
      <c r="V68" s="10" t="s">
        <v>519</v>
      </c>
      <c r="W68" s="10" t="s">
        <v>90</v>
      </c>
      <c r="X68" s="10" t="s">
        <v>520</v>
      </c>
      <c r="Y68" s="73" t="str">
        <f>VLOOKUP(D68,TIPOLOGIAS!A:F,6,0)</f>
        <v>TIPO IV</v>
      </c>
      <c r="Z68" s="73" t="str">
        <f>VLOOKUP(D68,TIPOLOGIAS!A:F,5,0)</f>
        <v>TERRESTRE</v>
      </c>
      <c r="AA68" s="10" t="s">
        <v>521</v>
      </c>
      <c r="AB68" s="75">
        <v>1</v>
      </c>
      <c r="AC68" s="76">
        <f>IF(AND(W68="SOPORTE_TELEFÓNICO",OR(U68="SIN CONTACTO CON EL CB",U68="NÚMEROS DE CONTACTO ERRADOS")),0,IF(W68="SOPORTE_TELEFÓNICO",'BASE DE LIQUIDACION 2025'!$B$9,IF(Y68="TIPO I",'BASE DE LIQUIDACION 2025'!$C$3,IF(Y68="TIPO II",'BASE DE LIQUIDACION 2025'!$C$4,IF(Y68="TIPO III",'BASE DE LIQUIDACION 2025'!$C$5,'BASE DE LIQUIDACION 2025'!$C$6)))))</f>
        <v>464809.36800000002</v>
      </c>
      <c r="AD68" s="76">
        <f>IF(W68="SOPORTE_TELEFÓNICO",AC68,CIERRES!AB68*CIERRES!AC68)</f>
        <v>464809.36800000002</v>
      </c>
    </row>
    <row r="69" spans="1:30" s="63" customFormat="1" ht="13.15">
      <c r="A69" s="10" t="s">
        <v>76</v>
      </c>
      <c r="B69" s="73" t="str">
        <f>VLOOKUP(A69,'CENTRO DE COSTOS'!A:D,4,FALSE)</f>
        <v>WILLIAM ASDRUBAL ROZO ROZO</v>
      </c>
      <c r="C69" s="73" t="str">
        <f>VLOOKUP(A69,'CENTRO DE COSTOS'!A:C,2,FALSE)</f>
        <v>0004-0004</v>
      </c>
      <c r="D69" s="10">
        <v>11001</v>
      </c>
      <c r="E69" s="10" t="s">
        <v>522</v>
      </c>
      <c r="F69" s="10">
        <v>75907</v>
      </c>
      <c r="G69" s="10" t="s">
        <v>78</v>
      </c>
      <c r="H69" s="10" t="s">
        <v>79</v>
      </c>
      <c r="I69" s="10" t="s">
        <v>76</v>
      </c>
      <c r="J69" s="10" t="s">
        <v>523</v>
      </c>
      <c r="K69" s="10" t="s">
        <v>81</v>
      </c>
      <c r="L69" s="10" t="s">
        <v>524</v>
      </c>
      <c r="M69" s="74">
        <v>45911.333333333343</v>
      </c>
      <c r="N69" s="74">
        <v>45914.591666666667</v>
      </c>
      <c r="O69" s="10"/>
      <c r="P69" s="10" t="s">
        <v>83</v>
      </c>
      <c r="Q69" s="10" t="s">
        <v>83</v>
      </c>
      <c r="R69" s="10" t="s">
        <v>85</v>
      </c>
      <c r="S69" s="10" t="s">
        <v>85</v>
      </c>
      <c r="T69" s="10" t="s">
        <v>96</v>
      </c>
      <c r="U69" s="10" t="s">
        <v>97</v>
      </c>
      <c r="V69" s="10" t="s">
        <v>525</v>
      </c>
      <c r="W69" s="10" t="s">
        <v>90</v>
      </c>
      <c r="X69" s="10" t="s">
        <v>526</v>
      </c>
      <c r="Y69" s="73" t="str">
        <f>VLOOKUP(D69,TIPOLOGIAS!A:F,6,0)</f>
        <v>TIPO I</v>
      </c>
      <c r="Z69" s="73" t="str">
        <f>VLOOKUP(D69,TIPOLOGIAS!A:F,5,0)</f>
        <v>TERRESTRE</v>
      </c>
      <c r="AA69" s="10" t="s">
        <v>453</v>
      </c>
      <c r="AB69" s="75">
        <v>2</v>
      </c>
      <c r="AC69" s="76">
        <f>IF(AND(W69="SOPORTE_TELEFÓNICO",OR(U69="SIN CONTACTO CON EL CB",U69="NÚMEROS DE CONTACTO ERRADOS")),0,IF(W69="SOPORTE_TELEFÓNICO",'BASE DE LIQUIDACION 2025'!$B$9,IF(Y69="TIPO I",'BASE DE LIQUIDACION 2025'!$C$3,IF(Y69="TIPO II",'BASE DE LIQUIDACION 2025'!$C$4,IF(Y69="TIPO III",'BASE DE LIQUIDACION 2025'!$C$5,'BASE DE LIQUIDACION 2025'!$C$6)))))</f>
        <v>44559.563999999998</v>
      </c>
      <c r="AD69" s="76">
        <f>IF(W69="SOPORTE_TELEFÓNICO",AC69,CIERRES!AB69*CIERRES!AC69)</f>
        <v>89119.127999999997</v>
      </c>
    </row>
    <row r="70" spans="1:30" s="63" customFormat="1" ht="13.15">
      <c r="A70" s="10" t="s">
        <v>76</v>
      </c>
      <c r="B70" s="73" t="str">
        <f>VLOOKUP(A70,'CENTRO DE COSTOS'!A:D,4,FALSE)</f>
        <v>WILLIAM ASDRUBAL ROZO ROZO</v>
      </c>
      <c r="C70" s="73" t="str">
        <f>VLOOKUP(A70,'CENTRO DE COSTOS'!A:C,2,FALSE)</f>
        <v>0004-0004</v>
      </c>
      <c r="D70" s="10">
        <v>11001</v>
      </c>
      <c r="E70" s="10" t="s">
        <v>527</v>
      </c>
      <c r="F70" s="10">
        <v>68171</v>
      </c>
      <c r="G70" s="10" t="s">
        <v>78</v>
      </c>
      <c r="H70" s="10" t="s">
        <v>79</v>
      </c>
      <c r="I70" s="10" t="s">
        <v>76</v>
      </c>
      <c r="J70" s="10" t="s">
        <v>528</v>
      </c>
      <c r="K70" s="10" t="s">
        <v>81</v>
      </c>
      <c r="L70" s="10" t="s">
        <v>529</v>
      </c>
      <c r="M70" s="74">
        <v>45911.333333333343</v>
      </c>
      <c r="N70" s="74">
        <v>45913.511111111111</v>
      </c>
      <c r="O70" s="10"/>
      <c r="P70" s="10" t="s">
        <v>83</v>
      </c>
      <c r="Q70" s="10" t="s">
        <v>84</v>
      </c>
      <c r="R70" s="10" t="s">
        <v>85</v>
      </c>
      <c r="S70" s="10" t="s">
        <v>86</v>
      </c>
      <c r="T70" s="10" t="s">
        <v>87</v>
      </c>
      <c r="U70" s="10" t="s">
        <v>88</v>
      </c>
      <c r="V70" s="10" t="s">
        <v>530</v>
      </c>
      <c r="W70" s="10" t="s">
        <v>90</v>
      </c>
      <c r="X70" s="10" t="s">
        <v>91</v>
      </c>
      <c r="Y70" s="73" t="str">
        <f>VLOOKUP(D70,TIPOLOGIAS!A:F,6,0)</f>
        <v>TIPO I</v>
      </c>
      <c r="Z70" s="73" t="str">
        <f>VLOOKUP(D70,TIPOLOGIAS!A:F,5,0)</f>
        <v>TERRESTRE</v>
      </c>
      <c r="AA70" s="10" t="s">
        <v>447</v>
      </c>
      <c r="AB70" s="75">
        <v>1</v>
      </c>
      <c r="AC70" s="76">
        <f>IF(AND(W70="SOPORTE_TELEFÓNICO",OR(U70="SIN CONTACTO CON EL CB",U70="NÚMEROS DE CONTACTO ERRADOS")),0,IF(W70="SOPORTE_TELEFÓNICO",'BASE DE LIQUIDACION 2025'!$B$9,IF(Y70="TIPO I",'BASE DE LIQUIDACION 2025'!$C$3,IF(Y70="TIPO II",'BASE DE LIQUIDACION 2025'!$C$4,IF(Y70="TIPO III",'BASE DE LIQUIDACION 2025'!$C$5,'BASE DE LIQUIDACION 2025'!$C$6)))))</f>
        <v>44559.563999999998</v>
      </c>
      <c r="AD70" s="76">
        <f>IF(W70="SOPORTE_TELEFÓNICO",AC70,CIERRES!AB70*CIERRES!AC70)</f>
        <v>44559.563999999998</v>
      </c>
    </row>
    <row r="71" spans="1:30" s="63" customFormat="1" ht="13.15">
      <c r="A71" s="10" t="s">
        <v>141</v>
      </c>
      <c r="B71" s="73" t="str">
        <f>VLOOKUP(A71,'CENTRO DE COSTOS'!A:D,4,FALSE)</f>
        <v>DIEGO FERNANDO HENAO CARDONA</v>
      </c>
      <c r="C71" s="73" t="str">
        <f>VLOOKUP(A71,'CENTRO DE COSTOS'!A:C,2,FALSE)</f>
        <v>0004-0002</v>
      </c>
      <c r="D71" s="10">
        <v>66001</v>
      </c>
      <c r="E71" s="10" t="s">
        <v>531</v>
      </c>
      <c r="F71" s="10">
        <v>44863</v>
      </c>
      <c r="G71" s="10" t="s">
        <v>78</v>
      </c>
      <c r="H71" s="10" t="s">
        <v>532</v>
      </c>
      <c r="I71" s="10" t="s">
        <v>141</v>
      </c>
      <c r="J71" s="10" t="s">
        <v>533</v>
      </c>
      <c r="K71" s="10" t="s">
        <v>81</v>
      </c>
      <c r="L71" s="10" t="s">
        <v>534</v>
      </c>
      <c r="M71" s="74">
        <v>45909.655555555553</v>
      </c>
      <c r="N71" s="74">
        <v>45912.65347222222</v>
      </c>
      <c r="O71" s="10"/>
      <c r="P71" s="10" t="s">
        <v>83</v>
      </c>
      <c r="Q71" s="10" t="s">
        <v>83</v>
      </c>
      <c r="R71" s="10" t="s">
        <v>107</v>
      </c>
      <c r="S71" s="10" t="s">
        <v>108</v>
      </c>
      <c r="T71" s="10" t="s">
        <v>147</v>
      </c>
      <c r="U71" s="10" t="s">
        <v>148</v>
      </c>
      <c r="V71" s="10" t="s">
        <v>535</v>
      </c>
      <c r="W71" s="10" t="s">
        <v>90</v>
      </c>
      <c r="X71" s="10" t="s">
        <v>536</v>
      </c>
      <c r="Y71" s="73" t="str">
        <f>VLOOKUP(D71,TIPOLOGIAS!A:F,6,0)</f>
        <v>TIPO I</v>
      </c>
      <c r="Z71" s="73" t="str">
        <f>VLOOKUP(D71,TIPOLOGIAS!A:F,5,0)</f>
        <v>TERRESTRE</v>
      </c>
      <c r="AA71" s="10" t="s">
        <v>537</v>
      </c>
      <c r="AB71" s="75">
        <v>1</v>
      </c>
      <c r="AC71" s="76">
        <f>IF(AND(W71="SOPORTE_TELEFÓNICO",OR(U71="SIN CONTACTO CON EL CB",U71="NÚMEROS DE CONTACTO ERRADOS")),0,IF(W71="SOPORTE_TELEFÓNICO",'BASE DE LIQUIDACION 2025'!$B$9,IF(Y71="TIPO I",'BASE DE LIQUIDACION 2025'!$C$3,IF(Y71="TIPO II",'BASE DE LIQUIDACION 2025'!$C$4,IF(Y71="TIPO III",'BASE DE LIQUIDACION 2025'!$C$5,'BASE DE LIQUIDACION 2025'!$C$6)))))</f>
        <v>44559.563999999998</v>
      </c>
      <c r="AD71" s="76">
        <f>IF(W71="SOPORTE_TELEFÓNICO",AC71,CIERRES!AB71*CIERRES!AC71)</f>
        <v>44559.563999999998</v>
      </c>
    </row>
    <row r="72" spans="1:30" s="63" customFormat="1" ht="13.15">
      <c r="A72" s="10" t="s">
        <v>235</v>
      </c>
      <c r="B72" s="73" t="str">
        <f>VLOOKUP(A72,'CENTRO DE COSTOS'!A:D,4,FALSE)</f>
        <v>DIEGO FERNANDO HENAO CARDONA</v>
      </c>
      <c r="C72" s="73" t="str">
        <f>VLOOKUP(A72,'CENTRO DE COSTOS'!A:C,2,FALSE)</f>
        <v>0004-0003</v>
      </c>
      <c r="D72" s="10">
        <v>52683</v>
      </c>
      <c r="E72" s="10" t="s">
        <v>538</v>
      </c>
      <c r="F72" s="10">
        <v>49693</v>
      </c>
      <c r="G72" s="10" t="s">
        <v>78</v>
      </c>
      <c r="H72" s="10" t="s">
        <v>265</v>
      </c>
      <c r="I72" s="10" t="s">
        <v>539</v>
      </c>
      <c r="J72" s="10" t="s">
        <v>540</v>
      </c>
      <c r="K72" s="10" t="s">
        <v>81</v>
      </c>
      <c r="L72" s="10" t="s">
        <v>541</v>
      </c>
      <c r="M72" s="74">
        <v>45909.655555555553</v>
      </c>
      <c r="N72" s="74">
        <v>45912.727083333331</v>
      </c>
      <c r="O72" s="10"/>
      <c r="P72" s="10" t="s">
        <v>83</v>
      </c>
      <c r="Q72" s="10" t="s">
        <v>83</v>
      </c>
      <c r="R72" s="10" t="s">
        <v>107</v>
      </c>
      <c r="S72" s="10" t="s">
        <v>108</v>
      </c>
      <c r="T72" s="10" t="s">
        <v>96</v>
      </c>
      <c r="U72" s="10" t="s">
        <v>97</v>
      </c>
      <c r="V72" s="10" t="s">
        <v>542</v>
      </c>
      <c r="W72" s="10" t="s">
        <v>90</v>
      </c>
      <c r="X72" s="10" t="s">
        <v>543</v>
      </c>
      <c r="Y72" s="73" t="str">
        <f>VLOOKUP(D72,TIPOLOGIAS!A:F,6,0)</f>
        <v>TIPO II</v>
      </c>
      <c r="Z72" s="73" t="str">
        <f>VLOOKUP(D72,TIPOLOGIAS!A:F,5,0)</f>
        <v>TERRESTRE</v>
      </c>
      <c r="AA72" s="10" t="s">
        <v>544</v>
      </c>
      <c r="AB72" s="75">
        <v>1</v>
      </c>
      <c r="AC72" s="76">
        <f>IF(AND(W72="SOPORTE_TELEFÓNICO",OR(U72="SIN CONTACTO CON EL CB",U72="NÚMEROS DE CONTACTO ERRADOS")),0,IF(W72="SOPORTE_TELEFÓNICO",'BASE DE LIQUIDACION 2025'!$B$9,IF(Y72="TIPO I",'BASE DE LIQUIDACION 2025'!$C$3,IF(Y72="TIPO II",'BASE DE LIQUIDACION 2025'!$C$4,IF(Y72="TIPO III",'BASE DE LIQUIDACION 2025'!$C$5,'BASE DE LIQUIDACION 2025'!$C$6)))))</f>
        <v>134410.88400000002</v>
      </c>
      <c r="AD72" s="76">
        <f>IF(W72="SOPORTE_TELEFÓNICO",AC72,CIERRES!AB72*CIERRES!AC72)</f>
        <v>134410.88400000002</v>
      </c>
    </row>
    <row r="73" spans="1:30" s="63" customFormat="1" ht="13.15">
      <c r="A73" s="10" t="s">
        <v>141</v>
      </c>
      <c r="B73" s="73" t="str">
        <f>VLOOKUP(A73,'CENTRO DE COSTOS'!A:D,4,FALSE)</f>
        <v>DIEGO FERNANDO HENAO CARDONA</v>
      </c>
      <c r="C73" s="73" t="str">
        <f>VLOOKUP(A73,'CENTRO DE COSTOS'!A:C,2,FALSE)</f>
        <v>0004-0002</v>
      </c>
      <c r="D73" s="10">
        <v>66170</v>
      </c>
      <c r="E73" s="10" t="s">
        <v>545</v>
      </c>
      <c r="F73" s="10">
        <v>78766</v>
      </c>
      <c r="G73" s="10" t="s">
        <v>78</v>
      </c>
      <c r="H73" s="10" t="s">
        <v>532</v>
      </c>
      <c r="I73" s="10" t="s">
        <v>546</v>
      </c>
      <c r="J73" s="10" t="s">
        <v>547</v>
      </c>
      <c r="K73" s="10" t="s">
        <v>81</v>
      </c>
      <c r="L73" s="10" t="s">
        <v>548</v>
      </c>
      <c r="M73" s="74">
        <v>45909.655555555553</v>
      </c>
      <c r="N73" s="74">
        <v>45912.550694444442</v>
      </c>
      <c r="O73" s="10"/>
      <c r="P73" s="10" t="s">
        <v>83</v>
      </c>
      <c r="Q73" s="10" t="s">
        <v>83</v>
      </c>
      <c r="R73" s="10" t="s">
        <v>107</v>
      </c>
      <c r="S73" s="10" t="s">
        <v>185</v>
      </c>
      <c r="T73" s="10" t="s">
        <v>96</v>
      </c>
      <c r="U73" s="10" t="s">
        <v>97</v>
      </c>
      <c r="V73" s="10" t="s">
        <v>549</v>
      </c>
      <c r="W73" s="10" t="s">
        <v>134</v>
      </c>
      <c r="X73" s="10" t="s">
        <v>91</v>
      </c>
      <c r="Y73" s="73" t="str">
        <f>VLOOKUP(D73,TIPOLOGIAS!A:F,6,0)</f>
        <v>TIPO I</v>
      </c>
      <c r="Z73" s="73" t="str">
        <f>VLOOKUP(D73,TIPOLOGIAS!A:F,5,0)</f>
        <v>TERRESTRE</v>
      </c>
      <c r="AA73" s="10" t="s">
        <v>537</v>
      </c>
      <c r="AB73" s="77">
        <v>0</v>
      </c>
      <c r="AC73" s="76">
        <f>IF(AND(W73="SOPORTE_TELEFÓNICO",OR(U73="SIN CONTACTO CON EL CB",U73="NÚMEROS DE CONTACTO ERRADOS")),0,IF(W73="SOPORTE_TELEFÓNICO",'BASE DE LIQUIDACION 2025'!$B$9,IF(Y73="TIPO I",'BASE DE LIQUIDACION 2025'!$C$3,IF(Y73="TIPO II",'BASE DE LIQUIDACION 2025'!$C$4,IF(Y73="TIPO III",'BASE DE LIQUIDACION 2025'!$C$5,'BASE DE LIQUIDACION 2025'!$C$6)))))</f>
        <v>37904.612000000001</v>
      </c>
      <c r="AD73" s="76">
        <f>IF(W73="SOPORTE_TELEFÓNICO",AC73,CIERRES!AB73*CIERRES!AC73)</f>
        <v>37904.612000000001</v>
      </c>
    </row>
    <row r="74" spans="1:30" s="63" customFormat="1" ht="13.15">
      <c r="A74" s="10" t="s">
        <v>112</v>
      </c>
      <c r="B74" s="73" t="str">
        <f>VLOOKUP(A74,'CENTRO DE COSTOS'!A:D,4,FALSE)</f>
        <v>DIEGO FERNANDO HENAO CARDONA</v>
      </c>
      <c r="C74" s="73" t="str">
        <f>VLOOKUP(A74,'CENTRO DE COSTOS'!A:C,2,FALSE)</f>
        <v>0004-0003</v>
      </c>
      <c r="D74" s="10">
        <v>76001</v>
      </c>
      <c r="E74" s="10" t="s">
        <v>550</v>
      </c>
      <c r="F74" s="10">
        <v>71364</v>
      </c>
      <c r="G74" s="10" t="s">
        <v>78</v>
      </c>
      <c r="H74" s="10" t="s">
        <v>143</v>
      </c>
      <c r="I74" s="10" t="s">
        <v>112</v>
      </c>
      <c r="J74" s="10" t="s">
        <v>551</v>
      </c>
      <c r="K74" s="10" t="s">
        <v>81</v>
      </c>
      <c r="L74" s="10" t="s">
        <v>552</v>
      </c>
      <c r="M74" s="74">
        <v>45909.655555555553</v>
      </c>
      <c r="N74" s="74">
        <v>45910.445833333331</v>
      </c>
      <c r="O74" s="10"/>
      <c r="P74" s="10" t="s">
        <v>83</v>
      </c>
      <c r="Q74" s="10" t="s">
        <v>83</v>
      </c>
      <c r="R74" s="10" t="s">
        <v>107</v>
      </c>
      <c r="S74" s="10" t="s">
        <v>185</v>
      </c>
      <c r="T74" s="10" t="s">
        <v>96</v>
      </c>
      <c r="U74" s="10" t="s">
        <v>97</v>
      </c>
      <c r="V74" s="10" t="s">
        <v>553</v>
      </c>
      <c r="W74" s="10" t="s">
        <v>90</v>
      </c>
      <c r="X74" s="10" t="s">
        <v>554</v>
      </c>
      <c r="Y74" s="73" t="str">
        <f>VLOOKUP(D74,TIPOLOGIAS!A:F,6,0)</f>
        <v>TIPO I</v>
      </c>
      <c r="Z74" s="73" t="str">
        <f>VLOOKUP(D74,TIPOLOGIAS!A:F,5,0)</f>
        <v>TERRESTRE</v>
      </c>
      <c r="AA74" s="10" t="s">
        <v>399</v>
      </c>
      <c r="AB74" s="75">
        <v>1</v>
      </c>
      <c r="AC74" s="76">
        <f>IF(AND(W74="SOPORTE_TELEFÓNICO",OR(U74="SIN CONTACTO CON EL CB",U74="NÚMEROS DE CONTACTO ERRADOS")),0,IF(W74="SOPORTE_TELEFÓNICO",'BASE DE LIQUIDACION 2025'!$B$9,IF(Y74="TIPO I",'BASE DE LIQUIDACION 2025'!$C$3,IF(Y74="TIPO II",'BASE DE LIQUIDACION 2025'!$C$4,IF(Y74="TIPO III",'BASE DE LIQUIDACION 2025'!$C$5,'BASE DE LIQUIDACION 2025'!$C$6)))))</f>
        <v>44559.563999999998</v>
      </c>
      <c r="AD74" s="76">
        <f>IF(W74="SOPORTE_TELEFÓNICO",AC74,CIERRES!AB74*CIERRES!AC74)</f>
        <v>44559.563999999998</v>
      </c>
    </row>
    <row r="75" spans="1:30" s="63" customFormat="1" ht="13.15">
      <c r="A75" s="10" t="s">
        <v>555</v>
      </c>
      <c r="B75" s="73" t="str">
        <f>VLOOKUP(A75,'CENTRO DE COSTOS'!A:D,4,FALSE)</f>
        <v>DIEGO FERNANDO HENAO CARDONA</v>
      </c>
      <c r="C75" s="73" t="str">
        <f>VLOOKUP(A75,'CENTRO DE COSTOS'!A:C,2,FALSE)</f>
        <v>0004-0002</v>
      </c>
      <c r="D75" s="10">
        <v>17042</v>
      </c>
      <c r="E75" s="10" t="s">
        <v>556</v>
      </c>
      <c r="F75" s="10">
        <v>72257</v>
      </c>
      <c r="G75" s="10" t="s">
        <v>78</v>
      </c>
      <c r="H75" s="10" t="s">
        <v>557</v>
      </c>
      <c r="I75" s="10" t="s">
        <v>558</v>
      </c>
      <c r="J75" s="10" t="s">
        <v>559</v>
      </c>
      <c r="K75" s="10" t="s">
        <v>81</v>
      </c>
      <c r="L75" s="10" t="s">
        <v>560</v>
      </c>
      <c r="M75" s="74">
        <v>45908.591666666667</v>
      </c>
      <c r="N75" s="74">
        <v>45910.569444444453</v>
      </c>
      <c r="O75" s="10"/>
      <c r="P75" s="10" t="s">
        <v>83</v>
      </c>
      <c r="Q75" s="10" t="s">
        <v>83</v>
      </c>
      <c r="R75" s="10" t="s">
        <v>86</v>
      </c>
      <c r="S75" s="10" t="s">
        <v>86</v>
      </c>
      <c r="T75" s="10" t="s">
        <v>147</v>
      </c>
      <c r="U75" s="10" t="s">
        <v>148</v>
      </c>
      <c r="V75" s="10" t="s">
        <v>561</v>
      </c>
      <c r="W75" s="10" t="s">
        <v>90</v>
      </c>
      <c r="X75" s="10" t="s">
        <v>562</v>
      </c>
      <c r="Y75" s="73" t="str">
        <f>VLOOKUP(D75,TIPOLOGIAS!A:F,6,0)</f>
        <v>TIPO II</v>
      </c>
      <c r="Z75" s="73" t="str">
        <f>VLOOKUP(D75,TIPOLOGIAS!A:F,5,0)</f>
        <v>TERRESTRE</v>
      </c>
      <c r="AA75" s="10" t="s">
        <v>563</v>
      </c>
      <c r="AB75" s="75">
        <v>1</v>
      </c>
      <c r="AC75" s="76">
        <f>IF(AND(W75="SOPORTE_TELEFÓNICO",OR(U75="SIN CONTACTO CON EL CB",U75="NÚMEROS DE CONTACTO ERRADOS")),0,IF(W75="SOPORTE_TELEFÓNICO",'BASE DE LIQUIDACION 2025'!$B$9,IF(Y75="TIPO I",'BASE DE LIQUIDACION 2025'!$C$3,IF(Y75="TIPO II",'BASE DE LIQUIDACION 2025'!$C$4,IF(Y75="TIPO III",'BASE DE LIQUIDACION 2025'!$C$5,'BASE DE LIQUIDACION 2025'!$C$6)))))</f>
        <v>134410.88400000002</v>
      </c>
      <c r="AD75" s="76">
        <f>IF(W75="SOPORTE_TELEFÓNICO",AC75,CIERRES!AB75*CIERRES!AC75)</f>
        <v>134410.88400000002</v>
      </c>
    </row>
    <row r="76" spans="1:30" s="63" customFormat="1" ht="13.15">
      <c r="A76" s="10" t="s">
        <v>76</v>
      </c>
      <c r="B76" s="73" t="str">
        <f>VLOOKUP(A76,'CENTRO DE COSTOS'!A:D,4,FALSE)</f>
        <v>WILLIAM ASDRUBAL ROZO ROZO</v>
      </c>
      <c r="C76" s="73" t="str">
        <f>VLOOKUP(A76,'CENTRO DE COSTOS'!A:C,2,FALSE)</f>
        <v>0004-0004</v>
      </c>
      <c r="D76" s="10">
        <v>25473</v>
      </c>
      <c r="E76" s="10" t="s">
        <v>564</v>
      </c>
      <c r="F76" s="10">
        <v>61269</v>
      </c>
      <c r="G76" s="10" t="s">
        <v>78</v>
      </c>
      <c r="H76" s="10" t="s">
        <v>79</v>
      </c>
      <c r="I76" s="10" t="s">
        <v>204</v>
      </c>
      <c r="J76" s="10" t="s">
        <v>565</v>
      </c>
      <c r="K76" s="10" t="s">
        <v>81</v>
      </c>
      <c r="L76" s="10" t="s">
        <v>566</v>
      </c>
      <c r="M76" s="74">
        <v>45905.701388888891</v>
      </c>
      <c r="N76" s="74">
        <v>45911.638194444437</v>
      </c>
      <c r="O76" s="10"/>
      <c r="P76" s="10" t="s">
        <v>83</v>
      </c>
      <c r="Q76" s="10" t="s">
        <v>83</v>
      </c>
      <c r="R76" s="10" t="s">
        <v>85</v>
      </c>
      <c r="S76" s="10" t="s">
        <v>86</v>
      </c>
      <c r="T76" s="10" t="s">
        <v>87</v>
      </c>
      <c r="U76" s="10" t="s">
        <v>88</v>
      </c>
      <c r="V76" s="10" t="s">
        <v>567</v>
      </c>
      <c r="W76" s="10" t="s">
        <v>90</v>
      </c>
      <c r="X76" s="10" t="s">
        <v>568</v>
      </c>
      <c r="Y76" s="73" t="str">
        <f>VLOOKUP(D76,TIPOLOGIAS!A:F,6,0)</f>
        <v>TIPO I</v>
      </c>
      <c r="Z76" s="73" t="str">
        <f>VLOOKUP(D76,TIPOLOGIAS!A:F,5,0)</f>
        <v>TERRESTRE</v>
      </c>
      <c r="AA76" s="10" t="s">
        <v>569</v>
      </c>
      <c r="AB76" s="75">
        <v>3</v>
      </c>
      <c r="AC76" s="76">
        <f>IF(AND(W76="SOPORTE_TELEFÓNICO",OR(U76="SIN CONTACTO CON EL CB",U76="NÚMEROS DE CONTACTO ERRADOS")),0,IF(W76="SOPORTE_TELEFÓNICO",'BASE DE LIQUIDACION 2025'!$B$9,IF(Y76="TIPO I",'BASE DE LIQUIDACION 2025'!$C$3,IF(Y76="TIPO II",'BASE DE LIQUIDACION 2025'!$C$4,IF(Y76="TIPO III",'BASE DE LIQUIDACION 2025'!$C$5,'BASE DE LIQUIDACION 2025'!$C$6)))))</f>
        <v>44559.563999999998</v>
      </c>
      <c r="AD76" s="76">
        <f>IF(W76="SOPORTE_TELEFÓNICO",AC76,CIERRES!AB76*CIERRES!AC76)</f>
        <v>133678.69199999998</v>
      </c>
    </row>
    <row r="77" spans="1:30" s="63" customFormat="1" ht="13.15">
      <c r="A77" s="10" t="s">
        <v>76</v>
      </c>
      <c r="B77" s="73" t="str">
        <f>VLOOKUP(A77,'CENTRO DE COSTOS'!A:D,4,FALSE)</f>
        <v>WILLIAM ASDRUBAL ROZO ROZO</v>
      </c>
      <c r="C77" s="73" t="str">
        <f>VLOOKUP(A77,'CENTRO DE COSTOS'!A:C,2,FALSE)</f>
        <v>0004-0004</v>
      </c>
      <c r="D77" s="10">
        <v>25899</v>
      </c>
      <c r="E77" s="10" t="s">
        <v>570</v>
      </c>
      <c r="F77" s="10">
        <v>68819</v>
      </c>
      <c r="G77" s="10" t="s">
        <v>78</v>
      </c>
      <c r="H77" s="10" t="s">
        <v>79</v>
      </c>
      <c r="I77" s="10" t="s">
        <v>571</v>
      </c>
      <c r="J77" s="10" t="s">
        <v>572</v>
      </c>
      <c r="K77" s="10" t="s">
        <v>81</v>
      </c>
      <c r="L77" s="10" t="s">
        <v>573</v>
      </c>
      <c r="M77" s="74">
        <v>45905.701388888891</v>
      </c>
      <c r="N77" s="74">
        <v>45912.543055555558</v>
      </c>
      <c r="O77" s="10"/>
      <c r="P77" s="10" t="s">
        <v>83</v>
      </c>
      <c r="Q77" s="10" t="s">
        <v>83</v>
      </c>
      <c r="R77" s="10" t="s">
        <v>86</v>
      </c>
      <c r="S77" s="10" t="s">
        <v>86</v>
      </c>
      <c r="T77" s="10" t="s">
        <v>147</v>
      </c>
      <c r="U77" s="10" t="s">
        <v>148</v>
      </c>
      <c r="V77" s="10" t="s">
        <v>574</v>
      </c>
      <c r="W77" s="10" t="s">
        <v>90</v>
      </c>
      <c r="X77" s="10" t="s">
        <v>575</v>
      </c>
      <c r="Y77" s="73" t="str">
        <f>VLOOKUP(D77,TIPOLOGIAS!A:F,6,0)</f>
        <v>TIPO II</v>
      </c>
      <c r="Z77" s="73" t="str">
        <f>VLOOKUP(D77,TIPOLOGIAS!A:F,5,0)</f>
        <v>TERRESTRE</v>
      </c>
      <c r="AA77" s="10" t="s">
        <v>576</v>
      </c>
      <c r="AB77" s="75">
        <v>2</v>
      </c>
      <c r="AC77" s="76">
        <f>IF(AND(W77="SOPORTE_TELEFÓNICO",OR(U77="SIN CONTACTO CON EL CB",U77="NÚMEROS DE CONTACTO ERRADOS")),0,IF(W77="SOPORTE_TELEFÓNICO",'BASE DE LIQUIDACION 2025'!$B$9,IF(Y77="TIPO I",'BASE DE LIQUIDACION 2025'!$C$3,IF(Y77="TIPO II",'BASE DE LIQUIDACION 2025'!$C$4,IF(Y77="TIPO III",'BASE DE LIQUIDACION 2025'!$C$5,'BASE DE LIQUIDACION 2025'!$C$6)))))</f>
        <v>134410.88400000002</v>
      </c>
      <c r="AD77" s="76">
        <f>IF(W77="SOPORTE_TELEFÓNICO",AC77,CIERRES!AB77*CIERRES!AC77)</f>
        <v>268821.76800000004</v>
      </c>
    </row>
    <row r="78" spans="1:30" s="63" customFormat="1" ht="13.15">
      <c r="A78" s="10" t="s">
        <v>141</v>
      </c>
      <c r="B78" s="73" t="str">
        <f>VLOOKUP(A78,'CENTRO DE COSTOS'!A:D,4,FALSE)</f>
        <v>DIEGO FERNANDO HENAO CARDONA</v>
      </c>
      <c r="C78" s="73" t="str">
        <f>VLOOKUP(A78,'CENTRO DE COSTOS'!A:C,2,FALSE)</f>
        <v>0004-0002</v>
      </c>
      <c r="D78" s="10">
        <v>76736</v>
      </c>
      <c r="E78" s="10" t="s">
        <v>577</v>
      </c>
      <c r="F78" s="10">
        <v>75952</v>
      </c>
      <c r="G78" s="10" t="s">
        <v>78</v>
      </c>
      <c r="H78" s="10" t="s">
        <v>143</v>
      </c>
      <c r="I78" s="10" t="s">
        <v>144</v>
      </c>
      <c r="J78" s="10" t="s">
        <v>578</v>
      </c>
      <c r="K78" s="10" t="s">
        <v>81</v>
      </c>
      <c r="L78" s="10" t="s">
        <v>579</v>
      </c>
      <c r="M78" s="74">
        <v>45905.701388888891</v>
      </c>
      <c r="N78" s="74">
        <v>45910.613888888889</v>
      </c>
      <c r="O78" s="10"/>
      <c r="P78" s="10" t="s">
        <v>83</v>
      </c>
      <c r="Q78" s="10" t="s">
        <v>83</v>
      </c>
      <c r="R78" s="10" t="s">
        <v>86</v>
      </c>
      <c r="S78" s="10" t="s">
        <v>86</v>
      </c>
      <c r="T78" s="10" t="s">
        <v>96</v>
      </c>
      <c r="U78" s="10" t="s">
        <v>97</v>
      </c>
      <c r="V78" s="10" t="s">
        <v>580</v>
      </c>
      <c r="W78" s="10" t="s">
        <v>90</v>
      </c>
      <c r="X78" s="10" t="s">
        <v>581</v>
      </c>
      <c r="Y78" s="73" t="str">
        <f>VLOOKUP(D78,TIPOLOGIAS!A:F,6,0)</f>
        <v>TIPO II</v>
      </c>
      <c r="Z78" s="73" t="str">
        <f>VLOOKUP(D78,TIPOLOGIAS!A:F,5,0)</f>
        <v>TERRESTRE</v>
      </c>
      <c r="AA78" s="10" t="s">
        <v>151</v>
      </c>
      <c r="AB78" s="75">
        <v>1</v>
      </c>
      <c r="AC78" s="76">
        <f>IF(AND(W78="SOPORTE_TELEFÓNICO",OR(U78="SIN CONTACTO CON EL CB",U78="NÚMEROS DE CONTACTO ERRADOS")),0,IF(W78="SOPORTE_TELEFÓNICO",'BASE DE LIQUIDACION 2025'!$B$9,IF(Y78="TIPO I",'BASE DE LIQUIDACION 2025'!$C$3,IF(Y78="TIPO II",'BASE DE LIQUIDACION 2025'!$C$4,IF(Y78="TIPO III",'BASE DE LIQUIDACION 2025'!$C$5,'BASE DE LIQUIDACION 2025'!$C$6)))))</f>
        <v>134410.88400000002</v>
      </c>
      <c r="AD78" s="76">
        <f>IF(W78="SOPORTE_TELEFÓNICO",AC78,CIERRES!AB78*CIERRES!AC78)</f>
        <v>134410.88400000002</v>
      </c>
    </row>
    <row r="79" spans="1:30" s="63" customFormat="1" ht="13.15">
      <c r="A79" s="10" t="s">
        <v>76</v>
      </c>
      <c r="B79" s="73" t="str">
        <f>VLOOKUP(A79,'CENTRO DE COSTOS'!A:D,4,FALSE)</f>
        <v>WILLIAM ASDRUBAL ROZO ROZO</v>
      </c>
      <c r="C79" s="73" t="str">
        <f>VLOOKUP(A79,'CENTRO DE COSTOS'!A:C,2,FALSE)</f>
        <v>0004-0004</v>
      </c>
      <c r="D79" s="10">
        <v>11001</v>
      </c>
      <c r="E79" s="10" t="s">
        <v>582</v>
      </c>
      <c r="F79" s="10">
        <v>58590</v>
      </c>
      <c r="G79" s="10" t="s">
        <v>78</v>
      </c>
      <c r="H79" s="10" t="s">
        <v>79</v>
      </c>
      <c r="I79" s="10" t="s">
        <v>76</v>
      </c>
      <c r="J79" s="10" t="s">
        <v>583</v>
      </c>
      <c r="K79" s="10" t="s">
        <v>81</v>
      </c>
      <c r="L79" s="10" t="s">
        <v>584</v>
      </c>
      <c r="M79" s="74">
        <v>45905.701388888891</v>
      </c>
      <c r="N79" s="74">
        <v>45908.634722222218</v>
      </c>
      <c r="O79" s="10"/>
      <c r="P79" s="10" t="s">
        <v>83</v>
      </c>
      <c r="Q79" s="10" t="s">
        <v>83</v>
      </c>
      <c r="R79" s="10" t="s">
        <v>86</v>
      </c>
      <c r="S79" s="10" t="s">
        <v>86</v>
      </c>
      <c r="T79" s="10" t="s">
        <v>96</v>
      </c>
      <c r="U79" s="10" t="s">
        <v>97</v>
      </c>
      <c r="V79" s="10" t="s">
        <v>585</v>
      </c>
      <c r="W79" s="10" t="s">
        <v>90</v>
      </c>
      <c r="X79" s="10" t="s">
        <v>586</v>
      </c>
      <c r="Y79" s="73" t="str">
        <f>VLOOKUP(D79,TIPOLOGIAS!A:F,6,0)</f>
        <v>TIPO I</v>
      </c>
      <c r="Z79" s="73" t="str">
        <f>VLOOKUP(D79,TIPOLOGIAS!A:F,5,0)</f>
        <v>TERRESTRE</v>
      </c>
      <c r="AA79" s="10" t="s">
        <v>453</v>
      </c>
      <c r="AB79" s="75">
        <v>1</v>
      </c>
      <c r="AC79" s="76">
        <f>IF(AND(W79="SOPORTE_TELEFÓNICO",OR(U79="SIN CONTACTO CON EL CB",U79="NÚMEROS DE CONTACTO ERRADOS")),0,IF(W79="SOPORTE_TELEFÓNICO",'BASE DE LIQUIDACION 2025'!$B$9,IF(Y79="TIPO I",'BASE DE LIQUIDACION 2025'!$C$3,IF(Y79="TIPO II",'BASE DE LIQUIDACION 2025'!$C$4,IF(Y79="TIPO III",'BASE DE LIQUIDACION 2025'!$C$5,'BASE DE LIQUIDACION 2025'!$C$6)))))</f>
        <v>44559.563999999998</v>
      </c>
      <c r="AD79" s="76">
        <f>IF(W79="SOPORTE_TELEFÓNICO",AC79,CIERRES!AB79*CIERRES!AC79)</f>
        <v>44559.563999999998</v>
      </c>
    </row>
    <row r="80" spans="1:30" s="63" customFormat="1" ht="13.15">
      <c r="A80" s="10" t="s">
        <v>101</v>
      </c>
      <c r="B80" s="73" t="str">
        <f>VLOOKUP(A80,'CENTRO DE COSTOS'!A:D,4,FALSE)</f>
        <v>MIGUEL JULIÁN HERNÁNDEZ GUARÍN</v>
      </c>
      <c r="C80" s="73" t="str">
        <f>VLOOKUP(A80,'CENTRO DE COSTOS'!A:C,2,FALSE)</f>
        <v>0004-0008</v>
      </c>
      <c r="D80" s="10">
        <v>54001</v>
      </c>
      <c r="E80" s="10" t="s">
        <v>587</v>
      </c>
      <c r="F80" s="10">
        <v>61168</v>
      </c>
      <c r="G80" s="10" t="s">
        <v>78</v>
      </c>
      <c r="H80" s="10" t="s">
        <v>103</v>
      </c>
      <c r="I80" s="10" t="s">
        <v>101</v>
      </c>
      <c r="J80" s="10" t="s">
        <v>588</v>
      </c>
      <c r="K80" s="10" t="s">
        <v>81</v>
      </c>
      <c r="L80" s="10" t="s">
        <v>589</v>
      </c>
      <c r="M80" s="74">
        <v>45905.701388888891</v>
      </c>
      <c r="N80" s="74">
        <v>45910.448611111111</v>
      </c>
      <c r="O80" s="10"/>
      <c r="P80" s="10" t="s">
        <v>83</v>
      </c>
      <c r="Q80" s="10" t="s">
        <v>84</v>
      </c>
      <c r="R80" s="10" t="s">
        <v>86</v>
      </c>
      <c r="S80" s="10" t="s">
        <v>590</v>
      </c>
      <c r="T80" s="10" t="s">
        <v>96</v>
      </c>
      <c r="U80" s="10" t="s">
        <v>97</v>
      </c>
      <c r="V80" s="10" t="s">
        <v>591</v>
      </c>
      <c r="W80" s="10" t="s">
        <v>90</v>
      </c>
      <c r="X80" s="10" t="s">
        <v>308</v>
      </c>
      <c r="Y80" s="73" t="str">
        <f>VLOOKUP(D80,TIPOLOGIAS!A:F,6,0)</f>
        <v>TIPO I</v>
      </c>
      <c r="Z80" s="73" t="str">
        <f>VLOOKUP(D80,TIPOLOGIAS!A:F,5,0)</f>
        <v>TERRESTRE</v>
      </c>
      <c r="AA80" s="10" t="s">
        <v>592</v>
      </c>
      <c r="AB80" s="75">
        <v>1</v>
      </c>
      <c r="AC80" s="76">
        <f>IF(AND(W80="SOPORTE_TELEFÓNICO",OR(U80="SIN CONTACTO CON EL CB",U80="NÚMEROS DE CONTACTO ERRADOS")),0,IF(W80="SOPORTE_TELEFÓNICO",'BASE DE LIQUIDACION 2025'!$B$9,IF(Y80="TIPO I",'BASE DE LIQUIDACION 2025'!$C$3,IF(Y80="TIPO II",'BASE DE LIQUIDACION 2025'!$C$4,IF(Y80="TIPO III",'BASE DE LIQUIDACION 2025'!$C$5,'BASE DE LIQUIDACION 2025'!$C$6)))))</f>
        <v>44559.563999999998</v>
      </c>
      <c r="AD80" s="76">
        <f>IF(W80="SOPORTE_TELEFÓNICO",AC80,CIERRES!AB80*CIERRES!AC80)</f>
        <v>44559.563999999998</v>
      </c>
    </row>
    <row r="81" spans="1:30" s="63" customFormat="1" ht="13.15">
      <c r="A81" s="10" t="s">
        <v>126</v>
      </c>
      <c r="B81" s="73" t="str">
        <f>VLOOKUP(A81,'CENTRO DE COSTOS'!A:D,4,FALSE)</f>
        <v>MIGUEL JULIÁN HERNÁNDEZ GUARÍN</v>
      </c>
      <c r="C81" s="73" t="str">
        <f>VLOOKUP(A81,'CENTRO DE COSTOS'!A:C,2,FALSE)</f>
        <v>0004-0008</v>
      </c>
      <c r="D81" s="10">
        <v>15317</v>
      </c>
      <c r="E81" s="10" t="s">
        <v>593</v>
      </c>
      <c r="F81" s="10">
        <v>66393</v>
      </c>
      <c r="G81" s="10" t="s">
        <v>78</v>
      </c>
      <c r="H81" s="10" t="s">
        <v>128</v>
      </c>
      <c r="I81" s="10" t="s">
        <v>594</v>
      </c>
      <c r="J81" s="10" t="s">
        <v>595</v>
      </c>
      <c r="K81" s="10" t="s">
        <v>81</v>
      </c>
      <c r="L81" s="10" t="s">
        <v>596</v>
      </c>
      <c r="M81" s="74">
        <v>45904.646527777782</v>
      </c>
      <c r="N81" s="74">
        <v>45910.572222222218</v>
      </c>
      <c r="O81" s="10"/>
      <c r="P81" s="10" t="s">
        <v>83</v>
      </c>
      <c r="Q81" s="10" t="s">
        <v>83</v>
      </c>
      <c r="R81" s="10" t="s">
        <v>85</v>
      </c>
      <c r="S81" s="10" t="s">
        <v>86</v>
      </c>
      <c r="T81" s="10" t="s">
        <v>96</v>
      </c>
      <c r="U81" s="10" t="s">
        <v>97</v>
      </c>
      <c r="V81" s="10" t="s">
        <v>597</v>
      </c>
      <c r="W81" s="10" t="s">
        <v>134</v>
      </c>
      <c r="X81" s="10" t="s">
        <v>91</v>
      </c>
      <c r="Y81" s="73" t="str">
        <f>VLOOKUP(D81,TIPOLOGIAS!A:F,6,0)</f>
        <v>TIPO IV</v>
      </c>
      <c r="Z81" s="73" t="str">
        <f>VLOOKUP(D81,TIPOLOGIAS!A:F,5,0)</f>
        <v>TERRESTRE</v>
      </c>
      <c r="AA81" s="10" t="s">
        <v>472</v>
      </c>
      <c r="AB81" s="77">
        <v>0</v>
      </c>
      <c r="AC81" s="76">
        <f>IF(AND(W81="SOPORTE_TELEFÓNICO",OR(U81="SIN CONTACTO CON EL CB",U81="NÚMEROS DE CONTACTO ERRADOS")),0,IF(W81="SOPORTE_TELEFÓNICO",'BASE DE LIQUIDACION 2025'!$B$9,IF(Y81="TIPO I",'BASE DE LIQUIDACION 2025'!$C$3,IF(Y81="TIPO II",'BASE DE LIQUIDACION 2025'!$C$4,IF(Y81="TIPO III",'BASE DE LIQUIDACION 2025'!$C$5,'BASE DE LIQUIDACION 2025'!$C$6)))))</f>
        <v>37904.612000000001</v>
      </c>
      <c r="AD81" s="76">
        <f>IF(W81="SOPORTE_TELEFÓNICO",AC81,CIERRES!AB81*CIERRES!AC81)</f>
        <v>37904.612000000001</v>
      </c>
    </row>
    <row r="82" spans="1:30" s="63" customFormat="1" ht="13.15">
      <c r="A82" s="10" t="s">
        <v>101</v>
      </c>
      <c r="B82" s="73" t="str">
        <f>VLOOKUP(A82,'CENTRO DE COSTOS'!A:D,4,FALSE)</f>
        <v>MIGUEL JULIÁN HERNÁNDEZ GUARÍN</v>
      </c>
      <c r="C82" s="73" t="str">
        <f>VLOOKUP(A82,'CENTRO DE COSTOS'!A:C,2,FALSE)</f>
        <v>0004-0008</v>
      </c>
      <c r="D82" s="10">
        <v>54001</v>
      </c>
      <c r="E82" s="10" t="s">
        <v>598</v>
      </c>
      <c r="F82" s="10">
        <v>76416</v>
      </c>
      <c r="G82" s="10" t="s">
        <v>78</v>
      </c>
      <c r="H82" s="10" t="s">
        <v>103</v>
      </c>
      <c r="I82" s="10" t="s">
        <v>101</v>
      </c>
      <c r="J82" s="10" t="s">
        <v>599</v>
      </c>
      <c r="K82" s="10" t="s">
        <v>81</v>
      </c>
      <c r="L82" s="10" t="s">
        <v>600</v>
      </c>
      <c r="M82" s="74">
        <v>45904.646527777782</v>
      </c>
      <c r="N82" s="74">
        <v>45906.662499999999</v>
      </c>
      <c r="O82" s="10"/>
      <c r="P82" s="10" t="s">
        <v>83</v>
      </c>
      <c r="Q82" s="10" t="s">
        <v>83</v>
      </c>
      <c r="R82" s="10" t="s">
        <v>86</v>
      </c>
      <c r="S82" s="10" t="s">
        <v>86</v>
      </c>
      <c r="T82" s="10" t="s">
        <v>87</v>
      </c>
      <c r="U82" s="10" t="s">
        <v>88</v>
      </c>
      <c r="V82" s="10" t="s">
        <v>601</v>
      </c>
      <c r="W82" s="10" t="s">
        <v>90</v>
      </c>
      <c r="X82" s="10" t="s">
        <v>91</v>
      </c>
      <c r="Y82" s="73" t="str">
        <f>VLOOKUP(D82,TIPOLOGIAS!A:F,6,0)</f>
        <v>TIPO I</v>
      </c>
      <c r="Z82" s="73" t="str">
        <f>VLOOKUP(D82,TIPOLOGIAS!A:F,5,0)</f>
        <v>TERRESTRE</v>
      </c>
      <c r="AA82" s="10" t="s">
        <v>602</v>
      </c>
      <c r="AB82" s="75">
        <v>1</v>
      </c>
      <c r="AC82" s="76">
        <f>IF(AND(W82="SOPORTE_TELEFÓNICO",OR(U82="SIN CONTACTO CON EL CB",U82="NÚMEROS DE CONTACTO ERRADOS")),0,IF(W82="SOPORTE_TELEFÓNICO",'BASE DE LIQUIDACION 2025'!$B$9,IF(Y82="TIPO I",'BASE DE LIQUIDACION 2025'!$C$3,IF(Y82="TIPO II",'BASE DE LIQUIDACION 2025'!$C$4,IF(Y82="TIPO III",'BASE DE LIQUIDACION 2025'!$C$5,'BASE DE LIQUIDACION 2025'!$C$6)))))</f>
        <v>44559.563999999998</v>
      </c>
      <c r="AD82" s="76">
        <f>IF(W82="SOPORTE_TELEFÓNICO",AC82,CIERRES!AB82*CIERRES!AC82)</f>
        <v>44559.563999999998</v>
      </c>
    </row>
    <row r="83" spans="1:30" s="63" customFormat="1" ht="13.15">
      <c r="A83" s="10" t="s">
        <v>76</v>
      </c>
      <c r="B83" s="73" t="str">
        <f>VLOOKUP(A83,'CENTRO DE COSTOS'!A:D,4,FALSE)</f>
        <v>WILLIAM ASDRUBAL ROZO ROZO</v>
      </c>
      <c r="C83" s="73" t="str">
        <f>VLOOKUP(A83,'CENTRO DE COSTOS'!A:C,2,FALSE)</f>
        <v>0004-0004</v>
      </c>
      <c r="D83" s="10">
        <v>11001</v>
      </c>
      <c r="E83" s="10" t="s">
        <v>603</v>
      </c>
      <c r="F83" s="10">
        <v>71987</v>
      </c>
      <c r="G83" s="10" t="s">
        <v>78</v>
      </c>
      <c r="H83" s="10" t="s">
        <v>79</v>
      </c>
      <c r="I83" s="10" t="s">
        <v>76</v>
      </c>
      <c r="J83" s="10" t="s">
        <v>604</v>
      </c>
      <c r="K83" s="10" t="s">
        <v>81</v>
      </c>
      <c r="L83" s="10" t="s">
        <v>605</v>
      </c>
      <c r="M83" s="74">
        <v>45904.646527777782</v>
      </c>
      <c r="N83" s="74">
        <v>45906.665972222218</v>
      </c>
      <c r="O83" s="10"/>
      <c r="P83" s="10" t="s">
        <v>83</v>
      </c>
      <c r="Q83" s="10" t="s">
        <v>83</v>
      </c>
      <c r="R83" s="10" t="s">
        <v>85</v>
      </c>
      <c r="S83" s="10" t="s">
        <v>85</v>
      </c>
      <c r="T83" s="10" t="s">
        <v>147</v>
      </c>
      <c r="U83" s="10" t="s">
        <v>148</v>
      </c>
      <c r="V83" s="10" t="s">
        <v>606</v>
      </c>
      <c r="W83" s="10" t="s">
        <v>90</v>
      </c>
      <c r="X83" s="10" t="s">
        <v>607</v>
      </c>
      <c r="Y83" s="73" t="str">
        <f>VLOOKUP(D83,TIPOLOGIAS!A:F,6,0)</f>
        <v>TIPO I</v>
      </c>
      <c r="Z83" s="73" t="str">
        <f>VLOOKUP(D83,TIPOLOGIAS!A:F,5,0)</f>
        <v>TERRESTRE</v>
      </c>
      <c r="AA83" s="10" t="s">
        <v>92</v>
      </c>
      <c r="AB83" s="75">
        <v>1</v>
      </c>
      <c r="AC83" s="76">
        <f>IF(AND(W83="SOPORTE_TELEFÓNICO",OR(U83="SIN CONTACTO CON EL CB",U83="NÚMEROS DE CONTACTO ERRADOS")),0,IF(W83="SOPORTE_TELEFÓNICO",'BASE DE LIQUIDACION 2025'!$B$9,IF(Y83="TIPO I",'BASE DE LIQUIDACION 2025'!$C$3,IF(Y83="TIPO II",'BASE DE LIQUIDACION 2025'!$C$4,IF(Y83="TIPO III",'BASE DE LIQUIDACION 2025'!$C$5,'BASE DE LIQUIDACION 2025'!$C$6)))))</f>
        <v>44559.563999999998</v>
      </c>
      <c r="AD83" s="76">
        <f>IF(W83="SOPORTE_TELEFÓNICO",AC83,CIERRES!AB83*CIERRES!AC83)</f>
        <v>44559.563999999998</v>
      </c>
    </row>
    <row r="84" spans="1:30" s="63" customFormat="1" ht="13.15">
      <c r="A84" s="10" t="s">
        <v>287</v>
      </c>
      <c r="B84" s="73" t="str">
        <f>VLOOKUP(A84,'CENTRO DE COSTOS'!A:D,4,FALSE)</f>
        <v>KEVIN ALEXIS CORZO BUSTOS</v>
      </c>
      <c r="C84" s="73" t="str">
        <f>VLOOKUP(A84,'CENTRO DE COSTOS'!A:C,2,FALSE)</f>
        <v>0004-0007</v>
      </c>
      <c r="D84" s="10">
        <v>18247</v>
      </c>
      <c r="E84" s="10" t="s">
        <v>608</v>
      </c>
      <c r="F84" s="10">
        <v>77453</v>
      </c>
      <c r="G84" s="10" t="s">
        <v>78</v>
      </c>
      <c r="H84" s="10" t="s">
        <v>289</v>
      </c>
      <c r="I84" s="10" t="s">
        <v>609</v>
      </c>
      <c r="J84" s="10" t="s">
        <v>610</v>
      </c>
      <c r="K84" s="10" t="s">
        <v>81</v>
      </c>
      <c r="L84" s="10" t="s">
        <v>611</v>
      </c>
      <c r="M84" s="74">
        <v>45904.646527777782</v>
      </c>
      <c r="N84" s="74">
        <v>45906.642361111109</v>
      </c>
      <c r="O84" s="10"/>
      <c r="P84" s="10" t="s">
        <v>83</v>
      </c>
      <c r="Q84" s="10" t="s">
        <v>83</v>
      </c>
      <c r="R84" s="10" t="s">
        <v>85</v>
      </c>
      <c r="S84" s="10" t="s">
        <v>85</v>
      </c>
      <c r="T84" s="10" t="s">
        <v>87</v>
      </c>
      <c r="U84" s="10" t="s">
        <v>88</v>
      </c>
      <c r="V84" s="10" t="s">
        <v>612</v>
      </c>
      <c r="W84" s="10" t="s">
        <v>90</v>
      </c>
      <c r="X84" s="10" t="s">
        <v>91</v>
      </c>
      <c r="Y84" s="73" t="str">
        <f>VLOOKUP(D84,TIPOLOGIAS!A:F,6,0)</f>
        <v>TIPO IV</v>
      </c>
      <c r="Z84" s="73" t="str">
        <f>VLOOKUP(D84,TIPOLOGIAS!A:F,5,0)</f>
        <v>TERRESTRE</v>
      </c>
      <c r="AA84" s="10" t="s">
        <v>295</v>
      </c>
      <c r="AB84" s="75">
        <v>1</v>
      </c>
      <c r="AC84" s="76">
        <f>IF(AND(W84="SOPORTE_TELEFÓNICO",OR(U84="SIN CONTACTO CON EL CB",U84="NÚMEROS DE CONTACTO ERRADOS")),0,IF(W84="SOPORTE_TELEFÓNICO",'BASE DE LIQUIDACION 2025'!$B$9,IF(Y84="TIPO I",'BASE DE LIQUIDACION 2025'!$C$3,IF(Y84="TIPO II",'BASE DE LIQUIDACION 2025'!$C$4,IF(Y84="TIPO III",'BASE DE LIQUIDACION 2025'!$C$5,'BASE DE LIQUIDACION 2025'!$C$6)))))</f>
        <v>464809.36800000002</v>
      </c>
      <c r="AD84" s="76">
        <f>IF(W84="SOPORTE_TELEFÓNICO",AC84,CIERRES!AB84*CIERRES!AC84)</f>
        <v>464809.36800000002</v>
      </c>
    </row>
    <row r="85" spans="1:30" s="63" customFormat="1" ht="13.15">
      <c r="A85" s="10" t="s">
        <v>287</v>
      </c>
      <c r="B85" s="73" t="str">
        <f>VLOOKUP(A85,'CENTRO DE COSTOS'!A:D,4,FALSE)</f>
        <v>KEVIN ALEXIS CORZO BUSTOS</v>
      </c>
      <c r="C85" s="73" t="str">
        <f>VLOOKUP(A85,'CENTRO DE COSTOS'!A:C,2,FALSE)</f>
        <v>0004-0007</v>
      </c>
      <c r="D85" s="10">
        <v>18756</v>
      </c>
      <c r="E85" s="10" t="s">
        <v>613</v>
      </c>
      <c r="F85" s="10">
        <v>77585</v>
      </c>
      <c r="G85" s="10" t="s">
        <v>78</v>
      </c>
      <c r="H85" s="10" t="s">
        <v>289</v>
      </c>
      <c r="I85" s="10" t="s">
        <v>614</v>
      </c>
      <c r="J85" s="10" t="s">
        <v>615</v>
      </c>
      <c r="K85" s="10" t="s">
        <v>81</v>
      </c>
      <c r="L85" s="10" t="s">
        <v>616</v>
      </c>
      <c r="M85" s="74">
        <v>45904.646527777782</v>
      </c>
      <c r="N85" s="74">
        <v>45911.628472222219</v>
      </c>
      <c r="O85" s="10"/>
      <c r="P85" s="10" t="s">
        <v>83</v>
      </c>
      <c r="Q85" s="10" t="s">
        <v>83</v>
      </c>
      <c r="R85" s="10" t="s">
        <v>85</v>
      </c>
      <c r="S85" s="10" t="s">
        <v>85</v>
      </c>
      <c r="T85" s="10" t="s">
        <v>87</v>
      </c>
      <c r="U85" s="10" t="s">
        <v>132</v>
      </c>
      <c r="V85" s="10" t="s">
        <v>617</v>
      </c>
      <c r="W85" s="10" t="s">
        <v>134</v>
      </c>
      <c r="X85" s="10" t="s">
        <v>91</v>
      </c>
      <c r="Y85" s="73" t="str">
        <f>VLOOKUP(D85,TIPOLOGIAS!A:F,6,0)</f>
        <v>TIPO IV ESPECIAL</v>
      </c>
      <c r="Z85" s="73" t="str">
        <f>VLOOKUP(D85,TIPOLOGIAS!A:F,5,0)</f>
        <v>TERRESTRE/FLUVIAL</v>
      </c>
      <c r="AA85" s="10" t="s">
        <v>295</v>
      </c>
      <c r="AB85" s="77">
        <v>0</v>
      </c>
      <c r="AC85" s="76">
        <f>IF(AND(W85="SOPORTE_TELEFÓNICO",OR(U85="SIN CONTACTO CON EL CB",U85="NÚMEROS DE CONTACTO ERRADOS")),0,IF(W85="SOPORTE_TELEFÓNICO",'BASE DE LIQUIDACION 2025'!$B$9,IF(Y85="TIPO I",'BASE DE LIQUIDACION 2025'!$C$3,IF(Y85="TIPO II",'BASE DE LIQUIDACION 2025'!$C$4,IF(Y85="TIPO III",'BASE DE LIQUIDACION 2025'!$C$5,'BASE DE LIQUIDACION 2025'!$C$6)))))</f>
        <v>0</v>
      </c>
      <c r="AD85" s="76">
        <f>IF(W85="SOPORTE_TELEFÓNICO",AC85,CIERRES!AB85*CIERRES!AC85)</f>
        <v>0</v>
      </c>
    </row>
    <row r="86" spans="1:30" s="63" customFormat="1" ht="13.15">
      <c r="A86" s="10" t="s">
        <v>112</v>
      </c>
      <c r="B86" s="73" t="str">
        <f>VLOOKUP(A86,'CENTRO DE COSTOS'!A:D,4,FALSE)</f>
        <v>DIEGO FERNANDO HENAO CARDONA</v>
      </c>
      <c r="C86" s="73" t="str">
        <f>VLOOKUP(A86,'CENTRO DE COSTOS'!A:C,2,FALSE)</f>
        <v>0004-0003</v>
      </c>
      <c r="D86" s="10">
        <v>19392</v>
      </c>
      <c r="E86" s="10" t="s">
        <v>618</v>
      </c>
      <c r="F86" s="10">
        <v>48186</v>
      </c>
      <c r="G86" s="10" t="s">
        <v>78</v>
      </c>
      <c r="H86" s="10" t="s">
        <v>114</v>
      </c>
      <c r="I86" s="10" t="s">
        <v>619</v>
      </c>
      <c r="J86" s="10" t="s">
        <v>620</v>
      </c>
      <c r="K86" s="10" t="s">
        <v>81</v>
      </c>
      <c r="L86" s="10" t="s">
        <v>621</v>
      </c>
      <c r="M86" s="74">
        <v>45904.646527777782</v>
      </c>
      <c r="N86" s="74">
        <v>45911.463194444441</v>
      </c>
      <c r="O86" s="10"/>
      <c r="P86" s="10" t="s">
        <v>83</v>
      </c>
      <c r="Q86" s="10" t="s">
        <v>83</v>
      </c>
      <c r="R86" s="10" t="s">
        <v>107</v>
      </c>
      <c r="S86" s="10" t="s">
        <v>185</v>
      </c>
      <c r="T86" s="10" t="s">
        <v>96</v>
      </c>
      <c r="U86" s="10" t="s">
        <v>97</v>
      </c>
      <c r="V86" s="10" t="s">
        <v>622</v>
      </c>
      <c r="W86" s="10" t="s">
        <v>134</v>
      </c>
      <c r="X86" s="10" t="s">
        <v>91</v>
      </c>
      <c r="Y86" s="73" t="str">
        <f>VLOOKUP(D86,TIPOLOGIAS!A:F,6,0)</f>
        <v>TIPO III</v>
      </c>
      <c r="Z86" s="73" t="str">
        <f>VLOOKUP(D86,TIPOLOGIAS!A:F,5,0)</f>
        <v>TERRESTRE</v>
      </c>
      <c r="AA86" s="10" t="s">
        <v>120</v>
      </c>
      <c r="AB86" s="77">
        <v>0</v>
      </c>
      <c r="AC86" s="76">
        <f>IF(AND(W86="SOPORTE_TELEFÓNICO",OR(U86="SIN CONTACTO CON EL CB",U86="NÚMEROS DE CONTACTO ERRADOS")),0,IF(W86="SOPORTE_TELEFÓNICO",'BASE DE LIQUIDACION 2025'!$B$9,IF(Y86="TIPO I",'BASE DE LIQUIDACION 2025'!$C$3,IF(Y86="TIPO II",'BASE DE LIQUIDACION 2025'!$C$4,IF(Y86="TIPO III",'BASE DE LIQUIDACION 2025'!$C$5,'BASE DE LIQUIDACION 2025'!$C$6)))))</f>
        <v>37904.612000000001</v>
      </c>
      <c r="AD86" s="76">
        <f>IF(W86="SOPORTE_TELEFÓNICO",AC86,CIERRES!AB86*CIERRES!AC86)</f>
        <v>37904.612000000001</v>
      </c>
    </row>
    <row r="87" spans="1:30" s="63" customFormat="1" ht="13.15">
      <c r="A87" s="10" t="s">
        <v>623</v>
      </c>
      <c r="B87" s="73" t="str">
        <f>VLOOKUP(A87,'CENTRO DE COSTOS'!A:D,4,FALSE)</f>
        <v>JUAN SEBASTIÁN RÍOS CASTRILLÓN</v>
      </c>
      <c r="C87" s="73" t="str">
        <f>VLOOKUP(A87,'CENTRO DE COSTOS'!A:C,2,FALSE)</f>
        <v>0004-0005</v>
      </c>
      <c r="D87" s="10">
        <v>5045</v>
      </c>
      <c r="E87" s="10" t="s">
        <v>624</v>
      </c>
      <c r="F87" s="10">
        <v>56080</v>
      </c>
      <c r="G87" s="10" t="s">
        <v>78</v>
      </c>
      <c r="H87" s="10" t="s">
        <v>160</v>
      </c>
      <c r="I87" s="10" t="s">
        <v>623</v>
      </c>
      <c r="J87" s="10" t="s">
        <v>625</v>
      </c>
      <c r="K87" s="10" t="s">
        <v>81</v>
      </c>
      <c r="L87" s="10" t="s">
        <v>626</v>
      </c>
      <c r="M87" s="74">
        <v>45904.646527777782</v>
      </c>
      <c r="N87" s="74">
        <v>45911.465277777781</v>
      </c>
      <c r="O87" s="10"/>
      <c r="P87" s="10" t="s">
        <v>83</v>
      </c>
      <c r="Q87" s="10" t="s">
        <v>83</v>
      </c>
      <c r="R87" s="10" t="s">
        <v>107</v>
      </c>
      <c r="S87" s="10" t="s">
        <v>185</v>
      </c>
      <c r="T87" s="10" t="s">
        <v>87</v>
      </c>
      <c r="U87" s="10" t="s">
        <v>88</v>
      </c>
      <c r="V87" s="10" t="s">
        <v>627</v>
      </c>
      <c r="W87" s="10" t="s">
        <v>90</v>
      </c>
      <c r="X87" s="10" t="s">
        <v>628</v>
      </c>
      <c r="Y87" s="73" t="str">
        <f>VLOOKUP(D87,TIPOLOGIAS!A:F,6,0)</f>
        <v>TIPO I</v>
      </c>
      <c r="Z87" s="73" t="str">
        <f>VLOOKUP(D87,TIPOLOGIAS!A:F,5,0)</f>
        <v>TERRESTRE</v>
      </c>
      <c r="AA87" s="10" t="s">
        <v>629</v>
      </c>
      <c r="AB87" s="75">
        <v>2</v>
      </c>
      <c r="AC87" s="76">
        <f>IF(AND(W87="SOPORTE_TELEFÓNICO",OR(U87="SIN CONTACTO CON EL CB",U87="NÚMEROS DE CONTACTO ERRADOS")),0,IF(W87="SOPORTE_TELEFÓNICO",'BASE DE LIQUIDACION 2025'!$B$9,IF(Y87="TIPO I",'BASE DE LIQUIDACION 2025'!$C$3,IF(Y87="TIPO II",'BASE DE LIQUIDACION 2025'!$C$4,IF(Y87="TIPO III",'BASE DE LIQUIDACION 2025'!$C$5,'BASE DE LIQUIDACION 2025'!$C$6)))))</f>
        <v>44559.563999999998</v>
      </c>
      <c r="AD87" s="76">
        <f>IF(W87="SOPORTE_TELEFÓNICO",AC87,CIERRES!AB87*CIERRES!AC87)</f>
        <v>89119.127999999997</v>
      </c>
    </row>
    <row r="88" spans="1:30" s="63" customFormat="1" ht="13.15">
      <c r="A88" s="10" t="s">
        <v>112</v>
      </c>
      <c r="B88" s="73" t="str">
        <f>VLOOKUP(A88,'CENTRO DE COSTOS'!A:D,4,FALSE)</f>
        <v>DIEGO FERNANDO HENAO CARDONA</v>
      </c>
      <c r="C88" s="73" t="str">
        <f>VLOOKUP(A88,'CENTRO DE COSTOS'!A:C,2,FALSE)</f>
        <v>0004-0003</v>
      </c>
      <c r="D88" s="10">
        <v>76001</v>
      </c>
      <c r="E88" s="10" t="s">
        <v>630</v>
      </c>
      <c r="F88" s="10">
        <v>66254</v>
      </c>
      <c r="G88" s="10" t="s">
        <v>78</v>
      </c>
      <c r="H88" s="10" t="s">
        <v>143</v>
      </c>
      <c r="I88" s="10" t="s">
        <v>112</v>
      </c>
      <c r="J88" s="10" t="s">
        <v>631</v>
      </c>
      <c r="K88" s="10" t="s">
        <v>81</v>
      </c>
      <c r="L88" s="10" t="s">
        <v>632</v>
      </c>
      <c r="M88" s="74">
        <v>45904.646527777782</v>
      </c>
      <c r="N88" s="74">
        <v>45909.354166666657</v>
      </c>
      <c r="O88" s="10"/>
      <c r="P88" s="10" t="s">
        <v>83</v>
      </c>
      <c r="Q88" s="10" t="s">
        <v>83</v>
      </c>
      <c r="R88" s="10" t="s">
        <v>107</v>
      </c>
      <c r="S88" s="10" t="s">
        <v>108</v>
      </c>
      <c r="T88" s="10" t="s">
        <v>96</v>
      </c>
      <c r="U88" s="10" t="s">
        <v>97</v>
      </c>
      <c r="V88" s="10" t="s">
        <v>633</v>
      </c>
      <c r="W88" s="10" t="s">
        <v>90</v>
      </c>
      <c r="X88" s="10" t="s">
        <v>634</v>
      </c>
      <c r="Y88" s="73" t="str">
        <f>VLOOKUP(D88,TIPOLOGIAS!A:F,6,0)</f>
        <v>TIPO I</v>
      </c>
      <c r="Z88" s="73" t="str">
        <f>VLOOKUP(D88,TIPOLOGIAS!A:F,5,0)</f>
        <v>TERRESTRE</v>
      </c>
      <c r="AA88" s="10" t="s">
        <v>410</v>
      </c>
      <c r="AB88" s="75">
        <v>1</v>
      </c>
      <c r="AC88" s="76">
        <f>IF(AND(W88="SOPORTE_TELEFÓNICO",OR(U88="SIN CONTACTO CON EL CB",U88="NÚMEROS DE CONTACTO ERRADOS")),0,IF(W88="SOPORTE_TELEFÓNICO",'BASE DE LIQUIDACION 2025'!$B$9,IF(Y88="TIPO I",'BASE DE LIQUIDACION 2025'!$C$3,IF(Y88="TIPO II",'BASE DE LIQUIDACION 2025'!$C$4,IF(Y88="TIPO III",'BASE DE LIQUIDACION 2025'!$C$5,'BASE DE LIQUIDACION 2025'!$C$6)))))</f>
        <v>44559.563999999998</v>
      </c>
      <c r="AD88" s="76">
        <f>IF(W88="SOPORTE_TELEFÓNICO",AC88,CIERRES!AB88*CIERRES!AC88)</f>
        <v>44559.563999999998</v>
      </c>
    </row>
    <row r="89" spans="1:30" s="63" customFormat="1" ht="13.15">
      <c r="A89" s="10" t="s">
        <v>158</v>
      </c>
      <c r="B89" s="73" t="str">
        <f>VLOOKUP(A89,'CENTRO DE COSTOS'!A:D,4,FALSE)</f>
        <v>JUAN SEBASTIÁN RÍOS CASTRILLÓN</v>
      </c>
      <c r="C89" s="73" t="str">
        <f>VLOOKUP(A89,'CENTRO DE COSTOS'!A:C,2,FALSE)</f>
        <v>0004-0005</v>
      </c>
      <c r="D89" s="10">
        <v>5885</v>
      </c>
      <c r="E89" s="10" t="s">
        <v>635</v>
      </c>
      <c r="F89" s="10">
        <v>74324</v>
      </c>
      <c r="G89" s="10" t="s">
        <v>78</v>
      </c>
      <c r="H89" s="10" t="s">
        <v>160</v>
      </c>
      <c r="I89" s="10" t="s">
        <v>636</v>
      </c>
      <c r="J89" s="10" t="s">
        <v>637</v>
      </c>
      <c r="K89" s="10" t="s">
        <v>81</v>
      </c>
      <c r="L89" s="10" t="s">
        <v>638</v>
      </c>
      <c r="M89" s="74">
        <v>45904.646527777782</v>
      </c>
      <c r="N89" s="74">
        <v>45906.654166666667</v>
      </c>
      <c r="O89" s="10"/>
      <c r="P89" s="10" t="s">
        <v>83</v>
      </c>
      <c r="Q89" s="10" t="s">
        <v>83</v>
      </c>
      <c r="R89" s="10" t="s">
        <v>107</v>
      </c>
      <c r="S89" s="10" t="s">
        <v>108</v>
      </c>
      <c r="T89" s="10" t="s">
        <v>87</v>
      </c>
      <c r="U89" s="10" t="s">
        <v>88</v>
      </c>
      <c r="V89" s="10" t="s">
        <v>639</v>
      </c>
      <c r="W89" s="10" t="s">
        <v>90</v>
      </c>
      <c r="X89" s="10" t="s">
        <v>640</v>
      </c>
      <c r="Y89" s="73" t="str">
        <f>VLOOKUP(D89,TIPOLOGIAS!A:F,6,0)</f>
        <v>TIPO II</v>
      </c>
      <c r="Z89" s="73" t="str">
        <f>VLOOKUP(D89,TIPOLOGIAS!A:F,5,0)</f>
        <v>TERRESTRE</v>
      </c>
      <c r="AA89" s="10" t="s">
        <v>301</v>
      </c>
      <c r="AB89" s="75">
        <v>1</v>
      </c>
      <c r="AC89" s="76">
        <f>IF(AND(W89="SOPORTE_TELEFÓNICO",OR(U89="SIN CONTACTO CON EL CB",U89="NÚMEROS DE CONTACTO ERRADOS")),0,IF(W89="SOPORTE_TELEFÓNICO",'BASE DE LIQUIDACION 2025'!$B$9,IF(Y89="TIPO I",'BASE DE LIQUIDACION 2025'!$C$3,IF(Y89="TIPO II",'BASE DE LIQUIDACION 2025'!$C$4,IF(Y89="TIPO III",'BASE DE LIQUIDACION 2025'!$C$5,'BASE DE LIQUIDACION 2025'!$C$6)))))</f>
        <v>134410.88400000002</v>
      </c>
      <c r="AD89" s="76">
        <f>IF(W89="SOPORTE_TELEFÓNICO",AC89,CIERRES!AB89*CIERRES!AC89)</f>
        <v>134410.88400000002</v>
      </c>
    </row>
    <row r="90" spans="1:30" s="63" customFormat="1" ht="13.15">
      <c r="A90" s="10" t="s">
        <v>210</v>
      </c>
      <c r="B90" s="73" t="str">
        <f>VLOOKUP(A90,'CENTRO DE COSTOS'!A:D,4,FALSE)</f>
        <v>JOSE MAURICIO HERNANDEZ ROJAS</v>
      </c>
      <c r="C90" s="73" t="str">
        <f>VLOOKUP(A90,'CENTRO DE COSTOS'!A:C,2,FALSE)</f>
        <v>0004-0001</v>
      </c>
      <c r="D90" s="10">
        <v>44430</v>
      </c>
      <c r="E90" s="10" t="s">
        <v>641</v>
      </c>
      <c r="F90" s="10">
        <v>79898</v>
      </c>
      <c r="G90" s="10" t="s">
        <v>78</v>
      </c>
      <c r="H90" s="10" t="s">
        <v>317</v>
      </c>
      <c r="I90" s="10" t="s">
        <v>318</v>
      </c>
      <c r="J90" s="10" t="s">
        <v>642</v>
      </c>
      <c r="K90" s="10" t="s">
        <v>81</v>
      </c>
      <c r="L90" s="10" t="s">
        <v>643</v>
      </c>
      <c r="M90" s="74">
        <v>45904.646527777782</v>
      </c>
      <c r="N90" s="74">
        <v>45908.718055555553</v>
      </c>
      <c r="O90" s="10"/>
      <c r="P90" s="10" t="s">
        <v>83</v>
      </c>
      <c r="Q90" s="10" t="s">
        <v>83</v>
      </c>
      <c r="R90" s="10" t="s">
        <v>107</v>
      </c>
      <c r="S90" s="10" t="s">
        <v>185</v>
      </c>
      <c r="T90" s="10" t="s">
        <v>96</v>
      </c>
      <c r="U90" s="10" t="s">
        <v>97</v>
      </c>
      <c r="V90" s="10" t="s">
        <v>644</v>
      </c>
      <c r="W90" s="10" t="s">
        <v>90</v>
      </c>
      <c r="X90" s="10" t="s">
        <v>91</v>
      </c>
      <c r="Y90" s="73" t="str">
        <f>VLOOKUP(D90,TIPOLOGIAS!A:F,6,0)</f>
        <v>TIPO IV</v>
      </c>
      <c r="Z90" s="73" t="str">
        <f>VLOOKUP(D90,TIPOLOGIAS!A:F,5,0)</f>
        <v>TERRESTRE</v>
      </c>
      <c r="AA90" s="10" t="s">
        <v>217</v>
      </c>
      <c r="AB90" s="75">
        <v>1</v>
      </c>
      <c r="AC90" s="76">
        <f>IF(AND(W90="SOPORTE_TELEFÓNICO",OR(U90="SIN CONTACTO CON EL CB",U90="NÚMEROS DE CONTACTO ERRADOS")),0,IF(W90="SOPORTE_TELEFÓNICO",'BASE DE LIQUIDACION 2025'!$B$9,IF(Y90="TIPO I",'BASE DE LIQUIDACION 2025'!$C$3,IF(Y90="TIPO II",'BASE DE LIQUIDACION 2025'!$C$4,IF(Y90="TIPO III",'BASE DE LIQUIDACION 2025'!$C$5,'BASE DE LIQUIDACION 2025'!$C$6)))))</f>
        <v>464809.36800000002</v>
      </c>
      <c r="AD90" s="76">
        <f>IF(W90="SOPORTE_TELEFÓNICO",AC90,CIERRES!AB90*CIERRES!AC90)</f>
        <v>464809.36800000002</v>
      </c>
    </row>
    <row r="91" spans="1:30" s="63" customFormat="1" ht="13.15">
      <c r="A91" s="10" t="s">
        <v>141</v>
      </c>
      <c r="B91" s="73" t="str">
        <f>VLOOKUP(A91,'CENTRO DE COSTOS'!A:D,4,FALSE)</f>
        <v>DIEGO FERNANDO HENAO CARDONA</v>
      </c>
      <c r="C91" s="73" t="str">
        <f>VLOOKUP(A91,'CENTRO DE COSTOS'!A:C,2,FALSE)</f>
        <v>0004-0002</v>
      </c>
      <c r="D91" s="10">
        <v>66170</v>
      </c>
      <c r="E91" s="10" t="s">
        <v>645</v>
      </c>
      <c r="F91" s="10">
        <v>80485</v>
      </c>
      <c r="G91" s="10" t="s">
        <v>78</v>
      </c>
      <c r="H91" s="10" t="s">
        <v>532</v>
      </c>
      <c r="I91" s="10" t="s">
        <v>546</v>
      </c>
      <c r="J91" s="10" t="s">
        <v>646</v>
      </c>
      <c r="K91" s="10" t="s">
        <v>81</v>
      </c>
      <c r="L91" s="10" t="s">
        <v>647</v>
      </c>
      <c r="M91" s="74">
        <v>45904.646527777782</v>
      </c>
      <c r="N91" s="74">
        <v>45905.693749999999</v>
      </c>
      <c r="O91" s="10"/>
      <c r="P91" s="10" t="s">
        <v>83</v>
      </c>
      <c r="Q91" s="10" t="s">
        <v>83</v>
      </c>
      <c r="R91" s="10" t="s">
        <v>107</v>
      </c>
      <c r="S91" s="10" t="s">
        <v>185</v>
      </c>
      <c r="T91" s="10" t="s">
        <v>96</v>
      </c>
      <c r="U91" s="10" t="s">
        <v>97</v>
      </c>
      <c r="V91" s="10" t="s">
        <v>648</v>
      </c>
      <c r="W91" s="10" t="s">
        <v>90</v>
      </c>
      <c r="X91" s="10" t="s">
        <v>649</v>
      </c>
      <c r="Y91" s="73" t="str">
        <f>VLOOKUP(D91,TIPOLOGIAS!A:F,6,0)</f>
        <v>TIPO I</v>
      </c>
      <c r="Z91" s="73" t="str">
        <f>VLOOKUP(D91,TIPOLOGIAS!A:F,5,0)</f>
        <v>TERRESTRE</v>
      </c>
      <c r="AA91" s="10" t="s">
        <v>650</v>
      </c>
      <c r="AB91" s="75">
        <v>1</v>
      </c>
      <c r="AC91" s="76">
        <f>IF(AND(W91="SOPORTE_TELEFÓNICO",OR(U91="SIN CONTACTO CON EL CB",U91="NÚMEROS DE CONTACTO ERRADOS")),0,IF(W91="SOPORTE_TELEFÓNICO",'BASE DE LIQUIDACION 2025'!$B$9,IF(Y91="TIPO I",'BASE DE LIQUIDACION 2025'!$C$3,IF(Y91="TIPO II",'BASE DE LIQUIDACION 2025'!$C$4,IF(Y91="TIPO III",'BASE DE LIQUIDACION 2025'!$C$5,'BASE DE LIQUIDACION 2025'!$C$6)))))</f>
        <v>44559.563999999998</v>
      </c>
      <c r="AD91" s="76">
        <f>IF(W91="SOPORTE_TELEFÓNICO",AC91,CIERRES!AB91*CIERRES!AC91)</f>
        <v>44559.563999999998</v>
      </c>
    </row>
    <row r="92" spans="1:30" s="63" customFormat="1" ht="13.15">
      <c r="A92" s="10" t="s">
        <v>112</v>
      </c>
      <c r="B92" s="73" t="str">
        <f>VLOOKUP(A92,'CENTRO DE COSTOS'!A:D,4,FALSE)</f>
        <v>DIEGO FERNANDO HENAO CARDONA</v>
      </c>
      <c r="C92" s="73" t="str">
        <f>VLOOKUP(A92,'CENTRO DE COSTOS'!A:C,2,FALSE)</f>
        <v>0004-0003</v>
      </c>
      <c r="D92" s="10">
        <v>76364</v>
      </c>
      <c r="E92" s="10" t="s">
        <v>651</v>
      </c>
      <c r="F92" s="10">
        <v>67540</v>
      </c>
      <c r="G92" s="10" t="s">
        <v>78</v>
      </c>
      <c r="H92" s="10" t="s">
        <v>143</v>
      </c>
      <c r="I92" s="10" t="s">
        <v>652</v>
      </c>
      <c r="J92" s="10" t="s">
        <v>653</v>
      </c>
      <c r="K92" s="10" t="s">
        <v>81</v>
      </c>
      <c r="L92" s="10" t="s">
        <v>654</v>
      </c>
      <c r="M92" s="74">
        <v>45904.333333333343</v>
      </c>
      <c r="N92" s="74">
        <v>45910.326388888891</v>
      </c>
      <c r="O92" s="10"/>
      <c r="P92" s="10" t="s">
        <v>83</v>
      </c>
      <c r="Q92" s="10" t="s">
        <v>84</v>
      </c>
      <c r="R92" s="10" t="s">
        <v>86</v>
      </c>
      <c r="S92" s="10" t="s">
        <v>86</v>
      </c>
      <c r="T92" s="10" t="s">
        <v>96</v>
      </c>
      <c r="U92" s="10" t="s">
        <v>339</v>
      </c>
      <c r="V92" s="10" t="s">
        <v>655</v>
      </c>
      <c r="W92" s="10" t="s">
        <v>90</v>
      </c>
      <c r="X92" s="10" t="s">
        <v>308</v>
      </c>
      <c r="Y92" s="73" t="str">
        <f>VLOOKUP(D92,TIPOLOGIAS!A:F,6,0)</f>
        <v>TIPO II</v>
      </c>
      <c r="Z92" s="73" t="str">
        <f>VLOOKUP(D92,TIPOLOGIAS!A:F,5,0)</f>
        <v>TERRESTRE</v>
      </c>
      <c r="AA92" s="10" t="s">
        <v>656</v>
      </c>
      <c r="AB92" s="75">
        <v>1</v>
      </c>
      <c r="AC92" s="76">
        <f>IF(AND(W92="SOPORTE_TELEFÓNICO",OR(U92="SIN CONTACTO CON EL CB",U92="NÚMEROS DE CONTACTO ERRADOS")),0,IF(W92="SOPORTE_TELEFÓNICO",'BASE DE LIQUIDACION 2025'!$B$9,IF(Y92="TIPO I",'BASE DE LIQUIDACION 2025'!$C$3,IF(Y92="TIPO II",'BASE DE LIQUIDACION 2025'!$C$4,IF(Y92="TIPO III",'BASE DE LIQUIDACION 2025'!$C$5,'BASE DE LIQUIDACION 2025'!$C$6)))))</f>
        <v>134410.88400000002</v>
      </c>
      <c r="AD92" s="76">
        <f>IF(W92="SOPORTE_TELEFÓNICO",AC92,CIERRES!AB92*CIERRES!AC92)</f>
        <v>134410.88400000002</v>
      </c>
    </row>
    <row r="93" spans="1:30" s="63" customFormat="1" ht="13.15">
      <c r="A93" s="10" t="s">
        <v>514</v>
      </c>
      <c r="B93" s="73" t="str">
        <f>VLOOKUP(A93,'CENTRO DE COSTOS'!A:D,4,FALSE)</f>
        <v>JOSE MAURICIO HERNANDEZ ROJAS</v>
      </c>
      <c r="C93" s="73" t="str">
        <f>VLOOKUP(A93,'CENTRO DE COSTOS'!A:C,2,FALSE)</f>
        <v>0004-0001</v>
      </c>
      <c r="D93" s="10">
        <v>23001</v>
      </c>
      <c r="E93" s="10" t="s">
        <v>657</v>
      </c>
      <c r="F93" s="10">
        <v>76641</v>
      </c>
      <c r="G93" s="10" t="s">
        <v>78</v>
      </c>
      <c r="H93" s="10" t="s">
        <v>658</v>
      </c>
      <c r="I93" s="10" t="s">
        <v>514</v>
      </c>
      <c r="J93" s="10" t="s">
        <v>659</v>
      </c>
      <c r="K93" s="10" t="s">
        <v>81</v>
      </c>
      <c r="L93" s="10" t="s">
        <v>660</v>
      </c>
      <c r="M93" s="74">
        <v>45901.559027777781</v>
      </c>
      <c r="N93" s="74">
        <v>45902.647222222222</v>
      </c>
      <c r="O93" s="10"/>
      <c r="P93" s="10" t="s">
        <v>83</v>
      </c>
      <c r="Q93" s="10" t="s">
        <v>84</v>
      </c>
      <c r="R93" s="10" t="s">
        <v>107</v>
      </c>
      <c r="S93" s="10" t="s">
        <v>108</v>
      </c>
      <c r="T93" s="10" t="s">
        <v>96</v>
      </c>
      <c r="U93" s="10" t="s">
        <v>97</v>
      </c>
      <c r="V93" s="10" t="s">
        <v>661</v>
      </c>
      <c r="W93" s="10" t="s">
        <v>90</v>
      </c>
      <c r="X93" s="10" t="s">
        <v>662</v>
      </c>
      <c r="Y93" s="73" t="str">
        <f>VLOOKUP(D93,TIPOLOGIAS!A:F,6,0)</f>
        <v>TIPO I</v>
      </c>
      <c r="Z93" s="73" t="str">
        <f>VLOOKUP(D93,TIPOLOGIAS!A:F,5,0)</f>
        <v>TERRESTRE</v>
      </c>
      <c r="AA93" s="10" t="s">
        <v>663</v>
      </c>
      <c r="AB93" s="75">
        <v>1</v>
      </c>
      <c r="AC93" s="76">
        <f>IF(AND(W93="SOPORTE_TELEFÓNICO",OR(U93="SIN CONTACTO CON EL CB",U93="NÚMEROS DE CONTACTO ERRADOS")),0,IF(W93="SOPORTE_TELEFÓNICO",'BASE DE LIQUIDACION 2025'!$B$9,IF(Y93="TIPO I",'BASE DE LIQUIDACION 2025'!$C$3,IF(Y93="TIPO II",'BASE DE LIQUIDACION 2025'!$C$4,IF(Y93="TIPO III",'BASE DE LIQUIDACION 2025'!$C$5,'BASE DE LIQUIDACION 2025'!$C$6)))))</f>
        <v>44559.563999999998</v>
      </c>
      <c r="AD93" s="76">
        <f>IF(W93="SOPORTE_TELEFÓNICO",AC93,CIERRES!AB93*CIERRES!AC93)</f>
        <v>44559.563999999998</v>
      </c>
    </row>
    <row r="94" spans="1:30" s="63" customFormat="1" ht="13.15">
      <c r="A94" s="10" t="s">
        <v>302</v>
      </c>
      <c r="B94" s="73" t="str">
        <f>VLOOKUP(A94,'CENTRO DE COSTOS'!A:D,4,FALSE)</f>
        <v>KEVIN ALEXIS CORZO BUSTOS</v>
      </c>
      <c r="C94" s="73" t="str">
        <f>VLOOKUP(A94,'CENTRO DE COSTOS'!A:C,2,FALSE)</f>
        <v>0004-0007</v>
      </c>
      <c r="D94" s="10">
        <v>50001</v>
      </c>
      <c r="E94" s="10" t="s">
        <v>664</v>
      </c>
      <c r="F94" s="10">
        <v>74538</v>
      </c>
      <c r="G94" s="10" t="s">
        <v>78</v>
      </c>
      <c r="H94" s="10" t="s">
        <v>304</v>
      </c>
      <c r="I94" s="10" t="s">
        <v>302</v>
      </c>
      <c r="J94" s="10" t="s">
        <v>305</v>
      </c>
      <c r="K94" s="10" t="s">
        <v>81</v>
      </c>
      <c r="L94" s="10" t="s">
        <v>665</v>
      </c>
      <c r="M94" s="74">
        <v>45898.702777777777</v>
      </c>
      <c r="N94" s="74">
        <v>45901.65347222222</v>
      </c>
      <c r="O94" s="10"/>
      <c r="P94" s="10" t="s">
        <v>83</v>
      </c>
      <c r="Q94" s="10" t="s">
        <v>84</v>
      </c>
      <c r="R94" s="10" t="s">
        <v>86</v>
      </c>
      <c r="S94" s="10" t="s">
        <v>86</v>
      </c>
      <c r="T94" s="10" t="s">
        <v>96</v>
      </c>
      <c r="U94" s="10" t="s">
        <v>97</v>
      </c>
      <c r="V94" s="10" t="s">
        <v>666</v>
      </c>
      <c r="W94" s="10" t="s">
        <v>90</v>
      </c>
      <c r="X94" s="10" t="s">
        <v>165</v>
      </c>
      <c r="Y94" s="73" t="str">
        <f>VLOOKUP(D94,TIPOLOGIAS!A:F,6,0)</f>
        <v>TIPO I</v>
      </c>
      <c r="Z94" s="73" t="str">
        <f>VLOOKUP(D94,TIPOLOGIAS!A:F,5,0)</f>
        <v>TERRESTRE</v>
      </c>
      <c r="AA94" s="10" t="s">
        <v>365</v>
      </c>
      <c r="AB94" s="75">
        <v>1</v>
      </c>
      <c r="AC94" s="76">
        <f>IF(AND(W94="SOPORTE_TELEFÓNICO",OR(U94="SIN CONTACTO CON EL CB",U94="NÚMEROS DE CONTACTO ERRADOS")),0,IF(W94="SOPORTE_TELEFÓNICO",'BASE DE LIQUIDACION 2025'!$B$9,IF(Y94="TIPO I",'BASE DE LIQUIDACION 2025'!$C$3,IF(Y94="TIPO II",'BASE DE LIQUIDACION 2025'!$C$4,IF(Y94="TIPO III",'BASE DE LIQUIDACION 2025'!$C$5,'BASE DE LIQUIDACION 2025'!$C$6)))))</f>
        <v>44559.563999999998</v>
      </c>
      <c r="AD94" s="76">
        <f>IF(W94="SOPORTE_TELEFÓNICO",AC94,CIERRES!AB94*CIERRES!AC94)</f>
        <v>44559.563999999998</v>
      </c>
    </row>
    <row r="95" spans="1:30" s="63" customFormat="1" ht="13.15">
      <c r="A95" s="10" t="s">
        <v>76</v>
      </c>
      <c r="B95" s="73" t="str">
        <f>VLOOKUP(A95,'CENTRO DE COSTOS'!A:D,4,FALSE)</f>
        <v>WILLIAM ASDRUBAL ROZO ROZO</v>
      </c>
      <c r="C95" s="73" t="str">
        <f>VLOOKUP(A95,'CENTRO DE COSTOS'!A:C,2,FALSE)</f>
        <v>0004-0004</v>
      </c>
      <c r="D95" s="10">
        <v>25754</v>
      </c>
      <c r="E95" s="10" t="s">
        <v>667</v>
      </c>
      <c r="F95" s="10">
        <v>24614</v>
      </c>
      <c r="G95" s="10" t="s">
        <v>78</v>
      </c>
      <c r="H95" s="10" t="s">
        <v>79</v>
      </c>
      <c r="I95" s="10" t="s">
        <v>668</v>
      </c>
      <c r="J95" s="10" t="s">
        <v>669</v>
      </c>
      <c r="K95" s="10" t="s">
        <v>81</v>
      </c>
      <c r="L95" s="10" t="s">
        <v>670</v>
      </c>
      <c r="M95" s="74">
        <v>45898.643055555563</v>
      </c>
      <c r="N95" s="74">
        <v>45901.679166666669</v>
      </c>
      <c r="O95" s="10"/>
      <c r="P95" s="10" t="s">
        <v>83</v>
      </c>
      <c r="Q95" s="10" t="s">
        <v>84</v>
      </c>
      <c r="R95" s="10" t="s">
        <v>428</v>
      </c>
      <c r="S95" s="10" t="s">
        <v>429</v>
      </c>
      <c r="T95" s="10" t="s">
        <v>96</v>
      </c>
      <c r="U95" s="10" t="s">
        <v>339</v>
      </c>
      <c r="V95" s="10" t="s">
        <v>671</v>
      </c>
      <c r="W95" s="10" t="s">
        <v>90</v>
      </c>
      <c r="X95" s="10" t="s">
        <v>672</v>
      </c>
      <c r="Y95" s="73" t="str">
        <f>VLOOKUP(D95,TIPOLOGIAS!A:F,6,0)</f>
        <v>TIPO I</v>
      </c>
      <c r="Z95" s="73" t="str">
        <f>VLOOKUP(D95,TIPOLOGIAS!A:F,5,0)</f>
        <v>TERRESTRE</v>
      </c>
      <c r="AA95" s="10" t="s">
        <v>352</v>
      </c>
      <c r="AB95" s="75">
        <v>1</v>
      </c>
      <c r="AC95" s="76">
        <f>IF(AND(W95="SOPORTE_TELEFÓNICO",OR(U95="SIN CONTACTO CON EL CB",U95="NÚMEROS DE CONTACTO ERRADOS")),0,IF(W95="SOPORTE_TELEFÓNICO",'BASE DE LIQUIDACION 2025'!$B$9,IF(Y95="TIPO I",'BASE DE LIQUIDACION 2025'!$C$3,IF(Y95="TIPO II",'BASE DE LIQUIDACION 2025'!$C$4,IF(Y95="TIPO III",'BASE DE LIQUIDACION 2025'!$C$5,'BASE DE LIQUIDACION 2025'!$C$6)))))</f>
        <v>44559.563999999998</v>
      </c>
      <c r="AD95" s="76">
        <f>IF(W95="SOPORTE_TELEFÓNICO",AC95,CIERRES!AB95*CIERRES!AC95)</f>
        <v>44559.563999999998</v>
      </c>
    </row>
    <row r="96" spans="1:30" s="63" customFormat="1" ht="13.15">
      <c r="A96" s="10" t="s">
        <v>158</v>
      </c>
      <c r="B96" s="73" t="str">
        <f>VLOOKUP(A96,'CENTRO DE COSTOS'!A:D,4,FALSE)</f>
        <v>JUAN SEBASTIÁN RÍOS CASTRILLÓN</v>
      </c>
      <c r="C96" s="73" t="str">
        <f>VLOOKUP(A96,'CENTRO DE COSTOS'!A:C,2,FALSE)</f>
        <v>0004-0005</v>
      </c>
      <c r="D96" s="10">
        <v>15572</v>
      </c>
      <c r="E96" s="10" t="s">
        <v>673</v>
      </c>
      <c r="F96" s="10">
        <v>31843</v>
      </c>
      <c r="G96" s="10" t="s">
        <v>78</v>
      </c>
      <c r="H96" s="10" t="s">
        <v>128</v>
      </c>
      <c r="I96" s="10" t="s">
        <v>425</v>
      </c>
      <c r="J96" s="10" t="s">
        <v>426</v>
      </c>
      <c r="K96" s="10" t="s">
        <v>81</v>
      </c>
      <c r="L96" s="10" t="s">
        <v>674</v>
      </c>
      <c r="M96" s="74">
        <v>45898.643055555563</v>
      </c>
      <c r="N96" s="74">
        <v>45905.457638888889</v>
      </c>
      <c r="O96" s="10"/>
      <c r="P96" s="10" t="s">
        <v>83</v>
      </c>
      <c r="Q96" s="10" t="s">
        <v>84</v>
      </c>
      <c r="R96" s="10" t="s">
        <v>428</v>
      </c>
      <c r="S96" s="10" t="s">
        <v>429</v>
      </c>
      <c r="T96" s="10" t="s">
        <v>96</v>
      </c>
      <c r="U96" s="10" t="s">
        <v>97</v>
      </c>
      <c r="V96" s="10" t="s">
        <v>675</v>
      </c>
      <c r="W96" s="10" t="s">
        <v>90</v>
      </c>
      <c r="X96" s="10" t="s">
        <v>387</v>
      </c>
      <c r="Y96" s="73" t="str">
        <f>VLOOKUP(D96,TIPOLOGIAS!A:F,6,0)</f>
        <v>TIPO IV</v>
      </c>
      <c r="Z96" s="73" t="str">
        <f>VLOOKUP(D96,TIPOLOGIAS!A:F,5,0)</f>
        <v>TERRESTRE</v>
      </c>
      <c r="AA96" s="10" t="s">
        <v>676</v>
      </c>
      <c r="AB96" s="75">
        <v>1</v>
      </c>
      <c r="AC96" s="76">
        <f>IF(AND(W96="SOPORTE_TELEFÓNICO",OR(U96="SIN CONTACTO CON EL CB",U96="NÚMEROS DE CONTACTO ERRADOS")),0,IF(W96="SOPORTE_TELEFÓNICO",'BASE DE LIQUIDACION 2025'!$B$9,IF(Y96="TIPO I",'BASE DE LIQUIDACION 2025'!$C$3,IF(Y96="TIPO II",'BASE DE LIQUIDACION 2025'!$C$4,IF(Y96="TIPO III",'BASE DE LIQUIDACION 2025'!$C$5,'BASE DE LIQUIDACION 2025'!$C$6)))))</f>
        <v>464809.36800000002</v>
      </c>
      <c r="AD96" s="76">
        <f>IF(W96="SOPORTE_TELEFÓNICO",AC96,CIERRES!AB96*CIERRES!AC96)</f>
        <v>464809.36800000002</v>
      </c>
    </row>
    <row r="97" spans="1:30" s="63" customFormat="1" ht="13.15">
      <c r="A97" s="10" t="s">
        <v>514</v>
      </c>
      <c r="B97" s="73" t="str">
        <f>VLOOKUP(A97,'CENTRO DE COSTOS'!A:D,4,FALSE)</f>
        <v>JOSE MAURICIO HERNANDEZ ROJAS</v>
      </c>
      <c r="C97" s="73" t="str">
        <f>VLOOKUP(A97,'CENTRO DE COSTOS'!A:C,2,FALSE)</f>
        <v>0004-0001</v>
      </c>
      <c r="D97" s="10">
        <v>5250</v>
      </c>
      <c r="E97" s="10" t="s">
        <v>677</v>
      </c>
      <c r="F97" s="10">
        <v>79771</v>
      </c>
      <c r="G97" s="10" t="s">
        <v>78</v>
      </c>
      <c r="H97" s="10" t="s">
        <v>160</v>
      </c>
      <c r="I97" s="10" t="s">
        <v>516</v>
      </c>
      <c r="J97" s="10" t="s">
        <v>517</v>
      </c>
      <c r="K97" s="10" t="s">
        <v>81</v>
      </c>
      <c r="L97" s="10" t="s">
        <v>678</v>
      </c>
      <c r="M97" s="74">
        <v>45897.701388888891</v>
      </c>
      <c r="N97" s="74">
        <v>45902.726388888892</v>
      </c>
      <c r="O97" s="10"/>
      <c r="P97" s="10" t="s">
        <v>83</v>
      </c>
      <c r="Q97" s="10" t="s">
        <v>83</v>
      </c>
      <c r="R97" s="10" t="s">
        <v>85</v>
      </c>
      <c r="S97" s="10" t="s">
        <v>85</v>
      </c>
      <c r="T97" s="10" t="s">
        <v>87</v>
      </c>
      <c r="U97" s="10" t="s">
        <v>88</v>
      </c>
      <c r="V97" s="10" t="s">
        <v>679</v>
      </c>
      <c r="W97" s="10" t="s">
        <v>90</v>
      </c>
      <c r="X97" s="10" t="s">
        <v>680</v>
      </c>
      <c r="Y97" s="73" t="str">
        <f>VLOOKUP(D97,TIPOLOGIAS!A:F,6,0)</f>
        <v>TIPO IV</v>
      </c>
      <c r="Z97" s="73" t="str">
        <f>VLOOKUP(D97,TIPOLOGIAS!A:F,5,0)</f>
        <v>TERRESTRE</v>
      </c>
      <c r="AA97" s="10" t="s">
        <v>681</v>
      </c>
      <c r="AB97" s="75">
        <v>1</v>
      </c>
      <c r="AC97" s="76">
        <f>IF(AND(W97="SOPORTE_TELEFÓNICO",OR(U97="SIN CONTACTO CON EL CB",U97="NÚMEROS DE CONTACTO ERRADOS")),0,IF(W97="SOPORTE_TELEFÓNICO",'BASE DE LIQUIDACION 2025'!$B$9,IF(Y97="TIPO I",'BASE DE LIQUIDACION 2025'!$C$3,IF(Y97="TIPO II",'BASE DE LIQUIDACION 2025'!$C$4,IF(Y97="TIPO III",'BASE DE LIQUIDACION 2025'!$C$5,'BASE DE LIQUIDACION 2025'!$C$6)))))</f>
        <v>464809.36800000002</v>
      </c>
      <c r="AD97" s="76">
        <f>IF(W97="SOPORTE_TELEFÓNICO",AC97,CIERRES!AB97*CIERRES!AC97)</f>
        <v>464809.36800000002</v>
      </c>
    </row>
    <row r="98" spans="1:30" s="63" customFormat="1" ht="13.15">
      <c r="A98" s="10" t="s">
        <v>76</v>
      </c>
      <c r="B98" s="73" t="str">
        <f>VLOOKUP(A98,'CENTRO DE COSTOS'!A:D,4,FALSE)</f>
        <v>WILLIAM ASDRUBAL ROZO ROZO</v>
      </c>
      <c r="C98" s="73" t="str">
        <f>VLOOKUP(A98,'CENTRO DE COSTOS'!A:C,2,FALSE)</f>
        <v>0004-0004</v>
      </c>
      <c r="D98" s="10">
        <v>25299</v>
      </c>
      <c r="E98" s="10" t="s">
        <v>682</v>
      </c>
      <c r="F98" s="10">
        <v>79392</v>
      </c>
      <c r="G98" s="10" t="s">
        <v>78</v>
      </c>
      <c r="H98" s="10" t="s">
        <v>79</v>
      </c>
      <c r="I98" s="10" t="s">
        <v>683</v>
      </c>
      <c r="J98" s="10" t="s">
        <v>684</v>
      </c>
      <c r="K98" s="10" t="s">
        <v>81</v>
      </c>
      <c r="L98" s="10" t="s">
        <v>685</v>
      </c>
      <c r="M98" s="74">
        <v>45897.701388888891</v>
      </c>
      <c r="N98" s="74">
        <v>45902.566666666673</v>
      </c>
      <c r="O98" s="10"/>
      <c r="P98" s="10" t="s">
        <v>83</v>
      </c>
      <c r="Q98" s="10" t="s">
        <v>83</v>
      </c>
      <c r="R98" s="10" t="s">
        <v>85</v>
      </c>
      <c r="S98" s="10" t="s">
        <v>85</v>
      </c>
      <c r="T98" s="10" t="s">
        <v>96</v>
      </c>
      <c r="U98" s="10" t="s">
        <v>97</v>
      </c>
      <c r="V98" s="10" t="s">
        <v>686</v>
      </c>
      <c r="W98" s="10" t="s">
        <v>90</v>
      </c>
      <c r="X98" s="10" t="s">
        <v>91</v>
      </c>
      <c r="Y98" s="73" t="str">
        <f>VLOOKUP(D98,TIPOLOGIAS!A:F,6,0)</f>
        <v>TIPO III</v>
      </c>
      <c r="Z98" s="73" t="str">
        <f>VLOOKUP(D98,TIPOLOGIAS!A:F,5,0)</f>
        <v>TERRESTRE</v>
      </c>
      <c r="AA98" s="10" t="s">
        <v>253</v>
      </c>
      <c r="AB98" s="75">
        <v>1</v>
      </c>
      <c r="AC98" s="76">
        <f>IF(AND(W98="SOPORTE_TELEFÓNICO",OR(U98="SIN CONTACTO CON EL CB",U98="NÚMEROS DE CONTACTO ERRADOS")),0,IF(W98="SOPORTE_TELEFÓNICO",'BASE DE LIQUIDACION 2025'!$B$9,IF(Y98="TIPO I",'BASE DE LIQUIDACION 2025'!$C$3,IF(Y98="TIPO II",'BASE DE LIQUIDACION 2025'!$C$4,IF(Y98="TIPO III",'BASE DE LIQUIDACION 2025'!$C$5,'BASE DE LIQUIDACION 2025'!$C$6)))))</f>
        <v>222904.07200000001</v>
      </c>
      <c r="AD98" s="76">
        <f>IF(W98="SOPORTE_TELEFÓNICO",AC98,CIERRES!AB98*CIERRES!AC98)</f>
        <v>222904.07200000001</v>
      </c>
    </row>
    <row r="99" spans="1:30" s="63" customFormat="1" ht="13.15">
      <c r="A99" s="10" t="s">
        <v>76</v>
      </c>
      <c r="B99" s="73" t="str">
        <f>VLOOKUP(A99,'CENTRO DE COSTOS'!A:D,4,FALSE)</f>
        <v>WILLIAM ASDRUBAL ROZO ROZO</v>
      </c>
      <c r="C99" s="73" t="str">
        <f>VLOOKUP(A99,'CENTRO DE COSTOS'!A:C,2,FALSE)</f>
        <v>0004-0004</v>
      </c>
      <c r="D99" s="10">
        <v>25899</v>
      </c>
      <c r="E99" s="10" t="s">
        <v>687</v>
      </c>
      <c r="F99" s="10">
        <v>63146</v>
      </c>
      <c r="G99" s="10" t="s">
        <v>78</v>
      </c>
      <c r="H99" s="10" t="s">
        <v>79</v>
      </c>
      <c r="I99" s="10" t="s">
        <v>571</v>
      </c>
      <c r="J99" s="10" t="s">
        <v>688</v>
      </c>
      <c r="K99" s="10" t="s">
        <v>81</v>
      </c>
      <c r="L99" s="10" t="s">
        <v>689</v>
      </c>
      <c r="M99" s="74">
        <v>45897.701388888891</v>
      </c>
      <c r="N99" s="74">
        <v>45901.670138888891</v>
      </c>
      <c r="O99" s="10"/>
      <c r="P99" s="10" t="s">
        <v>83</v>
      </c>
      <c r="Q99" s="10" t="s">
        <v>83</v>
      </c>
      <c r="R99" s="10" t="s">
        <v>86</v>
      </c>
      <c r="S99" s="10" t="s">
        <v>86</v>
      </c>
      <c r="T99" s="10" t="s">
        <v>87</v>
      </c>
      <c r="U99" s="10" t="s">
        <v>88</v>
      </c>
      <c r="V99" s="10" t="s">
        <v>690</v>
      </c>
      <c r="W99" s="10" t="s">
        <v>90</v>
      </c>
      <c r="X99" s="10" t="s">
        <v>91</v>
      </c>
      <c r="Y99" s="73" t="str">
        <f>VLOOKUP(D99,TIPOLOGIAS!A:F,6,0)</f>
        <v>TIPO II</v>
      </c>
      <c r="Z99" s="73" t="str">
        <f>VLOOKUP(D99,TIPOLOGIAS!A:F,5,0)</f>
        <v>TERRESTRE</v>
      </c>
      <c r="AA99" s="10" t="s">
        <v>92</v>
      </c>
      <c r="AB99" s="75">
        <v>1</v>
      </c>
      <c r="AC99" s="76">
        <f>IF(AND(W99="SOPORTE_TELEFÓNICO",OR(U99="SIN CONTACTO CON EL CB",U99="NÚMEROS DE CONTACTO ERRADOS")),0,IF(W99="SOPORTE_TELEFÓNICO",'BASE DE LIQUIDACION 2025'!$B$9,IF(Y99="TIPO I",'BASE DE LIQUIDACION 2025'!$C$3,IF(Y99="TIPO II",'BASE DE LIQUIDACION 2025'!$C$4,IF(Y99="TIPO III",'BASE DE LIQUIDACION 2025'!$C$5,'BASE DE LIQUIDACION 2025'!$C$6)))))</f>
        <v>134410.88400000002</v>
      </c>
      <c r="AD99" s="76">
        <f>IF(W99="SOPORTE_TELEFÓNICO",AC99,CIERRES!AB99*CIERRES!AC99)</f>
        <v>134410.88400000002</v>
      </c>
    </row>
    <row r="100" spans="1:30" s="63" customFormat="1" ht="13.15">
      <c r="A100" s="10" t="s">
        <v>322</v>
      </c>
      <c r="B100" s="73" t="str">
        <f>VLOOKUP(A100,'CENTRO DE COSTOS'!A:D,4,FALSE)</f>
        <v>KEVIN ALEXIS CORZO BUSTOS</v>
      </c>
      <c r="C100" s="73" t="str">
        <f>VLOOKUP(A100,'CENTRO DE COSTOS'!A:C,2,FALSE)</f>
        <v>0004-0007</v>
      </c>
      <c r="D100" s="10">
        <v>73001</v>
      </c>
      <c r="E100" s="10" t="s">
        <v>691</v>
      </c>
      <c r="F100" s="10">
        <v>77541</v>
      </c>
      <c r="G100" s="10" t="s">
        <v>78</v>
      </c>
      <c r="H100" s="10" t="s">
        <v>324</v>
      </c>
      <c r="I100" s="10" t="s">
        <v>322</v>
      </c>
      <c r="J100" s="10" t="s">
        <v>692</v>
      </c>
      <c r="K100" s="10" t="s">
        <v>81</v>
      </c>
      <c r="L100" s="10" t="s">
        <v>693</v>
      </c>
      <c r="M100" s="74">
        <v>45897.701388888891</v>
      </c>
      <c r="N100" s="74">
        <v>45902.568749999999</v>
      </c>
      <c r="O100" s="10"/>
      <c r="P100" s="10" t="s">
        <v>83</v>
      </c>
      <c r="Q100" s="10" t="s">
        <v>83</v>
      </c>
      <c r="R100" s="10" t="s">
        <v>86</v>
      </c>
      <c r="S100" s="10" t="s">
        <v>86</v>
      </c>
      <c r="T100" s="10" t="s">
        <v>87</v>
      </c>
      <c r="U100" s="10" t="s">
        <v>88</v>
      </c>
      <c r="V100" s="10" t="s">
        <v>694</v>
      </c>
      <c r="W100" s="10" t="s">
        <v>90</v>
      </c>
      <c r="X100" s="10" t="s">
        <v>91</v>
      </c>
      <c r="Y100" s="73" t="str">
        <f>VLOOKUP(D100,TIPOLOGIAS!A:F,6,0)</f>
        <v>TIPO I</v>
      </c>
      <c r="Z100" s="73" t="str">
        <f>VLOOKUP(D100,TIPOLOGIAS!A:F,5,0)</f>
        <v>TERRESTRE</v>
      </c>
      <c r="AA100" s="10" t="s">
        <v>695</v>
      </c>
      <c r="AB100" s="75">
        <v>1</v>
      </c>
      <c r="AC100" s="76">
        <f>IF(AND(W100="SOPORTE_TELEFÓNICO",OR(U100="SIN CONTACTO CON EL CB",U100="NÚMEROS DE CONTACTO ERRADOS")),0,IF(W100="SOPORTE_TELEFÓNICO",'BASE DE LIQUIDACION 2025'!$B$9,IF(Y100="TIPO I",'BASE DE LIQUIDACION 2025'!$C$3,IF(Y100="TIPO II",'BASE DE LIQUIDACION 2025'!$C$4,IF(Y100="TIPO III",'BASE DE LIQUIDACION 2025'!$C$5,'BASE DE LIQUIDACION 2025'!$C$6)))))</f>
        <v>44559.563999999998</v>
      </c>
      <c r="AD100" s="76">
        <f>IF(W100="SOPORTE_TELEFÓNICO",AC100,CIERRES!AB100*CIERRES!AC100)</f>
        <v>44559.563999999998</v>
      </c>
    </row>
    <row r="101" spans="1:30" s="63" customFormat="1" ht="13.15">
      <c r="A101" s="10" t="s">
        <v>322</v>
      </c>
      <c r="B101" s="73" t="str">
        <f>VLOOKUP(A101,'CENTRO DE COSTOS'!A:D,4,FALSE)</f>
        <v>KEVIN ALEXIS CORZO BUSTOS</v>
      </c>
      <c r="C101" s="73" t="str">
        <f>VLOOKUP(A101,'CENTRO DE COSTOS'!A:C,2,FALSE)</f>
        <v>0004-0007</v>
      </c>
      <c r="D101" s="10">
        <v>73616</v>
      </c>
      <c r="E101" s="10" t="s">
        <v>696</v>
      </c>
      <c r="F101" s="10">
        <v>36897</v>
      </c>
      <c r="G101" s="10" t="s">
        <v>78</v>
      </c>
      <c r="H101" s="10" t="s">
        <v>324</v>
      </c>
      <c r="I101" s="10" t="s">
        <v>697</v>
      </c>
      <c r="J101" s="10" t="s">
        <v>698</v>
      </c>
      <c r="K101" s="10" t="s">
        <v>81</v>
      </c>
      <c r="L101" s="10" t="s">
        <v>699</v>
      </c>
      <c r="M101" s="74">
        <v>45897.701388888891</v>
      </c>
      <c r="N101" s="74">
        <v>45902.631944444453</v>
      </c>
      <c r="O101" s="10"/>
      <c r="P101" s="10" t="s">
        <v>83</v>
      </c>
      <c r="Q101" s="10" t="s">
        <v>83</v>
      </c>
      <c r="R101" s="10" t="s">
        <v>85</v>
      </c>
      <c r="S101" s="10" t="s">
        <v>85</v>
      </c>
      <c r="T101" s="10" t="s">
        <v>96</v>
      </c>
      <c r="U101" s="10" t="s">
        <v>97</v>
      </c>
      <c r="V101" s="10" t="s">
        <v>700</v>
      </c>
      <c r="W101" s="10" t="s">
        <v>134</v>
      </c>
      <c r="X101" s="10" t="s">
        <v>91</v>
      </c>
      <c r="Y101" s="73" t="str">
        <f>VLOOKUP(D101,TIPOLOGIAS!A:F,6,0)</f>
        <v>TIPO IV</v>
      </c>
      <c r="Z101" s="73" t="str">
        <f>VLOOKUP(D101,TIPOLOGIAS!A:F,5,0)</f>
        <v>TERRESTRE</v>
      </c>
      <c r="AA101" s="10" t="s">
        <v>328</v>
      </c>
      <c r="AB101" s="77">
        <v>0</v>
      </c>
      <c r="AC101" s="76">
        <f>IF(AND(W101="SOPORTE_TELEFÓNICO",OR(U101="SIN CONTACTO CON EL CB",U101="NÚMEROS DE CONTACTO ERRADOS")),0,IF(W101="SOPORTE_TELEFÓNICO",'BASE DE LIQUIDACION 2025'!$B$9,IF(Y101="TIPO I",'BASE DE LIQUIDACION 2025'!$C$3,IF(Y101="TIPO II",'BASE DE LIQUIDACION 2025'!$C$4,IF(Y101="TIPO III",'BASE DE LIQUIDACION 2025'!$C$5,'BASE DE LIQUIDACION 2025'!$C$6)))))</f>
        <v>37904.612000000001</v>
      </c>
      <c r="AD101" s="76">
        <f>IF(W101="SOPORTE_TELEFÓNICO",AC101,CIERRES!AB101*CIERRES!AC101)</f>
        <v>37904.612000000001</v>
      </c>
    </row>
    <row r="102" spans="1:30" s="63" customFormat="1" ht="13.15">
      <c r="A102" s="10" t="s">
        <v>302</v>
      </c>
      <c r="B102" s="73" t="str">
        <f>VLOOKUP(A102,'CENTRO DE COSTOS'!A:D,4,FALSE)</f>
        <v>KEVIN ALEXIS CORZO BUSTOS</v>
      </c>
      <c r="C102" s="73" t="str">
        <f>VLOOKUP(A102,'CENTRO DE COSTOS'!A:C,2,FALSE)</f>
        <v>0004-0007</v>
      </c>
      <c r="D102" s="10">
        <v>95001</v>
      </c>
      <c r="E102" s="10" t="s">
        <v>701</v>
      </c>
      <c r="F102" s="10">
        <v>79787</v>
      </c>
      <c r="G102" s="10" t="s">
        <v>78</v>
      </c>
      <c r="H102" s="10" t="s">
        <v>702</v>
      </c>
      <c r="I102" s="10" t="s">
        <v>703</v>
      </c>
      <c r="J102" s="10" t="s">
        <v>704</v>
      </c>
      <c r="K102" s="10" t="s">
        <v>81</v>
      </c>
      <c r="L102" s="10" t="s">
        <v>705</v>
      </c>
      <c r="M102" s="74">
        <v>45897.701388888891</v>
      </c>
      <c r="N102" s="74">
        <v>45903.63958333333</v>
      </c>
      <c r="O102" s="10"/>
      <c r="P102" s="10" t="s">
        <v>83</v>
      </c>
      <c r="Q102" s="10" t="s">
        <v>83</v>
      </c>
      <c r="R102" s="10" t="s">
        <v>85</v>
      </c>
      <c r="S102" s="10" t="s">
        <v>85</v>
      </c>
      <c r="T102" s="10" t="s">
        <v>87</v>
      </c>
      <c r="U102" s="10" t="s">
        <v>88</v>
      </c>
      <c r="V102" s="10" t="s">
        <v>706</v>
      </c>
      <c r="W102" s="10" t="s">
        <v>90</v>
      </c>
      <c r="X102" s="10" t="s">
        <v>91</v>
      </c>
      <c r="Y102" s="73" t="str">
        <f>VLOOKUP(D102,TIPOLOGIAS!A:F,6,0)</f>
        <v>TIPO IV</v>
      </c>
      <c r="Z102" s="73" t="str">
        <f>VLOOKUP(D102,TIPOLOGIAS!A:F,5,0)</f>
        <v>TERRESTRE</v>
      </c>
      <c r="AA102" s="10" t="s">
        <v>707</v>
      </c>
      <c r="AB102" s="75">
        <v>1</v>
      </c>
      <c r="AC102" s="76">
        <f>IF(AND(W102="SOPORTE_TELEFÓNICO",OR(U102="SIN CONTACTO CON EL CB",U102="NÚMEROS DE CONTACTO ERRADOS")),0,IF(W102="SOPORTE_TELEFÓNICO",'BASE DE LIQUIDACION 2025'!$B$9,IF(Y102="TIPO I",'BASE DE LIQUIDACION 2025'!$C$3,IF(Y102="TIPO II",'BASE DE LIQUIDACION 2025'!$C$4,IF(Y102="TIPO III",'BASE DE LIQUIDACION 2025'!$C$5,'BASE DE LIQUIDACION 2025'!$C$6)))))</f>
        <v>464809.36800000002</v>
      </c>
      <c r="AD102" s="76">
        <f>IF(W102="SOPORTE_TELEFÓNICO",AC102,CIERRES!AB102*CIERRES!AC102)</f>
        <v>464809.36800000002</v>
      </c>
    </row>
    <row r="103" spans="1:30" s="63" customFormat="1" ht="13.15">
      <c r="A103" s="10" t="s">
        <v>76</v>
      </c>
      <c r="B103" s="73" t="str">
        <f>VLOOKUP(A103,'CENTRO DE COSTOS'!A:D,4,FALSE)</f>
        <v>WILLIAM ASDRUBAL ROZO ROZO</v>
      </c>
      <c r="C103" s="73" t="str">
        <f>VLOOKUP(A103,'CENTRO DE COSTOS'!A:C,2,FALSE)</f>
        <v>0004-0004</v>
      </c>
      <c r="D103" s="10">
        <v>11001</v>
      </c>
      <c r="E103" s="10" t="s">
        <v>708</v>
      </c>
      <c r="F103" s="10">
        <v>64124</v>
      </c>
      <c r="G103" s="10" t="s">
        <v>78</v>
      </c>
      <c r="H103" s="10" t="s">
        <v>79</v>
      </c>
      <c r="I103" s="10" t="s">
        <v>76</v>
      </c>
      <c r="J103" s="10" t="s">
        <v>709</v>
      </c>
      <c r="K103" s="10" t="s">
        <v>81</v>
      </c>
      <c r="L103" s="10" t="s">
        <v>710</v>
      </c>
      <c r="M103" s="74">
        <v>45897.701388888891</v>
      </c>
      <c r="N103" s="74">
        <v>45902.585416666669</v>
      </c>
      <c r="O103" s="10"/>
      <c r="P103" s="10" t="s">
        <v>83</v>
      </c>
      <c r="Q103" s="10" t="s">
        <v>83</v>
      </c>
      <c r="R103" s="10" t="s">
        <v>85</v>
      </c>
      <c r="S103" s="10" t="s">
        <v>86</v>
      </c>
      <c r="T103" s="10" t="s">
        <v>96</v>
      </c>
      <c r="U103" s="10" t="s">
        <v>97</v>
      </c>
      <c r="V103" s="10" t="s">
        <v>711</v>
      </c>
      <c r="W103" s="10" t="s">
        <v>134</v>
      </c>
      <c r="X103" s="10" t="s">
        <v>91</v>
      </c>
      <c r="Y103" s="73" t="str">
        <f>VLOOKUP(D103,TIPOLOGIAS!A:F,6,0)</f>
        <v>TIPO I</v>
      </c>
      <c r="Z103" s="73" t="str">
        <f>VLOOKUP(D103,TIPOLOGIAS!A:F,5,0)</f>
        <v>TERRESTRE</v>
      </c>
      <c r="AA103" s="10" t="s">
        <v>209</v>
      </c>
      <c r="AB103" s="77">
        <v>0</v>
      </c>
      <c r="AC103" s="76">
        <f>IF(AND(W103="SOPORTE_TELEFÓNICO",OR(U103="SIN CONTACTO CON EL CB",U103="NÚMEROS DE CONTACTO ERRADOS")),0,IF(W103="SOPORTE_TELEFÓNICO",'BASE DE LIQUIDACION 2025'!$B$9,IF(Y103="TIPO I",'BASE DE LIQUIDACION 2025'!$C$3,IF(Y103="TIPO II",'BASE DE LIQUIDACION 2025'!$C$4,IF(Y103="TIPO III",'BASE DE LIQUIDACION 2025'!$C$5,'BASE DE LIQUIDACION 2025'!$C$6)))))</f>
        <v>37904.612000000001</v>
      </c>
      <c r="AD103" s="76">
        <f>IF(W103="SOPORTE_TELEFÓNICO",AC103,CIERRES!AB103*CIERRES!AC103)</f>
        <v>37904.612000000001</v>
      </c>
    </row>
    <row r="104" spans="1:30" s="63" customFormat="1" ht="13.15">
      <c r="A104" s="10" t="s">
        <v>76</v>
      </c>
      <c r="B104" s="73" t="str">
        <f>VLOOKUP(A104,'CENTRO DE COSTOS'!A:D,4,FALSE)</f>
        <v>WILLIAM ASDRUBAL ROZO ROZO</v>
      </c>
      <c r="C104" s="73" t="str">
        <f>VLOOKUP(A104,'CENTRO DE COSTOS'!A:C,2,FALSE)</f>
        <v>0004-0004</v>
      </c>
      <c r="D104" s="10">
        <v>25286</v>
      </c>
      <c r="E104" s="10" t="s">
        <v>712</v>
      </c>
      <c r="F104" s="10">
        <v>46905</v>
      </c>
      <c r="G104" s="10" t="s">
        <v>78</v>
      </c>
      <c r="H104" s="10" t="s">
        <v>79</v>
      </c>
      <c r="I104" s="10" t="s">
        <v>713</v>
      </c>
      <c r="J104" s="10" t="s">
        <v>714</v>
      </c>
      <c r="K104" s="10" t="s">
        <v>81</v>
      </c>
      <c r="L104" s="10" t="s">
        <v>715</v>
      </c>
      <c r="M104" s="74">
        <v>45897.701388888891</v>
      </c>
      <c r="N104" s="74">
        <v>45902.576388888891</v>
      </c>
      <c r="O104" s="10"/>
      <c r="P104" s="10" t="s">
        <v>83</v>
      </c>
      <c r="Q104" s="10" t="s">
        <v>84</v>
      </c>
      <c r="R104" s="10" t="s">
        <v>85</v>
      </c>
      <c r="S104" s="10" t="s">
        <v>86</v>
      </c>
      <c r="T104" s="10" t="s">
        <v>96</v>
      </c>
      <c r="U104" s="10" t="s">
        <v>339</v>
      </c>
      <c r="V104" s="10" t="s">
        <v>716</v>
      </c>
      <c r="W104" s="10" t="s">
        <v>90</v>
      </c>
      <c r="X104" s="10" t="s">
        <v>717</v>
      </c>
      <c r="Y104" s="73" t="str">
        <f>VLOOKUP(D104,TIPOLOGIAS!A:F,6,0)</f>
        <v>TIPO II</v>
      </c>
      <c r="Z104" s="73" t="str">
        <f>VLOOKUP(D104,TIPOLOGIAS!A:F,5,0)</f>
        <v>TERRESTRE</v>
      </c>
      <c r="AA104" s="10" t="s">
        <v>453</v>
      </c>
      <c r="AB104" s="75">
        <v>1</v>
      </c>
      <c r="AC104" s="76">
        <f>IF(AND(W104="SOPORTE_TELEFÓNICO",OR(U104="SIN CONTACTO CON EL CB",U104="NÚMEROS DE CONTACTO ERRADOS")),0,IF(W104="SOPORTE_TELEFÓNICO",'BASE DE LIQUIDACION 2025'!$B$9,IF(Y104="TIPO I",'BASE DE LIQUIDACION 2025'!$C$3,IF(Y104="TIPO II",'BASE DE LIQUIDACION 2025'!$C$4,IF(Y104="TIPO III",'BASE DE LIQUIDACION 2025'!$C$5,'BASE DE LIQUIDACION 2025'!$C$6)))))</f>
        <v>134410.88400000002</v>
      </c>
      <c r="AD104" s="76">
        <f>IF(W104="SOPORTE_TELEFÓNICO",AC104,CIERRES!AB104*CIERRES!AC104)</f>
        <v>134410.88400000002</v>
      </c>
    </row>
    <row r="105" spans="1:30" s="63" customFormat="1" ht="13.15">
      <c r="A105" s="10" t="s">
        <v>279</v>
      </c>
      <c r="B105" s="73" t="str">
        <f>VLOOKUP(A105,'CENTRO DE COSTOS'!A:D,4,FALSE)</f>
        <v>JOSE MAURICIO HERNANDEZ ROJAS</v>
      </c>
      <c r="C105" s="73" t="str">
        <f>VLOOKUP(A105,'CENTRO DE COSTOS'!A:C,2,FALSE)</f>
        <v>0004-0001</v>
      </c>
      <c r="D105" s="10">
        <v>13001</v>
      </c>
      <c r="E105" s="10" t="s">
        <v>718</v>
      </c>
      <c r="F105" s="10">
        <v>75045</v>
      </c>
      <c r="G105" s="10" t="s">
        <v>78</v>
      </c>
      <c r="H105" s="10" t="s">
        <v>281</v>
      </c>
      <c r="I105" s="10" t="s">
        <v>279</v>
      </c>
      <c r="J105" s="10" t="s">
        <v>719</v>
      </c>
      <c r="K105" s="10" t="s">
        <v>81</v>
      </c>
      <c r="L105" s="10" t="s">
        <v>720</v>
      </c>
      <c r="M105" s="74">
        <v>45896.692361111112</v>
      </c>
      <c r="N105" s="74">
        <v>45902.588194444441</v>
      </c>
      <c r="O105" s="10"/>
      <c r="P105" s="10" t="s">
        <v>83</v>
      </c>
      <c r="Q105" s="10" t="s">
        <v>83</v>
      </c>
      <c r="R105" s="10" t="s">
        <v>85</v>
      </c>
      <c r="S105" s="10" t="s">
        <v>85</v>
      </c>
      <c r="T105" s="10" t="s">
        <v>96</v>
      </c>
      <c r="U105" s="10" t="s">
        <v>97</v>
      </c>
      <c r="V105" s="10" t="s">
        <v>721</v>
      </c>
      <c r="W105" s="10" t="s">
        <v>90</v>
      </c>
      <c r="X105" s="10" t="s">
        <v>165</v>
      </c>
      <c r="Y105" s="73" t="str">
        <f>VLOOKUP(D105,TIPOLOGIAS!A:F,6,0)</f>
        <v>TIPO I</v>
      </c>
      <c r="Z105" s="73" t="str">
        <f>VLOOKUP(D105,TIPOLOGIAS!A:F,5,0)</f>
        <v>TERRESTRE</v>
      </c>
      <c r="AA105" s="10" t="s">
        <v>722</v>
      </c>
      <c r="AB105" s="75">
        <v>1</v>
      </c>
      <c r="AC105" s="76">
        <f>IF(AND(W105="SOPORTE_TELEFÓNICO",OR(U105="SIN CONTACTO CON EL CB",U105="NÚMEROS DE CONTACTO ERRADOS")),0,IF(W105="SOPORTE_TELEFÓNICO",'BASE DE LIQUIDACION 2025'!$B$9,IF(Y105="TIPO I",'BASE DE LIQUIDACION 2025'!$C$3,IF(Y105="TIPO II",'BASE DE LIQUIDACION 2025'!$C$4,IF(Y105="TIPO III",'BASE DE LIQUIDACION 2025'!$C$5,'BASE DE LIQUIDACION 2025'!$C$6)))))</f>
        <v>44559.563999999998</v>
      </c>
      <c r="AD105" s="76">
        <f>IF(W105="SOPORTE_TELEFÓNICO",AC105,CIERRES!AB105*CIERRES!AC105)</f>
        <v>44559.563999999998</v>
      </c>
    </row>
    <row r="106" spans="1:30" s="63" customFormat="1" ht="13.15">
      <c r="A106" s="10" t="s">
        <v>188</v>
      </c>
      <c r="B106" s="73" t="str">
        <f>VLOOKUP(A106,'CENTRO DE COSTOS'!A:D,4,FALSE)</f>
        <v>MIGUEL JULIÁN HERNÁNDEZ GUARÍN</v>
      </c>
      <c r="C106" s="73" t="str">
        <f>VLOOKUP(A106,'CENTRO DE COSTOS'!A:C,2,FALSE)</f>
        <v>0004-0008</v>
      </c>
      <c r="D106" s="10">
        <v>81736</v>
      </c>
      <c r="E106" s="10" t="s">
        <v>723</v>
      </c>
      <c r="F106" s="10">
        <v>67912</v>
      </c>
      <c r="G106" s="10" t="s">
        <v>78</v>
      </c>
      <c r="H106" s="10" t="s">
        <v>724</v>
      </c>
      <c r="I106" s="10" t="s">
        <v>725</v>
      </c>
      <c r="J106" s="10" t="s">
        <v>726</v>
      </c>
      <c r="K106" s="10" t="s">
        <v>81</v>
      </c>
      <c r="L106" s="10" t="s">
        <v>727</v>
      </c>
      <c r="M106" s="74">
        <v>45895.333333333343</v>
      </c>
      <c r="N106" s="74">
        <v>45902.315972222219</v>
      </c>
      <c r="O106" s="10"/>
      <c r="P106" s="10" t="s">
        <v>83</v>
      </c>
      <c r="Q106" s="10" t="s">
        <v>83</v>
      </c>
      <c r="R106" s="10" t="s">
        <v>107</v>
      </c>
      <c r="S106" s="10" t="s">
        <v>185</v>
      </c>
      <c r="T106" s="10" t="s">
        <v>96</v>
      </c>
      <c r="U106" s="10" t="s">
        <v>97</v>
      </c>
      <c r="V106" s="10" t="s">
        <v>728</v>
      </c>
      <c r="W106" s="10" t="s">
        <v>134</v>
      </c>
      <c r="X106" s="10" t="s">
        <v>91</v>
      </c>
      <c r="Y106" s="73" t="str">
        <f>VLOOKUP(D106,TIPOLOGIAS!A:F,6,0)</f>
        <v>TIPO IV ESPECIAL</v>
      </c>
      <c r="Z106" s="73" t="str">
        <f>VLOOKUP(D106,TIPOLOGIAS!A:F,5,0)</f>
        <v>AEREO</v>
      </c>
      <c r="AA106" s="10" t="s">
        <v>729</v>
      </c>
      <c r="AB106" s="77">
        <v>0</v>
      </c>
      <c r="AC106" s="76">
        <f>IF(AND(W106="SOPORTE_TELEFÓNICO",OR(U106="SIN CONTACTO CON EL CB",U106="NÚMEROS DE CONTACTO ERRADOS")),0,IF(W106="SOPORTE_TELEFÓNICO",'BASE DE LIQUIDACION 2025'!$B$9,IF(Y106="TIPO I",'BASE DE LIQUIDACION 2025'!$C$3,IF(Y106="TIPO II",'BASE DE LIQUIDACION 2025'!$C$4,IF(Y106="TIPO III",'BASE DE LIQUIDACION 2025'!$C$5,'BASE DE LIQUIDACION 2025'!$C$6)))))</f>
        <v>37904.612000000001</v>
      </c>
      <c r="AD106" s="76">
        <f>IF(W106="SOPORTE_TELEFÓNICO",AC106,CIERRES!AB106*CIERRES!AC106)</f>
        <v>37904.612000000001</v>
      </c>
    </row>
    <row r="107" spans="1:30">
      <c r="A107" s="10" t="s">
        <v>302</v>
      </c>
      <c r="B107" s="73" t="str">
        <f>VLOOKUP(A107,'CENTRO DE COSTOS'!A:D,4,FALSE)</f>
        <v>KEVIN ALEXIS CORZO BUSTOS</v>
      </c>
      <c r="C107" s="73" t="str">
        <f>VLOOKUP(A107,'CENTRO DE COSTOS'!A:C,2,FALSE)</f>
        <v>0004-0007</v>
      </c>
      <c r="D107" s="10">
        <v>50568</v>
      </c>
      <c r="E107" s="10" t="s">
        <v>730</v>
      </c>
      <c r="F107" s="10">
        <v>72483</v>
      </c>
      <c r="G107" s="10" t="s">
        <v>78</v>
      </c>
      <c r="H107" s="10" t="s">
        <v>304</v>
      </c>
      <c r="I107" s="10" t="s">
        <v>731</v>
      </c>
      <c r="J107" s="10" t="s">
        <v>732</v>
      </c>
      <c r="K107" s="10" t="s">
        <v>81</v>
      </c>
      <c r="L107" s="10" t="s">
        <v>733</v>
      </c>
      <c r="M107" s="74">
        <v>45895.333333333343</v>
      </c>
      <c r="N107" s="74">
        <v>45901.675694444442</v>
      </c>
      <c r="O107" s="10"/>
      <c r="P107" s="10" t="s">
        <v>83</v>
      </c>
      <c r="Q107" s="10" t="s">
        <v>84</v>
      </c>
      <c r="R107" s="10" t="s">
        <v>85</v>
      </c>
      <c r="S107" s="10" t="s">
        <v>85</v>
      </c>
      <c r="T107" s="10" t="s">
        <v>96</v>
      </c>
      <c r="U107" s="10" t="s">
        <v>97</v>
      </c>
      <c r="V107" s="10" t="s">
        <v>734</v>
      </c>
      <c r="W107" s="10" t="s">
        <v>90</v>
      </c>
      <c r="X107" s="10" t="s">
        <v>308</v>
      </c>
      <c r="Y107" s="73" t="str">
        <f>VLOOKUP(D107,TIPOLOGIAS!A:F,6,0)</f>
        <v>TIPO III</v>
      </c>
      <c r="Z107" s="73" t="str">
        <f>VLOOKUP(D107,TIPOLOGIAS!A:F,5,0)</f>
        <v>TERRESTRE</v>
      </c>
      <c r="AA107" s="10" t="s">
        <v>309</v>
      </c>
      <c r="AB107" s="75">
        <v>1</v>
      </c>
      <c r="AC107" s="76">
        <f>IF(AND(W107="SOPORTE_TELEFÓNICO",OR(U107="SIN CONTACTO CON EL CB",U107="NÚMEROS DE CONTACTO ERRADOS")),0,IF(W107="SOPORTE_TELEFÓNICO",'BASE DE LIQUIDACION 2025'!$B$9,IF(Y107="TIPO I",'BASE DE LIQUIDACION 2025'!$C$3,IF(Y107="TIPO II",'BASE DE LIQUIDACION 2025'!$C$4,IF(Y107="TIPO III",'BASE DE LIQUIDACION 2025'!$C$5,'BASE DE LIQUIDACION 2025'!$C$6)))))</f>
        <v>222904.07200000001</v>
      </c>
      <c r="AD107" s="76">
        <f>IF(W107="SOPORTE_TELEFÓNICO",AC107,CIERRES!AB107*CIERRES!AC107)</f>
        <v>222904.07200000001</v>
      </c>
    </row>
    <row r="108" spans="1:30">
      <c r="A108" s="10" t="s">
        <v>158</v>
      </c>
      <c r="B108" s="73" t="str">
        <f>VLOOKUP(A108,'CENTRO DE COSTOS'!A:D,4,FALSE)</f>
        <v>JUAN SEBASTIÁN RÍOS CASTRILLÓN</v>
      </c>
      <c r="C108" s="73" t="str">
        <f>VLOOKUP(A108,'CENTRO DE COSTOS'!A:C,2,FALSE)</f>
        <v>0004-0005</v>
      </c>
      <c r="D108" s="10">
        <v>5079</v>
      </c>
      <c r="E108" s="10" t="s">
        <v>735</v>
      </c>
      <c r="F108" s="10">
        <v>62137</v>
      </c>
      <c r="G108" s="10" t="s">
        <v>78</v>
      </c>
      <c r="H108" s="10" t="s">
        <v>160</v>
      </c>
      <c r="I108" s="10" t="s">
        <v>736</v>
      </c>
      <c r="J108" s="10" t="s">
        <v>737</v>
      </c>
      <c r="K108" s="10" t="s">
        <v>81</v>
      </c>
      <c r="L108" s="10" t="s">
        <v>738</v>
      </c>
      <c r="M108" s="74">
        <v>45894.333333333343</v>
      </c>
      <c r="N108" s="74">
        <v>45902.317361111112</v>
      </c>
      <c r="O108" s="10"/>
      <c r="P108" s="10" t="s">
        <v>83</v>
      </c>
      <c r="Q108" s="10" t="s">
        <v>83</v>
      </c>
      <c r="R108" s="10" t="s">
        <v>85</v>
      </c>
      <c r="S108" s="10" t="s">
        <v>86</v>
      </c>
      <c r="T108" s="10" t="s">
        <v>147</v>
      </c>
      <c r="U108" s="10" t="s">
        <v>148</v>
      </c>
      <c r="V108" s="10" t="s">
        <v>739</v>
      </c>
      <c r="W108" s="10" t="s">
        <v>90</v>
      </c>
      <c r="X108" s="10" t="s">
        <v>740</v>
      </c>
      <c r="Y108" s="73" t="str">
        <f>VLOOKUP(D108,TIPOLOGIAS!A:F,6,0)</f>
        <v>TIPO II</v>
      </c>
      <c r="Z108" s="73" t="str">
        <f>VLOOKUP(D108,TIPOLOGIAS!A:F,5,0)</f>
        <v>TERRESTRE</v>
      </c>
      <c r="AA108" s="10" t="s">
        <v>432</v>
      </c>
      <c r="AB108" s="75">
        <v>1</v>
      </c>
      <c r="AC108" s="76">
        <f>IF(AND(W108="SOPORTE_TELEFÓNICO",OR(U108="SIN CONTACTO CON EL CB",U108="NÚMEROS DE CONTACTO ERRADOS")),0,IF(W108="SOPORTE_TELEFÓNICO",'BASE DE LIQUIDACION 2025'!$B$9,IF(Y108="TIPO I",'BASE DE LIQUIDACION 2025'!$C$3,IF(Y108="TIPO II",'BASE DE LIQUIDACION 2025'!$C$4,IF(Y108="TIPO III",'BASE DE LIQUIDACION 2025'!$C$5,'BASE DE LIQUIDACION 2025'!$C$6)))))</f>
        <v>134410.88400000002</v>
      </c>
      <c r="AD108" s="76">
        <f>IF(W108="SOPORTE_TELEFÓNICO",AC108,CIERRES!AB108*CIERRES!AC108)</f>
        <v>134410.88400000002</v>
      </c>
    </row>
    <row r="109" spans="1:30">
      <c r="AD109" s="60">
        <f>SUM(AD2:AD108)</f>
        <v>12918631.535999991</v>
      </c>
    </row>
  </sheetData>
  <autoFilter ref="A1:AD109" xr:uid="{00000000-0001-0000-0200-000000000000}"/>
  <conditionalFormatting sqref="E2:E106">
    <cfRule type="duplicateValues" dxfId="0" priority="81"/>
  </conditionalFormatting>
  <dataValidations count="1">
    <dataValidation type="list" allowBlank="1" showInputMessage="1" showErrorMessage="1" sqref="U15" xr:uid="{5333E0A0-9E94-4AC2-AF89-304F5825A5ED}">
      <formula1>INDIRECT(T15)</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48CE4-747E-4F88-8BDE-26A1E1ABDAE2}">
  <dimension ref="A1:F1124"/>
  <sheetViews>
    <sheetView topLeftCell="A1064" workbookViewId="0">
      <selection activeCell="B1081" sqref="B1081"/>
    </sheetView>
  </sheetViews>
  <sheetFormatPr defaultColWidth="8.85546875" defaultRowHeight="14.45"/>
  <cols>
    <col min="1" max="6" width="17.28515625" customWidth="1"/>
  </cols>
  <sheetData>
    <row r="1" spans="1:6" ht="42">
      <c r="A1" s="26" t="s">
        <v>741</v>
      </c>
      <c r="B1" s="27" t="s">
        <v>54</v>
      </c>
      <c r="C1" s="27" t="s">
        <v>53</v>
      </c>
      <c r="D1" s="27" t="s">
        <v>742</v>
      </c>
      <c r="E1" s="28" t="s">
        <v>743</v>
      </c>
      <c r="F1" s="28" t="s">
        <v>744</v>
      </c>
    </row>
    <row r="2" spans="1:6">
      <c r="A2" s="29">
        <v>91430</v>
      </c>
      <c r="B2" s="30" t="s">
        <v>745</v>
      </c>
      <c r="C2" s="31" t="s">
        <v>746</v>
      </c>
      <c r="D2" s="31" t="s">
        <v>76</v>
      </c>
      <c r="E2" s="31" t="s">
        <v>747</v>
      </c>
      <c r="F2" s="32" t="s">
        <v>748</v>
      </c>
    </row>
    <row r="3" spans="1:6">
      <c r="A3" s="29">
        <v>91669</v>
      </c>
      <c r="B3" s="30" t="s">
        <v>749</v>
      </c>
      <c r="C3" s="31" t="s">
        <v>746</v>
      </c>
      <c r="D3" s="31" t="s">
        <v>76</v>
      </c>
      <c r="E3" s="31" t="s">
        <v>747</v>
      </c>
      <c r="F3" s="32" t="s">
        <v>748</v>
      </c>
    </row>
    <row r="4" spans="1:6">
      <c r="A4" s="29">
        <v>91263</v>
      </c>
      <c r="B4" s="31" t="s">
        <v>750</v>
      </c>
      <c r="C4" s="31" t="s">
        <v>746</v>
      </c>
      <c r="D4" s="31" t="s">
        <v>76</v>
      </c>
      <c r="E4" s="31" t="s">
        <v>747</v>
      </c>
      <c r="F4" s="32" t="s">
        <v>748</v>
      </c>
    </row>
    <row r="5" spans="1:6">
      <c r="A5" s="29">
        <v>91405</v>
      </c>
      <c r="B5" s="31" t="s">
        <v>751</v>
      </c>
      <c r="C5" s="31" t="s">
        <v>746</v>
      </c>
      <c r="D5" s="31" t="s">
        <v>76</v>
      </c>
      <c r="E5" s="31" t="s">
        <v>747</v>
      </c>
      <c r="F5" s="32" t="s">
        <v>748</v>
      </c>
    </row>
    <row r="6" spans="1:6">
      <c r="A6" s="29">
        <v>91407</v>
      </c>
      <c r="B6" s="31" t="s">
        <v>752</v>
      </c>
      <c r="C6" s="31" t="s">
        <v>746</v>
      </c>
      <c r="D6" s="31" t="s">
        <v>76</v>
      </c>
      <c r="E6" s="31" t="s">
        <v>747</v>
      </c>
      <c r="F6" s="32" t="s">
        <v>748</v>
      </c>
    </row>
    <row r="7" spans="1:6">
      <c r="A7" s="29">
        <v>91001</v>
      </c>
      <c r="B7" s="31" t="s">
        <v>753</v>
      </c>
      <c r="C7" s="31" t="s">
        <v>746</v>
      </c>
      <c r="D7" s="31" t="s">
        <v>76</v>
      </c>
      <c r="E7" s="31" t="s">
        <v>747</v>
      </c>
      <c r="F7" s="32" t="s">
        <v>748</v>
      </c>
    </row>
    <row r="8" spans="1:6">
      <c r="A8" s="29">
        <v>91460</v>
      </c>
      <c r="B8" s="31" t="s">
        <v>754</v>
      </c>
      <c r="C8" s="31" t="s">
        <v>746</v>
      </c>
      <c r="D8" s="31" t="s">
        <v>76</v>
      </c>
      <c r="E8" s="31" t="s">
        <v>747</v>
      </c>
      <c r="F8" s="32" t="s">
        <v>748</v>
      </c>
    </row>
    <row r="9" spans="1:6">
      <c r="A9" s="29">
        <v>91530</v>
      </c>
      <c r="B9" s="31" t="s">
        <v>755</v>
      </c>
      <c r="C9" s="31" t="s">
        <v>746</v>
      </c>
      <c r="D9" s="31" t="s">
        <v>76</v>
      </c>
      <c r="E9" s="31" t="s">
        <v>747</v>
      </c>
      <c r="F9" s="32" t="s">
        <v>748</v>
      </c>
    </row>
    <row r="10" spans="1:6">
      <c r="A10" s="29">
        <v>91536</v>
      </c>
      <c r="B10" s="31" t="s">
        <v>756</v>
      </c>
      <c r="C10" s="31" t="s">
        <v>746</v>
      </c>
      <c r="D10" s="31" t="s">
        <v>76</v>
      </c>
      <c r="E10" s="31" t="s">
        <v>747</v>
      </c>
      <c r="F10" s="32" t="s">
        <v>748</v>
      </c>
    </row>
    <row r="11" spans="1:6">
      <c r="A11" s="29">
        <v>91540</v>
      </c>
      <c r="B11" s="31" t="s">
        <v>757</v>
      </c>
      <c r="C11" s="31" t="s">
        <v>746</v>
      </c>
      <c r="D11" s="31" t="s">
        <v>76</v>
      </c>
      <c r="E11" s="31" t="s">
        <v>747</v>
      </c>
      <c r="F11" s="32" t="s">
        <v>748</v>
      </c>
    </row>
    <row r="12" spans="1:6">
      <c r="A12" s="29">
        <v>91798</v>
      </c>
      <c r="B12" s="31" t="s">
        <v>758</v>
      </c>
      <c r="C12" s="31" t="s">
        <v>746</v>
      </c>
      <c r="D12" s="31" t="s">
        <v>76</v>
      </c>
      <c r="E12" s="31" t="s">
        <v>747</v>
      </c>
      <c r="F12" s="32" t="s">
        <v>748</v>
      </c>
    </row>
    <row r="13" spans="1:6">
      <c r="A13" s="29">
        <v>5055</v>
      </c>
      <c r="B13" s="30" t="s">
        <v>759</v>
      </c>
      <c r="C13" s="31" t="s">
        <v>160</v>
      </c>
      <c r="D13" s="31" t="s">
        <v>158</v>
      </c>
      <c r="E13" s="31" t="s">
        <v>760</v>
      </c>
      <c r="F13" s="32" t="s">
        <v>761</v>
      </c>
    </row>
    <row r="14" spans="1:6">
      <c r="A14" s="29">
        <v>5059</v>
      </c>
      <c r="B14" s="30" t="s">
        <v>762</v>
      </c>
      <c r="C14" s="31" t="s">
        <v>160</v>
      </c>
      <c r="D14" s="31" t="s">
        <v>158</v>
      </c>
      <c r="E14" s="31" t="s">
        <v>760</v>
      </c>
      <c r="F14" s="32" t="s">
        <v>763</v>
      </c>
    </row>
    <row r="15" spans="1:6">
      <c r="A15" s="29">
        <v>5079</v>
      </c>
      <c r="B15" s="30" t="s">
        <v>736</v>
      </c>
      <c r="C15" s="31" t="s">
        <v>160</v>
      </c>
      <c r="D15" s="31" t="s">
        <v>158</v>
      </c>
      <c r="E15" s="31" t="s">
        <v>760</v>
      </c>
      <c r="F15" s="32" t="s">
        <v>763</v>
      </c>
    </row>
    <row r="16" spans="1:6">
      <c r="A16" s="29">
        <v>5093</v>
      </c>
      <c r="B16" s="30" t="s">
        <v>764</v>
      </c>
      <c r="C16" s="31" t="s">
        <v>160</v>
      </c>
      <c r="D16" s="31" t="s">
        <v>158</v>
      </c>
      <c r="E16" s="31" t="s">
        <v>760</v>
      </c>
      <c r="F16" s="32" t="s">
        <v>765</v>
      </c>
    </row>
    <row r="17" spans="1:6">
      <c r="A17" s="29">
        <v>5107</v>
      </c>
      <c r="B17" s="30" t="s">
        <v>766</v>
      </c>
      <c r="C17" s="31" t="s">
        <v>160</v>
      </c>
      <c r="D17" s="31" t="s">
        <v>158</v>
      </c>
      <c r="E17" s="31" t="s">
        <v>760</v>
      </c>
      <c r="F17" s="32" t="s">
        <v>765</v>
      </c>
    </row>
    <row r="18" spans="1:6">
      <c r="A18" s="29">
        <v>5129</v>
      </c>
      <c r="B18" s="30" t="s">
        <v>557</v>
      </c>
      <c r="C18" s="31" t="s">
        <v>160</v>
      </c>
      <c r="D18" s="31" t="s">
        <v>158</v>
      </c>
      <c r="E18" s="31" t="s">
        <v>760</v>
      </c>
      <c r="F18" s="32" t="s">
        <v>767</v>
      </c>
    </row>
    <row r="19" spans="1:6">
      <c r="A19" s="29">
        <v>5206</v>
      </c>
      <c r="B19" s="30" t="s">
        <v>768</v>
      </c>
      <c r="C19" s="31" t="s">
        <v>160</v>
      </c>
      <c r="D19" s="31" t="s">
        <v>158</v>
      </c>
      <c r="E19" s="31" t="s">
        <v>760</v>
      </c>
      <c r="F19" s="32" t="s">
        <v>763</v>
      </c>
    </row>
    <row r="20" spans="1:6">
      <c r="A20" s="29">
        <v>5209</v>
      </c>
      <c r="B20" s="30" t="s">
        <v>769</v>
      </c>
      <c r="C20" s="31" t="s">
        <v>160</v>
      </c>
      <c r="D20" s="31" t="s">
        <v>158</v>
      </c>
      <c r="E20" s="31" t="s">
        <v>760</v>
      </c>
      <c r="F20" s="32" t="s">
        <v>765</v>
      </c>
    </row>
    <row r="21" spans="1:6">
      <c r="A21" s="29">
        <v>5313</v>
      </c>
      <c r="B21" s="30" t="s">
        <v>770</v>
      </c>
      <c r="C21" s="31" t="s">
        <v>160</v>
      </c>
      <c r="D21" s="31" t="s">
        <v>158</v>
      </c>
      <c r="E21" s="31" t="s">
        <v>760</v>
      </c>
      <c r="F21" s="32" t="s">
        <v>763</v>
      </c>
    </row>
    <row r="22" spans="1:6">
      <c r="A22" s="29">
        <v>5315</v>
      </c>
      <c r="B22" s="30" t="s">
        <v>771</v>
      </c>
      <c r="C22" s="31" t="s">
        <v>160</v>
      </c>
      <c r="D22" s="31" t="s">
        <v>158</v>
      </c>
      <c r="E22" s="31" t="s">
        <v>760</v>
      </c>
      <c r="F22" s="32" t="s">
        <v>765</v>
      </c>
    </row>
    <row r="23" spans="1:6">
      <c r="A23" s="29">
        <v>5368</v>
      </c>
      <c r="B23" s="30" t="s">
        <v>772</v>
      </c>
      <c r="C23" s="31" t="s">
        <v>160</v>
      </c>
      <c r="D23" s="31" t="s">
        <v>158</v>
      </c>
      <c r="E23" s="31" t="s">
        <v>760</v>
      </c>
      <c r="F23" s="32" t="s">
        <v>765</v>
      </c>
    </row>
    <row r="24" spans="1:6">
      <c r="A24" s="29">
        <v>5400</v>
      </c>
      <c r="B24" s="30" t="s">
        <v>773</v>
      </c>
      <c r="C24" s="31" t="s">
        <v>160</v>
      </c>
      <c r="D24" s="31" t="s">
        <v>158</v>
      </c>
      <c r="E24" s="31" t="s">
        <v>760</v>
      </c>
      <c r="F24" s="32" t="s">
        <v>763</v>
      </c>
    </row>
    <row r="25" spans="1:6">
      <c r="A25" s="29">
        <v>5483</v>
      </c>
      <c r="B25" s="30" t="s">
        <v>265</v>
      </c>
      <c r="C25" s="31" t="s">
        <v>160</v>
      </c>
      <c r="D25" s="31" t="s">
        <v>158</v>
      </c>
      <c r="E25" s="31" t="s">
        <v>760</v>
      </c>
      <c r="F25" s="32" t="s">
        <v>761</v>
      </c>
    </row>
    <row r="26" spans="1:6">
      <c r="A26" s="29">
        <v>5615</v>
      </c>
      <c r="B26" s="30" t="s">
        <v>774</v>
      </c>
      <c r="C26" s="31" t="s">
        <v>160</v>
      </c>
      <c r="D26" s="31" t="s">
        <v>158</v>
      </c>
      <c r="E26" s="31" t="s">
        <v>760</v>
      </c>
      <c r="F26" s="32" t="s">
        <v>763</v>
      </c>
    </row>
    <row r="27" spans="1:6">
      <c r="A27" s="29">
        <v>5628</v>
      </c>
      <c r="B27" s="30" t="s">
        <v>775</v>
      </c>
      <c r="C27" s="31" t="s">
        <v>160</v>
      </c>
      <c r="D27" s="31" t="s">
        <v>158</v>
      </c>
      <c r="E27" s="31" t="s">
        <v>760</v>
      </c>
      <c r="F27" s="32" t="s">
        <v>765</v>
      </c>
    </row>
    <row r="28" spans="1:6">
      <c r="A28" s="29">
        <v>5649</v>
      </c>
      <c r="B28" s="30" t="s">
        <v>776</v>
      </c>
      <c r="C28" s="31" t="s">
        <v>160</v>
      </c>
      <c r="D28" s="31" t="s">
        <v>158</v>
      </c>
      <c r="E28" s="31" t="s">
        <v>760</v>
      </c>
      <c r="F28" s="32" t="s">
        <v>765</v>
      </c>
    </row>
    <row r="29" spans="1:6">
      <c r="A29" s="29">
        <v>5652</v>
      </c>
      <c r="B29" s="30" t="s">
        <v>777</v>
      </c>
      <c r="C29" s="31" t="s">
        <v>160</v>
      </c>
      <c r="D29" s="31" t="s">
        <v>158</v>
      </c>
      <c r="E29" s="31" t="s">
        <v>760</v>
      </c>
      <c r="F29" s="32" t="s">
        <v>765</v>
      </c>
    </row>
    <row r="30" spans="1:6">
      <c r="A30" s="29">
        <v>5660</v>
      </c>
      <c r="B30" s="30" t="s">
        <v>778</v>
      </c>
      <c r="C30" s="31" t="s">
        <v>160</v>
      </c>
      <c r="D30" s="31" t="s">
        <v>158</v>
      </c>
      <c r="E30" s="31" t="s">
        <v>760</v>
      </c>
      <c r="F30" s="32" t="s">
        <v>765</v>
      </c>
    </row>
    <row r="31" spans="1:6">
      <c r="A31" s="29">
        <v>5664</v>
      </c>
      <c r="B31" s="30" t="s">
        <v>779</v>
      </c>
      <c r="C31" s="31" t="s">
        <v>160</v>
      </c>
      <c r="D31" s="31" t="s">
        <v>158</v>
      </c>
      <c r="E31" s="31" t="s">
        <v>760</v>
      </c>
      <c r="F31" s="32" t="s">
        <v>763</v>
      </c>
    </row>
    <row r="32" spans="1:6">
      <c r="A32" s="29">
        <v>5679</v>
      </c>
      <c r="B32" s="30" t="s">
        <v>780</v>
      </c>
      <c r="C32" s="31" t="s">
        <v>160</v>
      </c>
      <c r="D32" s="31" t="s">
        <v>158</v>
      </c>
      <c r="E32" s="31" t="s">
        <v>760</v>
      </c>
      <c r="F32" s="32" t="s">
        <v>763</v>
      </c>
    </row>
    <row r="33" spans="1:6">
      <c r="A33" s="29">
        <v>5819</v>
      </c>
      <c r="B33" s="30" t="s">
        <v>781</v>
      </c>
      <c r="C33" s="31" t="s">
        <v>160</v>
      </c>
      <c r="D33" s="31" t="s">
        <v>158</v>
      </c>
      <c r="E33" s="31" t="s">
        <v>760</v>
      </c>
      <c r="F33" s="32" t="s">
        <v>761</v>
      </c>
    </row>
    <row r="34" spans="1:6">
      <c r="A34" s="29">
        <v>5856</v>
      </c>
      <c r="B34" s="30" t="s">
        <v>782</v>
      </c>
      <c r="C34" s="31" t="s">
        <v>160</v>
      </c>
      <c r="D34" s="31" t="s">
        <v>158</v>
      </c>
      <c r="E34" s="31" t="s">
        <v>760</v>
      </c>
      <c r="F34" s="32" t="s">
        <v>765</v>
      </c>
    </row>
    <row r="35" spans="1:6">
      <c r="A35" s="29">
        <v>5861</v>
      </c>
      <c r="B35" s="30" t="s">
        <v>783</v>
      </c>
      <c r="C35" s="31" t="s">
        <v>160</v>
      </c>
      <c r="D35" s="31" t="s">
        <v>158</v>
      </c>
      <c r="E35" s="31" t="s">
        <v>760</v>
      </c>
      <c r="F35" s="32" t="s">
        <v>763</v>
      </c>
    </row>
    <row r="36" spans="1:6">
      <c r="A36" s="29">
        <v>5002</v>
      </c>
      <c r="B36" s="31" t="s">
        <v>784</v>
      </c>
      <c r="C36" s="31" t="s">
        <v>160</v>
      </c>
      <c r="D36" s="31" t="s">
        <v>158</v>
      </c>
      <c r="E36" s="31" t="s">
        <v>760</v>
      </c>
      <c r="F36" s="32" t="s">
        <v>765</v>
      </c>
    </row>
    <row r="37" spans="1:6">
      <c r="A37" s="29">
        <v>5004</v>
      </c>
      <c r="B37" s="31" t="s">
        <v>785</v>
      </c>
      <c r="C37" s="31" t="s">
        <v>160</v>
      </c>
      <c r="D37" s="31" t="s">
        <v>158</v>
      </c>
      <c r="E37" s="31" t="s">
        <v>760</v>
      </c>
      <c r="F37" s="32" t="s">
        <v>761</v>
      </c>
    </row>
    <row r="38" spans="1:6">
      <c r="A38" s="29">
        <v>5021</v>
      </c>
      <c r="B38" s="31" t="s">
        <v>786</v>
      </c>
      <c r="C38" s="31" t="s">
        <v>160</v>
      </c>
      <c r="D38" s="31" t="s">
        <v>158</v>
      </c>
      <c r="E38" s="31" t="s">
        <v>760</v>
      </c>
      <c r="F38" s="32" t="s">
        <v>765</v>
      </c>
    </row>
    <row r="39" spans="1:6">
      <c r="A39" s="29">
        <v>5030</v>
      </c>
      <c r="B39" s="31" t="s">
        <v>787</v>
      </c>
      <c r="C39" s="31" t="s">
        <v>160</v>
      </c>
      <c r="D39" s="31" t="s">
        <v>158</v>
      </c>
      <c r="E39" s="31" t="s">
        <v>760</v>
      </c>
      <c r="F39" s="32" t="s">
        <v>763</v>
      </c>
    </row>
    <row r="40" spans="1:6">
      <c r="A40" s="29">
        <v>5031</v>
      </c>
      <c r="B40" s="31" t="s">
        <v>788</v>
      </c>
      <c r="C40" s="31" t="s">
        <v>160</v>
      </c>
      <c r="D40" s="31" t="s">
        <v>158</v>
      </c>
      <c r="E40" s="31" t="s">
        <v>760</v>
      </c>
      <c r="F40" s="32" t="s">
        <v>761</v>
      </c>
    </row>
    <row r="41" spans="1:6">
      <c r="A41" s="29">
        <v>5034</v>
      </c>
      <c r="B41" s="31" t="s">
        <v>789</v>
      </c>
      <c r="C41" s="31" t="s">
        <v>160</v>
      </c>
      <c r="D41" s="31" t="s">
        <v>158</v>
      </c>
      <c r="E41" s="31" t="s">
        <v>760</v>
      </c>
      <c r="F41" s="32" t="s">
        <v>765</v>
      </c>
    </row>
    <row r="42" spans="1:6">
      <c r="A42" s="29">
        <v>5036</v>
      </c>
      <c r="B42" s="31" t="s">
        <v>790</v>
      </c>
      <c r="C42" s="31" t="s">
        <v>160</v>
      </c>
      <c r="D42" s="31" t="s">
        <v>158</v>
      </c>
      <c r="E42" s="31" t="s">
        <v>760</v>
      </c>
      <c r="F42" s="32" t="s">
        <v>763</v>
      </c>
    </row>
    <row r="43" spans="1:6">
      <c r="A43" s="29">
        <v>5038</v>
      </c>
      <c r="B43" s="31" t="s">
        <v>791</v>
      </c>
      <c r="C43" s="31" t="s">
        <v>160</v>
      </c>
      <c r="D43" s="31" t="s">
        <v>158</v>
      </c>
      <c r="E43" s="31" t="s">
        <v>760</v>
      </c>
      <c r="F43" s="32" t="s">
        <v>765</v>
      </c>
    </row>
    <row r="44" spans="1:6">
      <c r="A44" s="29">
        <v>5040</v>
      </c>
      <c r="B44" s="31" t="s">
        <v>792</v>
      </c>
      <c r="C44" s="31" t="s">
        <v>160</v>
      </c>
      <c r="D44" s="31" t="s">
        <v>158</v>
      </c>
      <c r="E44" s="31" t="s">
        <v>760</v>
      </c>
      <c r="F44" s="32" t="s">
        <v>761</v>
      </c>
    </row>
    <row r="45" spans="1:6">
      <c r="A45" s="29">
        <v>5044</v>
      </c>
      <c r="B45" s="31" t="s">
        <v>793</v>
      </c>
      <c r="C45" s="31" t="s">
        <v>160</v>
      </c>
      <c r="D45" s="31" t="s">
        <v>158</v>
      </c>
      <c r="E45" s="31" t="s">
        <v>760</v>
      </c>
      <c r="F45" s="32" t="s">
        <v>765</v>
      </c>
    </row>
    <row r="46" spans="1:6">
      <c r="A46" s="29">
        <v>5045</v>
      </c>
      <c r="B46" s="31" t="s">
        <v>623</v>
      </c>
      <c r="C46" s="31" t="s">
        <v>160</v>
      </c>
      <c r="D46" s="31" t="s">
        <v>623</v>
      </c>
      <c r="E46" s="31" t="s">
        <v>760</v>
      </c>
      <c r="F46" s="32" t="s">
        <v>767</v>
      </c>
    </row>
    <row r="47" spans="1:6">
      <c r="A47" s="29">
        <v>5051</v>
      </c>
      <c r="B47" s="31" t="s">
        <v>794</v>
      </c>
      <c r="C47" s="31" t="s">
        <v>160</v>
      </c>
      <c r="D47" s="31" t="s">
        <v>514</v>
      </c>
      <c r="E47" s="31" t="s">
        <v>760</v>
      </c>
      <c r="F47" s="32" t="s">
        <v>763</v>
      </c>
    </row>
    <row r="48" spans="1:6">
      <c r="A48" s="29">
        <v>5088</v>
      </c>
      <c r="B48" s="31" t="s">
        <v>795</v>
      </c>
      <c r="C48" s="31" t="s">
        <v>160</v>
      </c>
      <c r="D48" s="31" t="s">
        <v>158</v>
      </c>
      <c r="E48" s="31" t="s">
        <v>760</v>
      </c>
      <c r="F48" s="32" t="s">
        <v>767</v>
      </c>
    </row>
    <row r="49" spans="1:6">
      <c r="A49" s="29">
        <v>5086</v>
      </c>
      <c r="B49" s="31" t="s">
        <v>796</v>
      </c>
      <c r="C49" s="31" t="s">
        <v>160</v>
      </c>
      <c r="D49" s="31" t="s">
        <v>158</v>
      </c>
      <c r="E49" s="31" t="s">
        <v>760</v>
      </c>
      <c r="F49" s="32" t="s">
        <v>763</v>
      </c>
    </row>
    <row r="50" spans="1:6">
      <c r="A50" s="29">
        <v>5091</v>
      </c>
      <c r="B50" s="31" t="s">
        <v>797</v>
      </c>
      <c r="C50" s="31" t="s">
        <v>160</v>
      </c>
      <c r="D50" s="31" t="s">
        <v>158</v>
      </c>
      <c r="E50" s="31" t="s">
        <v>760</v>
      </c>
      <c r="F50" s="32" t="s">
        <v>765</v>
      </c>
    </row>
    <row r="51" spans="1:6">
      <c r="A51" s="29">
        <v>5113</v>
      </c>
      <c r="B51" s="31" t="s">
        <v>798</v>
      </c>
      <c r="C51" s="31" t="s">
        <v>160</v>
      </c>
      <c r="D51" s="31" t="s">
        <v>158</v>
      </c>
      <c r="E51" s="31" t="s">
        <v>760</v>
      </c>
      <c r="F51" s="32" t="s">
        <v>761</v>
      </c>
    </row>
    <row r="52" spans="1:6">
      <c r="A52" s="29">
        <v>5120</v>
      </c>
      <c r="B52" s="31" t="s">
        <v>799</v>
      </c>
      <c r="C52" s="31" t="s">
        <v>160</v>
      </c>
      <c r="D52" s="31" t="s">
        <v>158</v>
      </c>
      <c r="E52" s="31" t="s">
        <v>760</v>
      </c>
      <c r="F52" s="32" t="s">
        <v>761</v>
      </c>
    </row>
    <row r="53" spans="1:6">
      <c r="A53" s="29">
        <v>5125</v>
      </c>
      <c r="B53" s="31" t="s">
        <v>800</v>
      </c>
      <c r="C53" s="31" t="s">
        <v>160</v>
      </c>
      <c r="D53" s="31" t="s">
        <v>158</v>
      </c>
      <c r="E53" s="31" t="s">
        <v>760</v>
      </c>
      <c r="F53" s="32" t="s">
        <v>765</v>
      </c>
    </row>
    <row r="54" spans="1:6">
      <c r="A54" s="29">
        <v>5134</v>
      </c>
      <c r="B54" s="31" t="s">
        <v>801</v>
      </c>
      <c r="C54" s="31" t="s">
        <v>160</v>
      </c>
      <c r="D54" s="31" t="s">
        <v>158</v>
      </c>
      <c r="E54" s="31" t="s">
        <v>760</v>
      </c>
      <c r="F54" s="32" t="s">
        <v>765</v>
      </c>
    </row>
    <row r="55" spans="1:6">
      <c r="A55" s="29">
        <v>5138</v>
      </c>
      <c r="B55" s="31" t="s">
        <v>802</v>
      </c>
      <c r="C55" s="31" t="s">
        <v>160</v>
      </c>
      <c r="D55" s="31" t="s">
        <v>158</v>
      </c>
      <c r="E55" s="31" t="s">
        <v>760</v>
      </c>
      <c r="F55" s="32" t="s">
        <v>765</v>
      </c>
    </row>
    <row r="56" spans="1:6">
      <c r="A56" s="29">
        <v>5142</v>
      </c>
      <c r="B56" s="31" t="s">
        <v>803</v>
      </c>
      <c r="C56" s="31" t="s">
        <v>160</v>
      </c>
      <c r="D56" s="31" t="s">
        <v>158</v>
      </c>
      <c r="E56" s="31" t="s">
        <v>760</v>
      </c>
      <c r="F56" s="32" t="s">
        <v>765</v>
      </c>
    </row>
    <row r="57" spans="1:6">
      <c r="A57" s="29">
        <v>5145</v>
      </c>
      <c r="B57" s="31" t="s">
        <v>804</v>
      </c>
      <c r="C57" s="31" t="s">
        <v>160</v>
      </c>
      <c r="D57" s="31" t="s">
        <v>158</v>
      </c>
      <c r="E57" s="31" t="s">
        <v>760</v>
      </c>
      <c r="F57" s="32" t="s">
        <v>765</v>
      </c>
    </row>
    <row r="58" spans="1:6">
      <c r="A58" s="29">
        <v>5147</v>
      </c>
      <c r="B58" s="31" t="s">
        <v>805</v>
      </c>
      <c r="C58" s="31" t="s">
        <v>160</v>
      </c>
      <c r="D58" s="31" t="s">
        <v>623</v>
      </c>
      <c r="E58" s="31" t="s">
        <v>760</v>
      </c>
      <c r="F58" s="32" t="s">
        <v>767</v>
      </c>
    </row>
    <row r="59" spans="1:6">
      <c r="A59" s="29">
        <v>5150</v>
      </c>
      <c r="B59" s="31" t="s">
        <v>806</v>
      </c>
      <c r="C59" s="31" t="s">
        <v>160</v>
      </c>
      <c r="D59" s="31" t="s">
        <v>158</v>
      </c>
      <c r="E59" s="31" t="s">
        <v>760</v>
      </c>
      <c r="F59" s="32" t="s">
        <v>765</v>
      </c>
    </row>
    <row r="60" spans="1:6">
      <c r="A60" s="29">
        <v>5154</v>
      </c>
      <c r="B60" s="31" t="s">
        <v>807</v>
      </c>
      <c r="C60" s="31" t="s">
        <v>160</v>
      </c>
      <c r="D60" s="31" t="s">
        <v>514</v>
      </c>
      <c r="E60" s="31" t="s">
        <v>760</v>
      </c>
      <c r="F60" s="32" t="s">
        <v>763</v>
      </c>
    </row>
    <row r="61" spans="1:6">
      <c r="A61" s="29">
        <v>5172</v>
      </c>
      <c r="B61" s="31" t="s">
        <v>808</v>
      </c>
      <c r="C61" s="31" t="s">
        <v>160</v>
      </c>
      <c r="D61" s="31" t="s">
        <v>623</v>
      </c>
      <c r="E61" s="31" t="s">
        <v>760</v>
      </c>
      <c r="F61" s="32" t="s">
        <v>763</v>
      </c>
    </row>
    <row r="62" spans="1:6">
      <c r="A62" s="29">
        <v>5190</v>
      </c>
      <c r="B62" s="31" t="s">
        <v>809</v>
      </c>
      <c r="C62" s="31" t="s">
        <v>160</v>
      </c>
      <c r="D62" s="31" t="s">
        <v>158</v>
      </c>
      <c r="E62" s="31" t="s">
        <v>760</v>
      </c>
      <c r="F62" s="32" t="s">
        <v>763</v>
      </c>
    </row>
    <row r="63" spans="1:6">
      <c r="A63" s="29">
        <v>5101</v>
      </c>
      <c r="B63" s="31" t="s">
        <v>810</v>
      </c>
      <c r="C63" s="31" t="s">
        <v>160</v>
      </c>
      <c r="D63" s="31" t="s">
        <v>158</v>
      </c>
      <c r="E63" s="31" t="s">
        <v>760</v>
      </c>
      <c r="F63" s="32" t="s">
        <v>763</v>
      </c>
    </row>
    <row r="64" spans="1:6">
      <c r="A64" s="29">
        <v>5197</v>
      </c>
      <c r="B64" s="31" t="s">
        <v>811</v>
      </c>
      <c r="C64" s="31" t="s">
        <v>160</v>
      </c>
      <c r="D64" s="31" t="s">
        <v>158</v>
      </c>
      <c r="E64" s="31" t="s">
        <v>760</v>
      </c>
      <c r="F64" s="32" t="s">
        <v>763</v>
      </c>
    </row>
    <row r="65" spans="1:6">
      <c r="A65" s="29">
        <v>5212</v>
      </c>
      <c r="B65" s="31" t="s">
        <v>812</v>
      </c>
      <c r="C65" s="31" t="s">
        <v>160</v>
      </c>
      <c r="D65" s="31" t="s">
        <v>158</v>
      </c>
      <c r="E65" s="31" t="s">
        <v>760</v>
      </c>
      <c r="F65" s="32" t="s">
        <v>767</v>
      </c>
    </row>
    <row r="66" spans="1:6">
      <c r="A66" s="29">
        <v>5234</v>
      </c>
      <c r="B66" s="31" t="s">
        <v>813</v>
      </c>
      <c r="C66" s="31" t="s">
        <v>160</v>
      </c>
      <c r="D66" s="31" t="s">
        <v>158</v>
      </c>
      <c r="E66" s="31" t="s">
        <v>760</v>
      </c>
      <c r="F66" s="32" t="s">
        <v>761</v>
      </c>
    </row>
    <row r="67" spans="1:6">
      <c r="A67" s="29">
        <v>5237</v>
      </c>
      <c r="B67" s="31" t="s">
        <v>814</v>
      </c>
      <c r="C67" s="31" t="s">
        <v>160</v>
      </c>
      <c r="D67" s="31" t="s">
        <v>158</v>
      </c>
      <c r="E67" s="31" t="s">
        <v>760</v>
      </c>
      <c r="F67" s="32" t="s">
        <v>763</v>
      </c>
    </row>
    <row r="68" spans="1:6">
      <c r="A68" s="29">
        <v>5240</v>
      </c>
      <c r="B68" s="31" t="s">
        <v>815</v>
      </c>
      <c r="C68" s="31" t="s">
        <v>160</v>
      </c>
      <c r="D68" s="31" t="s">
        <v>158</v>
      </c>
      <c r="E68" s="31" t="s">
        <v>760</v>
      </c>
      <c r="F68" s="32" t="s">
        <v>763</v>
      </c>
    </row>
    <row r="69" spans="1:6">
      <c r="A69" s="29">
        <v>5250</v>
      </c>
      <c r="B69" s="31" t="s">
        <v>516</v>
      </c>
      <c r="C69" s="31" t="s">
        <v>160</v>
      </c>
      <c r="D69" s="31" t="s">
        <v>514</v>
      </c>
      <c r="E69" s="31" t="s">
        <v>760</v>
      </c>
      <c r="F69" s="32" t="s">
        <v>761</v>
      </c>
    </row>
    <row r="70" spans="1:6">
      <c r="A70" s="29">
        <v>5148</v>
      </c>
      <c r="B70" s="31" t="s">
        <v>816</v>
      </c>
      <c r="C70" s="31" t="s">
        <v>160</v>
      </c>
      <c r="D70" s="31" t="s">
        <v>158</v>
      </c>
      <c r="E70" s="31" t="s">
        <v>760</v>
      </c>
      <c r="F70" s="32" t="s">
        <v>763</v>
      </c>
    </row>
    <row r="71" spans="1:6">
      <c r="A71" s="29">
        <v>5697</v>
      </c>
      <c r="B71" s="31" t="s">
        <v>817</v>
      </c>
      <c r="C71" s="31" t="s">
        <v>160</v>
      </c>
      <c r="D71" s="31" t="s">
        <v>158</v>
      </c>
      <c r="E71" s="31" t="s">
        <v>760</v>
      </c>
      <c r="F71" s="32" t="s">
        <v>763</v>
      </c>
    </row>
    <row r="72" spans="1:6">
      <c r="A72" s="29">
        <v>5264</v>
      </c>
      <c r="B72" s="31" t="s">
        <v>818</v>
      </c>
      <c r="C72" s="31" t="s">
        <v>160</v>
      </c>
      <c r="D72" s="31" t="s">
        <v>158</v>
      </c>
      <c r="E72" s="31" t="s">
        <v>760</v>
      </c>
      <c r="F72" s="32" t="s">
        <v>763</v>
      </c>
    </row>
    <row r="73" spans="1:6">
      <c r="A73" s="29">
        <v>5266</v>
      </c>
      <c r="B73" s="31" t="s">
        <v>819</v>
      </c>
      <c r="C73" s="31" t="s">
        <v>160</v>
      </c>
      <c r="D73" s="31" t="s">
        <v>158</v>
      </c>
      <c r="E73" s="31" t="s">
        <v>760</v>
      </c>
      <c r="F73" s="32" t="s">
        <v>767</v>
      </c>
    </row>
    <row r="74" spans="1:6">
      <c r="A74" s="29">
        <v>5282</v>
      </c>
      <c r="B74" s="31" t="s">
        <v>820</v>
      </c>
      <c r="C74" s="31" t="s">
        <v>160</v>
      </c>
      <c r="D74" s="31" t="s">
        <v>158</v>
      </c>
      <c r="E74" s="31" t="s">
        <v>760</v>
      </c>
      <c r="F74" s="32" t="s">
        <v>763</v>
      </c>
    </row>
    <row r="75" spans="1:6">
      <c r="A75" s="29">
        <v>5284</v>
      </c>
      <c r="B75" s="31" t="s">
        <v>821</v>
      </c>
      <c r="C75" s="31" t="s">
        <v>160</v>
      </c>
      <c r="D75" s="31" t="s">
        <v>158</v>
      </c>
      <c r="E75" s="31" t="s">
        <v>760</v>
      </c>
      <c r="F75" s="32" t="s">
        <v>761</v>
      </c>
    </row>
    <row r="76" spans="1:6">
      <c r="A76" s="29">
        <v>5306</v>
      </c>
      <c r="B76" s="31" t="s">
        <v>822</v>
      </c>
      <c r="C76" s="31" t="s">
        <v>160</v>
      </c>
      <c r="D76" s="31" t="s">
        <v>158</v>
      </c>
      <c r="E76" s="31" t="s">
        <v>760</v>
      </c>
      <c r="F76" s="32" t="s">
        <v>765</v>
      </c>
    </row>
    <row r="77" spans="1:6">
      <c r="A77" s="29">
        <v>5308</v>
      </c>
      <c r="B77" s="31" t="s">
        <v>823</v>
      </c>
      <c r="C77" s="31" t="s">
        <v>160</v>
      </c>
      <c r="D77" s="31" t="s">
        <v>158</v>
      </c>
      <c r="E77" s="31" t="s">
        <v>760</v>
      </c>
      <c r="F77" s="32" t="s">
        <v>767</v>
      </c>
    </row>
    <row r="78" spans="1:6">
      <c r="A78" s="29">
        <v>5310</v>
      </c>
      <c r="B78" s="31" t="s">
        <v>824</v>
      </c>
      <c r="C78" s="31" t="s">
        <v>160</v>
      </c>
      <c r="D78" s="31" t="s">
        <v>158</v>
      </c>
      <c r="E78" s="31" t="s">
        <v>760</v>
      </c>
      <c r="F78" s="32" t="s">
        <v>763</v>
      </c>
    </row>
    <row r="79" spans="1:6">
      <c r="A79" s="29">
        <v>5318</v>
      </c>
      <c r="B79" s="31" t="s">
        <v>825</v>
      </c>
      <c r="C79" s="31" t="s">
        <v>160</v>
      </c>
      <c r="D79" s="31" t="s">
        <v>158</v>
      </c>
      <c r="E79" s="31" t="s">
        <v>760</v>
      </c>
      <c r="F79" s="32" t="s">
        <v>763</v>
      </c>
    </row>
    <row r="80" spans="1:6">
      <c r="A80" s="29">
        <v>5321</v>
      </c>
      <c r="B80" s="31" t="s">
        <v>826</v>
      </c>
      <c r="C80" s="31" t="s">
        <v>160</v>
      </c>
      <c r="D80" s="31" t="s">
        <v>158</v>
      </c>
      <c r="E80" s="31" t="s">
        <v>760</v>
      </c>
      <c r="F80" s="32" t="s">
        <v>763</v>
      </c>
    </row>
    <row r="81" spans="1:6">
      <c r="A81" s="29">
        <v>5347</v>
      </c>
      <c r="B81" s="31" t="s">
        <v>827</v>
      </c>
      <c r="C81" s="31" t="s">
        <v>160</v>
      </c>
      <c r="D81" s="31" t="s">
        <v>158</v>
      </c>
      <c r="E81" s="31" t="s">
        <v>760</v>
      </c>
      <c r="F81" s="32" t="s">
        <v>763</v>
      </c>
    </row>
    <row r="82" spans="1:6">
      <c r="A82" s="29">
        <v>5353</v>
      </c>
      <c r="B82" s="31" t="s">
        <v>198</v>
      </c>
      <c r="C82" s="31" t="s">
        <v>160</v>
      </c>
      <c r="D82" s="31" t="s">
        <v>158</v>
      </c>
      <c r="E82" s="31" t="s">
        <v>760</v>
      </c>
      <c r="F82" s="32" t="s">
        <v>765</v>
      </c>
    </row>
    <row r="83" spans="1:6">
      <c r="A83" s="29">
        <v>5360</v>
      </c>
      <c r="B83" s="31" t="s">
        <v>828</v>
      </c>
      <c r="C83" s="31" t="s">
        <v>160</v>
      </c>
      <c r="D83" s="31" t="s">
        <v>158</v>
      </c>
      <c r="E83" s="31" t="s">
        <v>760</v>
      </c>
      <c r="F83" s="32" t="s">
        <v>767</v>
      </c>
    </row>
    <row r="84" spans="1:6">
      <c r="A84" s="29">
        <v>5361</v>
      </c>
      <c r="B84" s="31" t="s">
        <v>829</v>
      </c>
      <c r="C84" s="31" t="s">
        <v>160</v>
      </c>
      <c r="D84" s="31" t="s">
        <v>158</v>
      </c>
      <c r="E84" s="31" t="s">
        <v>760</v>
      </c>
      <c r="F84" s="32" t="s">
        <v>761</v>
      </c>
    </row>
    <row r="85" spans="1:6">
      <c r="A85" s="29">
        <v>5364</v>
      </c>
      <c r="B85" s="31" t="s">
        <v>830</v>
      </c>
      <c r="C85" s="31" t="s">
        <v>160</v>
      </c>
      <c r="D85" s="31" t="s">
        <v>158</v>
      </c>
      <c r="E85" s="31" t="s">
        <v>760</v>
      </c>
      <c r="F85" s="32" t="s">
        <v>765</v>
      </c>
    </row>
    <row r="86" spans="1:6">
      <c r="A86" s="29">
        <v>5376</v>
      </c>
      <c r="B86" s="31" t="s">
        <v>831</v>
      </c>
      <c r="C86" s="31" t="s">
        <v>160</v>
      </c>
      <c r="D86" s="31" t="s">
        <v>158</v>
      </c>
      <c r="E86" s="31" t="s">
        <v>760</v>
      </c>
      <c r="F86" s="32" t="s">
        <v>763</v>
      </c>
    </row>
    <row r="87" spans="1:6">
      <c r="A87" s="29">
        <v>5380</v>
      </c>
      <c r="B87" s="31" t="s">
        <v>412</v>
      </c>
      <c r="C87" s="31" t="s">
        <v>160</v>
      </c>
      <c r="D87" s="31" t="s">
        <v>158</v>
      </c>
      <c r="E87" s="31" t="s">
        <v>760</v>
      </c>
      <c r="F87" s="32" t="s">
        <v>767</v>
      </c>
    </row>
    <row r="88" spans="1:6">
      <c r="A88" s="29">
        <v>5390</v>
      </c>
      <c r="B88" s="31" t="s">
        <v>832</v>
      </c>
      <c r="C88" s="31" t="s">
        <v>160</v>
      </c>
      <c r="D88" s="31" t="s">
        <v>158</v>
      </c>
      <c r="E88" s="31" t="s">
        <v>760</v>
      </c>
      <c r="F88" s="32" t="s">
        <v>763</v>
      </c>
    </row>
    <row r="89" spans="1:6">
      <c r="A89" s="29">
        <v>5411</v>
      </c>
      <c r="B89" s="31" t="s">
        <v>833</v>
      </c>
      <c r="C89" s="31" t="s">
        <v>160</v>
      </c>
      <c r="D89" s="31" t="s">
        <v>158</v>
      </c>
      <c r="E89" s="31" t="s">
        <v>760</v>
      </c>
      <c r="F89" s="32" t="s">
        <v>765</v>
      </c>
    </row>
    <row r="90" spans="1:6">
      <c r="A90" s="29">
        <v>5425</v>
      </c>
      <c r="B90" s="31" t="s">
        <v>834</v>
      </c>
      <c r="C90" s="31" t="s">
        <v>160</v>
      </c>
      <c r="D90" s="31" t="s">
        <v>158</v>
      </c>
      <c r="E90" s="31" t="s">
        <v>760</v>
      </c>
      <c r="F90" s="32" t="s">
        <v>765</v>
      </c>
    </row>
    <row r="91" spans="1:6">
      <c r="A91" s="29">
        <v>5440</v>
      </c>
      <c r="B91" s="31" t="s">
        <v>835</v>
      </c>
      <c r="C91" s="31" t="s">
        <v>160</v>
      </c>
      <c r="D91" s="31" t="s">
        <v>158</v>
      </c>
      <c r="E91" s="31" t="s">
        <v>760</v>
      </c>
      <c r="F91" s="32" t="s">
        <v>763</v>
      </c>
    </row>
    <row r="92" spans="1:6">
      <c r="A92" s="29">
        <v>5001</v>
      </c>
      <c r="B92" s="31" t="s">
        <v>158</v>
      </c>
      <c r="C92" s="31" t="s">
        <v>160</v>
      </c>
      <c r="D92" s="31" t="s">
        <v>158</v>
      </c>
      <c r="E92" s="31" t="s">
        <v>760</v>
      </c>
      <c r="F92" s="32" t="s">
        <v>767</v>
      </c>
    </row>
    <row r="93" spans="1:6">
      <c r="A93" s="29">
        <v>5467</v>
      </c>
      <c r="B93" s="31" t="s">
        <v>836</v>
      </c>
      <c r="C93" s="31" t="s">
        <v>160</v>
      </c>
      <c r="D93" s="31" t="s">
        <v>158</v>
      </c>
      <c r="E93" s="31" t="s">
        <v>760</v>
      </c>
      <c r="F93" s="32" t="s">
        <v>763</v>
      </c>
    </row>
    <row r="94" spans="1:6">
      <c r="A94" s="29">
        <v>5475</v>
      </c>
      <c r="B94" s="31" t="s">
        <v>837</v>
      </c>
      <c r="C94" s="31" t="s">
        <v>160</v>
      </c>
      <c r="D94" s="31" t="s">
        <v>623</v>
      </c>
      <c r="E94" s="31" t="s">
        <v>838</v>
      </c>
      <c r="F94" s="32" t="s">
        <v>748</v>
      </c>
    </row>
    <row r="95" spans="1:6">
      <c r="A95" s="29">
        <v>5480</v>
      </c>
      <c r="B95" s="31" t="s">
        <v>839</v>
      </c>
      <c r="C95" s="31" t="s">
        <v>160</v>
      </c>
      <c r="D95" s="31" t="s">
        <v>623</v>
      </c>
      <c r="E95" s="31" t="s">
        <v>760</v>
      </c>
      <c r="F95" s="32" t="s">
        <v>763</v>
      </c>
    </row>
    <row r="96" spans="1:6">
      <c r="A96" s="29">
        <v>5495</v>
      </c>
      <c r="B96" s="31" t="s">
        <v>840</v>
      </c>
      <c r="C96" s="31" t="s">
        <v>160</v>
      </c>
      <c r="D96" s="31" t="s">
        <v>514</v>
      </c>
      <c r="E96" s="31" t="s">
        <v>760</v>
      </c>
      <c r="F96" s="32" t="s">
        <v>765</v>
      </c>
    </row>
    <row r="97" spans="1:6">
      <c r="A97" s="29">
        <v>5490</v>
      </c>
      <c r="B97" s="31" t="s">
        <v>841</v>
      </c>
      <c r="C97" s="31" t="s">
        <v>160</v>
      </c>
      <c r="D97" s="31" t="s">
        <v>623</v>
      </c>
      <c r="E97" s="31" t="s">
        <v>760</v>
      </c>
      <c r="F97" s="32" t="s">
        <v>763</v>
      </c>
    </row>
    <row r="98" spans="1:6">
      <c r="A98" s="29">
        <v>5501</v>
      </c>
      <c r="B98" s="31" t="s">
        <v>842</v>
      </c>
      <c r="C98" s="31" t="s">
        <v>160</v>
      </c>
      <c r="D98" s="31" t="s">
        <v>158</v>
      </c>
      <c r="E98" s="31" t="s">
        <v>760</v>
      </c>
      <c r="F98" s="32" t="s">
        <v>763</v>
      </c>
    </row>
    <row r="99" spans="1:6">
      <c r="A99" s="29">
        <v>5541</v>
      </c>
      <c r="B99" s="31" t="s">
        <v>843</v>
      </c>
      <c r="C99" s="31" t="s">
        <v>160</v>
      </c>
      <c r="D99" s="31" t="s">
        <v>158</v>
      </c>
      <c r="E99" s="31" t="s">
        <v>760</v>
      </c>
      <c r="F99" s="32" t="s">
        <v>763</v>
      </c>
    </row>
    <row r="100" spans="1:6">
      <c r="A100" s="29">
        <v>5543</v>
      </c>
      <c r="B100" s="31" t="s">
        <v>844</v>
      </c>
      <c r="C100" s="31" t="s">
        <v>160</v>
      </c>
      <c r="D100" s="31" t="s">
        <v>158</v>
      </c>
      <c r="E100" s="31" t="s">
        <v>760</v>
      </c>
      <c r="F100" s="32" t="s">
        <v>761</v>
      </c>
    </row>
    <row r="101" spans="1:6">
      <c r="A101" s="29">
        <v>5576</v>
      </c>
      <c r="B101" s="31" t="s">
        <v>845</v>
      </c>
      <c r="C101" s="31" t="s">
        <v>160</v>
      </c>
      <c r="D101" s="31" t="s">
        <v>158</v>
      </c>
      <c r="E101" s="31" t="s">
        <v>760</v>
      </c>
      <c r="F101" s="32" t="s">
        <v>765</v>
      </c>
    </row>
    <row r="102" spans="1:6">
      <c r="A102" s="29">
        <v>5579</v>
      </c>
      <c r="B102" s="31" t="s">
        <v>846</v>
      </c>
      <c r="C102" s="31" t="s">
        <v>160</v>
      </c>
      <c r="D102" s="31" t="s">
        <v>158</v>
      </c>
      <c r="E102" s="31" t="s">
        <v>760</v>
      </c>
      <c r="F102" s="32" t="s">
        <v>765</v>
      </c>
    </row>
    <row r="103" spans="1:6">
      <c r="A103" s="29">
        <v>5585</v>
      </c>
      <c r="B103" s="31" t="s">
        <v>847</v>
      </c>
      <c r="C103" s="31" t="s">
        <v>160</v>
      </c>
      <c r="D103" s="31" t="s">
        <v>158</v>
      </c>
      <c r="E103" s="31" t="s">
        <v>760</v>
      </c>
      <c r="F103" s="32" t="s">
        <v>761</v>
      </c>
    </row>
    <row r="104" spans="1:6">
      <c r="A104" s="29">
        <v>5591</v>
      </c>
      <c r="B104" s="31" t="s">
        <v>161</v>
      </c>
      <c r="C104" s="31" t="s">
        <v>160</v>
      </c>
      <c r="D104" s="31" t="s">
        <v>158</v>
      </c>
      <c r="E104" s="31" t="s">
        <v>760</v>
      </c>
      <c r="F104" s="32" t="s">
        <v>761</v>
      </c>
    </row>
    <row r="105" spans="1:6">
      <c r="A105" s="29">
        <v>5604</v>
      </c>
      <c r="B105" s="31" t="s">
        <v>848</v>
      </c>
      <c r="C105" s="31" t="s">
        <v>160</v>
      </c>
      <c r="D105" s="31" t="s">
        <v>158</v>
      </c>
      <c r="E105" s="31" t="s">
        <v>760</v>
      </c>
      <c r="F105" s="32" t="s">
        <v>761</v>
      </c>
    </row>
    <row r="106" spans="1:6">
      <c r="A106" s="29">
        <v>5607</v>
      </c>
      <c r="B106" s="31" t="s">
        <v>849</v>
      </c>
      <c r="C106" s="31" t="s">
        <v>160</v>
      </c>
      <c r="D106" s="31" t="s">
        <v>158</v>
      </c>
      <c r="E106" s="31" t="s">
        <v>760</v>
      </c>
      <c r="F106" s="32" t="s">
        <v>763</v>
      </c>
    </row>
    <row r="107" spans="1:6">
      <c r="A107" s="29">
        <v>5631</v>
      </c>
      <c r="B107" s="31" t="s">
        <v>850</v>
      </c>
      <c r="C107" s="31" t="s">
        <v>160</v>
      </c>
      <c r="D107" s="31" t="s">
        <v>158</v>
      </c>
      <c r="E107" s="31" t="s">
        <v>760</v>
      </c>
      <c r="F107" s="32" t="s">
        <v>767</v>
      </c>
    </row>
    <row r="108" spans="1:6">
      <c r="A108" s="29">
        <v>5642</v>
      </c>
      <c r="B108" s="31" t="s">
        <v>851</v>
      </c>
      <c r="C108" s="31" t="s">
        <v>160</v>
      </c>
      <c r="D108" s="31" t="s">
        <v>158</v>
      </c>
      <c r="E108" s="31" t="s">
        <v>760</v>
      </c>
      <c r="F108" s="32" t="s">
        <v>763</v>
      </c>
    </row>
    <row r="109" spans="1:6">
      <c r="A109" s="29">
        <v>5647</v>
      </c>
      <c r="B109" s="31" t="s">
        <v>852</v>
      </c>
      <c r="C109" s="31" t="s">
        <v>160</v>
      </c>
      <c r="D109" s="31" t="s">
        <v>158</v>
      </c>
      <c r="E109" s="31" t="s">
        <v>760</v>
      </c>
      <c r="F109" s="32" t="s">
        <v>765</v>
      </c>
    </row>
    <row r="110" spans="1:6">
      <c r="A110" s="29">
        <v>5656</v>
      </c>
      <c r="B110" s="31" t="s">
        <v>853</v>
      </c>
      <c r="C110" s="31" t="s">
        <v>160</v>
      </c>
      <c r="D110" s="31" t="s">
        <v>158</v>
      </c>
      <c r="E110" s="31" t="s">
        <v>760</v>
      </c>
      <c r="F110" s="32" t="s">
        <v>763</v>
      </c>
    </row>
    <row r="111" spans="1:6">
      <c r="A111" s="29">
        <v>5658</v>
      </c>
      <c r="B111" s="31" t="s">
        <v>854</v>
      </c>
      <c r="C111" s="31" t="s">
        <v>160</v>
      </c>
      <c r="D111" s="31" t="s">
        <v>158</v>
      </c>
      <c r="E111" s="31" t="s">
        <v>760</v>
      </c>
      <c r="F111" s="32" t="s">
        <v>765</v>
      </c>
    </row>
    <row r="112" spans="1:6">
      <c r="A112" s="29">
        <v>5659</v>
      </c>
      <c r="B112" s="31" t="s">
        <v>855</v>
      </c>
      <c r="C112" s="31" t="s">
        <v>160</v>
      </c>
      <c r="D112" s="31" t="s">
        <v>514</v>
      </c>
      <c r="E112" s="31" t="s">
        <v>760</v>
      </c>
      <c r="F112" s="32" t="s">
        <v>763</v>
      </c>
    </row>
    <row r="113" spans="1:6">
      <c r="A113" s="29">
        <v>5665</v>
      </c>
      <c r="B113" s="31" t="s">
        <v>856</v>
      </c>
      <c r="C113" s="31" t="s">
        <v>160</v>
      </c>
      <c r="D113" s="31" t="s">
        <v>623</v>
      </c>
      <c r="E113" s="31" t="s">
        <v>760</v>
      </c>
      <c r="F113" s="32" t="s">
        <v>765</v>
      </c>
    </row>
    <row r="114" spans="1:6">
      <c r="A114" s="29">
        <v>5667</v>
      </c>
      <c r="B114" s="31" t="s">
        <v>857</v>
      </c>
      <c r="C114" s="31" t="s">
        <v>160</v>
      </c>
      <c r="D114" s="31" t="s">
        <v>158</v>
      </c>
      <c r="E114" s="31" t="s">
        <v>760</v>
      </c>
      <c r="F114" s="32" t="s">
        <v>765</v>
      </c>
    </row>
    <row r="115" spans="1:6">
      <c r="A115" s="29">
        <v>5670</v>
      </c>
      <c r="B115" s="31" t="s">
        <v>858</v>
      </c>
      <c r="C115" s="31" t="s">
        <v>160</v>
      </c>
      <c r="D115" s="31" t="s">
        <v>158</v>
      </c>
      <c r="E115" s="31" t="s">
        <v>760</v>
      </c>
      <c r="F115" s="32" t="s">
        <v>765</v>
      </c>
    </row>
    <row r="116" spans="1:6">
      <c r="A116" s="29">
        <v>5674</v>
      </c>
      <c r="B116" s="31" t="s">
        <v>859</v>
      </c>
      <c r="C116" s="31" t="s">
        <v>160</v>
      </c>
      <c r="D116" s="31" t="s">
        <v>158</v>
      </c>
      <c r="E116" s="31" t="s">
        <v>760</v>
      </c>
      <c r="F116" s="32" t="s">
        <v>763</v>
      </c>
    </row>
    <row r="117" spans="1:6">
      <c r="A117" s="29">
        <v>5042</v>
      </c>
      <c r="B117" s="31" t="s">
        <v>860</v>
      </c>
      <c r="C117" s="31" t="s">
        <v>160</v>
      </c>
      <c r="D117" s="31" t="s">
        <v>158</v>
      </c>
      <c r="E117" s="31" t="s">
        <v>760</v>
      </c>
      <c r="F117" s="32" t="s">
        <v>763</v>
      </c>
    </row>
    <row r="118" spans="1:6">
      <c r="A118" s="29">
        <v>5686</v>
      </c>
      <c r="B118" s="31" t="s">
        <v>861</v>
      </c>
      <c r="C118" s="31" t="s">
        <v>160</v>
      </c>
      <c r="D118" s="31" t="s">
        <v>158</v>
      </c>
      <c r="E118" s="31" t="s">
        <v>760</v>
      </c>
      <c r="F118" s="32" t="s">
        <v>763</v>
      </c>
    </row>
    <row r="119" spans="1:6">
      <c r="A119" s="29">
        <v>5690</v>
      </c>
      <c r="B119" s="31" t="s">
        <v>862</v>
      </c>
      <c r="C119" s="31" t="s">
        <v>160</v>
      </c>
      <c r="D119" s="31" t="s">
        <v>158</v>
      </c>
      <c r="E119" s="31" t="s">
        <v>760</v>
      </c>
      <c r="F119" s="32" t="s">
        <v>763</v>
      </c>
    </row>
    <row r="120" spans="1:6">
      <c r="A120" s="29">
        <v>5736</v>
      </c>
      <c r="B120" s="31" t="s">
        <v>863</v>
      </c>
      <c r="C120" s="31" t="s">
        <v>160</v>
      </c>
      <c r="D120" s="31" t="s">
        <v>158</v>
      </c>
      <c r="E120" s="31" t="s">
        <v>760</v>
      </c>
      <c r="F120" s="32" t="s">
        <v>761</v>
      </c>
    </row>
    <row r="121" spans="1:6">
      <c r="A121" s="29">
        <v>5756</v>
      </c>
      <c r="B121" s="31" t="s">
        <v>864</v>
      </c>
      <c r="C121" s="31" t="s">
        <v>160</v>
      </c>
      <c r="D121" s="31" t="s">
        <v>158</v>
      </c>
      <c r="E121" s="31" t="s">
        <v>760</v>
      </c>
      <c r="F121" s="32" t="s">
        <v>765</v>
      </c>
    </row>
    <row r="122" spans="1:6">
      <c r="A122" s="29">
        <v>5761</v>
      </c>
      <c r="B122" s="31" t="s">
        <v>865</v>
      </c>
      <c r="C122" s="31" t="s">
        <v>160</v>
      </c>
      <c r="D122" s="31" t="s">
        <v>158</v>
      </c>
      <c r="E122" s="31" t="s">
        <v>760</v>
      </c>
      <c r="F122" s="32" t="s">
        <v>763</v>
      </c>
    </row>
    <row r="123" spans="1:6">
      <c r="A123" s="29">
        <v>5789</v>
      </c>
      <c r="B123" s="31" t="s">
        <v>866</v>
      </c>
      <c r="C123" s="31" t="s">
        <v>160</v>
      </c>
      <c r="D123" s="31" t="s">
        <v>158</v>
      </c>
      <c r="E123" s="31" t="s">
        <v>760</v>
      </c>
      <c r="F123" s="32" t="s">
        <v>765</v>
      </c>
    </row>
    <row r="124" spans="1:6">
      <c r="A124" s="29">
        <v>5790</v>
      </c>
      <c r="B124" s="31" t="s">
        <v>867</v>
      </c>
      <c r="C124" s="31" t="s">
        <v>160</v>
      </c>
      <c r="D124" s="31" t="s">
        <v>158</v>
      </c>
      <c r="E124" s="31" t="s">
        <v>760</v>
      </c>
      <c r="F124" s="32" t="s">
        <v>761</v>
      </c>
    </row>
    <row r="125" spans="1:6">
      <c r="A125" s="29">
        <v>5792</v>
      </c>
      <c r="B125" s="31" t="s">
        <v>868</v>
      </c>
      <c r="C125" s="31" t="s">
        <v>160</v>
      </c>
      <c r="D125" s="31" t="s">
        <v>158</v>
      </c>
      <c r="E125" s="31" t="s">
        <v>760</v>
      </c>
      <c r="F125" s="32" t="s">
        <v>765</v>
      </c>
    </row>
    <row r="126" spans="1:6">
      <c r="A126" s="29">
        <v>5809</v>
      </c>
      <c r="B126" s="31" t="s">
        <v>869</v>
      </c>
      <c r="C126" s="31" t="s">
        <v>160</v>
      </c>
      <c r="D126" s="31" t="s">
        <v>158</v>
      </c>
      <c r="E126" s="31" t="s">
        <v>760</v>
      </c>
      <c r="F126" s="32" t="s">
        <v>763</v>
      </c>
    </row>
    <row r="127" spans="1:6">
      <c r="A127" s="29">
        <v>5837</v>
      </c>
      <c r="B127" s="31" t="s">
        <v>870</v>
      </c>
      <c r="C127" s="31" t="s">
        <v>160</v>
      </c>
      <c r="D127" s="31" t="s">
        <v>623</v>
      </c>
      <c r="E127" s="31" t="s">
        <v>760</v>
      </c>
      <c r="F127" s="32" t="s">
        <v>763</v>
      </c>
    </row>
    <row r="128" spans="1:6">
      <c r="A128" s="29">
        <v>5842</v>
      </c>
      <c r="B128" s="31" t="s">
        <v>871</v>
      </c>
      <c r="C128" s="31" t="s">
        <v>160</v>
      </c>
      <c r="D128" s="31" t="s">
        <v>158</v>
      </c>
      <c r="E128" s="31" t="s">
        <v>760</v>
      </c>
      <c r="F128" s="32" t="s">
        <v>761</v>
      </c>
    </row>
    <row r="129" spans="1:6">
      <c r="A129" s="29">
        <v>5847</v>
      </c>
      <c r="B129" s="31" t="s">
        <v>872</v>
      </c>
      <c r="C129" s="31" t="s">
        <v>160</v>
      </c>
      <c r="D129" s="31" t="s">
        <v>158</v>
      </c>
      <c r="E129" s="31" t="s">
        <v>760</v>
      </c>
      <c r="F129" s="32" t="s">
        <v>761</v>
      </c>
    </row>
    <row r="130" spans="1:6">
      <c r="A130" s="29">
        <v>5854</v>
      </c>
      <c r="B130" s="31" t="s">
        <v>873</v>
      </c>
      <c r="C130" s="31" t="s">
        <v>160</v>
      </c>
      <c r="D130" s="31" t="s">
        <v>158</v>
      </c>
      <c r="E130" s="31" t="s">
        <v>760</v>
      </c>
      <c r="F130" s="32" t="s">
        <v>765</v>
      </c>
    </row>
    <row r="131" spans="1:6">
      <c r="A131" s="29">
        <v>5858</v>
      </c>
      <c r="B131" s="31" t="s">
        <v>874</v>
      </c>
      <c r="C131" s="31" t="s">
        <v>160</v>
      </c>
      <c r="D131" s="31" t="s">
        <v>158</v>
      </c>
      <c r="E131" s="31" t="s">
        <v>760</v>
      </c>
      <c r="F131" s="32" t="s">
        <v>765</v>
      </c>
    </row>
    <row r="132" spans="1:6">
      <c r="A132" s="29">
        <v>5873</v>
      </c>
      <c r="B132" s="31" t="s">
        <v>875</v>
      </c>
      <c r="C132" s="31" t="s">
        <v>160</v>
      </c>
      <c r="D132" s="31" t="s">
        <v>623</v>
      </c>
      <c r="E132" s="31" t="s">
        <v>747</v>
      </c>
      <c r="F132" s="32" t="s">
        <v>748</v>
      </c>
    </row>
    <row r="133" spans="1:6">
      <c r="A133" s="29">
        <v>5885</v>
      </c>
      <c r="B133" s="31" t="s">
        <v>636</v>
      </c>
      <c r="C133" s="31" t="s">
        <v>160</v>
      </c>
      <c r="D133" s="31" t="s">
        <v>158</v>
      </c>
      <c r="E133" s="31" t="s">
        <v>760</v>
      </c>
      <c r="F133" s="32" t="s">
        <v>763</v>
      </c>
    </row>
    <row r="134" spans="1:6">
      <c r="A134" s="29">
        <v>5887</v>
      </c>
      <c r="B134" s="31" t="s">
        <v>876</v>
      </c>
      <c r="C134" s="31" t="s">
        <v>160</v>
      </c>
      <c r="D134" s="31" t="s">
        <v>158</v>
      </c>
      <c r="E134" s="31" t="s">
        <v>760</v>
      </c>
      <c r="F134" s="32" t="s">
        <v>765</v>
      </c>
    </row>
    <row r="135" spans="1:6">
      <c r="A135" s="29">
        <v>5890</v>
      </c>
      <c r="B135" s="31" t="s">
        <v>877</v>
      </c>
      <c r="C135" s="31" t="s">
        <v>160</v>
      </c>
      <c r="D135" s="31" t="s">
        <v>158</v>
      </c>
      <c r="E135" s="31" t="s">
        <v>760</v>
      </c>
      <c r="F135" s="32" t="s">
        <v>763</v>
      </c>
    </row>
    <row r="136" spans="1:6">
      <c r="A136" s="29">
        <v>5893</v>
      </c>
      <c r="B136" s="31" t="s">
        <v>878</v>
      </c>
      <c r="C136" s="31" t="s">
        <v>160</v>
      </c>
      <c r="D136" s="31" t="s">
        <v>188</v>
      </c>
      <c r="E136" s="31" t="s">
        <v>760</v>
      </c>
      <c r="F136" s="32" t="s">
        <v>761</v>
      </c>
    </row>
    <row r="137" spans="1:6">
      <c r="A137" s="29">
        <v>5895</v>
      </c>
      <c r="B137" s="31" t="s">
        <v>879</v>
      </c>
      <c r="C137" s="31" t="s">
        <v>160</v>
      </c>
      <c r="D137" s="31" t="s">
        <v>514</v>
      </c>
      <c r="E137" s="31" t="s">
        <v>760</v>
      </c>
      <c r="F137" s="32" t="s">
        <v>761</v>
      </c>
    </row>
    <row r="138" spans="1:6">
      <c r="A138" s="29">
        <v>81001</v>
      </c>
      <c r="B138" s="31" t="s">
        <v>724</v>
      </c>
      <c r="C138" s="31" t="s">
        <v>724</v>
      </c>
      <c r="D138" s="31" t="s">
        <v>188</v>
      </c>
      <c r="E138" s="31" t="s">
        <v>747</v>
      </c>
      <c r="F138" s="32" t="s">
        <v>748</v>
      </c>
    </row>
    <row r="139" spans="1:6">
      <c r="A139" s="29">
        <v>81065</v>
      </c>
      <c r="B139" s="31" t="s">
        <v>880</v>
      </c>
      <c r="C139" s="31" t="s">
        <v>724</v>
      </c>
      <c r="D139" s="31" t="s">
        <v>188</v>
      </c>
      <c r="E139" s="31" t="s">
        <v>747</v>
      </c>
      <c r="F139" s="32" t="s">
        <v>748</v>
      </c>
    </row>
    <row r="140" spans="1:6">
      <c r="A140" s="29">
        <v>81220</v>
      </c>
      <c r="B140" s="31" t="s">
        <v>881</v>
      </c>
      <c r="C140" s="31" t="s">
        <v>724</v>
      </c>
      <c r="D140" s="31" t="s">
        <v>188</v>
      </c>
      <c r="E140" s="31" t="s">
        <v>747</v>
      </c>
      <c r="F140" s="32" t="s">
        <v>748</v>
      </c>
    </row>
    <row r="141" spans="1:6">
      <c r="A141" s="29">
        <v>81300</v>
      </c>
      <c r="B141" s="31" t="s">
        <v>882</v>
      </c>
      <c r="C141" s="31" t="s">
        <v>724</v>
      </c>
      <c r="D141" s="31" t="s">
        <v>188</v>
      </c>
      <c r="E141" s="31" t="s">
        <v>747</v>
      </c>
      <c r="F141" s="32" t="s">
        <v>748</v>
      </c>
    </row>
    <row r="142" spans="1:6">
      <c r="A142" s="29">
        <v>81591</v>
      </c>
      <c r="B142" s="31" t="s">
        <v>883</v>
      </c>
      <c r="C142" s="31" t="s">
        <v>724</v>
      </c>
      <c r="D142" s="31" t="s">
        <v>188</v>
      </c>
      <c r="E142" s="31" t="s">
        <v>747</v>
      </c>
      <c r="F142" s="32" t="s">
        <v>748</v>
      </c>
    </row>
    <row r="143" spans="1:6">
      <c r="A143" s="29">
        <v>81736</v>
      </c>
      <c r="B143" s="31" t="s">
        <v>725</v>
      </c>
      <c r="C143" s="31" t="s">
        <v>724</v>
      </c>
      <c r="D143" s="31" t="s">
        <v>188</v>
      </c>
      <c r="E143" s="31" t="s">
        <v>747</v>
      </c>
      <c r="F143" s="32" t="s">
        <v>748</v>
      </c>
    </row>
    <row r="144" spans="1:6">
      <c r="A144" s="29">
        <v>81794</v>
      </c>
      <c r="B144" s="31" t="s">
        <v>884</v>
      </c>
      <c r="C144" s="31" t="s">
        <v>724</v>
      </c>
      <c r="D144" s="31" t="s">
        <v>188</v>
      </c>
      <c r="E144" s="31" t="s">
        <v>747</v>
      </c>
      <c r="F144" s="32" t="s">
        <v>748</v>
      </c>
    </row>
    <row r="145" spans="1:6">
      <c r="A145" s="29">
        <v>8141</v>
      </c>
      <c r="B145" s="30" t="s">
        <v>885</v>
      </c>
      <c r="C145" s="31" t="s">
        <v>273</v>
      </c>
      <c r="D145" s="31" t="s">
        <v>271</v>
      </c>
      <c r="E145" s="31" t="s">
        <v>760</v>
      </c>
      <c r="F145" s="32" t="s">
        <v>763</v>
      </c>
    </row>
    <row r="146" spans="1:6">
      <c r="A146" s="29">
        <v>8573</v>
      </c>
      <c r="B146" s="30" t="s">
        <v>886</v>
      </c>
      <c r="C146" s="31" t="s">
        <v>273</v>
      </c>
      <c r="D146" s="31" t="s">
        <v>271</v>
      </c>
      <c r="E146" s="31" t="s">
        <v>760</v>
      </c>
      <c r="F146" s="32" t="s">
        <v>763</v>
      </c>
    </row>
    <row r="147" spans="1:6">
      <c r="A147" s="29">
        <v>8638</v>
      </c>
      <c r="B147" s="30" t="s">
        <v>775</v>
      </c>
      <c r="C147" s="31" t="s">
        <v>273</v>
      </c>
      <c r="D147" s="31" t="s">
        <v>271</v>
      </c>
      <c r="E147" s="31" t="s">
        <v>760</v>
      </c>
      <c r="F147" s="32" t="s">
        <v>763</v>
      </c>
    </row>
    <row r="148" spans="1:6">
      <c r="A148" s="29">
        <v>8078</v>
      </c>
      <c r="B148" s="31" t="s">
        <v>887</v>
      </c>
      <c r="C148" s="31" t="s">
        <v>273</v>
      </c>
      <c r="D148" s="31" t="s">
        <v>271</v>
      </c>
      <c r="E148" s="31" t="s">
        <v>760</v>
      </c>
      <c r="F148" s="32" t="s">
        <v>763</v>
      </c>
    </row>
    <row r="149" spans="1:6">
      <c r="A149" s="29">
        <v>8001</v>
      </c>
      <c r="B149" s="31" t="s">
        <v>271</v>
      </c>
      <c r="C149" s="31" t="s">
        <v>273</v>
      </c>
      <c r="D149" s="31" t="s">
        <v>271</v>
      </c>
      <c r="E149" s="31" t="s">
        <v>760</v>
      </c>
      <c r="F149" s="32" t="s">
        <v>767</v>
      </c>
    </row>
    <row r="150" spans="1:6">
      <c r="A150" s="29">
        <v>8137</v>
      </c>
      <c r="B150" s="31" t="s">
        <v>888</v>
      </c>
      <c r="C150" s="31" t="s">
        <v>273</v>
      </c>
      <c r="D150" s="31" t="s">
        <v>271</v>
      </c>
      <c r="E150" s="31" t="s">
        <v>760</v>
      </c>
      <c r="F150" s="32" t="s">
        <v>763</v>
      </c>
    </row>
    <row r="151" spans="1:6">
      <c r="A151" s="29">
        <v>8296</v>
      </c>
      <c r="B151" s="31" t="s">
        <v>889</v>
      </c>
      <c r="C151" s="31" t="s">
        <v>273</v>
      </c>
      <c r="D151" s="31" t="s">
        <v>271</v>
      </c>
      <c r="E151" s="31" t="s">
        <v>760</v>
      </c>
      <c r="F151" s="32" t="s">
        <v>767</v>
      </c>
    </row>
    <row r="152" spans="1:6">
      <c r="A152" s="29">
        <v>8372</v>
      </c>
      <c r="B152" s="31" t="s">
        <v>890</v>
      </c>
      <c r="C152" s="31" t="s">
        <v>273</v>
      </c>
      <c r="D152" s="31" t="s">
        <v>271</v>
      </c>
      <c r="E152" s="31" t="s">
        <v>760</v>
      </c>
      <c r="F152" s="32" t="s">
        <v>763</v>
      </c>
    </row>
    <row r="153" spans="1:6">
      <c r="A153" s="29">
        <v>8421</v>
      </c>
      <c r="B153" s="31" t="s">
        <v>891</v>
      </c>
      <c r="C153" s="31" t="s">
        <v>273</v>
      </c>
      <c r="D153" s="31" t="s">
        <v>271</v>
      </c>
      <c r="E153" s="31" t="s">
        <v>760</v>
      </c>
      <c r="F153" s="32" t="s">
        <v>763</v>
      </c>
    </row>
    <row r="154" spans="1:6">
      <c r="A154" s="29">
        <v>8433</v>
      </c>
      <c r="B154" s="31" t="s">
        <v>892</v>
      </c>
      <c r="C154" s="31" t="s">
        <v>273</v>
      </c>
      <c r="D154" s="31" t="s">
        <v>271</v>
      </c>
      <c r="E154" s="31" t="s">
        <v>760</v>
      </c>
      <c r="F154" s="32" t="s">
        <v>763</v>
      </c>
    </row>
    <row r="155" spans="1:6">
      <c r="A155" s="29">
        <v>8436</v>
      </c>
      <c r="B155" s="31" t="s">
        <v>893</v>
      </c>
      <c r="C155" s="31" t="s">
        <v>273</v>
      </c>
      <c r="D155" s="31" t="s">
        <v>271</v>
      </c>
      <c r="E155" s="31" t="s">
        <v>760</v>
      </c>
      <c r="F155" s="32" t="s">
        <v>763</v>
      </c>
    </row>
    <row r="156" spans="1:6">
      <c r="A156" s="29">
        <v>8520</v>
      </c>
      <c r="B156" s="31" t="s">
        <v>894</v>
      </c>
      <c r="C156" s="31" t="s">
        <v>273</v>
      </c>
      <c r="D156" s="31" t="s">
        <v>271</v>
      </c>
      <c r="E156" s="31" t="s">
        <v>760</v>
      </c>
      <c r="F156" s="32" t="s">
        <v>763</v>
      </c>
    </row>
    <row r="157" spans="1:6">
      <c r="A157" s="29">
        <v>8549</v>
      </c>
      <c r="B157" s="31" t="s">
        <v>895</v>
      </c>
      <c r="C157" s="31" t="s">
        <v>273</v>
      </c>
      <c r="D157" s="31" t="s">
        <v>271</v>
      </c>
      <c r="E157" s="31" t="s">
        <v>760</v>
      </c>
      <c r="F157" s="32" t="s">
        <v>763</v>
      </c>
    </row>
    <row r="158" spans="1:6">
      <c r="A158" s="29">
        <v>8558</v>
      </c>
      <c r="B158" s="31" t="s">
        <v>896</v>
      </c>
      <c r="C158" s="31" t="s">
        <v>273</v>
      </c>
      <c r="D158" s="31" t="s">
        <v>271</v>
      </c>
      <c r="E158" s="31" t="s">
        <v>760</v>
      </c>
      <c r="F158" s="32" t="s">
        <v>763</v>
      </c>
    </row>
    <row r="159" spans="1:6">
      <c r="A159" s="29">
        <v>8560</v>
      </c>
      <c r="B159" s="31" t="s">
        <v>897</v>
      </c>
      <c r="C159" s="31" t="s">
        <v>273</v>
      </c>
      <c r="D159" s="31" t="s">
        <v>271</v>
      </c>
      <c r="E159" s="31" t="s">
        <v>760</v>
      </c>
      <c r="F159" s="32" t="s">
        <v>763</v>
      </c>
    </row>
    <row r="160" spans="1:6">
      <c r="A160" s="29">
        <v>8606</v>
      </c>
      <c r="B160" s="31" t="s">
        <v>898</v>
      </c>
      <c r="C160" s="31" t="s">
        <v>273</v>
      </c>
      <c r="D160" s="31" t="s">
        <v>271</v>
      </c>
      <c r="E160" s="31" t="s">
        <v>760</v>
      </c>
      <c r="F160" s="32" t="s">
        <v>763</v>
      </c>
    </row>
    <row r="161" spans="1:6">
      <c r="A161" s="29">
        <v>8634</v>
      </c>
      <c r="B161" s="31" t="s">
        <v>899</v>
      </c>
      <c r="C161" s="31" t="s">
        <v>273</v>
      </c>
      <c r="D161" s="31" t="s">
        <v>271</v>
      </c>
      <c r="E161" s="31" t="s">
        <v>760</v>
      </c>
      <c r="F161" s="32" t="s">
        <v>763</v>
      </c>
    </row>
    <row r="162" spans="1:6">
      <c r="A162" s="29">
        <v>8675</v>
      </c>
      <c r="B162" s="31" t="s">
        <v>900</v>
      </c>
      <c r="C162" s="31" t="s">
        <v>273</v>
      </c>
      <c r="D162" s="31" t="s">
        <v>271</v>
      </c>
      <c r="E162" s="31" t="s">
        <v>760</v>
      </c>
      <c r="F162" s="32" t="s">
        <v>763</v>
      </c>
    </row>
    <row r="163" spans="1:6">
      <c r="A163" s="29">
        <v>8685</v>
      </c>
      <c r="B163" s="31" t="s">
        <v>901</v>
      </c>
      <c r="C163" s="31" t="s">
        <v>273</v>
      </c>
      <c r="D163" s="31" t="s">
        <v>271</v>
      </c>
      <c r="E163" s="31" t="s">
        <v>760</v>
      </c>
      <c r="F163" s="32" t="s">
        <v>763</v>
      </c>
    </row>
    <row r="164" spans="1:6">
      <c r="A164" s="29">
        <v>8758</v>
      </c>
      <c r="B164" s="31" t="s">
        <v>902</v>
      </c>
      <c r="C164" s="31" t="s">
        <v>273</v>
      </c>
      <c r="D164" s="31" t="s">
        <v>271</v>
      </c>
      <c r="E164" s="31" t="s">
        <v>760</v>
      </c>
      <c r="F164" s="32" t="s">
        <v>767</v>
      </c>
    </row>
    <row r="165" spans="1:6">
      <c r="A165" s="29">
        <v>8770</v>
      </c>
      <c r="B165" s="31" t="s">
        <v>903</v>
      </c>
      <c r="C165" s="31" t="s">
        <v>273</v>
      </c>
      <c r="D165" s="31" t="s">
        <v>271</v>
      </c>
      <c r="E165" s="31" t="s">
        <v>760</v>
      </c>
      <c r="F165" s="32" t="s">
        <v>763</v>
      </c>
    </row>
    <row r="166" spans="1:6">
      <c r="A166" s="29">
        <v>8832</v>
      </c>
      <c r="B166" s="31" t="s">
        <v>904</v>
      </c>
      <c r="C166" s="31" t="s">
        <v>273</v>
      </c>
      <c r="D166" s="31" t="s">
        <v>271</v>
      </c>
      <c r="E166" s="31" t="s">
        <v>760</v>
      </c>
      <c r="F166" s="32" t="s">
        <v>763</v>
      </c>
    </row>
    <row r="167" spans="1:6">
      <c r="A167" s="29">
        <v>8849</v>
      </c>
      <c r="B167" s="31" t="s">
        <v>905</v>
      </c>
      <c r="C167" s="31" t="s">
        <v>273</v>
      </c>
      <c r="D167" s="31" t="s">
        <v>271</v>
      </c>
      <c r="E167" s="31" t="s">
        <v>760</v>
      </c>
      <c r="F167" s="32" t="s">
        <v>763</v>
      </c>
    </row>
    <row r="168" spans="1:6">
      <c r="A168" s="29">
        <v>13140</v>
      </c>
      <c r="B168" s="30" t="s">
        <v>906</v>
      </c>
      <c r="C168" s="31" t="s">
        <v>281</v>
      </c>
      <c r="D168" s="31" t="s">
        <v>279</v>
      </c>
      <c r="E168" s="31" t="s">
        <v>760</v>
      </c>
      <c r="F168" s="32" t="s">
        <v>763</v>
      </c>
    </row>
    <row r="169" spans="1:6">
      <c r="A169" s="29">
        <v>13212</v>
      </c>
      <c r="B169" s="30" t="s">
        <v>658</v>
      </c>
      <c r="C169" s="31" t="s">
        <v>281</v>
      </c>
      <c r="D169" s="31" t="s">
        <v>279</v>
      </c>
      <c r="E169" s="31" t="s">
        <v>760</v>
      </c>
      <c r="F169" s="32" t="s">
        <v>761</v>
      </c>
    </row>
    <row r="170" spans="1:6">
      <c r="A170" s="29">
        <v>13268</v>
      </c>
      <c r="B170" s="30" t="s">
        <v>907</v>
      </c>
      <c r="C170" s="31" t="s">
        <v>281</v>
      </c>
      <c r="D170" s="31" t="s">
        <v>167</v>
      </c>
      <c r="E170" s="31" t="s">
        <v>760</v>
      </c>
      <c r="F170" s="32" t="s">
        <v>761</v>
      </c>
    </row>
    <row r="171" spans="1:6">
      <c r="A171" s="29">
        <v>13473</v>
      </c>
      <c r="B171" s="30" t="s">
        <v>908</v>
      </c>
      <c r="C171" s="31" t="s">
        <v>281</v>
      </c>
      <c r="D171" s="31" t="s">
        <v>167</v>
      </c>
      <c r="E171" s="31" t="s">
        <v>760</v>
      </c>
      <c r="F171" s="32" t="s">
        <v>761</v>
      </c>
    </row>
    <row r="172" spans="1:6">
      <c r="A172" s="29">
        <v>13670</v>
      </c>
      <c r="B172" s="30" t="s">
        <v>909</v>
      </c>
      <c r="C172" s="31" t="s">
        <v>281</v>
      </c>
      <c r="D172" s="31" t="s">
        <v>188</v>
      </c>
      <c r="E172" s="31" t="s">
        <v>910</v>
      </c>
      <c r="F172" s="32" t="s">
        <v>748</v>
      </c>
    </row>
    <row r="173" spans="1:6">
      <c r="A173" s="29">
        <v>13683</v>
      </c>
      <c r="B173" s="30" t="s">
        <v>911</v>
      </c>
      <c r="C173" s="31" t="s">
        <v>281</v>
      </c>
      <c r="D173" s="31" t="s">
        <v>279</v>
      </c>
      <c r="E173" s="31" t="s">
        <v>760</v>
      </c>
      <c r="F173" s="32" t="s">
        <v>763</v>
      </c>
    </row>
    <row r="174" spans="1:6">
      <c r="A174" s="29">
        <v>13873</v>
      </c>
      <c r="B174" s="30" t="s">
        <v>361</v>
      </c>
      <c r="C174" s="31" t="s">
        <v>281</v>
      </c>
      <c r="D174" s="31" t="s">
        <v>279</v>
      </c>
      <c r="E174" s="31" t="s">
        <v>760</v>
      </c>
      <c r="F174" s="32" t="s">
        <v>763</v>
      </c>
    </row>
    <row r="175" spans="1:6">
      <c r="A175" s="29">
        <v>13006</v>
      </c>
      <c r="B175" s="31" t="s">
        <v>912</v>
      </c>
      <c r="C175" s="31" t="s">
        <v>281</v>
      </c>
      <c r="D175" s="31" t="s">
        <v>279</v>
      </c>
      <c r="E175" s="31" t="s">
        <v>760</v>
      </c>
      <c r="F175" s="32" t="s">
        <v>761</v>
      </c>
    </row>
    <row r="176" spans="1:6">
      <c r="A176" s="29">
        <v>13030</v>
      </c>
      <c r="B176" s="31" t="s">
        <v>913</v>
      </c>
      <c r="C176" s="31" t="s">
        <v>281</v>
      </c>
      <c r="D176" s="31" t="s">
        <v>279</v>
      </c>
      <c r="E176" s="31" t="s">
        <v>760</v>
      </c>
      <c r="F176" s="32" t="s">
        <v>761</v>
      </c>
    </row>
    <row r="177" spans="1:6">
      <c r="A177" s="29">
        <v>13042</v>
      </c>
      <c r="B177" s="31" t="s">
        <v>914</v>
      </c>
      <c r="C177" s="31" t="s">
        <v>281</v>
      </c>
      <c r="D177" s="31" t="s">
        <v>167</v>
      </c>
      <c r="E177" s="31" t="s">
        <v>760</v>
      </c>
      <c r="F177" s="32" t="s">
        <v>761</v>
      </c>
    </row>
    <row r="178" spans="1:6">
      <c r="A178" s="29">
        <v>13052</v>
      </c>
      <c r="B178" s="31" t="s">
        <v>915</v>
      </c>
      <c r="C178" s="31" t="s">
        <v>281</v>
      </c>
      <c r="D178" s="31" t="s">
        <v>279</v>
      </c>
      <c r="E178" s="31" t="s">
        <v>760</v>
      </c>
      <c r="F178" s="32" t="s">
        <v>763</v>
      </c>
    </row>
    <row r="179" spans="1:6">
      <c r="A179" s="29">
        <v>13062</v>
      </c>
      <c r="B179" s="31" t="s">
        <v>916</v>
      </c>
      <c r="C179" s="31" t="s">
        <v>281</v>
      </c>
      <c r="D179" s="31" t="s">
        <v>279</v>
      </c>
      <c r="E179" s="31" t="s">
        <v>760</v>
      </c>
      <c r="F179" s="32" t="s">
        <v>763</v>
      </c>
    </row>
    <row r="180" spans="1:6">
      <c r="A180" s="29">
        <v>13074</v>
      </c>
      <c r="B180" s="31" t="s">
        <v>917</v>
      </c>
      <c r="C180" s="31" t="s">
        <v>281</v>
      </c>
      <c r="D180" s="31" t="s">
        <v>167</v>
      </c>
      <c r="E180" s="31" t="s">
        <v>760</v>
      </c>
      <c r="F180" s="32" t="s">
        <v>761</v>
      </c>
    </row>
    <row r="181" spans="1:6">
      <c r="A181" s="29">
        <v>13160</v>
      </c>
      <c r="B181" s="31" t="s">
        <v>918</v>
      </c>
      <c r="C181" s="31" t="s">
        <v>281</v>
      </c>
      <c r="D181" s="31" t="s">
        <v>188</v>
      </c>
      <c r="E181" s="31" t="s">
        <v>910</v>
      </c>
      <c r="F181" s="32" t="s">
        <v>748</v>
      </c>
    </row>
    <row r="182" spans="1:6">
      <c r="A182" s="29">
        <v>13001</v>
      </c>
      <c r="B182" s="31" t="s">
        <v>279</v>
      </c>
      <c r="C182" s="31" t="s">
        <v>281</v>
      </c>
      <c r="D182" s="31" t="s">
        <v>279</v>
      </c>
      <c r="E182" s="31" t="s">
        <v>760</v>
      </c>
      <c r="F182" s="32" t="s">
        <v>767</v>
      </c>
    </row>
    <row r="183" spans="1:6">
      <c r="A183" s="29">
        <v>13188</v>
      </c>
      <c r="B183" s="31" t="s">
        <v>919</v>
      </c>
      <c r="C183" s="31" t="s">
        <v>281</v>
      </c>
      <c r="D183" s="31" t="s">
        <v>279</v>
      </c>
      <c r="E183" s="31" t="s">
        <v>760</v>
      </c>
      <c r="F183" s="32" t="s">
        <v>761</v>
      </c>
    </row>
    <row r="184" spans="1:6">
      <c r="A184" s="29">
        <v>13222</v>
      </c>
      <c r="B184" s="31" t="s">
        <v>920</v>
      </c>
      <c r="C184" s="31" t="s">
        <v>281</v>
      </c>
      <c r="D184" s="31" t="s">
        <v>279</v>
      </c>
      <c r="E184" s="31" t="s">
        <v>760</v>
      </c>
      <c r="F184" s="32" t="s">
        <v>763</v>
      </c>
    </row>
    <row r="185" spans="1:6">
      <c r="A185" s="29">
        <v>13244</v>
      </c>
      <c r="B185" s="31" t="s">
        <v>921</v>
      </c>
      <c r="C185" s="31" t="s">
        <v>281</v>
      </c>
      <c r="D185" s="31" t="s">
        <v>279</v>
      </c>
      <c r="E185" s="31" t="s">
        <v>760</v>
      </c>
      <c r="F185" s="32" t="s">
        <v>765</v>
      </c>
    </row>
    <row r="186" spans="1:6">
      <c r="A186" s="29">
        <v>13248</v>
      </c>
      <c r="B186" s="31" t="s">
        <v>922</v>
      </c>
      <c r="C186" s="31" t="s">
        <v>281</v>
      </c>
      <c r="D186" s="31" t="s">
        <v>279</v>
      </c>
      <c r="E186" s="31" t="s">
        <v>760</v>
      </c>
      <c r="F186" s="32" t="s">
        <v>761</v>
      </c>
    </row>
    <row r="187" spans="1:6">
      <c r="A187" s="29">
        <v>13300</v>
      </c>
      <c r="B187" s="31" t="s">
        <v>923</v>
      </c>
      <c r="C187" s="31" t="s">
        <v>281</v>
      </c>
      <c r="D187" s="31" t="s">
        <v>167</v>
      </c>
      <c r="E187" s="31" t="s">
        <v>760</v>
      </c>
      <c r="F187" s="32" t="s">
        <v>761</v>
      </c>
    </row>
    <row r="188" spans="1:6">
      <c r="A188" s="29">
        <v>13430</v>
      </c>
      <c r="B188" s="31" t="s">
        <v>924</v>
      </c>
      <c r="C188" s="31" t="s">
        <v>281</v>
      </c>
      <c r="D188" s="31" t="s">
        <v>279</v>
      </c>
      <c r="E188" s="31" t="s">
        <v>760</v>
      </c>
      <c r="F188" s="32" t="s">
        <v>761</v>
      </c>
    </row>
    <row r="189" spans="1:6">
      <c r="A189" s="29">
        <v>13433</v>
      </c>
      <c r="B189" s="31" t="s">
        <v>925</v>
      </c>
      <c r="C189" s="31" t="s">
        <v>281</v>
      </c>
      <c r="D189" s="31" t="s">
        <v>279</v>
      </c>
      <c r="E189" s="31" t="s">
        <v>760</v>
      </c>
      <c r="F189" s="32" t="s">
        <v>763</v>
      </c>
    </row>
    <row r="190" spans="1:6">
      <c r="A190" s="29">
        <v>13440</v>
      </c>
      <c r="B190" s="31" t="s">
        <v>926</v>
      </c>
      <c r="C190" s="31" t="s">
        <v>281</v>
      </c>
      <c r="D190" s="31" t="s">
        <v>279</v>
      </c>
      <c r="E190" s="31" t="s">
        <v>760</v>
      </c>
      <c r="F190" s="32" t="s">
        <v>761</v>
      </c>
    </row>
    <row r="191" spans="1:6">
      <c r="A191" s="29">
        <v>13442</v>
      </c>
      <c r="B191" s="31" t="s">
        <v>927</v>
      </c>
      <c r="C191" s="31" t="s">
        <v>281</v>
      </c>
      <c r="D191" s="31" t="s">
        <v>279</v>
      </c>
      <c r="E191" s="31" t="s">
        <v>760</v>
      </c>
      <c r="F191" s="32" t="s">
        <v>763</v>
      </c>
    </row>
    <row r="192" spans="1:6">
      <c r="A192" s="29">
        <v>13468</v>
      </c>
      <c r="B192" s="31" t="s">
        <v>928</v>
      </c>
      <c r="C192" s="31" t="s">
        <v>281</v>
      </c>
      <c r="D192" s="31" t="s">
        <v>279</v>
      </c>
      <c r="E192" s="31" t="s">
        <v>760</v>
      </c>
      <c r="F192" s="32" t="s">
        <v>761</v>
      </c>
    </row>
    <row r="193" spans="1:6">
      <c r="A193" s="29">
        <v>13458</v>
      </c>
      <c r="B193" s="31" t="s">
        <v>929</v>
      </c>
      <c r="C193" s="31" t="s">
        <v>281</v>
      </c>
      <c r="D193" s="31" t="s">
        <v>279</v>
      </c>
      <c r="E193" s="31" t="s">
        <v>910</v>
      </c>
      <c r="F193" s="32" t="s">
        <v>748</v>
      </c>
    </row>
    <row r="194" spans="1:6">
      <c r="A194" s="29">
        <v>13490</v>
      </c>
      <c r="B194" s="31" t="s">
        <v>930</v>
      </c>
      <c r="C194" s="31" t="s">
        <v>281</v>
      </c>
      <c r="D194" s="31" t="s">
        <v>279</v>
      </c>
      <c r="E194" s="31" t="s">
        <v>760</v>
      </c>
      <c r="F194" s="32" t="s">
        <v>761</v>
      </c>
    </row>
    <row r="195" spans="1:6">
      <c r="A195" s="29">
        <v>13549</v>
      </c>
      <c r="B195" s="31" t="s">
        <v>931</v>
      </c>
      <c r="C195" s="31" t="s">
        <v>281</v>
      </c>
      <c r="D195" s="31" t="s">
        <v>279</v>
      </c>
      <c r="E195" s="31" t="s">
        <v>760</v>
      </c>
      <c r="F195" s="32" t="s">
        <v>761</v>
      </c>
    </row>
    <row r="196" spans="1:6">
      <c r="A196" s="29">
        <v>13580</v>
      </c>
      <c r="B196" s="31" t="s">
        <v>932</v>
      </c>
      <c r="C196" s="31" t="s">
        <v>281</v>
      </c>
      <c r="D196" s="31" t="s">
        <v>279</v>
      </c>
      <c r="E196" s="31" t="s">
        <v>760</v>
      </c>
      <c r="F196" s="32" t="s">
        <v>761</v>
      </c>
    </row>
    <row r="197" spans="1:6">
      <c r="A197" s="29">
        <v>13600</v>
      </c>
      <c r="B197" s="31" t="s">
        <v>933</v>
      </c>
      <c r="C197" s="31" t="s">
        <v>281</v>
      </c>
      <c r="D197" s="31" t="s">
        <v>167</v>
      </c>
      <c r="E197" s="31" t="s">
        <v>760</v>
      </c>
      <c r="F197" s="32" t="s">
        <v>761</v>
      </c>
    </row>
    <row r="198" spans="1:6">
      <c r="A198" s="29">
        <v>13620</v>
      </c>
      <c r="B198" s="31" t="s">
        <v>934</v>
      </c>
      <c r="C198" s="31" t="s">
        <v>281</v>
      </c>
      <c r="D198" s="31" t="s">
        <v>279</v>
      </c>
      <c r="E198" s="31" t="s">
        <v>760</v>
      </c>
      <c r="F198" s="32" t="s">
        <v>765</v>
      </c>
    </row>
    <row r="199" spans="1:6">
      <c r="A199" s="29">
        <v>13647</v>
      </c>
      <c r="B199" s="31" t="s">
        <v>935</v>
      </c>
      <c r="C199" s="31" t="s">
        <v>281</v>
      </c>
      <c r="D199" s="31" t="s">
        <v>279</v>
      </c>
      <c r="E199" s="31" t="s">
        <v>760</v>
      </c>
      <c r="F199" s="32" t="s">
        <v>763</v>
      </c>
    </row>
    <row r="200" spans="1:6">
      <c r="A200" s="29">
        <v>13650</v>
      </c>
      <c r="B200" s="31" t="s">
        <v>936</v>
      </c>
      <c r="C200" s="31" t="s">
        <v>281</v>
      </c>
      <c r="D200" s="31" t="s">
        <v>279</v>
      </c>
      <c r="E200" s="31" t="s">
        <v>760</v>
      </c>
      <c r="F200" s="32" t="s">
        <v>761</v>
      </c>
    </row>
    <row r="201" spans="1:6">
      <c r="A201" s="29">
        <v>13654</v>
      </c>
      <c r="B201" s="31" t="s">
        <v>937</v>
      </c>
      <c r="C201" s="31" t="s">
        <v>281</v>
      </c>
      <c r="D201" s="31" t="s">
        <v>279</v>
      </c>
      <c r="E201" s="31" t="s">
        <v>760</v>
      </c>
      <c r="F201" s="32" t="s">
        <v>765</v>
      </c>
    </row>
    <row r="202" spans="1:6">
      <c r="A202" s="29">
        <v>13655</v>
      </c>
      <c r="B202" s="31" t="s">
        <v>938</v>
      </c>
      <c r="C202" s="31" t="s">
        <v>281</v>
      </c>
      <c r="D202" s="31" t="s">
        <v>279</v>
      </c>
      <c r="E202" s="31" t="s">
        <v>760</v>
      </c>
      <c r="F202" s="32" t="s">
        <v>761</v>
      </c>
    </row>
    <row r="203" spans="1:6">
      <c r="A203" s="29">
        <v>13657</v>
      </c>
      <c r="B203" s="31" t="s">
        <v>939</v>
      </c>
      <c r="C203" s="31" t="s">
        <v>281</v>
      </c>
      <c r="D203" s="31" t="s">
        <v>279</v>
      </c>
      <c r="E203" s="31" t="s">
        <v>760</v>
      </c>
      <c r="F203" s="32" t="s">
        <v>763</v>
      </c>
    </row>
    <row r="204" spans="1:6">
      <c r="A204" s="29">
        <v>13667</v>
      </c>
      <c r="B204" s="31" t="s">
        <v>940</v>
      </c>
      <c r="C204" s="31" t="s">
        <v>281</v>
      </c>
      <c r="D204" s="31" t="s">
        <v>279</v>
      </c>
      <c r="E204" s="31" t="s">
        <v>760</v>
      </c>
      <c r="F204" s="32" t="s">
        <v>761</v>
      </c>
    </row>
    <row r="205" spans="1:6">
      <c r="A205" s="29">
        <v>13673</v>
      </c>
      <c r="B205" s="31" t="s">
        <v>941</v>
      </c>
      <c r="C205" s="31" t="s">
        <v>281</v>
      </c>
      <c r="D205" s="31" t="s">
        <v>279</v>
      </c>
      <c r="E205" s="31" t="s">
        <v>760</v>
      </c>
      <c r="F205" s="32" t="s">
        <v>763</v>
      </c>
    </row>
    <row r="206" spans="1:6">
      <c r="A206" s="29">
        <v>13688</v>
      </c>
      <c r="B206" s="31" t="s">
        <v>942</v>
      </c>
      <c r="C206" s="31" t="s">
        <v>281</v>
      </c>
      <c r="D206" s="31" t="s">
        <v>188</v>
      </c>
      <c r="E206" s="31" t="s">
        <v>910</v>
      </c>
      <c r="F206" s="32" t="s">
        <v>748</v>
      </c>
    </row>
    <row r="207" spans="1:6">
      <c r="A207" s="29">
        <v>13744</v>
      </c>
      <c r="B207" s="31" t="s">
        <v>943</v>
      </c>
      <c r="C207" s="31" t="s">
        <v>281</v>
      </c>
      <c r="D207" s="31" t="s">
        <v>188</v>
      </c>
      <c r="E207" s="31" t="s">
        <v>910</v>
      </c>
      <c r="F207" s="32" t="s">
        <v>748</v>
      </c>
    </row>
    <row r="208" spans="1:6">
      <c r="A208" s="29">
        <v>13760</v>
      </c>
      <c r="B208" s="31" t="s">
        <v>944</v>
      </c>
      <c r="C208" s="31" t="s">
        <v>281</v>
      </c>
      <c r="D208" s="31" t="s">
        <v>279</v>
      </c>
      <c r="E208" s="31" t="s">
        <v>760</v>
      </c>
      <c r="F208" s="32" t="s">
        <v>765</v>
      </c>
    </row>
    <row r="209" spans="1:6">
      <c r="A209" s="29">
        <v>13780</v>
      </c>
      <c r="B209" s="31" t="s">
        <v>945</v>
      </c>
      <c r="C209" s="31" t="s">
        <v>281</v>
      </c>
      <c r="D209" s="31" t="s">
        <v>279</v>
      </c>
      <c r="E209" s="31" t="s">
        <v>760</v>
      </c>
      <c r="F209" s="32" t="s">
        <v>761</v>
      </c>
    </row>
    <row r="210" spans="1:6">
      <c r="A210" s="29">
        <v>13810</v>
      </c>
      <c r="B210" s="31" t="s">
        <v>946</v>
      </c>
      <c r="C210" s="31" t="s">
        <v>281</v>
      </c>
      <c r="D210" s="31" t="s">
        <v>279</v>
      </c>
      <c r="E210" s="31" t="s">
        <v>760</v>
      </c>
      <c r="F210" s="32" t="s">
        <v>761</v>
      </c>
    </row>
    <row r="211" spans="1:6">
      <c r="A211" s="29">
        <v>13836</v>
      </c>
      <c r="B211" s="31" t="s">
        <v>947</v>
      </c>
      <c r="C211" s="31" t="s">
        <v>281</v>
      </c>
      <c r="D211" s="31" t="s">
        <v>279</v>
      </c>
      <c r="E211" s="31" t="s">
        <v>760</v>
      </c>
      <c r="F211" s="32" t="s">
        <v>763</v>
      </c>
    </row>
    <row r="212" spans="1:6">
      <c r="A212" s="29">
        <v>13838</v>
      </c>
      <c r="B212" s="31" t="s">
        <v>948</v>
      </c>
      <c r="C212" s="31" t="s">
        <v>281</v>
      </c>
      <c r="D212" s="31" t="s">
        <v>279</v>
      </c>
      <c r="E212" s="31" t="s">
        <v>760</v>
      </c>
      <c r="F212" s="32" t="s">
        <v>763</v>
      </c>
    </row>
    <row r="213" spans="1:6">
      <c r="A213" s="29">
        <v>13894</v>
      </c>
      <c r="B213" s="31" t="s">
        <v>949</v>
      </c>
      <c r="C213" s="31" t="s">
        <v>281</v>
      </c>
      <c r="D213" s="31" t="s">
        <v>279</v>
      </c>
      <c r="E213" s="31" t="s">
        <v>760</v>
      </c>
      <c r="F213" s="32" t="s">
        <v>761</v>
      </c>
    </row>
    <row r="214" spans="1:6">
      <c r="A214" s="29">
        <v>15087</v>
      </c>
      <c r="B214" s="30" t="s">
        <v>950</v>
      </c>
      <c r="C214" s="31" t="s">
        <v>128</v>
      </c>
      <c r="D214" s="31" t="s">
        <v>126</v>
      </c>
      <c r="E214" s="31" t="s">
        <v>760</v>
      </c>
      <c r="F214" s="32" t="s">
        <v>763</v>
      </c>
    </row>
    <row r="215" spans="1:6">
      <c r="A215" s="29">
        <v>15106</v>
      </c>
      <c r="B215" s="30" t="s">
        <v>766</v>
      </c>
      <c r="C215" s="31" t="s">
        <v>128</v>
      </c>
      <c r="D215" s="31" t="s">
        <v>126</v>
      </c>
      <c r="E215" s="31" t="s">
        <v>760</v>
      </c>
      <c r="F215" s="32" t="s">
        <v>765</v>
      </c>
    </row>
    <row r="216" spans="1:6">
      <c r="A216" s="29">
        <v>15109</v>
      </c>
      <c r="B216" s="30" t="s">
        <v>951</v>
      </c>
      <c r="C216" s="31" t="s">
        <v>128</v>
      </c>
      <c r="D216" s="31" t="s">
        <v>126</v>
      </c>
      <c r="E216" s="31" t="s">
        <v>760</v>
      </c>
      <c r="F216" s="32" t="s">
        <v>761</v>
      </c>
    </row>
    <row r="217" spans="1:6">
      <c r="A217" s="29">
        <v>15131</v>
      </c>
      <c r="B217" s="30" t="s">
        <v>557</v>
      </c>
      <c r="C217" s="31" t="s">
        <v>128</v>
      </c>
      <c r="D217" s="31" t="s">
        <v>126</v>
      </c>
      <c r="E217" s="31" t="s">
        <v>760</v>
      </c>
      <c r="F217" s="32" t="s">
        <v>763</v>
      </c>
    </row>
    <row r="218" spans="1:6">
      <c r="A218" s="29">
        <v>15189</v>
      </c>
      <c r="B218" s="30" t="s">
        <v>952</v>
      </c>
      <c r="C218" s="31" t="s">
        <v>128</v>
      </c>
      <c r="D218" s="31" t="s">
        <v>126</v>
      </c>
      <c r="E218" s="31" t="s">
        <v>760</v>
      </c>
      <c r="F218" s="32" t="s">
        <v>763</v>
      </c>
    </row>
    <row r="219" spans="1:6">
      <c r="A219" s="29">
        <v>15368</v>
      </c>
      <c r="B219" s="30" t="s">
        <v>772</v>
      </c>
      <c r="C219" s="31" t="s">
        <v>128</v>
      </c>
      <c r="D219" s="31" t="s">
        <v>126</v>
      </c>
      <c r="E219" s="31" t="s">
        <v>760</v>
      </c>
      <c r="F219" s="32" t="s">
        <v>761</v>
      </c>
    </row>
    <row r="220" spans="1:6">
      <c r="A220" s="29">
        <v>15401</v>
      </c>
      <c r="B220" s="30" t="s">
        <v>745</v>
      </c>
      <c r="C220" s="31" t="s">
        <v>128</v>
      </c>
      <c r="D220" s="31" t="s">
        <v>126</v>
      </c>
      <c r="E220" s="31" t="s">
        <v>760</v>
      </c>
      <c r="F220" s="32" t="s">
        <v>761</v>
      </c>
    </row>
    <row r="221" spans="1:6">
      <c r="A221" s="29">
        <v>15455</v>
      </c>
      <c r="B221" s="30" t="s">
        <v>129</v>
      </c>
      <c r="C221" s="31" t="s">
        <v>128</v>
      </c>
      <c r="D221" s="31" t="s">
        <v>126</v>
      </c>
      <c r="E221" s="31" t="s">
        <v>760</v>
      </c>
      <c r="F221" s="32" t="s">
        <v>761</v>
      </c>
    </row>
    <row r="222" spans="1:6">
      <c r="A222" s="29">
        <v>15514</v>
      </c>
      <c r="B222" s="30" t="s">
        <v>953</v>
      </c>
      <c r="C222" s="31" t="s">
        <v>128</v>
      </c>
      <c r="D222" s="31" t="s">
        <v>126</v>
      </c>
      <c r="E222" s="31" t="s">
        <v>760</v>
      </c>
      <c r="F222" s="32" t="s">
        <v>761</v>
      </c>
    </row>
    <row r="223" spans="1:6">
      <c r="A223" s="29">
        <v>15690</v>
      </c>
      <c r="B223" s="30" t="s">
        <v>954</v>
      </c>
      <c r="C223" s="31" t="s">
        <v>128</v>
      </c>
      <c r="D223" s="31" t="s">
        <v>126</v>
      </c>
      <c r="E223" s="31" t="s">
        <v>760</v>
      </c>
      <c r="F223" s="32" t="s">
        <v>765</v>
      </c>
    </row>
    <row r="224" spans="1:6">
      <c r="A224" s="29">
        <v>15022</v>
      </c>
      <c r="B224" s="31" t="s">
        <v>955</v>
      </c>
      <c r="C224" s="31" t="s">
        <v>128</v>
      </c>
      <c r="D224" s="31" t="s">
        <v>126</v>
      </c>
      <c r="E224" s="31" t="s">
        <v>760</v>
      </c>
      <c r="F224" s="32" t="s">
        <v>765</v>
      </c>
    </row>
    <row r="225" spans="1:6">
      <c r="A225" s="29">
        <v>15047</v>
      </c>
      <c r="B225" s="31" t="s">
        <v>956</v>
      </c>
      <c r="C225" s="31" t="s">
        <v>128</v>
      </c>
      <c r="D225" s="31" t="s">
        <v>126</v>
      </c>
      <c r="E225" s="31" t="s">
        <v>760</v>
      </c>
      <c r="F225" s="32" t="s">
        <v>765</v>
      </c>
    </row>
    <row r="226" spans="1:6">
      <c r="A226" s="29">
        <v>15051</v>
      </c>
      <c r="B226" s="31" t="s">
        <v>957</v>
      </c>
      <c r="C226" s="31" t="s">
        <v>128</v>
      </c>
      <c r="D226" s="31" t="s">
        <v>126</v>
      </c>
      <c r="E226" s="31" t="s">
        <v>760</v>
      </c>
      <c r="F226" s="32" t="s">
        <v>763</v>
      </c>
    </row>
    <row r="227" spans="1:6">
      <c r="A227" s="29">
        <v>15090</v>
      </c>
      <c r="B227" s="31" t="s">
        <v>958</v>
      </c>
      <c r="C227" s="31" t="s">
        <v>128</v>
      </c>
      <c r="D227" s="31" t="s">
        <v>126</v>
      </c>
      <c r="E227" s="31" t="s">
        <v>760</v>
      </c>
      <c r="F227" s="32" t="s">
        <v>765</v>
      </c>
    </row>
    <row r="228" spans="1:6">
      <c r="A228" s="29">
        <v>15092</v>
      </c>
      <c r="B228" s="31" t="s">
        <v>959</v>
      </c>
      <c r="C228" s="31" t="s">
        <v>128</v>
      </c>
      <c r="D228" s="31" t="s">
        <v>126</v>
      </c>
      <c r="E228" s="31" t="s">
        <v>760</v>
      </c>
      <c r="F228" s="32" t="s">
        <v>765</v>
      </c>
    </row>
    <row r="229" spans="1:6">
      <c r="A229" s="29">
        <v>15097</v>
      </c>
      <c r="B229" s="31" t="s">
        <v>960</v>
      </c>
      <c r="C229" s="31" t="s">
        <v>128</v>
      </c>
      <c r="D229" s="31" t="s">
        <v>126</v>
      </c>
      <c r="E229" s="31" t="s">
        <v>760</v>
      </c>
      <c r="F229" s="32" t="s">
        <v>761</v>
      </c>
    </row>
    <row r="230" spans="1:6">
      <c r="A230" s="29">
        <v>15104</v>
      </c>
      <c r="B230" s="31" t="s">
        <v>128</v>
      </c>
      <c r="C230" s="31" t="s">
        <v>128</v>
      </c>
      <c r="D230" s="31" t="s">
        <v>126</v>
      </c>
      <c r="E230" s="31" t="s">
        <v>760</v>
      </c>
      <c r="F230" s="32" t="s">
        <v>763</v>
      </c>
    </row>
    <row r="231" spans="1:6">
      <c r="A231" s="29">
        <v>15114</v>
      </c>
      <c r="B231" s="31" t="s">
        <v>961</v>
      </c>
      <c r="C231" s="31" t="s">
        <v>128</v>
      </c>
      <c r="D231" s="31" t="s">
        <v>126</v>
      </c>
      <c r="E231" s="31" t="s">
        <v>760</v>
      </c>
      <c r="F231" s="32" t="s">
        <v>763</v>
      </c>
    </row>
    <row r="232" spans="1:6">
      <c r="A232" s="29">
        <v>15135</v>
      </c>
      <c r="B232" s="31" t="s">
        <v>962</v>
      </c>
      <c r="C232" s="31" t="s">
        <v>128</v>
      </c>
      <c r="D232" s="31" t="s">
        <v>126</v>
      </c>
      <c r="E232" s="31" t="s">
        <v>760</v>
      </c>
      <c r="F232" s="32" t="s">
        <v>761</v>
      </c>
    </row>
    <row r="233" spans="1:6">
      <c r="A233" s="29">
        <v>15162</v>
      </c>
      <c r="B233" s="31" t="s">
        <v>963</v>
      </c>
      <c r="C233" s="31" t="s">
        <v>128</v>
      </c>
      <c r="D233" s="31" t="s">
        <v>126</v>
      </c>
      <c r="E233" s="31" t="s">
        <v>760</v>
      </c>
      <c r="F233" s="32" t="s">
        <v>763</v>
      </c>
    </row>
    <row r="234" spans="1:6">
      <c r="A234" s="29">
        <v>15172</v>
      </c>
      <c r="B234" s="31" t="s">
        <v>964</v>
      </c>
      <c r="C234" s="31" t="s">
        <v>128</v>
      </c>
      <c r="D234" s="31" t="s">
        <v>126</v>
      </c>
      <c r="E234" s="31" t="s">
        <v>760</v>
      </c>
      <c r="F234" s="32" t="s">
        <v>765</v>
      </c>
    </row>
    <row r="235" spans="1:6">
      <c r="A235" s="29">
        <v>15176</v>
      </c>
      <c r="B235" s="31" t="s">
        <v>965</v>
      </c>
      <c r="C235" s="31" t="s">
        <v>128</v>
      </c>
      <c r="D235" s="31" t="s">
        <v>126</v>
      </c>
      <c r="E235" s="31" t="s">
        <v>760</v>
      </c>
      <c r="F235" s="32" t="s">
        <v>765</v>
      </c>
    </row>
    <row r="236" spans="1:6">
      <c r="A236" s="29">
        <v>15232</v>
      </c>
      <c r="B236" s="31" t="s">
        <v>966</v>
      </c>
      <c r="C236" s="31" t="s">
        <v>128</v>
      </c>
      <c r="D236" s="31" t="s">
        <v>126</v>
      </c>
      <c r="E236" s="31" t="s">
        <v>760</v>
      </c>
      <c r="F236" s="32" t="s">
        <v>763</v>
      </c>
    </row>
    <row r="237" spans="1:6">
      <c r="A237" s="29">
        <v>15180</v>
      </c>
      <c r="B237" s="31" t="s">
        <v>967</v>
      </c>
      <c r="C237" s="31" t="s">
        <v>128</v>
      </c>
      <c r="D237" s="31" t="s">
        <v>126</v>
      </c>
      <c r="E237" s="31" t="s">
        <v>760</v>
      </c>
      <c r="F237" s="32" t="s">
        <v>761</v>
      </c>
    </row>
    <row r="238" spans="1:6">
      <c r="A238" s="29">
        <v>15183</v>
      </c>
      <c r="B238" s="31" t="s">
        <v>968</v>
      </c>
      <c r="C238" s="31" t="s">
        <v>128</v>
      </c>
      <c r="D238" s="31" t="s">
        <v>126</v>
      </c>
      <c r="E238" s="31" t="s">
        <v>760</v>
      </c>
      <c r="F238" s="32" t="s">
        <v>761</v>
      </c>
    </row>
    <row r="239" spans="1:6">
      <c r="A239" s="29">
        <v>15185</v>
      </c>
      <c r="B239" s="31" t="s">
        <v>969</v>
      </c>
      <c r="C239" s="31" t="s">
        <v>128</v>
      </c>
      <c r="D239" s="31" t="s">
        <v>126</v>
      </c>
      <c r="E239" s="31" t="s">
        <v>760</v>
      </c>
      <c r="F239" s="32" t="s">
        <v>763</v>
      </c>
    </row>
    <row r="240" spans="1:6">
      <c r="A240" s="29">
        <v>15187</v>
      </c>
      <c r="B240" s="31" t="s">
        <v>970</v>
      </c>
      <c r="C240" s="31" t="s">
        <v>128</v>
      </c>
      <c r="D240" s="31" t="s">
        <v>126</v>
      </c>
      <c r="E240" s="31" t="s">
        <v>760</v>
      </c>
      <c r="F240" s="32" t="s">
        <v>763</v>
      </c>
    </row>
    <row r="241" spans="1:6">
      <c r="A241" s="29">
        <v>15236</v>
      </c>
      <c r="B241" s="31" t="s">
        <v>971</v>
      </c>
      <c r="C241" s="31" t="s">
        <v>128</v>
      </c>
      <c r="D241" s="31" t="s">
        <v>126</v>
      </c>
      <c r="E241" s="31" t="s">
        <v>760</v>
      </c>
      <c r="F241" s="32" t="s">
        <v>765</v>
      </c>
    </row>
    <row r="242" spans="1:6">
      <c r="A242" s="29">
        <v>15204</v>
      </c>
      <c r="B242" s="31" t="s">
        <v>972</v>
      </c>
      <c r="C242" s="31" t="s">
        <v>128</v>
      </c>
      <c r="D242" s="31" t="s">
        <v>126</v>
      </c>
      <c r="E242" s="31" t="s">
        <v>760</v>
      </c>
      <c r="F242" s="32" t="s">
        <v>763</v>
      </c>
    </row>
    <row r="243" spans="1:6">
      <c r="A243" s="29">
        <v>15212</v>
      </c>
      <c r="B243" s="31" t="s">
        <v>973</v>
      </c>
      <c r="C243" s="31" t="s">
        <v>128</v>
      </c>
      <c r="D243" s="31" t="s">
        <v>126</v>
      </c>
      <c r="E243" s="31" t="s">
        <v>760</v>
      </c>
      <c r="F243" s="32" t="s">
        <v>765</v>
      </c>
    </row>
    <row r="244" spans="1:6">
      <c r="A244" s="29">
        <v>15215</v>
      </c>
      <c r="B244" s="31" t="s">
        <v>974</v>
      </c>
      <c r="C244" s="31" t="s">
        <v>128</v>
      </c>
      <c r="D244" s="31" t="s">
        <v>126</v>
      </c>
      <c r="E244" s="31" t="s">
        <v>760</v>
      </c>
      <c r="F244" s="32" t="s">
        <v>763</v>
      </c>
    </row>
    <row r="245" spans="1:6">
      <c r="A245" s="29">
        <v>15218</v>
      </c>
      <c r="B245" s="31" t="s">
        <v>975</v>
      </c>
      <c r="C245" s="31" t="s">
        <v>128</v>
      </c>
      <c r="D245" s="31" t="s">
        <v>126</v>
      </c>
      <c r="E245" s="31" t="s">
        <v>760</v>
      </c>
      <c r="F245" s="32" t="s">
        <v>761</v>
      </c>
    </row>
    <row r="246" spans="1:6">
      <c r="A246" s="29">
        <v>15223</v>
      </c>
      <c r="B246" s="31" t="s">
        <v>976</v>
      </c>
      <c r="C246" s="31" t="s">
        <v>128</v>
      </c>
      <c r="D246" s="31" t="s">
        <v>188</v>
      </c>
      <c r="E246" s="31" t="s">
        <v>747</v>
      </c>
      <c r="F246" s="32" t="s">
        <v>748</v>
      </c>
    </row>
    <row r="247" spans="1:6">
      <c r="A247" s="29">
        <v>15224</v>
      </c>
      <c r="B247" s="31" t="s">
        <v>977</v>
      </c>
      <c r="C247" s="31" t="s">
        <v>128</v>
      </c>
      <c r="D247" s="31" t="s">
        <v>126</v>
      </c>
      <c r="E247" s="31" t="s">
        <v>760</v>
      </c>
      <c r="F247" s="32" t="s">
        <v>763</v>
      </c>
    </row>
    <row r="248" spans="1:6">
      <c r="A248" s="29">
        <v>15226</v>
      </c>
      <c r="B248" s="31" t="s">
        <v>978</v>
      </c>
      <c r="C248" s="31" t="s">
        <v>128</v>
      </c>
      <c r="D248" s="31" t="s">
        <v>126</v>
      </c>
      <c r="E248" s="31" t="s">
        <v>760</v>
      </c>
      <c r="F248" s="32" t="s">
        <v>763</v>
      </c>
    </row>
    <row r="249" spans="1:6">
      <c r="A249" s="29">
        <v>15238</v>
      </c>
      <c r="B249" s="31" t="s">
        <v>979</v>
      </c>
      <c r="C249" s="31" t="s">
        <v>128</v>
      </c>
      <c r="D249" s="31" t="s">
        <v>126</v>
      </c>
      <c r="E249" s="31" t="s">
        <v>760</v>
      </c>
      <c r="F249" s="32" t="s">
        <v>763</v>
      </c>
    </row>
    <row r="250" spans="1:6">
      <c r="A250" s="29">
        <v>15244</v>
      </c>
      <c r="B250" s="31" t="s">
        <v>980</v>
      </c>
      <c r="C250" s="31" t="s">
        <v>128</v>
      </c>
      <c r="D250" s="31" t="s">
        <v>126</v>
      </c>
      <c r="E250" s="31" t="s">
        <v>760</v>
      </c>
      <c r="F250" s="32" t="s">
        <v>761</v>
      </c>
    </row>
    <row r="251" spans="1:6">
      <c r="A251" s="29">
        <v>15248</v>
      </c>
      <c r="B251" s="31" t="s">
        <v>981</v>
      </c>
      <c r="C251" s="31" t="s">
        <v>128</v>
      </c>
      <c r="D251" s="31" t="s">
        <v>126</v>
      </c>
      <c r="E251" s="31" t="s">
        <v>760</v>
      </c>
      <c r="F251" s="32" t="s">
        <v>761</v>
      </c>
    </row>
    <row r="252" spans="1:6">
      <c r="A252" s="29">
        <v>15272</v>
      </c>
      <c r="B252" s="31" t="s">
        <v>982</v>
      </c>
      <c r="C252" s="31" t="s">
        <v>128</v>
      </c>
      <c r="D252" s="31" t="s">
        <v>126</v>
      </c>
      <c r="E252" s="31" t="s">
        <v>760</v>
      </c>
      <c r="F252" s="32" t="s">
        <v>763</v>
      </c>
    </row>
    <row r="253" spans="1:6">
      <c r="A253" s="29">
        <v>15276</v>
      </c>
      <c r="B253" s="31" t="s">
        <v>983</v>
      </c>
      <c r="C253" s="31" t="s">
        <v>128</v>
      </c>
      <c r="D253" s="31" t="s">
        <v>126</v>
      </c>
      <c r="E253" s="31" t="s">
        <v>760</v>
      </c>
      <c r="F253" s="32" t="s">
        <v>763</v>
      </c>
    </row>
    <row r="254" spans="1:6">
      <c r="A254" s="29">
        <v>15293</v>
      </c>
      <c r="B254" s="31" t="s">
        <v>984</v>
      </c>
      <c r="C254" s="31" t="s">
        <v>128</v>
      </c>
      <c r="D254" s="31" t="s">
        <v>126</v>
      </c>
      <c r="E254" s="31" t="s">
        <v>760</v>
      </c>
      <c r="F254" s="32" t="s">
        <v>763</v>
      </c>
    </row>
    <row r="255" spans="1:6">
      <c r="A255" s="29">
        <v>15296</v>
      </c>
      <c r="B255" s="31" t="s">
        <v>985</v>
      </c>
      <c r="C255" s="31" t="s">
        <v>128</v>
      </c>
      <c r="D255" s="31" t="s">
        <v>126</v>
      </c>
      <c r="E255" s="31" t="s">
        <v>760</v>
      </c>
      <c r="F255" s="32" t="s">
        <v>765</v>
      </c>
    </row>
    <row r="256" spans="1:6">
      <c r="A256" s="29">
        <v>15299</v>
      </c>
      <c r="B256" s="31" t="s">
        <v>986</v>
      </c>
      <c r="C256" s="31" t="s">
        <v>128</v>
      </c>
      <c r="D256" s="31" t="s">
        <v>126</v>
      </c>
      <c r="E256" s="31" t="s">
        <v>760</v>
      </c>
      <c r="F256" s="32" t="s">
        <v>765</v>
      </c>
    </row>
    <row r="257" spans="1:6">
      <c r="A257" s="29">
        <v>15317</v>
      </c>
      <c r="B257" s="31" t="s">
        <v>594</v>
      </c>
      <c r="C257" s="31" t="s">
        <v>128</v>
      </c>
      <c r="D257" s="31" t="s">
        <v>126</v>
      </c>
      <c r="E257" s="31" t="s">
        <v>760</v>
      </c>
      <c r="F257" s="32" t="s">
        <v>761</v>
      </c>
    </row>
    <row r="258" spans="1:6">
      <c r="A258" s="29">
        <v>15322</v>
      </c>
      <c r="B258" s="31" t="s">
        <v>987</v>
      </c>
      <c r="C258" s="31" t="s">
        <v>128</v>
      </c>
      <c r="D258" s="31" t="s">
        <v>126</v>
      </c>
      <c r="E258" s="31" t="s">
        <v>760</v>
      </c>
      <c r="F258" s="32" t="s">
        <v>763</v>
      </c>
    </row>
    <row r="259" spans="1:6">
      <c r="A259" s="29">
        <v>15325</v>
      </c>
      <c r="B259" s="31" t="s">
        <v>988</v>
      </c>
      <c r="C259" s="31" t="s">
        <v>128</v>
      </c>
      <c r="D259" s="31" t="s">
        <v>126</v>
      </c>
      <c r="E259" s="31" t="s">
        <v>760</v>
      </c>
      <c r="F259" s="32" t="s">
        <v>765</v>
      </c>
    </row>
    <row r="260" spans="1:6">
      <c r="A260" s="29">
        <v>15332</v>
      </c>
      <c r="B260" s="31" t="s">
        <v>989</v>
      </c>
      <c r="C260" s="31" t="s">
        <v>128</v>
      </c>
      <c r="D260" s="31" t="s">
        <v>126</v>
      </c>
      <c r="E260" s="31" t="s">
        <v>760</v>
      </c>
      <c r="F260" s="32" t="s">
        <v>761</v>
      </c>
    </row>
    <row r="261" spans="1:6">
      <c r="A261" s="29">
        <v>15362</v>
      </c>
      <c r="B261" s="31" t="s">
        <v>990</v>
      </c>
      <c r="C261" s="31" t="s">
        <v>128</v>
      </c>
      <c r="D261" s="31" t="s">
        <v>126</v>
      </c>
      <c r="E261" s="31" t="s">
        <v>760</v>
      </c>
      <c r="F261" s="32" t="s">
        <v>763</v>
      </c>
    </row>
    <row r="262" spans="1:6">
      <c r="A262" s="29">
        <v>15367</v>
      </c>
      <c r="B262" s="31" t="s">
        <v>991</v>
      </c>
      <c r="C262" s="31" t="s">
        <v>128</v>
      </c>
      <c r="D262" s="31" t="s">
        <v>126</v>
      </c>
      <c r="E262" s="31" t="s">
        <v>760</v>
      </c>
      <c r="F262" s="32" t="s">
        <v>763</v>
      </c>
    </row>
    <row r="263" spans="1:6">
      <c r="A263" s="29">
        <v>15380</v>
      </c>
      <c r="B263" s="31" t="s">
        <v>992</v>
      </c>
      <c r="C263" s="31" t="s">
        <v>128</v>
      </c>
      <c r="D263" s="31" t="s">
        <v>126</v>
      </c>
      <c r="E263" s="31" t="s">
        <v>760</v>
      </c>
      <c r="F263" s="32" t="s">
        <v>765</v>
      </c>
    </row>
    <row r="264" spans="1:6">
      <c r="A264" s="29">
        <v>15403</v>
      </c>
      <c r="B264" s="31" t="s">
        <v>993</v>
      </c>
      <c r="C264" s="31" t="s">
        <v>128</v>
      </c>
      <c r="D264" s="31" t="s">
        <v>126</v>
      </c>
      <c r="E264" s="31" t="s">
        <v>760</v>
      </c>
      <c r="F264" s="32" t="s">
        <v>761</v>
      </c>
    </row>
    <row r="265" spans="1:6">
      <c r="A265" s="29">
        <v>15377</v>
      </c>
      <c r="B265" s="31" t="s">
        <v>994</v>
      </c>
      <c r="C265" s="31" t="s">
        <v>128</v>
      </c>
      <c r="D265" s="31" t="s">
        <v>126</v>
      </c>
      <c r="E265" s="31" t="s">
        <v>760</v>
      </c>
      <c r="F265" s="32" t="s">
        <v>761</v>
      </c>
    </row>
    <row r="266" spans="1:6">
      <c r="A266" s="29">
        <v>15425</v>
      </c>
      <c r="B266" s="31" t="s">
        <v>995</v>
      </c>
      <c r="C266" s="31" t="s">
        <v>128</v>
      </c>
      <c r="D266" s="31" t="s">
        <v>126</v>
      </c>
      <c r="E266" s="31" t="s">
        <v>760</v>
      </c>
      <c r="F266" s="32" t="s">
        <v>765</v>
      </c>
    </row>
    <row r="267" spans="1:6">
      <c r="A267" s="29">
        <v>15442</v>
      </c>
      <c r="B267" s="31" t="s">
        <v>996</v>
      </c>
      <c r="C267" s="31" t="s">
        <v>128</v>
      </c>
      <c r="D267" s="31" t="s">
        <v>126</v>
      </c>
      <c r="E267" s="31" t="s">
        <v>760</v>
      </c>
      <c r="F267" s="32" t="s">
        <v>761</v>
      </c>
    </row>
    <row r="268" spans="1:6">
      <c r="A268" s="29">
        <v>15464</v>
      </c>
      <c r="B268" s="31" t="s">
        <v>997</v>
      </c>
      <c r="C268" s="31" t="s">
        <v>128</v>
      </c>
      <c r="D268" s="31" t="s">
        <v>126</v>
      </c>
      <c r="E268" s="31" t="s">
        <v>760</v>
      </c>
      <c r="F268" s="32" t="s">
        <v>763</v>
      </c>
    </row>
    <row r="269" spans="1:6">
      <c r="A269" s="29">
        <v>15466</v>
      </c>
      <c r="B269" s="31" t="s">
        <v>998</v>
      </c>
      <c r="C269" s="31" t="s">
        <v>128</v>
      </c>
      <c r="D269" s="31" t="s">
        <v>126</v>
      </c>
      <c r="E269" s="31" t="s">
        <v>760</v>
      </c>
      <c r="F269" s="32" t="s">
        <v>765</v>
      </c>
    </row>
    <row r="270" spans="1:6">
      <c r="A270" s="29">
        <v>15469</v>
      </c>
      <c r="B270" s="31" t="s">
        <v>999</v>
      </c>
      <c r="C270" s="31" t="s">
        <v>128</v>
      </c>
      <c r="D270" s="31" t="s">
        <v>126</v>
      </c>
      <c r="E270" s="31" t="s">
        <v>760</v>
      </c>
      <c r="F270" s="32" t="s">
        <v>763</v>
      </c>
    </row>
    <row r="271" spans="1:6">
      <c r="A271" s="29">
        <v>15476</v>
      </c>
      <c r="B271" s="31" t="s">
        <v>1000</v>
      </c>
      <c r="C271" s="31" t="s">
        <v>128</v>
      </c>
      <c r="D271" s="31" t="s">
        <v>126</v>
      </c>
      <c r="E271" s="31" t="s">
        <v>760</v>
      </c>
      <c r="F271" s="32" t="s">
        <v>767</v>
      </c>
    </row>
    <row r="272" spans="1:6">
      <c r="A272" s="29">
        <v>15480</v>
      </c>
      <c r="B272" s="31" t="s">
        <v>1001</v>
      </c>
      <c r="C272" s="31" t="s">
        <v>128</v>
      </c>
      <c r="D272" s="31" t="s">
        <v>126</v>
      </c>
      <c r="E272" s="31" t="s">
        <v>760</v>
      </c>
      <c r="F272" s="32" t="s">
        <v>761</v>
      </c>
    </row>
    <row r="273" spans="1:6">
      <c r="A273" s="29">
        <v>15491</v>
      </c>
      <c r="B273" s="31" t="s">
        <v>1002</v>
      </c>
      <c r="C273" s="31" t="s">
        <v>128</v>
      </c>
      <c r="D273" s="31" t="s">
        <v>126</v>
      </c>
      <c r="E273" s="31" t="s">
        <v>760</v>
      </c>
      <c r="F273" s="32" t="s">
        <v>763</v>
      </c>
    </row>
    <row r="274" spans="1:6">
      <c r="A274" s="29">
        <v>15494</v>
      </c>
      <c r="B274" s="31" t="s">
        <v>1003</v>
      </c>
      <c r="C274" s="31" t="s">
        <v>128</v>
      </c>
      <c r="D274" s="31" t="s">
        <v>126</v>
      </c>
      <c r="E274" s="31" t="s">
        <v>760</v>
      </c>
      <c r="F274" s="32" t="s">
        <v>763</v>
      </c>
    </row>
    <row r="275" spans="1:6">
      <c r="A275" s="29">
        <v>15500</v>
      </c>
      <c r="B275" s="31" t="s">
        <v>1004</v>
      </c>
      <c r="C275" s="31" t="s">
        <v>128</v>
      </c>
      <c r="D275" s="31" t="s">
        <v>126</v>
      </c>
      <c r="E275" s="31" t="s">
        <v>760</v>
      </c>
      <c r="F275" s="32" t="s">
        <v>763</v>
      </c>
    </row>
    <row r="276" spans="1:6">
      <c r="A276" s="29">
        <v>15507</v>
      </c>
      <c r="B276" s="31" t="s">
        <v>1005</v>
      </c>
      <c r="C276" s="31" t="s">
        <v>128</v>
      </c>
      <c r="D276" s="31" t="s">
        <v>126</v>
      </c>
      <c r="E276" s="31" t="s">
        <v>760</v>
      </c>
      <c r="F276" s="32" t="s">
        <v>761</v>
      </c>
    </row>
    <row r="277" spans="1:6">
      <c r="A277" s="29">
        <v>15511</v>
      </c>
      <c r="B277" s="31" t="s">
        <v>1006</v>
      </c>
      <c r="C277" s="31" t="s">
        <v>128</v>
      </c>
      <c r="D277" s="31" t="s">
        <v>126</v>
      </c>
      <c r="E277" s="31" t="s">
        <v>760</v>
      </c>
      <c r="F277" s="32" t="s">
        <v>765</v>
      </c>
    </row>
    <row r="278" spans="1:6">
      <c r="A278" s="29">
        <v>15516</v>
      </c>
      <c r="B278" s="31" t="s">
        <v>1007</v>
      </c>
      <c r="C278" s="31" t="s">
        <v>128</v>
      </c>
      <c r="D278" s="31" t="s">
        <v>126</v>
      </c>
      <c r="E278" s="31" t="s">
        <v>760</v>
      </c>
      <c r="F278" s="32" t="s">
        <v>763</v>
      </c>
    </row>
    <row r="279" spans="1:6">
      <c r="A279" s="29">
        <v>15518</v>
      </c>
      <c r="B279" s="31" t="s">
        <v>1008</v>
      </c>
      <c r="C279" s="31" t="s">
        <v>128</v>
      </c>
      <c r="D279" s="31" t="s">
        <v>498</v>
      </c>
      <c r="E279" s="31" t="s">
        <v>760</v>
      </c>
      <c r="F279" s="32" t="s">
        <v>765</v>
      </c>
    </row>
    <row r="280" spans="1:6">
      <c r="A280" s="29">
        <v>15522</v>
      </c>
      <c r="B280" s="31" t="s">
        <v>1009</v>
      </c>
      <c r="C280" s="31" t="s">
        <v>128</v>
      </c>
      <c r="D280" s="31" t="s">
        <v>126</v>
      </c>
      <c r="E280" s="31" t="s">
        <v>760</v>
      </c>
      <c r="F280" s="32" t="s">
        <v>761</v>
      </c>
    </row>
    <row r="281" spans="1:6">
      <c r="A281" s="29">
        <v>15531</v>
      </c>
      <c r="B281" s="31" t="s">
        <v>1010</v>
      </c>
      <c r="C281" s="31" t="s">
        <v>128</v>
      </c>
      <c r="D281" s="31" t="s">
        <v>126</v>
      </c>
      <c r="E281" s="31" t="s">
        <v>760</v>
      </c>
      <c r="F281" s="32" t="s">
        <v>765</v>
      </c>
    </row>
    <row r="282" spans="1:6">
      <c r="A282" s="29">
        <v>15533</v>
      </c>
      <c r="B282" s="31" t="s">
        <v>1011</v>
      </c>
      <c r="C282" s="31" t="s">
        <v>128</v>
      </c>
      <c r="D282" s="31" t="s">
        <v>126</v>
      </c>
      <c r="E282" s="31" t="s">
        <v>760</v>
      </c>
      <c r="F282" s="32" t="s">
        <v>761</v>
      </c>
    </row>
    <row r="283" spans="1:6">
      <c r="A283" s="29">
        <v>15537</v>
      </c>
      <c r="B283" s="31" t="s">
        <v>1012</v>
      </c>
      <c r="C283" s="31" t="s">
        <v>128</v>
      </c>
      <c r="D283" s="31" t="s">
        <v>126</v>
      </c>
      <c r="E283" s="31" t="s">
        <v>760</v>
      </c>
      <c r="F283" s="32" t="s">
        <v>763</v>
      </c>
    </row>
    <row r="284" spans="1:6">
      <c r="A284" s="29">
        <v>15542</v>
      </c>
      <c r="B284" s="31" t="s">
        <v>1013</v>
      </c>
      <c r="C284" s="31" t="s">
        <v>128</v>
      </c>
      <c r="D284" s="31" t="s">
        <v>126</v>
      </c>
      <c r="E284" s="31" t="s">
        <v>760</v>
      </c>
      <c r="F284" s="32" t="s">
        <v>765</v>
      </c>
    </row>
    <row r="285" spans="1:6">
      <c r="A285" s="29">
        <v>15550</v>
      </c>
      <c r="B285" s="31" t="s">
        <v>1014</v>
      </c>
      <c r="C285" s="31" t="s">
        <v>128</v>
      </c>
      <c r="D285" s="31" t="s">
        <v>126</v>
      </c>
      <c r="E285" s="31" t="s">
        <v>760</v>
      </c>
      <c r="F285" s="32" t="s">
        <v>761</v>
      </c>
    </row>
    <row r="286" spans="1:6">
      <c r="A286" s="29">
        <v>15572</v>
      </c>
      <c r="B286" s="31" t="s">
        <v>425</v>
      </c>
      <c r="C286" s="31" t="s">
        <v>128</v>
      </c>
      <c r="D286" s="31" t="s">
        <v>158</v>
      </c>
      <c r="E286" s="31" t="s">
        <v>760</v>
      </c>
      <c r="F286" s="32" t="s">
        <v>761</v>
      </c>
    </row>
    <row r="287" spans="1:6">
      <c r="A287" s="29">
        <v>15580</v>
      </c>
      <c r="B287" s="31" t="s">
        <v>1015</v>
      </c>
      <c r="C287" s="31" t="s">
        <v>128</v>
      </c>
      <c r="D287" s="31" t="s">
        <v>126</v>
      </c>
      <c r="E287" s="31" t="s">
        <v>760</v>
      </c>
      <c r="F287" s="32" t="s">
        <v>761</v>
      </c>
    </row>
    <row r="288" spans="1:6">
      <c r="A288" s="29">
        <v>15599</v>
      </c>
      <c r="B288" s="31" t="s">
        <v>1016</v>
      </c>
      <c r="C288" s="31" t="s">
        <v>128</v>
      </c>
      <c r="D288" s="31" t="s">
        <v>126</v>
      </c>
      <c r="E288" s="31" t="s">
        <v>760</v>
      </c>
      <c r="F288" s="32" t="s">
        <v>763</v>
      </c>
    </row>
    <row r="289" spans="1:6">
      <c r="A289" s="29">
        <v>15600</v>
      </c>
      <c r="B289" s="31" t="s">
        <v>1017</v>
      </c>
      <c r="C289" s="31" t="s">
        <v>128</v>
      </c>
      <c r="D289" s="31" t="s">
        <v>126</v>
      </c>
      <c r="E289" s="31" t="s">
        <v>760</v>
      </c>
      <c r="F289" s="32" t="s">
        <v>763</v>
      </c>
    </row>
    <row r="290" spans="1:6">
      <c r="A290" s="29">
        <v>15621</v>
      </c>
      <c r="B290" s="31" t="s">
        <v>1018</v>
      </c>
      <c r="C290" s="31" t="s">
        <v>128</v>
      </c>
      <c r="D290" s="31" t="s">
        <v>126</v>
      </c>
      <c r="E290" s="31" t="s">
        <v>760</v>
      </c>
      <c r="F290" s="32" t="s">
        <v>765</v>
      </c>
    </row>
    <row r="291" spans="1:6">
      <c r="A291" s="29">
        <v>15632</v>
      </c>
      <c r="B291" s="31" t="s">
        <v>1019</v>
      </c>
      <c r="C291" s="31" t="s">
        <v>128</v>
      </c>
      <c r="D291" s="31" t="s">
        <v>126</v>
      </c>
      <c r="E291" s="31" t="s">
        <v>760</v>
      </c>
      <c r="F291" s="32" t="s">
        <v>763</v>
      </c>
    </row>
    <row r="292" spans="1:6">
      <c r="A292" s="29">
        <v>15638</v>
      </c>
      <c r="B292" s="31" t="s">
        <v>1020</v>
      </c>
      <c r="C292" s="31" t="s">
        <v>128</v>
      </c>
      <c r="D292" s="31" t="s">
        <v>126</v>
      </c>
      <c r="E292" s="31" t="s">
        <v>760</v>
      </c>
      <c r="F292" s="32" t="s">
        <v>763</v>
      </c>
    </row>
    <row r="293" spans="1:6">
      <c r="A293" s="29">
        <v>15646</v>
      </c>
      <c r="B293" s="31" t="s">
        <v>1021</v>
      </c>
      <c r="C293" s="31" t="s">
        <v>128</v>
      </c>
      <c r="D293" s="31" t="s">
        <v>126</v>
      </c>
      <c r="E293" s="31" t="s">
        <v>760</v>
      </c>
      <c r="F293" s="32" t="s">
        <v>763</v>
      </c>
    </row>
    <row r="294" spans="1:6">
      <c r="A294" s="29">
        <v>15660</v>
      </c>
      <c r="B294" s="31" t="s">
        <v>1022</v>
      </c>
      <c r="C294" s="31" t="s">
        <v>128</v>
      </c>
      <c r="D294" s="31" t="s">
        <v>126</v>
      </c>
      <c r="E294" s="31" t="s">
        <v>760</v>
      </c>
      <c r="F294" s="32" t="s">
        <v>761</v>
      </c>
    </row>
    <row r="295" spans="1:6">
      <c r="A295" s="29">
        <v>15664</v>
      </c>
      <c r="B295" s="31" t="s">
        <v>1023</v>
      </c>
      <c r="C295" s="31" t="s">
        <v>128</v>
      </c>
      <c r="D295" s="31" t="s">
        <v>126</v>
      </c>
      <c r="E295" s="31" t="s">
        <v>760</v>
      </c>
      <c r="F295" s="32" t="s">
        <v>763</v>
      </c>
    </row>
    <row r="296" spans="1:6">
      <c r="A296" s="29">
        <v>15667</v>
      </c>
      <c r="B296" s="31" t="s">
        <v>1024</v>
      </c>
      <c r="C296" s="31" t="s">
        <v>128</v>
      </c>
      <c r="D296" s="31" t="s">
        <v>126</v>
      </c>
      <c r="E296" s="31" t="s">
        <v>760</v>
      </c>
      <c r="F296" s="32" t="s">
        <v>765</v>
      </c>
    </row>
    <row r="297" spans="1:6">
      <c r="A297" s="29">
        <v>15673</v>
      </c>
      <c r="B297" s="31" t="s">
        <v>1025</v>
      </c>
      <c r="C297" s="31" t="s">
        <v>128</v>
      </c>
      <c r="D297" s="31" t="s">
        <v>126</v>
      </c>
      <c r="E297" s="31" t="s">
        <v>760</v>
      </c>
      <c r="F297" s="32" t="s">
        <v>761</v>
      </c>
    </row>
    <row r="298" spans="1:6">
      <c r="A298" s="29">
        <v>15676</v>
      </c>
      <c r="B298" s="31" t="s">
        <v>1026</v>
      </c>
      <c r="C298" s="31" t="s">
        <v>128</v>
      </c>
      <c r="D298" s="31" t="s">
        <v>126</v>
      </c>
      <c r="E298" s="31" t="s">
        <v>760</v>
      </c>
      <c r="F298" s="32" t="s">
        <v>765</v>
      </c>
    </row>
    <row r="299" spans="1:6">
      <c r="A299" s="29">
        <v>15681</v>
      </c>
      <c r="B299" s="31" t="s">
        <v>1027</v>
      </c>
      <c r="C299" s="31" t="s">
        <v>128</v>
      </c>
      <c r="D299" s="31" t="s">
        <v>126</v>
      </c>
      <c r="E299" s="31" t="s">
        <v>760</v>
      </c>
      <c r="F299" s="32" t="s">
        <v>761</v>
      </c>
    </row>
    <row r="300" spans="1:6">
      <c r="A300" s="29">
        <v>15693</v>
      </c>
      <c r="B300" s="31" t="s">
        <v>1028</v>
      </c>
      <c r="C300" s="31" t="s">
        <v>128</v>
      </c>
      <c r="D300" s="31" t="s">
        <v>126</v>
      </c>
      <c r="E300" s="31" t="s">
        <v>760</v>
      </c>
      <c r="F300" s="32" t="s">
        <v>763</v>
      </c>
    </row>
    <row r="301" spans="1:6">
      <c r="A301" s="29">
        <v>15696</v>
      </c>
      <c r="B301" s="31" t="s">
        <v>1029</v>
      </c>
      <c r="C301" s="31" t="s">
        <v>128</v>
      </c>
      <c r="D301" s="31" t="s">
        <v>126</v>
      </c>
      <c r="E301" s="31" t="s">
        <v>760</v>
      </c>
      <c r="F301" s="32" t="s">
        <v>763</v>
      </c>
    </row>
    <row r="302" spans="1:6">
      <c r="A302" s="29">
        <v>15686</v>
      </c>
      <c r="B302" s="31" t="s">
        <v>1030</v>
      </c>
      <c r="C302" s="31" t="s">
        <v>128</v>
      </c>
      <c r="D302" s="31" t="s">
        <v>126</v>
      </c>
      <c r="E302" s="31" t="s">
        <v>760</v>
      </c>
      <c r="F302" s="32" t="s">
        <v>765</v>
      </c>
    </row>
    <row r="303" spans="1:6">
      <c r="A303" s="29">
        <v>15720</v>
      </c>
      <c r="B303" s="31" t="s">
        <v>1031</v>
      </c>
      <c r="C303" s="31" t="s">
        <v>128</v>
      </c>
      <c r="D303" s="31" t="s">
        <v>126</v>
      </c>
      <c r="E303" s="31" t="s">
        <v>760</v>
      </c>
      <c r="F303" s="32" t="s">
        <v>765</v>
      </c>
    </row>
    <row r="304" spans="1:6">
      <c r="A304" s="29">
        <v>15723</v>
      </c>
      <c r="B304" s="31" t="s">
        <v>1032</v>
      </c>
      <c r="C304" s="31" t="s">
        <v>128</v>
      </c>
      <c r="D304" s="31" t="s">
        <v>126</v>
      </c>
      <c r="E304" s="31" t="s">
        <v>760</v>
      </c>
      <c r="F304" s="32" t="s">
        <v>765</v>
      </c>
    </row>
    <row r="305" spans="1:6">
      <c r="A305" s="29">
        <v>15740</v>
      </c>
      <c r="B305" s="31" t="s">
        <v>1033</v>
      </c>
      <c r="C305" s="31" t="s">
        <v>128</v>
      </c>
      <c r="D305" s="31" t="s">
        <v>126</v>
      </c>
      <c r="E305" s="31" t="s">
        <v>760</v>
      </c>
      <c r="F305" s="32" t="s">
        <v>763</v>
      </c>
    </row>
    <row r="306" spans="1:6">
      <c r="A306" s="29">
        <v>15753</v>
      </c>
      <c r="B306" s="31" t="s">
        <v>1034</v>
      </c>
      <c r="C306" s="31" t="s">
        <v>128</v>
      </c>
      <c r="D306" s="31" t="s">
        <v>126</v>
      </c>
      <c r="E306" s="31" t="s">
        <v>760</v>
      </c>
      <c r="F306" s="32" t="s">
        <v>765</v>
      </c>
    </row>
    <row r="307" spans="1:6">
      <c r="A307" s="29">
        <v>15757</v>
      </c>
      <c r="B307" s="31" t="s">
        <v>1035</v>
      </c>
      <c r="C307" s="31" t="s">
        <v>128</v>
      </c>
      <c r="D307" s="31" t="s">
        <v>126</v>
      </c>
      <c r="E307" s="31" t="s">
        <v>760</v>
      </c>
      <c r="F307" s="32" t="s">
        <v>765</v>
      </c>
    </row>
    <row r="308" spans="1:6">
      <c r="A308" s="29">
        <v>15755</v>
      </c>
      <c r="B308" s="31" t="s">
        <v>1036</v>
      </c>
      <c r="C308" s="31" t="s">
        <v>128</v>
      </c>
      <c r="D308" s="31" t="s">
        <v>126</v>
      </c>
      <c r="E308" s="31" t="s">
        <v>760</v>
      </c>
      <c r="F308" s="32" t="s">
        <v>765</v>
      </c>
    </row>
    <row r="309" spans="1:6">
      <c r="A309" s="29">
        <v>15759</v>
      </c>
      <c r="B309" s="31" t="s">
        <v>1037</v>
      </c>
      <c r="C309" s="31" t="s">
        <v>128</v>
      </c>
      <c r="D309" s="31" t="s">
        <v>126</v>
      </c>
      <c r="E309" s="31" t="s">
        <v>760</v>
      </c>
      <c r="F309" s="32" t="s">
        <v>763</v>
      </c>
    </row>
    <row r="310" spans="1:6">
      <c r="A310" s="29">
        <v>15761</v>
      </c>
      <c r="B310" s="31" t="s">
        <v>1038</v>
      </c>
      <c r="C310" s="31" t="s">
        <v>128</v>
      </c>
      <c r="D310" s="31" t="s">
        <v>126</v>
      </c>
      <c r="E310" s="31" t="s">
        <v>760</v>
      </c>
      <c r="F310" s="32" t="s">
        <v>765</v>
      </c>
    </row>
    <row r="311" spans="1:6">
      <c r="A311" s="29">
        <v>15762</v>
      </c>
      <c r="B311" s="31" t="s">
        <v>1039</v>
      </c>
      <c r="C311" s="31" t="s">
        <v>128</v>
      </c>
      <c r="D311" s="31" t="s">
        <v>126</v>
      </c>
      <c r="E311" s="31" t="s">
        <v>760</v>
      </c>
      <c r="F311" s="32" t="s">
        <v>763</v>
      </c>
    </row>
    <row r="312" spans="1:6">
      <c r="A312" s="29">
        <v>15764</v>
      </c>
      <c r="B312" s="31" t="s">
        <v>1040</v>
      </c>
      <c r="C312" s="31" t="s">
        <v>128</v>
      </c>
      <c r="D312" s="31" t="s">
        <v>126</v>
      </c>
      <c r="E312" s="31" t="s">
        <v>760</v>
      </c>
      <c r="F312" s="32" t="s">
        <v>767</v>
      </c>
    </row>
    <row r="313" spans="1:6">
      <c r="A313" s="29">
        <v>15763</v>
      </c>
      <c r="B313" s="31" t="s">
        <v>1041</v>
      </c>
      <c r="C313" s="31" t="s">
        <v>128</v>
      </c>
      <c r="D313" s="31" t="s">
        <v>126</v>
      </c>
      <c r="E313" s="31" t="s">
        <v>760</v>
      </c>
      <c r="F313" s="32" t="s">
        <v>763</v>
      </c>
    </row>
    <row r="314" spans="1:6">
      <c r="A314" s="29">
        <v>15774</v>
      </c>
      <c r="B314" s="31" t="s">
        <v>1042</v>
      </c>
      <c r="C314" s="31" t="s">
        <v>128</v>
      </c>
      <c r="D314" s="31" t="s">
        <v>126</v>
      </c>
      <c r="E314" s="31" t="s">
        <v>760</v>
      </c>
      <c r="F314" s="32" t="s">
        <v>765</v>
      </c>
    </row>
    <row r="315" spans="1:6">
      <c r="A315" s="29">
        <v>15776</v>
      </c>
      <c r="B315" s="31" t="s">
        <v>1043</v>
      </c>
      <c r="C315" s="31" t="s">
        <v>128</v>
      </c>
      <c r="D315" s="31" t="s">
        <v>126</v>
      </c>
      <c r="E315" s="31" t="s">
        <v>760</v>
      </c>
      <c r="F315" s="32" t="s">
        <v>763</v>
      </c>
    </row>
    <row r="316" spans="1:6">
      <c r="A316" s="29">
        <v>15778</v>
      </c>
      <c r="B316" s="31" t="s">
        <v>1044</v>
      </c>
      <c r="C316" s="31" t="s">
        <v>128</v>
      </c>
      <c r="D316" s="31" t="s">
        <v>126</v>
      </c>
      <c r="E316" s="31" t="s">
        <v>760</v>
      </c>
      <c r="F316" s="32" t="s">
        <v>765</v>
      </c>
    </row>
    <row r="317" spans="1:6">
      <c r="A317" s="29">
        <v>15790</v>
      </c>
      <c r="B317" s="31" t="s">
        <v>1045</v>
      </c>
      <c r="C317" s="31" t="s">
        <v>128</v>
      </c>
      <c r="D317" s="31" t="s">
        <v>126</v>
      </c>
      <c r="E317" s="31" t="s">
        <v>760</v>
      </c>
      <c r="F317" s="32" t="s">
        <v>765</v>
      </c>
    </row>
    <row r="318" spans="1:6">
      <c r="A318" s="29">
        <v>15798</v>
      </c>
      <c r="B318" s="31" t="s">
        <v>1046</v>
      </c>
      <c r="C318" s="31" t="s">
        <v>128</v>
      </c>
      <c r="D318" s="31" t="s">
        <v>126</v>
      </c>
      <c r="E318" s="31" t="s">
        <v>760</v>
      </c>
      <c r="F318" s="32" t="s">
        <v>765</v>
      </c>
    </row>
    <row r="319" spans="1:6">
      <c r="A319" s="29">
        <v>15804</v>
      </c>
      <c r="B319" s="31" t="s">
        <v>1047</v>
      </c>
      <c r="C319" s="31" t="s">
        <v>128</v>
      </c>
      <c r="D319" s="31" t="s">
        <v>126</v>
      </c>
      <c r="E319" s="31" t="s">
        <v>760</v>
      </c>
      <c r="F319" s="32" t="s">
        <v>763</v>
      </c>
    </row>
    <row r="320" spans="1:6">
      <c r="A320" s="29">
        <v>15806</v>
      </c>
      <c r="B320" s="31" t="s">
        <v>1048</v>
      </c>
      <c r="C320" s="31" t="s">
        <v>128</v>
      </c>
      <c r="D320" s="31" t="s">
        <v>126</v>
      </c>
      <c r="E320" s="31" t="s">
        <v>760</v>
      </c>
      <c r="F320" s="32" t="s">
        <v>763</v>
      </c>
    </row>
    <row r="321" spans="1:6">
      <c r="A321" s="29">
        <v>15808</v>
      </c>
      <c r="B321" s="31" t="s">
        <v>1049</v>
      </c>
      <c r="C321" s="31" t="s">
        <v>128</v>
      </c>
      <c r="D321" s="31" t="s">
        <v>126</v>
      </c>
      <c r="E321" s="31" t="s">
        <v>760</v>
      </c>
      <c r="F321" s="32" t="s">
        <v>763</v>
      </c>
    </row>
    <row r="322" spans="1:6">
      <c r="A322" s="29">
        <v>15810</v>
      </c>
      <c r="B322" s="31" t="s">
        <v>1050</v>
      </c>
      <c r="C322" s="31" t="s">
        <v>128</v>
      </c>
      <c r="D322" s="31" t="s">
        <v>126</v>
      </c>
      <c r="E322" s="31" t="s">
        <v>760</v>
      </c>
      <c r="F322" s="32" t="s">
        <v>765</v>
      </c>
    </row>
    <row r="323" spans="1:6">
      <c r="A323" s="29">
        <v>15814</v>
      </c>
      <c r="B323" s="31" t="s">
        <v>1051</v>
      </c>
      <c r="C323" s="31" t="s">
        <v>128</v>
      </c>
      <c r="D323" s="31" t="s">
        <v>126</v>
      </c>
      <c r="E323" s="31" t="s">
        <v>760</v>
      </c>
      <c r="F323" s="32" t="s">
        <v>763</v>
      </c>
    </row>
    <row r="324" spans="1:6">
      <c r="A324" s="29">
        <v>15816</v>
      </c>
      <c r="B324" s="31" t="s">
        <v>1052</v>
      </c>
      <c r="C324" s="31" t="s">
        <v>128</v>
      </c>
      <c r="D324" s="31" t="s">
        <v>126</v>
      </c>
      <c r="E324" s="31" t="s">
        <v>760</v>
      </c>
      <c r="F324" s="32" t="s">
        <v>763</v>
      </c>
    </row>
    <row r="325" spans="1:6">
      <c r="A325" s="29">
        <v>15820</v>
      </c>
      <c r="B325" s="31" t="s">
        <v>1053</v>
      </c>
      <c r="C325" s="31" t="s">
        <v>128</v>
      </c>
      <c r="D325" s="31" t="s">
        <v>126</v>
      </c>
      <c r="E325" s="31" t="s">
        <v>760</v>
      </c>
      <c r="F325" s="32" t="s">
        <v>765</v>
      </c>
    </row>
    <row r="326" spans="1:6">
      <c r="A326" s="29">
        <v>15822</v>
      </c>
      <c r="B326" s="31" t="s">
        <v>1054</v>
      </c>
      <c r="C326" s="31" t="s">
        <v>128</v>
      </c>
      <c r="D326" s="31" t="s">
        <v>126</v>
      </c>
      <c r="E326" s="31" t="s">
        <v>760</v>
      </c>
      <c r="F326" s="32" t="s">
        <v>763</v>
      </c>
    </row>
    <row r="327" spans="1:6">
      <c r="A327" s="29">
        <v>15001</v>
      </c>
      <c r="B327" s="31" t="s">
        <v>126</v>
      </c>
      <c r="C327" s="31" t="s">
        <v>128</v>
      </c>
      <c r="D327" s="31" t="s">
        <v>126</v>
      </c>
      <c r="E327" s="31" t="s">
        <v>760</v>
      </c>
      <c r="F327" s="32" t="s">
        <v>767</v>
      </c>
    </row>
    <row r="328" spans="1:6">
      <c r="A328" s="29">
        <v>15832</v>
      </c>
      <c r="B328" s="31" t="s">
        <v>1055</v>
      </c>
      <c r="C328" s="31" t="s">
        <v>128</v>
      </c>
      <c r="D328" s="31" t="s">
        <v>126</v>
      </c>
      <c r="E328" s="31" t="s">
        <v>760</v>
      </c>
      <c r="F328" s="32" t="s">
        <v>765</v>
      </c>
    </row>
    <row r="329" spans="1:6">
      <c r="A329" s="29">
        <v>15835</v>
      </c>
      <c r="B329" s="31" t="s">
        <v>1056</v>
      </c>
      <c r="C329" s="31" t="s">
        <v>128</v>
      </c>
      <c r="D329" s="31" t="s">
        <v>126</v>
      </c>
      <c r="E329" s="31" t="s">
        <v>760</v>
      </c>
      <c r="F329" s="32" t="s">
        <v>763</v>
      </c>
    </row>
    <row r="330" spans="1:6">
      <c r="A330" s="29">
        <v>15837</v>
      </c>
      <c r="B330" s="31" t="s">
        <v>1057</v>
      </c>
      <c r="C330" s="31" t="s">
        <v>128</v>
      </c>
      <c r="D330" s="31" t="s">
        <v>126</v>
      </c>
      <c r="E330" s="31" t="s">
        <v>760</v>
      </c>
      <c r="F330" s="32" t="s">
        <v>763</v>
      </c>
    </row>
    <row r="331" spans="1:6">
      <c r="A331" s="29">
        <v>15839</v>
      </c>
      <c r="B331" s="31" t="s">
        <v>1058</v>
      </c>
      <c r="C331" s="31" t="s">
        <v>128</v>
      </c>
      <c r="D331" s="31" t="s">
        <v>126</v>
      </c>
      <c r="E331" s="31" t="s">
        <v>760</v>
      </c>
      <c r="F331" s="32" t="s">
        <v>763</v>
      </c>
    </row>
    <row r="332" spans="1:6">
      <c r="A332" s="29">
        <v>15842</v>
      </c>
      <c r="B332" s="31" t="s">
        <v>1059</v>
      </c>
      <c r="C332" s="31" t="s">
        <v>128</v>
      </c>
      <c r="D332" s="31" t="s">
        <v>126</v>
      </c>
      <c r="E332" s="31" t="s">
        <v>760</v>
      </c>
      <c r="F332" s="32" t="s">
        <v>763</v>
      </c>
    </row>
    <row r="333" spans="1:6">
      <c r="A333" s="29">
        <v>15861</v>
      </c>
      <c r="B333" s="31" t="s">
        <v>1060</v>
      </c>
      <c r="C333" s="31" t="s">
        <v>128</v>
      </c>
      <c r="D333" s="31" t="s">
        <v>126</v>
      </c>
      <c r="E333" s="31" t="s">
        <v>760</v>
      </c>
      <c r="F333" s="32" t="s">
        <v>763</v>
      </c>
    </row>
    <row r="334" spans="1:6">
      <c r="A334" s="29">
        <v>15407</v>
      </c>
      <c r="B334" s="31" t="s">
        <v>1061</v>
      </c>
      <c r="C334" s="31" t="s">
        <v>128</v>
      </c>
      <c r="D334" s="31" t="s">
        <v>126</v>
      </c>
      <c r="E334" s="31" t="s">
        <v>760</v>
      </c>
      <c r="F334" s="32" t="s">
        <v>763</v>
      </c>
    </row>
    <row r="335" spans="1:6">
      <c r="A335" s="29">
        <v>15879</v>
      </c>
      <c r="B335" s="31" t="s">
        <v>1062</v>
      </c>
      <c r="C335" s="31" t="s">
        <v>128</v>
      </c>
      <c r="D335" s="31" t="s">
        <v>126</v>
      </c>
      <c r="E335" s="31" t="s">
        <v>760</v>
      </c>
      <c r="F335" s="32" t="s">
        <v>763</v>
      </c>
    </row>
    <row r="336" spans="1:6">
      <c r="A336" s="29">
        <v>15897</v>
      </c>
      <c r="B336" s="31" t="s">
        <v>1063</v>
      </c>
      <c r="C336" s="31" t="s">
        <v>128</v>
      </c>
      <c r="D336" s="31" t="s">
        <v>126</v>
      </c>
      <c r="E336" s="31" t="s">
        <v>760</v>
      </c>
      <c r="F336" s="32" t="s">
        <v>765</v>
      </c>
    </row>
    <row r="337" spans="1:6">
      <c r="A337" s="29">
        <v>17524</v>
      </c>
      <c r="B337" s="30" t="s">
        <v>1064</v>
      </c>
      <c r="C337" s="31" t="s">
        <v>557</v>
      </c>
      <c r="D337" s="31" t="s">
        <v>555</v>
      </c>
      <c r="E337" s="31" t="s">
        <v>760</v>
      </c>
      <c r="F337" s="32" t="s">
        <v>763</v>
      </c>
    </row>
    <row r="338" spans="1:6">
      <c r="A338" s="29">
        <v>17614</v>
      </c>
      <c r="B338" s="30" t="s">
        <v>1065</v>
      </c>
      <c r="C338" s="31" t="s">
        <v>557</v>
      </c>
      <c r="D338" s="31" t="s">
        <v>555</v>
      </c>
      <c r="E338" s="31" t="s">
        <v>760</v>
      </c>
      <c r="F338" s="32" t="s">
        <v>763</v>
      </c>
    </row>
    <row r="339" spans="1:6">
      <c r="A339" s="29">
        <v>17653</v>
      </c>
      <c r="B339" s="30" t="s">
        <v>1066</v>
      </c>
      <c r="C339" s="31" t="s">
        <v>557</v>
      </c>
      <c r="D339" s="31" t="s">
        <v>555</v>
      </c>
      <c r="E339" s="31" t="s">
        <v>760</v>
      </c>
      <c r="F339" s="32" t="s">
        <v>763</v>
      </c>
    </row>
    <row r="340" spans="1:6">
      <c r="A340" s="29">
        <v>17013</v>
      </c>
      <c r="B340" s="31" t="s">
        <v>1067</v>
      </c>
      <c r="C340" s="31" t="s">
        <v>557</v>
      </c>
      <c r="D340" s="31" t="s">
        <v>555</v>
      </c>
      <c r="E340" s="31" t="s">
        <v>760</v>
      </c>
      <c r="F340" s="32" t="s">
        <v>765</v>
      </c>
    </row>
    <row r="341" spans="1:6">
      <c r="A341" s="29">
        <v>17042</v>
      </c>
      <c r="B341" s="31" t="s">
        <v>558</v>
      </c>
      <c r="C341" s="31" t="s">
        <v>557</v>
      </c>
      <c r="D341" s="31" t="s">
        <v>555</v>
      </c>
      <c r="E341" s="31" t="s">
        <v>760</v>
      </c>
      <c r="F341" s="32" t="s">
        <v>763</v>
      </c>
    </row>
    <row r="342" spans="1:6">
      <c r="A342" s="29">
        <v>17050</v>
      </c>
      <c r="B342" s="31" t="s">
        <v>1068</v>
      </c>
      <c r="C342" s="31" t="s">
        <v>557</v>
      </c>
      <c r="D342" s="31" t="s">
        <v>555</v>
      </c>
      <c r="E342" s="31" t="s">
        <v>760</v>
      </c>
      <c r="F342" s="32" t="s">
        <v>763</v>
      </c>
    </row>
    <row r="343" spans="1:6">
      <c r="A343" s="29">
        <v>17088</v>
      </c>
      <c r="B343" s="31" t="s">
        <v>1069</v>
      </c>
      <c r="C343" s="31" t="s">
        <v>557</v>
      </c>
      <c r="D343" s="31" t="s">
        <v>555</v>
      </c>
      <c r="E343" s="31" t="s">
        <v>760</v>
      </c>
      <c r="F343" s="32" t="s">
        <v>763</v>
      </c>
    </row>
    <row r="344" spans="1:6">
      <c r="A344" s="29">
        <v>17174</v>
      </c>
      <c r="B344" s="31" t="s">
        <v>1070</v>
      </c>
      <c r="C344" s="31" t="s">
        <v>557</v>
      </c>
      <c r="D344" s="31" t="s">
        <v>555</v>
      </c>
      <c r="E344" s="31" t="s">
        <v>760</v>
      </c>
      <c r="F344" s="32" t="s">
        <v>763</v>
      </c>
    </row>
    <row r="345" spans="1:6">
      <c r="A345" s="29">
        <v>17272</v>
      </c>
      <c r="B345" s="31" t="s">
        <v>1071</v>
      </c>
      <c r="C345" s="31" t="s">
        <v>557</v>
      </c>
      <c r="D345" s="31" t="s">
        <v>555</v>
      </c>
      <c r="E345" s="31" t="s">
        <v>760</v>
      </c>
      <c r="F345" s="32" t="s">
        <v>763</v>
      </c>
    </row>
    <row r="346" spans="1:6">
      <c r="A346" s="29">
        <v>17380</v>
      </c>
      <c r="B346" s="31" t="s">
        <v>1072</v>
      </c>
      <c r="C346" s="31" t="s">
        <v>557</v>
      </c>
      <c r="D346" s="31" t="s">
        <v>322</v>
      </c>
      <c r="E346" s="31" t="s">
        <v>760</v>
      </c>
      <c r="F346" s="32" t="s">
        <v>765</v>
      </c>
    </row>
    <row r="347" spans="1:6">
      <c r="A347" s="29">
        <v>17388</v>
      </c>
      <c r="B347" s="31" t="s">
        <v>1073</v>
      </c>
      <c r="C347" s="31" t="s">
        <v>557</v>
      </c>
      <c r="D347" s="31" t="s">
        <v>555</v>
      </c>
      <c r="E347" s="31" t="s">
        <v>760</v>
      </c>
      <c r="F347" s="32" t="s">
        <v>763</v>
      </c>
    </row>
    <row r="348" spans="1:6">
      <c r="A348" s="29">
        <v>17001</v>
      </c>
      <c r="B348" s="31" t="s">
        <v>555</v>
      </c>
      <c r="C348" s="31" t="s">
        <v>557</v>
      </c>
      <c r="D348" s="31" t="s">
        <v>555</v>
      </c>
      <c r="E348" s="31" t="s">
        <v>760</v>
      </c>
      <c r="F348" s="32" t="s">
        <v>767</v>
      </c>
    </row>
    <row r="349" spans="1:6">
      <c r="A349" s="29">
        <v>17433</v>
      </c>
      <c r="B349" s="31" t="s">
        <v>1074</v>
      </c>
      <c r="C349" s="31" t="s">
        <v>557</v>
      </c>
      <c r="D349" s="31" t="s">
        <v>555</v>
      </c>
      <c r="E349" s="31" t="s">
        <v>760</v>
      </c>
      <c r="F349" s="32" t="s">
        <v>765</v>
      </c>
    </row>
    <row r="350" spans="1:6">
      <c r="A350" s="29">
        <v>17442</v>
      </c>
      <c r="B350" s="31" t="s">
        <v>1075</v>
      </c>
      <c r="C350" s="31" t="s">
        <v>557</v>
      </c>
      <c r="D350" s="31" t="s">
        <v>555</v>
      </c>
      <c r="E350" s="31" t="s">
        <v>760</v>
      </c>
      <c r="F350" s="32" t="s">
        <v>763</v>
      </c>
    </row>
    <row r="351" spans="1:6">
      <c r="A351" s="29">
        <v>17444</v>
      </c>
      <c r="B351" s="31" t="s">
        <v>1076</v>
      </c>
      <c r="C351" s="31" t="s">
        <v>557</v>
      </c>
      <c r="D351" s="31" t="s">
        <v>555</v>
      </c>
      <c r="E351" s="31" t="s">
        <v>760</v>
      </c>
      <c r="F351" s="32" t="s">
        <v>765</v>
      </c>
    </row>
    <row r="352" spans="1:6">
      <c r="A352" s="29">
        <v>17446</v>
      </c>
      <c r="B352" s="31" t="s">
        <v>1077</v>
      </c>
      <c r="C352" s="31" t="s">
        <v>557</v>
      </c>
      <c r="D352" s="31" t="s">
        <v>555</v>
      </c>
      <c r="E352" s="31" t="s">
        <v>760</v>
      </c>
      <c r="F352" s="32" t="s">
        <v>765</v>
      </c>
    </row>
    <row r="353" spans="1:6">
      <c r="A353" s="29">
        <v>17486</v>
      </c>
      <c r="B353" s="31" t="s">
        <v>1078</v>
      </c>
      <c r="C353" s="31" t="s">
        <v>557</v>
      </c>
      <c r="D353" s="31" t="s">
        <v>555</v>
      </c>
      <c r="E353" s="31" t="s">
        <v>760</v>
      </c>
      <c r="F353" s="32" t="s">
        <v>763</v>
      </c>
    </row>
    <row r="354" spans="1:6">
      <c r="A354" s="29">
        <v>17495</v>
      </c>
      <c r="B354" s="31" t="s">
        <v>1079</v>
      </c>
      <c r="C354" s="31" t="s">
        <v>557</v>
      </c>
      <c r="D354" s="31" t="s">
        <v>322</v>
      </c>
      <c r="E354" s="31" t="s">
        <v>760</v>
      </c>
      <c r="F354" s="32" t="s">
        <v>761</v>
      </c>
    </row>
    <row r="355" spans="1:6">
      <c r="A355" s="29">
        <v>17513</v>
      </c>
      <c r="B355" s="31" t="s">
        <v>1080</v>
      </c>
      <c r="C355" s="31" t="s">
        <v>557</v>
      </c>
      <c r="D355" s="31" t="s">
        <v>555</v>
      </c>
      <c r="E355" s="31" t="s">
        <v>760</v>
      </c>
      <c r="F355" s="32" t="s">
        <v>765</v>
      </c>
    </row>
    <row r="356" spans="1:6">
      <c r="A356" s="29">
        <v>17541</v>
      </c>
      <c r="B356" s="31" t="s">
        <v>1081</v>
      </c>
      <c r="C356" s="31" t="s">
        <v>557</v>
      </c>
      <c r="D356" s="31" t="s">
        <v>555</v>
      </c>
      <c r="E356" s="31" t="s">
        <v>760</v>
      </c>
      <c r="F356" s="32" t="s">
        <v>765</v>
      </c>
    </row>
    <row r="357" spans="1:6">
      <c r="A357" s="29">
        <v>17616</v>
      </c>
      <c r="B357" s="31" t="s">
        <v>532</v>
      </c>
      <c r="C357" s="31" t="s">
        <v>557</v>
      </c>
      <c r="D357" s="31" t="s">
        <v>555</v>
      </c>
      <c r="E357" s="31" t="s">
        <v>760</v>
      </c>
      <c r="F357" s="32" t="s">
        <v>763</v>
      </c>
    </row>
    <row r="358" spans="1:6">
      <c r="A358" s="29">
        <v>17662</v>
      </c>
      <c r="B358" s="31" t="s">
        <v>1082</v>
      </c>
      <c r="C358" s="31" t="s">
        <v>557</v>
      </c>
      <c r="D358" s="31" t="s">
        <v>555</v>
      </c>
      <c r="E358" s="31" t="s">
        <v>760</v>
      </c>
      <c r="F358" s="32" t="s">
        <v>761</v>
      </c>
    </row>
    <row r="359" spans="1:6">
      <c r="A359" s="29">
        <v>17665</v>
      </c>
      <c r="B359" s="31" t="s">
        <v>1083</v>
      </c>
      <c r="C359" s="31" t="s">
        <v>557</v>
      </c>
      <c r="D359" s="31" t="s">
        <v>555</v>
      </c>
      <c r="E359" s="31" t="s">
        <v>760</v>
      </c>
      <c r="F359" s="32" t="s">
        <v>763</v>
      </c>
    </row>
    <row r="360" spans="1:6">
      <c r="A360" s="29">
        <v>17777</v>
      </c>
      <c r="B360" s="31" t="s">
        <v>1084</v>
      </c>
      <c r="C360" s="31" t="s">
        <v>557</v>
      </c>
      <c r="D360" s="31" t="s">
        <v>555</v>
      </c>
      <c r="E360" s="31" t="s">
        <v>760</v>
      </c>
      <c r="F360" s="32" t="s">
        <v>763</v>
      </c>
    </row>
    <row r="361" spans="1:6">
      <c r="A361" s="29">
        <v>17867</v>
      </c>
      <c r="B361" s="31" t="s">
        <v>1085</v>
      </c>
      <c r="C361" s="31" t="s">
        <v>557</v>
      </c>
      <c r="D361" s="31" t="s">
        <v>555</v>
      </c>
      <c r="E361" s="31" t="s">
        <v>760</v>
      </c>
      <c r="F361" s="32" t="s">
        <v>765</v>
      </c>
    </row>
    <row r="362" spans="1:6">
      <c r="A362" s="29">
        <v>17873</v>
      </c>
      <c r="B362" s="31" t="s">
        <v>1086</v>
      </c>
      <c r="C362" s="31" t="s">
        <v>557</v>
      </c>
      <c r="D362" s="31" t="s">
        <v>555</v>
      </c>
      <c r="E362" s="31" t="s">
        <v>760</v>
      </c>
      <c r="F362" s="32" t="s">
        <v>767</v>
      </c>
    </row>
    <row r="363" spans="1:6">
      <c r="A363" s="29">
        <v>17877</v>
      </c>
      <c r="B363" s="31" t="s">
        <v>1087</v>
      </c>
      <c r="C363" s="31" t="s">
        <v>557</v>
      </c>
      <c r="D363" s="31" t="s">
        <v>141</v>
      </c>
      <c r="E363" s="31" t="s">
        <v>760</v>
      </c>
      <c r="F363" s="32" t="s">
        <v>763</v>
      </c>
    </row>
    <row r="364" spans="1:6">
      <c r="A364" s="29">
        <v>18029</v>
      </c>
      <c r="B364" s="30" t="s">
        <v>1088</v>
      </c>
      <c r="C364" s="31" t="s">
        <v>289</v>
      </c>
      <c r="D364" s="31" t="s">
        <v>287</v>
      </c>
      <c r="E364" s="31" t="s">
        <v>760</v>
      </c>
      <c r="F364" s="32" t="s">
        <v>761</v>
      </c>
    </row>
    <row r="365" spans="1:6">
      <c r="A365" s="29">
        <v>18001</v>
      </c>
      <c r="B365" s="30" t="s">
        <v>290</v>
      </c>
      <c r="C365" s="31" t="s">
        <v>289</v>
      </c>
      <c r="D365" s="31" t="s">
        <v>287</v>
      </c>
      <c r="E365" s="31" t="s">
        <v>760</v>
      </c>
      <c r="F365" s="32" t="s">
        <v>761</v>
      </c>
    </row>
    <row r="366" spans="1:6">
      <c r="A366" s="29">
        <v>18592</v>
      </c>
      <c r="B366" s="30" t="s">
        <v>1089</v>
      </c>
      <c r="C366" s="31" t="s">
        <v>289</v>
      </c>
      <c r="D366" s="31" t="s">
        <v>287</v>
      </c>
      <c r="E366" s="31" t="s">
        <v>760</v>
      </c>
      <c r="F366" s="32" t="s">
        <v>748</v>
      </c>
    </row>
    <row r="367" spans="1:6">
      <c r="A367" s="29">
        <v>18860</v>
      </c>
      <c r="B367" s="30" t="s">
        <v>782</v>
      </c>
      <c r="C367" s="31" t="s">
        <v>289</v>
      </c>
      <c r="D367" s="31" t="s">
        <v>287</v>
      </c>
      <c r="E367" s="31" t="s">
        <v>760</v>
      </c>
      <c r="F367" s="32" t="s">
        <v>761</v>
      </c>
    </row>
    <row r="368" spans="1:6">
      <c r="A368" s="29">
        <v>18094</v>
      </c>
      <c r="B368" s="31" t="s">
        <v>1090</v>
      </c>
      <c r="C368" s="31" t="s">
        <v>289</v>
      </c>
      <c r="D368" s="31" t="s">
        <v>287</v>
      </c>
      <c r="E368" s="31" t="s">
        <v>760</v>
      </c>
      <c r="F368" s="32" t="s">
        <v>761</v>
      </c>
    </row>
    <row r="369" spans="1:6">
      <c r="A369" s="29">
        <v>18150</v>
      </c>
      <c r="B369" s="31" t="s">
        <v>1091</v>
      </c>
      <c r="C369" s="31" t="s">
        <v>289</v>
      </c>
      <c r="D369" s="31" t="s">
        <v>287</v>
      </c>
      <c r="E369" s="31" t="s">
        <v>760</v>
      </c>
      <c r="F369" s="32" t="s">
        <v>748</v>
      </c>
    </row>
    <row r="370" spans="1:6">
      <c r="A370" s="29">
        <v>18205</v>
      </c>
      <c r="B370" s="31" t="s">
        <v>1092</v>
      </c>
      <c r="C370" s="31" t="s">
        <v>289</v>
      </c>
      <c r="D370" s="31" t="s">
        <v>287</v>
      </c>
      <c r="E370" s="31" t="s">
        <v>760</v>
      </c>
      <c r="F370" s="32" t="s">
        <v>761</v>
      </c>
    </row>
    <row r="371" spans="1:6">
      <c r="A371" s="29">
        <v>18247</v>
      </c>
      <c r="B371" s="31" t="s">
        <v>609</v>
      </c>
      <c r="C371" s="31" t="s">
        <v>289</v>
      </c>
      <c r="D371" s="31" t="s">
        <v>287</v>
      </c>
      <c r="E371" s="31" t="s">
        <v>760</v>
      </c>
      <c r="F371" s="32" t="s">
        <v>761</v>
      </c>
    </row>
    <row r="372" spans="1:6">
      <c r="A372" s="29">
        <v>18256</v>
      </c>
      <c r="B372" s="31" t="s">
        <v>1093</v>
      </c>
      <c r="C372" s="31" t="s">
        <v>289</v>
      </c>
      <c r="D372" s="31" t="s">
        <v>287</v>
      </c>
      <c r="E372" s="31" t="s">
        <v>760</v>
      </c>
      <c r="F372" s="32" t="s">
        <v>761</v>
      </c>
    </row>
    <row r="373" spans="1:6">
      <c r="A373" s="29">
        <v>18410</v>
      </c>
      <c r="B373" s="31" t="s">
        <v>1094</v>
      </c>
      <c r="C373" s="31" t="s">
        <v>289</v>
      </c>
      <c r="D373" s="31" t="s">
        <v>287</v>
      </c>
      <c r="E373" s="31" t="s">
        <v>760</v>
      </c>
      <c r="F373" s="32" t="s">
        <v>761</v>
      </c>
    </row>
    <row r="374" spans="1:6">
      <c r="A374" s="29">
        <v>18460</v>
      </c>
      <c r="B374" s="31" t="s">
        <v>1095</v>
      </c>
      <c r="C374" s="31" t="s">
        <v>289</v>
      </c>
      <c r="D374" s="31" t="s">
        <v>287</v>
      </c>
      <c r="E374" s="31" t="s">
        <v>760</v>
      </c>
      <c r="F374" s="32" t="s">
        <v>761</v>
      </c>
    </row>
    <row r="375" spans="1:6">
      <c r="A375" s="29">
        <v>18479</v>
      </c>
      <c r="B375" s="31" t="s">
        <v>1096</v>
      </c>
      <c r="C375" s="31" t="s">
        <v>289</v>
      </c>
      <c r="D375" s="31" t="s">
        <v>287</v>
      </c>
      <c r="E375" s="31" t="s">
        <v>760</v>
      </c>
      <c r="F375" s="32" t="s">
        <v>761</v>
      </c>
    </row>
    <row r="376" spans="1:6">
      <c r="A376" s="29">
        <v>18610</v>
      </c>
      <c r="B376" s="31" t="s">
        <v>1097</v>
      </c>
      <c r="C376" s="31" t="s">
        <v>289</v>
      </c>
      <c r="D376" s="31" t="s">
        <v>287</v>
      </c>
      <c r="E376" s="31" t="s">
        <v>760</v>
      </c>
      <c r="F376" s="32" t="s">
        <v>761</v>
      </c>
    </row>
    <row r="377" spans="1:6">
      <c r="A377" s="29">
        <v>18753</v>
      </c>
      <c r="B377" s="31" t="s">
        <v>1098</v>
      </c>
      <c r="C377" s="31" t="s">
        <v>289</v>
      </c>
      <c r="D377" s="31" t="s">
        <v>287</v>
      </c>
      <c r="E377" s="31" t="s">
        <v>1099</v>
      </c>
      <c r="F377" s="32" t="s">
        <v>748</v>
      </c>
    </row>
    <row r="378" spans="1:6">
      <c r="A378" s="29">
        <v>18756</v>
      </c>
      <c r="B378" s="31" t="s">
        <v>614</v>
      </c>
      <c r="C378" s="31" t="s">
        <v>289</v>
      </c>
      <c r="D378" s="31" t="s">
        <v>287</v>
      </c>
      <c r="E378" s="31" t="s">
        <v>910</v>
      </c>
      <c r="F378" s="32" t="s">
        <v>748</v>
      </c>
    </row>
    <row r="379" spans="1:6">
      <c r="A379" s="29">
        <v>18785</v>
      </c>
      <c r="B379" s="31" t="s">
        <v>1100</v>
      </c>
      <c r="C379" s="31" t="s">
        <v>289</v>
      </c>
      <c r="D379" s="31" t="s">
        <v>287</v>
      </c>
      <c r="E379" s="31" t="s">
        <v>760</v>
      </c>
      <c r="F379" s="32" t="s">
        <v>761</v>
      </c>
    </row>
    <row r="380" spans="1:6">
      <c r="A380" s="29">
        <v>85300</v>
      </c>
      <c r="B380" s="30" t="s">
        <v>775</v>
      </c>
      <c r="C380" s="31" t="s">
        <v>360</v>
      </c>
      <c r="D380" s="31" t="s">
        <v>498</v>
      </c>
      <c r="E380" s="31" t="s">
        <v>760</v>
      </c>
      <c r="F380" s="32" t="s">
        <v>765</v>
      </c>
    </row>
    <row r="381" spans="1:6">
      <c r="A381" s="29">
        <v>85440</v>
      </c>
      <c r="B381" s="30" t="s">
        <v>361</v>
      </c>
      <c r="C381" s="31" t="s">
        <v>360</v>
      </c>
      <c r="D381" s="31" t="s">
        <v>302</v>
      </c>
      <c r="E381" s="31" t="s">
        <v>760</v>
      </c>
      <c r="F381" s="32" t="s">
        <v>765</v>
      </c>
    </row>
    <row r="382" spans="1:6">
      <c r="A382" s="29">
        <v>85010</v>
      </c>
      <c r="B382" s="31" t="s">
        <v>1101</v>
      </c>
      <c r="C382" s="31" t="s">
        <v>360</v>
      </c>
      <c r="D382" s="31" t="s">
        <v>498</v>
      </c>
      <c r="E382" s="31" t="s">
        <v>760</v>
      </c>
      <c r="F382" s="32" t="s">
        <v>763</v>
      </c>
    </row>
    <row r="383" spans="1:6">
      <c r="A383" s="29">
        <v>85015</v>
      </c>
      <c r="B383" s="31" t="s">
        <v>1102</v>
      </c>
      <c r="C383" s="31" t="s">
        <v>360</v>
      </c>
      <c r="D383" s="31" t="s">
        <v>498</v>
      </c>
      <c r="E383" s="31" t="s">
        <v>760</v>
      </c>
      <c r="F383" s="32" t="s">
        <v>761</v>
      </c>
    </row>
    <row r="384" spans="1:6">
      <c r="A384" s="29">
        <v>85125</v>
      </c>
      <c r="B384" s="31" t="s">
        <v>1103</v>
      </c>
      <c r="C384" s="31" t="s">
        <v>360</v>
      </c>
      <c r="D384" s="31" t="s">
        <v>498</v>
      </c>
      <c r="E384" s="31" t="s">
        <v>760</v>
      </c>
      <c r="F384" s="32" t="s">
        <v>765</v>
      </c>
    </row>
    <row r="385" spans="1:6">
      <c r="A385" s="29">
        <v>85136</v>
      </c>
      <c r="B385" s="31" t="s">
        <v>1104</v>
      </c>
      <c r="C385" s="31" t="s">
        <v>360</v>
      </c>
      <c r="D385" s="31" t="s">
        <v>498</v>
      </c>
      <c r="E385" s="31" t="s">
        <v>760</v>
      </c>
      <c r="F385" s="32" t="s">
        <v>761</v>
      </c>
    </row>
    <row r="386" spans="1:6">
      <c r="A386" s="29">
        <v>85139</v>
      </c>
      <c r="B386" s="31" t="s">
        <v>1105</v>
      </c>
      <c r="C386" s="31" t="s">
        <v>360</v>
      </c>
      <c r="D386" s="31" t="s">
        <v>498</v>
      </c>
      <c r="E386" s="31" t="s">
        <v>760</v>
      </c>
      <c r="F386" s="32" t="s">
        <v>763</v>
      </c>
    </row>
    <row r="387" spans="1:6">
      <c r="A387" s="29">
        <v>85162</v>
      </c>
      <c r="B387" s="31" t="s">
        <v>1106</v>
      </c>
      <c r="C387" s="31" t="s">
        <v>360</v>
      </c>
      <c r="D387" s="31" t="s">
        <v>498</v>
      </c>
      <c r="E387" s="31" t="s">
        <v>760</v>
      </c>
      <c r="F387" s="32" t="s">
        <v>763</v>
      </c>
    </row>
    <row r="388" spans="1:6">
      <c r="A388" s="29">
        <v>85225</v>
      </c>
      <c r="B388" s="31" t="s">
        <v>1107</v>
      </c>
      <c r="C388" s="31" t="s">
        <v>360</v>
      </c>
      <c r="D388" s="31" t="s">
        <v>498</v>
      </c>
      <c r="E388" s="31" t="s">
        <v>760</v>
      </c>
      <c r="F388" s="32" t="s">
        <v>763</v>
      </c>
    </row>
    <row r="389" spans="1:6">
      <c r="A389" s="29">
        <v>85230</v>
      </c>
      <c r="B389" s="31" t="s">
        <v>1108</v>
      </c>
      <c r="C389" s="31" t="s">
        <v>360</v>
      </c>
      <c r="D389" s="31" t="s">
        <v>498</v>
      </c>
      <c r="E389" s="31" t="s">
        <v>910</v>
      </c>
      <c r="F389" s="32" t="s">
        <v>748</v>
      </c>
    </row>
    <row r="390" spans="1:6">
      <c r="A390" s="29">
        <v>85250</v>
      </c>
      <c r="B390" s="31" t="s">
        <v>1109</v>
      </c>
      <c r="C390" s="31" t="s">
        <v>360</v>
      </c>
      <c r="D390" s="31" t="s">
        <v>498</v>
      </c>
      <c r="E390" s="31" t="s">
        <v>760</v>
      </c>
      <c r="F390" s="32" t="s">
        <v>763</v>
      </c>
    </row>
    <row r="391" spans="1:6">
      <c r="A391" s="29">
        <v>85263</v>
      </c>
      <c r="B391" s="31" t="s">
        <v>1110</v>
      </c>
      <c r="C391" s="31" t="s">
        <v>360</v>
      </c>
      <c r="D391" s="31" t="s">
        <v>498</v>
      </c>
      <c r="E391" s="31" t="s">
        <v>760</v>
      </c>
      <c r="F391" s="32" t="s">
        <v>763</v>
      </c>
    </row>
    <row r="392" spans="1:6">
      <c r="A392" s="29">
        <v>85279</v>
      </c>
      <c r="B392" s="31" t="s">
        <v>1111</v>
      </c>
      <c r="C392" s="31" t="s">
        <v>360</v>
      </c>
      <c r="D392" s="31" t="s">
        <v>498</v>
      </c>
      <c r="E392" s="31" t="s">
        <v>760</v>
      </c>
      <c r="F392" s="32" t="s">
        <v>765</v>
      </c>
    </row>
    <row r="393" spans="1:6">
      <c r="A393" s="29">
        <v>85315</v>
      </c>
      <c r="B393" s="31" t="s">
        <v>1112</v>
      </c>
      <c r="C393" s="31" t="s">
        <v>360</v>
      </c>
      <c r="D393" s="31" t="s">
        <v>498</v>
      </c>
      <c r="E393" s="31" t="s">
        <v>760</v>
      </c>
      <c r="F393" s="32" t="s">
        <v>761</v>
      </c>
    </row>
    <row r="394" spans="1:6">
      <c r="A394" s="29">
        <v>85325</v>
      </c>
      <c r="B394" s="31" t="s">
        <v>1113</v>
      </c>
      <c r="C394" s="31" t="s">
        <v>360</v>
      </c>
      <c r="D394" s="31" t="s">
        <v>498</v>
      </c>
      <c r="E394" s="31" t="s">
        <v>760</v>
      </c>
      <c r="F394" s="32" t="s">
        <v>763</v>
      </c>
    </row>
    <row r="395" spans="1:6">
      <c r="A395" s="29">
        <v>85400</v>
      </c>
      <c r="B395" s="31" t="s">
        <v>1114</v>
      </c>
      <c r="C395" s="31" t="s">
        <v>360</v>
      </c>
      <c r="D395" s="31" t="s">
        <v>498</v>
      </c>
      <c r="E395" s="31" t="s">
        <v>760</v>
      </c>
      <c r="F395" s="32" t="s">
        <v>765</v>
      </c>
    </row>
    <row r="396" spans="1:6">
      <c r="A396" s="29">
        <v>85410</v>
      </c>
      <c r="B396" s="31" t="s">
        <v>1115</v>
      </c>
      <c r="C396" s="31" t="s">
        <v>360</v>
      </c>
      <c r="D396" s="31" t="s">
        <v>498</v>
      </c>
      <c r="E396" s="31" t="s">
        <v>760</v>
      </c>
      <c r="F396" s="32" t="s">
        <v>763</v>
      </c>
    </row>
    <row r="397" spans="1:6">
      <c r="A397" s="29">
        <v>85430</v>
      </c>
      <c r="B397" s="31" t="s">
        <v>1116</v>
      </c>
      <c r="C397" s="31" t="s">
        <v>360</v>
      </c>
      <c r="D397" s="31" t="s">
        <v>498</v>
      </c>
      <c r="E397" s="31" t="s">
        <v>760</v>
      </c>
      <c r="F397" s="32" t="s">
        <v>763</v>
      </c>
    </row>
    <row r="398" spans="1:6">
      <c r="A398" s="29">
        <v>85001</v>
      </c>
      <c r="B398" s="31" t="s">
        <v>498</v>
      </c>
      <c r="C398" s="31" t="s">
        <v>360</v>
      </c>
      <c r="D398" s="31" t="s">
        <v>498</v>
      </c>
      <c r="E398" s="31" t="s">
        <v>760</v>
      </c>
      <c r="F398" s="32" t="s">
        <v>767</v>
      </c>
    </row>
    <row r="399" spans="1:6">
      <c r="A399" s="29">
        <v>19050</v>
      </c>
      <c r="B399" s="30" t="s">
        <v>759</v>
      </c>
      <c r="C399" s="31" t="s">
        <v>114</v>
      </c>
      <c r="D399" s="31" t="s">
        <v>112</v>
      </c>
      <c r="E399" s="31" t="s">
        <v>760</v>
      </c>
      <c r="F399" s="32" t="s">
        <v>761</v>
      </c>
    </row>
    <row r="400" spans="1:6">
      <c r="A400" s="29">
        <v>19075</v>
      </c>
      <c r="B400" s="30" t="s">
        <v>1117</v>
      </c>
      <c r="C400" s="31" t="s">
        <v>114</v>
      </c>
      <c r="D400" s="31" t="s">
        <v>112</v>
      </c>
      <c r="E400" s="31" t="s">
        <v>760</v>
      </c>
      <c r="F400" s="32" t="s">
        <v>761</v>
      </c>
    </row>
    <row r="401" spans="1:6">
      <c r="A401" s="29">
        <v>19100</v>
      </c>
      <c r="B401" s="30" t="s">
        <v>281</v>
      </c>
      <c r="C401" s="31" t="s">
        <v>114</v>
      </c>
      <c r="D401" s="31" t="s">
        <v>112</v>
      </c>
      <c r="E401" s="31" t="s">
        <v>760</v>
      </c>
      <c r="F401" s="32" t="s">
        <v>761</v>
      </c>
    </row>
    <row r="402" spans="1:6">
      <c r="A402" s="29">
        <v>19256</v>
      </c>
      <c r="B402" s="30" t="s">
        <v>1118</v>
      </c>
      <c r="C402" s="31" t="s">
        <v>114</v>
      </c>
      <c r="D402" s="31" t="s">
        <v>112</v>
      </c>
      <c r="E402" s="31" t="s">
        <v>760</v>
      </c>
      <c r="F402" s="32" t="s">
        <v>765</v>
      </c>
    </row>
    <row r="403" spans="1:6">
      <c r="A403" s="29">
        <v>19290</v>
      </c>
      <c r="B403" s="30" t="s">
        <v>290</v>
      </c>
      <c r="C403" s="31" t="s">
        <v>114</v>
      </c>
      <c r="D403" s="31" t="s">
        <v>112</v>
      </c>
      <c r="E403" s="31" t="s">
        <v>760</v>
      </c>
      <c r="F403" s="32" t="s">
        <v>761</v>
      </c>
    </row>
    <row r="404" spans="1:6">
      <c r="A404" s="29">
        <v>19397</v>
      </c>
      <c r="B404" s="30" t="s">
        <v>1119</v>
      </c>
      <c r="C404" s="31" t="s">
        <v>114</v>
      </c>
      <c r="D404" s="31" t="s">
        <v>112</v>
      </c>
      <c r="E404" s="31" t="s">
        <v>760</v>
      </c>
      <c r="F404" s="32" t="s">
        <v>761</v>
      </c>
    </row>
    <row r="405" spans="1:6">
      <c r="A405" s="29">
        <v>19473</v>
      </c>
      <c r="B405" s="30" t="s">
        <v>908</v>
      </c>
      <c r="C405" s="31" t="s">
        <v>114</v>
      </c>
      <c r="D405" s="31" t="s">
        <v>112</v>
      </c>
      <c r="E405" s="31" t="s">
        <v>760</v>
      </c>
      <c r="F405" s="32" t="s">
        <v>765</v>
      </c>
    </row>
    <row r="406" spans="1:6">
      <c r="A406" s="29">
        <v>19517</v>
      </c>
      <c r="B406" s="30" t="s">
        <v>953</v>
      </c>
      <c r="C406" s="31" t="s">
        <v>114</v>
      </c>
      <c r="D406" s="31" t="s">
        <v>112</v>
      </c>
      <c r="E406" s="31" t="s">
        <v>760</v>
      </c>
      <c r="F406" s="32" t="s">
        <v>761</v>
      </c>
    </row>
    <row r="407" spans="1:6">
      <c r="A407" s="29">
        <v>19701</v>
      </c>
      <c r="B407" s="30" t="s">
        <v>911</v>
      </c>
      <c r="C407" s="31" t="s">
        <v>114</v>
      </c>
      <c r="D407" s="31" t="s">
        <v>112</v>
      </c>
      <c r="E407" s="31" t="s">
        <v>760</v>
      </c>
      <c r="F407" s="32" t="s">
        <v>761</v>
      </c>
    </row>
    <row r="408" spans="1:6">
      <c r="A408" s="29">
        <v>19780</v>
      </c>
      <c r="B408" s="30" t="s">
        <v>1120</v>
      </c>
      <c r="C408" s="31" t="s">
        <v>114</v>
      </c>
      <c r="D408" s="31" t="s">
        <v>112</v>
      </c>
      <c r="E408" s="31" t="s">
        <v>760</v>
      </c>
      <c r="F408" s="32" t="s">
        <v>765</v>
      </c>
    </row>
    <row r="409" spans="1:6">
      <c r="A409" s="29">
        <v>19785</v>
      </c>
      <c r="B409" s="30" t="s">
        <v>486</v>
      </c>
      <c r="C409" s="31" t="s">
        <v>114</v>
      </c>
      <c r="D409" s="31" t="s">
        <v>112</v>
      </c>
      <c r="E409" s="31" t="s">
        <v>760</v>
      </c>
      <c r="F409" s="32" t="s">
        <v>761</v>
      </c>
    </row>
    <row r="410" spans="1:6">
      <c r="A410" s="29">
        <v>19022</v>
      </c>
      <c r="B410" s="31" t="s">
        <v>1121</v>
      </c>
      <c r="C410" s="31" t="s">
        <v>114</v>
      </c>
      <c r="D410" s="31" t="s">
        <v>112</v>
      </c>
      <c r="E410" s="31" t="s">
        <v>760</v>
      </c>
      <c r="F410" s="32" t="s">
        <v>761</v>
      </c>
    </row>
    <row r="411" spans="1:6">
      <c r="A411" s="29">
        <v>19110</v>
      </c>
      <c r="B411" s="31" t="s">
        <v>182</v>
      </c>
      <c r="C411" s="31" t="s">
        <v>114</v>
      </c>
      <c r="D411" s="31" t="s">
        <v>112</v>
      </c>
      <c r="E411" s="31" t="s">
        <v>760</v>
      </c>
      <c r="F411" s="32" t="s">
        <v>763</v>
      </c>
    </row>
    <row r="412" spans="1:6">
      <c r="A412" s="29">
        <v>19130</v>
      </c>
      <c r="B412" s="31" t="s">
        <v>1122</v>
      </c>
      <c r="C412" s="31" t="s">
        <v>114</v>
      </c>
      <c r="D412" s="31" t="s">
        <v>112</v>
      </c>
      <c r="E412" s="31" t="s">
        <v>760</v>
      </c>
      <c r="F412" s="32" t="s">
        <v>765</v>
      </c>
    </row>
    <row r="413" spans="1:6">
      <c r="A413" s="29">
        <v>19137</v>
      </c>
      <c r="B413" s="31" t="s">
        <v>1123</v>
      </c>
      <c r="C413" s="31" t="s">
        <v>114</v>
      </c>
      <c r="D413" s="31" t="s">
        <v>112</v>
      </c>
      <c r="E413" s="31" t="s">
        <v>760</v>
      </c>
      <c r="F413" s="32" t="s">
        <v>765</v>
      </c>
    </row>
    <row r="414" spans="1:6">
      <c r="A414" s="29">
        <v>19142</v>
      </c>
      <c r="B414" s="31" t="s">
        <v>1124</v>
      </c>
      <c r="C414" s="31" t="s">
        <v>114</v>
      </c>
      <c r="D414" s="31" t="s">
        <v>112</v>
      </c>
      <c r="E414" s="31" t="s">
        <v>760</v>
      </c>
      <c r="F414" s="32" t="s">
        <v>763</v>
      </c>
    </row>
    <row r="415" spans="1:6">
      <c r="A415" s="29">
        <v>19212</v>
      </c>
      <c r="B415" s="31" t="s">
        <v>1125</v>
      </c>
      <c r="C415" s="31" t="s">
        <v>114</v>
      </c>
      <c r="D415" s="31" t="s">
        <v>112</v>
      </c>
      <c r="E415" s="31" t="s">
        <v>760</v>
      </c>
      <c r="F415" s="32" t="s">
        <v>765</v>
      </c>
    </row>
    <row r="416" spans="1:6">
      <c r="A416" s="29">
        <v>19300</v>
      </c>
      <c r="B416" s="31" t="s">
        <v>1126</v>
      </c>
      <c r="C416" s="31" t="s">
        <v>114</v>
      </c>
      <c r="D416" s="31" t="s">
        <v>112</v>
      </c>
      <c r="E416" s="31" t="s">
        <v>760</v>
      </c>
      <c r="F416" s="32" t="s">
        <v>763</v>
      </c>
    </row>
    <row r="417" spans="1:6">
      <c r="A417" s="29">
        <v>19318</v>
      </c>
      <c r="B417" s="31" t="s">
        <v>1127</v>
      </c>
      <c r="C417" s="31" t="s">
        <v>114</v>
      </c>
      <c r="D417" s="31" t="s">
        <v>112</v>
      </c>
      <c r="E417" s="31" t="s">
        <v>747</v>
      </c>
      <c r="F417" s="32" t="s">
        <v>748</v>
      </c>
    </row>
    <row r="418" spans="1:6">
      <c r="A418" s="29">
        <v>19355</v>
      </c>
      <c r="B418" s="31" t="s">
        <v>1128</v>
      </c>
      <c r="C418" s="31" t="s">
        <v>114</v>
      </c>
      <c r="D418" s="31" t="s">
        <v>112</v>
      </c>
      <c r="E418" s="31" t="s">
        <v>760</v>
      </c>
      <c r="F418" s="32" t="s">
        <v>761</v>
      </c>
    </row>
    <row r="419" spans="1:6">
      <c r="A419" s="29">
        <v>19364</v>
      </c>
      <c r="B419" s="31" t="s">
        <v>1129</v>
      </c>
      <c r="C419" s="31" t="s">
        <v>114</v>
      </c>
      <c r="D419" s="31" t="s">
        <v>112</v>
      </c>
      <c r="E419" s="31" t="s">
        <v>760</v>
      </c>
      <c r="F419" s="32" t="s">
        <v>765</v>
      </c>
    </row>
    <row r="420" spans="1:6">
      <c r="A420" s="29">
        <v>19392</v>
      </c>
      <c r="B420" s="31" t="s">
        <v>619</v>
      </c>
      <c r="C420" s="31" t="s">
        <v>114</v>
      </c>
      <c r="D420" s="31" t="s">
        <v>112</v>
      </c>
      <c r="E420" s="31" t="s">
        <v>760</v>
      </c>
      <c r="F420" s="32" t="s">
        <v>765</v>
      </c>
    </row>
    <row r="421" spans="1:6">
      <c r="A421" s="29">
        <v>19418</v>
      </c>
      <c r="B421" s="31" t="s">
        <v>1130</v>
      </c>
      <c r="C421" s="31" t="s">
        <v>114</v>
      </c>
      <c r="D421" s="31" t="s">
        <v>112</v>
      </c>
      <c r="E421" s="31" t="s">
        <v>760</v>
      </c>
      <c r="F421" s="32" t="s">
        <v>761</v>
      </c>
    </row>
    <row r="422" spans="1:6">
      <c r="A422" s="29">
        <v>19450</v>
      </c>
      <c r="B422" s="31" t="s">
        <v>1131</v>
      </c>
      <c r="C422" s="31" t="s">
        <v>114</v>
      </c>
      <c r="D422" s="31" t="s">
        <v>112</v>
      </c>
      <c r="E422" s="31" t="s">
        <v>760</v>
      </c>
      <c r="F422" s="32" t="s">
        <v>761</v>
      </c>
    </row>
    <row r="423" spans="1:6">
      <c r="A423" s="29">
        <v>19455</v>
      </c>
      <c r="B423" s="31" t="s">
        <v>1132</v>
      </c>
      <c r="C423" s="31" t="s">
        <v>114</v>
      </c>
      <c r="D423" s="31" t="s">
        <v>112</v>
      </c>
      <c r="E423" s="31" t="s">
        <v>760</v>
      </c>
      <c r="F423" s="32" t="s">
        <v>765</v>
      </c>
    </row>
    <row r="424" spans="1:6">
      <c r="A424" s="29">
        <v>19513</v>
      </c>
      <c r="B424" s="31" t="s">
        <v>1133</v>
      </c>
      <c r="C424" s="31" t="s">
        <v>114</v>
      </c>
      <c r="D424" s="31" t="s">
        <v>112</v>
      </c>
      <c r="E424" s="31" t="s">
        <v>760</v>
      </c>
      <c r="F424" s="32" t="s">
        <v>763</v>
      </c>
    </row>
    <row r="425" spans="1:6">
      <c r="A425" s="29">
        <v>19532</v>
      </c>
      <c r="B425" s="31" t="s">
        <v>1134</v>
      </c>
      <c r="C425" s="31" t="s">
        <v>114</v>
      </c>
      <c r="D425" s="31" t="s">
        <v>112</v>
      </c>
      <c r="E425" s="31" t="s">
        <v>760</v>
      </c>
      <c r="F425" s="32" t="s">
        <v>761</v>
      </c>
    </row>
    <row r="426" spans="1:6">
      <c r="A426" s="29">
        <v>19533</v>
      </c>
      <c r="B426" s="31" t="s">
        <v>1135</v>
      </c>
      <c r="C426" s="31" t="s">
        <v>114</v>
      </c>
      <c r="D426" s="31" t="s">
        <v>235</v>
      </c>
      <c r="E426" s="31" t="s">
        <v>910</v>
      </c>
      <c r="F426" s="32" t="s">
        <v>748</v>
      </c>
    </row>
    <row r="427" spans="1:6">
      <c r="A427" s="29">
        <v>19548</v>
      </c>
      <c r="B427" s="31" t="s">
        <v>1136</v>
      </c>
      <c r="C427" s="31" t="s">
        <v>114</v>
      </c>
      <c r="D427" s="31" t="s">
        <v>112</v>
      </c>
      <c r="E427" s="31" t="s">
        <v>760</v>
      </c>
      <c r="F427" s="32" t="s">
        <v>765</v>
      </c>
    </row>
    <row r="428" spans="1:6">
      <c r="A428" s="29">
        <v>19001</v>
      </c>
      <c r="B428" s="31" t="s">
        <v>479</v>
      </c>
      <c r="C428" s="31" t="s">
        <v>114</v>
      </c>
      <c r="D428" s="31" t="s">
        <v>112</v>
      </c>
      <c r="E428" s="31" t="s">
        <v>760</v>
      </c>
      <c r="F428" s="32" t="s">
        <v>765</v>
      </c>
    </row>
    <row r="429" spans="1:6">
      <c r="A429" s="29">
        <v>19573</v>
      </c>
      <c r="B429" s="31" t="s">
        <v>1137</v>
      </c>
      <c r="C429" s="31" t="s">
        <v>114</v>
      </c>
      <c r="D429" s="31" t="s">
        <v>112</v>
      </c>
      <c r="E429" s="31" t="s">
        <v>760</v>
      </c>
      <c r="F429" s="32" t="s">
        <v>763</v>
      </c>
    </row>
    <row r="430" spans="1:6">
      <c r="A430" s="29">
        <v>19585</v>
      </c>
      <c r="B430" s="31" t="s">
        <v>1138</v>
      </c>
      <c r="C430" s="31" t="s">
        <v>114</v>
      </c>
      <c r="D430" s="31" t="s">
        <v>112</v>
      </c>
      <c r="E430" s="31" t="s">
        <v>760</v>
      </c>
      <c r="F430" s="32" t="s">
        <v>761</v>
      </c>
    </row>
    <row r="431" spans="1:6">
      <c r="A431" s="29">
        <v>19622</v>
      </c>
      <c r="B431" s="31" t="s">
        <v>1139</v>
      </c>
      <c r="C431" s="31" t="s">
        <v>114</v>
      </c>
      <c r="D431" s="31" t="s">
        <v>112</v>
      </c>
      <c r="E431" s="31" t="s">
        <v>760</v>
      </c>
      <c r="F431" s="32" t="s">
        <v>765</v>
      </c>
    </row>
    <row r="432" spans="1:6">
      <c r="A432" s="29">
        <v>19693</v>
      </c>
      <c r="B432" s="31" t="s">
        <v>1140</v>
      </c>
      <c r="C432" s="31" t="s">
        <v>114</v>
      </c>
      <c r="D432" s="31" t="s">
        <v>112</v>
      </c>
      <c r="E432" s="31" t="s">
        <v>760</v>
      </c>
      <c r="F432" s="32" t="s">
        <v>761</v>
      </c>
    </row>
    <row r="433" spans="1:6">
      <c r="A433" s="29">
        <v>19698</v>
      </c>
      <c r="B433" s="31" t="s">
        <v>1141</v>
      </c>
      <c r="C433" s="31" t="s">
        <v>114</v>
      </c>
      <c r="D433" s="31" t="s">
        <v>112</v>
      </c>
      <c r="E433" s="31" t="s">
        <v>760</v>
      </c>
      <c r="F433" s="32" t="s">
        <v>763</v>
      </c>
    </row>
    <row r="434" spans="1:6">
      <c r="A434" s="29">
        <v>19743</v>
      </c>
      <c r="B434" s="31" t="s">
        <v>1142</v>
      </c>
      <c r="C434" s="31" t="s">
        <v>114</v>
      </c>
      <c r="D434" s="31" t="s">
        <v>112</v>
      </c>
      <c r="E434" s="31" t="s">
        <v>760</v>
      </c>
      <c r="F434" s="32" t="s">
        <v>765</v>
      </c>
    </row>
    <row r="435" spans="1:6">
      <c r="A435" s="29">
        <v>19760</v>
      </c>
      <c r="B435" s="31" t="s">
        <v>1143</v>
      </c>
      <c r="C435" s="31" t="s">
        <v>114</v>
      </c>
      <c r="D435" s="31" t="s">
        <v>112</v>
      </c>
      <c r="E435" s="31" t="s">
        <v>760</v>
      </c>
      <c r="F435" s="32" t="s">
        <v>765</v>
      </c>
    </row>
    <row r="436" spans="1:6">
      <c r="A436" s="29">
        <v>19807</v>
      </c>
      <c r="B436" s="31" t="s">
        <v>115</v>
      </c>
      <c r="C436" s="31" t="s">
        <v>114</v>
      </c>
      <c r="D436" s="31" t="s">
        <v>112</v>
      </c>
      <c r="E436" s="31" t="s">
        <v>760</v>
      </c>
      <c r="F436" s="32" t="s">
        <v>765</v>
      </c>
    </row>
    <row r="437" spans="1:6">
      <c r="A437" s="29">
        <v>19809</v>
      </c>
      <c r="B437" s="31" t="s">
        <v>1144</v>
      </c>
      <c r="C437" s="31" t="s">
        <v>114</v>
      </c>
      <c r="D437" s="31" t="s">
        <v>112</v>
      </c>
      <c r="E437" s="31" t="s">
        <v>747</v>
      </c>
      <c r="F437" s="32" t="s">
        <v>748</v>
      </c>
    </row>
    <row r="438" spans="1:6">
      <c r="A438" s="29">
        <v>19821</v>
      </c>
      <c r="B438" s="31" t="s">
        <v>1145</v>
      </c>
      <c r="C438" s="31" t="s">
        <v>114</v>
      </c>
      <c r="D438" s="31" t="s">
        <v>112</v>
      </c>
      <c r="E438" s="31" t="s">
        <v>760</v>
      </c>
      <c r="F438" s="32" t="s">
        <v>765</v>
      </c>
    </row>
    <row r="439" spans="1:6">
      <c r="A439" s="29">
        <v>19824</v>
      </c>
      <c r="B439" s="31" t="s">
        <v>1146</v>
      </c>
      <c r="C439" s="31" t="s">
        <v>114</v>
      </c>
      <c r="D439" s="31" t="s">
        <v>112</v>
      </c>
      <c r="E439" s="31" t="s">
        <v>760</v>
      </c>
      <c r="F439" s="32" t="s">
        <v>765</v>
      </c>
    </row>
    <row r="440" spans="1:6">
      <c r="A440" s="29">
        <v>19845</v>
      </c>
      <c r="B440" s="31" t="s">
        <v>1147</v>
      </c>
      <c r="C440" s="31" t="s">
        <v>114</v>
      </c>
      <c r="D440" s="31" t="s">
        <v>112</v>
      </c>
      <c r="E440" s="31" t="s">
        <v>760</v>
      </c>
      <c r="F440" s="32" t="s">
        <v>761</v>
      </c>
    </row>
    <row r="441" spans="1:6">
      <c r="A441" s="29">
        <v>20621</v>
      </c>
      <c r="B441" s="30" t="s">
        <v>1148</v>
      </c>
      <c r="C441" s="31" t="s">
        <v>169</v>
      </c>
      <c r="D441" s="31" t="s">
        <v>167</v>
      </c>
      <c r="E441" s="31" t="s">
        <v>760</v>
      </c>
      <c r="F441" s="32" t="s">
        <v>763</v>
      </c>
    </row>
    <row r="442" spans="1:6">
      <c r="A442" s="29">
        <v>20443</v>
      </c>
      <c r="B442" s="30" t="s">
        <v>1149</v>
      </c>
      <c r="C442" s="31" t="s">
        <v>169</v>
      </c>
      <c r="D442" s="31" t="s">
        <v>167</v>
      </c>
      <c r="E442" s="31" t="s">
        <v>760</v>
      </c>
      <c r="F442" s="32" t="s">
        <v>763</v>
      </c>
    </row>
    <row r="443" spans="1:6">
      <c r="A443" s="29">
        <v>20770</v>
      </c>
      <c r="B443" s="30" t="s">
        <v>1150</v>
      </c>
      <c r="C443" s="31" t="s">
        <v>169</v>
      </c>
      <c r="D443" s="31" t="s">
        <v>188</v>
      </c>
      <c r="E443" s="31" t="s">
        <v>760</v>
      </c>
      <c r="F443" s="32" t="s">
        <v>765</v>
      </c>
    </row>
    <row r="444" spans="1:6">
      <c r="A444" s="29">
        <v>20011</v>
      </c>
      <c r="B444" s="31" t="s">
        <v>1151</v>
      </c>
      <c r="C444" s="31" t="s">
        <v>169</v>
      </c>
      <c r="D444" s="31" t="s">
        <v>167</v>
      </c>
      <c r="E444" s="31" t="s">
        <v>760</v>
      </c>
      <c r="F444" s="32" t="s">
        <v>761</v>
      </c>
    </row>
    <row r="445" spans="1:6">
      <c r="A445" s="29">
        <v>20013</v>
      </c>
      <c r="B445" s="31" t="s">
        <v>1152</v>
      </c>
      <c r="C445" s="31" t="s">
        <v>169</v>
      </c>
      <c r="D445" s="31" t="s">
        <v>167</v>
      </c>
      <c r="E445" s="31" t="s">
        <v>760</v>
      </c>
      <c r="F445" s="32" t="s">
        <v>763</v>
      </c>
    </row>
    <row r="446" spans="1:6">
      <c r="A446" s="29">
        <v>20032</v>
      </c>
      <c r="B446" s="31" t="s">
        <v>1153</v>
      </c>
      <c r="C446" s="31" t="s">
        <v>169</v>
      </c>
      <c r="D446" s="31" t="s">
        <v>167</v>
      </c>
      <c r="E446" s="31" t="s">
        <v>760</v>
      </c>
      <c r="F446" s="32" t="s">
        <v>765</v>
      </c>
    </row>
    <row r="447" spans="1:6">
      <c r="A447" s="29">
        <v>20045</v>
      </c>
      <c r="B447" s="31" t="s">
        <v>1154</v>
      </c>
      <c r="C447" s="31" t="s">
        <v>169</v>
      </c>
      <c r="D447" s="31" t="s">
        <v>167</v>
      </c>
      <c r="E447" s="31" t="s">
        <v>760</v>
      </c>
      <c r="F447" s="32" t="s">
        <v>763</v>
      </c>
    </row>
    <row r="448" spans="1:6">
      <c r="A448" s="29">
        <v>20060</v>
      </c>
      <c r="B448" s="31" t="s">
        <v>1155</v>
      </c>
      <c r="C448" s="31" t="s">
        <v>169</v>
      </c>
      <c r="D448" s="31" t="s">
        <v>167</v>
      </c>
      <c r="E448" s="31" t="s">
        <v>760</v>
      </c>
      <c r="F448" s="32" t="s">
        <v>763</v>
      </c>
    </row>
    <row r="449" spans="1:6">
      <c r="A449" s="29">
        <v>20175</v>
      </c>
      <c r="B449" s="31" t="s">
        <v>1156</v>
      </c>
      <c r="C449" s="31" t="s">
        <v>169</v>
      </c>
      <c r="D449" s="31" t="s">
        <v>167</v>
      </c>
      <c r="E449" s="31" t="s">
        <v>760</v>
      </c>
      <c r="F449" s="32" t="s">
        <v>761</v>
      </c>
    </row>
    <row r="450" spans="1:6">
      <c r="A450" s="29">
        <v>20178</v>
      </c>
      <c r="B450" s="31" t="s">
        <v>1157</v>
      </c>
      <c r="C450" s="31" t="s">
        <v>169</v>
      </c>
      <c r="D450" s="31" t="s">
        <v>167</v>
      </c>
      <c r="E450" s="31" t="s">
        <v>760</v>
      </c>
      <c r="F450" s="32" t="s">
        <v>765</v>
      </c>
    </row>
    <row r="451" spans="1:6">
      <c r="A451" s="29">
        <v>20228</v>
      </c>
      <c r="B451" s="31" t="s">
        <v>1158</v>
      </c>
      <c r="C451" s="31" t="s">
        <v>169</v>
      </c>
      <c r="D451" s="31" t="s">
        <v>167</v>
      </c>
      <c r="E451" s="31" t="s">
        <v>760</v>
      </c>
      <c r="F451" s="32" t="s">
        <v>765</v>
      </c>
    </row>
    <row r="452" spans="1:6">
      <c r="A452" s="29">
        <v>20238</v>
      </c>
      <c r="B452" s="31" t="s">
        <v>1159</v>
      </c>
      <c r="C452" s="31" t="s">
        <v>169</v>
      </c>
      <c r="D452" s="31" t="s">
        <v>167</v>
      </c>
      <c r="E452" s="31" t="s">
        <v>760</v>
      </c>
      <c r="F452" s="32" t="s">
        <v>763</v>
      </c>
    </row>
    <row r="453" spans="1:6">
      <c r="A453" s="29">
        <v>20250</v>
      </c>
      <c r="B453" s="31" t="s">
        <v>1160</v>
      </c>
      <c r="C453" s="31" t="s">
        <v>169</v>
      </c>
      <c r="D453" s="31" t="s">
        <v>167</v>
      </c>
      <c r="E453" s="31" t="s">
        <v>760</v>
      </c>
      <c r="F453" s="32" t="s">
        <v>765</v>
      </c>
    </row>
    <row r="454" spans="1:6">
      <c r="A454" s="29">
        <v>20295</v>
      </c>
      <c r="B454" s="31" t="s">
        <v>1161</v>
      </c>
      <c r="C454" s="31" t="s">
        <v>169</v>
      </c>
      <c r="D454" s="31" t="s">
        <v>167</v>
      </c>
      <c r="E454" s="31" t="s">
        <v>760</v>
      </c>
      <c r="F454" s="32" t="s">
        <v>761</v>
      </c>
    </row>
    <row r="455" spans="1:6">
      <c r="A455" s="29">
        <v>20310</v>
      </c>
      <c r="B455" s="31" t="s">
        <v>1162</v>
      </c>
      <c r="C455" s="31" t="s">
        <v>169</v>
      </c>
      <c r="D455" s="31" t="s">
        <v>167</v>
      </c>
      <c r="E455" s="31" t="s">
        <v>760</v>
      </c>
      <c r="F455" s="32" t="s">
        <v>761</v>
      </c>
    </row>
    <row r="456" spans="1:6">
      <c r="A456" s="29">
        <v>20383</v>
      </c>
      <c r="B456" s="31" t="s">
        <v>1163</v>
      </c>
      <c r="C456" s="31" t="s">
        <v>169</v>
      </c>
      <c r="D456" s="31" t="s">
        <v>167</v>
      </c>
      <c r="E456" s="31" t="s">
        <v>760</v>
      </c>
      <c r="F456" s="32" t="s">
        <v>761</v>
      </c>
    </row>
    <row r="457" spans="1:6">
      <c r="A457" s="29">
        <v>20400</v>
      </c>
      <c r="B457" s="31" t="s">
        <v>1164</v>
      </c>
      <c r="C457" s="31" t="s">
        <v>169</v>
      </c>
      <c r="D457" s="31" t="s">
        <v>167</v>
      </c>
      <c r="E457" s="31" t="s">
        <v>760</v>
      </c>
      <c r="F457" s="32" t="s">
        <v>765</v>
      </c>
    </row>
    <row r="458" spans="1:6">
      <c r="A458" s="29">
        <v>20517</v>
      </c>
      <c r="B458" s="31" t="s">
        <v>1165</v>
      </c>
      <c r="C458" s="31" t="s">
        <v>169</v>
      </c>
      <c r="D458" s="31" t="s">
        <v>167</v>
      </c>
      <c r="E458" s="31" t="s">
        <v>760</v>
      </c>
      <c r="F458" s="32" t="s">
        <v>761</v>
      </c>
    </row>
    <row r="459" spans="1:6">
      <c r="A459" s="29">
        <v>20550</v>
      </c>
      <c r="B459" s="31" t="s">
        <v>1166</v>
      </c>
      <c r="C459" s="31" t="s">
        <v>169</v>
      </c>
      <c r="D459" s="31" t="s">
        <v>167</v>
      </c>
      <c r="E459" s="31" t="s">
        <v>760</v>
      </c>
      <c r="F459" s="32" t="s">
        <v>761</v>
      </c>
    </row>
    <row r="460" spans="1:6">
      <c r="A460" s="29">
        <v>20570</v>
      </c>
      <c r="B460" s="31" t="s">
        <v>1167</v>
      </c>
      <c r="C460" s="31" t="s">
        <v>169</v>
      </c>
      <c r="D460" s="31" t="s">
        <v>167</v>
      </c>
      <c r="E460" s="31" t="s">
        <v>760</v>
      </c>
      <c r="F460" s="32" t="s">
        <v>765</v>
      </c>
    </row>
    <row r="461" spans="1:6">
      <c r="A461" s="29">
        <v>20614</v>
      </c>
      <c r="B461" s="31" t="s">
        <v>1168</v>
      </c>
      <c r="C461" s="31" t="s">
        <v>169</v>
      </c>
      <c r="D461" s="31" t="s">
        <v>167</v>
      </c>
      <c r="E461" s="31" t="s">
        <v>760</v>
      </c>
      <c r="F461" s="32" t="s">
        <v>761</v>
      </c>
    </row>
    <row r="462" spans="1:6">
      <c r="A462" s="29">
        <v>20710</v>
      </c>
      <c r="B462" s="31" t="s">
        <v>1169</v>
      </c>
      <c r="C462" s="31" t="s">
        <v>169</v>
      </c>
      <c r="D462" s="31" t="s">
        <v>188</v>
      </c>
      <c r="E462" s="31" t="s">
        <v>760</v>
      </c>
      <c r="F462" s="32" t="s">
        <v>765</v>
      </c>
    </row>
    <row r="463" spans="1:6">
      <c r="A463" s="29">
        <v>20750</v>
      </c>
      <c r="B463" s="31" t="s">
        <v>1170</v>
      </c>
      <c r="C463" s="31" t="s">
        <v>169</v>
      </c>
      <c r="D463" s="31" t="s">
        <v>167</v>
      </c>
      <c r="E463" s="31" t="s">
        <v>760</v>
      </c>
      <c r="F463" s="32" t="s">
        <v>763</v>
      </c>
    </row>
    <row r="464" spans="1:6">
      <c r="A464" s="29">
        <v>20787</v>
      </c>
      <c r="B464" s="31" t="s">
        <v>1171</v>
      </c>
      <c r="C464" s="31" t="s">
        <v>169</v>
      </c>
      <c r="D464" s="31" t="s">
        <v>167</v>
      </c>
      <c r="E464" s="31" t="s">
        <v>760</v>
      </c>
      <c r="F464" s="32" t="s">
        <v>761</v>
      </c>
    </row>
    <row r="465" spans="1:6">
      <c r="A465" s="29">
        <v>20001</v>
      </c>
      <c r="B465" s="31" t="s">
        <v>167</v>
      </c>
      <c r="C465" s="31" t="s">
        <v>169</v>
      </c>
      <c r="D465" s="31" t="s">
        <v>167</v>
      </c>
      <c r="E465" s="31" t="s">
        <v>760</v>
      </c>
      <c r="F465" s="32" t="s">
        <v>767</v>
      </c>
    </row>
    <row r="466" spans="1:6">
      <c r="A466" s="29">
        <v>27615</v>
      </c>
      <c r="B466" s="30" t="s">
        <v>1065</v>
      </c>
      <c r="C466" s="31" t="s">
        <v>1172</v>
      </c>
      <c r="D466" s="31" t="s">
        <v>623</v>
      </c>
      <c r="E466" s="31" t="s">
        <v>910</v>
      </c>
      <c r="F466" s="32" t="s">
        <v>748</v>
      </c>
    </row>
    <row r="467" spans="1:6">
      <c r="A467" s="29">
        <v>27006</v>
      </c>
      <c r="B467" s="31" t="s">
        <v>1173</v>
      </c>
      <c r="C467" s="31" t="s">
        <v>1172</v>
      </c>
      <c r="D467" s="31" t="s">
        <v>623</v>
      </c>
      <c r="E467" s="31" t="s">
        <v>747</v>
      </c>
      <c r="F467" s="32" t="s">
        <v>748</v>
      </c>
    </row>
    <row r="468" spans="1:6">
      <c r="A468" s="29">
        <v>27025</v>
      </c>
      <c r="B468" s="31" t="s">
        <v>1174</v>
      </c>
      <c r="C468" s="31" t="s">
        <v>1172</v>
      </c>
      <c r="D468" s="31" t="s">
        <v>158</v>
      </c>
      <c r="E468" s="31" t="s">
        <v>747</v>
      </c>
      <c r="F468" s="32" t="s">
        <v>748</v>
      </c>
    </row>
    <row r="469" spans="1:6">
      <c r="A469" s="29">
        <v>27050</v>
      </c>
      <c r="B469" s="31" t="s">
        <v>1175</v>
      </c>
      <c r="C469" s="31" t="s">
        <v>1172</v>
      </c>
      <c r="D469" s="31" t="s">
        <v>623</v>
      </c>
      <c r="E469" s="31" t="s">
        <v>1099</v>
      </c>
      <c r="F469" s="32" t="s">
        <v>748</v>
      </c>
    </row>
    <row r="470" spans="1:6">
      <c r="A470" s="29">
        <v>27073</v>
      </c>
      <c r="B470" s="31" t="s">
        <v>1176</v>
      </c>
      <c r="C470" s="31" t="s">
        <v>1172</v>
      </c>
      <c r="D470" s="31" t="s">
        <v>158</v>
      </c>
      <c r="E470" s="31" t="s">
        <v>747</v>
      </c>
      <c r="F470" s="32" t="s">
        <v>748</v>
      </c>
    </row>
    <row r="471" spans="1:6">
      <c r="A471" s="29">
        <v>27075</v>
      </c>
      <c r="B471" s="31" t="s">
        <v>1177</v>
      </c>
      <c r="C471" s="31" t="s">
        <v>1172</v>
      </c>
      <c r="D471" s="31" t="s">
        <v>158</v>
      </c>
      <c r="E471" s="31" t="s">
        <v>747</v>
      </c>
      <c r="F471" s="32" t="s">
        <v>748</v>
      </c>
    </row>
    <row r="472" spans="1:6">
      <c r="A472" s="29">
        <v>27077</v>
      </c>
      <c r="B472" s="31" t="s">
        <v>1178</v>
      </c>
      <c r="C472" s="31" t="s">
        <v>1172</v>
      </c>
      <c r="D472" s="31" t="s">
        <v>623</v>
      </c>
      <c r="E472" s="31" t="s">
        <v>747</v>
      </c>
      <c r="F472" s="32" t="s">
        <v>748</v>
      </c>
    </row>
    <row r="473" spans="1:6">
      <c r="A473" s="29">
        <v>27086</v>
      </c>
      <c r="B473" s="31" t="s">
        <v>1179</v>
      </c>
      <c r="C473" s="31" t="s">
        <v>1172</v>
      </c>
      <c r="D473" s="31" t="s">
        <v>623</v>
      </c>
      <c r="E473" s="31" t="s">
        <v>760</v>
      </c>
      <c r="F473" s="32" t="s">
        <v>761</v>
      </c>
    </row>
    <row r="474" spans="1:6">
      <c r="A474" s="29">
        <v>27099</v>
      </c>
      <c r="B474" s="31" t="s">
        <v>1180</v>
      </c>
      <c r="C474" s="31" t="s">
        <v>1172</v>
      </c>
      <c r="D474" s="31" t="s">
        <v>158</v>
      </c>
      <c r="E474" s="31" t="s">
        <v>747</v>
      </c>
      <c r="F474" s="32" t="s">
        <v>748</v>
      </c>
    </row>
    <row r="475" spans="1:6">
      <c r="A475" s="29">
        <v>27150</v>
      </c>
      <c r="B475" s="31" t="s">
        <v>1181</v>
      </c>
      <c r="C475" s="31" t="s">
        <v>1172</v>
      </c>
      <c r="D475" s="31" t="s">
        <v>623</v>
      </c>
      <c r="E475" s="31" t="s">
        <v>760</v>
      </c>
      <c r="F475" s="32" t="s">
        <v>761</v>
      </c>
    </row>
    <row r="476" spans="1:6">
      <c r="A476" s="29">
        <v>27160</v>
      </c>
      <c r="B476" s="31" t="s">
        <v>1182</v>
      </c>
      <c r="C476" s="31" t="s">
        <v>1172</v>
      </c>
      <c r="D476" s="31" t="s">
        <v>623</v>
      </c>
      <c r="E476" s="31" t="s">
        <v>760</v>
      </c>
      <c r="F476" s="32" t="s">
        <v>761</v>
      </c>
    </row>
    <row r="477" spans="1:6">
      <c r="A477" s="29">
        <v>27205</v>
      </c>
      <c r="B477" s="31" t="s">
        <v>1183</v>
      </c>
      <c r="C477" s="31" t="s">
        <v>1172</v>
      </c>
      <c r="D477" s="31" t="s">
        <v>158</v>
      </c>
      <c r="E477" s="31" t="s">
        <v>747</v>
      </c>
      <c r="F477" s="32" t="s">
        <v>748</v>
      </c>
    </row>
    <row r="478" spans="1:6">
      <c r="A478" s="29">
        <v>27135</v>
      </c>
      <c r="B478" s="31" t="s">
        <v>1184</v>
      </c>
      <c r="C478" s="31" t="s">
        <v>1172</v>
      </c>
      <c r="D478" s="31" t="s">
        <v>623</v>
      </c>
      <c r="E478" s="31" t="s">
        <v>760</v>
      </c>
      <c r="F478" s="32" t="s">
        <v>761</v>
      </c>
    </row>
    <row r="479" spans="1:6">
      <c r="A479" s="29">
        <v>27245</v>
      </c>
      <c r="B479" s="31" t="s">
        <v>1185</v>
      </c>
      <c r="C479" s="31" t="s">
        <v>1172</v>
      </c>
      <c r="D479" s="31" t="s">
        <v>158</v>
      </c>
      <c r="E479" s="31" t="s">
        <v>760</v>
      </c>
      <c r="F479" s="32" t="s">
        <v>761</v>
      </c>
    </row>
    <row r="480" spans="1:6">
      <c r="A480" s="29">
        <v>27250</v>
      </c>
      <c r="B480" s="31" t="s">
        <v>1186</v>
      </c>
      <c r="C480" s="31" t="s">
        <v>1172</v>
      </c>
      <c r="D480" s="31" t="s">
        <v>112</v>
      </c>
      <c r="E480" s="31" t="s">
        <v>1187</v>
      </c>
      <c r="F480" s="32" t="s">
        <v>748</v>
      </c>
    </row>
    <row r="481" spans="1:6">
      <c r="A481" s="29">
        <v>27361</v>
      </c>
      <c r="B481" s="31" t="s">
        <v>1188</v>
      </c>
      <c r="C481" s="31" t="s">
        <v>1172</v>
      </c>
      <c r="D481" s="31" t="s">
        <v>158</v>
      </c>
      <c r="E481" s="31" t="s">
        <v>747</v>
      </c>
      <c r="F481" s="32" t="s">
        <v>748</v>
      </c>
    </row>
    <row r="482" spans="1:6">
      <c r="A482" s="29">
        <v>27372</v>
      </c>
      <c r="B482" s="31" t="s">
        <v>1189</v>
      </c>
      <c r="C482" s="31" t="s">
        <v>1172</v>
      </c>
      <c r="D482" s="31" t="s">
        <v>623</v>
      </c>
      <c r="E482" s="31" t="s">
        <v>838</v>
      </c>
      <c r="F482" s="32" t="s">
        <v>748</v>
      </c>
    </row>
    <row r="483" spans="1:6">
      <c r="A483" s="29">
        <v>27413</v>
      </c>
      <c r="B483" s="31" t="s">
        <v>1190</v>
      </c>
      <c r="C483" s="31" t="s">
        <v>1172</v>
      </c>
      <c r="D483" s="31" t="s">
        <v>623</v>
      </c>
      <c r="E483" s="31" t="s">
        <v>760</v>
      </c>
      <c r="F483" s="32" t="s">
        <v>761</v>
      </c>
    </row>
    <row r="484" spans="1:6">
      <c r="A484" s="29">
        <v>27425</v>
      </c>
      <c r="B484" s="31" t="s">
        <v>1191</v>
      </c>
      <c r="C484" s="31" t="s">
        <v>1172</v>
      </c>
      <c r="D484" s="31" t="s">
        <v>623</v>
      </c>
      <c r="E484" s="31" t="s">
        <v>760</v>
      </c>
      <c r="F484" s="32" t="s">
        <v>761</v>
      </c>
    </row>
    <row r="485" spans="1:6">
      <c r="A485" s="29">
        <v>27430</v>
      </c>
      <c r="B485" s="31" t="s">
        <v>1192</v>
      </c>
      <c r="C485" s="31" t="s">
        <v>1172</v>
      </c>
      <c r="D485" s="31" t="s">
        <v>623</v>
      </c>
      <c r="E485" s="31" t="s">
        <v>760</v>
      </c>
      <c r="F485" s="32" t="s">
        <v>761</v>
      </c>
    </row>
    <row r="486" spans="1:6">
      <c r="A486" s="29">
        <v>27450</v>
      </c>
      <c r="B486" s="31" t="s">
        <v>1193</v>
      </c>
      <c r="C486" s="31" t="s">
        <v>1172</v>
      </c>
      <c r="D486" s="31" t="s">
        <v>623</v>
      </c>
      <c r="E486" s="31" t="s">
        <v>760</v>
      </c>
      <c r="F486" s="32" t="s">
        <v>761</v>
      </c>
    </row>
    <row r="487" spans="1:6">
      <c r="A487" s="29">
        <v>27491</v>
      </c>
      <c r="B487" s="31" t="s">
        <v>1194</v>
      </c>
      <c r="C487" s="31" t="s">
        <v>1172</v>
      </c>
      <c r="D487" s="31" t="s">
        <v>158</v>
      </c>
      <c r="E487" s="31" t="s">
        <v>747</v>
      </c>
      <c r="F487" s="32" t="s">
        <v>748</v>
      </c>
    </row>
    <row r="488" spans="1:6">
      <c r="A488" s="29">
        <v>27495</v>
      </c>
      <c r="B488" s="31" t="s">
        <v>1195</v>
      </c>
      <c r="C488" s="31" t="s">
        <v>1172</v>
      </c>
      <c r="D488" s="31" t="s">
        <v>158</v>
      </c>
      <c r="E488" s="31" t="s">
        <v>747</v>
      </c>
      <c r="F488" s="32" t="s">
        <v>748</v>
      </c>
    </row>
    <row r="489" spans="1:6">
      <c r="A489" s="29">
        <v>27001</v>
      </c>
      <c r="B489" s="31" t="s">
        <v>1196</v>
      </c>
      <c r="C489" s="31" t="s">
        <v>1172</v>
      </c>
      <c r="D489" s="31" t="s">
        <v>158</v>
      </c>
      <c r="E489" s="31" t="s">
        <v>747</v>
      </c>
      <c r="F489" s="32" t="s">
        <v>748</v>
      </c>
    </row>
    <row r="490" spans="1:6">
      <c r="A490" s="29">
        <v>27580</v>
      </c>
      <c r="B490" s="31" t="s">
        <v>1197</v>
      </c>
      <c r="C490" s="31" t="s">
        <v>1172</v>
      </c>
      <c r="D490" s="31" t="s">
        <v>623</v>
      </c>
      <c r="E490" s="31" t="s">
        <v>760</v>
      </c>
      <c r="F490" s="32" t="s">
        <v>761</v>
      </c>
    </row>
    <row r="491" spans="1:6">
      <c r="A491" s="29">
        <v>27600</v>
      </c>
      <c r="B491" s="31" t="s">
        <v>1198</v>
      </c>
      <c r="C491" s="31" t="s">
        <v>1172</v>
      </c>
      <c r="D491" s="31" t="s">
        <v>158</v>
      </c>
      <c r="E491" s="31" t="s">
        <v>747</v>
      </c>
      <c r="F491" s="32" t="s">
        <v>748</v>
      </c>
    </row>
    <row r="492" spans="1:6">
      <c r="A492" s="29">
        <v>27660</v>
      </c>
      <c r="B492" s="31" t="s">
        <v>1199</v>
      </c>
      <c r="C492" s="31" t="s">
        <v>1172</v>
      </c>
      <c r="D492" s="31" t="s">
        <v>141</v>
      </c>
      <c r="E492" s="31" t="s">
        <v>760</v>
      </c>
      <c r="F492" s="32" t="s">
        <v>761</v>
      </c>
    </row>
    <row r="493" spans="1:6">
      <c r="A493" s="29">
        <v>27745</v>
      </c>
      <c r="B493" s="31" t="s">
        <v>1200</v>
      </c>
      <c r="C493" s="31" t="s">
        <v>1172</v>
      </c>
      <c r="D493" s="31" t="s">
        <v>158</v>
      </c>
      <c r="E493" s="31" t="s">
        <v>747</v>
      </c>
      <c r="F493" s="32" t="s">
        <v>748</v>
      </c>
    </row>
    <row r="494" spans="1:6">
      <c r="A494" s="29">
        <v>27787</v>
      </c>
      <c r="B494" s="31" t="s">
        <v>1201</v>
      </c>
      <c r="C494" s="31" t="s">
        <v>1172</v>
      </c>
      <c r="D494" s="31" t="s">
        <v>158</v>
      </c>
      <c r="E494" s="31" t="s">
        <v>747</v>
      </c>
      <c r="F494" s="32" t="s">
        <v>748</v>
      </c>
    </row>
    <row r="495" spans="1:6">
      <c r="A495" s="29">
        <v>27800</v>
      </c>
      <c r="B495" s="31" t="s">
        <v>1202</v>
      </c>
      <c r="C495" s="31" t="s">
        <v>1172</v>
      </c>
      <c r="D495" s="31" t="s">
        <v>623</v>
      </c>
      <c r="E495" s="31" t="s">
        <v>838</v>
      </c>
      <c r="F495" s="32" t="s">
        <v>748</v>
      </c>
    </row>
    <row r="496" spans="1:6">
      <c r="A496" s="29">
        <v>27810</v>
      </c>
      <c r="B496" s="31" t="s">
        <v>1203</v>
      </c>
      <c r="C496" s="31" t="s">
        <v>1172</v>
      </c>
      <c r="D496" s="31" t="s">
        <v>623</v>
      </c>
      <c r="E496" s="31" t="s">
        <v>760</v>
      </c>
      <c r="F496" s="32" t="s">
        <v>761</v>
      </c>
    </row>
    <row r="497" spans="1:6">
      <c r="A497" s="29">
        <v>23079</v>
      </c>
      <c r="B497" s="30" t="s">
        <v>951</v>
      </c>
      <c r="C497" s="31" t="s">
        <v>658</v>
      </c>
      <c r="D497" s="31" t="s">
        <v>514</v>
      </c>
      <c r="E497" s="31" t="s">
        <v>760</v>
      </c>
      <c r="F497" s="32" t="s">
        <v>763</v>
      </c>
    </row>
    <row r="498" spans="1:6">
      <c r="A498" s="29">
        <v>23168</v>
      </c>
      <c r="B498" s="30" t="s">
        <v>1204</v>
      </c>
      <c r="C498" s="31" t="s">
        <v>658</v>
      </c>
      <c r="D498" s="31" t="s">
        <v>514</v>
      </c>
      <c r="E498" s="31" t="s">
        <v>760</v>
      </c>
      <c r="F498" s="32" t="s">
        <v>765</v>
      </c>
    </row>
    <row r="499" spans="1:6">
      <c r="A499" s="29">
        <v>23678</v>
      </c>
      <c r="B499" s="30" t="s">
        <v>776</v>
      </c>
      <c r="C499" s="31" t="s">
        <v>658</v>
      </c>
      <c r="D499" s="31" t="s">
        <v>514</v>
      </c>
      <c r="E499" s="31" t="s">
        <v>760</v>
      </c>
      <c r="F499" s="32" t="s">
        <v>763</v>
      </c>
    </row>
    <row r="500" spans="1:6">
      <c r="A500" s="29">
        <v>23068</v>
      </c>
      <c r="B500" s="31" t="s">
        <v>1205</v>
      </c>
      <c r="C500" s="31" t="s">
        <v>658</v>
      </c>
      <c r="D500" s="31" t="s">
        <v>514</v>
      </c>
      <c r="E500" s="31" t="s">
        <v>760</v>
      </c>
      <c r="F500" s="32" t="s">
        <v>765</v>
      </c>
    </row>
    <row r="501" spans="1:6">
      <c r="A501" s="29">
        <v>23090</v>
      </c>
      <c r="B501" s="31" t="s">
        <v>1206</v>
      </c>
      <c r="C501" s="31" t="s">
        <v>658</v>
      </c>
      <c r="D501" s="31" t="s">
        <v>514</v>
      </c>
      <c r="E501" s="31" t="s">
        <v>760</v>
      </c>
      <c r="F501" s="32" t="s">
        <v>763</v>
      </c>
    </row>
    <row r="502" spans="1:6">
      <c r="A502" s="29">
        <v>23162</v>
      </c>
      <c r="B502" s="31" t="s">
        <v>1207</v>
      </c>
      <c r="C502" s="31" t="s">
        <v>658</v>
      </c>
      <c r="D502" s="31" t="s">
        <v>514</v>
      </c>
      <c r="E502" s="31" t="s">
        <v>760</v>
      </c>
      <c r="F502" s="32" t="s">
        <v>767</v>
      </c>
    </row>
    <row r="503" spans="1:6">
      <c r="A503" s="29">
        <v>23182</v>
      </c>
      <c r="B503" s="31" t="s">
        <v>1208</v>
      </c>
      <c r="C503" s="31" t="s">
        <v>658</v>
      </c>
      <c r="D503" s="31" t="s">
        <v>514</v>
      </c>
      <c r="E503" s="31" t="s">
        <v>760</v>
      </c>
      <c r="F503" s="32" t="s">
        <v>763</v>
      </c>
    </row>
    <row r="504" spans="1:6">
      <c r="A504" s="29">
        <v>23189</v>
      </c>
      <c r="B504" s="31" t="s">
        <v>1209</v>
      </c>
      <c r="C504" s="31" t="s">
        <v>658</v>
      </c>
      <c r="D504" s="31" t="s">
        <v>514</v>
      </c>
      <c r="E504" s="31" t="s">
        <v>760</v>
      </c>
      <c r="F504" s="32" t="s">
        <v>763</v>
      </c>
    </row>
    <row r="505" spans="1:6">
      <c r="A505" s="29">
        <v>23300</v>
      </c>
      <c r="B505" s="31" t="s">
        <v>1210</v>
      </c>
      <c r="C505" s="31" t="s">
        <v>658</v>
      </c>
      <c r="D505" s="31" t="s">
        <v>514</v>
      </c>
      <c r="E505" s="31" t="s">
        <v>760</v>
      </c>
      <c r="F505" s="32" t="s">
        <v>763</v>
      </c>
    </row>
    <row r="506" spans="1:6">
      <c r="A506" s="29">
        <v>23350</v>
      </c>
      <c r="B506" s="31" t="s">
        <v>1211</v>
      </c>
      <c r="C506" s="31" t="s">
        <v>658</v>
      </c>
      <c r="D506" s="31" t="s">
        <v>514</v>
      </c>
      <c r="E506" s="31" t="s">
        <v>760</v>
      </c>
      <c r="F506" s="32" t="s">
        <v>763</v>
      </c>
    </row>
    <row r="507" spans="1:6">
      <c r="A507" s="29">
        <v>23417</v>
      </c>
      <c r="B507" s="31" t="s">
        <v>1212</v>
      </c>
      <c r="C507" s="31" t="s">
        <v>658</v>
      </c>
      <c r="D507" s="31" t="s">
        <v>514</v>
      </c>
      <c r="E507" s="31" t="s">
        <v>760</v>
      </c>
      <c r="F507" s="32" t="s">
        <v>763</v>
      </c>
    </row>
    <row r="508" spans="1:6">
      <c r="A508" s="29">
        <v>23419</v>
      </c>
      <c r="B508" s="31" t="s">
        <v>1213</v>
      </c>
      <c r="C508" s="31" t="s">
        <v>658</v>
      </c>
      <c r="D508" s="31" t="s">
        <v>514</v>
      </c>
      <c r="E508" s="31" t="s">
        <v>760</v>
      </c>
      <c r="F508" s="32" t="s">
        <v>763</v>
      </c>
    </row>
    <row r="509" spans="1:6">
      <c r="A509" s="29">
        <v>23464</v>
      </c>
      <c r="B509" s="31" t="s">
        <v>1214</v>
      </c>
      <c r="C509" s="31" t="s">
        <v>658</v>
      </c>
      <c r="D509" s="31" t="s">
        <v>514</v>
      </c>
      <c r="E509" s="31" t="s">
        <v>760</v>
      </c>
      <c r="F509" s="32" t="s">
        <v>763</v>
      </c>
    </row>
    <row r="510" spans="1:6">
      <c r="A510" s="29">
        <v>23466</v>
      </c>
      <c r="B510" s="31" t="s">
        <v>1215</v>
      </c>
      <c r="C510" s="31" t="s">
        <v>658</v>
      </c>
      <c r="D510" s="31" t="s">
        <v>514</v>
      </c>
      <c r="E510" s="31" t="s">
        <v>760</v>
      </c>
      <c r="F510" s="32" t="s">
        <v>761</v>
      </c>
    </row>
    <row r="511" spans="1:6">
      <c r="A511" s="29">
        <v>23001</v>
      </c>
      <c r="B511" s="31" t="s">
        <v>514</v>
      </c>
      <c r="C511" s="31" t="s">
        <v>658</v>
      </c>
      <c r="D511" s="31" t="s">
        <v>514</v>
      </c>
      <c r="E511" s="31" t="s">
        <v>760</v>
      </c>
      <c r="F511" s="32" t="s">
        <v>767</v>
      </c>
    </row>
    <row r="512" spans="1:6">
      <c r="A512" s="29">
        <v>23500</v>
      </c>
      <c r="B512" s="31" t="s">
        <v>1216</v>
      </c>
      <c r="C512" s="31" t="s">
        <v>658</v>
      </c>
      <c r="D512" s="31" t="s">
        <v>514</v>
      </c>
      <c r="E512" s="31" t="s">
        <v>760</v>
      </c>
      <c r="F512" s="32" t="s">
        <v>765</v>
      </c>
    </row>
    <row r="513" spans="1:6">
      <c r="A513" s="29">
        <v>23555</v>
      </c>
      <c r="B513" s="31" t="s">
        <v>1217</v>
      </c>
      <c r="C513" s="31" t="s">
        <v>658</v>
      </c>
      <c r="D513" s="31" t="s">
        <v>514</v>
      </c>
      <c r="E513" s="31" t="s">
        <v>760</v>
      </c>
      <c r="F513" s="32" t="s">
        <v>763</v>
      </c>
    </row>
    <row r="514" spans="1:6">
      <c r="A514" s="29">
        <v>23570</v>
      </c>
      <c r="B514" s="31" t="s">
        <v>1218</v>
      </c>
      <c r="C514" s="31" t="s">
        <v>658</v>
      </c>
      <c r="D514" s="31" t="s">
        <v>514</v>
      </c>
      <c r="E514" s="31" t="s">
        <v>760</v>
      </c>
      <c r="F514" s="32" t="s">
        <v>763</v>
      </c>
    </row>
    <row r="515" spans="1:6">
      <c r="A515" s="29">
        <v>23574</v>
      </c>
      <c r="B515" s="31" t="s">
        <v>1219</v>
      </c>
      <c r="C515" s="31" t="s">
        <v>658</v>
      </c>
      <c r="D515" s="31" t="s">
        <v>514</v>
      </c>
      <c r="E515" s="31" t="s">
        <v>760</v>
      </c>
      <c r="F515" s="32" t="s">
        <v>765</v>
      </c>
    </row>
    <row r="516" spans="1:6">
      <c r="A516" s="29">
        <v>23580</v>
      </c>
      <c r="B516" s="31" t="s">
        <v>1220</v>
      </c>
      <c r="C516" s="31" t="s">
        <v>658</v>
      </c>
      <c r="D516" s="31" t="s">
        <v>514</v>
      </c>
      <c r="E516" s="31" t="s">
        <v>760</v>
      </c>
      <c r="F516" s="32" t="s">
        <v>761</v>
      </c>
    </row>
    <row r="517" spans="1:6">
      <c r="A517" s="29">
        <v>23586</v>
      </c>
      <c r="B517" s="31" t="s">
        <v>1221</v>
      </c>
      <c r="C517" s="31" t="s">
        <v>658</v>
      </c>
      <c r="D517" s="31" t="s">
        <v>514</v>
      </c>
      <c r="E517" s="31" t="s">
        <v>760</v>
      </c>
      <c r="F517" s="32" t="s">
        <v>763</v>
      </c>
    </row>
    <row r="518" spans="1:6">
      <c r="A518" s="29">
        <v>23660</v>
      </c>
      <c r="B518" s="31" t="s">
        <v>1222</v>
      </c>
      <c r="C518" s="31" t="s">
        <v>658</v>
      </c>
      <c r="D518" s="31" t="s">
        <v>514</v>
      </c>
      <c r="E518" s="31" t="s">
        <v>760</v>
      </c>
      <c r="F518" s="32" t="s">
        <v>763</v>
      </c>
    </row>
    <row r="519" spans="1:6">
      <c r="A519" s="29">
        <v>23670</v>
      </c>
      <c r="B519" s="31" t="s">
        <v>1223</v>
      </c>
      <c r="C519" s="31" t="s">
        <v>658</v>
      </c>
      <c r="D519" s="31" t="s">
        <v>514</v>
      </c>
      <c r="E519" s="31" t="s">
        <v>760</v>
      </c>
      <c r="F519" s="32" t="s">
        <v>763</v>
      </c>
    </row>
    <row r="520" spans="1:6">
      <c r="A520" s="29">
        <v>23672</v>
      </c>
      <c r="B520" s="31" t="s">
        <v>1224</v>
      </c>
      <c r="C520" s="31" t="s">
        <v>658</v>
      </c>
      <c r="D520" s="31" t="s">
        <v>514</v>
      </c>
      <c r="E520" s="31" t="s">
        <v>760</v>
      </c>
      <c r="F520" s="32" t="s">
        <v>763</v>
      </c>
    </row>
    <row r="521" spans="1:6">
      <c r="A521" s="29">
        <v>23675</v>
      </c>
      <c r="B521" s="31" t="s">
        <v>1225</v>
      </c>
      <c r="C521" s="31" t="s">
        <v>658</v>
      </c>
      <c r="D521" s="31" t="s">
        <v>514</v>
      </c>
      <c r="E521" s="31" t="s">
        <v>760</v>
      </c>
      <c r="F521" s="32" t="s">
        <v>763</v>
      </c>
    </row>
    <row r="522" spans="1:6">
      <c r="A522" s="29">
        <v>23686</v>
      </c>
      <c r="B522" s="31" t="s">
        <v>1226</v>
      </c>
      <c r="C522" s="31" t="s">
        <v>658</v>
      </c>
      <c r="D522" s="31" t="s">
        <v>514</v>
      </c>
      <c r="E522" s="31" t="s">
        <v>760</v>
      </c>
      <c r="F522" s="32" t="s">
        <v>763</v>
      </c>
    </row>
    <row r="523" spans="1:6">
      <c r="A523" s="29">
        <v>23807</v>
      </c>
      <c r="B523" s="31" t="s">
        <v>1227</v>
      </c>
      <c r="C523" s="31" t="s">
        <v>658</v>
      </c>
      <c r="D523" s="31" t="s">
        <v>514</v>
      </c>
      <c r="E523" s="31" t="s">
        <v>760</v>
      </c>
      <c r="F523" s="32" t="s">
        <v>765</v>
      </c>
    </row>
    <row r="524" spans="1:6">
      <c r="A524" s="29">
        <v>23855</v>
      </c>
      <c r="B524" s="31" t="s">
        <v>1228</v>
      </c>
      <c r="C524" s="31" t="s">
        <v>658</v>
      </c>
      <c r="D524" s="31" t="s">
        <v>514</v>
      </c>
      <c r="E524" s="31" t="s">
        <v>760</v>
      </c>
      <c r="F524" s="32" t="s">
        <v>765</v>
      </c>
    </row>
    <row r="525" spans="1:6">
      <c r="A525" s="29">
        <v>25019</v>
      </c>
      <c r="B525" s="30" t="s">
        <v>1229</v>
      </c>
      <c r="C525" s="31" t="s">
        <v>79</v>
      </c>
      <c r="D525" s="31" t="s">
        <v>76</v>
      </c>
      <c r="E525" s="31" t="s">
        <v>760</v>
      </c>
      <c r="F525" s="32" t="s">
        <v>763</v>
      </c>
    </row>
    <row r="526" spans="1:6">
      <c r="A526" s="29">
        <v>25120</v>
      </c>
      <c r="B526" s="30" t="s">
        <v>1230</v>
      </c>
      <c r="C526" s="31" t="s">
        <v>79</v>
      </c>
      <c r="D526" s="31" t="s">
        <v>76</v>
      </c>
      <c r="E526" s="31" t="s">
        <v>760</v>
      </c>
      <c r="F526" s="32" t="s">
        <v>765</v>
      </c>
    </row>
    <row r="527" spans="1:6">
      <c r="A527" s="29">
        <v>25258</v>
      </c>
      <c r="B527" s="30" t="s">
        <v>907</v>
      </c>
      <c r="C527" s="31" t="s">
        <v>79</v>
      </c>
      <c r="D527" s="31" t="s">
        <v>76</v>
      </c>
      <c r="E527" s="31" t="s">
        <v>760</v>
      </c>
      <c r="F527" s="32" t="s">
        <v>765</v>
      </c>
    </row>
    <row r="528" spans="1:6">
      <c r="A528" s="29">
        <v>25312</v>
      </c>
      <c r="B528" s="30" t="s">
        <v>770</v>
      </c>
      <c r="C528" s="31" t="s">
        <v>79</v>
      </c>
      <c r="D528" s="31" t="s">
        <v>76</v>
      </c>
      <c r="E528" s="31" t="s">
        <v>760</v>
      </c>
      <c r="F528" s="32" t="s">
        <v>763</v>
      </c>
    </row>
    <row r="529" spans="1:6">
      <c r="A529" s="29">
        <v>25402</v>
      </c>
      <c r="B529" s="30" t="s">
        <v>1119</v>
      </c>
      <c r="C529" s="31" t="s">
        <v>79</v>
      </c>
      <c r="D529" s="31" t="s">
        <v>76</v>
      </c>
      <c r="E529" s="31" t="s">
        <v>760</v>
      </c>
      <c r="F529" s="32" t="s">
        <v>763</v>
      </c>
    </row>
    <row r="530" spans="1:6">
      <c r="A530" s="29">
        <v>25473</v>
      </c>
      <c r="B530" s="30" t="s">
        <v>204</v>
      </c>
      <c r="C530" s="31" t="s">
        <v>79</v>
      </c>
      <c r="D530" s="31" t="s">
        <v>76</v>
      </c>
      <c r="E530" s="31" t="s">
        <v>760</v>
      </c>
      <c r="F530" s="32" t="s">
        <v>767</v>
      </c>
    </row>
    <row r="531" spans="1:6">
      <c r="A531" s="29">
        <v>25483</v>
      </c>
      <c r="B531" s="30" t="s">
        <v>265</v>
      </c>
      <c r="C531" s="31" t="s">
        <v>79</v>
      </c>
      <c r="D531" s="31" t="s">
        <v>76</v>
      </c>
      <c r="E531" s="31" t="s">
        <v>760</v>
      </c>
      <c r="F531" s="32" t="s">
        <v>765</v>
      </c>
    </row>
    <row r="532" spans="1:6">
      <c r="A532" s="29">
        <v>25612</v>
      </c>
      <c r="B532" s="30" t="s">
        <v>1231</v>
      </c>
      <c r="C532" s="31" t="s">
        <v>79</v>
      </c>
      <c r="D532" s="31" t="s">
        <v>76</v>
      </c>
      <c r="E532" s="31" t="s">
        <v>760</v>
      </c>
      <c r="F532" s="32" t="s">
        <v>765</v>
      </c>
    </row>
    <row r="533" spans="1:6">
      <c r="A533" s="29">
        <v>25649</v>
      </c>
      <c r="B533" s="30" t="s">
        <v>1232</v>
      </c>
      <c r="C533" s="31" t="s">
        <v>79</v>
      </c>
      <c r="D533" s="31" t="s">
        <v>76</v>
      </c>
      <c r="E533" s="31" t="s">
        <v>760</v>
      </c>
      <c r="F533" s="32" t="s">
        <v>765</v>
      </c>
    </row>
    <row r="534" spans="1:6">
      <c r="A534" s="29">
        <v>25653</v>
      </c>
      <c r="B534" s="30" t="s">
        <v>1233</v>
      </c>
      <c r="C534" s="31" t="s">
        <v>79</v>
      </c>
      <c r="D534" s="31" t="s">
        <v>76</v>
      </c>
      <c r="E534" s="31" t="s">
        <v>760</v>
      </c>
      <c r="F534" s="32" t="s">
        <v>765</v>
      </c>
    </row>
    <row r="535" spans="1:6">
      <c r="A535" s="29">
        <v>25658</v>
      </c>
      <c r="B535" s="30" t="s">
        <v>777</v>
      </c>
      <c r="C535" s="31" t="s">
        <v>79</v>
      </c>
      <c r="D535" s="31" t="s">
        <v>76</v>
      </c>
      <c r="E535" s="31" t="s">
        <v>760</v>
      </c>
      <c r="F535" s="32" t="s">
        <v>763</v>
      </c>
    </row>
    <row r="536" spans="1:6">
      <c r="A536" s="29">
        <v>25506</v>
      </c>
      <c r="B536" s="30" t="s">
        <v>783</v>
      </c>
      <c r="C536" s="31" t="s">
        <v>79</v>
      </c>
      <c r="D536" s="31" t="s">
        <v>76</v>
      </c>
      <c r="E536" s="31" t="s">
        <v>760</v>
      </c>
      <c r="F536" s="32" t="s">
        <v>765</v>
      </c>
    </row>
    <row r="537" spans="1:6">
      <c r="A537" s="29">
        <v>25001</v>
      </c>
      <c r="B537" s="31" t="s">
        <v>1234</v>
      </c>
      <c r="C537" s="31" t="s">
        <v>79</v>
      </c>
      <c r="D537" s="31" t="s">
        <v>76</v>
      </c>
      <c r="E537" s="31" t="s">
        <v>760</v>
      </c>
      <c r="F537" s="32" t="s">
        <v>765</v>
      </c>
    </row>
    <row r="538" spans="1:6">
      <c r="A538" s="29">
        <v>25035</v>
      </c>
      <c r="B538" s="31" t="s">
        <v>1235</v>
      </c>
      <c r="C538" s="31" t="s">
        <v>79</v>
      </c>
      <c r="D538" s="31" t="s">
        <v>76</v>
      </c>
      <c r="E538" s="31" t="s">
        <v>760</v>
      </c>
      <c r="F538" s="32" t="s">
        <v>763</v>
      </c>
    </row>
    <row r="539" spans="1:6">
      <c r="A539" s="29">
        <v>25040</v>
      </c>
      <c r="B539" s="31" t="s">
        <v>1236</v>
      </c>
      <c r="C539" s="31" t="s">
        <v>79</v>
      </c>
      <c r="D539" s="31" t="s">
        <v>76</v>
      </c>
      <c r="E539" s="31" t="s">
        <v>760</v>
      </c>
      <c r="F539" s="32" t="s">
        <v>763</v>
      </c>
    </row>
    <row r="540" spans="1:6">
      <c r="A540" s="29">
        <v>25599</v>
      </c>
      <c r="B540" s="31" t="s">
        <v>1237</v>
      </c>
      <c r="C540" s="31" t="s">
        <v>79</v>
      </c>
      <c r="D540" s="31" t="s">
        <v>76</v>
      </c>
      <c r="E540" s="31" t="s">
        <v>760</v>
      </c>
      <c r="F540" s="32" t="s">
        <v>765</v>
      </c>
    </row>
    <row r="541" spans="1:6">
      <c r="A541" s="29">
        <v>25053</v>
      </c>
      <c r="B541" s="31" t="s">
        <v>1238</v>
      </c>
      <c r="C541" s="31" t="s">
        <v>79</v>
      </c>
      <c r="D541" s="31" t="s">
        <v>76</v>
      </c>
      <c r="E541" s="31" t="s">
        <v>760</v>
      </c>
      <c r="F541" s="32" t="s">
        <v>763</v>
      </c>
    </row>
    <row r="542" spans="1:6">
      <c r="A542" s="29">
        <v>25086</v>
      </c>
      <c r="B542" s="31" t="s">
        <v>1239</v>
      </c>
      <c r="C542" s="31" t="s">
        <v>79</v>
      </c>
      <c r="D542" s="31" t="s">
        <v>76</v>
      </c>
      <c r="E542" s="31" t="s">
        <v>760</v>
      </c>
      <c r="F542" s="32" t="s">
        <v>765</v>
      </c>
    </row>
    <row r="543" spans="1:6">
      <c r="A543" s="29">
        <v>25095</v>
      </c>
      <c r="B543" s="31" t="s">
        <v>1240</v>
      </c>
      <c r="C543" s="31" t="s">
        <v>79</v>
      </c>
      <c r="D543" s="31" t="s">
        <v>76</v>
      </c>
      <c r="E543" s="31" t="s">
        <v>760</v>
      </c>
      <c r="F543" s="32" t="s">
        <v>765</v>
      </c>
    </row>
    <row r="544" spans="1:6">
      <c r="A544" s="29">
        <v>11001</v>
      </c>
      <c r="B544" s="31" t="s">
        <v>76</v>
      </c>
      <c r="C544" s="31" t="s">
        <v>79</v>
      </c>
      <c r="D544" s="31" t="s">
        <v>76</v>
      </c>
      <c r="E544" s="31" t="s">
        <v>760</v>
      </c>
      <c r="F544" s="32" t="s">
        <v>767</v>
      </c>
    </row>
    <row r="545" spans="1:6">
      <c r="A545" s="29">
        <v>25099</v>
      </c>
      <c r="B545" s="31" t="s">
        <v>1241</v>
      </c>
      <c r="C545" s="31" t="s">
        <v>79</v>
      </c>
      <c r="D545" s="31" t="s">
        <v>76</v>
      </c>
      <c r="E545" s="31" t="s">
        <v>760</v>
      </c>
      <c r="F545" s="32" t="s">
        <v>763</v>
      </c>
    </row>
    <row r="546" spans="1:6">
      <c r="A546" s="29">
        <v>25123</v>
      </c>
      <c r="B546" s="31" t="s">
        <v>1242</v>
      </c>
      <c r="C546" s="31" t="s">
        <v>79</v>
      </c>
      <c r="D546" s="31" t="s">
        <v>76</v>
      </c>
      <c r="E546" s="31" t="s">
        <v>760</v>
      </c>
      <c r="F546" s="32" t="s">
        <v>763</v>
      </c>
    </row>
    <row r="547" spans="1:6">
      <c r="A547" s="29">
        <v>25126</v>
      </c>
      <c r="B547" s="31" t="s">
        <v>1243</v>
      </c>
      <c r="C547" s="31" t="s">
        <v>79</v>
      </c>
      <c r="D547" s="31" t="s">
        <v>76</v>
      </c>
      <c r="E547" s="31" t="s">
        <v>760</v>
      </c>
      <c r="F547" s="32" t="s">
        <v>763</v>
      </c>
    </row>
    <row r="548" spans="1:6">
      <c r="A548" s="29">
        <v>25148</v>
      </c>
      <c r="B548" s="31" t="s">
        <v>1244</v>
      </c>
      <c r="C548" s="31" t="s">
        <v>79</v>
      </c>
      <c r="D548" s="31" t="s">
        <v>76</v>
      </c>
      <c r="E548" s="31" t="s">
        <v>760</v>
      </c>
      <c r="F548" s="32" t="s">
        <v>765</v>
      </c>
    </row>
    <row r="549" spans="1:6">
      <c r="A549" s="29">
        <v>25151</v>
      </c>
      <c r="B549" s="31" t="s">
        <v>1245</v>
      </c>
      <c r="C549" s="31" t="s">
        <v>79</v>
      </c>
      <c r="D549" s="31" t="s">
        <v>76</v>
      </c>
      <c r="E549" s="31" t="s">
        <v>760</v>
      </c>
      <c r="F549" s="32" t="s">
        <v>763</v>
      </c>
    </row>
    <row r="550" spans="1:6">
      <c r="A550" s="29">
        <v>25154</v>
      </c>
      <c r="B550" s="31" t="s">
        <v>1246</v>
      </c>
      <c r="C550" s="31" t="s">
        <v>79</v>
      </c>
      <c r="D550" s="31" t="s">
        <v>76</v>
      </c>
      <c r="E550" s="31" t="s">
        <v>760</v>
      </c>
      <c r="F550" s="32" t="s">
        <v>765</v>
      </c>
    </row>
    <row r="551" spans="1:6">
      <c r="A551" s="29">
        <v>25168</v>
      </c>
      <c r="B551" s="31" t="s">
        <v>1247</v>
      </c>
      <c r="C551" s="31" t="s">
        <v>79</v>
      </c>
      <c r="D551" s="31" t="s">
        <v>76</v>
      </c>
      <c r="E551" s="31" t="s">
        <v>760</v>
      </c>
      <c r="F551" s="32" t="s">
        <v>765</v>
      </c>
    </row>
    <row r="552" spans="1:6">
      <c r="A552" s="29">
        <v>25175</v>
      </c>
      <c r="B552" s="31" t="s">
        <v>1248</v>
      </c>
      <c r="C552" s="31" t="s">
        <v>79</v>
      </c>
      <c r="D552" s="31" t="s">
        <v>76</v>
      </c>
      <c r="E552" s="31" t="s">
        <v>760</v>
      </c>
      <c r="F552" s="32" t="s">
        <v>763</v>
      </c>
    </row>
    <row r="553" spans="1:6">
      <c r="A553" s="29">
        <v>25178</v>
      </c>
      <c r="B553" s="31" t="s">
        <v>1249</v>
      </c>
      <c r="C553" s="31" t="s">
        <v>79</v>
      </c>
      <c r="D553" s="31" t="s">
        <v>76</v>
      </c>
      <c r="E553" s="31" t="s">
        <v>760</v>
      </c>
      <c r="F553" s="32" t="s">
        <v>763</v>
      </c>
    </row>
    <row r="554" spans="1:6">
      <c r="A554" s="29">
        <v>25181</v>
      </c>
      <c r="B554" s="31" t="s">
        <v>1250</v>
      </c>
      <c r="C554" s="31" t="s">
        <v>79</v>
      </c>
      <c r="D554" s="31" t="s">
        <v>76</v>
      </c>
      <c r="E554" s="31" t="s">
        <v>760</v>
      </c>
      <c r="F554" s="32" t="s">
        <v>763</v>
      </c>
    </row>
    <row r="555" spans="1:6">
      <c r="A555" s="29">
        <v>25183</v>
      </c>
      <c r="B555" s="31" t="s">
        <v>1251</v>
      </c>
      <c r="C555" s="31" t="s">
        <v>79</v>
      </c>
      <c r="D555" s="31" t="s">
        <v>126</v>
      </c>
      <c r="E555" s="31" t="s">
        <v>760</v>
      </c>
      <c r="F555" s="32" t="s">
        <v>763</v>
      </c>
    </row>
    <row r="556" spans="1:6">
      <c r="A556" s="29">
        <v>25200</v>
      </c>
      <c r="B556" s="31" t="s">
        <v>1252</v>
      </c>
      <c r="C556" s="31" t="s">
        <v>79</v>
      </c>
      <c r="D556" s="31" t="s">
        <v>76</v>
      </c>
      <c r="E556" s="31" t="s">
        <v>760</v>
      </c>
      <c r="F556" s="32" t="s">
        <v>763</v>
      </c>
    </row>
    <row r="557" spans="1:6">
      <c r="A557" s="29">
        <v>25214</v>
      </c>
      <c r="B557" s="31" t="s">
        <v>1253</v>
      </c>
      <c r="C557" s="31" t="s">
        <v>79</v>
      </c>
      <c r="D557" s="31" t="s">
        <v>76</v>
      </c>
      <c r="E557" s="31" t="s">
        <v>760</v>
      </c>
      <c r="F557" s="32" t="s">
        <v>763</v>
      </c>
    </row>
    <row r="558" spans="1:6">
      <c r="A558" s="29">
        <v>25224</v>
      </c>
      <c r="B558" s="31" t="s">
        <v>1254</v>
      </c>
      <c r="C558" s="31" t="s">
        <v>79</v>
      </c>
      <c r="D558" s="31" t="s">
        <v>76</v>
      </c>
      <c r="E558" s="31" t="s">
        <v>760</v>
      </c>
      <c r="F558" s="32" t="s">
        <v>765</v>
      </c>
    </row>
    <row r="559" spans="1:6">
      <c r="A559" s="29">
        <v>25245</v>
      </c>
      <c r="B559" s="31" t="s">
        <v>1255</v>
      </c>
      <c r="C559" s="31" t="s">
        <v>79</v>
      </c>
      <c r="D559" s="31" t="s">
        <v>76</v>
      </c>
      <c r="E559" s="31" t="s">
        <v>760</v>
      </c>
      <c r="F559" s="32" t="s">
        <v>763</v>
      </c>
    </row>
    <row r="560" spans="1:6">
      <c r="A560" s="29">
        <v>25260</v>
      </c>
      <c r="B560" s="31" t="s">
        <v>1256</v>
      </c>
      <c r="C560" s="31" t="s">
        <v>79</v>
      </c>
      <c r="D560" s="31" t="s">
        <v>76</v>
      </c>
      <c r="E560" s="31" t="s">
        <v>760</v>
      </c>
      <c r="F560" s="32" t="s">
        <v>763</v>
      </c>
    </row>
    <row r="561" spans="1:6">
      <c r="A561" s="29">
        <v>25269</v>
      </c>
      <c r="B561" s="31" t="s">
        <v>122</v>
      </c>
      <c r="C561" s="31" t="s">
        <v>79</v>
      </c>
      <c r="D561" s="31" t="s">
        <v>76</v>
      </c>
      <c r="E561" s="31" t="s">
        <v>760</v>
      </c>
      <c r="F561" s="32" t="s">
        <v>763</v>
      </c>
    </row>
    <row r="562" spans="1:6">
      <c r="A562" s="29">
        <v>25279</v>
      </c>
      <c r="B562" s="31" t="s">
        <v>1257</v>
      </c>
      <c r="C562" s="31" t="s">
        <v>79</v>
      </c>
      <c r="D562" s="31" t="s">
        <v>76</v>
      </c>
      <c r="E562" s="31" t="s">
        <v>760</v>
      </c>
      <c r="F562" s="32" t="s">
        <v>763</v>
      </c>
    </row>
    <row r="563" spans="1:6">
      <c r="A563" s="29">
        <v>25281</v>
      </c>
      <c r="B563" s="31" t="s">
        <v>1258</v>
      </c>
      <c r="C563" s="31" t="s">
        <v>79</v>
      </c>
      <c r="D563" s="31" t="s">
        <v>76</v>
      </c>
      <c r="E563" s="31" t="s">
        <v>760</v>
      </c>
      <c r="F563" s="32" t="s">
        <v>763</v>
      </c>
    </row>
    <row r="564" spans="1:6">
      <c r="A564" s="29">
        <v>25286</v>
      </c>
      <c r="B564" s="31" t="s">
        <v>713</v>
      </c>
      <c r="C564" s="31" t="s">
        <v>79</v>
      </c>
      <c r="D564" s="31" t="s">
        <v>76</v>
      </c>
      <c r="E564" s="31" t="s">
        <v>760</v>
      </c>
      <c r="F564" s="32" t="s">
        <v>763</v>
      </c>
    </row>
    <row r="565" spans="1:6">
      <c r="A565" s="29">
        <v>25288</v>
      </c>
      <c r="B565" s="31" t="s">
        <v>1259</v>
      </c>
      <c r="C565" s="31" t="s">
        <v>79</v>
      </c>
      <c r="D565" s="31" t="s">
        <v>76</v>
      </c>
      <c r="E565" s="31" t="s">
        <v>760</v>
      </c>
      <c r="F565" s="32" t="s">
        <v>765</v>
      </c>
    </row>
    <row r="566" spans="1:6">
      <c r="A566" s="29">
        <v>25290</v>
      </c>
      <c r="B566" s="31" t="s">
        <v>153</v>
      </c>
      <c r="C566" s="31" t="s">
        <v>79</v>
      </c>
      <c r="D566" s="31" t="s">
        <v>76</v>
      </c>
      <c r="E566" s="31" t="s">
        <v>760</v>
      </c>
      <c r="F566" s="32" t="s">
        <v>763</v>
      </c>
    </row>
    <row r="567" spans="1:6">
      <c r="A567" s="29">
        <v>25293</v>
      </c>
      <c r="B567" s="31" t="s">
        <v>1260</v>
      </c>
      <c r="C567" s="31" t="s">
        <v>79</v>
      </c>
      <c r="D567" s="31" t="s">
        <v>76</v>
      </c>
      <c r="E567" s="31" t="s">
        <v>760</v>
      </c>
      <c r="F567" s="32" t="s">
        <v>765</v>
      </c>
    </row>
    <row r="568" spans="1:6">
      <c r="A568" s="29">
        <v>25295</v>
      </c>
      <c r="B568" s="31" t="s">
        <v>1261</v>
      </c>
      <c r="C568" s="31" t="s">
        <v>79</v>
      </c>
      <c r="D568" s="31" t="s">
        <v>76</v>
      </c>
      <c r="E568" s="31" t="s">
        <v>760</v>
      </c>
      <c r="F568" s="32" t="s">
        <v>763</v>
      </c>
    </row>
    <row r="569" spans="1:6">
      <c r="A569" s="29">
        <v>25297</v>
      </c>
      <c r="B569" s="31" t="s">
        <v>1262</v>
      </c>
      <c r="C569" s="31" t="s">
        <v>79</v>
      </c>
      <c r="D569" s="31" t="s">
        <v>76</v>
      </c>
      <c r="E569" s="31" t="s">
        <v>760</v>
      </c>
      <c r="F569" s="32" t="s">
        <v>765</v>
      </c>
    </row>
    <row r="570" spans="1:6">
      <c r="A570" s="29">
        <v>25299</v>
      </c>
      <c r="B570" s="31" t="s">
        <v>683</v>
      </c>
      <c r="C570" s="31" t="s">
        <v>79</v>
      </c>
      <c r="D570" s="31" t="s">
        <v>76</v>
      </c>
      <c r="E570" s="31" t="s">
        <v>760</v>
      </c>
      <c r="F570" s="32" t="s">
        <v>765</v>
      </c>
    </row>
    <row r="571" spans="1:6">
      <c r="A571" s="29">
        <v>25307</v>
      </c>
      <c r="B571" s="31" t="s">
        <v>1263</v>
      </c>
      <c r="C571" s="31" t="s">
        <v>79</v>
      </c>
      <c r="D571" s="31" t="s">
        <v>76</v>
      </c>
      <c r="E571" s="31" t="s">
        <v>760</v>
      </c>
      <c r="F571" s="32" t="s">
        <v>765</v>
      </c>
    </row>
    <row r="572" spans="1:6">
      <c r="A572" s="29">
        <v>25317</v>
      </c>
      <c r="B572" s="31" t="s">
        <v>1264</v>
      </c>
      <c r="C572" s="31" t="s">
        <v>79</v>
      </c>
      <c r="D572" s="31" t="s">
        <v>76</v>
      </c>
      <c r="E572" s="31" t="s">
        <v>760</v>
      </c>
      <c r="F572" s="32" t="s">
        <v>765</v>
      </c>
    </row>
    <row r="573" spans="1:6">
      <c r="A573" s="29">
        <v>25320</v>
      </c>
      <c r="B573" s="31" t="s">
        <v>449</v>
      </c>
      <c r="C573" s="31" t="s">
        <v>79</v>
      </c>
      <c r="D573" s="31" t="s">
        <v>76</v>
      </c>
      <c r="E573" s="31" t="s">
        <v>760</v>
      </c>
      <c r="F573" s="32" t="s">
        <v>765</v>
      </c>
    </row>
    <row r="574" spans="1:6">
      <c r="A574" s="29">
        <v>25322</v>
      </c>
      <c r="B574" s="31" t="s">
        <v>1265</v>
      </c>
      <c r="C574" s="31" t="s">
        <v>79</v>
      </c>
      <c r="D574" s="31" t="s">
        <v>76</v>
      </c>
      <c r="E574" s="31" t="s">
        <v>760</v>
      </c>
      <c r="F574" s="32" t="s">
        <v>763</v>
      </c>
    </row>
    <row r="575" spans="1:6">
      <c r="A575" s="29">
        <v>25324</v>
      </c>
      <c r="B575" s="31" t="s">
        <v>1266</v>
      </c>
      <c r="C575" s="31" t="s">
        <v>79</v>
      </c>
      <c r="D575" s="31" t="s">
        <v>322</v>
      </c>
      <c r="E575" s="31" t="s">
        <v>760</v>
      </c>
      <c r="F575" s="32" t="s">
        <v>765</v>
      </c>
    </row>
    <row r="576" spans="1:6">
      <c r="A576" s="29">
        <v>25326</v>
      </c>
      <c r="B576" s="31" t="s">
        <v>1267</v>
      </c>
      <c r="C576" s="31" t="s">
        <v>79</v>
      </c>
      <c r="D576" s="31" t="s">
        <v>76</v>
      </c>
      <c r="E576" s="31" t="s">
        <v>760</v>
      </c>
      <c r="F576" s="32" t="s">
        <v>763</v>
      </c>
    </row>
    <row r="577" spans="1:6">
      <c r="A577" s="29">
        <v>25328</v>
      </c>
      <c r="B577" s="31" t="s">
        <v>1268</v>
      </c>
      <c r="C577" s="31" t="s">
        <v>79</v>
      </c>
      <c r="D577" s="31" t="s">
        <v>76</v>
      </c>
      <c r="E577" s="31" t="s">
        <v>760</v>
      </c>
      <c r="F577" s="32" t="s">
        <v>765</v>
      </c>
    </row>
    <row r="578" spans="1:6">
      <c r="A578" s="29">
        <v>25335</v>
      </c>
      <c r="B578" s="31" t="s">
        <v>1269</v>
      </c>
      <c r="C578" s="31" t="s">
        <v>79</v>
      </c>
      <c r="D578" s="31" t="s">
        <v>302</v>
      </c>
      <c r="E578" s="31" t="s">
        <v>760</v>
      </c>
      <c r="F578" s="32" t="s">
        <v>763</v>
      </c>
    </row>
    <row r="579" spans="1:6">
      <c r="A579" s="29">
        <v>25339</v>
      </c>
      <c r="B579" s="31" t="s">
        <v>1270</v>
      </c>
      <c r="C579" s="31" t="s">
        <v>79</v>
      </c>
      <c r="D579" s="31" t="s">
        <v>76</v>
      </c>
      <c r="E579" s="31" t="s">
        <v>760</v>
      </c>
      <c r="F579" s="32" t="s">
        <v>765</v>
      </c>
    </row>
    <row r="580" spans="1:6">
      <c r="A580" s="29">
        <v>25368</v>
      </c>
      <c r="B580" s="31" t="s">
        <v>1271</v>
      </c>
      <c r="C580" s="31" t="s">
        <v>79</v>
      </c>
      <c r="D580" s="31" t="s">
        <v>76</v>
      </c>
      <c r="E580" s="31" t="s">
        <v>760</v>
      </c>
      <c r="F580" s="32" t="s">
        <v>765</v>
      </c>
    </row>
    <row r="581" spans="1:6">
      <c r="A581" s="29">
        <v>25372</v>
      </c>
      <c r="B581" s="31" t="s">
        <v>1272</v>
      </c>
      <c r="C581" s="31" t="s">
        <v>79</v>
      </c>
      <c r="D581" s="31" t="s">
        <v>76</v>
      </c>
      <c r="E581" s="31" t="s">
        <v>760</v>
      </c>
      <c r="F581" s="32" t="s">
        <v>765</v>
      </c>
    </row>
    <row r="582" spans="1:6">
      <c r="A582" s="29">
        <v>25377</v>
      </c>
      <c r="B582" s="31" t="s">
        <v>1273</v>
      </c>
      <c r="C582" s="31" t="s">
        <v>79</v>
      </c>
      <c r="D582" s="31" t="s">
        <v>76</v>
      </c>
      <c r="E582" s="31" t="s">
        <v>760</v>
      </c>
      <c r="F582" s="32" t="s">
        <v>763</v>
      </c>
    </row>
    <row r="583" spans="1:6">
      <c r="A583" s="29">
        <v>25386</v>
      </c>
      <c r="B583" s="31" t="s">
        <v>1274</v>
      </c>
      <c r="C583" s="31" t="s">
        <v>79</v>
      </c>
      <c r="D583" s="31" t="s">
        <v>76</v>
      </c>
      <c r="E583" s="31" t="s">
        <v>760</v>
      </c>
      <c r="F583" s="32" t="s">
        <v>763</v>
      </c>
    </row>
    <row r="584" spans="1:6">
      <c r="A584" s="29">
        <v>25394</v>
      </c>
      <c r="B584" s="31" t="s">
        <v>1275</v>
      </c>
      <c r="C584" s="31" t="s">
        <v>79</v>
      </c>
      <c r="D584" s="31" t="s">
        <v>76</v>
      </c>
      <c r="E584" s="31" t="s">
        <v>760</v>
      </c>
      <c r="F584" s="32" t="s">
        <v>765</v>
      </c>
    </row>
    <row r="585" spans="1:6">
      <c r="A585" s="29">
        <v>25398</v>
      </c>
      <c r="B585" s="31" t="s">
        <v>1276</v>
      </c>
      <c r="C585" s="31" t="s">
        <v>79</v>
      </c>
      <c r="D585" s="31" t="s">
        <v>76</v>
      </c>
      <c r="E585" s="31" t="s">
        <v>760</v>
      </c>
      <c r="F585" s="32" t="s">
        <v>765</v>
      </c>
    </row>
    <row r="586" spans="1:6">
      <c r="A586" s="29">
        <v>25407</v>
      </c>
      <c r="B586" s="31" t="s">
        <v>1277</v>
      </c>
      <c r="C586" s="31" t="s">
        <v>79</v>
      </c>
      <c r="D586" s="31" t="s">
        <v>76</v>
      </c>
      <c r="E586" s="31" t="s">
        <v>760</v>
      </c>
      <c r="F586" s="32" t="s">
        <v>765</v>
      </c>
    </row>
    <row r="587" spans="1:6">
      <c r="A587" s="29">
        <v>25426</v>
      </c>
      <c r="B587" s="31" t="s">
        <v>1278</v>
      </c>
      <c r="C587" s="31" t="s">
        <v>79</v>
      </c>
      <c r="D587" s="31" t="s">
        <v>76</v>
      </c>
      <c r="E587" s="31" t="s">
        <v>760</v>
      </c>
      <c r="F587" s="32" t="s">
        <v>765</v>
      </c>
    </row>
    <row r="588" spans="1:6">
      <c r="A588" s="29">
        <v>25430</v>
      </c>
      <c r="B588" s="31" t="s">
        <v>1279</v>
      </c>
      <c r="C588" s="31" t="s">
        <v>79</v>
      </c>
      <c r="D588" s="31" t="s">
        <v>76</v>
      </c>
      <c r="E588" s="31" t="s">
        <v>760</v>
      </c>
      <c r="F588" s="32" t="s">
        <v>763</v>
      </c>
    </row>
    <row r="589" spans="1:6">
      <c r="A589" s="29">
        <v>25436</v>
      </c>
      <c r="B589" s="31" t="s">
        <v>1280</v>
      </c>
      <c r="C589" s="31" t="s">
        <v>79</v>
      </c>
      <c r="D589" s="31" t="s">
        <v>76</v>
      </c>
      <c r="E589" s="31" t="s">
        <v>760</v>
      </c>
      <c r="F589" s="32" t="s">
        <v>765</v>
      </c>
    </row>
    <row r="590" spans="1:6">
      <c r="A590" s="29">
        <v>25438</v>
      </c>
      <c r="B590" s="31" t="s">
        <v>1281</v>
      </c>
      <c r="C590" s="31" t="s">
        <v>79</v>
      </c>
      <c r="D590" s="31" t="s">
        <v>302</v>
      </c>
      <c r="E590" s="31" t="s">
        <v>760</v>
      </c>
      <c r="F590" s="32" t="s">
        <v>761</v>
      </c>
    </row>
    <row r="591" spans="1:6">
      <c r="A591" s="29">
        <v>25486</v>
      </c>
      <c r="B591" s="31" t="s">
        <v>1282</v>
      </c>
      <c r="C591" s="31" t="s">
        <v>79</v>
      </c>
      <c r="D591" s="31" t="s">
        <v>76</v>
      </c>
      <c r="E591" s="31" t="s">
        <v>760</v>
      </c>
      <c r="F591" s="32" t="s">
        <v>763</v>
      </c>
    </row>
    <row r="592" spans="1:6">
      <c r="A592" s="29">
        <v>25488</v>
      </c>
      <c r="B592" s="31" t="s">
        <v>1283</v>
      </c>
      <c r="C592" s="31" t="s">
        <v>79</v>
      </c>
      <c r="D592" s="31" t="s">
        <v>76</v>
      </c>
      <c r="E592" s="31" t="s">
        <v>760</v>
      </c>
      <c r="F592" s="32" t="s">
        <v>765</v>
      </c>
    </row>
    <row r="593" spans="1:6">
      <c r="A593" s="29">
        <v>25489</v>
      </c>
      <c r="B593" s="31" t="s">
        <v>1284</v>
      </c>
      <c r="C593" s="31" t="s">
        <v>79</v>
      </c>
      <c r="D593" s="31" t="s">
        <v>76</v>
      </c>
      <c r="E593" s="31" t="s">
        <v>760</v>
      </c>
      <c r="F593" s="32" t="s">
        <v>765</v>
      </c>
    </row>
    <row r="594" spans="1:6">
      <c r="A594" s="29">
        <v>25491</v>
      </c>
      <c r="B594" s="31" t="s">
        <v>1285</v>
      </c>
      <c r="C594" s="31" t="s">
        <v>79</v>
      </c>
      <c r="D594" s="31" t="s">
        <v>76</v>
      </c>
      <c r="E594" s="31" t="s">
        <v>760</v>
      </c>
      <c r="F594" s="32" t="s">
        <v>765</v>
      </c>
    </row>
    <row r="595" spans="1:6">
      <c r="A595" s="29">
        <v>25513</v>
      </c>
      <c r="B595" s="31" t="s">
        <v>1286</v>
      </c>
      <c r="C595" s="31" t="s">
        <v>79</v>
      </c>
      <c r="D595" s="31" t="s">
        <v>76</v>
      </c>
      <c r="E595" s="31" t="s">
        <v>760</v>
      </c>
      <c r="F595" s="32" t="s">
        <v>765</v>
      </c>
    </row>
    <row r="596" spans="1:6">
      <c r="A596" s="29">
        <v>25518</v>
      </c>
      <c r="B596" s="31" t="s">
        <v>1287</v>
      </c>
      <c r="C596" s="31" t="s">
        <v>79</v>
      </c>
      <c r="D596" s="31" t="s">
        <v>76</v>
      </c>
      <c r="E596" s="31" t="s">
        <v>760</v>
      </c>
      <c r="F596" s="32" t="s">
        <v>761</v>
      </c>
    </row>
    <row r="597" spans="1:6">
      <c r="A597" s="29">
        <v>25524</v>
      </c>
      <c r="B597" s="31" t="s">
        <v>1288</v>
      </c>
      <c r="C597" s="31" t="s">
        <v>79</v>
      </c>
      <c r="D597" s="31" t="s">
        <v>76</v>
      </c>
      <c r="E597" s="31" t="s">
        <v>760</v>
      </c>
      <c r="F597" s="32" t="s">
        <v>765</v>
      </c>
    </row>
    <row r="598" spans="1:6">
      <c r="A598" s="29">
        <v>25530</v>
      </c>
      <c r="B598" s="31" t="s">
        <v>1289</v>
      </c>
      <c r="C598" s="31" t="s">
        <v>79</v>
      </c>
      <c r="D598" s="31" t="s">
        <v>302</v>
      </c>
      <c r="E598" s="31" t="s">
        <v>760</v>
      </c>
      <c r="F598" s="32" t="s">
        <v>765</v>
      </c>
    </row>
    <row r="599" spans="1:6">
      <c r="A599" s="29">
        <v>25535</v>
      </c>
      <c r="B599" s="31" t="s">
        <v>1290</v>
      </c>
      <c r="C599" s="31" t="s">
        <v>79</v>
      </c>
      <c r="D599" s="31" t="s">
        <v>76</v>
      </c>
      <c r="E599" s="31" t="s">
        <v>760</v>
      </c>
      <c r="F599" s="32" t="s">
        <v>763</v>
      </c>
    </row>
    <row r="600" spans="1:6">
      <c r="A600" s="29">
        <v>25572</v>
      </c>
      <c r="B600" s="31" t="s">
        <v>1291</v>
      </c>
      <c r="C600" s="31" t="s">
        <v>79</v>
      </c>
      <c r="D600" s="31" t="s">
        <v>76</v>
      </c>
      <c r="E600" s="31" t="s">
        <v>760</v>
      </c>
      <c r="F600" s="32" t="s">
        <v>761</v>
      </c>
    </row>
    <row r="601" spans="1:6">
      <c r="A601" s="29">
        <v>25580</v>
      </c>
      <c r="B601" s="31" t="s">
        <v>1292</v>
      </c>
      <c r="C601" s="31" t="s">
        <v>79</v>
      </c>
      <c r="D601" s="31" t="s">
        <v>76</v>
      </c>
      <c r="E601" s="31" t="s">
        <v>760</v>
      </c>
      <c r="F601" s="32" t="s">
        <v>765</v>
      </c>
    </row>
    <row r="602" spans="1:6">
      <c r="A602" s="29">
        <v>25592</v>
      </c>
      <c r="B602" s="31" t="s">
        <v>1293</v>
      </c>
      <c r="C602" s="31" t="s">
        <v>79</v>
      </c>
      <c r="D602" s="31" t="s">
        <v>76</v>
      </c>
      <c r="E602" s="31" t="s">
        <v>760</v>
      </c>
      <c r="F602" s="32" t="s">
        <v>765</v>
      </c>
    </row>
    <row r="603" spans="1:6">
      <c r="A603" s="29">
        <v>25594</v>
      </c>
      <c r="B603" s="31" t="s">
        <v>1294</v>
      </c>
      <c r="C603" s="31" t="s">
        <v>79</v>
      </c>
      <c r="D603" s="31" t="s">
        <v>76</v>
      </c>
      <c r="E603" s="31" t="s">
        <v>760</v>
      </c>
      <c r="F603" s="32" t="s">
        <v>765</v>
      </c>
    </row>
    <row r="604" spans="1:6">
      <c r="A604" s="29">
        <v>25596</v>
      </c>
      <c r="B604" s="31" t="s">
        <v>1295</v>
      </c>
      <c r="C604" s="31" t="s">
        <v>79</v>
      </c>
      <c r="D604" s="31" t="s">
        <v>76</v>
      </c>
      <c r="E604" s="31" t="s">
        <v>760</v>
      </c>
      <c r="F604" s="32" t="s">
        <v>765</v>
      </c>
    </row>
    <row r="605" spans="1:6">
      <c r="A605" s="29">
        <v>25645</v>
      </c>
      <c r="B605" s="31" t="s">
        <v>1296</v>
      </c>
      <c r="C605" s="31" t="s">
        <v>79</v>
      </c>
      <c r="D605" s="31" t="s">
        <v>76</v>
      </c>
      <c r="E605" s="31" t="s">
        <v>760</v>
      </c>
      <c r="F605" s="32" t="s">
        <v>763</v>
      </c>
    </row>
    <row r="606" spans="1:6">
      <c r="A606" s="29">
        <v>25662</v>
      </c>
      <c r="B606" s="31" t="s">
        <v>1297</v>
      </c>
      <c r="C606" s="31" t="s">
        <v>79</v>
      </c>
      <c r="D606" s="31" t="s">
        <v>76</v>
      </c>
      <c r="E606" s="31" t="s">
        <v>760</v>
      </c>
      <c r="F606" s="32" t="s">
        <v>765</v>
      </c>
    </row>
    <row r="607" spans="1:6">
      <c r="A607" s="29">
        <v>25718</v>
      </c>
      <c r="B607" s="31" t="s">
        <v>1298</v>
      </c>
      <c r="C607" s="31" t="s">
        <v>79</v>
      </c>
      <c r="D607" s="31" t="s">
        <v>76</v>
      </c>
      <c r="E607" s="31" t="s">
        <v>760</v>
      </c>
      <c r="F607" s="32" t="s">
        <v>763</v>
      </c>
    </row>
    <row r="608" spans="1:6">
      <c r="A608" s="29">
        <v>25736</v>
      </c>
      <c r="B608" s="31" t="s">
        <v>1299</v>
      </c>
      <c r="C608" s="31" t="s">
        <v>79</v>
      </c>
      <c r="D608" s="31" t="s">
        <v>76</v>
      </c>
      <c r="E608" s="31" t="s">
        <v>760</v>
      </c>
      <c r="F608" s="32" t="s">
        <v>763</v>
      </c>
    </row>
    <row r="609" spans="1:6">
      <c r="A609" s="29">
        <v>25740</v>
      </c>
      <c r="B609" s="31" t="s">
        <v>1300</v>
      </c>
      <c r="C609" s="31" t="s">
        <v>79</v>
      </c>
      <c r="D609" s="31" t="s">
        <v>76</v>
      </c>
      <c r="E609" s="31" t="s">
        <v>760</v>
      </c>
      <c r="F609" s="32" t="s">
        <v>763</v>
      </c>
    </row>
    <row r="610" spans="1:6">
      <c r="A610" s="29">
        <v>25743</v>
      </c>
      <c r="B610" s="31" t="s">
        <v>1301</v>
      </c>
      <c r="C610" s="31" t="s">
        <v>79</v>
      </c>
      <c r="D610" s="31" t="s">
        <v>76</v>
      </c>
      <c r="E610" s="31" t="s">
        <v>760</v>
      </c>
      <c r="F610" s="32" t="s">
        <v>763</v>
      </c>
    </row>
    <row r="611" spans="1:6">
      <c r="A611" s="29">
        <v>25745</v>
      </c>
      <c r="B611" s="31" t="s">
        <v>1302</v>
      </c>
      <c r="C611" s="31" t="s">
        <v>79</v>
      </c>
      <c r="D611" s="31" t="s">
        <v>126</v>
      </c>
      <c r="E611" s="31" t="s">
        <v>760</v>
      </c>
      <c r="F611" s="32" t="s">
        <v>765</v>
      </c>
    </row>
    <row r="612" spans="1:6">
      <c r="A612" s="29">
        <v>25754</v>
      </c>
      <c r="B612" s="31" t="s">
        <v>668</v>
      </c>
      <c r="C612" s="31" t="s">
        <v>79</v>
      </c>
      <c r="D612" s="31" t="s">
        <v>76</v>
      </c>
      <c r="E612" s="31" t="s">
        <v>760</v>
      </c>
      <c r="F612" s="32" t="s">
        <v>767</v>
      </c>
    </row>
    <row r="613" spans="1:6">
      <c r="A613" s="29">
        <v>25758</v>
      </c>
      <c r="B613" s="31" t="s">
        <v>1303</v>
      </c>
      <c r="C613" s="31" t="s">
        <v>79</v>
      </c>
      <c r="D613" s="31" t="s">
        <v>76</v>
      </c>
      <c r="E613" s="31" t="s">
        <v>760</v>
      </c>
      <c r="F613" s="32" t="s">
        <v>763</v>
      </c>
    </row>
    <row r="614" spans="1:6">
      <c r="A614" s="29">
        <v>25769</v>
      </c>
      <c r="B614" s="31" t="s">
        <v>1304</v>
      </c>
      <c r="C614" s="31" t="s">
        <v>79</v>
      </c>
      <c r="D614" s="31" t="s">
        <v>76</v>
      </c>
      <c r="E614" s="31" t="s">
        <v>760</v>
      </c>
      <c r="F614" s="32" t="s">
        <v>763</v>
      </c>
    </row>
    <row r="615" spans="1:6">
      <c r="A615" s="29">
        <v>25772</v>
      </c>
      <c r="B615" s="31" t="s">
        <v>1305</v>
      </c>
      <c r="C615" s="31" t="s">
        <v>79</v>
      </c>
      <c r="D615" s="31" t="s">
        <v>76</v>
      </c>
      <c r="E615" s="31" t="s">
        <v>760</v>
      </c>
      <c r="F615" s="32" t="s">
        <v>763</v>
      </c>
    </row>
    <row r="616" spans="1:6">
      <c r="A616" s="29">
        <v>25777</v>
      </c>
      <c r="B616" s="31" t="s">
        <v>1306</v>
      </c>
      <c r="C616" s="31" t="s">
        <v>79</v>
      </c>
      <c r="D616" s="31" t="s">
        <v>76</v>
      </c>
      <c r="E616" s="31" t="s">
        <v>760</v>
      </c>
      <c r="F616" s="32" t="s">
        <v>763</v>
      </c>
    </row>
    <row r="617" spans="1:6">
      <c r="A617" s="29">
        <v>25779</v>
      </c>
      <c r="B617" s="31" t="s">
        <v>1307</v>
      </c>
      <c r="C617" s="31" t="s">
        <v>79</v>
      </c>
      <c r="D617" s="31" t="s">
        <v>76</v>
      </c>
      <c r="E617" s="31" t="s">
        <v>760</v>
      </c>
      <c r="F617" s="32" t="s">
        <v>765</v>
      </c>
    </row>
    <row r="618" spans="1:6">
      <c r="A618" s="29">
        <v>25781</v>
      </c>
      <c r="B618" s="31" t="s">
        <v>1308</v>
      </c>
      <c r="C618" s="31" t="s">
        <v>79</v>
      </c>
      <c r="D618" s="31" t="s">
        <v>76</v>
      </c>
      <c r="E618" s="31" t="s">
        <v>760</v>
      </c>
      <c r="F618" s="32" t="s">
        <v>763</v>
      </c>
    </row>
    <row r="619" spans="1:6">
      <c r="A619" s="29">
        <v>25785</v>
      </c>
      <c r="B619" s="31" t="s">
        <v>1309</v>
      </c>
      <c r="C619" s="31" t="s">
        <v>79</v>
      </c>
      <c r="D619" s="31" t="s">
        <v>76</v>
      </c>
      <c r="E619" s="31" t="s">
        <v>760</v>
      </c>
      <c r="F619" s="32" t="s">
        <v>763</v>
      </c>
    </row>
    <row r="620" spans="1:6">
      <c r="A620" s="29">
        <v>25793</v>
      </c>
      <c r="B620" s="31" t="s">
        <v>1310</v>
      </c>
      <c r="C620" s="31" t="s">
        <v>79</v>
      </c>
      <c r="D620" s="31" t="s">
        <v>76</v>
      </c>
      <c r="E620" s="31" t="s">
        <v>760</v>
      </c>
      <c r="F620" s="32" t="s">
        <v>763</v>
      </c>
    </row>
    <row r="621" spans="1:6">
      <c r="A621" s="29">
        <v>25797</v>
      </c>
      <c r="B621" s="31" t="s">
        <v>1311</v>
      </c>
      <c r="C621" s="31" t="s">
        <v>79</v>
      </c>
      <c r="D621" s="31" t="s">
        <v>76</v>
      </c>
      <c r="E621" s="31" t="s">
        <v>760</v>
      </c>
      <c r="F621" s="32" t="s">
        <v>763</v>
      </c>
    </row>
    <row r="622" spans="1:6">
      <c r="A622" s="29">
        <v>25799</v>
      </c>
      <c r="B622" s="31" t="s">
        <v>1312</v>
      </c>
      <c r="C622" s="31" t="s">
        <v>79</v>
      </c>
      <c r="D622" s="31" t="s">
        <v>76</v>
      </c>
      <c r="E622" s="31" t="s">
        <v>760</v>
      </c>
      <c r="F622" s="32" t="s">
        <v>763</v>
      </c>
    </row>
    <row r="623" spans="1:6">
      <c r="A623" s="29">
        <v>25805</v>
      </c>
      <c r="B623" s="31" t="s">
        <v>1313</v>
      </c>
      <c r="C623" s="31" t="s">
        <v>79</v>
      </c>
      <c r="D623" s="31" t="s">
        <v>76</v>
      </c>
      <c r="E623" s="31" t="s">
        <v>760</v>
      </c>
      <c r="F623" s="32" t="s">
        <v>763</v>
      </c>
    </row>
    <row r="624" spans="1:6">
      <c r="A624" s="29">
        <v>25807</v>
      </c>
      <c r="B624" s="31" t="s">
        <v>1314</v>
      </c>
      <c r="C624" s="31" t="s">
        <v>79</v>
      </c>
      <c r="D624" s="31" t="s">
        <v>76</v>
      </c>
      <c r="E624" s="31" t="s">
        <v>760</v>
      </c>
      <c r="F624" s="32" t="s">
        <v>765</v>
      </c>
    </row>
    <row r="625" spans="1:6">
      <c r="A625" s="29">
        <v>25815</v>
      </c>
      <c r="B625" s="31" t="s">
        <v>1315</v>
      </c>
      <c r="C625" s="31" t="s">
        <v>79</v>
      </c>
      <c r="D625" s="31" t="s">
        <v>76</v>
      </c>
      <c r="E625" s="31" t="s">
        <v>760</v>
      </c>
      <c r="F625" s="32" t="s">
        <v>765</v>
      </c>
    </row>
    <row r="626" spans="1:6">
      <c r="A626" s="29">
        <v>25817</v>
      </c>
      <c r="B626" s="31" t="s">
        <v>1316</v>
      </c>
      <c r="C626" s="31" t="s">
        <v>79</v>
      </c>
      <c r="D626" s="31" t="s">
        <v>76</v>
      </c>
      <c r="E626" s="31" t="s">
        <v>760</v>
      </c>
      <c r="F626" s="32" t="s">
        <v>763</v>
      </c>
    </row>
    <row r="627" spans="1:6">
      <c r="A627" s="29">
        <v>25823</v>
      </c>
      <c r="B627" s="31" t="s">
        <v>1317</v>
      </c>
      <c r="C627" s="31" t="s">
        <v>79</v>
      </c>
      <c r="D627" s="31" t="s">
        <v>76</v>
      </c>
      <c r="E627" s="31" t="s">
        <v>760</v>
      </c>
      <c r="F627" s="32" t="s">
        <v>765</v>
      </c>
    </row>
    <row r="628" spans="1:6">
      <c r="A628" s="29">
        <v>25839</v>
      </c>
      <c r="B628" s="31" t="s">
        <v>1318</v>
      </c>
      <c r="C628" s="31" t="s">
        <v>79</v>
      </c>
      <c r="D628" s="31" t="s">
        <v>76</v>
      </c>
      <c r="E628" s="31" t="s">
        <v>760</v>
      </c>
      <c r="F628" s="32" t="s">
        <v>765</v>
      </c>
    </row>
    <row r="629" spans="1:6">
      <c r="A629" s="29">
        <v>25841</v>
      </c>
      <c r="B629" s="31" t="s">
        <v>1319</v>
      </c>
      <c r="C629" s="31" t="s">
        <v>79</v>
      </c>
      <c r="D629" s="31" t="s">
        <v>76</v>
      </c>
      <c r="E629" s="31" t="s">
        <v>760</v>
      </c>
      <c r="F629" s="32" t="s">
        <v>763</v>
      </c>
    </row>
    <row r="630" spans="1:6">
      <c r="A630" s="29">
        <v>25845</v>
      </c>
      <c r="B630" s="31" t="s">
        <v>1320</v>
      </c>
      <c r="C630" s="31" t="s">
        <v>79</v>
      </c>
      <c r="D630" s="31" t="s">
        <v>76</v>
      </c>
      <c r="E630" s="31" t="s">
        <v>760</v>
      </c>
      <c r="F630" s="32" t="s">
        <v>763</v>
      </c>
    </row>
    <row r="631" spans="1:6">
      <c r="A631" s="29">
        <v>25851</v>
      </c>
      <c r="B631" s="31" t="s">
        <v>1321</v>
      </c>
      <c r="C631" s="31" t="s">
        <v>79</v>
      </c>
      <c r="D631" s="31" t="s">
        <v>76</v>
      </c>
      <c r="E631" s="31" t="s">
        <v>760</v>
      </c>
      <c r="F631" s="32" t="s">
        <v>765</v>
      </c>
    </row>
    <row r="632" spans="1:6">
      <c r="A632" s="29">
        <v>25862</v>
      </c>
      <c r="B632" s="31" t="s">
        <v>1322</v>
      </c>
      <c r="C632" s="31" t="s">
        <v>79</v>
      </c>
      <c r="D632" s="31" t="s">
        <v>76</v>
      </c>
      <c r="E632" s="31" t="s">
        <v>760</v>
      </c>
      <c r="F632" s="32" t="s">
        <v>765</v>
      </c>
    </row>
    <row r="633" spans="1:6">
      <c r="A633" s="29">
        <v>25867</v>
      </c>
      <c r="B633" s="31" t="s">
        <v>1323</v>
      </c>
      <c r="C633" s="31" t="s">
        <v>79</v>
      </c>
      <c r="D633" s="31" t="s">
        <v>76</v>
      </c>
      <c r="E633" s="31" t="s">
        <v>760</v>
      </c>
      <c r="F633" s="32" t="s">
        <v>765</v>
      </c>
    </row>
    <row r="634" spans="1:6">
      <c r="A634" s="29">
        <v>25843</v>
      </c>
      <c r="B634" s="31" t="s">
        <v>1324</v>
      </c>
      <c r="C634" s="31" t="s">
        <v>79</v>
      </c>
      <c r="D634" s="31" t="s">
        <v>76</v>
      </c>
      <c r="E634" s="31" t="s">
        <v>760</v>
      </c>
      <c r="F634" s="32" t="s">
        <v>763</v>
      </c>
    </row>
    <row r="635" spans="1:6">
      <c r="A635" s="29">
        <v>25871</v>
      </c>
      <c r="B635" s="31" t="s">
        <v>1325</v>
      </c>
      <c r="C635" s="31" t="s">
        <v>79</v>
      </c>
      <c r="D635" s="31" t="s">
        <v>76</v>
      </c>
      <c r="E635" s="31" t="s">
        <v>760</v>
      </c>
      <c r="F635" s="32" t="s">
        <v>765</v>
      </c>
    </row>
    <row r="636" spans="1:6">
      <c r="A636" s="29">
        <v>25873</v>
      </c>
      <c r="B636" s="31" t="s">
        <v>1326</v>
      </c>
      <c r="C636" s="31" t="s">
        <v>79</v>
      </c>
      <c r="D636" s="31" t="s">
        <v>126</v>
      </c>
      <c r="E636" s="31" t="s">
        <v>760</v>
      </c>
      <c r="F636" s="32" t="s">
        <v>763</v>
      </c>
    </row>
    <row r="637" spans="1:6">
      <c r="A637" s="29">
        <v>25875</v>
      </c>
      <c r="B637" s="31" t="s">
        <v>1327</v>
      </c>
      <c r="C637" s="31" t="s">
        <v>79</v>
      </c>
      <c r="D637" s="31" t="s">
        <v>76</v>
      </c>
      <c r="E637" s="31" t="s">
        <v>760</v>
      </c>
      <c r="F637" s="32" t="s">
        <v>763</v>
      </c>
    </row>
    <row r="638" spans="1:6">
      <c r="A638" s="29">
        <v>25878</v>
      </c>
      <c r="B638" s="31" t="s">
        <v>1328</v>
      </c>
      <c r="C638" s="31" t="s">
        <v>79</v>
      </c>
      <c r="D638" s="31" t="s">
        <v>76</v>
      </c>
      <c r="E638" s="31" t="s">
        <v>760</v>
      </c>
      <c r="F638" s="32" t="s">
        <v>765</v>
      </c>
    </row>
    <row r="639" spans="1:6">
      <c r="A639" s="29">
        <v>25885</v>
      </c>
      <c r="B639" s="31" t="s">
        <v>1329</v>
      </c>
      <c r="C639" s="31" t="s">
        <v>79</v>
      </c>
      <c r="D639" s="31" t="s">
        <v>76</v>
      </c>
      <c r="E639" s="31" t="s">
        <v>760</v>
      </c>
      <c r="F639" s="32" t="s">
        <v>761</v>
      </c>
    </row>
    <row r="640" spans="1:6">
      <c r="A640" s="29">
        <v>25898</v>
      </c>
      <c r="B640" s="31" t="s">
        <v>1330</v>
      </c>
      <c r="C640" s="31" t="s">
        <v>79</v>
      </c>
      <c r="D640" s="31" t="s">
        <v>76</v>
      </c>
      <c r="E640" s="31" t="s">
        <v>760</v>
      </c>
      <c r="F640" s="32" t="s">
        <v>763</v>
      </c>
    </row>
    <row r="641" spans="1:6">
      <c r="A641" s="29">
        <v>25899</v>
      </c>
      <c r="B641" s="31" t="s">
        <v>571</v>
      </c>
      <c r="C641" s="31" t="s">
        <v>79</v>
      </c>
      <c r="D641" s="31" t="s">
        <v>76</v>
      </c>
      <c r="E641" s="31" t="s">
        <v>760</v>
      </c>
      <c r="F641" s="32" t="s">
        <v>763</v>
      </c>
    </row>
    <row r="642" spans="1:6">
      <c r="A642" s="29">
        <v>94884</v>
      </c>
      <c r="B642" s="30" t="s">
        <v>886</v>
      </c>
      <c r="C642" s="31" t="s">
        <v>1331</v>
      </c>
      <c r="D642" s="31" t="s">
        <v>302</v>
      </c>
      <c r="E642" s="31" t="s">
        <v>747</v>
      </c>
      <c r="F642" s="32" t="s">
        <v>748</v>
      </c>
    </row>
    <row r="643" spans="1:6">
      <c r="A643" s="29">
        <v>94343</v>
      </c>
      <c r="B643" s="31" t="s">
        <v>1332</v>
      </c>
      <c r="C643" s="31" t="s">
        <v>1331</v>
      </c>
      <c r="D643" s="31" t="s">
        <v>302</v>
      </c>
      <c r="E643" s="31" t="s">
        <v>747</v>
      </c>
      <c r="F643" s="32" t="s">
        <v>748</v>
      </c>
    </row>
    <row r="644" spans="1:6">
      <c r="A644" s="29">
        <v>94886</v>
      </c>
      <c r="B644" s="31" t="s">
        <v>1333</v>
      </c>
      <c r="C644" s="31" t="s">
        <v>1331</v>
      </c>
      <c r="D644" s="31" t="s">
        <v>302</v>
      </c>
      <c r="E644" s="31" t="s">
        <v>747</v>
      </c>
      <c r="F644" s="32" t="s">
        <v>748</v>
      </c>
    </row>
    <row r="645" spans="1:6">
      <c r="A645" s="29">
        <v>94001</v>
      </c>
      <c r="B645" s="31" t="s">
        <v>1334</v>
      </c>
      <c r="C645" s="31" t="s">
        <v>1331</v>
      </c>
      <c r="D645" s="31" t="s">
        <v>76</v>
      </c>
      <c r="E645" s="31" t="s">
        <v>747</v>
      </c>
      <c r="F645" s="32" t="s">
        <v>748</v>
      </c>
    </row>
    <row r="646" spans="1:6">
      <c r="A646" s="29">
        <v>94885</v>
      </c>
      <c r="B646" s="31" t="s">
        <v>1335</v>
      </c>
      <c r="C646" s="31" t="s">
        <v>1331</v>
      </c>
      <c r="D646" s="31" t="s">
        <v>302</v>
      </c>
      <c r="E646" s="31" t="s">
        <v>747</v>
      </c>
      <c r="F646" s="32" t="s">
        <v>748</v>
      </c>
    </row>
    <row r="647" spans="1:6">
      <c r="A647" s="29">
        <v>94663</v>
      </c>
      <c r="B647" s="31" t="s">
        <v>1336</v>
      </c>
      <c r="C647" s="31" t="s">
        <v>1331</v>
      </c>
      <c r="D647" s="31" t="s">
        <v>302</v>
      </c>
      <c r="E647" s="31" t="s">
        <v>747</v>
      </c>
      <c r="F647" s="32" t="s">
        <v>748</v>
      </c>
    </row>
    <row r="648" spans="1:6">
      <c r="A648" s="29">
        <v>94888</v>
      </c>
      <c r="B648" s="31" t="s">
        <v>1337</v>
      </c>
      <c r="C648" s="31" t="s">
        <v>1331</v>
      </c>
      <c r="D648" s="31" t="s">
        <v>302</v>
      </c>
      <c r="E648" s="31" t="s">
        <v>747</v>
      </c>
      <c r="F648" s="32" t="s">
        <v>748</v>
      </c>
    </row>
    <row r="649" spans="1:6">
      <c r="A649" s="29">
        <v>94887</v>
      </c>
      <c r="B649" s="31" t="s">
        <v>1338</v>
      </c>
      <c r="C649" s="31" t="s">
        <v>1331</v>
      </c>
      <c r="D649" s="31" t="s">
        <v>302</v>
      </c>
      <c r="E649" s="31" t="s">
        <v>747</v>
      </c>
      <c r="F649" s="32" t="s">
        <v>748</v>
      </c>
    </row>
    <row r="650" spans="1:6">
      <c r="A650" s="29">
        <v>94883</v>
      </c>
      <c r="B650" s="31" t="s">
        <v>1339</v>
      </c>
      <c r="C650" s="31" t="s">
        <v>1331</v>
      </c>
      <c r="D650" s="31" t="s">
        <v>302</v>
      </c>
      <c r="E650" s="31" t="s">
        <v>747</v>
      </c>
      <c r="F650" s="32" t="s">
        <v>748</v>
      </c>
    </row>
    <row r="651" spans="1:6">
      <c r="A651" s="29">
        <v>95015</v>
      </c>
      <c r="B651" s="30" t="s">
        <v>906</v>
      </c>
      <c r="C651" s="31" t="s">
        <v>702</v>
      </c>
      <c r="D651" s="31" t="s">
        <v>302</v>
      </c>
      <c r="E651" s="31" t="s">
        <v>747</v>
      </c>
      <c r="F651" s="32" t="s">
        <v>748</v>
      </c>
    </row>
    <row r="652" spans="1:6">
      <c r="A652" s="29">
        <v>95200</v>
      </c>
      <c r="B652" s="30" t="s">
        <v>129</v>
      </c>
      <c r="C652" s="31" t="s">
        <v>702</v>
      </c>
      <c r="D652" s="31" t="s">
        <v>302</v>
      </c>
      <c r="E652" s="31" t="s">
        <v>747</v>
      </c>
      <c r="F652" s="32" t="s">
        <v>748</v>
      </c>
    </row>
    <row r="653" spans="1:6">
      <c r="A653" s="29">
        <v>95025</v>
      </c>
      <c r="B653" s="31" t="s">
        <v>1340</v>
      </c>
      <c r="C653" s="31" t="s">
        <v>702</v>
      </c>
      <c r="D653" s="31" t="s">
        <v>302</v>
      </c>
      <c r="E653" s="31" t="s">
        <v>760</v>
      </c>
      <c r="F653" s="32" t="s">
        <v>761</v>
      </c>
    </row>
    <row r="654" spans="1:6">
      <c r="A654" s="29">
        <v>95001</v>
      </c>
      <c r="B654" s="31" t="s">
        <v>703</v>
      </c>
      <c r="C654" s="31" t="s">
        <v>702</v>
      </c>
      <c r="D654" s="31" t="s">
        <v>302</v>
      </c>
      <c r="E654" s="31" t="s">
        <v>760</v>
      </c>
      <c r="F654" s="32" t="s">
        <v>761</v>
      </c>
    </row>
    <row r="655" spans="1:6">
      <c r="A655" s="29">
        <v>41319</v>
      </c>
      <c r="B655" s="30" t="s">
        <v>771</v>
      </c>
      <c r="C655" s="31" t="s">
        <v>1341</v>
      </c>
      <c r="D655" s="31" t="s">
        <v>287</v>
      </c>
      <c r="E655" s="31" t="s">
        <v>760</v>
      </c>
      <c r="F655" s="32" t="s">
        <v>765</v>
      </c>
    </row>
    <row r="656" spans="1:6">
      <c r="A656" s="29">
        <v>41530</v>
      </c>
      <c r="B656" s="30" t="s">
        <v>1064</v>
      </c>
      <c r="C656" s="31" t="s">
        <v>1341</v>
      </c>
      <c r="D656" s="31" t="s">
        <v>287</v>
      </c>
      <c r="E656" s="31" t="s">
        <v>760</v>
      </c>
      <c r="F656" s="32" t="s">
        <v>761</v>
      </c>
    </row>
    <row r="657" spans="1:6">
      <c r="A657" s="29">
        <v>41676</v>
      </c>
      <c r="B657" s="30" t="s">
        <v>954</v>
      </c>
      <c r="C657" s="31" t="s">
        <v>1341</v>
      </c>
      <c r="D657" s="31" t="s">
        <v>287</v>
      </c>
      <c r="E657" s="31" t="s">
        <v>760</v>
      </c>
      <c r="F657" s="32" t="s">
        <v>765</v>
      </c>
    </row>
    <row r="658" spans="1:6">
      <c r="A658" s="29">
        <v>41006</v>
      </c>
      <c r="B658" s="31" t="s">
        <v>1342</v>
      </c>
      <c r="C658" s="31" t="s">
        <v>1341</v>
      </c>
      <c r="D658" s="31" t="s">
        <v>287</v>
      </c>
      <c r="E658" s="31" t="s">
        <v>760</v>
      </c>
      <c r="F658" s="32" t="s">
        <v>765</v>
      </c>
    </row>
    <row r="659" spans="1:6">
      <c r="A659" s="29">
        <v>41013</v>
      </c>
      <c r="B659" s="31" t="s">
        <v>1343</v>
      </c>
      <c r="C659" s="31" t="s">
        <v>1341</v>
      </c>
      <c r="D659" s="31" t="s">
        <v>287</v>
      </c>
      <c r="E659" s="31" t="s">
        <v>760</v>
      </c>
      <c r="F659" s="32" t="s">
        <v>765</v>
      </c>
    </row>
    <row r="660" spans="1:6">
      <c r="A660" s="29">
        <v>41016</v>
      </c>
      <c r="B660" s="31" t="s">
        <v>1344</v>
      </c>
      <c r="C660" s="31" t="s">
        <v>1341</v>
      </c>
      <c r="D660" s="31" t="s">
        <v>287</v>
      </c>
      <c r="E660" s="31" t="s">
        <v>760</v>
      </c>
      <c r="F660" s="32" t="s">
        <v>763</v>
      </c>
    </row>
    <row r="661" spans="1:6">
      <c r="A661" s="29">
        <v>41020</v>
      </c>
      <c r="B661" s="31" t="s">
        <v>1345</v>
      </c>
      <c r="C661" s="31" t="s">
        <v>1341</v>
      </c>
      <c r="D661" s="31" t="s">
        <v>287</v>
      </c>
      <c r="E661" s="31" t="s">
        <v>760</v>
      </c>
      <c r="F661" s="32" t="s">
        <v>763</v>
      </c>
    </row>
    <row r="662" spans="1:6">
      <c r="A662" s="29">
        <v>41026</v>
      </c>
      <c r="B662" s="31" t="s">
        <v>1346</v>
      </c>
      <c r="C662" s="31" t="s">
        <v>1341</v>
      </c>
      <c r="D662" s="31" t="s">
        <v>287</v>
      </c>
      <c r="E662" s="31" t="s">
        <v>760</v>
      </c>
      <c r="F662" s="32" t="s">
        <v>765</v>
      </c>
    </row>
    <row r="663" spans="1:6">
      <c r="A663" s="29">
        <v>41078</v>
      </c>
      <c r="B663" s="31" t="s">
        <v>1347</v>
      </c>
      <c r="C663" s="31" t="s">
        <v>1341</v>
      </c>
      <c r="D663" s="31" t="s">
        <v>287</v>
      </c>
      <c r="E663" s="31" t="s">
        <v>760</v>
      </c>
      <c r="F663" s="32" t="s">
        <v>763</v>
      </c>
    </row>
    <row r="664" spans="1:6">
      <c r="A664" s="29">
        <v>41132</v>
      </c>
      <c r="B664" s="31" t="s">
        <v>1348</v>
      </c>
      <c r="C664" s="31" t="s">
        <v>1341</v>
      </c>
      <c r="D664" s="31" t="s">
        <v>287</v>
      </c>
      <c r="E664" s="31" t="s">
        <v>760</v>
      </c>
      <c r="F664" s="32" t="s">
        <v>763</v>
      </c>
    </row>
    <row r="665" spans="1:6">
      <c r="A665" s="29">
        <v>41206</v>
      </c>
      <c r="B665" s="31" t="s">
        <v>1349</v>
      </c>
      <c r="C665" s="31" t="s">
        <v>1341</v>
      </c>
      <c r="D665" s="31" t="s">
        <v>287</v>
      </c>
      <c r="E665" s="31" t="s">
        <v>760</v>
      </c>
      <c r="F665" s="32" t="s">
        <v>765</v>
      </c>
    </row>
    <row r="666" spans="1:6">
      <c r="A666" s="29">
        <v>41244</v>
      </c>
      <c r="B666" s="31" t="s">
        <v>1350</v>
      </c>
      <c r="C666" s="31" t="s">
        <v>1341</v>
      </c>
      <c r="D666" s="31" t="s">
        <v>287</v>
      </c>
      <c r="E666" s="31" t="s">
        <v>760</v>
      </c>
      <c r="F666" s="32" t="s">
        <v>765</v>
      </c>
    </row>
    <row r="667" spans="1:6">
      <c r="A667" s="29">
        <v>41298</v>
      </c>
      <c r="B667" s="31" t="s">
        <v>1351</v>
      </c>
      <c r="C667" s="31" t="s">
        <v>1341</v>
      </c>
      <c r="D667" s="31" t="s">
        <v>287</v>
      </c>
      <c r="E667" s="31" t="s">
        <v>760</v>
      </c>
      <c r="F667" s="32" t="s">
        <v>765</v>
      </c>
    </row>
    <row r="668" spans="1:6">
      <c r="A668" s="29">
        <v>41306</v>
      </c>
      <c r="B668" s="31" t="s">
        <v>1352</v>
      </c>
      <c r="C668" s="31" t="s">
        <v>1341</v>
      </c>
      <c r="D668" s="31" t="s">
        <v>287</v>
      </c>
      <c r="E668" s="31" t="s">
        <v>760</v>
      </c>
      <c r="F668" s="32" t="s">
        <v>763</v>
      </c>
    </row>
    <row r="669" spans="1:6">
      <c r="A669" s="29">
        <v>41349</v>
      </c>
      <c r="B669" s="31" t="s">
        <v>1353</v>
      </c>
      <c r="C669" s="31" t="s">
        <v>1341</v>
      </c>
      <c r="D669" s="31" t="s">
        <v>287</v>
      </c>
      <c r="E669" s="31" t="s">
        <v>760</v>
      </c>
      <c r="F669" s="32" t="s">
        <v>763</v>
      </c>
    </row>
    <row r="670" spans="1:6">
      <c r="A670" s="29">
        <v>41357</v>
      </c>
      <c r="B670" s="31" t="s">
        <v>1354</v>
      </c>
      <c r="C670" s="31" t="s">
        <v>1341</v>
      </c>
      <c r="D670" s="31" t="s">
        <v>287</v>
      </c>
      <c r="E670" s="31" t="s">
        <v>760</v>
      </c>
      <c r="F670" s="32" t="s">
        <v>763</v>
      </c>
    </row>
    <row r="671" spans="1:6">
      <c r="A671" s="29">
        <v>41359</v>
      </c>
      <c r="B671" s="31" t="s">
        <v>1355</v>
      </c>
      <c r="C671" s="31" t="s">
        <v>1341</v>
      </c>
      <c r="D671" s="31" t="s">
        <v>287</v>
      </c>
      <c r="E671" s="31" t="s">
        <v>760</v>
      </c>
      <c r="F671" s="32" t="s">
        <v>761</v>
      </c>
    </row>
    <row r="672" spans="1:6">
      <c r="A672" s="29">
        <v>41378</v>
      </c>
      <c r="B672" s="31" t="s">
        <v>1356</v>
      </c>
      <c r="C672" s="31" t="s">
        <v>1341</v>
      </c>
      <c r="D672" s="31" t="s">
        <v>287</v>
      </c>
      <c r="E672" s="31" t="s">
        <v>760</v>
      </c>
      <c r="F672" s="32" t="s">
        <v>765</v>
      </c>
    </row>
    <row r="673" spans="1:6">
      <c r="A673" s="29">
        <v>41396</v>
      </c>
      <c r="B673" s="31" t="s">
        <v>1357</v>
      </c>
      <c r="C673" s="31" t="s">
        <v>1341</v>
      </c>
      <c r="D673" s="31" t="s">
        <v>287</v>
      </c>
      <c r="E673" s="31" t="s">
        <v>760</v>
      </c>
      <c r="F673" s="32" t="s">
        <v>765</v>
      </c>
    </row>
    <row r="674" spans="1:6">
      <c r="A674" s="29">
        <v>41483</v>
      </c>
      <c r="B674" s="31" t="s">
        <v>1358</v>
      </c>
      <c r="C674" s="31" t="s">
        <v>1341</v>
      </c>
      <c r="D674" s="31" t="s">
        <v>287</v>
      </c>
      <c r="E674" s="31" t="s">
        <v>760</v>
      </c>
      <c r="F674" s="32" t="s">
        <v>765</v>
      </c>
    </row>
    <row r="675" spans="1:6">
      <c r="A675" s="29">
        <v>41001</v>
      </c>
      <c r="B675" s="31" t="s">
        <v>287</v>
      </c>
      <c r="C675" s="31" t="s">
        <v>1341</v>
      </c>
      <c r="D675" s="31" t="s">
        <v>287</v>
      </c>
      <c r="E675" s="31" t="s">
        <v>760</v>
      </c>
      <c r="F675" s="32" t="s">
        <v>767</v>
      </c>
    </row>
    <row r="676" spans="1:6">
      <c r="A676" s="29">
        <v>41503</v>
      </c>
      <c r="B676" s="31" t="s">
        <v>1359</v>
      </c>
      <c r="C676" s="31" t="s">
        <v>1341</v>
      </c>
      <c r="D676" s="31" t="s">
        <v>287</v>
      </c>
      <c r="E676" s="31" t="s">
        <v>760</v>
      </c>
      <c r="F676" s="32" t="s">
        <v>761</v>
      </c>
    </row>
    <row r="677" spans="1:6">
      <c r="A677" s="29">
        <v>41518</v>
      </c>
      <c r="B677" s="31" t="s">
        <v>1360</v>
      </c>
      <c r="C677" s="31" t="s">
        <v>1341</v>
      </c>
      <c r="D677" s="31" t="s">
        <v>287</v>
      </c>
      <c r="E677" s="31" t="s">
        <v>760</v>
      </c>
      <c r="F677" s="32" t="s">
        <v>763</v>
      </c>
    </row>
    <row r="678" spans="1:6">
      <c r="A678" s="29">
        <v>41524</v>
      </c>
      <c r="B678" s="31" t="s">
        <v>1361</v>
      </c>
      <c r="C678" s="31" t="s">
        <v>1341</v>
      </c>
      <c r="D678" s="31" t="s">
        <v>287</v>
      </c>
      <c r="E678" s="31" t="s">
        <v>760</v>
      </c>
      <c r="F678" s="32" t="s">
        <v>767</v>
      </c>
    </row>
    <row r="679" spans="1:6">
      <c r="A679" s="29">
        <v>41548</v>
      </c>
      <c r="B679" s="31" t="s">
        <v>1362</v>
      </c>
      <c r="C679" s="31" t="s">
        <v>1341</v>
      </c>
      <c r="D679" s="31" t="s">
        <v>287</v>
      </c>
      <c r="E679" s="31" t="s">
        <v>760</v>
      </c>
      <c r="F679" s="32" t="s">
        <v>765</v>
      </c>
    </row>
    <row r="680" spans="1:6">
      <c r="A680" s="29">
        <v>41551</v>
      </c>
      <c r="B680" s="31" t="s">
        <v>1363</v>
      </c>
      <c r="C680" s="31" t="s">
        <v>1341</v>
      </c>
      <c r="D680" s="31" t="s">
        <v>287</v>
      </c>
      <c r="E680" s="31" t="s">
        <v>760</v>
      </c>
      <c r="F680" s="32" t="s">
        <v>765</v>
      </c>
    </row>
    <row r="681" spans="1:6">
      <c r="A681" s="29">
        <v>41615</v>
      </c>
      <c r="B681" s="31" t="s">
        <v>1364</v>
      </c>
      <c r="C681" s="31" t="s">
        <v>1341</v>
      </c>
      <c r="D681" s="31" t="s">
        <v>287</v>
      </c>
      <c r="E681" s="31" t="s">
        <v>760</v>
      </c>
      <c r="F681" s="32" t="s">
        <v>767</v>
      </c>
    </row>
    <row r="682" spans="1:6">
      <c r="A682" s="29">
        <v>41660</v>
      </c>
      <c r="B682" s="31" t="s">
        <v>1365</v>
      </c>
      <c r="C682" s="31" t="s">
        <v>1341</v>
      </c>
      <c r="D682" s="31" t="s">
        <v>287</v>
      </c>
      <c r="E682" s="31" t="s">
        <v>760</v>
      </c>
      <c r="F682" s="32" t="s">
        <v>761</v>
      </c>
    </row>
    <row r="683" spans="1:6">
      <c r="A683" s="29">
        <v>41668</v>
      </c>
      <c r="B683" s="31" t="s">
        <v>1366</v>
      </c>
      <c r="C683" s="31" t="s">
        <v>1341</v>
      </c>
      <c r="D683" s="31" t="s">
        <v>287</v>
      </c>
      <c r="E683" s="31" t="s">
        <v>760</v>
      </c>
      <c r="F683" s="32" t="s">
        <v>761</v>
      </c>
    </row>
    <row r="684" spans="1:6">
      <c r="A684" s="29">
        <v>41770</v>
      </c>
      <c r="B684" s="31" t="s">
        <v>1367</v>
      </c>
      <c r="C684" s="31" t="s">
        <v>1341</v>
      </c>
      <c r="D684" s="31" t="s">
        <v>287</v>
      </c>
      <c r="E684" s="31" t="s">
        <v>760</v>
      </c>
      <c r="F684" s="32" t="s">
        <v>765</v>
      </c>
    </row>
    <row r="685" spans="1:6">
      <c r="A685" s="29">
        <v>41791</v>
      </c>
      <c r="B685" s="31" t="s">
        <v>1368</v>
      </c>
      <c r="C685" s="31" t="s">
        <v>1341</v>
      </c>
      <c r="D685" s="31" t="s">
        <v>287</v>
      </c>
      <c r="E685" s="31" t="s">
        <v>760</v>
      </c>
      <c r="F685" s="32" t="s">
        <v>765</v>
      </c>
    </row>
    <row r="686" spans="1:6">
      <c r="A686" s="29">
        <v>41799</v>
      </c>
      <c r="B686" s="31" t="s">
        <v>1369</v>
      </c>
      <c r="C686" s="31" t="s">
        <v>1341</v>
      </c>
      <c r="D686" s="31" t="s">
        <v>287</v>
      </c>
      <c r="E686" s="31" t="s">
        <v>760</v>
      </c>
      <c r="F686" s="32" t="s">
        <v>763</v>
      </c>
    </row>
    <row r="687" spans="1:6">
      <c r="A687" s="29">
        <v>41801</v>
      </c>
      <c r="B687" s="31" t="s">
        <v>1370</v>
      </c>
      <c r="C687" s="31" t="s">
        <v>1341</v>
      </c>
      <c r="D687" s="31" t="s">
        <v>287</v>
      </c>
      <c r="E687" s="31" t="s">
        <v>760</v>
      </c>
      <c r="F687" s="32" t="s">
        <v>763</v>
      </c>
    </row>
    <row r="688" spans="1:6">
      <c r="A688" s="29">
        <v>41797</v>
      </c>
      <c r="B688" s="31" t="s">
        <v>1371</v>
      </c>
      <c r="C688" s="31" t="s">
        <v>1341</v>
      </c>
      <c r="D688" s="31" t="s">
        <v>287</v>
      </c>
      <c r="E688" s="31" t="s">
        <v>760</v>
      </c>
      <c r="F688" s="32" t="s">
        <v>763</v>
      </c>
    </row>
    <row r="689" spans="1:6">
      <c r="A689" s="29">
        <v>41807</v>
      </c>
      <c r="B689" s="31" t="s">
        <v>1372</v>
      </c>
      <c r="C689" s="31" t="s">
        <v>1341</v>
      </c>
      <c r="D689" s="31" t="s">
        <v>287</v>
      </c>
      <c r="E689" s="31" t="s">
        <v>760</v>
      </c>
      <c r="F689" s="32" t="s">
        <v>765</v>
      </c>
    </row>
    <row r="690" spans="1:6">
      <c r="A690" s="29">
        <v>41872</v>
      </c>
      <c r="B690" s="31" t="s">
        <v>1373</v>
      </c>
      <c r="C690" s="31" t="s">
        <v>1341</v>
      </c>
      <c r="D690" s="31" t="s">
        <v>287</v>
      </c>
      <c r="E690" s="31" t="s">
        <v>760</v>
      </c>
      <c r="F690" s="32" t="s">
        <v>763</v>
      </c>
    </row>
    <row r="691" spans="1:6">
      <c r="A691" s="29">
        <v>41885</v>
      </c>
      <c r="B691" s="31" t="s">
        <v>1374</v>
      </c>
      <c r="C691" s="31" t="s">
        <v>1341</v>
      </c>
      <c r="D691" s="31" t="s">
        <v>287</v>
      </c>
      <c r="E691" s="31" t="s">
        <v>760</v>
      </c>
      <c r="F691" s="32" t="s">
        <v>763</v>
      </c>
    </row>
    <row r="692" spans="1:6">
      <c r="A692" s="29">
        <v>44035</v>
      </c>
      <c r="B692" s="30" t="s">
        <v>1088</v>
      </c>
      <c r="C692" s="31" t="s">
        <v>317</v>
      </c>
      <c r="D692" s="31" t="s">
        <v>167</v>
      </c>
      <c r="E692" s="31" t="s">
        <v>760</v>
      </c>
      <c r="F692" s="32" t="s">
        <v>765</v>
      </c>
    </row>
    <row r="693" spans="1:6">
      <c r="A693" s="29">
        <v>44560</v>
      </c>
      <c r="B693" s="30" t="s">
        <v>1149</v>
      </c>
      <c r="C693" s="31" t="s">
        <v>317</v>
      </c>
      <c r="D693" s="31" t="s">
        <v>210</v>
      </c>
      <c r="E693" s="31" t="s">
        <v>760</v>
      </c>
      <c r="F693" s="32" t="s">
        <v>761</v>
      </c>
    </row>
    <row r="694" spans="1:6">
      <c r="A694" s="29">
        <v>44874</v>
      </c>
      <c r="B694" s="30" t="s">
        <v>361</v>
      </c>
      <c r="C694" s="31" t="s">
        <v>317</v>
      </c>
      <c r="D694" s="31" t="s">
        <v>167</v>
      </c>
      <c r="E694" s="31" t="s">
        <v>760</v>
      </c>
      <c r="F694" s="32" t="s">
        <v>763</v>
      </c>
    </row>
    <row r="695" spans="1:6">
      <c r="A695" s="29">
        <v>44078</v>
      </c>
      <c r="B695" s="31" t="s">
        <v>1375</v>
      </c>
      <c r="C695" s="31" t="s">
        <v>317</v>
      </c>
      <c r="D695" s="31" t="s">
        <v>167</v>
      </c>
      <c r="E695" s="31" t="s">
        <v>760</v>
      </c>
      <c r="F695" s="32" t="s">
        <v>763</v>
      </c>
    </row>
    <row r="696" spans="1:6">
      <c r="A696" s="29">
        <v>44090</v>
      </c>
      <c r="B696" s="31" t="s">
        <v>1376</v>
      </c>
      <c r="C696" s="31" t="s">
        <v>317</v>
      </c>
      <c r="D696" s="31" t="s">
        <v>210</v>
      </c>
      <c r="E696" s="31" t="s">
        <v>760</v>
      </c>
      <c r="F696" s="32" t="s">
        <v>765</v>
      </c>
    </row>
    <row r="697" spans="1:6">
      <c r="A697" s="29">
        <v>44098</v>
      </c>
      <c r="B697" s="31" t="s">
        <v>1377</v>
      </c>
      <c r="C697" s="31" t="s">
        <v>317</v>
      </c>
      <c r="D697" s="31" t="s">
        <v>167</v>
      </c>
      <c r="E697" s="31" t="s">
        <v>760</v>
      </c>
      <c r="F697" s="32" t="s">
        <v>763</v>
      </c>
    </row>
    <row r="698" spans="1:6">
      <c r="A698" s="29">
        <v>44110</v>
      </c>
      <c r="B698" s="31" t="s">
        <v>1378</v>
      </c>
      <c r="C698" s="31" t="s">
        <v>317</v>
      </c>
      <c r="D698" s="31" t="s">
        <v>167</v>
      </c>
      <c r="E698" s="31" t="s">
        <v>760</v>
      </c>
      <c r="F698" s="32" t="s">
        <v>763</v>
      </c>
    </row>
    <row r="699" spans="1:6">
      <c r="A699" s="29">
        <v>44279</v>
      </c>
      <c r="B699" s="31" t="s">
        <v>1379</v>
      </c>
      <c r="C699" s="31" t="s">
        <v>317</v>
      </c>
      <c r="D699" s="31" t="s">
        <v>167</v>
      </c>
      <c r="E699" s="31" t="s">
        <v>760</v>
      </c>
      <c r="F699" s="32" t="s">
        <v>763</v>
      </c>
    </row>
    <row r="700" spans="1:6">
      <c r="A700" s="29">
        <v>44378</v>
      </c>
      <c r="B700" s="31" t="s">
        <v>1380</v>
      </c>
      <c r="C700" s="31" t="s">
        <v>317</v>
      </c>
      <c r="D700" s="31" t="s">
        <v>167</v>
      </c>
      <c r="E700" s="31" t="s">
        <v>760</v>
      </c>
      <c r="F700" s="32" t="s">
        <v>765</v>
      </c>
    </row>
    <row r="701" spans="1:6">
      <c r="A701" s="29">
        <v>44420</v>
      </c>
      <c r="B701" s="31" t="s">
        <v>1381</v>
      </c>
      <c r="C701" s="31" t="s">
        <v>317</v>
      </c>
      <c r="D701" s="31" t="s">
        <v>167</v>
      </c>
      <c r="E701" s="31" t="s">
        <v>760</v>
      </c>
      <c r="F701" s="32" t="s">
        <v>763</v>
      </c>
    </row>
    <row r="702" spans="1:6">
      <c r="A702" s="29">
        <v>44430</v>
      </c>
      <c r="B702" s="31" t="s">
        <v>318</v>
      </c>
      <c r="C702" s="31" t="s">
        <v>317</v>
      </c>
      <c r="D702" s="31" t="s">
        <v>210</v>
      </c>
      <c r="E702" s="31" t="s">
        <v>760</v>
      </c>
      <c r="F702" s="32" t="s">
        <v>761</v>
      </c>
    </row>
    <row r="703" spans="1:6">
      <c r="A703" s="29">
        <v>44001</v>
      </c>
      <c r="B703" s="31" t="s">
        <v>1382</v>
      </c>
      <c r="C703" s="31" t="s">
        <v>317</v>
      </c>
      <c r="D703" s="31" t="s">
        <v>210</v>
      </c>
      <c r="E703" s="31" t="s">
        <v>760</v>
      </c>
      <c r="F703" s="32" t="s">
        <v>765</v>
      </c>
    </row>
    <row r="704" spans="1:6">
      <c r="A704" s="29">
        <v>44650</v>
      </c>
      <c r="B704" s="31" t="s">
        <v>1383</v>
      </c>
      <c r="C704" s="31" t="s">
        <v>317</v>
      </c>
      <c r="D704" s="31" t="s">
        <v>167</v>
      </c>
      <c r="E704" s="31" t="s">
        <v>760</v>
      </c>
      <c r="F704" s="32" t="s">
        <v>763</v>
      </c>
    </row>
    <row r="705" spans="1:6">
      <c r="A705" s="29">
        <v>44847</v>
      </c>
      <c r="B705" s="31" t="s">
        <v>1384</v>
      </c>
      <c r="C705" s="31" t="s">
        <v>317</v>
      </c>
      <c r="D705" s="31" t="s">
        <v>210</v>
      </c>
      <c r="E705" s="31" t="s">
        <v>760</v>
      </c>
      <c r="F705" s="32" t="s">
        <v>761</v>
      </c>
    </row>
    <row r="706" spans="1:6">
      <c r="A706" s="29">
        <v>44855</v>
      </c>
      <c r="B706" s="31" t="s">
        <v>1385</v>
      </c>
      <c r="C706" s="31" t="s">
        <v>317</v>
      </c>
      <c r="D706" s="31" t="s">
        <v>167</v>
      </c>
      <c r="E706" s="31" t="s">
        <v>760</v>
      </c>
      <c r="F706" s="32" t="s">
        <v>763</v>
      </c>
    </row>
    <row r="707" spans="1:6">
      <c r="A707" s="29">
        <v>47189</v>
      </c>
      <c r="B707" s="30" t="s">
        <v>952</v>
      </c>
      <c r="C707" s="31" t="s">
        <v>212</v>
      </c>
      <c r="D707" s="31" t="s">
        <v>210</v>
      </c>
      <c r="E707" s="31" t="s">
        <v>760</v>
      </c>
      <c r="F707" s="32" t="s">
        <v>763</v>
      </c>
    </row>
    <row r="708" spans="1:6">
      <c r="A708" s="29">
        <v>47205</v>
      </c>
      <c r="B708" s="30" t="s">
        <v>769</v>
      </c>
      <c r="C708" s="31" t="s">
        <v>212</v>
      </c>
      <c r="D708" s="31" t="s">
        <v>271</v>
      </c>
      <c r="E708" s="31" t="s">
        <v>760</v>
      </c>
      <c r="F708" s="32" t="s">
        <v>765</v>
      </c>
    </row>
    <row r="709" spans="1:6">
      <c r="A709" s="29">
        <v>47318</v>
      </c>
      <c r="B709" s="30" t="s">
        <v>1386</v>
      </c>
      <c r="C709" s="31" t="s">
        <v>212</v>
      </c>
      <c r="D709" s="31" t="s">
        <v>210</v>
      </c>
      <c r="E709" s="31" t="s">
        <v>760</v>
      </c>
      <c r="F709" s="32" t="s">
        <v>761</v>
      </c>
    </row>
    <row r="710" spans="1:6">
      <c r="A710" s="29">
        <v>47675</v>
      </c>
      <c r="B710" s="30" t="s">
        <v>1066</v>
      </c>
      <c r="C710" s="31" t="s">
        <v>212</v>
      </c>
      <c r="D710" s="31" t="s">
        <v>271</v>
      </c>
      <c r="E710" s="31" t="s">
        <v>760</v>
      </c>
      <c r="F710" s="32" t="s">
        <v>763</v>
      </c>
    </row>
    <row r="711" spans="1:6">
      <c r="A711" s="29">
        <v>47030</v>
      </c>
      <c r="B711" s="31" t="s">
        <v>1387</v>
      </c>
      <c r="C711" s="31" t="s">
        <v>212</v>
      </c>
      <c r="D711" s="31" t="s">
        <v>210</v>
      </c>
      <c r="E711" s="31" t="s">
        <v>760</v>
      </c>
      <c r="F711" s="32" t="s">
        <v>761</v>
      </c>
    </row>
    <row r="712" spans="1:6">
      <c r="A712" s="29">
        <v>47053</v>
      </c>
      <c r="B712" s="31" t="s">
        <v>1388</v>
      </c>
      <c r="C712" s="31" t="s">
        <v>212</v>
      </c>
      <c r="D712" s="31" t="s">
        <v>210</v>
      </c>
      <c r="E712" s="31" t="s">
        <v>760</v>
      </c>
      <c r="F712" s="32" t="s">
        <v>765</v>
      </c>
    </row>
    <row r="713" spans="1:6">
      <c r="A713" s="29">
        <v>47058</v>
      </c>
      <c r="B713" s="31" t="s">
        <v>1389</v>
      </c>
      <c r="C713" s="31" t="s">
        <v>212</v>
      </c>
      <c r="D713" s="31" t="s">
        <v>167</v>
      </c>
      <c r="E713" s="31" t="s">
        <v>760</v>
      </c>
      <c r="F713" s="32" t="s">
        <v>765</v>
      </c>
    </row>
    <row r="714" spans="1:6">
      <c r="A714" s="29">
        <v>47161</v>
      </c>
      <c r="B714" s="31" t="s">
        <v>1390</v>
      </c>
      <c r="C714" s="31" t="s">
        <v>212</v>
      </c>
      <c r="D714" s="31" t="s">
        <v>271</v>
      </c>
      <c r="E714" s="31" t="s">
        <v>760</v>
      </c>
      <c r="F714" s="32" t="s">
        <v>761</v>
      </c>
    </row>
    <row r="715" spans="1:6">
      <c r="A715" s="29">
        <v>47170</v>
      </c>
      <c r="B715" s="31" t="s">
        <v>1391</v>
      </c>
      <c r="C715" s="31" t="s">
        <v>212</v>
      </c>
      <c r="D715" s="31" t="s">
        <v>210</v>
      </c>
      <c r="E715" s="31" t="s">
        <v>760</v>
      </c>
      <c r="F715" s="32" t="s">
        <v>761</v>
      </c>
    </row>
    <row r="716" spans="1:6">
      <c r="A716" s="29">
        <v>47245</v>
      </c>
      <c r="B716" s="31" t="s">
        <v>1392</v>
      </c>
      <c r="C716" s="31" t="s">
        <v>212</v>
      </c>
      <c r="D716" s="31" t="s">
        <v>210</v>
      </c>
      <c r="E716" s="31" t="s">
        <v>760</v>
      </c>
      <c r="F716" s="32" t="s">
        <v>761</v>
      </c>
    </row>
    <row r="717" spans="1:6">
      <c r="A717" s="29">
        <v>47258</v>
      </c>
      <c r="B717" s="31" t="s">
        <v>1393</v>
      </c>
      <c r="C717" s="31" t="s">
        <v>212</v>
      </c>
      <c r="D717" s="31" t="s">
        <v>271</v>
      </c>
      <c r="E717" s="31" t="s">
        <v>760</v>
      </c>
      <c r="F717" s="32" t="s">
        <v>765</v>
      </c>
    </row>
    <row r="718" spans="1:6">
      <c r="A718" s="29">
        <v>47268</v>
      </c>
      <c r="B718" s="31" t="s">
        <v>1394</v>
      </c>
      <c r="C718" s="31" t="s">
        <v>212</v>
      </c>
      <c r="D718" s="31" t="s">
        <v>210</v>
      </c>
      <c r="E718" s="31" t="s">
        <v>760</v>
      </c>
      <c r="F718" s="32" t="s">
        <v>765</v>
      </c>
    </row>
    <row r="719" spans="1:6">
      <c r="A719" s="29">
        <v>47288</v>
      </c>
      <c r="B719" s="31" t="s">
        <v>1395</v>
      </c>
      <c r="C719" s="31" t="s">
        <v>212</v>
      </c>
      <c r="D719" s="31" t="s">
        <v>210</v>
      </c>
      <c r="E719" s="31" t="s">
        <v>760</v>
      </c>
      <c r="F719" s="32" t="s">
        <v>765</v>
      </c>
    </row>
    <row r="720" spans="1:6">
      <c r="A720" s="29">
        <v>47460</v>
      </c>
      <c r="B720" s="31" t="s">
        <v>1396</v>
      </c>
      <c r="C720" s="31" t="s">
        <v>212</v>
      </c>
      <c r="D720" s="31" t="s">
        <v>167</v>
      </c>
      <c r="E720" s="31" t="s">
        <v>760</v>
      </c>
      <c r="F720" s="32" t="s">
        <v>761</v>
      </c>
    </row>
    <row r="721" spans="1:6">
      <c r="A721" s="29">
        <v>47541</v>
      </c>
      <c r="B721" s="31" t="s">
        <v>1397</v>
      </c>
      <c r="C721" s="31" t="s">
        <v>212</v>
      </c>
      <c r="D721" s="31" t="s">
        <v>271</v>
      </c>
      <c r="E721" s="31" t="s">
        <v>760</v>
      </c>
      <c r="F721" s="32" t="s">
        <v>765</v>
      </c>
    </row>
    <row r="722" spans="1:6">
      <c r="A722" s="29">
        <v>47545</v>
      </c>
      <c r="B722" s="31" t="s">
        <v>1398</v>
      </c>
      <c r="C722" s="31" t="s">
        <v>212</v>
      </c>
      <c r="D722" s="31" t="s">
        <v>210</v>
      </c>
      <c r="E722" s="31" t="s">
        <v>760</v>
      </c>
      <c r="F722" s="32" t="s">
        <v>761</v>
      </c>
    </row>
    <row r="723" spans="1:6">
      <c r="A723" s="29">
        <v>47551</v>
      </c>
      <c r="B723" s="31" t="s">
        <v>1399</v>
      </c>
      <c r="C723" s="31" t="s">
        <v>212</v>
      </c>
      <c r="D723" s="31" t="s">
        <v>210</v>
      </c>
      <c r="E723" s="31" t="s">
        <v>760</v>
      </c>
      <c r="F723" s="32" t="s">
        <v>761</v>
      </c>
    </row>
    <row r="724" spans="1:6">
      <c r="A724" s="29">
        <v>47555</v>
      </c>
      <c r="B724" s="31" t="s">
        <v>1400</v>
      </c>
      <c r="C724" s="31" t="s">
        <v>212</v>
      </c>
      <c r="D724" s="31" t="s">
        <v>210</v>
      </c>
      <c r="E724" s="31" t="s">
        <v>760</v>
      </c>
      <c r="F724" s="32" t="s">
        <v>761</v>
      </c>
    </row>
    <row r="725" spans="1:6">
      <c r="A725" s="29">
        <v>47570</v>
      </c>
      <c r="B725" s="31" t="s">
        <v>1401</v>
      </c>
      <c r="C725" s="31" t="s">
        <v>212</v>
      </c>
      <c r="D725" s="31" t="s">
        <v>210</v>
      </c>
      <c r="E725" s="31" t="s">
        <v>760</v>
      </c>
      <c r="F725" s="32" t="s">
        <v>763</v>
      </c>
    </row>
    <row r="726" spans="1:6">
      <c r="A726" s="29">
        <v>47605</v>
      </c>
      <c r="B726" s="31" t="s">
        <v>1402</v>
      </c>
      <c r="C726" s="31" t="s">
        <v>212</v>
      </c>
      <c r="D726" s="31" t="s">
        <v>271</v>
      </c>
      <c r="E726" s="31" t="s">
        <v>760</v>
      </c>
      <c r="F726" s="32" t="s">
        <v>765</v>
      </c>
    </row>
    <row r="727" spans="1:6">
      <c r="A727" s="29">
        <v>47660</v>
      </c>
      <c r="B727" s="31" t="s">
        <v>1403</v>
      </c>
      <c r="C727" s="31" t="s">
        <v>212</v>
      </c>
      <c r="D727" s="31" t="s">
        <v>210</v>
      </c>
      <c r="E727" s="31" t="s">
        <v>760</v>
      </c>
      <c r="F727" s="32" t="s">
        <v>761</v>
      </c>
    </row>
    <row r="728" spans="1:6">
      <c r="A728" s="29">
        <v>47692</v>
      </c>
      <c r="B728" s="31" t="s">
        <v>1404</v>
      </c>
      <c r="C728" s="31" t="s">
        <v>212</v>
      </c>
      <c r="D728" s="31" t="s">
        <v>210</v>
      </c>
      <c r="E728" s="31" t="s">
        <v>760</v>
      </c>
      <c r="F728" s="32" t="s">
        <v>761</v>
      </c>
    </row>
    <row r="729" spans="1:6">
      <c r="A729" s="29">
        <v>47703</v>
      </c>
      <c r="B729" s="31" t="s">
        <v>1405</v>
      </c>
      <c r="C729" s="31" t="s">
        <v>212</v>
      </c>
      <c r="D729" s="31" t="s">
        <v>210</v>
      </c>
      <c r="E729" s="31" t="s">
        <v>760</v>
      </c>
      <c r="F729" s="32" t="s">
        <v>761</v>
      </c>
    </row>
    <row r="730" spans="1:6">
      <c r="A730" s="29">
        <v>47707</v>
      </c>
      <c r="B730" s="31" t="s">
        <v>1406</v>
      </c>
      <c r="C730" s="31" t="s">
        <v>212</v>
      </c>
      <c r="D730" s="31" t="s">
        <v>210</v>
      </c>
      <c r="E730" s="31" t="s">
        <v>760</v>
      </c>
      <c r="F730" s="32" t="s">
        <v>761</v>
      </c>
    </row>
    <row r="731" spans="1:6">
      <c r="A731" s="29">
        <v>47720</v>
      </c>
      <c r="B731" s="31" t="s">
        <v>1407</v>
      </c>
      <c r="C731" s="31" t="s">
        <v>212</v>
      </c>
      <c r="D731" s="31" t="s">
        <v>210</v>
      </c>
      <c r="E731" s="31" t="s">
        <v>760</v>
      </c>
      <c r="F731" s="32" t="s">
        <v>761</v>
      </c>
    </row>
    <row r="732" spans="1:6">
      <c r="A732" s="29">
        <v>47001</v>
      </c>
      <c r="B732" s="31" t="s">
        <v>210</v>
      </c>
      <c r="C732" s="31" t="s">
        <v>212</v>
      </c>
      <c r="D732" s="31" t="s">
        <v>210</v>
      </c>
      <c r="E732" s="31" t="s">
        <v>760</v>
      </c>
      <c r="F732" s="32" t="s">
        <v>767</v>
      </c>
    </row>
    <row r="733" spans="1:6">
      <c r="A733" s="29">
        <v>47745</v>
      </c>
      <c r="B733" s="31" t="s">
        <v>1408</v>
      </c>
      <c r="C733" s="31" t="s">
        <v>212</v>
      </c>
      <c r="D733" s="31" t="s">
        <v>271</v>
      </c>
      <c r="E733" s="31" t="s">
        <v>760</v>
      </c>
      <c r="F733" s="32" t="s">
        <v>763</v>
      </c>
    </row>
    <row r="734" spans="1:6">
      <c r="A734" s="29">
        <v>47798</v>
      </c>
      <c r="B734" s="31" t="s">
        <v>1409</v>
      </c>
      <c r="C734" s="31" t="s">
        <v>212</v>
      </c>
      <c r="D734" s="31" t="s">
        <v>210</v>
      </c>
      <c r="E734" s="31" t="s">
        <v>760</v>
      </c>
      <c r="F734" s="32" t="s">
        <v>761</v>
      </c>
    </row>
    <row r="735" spans="1:6">
      <c r="A735" s="29">
        <v>47960</v>
      </c>
      <c r="B735" s="31" t="s">
        <v>1410</v>
      </c>
      <c r="C735" s="31" t="s">
        <v>212</v>
      </c>
      <c r="D735" s="31" t="s">
        <v>271</v>
      </c>
      <c r="E735" s="31" t="s">
        <v>838</v>
      </c>
      <c r="F735" s="32" t="s">
        <v>748</v>
      </c>
    </row>
    <row r="736" spans="1:6">
      <c r="A736" s="29">
        <v>47980</v>
      </c>
      <c r="B736" s="31" t="s">
        <v>1411</v>
      </c>
      <c r="C736" s="31" t="s">
        <v>212</v>
      </c>
      <c r="D736" s="31" t="s">
        <v>210</v>
      </c>
      <c r="E736" s="31" t="s">
        <v>760</v>
      </c>
      <c r="F736" s="32" t="s">
        <v>763</v>
      </c>
    </row>
    <row r="737" spans="1:6">
      <c r="A737" s="29">
        <v>50313</v>
      </c>
      <c r="B737" s="30" t="s">
        <v>770</v>
      </c>
      <c r="C737" s="31" t="s">
        <v>304</v>
      </c>
      <c r="D737" s="31" t="s">
        <v>302</v>
      </c>
      <c r="E737" s="31" t="s">
        <v>760</v>
      </c>
      <c r="F737" s="32" t="s">
        <v>763</v>
      </c>
    </row>
    <row r="738" spans="1:6">
      <c r="A738" s="29">
        <v>50318</v>
      </c>
      <c r="B738" s="30" t="s">
        <v>1386</v>
      </c>
      <c r="C738" s="31" t="s">
        <v>304</v>
      </c>
      <c r="D738" s="31" t="s">
        <v>302</v>
      </c>
      <c r="E738" s="31" t="s">
        <v>760</v>
      </c>
      <c r="F738" s="32" t="s">
        <v>763</v>
      </c>
    </row>
    <row r="739" spans="1:6">
      <c r="A739" s="29">
        <v>50590</v>
      </c>
      <c r="B739" s="30" t="s">
        <v>1089</v>
      </c>
      <c r="C739" s="31" t="s">
        <v>304</v>
      </c>
      <c r="D739" s="31" t="s">
        <v>302</v>
      </c>
      <c r="E739" s="31" t="s">
        <v>760</v>
      </c>
      <c r="F739" s="32" t="s">
        <v>761</v>
      </c>
    </row>
    <row r="740" spans="1:6">
      <c r="A740" s="29">
        <v>50606</v>
      </c>
      <c r="B740" s="30" t="s">
        <v>1412</v>
      </c>
      <c r="C740" s="31" t="s">
        <v>304</v>
      </c>
      <c r="D740" s="31" t="s">
        <v>302</v>
      </c>
      <c r="E740" s="31" t="s">
        <v>760</v>
      </c>
      <c r="F740" s="32" t="s">
        <v>763</v>
      </c>
    </row>
    <row r="741" spans="1:6">
      <c r="A741" s="29">
        <v>50689</v>
      </c>
      <c r="B741" s="30" t="s">
        <v>1150</v>
      </c>
      <c r="C741" s="31" t="s">
        <v>304</v>
      </c>
      <c r="D741" s="31" t="s">
        <v>302</v>
      </c>
      <c r="E741" s="31" t="s">
        <v>760</v>
      </c>
      <c r="F741" s="32" t="s">
        <v>763</v>
      </c>
    </row>
    <row r="742" spans="1:6">
      <c r="A742" s="29">
        <v>50006</v>
      </c>
      <c r="B742" s="31" t="s">
        <v>1413</v>
      </c>
      <c r="C742" s="31" t="s">
        <v>304</v>
      </c>
      <c r="D742" s="31" t="s">
        <v>302</v>
      </c>
      <c r="E742" s="31" t="s">
        <v>760</v>
      </c>
      <c r="F742" s="32" t="s">
        <v>763</v>
      </c>
    </row>
    <row r="743" spans="1:6">
      <c r="A743" s="29">
        <v>50110</v>
      </c>
      <c r="B743" s="31" t="s">
        <v>1414</v>
      </c>
      <c r="C743" s="31" t="s">
        <v>304</v>
      </c>
      <c r="D743" s="31" t="s">
        <v>302</v>
      </c>
      <c r="E743" s="31" t="s">
        <v>760</v>
      </c>
      <c r="F743" s="32" t="s">
        <v>763</v>
      </c>
    </row>
    <row r="744" spans="1:6">
      <c r="A744" s="29">
        <v>50124</v>
      </c>
      <c r="B744" s="31" t="s">
        <v>1415</v>
      </c>
      <c r="C744" s="31" t="s">
        <v>304</v>
      </c>
      <c r="D744" s="31" t="s">
        <v>302</v>
      </c>
      <c r="E744" s="31" t="s">
        <v>760</v>
      </c>
      <c r="F744" s="32" t="s">
        <v>765</v>
      </c>
    </row>
    <row r="745" spans="1:6">
      <c r="A745" s="29">
        <v>50150</v>
      </c>
      <c r="B745" s="31" t="s">
        <v>1416</v>
      </c>
      <c r="C745" s="31" t="s">
        <v>304</v>
      </c>
      <c r="D745" s="31" t="s">
        <v>302</v>
      </c>
      <c r="E745" s="31" t="s">
        <v>760</v>
      </c>
      <c r="F745" s="32" t="s">
        <v>763</v>
      </c>
    </row>
    <row r="746" spans="1:6">
      <c r="A746" s="29">
        <v>50223</v>
      </c>
      <c r="B746" s="31" t="s">
        <v>1417</v>
      </c>
      <c r="C746" s="31" t="s">
        <v>304</v>
      </c>
      <c r="D746" s="31" t="s">
        <v>302</v>
      </c>
      <c r="E746" s="31" t="s">
        <v>760</v>
      </c>
      <c r="F746" s="32" t="s">
        <v>763</v>
      </c>
    </row>
    <row r="747" spans="1:6">
      <c r="A747" s="29">
        <v>50226</v>
      </c>
      <c r="B747" s="31" t="s">
        <v>1418</v>
      </c>
      <c r="C747" s="31" t="s">
        <v>304</v>
      </c>
      <c r="D747" s="31" t="s">
        <v>302</v>
      </c>
      <c r="E747" s="31" t="s">
        <v>760</v>
      </c>
      <c r="F747" s="32" t="s">
        <v>763</v>
      </c>
    </row>
    <row r="748" spans="1:6">
      <c r="A748" s="29">
        <v>50245</v>
      </c>
      <c r="B748" s="31" t="s">
        <v>1419</v>
      </c>
      <c r="C748" s="31" t="s">
        <v>304</v>
      </c>
      <c r="D748" s="31" t="s">
        <v>302</v>
      </c>
      <c r="E748" s="31" t="s">
        <v>760</v>
      </c>
      <c r="F748" s="32" t="s">
        <v>761</v>
      </c>
    </row>
    <row r="749" spans="1:6">
      <c r="A749" s="29">
        <v>50251</v>
      </c>
      <c r="B749" s="31" t="s">
        <v>1420</v>
      </c>
      <c r="C749" s="31" t="s">
        <v>304</v>
      </c>
      <c r="D749" s="31" t="s">
        <v>302</v>
      </c>
      <c r="E749" s="31" t="s">
        <v>760</v>
      </c>
      <c r="F749" s="32" t="s">
        <v>763</v>
      </c>
    </row>
    <row r="750" spans="1:6">
      <c r="A750" s="29">
        <v>50270</v>
      </c>
      <c r="B750" s="31" t="s">
        <v>1421</v>
      </c>
      <c r="C750" s="31" t="s">
        <v>304</v>
      </c>
      <c r="D750" s="31" t="s">
        <v>302</v>
      </c>
      <c r="E750" s="31" t="s">
        <v>760</v>
      </c>
      <c r="F750" s="32" t="s">
        <v>763</v>
      </c>
    </row>
    <row r="751" spans="1:6">
      <c r="A751" s="29">
        <v>50287</v>
      </c>
      <c r="B751" s="31" t="s">
        <v>1422</v>
      </c>
      <c r="C751" s="31" t="s">
        <v>304</v>
      </c>
      <c r="D751" s="31" t="s">
        <v>302</v>
      </c>
      <c r="E751" s="31" t="s">
        <v>760</v>
      </c>
      <c r="F751" s="32" t="s">
        <v>765</v>
      </c>
    </row>
    <row r="752" spans="1:6">
      <c r="A752" s="29">
        <v>50350</v>
      </c>
      <c r="B752" s="31" t="s">
        <v>1423</v>
      </c>
      <c r="C752" s="31" t="s">
        <v>304</v>
      </c>
      <c r="D752" s="31" t="s">
        <v>302</v>
      </c>
      <c r="E752" s="31" t="s">
        <v>747</v>
      </c>
      <c r="F752" s="32" t="s">
        <v>748</v>
      </c>
    </row>
    <row r="753" spans="1:6">
      <c r="A753" s="29">
        <v>50400</v>
      </c>
      <c r="B753" s="31" t="s">
        <v>1424</v>
      </c>
      <c r="C753" s="31" t="s">
        <v>304</v>
      </c>
      <c r="D753" s="31" t="s">
        <v>302</v>
      </c>
      <c r="E753" s="31" t="s">
        <v>760</v>
      </c>
      <c r="F753" s="32" t="s">
        <v>765</v>
      </c>
    </row>
    <row r="754" spans="1:6">
      <c r="A754" s="29">
        <v>50325</v>
      </c>
      <c r="B754" s="31" t="s">
        <v>1425</v>
      </c>
      <c r="C754" s="31" t="s">
        <v>304</v>
      </c>
      <c r="D754" s="31" t="s">
        <v>302</v>
      </c>
      <c r="E754" s="31" t="s">
        <v>747</v>
      </c>
      <c r="F754" s="32" t="s">
        <v>748</v>
      </c>
    </row>
    <row r="755" spans="1:6">
      <c r="A755" s="29">
        <v>50330</v>
      </c>
      <c r="B755" s="31" t="s">
        <v>1426</v>
      </c>
      <c r="C755" s="31" t="s">
        <v>304</v>
      </c>
      <c r="D755" s="31" t="s">
        <v>302</v>
      </c>
      <c r="E755" s="31" t="s">
        <v>760</v>
      </c>
      <c r="F755" s="32" t="s">
        <v>765</v>
      </c>
    </row>
    <row r="756" spans="1:6">
      <c r="A756" s="29">
        <v>50450</v>
      </c>
      <c r="B756" s="31" t="s">
        <v>1427</v>
      </c>
      <c r="C756" s="31" t="s">
        <v>304</v>
      </c>
      <c r="D756" s="31" t="s">
        <v>302</v>
      </c>
      <c r="E756" s="31" t="s">
        <v>760</v>
      </c>
      <c r="F756" s="32" t="s">
        <v>761</v>
      </c>
    </row>
    <row r="757" spans="1:6">
      <c r="A757" s="29">
        <v>50568</v>
      </c>
      <c r="B757" s="31" t="s">
        <v>731</v>
      </c>
      <c r="C757" s="31" t="s">
        <v>304</v>
      </c>
      <c r="D757" s="31" t="s">
        <v>302</v>
      </c>
      <c r="E757" s="31" t="s">
        <v>760</v>
      </c>
      <c r="F757" s="32" t="s">
        <v>765</v>
      </c>
    </row>
    <row r="758" spans="1:6">
      <c r="A758" s="29">
        <v>50577</v>
      </c>
      <c r="B758" s="31" t="s">
        <v>1428</v>
      </c>
      <c r="C758" s="31" t="s">
        <v>304</v>
      </c>
      <c r="D758" s="31" t="s">
        <v>302</v>
      </c>
      <c r="E758" s="31" t="s">
        <v>760</v>
      </c>
      <c r="F758" s="32" t="s">
        <v>765</v>
      </c>
    </row>
    <row r="759" spans="1:6">
      <c r="A759" s="29">
        <v>50573</v>
      </c>
      <c r="B759" s="31" t="s">
        <v>1429</v>
      </c>
      <c r="C759" s="31" t="s">
        <v>304</v>
      </c>
      <c r="D759" s="31" t="s">
        <v>302</v>
      </c>
      <c r="E759" s="31" t="s">
        <v>760</v>
      </c>
      <c r="F759" s="32" t="s">
        <v>763</v>
      </c>
    </row>
    <row r="760" spans="1:6">
      <c r="A760" s="29">
        <v>50680</v>
      </c>
      <c r="B760" s="31" t="s">
        <v>1430</v>
      </c>
      <c r="C760" s="31" t="s">
        <v>304</v>
      </c>
      <c r="D760" s="31" t="s">
        <v>302</v>
      </c>
      <c r="E760" s="31" t="s">
        <v>760</v>
      </c>
      <c r="F760" s="32" t="s">
        <v>763</v>
      </c>
    </row>
    <row r="761" spans="1:6">
      <c r="A761" s="29">
        <v>50683</v>
      </c>
      <c r="B761" s="31" t="s">
        <v>1431</v>
      </c>
      <c r="C761" s="31" t="s">
        <v>304</v>
      </c>
      <c r="D761" s="31" t="s">
        <v>302</v>
      </c>
      <c r="E761" s="31" t="s">
        <v>760</v>
      </c>
      <c r="F761" s="32" t="s">
        <v>765</v>
      </c>
    </row>
    <row r="762" spans="1:6">
      <c r="A762" s="29">
        <v>50686</v>
      </c>
      <c r="B762" s="31" t="s">
        <v>1432</v>
      </c>
      <c r="C762" s="31" t="s">
        <v>304</v>
      </c>
      <c r="D762" s="31" t="s">
        <v>302</v>
      </c>
      <c r="E762" s="31" t="s">
        <v>760</v>
      </c>
      <c r="F762" s="32" t="s">
        <v>761</v>
      </c>
    </row>
    <row r="763" spans="1:6">
      <c r="A763" s="29">
        <v>50370</v>
      </c>
      <c r="B763" s="31" t="s">
        <v>1433</v>
      </c>
      <c r="C763" s="31" t="s">
        <v>304</v>
      </c>
      <c r="D763" s="31" t="s">
        <v>302</v>
      </c>
      <c r="E763" s="31" t="s">
        <v>747</v>
      </c>
      <c r="F763" s="32" t="s">
        <v>748</v>
      </c>
    </row>
    <row r="764" spans="1:6">
      <c r="A764" s="29">
        <v>50001</v>
      </c>
      <c r="B764" s="31" t="s">
        <v>302</v>
      </c>
      <c r="C764" s="31" t="s">
        <v>304</v>
      </c>
      <c r="D764" s="31" t="s">
        <v>302</v>
      </c>
      <c r="E764" s="31" t="s">
        <v>760</v>
      </c>
      <c r="F764" s="32" t="s">
        <v>767</v>
      </c>
    </row>
    <row r="765" spans="1:6">
      <c r="A765" s="29">
        <v>50711</v>
      </c>
      <c r="B765" s="31" t="s">
        <v>1434</v>
      </c>
      <c r="C765" s="31" t="s">
        <v>304</v>
      </c>
      <c r="D765" s="31" t="s">
        <v>302</v>
      </c>
      <c r="E765" s="31" t="s">
        <v>760</v>
      </c>
      <c r="F765" s="32" t="s">
        <v>765</v>
      </c>
    </row>
    <row r="766" spans="1:6">
      <c r="A766" s="29">
        <v>52019</v>
      </c>
      <c r="B766" s="30" t="s">
        <v>1229</v>
      </c>
      <c r="C766" s="31" t="s">
        <v>265</v>
      </c>
      <c r="D766" s="31" t="s">
        <v>235</v>
      </c>
      <c r="E766" s="31" t="s">
        <v>760</v>
      </c>
      <c r="F766" s="32" t="s">
        <v>763</v>
      </c>
    </row>
    <row r="767" spans="1:6">
      <c r="A767" s="29">
        <v>52083</v>
      </c>
      <c r="B767" s="30" t="s">
        <v>950</v>
      </c>
      <c r="C767" s="31" t="s">
        <v>265</v>
      </c>
      <c r="D767" s="31" t="s">
        <v>235</v>
      </c>
      <c r="E767" s="31" t="s">
        <v>760</v>
      </c>
      <c r="F767" s="32" t="s">
        <v>765</v>
      </c>
    </row>
    <row r="768" spans="1:6">
      <c r="A768" s="29">
        <v>52203</v>
      </c>
      <c r="B768" s="30" t="s">
        <v>1435</v>
      </c>
      <c r="C768" s="31" t="s">
        <v>265</v>
      </c>
      <c r="D768" s="31" t="s">
        <v>235</v>
      </c>
      <c r="E768" s="31" t="s">
        <v>760</v>
      </c>
      <c r="F768" s="32" t="s">
        <v>761</v>
      </c>
    </row>
    <row r="769" spans="1:6">
      <c r="A769" s="29">
        <v>52215</v>
      </c>
      <c r="B769" s="30" t="s">
        <v>658</v>
      </c>
      <c r="C769" s="31" t="s">
        <v>265</v>
      </c>
      <c r="D769" s="31" t="s">
        <v>235</v>
      </c>
      <c r="E769" s="31" t="s">
        <v>760</v>
      </c>
      <c r="F769" s="32" t="s">
        <v>763</v>
      </c>
    </row>
    <row r="770" spans="1:6">
      <c r="A770" s="29">
        <v>52260</v>
      </c>
      <c r="B770" s="30" t="s">
        <v>1118</v>
      </c>
      <c r="C770" s="31" t="s">
        <v>265</v>
      </c>
      <c r="D770" s="31" t="s">
        <v>235</v>
      </c>
      <c r="E770" s="31" t="s">
        <v>760</v>
      </c>
      <c r="F770" s="32" t="s">
        <v>763</v>
      </c>
    </row>
    <row r="771" spans="1:6">
      <c r="A771" s="29">
        <v>52399</v>
      </c>
      <c r="B771" s="30" t="s">
        <v>773</v>
      </c>
      <c r="C771" s="31" t="s">
        <v>265</v>
      </c>
      <c r="D771" s="31" t="s">
        <v>235</v>
      </c>
      <c r="E771" s="31" t="s">
        <v>760</v>
      </c>
      <c r="F771" s="32" t="s">
        <v>765</v>
      </c>
    </row>
    <row r="772" spans="1:6">
      <c r="A772" s="29">
        <v>52473</v>
      </c>
      <c r="B772" s="30" t="s">
        <v>204</v>
      </c>
      <c r="C772" s="31" t="s">
        <v>265</v>
      </c>
      <c r="D772" s="31" t="s">
        <v>235</v>
      </c>
      <c r="E772" s="31" t="s">
        <v>760</v>
      </c>
      <c r="F772" s="32" t="s">
        <v>761</v>
      </c>
    </row>
    <row r="773" spans="1:6">
      <c r="A773" s="29">
        <v>52480</v>
      </c>
      <c r="B773" s="30" t="s">
        <v>265</v>
      </c>
      <c r="C773" s="31" t="s">
        <v>265</v>
      </c>
      <c r="D773" s="31" t="s">
        <v>235</v>
      </c>
      <c r="E773" s="31" t="s">
        <v>760</v>
      </c>
      <c r="F773" s="32" t="s">
        <v>763</v>
      </c>
    </row>
    <row r="774" spans="1:6">
      <c r="A774" s="29">
        <v>52565</v>
      </c>
      <c r="B774" s="30" t="s">
        <v>1436</v>
      </c>
      <c r="C774" s="31" t="s">
        <v>265</v>
      </c>
      <c r="D774" s="31" t="s">
        <v>235</v>
      </c>
      <c r="E774" s="31" t="s">
        <v>760</v>
      </c>
      <c r="F774" s="32" t="s">
        <v>765</v>
      </c>
    </row>
    <row r="775" spans="1:6">
      <c r="A775" s="29">
        <v>52612</v>
      </c>
      <c r="B775" s="30" t="s">
        <v>1231</v>
      </c>
      <c r="C775" s="31" t="s">
        <v>265</v>
      </c>
      <c r="D775" s="31" t="s">
        <v>235</v>
      </c>
      <c r="E775" s="31" t="s">
        <v>760</v>
      </c>
      <c r="F775" s="32" t="s">
        <v>765</v>
      </c>
    </row>
    <row r="776" spans="1:6">
      <c r="A776" s="29">
        <v>52685</v>
      </c>
      <c r="B776" s="30" t="s">
        <v>1232</v>
      </c>
      <c r="C776" s="31" t="s">
        <v>265</v>
      </c>
      <c r="D776" s="31" t="s">
        <v>235</v>
      </c>
      <c r="E776" s="31" t="s">
        <v>760</v>
      </c>
      <c r="F776" s="32" t="s">
        <v>763</v>
      </c>
    </row>
    <row r="777" spans="1:6">
      <c r="A777" s="29">
        <v>52693</v>
      </c>
      <c r="B777" s="30" t="s">
        <v>909</v>
      </c>
      <c r="C777" s="31" t="s">
        <v>265</v>
      </c>
      <c r="D777" s="31" t="s">
        <v>235</v>
      </c>
      <c r="E777" s="31" t="s">
        <v>760</v>
      </c>
      <c r="F777" s="32" t="s">
        <v>761</v>
      </c>
    </row>
    <row r="778" spans="1:6">
      <c r="A778" s="29">
        <v>52696</v>
      </c>
      <c r="B778" s="30" t="s">
        <v>780</v>
      </c>
      <c r="C778" s="31" t="s">
        <v>265</v>
      </c>
      <c r="D778" s="31" t="s">
        <v>235</v>
      </c>
      <c r="E778" s="31" t="s">
        <v>910</v>
      </c>
      <c r="F778" s="32" t="s">
        <v>748</v>
      </c>
    </row>
    <row r="779" spans="1:6">
      <c r="A779" s="29">
        <v>52022</v>
      </c>
      <c r="B779" s="31" t="s">
        <v>1437</v>
      </c>
      <c r="C779" s="31" t="s">
        <v>265</v>
      </c>
      <c r="D779" s="31" t="s">
        <v>235</v>
      </c>
      <c r="E779" s="31" t="s">
        <v>760</v>
      </c>
      <c r="F779" s="32" t="s">
        <v>763</v>
      </c>
    </row>
    <row r="780" spans="1:6">
      <c r="A780" s="29">
        <v>52036</v>
      </c>
      <c r="B780" s="31" t="s">
        <v>1438</v>
      </c>
      <c r="C780" s="31" t="s">
        <v>265</v>
      </c>
      <c r="D780" s="31" t="s">
        <v>235</v>
      </c>
      <c r="E780" s="31" t="s">
        <v>760</v>
      </c>
      <c r="F780" s="32" t="s">
        <v>763</v>
      </c>
    </row>
    <row r="781" spans="1:6">
      <c r="A781" s="29">
        <v>52051</v>
      </c>
      <c r="B781" s="31" t="s">
        <v>1439</v>
      </c>
      <c r="C781" s="31" t="s">
        <v>265</v>
      </c>
      <c r="D781" s="31" t="s">
        <v>235</v>
      </c>
      <c r="E781" s="31" t="s">
        <v>760</v>
      </c>
      <c r="F781" s="32" t="s">
        <v>763</v>
      </c>
    </row>
    <row r="782" spans="1:6">
      <c r="A782" s="29">
        <v>52079</v>
      </c>
      <c r="B782" s="31" t="s">
        <v>1440</v>
      </c>
      <c r="C782" s="31" t="s">
        <v>265</v>
      </c>
      <c r="D782" s="31" t="s">
        <v>235</v>
      </c>
      <c r="E782" s="31" t="s">
        <v>760</v>
      </c>
      <c r="F782" s="32" t="s">
        <v>761</v>
      </c>
    </row>
    <row r="783" spans="1:6">
      <c r="A783" s="29">
        <v>52110</v>
      </c>
      <c r="B783" s="31" t="s">
        <v>1441</v>
      </c>
      <c r="C783" s="31" t="s">
        <v>265</v>
      </c>
      <c r="D783" s="31" t="s">
        <v>235</v>
      </c>
      <c r="E783" s="31" t="s">
        <v>760</v>
      </c>
      <c r="F783" s="32" t="s">
        <v>763</v>
      </c>
    </row>
    <row r="784" spans="1:6">
      <c r="A784" s="29">
        <v>52240</v>
      </c>
      <c r="B784" s="31" t="s">
        <v>1442</v>
      </c>
      <c r="C784" s="31" t="s">
        <v>265</v>
      </c>
      <c r="D784" s="31" t="s">
        <v>235</v>
      </c>
      <c r="E784" s="31" t="s">
        <v>760</v>
      </c>
      <c r="F784" s="32" t="s">
        <v>763</v>
      </c>
    </row>
    <row r="785" spans="1:6">
      <c r="A785" s="29">
        <v>52207</v>
      </c>
      <c r="B785" s="31" t="s">
        <v>1443</v>
      </c>
      <c r="C785" s="31" t="s">
        <v>265</v>
      </c>
      <c r="D785" s="31" t="s">
        <v>235</v>
      </c>
      <c r="E785" s="31" t="s">
        <v>760</v>
      </c>
      <c r="F785" s="32" t="s">
        <v>763</v>
      </c>
    </row>
    <row r="786" spans="1:6">
      <c r="A786" s="29">
        <v>52210</v>
      </c>
      <c r="B786" s="31" t="s">
        <v>1444</v>
      </c>
      <c r="C786" s="31" t="s">
        <v>265</v>
      </c>
      <c r="D786" s="31" t="s">
        <v>235</v>
      </c>
      <c r="E786" s="31" t="s">
        <v>760</v>
      </c>
      <c r="F786" s="32" t="s">
        <v>763</v>
      </c>
    </row>
    <row r="787" spans="1:6">
      <c r="A787" s="29">
        <v>52224</v>
      </c>
      <c r="B787" s="31" t="s">
        <v>1445</v>
      </c>
      <c r="C787" s="31" t="s">
        <v>265</v>
      </c>
      <c r="D787" s="31" t="s">
        <v>235</v>
      </c>
      <c r="E787" s="31" t="s">
        <v>760</v>
      </c>
      <c r="F787" s="32" t="s">
        <v>763</v>
      </c>
    </row>
    <row r="788" spans="1:6">
      <c r="A788" s="29">
        <v>52227</v>
      </c>
      <c r="B788" s="31" t="s">
        <v>1446</v>
      </c>
      <c r="C788" s="31" t="s">
        <v>265</v>
      </c>
      <c r="D788" s="31" t="s">
        <v>235</v>
      </c>
      <c r="E788" s="31" t="s">
        <v>760</v>
      </c>
      <c r="F788" s="32" t="s">
        <v>765</v>
      </c>
    </row>
    <row r="789" spans="1:6">
      <c r="A789" s="29">
        <v>52233</v>
      </c>
      <c r="B789" s="31" t="s">
        <v>1447</v>
      </c>
      <c r="C789" s="31" t="s">
        <v>265</v>
      </c>
      <c r="D789" s="31" t="s">
        <v>235</v>
      </c>
      <c r="E789" s="31" t="s">
        <v>760</v>
      </c>
      <c r="F789" s="32" t="s">
        <v>763</v>
      </c>
    </row>
    <row r="790" spans="1:6">
      <c r="A790" s="29">
        <v>52250</v>
      </c>
      <c r="B790" s="31" t="s">
        <v>1448</v>
      </c>
      <c r="C790" s="31" t="s">
        <v>265</v>
      </c>
      <c r="D790" s="31" t="s">
        <v>235</v>
      </c>
      <c r="E790" s="31" t="s">
        <v>838</v>
      </c>
      <c r="F790" s="32" t="s">
        <v>748</v>
      </c>
    </row>
    <row r="791" spans="1:6">
      <c r="A791" s="29">
        <v>52254</v>
      </c>
      <c r="B791" s="31" t="s">
        <v>1449</v>
      </c>
      <c r="C791" s="31" t="s">
        <v>265</v>
      </c>
      <c r="D791" s="31" t="s">
        <v>235</v>
      </c>
      <c r="E791" s="31" t="s">
        <v>760</v>
      </c>
      <c r="F791" s="32" t="s">
        <v>763</v>
      </c>
    </row>
    <row r="792" spans="1:6">
      <c r="A792" s="29">
        <v>52256</v>
      </c>
      <c r="B792" s="31" t="s">
        <v>1450</v>
      </c>
      <c r="C792" s="31" t="s">
        <v>265</v>
      </c>
      <c r="D792" s="31" t="s">
        <v>235</v>
      </c>
      <c r="E792" s="31" t="s">
        <v>760</v>
      </c>
      <c r="F792" s="32" t="s">
        <v>763</v>
      </c>
    </row>
    <row r="793" spans="1:6">
      <c r="A793" s="29">
        <v>52258</v>
      </c>
      <c r="B793" s="31" t="s">
        <v>1451</v>
      </c>
      <c r="C793" s="31" t="s">
        <v>265</v>
      </c>
      <c r="D793" s="31" t="s">
        <v>235</v>
      </c>
      <c r="E793" s="31" t="s">
        <v>760</v>
      </c>
      <c r="F793" s="32" t="s">
        <v>763</v>
      </c>
    </row>
    <row r="794" spans="1:6">
      <c r="A794" s="29">
        <v>52520</v>
      </c>
      <c r="B794" s="31" t="s">
        <v>1452</v>
      </c>
      <c r="C794" s="31" t="s">
        <v>265</v>
      </c>
      <c r="D794" s="31" t="s">
        <v>235</v>
      </c>
      <c r="E794" s="31" t="s">
        <v>838</v>
      </c>
      <c r="F794" s="32" t="s">
        <v>748</v>
      </c>
    </row>
    <row r="795" spans="1:6">
      <c r="A795" s="29">
        <v>52287</v>
      </c>
      <c r="B795" s="31" t="s">
        <v>1453</v>
      </c>
      <c r="C795" s="31" t="s">
        <v>265</v>
      </c>
      <c r="D795" s="31" t="s">
        <v>235</v>
      </c>
      <c r="E795" s="31" t="s">
        <v>760</v>
      </c>
      <c r="F795" s="32" t="s">
        <v>763</v>
      </c>
    </row>
    <row r="796" spans="1:6">
      <c r="A796" s="29">
        <v>52317</v>
      </c>
      <c r="B796" s="31" t="s">
        <v>1454</v>
      </c>
      <c r="C796" s="31" t="s">
        <v>265</v>
      </c>
      <c r="D796" s="31" t="s">
        <v>235</v>
      </c>
      <c r="E796" s="31" t="s">
        <v>760</v>
      </c>
      <c r="F796" s="32" t="s">
        <v>763</v>
      </c>
    </row>
    <row r="797" spans="1:6">
      <c r="A797" s="29">
        <v>52320</v>
      </c>
      <c r="B797" s="31" t="s">
        <v>1455</v>
      </c>
      <c r="C797" s="31" t="s">
        <v>265</v>
      </c>
      <c r="D797" s="31" t="s">
        <v>235</v>
      </c>
      <c r="E797" s="31" t="s">
        <v>760</v>
      </c>
      <c r="F797" s="32" t="s">
        <v>763</v>
      </c>
    </row>
    <row r="798" spans="1:6">
      <c r="A798" s="29">
        <v>52323</v>
      </c>
      <c r="B798" s="31" t="s">
        <v>1456</v>
      </c>
      <c r="C798" s="31" t="s">
        <v>265</v>
      </c>
      <c r="D798" s="31" t="s">
        <v>235</v>
      </c>
      <c r="E798" s="31" t="s">
        <v>760</v>
      </c>
      <c r="F798" s="32" t="s">
        <v>763</v>
      </c>
    </row>
    <row r="799" spans="1:6">
      <c r="A799" s="29">
        <v>52352</v>
      </c>
      <c r="B799" s="31" t="s">
        <v>1457</v>
      </c>
      <c r="C799" s="31" t="s">
        <v>265</v>
      </c>
      <c r="D799" s="31" t="s">
        <v>235</v>
      </c>
      <c r="E799" s="31" t="s">
        <v>760</v>
      </c>
      <c r="F799" s="32" t="s">
        <v>763</v>
      </c>
    </row>
    <row r="800" spans="1:6">
      <c r="A800" s="29">
        <v>52354</v>
      </c>
      <c r="B800" s="31" t="s">
        <v>1458</v>
      </c>
      <c r="C800" s="31" t="s">
        <v>265</v>
      </c>
      <c r="D800" s="31" t="s">
        <v>235</v>
      </c>
      <c r="E800" s="31" t="s">
        <v>760</v>
      </c>
      <c r="F800" s="32" t="s">
        <v>763</v>
      </c>
    </row>
    <row r="801" spans="1:6">
      <c r="A801" s="29">
        <v>52356</v>
      </c>
      <c r="B801" s="31" t="s">
        <v>1459</v>
      </c>
      <c r="C801" s="31" t="s">
        <v>265</v>
      </c>
      <c r="D801" s="31" t="s">
        <v>235</v>
      </c>
      <c r="E801" s="31" t="s">
        <v>760</v>
      </c>
      <c r="F801" s="32" t="s">
        <v>763</v>
      </c>
    </row>
    <row r="802" spans="1:6">
      <c r="A802" s="29">
        <v>52378</v>
      </c>
      <c r="B802" s="31" t="s">
        <v>1460</v>
      </c>
      <c r="C802" s="31" t="s">
        <v>265</v>
      </c>
      <c r="D802" s="31" t="s">
        <v>235</v>
      </c>
      <c r="E802" s="31" t="s">
        <v>760</v>
      </c>
      <c r="F802" s="32" t="s">
        <v>765</v>
      </c>
    </row>
    <row r="803" spans="1:6">
      <c r="A803" s="29">
        <v>52381</v>
      </c>
      <c r="B803" s="31" t="s">
        <v>1461</v>
      </c>
      <c r="C803" s="31" t="s">
        <v>265</v>
      </c>
      <c r="D803" s="31" t="s">
        <v>235</v>
      </c>
      <c r="E803" s="31" t="s">
        <v>760</v>
      </c>
      <c r="F803" s="32" t="s">
        <v>763</v>
      </c>
    </row>
    <row r="804" spans="1:6">
      <c r="A804" s="29">
        <v>52385</v>
      </c>
      <c r="B804" s="31" t="s">
        <v>1462</v>
      </c>
      <c r="C804" s="31" t="s">
        <v>265</v>
      </c>
      <c r="D804" s="31" t="s">
        <v>235</v>
      </c>
      <c r="E804" s="31" t="s">
        <v>760</v>
      </c>
      <c r="F804" s="32" t="s">
        <v>761</v>
      </c>
    </row>
    <row r="805" spans="1:6">
      <c r="A805" s="29">
        <v>52390</v>
      </c>
      <c r="B805" s="31" t="s">
        <v>1463</v>
      </c>
      <c r="C805" s="31" t="s">
        <v>265</v>
      </c>
      <c r="D805" s="31" t="s">
        <v>235</v>
      </c>
      <c r="E805" s="31" t="s">
        <v>838</v>
      </c>
      <c r="F805" s="32" t="s">
        <v>748</v>
      </c>
    </row>
    <row r="806" spans="1:6">
      <c r="A806" s="29">
        <v>52405</v>
      </c>
      <c r="B806" s="31" t="s">
        <v>1464</v>
      </c>
      <c r="C806" s="31" t="s">
        <v>265</v>
      </c>
      <c r="D806" s="31" t="s">
        <v>235</v>
      </c>
      <c r="E806" s="31" t="s">
        <v>760</v>
      </c>
      <c r="F806" s="32" t="s">
        <v>765</v>
      </c>
    </row>
    <row r="807" spans="1:6">
      <c r="A807" s="29">
        <v>52411</v>
      </c>
      <c r="B807" s="31" t="s">
        <v>1465</v>
      </c>
      <c r="C807" s="31" t="s">
        <v>265</v>
      </c>
      <c r="D807" s="31" t="s">
        <v>235</v>
      </c>
      <c r="E807" s="31" t="s">
        <v>760</v>
      </c>
      <c r="F807" s="32" t="s">
        <v>765</v>
      </c>
    </row>
    <row r="808" spans="1:6">
      <c r="A808" s="29">
        <v>52418</v>
      </c>
      <c r="B808" s="31" t="s">
        <v>1466</v>
      </c>
      <c r="C808" s="31" t="s">
        <v>265</v>
      </c>
      <c r="D808" s="31" t="s">
        <v>235</v>
      </c>
      <c r="E808" s="31" t="s">
        <v>760</v>
      </c>
      <c r="F808" s="32" t="s">
        <v>765</v>
      </c>
    </row>
    <row r="809" spans="1:6">
      <c r="A809" s="29">
        <v>52427</v>
      </c>
      <c r="B809" s="31" t="s">
        <v>1467</v>
      </c>
      <c r="C809" s="31" t="s">
        <v>265</v>
      </c>
      <c r="D809" s="31" t="s">
        <v>235</v>
      </c>
      <c r="E809" s="31" t="s">
        <v>838</v>
      </c>
      <c r="F809" s="32" t="s">
        <v>748</v>
      </c>
    </row>
    <row r="810" spans="1:6">
      <c r="A810" s="29">
        <v>52435</v>
      </c>
      <c r="B810" s="31" t="s">
        <v>1468</v>
      </c>
      <c r="C810" s="31" t="s">
        <v>265</v>
      </c>
      <c r="D810" s="31" t="s">
        <v>235</v>
      </c>
      <c r="E810" s="31" t="s">
        <v>760</v>
      </c>
      <c r="F810" s="32" t="s">
        <v>765</v>
      </c>
    </row>
    <row r="811" spans="1:6">
      <c r="A811" s="29">
        <v>52490</v>
      </c>
      <c r="B811" s="31" t="s">
        <v>1469</v>
      </c>
      <c r="C811" s="31" t="s">
        <v>265</v>
      </c>
      <c r="D811" s="31" t="s">
        <v>235</v>
      </c>
      <c r="E811" s="31" t="s">
        <v>838</v>
      </c>
      <c r="F811" s="32" t="s">
        <v>748</v>
      </c>
    </row>
    <row r="812" spans="1:6">
      <c r="A812" s="29">
        <v>52506</v>
      </c>
      <c r="B812" s="31" t="s">
        <v>1470</v>
      </c>
      <c r="C812" s="31" t="s">
        <v>265</v>
      </c>
      <c r="D812" s="31" t="s">
        <v>235</v>
      </c>
      <c r="E812" s="31" t="s">
        <v>760</v>
      </c>
      <c r="F812" s="32" t="s">
        <v>763</v>
      </c>
    </row>
    <row r="813" spans="1:6">
      <c r="A813" s="29">
        <v>52001</v>
      </c>
      <c r="B813" s="31" t="s">
        <v>235</v>
      </c>
      <c r="C813" s="31" t="s">
        <v>265</v>
      </c>
      <c r="D813" s="31" t="s">
        <v>235</v>
      </c>
      <c r="E813" s="31" t="s">
        <v>760</v>
      </c>
      <c r="F813" s="32" t="s">
        <v>767</v>
      </c>
    </row>
    <row r="814" spans="1:6">
      <c r="A814" s="29">
        <v>52540</v>
      </c>
      <c r="B814" s="31" t="s">
        <v>1471</v>
      </c>
      <c r="C814" s="31" t="s">
        <v>265</v>
      </c>
      <c r="D814" s="31" t="s">
        <v>235</v>
      </c>
      <c r="E814" s="31" t="s">
        <v>760</v>
      </c>
      <c r="F814" s="32" t="s">
        <v>761</v>
      </c>
    </row>
    <row r="815" spans="1:6">
      <c r="A815" s="29">
        <v>52560</v>
      </c>
      <c r="B815" s="31" t="s">
        <v>1472</v>
      </c>
      <c r="C815" s="31" t="s">
        <v>265</v>
      </c>
      <c r="D815" s="31" t="s">
        <v>235</v>
      </c>
      <c r="E815" s="31" t="s">
        <v>760</v>
      </c>
      <c r="F815" s="32" t="s">
        <v>763</v>
      </c>
    </row>
    <row r="816" spans="1:6">
      <c r="A816" s="29">
        <v>52573</v>
      </c>
      <c r="B816" s="31" t="s">
        <v>1473</v>
      </c>
      <c r="C816" s="31" t="s">
        <v>265</v>
      </c>
      <c r="D816" s="31" t="s">
        <v>235</v>
      </c>
      <c r="E816" s="31" t="s">
        <v>760</v>
      </c>
      <c r="F816" s="32" t="s">
        <v>763</v>
      </c>
    </row>
    <row r="817" spans="1:6">
      <c r="A817" s="29">
        <v>52585</v>
      </c>
      <c r="B817" s="31" t="s">
        <v>1474</v>
      </c>
      <c r="C817" s="31" t="s">
        <v>265</v>
      </c>
      <c r="D817" s="31" t="s">
        <v>235</v>
      </c>
      <c r="E817" s="31" t="s">
        <v>760</v>
      </c>
      <c r="F817" s="32" t="s">
        <v>763</v>
      </c>
    </row>
    <row r="818" spans="1:6">
      <c r="A818" s="29">
        <v>52621</v>
      </c>
      <c r="B818" s="31" t="s">
        <v>1475</v>
      </c>
      <c r="C818" s="31" t="s">
        <v>265</v>
      </c>
      <c r="D818" s="31" t="s">
        <v>235</v>
      </c>
      <c r="E818" s="31" t="s">
        <v>838</v>
      </c>
      <c r="F818" s="32" t="s">
        <v>748</v>
      </c>
    </row>
    <row r="819" spans="1:6">
      <c r="A819" s="29">
        <v>52678</v>
      </c>
      <c r="B819" s="31" t="s">
        <v>1476</v>
      </c>
      <c r="C819" s="31" t="s">
        <v>265</v>
      </c>
      <c r="D819" s="31" t="s">
        <v>235</v>
      </c>
      <c r="E819" s="31" t="s">
        <v>760</v>
      </c>
      <c r="F819" s="32" t="s">
        <v>765</v>
      </c>
    </row>
    <row r="820" spans="1:6">
      <c r="A820" s="29">
        <v>52835</v>
      </c>
      <c r="B820" s="31" t="s">
        <v>1477</v>
      </c>
      <c r="C820" s="31" t="s">
        <v>265</v>
      </c>
      <c r="D820" s="31" t="s">
        <v>235</v>
      </c>
      <c r="E820" s="31" t="s">
        <v>760</v>
      </c>
      <c r="F820" s="32" t="s">
        <v>761</v>
      </c>
    </row>
    <row r="821" spans="1:6">
      <c r="A821" s="29">
        <v>52687</v>
      </c>
      <c r="B821" s="31" t="s">
        <v>1478</v>
      </c>
      <c r="C821" s="31" t="s">
        <v>265</v>
      </c>
      <c r="D821" s="31" t="s">
        <v>235</v>
      </c>
      <c r="E821" s="31" t="s">
        <v>760</v>
      </c>
      <c r="F821" s="32" t="s">
        <v>763</v>
      </c>
    </row>
    <row r="822" spans="1:6">
      <c r="A822" s="29">
        <v>52694</v>
      </c>
      <c r="B822" s="31" t="s">
        <v>1479</v>
      </c>
      <c r="C822" s="31" t="s">
        <v>265</v>
      </c>
      <c r="D822" s="31" t="s">
        <v>235</v>
      </c>
      <c r="E822" s="31" t="s">
        <v>760</v>
      </c>
      <c r="F822" s="32" t="s">
        <v>763</v>
      </c>
    </row>
    <row r="823" spans="1:6">
      <c r="A823" s="29">
        <v>52683</v>
      </c>
      <c r="B823" s="31" t="s">
        <v>539</v>
      </c>
      <c r="C823" s="31" t="s">
        <v>265</v>
      </c>
      <c r="D823" s="31" t="s">
        <v>235</v>
      </c>
      <c r="E823" s="31" t="s">
        <v>760</v>
      </c>
      <c r="F823" s="32" t="s">
        <v>763</v>
      </c>
    </row>
    <row r="824" spans="1:6">
      <c r="A824" s="29">
        <v>52699</v>
      </c>
      <c r="B824" s="31" t="s">
        <v>1480</v>
      </c>
      <c r="C824" s="31" t="s">
        <v>265</v>
      </c>
      <c r="D824" s="31" t="s">
        <v>235</v>
      </c>
      <c r="E824" s="31" t="s">
        <v>760</v>
      </c>
      <c r="F824" s="32" t="s">
        <v>761</v>
      </c>
    </row>
    <row r="825" spans="1:6">
      <c r="A825" s="29">
        <v>52720</v>
      </c>
      <c r="B825" s="31" t="s">
        <v>1481</v>
      </c>
      <c r="C825" s="31" t="s">
        <v>265</v>
      </c>
      <c r="D825" s="31" t="s">
        <v>235</v>
      </c>
      <c r="E825" s="31" t="s">
        <v>760</v>
      </c>
      <c r="F825" s="32" t="s">
        <v>763</v>
      </c>
    </row>
    <row r="826" spans="1:6">
      <c r="A826" s="29">
        <v>52786</v>
      </c>
      <c r="B826" s="31" t="s">
        <v>1482</v>
      </c>
      <c r="C826" s="31" t="s">
        <v>265</v>
      </c>
      <c r="D826" s="31" t="s">
        <v>235</v>
      </c>
      <c r="E826" s="31" t="s">
        <v>760</v>
      </c>
      <c r="F826" s="32" t="s">
        <v>763</v>
      </c>
    </row>
    <row r="827" spans="1:6">
      <c r="A827" s="29">
        <v>52788</v>
      </c>
      <c r="B827" s="31" t="s">
        <v>1483</v>
      </c>
      <c r="C827" s="31" t="s">
        <v>265</v>
      </c>
      <c r="D827" s="31" t="s">
        <v>235</v>
      </c>
      <c r="E827" s="31" t="s">
        <v>760</v>
      </c>
      <c r="F827" s="32" t="s">
        <v>763</v>
      </c>
    </row>
    <row r="828" spans="1:6">
      <c r="A828" s="29">
        <v>52838</v>
      </c>
      <c r="B828" s="31" t="s">
        <v>1484</v>
      </c>
      <c r="C828" s="31" t="s">
        <v>265</v>
      </c>
      <c r="D828" s="31" t="s">
        <v>235</v>
      </c>
      <c r="E828" s="31" t="s">
        <v>760</v>
      </c>
      <c r="F828" s="32" t="s">
        <v>763</v>
      </c>
    </row>
    <row r="829" spans="1:6">
      <c r="A829" s="29">
        <v>52885</v>
      </c>
      <c r="B829" s="31" t="s">
        <v>1485</v>
      </c>
      <c r="C829" s="31" t="s">
        <v>265</v>
      </c>
      <c r="D829" s="31" t="s">
        <v>235</v>
      </c>
      <c r="E829" s="31" t="s">
        <v>760</v>
      </c>
      <c r="F829" s="32" t="s">
        <v>763</v>
      </c>
    </row>
    <row r="830" spans="1:6">
      <c r="A830" s="29">
        <v>54553</v>
      </c>
      <c r="B830" s="30" t="s">
        <v>749</v>
      </c>
      <c r="C830" s="31" t="s">
        <v>103</v>
      </c>
      <c r="D830" s="31" t="s">
        <v>101</v>
      </c>
      <c r="E830" s="31" t="s">
        <v>760</v>
      </c>
      <c r="F830" s="32" t="s">
        <v>763</v>
      </c>
    </row>
    <row r="831" spans="1:6">
      <c r="A831" s="29">
        <v>54673</v>
      </c>
      <c r="B831" s="30" t="s">
        <v>1233</v>
      </c>
      <c r="C831" s="31" t="s">
        <v>103</v>
      </c>
      <c r="D831" s="31" t="s">
        <v>101</v>
      </c>
      <c r="E831" s="31" t="s">
        <v>760</v>
      </c>
      <c r="F831" s="32" t="s">
        <v>763</v>
      </c>
    </row>
    <row r="832" spans="1:6">
      <c r="A832" s="29">
        <v>54680</v>
      </c>
      <c r="B832" s="30" t="s">
        <v>1486</v>
      </c>
      <c r="C832" s="31" t="s">
        <v>103</v>
      </c>
      <c r="D832" s="31" t="s">
        <v>101</v>
      </c>
      <c r="E832" s="31" t="s">
        <v>760</v>
      </c>
      <c r="F832" s="32" t="s">
        <v>763</v>
      </c>
    </row>
    <row r="833" spans="1:6">
      <c r="A833" s="29">
        <v>54820</v>
      </c>
      <c r="B833" s="30" t="s">
        <v>781</v>
      </c>
      <c r="C833" s="31" t="s">
        <v>103</v>
      </c>
      <c r="D833" s="31" t="s">
        <v>101</v>
      </c>
      <c r="E833" s="31" t="s">
        <v>760</v>
      </c>
      <c r="F833" s="32" t="s">
        <v>761</v>
      </c>
    </row>
    <row r="834" spans="1:6">
      <c r="A834" s="29">
        <v>54003</v>
      </c>
      <c r="B834" s="31" t="s">
        <v>1487</v>
      </c>
      <c r="C834" s="31" t="s">
        <v>103</v>
      </c>
      <c r="D834" s="31" t="s">
        <v>101</v>
      </c>
      <c r="E834" s="31" t="s">
        <v>760</v>
      </c>
      <c r="F834" s="32" t="s">
        <v>765</v>
      </c>
    </row>
    <row r="835" spans="1:6">
      <c r="A835" s="29">
        <v>54051</v>
      </c>
      <c r="B835" s="31" t="s">
        <v>1488</v>
      </c>
      <c r="C835" s="31" t="s">
        <v>103</v>
      </c>
      <c r="D835" s="31" t="s">
        <v>101</v>
      </c>
      <c r="E835" s="31" t="s">
        <v>760</v>
      </c>
      <c r="F835" s="32" t="s">
        <v>761</v>
      </c>
    </row>
    <row r="836" spans="1:6">
      <c r="A836" s="29">
        <v>54099</v>
      </c>
      <c r="B836" s="31" t="s">
        <v>1489</v>
      </c>
      <c r="C836" s="31" t="s">
        <v>103</v>
      </c>
      <c r="D836" s="31" t="s">
        <v>101</v>
      </c>
      <c r="E836" s="31" t="s">
        <v>760</v>
      </c>
      <c r="F836" s="32" t="s">
        <v>763</v>
      </c>
    </row>
    <row r="837" spans="1:6">
      <c r="A837" s="29">
        <v>54109</v>
      </c>
      <c r="B837" s="31" t="s">
        <v>1490</v>
      </c>
      <c r="C837" s="31" t="s">
        <v>103</v>
      </c>
      <c r="D837" s="31" t="s">
        <v>101</v>
      </c>
      <c r="E837" s="31" t="s">
        <v>760</v>
      </c>
      <c r="F837" s="32" t="s">
        <v>765</v>
      </c>
    </row>
    <row r="838" spans="1:6">
      <c r="A838" s="29">
        <v>54128</v>
      </c>
      <c r="B838" s="31" t="s">
        <v>1491</v>
      </c>
      <c r="C838" s="31" t="s">
        <v>103</v>
      </c>
      <c r="D838" s="31" t="s">
        <v>101</v>
      </c>
      <c r="E838" s="31" t="s">
        <v>760</v>
      </c>
      <c r="F838" s="32" t="s">
        <v>761</v>
      </c>
    </row>
    <row r="839" spans="1:6">
      <c r="A839" s="29">
        <v>54125</v>
      </c>
      <c r="B839" s="31" t="s">
        <v>1492</v>
      </c>
      <c r="C839" s="31" t="s">
        <v>103</v>
      </c>
      <c r="D839" s="31" t="s">
        <v>101</v>
      </c>
      <c r="E839" s="31" t="s">
        <v>760</v>
      </c>
      <c r="F839" s="32" t="s">
        <v>765</v>
      </c>
    </row>
    <row r="840" spans="1:6">
      <c r="A840" s="29">
        <v>54172</v>
      </c>
      <c r="B840" s="31" t="s">
        <v>1493</v>
      </c>
      <c r="C840" s="31" t="s">
        <v>103</v>
      </c>
      <c r="D840" s="31" t="s">
        <v>101</v>
      </c>
      <c r="E840" s="31" t="s">
        <v>760</v>
      </c>
      <c r="F840" s="32" t="s">
        <v>763</v>
      </c>
    </row>
    <row r="841" spans="1:6">
      <c r="A841" s="29">
        <v>54174</v>
      </c>
      <c r="B841" s="31" t="s">
        <v>1494</v>
      </c>
      <c r="C841" s="31" t="s">
        <v>103</v>
      </c>
      <c r="D841" s="31" t="s">
        <v>101</v>
      </c>
      <c r="E841" s="31" t="s">
        <v>760</v>
      </c>
      <c r="F841" s="32" t="s">
        <v>761</v>
      </c>
    </row>
    <row r="842" spans="1:6">
      <c r="A842" s="29">
        <v>54206</v>
      </c>
      <c r="B842" s="31" t="s">
        <v>1495</v>
      </c>
      <c r="C842" s="31" t="s">
        <v>103</v>
      </c>
      <c r="D842" s="31" t="s">
        <v>101</v>
      </c>
      <c r="E842" s="31" t="s">
        <v>760</v>
      </c>
      <c r="F842" s="32" t="s">
        <v>761</v>
      </c>
    </row>
    <row r="843" spans="1:6">
      <c r="A843" s="29">
        <v>54001</v>
      </c>
      <c r="B843" s="31" t="s">
        <v>101</v>
      </c>
      <c r="C843" s="31" t="s">
        <v>103</v>
      </c>
      <c r="D843" s="31" t="s">
        <v>101</v>
      </c>
      <c r="E843" s="31" t="s">
        <v>760</v>
      </c>
      <c r="F843" s="32" t="s">
        <v>767</v>
      </c>
    </row>
    <row r="844" spans="1:6">
      <c r="A844" s="29">
        <v>54223</v>
      </c>
      <c r="B844" s="31" t="s">
        <v>1496</v>
      </c>
      <c r="C844" s="31" t="s">
        <v>103</v>
      </c>
      <c r="D844" s="31" t="s">
        <v>101</v>
      </c>
      <c r="E844" s="31" t="s">
        <v>760</v>
      </c>
      <c r="F844" s="32" t="s">
        <v>761</v>
      </c>
    </row>
    <row r="845" spans="1:6">
      <c r="A845" s="29">
        <v>54239</v>
      </c>
      <c r="B845" s="31" t="s">
        <v>1497</v>
      </c>
      <c r="C845" s="31" t="s">
        <v>103</v>
      </c>
      <c r="D845" s="31" t="s">
        <v>101</v>
      </c>
      <c r="E845" s="31" t="s">
        <v>760</v>
      </c>
      <c r="F845" s="32" t="s">
        <v>763</v>
      </c>
    </row>
    <row r="846" spans="1:6">
      <c r="A846" s="29">
        <v>54245</v>
      </c>
      <c r="B846" s="31" t="s">
        <v>1498</v>
      </c>
      <c r="C846" s="31" t="s">
        <v>103</v>
      </c>
      <c r="D846" s="31" t="s">
        <v>101</v>
      </c>
      <c r="E846" s="31" t="s">
        <v>760</v>
      </c>
      <c r="F846" s="32" t="s">
        <v>761</v>
      </c>
    </row>
    <row r="847" spans="1:6">
      <c r="A847" s="29">
        <v>54250</v>
      </c>
      <c r="B847" s="31" t="s">
        <v>1499</v>
      </c>
      <c r="C847" s="31" t="s">
        <v>103</v>
      </c>
      <c r="D847" s="31" t="s">
        <v>101</v>
      </c>
      <c r="E847" s="31" t="s">
        <v>760</v>
      </c>
      <c r="F847" s="32" t="s">
        <v>761</v>
      </c>
    </row>
    <row r="848" spans="1:6">
      <c r="A848" s="29">
        <v>54261</v>
      </c>
      <c r="B848" s="31" t="s">
        <v>1500</v>
      </c>
      <c r="C848" s="31" t="s">
        <v>103</v>
      </c>
      <c r="D848" s="31" t="s">
        <v>101</v>
      </c>
      <c r="E848" s="31" t="s">
        <v>760</v>
      </c>
      <c r="F848" s="32" t="s">
        <v>763</v>
      </c>
    </row>
    <row r="849" spans="1:6">
      <c r="A849" s="29">
        <v>54313</v>
      </c>
      <c r="B849" s="31" t="s">
        <v>1501</v>
      </c>
      <c r="C849" s="31" t="s">
        <v>103</v>
      </c>
      <c r="D849" s="31" t="s">
        <v>101</v>
      </c>
      <c r="E849" s="31" t="s">
        <v>760</v>
      </c>
      <c r="F849" s="32" t="s">
        <v>763</v>
      </c>
    </row>
    <row r="850" spans="1:6">
      <c r="A850" s="29">
        <v>54344</v>
      </c>
      <c r="B850" s="31" t="s">
        <v>1502</v>
      </c>
      <c r="C850" s="31" t="s">
        <v>103</v>
      </c>
      <c r="D850" s="31" t="s">
        <v>101</v>
      </c>
      <c r="E850" s="31" t="s">
        <v>760</v>
      </c>
      <c r="F850" s="32" t="s">
        <v>761</v>
      </c>
    </row>
    <row r="851" spans="1:6">
      <c r="A851" s="29">
        <v>54347</v>
      </c>
      <c r="B851" s="31" t="s">
        <v>1503</v>
      </c>
      <c r="C851" s="31" t="s">
        <v>103</v>
      </c>
      <c r="D851" s="31" t="s">
        <v>101</v>
      </c>
      <c r="E851" s="31" t="s">
        <v>760</v>
      </c>
      <c r="F851" s="32" t="s">
        <v>765</v>
      </c>
    </row>
    <row r="852" spans="1:6">
      <c r="A852" s="29">
        <v>54385</v>
      </c>
      <c r="B852" s="31" t="s">
        <v>1504</v>
      </c>
      <c r="C852" s="31" t="s">
        <v>103</v>
      </c>
      <c r="D852" s="31" t="s">
        <v>188</v>
      </c>
      <c r="E852" s="31" t="s">
        <v>760</v>
      </c>
      <c r="F852" s="32" t="s">
        <v>765</v>
      </c>
    </row>
    <row r="853" spans="1:6">
      <c r="A853" s="29">
        <v>54398</v>
      </c>
      <c r="B853" s="31" t="s">
        <v>1505</v>
      </c>
      <c r="C853" s="31" t="s">
        <v>103</v>
      </c>
      <c r="D853" s="31" t="s">
        <v>101</v>
      </c>
      <c r="E853" s="31" t="s">
        <v>760</v>
      </c>
      <c r="F853" s="32" t="s">
        <v>761</v>
      </c>
    </row>
    <row r="854" spans="1:6">
      <c r="A854" s="29">
        <v>54377</v>
      </c>
      <c r="B854" s="31" t="s">
        <v>1506</v>
      </c>
      <c r="C854" s="31" t="s">
        <v>103</v>
      </c>
      <c r="D854" s="31" t="s">
        <v>101</v>
      </c>
      <c r="E854" s="31" t="s">
        <v>760</v>
      </c>
      <c r="F854" s="32" t="s">
        <v>761</v>
      </c>
    </row>
    <row r="855" spans="1:6">
      <c r="A855" s="29">
        <v>54405</v>
      </c>
      <c r="B855" s="31" t="s">
        <v>104</v>
      </c>
      <c r="C855" s="31" t="s">
        <v>103</v>
      </c>
      <c r="D855" s="31" t="s">
        <v>101</v>
      </c>
      <c r="E855" s="31" t="s">
        <v>760</v>
      </c>
      <c r="F855" s="32" t="s">
        <v>767</v>
      </c>
    </row>
    <row r="856" spans="1:6">
      <c r="A856" s="29">
        <v>54418</v>
      </c>
      <c r="B856" s="31" t="s">
        <v>1507</v>
      </c>
      <c r="C856" s="31" t="s">
        <v>103</v>
      </c>
      <c r="D856" s="31" t="s">
        <v>101</v>
      </c>
      <c r="E856" s="31" t="s">
        <v>760</v>
      </c>
      <c r="F856" s="32" t="s">
        <v>765</v>
      </c>
    </row>
    <row r="857" spans="1:6">
      <c r="A857" s="29">
        <v>54480</v>
      </c>
      <c r="B857" s="31" t="s">
        <v>1508</v>
      </c>
      <c r="C857" s="31" t="s">
        <v>103</v>
      </c>
      <c r="D857" s="31" t="s">
        <v>101</v>
      </c>
      <c r="E857" s="31" t="s">
        <v>760</v>
      </c>
      <c r="F857" s="32" t="s">
        <v>765</v>
      </c>
    </row>
    <row r="858" spans="1:6">
      <c r="A858" s="29">
        <v>54498</v>
      </c>
      <c r="B858" s="31" t="s">
        <v>1509</v>
      </c>
      <c r="C858" s="31" t="s">
        <v>103</v>
      </c>
      <c r="D858" s="31" t="s">
        <v>101</v>
      </c>
      <c r="E858" s="31" t="s">
        <v>760</v>
      </c>
      <c r="F858" s="32" t="s">
        <v>761</v>
      </c>
    </row>
    <row r="859" spans="1:6">
      <c r="A859" s="29">
        <v>54518</v>
      </c>
      <c r="B859" s="31" t="s">
        <v>1510</v>
      </c>
      <c r="C859" s="31" t="s">
        <v>103</v>
      </c>
      <c r="D859" s="31" t="s">
        <v>101</v>
      </c>
      <c r="E859" s="31" t="s">
        <v>760</v>
      </c>
      <c r="F859" s="32" t="s">
        <v>765</v>
      </c>
    </row>
    <row r="860" spans="1:6">
      <c r="A860" s="29">
        <v>54520</v>
      </c>
      <c r="B860" s="31" t="s">
        <v>1511</v>
      </c>
      <c r="C860" s="31" t="s">
        <v>103</v>
      </c>
      <c r="D860" s="31" t="s">
        <v>101</v>
      </c>
      <c r="E860" s="31" t="s">
        <v>760</v>
      </c>
      <c r="F860" s="32" t="s">
        <v>765</v>
      </c>
    </row>
    <row r="861" spans="1:6">
      <c r="A861" s="29">
        <v>54599</v>
      </c>
      <c r="B861" s="31" t="s">
        <v>1512</v>
      </c>
      <c r="C861" s="31" t="s">
        <v>103</v>
      </c>
      <c r="D861" s="31" t="s">
        <v>101</v>
      </c>
      <c r="E861" s="31" t="s">
        <v>760</v>
      </c>
      <c r="F861" s="32" t="s">
        <v>765</v>
      </c>
    </row>
    <row r="862" spans="1:6">
      <c r="A862" s="29">
        <v>54660</v>
      </c>
      <c r="B862" s="31" t="s">
        <v>1513</v>
      </c>
      <c r="C862" s="31" t="s">
        <v>103</v>
      </c>
      <c r="D862" s="31" t="s">
        <v>101</v>
      </c>
      <c r="E862" s="31" t="s">
        <v>760</v>
      </c>
      <c r="F862" s="32" t="s">
        <v>763</v>
      </c>
    </row>
    <row r="863" spans="1:6">
      <c r="A863" s="29">
        <v>54670</v>
      </c>
      <c r="B863" s="31" t="s">
        <v>1514</v>
      </c>
      <c r="C863" s="31" t="s">
        <v>103</v>
      </c>
      <c r="D863" s="31" t="s">
        <v>101</v>
      </c>
      <c r="E863" s="31" t="s">
        <v>760</v>
      </c>
      <c r="F863" s="32" t="s">
        <v>761</v>
      </c>
    </row>
    <row r="864" spans="1:6">
      <c r="A864" s="29">
        <v>54720</v>
      </c>
      <c r="B864" s="31" t="s">
        <v>1515</v>
      </c>
      <c r="C864" s="31" t="s">
        <v>103</v>
      </c>
      <c r="D864" s="31" t="s">
        <v>101</v>
      </c>
      <c r="E864" s="31" t="s">
        <v>760</v>
      </c>
      <c r="F864" s="32" t="s">
        <v>763</v>
      </c>
    </row>
    <row r="865" spans="1:6">
      <c r="A865" s="29">
        <v>54743</v>
      </c>
      <c r="B865" s="31" t="s">
        <v>1516</v>
      </c>
      <c r="C865" s="31" t="s">
        <v>103</v>
      </c>
      <c r="D865" s="31" t="s">
        <v>101</v>
      </c>
      <c r="E865" s="31" t="s">
        <v>760</v>
      </c>
      <c r="F865" s="32" t="s">
        <v>761</v>
      </c>
    </row>
    <row r="866" spans="1:6">
      <c r="A866" s="29">
        <v>54800</v>
      </c>
      <c r="B866" s="31" t="s">
        <v>1517</v>
      </c>
      <c r="C866" s="31" t="s">
        <v>103</v>
      </c>
      <c r="D866" s="31" t="s">
        <v>101</v>
      </c>
      <c r="E866" s="31" t="s">
        <v>760</v>
      </c>
      <c r="F866" s="32" t="s">
        <v>761</v>
      </c>
    </row>
    <row r="867" spans="1:6">
      <c r="A867" s="29">
        <v>54810</v>
      </c>
      <c r="B867" s="31" t="s">
        <v>1518</v>
      </c>
      <c r="C867" s="31" t="s">
        <v>103</v>
      </c>
      <c r="D867" s="31" t="s">
        <v>101</v>
      </c>
      <c r="E867" s="31" t="s">
        <v>760</v>
      </c>
      <c r="F867" s="32" t="s">
        <v>748</v>
      </c>
    </row>
    <row r="868" spans="1:6">
      <c r="A868" s="29">
        <v>54871</v>
      </c>
      <c r="B868" s="31" t="s">
        <v>1519</v>
      </c>
      <c r="C868" s="31" t="s">
        <v>103</v>
      </c>
      <c r="D868" s="31" t="s">
        <v>101</v>
      </c>
      <c r="E868" s="31" t="s">
        <v>760</v>
      </c>
      <c r="F868" s="32" t="s">
        <v>761</v>
      </c>
    </row>
    <row r="869" spans="1:6">
      <c r="A869" s="29">
        <v>54874</v>
      </c>
      <c r="B869" s="31" t="s">
        <v>1520</v>
      </c>
      <c r="C869" s="31" t="s">
        <v>103</v>
      </c>
      <c r="D869" s="31" t="s">
        <v>101</v>
      </c>
      <c r="E869" s="31" t="s">
        <v>760</v>
      </c>
      <c r="F869" s="32" t="s">
        <v>767</v>
      </c>
    </row>
    <row r="870" spans="1:6">
      <c r="A870" s="29">
        <v>86219</v>
      </c>
      <c r="B870" s="30" t="s">
        <v>1435</v>
      </c>
      <c r="C870" s="31" t="s">
        <v>237</v>
      </c>
      <c r="D870" s="31" t="s">
        <v>235</v>
      </c>
      <c r="E870" s="31" t="s">
        <v>760</v>
      </c>
      <c r="F870" s="32" t="s">
        <v>763</v>
      </c>
    </row>
    <row r="871" spans="1:6">
      <c r="A871" s="29">
        <v>86755</v>
      </c>
      <c r="B871" s="30" t="s">
        <v>777</v>
      </c>
      <c r="C871" s="31" t="s">
        <v>237</v>
      </c>
      <c r="D871" s="31" t="s">
        <v>235</v>
      </c>
      <c r="E871" s="31" t="s">
        <v>760</v>
      </c>
      <c r="F871" s="32" t="s">
        <v>765</v>
      </c>
    </row>
    <row r="872" spans="1:6">
      <c r="A872" s="29">
        <v>86757</v>
      </c>
      <c r="B872" s="30" t="s">
        <v>1521</v>
      </c>
      <c r="C872" s="31" t="s">
        <v>237</v>
      </c>
      <c r="D872" s="31" t="s">
        <v>235</v>
      </c>
      <c r="E872" s="31" t="s">
        <v>760</v>
      </c>
      <c r="F872" s="32" t="s">
        <v>761</v>
      </c>
    </row>
    <row r="873" spans="1:6">
      <c r="A873" s="29">
        <v>86760</v>
      </c>
      <c r="B873" s="30" t="s">
        <v>1486</v>
      </c>
      <c r="C873" s="31" t="s">
        <v>237</v>
      </c>
      <c r="D873" s="31" t="s">
        <v>235</v>
      </c>
      <c r="E873" s="31" t="s">
        <v>760</v>
      </c>
      <c r="F873" s="32" t="s">
        <v>763</v>
      </c>
    </row>
    <row r="874" spans="1:6">
      <c r="A874" s="29">
        <v>86573</v>
      </c>
      <c r="B874" s="31" t="s">
        <v>1522</v>
      </c>
      <c r="C874" s="31" t="s">
        <v>237</v>
      </c>
      <c r="D874" s="31" t="s">
        <v>235</v>
      </c>
      <c r="E874" s="33" t="s">
        <v>747</v>
      </c>
      <c r="F874" s="32" t="s">
        <v>761</v>
      </c>
    </row>
    <row r="875" spans="1:6">
      <c r="A875" s="29">
        <v>86001</v>
      </c>
      <c r="B875" s="31" t="s">
        <v>1523</v>
      </c>
      <c r="C875" s="31" t="s">
        <v>237</v>
      </c>
      <c r="D875" s="31" t="s">
        <v>235</v>
      </c>
      <c r="E875" s="31" t="s">
        <v>760</v>
      </c>
      <c r="F875" s="32" t="s">
        <v>761</v>
      </c>
    </row>
    <row r="876" spans="1:6">
      <c r="A876" s="29">
        <v>86320</v>
      </c>
      <c r="B876" s="31" t="s">
        <v>238</v>
      </c>
      <c r="C876" s="31" t="s">
        <v>237</v>
      </c>
      <c r="D876" s="31" t="s">
        <v>235</v>
      </c>
      <c r="E876" s="31" t="s">
        <v>760</v>
      </c>
      <c r="F876" s="32" t="s">
        <v>761</v>
      </c>
    </row>
    <row r="877" spans="1:6">
      <c r="A877" s="29">
        <v>86568</v>
      </c>
      <c r="B877" s="31" t="s">
        <v>1524</v>
      </c>
      <c r="C877" s="31" t="s">
        <v>237</v>
      </c>
      <c r="D877" s="31" t="s">
        <v>235</v>
      </c>
      <c r="E877" s="31" t="s">
        <v>760</v>
      </c>
      <c r="F877" s="32" t="s">
        <v>761</v>
      </c>
    </row>
    <row r="878" spans="1:6">
      <c r="A878" s="29">
        <v>86569</v>
      </c>
      <c r="B878" s="31" t="s">
        <v>1525</v>
      </c>
      <c r="C878" s="31" t="s">
        <v>237</v>
      </c>
      <c r="D878" s="31" t="s">
        <v>235</v>
      </c>
      <c r="E878" s="31" t="s">
        <v>760</v>
      </c>
      <c r="F878" s="32" t="s">
        <v>761</v>
      </c>
    </row>
    <row r="879" spans="1:6">
      <c r="A879" s="29">
        <v>86571</v>
      </c>
      <c r="B879" s="31" t="s">
        <v>1526</v>
      </c>
      <c r="C879" s="31" t="s">
        <v>237</v>
      </c>
      <c r="D879" s="31" t="s">
        <v>235</v>
      </c>
      <c r="E879" s="31" t="s">
        <v>760</v>
      </c>
      <c r="F879" s="32" t="s">
        <v>761</v>
      </c>
    </row>
    <row r="880" spans="1:6">
      <c r="A880" s="29">
        <v>86749</v>
      </c>
      <c r="B880" s="31" t="s">
        <v>1527</v>
      </c>
      <c r="C880" s="31" t="s">
        <v>237</v>
      </c>
      <c r="D880" s="31" t="s">
        <v>235</v>
      </c>
      <c r="E880" s="31" t="s">
        <v>760</v>
      </c>
      <c r="F880" s="32" t="s">
        <v>765</v>
      </c>
    </row>
    <row r="881" spans="1:6">
      <c r="A881" s="29">
        <v>86865</v>
      </c>
      <c r="B881" s="31" t="s">
        <v>1528</v>
      </c>
      <c r="C881" s="31" t="s">
        <v>237</v>
      </c>
      <c r="D881" s="31" t="s">
        <v>235</v>
      </c>
      <c r="E881" s="31" t="s">
        <v>760</v>
      </c>
      <c r="F881" s="32" t="s">
        <v>761</v>
      </c>
    </row>
    <row r="882" spans="1:6">
      <c r="A882" s="29">
        <v>86885</v>
      </c>
      <c r="B882" s="31" t="s">
        <v>1529</v>
      </c>
      <c r="C882" s="31" t="s">
        <v>237</v>
      </c>
      <c r="D882" s="31" t="s">
        <v>235</v>
      </c>
      <c r="E882" s="31" t="s">
        <v>760</v>
      </c>
      <c r="F882" s="32" t="s">
        <v>761</v>
      </c>
    </row>
    <row r="883" spans="1:6">
      <c r="A883" s="29">
        <v>63001</v>
      </c>
      <c r="B883" s="30" t="s">
        <v>762</v>
      </c>
      <c r="C883" s="31" t="s">
        <v>1530</v>
      </c>
      <c r="D883" s="31" t="s">
        <v>141</v>
      </c>
      <c r="E883" s="31" t="s">
        <v>760</v>
      </c>
      <c r="F883" s="32" t="s">
        <v>763</v>
      </c>
    </row>
    <row r="884" spans="1:6">
      <c r="A884" s="29">
        <v>63111</v>
      </c>
      <c r="B884" s="30" t="s">
        <v>951</v>
      </c>
      <c r="C884" s="31" t="s">
        <v>1530</v>
      </c>
      <c r="D884" s="31" t="s">
        <v>141</v>
      </c>
      <c r="E884" s="31" t="s">
        <v>760</v>
      </c>
      <c r="F884" s="32" t="s">
        <v>763</v>
      </c>
    </row>
    <row r="885" spans="1:6">
      <c r="A885" s="29">
        <v>63212</v>
      </c>
      <c r="B885" s="30" t="s">
        <v>658</v>
      </c>
      <c r="C885" s="31" t="s">
        <v>1530</v>
      </c>
      <c r="D885" s="31" t="s">
        <v>141</v>
      </c>
      <c r="E885" s="31" t="s">
        <v>760</v>
      </c>
      <c r="F885" s="32" t="s">
        <v>763</v>
      </c>
    </row>
    <row r="886" spans="1:6">
      <c r="A886" s="29">
        <v>63130</v>
      </c>
      <c r="B886" s="31" t="s">
        <v>1531</v>
      </c>
      <c r="C886" s="31" t="s">
        <v>1530</v>
      </c>
      <c r="D886" s="31" t="s">
        <v>141</v>
      </c>
      <c r="E886" s="31" t="s">
        <v>760</v>
      </c>
      <c r="F886" s="32" t="s">
        <v>763</v>
      </c>
    </row>
    <row r="887" spans="1:6">
      <c r="A887" s="29">
        <v>63190</v>
      </c>
      <c r="B887" s="31" t="s">
        <v>1532</v>
      </c>
      <c r="C887" s="31" t="s">
        <v>1530</v>
      </c>
      <c r="D887" s="31" t="s">
        <v>141</v>
      </c>
      <c r="E887" s="31" t="s">
        <v>760</v>
      </c>
      <c r="F887" s="32" t="s">
        <v>763</v>
      </c>
    </row>
    <row r="888" spans="1:6">
      <c r="A888" s="29">
        <v>63272</v>
      </c>
      <c r="B888" s="31" t="s">
        <v>1533</v>
      </c>
      <c r="C888" s="31" t="s">
        <v>1530</v>
      </c>
      <c r="D888" s="31" t="s">
        <v>141</v>
      </c>
      <c r="E888" s="31" t="s">
        <v>760</v>
      </c>
      <c r="F888" s="32" t="s">
        <v>763</v>
      </c>
    </row>
    <row r="889" spans="1:6">
      <c r="A889" s="29">
        <v>63302</v>
      </c>
      <c r="B889" s="31" t="s">
        <v>1534</v>
      </c>
      <c r="C889" s="31" t="s">
        <v>1530</v>
      </c>
      <c r="D889" s="31" t="s">
        <v>141</v>
      </c>
      <c r="E889" s="31" t="s">
        <v>760</v>
      </c>
      <c r="F889" s="32" t="s">
        <v>765</v>
      </c>
    </row>
    <row r="890" spans="1:6">
      <c r="A890" s="29">
        <v>63401</v>
      </c>
      <c r="B890" s="31" t="s">
        <v>1535</v>
      </c>
      <c r="C890" s="31" t="s">
        <v>1530</v>
      </c>
      <c r="D890" s="31" t="s">
        <v>141</v>
      </c>
      <c r="E890" s="31" t="s">
        <v>760</v>
      </c>
      <c r="F890" s="32" t="s">
        <v>763</v>
      </c>
    </row>
    <row r="891" spans="1:6">
      <c r="A891" s="29">
        <v>63470</v>
      </c>
      <c r="B891" s="31" t="s">
        <v>1536</v>
      </c>
      <c r="C891" s="31" t="s">
        <v>1530</v>
      </c>
      <c r="D891" s="31" t="s">
        <v>141</v>
      </c>
      <c r="E891" s="31" t="s">
        <v>760</v>
      </c>
      <c r="F891" s="32" t="s">
        <v>763</v>
      </c>
    </row>
    <row r="892" spans="1:6">
      <c r="A892" s="29">
        <v>63548</v>
      </c>
      <c r="B892" s="31" t="s">
        <v>1537</v>
      </c>
      <c r="C892" s="31" t="s">
        <v>1530</v>
      </c>
      <c r="D892" s="31" t="s">
        <v>141</v>
      </c>
      <c r="E892" s="31" t="s">
        <v>760</v>
      </c>
      <c r="F892" s="32" t="s">
        <v>765</v>
      </c>
    </row>
    <row r="893" spans="1:6">
      <c r="A893" s="29">
        <v>63594</v>
      </c>
      <c r="B893" s="31" t="s">
        <v>1538</v>
      </c>
      <c r="C893" s="31" t="s">
        <v>1530</v>
      </c>
      <c r="D893" s="31" t="s">
        <v>141</v>
      </c>
      <c r="E893" s="31" t="s">
        <v>760</v>
      </c>
      <c r="F893" s="32" t="s">
        <v>763</v>
      </c>
    </row>
    <row r="894" spans="1:6">
      <c r="A894" s="29">
        <v>63690</v>
      </c>
      <c r="B894" s="31" t="s">
        <v>1539</v>
      </c>
      <c r="C894" s="31" t="s">
        <v>1530</v>
      </c>
      <c r="D894" s="31" t="s">
        <v>141</v>
      </c>
      <c r="E894" s="31" t="s">
        <v>760</v>
      </c>
      <c r="F894" s="32" t="s">
        <v>763</v>
      </c>
    </row>
    <row r="895" spans="1:6">
      <c r="A895" s="29">
        <v>66075</v>
      </c>
      <c r="B895" s="30" t="s">
        <v>1117</v>
      </c>
      <c r="C895" s="31" t="s">
        <v>532</v>
      </c>
      <c r="D895" s="31" t="s">
        <v>141</v>
      </c>
      <c r="E895" s="31" t="s">
        <v>760</v>
      </c>
      <c r="F895" s="32" t="s">
        <v>763</v>
      </c>
    </row>
    <row r="896" spans="1:6">
      <c r="A896" s="29">
        <v>66045</v>
      </c>
      <c r="B896" s="31" t="s">
        <v>1540</v>
      </c>
      <c r="C896" s="31" t="s">
        <v>532</v>
      </c>
      <c r="D896" s="31" t="s">
        <v>141</v>
      </c>
      <c r="E896" s="31" t="s">
        <v>760</v>
      </c>
      <c r="F896" s="32" t="s">
        <v>763</v>
      </c>
    </row>
    <row r="897" spans="1:6">
      <c r="A897" s="29">
        <v>66088</v>
      </c>
      <c r="B897" s="31" t="s">
        <v>1541</v>
      </c>
      <c r="C897" s="31" t="s">
        <v>532</v>
      </c>
      <c r="D897" s="31" t="s">
        <v>141</v>
      </c>
      <c r="E897" s="31" t="s">
        <v>760</v>
      </c>
      <c r="F897" s="32" t="s">
        <v>763</v>
      </c>
    </row>
    <row r="898" spans="1:6">
      <c r="A898" s="29">
        <v>66170</v>
      </c>
      <c r="B898" s="31" t="s">
        <v>546</v>
      </c>
      <c r="C898" s="31" t="s">
        <v>532</v>
      </c>
      <c r="D898" s="31" t="s">
        <v>141</v>
      </c>
      <c r="E898" s="31" t="s">
        <v>760</v>
      </c>
      <c r="F898" s="32" t="s">
        <v>767</v>
      </c>
    </row>
    <row r="899" spans="1:6">
      <c r="A899" s="29">
        <v>66318</v>
      </c>
      <c r="B899" s="31" t="s">
        <v>1542</v>
      </c>
      <c r="C899" s="31" t="s">
        <v>532</v>
      </c>
      <c r="D899" s="31" t="s">
        <v>141</v>
      </c>
      <c r="E899" s="31" t="s">
        <v>760</v>
      </c>
      <c r="F899" s="32" t="s">
        <v>763</v>
      </c>
    </row>
    <row r="900" spans="1:6">
      <c r="A900" s="29">
        <v>66383</v>
      </c>
      <c r="B900" s="31" t="s">
        <v>1543</v>
      </c>
      <c r="C900" s="31" t="s">
        <v>532</v>
      </c>
      <c r="D900" s="31" t="s">
        <v>141</v>
      </c>
      <c r="E900" s="31" t="s">
        <v>760</v>
      </c>
      <c r="F900" s="32" t="s">
        <v>763</v>
      </c>
    </row>
    <row r="901" spans="1:6">
      <c r="A901" s="29">
        <v>66400</v>
      </c>
      <c r="B901" s="31" t="s">
        <v>1544</v>
      </c>
      <c r="C901" s="31" t="s">
        <v>532</v>
      </c>
      <c r="D901" s="31" t="s">
        <v>141</v>
      </c>
      <c r="E901" s="31" t="s">
        <v>760</v>
      </c>
      <c r="F901" s="32" t="s">
        <v>767</v>
      </c>
    </row>
    <row r="902" spans="1:6">
      <c r="A902" s="29">
        <v>66440</v>
      </c>
      <c r="B902" s="31" t="s">
        <v>1545</v>
      </c>
      <c r="C902" s="31" t="s">
        <v>532</v>
      </c>
      <c r="D902" s="31" t="s">
        <v>141</v>
      </c>
      <c r="E902" s="31" t="s">
        <v>760</v>
      </c>
      <c r="F902" s="32" t="s">
        <v>763</v>
      </c>
    </row>
    <row r="903" spans="1:6">
      <c r="A903" s="29">
        <v>66456</v>
      </c>
      <c r="B903" s="31" t="s">
        <v>1546</v>
      </c>
      <c r="C903" s="31" t="s">
        <v>532</v>
      </c>
      <c r="D903" s="31" t="s">
        <v>141</v>
      </c>
      <c r="E903" s="31" t="s">
        <v>760</v>
      </c>
      <c r="F903" s="32" t="s">
        <v>763</v>
      </c>
    </row>
    <row r="904" spans="1:6">
      <c r="A904" s="29">
        <v>66001</v>
      </c>
      <c r="B904" s="31" t="s">
        <v>141</v>
      </c>
      <c r="C904" s="31" t="s">
        <v>532</v>
      </c>
      <c r="D904" s="31" t="s">
        <v>141</v>
      </c>
      <c r="E904" s="31" t="s">
        <v>760</v>
      </c>
      <c r="F904" s="32" t="s">
        <v>767</v>
      </c>
    </row>
    <row r="905" spans="1:6">
      <c r="A905" s="29">
        <v>66572</v>
      </c>
      <c r="B905" s="31" t="s">
        <v>1547</v>
      </c>
      <c r="C905" s="31" t="s">
        <v>532</v>
      </c>
      <c r="D905" s="31" t="s">
        <v>141</v>
      </c>
      <c r="E905" s="31" t="s">
        <v>760</v>
      </c>
      <c r="F905" s="32" t="s">
        <v>763</v>
      </c>
    </row>
    <row r="906" spans="1:6">
      <c r="A906" s="29">
        <v>66594</v>
      </c>
      <c r="B906" s="31" t="s">
        <v>1548</v>
      </c>
      <c r="C906" s="31" t="s">
        <v>532</v>
      </c>
      <c r="D906" s="31" t="s">
        <v>141</v>
      </c>
      <c r="E906" s="31" t="s">
        <v>760</v>
      </c>
      <c r="F906" s="32" t="s">
        <v>763</v>
      </c>
    </row>
    <row r="907" spans="1:6">
      <c r="A907" s="29">
        <v>66682</v>
      </c>
      <c r="B907" s="31" t="s">
        <v>1549</v>
      </c>
      <c r="C907" s="31" t="s">
        <v>532</v>
      </c>
      <c r="D907" s="31" t="s">
        <v>141</v>
      </c>
      <c r="E907" s="31" t="s">
        <v>760</v>
      </c>
      <c r="F907" s="32" t="s">
        <v>767</v>
      </c>
    </row>
    <row r="908" spans="1:6">
      <c r="A908" s="29">
        <v>66687</v>
      </c>
      <c r="B908" s="31" t="s">
        <v>1550</v>
      </c>
      <c r="C908" s="31" t="s">
        <v>532</v>
      </c>
      <c r="D908" s="31" t="s">
        <v>141</v>
      </c>
      <c r="E908" s="31" t="s">
        <v>760</v>
      </c>
      <c r="F908" s="32" t="s">
        <v>763</v>
      </c>
    </row>
    <row r="909" spans="1:6">
      <c r="A909" s="29">
        <v>88564</v>
      </c>
      <c r="B909" s="30" t="s">
        <v>1436</v>
      </c>
      <c r="C909" s="31" t="s">
        <v>1551</v>
      </c>
      <c r="D909" s="31" t="s">
        <v>271</v>
      </c>
      <c r="E909" s="31" t="s">
        <v>747</v>
      </c>
      <c r="F909" s="32" t="s">
        <v>748</v>
      </c>
    </row>
    <row r="910" spans="1:6">
      <c r="A910" s="29">
        <v>88001</v>
      </c>
      <c r="B910" s="30" t="s">
        <v>1552</v>
      </c>
      <c r="C910" s="31" t="s">
        <v>1551</v>
      </c>
      <c r="D910" s="31" t="s">
        <v>271</v>
      </c>
      <c r="E910" s="31" t="s">
        <v>747</v>
      </c>
      <c r="F910" s="32" t="s">
        <v>748</v>
      </c>
    </row>
    <row r="911" spans="1:6">
      <c r="A911" s="29">
        <v>68020</v>
      </c>
      <c r="B911" s="30" t="s">
        <v>1088</v>
      </c>
      <c r="C911" s="31" t="s">
        <v>190</v>
      </c>
      <c r="D911" s="31" t="s">
        <v>126</v>
      </c>
      <c r="E911" s="31" t="s">
        <v>760</v>
      </c>
      <c r="F911" s="32" t="s">
        <v>765</v>
      </c>
    </row>
    <row r="912" spans="1:6">
      <c r="A912" s="29">
        <v>68077</v>
      </c>
      <c r="B912" s="30" t="s">
        <v>736</v>
      </c>
      <c r="C912" s="31" t="s">
        <v>190</v>
      </c>
      <c r="D912" s="31" t="s">
        <v>126</v>
      </c>
      <c r="E912" s="31" t="s">
        <v>760</v>
      </c>
      <c r="F912" s="32" t="s">
        <v>763</v>
      </c>
    </row>
    <row r="913" spans="1:6">
      <c r="A913" s="29">
        <v>68092</v>
      </c>
      <c r="B913" s="30" t="s">
        <v>764</v>
      </c>
      <c r="C913" s="31" t="s">
        <v>190</v>
      </c>
      <c r="D913" s="31" t="s">
        <v>188</v>
      </c>
      <c r="E913" s="31" t="s">
        <v>760</v>
      </c>
      <c r="F913" s="32" t="s">
        <v>761</v>
      </c>
    </row>
    <row r="914" spans="1:6">
      <c r="A914" s="29">
        <v>68101</v>
      </c>
      <c r="B914" s="30" t="s">
        <v>281</v>
      </c>
      <c r="C914" s="31" t="s">
        <v>190</v>
      </c>
      <c r="D914" s="31" t="s">
        <v>126</v>
      </c>
      <c r="E914" s="31" t="s">
        <v>760</v>
      </c>
      <c r="F914" s="32" t="s">
        <v>765</v>
      </c>
    </row>
    <row r="915" spans="1:6">
      <c r="A915" s="29">
        <v>68121</v>
      </c>
      <c r="B915" s="30" t="s">
        <v>1230</v>
      </c>
      <c r="C915" s="31" t="s">
        <v>190</v>
      </c>
      <c r="D915" s="31" t="s">
        <v>188</v>
      </c>
      <c r="E915" s="31" t="s">
        <v>760</v>
      </c>
      <c r="F915" s="32" t="s">
        <v>765</v>
      </c>
    </row>
    <row r="916" spans="1:6">
      <c r="A916" s="29">
        <v>68176</v>
      </c>
      <c r="B916" s="30" t="s">
        <v>1204</v>
      </c>
      <c r="C916" s="31" t="s">
        <v>190</v>
      </c>
      <c r="D916" s="31" t="s">
        <v>188</v>
      </c>
      <c r="E916" s="31" t="s">
        <v>760</v>
      </c>
      <c r="F916" s="32" t="s">
        <v>761</v>
      </c>
    </row>
    <row r="917" spans="1:6">
      <c r="A917" s="29">
        <v>68207</v>
      </c>
      <c r="B917" s="30" t="s">
        <v>768</v>
      </c>
      <c r="C917" s="31" t="s">
        <v>190</v>
      </c>
      <c r="D917" s="31" t="s">
        <v>188</v>
      </c>
      <c r="E917" s="31" t="s">
        <v>760</v>
      </c>
      <c r="F917" s="32" t="s">
        <v>761</v>
      </c>
    </row>
    <row r="918" spans="1:6">
      <c r="A918" s="29">
        <v>68250</v>
      </c>
      <c r="B918" s="30" t="s">
        <v>907</v>
      </c>
      <c r="C918" s="31" t="s">
        <v>190</v>
      </c>
      <c r="D918" s="31" t="s">
        <v>188</v>
      </c>
      <c r="E918" s="31" t="s">
        <v>760</v>
      </c>
      <c r="F918" s="32" t="s">
        <v>761</v>
      </c>
    </row>
    <row r="919" spans="1:6">
      <c r="A919" s="29">
        <v>68320</v>
      </c>
      <c r="B919" s="30" t="s">
        <v>771</v>
      </c>
      <c r="C919" s="31" t="s">
        <v>190</v>
      </c>
      <c r="D919" s="31" t="s">
        <v>188</v>
      </c>
      <c r="E919" s="31" t="s">
        <v>760</v>
      </c>
      <c r="F919" s="32" t="s">
        <v>761</v>
      </c>
    </row>
    <row r="920" spans="1:6">
      <c r="A920" s="29">
        <v>68397</v>
      </c>
      <c r="B920" s="30" t="s">
        <v>1148</v>
      </c>
      <c r="C920" s="31" t="s">
        <v>190</v>
      </c>
      <c r="D920" s="31" t="s">
        <v>188</v>
      </c>
      <c r="E920" s="31" t="s">
        <v>760</v>
      </c>
      <c r="F920" s="32" t="s">
        <v>761</v>
      </c>
    </row>
    <row r="921" spans="1:6">
      <c r="A921" s="29">
        <v>68615</v>
      </c>
      <c r="B921" s="30" t="s">
        <v>774</v>
      </c>
      <c r="C921" s="31" t="s">
        <v>190</v>
      </c>
      <c r="D921" s="31" t="s">
        <v>188</v>
      </c>
      <c r="E921" s="31" t="s">
        <v>760</v>
      </c>
      <c r="F921" s="32" t="s">
        <v>763</v>
      </c>
    </row>
    <row r="922" spans="1:6">
      <c r="A922" s="29">
        <v>68669</v>
      </c>
      <c r="B922" s="30" t="s">
        <v>1552</v>
      </c>
      <c r="C922" s="31" t="s">
        <v>190</v>
      </c>
      <c r="D922" s="31" t="s">
        <v>188</v>
      </c>
      <c r="E922" s="31" t="s">
        <v>760</v>
      </c>
      <c r="F922" s="32" t="s">
        <v>765</v>
      </c>
    </row>
    <row r="923" spans="1:6">
      <c r="A923" s="29">
        <v>68686</v>
      </c>
      <c r="B923" s="30" t="s">
        <v>1521</v>
      </c>
      <c r="C923" s="31" t="s">
        <v>190</v>
      </c>
      <c r="D923" s="31" t="s">
        <v>126</v>
      </c>
      <c r="E923" s="31" t="s">
        <v>760</v>
      </c>
      <c r="F923" s="32" t="s">
        <v>761</v>
      </c>
    </row>
    <row r="924" spans="1:6">
      <c r="A924" s="29">
        <v>68705</v>
      </c>
      <c r="B924" s="30" t="s">
        <v>780</v>
      </c>
      <c r="C924" s="31" t="s">
        <v>190</v>
      </c>
      <c r="D924" s="31" t="s">
        <v>188</v>
      </c>
      <c r="E924" s="31" t="s">
        <v>760</v>
      </c>
      <c r="F924" s="32" t="s">
        <v>763</v>
      </c>
    </row>
    <row r="925" spans="1:6">
      <c r="A925" s="29">
        <v>68773</v>
      </c>
      <c r="B925" s="30" t="s">
        <v>486</v>
      </c>
      <c r="C925" s="31" t="s">
        <v>190</v>
      </c>
      <c r="D925" s="31" t="s">
        <v>126</v>
      </c>
      <c r="E925" s="31" t="s">
        <v>760</v>
      </c>
      <c r="F925" s="32" t="s">
        <v>765</v>
      </c>
    </row>
    <row r="926" spans="1:6">
      <c r="A926" s="29">
        <v>68872</v>
      </c>
      <c r="B926" s="30" t="s">
        <v>361</v>
      </c>
      <c r="C926" s="31" t="s">
        <v>190</v>
      </c>
      <c r="D926" s="31" t="s">
        <v>188</v>
      </c>
      <c r="E926" s="31" t="s">
        <v>760</v>
      </c>
      <c r="F926" s="32" t="s">
        <v>765</v>
      </c>
    </row>
    <row r="927" spans="1:6">
      <c r="A927" s="29">
        <v>68013</v>
      </c>
      <c r="B927" s="31" t="s">
        <v>1553</v>
      </c>
      <c r="C927" s="31" t="s">
        <v>190</v>
      </c>
      <c r="D927" s="31" t="s">
        <v>188</v>
      </c>
      <c r="E927" s="31" t="s">
        <v>760</v>
      </c>
      <c r="F927" s="32" t="s">
        <v>761</v>
      </c>
    </row>
    <row r="928" spans="1:6">
      <c r="A928" s="29">
        <v>68051</v>
      </c>
      <c r="B928" s="31" t="s">
        <v>1554</v>
      </c>
      <c r="C928" s="31" t="s">
        <v>190</v>
      </c>
      <c r="D928" s="31" t="s">
        <v>188</v>
      </c>
      <c r="E928" s="31" t="s">
        <v>760</v>
      </c>
      <c r="F928" s="32" t="s">
        <v>763</v>
      </c>
    </row>
    <row r="929" spans="1:6">
      <c r="A929" s="29">
        <v>68079</v>
      </c>
      <c r="B929" s="31" t="s">
        <v>1555</v>
      </c>
      <c r="C929" s="31" t="s">
        <v>190</v>
      </c>
      <c r="D929" s="31" t="s">
        <v>188</v>
      </c>
      <c r="E929" s="31" t="s">
        <v>760</v>
      </c>
      <c r="F929" s="32" t="s">
        <v>765</v>
      </c>
    </row>
    <row r="930" spans="1:6">
      <c r="A930" s="29">
        <v>68081</v>
      </c>
      <c r="B930" s="31" t="s">
        <v>418</v>
      </c>
      <c r="C930" s="31" t="s">
        <v>190</v>
      </c>
      <c r="D930" s="31" t="s">
        <v>188</v>
      </c>
      <c r="E930" s="31" t="s">
        <v>760</v>
      </c>
      <c r="F930" s="32" t="s">
        <v>765</v>
      </c>
    </row>
    <row r="931" spans="1:6">
      <c r="A931" s="29">
        <v>68001</v>
      </c>
      <c r="B931" s="31" t="s">
        <v>188</v>
      </c>
      <c r="C931" s="31" t="s">
        <v>190</v>
      </c>
      <c r="D931" s="31" t="s">
        <v>188</v>
      </c>
      <c r="E931" s="31" t="s">
        <v>760</v>
      </c>
      <c r="F931" s="32" t="s">
        <v>767</v>
      </c>
    </row>
    <row r="932" spans="1:6">
      <c r="A932" s="29">
        <v>68132</v>
      </c>
      <c r="B932" s="31" t="s">
        <v>1556</v>
      </c>
      <c r="C932" s="31" t="s">
        <v>190</v>
      </c>
      <c r="D932" s="31" t="s">
        <v>188</v>
      </c>
      <c r="E932" s="31" t="s">
        <v>760</v>
      </c>
      <c r="F932" s="32" t="s">
        <v>765</v>
      </c>
    </row>
    <row r="933" spans="1:6">
      <c r="A933" s="29">
        <v>68147</v>
      </c>
      <c r="B933" s="31" t="s">
        <v>1557</v>
      </c>
      <c r="C933" s="31" t="s">
        <v>190</v>
      </c>
      <c r="D933" s="31" t="s">
        <v>188</v>
      </c>
      <c r="E933" s="31" t="s">
        <v>760</v>
      </c>
      <c r="F933" s="32" t="s">
        <v>761</v>
      </c>
    </row>
    <row r="934" spans="1:6">
      <c r="A934" s="29">
        <v>68152</v>
      </c>
      <c r="B934" s="31" t="s">
        <v>1558</v>
      </c>
      <c r="C934" s="31" t="s">
        <v>190</v>
      </c>
      <c r="D934" s="31" t="s">
        <v>188</v>
      </c>
      <c r="E934" s="31" t="s">
        <v>760</v>
      </c>
      <c r="F934" s="32" t="s">
        <v>761</v>
      </c>
    </row>
    <row r="935" spans="1:6">
      <c r="A935" s="29">
        <v>68160</v>
      </c>
      <c r="B935" s="31" t="s">
        <v>1559</v>
      </c>
      <c r="C935" s="31" t="s">
        <v>190</v>
      </c>
      <c r="D935" s="31" t="s">
        <v>188</v>
      </c>
      <c r="E935" s="31" t="s">
        <v>760</v>
      </c>
      <c r="F935" s="32" t="s">
        <v>765</v>
      </c>
    </row>
    <row r="936" spans="1:6">
      <c r="A936" s="29">
        <v>68162</v>
      </c>
      <c r="B936" s="31" t="s">
        <v>1560</v>
      </c>
      <c r="C936" s="31" t="s">
        <v>190</v>
      </c>
      <c r="D936" s="31" t="s">
        <v>188</v>
      </c>
      <c r="E936" s="31" t="s">
        <v>760</v>
      </c>
      <c r="F936" s="32" t="s">
        <v>761</v>
      </c>
    </row>
    <row r="937" spans="1:6">
      <c r="A937" s="29">
        <v>68167</v>
      </c>
      <c r="B937" s="31" t="s">
        <v>1561</v>
      </c>
      <c r="C937" s="31" t="s">
        <v>190</v>
      </c>
      <c r="D937" s="31" t="s">
        <v>188</v>
      </c>
      <c r="E937" s="31" t="s">
        <v>760</v>
      </c>
      <c r="F937" s="32" t="s">
        <v>761</v>
      </c>
    </row>
    <row r="938" spans="1:6">
      <c r="A938" s="29">
        <v>68169</v>
      </c>
      <c r="B938" s="31" t="s">
        <v>1562</v>
      </c>
      <c r="C938" s="31" t="s">
        <v>190</v>
      </c>
      <c r="D938" s="31" t="s">
        <v>188</v>
      </c>
      <c r="E938" s="31" t="s">
        <v>760</v>
      </c>
      <c r="F938" s="32" t="s">
        <v>763</v>
      </c>
    </row>
    <row r="939" spans="1:6">
      <c r="A939" s="29">
        <v>68179</v>
      </c>
      <c r="B939" s="31" t="s">
        <v>1563</v>
      </c>
      <c r="C939" s="31" t="s">
        <v>190</v>
      </c>
      <c r="D939" s="31" t="s">
        <v>126</v>
      </c>
      <c r="E939" s="31" t="s">
        <v>760</v>
      </c>
      <c r="F939" s="32" t="s">
        <v>761</v>
      </c>
    </row>
    <row r="940" spans="1:6">
      <c r="A940" s="29">
        <v>68190</v>
      </c>
      <c r="B940" s="31" t="s">
        <v>383</v>
      </c>
      <c r="C940" s="31" t="s">
        <v>190</v>
      </c>
      <c r="D940" s="31" t="s">
        <v>188</v>
      </c>
      <c r="E940" s="31" t="s">
        <v>760</v>
      </c>
      <c r="F940" s="32" t="s">
        <v>761</v>
      </c>
    </row>
    <row r="941" spans="1:6">
      <c r="A941" s="29">
        <v>68209</v>
      </c>
      <c r="B941" s="31" t="s">
        <v>1564</v>
      </c>
      <c r="C941" s="31" t="s">
        <v>190</v>
      </c>
      <c r="D941" s="31" t="s">
        <v>188</v>
      </c>
      <c r="E941" s="31" t="s">
        <v>760</v>
      </c>
      <c r="F941" s="32" t="s">
        <v>765</v>
      </c>
    </row>
    <row r="942" spans="1:6">
      <c r="A942" s="29">
        <v>68211</v>
      </c>
      <c r="B942" s="31" t="s">
        <v>1565</v>
      </c>
      <c r="C942" s="31" t="s">
        <v>190</v>
      </c>
      <c r="D942" s="31" t="s">
        <v>188</v>
      </c>
      <c r="E942" s="31" t="s">
        <v>760</v>
      </c>
      <c r="F942" s="32" t="s">
        <v>761</v>
      </c>
    </row>
    <row r="943" spans="1:6">
      <c r="A943" s="29">
        <v>68217</v>
      </c>
      <c r="B943" s="31" t="s">
        <v>1566</v>
      </c>
      <c r="C943" s="31" t="s">
        <v>190</v>
      </c>
      <c r="D943" s="31" t="s">
        <v>188</v>
      </c>
      <c r="E943" s="31" t="s">
        <v>760</v>
      </c>
      <c r="F943" s="32" t="s">
        <v>761</v>
      </c>
    </row>
    <row r="944" spans="1:6">
      <c r="A944" s="29">
        <v>68229</v>
      </c>
      <c r="B944" s="31" t="s">
        <v>1567</v>
      </c>
      <c r="C944" s="31" t="s">
        <v>190</v>
      </c>
      <c r="D944" s="31" t="s">
        <v>188</v>
      </c>
      <c r="E944" s="31" t="s">
        <v>760</v>
      </c>
      <c r="F944" s="32" t="s">
        <v>763</v>
      </c>
    </row>
    <row r="945" spans="1:6">
      <c r="A945" s="29">
        <v>68235</v>
      </c>
      <c r="B945" s="31" t="s">
        <v>1568</v>
      </c>
      <c r="C945" s="31" t="s">
        <v>190</v>
      </c>
      <c r="D945" s="31" t="s">
        <v>188</v>
      </c>
      <c r="E945" s="31" t="s">
        <v>760</v>
      </c>
      <c r="F945" s="32" t="s">
        <v>761</v>
      </c>
    </row>
    <row r="946" spans="1:6">
      <c r="A946" s="29">
        <v>68245</v>
      </c>
      <c r="B946" s="31" t="s">
        <v>1569</v>
      </c>
      <c r="C946" s="31" t="s">
        <v>190</v>
      </c>
      <c r="D946" s="31" t="s">
        <v>188</v>
      </c>
      <c r="E946" s="31" t="s">
        <v>760</v>
      </c>
      <c r="F946" s="32" t="s">
        <v>761</v>
      </c>
    </row>
    <row r="947" spans="1:6">
      <c r="A947" s="29">
        <v>68255</v>
      </c>
      <c r="B947" s="31" t="s">
        <v>1570</v>
      </c>
      <c r="C947" s="31" t="s">
        <v>190</v>
      </c>
      <c r="D947" s="31" t="s">
        <v>188</v>
      </c>
      <c r="E947" s="31" t="s">
        <v>760</v>
      </c>
      <c r="F947" s="32" t="s">
        <v>763</v>
      </c>
    </row>
    <row r="948" spans="1:6">
      <c r="A948" s="29">
        <v>68264</v>
      </c>
      <c r="B948" s="31" t="s">
        <v>1571</v>
      </c>
      <c r="C948" s="31" t="s">
        <v>190</v>
      </c>
      <c r="D948" s="31" t="s">
        <v>188</v>
      </c>
      <c r="E948" s="31" t="s">
        <v>760</v>
      </c>
      <c r="F948" s="32" t="s">
        <v>761</v>
      </c>
    </row>
    <row r="949" spans="1:6">
      <c r="A949" s="29">
        <v>68266</v>
      </c>
      <c r="B949" s="31" t="s">
        <v>1572</v>
      </c>
      <c r="C949" s="31" t="s">
        <v>190</v>
      </c>
      <c r="D949" s="31" t="s">
        <v>188</v>
      </c>
      <c r="E949" s="31" t="s">
        <v>760</v>
      </c>
      <c r="F949" s="32" t="s">
        <v>761</v>
      </c>
    </row>
    <row r="950" spans="1:6">
      <c r="A950" s="29">
        <v>68271</v>
      </c>
      <c r="B950" s="31" t="s">
        <v>1573</v>
      </c>
      <c r="C950" s="31" t="s">
        <v>190</v>
      </c>
      <c r="D950" s="31" t="s">
        <v>126</v>
      </c>
      <c r="E950" s="31" t="s">
        <v>760</v>
      </c>
      <c r="F950" s="32" t="s">
        <v>761</v>
      </c>
    </row>
    <row r="951" spans="1:6">
      <c r="A951" s="29">
        <v>68276</v>
      </c>
      <c r="B951" s="31" t="s">
        <v>191</v>
      </c>
      <c r="C951" s="31" t="s">
        <v>190</v>
      </c>
      <c r="D951" s="31" t="s">
        <v>188</v>
      </c>
      <c r="E951" s="31" t="s">
        <v>760</v>
      </c>
      <c r="F951" s="32" t="s">
        <v>767</v>
      </c>
    </row>
    <row r="952" spans="1:6">
      <c r="A952" s="29">
        <v>68296</v>
      </c>
      <c r="B952" s="31" t="s">
        <v>1574</v>
      </c>
      <c r="C952" s="31" t="s">
        <v>190</v>
      </c>
      <c r="D952" s="31" t="s">
        <v>188</v>
      </c>
      <c r="E952" s="31" t="s">
        <v>760</v>
      </c>
      <c r="F952" s="32" t="s">
        <v>765</v>
      </c>
    </row>
    <row r="953" spans="1:6">
      <c r="A953" s="29">
        <v>68298</v>
      </c>
      <c r="B953" s="31" t="s">
        <v>1575</v>
      </c>
      <c r="C953" s="31" t="s">
        <v>190</v>
      </c>
      <c r="D953" s="31" t="s">
        <v>188</v>
      </c>
      <c r="E953" s="31" t="s">
        <v>760</v>
      </c>
      <c r="F953" s="32" t="s">
        <v>761</v>
      </c>
    </row>
    <row r="954" spans="1:6">
      <c r="A954" s="29">
        <v>68307</v>
      </c>
      <c r="B954" s="31" t="s">
        <v>1576</v>
      </c>
      <c r="C954" s="31" t="s">
        <v>190</v>
      </c>
      <c r="D954" s="31" t="s">
        <v>188</v>
      </c>
      <c r="E954" s="31" t="s">
        <v>760</v>
      </c>
      <c r="F954" s="32" t="s">
        <v>767</v>
      </c>
    </row>
    <row r="955" spans="1:6">
      <c r="A955" s="29">
        <v>68318</v>
      </c>
      <c r="B955" s="31" t="s">
        <v>1577</v>
      </c>
      <c r="C955" s="31" t="s">
        <v>190</v>
      </c>
      <c r="D955" s="31" t="s">
        <v>188</v>
      </c>
      <c r="E955" s="31" t="s">
        <v>760</v>
      </c>
      <c r="F955" s="32" t="s">
        <v>765</v>
      </c>
    </row>
    <row r="956" spans="1:6">
      <c r="A956" s="29">
        <v>68322</v>
      </c>
      <c r="B956" s="31" t="s">
        <v>1578</v>
      </c>
      <c r="C956" s="31" t="s">
        <v>190</v>
      </c>
      <c r="D956" s="31" t="s">
        <v>188</v>
      </c>
      <c r="E956" s="31" t="s">
        <v>760</v>
      </c>
      <c r="F956" s="32" t="s">
        <v>761</v>
      </c>
    </row>
    <row r="957" spans="1:6">
      <c r="A957" s="29">
        <v>68324</v>
      </c>
      <c r="B957" s="31" t="s">
        <v>1579</v>
      </c>
      <c r="C957" s="31" t="s">
        <v>190</v>
      </c>
      <c r="D957" s="31" t="s">
        <v>188</v>
      </c>
      <c r="E957" s="31" t="s">
        <v>760</v>
      </c>
      <c r="F957" s="32" t="s">
        <v>761</v>
      </c>
    </row>
    <row r="958" spans="1:6">
      <c r="A958" s="29">
        <v>68327</v>
      </c>
      <c r="B958" s="31" t="s">
        <v>1580</v>
      </c>
      <c r="C958" s="31" t="s">
        <v>190</v>
      </c>
      <c r="D958" s="31" t="s">
        <v>188</v>
      </c>
      <c r="E958" s="31" t="s">
        <v>760</v>
      </c>
      <c r="F958" s="32" t="s">
        <v>765</v>
      </c>
    </row>
    <row r="959" spans="1:6">
      <c r="A959" s="29">
        <v>68344</v>
      </c>
      <c r="B959" s="31" t="s">
        <v>1581</v>
      </c>
      <c r="C959" s="31" t="s">
        <v>190</v>
      </c>
      <c r="D959" s="31" t="s">
        <v>188</v>
      </c>
      <c r="E959" s="31" t="s">
        <v>760</v>
      </c>
      <c r="F959" s="32" t="s">
        <v>765</v>
      </c>
    </row>
    <row r="960" spans="1:6">
      <c r="A960" s="29">
        <v>68368</v>
      </c>
      <c r="B960" s="31" t="s">
        <v>1582</v>
      </c>
      <c r="C960" s="31" t="s">
        <v>190</v>
      </c>
      <c r="D960" s="31" t="s">
        <v>126</v>
      </c>
      <c r="E960" s="31" t="s">
        <v>760</v>
      </c>
      <c r="F960" s="32" t="s">
        <v>761</v>
      </c>
    </row>
    <row r="961" spans="1:6">
      <c r="A961" s="29">
        <v>68370</v>
      </c>
      <c r="B961" s="31" t="s">
        <v>1583</v>
      </c>
      <c r="C961" s="31" t="s">
        <v>190</v>
      </c>
      <c r="D961" s="31" t="s">
        <v>188</v>
      </c>
      <c r="E961" s="31" t="s">
        <v>760</v>
      </c>
      <c r="F961" s="32" t="s">
        <v>765</v>
      </c>
    </row>
    <row r="962" spans="1:6">
      <c r="A962" s="29">
        <v>68377</v>
      </c>
      <c r="B962" s="31" t="s">
        <v>1584</v>
      </c>
      <c r="C962" s="31" t="s">
        <v>190</v>
      </c>
      <c r="D962" s="31" t="s">
        <v>126</v>
      </c>
      <c r="E962" s="31" t="s">
        <v>760</v>
      </c>
      <c r="F962" s="32" t="s">
        <v>761</v>
      </c>
    </row>
    <row r="963" spans="1:6">
      <c r="A963" s="29">
        <v>68385</v>
      </c>
      <c r="B963" s="31" t="s">
        <v>1585</v>
      </c>
      <c r="C963" s="31" t="s">
        <v>190</v>
      </c>
      <c r="D963" s="31" t="s">
        <v>126</v>
      </c>
      <c r="E963" s="31" t="s">
        <v>760</v>
      </c>
      <c r="F963" s="32" t="s">
        <v>765</v>
      </c>
    </row>
    <row r="964" spans="1:6">
      <c r="A964" s="29">
        <v>68406</v>
      </c>
      <c r="B964" s="31" t="s">
        <v>1586</v>
      </c>
      <c r="C964" s="31" t="s">
        <v>190</v>
      </c>
      <c r="D964" s="31" t="s">
        <v>188</v>
      </c>
      <c r="E964" s="31" t="s">
        <v>760</v>
      </c>
      <c r="F964" s="32" t="s">
        <v>763</v>
      </c>
    </row>
    <row r="965" spans="1:6">
      <c r="A965" s="29">
        <v>68418</v>
      </c>
      <c r="B965" s="31" t="s">
        <v>1587</v>
      </c>
      <c r="C965" s="31" t="s">
        <v>190</v>
      </c>
      <c r="D965" s="31" t="s">
        <v>188</v>
      </c>
      <c r="E965" s="31" t="s">
        <v>760</v>
      </c>
      <c r="F965" s="32" t="s">
        <v>763</v>
      </c>
    </row>
    <row r="966" spans="1:6">
      <c r="A966" s="29">
        <v>68425</v>
      </c>
      <c r="B966" s="31" t="s">
        <v>1588</v>
      </c>
      <c r="C966" s="31" t="s">
        <v>190</v>
      </c>
      <c r="D966" s="31" t="s">
        <v>188</v>
      </c>
      <c r="E966" s="31" t="s">
        <v>760</v>
      </c>
      <c r="F966" s="32" t="s">
        <v>761</v>
      </c>
    </row>
    <row r="967" spans="1:6">
      <c r="A967" s="29">
        <v>68432</v>
      </c>
      <c r="B967" s="31" t="s">
        <v>1589</v>
      </c>
      <c r="C967" s="31" t="s">
        <v>190</v>
      </c>
      <c r="D967" s="31" t="s">
        <v>188</v>
      </c>
      <c r="E967" s="31" t="s">
        <v>760</v>
      </c>
      <c r="F967" s="32" t="s">
        <v>761</v>
      </c>
    </row>
    <row r="968" spans="1:6">
      <c r="A968" s="29">
        <v>68444</v>
      </c>
      <c r="B968" s="31" t="s">
        <v>1590</v>
      </c>
      <c r="C968" s="31" t="s">
        <v>190</v>
      </c>
      <c r="D968" s="31" t="s">
        <v>188</v>
      </c>
      <c r="E968" s="31" t="s">
        <v>760</v>
      </c>
      <c r="F968" s="32" t="s">
        <v>765</v>
      </c>
    </row>
    <row r="969" spans="1:6">
      <c r="A969" s="29">
        <v>68464</v>
      </c>
      <c r="B969" s="31" t="s">
        <v>1591</v>
      </c>
      <c r="C969" s="31" t="s">
        <v>190</v>
      </c>
      <c r="D969" s="31" t="s">
        <v>188</v>
      </c>
      <c r="E969" s="31" t="s">
        <v>760</v>
      </c>
      <c r="F969" s="32" t="s">
        <v>765</v>
      </c>
    </row>
    <row r="970" spans="1:6">
      <c r="A970" s="29">
        <v>68468</v>
      </c>
      <c r="B970" s="31" t="s">
        <v>1592</v>
      </c>
      <c r="C970" s="31" t="s">
        <v>190</v>
      </c>
      <c r="D970" s="31" t="s">
        <v>188</v>
      </c>
      <c r="E970" s="31" t="s">
        <v>760</v>
      </c>
      <c r="F970" s="32" t="s">
        <v>761</v>
      </c>
    </row>
    <row r="971" spans="1:6">
      <c r="A971" s="29">
        <v>68498</v>
      </c>
      <c r="B971" s="31" t="s">
        <v>1593</v>
      </c>
      <c r="C971" s="31" t="s">
        <v>190</v>
      </c>
      <c r="D971" s="31" t="s">
        <v>188</v>
      </c>
      <c r="E971" s="31" t="s">
        <v>760</v>
      </c>
      <c r="F971" s="32" t="s">
        <v>761</v>
      </c>
    </row>
    <row r="972" spans="1:6">
      <c r="A972" s="29">
        <v>68500</v>
      </c>
      <c r="B972" s="31" t="s">
        <v>1594</v>
      </c>
      <c r="C972" s="31" t="s">
        <v>190</v>
      </c>
      <c r="D972" s="31" t="s">
        <v>188</v>
      </c>
      <c r="E972" s="31" t="s">
        <v>760</v>
      </c>
      <c r="F972" s="32" t="s">
        <v>765</v>
      </c>
    </row>
    <row r="973" spans="1:6">
      <c r="A973" s="29">
        <v>68502</v>
      </c>
      <c r="B973" s="31" t="s">
        <v>1595</v>
      </c>
      <c r="C973" s="31" t="s">
        <v>190</v>
      </c>
      <c r="D973" s="31" t="s">
        <v>188</v>
      </c>
      <c r="E973" s="31" t="s">
        <v>760</v>
      </c>
      <c r="F973" s="32" t="s">
        <v>761</v>
      </c>
    </row>
    <row r="974" spans="1:6">
      <c r="A974" s="29">
        <v>68522</v>
      </c>
      <c r="B974" s="31" t="s">
        <v>1596</v>
      </c>
      <c r="C974" s="31" t="s">
        <v>190</v>
      </c>
      <c r="D974" s="31" t="s">
        <v>188</v>
      </c>
      <c r="E974" s="31" t="s">
        <v>760</v>
      </c>
      <c r="F974" s="32" t="s">
        <v>765</v>
      </c>
    </row>
    <row r="975" spans="1:6">
      <c r="A975" s="29">
        <v>68524</v>
      </c>
      <c r="B975" s="31" t="s">
        <v>1597</v>
      </c>
      <c r="C975" s="31" t="s">
        <v>190</v>
      </c>
      <c r="D975" s="31" t="s">
        <v>188</v>
      </c>
      <c r="E975" s="31" t="s">
        <v>760</v>
      </c>
      <c r="F975" s="32" t="s">
        <v>765</v>
      </c>
    </row>
    <row r="976" spans="1:6">
      <c r="A976" s="29">
        <v>68533</v>
      </c>
      <c r="B976" s="31" t="s">
        <v>1598</v>
      </c>
      <c r="C976" s="31" t="s">
        <v>190</v>
      </c>
      <c r="D976" s="31" t="s">
        <v>188</v>
      </c>
      <c r="E976" s="31" t="s">
        <v>760</v>
      </c>
      <c r="F976" s="32" t="s">
        <v>765</v>
      </c>
    </row>
    <row r="977" spans="1:6">
      <c r="A977" s="29">
        <v>68547</v>
      </c>
      <c r="B977" s="31" t="s">
        <v>1599</v>
      </c>
      <c r="C977" s="31" t="s">
        <v>190</v>
      </c>
      <c r="D977" s="31" t="s">
        <v>188</v>
      </c>
      <c r="E977" s="31" t="s">
        <v>760</v>
      </c>
      <c r="F977" s="32" t="s">
        <v>763</v>
      </c>
    </row>
    <row r="978" spans="1:6">
      <c r="A978" s="29">
        <v>68549</v>
      </c>
      <c r="B978" s="31" t="s">
        <v>1600</v>
      </c>
      <c r="C978" s="31" t="s">
        <v>190</v>
      </c>
      <c r="D978" s="31" t="s">
        <v>188</v>
      </c>
      <c r="E978" s="31" t="s">
        <v>760</v>
      </c>
      <c r="F978" s="32" t="s">
        <v>765</v>
      </c>
    </row>
    <row r="979" spans="1:6">
      <c r="A979" s="29">
        <v>68572</v>
      </c>
      <c r="B979" s="31" t="s">
        <v>1601</v>
      </c>
      <c r="C979" s="31" t="s">
        <v>190</v>
      </c>
      <c r="D979" s="31" t="s">
        <v>126</v>
      </c>
      <c r="E979" s="31" t="s">
        <v>760</v>
      </c>
      <c r="F979" s="32" t="s">
        <v>763</v>
      </c>
    </row>
    <row r="980" spans="1:6">
      <c r="A980" s="29">
        <v>68573</v>
      </c>
      <c r="B980" s="31" t="s">
        <v>1602</v>
      </c>
      <c r="C980" s="31" t="s">
        <v>190</v>
      </c>
      <c r="D980" s="31" t="s">
        <v>188</v>
      </c>
      <c r="E980" s="31" t="s">
        <v>760</v>
      </c>
      <c r="F980" s="32" t="s">
        <v>765</v>
      </c>
    </row>
    <row r="981" spans="1:6">
      <c r="A981" s="29">
        <v>68575</v>
      </c>
      <c r="B981" s="31" t="s">
        <v>1603</v>
      </c>
      <c r="C981" s="31" t="s">
        <v>190</v>
      </c>
      <c r="D981" s="31" t="s">
        <v>188</v>
      </c>
      <c r="E981" s="31" t="s">
        <v>760</v>
      </c>
      <c r="F981" s="32" t="s">
        <v>761</v>
      </c>
    </row>
    <row r="982" spans="1:6">
      <c r="A982" s="29">
        <v>68655</v>
      </c>
      <c r="B982" s="31" t="s">
        <v>1604</v>
      </c>
      <c r="C982" s="31" t="s">
        <v>190</v>
      </c>
      <c r="D982" s="31" t="s">
        <v>188</v>
      </c>
      <c r="E982" s="31" t="s">
        <v>760</v>
      </c>
      <c r="F982" s="32" t="s">
        <v>765</v>
      </c>
    </row>
    <row r="983" spans="1:6">
      <c r="A983" s="29">
        <v>68673</v>
      </c>
      <c r="B983" s="31" t="s">
        <v>1605</v>
      </c>
      <c r="C983" s="31" t="s">
        <v>190</v>
      </c>
      <c r="D983" s="31" t="s">
        <v>188</v>
      </c>
      <c r="E983" s="31" t="s">
        <v>760</v>
      </c>
      <c r="F983" s="32" t="s">
        <v>761</v>
      </c>
    </row>
    <row r="984" spans="1:6">
      <c r="A984" s="29">
        <v>68679</v>
      </c>
      <c r="B984" s="31" t="s">
        <v>1606</v>
      </c>
      <c r="C984" s="31" t="s">
        <v>190</v>
      </c>
      <c r="D984" s="31" t="s">
        <v>188</v>
      </c>
      <c r="E984" s="31" t="s">
        <v>760</v>
      </c>
      <c r="F984" s="32" t="s">
        <v>763</v>
      </c>
    </row>
    <row r="985" spans="1:6">
      <c r="A985" s="29">
        <v>68682</v>
      </c>
      <c r="B985" s="31" t="s">
        <v>1607</v>
      </c>
      <c r="C985" s="31" t="s">
        <v>190</v>
      </c>
      <c r="D985" s="31" t="s">
        <v>188</v>
      </c>
      <c r="E985" s="31" t="s">
        <v>760</v>
      </c>
      <c r="F985" s="32" t="s">
        <v>761</v>
      </c>
    </row>
    <row r="986" spans="1:6">
      <c r="A986" s="29">
        <v>68684</v>
      </c>
      <c r="B986" s="31" t="s">
        <v>1608</v>
      </c>
      <c r="C986" s="31" t="s">
        <v>190</v>
      </c>
      <c r="D986" s="31" t="s">
        <v>188</v>
      </c>
      <c r="E986" s="31" t="s">
        <v>760</v>
      </c>
      <c r="F986" s="32" t="s">
        <v>761</v>
      </c>
    </row>
    <row r="987" spans="1:6">
      <c r="A987" s="29">
        <v>68689</v>
      </c>
      <c r="B987" s="31" t="s">
        <v>1609</v>
      </c>
      <c r="C987" s="31" t="s">
        <v>190</v>
      </c>
      <c r="D987" s="31" t="s">
        <v>188</v>
      </c>
      <c r="E987" s="31" t="s">
        <v>760</v>
      </c>
      <c r="F987" s="32" t="s">
        <v>765</v>
      </c>
    </row>
    <row r="988" spans="1:6">
      <c r="A988" s="29">
        <v>68720</v>
      </c>
      <c r="B988" s="31" t="s">
        <v>1610</v>
      </c>
      <c r="C988" s="31" t="s">
        <v>190</v>
      </c>
      <c r="D988" s="31" t="s">
        <v>188</v>
      </c>
      <c r="E988" s="31" t="s">
        <v>760</v>
      </c>
      <c r="F988" s="32" t="s">
        <v>761</v>
      </c>
    </row>
    <row r="989" spans="1:6">
      <c r="A989" s="29">
        <v>68745</v>
      </c>
      <c r="B989" s="31" t="s">
        <v>1611</v>
      </c>
      <c r="C989" s="31" t="s">
        <v>190</v>
      </c>
      <c r="D989" s="31" t="s">
        <v>188</v>
      </c>
      <c r="E989" s="31" t="s">
        <v>760</v>
      </c>
      <c r="F989" s="32" t="s">
        <v>765</v>
      </c>
    </row>
    <row r="990" spans="1:6">
      <c r="A990" s="29">
        <v>68755</v>
      </c>
      <c r="B990" s="31" t="s">
        <v>1612</v>
      </c>
      <c r="C990" s="31" t="s">
        <v>190</v>
      </c>
      <c r="D990" s="31" t="s">
        <v>188</v>
      </c>
      <c r="E990" s="31" t="s">
        <v>760</v>
      </c>
      <c r="F990" s="32" t="s">
        <v>765</v>
      </c>
    </row>
    <row r="991" spans="1:6">
      <c r="A991" s="29">
        <v>68770</v>
      </c>
      <c r="B991" s="31" t="s">
        <v>1613</v>
      </c>
      <c r="C991" s="31" t="s">
        <v>190</v>
      </c>
      <c r="D991" s="31" t="s">
        <v>188</v>
      </c>
      <c r="E991" s="31" t="s">
        <v>760</v>
      </c>
      <c r="F991" s="32" t="s">
        <v>765</v>
      </c>
    </row>
    <row r="992" spans="1:6">
      <c r="A992" s="29">
        <v>68780</v>
      </c>
      <c r="B992" s="31" t="s">
        <v>1614</v>
      </c>
      <c r="C992" s="31" t="s">
        <v>190</v>
      </c>
      <c r="D992" s="31" t="s">
        <v>188</v>
      </c>
      <c r="E992" s="31" t="s">
        <v>760</v>
      </c>
      <c r="F992" s="32" t="s">
        <v>765</v>
      </c>
    </row>
    <row r="993" spans="1:6">
      <c r="A993" s="29">
        <v>68820</v>
      </c>
      <c r="B993" s="31" t="s">
        <v>1615</v>
      </c>
      <c r="C993" s="31" t="s">
        <v>190</v>
      </c>
      <c r="D993" s="31" t="s">
        <v>188</v>
      </c>
      <c r="E993" s="31" t="s">
        <v>760</v>
      </c>
      <c r="F993" s="32" t="s">
        <v>763</v>
      </c>
    </row>
    <row r="994" spans="1:6">
      <c r="A994" s="29">
        <v>68855</v>
      </c>
      <c r="B994" s="31" t="s">
        <v>1616</v>
      </c>
      <c r="C994" s="31" t="s">
        <v>190</v>
      </c>
      <c r="D994" s="31" t="s">
        <v>188</v>
      </c>
      <c r="E994" s="31" t="s">
        <v>760</v>
      </c>
      <c r="F994" s="32" t="s">
        <v>765</v>
      </c>
    </row>
    <row r="995" spans="1:6">
      <c r="A995" s="29">
        <v>68861</v>
      </c>
      <c r="B995" s="31" t="s">
        <v>1617</v>
      </c>
      <c r="C995" s="31" t="s">
        <v>190</v>
      </c>
      <c r="D995" s="31" t="s">
        <v>126</v>
      </c>
      <c r="E995" s="31" t="s">
        <v>760</v>
      </c>
      <c r="F995" s="32" t="s">
        <v>763</v>
      </c>
    </row>
    <row r="996" spans="1:6">
      <c r="A996" s="29">
        <v>68867</v>
      </c>
      <c r="B996" s="31" t="s">
        <v>1618</v>
      </c>
      <c r="C996" s="31" t="s">
        <v>190</v>
      </c>
      <c r="D996" s="31" t="s">
        <v>101</v>
      </c>
      <c r="E996" s="31" t="s">
        <v>760</v>
      </c>
      <c r="F996" s="32" t="s">
        <v>761</v>
      </c>
    </row>
    <row r="997" spans="1:6">
      <c r="A997" s="29">
        <v>68895</v>
      </c>
      <c r="B997" s="31" t="s">
        <v>1619</v>
      </c>
      <c r="C997" s="31" t="s">
        <v>190</v>
      </c>
      <c r="D997" s="31" t="s">
        <v>188</v>
      </c>
      <c r="E997" s="31" t="s">
        <v>760</v>
      </c>
      <c r="F997" s="32" t="s">
        <v>765</v>
      </c>
    </row>
    <row r="998" spans="1:6">
      <c r="A998" s="29">
        <v>70110</v>
      </c>
      <c r="B998" s="30" t="s">
        <v>951</v>
      </c>
      <c r="C998" s="31" t="s">
        <v>486</v>
      </c>
      <c r="D998" s="31" t="s">
        <v>484</v>
      </c>
      <c r="E998" s="31" t="s">
        <v>760</v>
      </c>
      <c r="F998" s="32" t="s">
        <v>763</v>
      </c>
    </row>
    <row r="999" spans="1:6">
      <c r="A999" s="29">
        <v>70400</v>
      </c>
      <c r="B999" s="30" t="s">
        <v>773</v>
      </c>
      <c r="C999" s="31" t="s">
        <v>486</v>
      </c>
      <c r="D999" s="31" t="s">
        <v>484</v>
      </c>
      <c r="E999" s="31" t="s">
        <v>760</v>
      </c>
      <c r="F999" s="32" t="s">
        <v>763</v>
      </c>
    </row>
    <row r="1000" spans="1:6">
      <c r="A1000" s="29">
        <v>70717</v>
      </c>
      <c r="B1000" s="30" t="s">
        <v>1620</v>
      </c>
      <c r="C1000" s="31" t="s">
        <v>486</v>
      </c>
      <c r="D1000" s="31" t="s">
        <v>484</v>
      </c>
      <c r="E1000" s="31" t="s">
        <v>760</v>
      </c>
      <c r="F1000" s="32" t="s">
        <v>763</v>
      </c>
    </row>
    <row r="1001" spans="1:6">
      <c r="A1001" s="29">
        <v>70771</v>
      </c>
      <c r="B1001" s="30" t="s">
        <v>486</v>
      </c>
      <c r="C1001" s="31" t="s">
        <v>486</v>
      </c>
      <c r="D1001" s="31" t="s">
        <v>484</v>
      </c>
      <c r="E1001" s="31" t="s">
        <v>760</v>
      </c>
      <c r="F1001" s="32" t="s">
        <v>748</v>
      </c>
    </row>
    <row r="1002" spans="1:6">
      <c r="A1002" s="29">
        <v>70124</v>
      </c>
      <c r="B1002" s="31" t="s">
        <v>1621</v>
      </c>
      <c r="C1002" s="31" t="s">
        <v>486</v>
      </c>
      <c r="D1002" s="31" t="s">
        <v>484</v>
      </c>
      <c r="E1002" s="31" t="s">
        <v>760</v>
      </c>
      <c r="F1002" s="32" t="s">
        <v>761</v>
      </c>
    </row>
    <row r="1003" spans="1:6">
      <c r="A1003" s="29">
        <v>70230</v>
      </c>
      <c r="B1003" s="31" t="s">
        <v>1622</v>
      </c>
      <c r="C1003" s="31" t="s">
        <v>486</v>
      </c>
      <c r="D1003" s="31" t="s">
        <v>484</v>
      </c>
      <c r="E1003" s="31" t="s">
        <v>760</v>
      </c>
      <c r="F1003" s="32" t="s">
        <v>765</v>
      </c>
    </row>
    <row r="1004" spans="1:6">
      <c r="A1004" s="29">
        <v>70204</v>
      </c>
      <c r="B1004" s="31" t="s">
        <v>1623</v>
      </c>
      <c r="C1004" s="31" t="s">
        <v>486</v>
      </c>
      <c r="D1004" s="31" t="s">
        <v>484</v>
      </c>
      <c r="E1004" s="31" t="s">
        <v>760</v>
      </c>
      <c r="F1004" s="32" t="s">
        <v>765</v>
      </c>
    </row>
    <row r="1005" spans="1:6">
      <c r="A1005" s="29">
        <v>70215</v>
      </c>
      <c r="B1005" s="31" t="s">
        <v>1624</v>
      </c>
      <c r="C1005" s="31" t="s">
        <v>486</v>
      </c>
      <c r="D1005" s="31" t="s">
        <v>484</v>
      </c>
      <c r="E1005" s="31" t="s">
        <v>760</v>
      </c>
      <c r="F1005" s="32" t="s">
        <v>763</v>
      </c>
    </row>
    <row r="1006" spans="1:6">
      <c r="A1006" s="29">
        <v>70221</v>
      </c>
      <c r="B1006" s="31" t="s">
        <v>1625</v>
      </c>
      <c r="C1006" s="31" t="s">
        <v>486</v>
      </c>
      <c r="D1006" s="31" t="s">
        <v>484</v>
      </c>
      <c r="E1006" s="31" t="s">
        <v>760</v>
      </c>
      <c r="F1006" s="32" t="s">
        <v>763</v>
      </c>
    </row>
    <row r="1007" spans="1:6">
      <c r="A1007" s="29">
        <v>70233</v>
      </c>
      <c r="B1007" s="31" t="s">
        <v>1626</v>
      </c>
      <c r="C1007" s="31" t="s">
        <v>486</v>
      </c>
      <c r="D1007" s="31" t="s">
        <v>484</v>
      </c>
      <c r="E1007" s="31" t="s">
        <v>760</v>
      </c>
      <c r="F1007" s="32" t="s">
        <v>763</v>
      </c>
    </row>
    <row r="1008" spans="1:6">
      <c r="A1008" s="29">
        <v>70235</v>
      </c>
      <c r="B1008" s="31" t="s">
        <v>1627</v>
      </c>
      <c r="C1008" s="31" t="s">
        <v>486</v>
      </c>
      <c r="D1008" s="31" t="s">
        <v>484</v>
      </c>
      <c r="E1008" s="31" t="s">
        <v>760</v>
      </c>
      <c r="F1008" s="32" t="s">
        <v>763</v>
      </c>
    </row>
    <row r="1009" spans="1:6">
      <c r="A1009" s="29">
        <v>70265</v>
      </c>
      <c r="B1009" s="31" t="s">
        <v>1628</v>
      </c>
      <c r="C1009" s="31" t="s">
        <v>486</v>
      </c>
      <c r="D1009" s="31" t="s">
        <v>484</v>
      </c>
      <c r="E1009" s="31" t="s">
        <v>760</v>
      </c>
      <c r="F1009" s="32" t="s">
        <v>761</v>
      </c>
    </row>
    <row r="1010" spans="1:6">
      <c r="A1010" s="29">
        <v>70418</v>
      </c>
      <c r="B1010" s="31" t="s">
        <v>1629</v>
      </c>
      <c r="C1010" s="31" t="s">
        <v>486</v>
      </c>
      <c r="D1010" s="31" t="s">
        <v>484</v>
      </c>
      <c r="E1010" s="31" t="s">
        <v>760</v>
      </c>
      <c r="F1010" s="32" t="s">
        <v>763</v>
      </c>
    </row>
    <row r="1011" spans="1:6">
      <c r="A1011" s="29">
        <v>70429</v>
      </c>
      <c r="B1011" s="31" t="s">
        <v>1630</v>
      </c>
      <c r="C1011" s="31" t="s">
        <v>486</v>
      </c>
      <c r="D1011" s="31" t="s">
        <v>484</v>
      </c>
      <c r="E1011" s="31" t="s">
        <v>838</v>
      </c>
      <c r="F1011" s="32" t="s">
        <v>761</v>
      </c>
    </row>
    <row r="1012" spans="1:6">
      <c r="A1012" s="29">
        <v>70473</v>
      </c>
      <c r="B1012" s="31" t="s">
        <v>1631</v>
      </c>
      <c r="C1012" s="31" t="s">
        <v>486</v>
      </c>
      <c r="D1012" s="31" t="s">
        <v>484</v>
      </c>
      <c r="E1012" s="31" t="s">
        <v>760</v>
      </c>
      <c r="F1012" s="32" t="s">
        <v>763</v>
      </c>
    </row>
    <row r="1013" spans="1:6">
      <c r="A1013" s="29">
        <v>70508</v>
      </c>
      <c r="B1013" s="31" t="s">
        <v>1632</v>
      </c>
      <c r="C1013" s="31" t="s">
        <v>486</v>
      </c>
      <c r="D1013" s="31" t="s">
        <v>484</v>
      </c>
      <c r="E1013" s="31" t="s">
        <v>760</v>
      </c>
      <c r="F1013" s="32" t="s">
        <v>763</v>
      </c>
    </row>
    <row r="1014" spans="1:6">
      <c r="A1014" s="29">
        <v>70523</v>
      </c>
      <c r="B1014" s="31" t="s">
        <v>1633</v>
      </c>
      <c r="C1014" s="31" t="s">
        <v>486</v>
      </c>
      <c r="D1014" s="31" t="s">
        <v>484</v>
      </c>
      <c r="E1014" s="31" t="s">
        <v>760</v>
      </c>
      <c r="F1014" s="32" t="s">
        <v>763</v>
      </c>
    </row>
    <row r="1015" spans="1:6">
      <c r="A1015" s="29">
        <v>70670</v>
      </c>
      <c r="B1015" s="31" t="s">
        <v>1634</v>
      </c>
      <c r="C1015" s="31" t="s">
        <v>486</v>
      </c>
      <c r="D1015" s="31" t="s">
        <v>484</v>
      </c>
      <c r="E1015" s="31" t="s">
        <v>760</v>
      </c>
      <c r="F1015" s="32" t="s">
        <v>763</v>
      </c>
    </row>
    <row r="1016" spans="1:6">
      <c r="A1016" s="29">
        <v>70678</v>
      </c>
      <c r="B1016" s="31" t="s">
        <v>1635</v>
      </c>
      <c r="C1016" s="31" t="s">
        <v>486</v>
      </c>
      <c r="D1016" s="31" t="s">
        <v>484</v>
      </c>
      <c r="E1016" s="31" t="s">
        <v>760</v>
      </c>
      <c r="F1016" s="32" t="s">
        <v>763</v>
      </c>
    </row>
    <row r="1017" spans="1:6">
      <c r="A1017" s="29">
        <v>70702</v>
      </c>
      <c r="B1017" s="31" t="s">
        <v>1636</v>
      </c>
      <c r="C1017" s="31" t="s">
        <v>486</v>
      </c>
      <c r="D1017" s="31" t="s">
        <v>484</v>
      </c>
      <c r="E1017" s="31" t="s">
        <v>760</v>
      </c>
      <c r="F1017" s="32" t="s">
        <v>763</v>
      </c>
    </row>
    <row r="1018" spans="1:6">
      <c r="A1018" s="29">
        <v>70742</v>
      </c>
      <c r="B1018" s="31" t="s">
        <v>1637</v>
      </c>
      <c r="C1018" s="31" t="s">
        <v>486</v>
      </c>
      <c r="D1018" s="31" t="s">
        <v>484</v>
      </c>
      <c r="E1018" s="31" t="s">
        <v>760</v>
      </c>
      <c r="F1018" s="32" t="s">
        <v>763</v>
      </c>
    </row>
    <row r="1019" spans="1:6">
      <c r="A1019" s="29">
        <v>70708</v>
      </c>
      <c r="B1019" s="31" t="s">
        <v>487</v>
      </c>
      <c r="C1019" s="31" t="s">
        <v>486</v>
      </c>
      <c r="D1019" s="31" t="s">
        <v>484</v>
      </c>
      <c r="E1019" s="31" t="s">
        <v>760</v>
      </c>
      <c r="F1019" s="32" t="s">
        <v>765</v>
      </c>
    </row>
    <row r="1020" spans="1:6">
      <c r="A1020" s="29">
        <v>70713</v>
      </c>
      <c r="B1020" s="31" t="s">
        <v>1638</v>
      </c>
      <c r="C1020" s="31" t="s">
        <v>486</v>
      </c>
      <c r="D1020" s="31" t="s">
        <v>484</v>
      </c>
      <c r="E1020" s="31" t="s">
        <v>760</v>
      </c>
      <c r="F1020" s="32" t="s">
        <v>763</v>
      </c>
    </row>
    <row r="1021" spans="1:6">
      <c r="A1021" s="29">
        <v>70820</v>
      </c>
      <c r="B1021" s="31" t="s">
        <v>1639</v>
      </c>
      <c r="C1021" s="31" t="s">
        <v>486</v>
      </c>
      <c r="D1021" s="31" t="s">
        <v>484</v>
      </c>
      <c r="E1021" s="31" t="s">
        <v>760</v>
      </c>
      <c r="F1021" s="32" t="s">
        <v>763</v>
      </c>
    </row>
    <row r="1022" spans="1:6">
      <c r="A1022" s="29">
        <v>70001</v>
      </c>
      <c r="B1022" s="31" t="s">
        <v>484</v>
      </c>
      <c r="C1022" s="31" t="s">
        <v>486</v>
      </c>
      <c r="D1022" s="31" t="s">
        <v>484</v>
      </c>
      <c r="E1022" s="31" t="s">
        <v>760</v>
      </c>
      <c r="F1022" s="32" t="s">
        <v>767</v>
      </c>
    </row>
    <row r="1023" spans="1:6">
      <c r="A1023" s="29">
        <v>70823</v>
      </c>
      <c r="B1023" s="31" t="s">
        <v>1640</v>
      </c>
      <c r="C1023" s="31" t="s">
        <v>486</v>
      </c>
      <c r="D1023" s="31" t="s">
        <v>484</v>
      </c>
      <c r="E1023" s="31" t="s">
        <v>760</v>
      </c>
      <c r="F1023" s="32" t="s">
        <v>763</v>
      </c>
    </row>
    <row r="1024" spans="1:6">
      <c r="A1024" s="29">
        <v>73678</v>
      </c>
      <c r="B1024" s="30" t="s">
        <v>778</v>
      </c>
      <c r="C1024" s="31" t="s">
        <v>324</v>
      </c>
      <c r="D1024" s="31" t="s">
        <v>322</v>
      </c>
      <c r="E1024" s="31" t="s">
        <v>760</v>
      </c>
      <c r="F1024" s="32" t="s">
        <v>763</v>
      </c>
    </row>
    <row r="1025" spans="1:6">
      <c r="A1025" s="29">
        <v>73770</v>
      </c>
      <c r="B1025" s="30" t="s">
        <v>1120</v>
      </c>
      <c r="C1025" s="31" t="s">
        <v>324</v>
      </c>
      <c r="D1025" s="31" t="s">
        <v>322</v>
      </c>
      <c r="E1025" s="31" t="s">
        <v>760</v>
      </c>
      <c r="F1025" s="32" t="s">
        <v>763</v>
      </c>
    </row>
    <row r="1026" spans="1:6">
      <c r="A1026" s="29">
        <v>73024</v>
      </c>
      <c r="B1026" s="31" t="s">
        <v>1641</v>
      </c>
      <c r="C1026" s="31" t="s">
        <v>324</v>
      </c>
      <c r="D1026" s="31" t="s">
        <v>322</v>
      </c>
      <c r="E1026" s="31" t="s">
        <v>760</v>
      </c>
      <c r="F1026" s="32" t="s">
        <v>761</v>
      </c>
    </row>
    <row r="1027" spans="1:6">
      <c r="A1027" s="29">
        <v>73026</v>
      </c>
      <c r="B1027" s="31" t="s">
        <v>1642</v>
      </c>
      <c r="C1027" s="31" t="s">
        <v>324</v>
      </c>
      <c r="D1027" s="31" t="s">
        <v>322</v>
      </c>
      <c r="E1027" s="31" t="s">
        <v>760</v>
      </c>
      <c r="F1027" s="32" t="s">
        <v>763</v>
      </c>
    </row>
    <row r="1028" spans="1:6">
      <c r="A1028" s="29">
        <v>73030</v>
      </c>
      <c r="B1028" s="31" t="s">
        <v>1643</v>
      </c>
      <c r="C1028" s="31" t="s">
        <v>324</v>
      </c>
      <c r="D1028" s="31" t="s">
        <v>322</v>
      </c>
      <c r="E1028" s="31" t="s">
        <v>760</v>
      </c>
      <c r="F1028" s="32" t="s">
        <v>763</v>
      </c>
    </row>
    <row r="1029" spans="1:6">
      <c r="A1029" s="29">
        <v>73043</v>
      </c>
      <c r="B1029" s="31" t="s">
        <v>1644</v>
      </c>
      <c r="C1029" s="31" t="s">
        <v>324</v>
      </c>
      <c r="D1029" s="31" t="s">
        <v>322</v>
      </c>
      <c r="E1029" s="31" t="s">
        <v>760</v>
      </c>
      <c r="F1029" s="32" t="s">
        <v>763</v>
      </c>
    </row>
    <row r="1030" spans="1:6">
      <c r="A1030" s="29">
        <v>73055</v>
      </c>
      <c r="B1030" s="31" t="s">
        <v>1645</v>
      </c>
      <c r="C1030" s="31" t="s">
        <v>324</v>
      </c>
      <c r="D1030" s="31" t="s">
        <v>322</v>
      </c>
      <c r="E1030" s="31" t="s">
        <v>760</v>
      </c>
      <c r="F1030" s="32" t="s">
        <v>763</v>
      </c>
    </row>
    <row r="1031" spans="1:6">
      <c r="A1031" s="29">
        <v>73067</v>
      </c>
      <c r="B1031" s="31" t="s">
        <v>1646</v>
      </c>
      <c r="C1031" s="31" t="s">
        <v>324</v>
      </c>
      <c r="D1031" s="31" t="s">
        <v>322</v>
      </c>
      <c r="E1031" s="31" t="s">
        <v>760</v>
      </c>
      <c r="F1031" s="32" t="s">
        <v>765</v>
      </c>
    </row>
    <row r="1032" spans="1:6">
      <c r="A1032" s="29">
        <v>73124</v>
      </c>
      <c r="B1032" s="31" t="s">
        <v>1647</v>
      </c>
      <c r="C1032" s="31" t="s">
        <v>324</v>
      </c>
      <c r="D1032" s="31" t="s">
        <v>322</v>
      </c>
      <c r="E1032" s="31" t="s">
        <v>760</v>
      </c>
      <c r="F1032" s="32" t="s">
        <v>763</v>
      </c>
    </row>
    <row r="1033" spans="1:6">
      <c r="A1033" s="29">
        <v>73148</v>
      </c>
      <c r="B1033" s="31" t="s">
        <v>1648</v>
      </c>
      <c r="C1033" s="31" t="s">
        <v>324</v>
      </c>
      <c r="D1033" s="31" t="s">
        <v>76</v>
      </c>
      <c r="E1033" s="31" t="s">
        <v>760</v>
      </c>
      <c r="F1033" s="32" t="s">
        <v>763</v>
      </c>
    </row>
    <row r="1034" spans="1:6">
      <c r="A1034" s="29">
        <v>73152</v>
      </c>
      <c r="B1034" s="31" t="s">
        <v>1649</v>
      </c>
      <c r="C1034" s="31" t="s">
        <v>324</v>
      </c>
      <c r="D1034" s="31" t="s">
        <v>322</v>
      </c>
      <c r="E1034" s="31" t="s">
        <v>760</v>
      </c>
      <c r="F1034" s="32" t="s">
        <v>765</v>
      </c>
    </row>
    <row r="1035" spans="1:6">
      <c r="A1035" s="29">
        <v>73168</v>
      </c>
      <c r="B1035" s="31" t="s">
        <v>1650</v>
      </c>
      <c r="C1035" s="31" t="s">
        <v>324</v>
      </c>
      <c r="D1035" s="31" t="s">
        <v>322</v>
      </c>
      <c r="E1035" s="31" t="s">
        <v>760</v>
      </c>
      <c r="F1035" s="32" t="s">
        <v>765</v>
      </c>
    </row>
    <row r="1036" spans="1:6">
      <c r="A1036" s="29">
        <v>73200</v>
      </c>
      <c r="B1036" s="31" t="s">
        <v>1651</v>
      </c>
      <c r="C1036" s="31" t="s">
        <v>324</v>
      </c>
      <c r="D1036" s="31" t="s">
        <v>322</v>
      </c>
      <c r="E1036" s="31" t="s">
        <v>760</v>
      </c>
      <c r="F1036" s="32" t="s">
        <v>763</v>
      </c>
    </row>
    <row r="1037" spans="1:6">
      <c r="A1037" s="29">
        <v>73217</v>
      </c>
      <c r="B1037" s="31" t="s">
        <v>1652</v>
      </c>
      <c r="C1037" s="31" t="s">
        <v>324</v>
      </c>
      <c r="D1037" s="31" t="s">
        <v>322</v>
      </c>
      <c r="E1037" s="31" t="s">
        <v>760</v>
      </c>
      <c r="F1037" s="32" t="s">
        <v>765</v>
      </c>
    </row>
    <row r="1038" spans="1:6">
      <c r="A1038" s="29">
        <v>73226</v>
      </c>
      <c r="B1038" s="31" t="s">
        <v>1653</v>
      </c>
      <c r="C1038" s="31" t="s">
        <v>324</v>
      </c>
      <c r="D1038" s="31" t="s">
        <v>322</v>
      </c>
      <c r="E1038" s="31" t="s">
        <v>760</v>
      </c>
      <c r="F1038" s="32" t="s">
        <v>763</v>
      </c>
    </row>
    <row r="1039" spans="1:6">
      <c r="A1039" s="29">
        <v>73236</v>
      </c>
      <c r="B1039" s="31" t="s">
        <v>1654</v>
      </c>
      <c r="C1039" s="31" t="s">
        <v>324</v>
      </c>
      <c r="D1039" s="31" t="s">
        <v>322</v>
      </c>
      <c r="E1039" s="31" t="s">
        <v>760</v>
      </c>
      <c r="F1039" s="32" t="s">
        <v>761</v>
      </c>
    </row>
    <row r="1040" spans="1:6">
      <c r="A1040" s="29">
        <v>73268</v>
      </c>
      <c r="B1040" s="31" t="s">
        <v>1655</v>
      </c>
      <c r="C1040" s="31" t="s">
        <v>324</v>
      </c>
      <c r="D1040" s="31" t="s">
        <v>322</v>
      </c>
      <c r="E1040" s="31" t="s">
        <v>760</v>
      </c>
      <c r="F1040" s="32" t="s">
        <v>763</v>
      </c>
    </row>
    <row r="1041" spans="1:6">
      <c r="A1041" s="29">
        <v>73270</v>
      </c>
      <c r="B1041" s="31" t="s">
        <v>1656</v>
      </c>
      <c r="C1041" s="31" t="s">
        <v>324</v>
      </c>
      <c r="D1041" s="31" t="s">
        <v>322</v>
      </c>
      <c r="E1041" s="31" t="s">
        <v>760</v>
      </c>
      <c r="F1041" s="32" t="s">
        <v>765</v>
      </c>
    </row>
    <row r="1042" spans="1:6">
      <c r="A1042" s="29">
        <v>73275</v>
      </c>
      <c r="B1042" s="31" t="s">
        <v>1657</v>
      </c>
      <c r="C1042" s="31" t="s">
        <v>324</v>
      </c>
      <c r="D1042" s="31" t="s">
        <v>322</v>
      </c>
      <c r="E1042" s="31" t="s">
        <v>760</v>
      </c>
      <c r="F1042" s="32" t="s">
        <v>763</v>
      </c>
    </row>
    <row r="1043" spans="1:6">
      <c r="A1043" s="29">
        <v>73283</v>
      </c>
      <c r="B1043" s="31" t="s">
        <v>1658</v>
      </c>
      <c r="C1043" s="31" t="s">
        <v>324</v>
      </c>
      <c r="D1043" s="31" t="s">
        <v>322</v>
      </c>
      <c r="E1043" s="31" t="s">
        <v>760</v>
      </c>
      <c r="F1043" s="32" t="s">
        <v>765</v>
      </c>
    </row>
    <row r="1044" spans="1:6">
      <c r="A1044" s="29">
        <v>73319</v>
      </c>
      <c r="B1044" s="31" t="s">
        <v>1659</v>
      </c>
      <c r="C1044" s="31" t="s">
        <v>324</v>
      </c>
      <c r="D1044" s="31" t="s">
        <v>322</v>
      </c>
      <c r="E1044" s="31" t="s">
        <v>760</v>
      </c>
      <c r="F1044" s="32" t="s">
        <v>763</v>
      </c>
    </row>
    <row r="1045" spans="1:6">
      <c r="A1045" s="29">
        <v>73347</v>
      </c>
      <c r="B1045" s="31" t="s">
        <v>1660</v>
      </c>
      <c r="C1045" s="31" t="s">
        <v>324</v>
      </c>
      <c r="D1045" s="31" t="s">
        <v>555</v>
      </c>
      <c r="E1045" s="31" t="s">
        <v>760</v>
      </c>
      <c r="F1045" s="32" t="s">
        <v>765</v>
      </c>
    </row>
    <row r="1046" spans="1:6">
      <c r="A1046" s="29">
        <v>73349</v>
      </c>
      <c r="B1046" s="31" t="s">
        <v>1661</v>
      </c>
      <c r="C1046" s="31" t="s">
        <v>324</v>
      </c>
      <c r="D1046" s="31" t="s">
        <v>322</v>
      </c>
      <c r="E1046" s="31" t="s">
        <v>760</v>
      </c>
      <c r="F1046" s="32" t="s">
        <v>765</v>
      </c>
    </row>
    <row r="1047" spans="1:6">
      <c r="A1047" s="29">
        <v>73001</v>
      </c>
      <c r="B1047" s="31" t="s">
        <v>322</v>
      </c>
      <c r="C1047" s="31" t="s">
        <v>324</v>
      </c>
      <c r="D1047" s="31" t="s">
        <v>322</v>
      </c>
      <c r="E1047" s="31" t="s">
        <v>760</v>
      </c>
      <c r="F1047" s="32" t="s">
        <v>767</v>
      </c>
    </row>
    <row r="1048" spans="1:6">
      <c r="A1048" s="29">
        <v>73352</v>
      </c>
      <c r="B1048" s="31" t="s">
        <v>1662</v>
      </c>
      <c r="C1048" s="31" t="s">
        <v>324</v>
      </c>
      <c r="D1048" s="31" t="s">
        <v>322</v>
      </c>
      <c r="E1048" s="31" t="s">
        <v>760</v>
      </c>
      <c r="F1048" s="32" t="s">
        <v>765</v>
      </c>
    </row>
    <row r="1049" spans="1:6">
      <c r="A1049" s="29">
        <v>73408</v>
      </c>
      <c r="B1049" s="31" t="s">
        <v>1663</v>
      </c>
      <c r="C1049" s="31" t="s">
        <v>324</v>
      </c>
      <c r="D1049" s="31" t="s">
        <v>322</v>
      </c>
      <c r="E1049" s="31" t="s">
        <v>760</v>
      </c>
      <c r="F1049" s="32" t="s">
        <v>763</v>
      </c>
    </row>
    <row r="1050" spans="1:6">
      <c r="A1050" s="29">
        <v>73411</v>
      </c>
      <c r="B1050" s="31" t="s">
        <v>1664</v>
      </c>
      <c r="C1050" s="31" t="s">
        <v>324</v>
      </c>
      <c r="D1050" s="31" t="s">
        <v>322</v>
      </c>
      <c r="E1050" s="31" t="s">
        <v>760</v>
      </c>
      <c r="F1050" s="32" t="s">
        <v>765</v>
      </c>
    </row>
    <row r="1051" spans="1:6">
      <c r="A1051" s="29">
        <v>73443</v>
      </c>
      <c r="B1051" s="31" t="s">
        <v>1665</v>
      </c>
      <c r="C1051" s="31" t="s">
        <v>324</v>
      </c>
      <c r="D1051" s="31" t="s">
        <v>322</v>
      </c>
      <c r="E1051" s="31" t="s">
        <v>760</v>
      </c>
      <c r="F1051" s="32" t="s">
        <v>765</v>
      </c>
    </row>
    <row r="1052" spans="1:6">
      <c r="A1052" s="29">
        <v>73449</v>
      </c>
      <c r="B1052" s="31" t="s">
        <v>1666</v>
      </c>
      <c r="C1052" s="31" t="s">
        <v>324</v>
      </c>
      <c r="D1052" s="31" t="s">
        <v>76</v>
      </c>
      <c r="E1052" s="31" t="s">
        <v>760</v>
      </c>
      <c r="F1052" s="32" t="s">
        <v>763</v>
      </c>
    </row>
    <row r="1053" spans="1:6">
      <c r="A1053" s="29">
        <v>73461</v>
      </c>
      <c r="B1053" s="31" t="s">
        <v>1667</v>
      </c>
      <c r="C1053" s="31" t="s">
        <v>324</v>
      </c>
      <c r="D1053" s="31" t="s">
        <v>322</v>
      </c>
      <c r="E1053" s="31" t="s">
        <v>760</v>
      </c>
      <c r="F1053" s="32" t="s">
        <v>761</v>
      </c>
    </row>
    <row r="1054" spans="1:6">
      <c r="A1054" s="29">
        <v>73483</v>
      </c>
      <c r="B1054" s="31" t="s">
        <v>1668</v>
      </c>
      <c r="C1054" s="31" t="s">
        <v>324</v>
      </c>
      <c r="D1054" s="31" t="s">
        <v>287</v>
      </c>
      <c r="E1054" s="31" t="s">
        <v>760</v>
      </c>
      <c r="F1054" s="32" t="s">
        <v>763</v>
      </c>
    </row>
    <row r="1055" spans="1:6">
      <c r="A1055" s="29">
        <v>73504</v>
      </c>
      <c r="B1055" s="31" t="s">
        <v>1669</v>
      </c>
      <c r="C1055" s="31" t="s">
        <v>324</v>
      </c>
      <c r="D1055" s="31" t="s">
        <v>322</v>
      </c>
      <c r="E1055" s="31" t="s">
        <v>760</v>
      </c>
      <c r="F1055" s="32" t="s">
        <v>765</v>
      </c>
    </row>
    <row r="1056" spans="1:6">
      <c r="A1056" s="29">
        <v>73520</v>
      </c>
      <c r="B1056" s="31" t="s">
        <v>1670</v>
      </c>
      <c r="C1056" s="31" t="s">
        <v>324</v>
      </c>
      <c r="D1056" s="31" t="s">
        <v>322</v>
      </c>
      <c r="E1056" s="31" t="s">
        <v>760</v>
      </c>
      <c r="F1056" s="32" t="s">
        <v>765</v>
      </c>
    </row>
    <row r="1057" spans="1:6">
      <c r="A1057" s="29">
        <v>73547</v>
      </c>
      <c r="B1057" s="31" t="s">
        <v>1671</v>
      </c>
      <c r="C1057" s="31" t="s">
        <v>324</v>
      </c>
      <c r="D1057" s="31" t="s">
        <v>322</v>
      </c>
      <c r="E1057" s="31" t="s">
        <v>760</v>
      </c>
      <c r="F1057" s="32" t="s">
        <v>763</v>
      </c>
    </row>
    <row r="1058" spans="1:6">
      <c r="A1058" s="29">
        <v>73555</v>
      </c>
      <c r="B1058" s="31" t="s">
        <v>1672</v>
      </c>
      <c r="C1058" s="31" t="s">
        <v>324</v>
      </c>
      <c r="D1058" s="31" t="s">
        <v>322</v>
      </c>
      <c r="E1058" s="31" t="s">
        <v>760</v>
      </c>
      <c r="F1058" s="32" t="s">
        <v>761</v>
      </c>
    </row>
    <row r="1059" spans="1:6">
      <c r="A1059" s="29">
        <v>73563</v>
      </c>
      <c r="B1059" s="31" t="s">
        <v>1673</v>
      </c>
      <c r="C1059" s="31" t="s">
        <v>324</v>
      </c>
      <c r="D1059" s="31" t="s">
        <v>322</v>
      </c>
      <c r="E1059" s="31" t="s">
        <v>760</v>
      </c>
      <c r="F1059" s="32" t="s">
        <v>765</v>
      </c>
    </row>
    <row r="1060" spans="1:6">
      <c r="A1060" s="29">
        <v>73585</v>
      </c>
      <c r="B1060" s="31" t="s">
        <v>1674</v>
      </c>
      <c r="C1060" s="31" t="s">
        <v>324</v>
      </c>
      <c r="D1060" s="31" t="s">
        <v>322</v>
      </c>
      <c r="E1060" s="31" t="s">
        <v>760</v>
      </c>
      <c r="F1060" s="32" t="s">
        <v>763</v>
      </c>
    </row>
    <row r="1061" spans="1:6">
      <c r="A1061" s="29">
        <v>73616</v>
      </c>
      <c r="B1061" s="31" t="s">
        <v>697</v>
      </c>
      <c r="C1061" s="31" t="s">
        <v>324</v>
      </c>
      <c r="D1061" s="31" t="s">
        <v>322</v>
      </c>
      <c r="E1061" s="31" t="s">
        <v>760</v>
      </c>
      <c r="F1061" s="32" t="s">
        <v>761</v>
      </c>
    </row>
    <row r="1062" spans="1:6">
      <c r="A1062" s="29">
        <v>73622</v>
      </c>
      <c r="B1062" s="31" t="s">
        <v>1675</v>
      </c>
      <c r="C1062" s="31" t="s">
        <v>324</v>
      </c>
      <c r="D1062" s="31" t="s">
        <v>322</v>
      </c>
      <c r="E1062" s="31" t="s">
        <v>760</v>
      </c>
      <c r="F1062" s="32" t="s">
        <v>761</v>
      </c>
    </row>
    <row r="1063" spans="1:6">
      <c r="A1063" s="29">
        <v>73624</v>
      </c>
      <c r="B1063" s="31" t="s">
        <v>1676</v>
      </c>
      <c r="C1063" s="31" t="s">
        <v>324</v>
      </c>
      <c r="D1063" s="31" t="s">
        <v>322</v>
      </c>
      <c r="E1063" s="31" t="s">
        <v>760</v>
      </c>
      <c r="F1063" s="32" t="s">
        <v>765</v>
      </c>
    </row>
    <row r="1064" spans="1:6">
      <c r="A1064" s="29">
        <v>73671</v>
      </c>
      <c r="B1064" s="31" t="s">
        <v>1677</v>
      </c>
      <c r="C1064" s="31" t="s">
        <v>324</v>
      </c>
      <c r="D1064" s="31" t="s">
        <v>322</v>
      </c>
      <c r="E1064" s="31" t="s">
        <v>760</v>
      </c>
      <c r="F1064" s="32" t="s">
        <v>763</v>
      </c>
    </row>
    <row r="1065" spans="1:6">
      <c r="A1065" s="29">
        <v>73675</v>
      </c>
      <c r="B1065" s="31" t="s">
        <v>1678</v>
      </c>
      <c r="C1065" s="31" t="s">
        <v>324</v>
      </c>
      <c r="D1065" s="31" t="s">
        <v>322</v>
      </c>
      <c r="E1065" s="31" t="s">
        <v>760</v>
      </c>
      <c r="F1065" s="32" t="s">
        <v>761</v>
      </c>
    </row>
    <row r="1066" spans="1:6">
      <c r="A1066" s="29">
        <v>73686</v>
      </c>
      <c r="B1066" s="31" t="s">
        <v>1679</v>
      </c>
      <c r="C1066" s="31" t="s">
        <v>324</v>
      </c>
      <c r="D1066" s="31" t="s">
        <v>322</v>
      </c>
      <c r="E1066" s="31" t="s">
        <v>760</v>
      </c>
      <c r="F1066" s="32" t="s">
        <v>765</v>
      </c>
    </row>
    <row r="1067" spans="1:6">
      <c r="A1067" s="29">
        <v>73854</v>
      </c>
      <c r="B1067" s="31" t="s">
        <v>1680</v>
      </c>
      <c r="C1067" s="31" t="s">
        <v>324</v>
      </c>
      <c r="D1067" s="31" t="s">
        <v>322</v>
      </c>
      <c r="E1067" s="31" t="s">
        <v>760</v>
      </c>
      <c r="F1067" s="32" t="s">
        <v>763</v>
      </c>
    </row>
    <row r="1068" spans="1:6">
      <c r="A1068" s="29">
        <v>73861</v>
      </c>
      <c r="B1068" s="31" t="s">
        <v>1681</v>
      </c>
      <c r="C1068" s="31" t="s">
        <v>324</v>
      </c>
      <c r="D1068" s="31" t="s">
        <v>322</v>
      </c>
      <c r="E1068" s="31" t="s">
        <v>760</v>
      </c>
      <c r="F1068" s="32" t="s">
        <v>763</v>
      </c>
    </row>
    <row r="1069" spans="1:6">
      <c r="A1069" s="29">
        <v>73870</v>
      </c>
      <c r="B1069" s="31" t="s">
        <v>1682</v>
      </c>
      <c r="C1069" s="31" t="s">
        <v>324</v>
      </c>
      <c r="D1069" s="31" t="s">
        <v>322</v>
      </c>
      <c r="E1069" s="31" t="s">
        <v>760</v>
      </c>
      <c r="F1069" s="32" t="s">
        <v>765</v>
      </c>
    </row>
    <row r="1070" spans="1:6">
      <c r="A1070" s="29">
        <v>73873</v>
      </c>
      <c r="B1070" s="31" t="s">
        <v>1683</v>
      </c>
      <c r="C1070" s="31" t="s">
        <v>324</v>
      </c>
      <c r="D1070" s="31" t="s">
        <v>322</v>
      </c>
      <c r="E1070" s="31" t="s">
        <v>760</v>
      </c>
      <c r="F1070" s="32" t="s">
        <v>765</v>
      </c>
    </row>
    <row r="1071" spans="1:6">
      <c r="A1071" s="29">
        <v>76054</v>
      </c>
      <c r="B1071" s="30" t="s">
        <v>759</v>
      </c>
      <c r="C1071" s="31" t="s">
        <v>143</v>
      </c>
      <c r="D1071" s="31" t="s">
        <v>141</v>
      </c>
      <c r="E1071" s="31" t="s">
        <v>760</v>
      </c>
      <c r="F1071" s="32" t="s">
        <v>765</v>
      </c>
    </row>
    <row r="1072" spans="1:6">
      <c r="A1072" s="29">
        <v>76100</v>
      </c>
      <c r="B1072" s="30" t="s">
        <v>281</v>
      </c>
      <c r="C1072" s="31" t="s">
        <v>143</v>
      </c>
      <c r="D1072" s="31" t="s">
        <v>141</v>
      </c>
      <c r="E1072" s="31" t="s">
        <v>760</v>
      </c>
      <c r="F1072" s="32" t="s">
        <v>763</v>
      </c>
    </row>
    <row r="1073" spans="1:6">
      <c r="A1073" s="29">
        <v>76130</v>
      </c>
      <c r="B1073" s="30" t="s">
        <v>885</v>
      </c>
      <c r="C1073" s="31" t="s">
        <v>143</v>
      </c>
      <c r="D1073" s="31" t="s">
        <v>112</v>
      </c>
      <c r="E1073" s="31" t="s">
        <v>760</v>
      </c>
      <c r="F1073" s="32" t="s">
        <v>763</v>
      </c>
    </row>
    <row r="1074" spans="1:6">
      <c r="A1074" s="29">
        <v>76400</v>
      </c>
      <c r="B1074" s="30" t="s">
        <v>773</v>
      </c>
      <c r="C1074" s="31" t="s">
        <v>143</v>
      </c>
      <c r="D1074" s="31" t="s">
        <v>141</v>
      </c>
      <c r="E1074" s="31" t="s">
        <v>760</v>
      </c>
      <c r="F1074" s="32" t="s">
        <v>763</v>
      </c>
    </row>
    <row r="1075" spans="1:6">
      <c r="A1075" s="29">
        <v>76403</v>
      </c>
      <c r="B1075" s="30" t="s">
        <v>745</v>
      </c>
      <c r="C1075" s="31" t="s">
        <v>143</v>
      </c>
      <c r="D1075" s="31" t="s">
        <v>141</v>
      </c>
      <c r="E1075" s="31" t="s">
        <v>760</v>
      </c>
      <c r="F1075" s="32" t="s">
        <v>763</v>
      </c>
    </row>
    <row r="1076" spans="1:6">
      <c r="A1076" s="29">
        <v>76606</v>
      </c>
      <c r="B1076" s="30" t="s">
        <v>1412</v>
      </c>
      <c r="C1076" s="31" t="s">
        <v>143</v>
      </c>
      <c r="D1076" s="31" t="s">
        <v>112</v>
      </c>
      <c r="E1076" s="31" t="s">
        <v>760</v>
      </c>
      <c r="F1076" s="32" t="s">
        <v>763</v>
      </c>
    </row>
    <row r="1077" spans="1:6">
      <c r="A1077" s="29">
        <v>76670</v>
      </c>
      <c r="B1077" s="30" t="s">
        <v>1620</v>
      </c>
      <c r="C1077" s="31" t="s">
        <v>143</v>
      </c>
      <c r="D1077" s="31" t="s">
        <v>112</v>
      </c>
      <c r="E1077" s="31" t="s">
        <v>760</v>
      </c>
      <c r="F1077" s="32" t="s">
        <v>763</v>
      </c>
    </row>
    <row r="1078" spans="1:6">
      <c r="A1078" s="29">
        <v>76020</v>
      </c>
      <c r="B1078" s="31" t="s">
        <v>1684</v>
      </c>
      <c r="C1078" s="31" t="s">
        <v>143</v>
      </c>
      <c r="D1078" s="31" t="s">
        <v>141</v>
      </c>
      <c r="E1078" s="31" t="s">
        <v>760</v>
      </c>
      <c r="F1078" s="32" t="s">
        <v>763</v>
      </c>
    </row>
    <row r="1079" spans="1:6">
      <c r="A1079" s="29">
        <v>76036</v>
      </c>
      <c r="B1079" s="31" t="s">
        <v>1685</v>
      </c>
      <c r="C1079" s="31" t="s">
        <v>143</v>
      </c>
      <c r="D1079" s="31" t="s">
        <v>112</v>
      </c>
      <c r="E1079" s="31" t="s">
        <v>760</v>
      </c>
      <c r="F1079" s="32" t="s">
        <v>763</v>
      </c>
    </row>
    <row r="1080" spans="1:6">
      <c r="A1080" s="29">
        <v>76041</v>
      </c>
      <c r="B1080" s="31" t="s">
        <v>1686</v>
      </c>
      <c r="C1080" s="31" t="s">
        <v>143</v>
      </c>
      <c r="D1080" s="31" t="s">
        <v>141</v>
      </c>
      <c r="E1080" s="31" t="s">
        <v>760</v>
      </c>
      <c r="F1080" s="32" t="s">
        <v>763</v>
      </c>
    </row>
    <row r="1081" spans="1:6">
      <c r="A1081" s="29">
        <v>76109</v>
      </c>
      <c r="B1081" s="31" t="s">
        <v>1687</v>
      </c>
      <c r="C1081" s="31" t="s">
        <v>143</v>
      </c>
      <c r="D1081" s="31" t="s">
        <v>112</v>
      </c>
      <c r="E1081" s="31" t="s">
        <v>760</v>
      </c>
      <c r="F1081" s="32" t="s">
        <v>765</v>
      </c>
    </row>
    <row r="1082" spans="1:6">
      <c r="A1082" s="29">
        <v>76113</v>
      </c>
      <c r="B1082" s="31" t="s">
        <v>1688</v>
      </c>
      <c r="C1082" s="31" t="s">
        <v>143</v>
      </c>
      <c r="D1082" s="31" t="s">
        <v>112</v>
      </c>
      <c r="E1082" s="31" t="s">
        <v>760</v>
      </c>
      <c r="F1082" s="32" t="s">
        <v>763</v>
      </c>
    </row>
    <row r="1083" spans="1:6">
      <c r="A1083" s="29">
        <v>76122</v>
      </c>
      <c r="B1083" s="31" t="s">
        <v>1689</v>
      </c>
      <c r="C1083" s="31" t="s">
        <v>143</v>
      </c>
      <c r="D1083" s="31" t="s">
        <v>141</v>
      </c>
      <c r="E1083" s="31" t="s">
        <v>760</v>
      </c>
      <c r="F1083" s="32" t="s">
        <v>763</v>
      </c>
    </row>
    <row r="1084" spans="1:6">
      <c r="A1084" s="29">
        <v>76001</v>
      </c>
      <c r="B1084" s="31" t="s">
        <v>112</v>
      </c>
      <c r="C1084" s="31" t="s">
        <v>143</v>
      </c>
      <c r="D1084" s="31" t="s">
        <v>112</v>
      </c>
      <c r="E1084" s="31" t="s">
        <v>760</v>
      </c>
      <c r="F1084" s="32" t="s">
        <v>767</v>
      </c>
    </row>
    <row r="1085" spans="1:6">
      <c r="A1085" s="29">
        <v>76126</v>
      </c>
      <c r="B1085" s="31" t="s">
        <v>1690</v>
      </c>
      <c r="C1085" s="31" t="s">
        <v>143</v>
      </c>
      <c r="D1085" s="31" t="s">
        <v>112</v>
      </c>
      <c r="E1085" s="31" t="s">
        <v>760</v>
      </c>
      <c r="F1085" s="32" t="s">
        <v>763</v>
      </c>
    </row>
    <row r="1086" spans="1:6">
      <c r="A1086" s="29">
        <v>76147</v>
      </c>
      <c r="B1086" s="31" t="s">
        <v>1691</v>
      </c>
      <c r="C1086" s="31" t="s">
        <v>143</v>
      </c>
      <c r="D1086" s="31" t="s">
        <v>141</v>
      </c>
      <c r="E1086" s="31" t="s">
        <v>760</v>
      </c>
      <c r="F1086" s="32" t="s">
        <v>767</v>
      </c>
    </row>
    <row r="1087" spans="1:6">
      <c r="A1087" s="29">
        <v>76233</v>
      </c>
      <c r="B1087" s="31" t="s">
        <v>1692</v>
      </c>
      <c r="C1087" s="31" t="s">
        <v>143</v>
      </c>
      <c r="D1087" s="31" t="s">
        <v>112</v>
      </c>
      <c r="E1087" s="31" t="s">
        <v>760</v>
      </c>
      <c r="F1087" s="32" t="s">
        <v>763</v>
      </c>
    </row>
    <row r="1088" spans="1:6">
      <c r="A1088" s="29">
        <v>76243</v>
      </c>
      <c r="B1088" s="31" t="s">
        <v>1693</v>
      </c>
      <c r="C1088" s="31" t="s">
        <v>143</v>
      </c>
      <c r="D1088" s="31" t="s">
        <v>141</v>
      </c>
      <c r="E1088" s="31" t="s">
        <v>760</v>
      </c>
      <c r="F1088" s="32" t="s">
        <v>765</v>
      </c>
    </row>
    <row r="1089" spans="1:6">
      <c r="A1089" s="29">
        <v>76246</v>
      </c>
      <c r="B1089" s="31" t="s">
        <v>1694</v>
      </c>
      <c r="C1089" s="31" t="s">
        <v>143</v>
      </c>
      <c r="D1089" s="31" t="s">
        <v>141</v>
      </c>
      <c r="E1089" s="31" t="s">
        <v>760</v>
      </c>
      <c r="F1089" s="32" t="s">
        <v>765</v>
      </c>
    </row>
    <row r="1090" spans="1:6">
      <c r="A1090" s="29">
        <v>76248</v>
      </c>
      <c r="B1090" s="31" t="s">
        <v>1695</v>
      </c>
      <c r="C1090" s="31" t="s">
        <v>143</v>
      </c>
      <c r="D1090" s="31" t="s">
        <v>112</v>
      </c>
      <c r="E1090" s="31" t="s">
        <v>760</v>
      </c>
      <c r="F1090" s="32" t="s">
        <v>763</v>
      </c>
    </row>
    <row r="1091" spans="1:6">
      <c r="A1091" s="29">
        <v>76250</v>
      </c>
      <c r="B1091" s="31" t="s">
        <v>1696</v>
      </c>
      <c r="C1091" s="31" t="s">
        <v>143</v>
      </c>
      <c r="D1091" s="31" t="s">
        <v>141</v>
      </c>
      <c r="E1091" s="31" t="s">
        <v>760</v>
      </c>
      <c r="F1091" s="32" t="s">
        <v>763</v>
      </c>
    </row>
    <row r="1092" spans="1:6">
      <c r="A1092" s="29">
        <v>76275</v>
      </c>
      <c r="B1092" s="31" t="s">
        <v>1697</v>
      </c>
      <c r="C1092" s="31" t="s">
        <v>143</v>
      </c>
      <c r="D1092" s="31" t="s">
        <v>112</v>
      </c>
      <c r="E1092" s="31" t="s">
        <v>760</v>
      </c>
      <c r="F1092" s="32" t="s">
        <v>763</v>
      </c>
    </row>
    <row r="1093" spans="1:6">
      <c r="A1093" s="29">
        <v>76306</v>
      </c>
      <c r="B1093" s="31" t="s">
        <v>1698</v>
      </c>
      <c r="C1093" s="31" t="s">
        <v>143</v>
      </c>
      <c r="D1093" s="31" t="s">
        <v>112</v>
      </c>
      <c r="E1093" s="31" t="s">
        <v>760</v>
      </c>
      <c r="F1093" s="32" t="s">
        <v>763</v>
      </c>
    </row>
    <row r="1094" spans="1:6">
      <c r="A1094" s="29">
        <v>76318</v>
      </c>
      <c r="B1094" s="31" t="s">
        <v>1699</v>
      </c>
      <c r="C1094" s="31" t="s">
        <v>143</v>
      </c>
      <c r="D1094" s="31" t="s">
        <v>112</v>
      </c>
      <c r="E1094" s="31" t="s">
        <v>760</v>
      </c>
      <c r="F1094" s="32" t="s">
        <v>763</v>
      </c>
    </row>
    <row r="1095" spans="1:6">
      <c r="A1095" s="29">
        <v>76111</v>
      </c>
      <c r="B1095" s="31" t="s">
        <v>1700</v>
      </c>
      <c r="C1095" s="31" t="s">
        <v>143</v>
      </c>
      <c r="D1095" s="31" t="s">
        <v>112</v>
      </c>
      <c r="E1095" s="31" t="s">
        <v>760</v>
      </c>
      <c r="F1095" s="32" t="s">
        <v>763</v>
      </c>
    </row>
    <row r="1096" spans="1:6">
      <c r="A1096" s="29">
        <v>76364</v>
      </c>
      <c r="B1096" s="31" t="s">
        <v>652</v>
      </c>
      <c r="C1096" s="31" t="s">
        <v>143</v>
      </c>
      <c r="D1096" s="31" t="s">
        <v>112</v>
      </c>
      <c r="E1096" s="31" t="s">
        <v>760</v>
      </c>
      <c r="F1096" s="32" t="s">
        <v>763</v>
      </c>
    </row>
    <row r="1097" spans="1:6">
      <c r="A1097" s="29">
        <v>76377</v>
      </c>
      <c r="B1097" s="31" t="s">
        <v>1701</v>
      </c>
      <c r="C1097" s="31" t="s">
        <v>143</v>
      </c>
      <c r="D1097" s="31" t="s">
        <v>112</v>
      </c>
      <c r="E1097" s="31" t="s">
        <v>760</v>
      </c>
      <c r="F1097" s="32" t="s">
        <v>763</v>
      </c>
    </row>
    <row r="1098" spans="1:6">
      <c r="A1098" s="29">
        <v>76497</v>
      </c>
      <c r="B1098" s="31" t="s">
        <v>1702</v>
      </c>
      <c r="C1098" s="31" t="s">
        <v>143</v>
      </c>
      <c r="D1098" s="31" t="s">
        <v>141</v>
      </c>
      <c r="E1098" s="31" t="s">
        <v>760</v>
      </c>
      <c r="F1098" s="32" t="s">
        <v>763</v>
      </c>
    </row>
    <row r="1099" spans="1:6">
      <c r="A1099" s="29">
        <v>76520</v>
      </c>
      <c r="B1099" s="31" t="s">
        <v>1703</v>
      </c>
      <c r="C1099" s="31" t="s">
        <v>143</v>
      </c>
      <c r="D1099" s="31" t="s">
        <v>112</v>
      </c>
      <c r="E1099" s="31" t="s">
        <v>760</v>
      </c>
      <c r="F1099" s="32" t="s">
        <v>767</v>
      </c>
    </row>
    <row r="1100" spans="1:6">
      <c r="A1100" s="29">
        <v>76563</v>
      </c>
      <c r="B1100" s="31" t="s">
        <v>1704</v>
      </c>
      <c r="C1100" s="31" t="s">
        <v>143</v>
      </c>
      <c r="D1100" s="31" t="s">
        <v>112</v>
      </c>
      <c r="E1100" s="31" t="s">
        <v>760</v>
      </c>
      <c r="F1100" s="32" t="s">
        <v>763</v>
      </c>
    </row>
    <row r="1101" spans="1:6">
      <c r="A1101" s="29">
        <v>76616</v>
      </c>
      <c r="B1101" s="31" t="s">
        <v>1705</v>
      </c>
      <c r="C1101" s="31" t="s">
        <v>143</v>
      </c>
      <c r="D1101" s="31" t="s">
        <v>112</v>
      </c>
      <c r="E1101" s="31" t="s">
        <v>760</v>
      </c>
      <c r="F1101" s="32" t="s">
        <v>763</v>
      </c>
    </row>
    <row r="1102" spans="1:6">
      <c r="A1102" s="29">
        <v>76622</v>
      </c>
      <c r="B1102" s="31" t="s">
        <v>1706</v>
      </c>
      <c r="C1102" s="31" t="s">
        <v>143</v>
      </c>
      <c r="D1102" s="31" t="s">
        <v>141</v>
      </c>
      <c r="E1102" s="31" t="s">
        <v>760</v>
      </c>
      <c r="F1102" s="32" t="s">
        <v>765</v>
      </c>
    </row>
    <row r="1103" spans="1:6">
      <c r="A1103" s="29">
        <v>76736</v>
      </c>
      <c r="B1103" s="31" t="s">
        <v>144</v>
      </c>
      <c r="C1103" s="31" t="s">
        <v>143</v>
      </c>
      <c r="D1103" s="31" t="s">
        <v>141</v>
      </c>
      <c r="E1103" s="31" t="s">
        <v>760</v>
      </c>
      <c r="F1103" s="32" t="s">
        <v>763</v>
      </c>
    </row>
    <row r="1104" spans="1:6">
      <c r="A1104" s="29">
        <v>76823</v>
      </c>
      <c r="B1104" s="31" t="s">
        <v>1707</v>
      </c>
      <c r="C1104" s="31" t="s">
        <v>143</v>
      </c>
      <c r="D1104" s="31" t="s">
        <v>141</v>
      </c>
      <c r="E1104" s="31" t="s">
        <v>760</v>
      </c>
      <c r="F1104" s="32" t="s">
        <v>763</v>
      </c>
    </row>
    <row r="1105" spans="1:6">
      <c r="A1105" s="29">
        <v>76828</v>
      </c>
      <c r="B1105" s="31" t="s">
        <v>1708</v>
      </c>
      <c r="C1105" s="31" t="s">
        <v>143</v>
      </c>
      <c r="D1105" s="31" t="s">
        <v>141</v>
      </c>
      <c r="E1105" s="31" t="s">
        <v>760</v>
      </c>
      <c r="F1105" s="32" t="s">
        <v>763</v>
      </c>
    </row>
    <row r="1106" spans="1:6">
      <c r="A1106" s="29">
        <v>76834</v>
      </c>
      <c r="B1106" s="31" t="s">
        <v>1709</v>
      </c>
      <c r="C1106" s="31" t="s">
        <v>143</v>
      </c>
      <c r="D1106" s="31" t="s">
        <v>112</v>
      </c>
      <c r="E1106" s="31" t="s">
        <v>760</v>
      </c>
      <c r="F1106" s="32" t="s">
        <v>763</v>
      </c>
    </row>
    <row r="1107" spans="1:6">
      <c r="A1107" s="29">
        <v>76845</v>
      </c>
      <c r="B1107" s="31" t="s">
        <v>1710</v>
      </c>
      <c r="C1107" s="31" t="s">
        <v>143</v>
      </c>
      <c r="D1107" s="31" t="s">
        <v>141</v>
      </c>
      <c r="E1107" s="31" t="s">
        <v>760</v>
      </c>
      <c r="F1107" s="32" t="s">
        <v>763</v>
      </c>
    </row>
    <row r="1108" spans="1:6">
      <c r="A1108" s="29">
        <v>76863</v>
      </c>
      <c r="B1108" s="31" t="s">
        <v>1711</v>
      </c>
      <c r="C1108" s="31" t="s">
        <v>143</v>
      </c>
      <c r="D1108" s="31" t="s">
        <v>141</v>
      </c>
      <c r="E1108" s="31" t="s">
        <v>760</v>
      </c>
      <c r="F1108" s="32" t="s">
        <v>765</v>
      </c>
    </row>
    <row r="1109" spans="1:6">
      <c r="A1109" s="29">
        <v>76869</v>
      </c>
      <c r="B1109" s="31" t="s">
        <v>1712</v>
      </c>
      <c r="C1109" s="31" t="s">
        <v>143</v>
      </c>
      <c r="D1109" s="31" t="s">
        <v>112</v>
      </c>
      <c r="E1109" s="31" t="s">
        <v>760</v>
      </c>
      <c r="F1109" s="32" t="s">
        <v>763</v>
      </c>
    </row>
    <row r="1110" spans="1:6">
      <c r="A1110" s="29">
        <v>76890</v>
      </c>
      <c r="B1110" s="31" t="s">
        <v>1713</v>
      </c>
      <c r="C1110" s="31" t="s">
        <v>143</v>
      </c>
      <c r="D1110" s="31" t="s">
        <v>112</v>
      </c>
      <c r="E1110" s="31" t="s">
        <v>760</v>
      </c>
      <c r="F1110" s="32" t="s">
        <v>763</v>
      </c>
    </row>
    <row r="1111" spans="1:6">
      <c r="A1111" s="29">
        <v>76892</v>
      </c>
      <c r="B1111" s="31" t="s">
        <v>1714</v>
      </c>
      <c r="C1111" s="31" t="s">
        <v>143</v>
      </c>
      <c r="D1111" s="31" t="s">
        <v>112</v>
      </c>
      <c r="E1111" s="31" t="s">
        <v>760</v>
      </c>
      <c r="F1111" s="32" t="s">
        <v>767</v>
      </c>
    </row>
    <row r="1112" spans="1:6">
      <c r="A1112" s="29">
        <v>76895</v>
      </c>
      <c r="B1112" s="31" t="s">
        <v>1715</v>
      </c>
      <c r="C1112" s="31" t="s">
        <v>143</v>
      </c>
      <c r="D1112" s="31" t="s">
        <v>141</v>
      </c>
      <c r="E1112" s="31" t="s">
        <v>760</v>
      </c>
      <c r="F1112" s="32" t="s">
        <v>765</v>
      </c>
    </row>
    <row r="1113" spans="1:6">
      <c r="A1113" s="29">
        <v>97161</v>
      </c>
      <c r="B1113" s="31" t="s">
        <v>1716</v>
      </c>
      <c r="C1113" s="31" t="s">
        <v>1717</v>
      </c>
      <c r="D1113" s="31" t="s">
        <v>302</v>
      </c>
      <c r="E1113" s="31" t="s">
        <v>747</v>
      </c>
      <c r="F1113" s="32" t="s">
        <v>748</v>
      </c>
    </row>
    <row r="1114" spans="1:6">
      <c r="A1114" s="29">
        <v>97001</v>
      </c>
      <c r="B1114" s="31" t="s">
        <v>1718</v>
      </c>
      <c r="C1114" s="31" t="s">
        <v>1717</v>
      </c>
      <c r="D1114" s="31" t="s">
        <v>76</v>
      </c>
      <c r="E1114" s="31" t="s">
        <v>747</v>
      </c>
      <c r="F1114" s="32" t="s">
        <v>748</v>
      </c>
    </row>
    <row r="1115" spans="1:6">
      <c r="A1115" s="29">
        <v>97511</v>
      </c>
      <c r="B1115" s="31" t="s">
        <v>1719</v>
      </c>
      <c r="C1115" s="31" t="s">
        <v>1717</v>
      </c>
      <c r="D1115" s="31" t="s">
        <v>302</v>
      </c>
      <c r="E1115" s="31" t="s">
        <v>747</v>
      </c>
      <c r="F1115" s="32" t="s">
        <v>748</v>
      </c>
    </row>
    <row r="1116" spans="1:6">
      <c r="A1116" s="29">
        <v>97777</v>
      </c>
      <c r="B1116" s="31" t="s">
        <v>1720</v>
      </c>
      <c r="C1116" s="31" t="s">
        <v>1717</v>
      </c>
      <c r="D1116" s="31" t="s">
        <v>302</v>
      </c>
      <c r="E1116" s="31" t="s">
        <v>747</v>
      </c>
      <c r="F1116" s="32" t="s">
        <v>748</v>
      </c>
    </row>
    <row r="1117" spans="1:6">
      <c r="A1117" s="29">
        <v>97666</v>
      </c>
      <c r="B1117" s="31" t="s">
        <v>1721</v>
      </c>
      <c r="C1117" s="31" t="s">
        <v>1717</v>
      </c>
      <c r="D1117" s="31" t="s">
        <v>302</v>
      </c>
      <c r="E1117" s="31" t="s">
        <v>747</v>
      </c>
      <c r="F1117" s="32" t="s">
        <v>748</v>
      </c>
    </row>
    <row r="1118" spans="1:6">
      <c r="A1118" s="29">
        <v>97889</v>
      </c>
      <c r="B1118" s="31" t="s">
        <v>1722</v>
      </c>
      <c r="C1118" s="31" t="s">
        <v>1717</v>
      </c>
      <c r="D1118" s="31" t="s">
        <v>302</v>
      </c>
      <c r="E1118" s="31" t="s">
        <v>747</v>
      </c>
      <c r="F1118" s="32" t="s">
        <v>748</v>
      </c>
    </row>
    <row r="1119" spans="1:6">
      <c r="A1119" s="29">
        <v>99773</v>
      </c>
      <c r="B1119" s="31" t="s">
        <v>1723</v>
      </c>
      <c r="C1119" s="31" t="s">
        <v>1724</v>
      </c>
      <c r="D1119" s="31" t="s">
        <v>302</v>
      </c>
      <c r="E1119" s="31" t="s">
        <v>747</v>
      </c>
      <c r="F1119" s="32" t="s">
        <v>748</v>
      </c>
    </row>
    <row r="1120" spans="1:6">
      <c r="A1120" s="29">
        <v>99524</v>
      </c>
      <c r="B1120" s="31" t="s">
        <v>1725</v>
      </c>
      <c r="C1120" s="31" t="s">
        <v>1724</v>
      </c>
      <c r="D1120" s="31" t="s">
        <v>302</v>
      </c>
      <c r="E1120" s="31" t="s">
        <v>747</v>
      </c>
      <c r="F1120" s="32" t="s">
        <v>748</v>
      </c>
    </row>
    <row r="1121" spans="1:6">
      <c r="A1121" s="29">
        <v>99001</v>
      </c>
      <c r="B1121" s="31" t="s">
        <v>1726</v>
      </c>
      <c r="C1121" s="31" t="s">
        <v>1724</v>
      </c>
      <c r="D1121" s="31" t="s">
        <v>76</v>
      </c>
      <c r="E1121" s="31" t="s">
        <v>747</v>
      </c>
      <c r="F1121" s="32" t="s">
        <v>748</v>
      </c>
    </row>
    <row r="1122" spans="1:6">
      <c r="A1122" s="29">
        <v>99624</v>
      </c>
      <c r="B1122" s="31" t="s">
        <v>1727</v>
      </c>
      <c r="C1122" s="31" t="s">
        <v>1724</v>
      </c>
      <c r="D1122" s="31" t="s">
        <v>302</v>
      </c>
      <c r="E1122" s="31" t="s">
        <v>747</v>
      </c>
      <c r="F1122" s="32" t="s">
        <v>748</v>
      </c>
    </row>
    <row r="1123" spans="1:6">
      <c r="A1123" s="29">
        <v>23815</v>
      </c>
      <c r="B1123" s="31" t="s">
        <v>1728</v>
      </c>
      <c r="C1123" s="31" t="s">
        <v>658</v>
      </c>
      <c r="D1123" s="31" t="s">
        <v>514</v>
      </c>
      <c r="E1123" s="31" t="s">
        <v>760</v>
      </c>
      <c r="F1123" s="32" t="s">
        <v>765</v>
      </c>
    </row>
    <row r="1124" spans="1:6">
      <c r="A1124" s="29">
        <v>23682</v>
      </c>
      <c r="B1124" s="31" t="s">
        <v>1729</v>
      </c>
      <c r="C1124" s="31" t="s">
        <v>658</v>
      </c>
      <c r="D1124" s="31" t="s">
        <v>514</v>
      </c>
      <c r="E1124" s="31" t="s">
        <v>760</v>
      </c>
      <c r="F1124" s="32" t="s">
        <v>765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972C-EFDE-4E2F-A236-33A355414275}">
  <dimension ref="A1:D23"/>
  <sheetViews>
    <sheetView topLeftCell="A7" workbookViewId="0">
      <selection activeCell="E17" sqref="E17"/>
    </sheetView>
  </sheetViews>
  <sheetFormatPr defaultColWidth="11.42578125" defaultRowHeight="14.45"/>
  <cols>
    <col min="1" max="1" width="15.28515625" bestFit="1" customWidth="1"/>
    <col min="2" max="2" width="18.28515625" bestFit="1" customWidth="1"/>
    <col min="3" max="3" width="30.28515625" bestFit="1" customWidth="1"/>
    <col min="4" max="4" width="34.140625" bestFit="1" customWidth="1"/>
  </cols>
  <sheetData>
    <row r="1" spans="1:4">
      <c r="A1" s="17" t="s">
        <v>54</v>
      </c>
      <c r="B1" s="17" t="s">
        <v>1730</v>
      </c>
      <c r="C1" s="17" t="s">
        <v>1731</v>
      </c>
      <c r="D1" s="22" t="s">
        <v>29</v>
      </c>
    </row>
    <row r="2" spans="1:4">
      <c r="A2" s="34" t="s">
        <v>623</v>
      </c>
      <c r="B2" s="35" t="s">
        <v>40</v>
      </c>
      <c r="C2" s="35" t="s">
        <v>1732</v>
      </c>
      <c r="D2" s="35" t="s">
        <v>39</v>
      </c>
    </row>
    <row r="3" spans="1:4">
      <c r="A3" s="36" t="s">
        <v>271</v>
      </c>
      <c r="B3" s="37" t="s">
        <v>38</v>
      </c>
      <c r="C3" s="37" t="s">
        <v>1733</v>
      </c>
      <c r="D3" s="37" t="s">
        <v>37</v>
      </c>
    </row>
    <row r="4" spans="1:4">
      <c r="A4" s="36" t="s">
        <v>76</v>
      </c>
      <c r="B4" s="37" t="s">
        <v>46</v>
      </c>
      <c r="C4" s="37" t="s">
        <v>1734</v>
      </c>
      <c r="D4" s="37" t="s">
        <v>45</v>
      </c>
    </row>
    <row r="5" spans="1:4">
      <c r="A5" s="36" t="s">
        <v>188</v>
      </c>
      <c r="B5" s="37" t="s">
        <v>44</v>
      </c>
      <c r="C5" s="37" t="s">
        <v>1735</v>
      </c>
      <c r="D5" s="37" t="s">
        <v>43</v>
      </c>
    </row>
    <row r="6" spans="1:4">
      <c r="A6" s="36" t="s">
        <v>112</v>
      </c>
      <c r="B6" s="37" t="s">
        <v>36</v>
      </c>
      <c r="C6" s="37" t="s">
        <v>1736</v>
      </c>
      <c r="D6" s="37" t="s">
        <v>34</v>
      </c>
    </row>
    <row r="7" spans="1:4">
      <c r="A7" s="36" t="s">
        <v>279</v>
      </c>
      <c r="B7" s="37" t="s">
        <v>38</v>
      </c>
      <c r="C7" s="37" t="s">
        <v>1733</v>
      </c>
      <c r="D7" s="37" t="s">
        <v>37</v>
      </c>
    </row>
    <row r="8" spans="1:4">
      <c r="A8" s="36" t="s">
        <v>101</v>
      </c>
      <c r="B8" s="37" t="s">
        <v>44</v>
      </c>
      <c r="C8" s="37" t="s">
        <v>1735</v>
      </c>
      <c r="D8" s="37" t="s">
        <v>43</v>
      </c>
    </row>
    <row r="9" spans="1:4">
      <c r="A9" s="36" t="s">
        <v>290</v>
      </c>
      <c r="B9" s="37" t="s">
        <v>42</v>
      </c>
      <c r="C9" s="37" t="s">
        <v>1737</v>
      </c>
      <c r="D9" s="37" t="s">
        <v>41</v>
      </c>
    </row>
    <row r="10" spans="1:4">
      <c r="A10" s="36" t="s">
        <v>322</v>
      </c>
      <c r="B10" s="37" t="s">
        <v>42</v>
      </c>
      <c r="C10" s="37" t="s">
        <v>1737</v>
      </c>
      <c r="D10" s="37" t="s">
        <v>41</v>
      </c>
    </row>
    <row r="11" spans="1:4">
      <c r="A11" s="36" t="s">
        <v>555</v>
      </c>
      <c r="B11" s="37" t="s">
        <v>35</v>
      </c>
      <c r="C11" s="37" t="s">
        <v>1738</v>
      </c>
      <c r="D11" s="37" t="s">
        <v>34</v>
      </c>
    </row>
    <row r="12" spans="1:4">
      <c r="A12" s="36" t="s">
        <v>158</v>
      </c>
      <c r="B12" s="37" t="s">
        <v>40</v>
      </c>
      <c r="C12" s="37" t="s">
        <v>1732</v>
      </c>
      <c r="D12" s="37" t="s">
        <v>39</v>
      </c>
    </row>
    <row r="13" spans="1:4">
      <c r="A13" s="36" t="s">
        <v>514</v>
      </c>
      <c r="B13" s="37" t="s">
        <v>38</v>
      </c>
      <c r="C13" s="37" t="s">
        <v>1733</v>
      </c>
      <c r="D13" s="37" t="s">
        <v>37</v>
      </c>
    </row>
    <row r="14" spans="1:4">
      <c r="A14" s="36" t="s">
        <v>287</v>
      </c>
      <c r="B14" s="37" t="s">
        <v>42</v>
      </c>
      <c r="C14" s="37" t="s">
        <v>1737</v>
      </c>
      <c r="D14" s="37" t="s">
        <v>41</v>
      </c>
    </row>
    <row r="15" spans="1:4">
      <c r="A15" s="36" t="s">
        <v>235</v>
      </c>
      <c r="B15" s="37" t="s">
        <v>36</v>
      </c>
      <c r="C15" s="37" t="s">
        <v>1736</v>
      </c>
      <c r="D15" s="37" t="s">
        <v>34</v>
      </c>
    </row>
    <row r="16" spans="1:4">
      <c r="A16" s="36" t="s">
        <v>141</v>
      </c>
      <c r="B16" s="37" t="s">
        <v>35</v>
      </c>
      <c r="C16" s="37" t="s">
        <v>1738</v>
      </c>
      <c r="D16" s="37" t="s">
        <v>34</v>
      </c>
    </row>
    <row r="17" spans="1:4">
      <c r="A17" s="36" t="s">
        <v>479</v>
      </c>
      <c r="B17" s="37" t="s">
        <v>36</v>
      </c>
      <c r="C17" s="37" t="s">
        <v>1736</v>
      </c>
      <c r="D17" s="37" t="s">
        <v>34</v>
      </c>
    </row>
    <row r="18" spans="1:4">
      <c r="A18" s="36" t="s">
        <v>210</v>
      </c>
      <c r="B18" s="37" t="s">
        <v>38</v>
      </c>
      <c r="C18" s="37" t="s">
        <v>1733</v>
      </c>
      <c r="D18" s="37" t="s">
        <v>37</v>
      </c>
    </row>
    <row r="19" spans="1:4">
      <c r="A19" s="36" t="s">
        <v>484</v>
      </c>
      <c r="B19" s="37" t="s">
        <v>38</v>
      </c>
      <c r="C19" s="37" t="s">
        <v>1733</v>
      </c>
      <c r="D19" s="37" t="s">
        <v>37</v>
      </c>
    </row>
    <row r="20" spans="1:4">
      <c r="A20" s="36" t="s">
        <v>126</v>
      </c>
      <c r="B20" s="37" t="s">
        <v>44</v>
      </c>
      <c r="C20" s="37" t="s">
        <v>1735</v>
      </c>
      <c r="D20" s="37" t="s">
        <v>43</v>
      </c>
    </row>
    <row r="21" spans="1:4">
      <c r="A21" s="36" t="s">
        <v>167</v>
      </c>
      <c r="B21" s="37" t="s">
        <v>38</v>
      </c>
      <c r="C21" s="37" t="s">
        <v>1733</v>
      </c>
      <c r="D21" s="37" t="s">
        <v>37</v>
      </c>
    </row>
    <row r="22" spans="1:4">
      <c r="A22" s="36" t="s">
        <v>302</v>
      </c>
      <c r="B22" s="37" t="s">
        <v>42</v>
      </c>
      <c r="C22" s="37" t="s">
        <v>1737</v>
      </c>
      <c r="D22" s="37" t="s">
        <v>41</v>
      </c>
    </row>
    <row r="23" spans="1:4">
      <c r="A23" s="36" t="s">
        <v>498</v>
      </c>
      <c r="B23" s="37" t="s">
        <v>42</v>
      </c>
      <c r="C23" s="37" t="s">
        <v>1737</v>
      </c>
      <c r="D23" s="37" t="s">
        <v>41</v>
      </c>
    </row>
  </sheetData>
  <autoFilter ref="A1:D23" xr:uid="{72E9972C-EFDE-4E2F-A236-33A35541427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1af35ee29490cb16462bfe4830e440c0">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41995a57b18272937ca9dd89fffb3d1b"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0AF1CE-8F39-4AE7-8649-5969BF5C95CF}"/>
</file>

<file path=customXml/itemProps2.xml><?xml version="1.0" encoding="utf-8"?>
<ds:datastoreItem xmlns:ds="http://schemas.openxmlformats.org/officeDocument/2006/customXml" ds:itemID="{0866F74B-519F-4C27-B544-8E91289FDD73}"/>
</file>

<file path=customXml/itemProps3.xml><?xml version="1.0" encoding="utf-8"?>
<ds:datastoreItem xmlns:ds="http://schemas.openxmlformats.org/officeDocument/2006/customXml" ds:itemID="{046B0A86-766C-4636-B8E7-2A53E58A4B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dc:creator>
  <cp:keywords/>
  <dc:description/>
  <cp:lastModifiedBy>Lini Jhojana Hernandez Mora</cp:lastModifiedBy>
  <cp:revision/>
  <dcterms:created xsi:type="dcterms:W3CDTF">2015-11-09T13:46:27Z</dcterms:created>
  <dcterms:modified xsi:type="dcterms:W3CDTF">2025-10-06T17:28:55Z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