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hidePivotFieldList="1" defaultThemeVersion="124226"/>
  <mc:AlternateContent xmlns:mc="http://schemas.openxmlformats.org/markup-compatibility/2006">
    <mc:Choice Requires="x15">
      <x15ac:absPath xmlns:x15ac="http://schemas.microsoft.com/office/spreadsheetml/2010/11/ac" url="https://lineacomunicacionesco-my.sharepoint.com/personal/lini_hernandez_lineacom_co/Documents/CONSOLIDADO PRODUCCIÓN 2025/SEPTIEMBRE/"/>
    </mc:Choice>
  </mc:AlternateContent>
  <xr:revisionPtr revIDLastSave="1978" documentId="13_ncr:1_{8A38B4BC-F766-4F7A-B12B-566466AF142C}" xr6:coauthVersionLast="47" xr6:coauthVersionMax="47" xr10:uidLastSave="{31B14C03-2C17-496A-9149-215D04D035B3}"/>
  <bookViews>
    <workbookView xWindow="-120" yWindow="-120" windowWidth="29040" windowHeight="15840" tabRatio="896" activeTab="3" xr2:uid="{00000000-000D-0000-FFFF-FFFF00000000}"/>
  </bookViews>
  <sheets>
    <sheet name="RESUMEN" sheetId="14" r:id="rId1"/>
    <sheet name="Tablas dinámicas" sheetId="203" r:id="rId2"/>
    <sheet name="BASE LIQUIDACION" sheetId="23" r:id="rId3"/>
    <sheet name="ADECUACIONES" sheetId="200" r:id="rId4"/>
    <sheet name="TIPOLOGIAS" sheetId="202" state="hidden" r:id="rId5"/>
    <sheet name="INCIDENTES" sheetId="199" r:id="rId6"/>
    <sheet name="OC" sheetId="198" r:id="rId7"/>
    <sheet name="CENTRO DE COSTOS" sheetId="201" state="hidden" r:id="rId8"/>
  </sheets>
  <externalReferences>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s>
  <definedNames>
    <definedName name="_xlnm._FilterDatabase" localSheetId="3" hidden="1">ADECUACIONES!$A$1:$AE$12</definedName>
    <definedName name="_xlnm._FilterDatabase" localSheetId="7" hidden="1">'CENTRO DE COSTOS'!$A$1:$D$23</definedName>
    <definedName name="_xlnm._FilterDatabase" localSheetId="5" hidden="1">INCIDENTES!$A$1:$AG$211</definedName>
    <definedName name="_xlnm._FilterDatabase" localSheetId="6" hidden="1">OC!$A$1:$AG$10</definedName>
    <definedName name="A">#REF!</definedName>
    <definedName name="ACTIVIDAD" localSheetId="7">[1]Hoja2!$P$2:$P$30</definedName>
    <definedName name="Actividad">[2]Formulas!$H$2:$H$5000</definedName>
    <definedName name="arearesponsable">'[3]Listas desplegables'!$BB$2:$BB$100</definedName>
    <definedName name="Clientes" localSheetId="7">[4]Clientes!$A$2:$A$100</definedName>
    <definedName name="Clientes">[2]Clientes!$A$2:$A$100</definedName>
    <definedName name="COORDINADOR">[1]Hoja2!$D$2:$D$30</definedName>
    <definedName name="Coordinadores" localSheetId="7">[5]Coordinadores!$A$2:$A$1000</definedName>
    <definedName name="Coordinadores">[2]Coordinadores!$A$2:$A$1000</definedName>
    <definedName name="DOCUMENTADOR">[1]Hoja2!$A$2:$A$30</definedName>
    <definedName name="ES">[1]Hoja2!$K$2:$K$30</definedName>
    <definedName name="ESS">[1]Hoja2!$K$2:$K$30</definedName>
    <definedName name="Estado" localSheetId="7">[4]Formulas!$K$2:$K$5000</definedName>
    <definedName name="Estado">[2]Formulas!$K$2:$K$5000</definedName>
    <definedName name="ESTADOACTIVIDAD">[1]Hoja2!$M$2:$M$30</definedName>
    <definedName name="ESTADOS">'[6]Listas desplegables'!$B$1:$D$1</definedName>
    <definedName name="ESTADOSCIERRES">'[7]lista desplegable'!$CX$1:$DA$1</definedName>
    <definedName name="Facturacion">'[8]Listas desplegables'!$AO$1:$AR$1</definedName>
    <definedName name="FACTURACIÓN">'[6]Listas desplegables'!$Y$1:$AB$1</definedName>
    <definedName name="falla">#REF!</definedName>
    <definedName name="Fallas">'[9]Listas desplegables'!$F$2:$L$2</definedName>
    <definedName name="Grupo_Falla">'[10]Listas Desplegables'!$CH$2:$CH$5</definedName>
    <definedName name="inconservmanager">'[11]Listas desplegables'!$BC$2:$BC$100</definedName>
    <definedName name="INCUMPLIMIENTO">'[3]Listas desplegables'!$AK$1:$AN$1</definedName>
    <definedName name="LISTA">[12]Dptos!$A$1139:$A$1171</definedName>
    <definedName name="LISTA2">#REF!</definedName>
    <definedName name="LOLO">[13]Coordinadores!$A$2:$A$1000</definedName>
    <definedName name="solicitudes" localSheetId="7">'[8]Listas desplegables'!$U$1:$AF$1</definedName>
    <definedName name="solicitudes">'[14]Listas desplegables'!$AF$1:$AQ$1</definedName>
    <definedName name="Tecnicos" localSheetId="7">[4]Tecnicos!$A$2:$A$1000</definedName>
    <definedName name="Tecnicos">[2]Tecnicos!$A$2:$A$1000</definedName>
    <definedName name="Version">[2]Formulas!$I$2:$I$3</definedName>
  </definedNames>
  <calcPr calcId="191028"/>
  <pivotCaches>
    <pivotCache cacheId="2" r:id="rId23"/>
    <pivotCache cacheId="3" r:id="rId24"/>
    <pivotCache cacheId="4" r:id="rId25"/>
    <pivotCache cacheId="5" r:id="rId2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85" i="199" l="1"/>
  <c r="C185" i="199"/>
  <c r="B186" i="199"/>
  <c r="C186" i="199"/>
  <c r="B187" i="199"/>
  <c r="C187" i="199"/>
  <c r="B188" i="199"/>
  <c r="C188" i="199"/>
  <c r="B189" i="199"/>
  <c r="C189" i="199"/>
  <c r="B190" i="199"/>
  <c r="C190" i="199"/>
  <c r="B191" i="199"/>
  <c r="C191" i="199"/>
  <c r="B192" i="199"/>
  <c r="C192" i="199"/>
  <c r="B193" i="199"/>
  <c r="C193" i="199"/>
  <c r="B194" i="199"/>
  <c r="C194" i="199"/>
  <c r="B195" i="199"/>
  <c r="C195" i="199"/>
  <c r="B196" i="199"/>
  <c r="C196" i="199"/>
  <c r="B197" i="199"/>
  <c r="C197" i="199"/>
  <c r="B198" i="199"/>
  <c r="C198" i="199"/>
  <c r="B199" i="199"/>
  <c r="C199" i="199"/>
  <c r="B200" i="199"/>
  <c r="C200" i="199"/>
  <c r="B201" i="199"/>
  <c r="C201" i="199"/>
  <c r="B202" i="199"/>
  <c r="C202" i="199"/>
  <c r="B203" i="199"/>
  <c r="C203" i="199"/>
  <c r="B204" i="199"/>
  <c r="C204" i="199"/>
  <c r="B205" i="199"/>
  <c r="C205" i="199"/>
  <c r="B206" i="199"/>
  <c r="C206" i="199"/>
  <c r="B207" i="199"/>
  <c r="C207" i="199"/>
  <c r="B208" i="199"/>
  <c r="C208" i="199"/>
  <c r="B209" i="199"/>
  <c r="C209" i="199"/>
  <c r="B210" i="199"/>
  <c r="C210" i="199"/>
  <c r="B211" i="199"/>
  <c r="C211" i="199"/>
  <c r="B3" i="199"/>
  <c r="C3" i="199"/>
  <c r="B4" i="199"/>
  <c r="C4" i="199"/>
  <c r="B5" i="199"/>
  <c r="C5" i="199"/>
  <c r="B6" i="199"/>
  <c r="C6" i="199"/>
  <c r="B7" i="199"/>
  <c r="C7" i="199"/>
  <c r="B8" i="199"/>
  <c r="C8" i="199"/>
  <c r="B9" i="199"/>
  <c r="C9" i="199"/>
  <c r="B10" i="199"/>
  <c r="C10" i="199"/>
  <c r="B11" i="199"/>
  <c r="C11" i="199"/>
  <c r="B12" i="199"/>
  <c r="C12" i="199"/>
  <c r="B13" i="199"/>
  <c r="C13" i="199"/>
  <c r="B14" i="199"/>
  <c r="C14" i="199"/>
  <c r="B15" i="199"/>
  <c r="C15" i="199"/>
  <c r="B16" i="199"/>
  <c r="C16" i="199"/>
  <c r="B17" i="199"/>
  <c r="C17" i="199"/>
  <c r="B18" i="199"/>
  <c r="C18" i="199"/>
  <c r="B19" i="199"/>
  <c r="C19" i="199"/>
  <c r="B20" i="199"/>
  <c r="C20" i="199"/>
  <c r="B21" i="199"/>
  <c r="C21" i="199"/>
  <c r="B22" i="199"/>
  <c r="C22" i="199"/>
  <c r="B23" i="199"/>
  <c r="C23" i="199"/>
  <c r="B24" i="199"/>
  <c r="C24" i="199"/>
  <c r="B25" i="199"/>
  <c r="C25" i="199"/>
  <c r="B26" i="199"/>
  <c r="C26" i="199"/>
  <c r="B27" i="199"/>
  <c r="C27" i="199"/>
  <c r="B28" i="199"/>
  <c r="C28" i="199"/>
  <c r="B29" i="199"/>
  <c r="C29" i="199"/>
  <c r="B30" i="199"/>
  <c r="C30" i="199"/>
  <c r="B31" i="199"/>
  <c r="C31" i="199"/>
  <c r="B32" i="199"/>
  <c r="C32" i="199"/>
  <c r="B33" i="199"/>
  <c r="C33" i="199"/>
  <c r="B34" i="199"/>
  <c r="C34" i="199"/>
  <c r="B35" i="199"/>
  <c r="C35" i="199"/>
  <c r="B36" i="199"/>
  <c r="C36" i="199"/>
  <c r="B37" i="199"/>
  <c r="C37" i="199"/>
  <c r="B38" i="199"/>
  <c r="C38" i="199"/>
  <c r="B39" i="199"/>
  <c r="C39" i="199"/>
  <c r="B40" i="199"/>
  <c r="C40" i="199"/>
  <c r="B41" i="199"/>
  <c r="C41" i="199"/>
  <c r="B42" i="199"/>
  <c r="C42" i="199"/>
  <c r="B43" i="199"/>
  <c r="C43" i="199"/>
  <c r="B44" i="199"/>
  <c r="C44" i="199"/>
  <c r="B45" i="199"/>
  <c r="C45" i="199"/>
  <c r="B46" i="199"/>
  <c r="C46" i="199"/>
  <c r="B47" i="199"/>
  <c r="C47" i="199"/>
  <c r="B48" i="199"/>
  <c r="C48" i="199"/>
  <c r="B49" i="199"/>
  <c r="C49" i="199"/>
  <c r="B50" i="199"/>
  <c r="C50" i="199"/>
  <c r="B51" i="199"/>
  <c r="C51" i="199"/>
  <c r="B52" i="199"/>
  <c r="C52" i="199"/>
  <c r="B53" i="199"/>
  <c r="C53" i="199"/>
  <c r="B54" i="199"/>
  <c r="C54" i="199"/>
  <c r="B55" i="199"/>
  <c r="C55" i="199"/>
  <c r="B56" i="199"/>
  <c r="C56" i="199"/>
  <c r="B57" i="199"/>
  <c r="C57" i="199"/>
  <c r="B58" i="199"/>
  <c r="C58" i="199"/>
  <c r="B59" i="199"/>
  <c r="C59" i="199"/>
  <c r="B60" i="199"/>
  <c r="C60" i="199"/>
  <c r="B61" i="199"/>
  <c r="C61" i="199"/>
  <c r="B62" i="199"/>
  <c r="C62" i="199"/>
  <c r="B63" i="199"/>
  <c r="C63" i="199"/>
  <c r="B64" i="199"/>
  <c r="C64" i="199"/>
  <c r="B65" i="199"/>
  <c r="C65" i="199"/>
  <c r="B66" i="199"/>
  <c r="C66" i="199"/>
  <c r="B67" i="199"/>
  <c r="C67" i="199"/>
  <c r="B68" i="199"/>
  <c r="C68" i="199"/>
  <c r="B69" i="199"/>
  <c r="C69" i="199"/>
  <c r="B70" i="199"/>
  <c r="C70" i="199"/>
  <c r="B71" i="199"/>
  <c r="C71" i="199"/>
  <c r="B72" i="199"/>
  <c r="C72" i="199"/>
  <c r="B73" i="199"/>
  <c r="C73" i="199"/>
  <c r="B74" i="199"/>
  <c r="C74" i="199"/>
  <c r="B75" i="199"/>
  <c r="C75" i="199"/>
  <c r="B76" i="199"/>
  <c r="C76" i="199"/>
  <c r="B77" i="199"/>
  <c r="C77" i="199"/>
  <c r="B78" i="199"/>
  <c r="C78" i="199"/>
  <c r="B79" i="199"/>
  <c r="C79" i="199"/>
  <c r="B80" i="199"/>
  <c r="C80" i="199"/>
  <c r="B81" i="199"/>
  <c r="C81" i="199"/>
  <c r="B82" i="199"/>
  <c r="C82" i="199"/>
  <c r="B83" i="199"/>
  <c r="C83" i="199"/>
  <c r="B84" i="199"/>
  <c r="C84" i="199"/>
  <c r="B85" i="199"/>
  <c r="C85" i="199"/>
  <c r="B86" i="199"/>
  <c r="C86" i="199"/>
  <c r="B87" i="199"/>
  <c r="C87" i="199"/>
  <c r="B88" i="199"/>
  <c r="C88" i="199"/>
  <c r="B89" i="199"/>
  <c r="C89" i="199"/>
  <c r="B90" i="199"/>
  <c r="C90" i="199"/>
  <c r="B91" i="199"/>
  <c r="C91" i="199"/>
  <c r="B92" i="199"/>
  <c r="C92" i="199"/>
  <c r="B93" i="199"/>
  <c r="C93" i="199"/>
  <c r="B94" i="199"/>
  <c r="C94" i="199"/>
  <c r="B95" i="199"/>
  <c r="C95" i="199"/>
  <c r="B96" i="199"/>
  <c r="C96" i="199"/>
  <c r="B97" i="199"/>
  <c r="C97" i="199"/>
  <c r="B98" i="199"/>
  <c r="C98" i="199"/>
  <c r="B99" i="199"/>
  <c r="C99" i="199"/>
  <c r="B100" i="199"/>
  <c r="C100" i="199"/>
  <c r="B101" i="199"/>
  <c r="C101" i="199"/>
  <c r="B102" i="199"/>
  <c r="C102" i="199"/>
  <c r="B103" i="199"/>
  <c r="C103" i="199"/>
  <c r="B104" i="199"/>
  <c r="C104" i="199"/>
  <c r="B105" i="199"/>
  <c r="C105" i="199"/>
  <c r="B106" i="199"/>
  <c r="C106" i="199"/>
  <c r="B107" i="199"/>
  <c r="C107" i="199"/>
  <c r="B108" i="199"/>
  <c r="C108" i="199"/>
  <c r="B109" i="199"/>
  <c r="C109" i="199"/>
  <c r="B110" i="199"/>
  <c r="C110" i="199"/>
  <c r="B111" i="199"/>
  <c r="C111" i="199"/>
  <c r="B112" i="199"/>
  <c r="C112" i="199"/>
  <c r="B113" i="199"/>
  <c r="C113" i="199"/>
  <c r="B114" i="199"/>
  <c r="C114" i="199"/>
  <c r="B115" i="199"/>
  <c r="C115" i="199"/>
  <c r="B116" i="199"/>
  <c r="C116" i="199"/>
  <c r="B117" i="199"/>
  <c r="C117" i="199"/>
  <c r="B118" i="199"/>
  <c r="C118" i="199"/>
  <c r="B119" i="199"/>
  <c r="C119" i="199"/>
  <c r="B120" i="199"/>
  <c r="C120" i="199"/>
  <c r="B121" i="199"/>
  <c r="C121" i="199"/>
  <c r="B122" i="199"/>
  <c r="C122" i="199"/>
  <c r="B123" i="199"/>
  <c r="C123" i="199"/>
  <c r="B124" i="199"/>
  <c r="C124" i="199"/>
  <c r="B125" i="199"/>
  <c r="C125" i="199"/>
  <c r="B126" i="199"/>
  <c r="C126" i="199"/>
  <c r="B127" i="199"/>
  <c r="C127" i="199"/>
  <c r="B128" i="199"/>
  <c r="C128" i="199"/>
  <c r="B129" i="199"/>
  <c r="C129" i="199"/>
  <c r="B130" i="199"/>
  <c r="C130" i="199"/>
  <c r="B131" i="199"/>
  <c r="C131" i="199"/>
  <c r="B132" i="199"/>
  <c r="C132" i="199"/>
  <c r="B133" i="199"/>
  <c r="C133" i="199"/>
  <c r="B134" i="199"/>
  <c r="C134" i="199"/>
  <c r="B135" i="199"/>
  <c r="C135" i="199"/>
  <c r="B136" i="199"/>
  <c r="C136" i="199"/>
  <c r="B137" i="199"/>
  <c r="C137" i="199"/>
  <c r="B138" i="199"/>
  <c r="C138" i="199"/>
  <c r="B139" i="199"/>
  <c r="C139" i="199"/>
  <c r="B140" i="199"/>
  <c r="C140" i="199"/>
  <c r="B141" i="199"/>
  <c r="C141" i="199"/>
  <c r="B142" i="199"/>
  <c r="C142" i="199"/>
  <c r="B143" i="199"/>
  <c r="C143" i="199"/>
  <c r="B144" i="199"/>
  <c r="C144" i="199"/>
  <c r="B145" i="199"/>
  <c r="C145" i="199"/>
  <c r="B146" i="199"/>
  <c r="C146" i="199"/>
  <c r="B147" i="199"/>
  <c r="C147" i="199"/>
  <c r="B148" i="199"/>
  <c r="C148" i="199"/>
  <c r="B149" i="199"/>
  <c r="C149" i="199"/>
  <c r="B150" i="199"/>
  <c r="C150" i="199"/>
  <c r="B151" i="199"/>
  <c r="C151" i="199"/>
  <c r="B152" i="199"/>
  <c r="C152" i="199"/>
  <c r="B153" i="199"/>
  <c r="C153" i="199"/>
  <c r="B154" i="199"/>
  <c r="C154" i="199"/>
  <c r="B155" i="199"/>
  <c r="C155" i="199"/>
  <c r="B156" i="199"/>
  <c r="C156" i="199"/>
  <c r="B157" i="199"/>
  <c r="C157" i="199"/>
  <c r="B158" i="199"/>
  <c r="C158" i="199"/>
  <c r="B159" i="199"/>
  <c r="C159" i="199"/>
  <c r="B160" i="199"/>
  <c r="C160" i="199"/>
  <c r="B161" i="199"/>
  <c r="C161" i="199"/>
  <c r="B162" i="199"/>
  <c r="C162" i="199"/>
  <c r="B163" i="199"/>
  <c r="C163" i="199"/>
  <c r="B164" i="199"/>
  <c r="C164" i="199"/>
  <c r="B165" i="199"/>
  <c r="C165" i="199"/>
  <c r="B166" i="199"/>
  <c r="C166" i="199"/>
  <c r="B167" i="199"/>
  <c r="C167" i="199"/>
  <c r="B168" i="199"/>
  <c r="C168" i="199"/>
  <c r="B169" i="199"/>
  <c r="C169" i="199"/>
  <c r="B170" i="199"/>
  <c r="C170" i="199"/>
  <c r="B171" i="199"/>
  <c r="C171" i="199"/>
  <c r="B172" i="199"/>
  <c r="C172" i="199"/>
  <c r="B173" i="199"/>
  <c r="C173" i="199"/>
  <c r="B174" i="199"/>
  <c r="C174" i="199"/>
  <c r="B175" i="199"/>
  <c r="C175" i="199"/>
  <c r="B176" i="199"/>
  <c r="C176" i="199"/>
  <c r="B177" i="199"/>
  <c r="C177" i="199"/>
  <c r="B178" i="199"/>
  <c r="C178" i="199"/>
  <c r="B179" i="199"/>
  <c r="C179" i="199"/>
  <c r="B180" i="199"/>
  <c r="C180" i="199"/>
  <c r="B181" i="199"/>
  <c r="C181" i="199"/>
  <c r="B182" i="199"/>
  <c r="C182" i="199"/>
  <c r="B183" i="199"/>
  <c r="C183" i="199"/>
  <c r="B184" i="199"/>
  <c r="C184" i="199"/>
  <c r="B3" i="198"/>
  <c r="C3" i="198"/>
  <c r="B4" i="198"/>
  <c r="C4" i="198"/>
  <c r="B5" i="198"/>
  <c r="C5" i="198"/>
  <c r="B6" i="198"/>
  <c r="C6" i="198"/>
  <c r="B7" i="198"/>
  <c r="C7" i="198"/>
  <c r="B8" i="198"/>
  <c r="C8" i="198"/>
  <c r="B9" i="198"/>
  <c r="C9" i="198"/>
  <c r="B10" i="198"/>
  <c r="C10" i="198"/>
  <c r="B11" i="198"/>
  <c r="C11" i="198"/>
  <c r="B12" i="198"/>
  <c r="C12" i="198"/>
  <c r="B13" i="198"/>
  <c r="C13" i="198"/>
  <c r="Y3" i="198"/>
  <c r="Z3" i="198"/>
  <c r="Y4" i="198"/>
  <c r="Z4" i="198"/>
  <c r="Y5" i="198"/>
  <c r="Z5" i="198"/>
  <c r="Y6" i="198"/>
  <c r="Z6" i="198"/>
  <c r="Y7" i="198"/>
  <c r="Z7" i="198"/>
  <c r="Y8" i="198"/>
  <c r="Z8" i="198"/>
  <c r="Y9" i="198"/>
  <c r="Z9" i="198"/>
  <c r="Y10" i="198"/>
  <c r="Z10" i="198"/>
  <c r="Y11" i="198"/>
  <c r="Z11" i="198"/>
  <c r="Y12" i="198"/>
  <c r="Z12" i="198"/>
  <c r="Y13" i="198"/>
  <c r="Z13" i="198"/>
  <c r="Y2" i="198"/>
  <c r="Z2" i="198"/>
  <c r="E32" i="203"/>
  <c r="F32" i="203"/>
  <c r="E33" i="203"/>
  <c r="F33" i="203"/>
  <c r="E34" i="203"/>
  <c r="F34" i="203"/>
  <c r="E35" i="203"/>
  <c r="F35" i="203"/>
  <c r="E36" i="203"/>
  <c r="F36" i="203"/>
  <c r="B2" i="198"/>
  <c r="C2" i="198"/>
  <c r="I6" i="14"/>
  <c r="J6" i="14" s="1"/>
  <c r="E8" i="203"/>
  <c r="F8" i="203"/>
  <c r="F9" i="203"/>
  <c r="E10" i="203"/>
  <c r="F10" i="203"/>
  <c r="I5" i="14"/>
  <c r="I7" i="14"/>
  <c r="J7" i="14" s="1"/>
  <c r="B15" i="23"/>
  <c r="B14" i="23"/>
  <c r="B13" i="23"/>
  <c r="B12" i="23"/>
  <c r="B11" i="23"/>
  <c r="B10" i="23"/>
  <c r="D7" i="23"/>
  <c r="D6" i="23"/>
  <c r="D5" i="23"/>
  <c r="D4" i="23"/>
  <c r="D3" i="23"/>
  <c r="C7" i="23"/>
  <c r="C6" i="23"/>
  <c r="C5" i="23"/>
  <c r="C4" i="23"/>
  <c r="C3" i="23"/>
  <c r="B4" i="200"/>
  <c r="C4" i="200"/>
  <c r="B5" i="200"/>
  <c r="C5" i="200"/>
  <c r="B6" i="200"/>
  <c r="C6" i="200"/>
  <c r="B7" i="200"/>
  <c r="C7" i="200"/>
  <c r="B8" i="200"/>
  <c r="C8" i="200"/>
  <c r="B9" i="200"/>
  <c r="C9" i="200"/>
  <c r="B10" i="200"/>
  <c r="C10" i="200"/>
  <c r="B11" i="200"/>
  <c r="C11" i="200"/>
  <c r="F31" i="203"/>
  <c r="E31" i="203"/>
  <c r="F23" i="203"/>
  <c r="E23" i="203"/>
  <c r="F22" i="203"/>
  <c r="E22" i="203"/>
  <c r="F21" i="203"/>
  <c r="E21" i="203"/>
  <c r="F20" i="203"/>
  <c r="E20" i="203"/>
  <c r="F19" i="203"/>
  <c r="E19" i="203"/>
  <c r="F18" i="203"/>
  <c r="E18" i="203"/>
  <c r="F17" i="203"/>
  <c r="E17" i="203"/>
  <c r="F5" i="203"/>
  <c r="F6" i="203"/>
  <c r="F7" i="203"/>
  <c r="F4" i="203"/>
  <c r="E5" i="203"/>
  <c r="E6" i="203"/>
  <c r="E7" i="203"/>
  <c r="E4" i="203"/>
  <c r="I9" i="14"/>
  <c r="J9" i="14" s="1"/>
  <c r="AF192" i="199" l="1"/>
  <c r="AG192" i="199" s="1"/>
  <c r="AF193" i="199"/>
  <c r="AG193" i="199" s="1"/>
  <c r="AF194" i="199"/>
  <c r="AG194" i="199" s="1"/>
  <c r="AF195" i="199"/>
  <c r="AG195" i="199" s="1"/>
  <c r="AF199" i="199"/>
  <c r="AG199" i="199" s="1"/>
  <c r="AF200" i="199"/>
  <c r="AG200" i="199" s="1"/>
  <c r="AF208" i="199"/>
  <c r="AG208" i="199" s="1"/>
  <c r="AF185" i="199"/>
  <c r="AG185" i="199" s="1"/>
  <c r="AF187" i="199"/>
  <c r="AG187" i="199" s="1"/>
  <c r="AF190" i="199"/>
  <c r="AG190" i="199" s="1"/>
  <c r="AF197" i="199"/>
  <c r="AG197" i="199" s="1"/>
  <c r="AF201" i="199"/>
  <c r="AG201" i="199" s="1"/>
  <c r="AF205" i="199"/>
  <c r="AG205" i="199" s="1"/>
  <c r="AF206" i="199"/>
  <c r="AG206" i="199" s="1"/>
  <c r="AF207" i="199"/>
  <c r="AG207" i="199" s="1"/>
  <c r="AF209" i="199"/>
  <c r="AG209" i="199" s="1"/>
  <c r="AF186" i="199"/>
  <c r="AG186" i="199"/>
  <c r="AF188" i="199"/>
  <c r="AG188" i="199"/>
  <c r="AF189" i="199"/>
  <c r="AG189" i="199"/>
  <c r="AF191" i="199"/>
  <c r="AG191" i="199"/>
  <c r="AF196" i="199"/>
  <c r="AG196" i="199"/>
  <c r="AF198" i="199"/>
  <c r="AG198" i="199"/>
  <c r="AF202" i="199"/>
  <c r="AG202" i="199"/>
  <c r="AF203" i="199"/>
  <c r="AG203" i="199"/>
  <c r="AF204" i="199"/>
  <c r="AG204" i="199"/>
  <c r="AF210" i="199"/>
  <c r="AG210" i="199"/>
  <c r="AF211" i="199"/>
  <c r="AG211" i="199"/>
  <c r="AF10" i="198"/>
  <c r="AG10" i="198"/>
  <c r="AF13" i="198"/>
  <c r="AG13" i="198" s="1"/>
  <c r="AF12" i="198"/>
  <c r="AG12" i="198" s="1"/>
  <c r="AF11" i="198"/>
  <c r="AG11" i="198" s="1"/>
  <c r="AF4" i="198"/>
  <c r="AG4" i="198" s="1"/>
  <c r="AF5" i="198"/>
  <c r="AG5" i="198" s="1"/>
  <c r="AF6" i="198"/>
  <c r="AG6" i="198" s="1"/>
  <c r="AF7" i="198"/>
  <c r="AG7" i="198" s="1"/>
  <c r="AF8" i="198"/>
  <c r="AG8" i="198" s="1"/>
  <c r="AF9" i="198"/>
  <c r="AG9" i="198" s="1"/>
  <c r="AF2" i="198"/>
  <c r="AG2" i="198" s="1"/>
  <c r="AF3" i="198"/>
  <c r="AG3" i="198"/>
  <c r="H12" i="14"/>
  <c r="AD7" i="200"/>
  <c r="AE7" i="200" s="1"/>
  <c r="AD6" i="200"/>
  <c r="AE6" i="200" s="1"/>
  <c r="AD5" i="200"/>
  <c r="AE5" i="200" s="1"/>
  <c r="AD4" i="200"/>
  <c r="AE4" i="200" s="1"/>
  <c r="AD11" i="200"/>
  <c r="AE11" i="200" s="1"/>
  <c r="AD10" i="200"/>
  <c r="AE10" i="200" s="1"/>
  <c r="AD9" i="200"/>
  <c r="AE9" i="200" s="1"/>
  <c r="AD8" i="200"/>
  <c r="AE8" i="200" s="1"/>
  <c r="AF3" i="199"/>
  <c r="AG3" i="199" s="1"/>
  <c r="AF4" i="199"/>
  <c r="AG4" i="199" s="1"/>
  <c r="AF6" i="199"/>
  <c r="AG6" i="199" s="1"/>
  <c r="AF11" i="199"/>
  <c r="AG11" i="199" s="1"/>
  <c r="AF12" i="199"/>
  <c r="AG12" i="199" s="1"/>
  <c r="AF13" i="199"/>
  <c r="AG13" i="199" s="1"/>
  <c r="AF14" i="199"/>
  <c r="AG14" i="199" s="1"/>
  <c r="AF15" i="199"/>
  <c r="AG15" i="199" s="1"/>
  <c r="AF16" i="199"/>
  <c r="AG16" i="199" s="1"/>
  <c r="AF17" i="199"/>
  <c r="AG17" i="199" s="1"/>
  <c r="AF18" i="199"/>
  <c r="AG18" i="199" s="1"/>
  <c r="AF19" i="199"/>
  <c r="AG19" i="199" s="1"/>
  <c r="AF24" i="199"/>
  <c r="AG24" i="199" s="1"/>
  <c r="AF25" i="199"/>
  <c r="AG25" i="199" s="1"/>
  <c r="AF27" i="199"/>
  <c r="AG27" i="199" s="1"/>
  <c r="AF29" i="199"/>
  <c r="AG29" i="199" s="1"/>
  <c r="AF30" i="199"/>
  <c r="AG30" i="199" s="1"/>
  <c r="AF31" i="199"/>
  <c r="AG31" i="199" s="1"/>
  <c r="AF32" i="199"/>
  <c r="AG32" i="199" s="1"/>
  <c r="AF34" i="199"/>
  <c r="AG34" i="199" s="1"/>
  <c r="AF35" i="199"/>
  <c r="AG35" i="199" s="1"/>
  <c r="AF36" i="199"/>
  <c r="AG36" i="199" s="1"/>
  <c r="AF37" i="199"/>
  <c r="AG37" i="199" s="1"/>
  <c r="AF39" i="199"/>
  <c r="AG39" i="199" s="1"/>
  <c r="AF40" i="199"/>
  <c r="AG40" i="199" s="1"/>
  <c r="AF43" i="199"/>
  <c r="AG43" i="199" s="1"/>
  <c r="AF45" i="199"/>
  <c r="AG45" i="199" s="1"/>
  <c r="AF49" i="199"/>
  <c r="AG49" i="199" s="1"/>
  <c r="AF52" i="199"/>
  <c r="AG52" i="199" s="1"/>
  <c r="AF56" i="199"/>
  <c r="AG56" i="199" s="1"/>
  <c r="AF58" i="199"/>
  <c r="AG58" i="199" s="1"/>
  <c r="AF59" i="199"/>
  <c r="AG59" i="199" s="1"/>
  <c r="AF61" i="199"/>
  <c r="AG61" i="199" s="1"/>
  <c r="AF65" i="199"/>
  <c r="AG65" i="199" s="1"/>
  <c r="AF69" i="199"/>
  <c r="AG69" i="199" s="1"/>
  <c r="AF70" i="199"/>
  <c r="AG70" i="199" s="1"/>
  <c r="AF73" i="199"/>
  <c r="AG73" i="199" s="1"/>
  <c r="AF74" i="199"/>
  <c r="AG74" i="199" s="1"/>
  <c r="AF76" i="199"/>
  <c r="AG76" i="199" s="1"/>
  <c r="AF78" i="199"/>
  <c r="AG78" i="199" s="1"/>
  <c r="AF84" i="199"/>
  <c r="AG84" i="199" s="1"/>
  <c r="AF85" i="199"/>
  <c r="AG85" i="199" s="1"/>
  <c r="AF87" i="199"/>
  <c r="AG87" i="199" s="1"/>
  <c r="AF88" i="199"/>
  <c r="AG88" i="199" s="1"/>
  <c r="AF89" i="199"/>
  <c r="AG89" i="199" s="1"/>
  <c r="AF90" i="199"/>
  <c r="AG90" i="199" s="1"/>
  <c r="AF92" i="199"/>
  <c r="AG92" i="199" s="1"/>
  <c r="AF93" i="199"/>
  <c r="AG93" i="199" s="1"/>
  <c r="AF95" i="199"/>
  <c r="AG95" i="199" s="1"/>
  <c r="AF96" i="199"/>
  <c r="AG96" i="199" s="1"/>
  <c r="AF98" i="199"/>
  <c r="AG98" i="199" s="1"/>
  <c r="AF100" i="199"/>
  <c r="AG100" i="199" s="1"/>
  <c r="AF102" i="199"/>
  <c r="AG102" i="199" s="1"/>
  <c r="AF105" i="199"/>
  <c r="AG105" i="199" s="1"/>
  <c r="AF108" i="199"/>
  <c r="AG108" i="199" s="1"/>
  <c r="AF109" i="199"/>
  <c r="AG109" i="199" s="1"/>
  <c r="AF110" i="199"/>
  <c r="AG110" i="199" s="1"/>
  <c r="AF112" i="199"/>
  <c r="AG112" i="199" s="1"/>
  <c r="AF114" i="199"/>
  <c r="AG114" i="199" s="1"/>
  <c r="AF115" i="199"/>
  <c r="AG115" i="199" s="1"/>
  <c r="AF117" i="199"/>
  <c r="AG117" i="199" s="1"/>
  <c r="AF118" i="199"/>
  <c r="AG118" i="199" s="1"/>
  <c r="AF119" i="199"/>
  <c r="AG119" i="199" s="1"/>
  <c r="AF122" i="199"/>
  <c r="AG122" i="199" s="1"/>
  <c r="AF124" i="199"/>
  <c r="AG124" i="199" s="1"/>
  <c r="AF126" i="199"/>
  <c r="AG126" i="199" s="1"/>
  <c r="AF129" i="199"/>
  <c r="AG129" i="199" s="1"/>
  <c r="AF130" i="199"/>
  <c r="AG130" i="199" s="1"/>
  <c r="AF132" i="199"/>
  <c r="AG132" i="199" s="1"/>
  <c r="AF136" i="199"/>
  <c r="AG136" i="199" s="1"/>
  <c r="AF137" i="199"/>
  <c r="AG137" i="199" s="1"/>
  <c r="AF141" i="199"/>
  <c r="AG141" i="199" s="1"/>
  <c r="AF149" i="199"/>
  <c r="AG149" i="199" s="1"/>
  <c r="AF150" i="199"/>
  <c r="AG150" i="199" s="1"/>
  <c r="AF151" i="199"/>
  <c r="AG151" i="199" s="1"/>
  <c r="AF153" i="199"/>
  <c r="AG153" i="199" s="1"/>
  <c r="AF156" i="199"/>
  <c r="AG156" i="199" s="1"/>
  <c r="AF161" i="199"/>
  <c r="AG161" i="199" s="1"/>
  <c r="AF167" i="199"/>
  <c r="AG167" i="199" s="1"/>
  <c r="AF168" i="199"/>
  <c r="AG168" i="199" s="1"/>
  <c r="AF169" i="199"/>
  <c r="AG169" i="199" s="1"/>
  <c r="AF173" i="199"/>
  <c r="AG173" i="199" s="1"/>
  <c r="AF181" i="199"/>
  <c r="AG181" i="199" s="1"/>
  <c r="AF5" i="199"/>
  <c r="AG5" i="199" s="1"/>
  <c r="AF7" i="199"/>
  <c r="AG7" i="199" s="1"/>
  <c r="AF22" i="199"/>
  <c r="AG22" i="199" s="1"/>
  <c r="AF33" i="199"/>
  <c r="AG33" i="199" s="1"/>
  <c r="AF53" i="199"/>
  <c r="AG53" i="199" s="1"/>
  <c r="AF57" i="199"/>
  <c r="AG57" i="199" s="1"/>
  <c r="AF63" i="199"/>
  <c r="AG63" i="199" s="1"/>
  <c r="AF79" i="199"/>
  <c r="AG79" i="199" s="1"/>
  <c r="AF80" i="199"/>
  <c r="AG80" i="199" s="1"/>
  <c r="AF97" i="199"/>
  <c r="AG97" i="199" s="1"/>
  <c r="AF127" i="199"/>
  <c r="AG127" i="199" s="1"/>
  <c r="AF128" i="199"/>
  <c r="AG128" i="199" s="1"/>
  <c r="AF134" i="199"/>
  <c r="AG134" i="199" s="1"/>
  <c r="AF138" i="199"/>
  <c r="AG138" i="199" s="1"/>
  <c r="AF140" i="199"/>
  <c r="AG140" i="199" s="1"/>
  <c r="AF144" i="199"/>
  <c r="AG144" i="199" s="1"/>
  <c r="AF145" i="199"/>
  <c r="AG145" i="199" s="1"/>
  <c r="AF146" i="199"/>
  <c r="AG146" i="199" s="1"/>
  <c r="AF164" i="199"/>
  <c r="AG164" i="199" s="1"/>
  <c r="AF179" i="199"/>
  <c r="AG179" i="199" s="1"/>
  <c r="AF8" i="199"/>
  <c r="AG8" i="199" s="1"/>
  <c r="AF152" i="199"/>
  <c r="AG152" i="199" s="1"/>
  <c r="AF171" i="199"/>
  <c r="AG171" i="199" s="1"/>
  <c r="AF72" i="199"/>
  <c r="AG72" i="199" s="1"/>
  <c r="AF75" i="199"/>
  <c r="AG75" i="199" s="1"/>
  <c r="AF111" i="199"/>
  <c r="AG111" i="199" s="1"/>
  <c r="AF135" i="199"/>
  <c r="AG135" i="199" s="1"/>
  <c r="AF143" i="199"/>
  <c r="AG143" i="199" s="1"/>
  <c r="AF9" i="199"/>
  <c r="AG9" i="199" s="1"/>
  <c r="AF10" i="199"/>
  <c r="AG10" i="199" s="1"/>
  <c r="AF20" i="199"/>
  <c r="AG20" i="199" s="1"/>
  <c r="AF21" i="199"/>
  <c r="AG21" i="199" s="1"/>
  <c r="AF23" i="199"/>
  <c r="AG23" i="199" s="1"/>
  <c r="AF26" i="199"/>
  <c r="AG26" i="199"/>
  <c r="AF28" i="199"/>
  <c r="AG28" i="199" s="1"/>
  <c r="AF38" i="199"/>
  <c r="AG38" i="199" s="1"/>
  <c r="AF41" i="199"/>
  <c r="AG41" i="199" s="1"/>
  <c r="AF42" i="199"/>
  <c r="AG42" i="199" s="1"/>
  <c r="AF44" i="199"/>
  <c r="AG44" i="199" s="1"/>
  <c r="AF46" i="199"/>
  <c r="AG46" i="199" s="1"/>
  <c r="AF47" i="199"/>
  <c r="AG47" i="199" s="1"/>
  <c r="AF48" i="199"/>
  <c r="AG48" i="199" s="1"/>
  <c r="AF50" i="199"/>
  <c r="AG50" i="199" s="1"/>
  <c r="AF51" i="199"/>
  <c r="AG51" i="199" s="1"/>
  <c r="AF54" i="199"/>
  <c r="AG54" i="199" s="1"/>
  <c r="AF55" i="199"/>
  <c r="AG55" i="199" s="1"/>
  <c r="AF60" i="199"/>
  <c r="AG60" i="199" s="1"/>
  <c r="AF62" i="199"/>
  <c r="AG62" i="199" s="1"/>
  <c r="AF64" i="199"/>
  <c r="AG64" i="199" s="1"/>
  <c r="AF66" i="199"/>
  <c r="AG66" i="199" s="1"/>
  <c r="AF67" i="199"/>
  <c r="AG67" i="199" s="1"/>
  <c r="AF68" i="199"/>
  <c r="AG68" i="199" s="1"/>
  <c r="AF71" i="199"/>
  <c r="AG71" i="199" s="1"/>
  <c r="AF77" i="199"/>
  <c r="AG77" i="199" s="1"/>
  <c r="AF81" i="199"/>
  <c r="AG81" i="199" s="1"/>
  <c r="AF82" i="199"/>
  <c r="AG82" i="199" s="1"/>
  <c r="AF83" i="199"/>
  <c r="AG83" i="199" s="1"/>
  <c r="AF86" i="199"/>
  <c r="AG86" i="199" s="1"/>
  <c r="AF91" i="199"/>
  <c r="AG91" i="199" s="1"/>
  <c r="AF94" i="199"/>
  <c r="AG94" i="199" s="1"/>
  <c r="AF99" i="199"/>
  <c r="AG99" i="199" s="1"/>
  <c r="AF101" i="199"/>
  <c r="AG101" i="199"/>
  <c r="AF103" i="199"/>
  <c r="AG103" i="199" s="1"/>
  <c r="AF104" i="199"/>
  <c r="AG104" i="199" s="1"/>
  <c r="AF106" i="199"/>
  <c r="AG106" i="199" s="1"/>
  <c r="AF107" i="199"/>
  <c r="AG107" i="199" s="1"/>
  <c r="AF113" i="199"/>
  <c r="AG113" i="199" s="1"/>
  <c r="AF116" i="199"/>
  <c r="AG116" i="199"/>
  <c r="AF120" i="199"/>
  <c r="AG120" i="199" s="1"/>
  <c r="AF121" i="199"/>
  <c r="AG121" i="199" s="1"/>
  <c r="AF123" i="199"/>
  <c r="AG123" i="199" s="1"/>
  <c r="AF125" i="199"/>
  <c r="AG125" i="199" s="1"/>
  <c r="AF131" i="199"/>
  <c r="AG131" i="199" s="1"/>
  <c r="AF133" i="199"/>
  <c r="AG133" i="199" s="1"/>
  <c r="AF139" i="199"/>
  <c r="AG139" i="199" s="1"/>
  <c r="AF142" i="199"/>
  <c r="AG142" i="199" s="1"/>
  <c r="AF147" i="199"/>
  <c r="AG147" i="199" s="1"/>
  <c r="AF148" i="199"/>
  <c r="AG148" i="199" s="1"/>
  <c r="AF154" i="199"/>
  <c r="AG154" i="199" s="1"/>
  <c r="AF155" i="199"/>
  <c r="AG155" i="199"/>
  <c r="AF157" i="199"/>
  <c r="AG157" i="199" s="1"/>
  <c r="AF158" i="199"/>
  <c r="AG158" i="199" s="1"/>
  <c r="AF159" i="199"/>
  <c r="AG159" i="199" s="1"/>
  <c r="AF160" i="199"/>
  <c r="AG160" i="199" s="1"/>
  <c r="AF162" i="199"/>
  <c r="AG162" i="199" s="1"/>
  <c r="AF163" i="199"/>
  <c r="AG163" i="199" s="1"/>
  <c r="AF165" i="199"/>
  <c r="AG165" i="199" s="1"/>
  <c r="AF166" i="199"/>
  <c r="AG166" i="199" s="1"/>
  <c r="AF170" i="199"/>
  <c r="AG170" i="199" s="1"/>
  <c r="AF172" i="199"/>
  <c r="AG172" i="199" s="1"/>
  <c r="AF174" i="199"/>
  <c r="AG174" i="199" s="1"/>
  <c r="AF175" i="199"/>
  <c r="AG175" i="199" s="1"/>
  <c r="AF176" i="199"/>
  <c r="AG176" i="199" s="1"/>
  <c r="AF177" i="199"/>
  <c r="AG177" i="199" s="1"/>
  <c r="AF178" i="199"/>
  <c r="AG178" i="199" s="1"/>
  <c r="AF180" i="199"/>
  <c r="AG180" i="199" s="1"/>
  <c r="AF182" i="199"/>
  <c r="AG182" i="199" s="1"/>
  <c r="AF183" i="199"/>
  <c r="AG183" i="199" s="1"/>
  <c r="AF184" i="199"/>
  <c r="AG184" i="199" s="1"/>
  <c r="J5" i="14"/>
  <c r="AD3" i="200"/>
  <c r="AE3" i="200" s="1"/>
  <c r="AG14" i="198" l="1"/>
  <c r="AE12" i="200"/>
  <c r="I11" i="14"/>
  <c r="J11" i="14" s="1"/>
  <c r="I10" i="14"/>
  <c r="J10" i="14" s="1"/>
  <c r="AF2" i="199" l="1"/>
  <c r="AG2" i="199" s="1"/>
  <c r="AG212" i="199" s="1"/>
  <c r="C2" i="199"/>
  <c r="B2" i="199"/>
  <c r="D8" i="14" l="1"/>
  <c r="D7" i="14"/>
  <c r="C3" i="200"/>
  <c r="B3" i="200"/>
  <c r="D6" i="14" l="1"/>
  <c r="B8" i="14" l="1"/>
  <c r="B7" i="14" l="1"/>
  <c r="B6" i="14" l="1"/>
  <c r="F2" i="14" l="1"/>
  <c r="I8" i="14"/>
  <c r="I12" i="14" s="1"/>
  <c r="J8" i="14" l="1"/>
  <c r="J12" i="14" s="1"/>
  <c r="D9" i="14" l="1"/>
  <c r="D10" i="14" s="1"/>
  <c r="D11" i="14" l="1"/>
  <c r="D12" i="14" s="1"/>
</calcChain>
</file>

<file path=xl/sharedStrings.xml><?xml version="1.0" encoding="utf-8"?>
<sst xmlns="http://schemas.openxmlformats.org/spreadsheetml/2006/main" count="10012" uniqueCount="2173">
  <si>
    <t>LÍNEA COMUNICACIONES S.A.S</t>
  </si>
  <si>
    <t>FACTURACIÓN CORRESPONSALES BANCARIOS TIQUIETES AEREOS</t>
  </si>
  <si>
    <t>FACTURACIÓN PROYECTO CB BANCOLOMBIA</t>
  </si>
  <si>
    <t>CONCEPTOS</t>
  </si>
  <si>
    <t>TRAYECTOS</t>
  </si>
  <si>
    <t>TOTAL</t>
  </si>
  <si>
    <t xml:space="preserve">% Administración </t>
  </si>
  <si>
    <t>CANTIDAD</t>
  </si>
  <si>
    <t>VALOR UNITARIO</t>
  </si>
  <si>
    <t>VALOR TOTAL</t>
  </si>
  <si>
    <t>Adecuaciones CB</t>
  </si>
  <si>
    <t>Incidentes</t>
  </si>
  <si>
    <t>Ordenes de Cambio</t>
  </si>
  <si>
    <t>Tiquetes</t>
  </si>
  <si>
    <t>SUBTOTAL</t>
  </si>
  <si>
    <t>Iva</t>
  </si>
  <si>
    <t>TARIFAS 2025</t>
  </si>
  <si>
    <t>Incremento 2025</t>
  </si>
  <si>
    <t xml:space="preserve">Tipificación </t>
  </si>
  <si>
    <t>Descripción</t>
  </si>
  <si>
    <t>Dia actividad Exitosa</t>
  </si>
  <si>
    <t>Dia actividad Fallida</t>
  </si>
  <si>
    <t>Tipo I</t>
  </si>
  <si>
    <t>Metropolitano</t>
  </si>
  <si>
    <t>Tipo II</t>
  </si>
  <si>
    <t>Hasta 3 horas</t>
  </si>
  <si>
    <t>Tipo III</t>
  </si>
  <si>
    <t>De 3 a 5 horas</t>
  </si>
  <si>
    <t>Tipo IV</t>
  </si>
  <si>
    <t>Más de 5 horas</t>
  </si>
  <si>
    <t>Destino aereo</t>
  </si>
  <si>
    <t>No incluye valor del Tiquete</t>
  </si>
  <si>
    <t>*Donde se requiera transporte aéreo o fluvial se factura adicional a tarifa TIPO IV el valor del tiquete + el 12% de admon.</t>
  </si>
  <si>
    <t>Gestión Telefónica</t>
  </si>
  <si>
    <t>Mts Acometida electrica</t>
  </si>
  <si>
    <t>Mts Acometida datos</t>
  </si>
  <si>
    <t>switche</t>
  </si>
  <si>
    <t>Router</t>
  </si>
  <si>
    <t>Envio operador Logistico</t>
  </si>
  <si>
    <t>ADECUACIONES</t>
  </si>
  <si>
    <t>NOMBRE CC</t>
  </si>
  <si>
    <t>Suma de VALOR</t>
  </si>
  <si>
    <t>Suma de VALOR2</t>
  </si>
  <si>
    <t>COORDINADOR</t>
  </si>
  <si>
    <t>CENTRO DE COSTOS LÍNEACOM</t>
  </si>
  <si>
    <t>%</t>
  </si>
  <si>
    <t>$</t>
  </si>
  <si>
    <t>VALOR</t>
  </si>
  <si>
    <t>Redeban Centro ( Bogotá)</t>
  </si>
  <si>
    <t>DIEGO FERNANDO HENAO CARDONA</t>
  </si>
  <si>
    <t>0004-0003</t>
  </si>
  <si>
    <t>Redeban Costa (Barranqullla)</t>
  </si>
  <si>
    <t>JUAN SEBASTIÁN RÍOS CASTRILLÓN</t>
  </si>
  <si>
    <t>0004-0005</t>
  </si>
  <si>
    <t>Redeban Eje Cafetero (Pereira)</t>
  </si>
  <si>
    <t>KEVIN ALEXIS CORZO BUSTOS</t>
  </si>
  <si>
    <t>0004-0007</t>
  </si>
  <si>
    <t>Redeban Noroccidente (Medellín)</t>
  </si>
  <si>
    <t>MIGUEL JULIÁN HERNÁNDEZ GUARÍN</t>
  </si>
  <si>
    <t>0004-0008</t>
  </si>
  <si>
    <t>Redeban Oriente (Otros)</t>
  </si>
  <si>
    <t>WILLIAM ASDRUBAL ROZO ROZO</t>
  </si>
  <si>
    <t>0004-0004</t>
  </si>
  <si>
    <t>Redeban Santander</t>
  </si>
  <si>
    <t>Total general</t>
  </si>
  <si>
    <t>Redeban Suroccidente (Cali)</t>
  </si>
  <si>
    <t>INCIDENTES</t>
  </si>
  <si>
    <t>0004-0002</t>
  </si>
  <si>
    <t>JOSE MAURICIO HERNANDEZ ROJAS</t>
  </si>
  <si>
    <t>0004-0001</t>
  </si>
  <si>
    <t>OC</t>
  </si>
  <si>
    <t>CIUDAD SEDE</t>
  </si>
  <si>
    <t>CÓDIGO DANE</t>
  </si>
  <si>
    <t>TA/CODIGO ACTIVIDAD</t>
  </si>
  <si>
    <t>CODIGO CB</t>
  </si>
  <si>
    <t>ACTIVIDAD</t>
  </si>
  <si>
    <t>TIPO DE APERTURA</t>
  </si>
  <si>
    <t>DEPARTAMENTO</t>
  </si>
  <si>
    <t>CIUDAD</t>
  </si>
  <si>
    <t xml:space="preserve">NOMBRE  DEL CB </t>
  </si>
  <si>
    <t>RED</t>
  </si>
  <si>
    <t>FO</t>
  </si>
  <si>
    <t>FECHA LISTA</t>
  </si>
  <si>
    <t>FECHA ULTIMA ACTUALIZACION</t>
  </si>
  <si>
    <t>FORMATO</t>
  </si>
  <si>
    <t>CADENA</t>
  </si>
  <si>
    <t>ESTADO</t>
  </si>
  <si>
    <t>OBSERVACIONES CLIENTE</t>
  </si>
  <si>
    <t>FORMA DE ATENCIÓN</t>
  </si>
  <si>
    <t>TERMINALES</t>
  </si>
  <si>
    <t>TIPIFICACION</t>
  </si>
  <si>
    <t>TIPO DE TRAYECTO</t>
  </si>
  <si>
    <t xml:space="preserve">NOMBRE DEL TECNICO </t>
  </si>
  <si>
    <t xml:space="preserve">ACOMETIDA DATOS
</t>
  </si>
  <si>
    <t xml:space="preserve">ACOMETIDA ELECTRICA </t>
  </si>
  <si>
    <t>SWITCH</t>
  </si>
  <si>
    <t>ROUTER</t>
  </si>
  <si>
    <t>VALOR DIAS ACTIVIDAD FACTURABLES</t>
  </si>
  <si>
    <t>DIAS ACTIVIDAD FACTURABLES</t>
  </si>
  <si>
    <t>VALOR TOTAL INSTALACION DE PUBLICIDAD</t>
  </si>
  <si>
    <t>PASTO</t>
  </si>
  <si>
    <t>TA-25-1034011</t>
  </si>
  <si>
    <t>APERTURA</t>
  </si>
  <si>
    <t>CB CRECIMIENTO - NUEVO</t>
  </si>
  <si>
    <t>NARIÑO</t>
  </si>
  <si>
    <t>SAN LORENZO</t>
  </si>
  <si>
    <t>BARRIO EL CENTRO SAN LORENZO</t>
  </si>
  <si>
    <t>REDEBAN</t>
  </si>
  <si>
    <t>FO-25-1433131</t>
  </si>
  <si>
    <t>UNO A UNO</t>
  </si>
  <si>
    <t>EJECUTADO/CANCELADO</t>
  </si>
  <si>
    <t>27-08-2025 SE REALIZA LLAMADA AL CLIENTE, SE HABLA CON EL SR HECTOR ROSENDO ESPAÑA RODRIGUEZ  SE VALIDA DIRECCIÓN OK, CANAL OK, DISPONIBILIDAD TOTAL, LLAMAR EL DÍA LA INSTALACIÓN PARA CONFIRMAR VISITA, AVISO EXTERIOR ALTURA APROX 3 METROS; TOMACORRIENTE CERCANO: SI; TIENE CABINA DE SEGURIDAD: NO 28-09 SE REALIZÓ COMUNICACIÓN TELEFÓNICA CON USUARIO E INFORMA QUE DEBIDO A CELEBRACIÓN DE FIESTAS EN EL MUNICIPIO ES COMPLICADO EL TRANSPORTE Y LA ATENCIÓN DE LA VISITA. SOLICITA QUE ESTA SEA REALIZADA EN LA SIGUIENTE SEMANA CUANDO YA SE HAYA NORMALIZADO TODO. 3/09/2025 SE VISITA EL COMERCIO PARA REALIZAR APERTURA PERO NO ES POSIBLE YA QUE EN EL COMERCIO FUNCIONA CORRESPONSAL DE BANCO AGRARIO POR LO QUE NO SE APERTURA YA QUE SE ESTARÍA VIOLANDO PRINCIPIO DE EXCLUSIVIDAD DE BANCOLOMBIA.</t>
  </si>
  <si>
    <t>VISITA _TECNICA</t>
  </si>
  <si>
    <t>FKZZZ662</t>
  </si>
  <si>
    <t>TIPO II</t>
  </si>
  <si>
    <t>TERRESTRE</t>
  </si>
  <si>
    <t>GUERRERO RAMIREZ OSCAR DARIO</t>
  </si>
  <si>
    <t>NEIVA</t>
  </si>
  <si>
    <t>TA-25-1034461</t>
  </si>
  <si>
    <t>CB CRECIMIENTO ALIANZA - NUEVO</t>
  </si>
  <si>
    <t>CAQUETA</t>
  </si>
  <si>
    <t>SAN VICENTE DEL CAGUAN</t>
  </si>
  <si>
    <t>DISTRICOL SURTICELL EMILY</t>
  </si>
  <si>
    <t>FO-25-1433896</t>
  </si>
  <si>
    <t>AGREGADOR</t>
  </si>
  <si>
    <t>DISTRICOL</t>
  </si>
  <si>
    <t>27-08 PROGRAMACIÓN REALIZADA POR LA ALIANZA 5/09/2025 SE REALIZA VISITA PARA IMPLEMENTACIÓN CB DISTRICOL 81230, PERO SE EVIDENCIA QUE APROXIMADAMENTE A 40MTS HAY UN CB AGREGADOR PTM SAN VICENTE DEL CAGUAN 50792, POR FAVOR NOS INDICA COMO PROCEDER. / ENTIDAD SOLICITA CANCELAR ACTIVIDAD</t>
  </si>
  <si>
    <t>FKZZZ688</t>
  </si>
  <si>
    <t>TIPO IV ESPECIAL</t>
  </si>
  <si>
    <t>TERRESTRE / AEREO</t>
  </si>
  <si>
    <t>BERMUDEZ SANCHEZ JOSE NEYBER</t>
  </si>
  <si>
    <t>TUNJA</t>
  </si>
  <si>
    <t>TA-25-1040108</t>
  </si>
  <si>
    <t>BOYACA</t>
  </si>
  <si>
    <t>DISTRICOL TIENDA KEVINS</t>
  </si>
  <si>
    <t>FO-25-1444565</t>
  </si>
  <si>
    <t>29-08 PROGRAMACIÓN REALIZADA POR LA ALIANZA 1/09/2025 SE ESCALA NOVEDAD DE IMPLEMENTACIÓN. SE IDENTIFICA EL PUNTO DE CORRESPONSAL CON AVAL 90117612. SE PROCEDE A CANCELAR EL PUNTO DE INSTALACIÓN.</t>
  </si>
  <si>
    <t>SKZZZ569</t>
  </si>
  <si>
    <t>TIPO I</t>
  </si>
  <si>
    <t>SOLER HOYOS CRISTIAN LEONARDO</t>
  </si>
  <si>
    <t>BUCARAMANGA</t>
  </si>
  <si>
    <t>TA-25-1054855</t>
  </si>
  <si>
    <t>SANTANDER</t>
  </si>
  <si>
    <t>GIRON</t>
  </si>
  <si>
    <t>PTM GIRON MULTISERVICIOS LOS C</t>
  </si>
  <si>
    <t>FO-25-1467930</t>
  </si>
  <si>
    <t>COMCARD - PTM</t>
  </si>
  <si>
    <t>03-09  PROGRAMACIÓN REALIZADA POR LA ALIANZA4/09/2025 NOS PERMITIMOS INFORMARLE QUE, TRAS REALIZAR LA RESPECTIVA VERIFICACIÓN EN CAMPO, IDENTIFICAMOS QUE EL PUNTO A INSTALAR EN LA DIRECCIÓN CRA 19A NO 25-11 LC 1, BARRIO VILLA CAMPESTRE 1 (CÓDIGO 81327), SE ENCUENTRA A UNA DISTANCIA APROXIMADA DE 50 METROS DEL PUNTO YA INSTALADO EN LA DIRECCIÓN CAR 21 #22-124, VILLA CAMPESTRE 3ª ETAPA (CÓDIGO 77310). TENIENDO EN CUENTA LA CERCANÍA ENTRE AMBOS PUNTOS, SOLICITAMOS SU AUTORIZACIÓN PARA PROCEDER CON LA IMPLEMENTACIÓN EN LA DIRECCIÓN MENCIONADA, GARANTIZANDO QUE SE PARÁMETROS TÉCNICOS Y OPERATIVOS ESTABLECIDOS. / ENTIDAD SOLICITAN CANCELAR INSTALACIÓN</t>
  </si>
  <si>
    <t>SMZZZ288</t>
  </si>
  <si>
    <t>SANTOS GONZALEZ JOHAN FABIAN</t>
  </si>
  <si>
    <t>APARTADO</t>
  </si>
  <si>
    <t>TA-25-1117897</t>
  </si>
  <si>
    <t>ANTIOQUIA</t>
  </si>
  <si>
    <t>TURBO</t>
  </si>
  <si>
    <t>DISTRICOL TIENDA GINES ROPA Y ACCESORIOS</t>
  </si>
  <si>
    <t>FO-25-1543491</t>
  </si>
  <si>
    <t>17-09 PROGRAMACIÓN REALIZADA POR LA ALIANZA 19/09/2025 VISITAMOS DIRECCIÓN RELACIONADA EN CUADRO ENCONTRANDO QUE NO HAY COMERCIO EN ESTA. SEGÚN VALIDACIONES DE PERSONAL TÉCNICO EL COMERCIO ESTÁ UBICADO REALMENTE EN DIRECCIÓN CARRERA 30 # 22-30 COMO MUESTRA UN RECIBO DE SERVICIOS PÚBLICOS.</t>
  </si>
  <si>
    <t>FSZZZ877</t>
  </si>
  <si>
    <t>CASTRO HENAO DANIEL ESTEBAN</t>
  </si>
  <si>
    <t>TA-25-1118001</t>
  </si>
  <si>
    <t>IPIALES</t>
  </si>
  <si>
    <t>DISTRICOL VAR SEBASTIAN JM</t>
  </si>
  <si>
    <t>FO-25-1543540</t>
  </si>
  <si>
    <t>17-09 PROGRAMACIÓN REALIZADA POR LA ALIANZA 18/09/2025 SE REALIZÓ VISITA AL COMERCIO PARA LA APERTURA DEL CB PERO NO ES POSIBLE YA QUE EL COMERCIO NO CUENTA CON CONEXIÓN A INTERNET, QUEDA PENDIENTE QUE EL USUARIO ADQUIERA EL SERVICIO PARA PODER INSTALAR EL CB</t>
  </si>
  <si>
    <t>FSZZZ885</t>
  </si>
  <si>
    <t>MEDELLIN</t>
  </si>
  <si>
    <t>TA-25-1145368</t>
  </si>
  <si>
    <t>REMEDIOS</t>
  </si>
  <si>
    <t>DISTRICOL MUNDO PELUQUERO R</t>
  </si>
  <si>
    <t>FO-25-1585234</t>
  </si>
  <si>
    <t>24-09 PROGRAMACIÓN REALIZADA POR LA ALIANZA 25/09/2025 VISITAMOS PUNTO ENCONTRANDO QUE COMERCIO ESTÁ EN DIRECCIÓN DISTINTA A LA RELACIONADA EN LISTA DE CHEQUEO. LA DIRECCIÓN REAL EN LA QUE ESTÁ EL COMERCIO ES CALLE 11 # 13 – 86. ESCALAMOS POR NOVEDAD DE DIRECCIÓN. 25/09/2025 POR FAVOR PROCEDER CON LA CANCELACIÓN DE LA IMPLEMENTACIÓN, YA QUE EL CB NO SE ENCUENTRA EN LA DIRECCIÓN REGISTRADA EN LA LISTA DE CHEQUEO.</t>
  </si>
  <si>
    <t>FWZZZ437</t>
  </si>
  <si>
    <t>TIPO IV</t>
  </si>
  <si>
    <t>DIAZ ZABALA FRANCIS DUBAN</t>
  </si>
  <si>
    <t>VILLAVICENCIO</t>
  </si>
  <si>
    <t>TA-25-1145459</t>
  </si>
  <si>
    <t>META</t>
  </si>
  <si>
    <t>PTM VILLAVICENCIO  DROGAS VILL</t>
  </si>
  <si>
    <t>FO-25-1577404</t>
  </si>
  <si>
    <t>24-09 PROGRAMACIÓN REALIZADA POR LA ALIANZA 26/09/2025 SE ESCALA CASO DE APERTURA CB 3007081695 - PTM VILLAVICENCIO DROGAS VILLAVICENCIO CB A INSTALAR PTM 81695 - CALLE 10 NO 12 C - 111 ESTERO CB INSTALADO WOMPI 77610 - CALLE 10 NO 12 C – 112 BARRIO ESTERO / ENTIDAD SOLICITA CANCELAR INSTALACIÓN</t>
  </si>
  <si>
    <t>FWZZZ460</t>
  </si>
  <si>
    <t>CASTRILLON URREA LONDIER LEANDRO</t>
  </si>
  <si>
    <t>BOGOTA</t>
  </si>
  <si>
    <t>TA-25-1145952</t>
  </si>
  <si>
    <t>CUNDINAMARCA</t>
  </si>
  <si>
    <t>PTM BOGOTA TIENDA SANTI LA SEP</t>
  </si>
  <si>
    <t>FO-25-1589721</t>
  </si>
  <si>
    <t>EJECUTADO</t>
  </si>
  <si>
    <t>24-09 PROGRAMACIÓN REALIZADA POR LA ALIANZA 26/09/2025 SE LLEGA A SITIO, SE VERIFICA Y NO AHI PUNTO CABLEADO, NI PUERTO DISPONIBLE PARA LA CONEXIÓN DEL DATAFONO, CLIENTE SE NIEGA A DESCONECTAR DISPOSITIVOS PARA REALIZAR LA INSTALACIÓN. SE REPROGRAMA YA QUE INDICA QUE SE VA A CONSEGUIR UN SWITCH O REPETIDOR. SE ESCALA CON COORDINADOR QUIEN INDICA SE REALIZARA  REPROGRAMACION  PARA VISITAR NUEVAMENTE EL PUNTO. 29/09/2025 SE REALIZA INSTALACIÓN DE CORRESPONSAL, SE INSTALAN EQUIPOS CON PRUEBAS EXITOSAS, SE CAPACITA Y SE EVALÚA AL CLIENTE, SE INSTALA PUBLICIDAD COMPLETA, CB QUEDA OPERATIVO. USUARIO SOMOS BANCOLOMBIA ACTIVO</t>
  </si>
  <si>
    <t>FWZZZ506</t>
  </si>
  <si>
    <t>ARIAS QUILINDO JULIAN</t>
  </si>
  <si>
    <t>COD. CIUDAD</t>
  </si>
  <si>
    <t>DESDE DONDE SE ATIENDE</t>
  </si>
  <si>
    <t>TIPO DE TRAYECTO NUEVO</t>
  </si>
  <si>
    <t>TIPOLOGIA NUEVA</t>
  </si>
  <si>
    <t>LA VICTORIA</t>
  </si>
  <si>
    <t>AMAZONAS</t>
  </si>
  <si>
    <t>AEREO</t>
  </si>
  <si>
    <t>PUERTO SANTANDER</t>
  </si>
  <si>
    <t>EL ENCANTO</t>
  </si>
  <si>
    <t>LA CHORRERA</t>
  </si>
  <si>
    <t>LA PEDRERA</t>
  </si>
  <si>
    <t>LETICIA</t>
  </si>
  <si>
    <t>MIRITI - PARANA</t>
  </si>
  <si>
    <t>PUERTO ALEGRIA</t>
  </si>
  <si>
    <t>PUERTO ARICA</t>
  </si>
  <si>
    <t>PUERTO NARIÑO</t>
  </si>
  <si>
    <t>TARAPACA</t>
  </si>
  <si>
    <t>ARGELIA</t>
  </si>
  <si>
    <t>ARMENIA</t>
  </si>
  <si>
    <t>BARBOSA</t>
  </si>
  <si>
    <t>BETULIA</t>
  </si>
  <si>
    <t>TIPO III</t>
  </si>
  <si>
    <t>BRICEÑO</t>
  </si>
  <si>
    <t>CALDAS</t>
  </si>
  <si>
    <t>CONCEPCION</t>
  </si>
  <si>
    <t>CONCORDIA</t>
  </si>
  <si>
    <t>GRANADA</t>
  </si>
  <si>
    <t>GUADALUPE</t>
  </si>
  <si>
    <t>JERICO</t>
  </si>
  <si>
    <t>LA UNION</t>
  </si>
  <si>
    <t>RIONEGRO</t>
  </si>
  <si>
    <t>SABANALARGA</t>
  </si>
  <si>
    <t>SAN CARLOS</t>
  </si>
  <si>
    <t>SAN FRANCISCO</t>
  </si>
  <si>
    <t>SAN LUIS</t>
  </si>
  <si>
    <t>SAN PEDRO DE LOS MILAGROS</t>
  </si>
  <si>
    <t>SANTA BARBARA</t>
  </si>
  <si>
    <t>TOLEDO</t>
  </si>
  <si>
    <t>VALPARAISO</t>
  </si>
  <si>
    <t>VENECIA</t>
  </si>
  <si>
    <t>ABEJORRAL</t>
  </si>
  <si>
    <t>ABRIAQUI</t>
  </si>
  <si>
    <t>ALEJANDRIA</t>
  </si>
  <si>
    <t>AMAGA</t>
  </si>
  <si>
    <t>AMALFI</t>
  </si>
  <si>
    <t>ANDES</t>
  </si>
  <si>
    <t>ANGELOPOLIS</t>
  </si>
  <si>
    <t>ANGOSTURA</t>
  </si>
  <si>
    <t>ANORI</t>
  </si>
  <si>
    <t>ANZA</t>
  </si>
  <si>
    <t>ARBOLETES</t>
  </si>
  <si>
    <t>MONTERIA</t>
  </si>
  <si>
    <t>BELLO</t>
  </si>
  <si>
    <t>BELMIRA</t>
  </si>
  <si>
    <t>BETANIA</t>
  </si>
  <si>
    <t>BURITICA</t>
  </si>
  <si>
    <t>CACERES</t>
  </si>
  <si>
    <t>CAICEDO</t>
  </si>
  <si>
    <t>CAMPAMENTO</t>
  </si>
  <si>
    <t>CAÑASGORDAS</t>
  </si>
  <si>
    <t>CARACOLI</t>
  </si>
  <si>
    <t>CARAMANTA</t>
  </si>
  <si>
    <t>CAREPA</t>
  </si>
  <si>
    <t>CAROLINA</t>
  </si>
  <si>
    <t>CAUCASIA</t>
  </si>
  <si>
    <t>CHIGORODO</t>
  </si>
  <si>
    <t>CISNEROS</t>
  </si>
  <si>
    <t>CIUDAD BOLIVAR</t>
  </si>
  <si>
    <t>COCORNA</t>
  </si>
  <si>
    <t>COPACABANA</t>
  </si>
  <si>
    <t>DABEIBA</t>
  </si>
  <si>
    <t>DON MATIAS</t>
  </si>
  <si>
    <t>EBEJICO</t>
  </si>
  <si>
    <t>EL BAGRE</t>
  </si>
  <si>
    <t>EL CARMEN DE VIBORAL</t>
  </si>
  <si>
    <t>EL SANTUARIO</t>
  </si>
  <si>
    <t>ENTRERRIOS</t>
  </si>
  <si>
    <t>ENVIGADO</t>
  </si>
  <si>
    <t>FREDONIA</t>
  </si>
  <si>
    <t>FRONTINO</t>
  </si>
  <si>
    <t>GIRALDO</t>
  </si>
  <si>
    <t>GIRARDOTA</t>
  </si>
  <si>
    <t>GOMEZ PLATA</t>
  </si>
  <si>
    <t>GUARNE</t>
  </si>
  <si>
    <t>GUATAPE</t>
  </si>
  <si>
    <t>HELICONIA</t>
  </si>
  <si>
    <t>HISPANIA</t>
  </si>
  <si>
    <t>ITAGUI</t>
  </si>
  <si>
    <t>ITUANGO</t>
  </si>
  <si>
    <t>JARDIN</t>
  </si>
  <si>
    <t>LA CEJA</t>
  </si>
  <si>
    <t>LA ESTRELLA</t>
  </si>
  <si>
    <t>LA PINTADA</t>
  </si>
  <si>
    <t>LIBORINA</t>
  </si>
  <si>
    <t>MACEO</t>
  </si>
  <si>
    <t>MARINILLA</t>
  </si>
  <si>
    <t>MONTEBELLO</t>
  </si>
  <si>
    <t>MURINDO</t>
  </si>
  <si>
    <t>FLUVIAL</t>
  </si>
  <si>
    <t>MUTATA</t>
  </si>
  <si>
    <t>NECHI</t>
  </si>
  <si>
    <t>NECOCLI</t>
  </si>
  <si>
    <t>OLAYA</t>
  </si>
  <si>
    <t>PEÑOL</t>
  </si>
  <si>
    <t>PEQUE</t>
  </si>
  <si>
    <t>PUEBLORRICO</t>
  </si>
  <si>
    <t>PUERTO BERRIO</t>
  </si>
  <si>
    <t>PUERTO NARE</t>
  </si>
  <si>
    <t>PUERTO TRIUNFO</t>
  </si>
  <si>
    <t>RETIRO</t>
  </si>
  <si>
    <t>SABANETA</t>
  </si>
  <si>
    <t>SALGAR</t>
  </si>
  <si>
    <t>SAN ANDRES DE CUERQUIA</t>
  </si>
  <si>
    <t>SAN JERONIMO</t>
  </si>
  <si>
    <t>SAN JOSE DE LA MONTAÑA</t>
  </si>
  <si>
    <t>SAN JUAN DE URABA</t>
  </si>
  <si>
    <t>SAN PEDRO DE URABA</t>
  </si>
  <si>
    <t>SAN RAFAEL</t>
  </si>
  <si>
    <t>SAN ROQUE</t>
  </si>
  <si>
    <t>SAN VICENTE</t>
  </si>
  <si>
    <t>SANTA FE DE ANTIOQUIA</t>
  </si>
  <si>
    <t>SANTA ROSA DE OSOS</t>
  </si>
  <si>
    <t>SANTO DOMINGO</t>
  </si>
  <si>
    <t>SEGOVIA</t>
  </si>
  <si>
    <t>SONSON</t>
  </si>
  <si>
    <t>SOPETRAN</t>
  </si>
  <si>
    <t>TAMESIS</t>
  </si>
  <si>
    <t>TARAZA</t>
  </si>
  <si>
    <t>TARSO</t>
  </si>
  <si>
    <t>TITIRIBI</t>
  </si>
  <si>
    <t>URAMITA</t>
  </si>
  <si>
    <t>URRAO</t>
  </si>
  <si>
    <t>VALDIVIA</t>
  </si>
  <si>
    <t>VEGACHI</t>
  </si>
  <si>
    <t>VIGIA DEL FUERTE</t>
  </si>
  <si>
    <t>YALI</t>
  </si>
  <si>
    <t>YARUMAL</t>
  </si>
  <si>
    <t>YOLOMBO</t>
  </si>
  <si>
    <t>YONDO</t>
  </si>
  <si>
    <t>ZARAGOZA</t>
  </si>
  <si>
    <t>ARAUCA</t>
  </si>
  <si>
    <t>ARAUQUITA</t>
  </si>
  <si>
    <t>CRAVO NORTE</t>
  </si>
  <si>
    <t>FORTUL</t>
  </si>
  <si>
    <t>PUERTO RONDON</t>
  </si>
  <si>
    <t>SARAVENA</t>
  </si>
  <si>
    <t>TAME</t>
  </si>
  <si>
    <t>CANDELARIA</t>
  </si>
  <si>
    <t>ATLANTICO</t>
  </si>
  <si>
    <t>BARRANQUILLA</t>
  </si>
  <si>
    <t>PUERTO COLOMBIA</t>
  </si>
  <si>
    <t>BARANOA</t>
  </si>
  <si>
    <t>CAMPO DE LA CRUZ</t>
  </si>
  <si>
    <t>GALAPA</t>
  </si>
  <si>
    <t>JUAN DE ACOSTA</t>
  </si>
  <si>
    <t>LURUACO</t>
  </si>
  <si>
    <t>MALAMBO</t>
  </si>
  <si>
    <t>MANATI</t>
  </si>
  <si>
    <t>PALMAR DE VARELA</t>
  </si>
  <si>
    <t>PIOJO</t>
  </si>
  <si>
    <t>POLONUEVO</t>
  </si>
  <si>
    <t>PONEDERA</t>
  </si>
  <si>
    <t>REPELON</t>
  </si>
  <si>
    <t>SABANAGRANDE</t>
  </si>
  <si>
    <t>SANTA LUCIA</t>
  </si>
  <si>
    <t>SANTO TOMAS</t>
  </si>
  <si>
    <t>SOLEDAD</t>
  </si>
  <si>
    <t>SUAN</t>
  </si>
  <si>
    <t>TUBARA</t>
  </si>
  <si>
    <t>USIACURI</t>
  </si>
  <si>
    <t>CALAMAR</t>
  </si>
  <si>
    <t>BOLIVAR</t>
  </si>
  <si>
    <t>CARTAGENA</t>
  </si>
  <si>
    <t>CORDOBA</t>
  </si>
  <si>
    <t>EL PEÑON</t>
  </si>
  <si>
    <t>VALLEDUPAR</t>
  </si>
  <si>
    <t>MORALES</t>
  </si>
  <si>
    <t>SAN PABLO</t>
  </si>
  <si>
    <t>TERRESTRE/FLUVIAL</t>
  </si>
  <si>
    <t>SANTA ROSA</t>
  </si>
  <si>
    <t>VILLANUEVA</t>
  </si>
  <si>
    <t>ACHI</t>
  </si>
  <si>
    <t>ALTOS DEL ROSARIO</t>
  </si>
  <si>
    <t>ARENAL</t>
  </si>
  <si>
    <t>ARJONA</t>
  </si>
  <si>
    <t>ARROYOHONDO</t>
  </si>
  <si>
    <t>BARRANCO DE LOBA</t>
  </si>
  <si>
    <t>CANTAGALLO</t>
  </si>
  <si>
    <t>CICUCO</t>
  </si>
  <si>
    <t>CLEMENCIA</t>
  </si>
  <si>
    <t>EL CARMEN DE BOLIVAR</t>
  </si>
  <si>
    <t>EL GUAMO</t>
  </si>
  <si>
    <t>HATILLO DE LOBA</t>
  </si>
  <si>
    <t>MAGANGUE</t>
  </si>
  <si>
    <t>MAHATES</t>
  </si>
  <si>
    <t>MARGARITA</t>
  </si>
  <si>
    <t>MARIA LA BAJA</t>
  </si>
  <si>
    <t>MOMPOS</t>
  </si>
  <si>
    <t>MONTECRISTO</t>
  </si>
  <si>
    <t>NOROSI</t>
  </si>
  <si>
    <t>PINILLOS</t>
  </si>
  <si>
    <t>REGIDOR</t>
  </si>
  <si>
    <t>RIO VIEJO</t>
  </si>
  <si>
    <t>SAN CRISTOBAL</t>
  </si>
  <si>
    <t>SAN ESTANISLAO</t>
  </si>
  <si>
    <t>SAN FERNANDO</t>
  </si>
  <si>
    <t>SAN JACINTO</t>
  </si>
  <si>
    <t>SAN JACINTO DEL CAUCA</t>
  </si>
  <si>
    <t>SAN JUAN NEPOMUCENO</t>
  </si>
  <si>
    <t>SAN MARTIN DE LOBA</t>
  </si>
  <si>
    <t>SANTA CATALINA</t>
  </si>
  <si>
    <t>SANTA ROSA DEL SUR</t>
  </si>
  <si>
    <t>SIMITI</t>
  </si>
  <si>
    <t>SOPLAVIENTO</t>
  </si>
  <si>
    <t>TALAIGUA NUEVO</t>
  </si>
  <si>
    <t>TIQUISIO</t>
  </si>
  <si>
    <t>TURBACO</t>
  </si>
  <si>
    <t>TURBANA</t>
  </si>
  <si>
    <t>ZAMBRANO</t>
  </si>
  <si>
    <t>BELEN</t>
  </si>
  <si>
    <t>BUENAVISTA</t>
  </si>
  <si>
    <t>CIENAGA</t>
  </si>
  <si>
    <t>MIRAFLORES</t>
  </si>
  <si>
    <t>PAEZ</t>
  </si>
  <si>
    <t>SANTA MARIA</t>
  </si>
  <si>
    <t>ALMEIDA</t>
  </si>
  <si>
    <t>AQUITANIA</t>
  </si>
  <si>
    <t>ARCABUCO</t>
  </si>
  <si>
    <t>BERBEO</t>
  </si>
  <si>
    <t>BETEITIVA</t>
  </si>
  <si>
    <t>BOAVITA</t>
  </si>
  <si>
    <t>BUSBANZA</t>
  </si>
  <si>
    <t>CAMPOHERMOSO</t>
  </si>
  <si>
    <t>CERINZA</t>
  </si>
  <si>
    <t>CHINAVITA</t>
  </si>
  <si>
    <t>CHIQUINQUIRA</t>
  </si>
  <si>
    <t>CHIQUIZA</t>
  </si>
  <si>
    <t>CHISCAS</t>
  </si>
  <si>
    <t>CHITA</t>
  </si>
  <si>
    <t>CHITARAQUE</t>
  </si>
  <si>
    <t>CHIVATA</t>
  </si>
  <si>
    <t>CHIVOR</t>
  </si>
  <si>
    <t>COMBITA</t>
  </si>
  <si>
    <t>COPER</t>
  </si>
  <si>
    <t>CORRALES</t>
  </si>
  <si>
    <t>COVARACHIA</t>
  </si>
  <si>
    <t>CUBARA</t>
  </si>
  <si>
    <t>CUCAITA</t>
  </si>
  <si>
    <t>CUITIVA</t>
  </si>
  <si>
    <t>DUITAMA</t>
  </si>
  <si>
    <t>EL COCUY</t>
  </si>
  <si>
    <t>EL ESPINO</t>
  </si>
  <si>
    <t>FIRAVITOBA</t>
  </si>
  <si>
    <t>FLORESTA</t>
  </si>
  <si>
    <t>GACHANTIVA</t>
  </si>
  <si>
    <t>GAMEZA</t>
  </si>
  <si>
    <t>GARAGOA</t>
  </si>
  <si>
    <t>GUACAMAYAS</t>
  </si>
  <si>
    <t>GUATEQUE</t>
  </si>
  <si>
    <t>GUAYATA</t>
  </si>
  <si>
    <t>GUICAN</t>
  </si>
  <si>
    <t>IZA</t>
  </si>
  <si>
    <t>JENESANO</t>
  </si>
  <si>
    <t>LA CAPILLA</t>
  </si>
  <si>
    <t>LA UVITA</t>
  </si>
  <si>
    <t>LABRANZAGRANDE</t>
  </si>
  <si>
    <t>MACANAL</t>
  </si>
  <si>
    <t>MARIPI</t>
  </si>
  <si>
    <t>MONGUA</t>
  </si>
  <si>
    <t>MONGUI</t>
  </si>
  <si>
    <t>MONIQUIRA</t>
  </si>
  <si>
    <t>MOTAVITA</t>
  </si>
  <si>
    <t>MUZO</t>
  </si>
  <si>
    <t>NOBSA</t>
  </si>
  <si>
    <t>NUEVO COLON</t>
  </si>
  <si>
    <t>OICATA</t>
  </si>
  <si>
    <t>OTANCHE</t>
  </si>
  <si>
    <t>PACHAVITA</t>
  </si>
  <si>
    <t>PAIPA</t>
  </si>
  <si>
    <t>PAJARITO</t>
  </si>
  <si>
    <t>YOPAL</t>
  </si>
  <si>
    <t>PANQUEBA</t>
  </si>
  <si>
    <t>PAUNA</t>
  </si>
  <si>
    <t>PAYA</t>
  </si>
  <si>
    <t>PAZ DE RIO</t>
  </si>
  <si>
    <t>PESCA</t>
  </si>
  <si>
    <t>PISBA</t>
  </si>
  <si>
    <t>PUERTO BOYACA</t>
  </si>
  <si>
    <t>QUIPAMA</t>
  </si>
  <si>
    <t>RAMIRIQUI</t>
  </si>
  <si>
    <t>RAQUIRA</t>
  </si>
  <si>
    <t>RONDON</t>
  </si>
  <si>
    <t>SABOYA</t>
  </si>
  <si>
    <t>SACHICA</t>
  </si>
  <si>
    <t>SAMACA</t>
  </si>
  <si>
    <t>SAN EDUARDO</t>
  </si>
  <si>
    <t>SAN JOSE DE PARE</t>
  </si>
  <si>
    <t>SAN LUIS DE GACENO</t>
  </si>
  <si>
    <t>SAN MATEO</t>
  </si>
  <si>
    <t>SAN MIGUEL DE SEMA</t>
  </si>
  <si>
    <t>SAN PABLO DE BORBUR</t>
  </si>
  <si>
    <t>SANTA ROSA DE VITERBO</t>
  </si>
  <si>
    <t>SANTA SOFIA</t>
  </si>
  <si>
    <t>SANTANA</t>
  </si>
  <si>
    <t>SATIVANORTE</t>
  </si>
  <si>
    <t>SATIVASUR</t>
  </si>
  <si>
    <t>SIACHOQUE</t>
  </si>
  <si>
    <t>SOATA</t>
  </si>
  <si>
    <t>SOCHA</t>
  </si>
  <si>
    <t>SOCOTA</t>
  </si>
  <si>
    <t>SOGAMOSO</t>
  </si>
  <si>
    <t>SOMONDOCO</t>
  </si>
  <si>
    <t>SORA</t>
  </si>
  <si>
    <t>SORACA</t>
  </si>
  <si>
    <t>SOTAQUIRA</t>
  </si>
  <si>
    <t>SUSACON</t>
  </si>
  <si>
    <t>SUTAMARCHAN</t>
  </si>
  <si>
    <t>SUTATENZA</t>
  </si>
  <si>
    <t>TASCO</t>
  </si>
  <si>
    <t>TENZA</t>
  </si>
  <si>
    <t>TIBANA</t>
  </si>
  <si>
    <t>TIBASOSA</t>
  </si>
  <si>
    <t>TINJACA</t>
  </si>
  <si>
    <t>TIPACOQUE</t>
  </si>
  <si>
    <t>TOCA</t>
  </si>
  <si>
    <t>TOGÜI</t>
  </si>
  <si>
    <t>TOPAGA</t>
  </si>
  <si>
    <t>TOTA</t>
  </si>
  <si>
    <t>TUNUNGUA</t>
  </si>
  <si>
    <t>TURMEQUE</t>
  </si>
  <si>
    <t>TUTA</t>
  </si>
  <si>
    <t>TUTAZA</t>
  </si>
  <si>
    <t>UMBITA</t>
  </si>
  <si>
    <t>VENTAQUEMADA</t>
  </si>
  <si>
    <t>VILLA DE LEYVA</t>
  </si>
  <si>
    <t>VIRACACHA</t>
  </si>
  <si>
    <t>ZETAQUIRA</t>
  </si>
  <si>
    <t>PALESTINA</t>
  </si>
  <si>
    <t>MANIZALES</t>
  </si>
  <si>
    <t>RIOSUCIO</t>
  </si>
  <si>
    <t>SALAMINA</t>
  </si>
  <si>
    <t>AGUADAS</t>
  </si>
  <si>
    <t>ANSERMA</t>
  </si>
  <si>
    <t>ARANZAZU</t>
  </si>
  <si>
    <t>BELALCAZAR</t>
  </si>
  <si>
    <t>CHINCHINA</t>
  </si>
  <si>
    <t>FILADELFIA</t>
  </si>
  <si>
    <t>LA DORADA</t>
  </si>
  <si>
    <t>IBAGUE</t>
  </si>
  <si>
    <t>LA MERCED</t>
  </si>
  <si>
    <t>MANZANARES</t>
  </si>
  <si>
    <t>MARMATO</t>
  </si>
  <si>
    <t>MARQUETALIA</t>
  </si>
  <si>
    <t>MARULANDA</t>
  </si>
  <si>
    <t>NEIRA</t>
  </si>
  <si>
    <t>NORCASIA</t>
  </si>
  <si>
    <t>PACORA</t>
  </si>
  <si>
    <t>PENSILVANIA</t>
  </si>
  <si>
    <t>RISARALDA</t>
  </si>
  <si>
    <t>SAMANA</t>
  </si>
  <si>
    <t>SAN JOSE</t>
  </si>
  <si>
    <t>SUPIA</t>
  </si>
  <si>
    <t>VICTORIA</t>
  </si>
  <si>
    <t>VILLAMARIA</t>
  </si>
  <si>
    <t>VITERBO</t>
  </si>
  <si>
    <t>PEREIRA</t>
  </si>
  <si>
    <t>ALBANIA</t>
  </si>
  <si>
    <t>FLORENCIA</t>
  </si>
  <si>
    <t>PUERTO RICO</t>
  </si>
  <si>
    <t>BELEN DE LOS ANDAQUIES</t>
  </si>
  <si>
    <t>CARTAGENA DEL CHAIRA</t>
  </si>
  <si>
    <t>CURILLO</t>
  </si>
  <si>
    <t>EL DONCELLO</t>
  </si>
  <si>
    <t>EL PAUJIL</t>
  </si>
  <si>
    <t>LA MONTAÑITA</t>
  </si>
  <si>
    <t>MILAN</t>
  </si>
  <si>
    <t>MORELIA</t>
  </si>
  <si>
    <t>SAN JOSE DEL FRAGUA</t>
  </si>
  <si>
    <t>SOLANO</t>
  </si>
  <si>
    <t>SOLITA</t>
  </si>
  <si>
    <t>CASANARE</t>
  </si>
  <si>
    <t>AGUAZUL</t>
  </si>
  <si>
    <t>CHAMEZA</t>
  </si>
  <si>
    <t>HATO COROZAL</t>
  </si>
  <si>
    <t>LA SALINA</t>
  </si>
  <si>
    <t>MANI</t>
  </si>
  <si>
    <t>MONTERREY</t>
  </si>
  <si>
    <t>NUNCHIA</t>
  </si>
  <si>
    <t>OROCUE</t>
  </si>
  <si>
    <t>PAZ DE ARIPORO</t>
  </si>
  <si>
    <t>PORE</t>
  </si>
  <si>
    <t>RECETOR</t>
  </si>
  <si>
    <t>SACAMA</t>
  </si>
  <si>
    <t>SAN LUIS DE PALENQUE</t>
  </si>
  <si>
    <t>TAMARA</t>
  </si>
  <si>
    <t>TAURAMENA</t>
  </si>
  <si>
    <t>TRINIDAD</t>
  </si>
  <si>
    <t>CAUCA</t>
  </si>
  <si>
    <t>CALI</t>
  </si>
  <si>
    <t>BALBOA</t>
  </si>
  <si>
    <t>EL TAMBO</t>
  </si>
  <si>
    <t>LA VEGA</t>
  </si>
  <si>
    <t>SUAREZ</t>
  </si>
  <si>
    <t>SUCRE</t>
  </si>
  <si>
    <t>ALMAGUER</t>
  </si>
  <si>
    <t>BUENOS AIRES</t>
  </si>
  <si>
    <t>CAJIBIO</t>
  </si>
  <si>
    <t>CALDONO</t>
  </si>
  <si>
    <t>CALOTO</t>
  </si>
  <si>
    <t>CORINTO</t>
  </si>
  <si>
    <t>GUACHENE</t>
  </si>
  <si>
    <t>GUAPI</t>
  </si>
  <si>
    <t>INZA</t>
  </si>
  <si>
    <t>JAMBALO</t>
  </si>
  <si>
    <t>LA SIERRA</t>
  </si>
  <si>
    <t>LOPEZ</t>
  </si>
  <si>
    <t>MERCADERES</t>
  </si>
  <si>
    <t>MIRANDA</t>
  </si>
  <si>
    <t>PADILLA</t>
  </si>
  <si>
    <t>PATIA</t>
  </si>
  <si>
    <t>PIAMONTE</t>
  </si>
  <si>
    <t>PIENDAMO</t>
  </si>
  <si>
    <t>POPAYAN</t>
  </si>
  <si>
    <t>PUERTO TEJADA</t>
  </si>
  <si>
    <t>PURACE</t>
  </si>
  <si>
    <t>ROSAS</t>
  </si>
  <si>
    <t>SAN SEBASTIAN</t>
  </si>
  <si>
    <t>SANTANDER DE QUILICHAO</t>
  </si>
  <si>
    <t>SILVIA</t>
  </si>
  <si>
    <t>SOTARA</t>
  </si>
  <si>
    <t>TIMBIO</t>
  </si>
  <si>
    <t>TIMBIQUI</t>
  </si>
  <si>
    <t>TORIBIO</t>
  </si>
  <si>
    <t>TOTORO</t>
  </si>
  <si>
    <t>VILLA RICA</t>
  </si>
  <si>
    <t>LA PAZ</t>
  </si>
  <si>
    <t>CESAR</t>
  </si>
  <si>
    <t>MANAURE</t>
  </si>
  <si>
    <t>SAN MARTIN</t>
  </si>
  <si>
    <t>AGUACHICA</t>
  </si>
  <si>
    <t>AGUSTIN CODAZZI</t>
  </si>
  <si>
    <t>ASTREA</t>
  </si>
  <si>
    <t>BECERRIL</t>
  </si>
  <si>
    <t>BOSCONIA</t>
  </si>
  <si>
    <t>CHIMICHAGUA</t>
  </si>
  <si>
    <t>CHIRIGUANA</t>
  </si>
  <si>
    <t>CURUMANI</t>
  </si>
  <si>
    <t>EL COPEY</t>
  </si>
  <si>
    <t>EL PASO</t>
  </si>
  <si>
    <t>GAMARRA</t>
  </si>
  <si>
    <t>GONZALEZ</t>
  </si>
  <si>
    <t>LA GLORIA</t>
  </si>
  <si>
    <t>LA JAGUA DE IBIRICO</t>
  </si>
  <si>
    <t>PAILITAS</t>
  </si>
  <si>
    <t>PELAYA</t>
  </si>
  <si>
    <t>PUEBLO BELLO</t>
  </si>
  <si>
    <t>RIO DE ORO</t>
  </si>
  <si>
    <t>SAN ALBERTO</t>
  </si>
  <si>
    <t>SAN DIEGO</t>
  </si>
  <si>
    <t>TAMALAMEQUE</t>
  </si>
  <si>
    <t>CHOCO</t>
  </si>
  <si>
    <t>ACANDI</t>
  </si>
  <si>
    <t>ALTO BAUDO</t>
  </si>
  <si>
    <t>ATRATO</t>
  </si>
  <si>
    <t>BAGADO</t>
  </si>
  <si>
    <t>BAHIA SOLANO</t>
  </si>
  <si>
    <t>BAJO BAUDO</t>
  </si>
  <si>
    <t>BELEN DE BAJIRA</t>
  </si>
  <si>
    <t>BOJAYA</t>
  </si>
  <si>
    <t>CARMEN DEL DARIEN</t>
  </si>
  <si>
    <t>CERTEGUI</t>
  </si>
  <si>
    <t>CONDOTO</t>
  </si>
  <si>
    <t>EL CANTON DEL SAN PABLO</t>
  </si>
  <si>
    <t>EL CARMEN DE ATRATO</t>
  </si>
  <si>
    <t>EL LITORAL DEL SAN JUAN</t>
  </si>
  <si>
    <t>TERRESTRE / FLUVIAL</t>
  </si>
  <si>
    <t>ISTMINA</t>
  </si>
  <si>
    <t>JURADO</t>
  </si>
  <si>
    <t>LLORO</t>
  </si>
  <si>
    <t>MEDIO ATRATO</t>
  </si>
  <si>
    <t>MEDIO BAUDO</t>
  </si>
  <si>
    <t>MEDIO SAN JUAN</t>
  </si>
  <si>
    <t>NOVITA</t>
  </si>
  <si>
    <t>NUQUI</t>
  </si>
  <si>
    <t>QUIBDO</t>
  </si>
  <si>
    <t>RIO IRO</t>
  </si>
  <si>
    <t>RIO QUITO</t>
  </si>
  <si>
    <t>SAN JOSE DEL PALMAR</t>
  </si>
  <si>
    <t>SIPI</t>
  </si>
  <si>
    <t>TADO</t>
  </si>
  <si>
    <t>UNGUIA</t>
  </si>
  <si>
    <t>UNION PANAMERICANA</t>
  </si>
  <si>
    <t>CHIMA</t>
  </si>
  <si>
    <t>AYAPEL</t>
  </si>
  <si>
    <t>CANALETE</t>
  </si>
  <si>
    <t>CERETE</t>
  </si>
  <si>
    <t>CHINU</t>
  </si>
  <si>
    <t>CIENAGA DE ORO</t>
  </si>
  <si>
    <t>COTORRA</t>
  </si>
  <si>
    <t>LA APARTADA</t>
  </si>
  <si>
    <t>LORICA</t>
  </si>
  <si>
    <t>LOS CORDOBAS</t>
  </si>
  <si>
    <t>MOMIL</t>
  </si>
  <si>
    <t>MONTELIBANO</t>
  </si>
  <si>
    <t>MOÑITOS</t>
  </si>
  <si>
    <t>PLANETA RICA</t>
  </si>
  <si>
    <t>PUEBLO NUEVO</t>
  </si>
  <si>
    <t>PUERTO ESCONDIDO</t>
  </si>
  <si>
    <t>PUERTO LIBERTADOR</t>
  </si>
  <si>
    <t>PURISIMA</t>
  </si>
  <si>
    <t>SAHAGUN</t>
  </si>
  <si>
    <t>SAN ANDRES SOTAVENTO</t>
  </si>
  <si>
    <t>SAN ANTERO</t>
  </si>
  <si>
    <t>SAN BERNARDO DEL VIENTO</t>
  </si>
  <si>
    <t>SAN PELAYO</t>
  </si>
  <si>
    <t>TIERRALTA</t>
  </si>
  <si>
    <t>VALENCIA</t>
  </si>
  <si>
    <t>ALBAN</t>
  </si>
  <si>
    <t>CABRERA</t>
  </si>
  <si>
    <t>MOSQUERA</t>
  </si>
  <si>
    <t>RICAURTE</t>
  </si>
  <si>
    <t>SAN BERNARDO</t>
  </si>
  <si>
    <t>SAN CAYETANO</t>
  </si>
  <si>
    <t>AGUA DE DIOS</t>
  </si>
  <si>
    <t>ANAPOIMA</t>
  </si>
  <si>
    <t>ANOLAIMA</t>
  </si>
  <si>
    <t>APULO</t>
  </si>
  <si>
    <t>ARBELAEZ</t>
  </si>
  <si>
    <t>BELTRAN</t>
  </si>
  <si>
    <t>BITUIMA</t>
  </si>
  <si>
    <t>BOJACA</t>
  </si>
  <si>
    <t>CACHIPAY</t>
  </si>
  <si>
    <t>CAJICA</t>
  </si>
  <si>
    <t>CAPARRAPI</t>
  </si>
  <si>
    <t>CAQUEZA</t>
  </si>
  <si>
    <t>CARMEN DE CARUPA</t>
  </si>
  <si>
    <t>CHAGUANI</t>
  </si>
  <si>
    <t>CHIA</t>
  </si>
  <si>
    <t>CHIPAQUE</t>
  </si>
  <si>
    <t>CHOACHI</t>
  </si>
  <si>
    <t>CHOCONTA</t>
  </si>
  <si>
    <t>COGUA</t>
  </si>
  <si>
    <t>COTA</t>
  </si>
  <si>
    <t>CUCUNUBA</t>
  </si>
  <si>
    <t>EL COLEGIO</t>
  </si>
  <si>
    <t>EL ROSAL</t>
  </si>
  <si>
    <t>FACATATIVA</t>
  </si>
  <si>
    <t>FOMEQUE</t>
  </si>
  <si>
    <t>FOSCA</t>
  </si>
  <si>
    <t>FUNZA</t>
  </si>
  <si>
    <t>FUQUENE</t>
  </si>
  <si>
    <t>FUSAGASUGA</t>
  </si>
  <si>
    <t>GACHALA</t>
  </si>
  <si>
    <t>GACHANCIPA</t>
  </si>
  <si>
    <t>GACHETA</t>
  </si>
  <si>
    <t>GAMA</t>
  </si>
  <si>
    <t>GIRARDOT</t>
  </si>
  <si>
    <t>GUACHETA</t>
  </si>
  <si>
    <t>GUADUAS</t>
  </si>
  <si>
    <t>GUASCA</t>
  </si>
  <si>
    <t>GUATAQUI</t>
  </si>
  <si>
    <t>GUATAVITA</t>
  </si>
  <si>
    <t>GUAYABAL DE SIQUIMA</t>
  </si>
  <si>
    <t>GUAYABETAL</t>
  </si>
  <si>
    <t>GUTIERREZ</t>
  </si>
  <si>
    <t>JERUSALEN</t>
  </si>
  <si>
    <t>JUNIN</t>
  </si>
  <si>
    <t>LA CALERA</t>
  </si>
  <si>
    <t>LA MESA</t>
  </si>
  <si>
    <t>LA PALMA</t>
  </si>
  <si>
    <t>LA PEÑA</t>
  </si>
  <si>
    <t>LENGUAZAQUE</t>
  </si>
  <si>
    <t>MACHETA</t>
  </si>
  <si>
    <t>MADRID</t>
  </si>
  <si>
    <t>MANTA</t>
  </si>
  <si>
    <t>MEDINA</t>
  </si>
  <si>
    <t>NEMOCON</t>
  </si>
  <si>
    <t>NILO</t>
  </si>
  <si>
    <t>NIMAIMA</t>
  </si>
  <si>
    <t>NOCAIMA</t>
  </si>
  <si>
    <t>PACHO</t>
  </si>
  <si>
    <t>PAIME</t>
  </si>
  <si>
    <t>PANDI</t>
  </si>
  <si>
    <t>PARATEBUENO</t>
  </si>
  <si>
    <t>PASCA</t>
  </si>
  <si>
    <t>PUERTO SALGAR</t>
  </si>
  <si>
    <t>PULI</t>
  </si>
  <si>
    <t>QUEBRADANEGRA</t>
  </si>
  <si>
    <t>QUETAME</t>
  </si>
  <si>
    <t>QUIPILE</t>
  </si>
  <si>
    <t>SAN ANTONIO DEL TEQUENDAMA</t>
  </si>
  <si>
    <t>SAN JUAN DE RIO SECO</t>
  </si>
  <si>
    <t>SASAIMA</t>
  </si>
  <si>
    <t>SESQUILE</t>
  </si>
  <si>
    <t>SIBATE</t>
  </si>
  <si>
    <t>SILVANIA</t>
  </si>
  <si>
    <t>SIMIJACA</t>
  </si>
  <si>
    <t>SOACHA</t>
  </si>
  <si>
    <t>SOPO</t>
  </si>
  <si>
    <t>SUBACHOQUE</t>
  </si>
  <si>
    <t>SUESCA</t>
  </si>
  <si>
    <t>SUPATA</t>
  </si>
  <si>
    <t>SUSA</t>
  </si>
  <si>
    <t>SUTATAUSA</t>
  </si>
  <si>
    <t>TABIO</t>
  </si>
  <si>
    <t>TAUSA</t>
  </si>
  <si>
    <t>TENA</t>
  </si>
  <si>
    <t>TENJO</t>
  </si>
  <si>
    <t>TIBACUY</t>
  </si>
  <si>
    <t>TIBIRITA</t>
  </si>
  <si>
    <t>TOCAIMA</t>
  </si>
  <si>
    <t>TOCANCIPA</t>
  </si>
  <si>
    <t>TOPAIPI</t>
  </si>
  <si>
    <t>UBALA</t>
  </si>
  <si>
    <t>UBAQUE</t>
  </si>
  <si>
    <t>UNE</t>
  </si>
  <si>
    <t>UTICA</t>
  </si>
  <si>
    <t>VERGARA</t>
  </si>
  <si>
    <t>VIANI</t>
  </si>
  <si>
    <t>VILLA DE SAN DIEGO DE UBATE</t>
  </si>
  <si>
    <t>VILLAGOMEZ</t>
  </si>
  <si>
    <t>VILLAPINZON</t>
  </si>
  <si>
    <t>VILLETA</t>
  </si>
  <si>
    <t>VIOTA</t>
  </si>
  <si>
    <t>YACOPI</t>
  </si>
  <si>
    <t>ZIPACON</t>
  </si>
  <si>
    <t>ZIPAQUIRA</t>
  </si>
  <si>
    <t>GUAINIA</t>
  </si>
  <si>
    <t>BARRANCO MINAS</t>
  </si>
  <si>
    <t>CACAHUAL</t>
  </si>
  <si>
    <t>INIRIDA</t>
  </si>
  <si>
    <t>LA GUADALUPE</t>
  </si>
  <si>
    <t>MAPIRIPANA</t>
  </si>
  <si>
    <t>MORICHAL</t>
  </si>
  <si>
    <t>PANA PANA</t>
  </si>
  <si>
    <t>SAN FELIPE</t>
  </si>
  <si>
    <t>GUAVIARE</t>
  </si>
  <si>
    <t>EL RETORNO</t>
  </si>
  <si>
    <t>SAN JOSE DEL GUAVIARE</t>
  </si>
  <si>
    <t>HUILA</t>
  </si>
  <si>
    <t>ACEVEDO</t>
  </si>
  <si>
    <t>AGRADO</t>
  </si>
  <si>
    <t>AIPE</t>
  </si>
  <si>
    <t>ALGECIRAS</t>
  </si>
  <si>
    <t>ALTAMIRA</t>
  </si>
  <si>
    <t>BARAYA</t>
  </si>
  <si>
    <t>CAMPOALEGRE</t>
  </si>
  <si>
    <t>COLOMBIA</t>
  </si>
  <si>
    <t>ELIAS</t>
  </si>
  <si>
    <t>GARZON</t>
  </si>
  <si>
    <t>GIGANTE</t>
  </si>
  <si>
    <t>HOBO</t>
  </si>
  <si>
    <t>IQUIRA</t>
  </si>
  <si>
    <t>ISNOS</t>
  </si>
  <si>
    <t>LA ARGENTINA</t>
  </si>
  <si>
    <t>LA PLATA</t>
  </si>
  <si>
    <t>NATAGA</t>
  </si>
  <si>
    <t>OPORAPA</t>
  </si>
  <si>
    <t>PAICOL</t>
  </si>
  <si>
    <t>PALERMO</t>
  </si>
  <si>
    <t>PITAL</t>
  </si>
  <si>
    <t>PITALITO</t>
  </si>
  <si>
    <t>RIVERA</t>
  </si>
  <si>
    <t>SALADOBLANCO</t>
  </si>
  <si>
    <t>SAN AGUSTIN</t>
  </si>
  <si>
    <t>SUAZA</t>
  </si>
  <si>
    <t>TARQUI</t>
  </si>
  <si>
    <t>TELLO</t>
  </si>
  <si>
    <t>TERUEL</t>
  </si>
  <si>
    <t>TESALIA</t>
  </si>
  <si>
    <t>TIMANA</t>
  </si>
  <si>
    <t>VILLAVIEJA</t>
  </si>
  <si>
    <t>YAGUARA</t>
  </si>
  <si>
    <t>LA GUAJIRA</t>
  </si>
  <si>
    <t>SANTA MARTA</t>
  </si>
  <si>
    <t>BARRANCAS</t>
  </si>
  <si>
    <t>DIBULLA</t>
  </si>
  <si>
    <t>DISTRACCION</t>
  </si>
  <si>
    <t>EL MOLINO</t>
  </si>
  <si>
    <t>FONSECA</t>
  </si>
  <si>
    <t>HATONUEVO</t>
  </si>
  <si>
    <t>LA JAGUA DEL PILAR</t>
  </si>
  <si>
    <t>MAICAO</t>
  </si>
  <si>
    <t>RIOHACHA</t>
  </si>
  <si>
    <t>SAN JUAN DEL CESAR</t>
  </si>
  <si>
    <t>URIBIA</t>
  </si>
  <si>
    <t>URUMITA</t>
  </si>
  <si>
    <t>MAGDALENA</t>
  </si>
  <si>
    <t>GUAMAL</t>
  </si>
  <si>
    <t>ALGARROBO</t>
  </si>
  <si>
    <t>ARACATACA</t>
  </si>
  <si>
    <t>ARIGUANI</t>
  </si>
  <si>
    <t>CERRO SAN ANTONIO</t>
  </si>
  <si>
    <t>CHIBOLO</t>
  </si>
  <si>
    <t>EL BANCO</t>
  </si>
  <si>
    <t>EL PIÑON</t>
  </si>
  <si>
    <t>EL RETEN</t>
  </si>
  <si>
    <t>FUNDACION</t>
  </si>
  <si>
    <t>NUEVA GRANADA</t>
  </si>
  <si>
    <t>PEDRAZA</t>
  </si>
  <si>
    <t>PIJIÑO DEL CARMEN</t>
  </si>
  <si>
    <t>PIVIJAY</t>
  </si>
  <si>
    <t>PLATO</t>
  </si>
  <si>
    <t>PUEBLOVIEJO</t>
  </si>
  <si>
    <t>REMOLINO</t>
  </si>
  <si>
    <t>SABANAS DE SAN ANGEL</t>
  </si>
  <si>
    <t>SAN SEBASTIAN DE BUENAVISTA</t>
  </si>
  <si>
    <t>SAN ZENON</t>
  </si>
  <si>
    <t>SANTA ANA</t>
  </si>
  <si>
    <t>SANTA BARBARA DE PINTO</t>
  </si>
  <si>
    <t>SITIONUEVO</t>
  </si>
  <si>
    <t>TENERIFE</t>
  </si>
  <si>
    <t>ZAPAYAN</t>
  </si>
  <si>
    <t>ZONA BANANERA</t>
  </si>
  <si>
    <t>RESTREPO</t>
  </si>
  <si>
    <t>ACACIAS</t>
  </si>
  <si>
    <t>BARRANCA DE UPIA</t>
  </si>
  <si>
    <t>CABUYARO</t>
  </si>
  <si>
    <t>CASTILLA LA NUEVA</t>
  </si>
  <si>
    <t>CUBARRAL</t>
  </si>
  <si>
    <t>CUMARAL</t>
  </si>
  <si>
    <t>EL CALVARIO</t>
  </si>
  <si>
    <t>EL CASTILLO</t>
  </si>
  <si>
    <t>EL DORADO</t>
  </si>
  <si>
    <t>FUENTE DE ORO</t>
  </si>
  <si>
    <t>LA MACARENA</t>
  </si>
  <si>
    <t>LEJANIAS</t>
  </si>
  <si>
    <t>MAPIRIPAN</t>
  </si>
  <si>
    <t>MESETAS</t>
  </si>
  <si>
    <t>PUERTO CONCORDIA</t>
  </si>
  <si>
    <t>PUERTO GAITAN</t>
  </si>
  <si>
    <t>PUERTO LLERAS</t>
  </si>
  <si>
    <t>PUERTO LOPEZ</t>
  </si>
  <si>
    <t>SAN CARLOS DE GUAROA</t>
  </si>
  <si>
    <t>SAN JUAN DE ARAMA</t>
  </si>
  <si>
    <t>SAN JUANITO</t>
  </si>
  <si>
    <t>URIBE</t>
  </si>
  <si>
    <t>VISTAHERMOSA</t>
  </si>
  <si>
    <t>COLON</t>
  </si>
  <si>
    <t>PROVIDENCIA</t>
  </si>
  <si>
    <t>ALDANA</t>
  </si>
  <si>
    <t>ANCUYA</t>
  </si>
  <si>
    <t>ARBOLEDA</t>
  </si>
  <si>
    <t>BARBACOAS</t>
  </si>
  <si>
    <t>BUESACO</t>
  </si>
  <si>
    <t>CHACHAGUI</t>
  </si>
  <si>
    <t>CONSACA</t>
  </si>
  <si>
    <t>CONTADERO</t>
  </si>
  <si>
    <t>CUASPUD</t>
  </si>
  <si>
    <t>CUMBAL</t>
  </si>
  <si>
    <t>CUMBITARA</t>
  </si>
  <si>
    <t>EL CHARCO</t>
  </si>
  <si>
    <t>EL PEÑOL</t>
  </si>
  <si>
    <t>EL ROSARIO</t>
  </si>
  <si>
    <t>EL TABLON DE GOMEZ</t>
  </si>
  <si>
    <t>FRANCISCO PIZARRO</t>
  </si>
  <si>
    <t>FUNES</t>
  </si>
  <si>
    <t>GUACHUCAL</t>
  </si>
  <si>
    <t>GUAITARILLA</t>
  </si>
  <si>
    <t>GUALMATAN</t>
  </si>
  <si>
    <t>ILES</t>
  </si>
  <si>
    <t>IMUES</t>
  </si>
  <si>
    <t>LA CRUZ</t>
  </si>
  <si>
    <t>LA FLORIDA</t>
  </si>
  <si>
    <t>LA LLANADA</t>
  </si>
  <si>
    <t>LA TOLA</t>
  </si>
  <si>
    <t>LEIVA</t>
  </si>
  <si>
    <t>LINARES</t>
  </si>
  <si>
    <t>LOS ANDES</t>
  </si>
  <si>
    <t>MAGUI</t>
  </si>
  <si>
    <t>MALLAMA</t>
  </si>
  <si>
    <t>OLAYA HERRERA</t>
  </si>
  <si>
    <t>OSPINA</t>
  </si>
  <si>
    <t>POLICARPA</t>
  </si>
  <si>
    <t>POTOSI</t>
  </si>
  <si>
    <t>PUERRES</t>
  </si>
  <si>
    <t>PUPIALES</t>
  </si>
  <si>
    <t>ROBERTO PAYAN</t>
  </si>
  <si>
    <t>SAMANIEGO</t>
  </si>
  <si>
    <t>SAN ANDRES DE TUMACO</t>
  </si>
  <si>
    <t>SAN PEDRO DE CARTAGO</t>
  </si>
  <si>
    <t>SANDONA</t>
  </si>
  <si>
    <t>SANTACRUZ</t>
  </si>
  <si>
    <t>SAPUYES</t>
  </si>
  <si>
    <t>TAMINANGO</t>
  </si>
  <si>
    <t>TANGUA</t>
  </si>
  <si>
    <t>TUQUERRES</t>
  </si>
  <si>
    <t>YACUANQUER</t>
  </si>
  <si>
    <t>NORTE DE SANTANDER</t>
  </si>
  <si>
    <t>CUCUTA</t>
  </si>
  <si>
    <t>SANTIAGO</t>
  </si>
  <si>
    <t>ABREGO</t>
  </si>
  <si>
    <t>ARBOLEDAS</t>
  </si>
  <si>
    <t>BOCHALEMA</t>
  </si>
  <si>
    <t>BUCARASICA</t>
  </si>
  <si>
    <t>CACHIRA</t>
  </si>
  <si>
    <t>CACOTA</t>
  </si>
  <si>
    <t>CHINACOTA</t>
  </si>
  <si>
    <t>CHITAGA</t>
  </si>
  <si>
    <t>CONVENCION</t>
  </si>
  <si>
    <t>CUCUTILLA</t>
  </si>
  <si>
    <t>DURANIA</t>
  </si>
  <si>
    <t>EL CARMEN</t>
  </si>
  <si>
    <t>EL TARRA</t>
  </si>
  <si>
    <t>EL ZULIA</t>
  </si>
  <si>
    <t>GRAMALOTE</t>
  </si>
  <si>
    <t>HACARI</t>
  </si>
  <si>
    <t>HERRAN</t>
  </si>
  <si>
    <t>LA ESPERANZA</t>
  </si>
  <si>
    <t>LA PLAYA</t>
  </si>
  <si>
    <t>LABATECA</t>
  </si>
  <si>
    <t>LOS PATIOS</t>
  </si>
  <si>
    <t>LOURDES</t>
  </si>
  <si>
    <t>MUTISCUA</t>
  </si>
  <si>
    <t>OCAÑA</t>
  </si>
  <si>
    <t>PAMPLONA</t>
  </si>
  <si>
    <t>PAMPLONITA</t>
  </si>
  <si>
    <t>RAGONVALIA</t>
  </si>
  <si>
    <t>SALAZAR</t>
  </si>
  <si>
    <t>SAN CALIXTO</t>
  </si>
  <si>
    <t>SARDINATA</t>
  </si>
  <si>
    <t>SILOS</t>
  </si>
  <si>
    <t>TEORAMA</t>
  </si>
  <si>
    <t>TIBU</t>
  </si>
  <si>
    <t>VILLA CARO</t>
  </si>
  <si>
    <t>VILLA DEL ROSARIO</t>
  </si>
  <si>
    <t>PUTUMAYO</t>
  </si>
  <si>
    <t>SAN MIGUEL</t>
  </si>
  <si>
    <t>LEGUIZAMO</t>
  </si>
  <si>
    <t>MOCOA</t>
  </si>
  <si>
    <t>ORITO</t>
  </si>
  <si>
    <t>PUERTO ASIS</t>
  </si>
  <si>
    <t>PUERTO CAICEDO</t>
  </si>
  <si>
    <t>PUERTO GUZMAN</t>
  </si>
  <si>
    <t>SIBUNDOY</t>
  </si>
  <si>
    <t>VALLE DEL GUAMUEZ</t>
  </si>
  <si>
    <t>VILLAGARZON</t>
  </si>
  <si>
    <t>QUINDIO</t>
  </si>
  <si>
    <t>CALARCA</t>
  </si>
  <si>
    <t>CIRCASIA</t>
  </si>
  <si>
    <t>FILANDIA</t>
  </si>
  <si>
    <t>GENOVA</t>
  </si>
  <si>
    <t>LA TEBAIDA</t>
  </si>
  <si>
    <t>MONTENEGRO</t>
  </si>
  <si>
    <t>PIJAO</t>
  </si>
  <si>
    <t>QUIMBAYA</t>
  </si>
  <si>
    <t>SALENTO</t>
  </si>
  <si>
    <t>APIA</t>
  </si>
  <si>
    <t>BELEN DE UMBRIA</t>
  </si>
  <si>
    <t>DOSQUEBRADAS</t>
  </si>
  <si>
    <t>GUATICA</t>
  </si>
  <si>
    <t>LA CELIA</t>
  </si>
  <si>
    <t>LA VIRGINIA</t>
  </si>
  <si>
    <t>MARSELLA</t>
  </si>
  <si>
    <t>MISTRATO</t>
  </si>
  <si>
    <t>PUEBLO RICO</t>
  </si>
  <si>
    <t>QUINCHIA</t>
  </si>
  <si>
    <t>SANTA ROSA DE CABAL</t>
  </si>
  <si>
    <t>SANTUARIO</t>
  </si>
  <si>
    <t>ARCHIPIELAGO DE SAN ANDRES Y PROVIDENCIA</t>
  </si>
  <si>
    <t>SAN ANDRES</t>
  </si>
  <si>
    <t>AGUADA</t>
  </si>
  <si>
    <t>ARATOCA</t>
  </si>
  <si>
    <t>BARICHARA</t>
  </si>
  <si>
    <t>BARRANCABERMEJA</t>
  </si>
  <si>
    <t>CALIFORNIA</t>
  </si>
  <si>
    <t>CAPITANEJO</t>
  </si>
  <si>
    <t>CARCASI</t>
  </si>
  <si>
    <t>CEPITA</t>
  </si>
  <si>
    <t>CERRITO</t>
  </si>
  <si>
    <t>CHARALA</t>
  </si>
  <si>
    <t>CHARTA</t>
  </si>
  <si>
    <t>CHIPATA</t>
  </si>
  <si>
    <t>CIMITARRA</t>
  </si>
  <si>
    <t>CONFINES</t>
  </si>
  <si>
    <t>CONTRATACION</t>
  </si>
  <si>
    <t>COROMORO</t>
  </si>
  <si>
    <t>CURITI</t>
  </si>
  <si>
    <t>EL CARMEN DE CHUCURI</t>
  </si>
  <si>
    <t>EL GUACAMAYO</t>
  </si>
  <si>
    <t>EL PLAYON</t>
  </si>
  <si>
    <t>ENCINO</t>
  </si>
  <si>
    <t>ENCISO</t>
  </si>
  <si>
    <t>FLORIAN</t>
  </si>
  <si>
    <t>FLORIDABLANCA</t>
  </si>
  <si>
    <t>GALAN</t>
  </si>
  <si>
    <t>GAMBITA</t>
  </si>
  <si>
    <t>GUACA</t>
  </si>
  <si>
    <t>GUAPOTA</t>
  </si>
  <si>
    <t>GUAVATA</t>
  </si>
  <si>
    <t>GUEPSA</t>
  </si>
  <si>
    <t>HATO</t>
  </si>
  <si>
    <t>JESUS MARIA</t>
  </si>
  <si>
    <t>JORDAN</t>
  </si>
  <si>
    <t>LA BELLEZA</t>
  </si>
  <si>
    <t>LANDAZURI</t>
  </si>
  <si>
    <t>LEBRIJA</t>
  </si>
  <si>
    <t>LOS SANTOS</t>
  </si>
  <si>
    <t>MACARAVITA</t>
  </si>
  <si>
    <t>MALAGA</t>
  </si>
  <si>
    <t>MATANZA</t>
  </si>
  <si>
    <t>MOGOTES</t>
  </si>
  <si>
    <t>MOLAGAVITA</t>
  </si>
  <si>
    <t>OCAMONTE</t>
  </si>
  <si>
    <t>OIBA</t>
  </si>
  <si>
    <t>ONZAGA</t>
  </si>
  <si>
    <t>PALMAR</t>
  </si>
  <si>
    <t>PALMAS DEL SOCORRO</t>
  </si>
  <si>
    <t>PARAMO</t>
  </si>
  <si>
    <t>PIEDECUESTA</t>
  </si>
  <si>
    <t>PINCHOTE</t>
  </si>
  <si>
    <t>PUENTE NACIONAL</t>
  </si>
  <si>
    <t>PUERTO PARRA</t>
  </si>
  <si>
    <t>PUERTO WILCHES</t>
  </si>
  <si>
    <t>SABANA DE TORRES</t>
  </si>
  <si>
    <t>SAN BENITO</t>
  </si>
  <si>
    <t>SAN GIL</t>
  </si>
  <si>
    <t>SAN JOAQUIN</t>
  </si>
  <si>
    <t>SAN JOSE DE MIRANDA</t>
  </si>
  <si>
    <t>SAN VICENTE DE CHUCURI</t>
  </si>
  <si>
    <t>SANTA HELENA DEL OPON</t>
  </si>
  <si>
    <t>SIMACOTA</t>
  </si>
  <si>
    <t>SOCORRO</t>
  </si>
  <si>
    <t>SUAITA</t>
  </si>
  <si>
    <t>SURATA</t>
  </si>
  <si>
    <t>TONA</t>
  </si>
  <si>
    <t>VALLE DE SAN JOSE</t>
  </si>
  <si>
    <t>VELEZ</t>
  </si>
  <si>
    <t>VETAS</t>
  </si>
  <si>
    <t>ZAPATOCA</t>
  </si>
  <si>
    <t>SINCELEJO</t>
  </si>
  <si>
    <t>SAN PEDRO</t>
  </si>
  <si>
    <t>CAIMITO</t>
  </si>
  <si>
    <t>CHALAN</t>
  </si>
  <si>
    <t>COLOSO</t>
  </si>
  <si>
    <t>COROZAL</t>
  </si>
  <si>
    <t>COVEÑAS</t>
  </si>
  <si>
    <t>EL ROBLE</t>
  </si>
  <si>
    <t>GALERAS</t>
  </si>
  <si>
    <t>GUARANDA</t>
  </si>
  <si>
    <t>LOS PALMITOS</t>
  </si>
  <si>
    <t>MAJAGUAL</t>
  </si>
  <si>
    <t>MORROA</t>
  </si>
  <si>
    <t>OVEJAS</t>
  </si>
  <si>
    <t>PALMITO</t>
  </si>
  <si>
    <t>SAMPUES</t>
  </si>
  <si>
    <t>SAN BENITO ABAD</t>
  </si>
  <si>
    <t>SAN JUAN DE BETULIA</t>
  </si>
  <si>
    <t>SAN LUIS DE SINCE</t>
  </si>
  <si>
    <t>SAN MARCOS</t>
  </si>
  <si>
    <t>SAN ONOFRE</t>
  </si>
  <si>
    <t>SANTIAGO DE TOLU</t>
  </si>
  <si>
    <t>TOLU VIEJO</t>
  </si>
  <si>
    <t>TOLIMA</t>
  </si>
  <si>
    <t>ALPUJARRA</t>
  </si>
  <si>
    <t>ALVARADO</t>
  </si>
  <si>
    <t>AMBALEMA</t>
  </si>
  <si>
    <t>ANZOATEGUI</t>
  </si>
  <si>
    <t>ARMERO</t>
  </si>
  <si>
    <t>ATACO</t>
  </si>
  <si>
    <t>CAJAMARCA</t>
  </si>
  <si>
    <t>CARMEN DE APICALA</t>
  </si>
  <si>
    <t>CASABIANCA</t>
  </si>
  <si>
    <t>CHAPARRAL</t>
  </si>
  <si>
    <t>COELLO</t>
  </si>
  <si>
    <t>COYAIMA</t>
  </si>
  <si>
    <t>CUNDAY</t>
  </si>
  <si>
    <t>DOLORES</t>
  </si>
  <si>
    <t>ESPINAL</t>
  </si>
  <si>
    <t>FALAN</t>
  </si>
  <si>
    <t>FLANDES</t>
  </si>
  <si>
    <t>FRESNO</t>
  </si>
  <si>
    <t>GUAMO</t>
  </si>
  <si>
    <t>HERVEO</t>
  </si>
  <si>
    <t>HONDA</t>
  </si>
  <si>
    <t>ICONONZO</t>
  </si>
  <si>
    <t>LERIDA</t>
  </si>
  <si>
    <t>LIBANO</t>
  </si>
  <si>
    <t>MARIQUITA</t>
  </si>
  <si>
    <t>MELGAR</t>
  </si>
  <si>
    <t>MURILLO</t>
  </si>
  <si>
    <t>NATAGAIMA</t>
  </si>
  <si>
    <t>ORTEGA</t>
  </si>
  <si>
    <t>PALOCABILDO</t>
  </si>
  <si>
    <t>PIEDRAS</t>
  </si>
  <si>
    <t>PLANADAS</t>
  </si>
  <si>
    <t>PRADO</t>
  </si>
  <si>
    <t>PURIFICACION</t>
  </si>
  <si>
    <t>RIOBLANCO</t>
  </si>
  <si>
    <t>RONCESVALLES</t>
  </si>
  <si>
    <t>ROVIRA</t>
  </si>
  <si>
    <t>SALDAÑA</t>
  </si>
  <si>
    <t>SAN ANTONIO</t>
  </si>
  <si>
    <t>SANTA ISABEL</t>
  </si>
  <si>
    <t>VALLE DE SAN JUAN</t>
  </si>
  <si>
    <t>VENADILLO</t>
  </si>
  <si>
    <t>VILLAHERMOSA</t>
  </si>
  <si>
    <t>VILLARRICA</t>
  </si>
  <si>
    <t>VALLE DEL CAUCA</t>
  </si>
  <si>
    <t>ALCALA</t>
  </si>
  <si>
    <t>ANDALUCIA</t>
  </si>
  <si>
    <t>ANSERMANUEVO</t>
  </si>
  <si>
    <t>BUENAVENTURA</t>
  </si>
  <si>
    <t>BUGALAGRANDE</t>
  </si>
  <si>
    <t>CAICEDONIA</t>
  </si>
  <si>
    <t>CALIMA</t>
  </si>
  <si>
    <t>CARTAGO</t>
  </si>
  <si>
    <t>DAGUA</t>
  </si>
  <si>
    <t>EL AGUILA</t>
  </si>
  <si>
    <t>EL CAIRO</t>
  </si>
  <si>
    <t>EL CERRITO</t>
  </si>
  <si>
    <t>EL DOVIO</t>
  </si>
  <si>
    <t>FLORIDA</t>
  </si>
  <si>
    <t>GINEBRA</t>
  </si>
  <si>
    <t>GUACARI</t>
  </si>
  <si>
    <t>GUADALAJARA DE BUGA</t>
  </si>
  <si>
    <t>JAMUNDI</t>
  </si>
  <si>
    <t>LA CUMBRE</t>
  </si>
  <si>
    <t>OBANDO</t>
  </si>
  <si>
    <t>PALMIRA</t>
  </si>
  <si>
    <t>PRADERA</t>
  </si>
  <si>
    <t>RIOFRIO</t>
  </si>
  <si>
    <t>ROLDANILLO</t>
  </si>
  <si>
    <t>SEVILLA</t>
  </si>
  <si>
    <t>TORO</t>
  </si>
  <si>
    <t>TRUJILLO</t>
  </si>
  <si>
    <t>TULUA</t>
  </si>
  <si>
    <t>ULLOA</t>
  </si>
  <si>
    <t>VERSALLES</t>
  </si>
  <si>
    <t>VIJES</t>
  </si>
  <si>
    <t>YOTOCO</t>
  </si>
  <si>
    <t>YUMBO</t>
  </si>
  <si>
    <t>ZARZAL</t>
  </si>
  <si>
    <t>CARURU</t>
  </si>
  <si>
    <t>VAUPES</t>
  </si>
  <si>
    <t>MITU</t>
  </si>
  <si>
    <t>PACOA</t>
  </si>
  <si>
    <t>PAPUNAUA</t>
  </si>
  <si>
    <t>TARAIRA</t>
  </si>
  <si>
    <t>YAVARATE</t>
  </si>
  <si>
    <t>CUMARIBO</t>
  </si>
  <si>
    <t>VICHADA</t>
  </si>
  <si>
    <t>LA PRIMAVERA</t>
  </si>
  <si>
    <t>PUERTO CARREÑO</t>
  </si>
  <si>
    <t>SANTA ROSALIA</t>
  </si>
  <si>
    <t>TUCHIN</t>
  </si>
  <si>
    <t>SAN JOSE DE URE</t>
  </si>
  <si>
    <t>FECHA ASIGNACIÓN A LÍNEA COMUNICACIONES (DD/MM/AAAA HH:MM)</t>
  </si>
  <si>
    <t>FECHA CIERRE DEL TICKET (DD/MM/AAAA HH:MM)</t>
  </si>
  <si>
    <t>ACOMETIDA</t>
  </si>
  <si>
    <t>GRUPO_FALLA</t>
  </si>
  <si>
    <t>CATEGORÍA</t>
  </si>
  <si>
    <t>FALLA</t>
  </si>
  <si>
    <t>OBSERVACION</t>
  </si>
  <si>
    <t>TERMINAL</t>
  </si>
  <si>
    <t>DIAS DE VISITA</t>
  </si>
  <si>
    <t>ACOMETIDA DATOS</t>
  </si>
  <si>
    <t>ACOMETIDA ELÉCTRICA</t>
  </si>
  <si>
    <t>VALOR DIAS ACOMPAÑAMIENTO FACTURABLES</t>
  </si>
  <si>
    <t xml:space="preserve">INCIDENTE </t>
  </si>
  <si>
    <t>REDY CASA DEL TENDERO</t>
  </si>
  <si>
    <t>FO-25-1601530</t>
  </si>
  <si>
    <t>NO</t>
  </si>
  <si>
    <t>USUARIO</t>
  </si>
  <si>
    <t>USUARIOS</t>
  </si>
  <si>
    <t>USUARIOS BLOQUEADOS</t>
  </si>
  <si>
    <t>CERRADO</t>
  </si>
  <si>
    <t>30/09/2025 SE ESCALA PARA VISITA. LLAMAR ANTES DE VISITAR, CONFIRMAR FALLA Y DATOS | 30/09/2025 SE HABLA CON EL CLIENTE QUIEN ME INCIDA QUE DESPUES DEL CAMBIO DE EQUIPO, FUERON A SACAR UN DUPLICADO Y LA CLAVE 1526 NO LE FUNCIONO , PERO QUE EN LA NOCHE CUANDO FUERON A SACAR EL CIERRE, YA PUDIERON OPERARLO NORMAL , EL DATAFONO ESTA FUNCIONAL</t>
  </si>
  <si>
    <t>SOPORTE_TELEFÓNICO</t>
  </si>
  <si>
    <t>HENAO CARDONA DIEGO FERNANDO</t>
  </si>
  <si>
    <t>BARRIO VATICANO DUITAMA 1</t>
  </si>
  <si>
    <t>FO-25-1601034</t>
  </si>
  <si>
    <t>CIERRE</t>
  </si>
  <si>
    <t>COMERCIO NO REALIZA CIERRE</t>
  </si>
  <si>
    <t>29/09/2025 SE ESCALA PARA VISITA. LLAMAR ANTES DE VISITAR, CONFIRMAR FALLA Y DATOS | 30/09/2025 SE REALIZAN VALIDACIONES DE COMUNICACION CORRESPONSAL OPERATIVO SE EVIDENCIA QUE EL EQUIPO SE ENCUENTRA CON LA MEMORIA ACOMULADA CLIENTE AUTORIZA RELIZAR BORRADO AL EQUIPO SE LE INDICA LA FORMA CORRECTA DE REALIZAR LOS CIERRES DIARIOS PRUEBAS OK CLIENTE CONFORME</t>
  </si>
  <si>
    <t>VISITA_TÉCNICA</t>
  </si>
  <si>
    <t>1A007838</t>
  </si>
  <si>
    <t>RODRIGUEZ MURCIA YERSON IVAN</t>
  </si>
  <si>
    <t>CHINITA APARTADO ANTIOQUIA</t>
  </si>
  <si>
    <t>FO-25-1600699</t>
  </si>
  <si>
    <t>COMUNICACION</t>
  </si>
  <si>
    <t>CANAL DEL COMERCIO</t>
  </si>
  <si>
    <t>29/09/2025 SE ESCALA PARA VISITA. LLAMAR ANTES DE VISITAR, CONFIRMAR FALLA Y DATOS | 30/09/2025 SE REALIZA BORRADO DE MEMORIA, CLIENTE INDICA REINICIOS, SE VERIFICA CABLEADO Y SE ENCUENTRA DATAFONO EN BUENAS CONDICIONES</t>
  </si>
  <si>
    <t>NN00M741</t>
  </si>
  <si>
    <t>BARRIO CENTRO BUENAVENTURA 9</t>
  </si>
  <si>
    <t>FO-25-1598975</t>
  </si>
  <si>
    <t>CONEXIONES DE COMERCIO</t>
  </si>
  <si>
    <t>29/09/2025 SE ESCALA PARA VISITA. LLAMAR ANTES DE VISITAR, CONFIRMAR FALLA Y DATOS | 30/09/2025 DATAFONO SIN INTERNET SE REVISA CABLEADO SE REINICIA ROUTER Y QUEDA FUNCIONANDO CORRECTAMENTE</t>
  </si>
  <si>
    <t>JA00T600</t>
  </si>
  <si>
    <t>CUERO RUIZ JHONNY</t>
  </si>
  <si>
    <t>BARRIO SAN CAYETANO SOCOTA</t>
  </si>
  <si>
    <t>FO-25-1598991</t>
  </si>
  <si>
    <t>29/09/2025 SE ESCALA PARA VISITA. LLAMAR ANTES DE VISITAR, CONFIRMAR FALLA Y DATOS | 30/09/2025 SE ESTABLECE COMUNICACIÓN CON LA SEÑORA SANDRA OJEDA BELLO PARA VALIDACIÓN DE LA FALLA AL NÚMERO DE CONTACTO 3143427809 CLIENTE INDICA QUE LA FALLA REPORTADA SE DEBIÓ A UNA FALLA DEL INTERNET DEL COMERCIO EL CUAL YA FUE SOLUCIONADO ADICIONAL INDICA QUE SE COMUNICO EL DÍA DE AYER A LA LÍNEA 018000953344 PARA CANCELAR LA VISITA TECNICA YA QUE EL CORRESPONSAL ESTA FUNCIONANDO CORRECTAMENTE CLIENTE COMPARTE EVIDENCIA EVIDENCIANDO QUE EL CORRESPONSAL BANCARIO SE ENCUENTRA OPERATIVO SE LE INDICA QUE SE PROCEDERÁ CON EL CIERRE DE LA ORDEN DE TRABAJO CLIENTE CONFORME</t>
  </si>
  <si>
    <t>BARRIO CENTRO VILLANUEVA 10</t>
  </si>
  <si>
    <t>FO-25-1598679</t>
  </si>
  <si>
    <t>LECTOR DE BARRAS</t>
  </si>
  <si>
    <t>ERROR PAGOS PARCIALES DE FACTURAS</t>
  </si>
  <si>
    <t>29/09/2025 SE ESCALA PARA VISITA. LLAMAR ANTES DE VISITAR, CONFIRMAR FALLA Y DATOS SE COMUNICA CON EL SR JUAN  3132227029 PARA REPORTAR PROBLEMA CON DATÁFONO, MANIFIESTA: NO LEE LOS CÓDIGOS DE BARRA, ALUMBRA Y SUENA COMO SI LEYERA, PERO NO FUNCIONA, SE QUEDA AHÍ LEYÉNDOLO HASTA QUE UNO LE DÉ CANCELAR | 30/09/2025 SE REALIZA VISTA AL CB POR SOLICITUD DE LECTORA NO LEE LOS CÓDIGOS, REINICIAMOS EL DISPOSITIVO Y REALIZAMOS LA PRUEBA Y FUNCIONÓ LA LECTORA LEYÓ LOS CÓDIGOS, REALIZÓ PRUEBA DE CONSULTA DE SALDO  PARA VERIFICAR EL  FUNCIONAMIENTO Y FUE  EXITOSA</t>
  </si>
  <si>
    <t>SASZZ731</t>
  </si>
  <si>
    <t>MOLINA CASTRO JAVIER ALBERTO</t>
  </si>
  <si>
    <t>BARRIO SERRAMONTE 2 VILLAVICEN</t>
  </si>
  <si>
    <t>FO-25-1597610</t>
  </si>
  <si>
    <t>29/09/2025 SE ESCALA PARA VISITA. LLAMAR ANTES DE VISITAR, CONFIRMAR FALLA Y DATOS | 30/09/2025 SE LLEGA AL COMERCIO SE VÁLIDAD CONEXIONES SE ENTREGA OPERATIVO SIN NOVEDA</t>
  </si>
  <si>
    <t>FA0GZ506</t>
  </si>
  <si>
    <t>ROZO JIMENEZ EDGAR ARMANDO</t>
  </si>
  <si>
    <t>BARRIO VDA PATROCINIO TIBASOSA</t>
  </si>
  <si>
    <t>FO-25-1594943</t>
  </si>
  <si>
    <t xml:space="preserve">28/09/2025 SE ESCALA PARA VISITA. LLAMAR ANTES DE VISITAR, CONFIRMAR FALLA Y DATOS | 29/09/2025 SE ESTABLECE COMUNICACIÓN CON EL CLIENTE  AL NÚMERO CELULAR 3118205832  SE CONTACTA A LA SEÑORA SANDRA BONILA , LA SEÑORA SANDRA COMPARTE NÚMERO TELEFONICO DE LA PARSONA ENCARGADA DEL COMERCIO AL NÚMERO 3144341413 SEÑORA YURI PARA CONFIRMAR SI PUEDE ATENDER Y NO HA CERRADO EL COMERCIO EL CUAL LA LLAMADA ES FALLIDA BUZON DE VOZ , SE SEGUIRA HACIENDO GESTIÓN PARA CONFIRMAR VISITA. | 30/09/2025 POR TEMAS DE DESPLAZAMIENTO YA ME ENCUENTRO EN SITIO , ESTOY EN LA ESPERA DE  AUTORIZACIÓN DE INGRESO AL PUNTO CLIENTE SE ENCUENTRA VALIDANDO IDENTIDAD DEL TÉCNICO Y  SALDO PARA EL INGRESO Y VALIDAR FALLA Y PODER CERRA ORDEN , CLIENTE CONFORME | 30/09/2025 AL REALIZAR GESTION TELÉFONICA  NO HUBO COMUNICACIÓN CON EL CLIENTE , SE REALIZA VISITA EN FRIO , SE VALIDA QUE EL CORRESPONSAL ESTA OPERATIVO SE VÁLIDA CONEXIONES  SE CAMBIA CABLE PACTH CORD 3 METROS POR MANTENIMIENTO PREVENTIVO DEJANDO PRUEBAS OK SIN TELECARGA </t>
  </si>
  <si>
    <t>9A003382</t>
  </si>
  <si>
    <t>ALVARADO MORENO CRISTHIAN</t>
  </si>
  <si>
    <t>DISTRICOL CASETA SAN VICTORINO</t>
  </si>
  <si>
    <t>FO-25-1594655</t>
  </si>
  <si>
    <t>28/09/2025 SE ESCALA PARA VISITA. LLAMAR ANTES DE VISITAR, CONFIRMAR FALLA Y DATOS | 29/09/2025 SE ESTABLECE CONTACTO TELEFÓNICOAL NÚMERO 3173031803 CON LA USUARIA LILY SAAVEDRA HOLGUIN IDENTIFICADA CON CÉDULA 
37941988 QUIEN NOS INDICA QUE SE COMUNICO AL CAC YA QUE NO PODIA REALIZAR EL CIERRE A LO CUAL NOS INDICA QUE MEDIANTE LA GESTIÓN TELEFÓNICA QUE LE HICIERON YA PUEDE REALIZAR LOS CIERRES Y LOS DUPLICADOS SIN NINGÚN INCONVENIENTE NOS ENVIA COMPROBANTE DE QU ESTA OPERANDO NORMAL A LO CUAL NO REQUIERE EL SERVICIO TÉCNICO AGRADECE POR LA ATENCIÓN PRESTADA</t>
  </si>
  <si>
    <t>REYES RAMIREZ DIEGO ALEXANDER</t>
  </si>
  <si>
    <t>PTM ARJONA EL PUNTO DEL COLOR</t>
  </si>
  <si>
    <t>FO-25-1593456</t>
  </si>
  <si>
    <t>27/09/2025 SE ESCALA PARA VISITA. LLAMAR ANTES DE VISITAR, CONFIRMAR FALLA Y DATOS | 29/09/2025 SE RESTAURA USUARIO SUPERVISOR POR BLOQUEO , SE REALIZAN PRUEBAS Y TODO QUEDA OK</t>
  </si>
  <si>
    <t>TRFZZ018</t>
  </si>
  <si>
    <t>MARTINEZ SALGUEDO ANDRES AUGUSTO</t>
  </si>
  <si>
    <t>COMCARD SAN ANTONIO TELESAN</t>
  </si>
  <si>
    <t>FO-25-1593172</t>
  </si>
  <si>
    <t>MANTENIMIENTO</t>
  </si>
  <si>
    <t>MANTENIMIENTO GENERAL</t>
  </si>
  <si>
    <t>27/09/2025 SE ESCALA PARA VISITA. LLAMAR ANTES DE VISITAR, CONFIRMAR FALLA Y DATOS | 28/09/2025 SE COMUNICA CON CLIENTE AL 3233282900 E INFORMA QUE EL DÍA DE HOY NO ABRE, SE APLAZA VISITA | 29/09/2025 SE LLAMA AL CLIENTE Y NOS INDICA QUE EL DATÁFONO YA FUNCIKNA CORRECTAMENTE</t>
  </si>
  <si>
    <t>CARDONA MOLINA BROLIN STIVEN</t>
  </si>
  <si>
    <t>DISTRICOL EL ROSARIO</t>
  </si>
  <si>
    <t>FO-25-1592359</t>
  </si>
  <si>
    <t>27/09/2025 SE ESCALA PARA VISITA. LLAMAR ANTES DE VISITAR, CONFIRMAR FALLA Y DATOS | 29/09/2025 SE COMUNICA CON EL NÚMERO 3215382774 LUISA SUAREZ, INDICA QUE EL CB SE ENCUENTRA FUNCIONANDO CORRECTAMENTE.</t>
  </si>
  <si>
    <t>SANTOS GUZMAN CHRISTIAN FELIPE</t>
  </si>
  <si>
    <t>PTM CAMPO DE LA CRUZ GRANERO E</t>
  </si>
  <si>
    <t>FO-25-1592365</t>
  </si>
  <si>
    <t>27/09/2025 SE ESCALA PARA VISITA. LLAMAR ANTES DE VISITAR, CONFIRMAR FALLA Y DATOS | 29/09/2025 COMERCIO NO ATENDÍA DOMINGO Y HOY LUNES SE DESPLAZA COLABORADOR A SITIO, PERO DEBIDO A LA BAJA FRECUENCIA DE SALIDA DE BUSES A MUNICIPIO, SE ATENDERÁ A LAS 11:00M AM APROX | 29/09/2025 SE REALIZA LLAMADA AL CLIENTE EL CUAL NOS DICE QUE YA TIENE INTERNET, QUE DESDE EL SÁBADO EN LA TARDE ESTA LABORANDO NORMALMENTE, POSIBLEMENTE FALLAS DE CONEXIÓN POR SU OPERADOR DE DATOS ,CB OPERATIVO.</t>
  </si>
  <si>
    <t>PORRAS CASTRO DARLON NASCK</t>
  </si>
  <si>
    <t>BARRIO CENTRO OLAYA HERRERA 2</t>
  </si>
  <si>
    <t>FO-25-1591693</t>
  </si>
  <si>
    <t>27/09/2025 EN COMUNICACIÓN CON LA SRA : VICENTA SEGURA PERLAZA AL NÚMERO 3214751285 NOS INFORMA QUE LA FALLA QUE TIENE CON EL DATAFONO ES CON LOS CIERRES, CONFIRMA DATOS E INDICA QUE LA RED ES REDEBAN, SE ESCALA PARA VISITA | 30/09/2025 SE REALIZA VALIDACION CON EL CLIENTE Y SE ENCUENTRA QUE USUARIO NO REALIZABA EL CIERRE GENERAL, SE LE EXPLICA AL CLIENTE LA FORMA CORRECTA DE GENERAR LOS CIERRES, CLIENTE REALIZA EL CIERRE Y SE LE EEXPLICA QUE DESPUES DE REALIZAR EL CIERRE GENERAL DEBE DARLE LA TECLA VERDE PARA QUE EL DATAFONO BORRE LO QUE TENGA EN MEMORIA.</t>
  </si>
  <si>
    <t>BARRIO LOS LAGOS SEGUNDA ETAPA</t>
  </si>
  <si>
    <t>FO-25-1591709</t>
  </si>
  <si>
    <t>27/09/2025 SE INTENTA COMUNICACIÓN CON LA SRA FLOR MAYERLY CAICEDO SOLÍS A LOS NÚMEROS  3225098691-3147598029  PARA CONFIRMAR DATOS Y FALLA PERO NO HAY CONTAQCTO, SE ESCALA L COORDINADOR DE ZONA PARA VALIDAR EN SITIO | 29/09/2025 EN COMUNICACIÓN CON LA SEÑORA MAYERLY CAICEDO AL NÚMERO 3147598029 CONFIRMA QUE DATÁFONO SE ENCUENTRA TRABAJANDO SIN NOVEDAD</t>
  </si>
  <si>
    <t>LOAIZA LOPEZ JHON FREDDY</t>
  </si>
  <si>
    <t>BARRIO BARANOA BARANOA 3</t>
  </si>
  <si>
    <t>FO-25-1590888</t>
  </si>
  <si>
    <t>26/09/2025 SE ESCALA PARA VISITA. LLAMAR ANTES DE VISITAR, CONFIRMAR FALLA Y DATOS | 27/09/2025 SE REALIZA VISITA SE PROCEDE A VALIDAR DATAFONO Y ESTÁ OK, SE LE INDICA AL CLIENTE EL PROCESO DE LA CARGA DE LA BATERÍA PARA QUE TENGA EN CUENTA CUANDO ESTÉ BAJA, SE REALIZA ACOMPAÑAMIENTO QUE LA BATERÍA AGARRE CARGA, SE HACEN PRUEBAS Y TODO OK</t>
  </si>
  <si>
    <t>HA00M871</t>
  </si>
  <si>
    <t>PTM MEDELLIN  SALSAMENTARIA DO</t>
  </si>
  <si>
    <t>FO-25-1589979</t>
  </si>
  <si>
    <t>26/09/2025 SE ESCALA PARA VISITA. LLAMAR ANTES DE VISITAR, CONFIRMAR FALLA Y DATOS | 27/09/2025 SE INICIALIZA DE NUEVO EL CB YA QUE MOSTRABA EL NOMBRE ANTERIOR, SE ACTUALIZA A VERSIÓN 9.90,  SE REALIZAN PRUEBAS Y  QUEDA CON EL NUEVO NOMBRE, PRUEBAS OK</t>
  </si>
  <si>
    <t>UV001523</t>
  </si>
  <si>
    <t>BARRIO AGUA BLANCA PITALITO 4</t>
  </si>
  <si>
    <t>FO-25-1589312</t>
  </si>
  <si>
    <t>ENTIDAD</t>
  </si>
  <si>
    <t>ERROR DE TRANSACCIONES</t>
  </si>
  <si>
    <t>TRANSACCION NO PERMITIDA</t>
  </si>
  <si>
    <t>26/09/2025 SE INTENTA COMUNICACIÓN CON LA SRA YESICA TRUJILLO PERDOMO AL NÚMERO 3144434059 PARA CONFRIMAR DATOS Y FALLA PERO NO HAY CONTACTO, SE ESCALA AL COORDINADOR DE ZONA PARA VALIDAR EN SITIO | 29/09/2025 EN COMUNICACIÓN CON EL CLIENTE VIA TELÉFONICA ,LA SEÑORA YESICA TRUJILLO, AL NÚMERO +57 314 4434059, NOS INDICA QUE EL EQUIPO SE ENCUENTRA FUNCIONANDO CORRECTAMENTE YA QUE EL PROBLEMA DE TRANSACCIONES SE DEBIO A UNA CAÍDA DE LA PLATAFORMA DE BANCOLOMBIA LA CUAL YA SE RESTABLECIÓ Y FUNCIONA DE FORMA CORRECTA , CB OPERATIVO M.</t>
  </si>
  <si>
    <t>DEVIA REINOSO JUAN CARLOS</t>
  </si>
  <si>
    <t>BARRIO PINILLA VILLAVICENCIO 2</t>
  </si>
  <si>
    <t>FO-25-1589002</t>
  </si>
  <si>
    <t>NO ENCIENDE</t>
  </si>
  <si>
    <t>26/09/2025 SE ESCALA PARA VISITA. LLAMAR ANTES DE VISITAR, CONFIRMAR FALLA Y DATOS | 26/09/2025 SE LLEGA AL COMERCIO E INDICA QUE SE ENCUENTRA FUNCIONANDO SE HABÍA QUEDO BLOQUEADO</t>
  </si>
  <si>
    <t>V6ZZZ816</t>
  </si>
  <si>
    <t>DISTRICOL MARCELAS CHIP STORE</t>
  </si>
  <si>
    <t>FO-25-1588261</t>
  </si>
  <si>
    <t>26/09/2025 SE ESCALA PARA VISITA. LLAMAR ANTES DE VISITAR, CONFIRMAR FALLA Y DATOS | 26/09/2025 SE COMUNICA CON LA CLIENTE MARCELA SANTOS AL #3222295656, NOS INFORMA QUE EL PROBLEMA YA SE SOLUCIONO YA QUE ERA UNA FALLA INTERNO DEL INTERNET</t>
  </si>
  <si>
    <t>NARANJO AFANADOR RUBEN JESUS</t>
  </si>
  <si>
    <t>DISTRICOL PANADERIA Y HELADERI</t>
  </si>
  <si>
    <t>FO-25-1587162</t>
  </si>
  <si>
    <t>LECTOR DE TARJETAS</t>
  </si>
  <si>
    <t>OBSTRUCCION DEL LECTOR</t>
  </si>
  <si>
    <t>26/09/2025 SE ESCALA PARA VISITA. LLAMAR ANTES DE VISITAR, CONFIRMAR FALLA Y DATOS | 27/09/2025 SE VISITA SITIO, SE REALIZA LIMPIEZA DE LECTOR DE TARJETAS EN PINPAD YA QUE SE ENCONTRABA OBSTRUIDO. SE REALIZAN PRUEBAS EXITOSAS</t>
  </si>
  <si>
    <t>99DZZ458</t>
  </si>
  <si>
    <t>COGOLLO VERTEL EDER LUIS</t>
  </si>
  <si>
    <t>COMCARD MED MINUCENTER</t>
  </si>
  <si>
    <t>FO-25-1586779</t>
  </si>
  <si>
    <t>26/09/2025 SE ESCALA PARA VISITA. LLAMAR ANTES DE VISITAR, CONFIRMAR FALLA Y DATOS | 26/09/2025 SE REALIZA LIMPIEZA DEL TECLADO DEL DATÁFONO Y QUEDA FUNCIONANDO, SE REINICIA Y SE REALIZAN PRUEBAS, TODO OK</t>
  </si>
  <si>
    <t>BARRIO BOSA LAURELES BOGOTA 2</t>
  </si>
  <si>
    <t>FO-25-1586787</t>
  </si>
  <si>
    <t>CREACION DE USUARIOS</t>
  </si>
  <si>
    <t>26/09/2025 SE ESCALA PARA VISITA. LLAMAR ANTES DE VISITAR, CONFIRMAR FALLA Y DATOS | 26/09/2025 SE REALIZA CAMBIO DE CLAVE SUPERVISOR ( CIERRES Y DUPLICADO) PRUEBA OK</t>
  </si>
  <si>
    <t>OA00O731</t>
  </si>
  <si>
    <t>ORTIZ MARTINEZ STIVEN</t>
  </si>
  <si>
    <t>DISTRICOL VARIEDADES Y DETALLE</t>
  </si>
  <si>
    <t>FO-25-1585334</t>
  </si>
  <si>
    <t>25/09/2025 SE ESCALA PARA VISITA. LLAMAR ANTES DE VISITAR, CONFIRMAR FALLA Y DATOS | 26/09/2025 SE LLAMA AL USUARIO PARA CONFIRMAR VISITA Y NOS COMENTA QUE RETIRÓ EL ROLLO Y REALIZÓ UNA LIMPIEZA Y LA IMPRESORA DEL DATÁFONO VOLVIO A FUNCIONAR CORRECTAMENTE</t>
  </si>
  <si>
    <t>BARRIO LA POLA IBAGUE 7</t>
  </si>
  <si>
    <t>FO-25-1585139</t>
  </si>
  <si>
    <t>25/09/2025 SE ESCALA PARA VISITA. LLAMAR ANTES DE VISITAR, CONFIRMAR FALLA Y DATOS | 26/09/2025 SE LE EXPLICA AL SEÑOR JHONY QUIMBAYO, DE CÓMO APAGAR CORRECTAMENTE EL EQUIPO PARA QUE NO TENGA PROBLEMAS CON LA IMPRESORA DE RECIBOS. SE HACEN PRUEBAS DE TRANSACCIONES TODO OK Y SE VERIFICA LA IMPRESORA.</t>
  </si>
  <si>
    <t>FIZZZ331</t>
  </si>
  <si>
    <t>VARGAS HERRERA JHON JAIRO</t>
  </si>
  <si>
    <t>BARRIO SAN HUMBERTO SOACHA 3</t>
  </si>
  <si>
    <t>FO-25-1583521</t>
  </si>
  <si>
    <t>25/09/2025 SE ESCALA PARA VISITA. LLAMAR ANTES DE VISITAR, CONFIRMAR FALLA Y DATOS | 25/09/2025 DURANTE LA VISITA TECNICA ENCONTRAMOS QUE EL DATÁFONO  NO LE PERMITE REALIZAR EL CIERRE POR ACUMULACIÓN DE TRANSACCIONES SE REALIZA BORRADO DE TRANSACCIONES ADICIONAL SE REALIZAN TRANSACCIONES DE PRUEBA Y SE BRINDA INFORMACIÓN DEL CORRECTO CIERRE QUEDANDO OKAY LA FUNCIONALIDAD DE CIERRE SIN NOVEDAD EN EL INCIDENTE A CONFORMIDAD CORRESPONSAL BANCARIO</t>
  </si>
  <si>
    <t>V8ZZZ365</t>
  </si>
  <si>
    <t>GALEANO SORIANO JUAN DAVID</t>
  </si>
  <si>
    <t>SECTOR CRAVO NORTE  ARAUCA</t>
  </si>
  <si>
    <t>FO-25-1583343</t>
  </si>
  <si>
    <t>25/09/2025 SE ESCALA PARA VISITA. LLAMAR ANTES DE VISITAR, CONFIRMAR FALLA Y DATOS | 26/09/2025 SE COMUNICA CON EL CLIENTE AL NÚMERO DE TELÉFONO 315 4384521 , SE VALIDA CON EL SEÑOR LUIS DONDE INDICA QUE LA FALLA ES EL INTERNET, QUE DEBIDO A ESTA INTERMITENTE POR FALLAS DE LA ENTIDAD PRESTADORA DE SERVICIO , NOS SOLICITA CANCELAR VISITA TÉCNICA , SE LE INDICA QUE LA ORDEN SE CIERRA, Y DE NECESITAR DEBE COMUNICARSE A LA LÍNEA 018000</t>
  </si>
  <si>
    <t>HERRERA LUQUE SAUL JAVIER</t>
  </si>
  <si>
    <t>BARRIO CENTRO GUADALAJARA DE BUGA GUADALAJARA DE BUGA</t>
  </si>
  <si>
    <t>FO-25-1583348</t>
  </si>
  <si>
    <t>25/09/2025 SE ESCALA PARA VISITA. LLAMAR ANTES DE VISITAR, CONFIRMAR FALLA Y DATOS | 26/09/2025 EN LA VISITA TÉCNICA SE REALIZÓ EL PROCESO DE REINICIAR EL DATÁFONO, CONFIGURAR NUEVAMENTE LOS PARÁMETROS Y SE REALIZÓ LA INICIALIZACIÓN OK,SE REALIZARON LAS PRUEBAS DEJANDO EL SERVICIO OPERANDO SIN FALLAS Y SIN NOVEDAD</t>
  </si>
  <si>
    <t>FAUZZ213</t>
  </si>
  <si>
    <t>SANCHEZ URREGO ROBINSON DAVID</t>
  </si>
  <si>
    <t>BARRIO ZAMORA II BELLO</t>
  </si>
  <si>
    <t>FO-25-1583367</t>
  </si>
  <si>
    <t>MALA MANIPULACION POS</t>
  </si>
  <si>
    <t>25/09/2025 SE ESCALA PARA VISITA. LLAMAR ANTES DE VISITAR, CONFIRMAR FALLA Y DATOS | 25/09/2025 SE IDENTIFICA QUE USUARIO BORRO PARÁMETROS DE COMUNICACIÓN, SE CONFIGURA Y SE DEJAN SERVICIOS FUNCIONANDO CORRECTAMENTE</t>
  </si>
  <si>
    <t>A00JZ244</t>
  </si>
  <si>
    <t>BARRIENTOS HERNANDEZ CRISTIAN HORACIO</t>
  </si>
  <si>
    <t>PTM CAUCASIA PAPELERIA G J</t>
  </si>
  <si>
    <t>FO-25-1593008</t>
  </si>
  <si>
    <t>27/09/2025 EN COMUNICACIÓN CON LA SRA GERALDINE BURGOS AL NÚMERO  3147313658 NOS INFORMA QUE NO PUSO EL DENUNCIO COMO CORRESPONDE, SE LE INFORMA QUE CUANDO TENGA EL NUEVO DENUNCIO LO REPORTE. SE PROCEDE A CERRAR | 27/09/2025 EN COMUNICACIÓN CON LA SRA GERALDINE BURGOS AL NÚMERO  3147313658 NOS INFORMA QUE NO PUSO EL DENUNCIO COMO CORRESPONDE, SE LE INFORMA QUE CUANDO TENGA EL NUEVO DENUNCIO LO REPORTE. SE PROCEDE A CERRAR</t>
  </si>
  <si>
    <t>CONTRERAS ROSSI LITZY YULIETH</t>
  </si>
  <si>
    <t>PTM DULCE FANTASIA 10</t>
  </si>
  <si>
    <t>FO-25-1581991</t>
  </si>
  <si>
    <t>25/09/2025 SE ESCALA PARA VISITA. LLAMAR ANTES DE VISITAR, CONFIRMAR FALLA Y DATOS | 25/09/2025 SE LLEGÓ A SITIO PERO LOCAL SE ENCUENTRA CERRADO, ES DE ACLARAR QUE SE LLAMÓ AL CLIENTE EN HORAS DE LA MAÑANA PERO ESTE NO RESPONDIÓ A LO CUAL SE LLAMÓ NUEVAMENTE Y HASTA LA HORA CONTESTA INFORMANDO QUE NO ESTÁ DISPONIBLE YA QUE SE ENCUENTRA REALIZANDO ACTIVIDADES PERSONA, INFORMA QUE EL EQUIPO YA SE ENCUENTRA FUNCIONANDO DESDE HORAS DE LA MAÑANA AL REALIZAR UN CAMBIO DE ROLLO E INDICA QUE ESTÁ IMPRIMIENDO LOS VOUCHERS SIN INCONVENIENTES Y QUE EL CB SE ENCUENTRA TOTALMENTE OPERATIVO.</t>
  </si>
  <si>
    <t>COMERCIO CERRADO, SOLUCIÓN TELEFÓNICA EN SITIO</t>
  </si>
  <si>
    <t>REMICIO AMADO JOHN HEBER</t>
  </si>
  <si>
    <t>BARRIO TOCANCIPA TOCANCIPA 3</t>
  </si>
  <si>
    <t>FO-25-1581534</t>
  </si>
  <si>
    <t>25/09/2025 SE ESCALA PARA VISITA. LLAMAR ANTES DE VISITAR, CONFIRMAR FALLA Y DATOS | 26/09/2025 DURANTE LA VISITA TECNICA PARA ATENDER INCIDENTE REPORTADO POR CORRESPONSAL BANCARIO, CORRESPONSAL NOS INDICA QUE EL DAÑO YA FUE SOLUCIONADO,  SE HACEN PRUEBAS CONFIRMANDO QUE SERVICIO SE ENCUENTRA FUNCIONAL Y OPERATIVO A CONFORMIDAD DEL CB SIN NOVEDAD EN EL INCIDENTE SALDO OK</t>
  </si>
  <si>
    <t>9C0NZ318</t>
  </si>
  <si>
    <t>DISTRICOL MERCAHOGAR</t>
  </si>
  <si>
    <t>FO-25-1581549</t>
  </si>
  <si>
    <t>25/09/2025 EN COMUNICACIÓN CON EL SR  EDGAR MESA AL NÚMERO 3122434896 NOS INFORMA QUE LA FALLA QUE PRESENTA ES CON LA IMPRESION. CONFIRMA DATOS E INDICA QUE LA RED ES REDEBAN, SE ESCALA PARA VISITA | 26/09/2025 SE VISITA CB. SE ENCUENTRA DATAFONO CON FALLA EN LA IMPRESORA, NO IMPRIME ALGUNOS CARACTERES Y PRESENTA UN RUIDO EXTRAÑO. SE REALIZA MANTENIMIENTO, LIMPIEZA Y AJUSTE DE LAS PIEZAS Y LA IMPRESIÓN Y EL RUIDO MEJORAN. SE REALIZA. PRUEBAS TX EXITOSAS. QUEDA OPERATIVO</t>
  </si>
  <si>
    <t>7A00K519</t>
  </si>
  <si>
    <t>CASTILLO HERRERA ALEX RICARDO</t>
  </si>
  <si>
    <t>DISTRICOL COOTRANSCAR</t>
  </si>
  <si>
    <t>FO-25-1581556</t>
  </si>
  <si>
    <t>25/09/2025 SE ESCALA PARA VISITA. LLAMAR ANTES DE VISITAR, CONFIRMAR FALLA Y DATOS | 29/09/2025 CLIENTE INDICA QUE INTERNET ESTABA MALO, AL VOLVER SE RECUPERO LA RED DEL DATAFONO. DATAFONO OPERATIVO</t>
  </si>
  <si>
    <t>SAUZZ945</t>
  </si>
  <si>
    <t>BARRIO NIQUIA EL BURRO BELLO</t>
  </si>
  <si>
    <t>FO-25-1581264</t>
  </si>
  <si>
    <t>25/09/2025 SE ESCALA PARA VISITA. LLAMAR ANTES DE VISITAR, CONFIRMAR FALLA Y DATOS | 25/09/2025 SE COMUNICA CON EL USUARIO PARA CONFIRMAR LA VISITA, EL USUARIO INFORMA QUE EL DÍA DE HOY HA ESTADO TRABAJANDO PERFECTAMENTE SIN NINGÚN INCONVENIENTE.</t>
  </si>
  <si>
    <t>ZAPATA LOPEZ EDWARD ASDRUBAL</t>
  </si>
  <si>
    <t>BARRIO CENTRO SOCORRO SOCORRO</t>
  </si>
  <si>
    <t>FO-25-1580252</t>
  </si>
  <si>
    <t>24/09/2025 SE ESCALA PARA VISITA. LLAMAR ANTES DE VISITAR, CONFIRMAR FALLA Y DATOS | 25/09/2025 EN COMUNICACIÓN CON LA SEÑORA ESPERANZAAL.NUMERO 3164365720MANIFIESTA , FUE UNA FALLA DEL INTERNET EL DIA DE AYER , INFORMA Q EL DATAFONL YA SE ENCUENTRA OPERATIVO EL DIA DE HOY Y NO NECESITA LA VISITA TECNICA, SE CIERRA ORDEN</t>
  </si>
  <si>
    <t>GELVEZ MOGOLLON JOSE ELISEO</t>
  </si>
  <si>
    <t>BARRIO CENTRO FLORENCIA 1</t>
  </si>
  <si>
    <t>FO-25-1579602</t>
  </si>
  <si>
    <t>24/09/2025 SE INTENTA COMUNICACIÓN CON EL SR DIEGO CARVAJAL AL NÚMERO 3208358585 PARA CONFIRMAR DATOS Y FALLA PERO NO HAY CONTACTO, SE ESCALA A COORDINADOR DE ZONA PARA VALIDAR EN SITIO | 25/09/2025 SE REALIZA VISITA AL CB Y SE EVIDENCIA QUE LAS CONEXIONES DEL INTERNET ESTÁN MAL ORGANIZADAS, SE ORGANIZA EL CABLE QUE DA INTERNET AL DATAFONO Y QUEDA OPERATIVO, PRUEBAS CB OK.</t>
  </si>
  <si>
    <t>AB00O906</t>
  </si>
  <si>
    <t>DISTRICOL SANTIAGO PHARMA PLUS</t>
  </si>
  <si>
    <t>FO-25-1579220</t>
  </si>
  <si>
    <t>24/09/2025 SE ESCALA PARA VISITA. LLAMAR ANTES DE VISITAR, CONFIRMAR FALLA Y DATOS | 25/09/2025 SE COMUNICA CON LA CLIENTE ISABEL SOFIA FUENTES AL # 3156406539, SE DA SOPORTE TELEFONICO REINICIANDO EL  DATAFONO, CLIENTE INFORMA QUE YA ENCIENDE CORRECTAMENTE Y OPERA CON NORMALIDAD, SE ANEXA PRUEBA SOPORTADA POR EL CLIENTE EXITOSA, CB OPERATIVO.</t>
  </si>
  <si>
    <t>BARRIO CENTRO JENESANO 7</t>
  </si>
  <si>
    <t>FO-25-1579049</t>
  </si>
  <si>
    <t>24/09/2025 SE ESCALA PARA VISITA. LLAMAR ANTES DE VISITAR, CONFIRMAR FALLA Y DATOS | 25/09/2025 SE REALIZA VISITA AL COMERCIO, SE BORRA Y ACTUALIZA EQUIPO A VERSION 10.3N, SE CONFIGURA EQUIPO COMO MIXTO, SE HACEN PRUEBAS OK</t>
  </si>
  <si>
    <t>FGZZZ912</t>
  </si>
  <si>
    <t>BARRIO EL CENTRO CUCUTA 83</t>
  </si>
  <si>
    <t>FO-25-1578144</t>
  </si>
  <si>
    <t>24/09/2025 SE ESCALA PARA VISITA. LLAMAR ANTES DE VISITAR, CONFIRMAR FALLA Y DATOS | 25/09/2025 SE REALIZA VISITA, SE REALIZA MANTENIMIENTO, SE REALIZAN PRUEBAS Y CIERRES OK</t>
  </si>
  <si>
    <t>FAWZZ653</t>
  </si>
  <si>
    <t>PACHECO BUITRAGO JAVIER ALONSO</t>
  </si>
  <si>
    <t>BARRIO CENTRO PUEBLO 14 BELLO</t>
  </si>
  <si>
    <t>FO-25-1576710</t>
  </si>
  <si>
    <t>24/09/2025 SE INTENTA COMUNICACIÓN CON LA SRA ANYI DIAZ AL NÚMERO 3164164844 PARA CONFIRMAR DATOS Y FALLA PERO NO HAY CONTACTO, SE ESCALA A COORDINADOR DE ZONA PARA VALIDAR EN SITIO | 25/09/2025 SE REALIZA GESTIÓN TELEFÓNICA ATIENDE LA SRA ANGIE DIAS CON CC: 1094832277, INDICANDONOS QUE EL DIA DE AYER PRESENTABA PROBLEMAS CON EL CABLE DE RED, LA CUAL EL DIA DE AYER LO CAMBIO Y LE QUEDO OPERATIVO</t>
  </si>
  <si>
    <t>MAESTRE MENGUAL EDGAR ENRIQUE</t>
  </si>
  <si>
    <t>BARRIO VILLA CLAUDIA CUMARAL</t>
  </si>
  <si>
    <t>FO-25-1576333</t>
  </si>
  <si>
    <t>24/09/2025 SE ESCALA PARA VISITA. LLAMAR ANTES DE VISITAR, CONFIRMAR FALLA Y DATOS | 26/09/2025 SE REALIZA VISITA AL CB Y EL USUARIO INFORMA QUE YA EL DATÁFONO ESTÁ FUNCIONANDO, ERA POR SEÑAL DEL INTERNET Y YA TODO OK SE REALIZA UNA PRUEBA Y TODO OK</t>
  </si>
  <si>
    <t>XP3ZZ042</t>
  </si>
  <si>
    <t>REDY BELEN LA 33</t>
  </si>
  <si>
    <t>FO-25-1575826</t>
  </si>
  <si>
    <t>24/09/2025 SE ESCALA PARA VISITA. LLAMAR ANTES DE VISITAR, CONFIRMAR FALLA Y DATOS | 24/09/2025 SE LLEGA COMERCIO Y KA SEÑORA VICKY INDICA QUE YA EL DATÁFONO FUNCIONA CORRECTAMENTE, FUENTE DE PODER MAL CONECTADA</t>
  </si>
  <si>
    <t>999VZ081</t>
  </si>
  <si>
    <t>BADEL ACUÑA LUIS ALBERTO</t>
  </si>
  <si>
    <t>DISTRICOL TODO MATERIALES JM</t>
  </si>
  <si>
    <t>FO-25-1575835</t>
  </si>
  <si>
    <t>24/09/2025 SE INTENTA COMUNICACIÓN CON LA SRA YANETH ÁLVAREZ AL NÚMERO  3115143763 PARA CONFIRMAR DATOS Y FALLA PERO NO HAY CONTACTO, SE ESCALA AQ COORDINADOR DE ZONA PARA VALIDAR EN SITIO | 27/09/2025 SE LLEGA A SITIO, Y SE VALIDA QUE LAS CONEXIONES DEL CABLE UTB DEL MODEM AL DATAFONO ESTABAN UN POCO FLOJOS, SE PROCEDE A AJUSTAR EL CABLEADO, SE REALIZAN PRUEBAS DEJANDO SERVICIO FUNCIONAL AL 100 %</t>
  </si>
  <si>
    <t>AA08Z505</t>
  </si>
  <si>
    <t>MONTES DIAZ JOHN FRED</t>
  </si>
  <si>
    <t>DISTRICOL DROGUERIA KAFAR</t>
  </si>
  <si>
    <t>FO-25-1575716</t>
  </si>
  <si>
    <t>24/09/2025 SE ESCALA PARA VISITA. LLAMAR ANTES DE VISITAR, CONFIRMAR FALLA Y DATOS | 24/09/2025 SE VERIFICÓ FALLA DE COMUNICACIÓN, FALLA DE PARÁMETROS DE COMUNICACIÓN, SE ENCONTRÓ FALLA DEL CANAL DEL COMERCIO EL CUAL NO CONECTA CORRECTAMENTE EL DATÁFONO EL CLIENTE YA REPORTO A SU OPERADOR DE INTERNET, A SU VEZ SE ENCONTRÓ FALLA DE LECTORA SE CAMBIA LECTOR SE EJECUTAN PRUEBAS TX EXITOSAS QUEDA OPERATIVO.</t>
  </si>
  <si>
    <t>FA0GZ496</t>
  </si>
  <si>
    <t>PTM GUAYABETAL D.VELEZ COMUNIC</t>
  </si>
  <si>
    <t>FO-25-1575647</t>
  </si>
  <si>
    <t>24/09/2025 SE ESCALA PARA VISITA. LLAMAR ANTES DE VISITAR, CONFIRMAR FALLA Y DATOS | 25/09/2025 SE REALIZA CONTACTO CON LA SEÑORA DOLLY LA CUAL INDICA QUE EL DATAFONO SE ENXUENTRA OK, UE EL DAÑO ERA EN EL TOMA CORRIENTE DE COMERCIO</t>
  </si>
  <si>
    <t>PEDREROS CONTRERAS MICHAEL STEVENS</t>
  </si>
  <si>
    <t>DISTRICOL SUPERMERCADO LUBISKY</t>
  </si>
  <si>
    <t>FO-25-1573964</t>
  </si>
  <si>
    <t>23/09/2025 SE ESCALA PARA VISITA. LLAMAR ANTES DE VISITAR, CONFIRMAR FALLA Y DATOS | 25/09/2025 SE VÁLIDA POR LLAMADA XON EL USUARIO E INDICA QUE YA ESTA OPERATIVO EL CB SE HACEN PRUEBAS OK SE HABLA CON EL SEÑOR LUBIN JARAMILLO</t>
  </si>
  <si>
    <t>MONTOYA VELEZ ANDRES FELIPE</t>
  </si>
  <si>
    <t>DISTRICOL ELECTRODOMESTICOS</t>
  </si>
  <si>
    <t>FO-25-1579528 | FO-25-1573391</t>
  </si>
  <si>
    <t>23/09/2025 SE ESCALA PARA VISITA. LLAMAR ANTES DE VISITAR, CONFIRMAR FALLA Y DATOS | 24/09/2025 SE REALIZA CAMBIO DE DATÁFONO POR ALERTA IRRUPTION. CLIENTE TIENE PORTAL CAUTIVO Y DEBE ANEXAR LA DIRECCIÓN MAC DEL DATSFONO AL ROUTER DEL CLIENTE PARA TENER ACCESO A INTERNET. CLIENTE INDICA QUE YA LE INFORMO AL PROVEEDOR DE INTERNET PARA ACEPTAR LA MAC DEL DATAFINO EN SU RED. CLIENTE INDICARA A LINEA BANCOLOMBIA CUANDO PROVEEDOR DE INTERNET LE SOLUCIONE.
25/09/2025 OPERADOR DE INTERNET ARREGLO SU CANAL DEJANDO OPERATIVO EL DATAFONO. CLIENTE INDICA TRANSACCIONES OK</t>
  </si>
  <si>
    <t>BARRIO TOROBAJO PASTO 1</t>
  </si>
  <si>
    <t>FO-25-1572570</t>
  </si>
  <si>
    <t>23/09/2025 SE ESCALA PARA VISITA. LLAMAR ANTES DE VISITAR, CONFIRMAR FALLA Y DATOS | 24/09/2025 SE ENCUENTRA DATAFONO SIN CONEXIÓN SE REALIZA MANTENIMIENTO Y REVISIÓN DE CABLES Y SE LOGRA CONEXIÓN EXITOSA CONFIGURACIÓN OK PARÁMETROS OK Y SE REALIZAN PRUEBAS ÉXITOSAS DE TRANSACCIONES</t>
  </si>
  <si>
    <t>IIOZZ209</t>
  </si>
  <si>
    <t>PAZ MARTINEZ RICHARD HUMBERTO</t>
  </si>
  <si>
    <t>BARRIO SANTA CRUZ MEDELLIN 4</t>
  </si>
  <si>
    <t>FO-25-1571329</t>
  </si>
  <si>
    <t>23/09/2025 SE ESCALA PARA VISITA. LLAMAR ANTES DE VISITAR, CONFIRMAR FALLA Y DATOS | 23/09/2025 SE HACE VISITA OK EQUIPOS OPERANDO CON NORMALIDAD. SE HACE MANTENIMIENTO OK DE DATÁFONO</t>
  </si>
  <si>
    <t>AA00X490</t>
  </si>
  <si>
    <t>BARRIO LA IGUALDAD BOGOTA 3</t>
  </si>
  <si>
    <t>FO-25-1571099</t>
  </si>
  <si>
    <t>23/09/2025 SE ESCALA PARA VISITA. LLAMAR ANTES DE VISITAR, CONFIRMAR FALLA Y DATOS | 24/09/2025 SE REALIZA VISITA A CB PARA ATENDER INCIDENTE CLIENTE INDICA QUE YA ESTÁ FUNCIONANDO SIN NOVEDAD</t>
  </si>
  <si>
    <t>F8ZZZ025</t>
  </si>
  <si>
    <t>GALINDO ROJAS LUIS FELIPE</t>
  </si>
  <si>
    <t>BARRIO SANTA BARBARA ZAPATOCA 2</t>
  </si>
  <si>
    <t>FO-25-1571145</t>
  </si>
  <si>
    <t>23/09/2025 EN COMUNICACIÓN CON LA SRA YOSARY MILENA MANJARRES RODRIGUEZ AL NÚMERO 3008873436 NOS INFORMA QUE LA FALLA ES CABLE DE RED DESCONECTADO, CONFIRMA DATOS E INDICA QUE LA RED ES REDEBAN, SE ESCALA PARA VISITA | 24/09/2025 EN COMUNICACIÓN CON SEÑORA MILENA MANJARREZ NOS INFORMA QUE AYER EN LA TARDE Y EL DÍA DE HOY YA ESTÁ TRABAJANDO NORMALMENTE AL PARECER ERA FALA DEL INTERNET, POR LO ANTERIOR INDICA QUE NO ES NECESARIO YA QUE ESTÁ OPERANDO CORRECTAMENTE</t>
  </si>
  <si>
    <t>PEÑA DIAZ IVAN YESID</t>
  </si>
  <si>
    <t>BARRIO MORAVIA 2</t>
  </si>
  <si>
    <t>FO-25-1568225</t>
  </si>
  <si>
    <t>23/09/2025 SE ESCALA PARA VISITA. LLAMAR ANTES DE VISITAR, CONFIRMAR FALLA Y DATOS | 23/09/2025 SE HACE MANTENIMIENTO OK SE VALIDA CABLEDO DEL COMERCIO Y SE ORGÁNICA CABLEADOS</t>
  </si>
  <si>
    <t>BL01B278</t>
  </si>
  <si>
    <t>DISTRICOL DROG FARMAMEDIC</t>
  </si>
  <si>
    <t>FO-25-1566513</t>
  </si>
  <si>
    <t>CAPACITACION MANIPULACION DE COMERCIO</t>
  </si>
  <si>
    <t>22/09/2025 SE ESCALA PARA VISITA. LLAMAR ANTES DE VISITAR, CONFIRMAR FALLA Y DATOS | 23/09/2025 SE VERIFICÓ FALLA DE LECTOR DE CÓDIGO DE BARRAS NO PERMITE LEER CÓDIGOS DE CEDENAR SE LE DIO EL CÓDIGO DE CONVENIO SE EJECUTAN PRUEBAS TX EXITOSAS, A SU VEZ INDICA FALLA DE IMPRESIÓN SALE ENTRECORTADO LA INFORMACIÓN ESO ES PORQUE NO CIERRA BIEN LA TAPA DEL ROLLOS, SE REALIZÓ PRUEBAS TX EXITOSAS QUEDA OPERATIVO.</t>
  </si>
  <si>
    <t>FJZZZ920</t>
  </si>
  <si>
    <t>FO-25-1564206</t>
  </si>
  <si>
    <t>22/09/2025 SE INTENTA COMUNICACIÓN DESDE EL N. CORPORATIVO A LA SRA YESICA TRUJILLO PERDOMO AL NÚMERO 3144434059  PARA CONFIRMAR DATOS Y FALLAS PERO NO HAY CONTACTO, SE ESCALA A COORDINADOR DE ZONA PARA VALIDAR EN SITIO | 24/09/2025 SE REALIZA VISITA AL PUNTO, SE EVIDENCIA UNA MALA CONEXION DE INTERNET POR PARTE DEL COMERCIO LA CUAL SE CORRIGE , PPRUEBAS OK, CB OPERATIVO.</t>
  </si>
  <si>
    <t>SEZZZ144</t>
  </si>
  <si>
    <t>DISTRICOL TECHNOWORLD CHIQUINQ</t>
  </si>
  <si>
    <t>FO-25-1563147</t>
  </si>
  <si>
    <t>22/09/2025 EN COMUNICACIÓN CON LA SRA KAREN ALEXANDRA BENAVIDEZ  AL NÚMERO 3223543827 NOS INFORMA QUE LA FALLA ES DATAFONO NO IMPRIME VOUCHERS, SE ESCALA A COORDINADOR DE ZONA PARA CONFIRMAR FALLA EN SITIO | 22/09/2025 SE VISITA COMERCIO , SE VALIDA EQUIPO TRABAJANDO CORRECTAMENTE EN LA IMPRESIÓN , SE REALIZA BORRADO DE  EQUIPO CARGANDO NUEVAMENTE S.O Y  VERSIÓN 10.3 N   DEJANDO PRUEBAS OK SIN TELECARGA NO AUTORIZADA</t>
  </si>
  <si>
    <t>FSZZZ882</t>
  </si>
  <si>
    <t>BARRIO LA PLAZUELA PUERTO CARR</t>
  </si>
  <si>
    <t>FO-25-1565018</t>
  </si>
  <si>
    <t>0</t>
  </si>
  <si>
    <t>GOMEZ FERRARO JOHANA</t>
  </si>
  <si>
    <t>BARRIO LA SABANA PUERTO LOPEZ</t>
  </si>
  <si>
    <t>FO-25-1563188</t>
  </si>
  <si>
    <t>22/09/2025 SE ESCALA PARA VISITA. LLAMAR ANTES DE VISITAR, CONFIRMAR FALLA Y DATOS | 23/09/2025 SE REALIZA CONTACTO TELEFÓNICO 320974056 CON LA SEÑORA MILVIA SE REALIZA BORRADO DE TRANSACCIÓN SE LE BRINDA ASESORÍA SOBRE EL BUEN USO DEL DATÁFONO Y CIERRE DIARIO OK SIN NOVEDAD</t>
  </si>
  <si>
    <t>2AGAFACIL PLAZA CAYCEDO</t>
  </si>
  <si>
    <t>FO-25-1562562</t>
  </si>
  <si>
    <t>22/09/2025 SE ESCALA PARA VISITA. LLAMAR ANTES DE VISITAR, CONFIRMAR FALLA Y DATOS | 22/09/2025 SE HABLA CON LA SEÑORA DIANA QUIEN INDICA QUE TIENE UN EQUIPO SIN LECTOR DE BARRAS QUE ELLLA LEGO HACE POCO AL PUNTO Y EL EQUIPO LO ENCONTRO SIN NADA Y REQUIERE LA INSTALACION DE UN NUEVO LECTOR, SE VALIDA INVENTARIO CON REDEBAN PERO EN EL PUNTO HAY 3 DATAFONOS Y FIGURAN 3 LECTORAS DE CODIGO DE BARRAS , SE HABLA CON PAOLA DE REDEBAN QUIEN INDICA QUE NO SE PUEDE INSTALAR EL LECTOR QUE EL CLIENTE DEBE PRIMERO COLOCAR UN DENUNCIO POR PERDIDA PARA REALIZAR EL REMPLAZO DEL MISMO TODA VEZ QUE EL INVENTARIO ESTA COMPLETO, SE LE INFORMA AL CLIENTE</t>
  </si>
  <si>
    <t>BARRIO EL JARDIN CUBARRAL</t>
  </si>
  <si>
    <t>FO-25-1562409</t>
  </si>
  <si>
    <t>TAPA MAL ASEGURADA</t>
  </si>
  <si>
    <t>22/09/2025 SE ESCALA PARA VISITA. LLAMAR ANTES DE VISITAR, CONFIRMAR FALLA Y DATOS | 23/09/2025 SE REALIZA VISITA A COMERCIO CLIENTE MANIFIESTA SERVICIO OPERATIVO EL DÍA DE HOY SE ENCUENTRA SIN NOVEDADES OK SE LE BRINDA ASESORÍA PARA EL CORRECTO FUNCIONAMIENTO</t>
  </si>
  <si>
    <t>LBZZZ622</t>
  </si>
  <si>
    <t>BARRIO CALIXTO LEIVA NEIVA 1</t>
  </si>
  <si>
    <t>FO-25-1562465</t>
  </si>
  <si>
    <t>22/09/2025 SE ESCALA PARA VISITA. LLAMAR ANTES DE VISITAR, CONFIRMAR FALLA Y DATOS | 22/09/2025 SE REALIZA VISITA AL PUNTO, CLIENTE ÍNDICA QUE EL LECTOR NO LEE LOS  CÓDIGOS DE BARRAS RURALES, SE LE INDICA AL CLIENTE QUE ESA CLASE DE CÓDIGO DE BARRAS NO LAS LEE EL LECTOR POR EL TAMAÑO. DE REALIZAN PRUEBAS CON OTROS CÓDIGOS Y FUNCIONAN OK, CB OPERATIVO</t>
  </si>
  <si>
    <t>V6ZZZ780</t>
  </si>
  <si>
    <t>BARRIO GALERIA SANTA BARBARA</t>
  </si>
  <si>
    <t>FO-25-1562097</t>
  </si>
  <si>
    <t>22/09/2025 SE ESCALA PARA VISITA. LLAMAR ANTES DE VISITAR, CONFIRMAR FALLA Y DATOS | 22/09/2025 SE EVIDENCIA QUE EL USUARIO USO LA PRIMERA PARTE DEL ROLLO QUE ESTÁBA NUEVO Y  POR ESO NO IMPRIMIÓ BIEN SE HACEN PRUEBAS OK</t>
  </si>
  <si>
    <t>BARRIO CENTRO FUNZA FUNZA</t>
  </si>
  <si>
    <t>FO-25-1561042</t>
  </si>
  <si>
    <t>21/09/2025 SE ESCALA PARA VISITA. LLAMAR ANTES DE VISITAR, CONFIRMAR FALLA Y DATOS | 22/09/2025 SE LLAMA AL CLIENTE PARA VALIDAR LA FALLA, SE HABLÁ CON LA SRA DIANA HUERTAS QUIEN INDICA QUE SE LE ACUMULA LA INFORMACIÓN DE TRANSACCIONES DE LOS DÍAS Y AL HACER EL CIERRE NO BORRA LA INFO, SE LE INDAGA COMO REALIZA EL CIERRE Y SE DETECTA QUE LO ESTÁ HACIENDO ERRADAMENTE, POR LO QUE SE LE BRINDAN LOS PASOS PARA HACERLO DE LA MANERA CORRECTA, EL CLIENTE QUEDA SATISFECHO Y SE CIERRA LA ACTIVIDAD EXITOSA</t>
  </si>
  <si>
    <t>VEGA MANRIQUE JONATAN MAURICIO</t>
  </si>
  <si>
    <t>PTM MEDELLIN MERCADOS EL TIGRE</t>
  </si>
  <si>
    <t>FO-25-1560803</t>
  </si>
  <si>
    <t>21/09/2025 SE ESCALA PARA VISITA. LLAMAR ANTES DE VISITAR, CONFIRMAR FALLA Y DATOS | 22/09/2025 SE LLAMA AL CLIENTE Y NOS INDICA QUE HABÍA UNA MALA CONEXIÓN CON CLARO, EL PROBLEMA QUEDÓ RESUELTO</t>
  </si>
  <si>
    <t>BARRIO ALTO PRADO BARRANQUILLA</t>
  </si>
  <si>
    <t>FO-25-1558507</t>
  </si>
  <si>
    <t>20/09/2025 SE ESCALA PARA VISITA. LLAMAR ANTES DE VISITAR, CONFIRMAR FALLA Y DATOS | 20/09/2025 OKA | 20/09/2025 EN COMUNICACIÓN VÍA WASHAP AL NÚMERO 3004192612, LA SEÑORA LINA RAMÍREZ ME INFORMA QUE ERA UN PROBLEMA CON LA CONEXIÓN INTERNA, PERO QUE YA SOLUCIONARON Y QUE NO ES NECESARIA LA VISITA</t>
  </si>
  <si>
    <t>DE AVILA SIADES ALBERTO ENRIQUE</t>
  </si>
  <si>
    <t>DISTRICOL VARIEDADES KAROLAY</t>
  </si>
  <si>
    <t>FO-25-1557594</t>
  </si>
  <si>
    <t>20/09/2025 SE ESCALA PARA VISITA. LLAMAR ANTES DE VISITAR, CONFIRMAR FALLA Y DATOS | 20/09/2025 SE REALIZA VISITA SE PROCEDE A VALIDAR DATAFONO Y TODOS OK ,INTERNET OK , SE VALIDA EL CONECTOR DEL CABLE DE RED DEL CLIENTE POSIBLE FRACTURA, SE CAMBIA CONECTOR SE HACEN PRUEBAS Y TODO OK</t>
  </si>
  <si>
    <t>AD00Q073</t>
  </si>
  <si>
    <t>BARRIO BLANQUIZAL MEDELLIN</t>
  </si>
  <si>
    <t>FO-25-1557598</t>
  </si>
  <si>
    <t>20/09/2025 SE ESCALA PARA VISITA. LLAMAR ANTES DE VISITAR, CONFIRMAR FALLA Y DATOS | 20/09/2025 SE REALIZA MANTENIMIENTO Y SE EXPLICA AL USUARIO CONO HACER CORRECTAMENTE LOS CIERRES, PRUEBAS OK</t>
  </si>
  <si>
    <t>AAVZZ111</t>
  </si>
  <si>
    <t>DISTRICOL TIENDA MARIGU</t>
  </si>
  <si>
    <t>FO-25-1554971</t>
  </si>
  <si>
    <t>19/09/2025 SE ESCALA PARA VISITA. LLAMAR ANTES DE VISITAR, CONFIRMAR FALLA Y DATOS | 20/09/2025 SE REALIZÓ GESTIÓN TELEFÓNICA SE HABLÓ CON L SEÑORA MARÍA VÉLEZ NOS INDICA QUE SE ENCUENTRA HACIENDO COMPENSACIÓN EN EL PARQUE DE SABANETA Y NOS PODRÁ ATENDER DESPUÉS DE LAS 12:30 | 20/09/2025 SE REALIZÓ CAMBIO DE EQUIPO POR LECTOR DE CHIP AVERIADO</t>
  </si>
  <si>
    <t>9A005422</t>
  </si>
  <si>
    <t>CASTAÑEDA PALACIO CARLOS FELIPE</t>
  </si>
  <si>
    <t>BARRIO LOS MUISCAS TUNJA 5</t>
  </si>
  <si>
    <t>FO-25-1555044</t>
  </si>
  <si>
    <t>19/09/2025 SE ESCALA PARA VISITA. LLAMAR ANTES DE VISITAR, CONFIRMAR FALLA Y DATOS | 19/09/2025 SE VISITA CB MANTENIMIENTO CONFIGURACIÓN EQUIPO A INTERNET DE CLIENTE PRUEBAS EXITOSAS</t>
  </si>
  <si>
    <t>4A00W933</t>
  </si>
  <si>
    <t>GONZALEZ GONZALEZ MARIO ALBERTO</t>
  </si>
  <si>
    <t>BARRIO CENTRO SOMONDOCO 3</t>
  </si>
  <si>
    <t>FO-25-1555081</t>
  </si>
  <si>
    <t>19/09/2025 SE ESCALA PARA VISITA. LLAMAR ANTES DE VISITAR, CONFIRMAR FALLA Y DATOS | 20/09/2025 EN COMUNICACIÓN CON LAS LÍNEAS 3167378110 Y 3132447685 NO SE LOGRA ESTABLECER CONTACTO CON EL CLIENTE, SE REALIZAN VARIOS INTENTOS PERO NO SE LOGRA ESTABLECER CONTACTO, SE INTENTARÁ REALIZAR CONTACTO EL DÍA LUNES 20/09 PARA ESTABLECER VISITA | 22/09/2025 EN COMUNICACIÓN CON LA LÍNEA 3167378110 RESPONDE LA SEÑORA DIANA CHIVATA SE LE INFORMA QUE DEBIDO AL TRASPORTE INTERMUNICIPAL SE ESTARÁ LLEGANDO AL MUNICIPIO SOBRE EL MEDIO DÍA 12PM DE HOY 22/09 POS DISPOSICIÓN DE TRASPORTE. CLIENTE ENTIENDE Y CONFIRMA DISPOSICIÓN. SE ATENDERÁ VISITA HOY 22/09 A LAS 12 PM. | 22/09/2025 SE REALIZA INSPECCIÓN DE RED, SE ENCUENTRA ROUTER REPETIDOR DESCONFIGURADO SE PROCEDE A REALIZAR LA CONFIGURACIÓN, PRUEBAS EXITOSAS.</t>
  </si>
  <si>
    <t>SXLZZ562</t>
  </si>
  <si>
    <t>HERRERA GARZON JEYSON STEVENT</t>
  </si>
  <si>
    <t>COMCARD SOACHA LA 38</t>
  </si>
  <si>
    <t>FO-25-1552895</t>
  </si>
  <si>
    <t>19/09/2025 SE ESCALA PARA VISITA. LLAMAR ANTES DE VISITAR, CONFIRMAR FALLA Y DATOS | 19/09/2025 SE LLEGA A DIRECCIÓN PARA ATENDER INCIDENTE LA SEÑORITA ELI LINARES INDICA QUE CANCELO LA VISITA ERA EL ROLLO QUE ESTABA DAÑADO INDICA SERVICIO OPERATIVO NO SE MANIPULA TERMINAL NO FIRMAN CONTROLES</t>
  </si>
  <si>
    <t>BUSTOS MORA DIEGO MANUEL</t>
  </si>
  <si>
    <t>DISTRICOL MERCADOS LA ROSA 2</t>
  </si>
  <si>
    <t>FO-25-1552011</t>
  </si>
  <si>
    <t>19/09/2025 SE ESCALA PARA VISITA. LLAMAR ANTES DE VISITAR, CONFIRMAR FALLA Y DATOS | 19/09/2025 SE ENCENTRA EL EQUIPO CONGELADO CON EL MENSAJE WARNIN KEY, SE REINICIA EL EQUIPO Y SE ACOMODA MAGIC BOX, EQUIPO QUEDA FUNCIONANDO CORRECTAMENTE</t>
  </si>
  <si>
    <t>MN002486</t>
  </si>
  <si>
    <t>BARRIO ALFONSO LOPEZ CUCUTA  8</t>
  </si>
  <si>
    <t>FO-25-1551745</t>
  </si>
  <si>
    <t>19/09/2025 SE VISITA COMERCIO Y SE REALIZAN PRUEBAS SE ENCUENTRAN FUNCIONANDO EL EQUIPO, SE VERIFICAN PARÁMETROS TODO OK.</t>
  </si>
  <si>
    <t>V1009447</t>
  </si>
  <si>
    <t>TORRES MANTILLA JOSE DANIEL</t>
  </si>
  <si>
    <t>DISTRICOL EL CACHORRO REBAJA</t>
  </si>
  <si>
    <t>FO-25-1551567</t>
  </si>
  <si>
    <t>19/09/2025 SE ESCALA PARA VISITA. LLAMAR ANTES DE VISITAR, CONFIRMAR FALLA Y DATOS | 19/09/2025 SE REALIZA VALIDACIÓN CON EL CLIENTE LA SEÑORA PAOLA, QUIEN ME INDICA QUE NO LE SIRVEN LAS CONSIGNACIONES A CUENTAS CORRIENTES, SE REALIZA UNA PRUEBA DE UNA CONSIGNACIÓN A UNA CUENTA CORRIENTE Y LA TRANSACCIÓN SALE SIN PROBLEMA , LA CLIENTE DICE QUE ES QUE CON LA DE UN CLIENTE EN ESPECIFICO NO FUNCIONA, SE LE INDICA QUE NO ES PROBLEMA DEL DATAFONO, SE LE INDICA QUE DEBE REALIZAR LA CONSIGNACIÓN POR CUENTA CONVENIO PERO DEBE TENER LA REFERENCIA PARA PODER REALIZARLA.</t>
  </si>
  <si>
    <t>BARRIO GUAYACANES CARTAGO</t>
  </si>
  <si>
    <t>FO-25-1551401</t>
  </si>
  <si>
    <t>19/09/2025 SE ESCALA PARA VISITA. LLAMAR ANTES DE VISITAR, CONFIRMAR FALLA Y DATOS | 19/09/2025 SE ENCUENTRA DATÁFONO EN FUNCIONAMIENTO SIN PROBLEMAS SE LE INDICA AL CLIENTE NO DESCONECTAR DATÁFONO</t>
  </si>
  <si>
    <t>FAZZZ560</t>
  </si>
  <si>
    <t>BARRIO ENCISO MEDELLIN 3</t>
  </si>
  <si>
    <t>FO-25-1551411</t>
  </si>
  <si>
    <t>19/09/2025 SE ESCALA PARA VISITA. LLAMAR ANTES DE VISITAR, CONFIRMAR FALLA Y DATOS | 19/09/2025 SE REALIZA CAMBIO DE USUARIOS POR SEGURIDAD A SOLICITUD CLIENTE PRUEBAS OK NO TELECARGA</t>
  </si>
  <si>
    <t>BL01B406</t>
  </si>
  <si>
    <t>PAREJA ECHAVARRIA JHON DAVID</t>
  </si>
  <si>
    <t>BARRIO EL CENTRO OCAÑA 7</t>
  </si>
  <si>
    <t>FO-25-1551437</t>
  </si>
  <si>
    <t>19/09/2025 SE ESCALA PARA VISITA. LLAMAR ANTES DE VISITAR, CONFIRMAR FALLA Y DATOS | 22/09/2025 SE VISITA COMERCIO Y SE REALIZA MANTENIMIENTO PREVENTIVO EL EQUIPO SE ENCUENTRA TRABAJANDO OK, EL CLIENTE MANIFIESTA QUE ES DESPUÉS DE LAS 6:30 PM QUE LE FALLA EL EQUIPO SE LE RECOMIENDA CONECTAR EL EQUIPO A UN ESTABILIZADOR DE VOLTAJE POR POSIBLES CONEXIONES DE CORRIENTE DEFECTUOSAS, SE REALIZAN CIERRES Y PRUEBAS EXITOSOS.</t>
  </si>
  <si>
    <t>SASZZ687</t>
  </si>
  <si>
    <t>PTM EL PASO PAPELERIA MI ANGEL</t>
  </si>
  <si>
    <t>FO-25-1550889</t>
  </si>
  <si>
    <t>18/09/2025 SE ESCALA PARA VISITA. LLAMAR ANTES DE VISITAR, CONFIRMAR FALLA Y DATOS | 20/09/2025 LA ORDEN REQUIERE CAMBIO DE DATAFONO, Y DEBIDO A QUE NO SE CUENTA CON SOPORTE ACTIVOS DE RBM, SE REAGENDA PARA EL LUNES 22 SEPTIEMBRE | 22/09/2025 SE LLEGA A SITIO PERO NO SE ENCUENTRA EL DATAFONO EN EL LUGAR, YA QUE EL CLIENTE LE DIO A CARGO EL CB Y EL NEGOCIO A UN FAMILIAR Y ESTE MISMO TRASLADÓ TODO PARA EL MUNICIPIO DE SABANALARGA ATLANTICO, POR ENDE NO HAGO INTERVENCION EN NINGUN EQUIPO</t>
  </si>
  <si>
    <t>5A002486</t>
  </si>
  <si>
    <t>BARRIO SIMON BOLIVAR PARTE ALTA PAMPLONA</t>
  </si>
  <si>
    <t>FO-25-1550892</t>
  </si>
  <si>
    <t>18/09/2025 SE ESCALA PARA VISITA. LLAMAR ANTES DE VISITAR, CONFIRMAR FALLA Y DATOS | 19/09/2025 SE REALIZÓ VISITA AL COMERCIO Y SE ENCUENTRA CONEXIONES DEL COMERCIO FALLANDO, SE VERIFICAN CONEXIONES, PRUEBAS EXITOSAS</t>
  </si>
  <si>
    <t>F1JZZ374</t>
  </si>
  <si>
    <t>MORA VEGA JEAMPIER</t>
  </si>
  <si>
    <t>COMCARD MED LUZMAK</t>
  </si>
  <si>
    <t>FO-25-1549590</t>
  </si>
  <si>
    <t>18/09/2025 SE ESCALA PARA VISITA. LLAMAR ANTES DE VISITAR, CONFIRMAR FALLA Y DATOS | 19/09/2025 SE LLEGA AL PUNTO, CLIENTE INDICA QUE TENÍA LA PANTALLA CONGELADA, NOS DICE QUE REINICIÓ EL DATÁFONO Y QUEDÓ OPERSTIVO, PRUEBAS OK</t>
  </si>
  <si>
    <t>1111G612</t>
  </si>
  <si>
    <t>BARRIO POTRERO GRANDE CALI 2</t>
  </si>
  <si>
    <t>FO-25-1549243</t>
  </si>
  <si>
    <t>18/09/2025 SE ESCALA PARA VISITA. LLAMAR ANTES DE VISITAR, CONFIRMAR FALLA Y DATOS | 19/09/2025 SE REALIZA GESTIÓN TELEFÓNICA ANTES DE REALIZAR LA VISITA, EL CLIENTE INFORMA QUE EL DATAFONO NO PRENDÍA DESPUÉS DE QUE HUBO UN APAGON EN LA ZONA PERO EN EL MOMENTO YA ESTÁ FUNCIONANDO, CLIENTE REALIZA TRX Y CONFIRMA QUE SALEN OK..</t>
  </si>
  <si>
    <t>MONTERO MUESES GIAN CARLO</t>
  </si>
  <si>
    <t>BARRIO VEREDA OTRAMINA TITIRIB</t>
  </si>
  <si>
    <t>FO-25-1548241</t>
  </si>
  <si>
    <t>18/09/2025 SE ESCALA PARA VISITA. LLAMAR ANTES DE VISITAR, CONFIRMAR FALLA Y DATOS | 19/09/2025 SE REALIZA EL CAMBIO DE CABLE ENSORTIJADO Y CABLE DE RED SE HACEN PRUEBAS OK</t>
  </si>
  <si>
    <t>IIRZZ834</t>
  </si>
  <si>
    <t>COMCARD BELLO MERCADOS LA CRUZ</t>
  </si>
  <si>
    <t>FO-25-1547602</t>
  </si>
  <si>
    <t>03/10/2025 SE ESCALA PARA VISITA. LLAMAR ANTES DE VISITAR, CONFIRMAR FALLA Y DATOS | 18/09/2025 SE REALIZA CONTACTO TELEFÓNICO CON EL USUARIO PARA VALIDAR EL INCIDENTE PREVIAMENTE REPORTADO RELACIONADO CON EL DATÁFONO DEL CORRESPONSAL BANCOLOMBIA. EL USUARIO INFORMA QUE EL DISPOSITIVO PRESENTÓ UNA PANTALLA AZUL, LO QUE MOTIVÓ SU LLAMADA INMEDIATA A LA LÍNEA DE SOPORTE. SIN EMBARGO, AL REVISAR EL EQUIPO, IDENTIFICÓ QUE EL DATÁFONO NO ESTABA CORRECTAMENTE CONECTADO, LO QUE HABRÍA OCASIONADO LA FALLA VISUAL.
TRAS CORREGIR LA CONEXIÓN, EL DATÁFONO VOLVIÓ A FUNCIONAR CON NORMALIDAD. EL USUARIO CONFIRMA QUE EL DISPOSITIVO SE ENCUENTRA OPERATIVO Y DESCARTA LA NECESIDAD DE UNA VISITA TÉCNICA.</t>
  </si>
  <si>
    <t>MARTINEZ TOVAR OSCAR DAVID</t>
  </si>
  <si>
    <t>REVAL 411 ESPINAL</t>
  </si>
  <si>
    <t>FO-25-1547315</t>
  </si>
  <si>
    <t>25/09/2025 SE ESCALA PARA VISITA. LLAMAR ANTES DE VISITAR, CONFIRMAR FALLA Y DATOS | 19/09/2025 SE LLEGA AL PUNTO DE ATENCIÓN DEL CB A LA ESPERA DE AUTORIZACIÓN DE INGRESO AL PUNTO POR TEMA DE SEGURIDAD | 19/09/2025 SE REALIZA REVISIÓN DE CONEXIONES,SE CONFIGURAN PARÁMETROS DE COMUNICACIÓN TRANSACCIONES DE PRUEBA O.K</t>
  </si>
  <si>
    <t>1111F657</t>
  </si>
  <si>
    <t>GUTIERREZ  CAMILO ANDRES</t>
  </si>
  <si>
    <t>BARRIO BUENOS AIRES MEDELLIN 1</t>
  </si>
  <si>
    <t>FO-25-1545396</t>
  </si>
  <si>
    <t>17/09/2025 SE ESCALA PARA VISITA. LLAMAR ANTES DE VISITAR, CONFIRMAR FALLA Y DATOS | 18/09/2025 SE ENCUENTRA REVERSO PENDIENTE SE CONFIGURAN PARAMETROS OK PRUEBAS OK</t>
  </si>
  <si>
    <t>SXMZZ318</t>
  </si>
  <si>
    <t>TA-25-1119422</t>
  </si>
  <si>
    <t>ALKOSTO 20 DE JULIO</t>
  </si>
  <si>
    <t>FO-25-1544465</t>
  </si>
  <si>
    <t>17/09/2025 SE ESCALA POR SOLICITUD DE LA RED | 17/09/2025 EL COMERCIO FUE VISITADO EL DIA DE HOY , YA QUE EL DIA DE AYER NO SE PUDO VISITAR PUES PARA INGRESAR AL PUNTO SE REQUIERE PRIMERO UN PERMISO EL CUAL SE TRAMITO EL DIA DE AYER PARA EL INGRESO EL DIA DE HOY, SE VISITA COMERCIO , SE VALIDA CONECTIVIDAD DE LOS EQUIPOS DE REDEBAN - BANCOLOMBIA Y ESTOS ESTA ACTIVOS EN RED, SE REALIZAN PRUEBAS FUNCIONALES EN CADA UNO, MOSTRANTO OPERATIVIDAD, SE REALIZA BORRADO DE TRANSACCIONES YA QUE EL CLIENTE INDICABA QUE LOS CIERRES LES ESTABAN ARROJANDO TRANSACCIONES DE DIAS ANTERIORES,  CLIENTE QUEDA CONFORME CON LOS EQUIPOS.
SE ATIENDE BAJO LA TA  2745128</t>
  </si>
  <si>
    <t>BARRIO LOS CAMBULOS MANEIZALES</t>
  </si>
  <si>
    <t>FO-25-1544863</t>
  </si>
  <si>
    <t>17/09/2025 SE ESCALA PARA VISITA. LLAMAR ANTES DE VISITAR, CONFIRMAR FALLA Y DATOS | 18/09/2025 SE REALIZA LLAMADA CON USUARIO EL CUAL INDICA QUE EL DIA DE AYER NO PUDO HACER TRANSACCIONES PERO YA EL DIA DE HOY SE ENCUENTRA FUNCIONANDO CON NORMALIDAD INDICA QUE EL SERVICIO ESTA OK</t>
  </si>
  <si>
    <t>AGUIRRE HENAO RAUL EDUARDO</t>
  </si>
  <si>
    <t>DISTRICOL MENSAJERIA ZUUUM</t>
  </si>
  <si>
    <t>FO-25-1543687</t>
  </si>
  <si>
    <t>17/09/2025 SE ESCALA AL COORDINADOR DE ZONA PARA ENTREGA DE ROLLOS EN SITIO | 18/09/2025 SE HACE PRESENCIA EN COMERCIO CLIENTE INFORMA QUE EL DAÑO ESTABA EN EL SWITH PROPIO DE ELLOS, REALIZARON EL CAMBIO DE DICHO SWITH Y YA EL EQUIPO ESTA OPERANDO SIN PROBLEMA SE REALIZA PRUEBA OK Y SE PROCEDE A CERRAR LA ORDEN</t>
  </si>
  <si>
    <t>SIZZZ940</t>
  </si>
  <si>
    <t>BARRERA ORTEGA MARLON STWAR</t>
  </si>
  <si>
    <t>BARRIO ARAUCARIAS BELLO</t>
  </si>
  <si>
    <t>FO-25-1543355</t>
  </si>
  <si>
    <t>17/09/2025 SE ESCALA PARA VISITA. LLAMAR ANTES DE VISITAR, CONFIRMAR FALLA Y DATOS | 18/09/2025 SE REALIZA REVISIÓN DEL DATÁFONO CONFIGURACIÓN Y COMUNICACIÓN Y TODO ESTÁ FUNCIONANDO CORRECTAMENTE, USUARIO MANIFIESTA QUE NO IMPRIME, PERO SE REALIZA EN PRUEBAS Y FUNCIONA CORRECTAMENTE</t>
  </si>
  <si>
    <t>FAZZZ519</t>
  </si>
  <si>
    <t>RAMIREZ TABARES JUAN DIEGO</t>
  </si>
  <si>
    <t>BARRIO EL RETIRO RETIRO</t>
  </si>
  <si>
    <t>FO-25-1542488</t>
  </si>
  <si>
    <t>25/09/2025 SE ESCALA PARA VISITA. LLAMAR ANTES DE VISITAR, CONFIRMAR FALLA Y DATOS | 18/09/2025 SE HACE MANTENIMIENTO SE OK SE HACEN VALIDACIONES DE CABLEADOS OK Y PARÁMETROS DE DATÁFONO.</t>
  </si>
  <si>
    <t>AALUZ178</t>
  </si>
  <si>
    <t>BARRIO LAS FERIAS GUAMAL 2</t>
  </si>
  <si>
    <t>FO-25-1542194</t>
  </si>
  <si>
    <t>21/09/2025 SE ESCALA PARA VISITA. LLAMAR ANTES DE VISITAR, CONFIRMAR FALLA Y DATOS | 18/09/2025 SE REALIZA VISITA Y SE CONFIGURA MEDIO DE COMUNICACIÓN, PRUEBAS OK</t>
  </si>
  <si>
    <t>V1SZZ187</t>
  </si>
  <si>
    <t>BARRIO EL PARAISO GRANDA</t>
  </si>
  <si>
    <t>FO-25-1541682</t>
  </si>
  <si>
    <t>19/09/2025 SE ESCALA PARA VISITA. LLAMAR ANTES DE VISITAR, CONFIRMAR FALLA Y DATOS | 18/09/2025 SE REALIZA VISITA AL PUNTO Y COMERCIO YA SE ENCUENTRA OPERANDO OK, EL DAÑO ERA EN LA TOMA CORRIENTE DE COMERCIO</t>
  </si>
  <si>
    <t>SEZZZ158</t>
  </si>
  <si>
    <t>BARRIO VEINTE DE JULIO VILLA D</t>
  </si>
  <si>
    <t>FO-25-1541688</t>
  </si>
  <si>
    <t>20/09/2025 SE ESCALA PARA VISITA. LLAMAR ANTES DE VISITAR, CONFIRMAR FALLA Y DATOS | 17/09/2025 SE REALIZA VISITA, COMERCIO INDICA QUE EL SERVICIO SE ENCUENTRA OPERATIVO Y NO REQUIERE LA VISITA TÉCNICA. NO SÉ INGRESA AL COMERCIO</t>
  </si>
  <si>
    <t>NONE</t>
  </si>
  <si>
    <t>BARRIO CONDOMINIO RESIDENCIAL</t>
  </si>
  <si>
    <t>FO-25-1541697</t>
  </si>
  <si>
    <t>21/09/2025 SE ESCALA PARA VISITA. LLAMAR ANTES DE VISITAR, CONFIRMAR FALLA Y DATOS | 17/09/2025 SE REALIZA VISITA AL PUNTO, SE ENVÍDENCIA EQUIPI SE ENCUENTRA OPERATIVO. EL DAÑO SE DEBIO A CONEXIONES DEL COMERCIO, PPRUEBAS OK, CB OPERATIVO</t>
  </si>
  <si>
    <t>EFGZZ742</t>
  </si>
  <si>
    <t>DISTRICOL TIENDA MIX J</t>
  </si>
  <si>
    <t>FO-25-1540333</t>
  </si>
  <si>
    <t>17/09/2025 SE ESCALA PARA VISITA. LLAMAR ANTES DE VISITAR, CONFIRMAR FALLA Y DATOS | 17/09/2025 SE HABLA CON USUARIO Y COMENTA QUE ESE PROCESO YA LO PUDO REALIZAR, SACÓ UN DUPLICADO Y FUNCIONÓ CORRECTAMENTE LA CLAVE ADMINISTRADOR. SE CIERRA INCIDENTE.</t>
  </si>
  <si>
    <t>QUINTERO SANCHEZ JUAN SEBASTIAN</t>
  </si>
  <si>
    <t>BARRIO LA PRADERA SOGAMOSO 1</t>
  </si>
  <si>
    <t>FO-25-1540742</t>
  </si>
  <si>
    <t>17/09/2025 EQUIPO CON MEMORIA ACOMULADA NO ARROJA CIERRES CLIENTE AUTORIZA RELIZAR BORRADO SE LE INDICA LA FORMA CORRECTA DE REALIZAR LOS CIERRES DIARIOS PRUEBAS OK CLIENTE CONFORME</t>
  </si>
  <si>
    <t>V10OZ404</t>
  </si>
  <si>
    <t>DISTRICOL VARIEDADES MIFER</t>
  </si>
  <si>
    <t>FO-25-1540345</t>
  </si>
  <si>
    <t>17/09/2025 SE ESCALA PARA VISITA. LLAMAR ANTES DE VISITAR, CONFIRMAR FALLA Y DATOS | 17/09/2025 VISITAMOS COMERCIO EL LECTOR DE BARRAS EL DÍA DE AYER NO PRENDIA LO DESCONECTO Y CONECTO EN REPETIDAS OCASIONES PERO NO FUNCIONABA PERO EL DÍA DE HOY YA ESTA FUNCIONANDO SIN NOVEDAD SE REALIZAN PRUEBAS OK.</t>
  </si>
  <si>
    <t>A4WZZ115</t>
  </si>
  <si>
    <t>ARROYAVE CANO MANUEL GUILLERMO</t>
  </si>
  <si>
    <t>BARRIO ALTAMIRA TUNJA</t>
  </si>
  <si>
    <t>FO-25-1540348</t>
  </si>
  <si>
    <t>17/09/2025 SE ESCALA PARA VISITA. LLAMAR ANTES DE VISITAR, CONFIRMAR FALLA Y DATOS | 17/09/2025 SE REALIZA INSPECCIÓN DE RED, SE DETECTA MAL CONEXIÓN EN EL MÓDEM DEL USUARIO, SE CONECTA A PUERTO ADECUADO, PRUEBAS OK</t>
  </si>
  <si>
    <t>LA009538</t>
  </si>
  <si>
    <t>BARRIO CALLE PRINCIPAL VIA AL</t>
  </si>
  <si>
    <t>FO-25-1539436</t>
  </si>
  <si>
    <t>05/10/2025 SE INTENTA COMUNICACION CON EL CB  AL NUMERO  321113669 *, SE ESCALA PARA VISITA, LLAMAR A CONFIRMAR DATOS | 18/09/2025 SE REALIZA BORRADO Y RECARGA DE VERSION POR LENTITUD, SE CONFIRMA FALLA EN CONEXIÓNES DE PARTE DE COMERCIO, EQUIPO YA FUNCIONA OK</t>
  </si>
  <si>
    <t>11XZZ536</t>
  </si>
  <si>
    <t>DISTRICOL PLASTFE</t>
  </si>
  <si>
    <t>FO-25-1539404</t>
  </si>
  <si>
    <t>05/10/2025 EN COMUNICACION CON LA SEÑOR/A DAYANA ARIAS AL NUMERO 3107903096  CONFIRMA FALLA, DATOS CORRECTOS. SE ESCALA PARA VISITA | 18/09/2025 SE REALIZA VISITA AL COMERCIO CORRESPONSAL BANCARIO SE VALIDA Y SE ENCUENTRA DATÁFONO SIN CONEXIÓN A LA RED DE INTERNET SE VALIDA Y SE ENCUENTRA QUE EL CABLE PUESTO POR EL CLIENTE ESTÁ DAÑADO PARTIDO EN MAL ESTADO SE LES COMENTA DICHA SITUACIÓN SE LES DEJA CONECTADO EL CABLE QUE NOS DAN EN BODEGA QUE ES DE 3 M Y QUE ELLOS SE ENCARGAN LUEGO DE COMPRAR UN CABLE MUCHO MÁS LARGO PARA QUE NO HAGA ESTORBO EN EL PASILLO DEL COMERCIO SE HACEN LAS RESPECTIVAS PRUEBAS SE OBTIENEN PRUEBAS OKAY</t>
  </si>
  <si>
    <t>EF00B701</t>
  </si>
  <si>
    <t>GONZALEZ ESTUPIÑAN YEISON WALTER ANTONIO</t>
  </si>
  <si>
    <t>PTM CALI MULTISERVICIOS DAOR</t>
  </si>
  <si>
    <t>FO-25-1537570</t>
  </si>
  <si>
    <t>16/09/2025 SE ESCALA PARA VISITA. LLAMAR ANTES DE VISITAR, CONFIRMAR FALLA Y DATOS | 16/09/2025 SE HABLA CON LA SRA TATIANA HOLGUÍN E INDICA QUE YA EL CB ESTA OPERATIVO Y QUE AUTORIZA CERRAR LA ORDEN</t>
  </si>
  <si>
    <t>PAREDES CASTILLO DIEGO</t>
  </si>
  <si>
    <t>BARRIO BARRANCAS BOGOTA 13</t>
  </si>
  <si>
    <t>FO-25-1537345</t>
  </si>
  <si>
    <t>17/09/2025 SE VISITA COMERCIO POR FALLA EN DATÁFONO CONECTE CABLE DE RED  , AL LLEGAR AL.COMERCIO.CLIENTE CONFIRMA QUE EL EQUIPO YA SE ENCUENTRA FUNCIONANDO SIN NOVEDADY NO REQUIERE DEL MANTENIMIENTO Y NO SE MANIPULA EQUIPO SE SUBE BOUCHER DE ÚLTIMA TRANSACCIÓN REALIZADA POR EL COMERCIO</t>
  </si>
  <si>
    <t>FKZZZ667</t>
  </si>
  <si>
    <t>ROMERO ROJAS BREIDY JHOHAN</t>
  </si>
  <si>
    <t>BARRIO LAS AMERICAS LA UNION 1</t>
  </si>
  <si>
    <t>FO-25-1536743</t>
  </si>
  <si>
    <t>16/09/2025 EN COMUNICACION CON LA SEÑOR/A CARMEN EUGENIA FERNANDEZ * AL NUMERO 3117282258 , CONFIRMA FALLA, DATOS CORRECTOS. SE ESCALA PARA VISITA | 17/09/2025 SE VISITA EL CB PARA REVISAR FALLA DATAFONO SIN CONEXIÓN, SE REVISA FALLA Y AL HACER BORRADO DE TRANSACCIONES POR PARTE DE LA PERSONA ENCARGADA DEL CB BORRO LOS PARÁMETROS DEL DATÁFONO, POR LO QUE SE REALIZÓ BORRADO DE DATÁFONO SOFTWARE Y VERSIÓN, SE RE INSTALA Y SE HACE PRUEBAS OK, SE INDICA A CB COMO DEBE HACER CIERRE PARA EVITAR BORRADO DE TRX</t>
  </si>
  <si>
    <t>LBZZZ637</t>
  </si>
  <si>
    <t>BARRIO ALARCON II BUCARAMANGA</t>
  </si>
  <si>
    <t>FO-25-1535313</t>
  </si>
  <si>
    <t>16/09/2025 SE ESCALA PARA VISITA. LLAMAR ANTES DE VISITAR, CONFIRMAR FALLA Y DATOS | 16/09/2025 SE LLEGA A SITIO, CLIENTE INFORMA QUE LA FALLA LA TENÍA EN LAS CONEXIONES DEL COMERCIO QUE EL DATÁFONO YA LE ESTÁ OPERANDO CORRECTAMENTE QUE NO REQUIERE EL MANTENIMIENTO.</t>
  </si>
  <si>
    <t>BL06Z840</t>
  </si>
  <si>
    <t>MARTINEZ FLOREZ DONIS ALBERTO</t>
  </si>
  <si>
    <t>PTM BOGOTA PANADERIA CAFETERIA</t>
  </si>
  <si>
    <t>FO-25-1535321</t>
  </si>
  <si>
    <t>16/09/2025 SE ESCALA PARA VISITA. LLAMAR ANTES DE VISITAR, CONFIRMAR FALLA Y DATOS | 16/09/2025 SE REALIZA VISITA A CB PARA ATENDER INCIDENTE SE REALIZA BORRADO DE TRANSACCIONES ,SE LE EXPLICA COMO REALIZAR CIERRES DIARIOS ,Y SE REALIZAN PRUEBAS OK</t>
  </si>
  <si>
    <t>UV00B398</t>
  </si>
  <si>
    <t>BARRIO EL JUNCAL PALERMO</t>
  </si>
  <si>
    <t>FO-25-1532847</t>
  </si>
  <si>
    <t>15/09/2025 SE LLEGA AL PUNTO, CLIENTE INDICA PIN PAD QUEDABA CARGANDO Y LECTOR DE BARRAS SUENA PERO NO LEEE, SE REINICIA DATAFONO CON TODOS LOS PERIFÉRICOS CONECTADOS EVIDENCIANDO LA CARGA CORRECTA DE PIN PAD Y LECTOR DE BARRAS , SE REALIZA PRUEBAS OK</t>
  </si>
  <si>
    <t>9BDZZ658</t>
  </si>
  <si>
    <t>ANDRADE HERNANDEZ JUAN CARLOS</t>
  </si>
  <si>
    <t>BARRIO CENTRO PUERTO BERRIO 7</t>
  </si>
  <si>
    <t>FO-25-1531555</t>
  </si>
  <si>
    <t>15/09/2025 EN COMUNICACION CON LA SEÑORA MELISSA MACIAS   AL NUMERO 3103507517 CONFIRMA FALLA, DATOS CORRECTOS. SE ESCALA PARA VISITA | 15/09/2025 SE HABLA CON LA SRA MELISA MASÍAS E INFORMA QUE YA ESTÁ OPERANDO SIN PROBLEMAS DE CONEXIÓN REALIZÓ PRUEBAS Y ESA FUNCIONAL⁷</t>
  </si>
  <si>
    <t>DISTRICOL JYM DISTRIBUCIONES P</t>
  </si>
  <si>
    <t>FO-25-1530707</t>
  </si>
  <si>
    <t>15/09/2025 SE INTENTA COMUNICACION CON EL CB 78930 AL NUMERO 3135180777   SE ESCALA PARA VISITA, LLAMAR A CONFIRMAR DATOS | 16/09/2025 SE HABLA CON LA SRA LUZ MARINA PARA CONFIRMAR VISITA E INFORMA QUE YA ESTÁ OPERANDO SIN PROBLEMAS NO TIENE NINGÚN INCONVENIENTE</t>
  </si>
  <si>
    <t>PTM BOGOTA TIENDA EL DRAGON</t>
  </si>
  <si>
    <t>FO-25-1530313</t>
  </si>
  <si>
    <t>15/09/2025 SE ESCALA PARA VISITA. LLAMAR ANTES DE VISITAR, CONFIRMAR FALLA Y DATOS | 15/09/2025 SE REALIZA VISITA A CB PARA ATENDER INCIDENTE SE REALIZA CONFIGURACIÓN DE LECTORA ,SE REALIZAN PRUEBAS OK</t>
  </si>
  <si>
    <t>NA00F144</t>
  </si>
  <si>
    <t>BARRIO BUENOS AIRES BAJO ARMEN</t>
  </si>
  <si>
    <t>FO-25-1530322</t>
  </si>
  <si>
    <t>15/09/2025 SE ESCALA PARA VISITA. LLAMAR ANTES DE VISITAR, CONFIRMAR FALLA Y DATOS | 16/09/2025 EN COMUNICACIÓN CON LA SEÑORA DIANA ESPOSA DE CLIENTE JONATHAN RODRÍGUEZ INDICA QUE EL DATÁFONO SE ENCUENTRA FUNCIONANDO QUE LA SEMANA PASADA ESTUVO PRESENTANDO FALLAS EL INTERNET ACTUALMENTE SE ENCUENTRA TRABAJANDO SIN INCONVENIENTES</t>
  </si>
  <si>
    <t>DISTRICOL TECNOGAS NATURAL</t>
  </si>
  <si>
    <t>FO-25-1530326</t>
  </si>
  <si>
    <t>15/09/2025 SE ESCALA PARA VISITA. LLAMAR ANTES DE VISITAR, CONFIRMAR FALLA Y DATOS | 15/09/2025 SE REALIZA CONTACTO TELEFÓNICO CON EL USUARIO PARA VALIDAR EL ESTADO DEL INCIDENTE PREVIAMENTE REPORTADO RELACIONADO CON EL DATÁFONO. EL USUARIO INDICA QUE EL DÍA ANTERIOR EL DISPOSITIVO NO CONTABA CON CONEXIÓN A INTERNET. TRAS REVISIÓN, SE IDENTIFICÓ QUE EL CABLE UTP ESTABA MAL CONECTADO, LO QUE OCASIONABA LA FALTA DE CONECTIVIDAD.
EL DÍA DE HOY, EL DATÁFONO SE ENCUENTRA OPERATIVO Y FUNCIONANDO CORRECTAMENTE. EL USUARIO CONFIRMA QUE NO ES NECESARIA UNA VISITA TÉCNICA, YA QUE EL INCONVENIENTE FUE RESUELTO LOCALMENTE MEDIANTE LA CORRECTA CONEXIÓN DEL CABLE DE RED.</t>
  </si>
  <si>
    <t>BARRIO SANTA CRUZ MEDELLIN 14</t>
  </si>
  <si>
    <t>FO-25-1526776</t>
  </si>
  <si>
    <t>14/09/2025 SE ESCALA PARA VISITA. LLAMAR ANTES DE VISITAR, CONFIRMAR FALLA Y DATOS | 15/09/2025 SE HACE MANTENIMIENTO OK SE VUELVE A PONER PARÁMETROS EN DATÁFONO OK PRUEBAS EXITOSAS</t>
  </si>
  <si>
    <t>FUA0G670</t>
  </si>
  <si>
    <t>PTM BOGOTA HERRAJES E INSUMOS</t>
  </si>
  <si>
    <t>FO-25-1526251</t>
  </si>
  <si>
    <t>14/09/2025 SE ESCALA PARA VISITA. LLAMAR ANTES DE VISITAR, CONFIRMAR FALLA Y DATOS | 14/09/2025 SE REQUIERE CAMBIO DE EQUIPO POR SER FIN DE SEMANA NO HAY SOPORTÉ DE ACTIVOS POR PARTE DE RBM | 15/09/2025 SE LLEGA COMERCIO SE VALIDA CON CLIENTE NO LE PERMITE HACER CONSIGNACIONES A CUENTAS CORRIENTE SE REALIZAN PRUEBAS Y SI PERMITE SE VALIDA CON PAOLA GARZÓN SE LE INDICA CLIENTE QUE EL DAÑO ESTÁ EN LA CUENTA CORRIENTE QUE ESTÁ CONSIGNANDO YA QUE A LAS DEMÁS CUENTAS SI PERMITE</t>
  </si>
  <si>
    <t>SX0GZ261</t>
  </si>
  <si>
    <t>GOMEZ VEGA DAVID SNEYDER</t>
  </si>
  <si>
    <t>FRONTINO II - ANTIOQUIA</t>
  </si>
  <si>
    <t>FO-25-1525527</t>
  </si>
  <si>
    <t>22/09/2025 SE ESCALA PARA VISITA. LLAMAR ANTES DE VISITAR, CONFIRMAR FALLA Y DATOS | 15/09/2025 SE ESTABLECE CONTACTO TELEFÓNICO CON EL USUARIO PARA VERIFICAR EL ESTADO DEL INCIDENTE PREVIAMENTE REPORTADO EN EL DATÁFONO DEL CORRESPONSAL BANCOLOMBIA, IDENTIFICADO POR LA ALERTA “WARNING KEY JAMMED”. DURANTE LA LLAMADA, EL USUARIO CONFIRMA QUE EL EQUIPO YA SE ENCUENTRA OPERATIVO, FUNCIONANDO CON NORMALIDAD Y SIN PRESENTAR NOVEDADES. INDICA ADEMÁS QUE NO REQUIERE VISITA TÉCNICA, DADO QUE EL DISPOSITIVO ESTÁ PRESTANDO SERVICIO CORRECTAMENTE.</t>
  </si>
  <si>
    <t>PTM BELLO DEPOSITO Y FERRETERI</t>
  </si>
  <si>
    <t>FO-25-1525073</t>
  </si>
  <si>
    <t>22/09/2025 SE ESCALA PARA VISITA. LLAMAR ANTES DE VISITAR, CONFIRMAR FALLA Y DATOS | 14/09/2025 CB NO LABORA EL DÍA DOMINGO | 15/09/2025 SE REALIZA CAMBIO DE ENSORTIJADO Y SE REALIZA REPONCHADO DE CABLE DE RED. SE HABILITA NUEVAMENTE LECTOR DE CÓDIGO DE BARRAS. TODO QUEDA FUNCIONANDO OK.</t>
  </si>
  <si>
    <t>9CMZZ632</t>
  </si>
  <si>
    <t>BARRIO VEREDA CARREÑO SOTAQUIRA</t>
  </si>
  <si>
    <t>FO-25-1525020</t>
  </si>
  <si>
    <t>22/09/2025 SE ESCALA PARA VISITA. LLAMAR ANTES DE VISITAR, CONFIRMAR FALLA Y DATOS | 15/09/2025 SE VISITA PUNTO EVIDENCIANDO QUE EL EQUIPO TIENE LA MEMORIA ACOMULADA NO ARROJA CIERRES CLIENTE AUTORIZA REALIZAR BORRADO DE MEMORIA SE LE INDICA LA FORMA CORRECTA DE REALIZAR LOS CIERRES DIARIOS PRUEBAS OK CLIENTE CONFORME</t>
  </si>
  <si>
    <t>F1JZZ348</t>
  </si>
  <si>
    <t>DISTRICOL CLASE Y STYLO DEL PE</t>
  </si>
  <si>
    <t>FO-25-1523741</t>
  </si>
  <si>
    <t>13/09/2025 SE ESCALA PARA VISITA. LLAMAR ANTES DE VISITAR, CONFIRMAR FALLA Y DATOS | 13/09/2025 SE REALIZA LIMPIEZA DE LECTOR CHIP CON OBSTRUCCIÓN OK PRUEBAS OK</t>
  </si>
  <si>
    <t>1A00I157</t>
  </si>
  <si>
    <t>LIBERTADOR ESPINAL TOLIMA</t>
  </si>
  <si>
    <t>FO-25-1523755</t>
  </si>
  <si>
    <t>13/09/2025 SE ESCALA PARA VISITA. LLAMAR ANTES DE VISITAR, CONFIRMAR FALLA Y DATOS | 14/09/2025 SIN SOPORTE DE REDEBAN PARA ERROR ENN TRANSACCIONES NEQUI | 16/09/2025 SE  INYECTA VERSIÓN POR USB, CONFIGURA PARÁMETROS DE COMUNICACIÓN E INICIALIZA DATÁFONO TRANSACCIONES DE PRUEBA O.K</t>
  </si>
  <si>
    <t>AAL0V627</t>
  </si>
  <si>
    <t>BARRIO POPULAR 1 MEDELLIN 1</t>
  </si>
  <si>
    <t>FO-25-1523595</t>
  </si>
  <si>
    <t>13/09/2025 SE ESCALA PARA VISITA. LLAMAR ANTES DE VISITAR, CONFIRMAR FALLA Y DATOS | 13/09/2025 SE HABLA CON USUARIA INFORMA QUE YA LOGRÓ SOLUCIONAR NOVEDAD DE CIERRES, REALIZÓ PRUEBAS Y CB ESTÁ OPERATIVO.
SE CIERRA INCIDENTE.</t>
  </si>
  <si>
    <t>PTM BUCARAMANGA  PAPELERIA Y V</t>
  </si>
  <si>
    <t>FO-25-1522937</t>
  </si>
  <si>
    <t>13/09/2025 SE REALIZA VISITA AL COMERCIO CB, SE VALIDA Y SE ENCUENTRA QUE NO ESTABA TOMANDO CONEXIÓN A INTERNET, SE VALIDAN LAS CONEXIONES INTERNAS SE REINICIA MODEM Y SCWITH Y SE VUELVE A HABILITAR LA CONEXIÓN, SE HACEN PRUEBAS DE ADQUIRENCIA Y CB DEJANDO TODO OK FUNCIONANDO</t>
  </si>
  <si>
    <t>NNLZZ178</t>
  </si>
  <si>
    <t>BARRIO ALARCON BUCARAMANGA 4</t>
  </si>
  <si>
    <t>FO-25-1522906</t>
  </si>
  <si>
    <t>12/09/2025 SE ESCALA PARA VISITA. LLAMAR ANTES DE VISITAR, CONFIRMAR FALLA Y DATOS | 13/09/2025 SE VISITA COMERCIO , SE REINCIA MODEN DEL CLIENTE Y DATAFONO CONECTA A INTERNET NORMAL, SE HACEN PRUEBAS OK VISITA EXITOSA</t>
  </si>
  <si>
    <t>10LZZ916</t>
  </si>
  <si>
    <t>PTM BUCARAMANGA DESPENSA LA OR</t>
  </si>
  <si>
    <t>FO-25-1522592</t>
  </si>
  <si>
    <t>12/09/2025 SE ESCALA PARA VISITA. LLAMAR ANTES DE VISITAR, CONFIRMAR FALLA Y DATOS | 13/09/2025 SE REALIZA LLAMADA TELEFÓNICA AL NÚMERO 31276555843127655584  SE HABLA CON SEÑORA ISABEL MENDIETA QUIEN NOS INFORMA QUE EL DÍA DE AYER PRESENTÓ ERROR DE CONEXIÓN Y DEBIDO A ESO LE HICIERON MANTENIMIENTO AL CANAL DE EL COMERCIO AL FINALIZAR LA TARDE Y LE CAMBIARON EL CABLE DE INTERNET Y YA DESPUÉS DEJO DE SALIR EL ERROR Y YA ESTÁ TRABAJANDO CORRECTAMENTE POR LO ANTERIOR INDICA QUE NO ES NECESARIO LA VISITA TÉCNICA</t>
  </si>
  <si>
    <t>BARRIO VEREDA PORTACHUELO GIRA</t>
  </si>
  <si>
    <t>FO-25-1521240</t>
  </si>
  <si>
    <t>12/09/2025 SE ESCALA PARA VISITA. LLAMAR ANTES DE VISITAR, CONFIRMAR FALLA Y DATOS | 13/09/2025 SE LLEGA AL SITIO Y PERSONA QUE ATIENDE INDICA QUE YA LOS SERVICIOS ESTÁN FUNCIONANDO CORRECTAMENTE POR ENDE NO SE MANIPULA DATÁFONO NO HUBO LLAMADA DE CONFIRMACIÓN A LA LÍNEA DE ATENCIÓN</t>
  </si>
  <si>
    <t>9A002986</t>
  </si>
  <si>
    <t>DISTRICOL REDPAG QUINTAS</t>
  </si>
  <si>
    <t>FO-25-1521258</t>
  </si>
  <si>
    <t>12/09/2025 SE ESCALA PARA VISITA. LLAMAR ANTES DE VISITAR, CONFIRMAR FALLA Y DATOS | 13/09/2025 SE VISITA COMERCIO POR FALLO EN DATÁFONO NO IMPRIME NO HAY A CONEXIÓN A RED LECTORA NO ENCIENDE , AL LLEGAR AL PUNTO SE EVIDENCIAN CONEXIONES EN MAGICBOX INVERTIDAS POR ENDE NO ESTABA RECIBIENDO NINGUNA SEÑAL EL DATAFONO, SE PROCEDE A CONECTAR ADECUADAMENTE EL MAGICBOX Y SE COLOCA SEGURO DEL MISMO PARA EVITAR FUTURAS MANIPULACIONES ,SE REALIZAN LECTURAS DE PRUEBA OK Y SE COMPLETA ACTIVIDAD SIN MÁS NOVEDAD</t>
  </si>
  <si>
    <t>XPRZZ701</t>
  </si>
  <si>
    <t>BARRIO SANTA INES NEIVA 4</t>
  </si>
  <si>
    <t>FO-25-1520595</t>
  </si>
  <si>
    <t>12/09/2025 SE ESCALA PARA VISITA. LLAMAR ANTES DE VISITAR, CONFIRMAR FALLA Y DATOS | 13/09/2025 SE LLEGA AL PUNTO , SE REALIZA INICIALIZACIÓN DATAFONO, SE REALIZA PRUEBAS DE BANCO , DATAFONO OPERATIVO</t>
  </si>
  <si>
    <t>F1ZZZ695</t>
  </si>
  <si>
    <t>BARRIO SANTANDER VILLA DEL ROSARIO  3</t>
  </si>
  <si>
    <t>FO-25-1520602</t>
  </si>
  <si>
    <t>12/09/2025 SE ESCALA PARA VISITA. LLAMAR ANTES DE VISITAR, CONFIRMAR FALLA Y DATOS | 12/09/2025 SE REALIZA VISITA, SERVICIO SE ENCUENTRA OPERATIVO, COMERCIO CON FALLA DE INTERNET. SE REALIZAN PRUEBAS Y CIERRES OK</t>
  </si>
  <si>
    <t>FACZZ334</t>
  </si>
  <si>
    <t>COMCARD ITAGUI PAPELERIA ASTUR</t>
  </si>
  <si>
    <t>FO-25-1520605</t>
  </si>
  <si>
    <t>CONVENIOS NO HABILITADOS</t>
  </si>
  <si>
    <t>12/09/2025 SE ESCALA PARA VISITA. LLAMAR ANTES DE VISITAR, CONFIRMAR FALLA Y DATOS | 13/09/2025 SE REALIZÓ GESTIÓN TELEFÓNICA SE HABLO CON EL SEÑOR DAVID NOS INDICA QUE EL DATÁFONO SE ENCUENTRA FUNCIONANDO NORMALMENTE SE PROCEDE A CERRAR CASO</t>
  </si>
  <si>
    <t>BARRIO BELLO BELLO 21</t>
  </si>
  <si>
    <t>FO-25-1520626</t>
  </si>
  <si>
    <t>12/09/2025 SE ESCALA PARA VISITA. LLAMAR ANTES DE VISITAR, CONFIRMAR FALLA Y DATOS | 12/09/2025 USUARIA MANIFIESTA QUE EL SERVICIO YA SE RESTABLECIÓ Y ESTO ERA DEBIDO A UNA FALLA MASIVA.</t>
  </si>
  <si>
    <t>1000R467</t>
  </si>
  <si>
    <t>BARRIO LOS CEDROS NEIVA</t>
  </si>
  <si>
    <t>FO-25-1519840</t>
  </si>
  <si>
    <t>12/09/2025 SE ESCALA PARA VISITA. LLAMAR ANTES DE VISITAR, CONFIRMAR FALLA Y DATOS | 13/09/2025 SE LLEGA AL PUNTO , CLIENTE INDICA DATAFONO ESTÁ OPERANDO NORMAL .</t>
  </si>
  <si>
    <t>V6ZZZ838</t>
  </si>
  <si>
    <t>DISTRICOL DROGUERIA LA CAMPINA</t>
  </si>
  <si>
    <t>FO-25-1518810</t>
  </si>
  <si>
    <t>12/09/2025 SE ESCALA PARA VISITA. LLAMAR ANTES DE VISITAR, CONFIRMAR FALLA Y DATOS | 12/09/2025 EN COMUNICACIÓN CON LA SEÑORA YAMILE GUTIERREZ AL NUMERO 3223750609, SE ORIENTA PARA EL CORRECTO AJUSTE DE LA TAPA DE IMPRESION, SE LE INDICA QUE NO DEBE RETIRAR LA BATERIA Y QUE ESTA DEBE ESTAR SIEMPRE CONECTADA. INDICA OPERATIVO EL SERVICIO.</t>
  </si>
  <si>
    <t>BERNAL ELAICA EDGAR ALEXIS</t>
  </si>
  <si>
    <t>FO-25-1518815</t>
  </si>
  <si>
    <t>12/09/2025 SE ESCALA PARA VISITA. LLAMAR ANTES DE VISITAR, CONFIRMAR FALLA Y DATOS | 12/09/2025 EN COMUNICACIÓN CON LA SEÑORA ISABEL MENDIETA AL NÚMERO 3127655584 NOS INDICA QUE NO ES NECESARIO REALIZAR LA VISITA TÉCNICA DEBIDO A QUE ERA UNA FALLA DEL OPERADOR DEL INTERNET ?</t>
  </si>
  <si>
    <t>MARIÑO PABON JORGE ENRIQUE</t>
  </si>
  <si>
    <t>DISTRICOL MASPAGOS</t>
  </si>
  <si>
    <t>FO-25-1517284</t>
  </si>
  <si>
    <t>11/09/2025 SE ESCALA PARA VISITA. LLAMAR ANTES DE VISITAR, CONFIRMAR FALLA Y DATOS | 12/09/2025 SE LLEGA A LA DIRECCIÓN DEL CB Y ESTÁ CERRADO. SE LLAMA AL NÚMERO DE CONTACTO 3167628360 Y ESTÁ APAGADO.</t>
  </si>
  <si>
    <t>BARRIO BELLO BELLO 15</t>
  </si>
  <si>
    <t>FO-25-1517086</t>
  </si>
  <si>
    <t>11/09/2025 SE ESCALA PARA VISITA. LLAMAR ANTES DE VISITAR, CONFIRMAR FALLA Y DATOS | 12/09/2025 SE LLEGA AL SITIO, SE IDENTIFICA QUE CB ESTA MIGRADO A WOMPI, POR LO CUAL INCIDENTE NO APLICA PARA DATAFONO REDEBAN. SE CIERRA INCIDENTE.</t>
  </si>
  <si>
    <t>NN006458</t>
  </si>
  <si>
    <t>DISTRICOL EL CORALAZO</t>
  </si>
  <si>
    <t>FO-25-1513818</t>
  </si>
  <si>
    <t>11/09/2025 SE ESCALA PARA VISITA. LLAMAR ANTES DE VISITAR, CONFIRMAR FALLA Y DATOS | 11/09/2025 VISITAMOS COMERCIO EL DATÁFONO ARROJA ERROR EN CONEXIÓN VERIFICAMOS DATÁFONO Y CABLEADO Y TODO ESTA BIEN ENCONTRAMOS QUE LOS PUERTOS DEL MÓDEM NO ESTÁ FUNCIONANDO LE EXPLICAMOS AL CLIENTE QUE SE DEBE COMUNICAR CON EL PROVEEDOR DE SERVICIO PARA QUE LE SOLUCIONEN LA FALLA NO ES POSIBLE HACER PRUEBAS EXITOSAS YA QUE NO TIENEN INTERNET.</t>
  </si>
  <si>
    <t>KA00M299</t>
  </si>
  <si>
    <t>BARRIO LA ESPERANZA CHIQUINQUI</t>
  </si>
  <si>
    <t>FO-25-1513874</t>
  </si>
  <si>
    <t>11/09/2025 SE ESCALA PARA VISITA. LLAMAR ANTES DE VISITAR, CONFIRMAR FALLA Y DATOS | 12/09/2025 COMUNICACION CON LA SEÑORA MARYCELA AL NÚMERO TELEFÓNICO 3107615880 INDICA ATENCION EN HORA A.M YA QUE EN LA TARDE NO TIENE DISPONIBILIDAD | 12/09/2025 SE VISITA CB PARA REALIZAR MANTENIMIENTO A POS...CLIENTE NO CUENTA CON SERVICIO DE INTERNET EN CB</t>
  </si>
  <si>
    <t>SV003245</t>
  </si>
  <si>
    <t>FO-25-1513363</t>
  </si>
  <si>
    <t>11/09/2025 SE ESCALA PARA VISITA. LLAMAR ANTES DE VISITAR, CONFIRMAR FALLA Y DATOS | 12/09/2025 SE LLEGA A SITIO, CLIENTE ESTABA REALIZANDO EQUIVOCADAMENTE EL PROCESO DE ANULACIÓN, SE LE EXPLICA EL PROCESO.</t>
  </si>
  <si>
    <t>A00JZ024</t>
  </si>
  <si>
    <t>DIAZ VARGAS JONATHAN MIGUEL</t>
  </si>
  <si>
    <t>MULTIPAGAS LA VIRGINIA</t>
  </si>
  <si>
    <t>FO-25-1513369</t>
  </si>
  <si>
    <t>11/09/2025 SE ESCALA PARA VISITA. LLAMAR ANTES DE VISITAR, CONFIRMAR FALLA Y DATOS | 11/09/2025 VISITAMOS COMERCIO UNO DE LOS PIN PAD NO ENCIENDE REVISAMOS CABLEADO Y ENCONTRAMOS QUE ESTÁN MAL CONECTADOS REALIZAMOS CAMBIO DE HUB YA QUE NO FUNCIONAN LOS PUERTOS.</t>
  </si>
  <si>
    <t>TR003885</t>
  </si>
  <si>
    <t>BARRIO CONCOR MALAMBO 4</t>
  </si>
  <si>
    <t>FO-25-1513396</t>
  </si>
  <si>
    <t>11/09/2025 SE ESCALA PARA VISITA. LLAMAR ANTES DE VISITAR, CONFIRMAR FALLA Y DATOS | 11/09/2025 SE LLEGA A AL SITIO PORQUE CLIENTE DICE QUE SE QUEDÓ SIN CONEXIÓN POR 45 MINUTOS, SE HACE REVISIÓN DEL CABLEADO EL DATAFONO Y SE EVIDENCIA QUE TODO ESTÁ OK , SE ESPERA EN SITIO MIENTRAS CLIENTE HACE TRANSACCIONES Y TODO ESTÁ OK
AL PARECER FUE UNA FALLA DEL CANAL DE COMUNICACIÓN DEL CB</t>
  </si>
  <si>
    <t>F7ZZZ995</t>
  </si>
  <si>
    <t>BARRIO SAN FRANCISCO LA LLANAD</t>
  </si>
  <si>
    <t>FO-25-1513417</t>
  </si>
  <si>
    <t>11/09/2025 SE ESCALA PARA VISITA. LLAMAR ANTES DE VISITAR, CONFIRMAR FALLA Y DATOS | 13/09/2025 SE VALIDA CON EL CLIENTE Y SE ENCUENTRA QUE ESTABA FALLANDO EL INTERNET DEL CLIENTE,  EL CLIENTE PIDIO REVISION DEL INTERNET , YA LE ARREGLARON Y YA EL DATAFONO ESTA FUNCIONANDO SIN PROBLEMA.</t>
  </si>
  <si>
    <t>BARRIO CHAGUALO MEDELLIN 4</t>
  </si>
  <si>
    <t>FO-25-1509587</t>
  </si>
  <si>
    <t>10/09/2025 SE ESCALA PARA VISITA. LLAMAR ANTES DE VISITAR, CONFIRMAR FALLA Y DATOS | 11/09/2025 SE LLEGA AL SITIO, SE VERIFICAN SERVICIOS Y ESTÁN FUNCIONANDO CORRECTAMENTE, USUARIO INFORMA QUE EL DÍA DE AYER LOS 3 CUADRITOS DE LA PARTE SUPERIOR IZQUIERDA DE LA PANTALLA DEL DATÁFONO ESTABAN EN COLOR NARANJA, LO CUAL INDICA QUE EL DATÁFONO NO ESTÁ RECIBIENDO COMUNICACION DEL INTERNET, SERVICIOS EL DÍAS DE HOY ESTÁN OK</t>
  </si>
  <si>
    <t>F8ZZZ013</t>
  </si>
  <si>
    <t>PTM MEDELLIN SENTIR SALUD</t>
  </si>
  <si>
    <t>FO-25-1509599</t>
  </si>
  <si>
    <t>10/09/2025 SE ESCALA PARA VISITA. LLAMAR ANTES DE VISITAR, CONFIRMAR FALLA Y DATOS | 11/09/2025 SE REALIZÓ REVISIÓN GENERAL DEL DATÁFONO, SE EXPLICA COMO SE UTILIZA CORRECTAMENTE POS FUNCIONANDO NORMALMENTE SE PROCEDE A CERRAR CASO</t>
  </si>
  <si>
    <t>V1ZZZ961</t>
  </si>
  <si>
    <t>ARA0204 TURBACO CALLE REAL</t>
  </si>
  <si>
    <t>FO-25-1508718</t>
  </si>
  <si>
    <t>10/09/2025 SE ESCALA CASO ARA A LA RED *RESPUESTA DE LA RED: TU SOLICITUD REFERENTE A GENERACIÓN DE CASOS CB ARA BANCOLOMBIA QUEDÓ RADICADA BAJO EL TICKET NÚMERO 5794241 AL ÁREA ENCARGADA. | 11/09/2025 SE ESCALA CASO ARA A LA RED ..SE CIERRA YA QUE NO ATENDEMOS COMERCIOS ARA *RESPUESTA DE LA RED: TU SOLICITUD REFERENTE A GENERACIÓN DE CASOS CB ARA BANCOLOMBIA QUEDÓ RADICADA BAJO EL TICKET NÚMERO 5794241 AL ÁREA ENCARGADA.</t>
  </si>
  <si>
    <t>AYALA ROMERO MAYKOL DANILO</t>
  </si>
  <si>
    <t>COMCARD SABANETA HENAYGO</t>
  </si>
  <si>
    <t>FO-25-1508680</t>
  </si>
  <si>
    <t>10/09/2025 SE REALIZA CONTACTO TELEFÓNICO CON LA SRA TATIANA, QUIEN REPORTA SONIDO INUSUAL EN EL DATÁFONO. SE VALIDA QUE EL EQUIPO OPERA CON NORMALIDAD Y PERMITE REALIZAR TRANSACCIONES SIN INCONVENIENTES. USUARIO CONFIRMA QUE NO ES NECESARIA LA VISITA YA QUE PUEDE TRABAJAR SIN PROBLEMAS</t>
  </si>
  <si>
    <t>HERNANDEZ CHAVARRIA JUAN CAMILO</t>
  </si>
  <si>
    <t>FO-25-1505911</t>
  </si>
  <si>
    <t>10/09/2025 SE ESCALA PARA VISITA. LLAMAR ANTES DE VISITAR, CONFIRMAR FALLA Y DATOS | 11/09/2025 SE ESTABLECE COMUNICACIÓN CON LA SEÑORA  SANDRA OJEDA BELLO AL NÚMERO DE CONTACTO REGISTRADO 3143427809 SE LE BRINDA SOPORTE TELEFÓNICO ROUTER DE INTERNET DESCONFIGURADO POR CAMBIO DE CLAVE DEL ROUTER PRINCIPAL DEL COMERCIO SE VALIDA CONEXIÓN TODO OK SIN PRUEBA EXITOSA CB BLOQUEADO POR EL USUARIO POR INACTIVIDAD CLIENTE INDICA QUE EL DÍA DE HOY VA A RELIZAR LA SOLICITUD CON LA ENTIDAD PARA QUE LO ACTIVEN NUEVAMENTE SE LE INDICA QUE SE PROCEDERÁ CON EL CIERRE DE LA ORDEN CLIENTE CONFORME.</t>
  </si>
  <si>
    <t>SANTA LUCIA MEDELLIN 2SANTA LU</t>
  </si>
  <si>
    <t>FO-25-1509608</t>
  </si>
  <si>
    <t>10/09/2025 SE ESCALO EL CASO CON DANIELA CORREA PARA VALIDAR LA RED YA QUE APARECE MIGRADO PERO SEGUN LA FALLA ES RBM, CONFIRMA ATENCION DE RBM A LAS 12:35 PM | 10/09/2025 SE HABLA CON SEÑORA DIANA, SE VERIFICA INGRESO Y REALIZACION DE PRUEBA Y EQUIPO ESTÁ FUNCIONAL, ESTABAN TRABAJANDO CON OTRO EQUIPO Y NO HABÍAN PROBADO ESSTE, SE DA INDICACION PARA PROBAR Y FUNCIONA SIN NOVEDAD. CB OPERATIVO. SE CIERRA INCIDENTE.</t>
  </si>
  <si>
    <t>DISTRICOL LA CASA D MASCOTAS W</t>
  </si>
  <si>
    <t>FO-25-1505684</t>
  </si>
  <si>
    <t>10/09/2025 SE REVISA EQUIPO, YA QUE SE TILDA SE REALIZA MANTENIMIENTO Y LIMPIEZA YA QUE SE ENCUENTRABA CON PONGO DETRÁS DEL EQUIPO SE REALIZA VARIAS PRUEBAS EXITOSAS SERVICIO OPERATIVO</t>
  </si>
  <si>
    <t>A303Z045</t>
  </si>
  <si>
    <t>BARRIO LAS AMERICAS BUCARAMANGA</t>
  </si>
  <si>
    <t>FO-25-1505093</t>
  </si>
  <si>
    <t>09/09/2025 SE ESCALA PARA VISITA. LLAMAR ANTES DE VISITAR, CONFIRMAR FALLA Y DATOS | 10/09/2025 SE REALIZA VERIFICACIÓN DEL SERVICIO ENCONTRANDO EL SERVICIO OPERATIVO CLIENTA CONFIRMA FALLA CON EL CANAL DE COMUNICACIÓN DEL COMERCIO LO CUAL AFECTA LA OPERATIVIDAD NORMAL DEL COMERCIO CON INTERMITENCIA SERVICIO OPERATIVO</t>
  </si>
  <si>
    <t>LDZZZ368</t>
  </si>
  <si>
    <t>GUA MA A   A INO</t>
  </si>
  <si>
    <t>FO-25-1504999</t>
  </si>
  <si>
    <t>09/09/2025 SE ESCALA PARA VISITA. LLAMAR ANTES DE VISITAR, CONFIRMAR FALLA Y DATOS | 10/09/2025 SE HABLA TELEFONICAMENTE CON EL CLIENTE QUIEN INDICA QUE EL DAÑO ERA EL INTERENET, QUE DESPUES DE MEDIA HORA EL INTERNET SE RESTABLECIO Y YA ESTA LABORANDO NORMAL</t>
  </si>
  <si>
    <t>BARRIO CARLET BOGOTA</t>
  </si>
  <si>
    <t>FO-25-1505013</t>
  </si>
  <si>
    <t>09/09/2025 SE ESCALA PARA VISITA. LLAMAR ANTES DE VISITAR, CONFIRMAR FALLA Y DATOS | 10/09/2025 DURANTE LA VISITA TECNICA PARA ATENDER INCIDENTE REPORTADO POR CORRESPONSAL POR LECTOR DE BARRAS, CORRESPONSAL NOS INFORMA QUE LECTOR NO LE PERMITE LA LECTURA DE FACTURAS DE ENEL CODENSA SE BRINDA INFORMACIÓN INDICADOLE QUE ESTE TIPOS DE FACTURAS NO SE ENCUENTRAN HABILITADAS POR EL LECTOR DE BARRAS SI NO DE FORMA MANUAL, CON EL CONVENIO 92707 Y LA REFERENCIA DE PAGO QUE ENCUENTRA EN EL RECIBO DE IGUAL FORMA SE REALIZA CAPACITACIÓN DE LA FORMA CORRECTA PARA PAGAR FACTURAS POR RECIBOS IMPRESOS LOS CUALES DEBEN SER EN LASER O PDF POR EL CELULAR O DE FORMA MANUAL EL CUAL LOS CONVENIOS LOS DEBE INDICAR EL CLIENTE CON LA REFERENCIA Y EL VALOR A PAGAR COMERCIO  SALDO OK A CONFORMIDAD DE CORRESPONSAL</t>
  </si>
  <si>
    <t>FAZZZ493</t>
  </si>
  <si>
    <t>BARRIO ENCISO MEDELLIN 21</t>
  </si>
  <si>
    <t>FO-25-1503424</t>
  </si>
  <si>
    <t>09/09/2025 SE ESCALA PARA VISITA. LLAMAR ANTES DE VISITAR, CONFIRMAR FALLA Y DATOS | 10/09/2025 ESTAMOS EN SITIO HACE UNA HORA. OPERARIA INFORMÓ QUE ESTÁN SIN INTERNET DESDE ESTA MAÑANA Y NO HA SUBIDO EL SERVICIO. ESTÁ EN CONFIRMACION CON EL PROVEEDOR PARA SABER SI SOLUCIONAN HOY LA NOVEDAD. | 10/09/2025 SE LLEGA AL PUNTO Y LA CLIENTA INDICA QUE NO HAY RED DESDE LA MAÑANA Y NO SE SABE A QUÉ HORA VUELVE | 10/09/2025 SE LLEGA AL PUNTO Y LA CLIENTA INDICA QUE NO HAY RED DESDE LA MAÑANA Y NO SE SABE A QUÉ HORA VUELVE</t>
  </si>
  <si>
    <t>DISTRICOL NIZA COMUNICACIONES</t>
  </si>
  <si>
    <t>FO-25-1502420</t>
  </si>
  <si>
    <t>09/09/2025 SE ESCALA PARA VISITA. LLAMAR ANTES DE VISITAR, CONFIRMAR FALLA Y DATOS | 10/09/2025 EN SITIO DESDE LAS 10:22 COMO SE REGISTRO EN SYTEX, POR INCONSISTENCIAS EN DIRECCIÓN SE REALIZÓ ESCALAMIENTO A REDEBAN, EN SITIO TRABAJANDO EN LA SOLUCIÓN. | 10/09/2025 SE REALIZA EXPLICACIÓN AL CLIENTE DE QUE LOS RECAUDOS DE ENEL SE HACEN POR CONVENIO Y REFERENCIA, SE REALIZA INICIALIZACION DEL DATAFONO PARA ACTUALIZAR DIRECCIÓN DE VOUCHER, PRUEBAS OK, ANTES DE INICIALIZAR SE REALIZA CIERRE PARCIAL Y SALE EN 0, EL CB LLEVABA 12 TX, SE INFORMA A PAOLA DE REDEBAN, LUEGO DE INICIALIZAR EL CB REALIZA UNA TRANSACCIÓN MÁS Y AL REALIZAR CIERRE PARCIAL APARECEN LAS TX INCOMPLETAS, SE REPORTA A PAOLA DE REDEBAN</t>
  </si>
  <si>
    <t>SDZZZ943</t>
  </si>
  <si>
    <t>MURCIA HERNANDEZ HARVEY IGNACIO</t>
  </si>
  <si>
    <t>FO-25-1502432</t>
  </si>
  <si>
    <t>09/09/2025 SE ESCALA PARA VISITA. LLAMAR ANTES DE VISITAR, CONFIRMAR FALLA Y DATOS | 09/09/2025 SE LLEGA AL PUNTO PERO CLIENTE INDICA QUE FUE UN ERROR Q SE DIÓ SOLO EN LA MAÑANA Y YA NO LE ESTÁ MOLESTANDO Y NO NECESITA VISITA</t>
  </si>
  <si>
    <t>ALVAREZ ARENAS VICTOR HUGO</t>
  </si>
  <si>
    <t>REVAL MAYORCA 3</t>
  </si>
  <si>
    <t>FO-25-1500791</t>
  </si>
  <si>
    <t>09/09/2025 SE CAMBIA MAGIC BOX</t>
  </si>
  <si>
    <t>A30DZ524</t>
  </si>
  <si>
    <t>PTM ENVIGADO CARRETILLA</t>
  </si>
  <si>
    <t>FO-25-1500197</t>
  </si>
  <si>
    <t>09/09/2025 SE ESCALA PARA VISITA. LLAMAR ANTES DE VISITAR, CONFIRMAR FALLA Y DATOS | 09/09/2025 SE LE INDICA AL USUARIO COMO HACER CORRECTAMENTE EL CIERRE</t>
  </si>
  <si>
    <t>GZ05Z881</t>
  </si>
  <si>
    <t>BARRIO EDMUNDO LOPEZ MONTERIA</t>
  </si>
  <si>
    <t>FO-25-1500201</t>
  </si>
  <si>
    <t>09/09/2025 SE ESCALA PARA VISITA. LLAMAR ANTES DE VISITAR, CONFIRMAR FALLA Y DATOS | 09/09/2025 SE REALIZA VISITA AL COMERCIO, SE VERIFICA EL DATAFONO SE ENCUENTRA OPERATIVO ENCARGADO MANIFIESTA EN EL MOMENTO DE COMENZAR LA OPERACIÓN DEL CB SALIO UNA ALERTA EN EL DATAFONO, LA ALERTA SOLO INDICABA TECLADO BLOQUEADO, SE REALIZAN PRUEBAS OK, PRUEBA EN LECTORA OK CB OPERANDO CON NORMALIDAD.</t>
  </si>
  <si>
    <t>GZ00X527</t>
  </si>
  <si>
    <t>ARRAZOLA HERNANDEZ NICOLAS AUGUSTO</t>
  </si>
  <si>
    <t>BARRIO BOTERO SINCELEJO</t>
  </si>
  <si>
    <t>FO-25-1499880</t>
  </si>
  <si>
    <t>09/09/2025 SE ESCALA PARA VISITA. LLAMAR ANTES DE VISITAR, CONFIRMAR FALLA Y DATOS | 09/09/2025 EN COMUNICACIÓN CON LA SEÑORA ANNY GALEANO ME INFORMA QUE LA FALLA SE DEBÍA AL INTERNET DEL COMERCIO, PERO QUE YA SE ENCUENTRA FUNCIONANDO CORRECTAMENTE.</t>
  </si>
  <si>
    <t>CACERES HERNANDEZ ANDRES</t>
  </si>
  <si>
    <t>DISTRICOL COMUNICACIONES JESAU</t>
  </si>
  <si>
    <t>FO-25-1499888</t>
  </si>
  <si>
    <t>09/09/2025 SE ESCALA PARA VISITA. LLAMAR ANTES DE VISITAR, CONFIRMAR FALLA Y DATOS | 10/09/2025 DURANTE LA VISITA TECNICA PARA ATENDER INCIDENTE REPORTADO POR CORRESPONSAL BANCARIO, CORRESPONSAL NOS INDICA QUE EL DAÑO YA FUE SOLUCIONADO,  SE HACEN PRUEBAS CONFIRMANDO QUE SERVICIO SE ENCUENTRA FUNCIONAL Y OPERATIVO A CONFORMIDAD DEL CB SIN NOVEDAD EN EL INCIDENTE SALDO OK</t>
  </si>
  <si>
    <t>FFZZZ052</t>
  </si>
  <si>
    <t>BARRIO SINCELEJO SUCRE</t>
  </si>
  <si>
    <t>FO-25-1498510</t>
  </si>
  <si>
    <t>08/09/2025 SE ESCALA PARA VISITA. LLAMAR ANTES DE VISITAR, CONFIRMAR FALLA Y DATOS | 09/09/2025 EN COMUNICACIÓN CON LA SEÑORA MARÍA FERNANDA HERRERA ME INFORMA QUE EL DÍA DE AYER NO LE ENCENDÍA EL PIN PAD, VERIFICARON LAS CONEXIONES DEL COMERCIO Y ENCENDIÓ EL EQUIPO, INDICA QUE EL SERVICIO SE ENCUENTRA FUNCIONANDO CORRECTAMENTE.</t>
  </si>
  <si>
    <t>BARRIO BOYACA LAS BRISAS MEDEL</t>
  </si>
  <si>
    <t>FO-25-1495421</t>
  </si>
  <si>
    <t>08/09/2025 SE ESCALA PARA VISITA. LLAMAR ANTES DE VISITAR, CONFIRMAR FALLA Y DATOS | 08/09/2025 SE LLEGA AL PUNTO EL CLIENTE NO PUEDE ATENDER Y SE NIEGA A FIRMAR EL FORMULARIO PORQUE  SALE A UNA CITA MEDEDICA</t>
  </si>
  <si>
    <t>DISRICOL PREMIUM CELL LA 97</t>
  </si>
  <si>
    <t>FO-25-1493701</t>
  </si>
  <si>
    <t>08/09/2025 SE ESCALA PARA VISITA. LLAMAR ANTES DE VISITAR, CONFIRMAR FALLA Y DATOS | 08/09/2025 SE HABLA CON USUARIA, INFORMA QUE DESCONECTÓ EL DATAFONO Y ESTA TRABAJANDO CON EL OTRO, SE LE INDICA CONECTAR EL EQUIPO, SE REALIZA PRUEBA Y FUNCIONA CORRECTAMENTE. CB ESTÁ OPERATIVO, SE CIERRA INCIDENTE.</t>
  </si>
  <si>
    <t>BARRIO CENTRO III SAMPUES</t>
  </si>
  <si>
    <t>FO-25-1493792</t>
  </si>
  <si>
    <t>08/09/2025 SE ESCALA PARA VISITA. LLAMAR ANTES DE VISITAR, CONFIRMAR FALLA Y DATOS | 08/09/2025 SE VISITA SITIO, SE VERIFICA INFORMACIÓN SE REALIZA PRIMEROS AUXILIOS, SE CAMBIA CLAVE SUPERVISOR, SE REINICIA PARAMETROS Y SE REPISA TERMINAL, TECLADO OK, IMPRESIÓN OK, LECTOR DE CHIP OK, CÓDIGO DE BARRAS OK, PRUEBA TRX EXITOSA.</t>
  </si>
  <si>
    <t>ABC0W814</t>
  </si>
  <si>
    <t>BARRIO RINCON SANTO LA MESA</t>
  </si>
  <si>
    <t>FO-25-1493061</t>
  </si>
  <si>
    <t>09/09/2025 SE LLEGA A DIRECCIÓN PARA ATENDER INCIDENTE NOS ATIENDE LA SEÑORITA VALENTINA QUIEN INDICA EL SERVICIO ESTÁ OPERATIVO LA FALLA ERA QUE ESTABAN SUPERANDO EL MONTO DEL CUPO NO SE MANIPULA TERMINAL DE DEJA EVIDENCIA FOTOGRÁFICA</t>
  </si>
  <si>
    <t>F1ZZZ727</t>
  </si>
  <si>
    <t>BARRIO BRASILIA PLANETA RICA 2</t>
  </si>
  <si>
    <t>FO-25-1492921</t>
  </si>
  <si>
    <t>08/09/2025 SE ESCALA PARA VISITA. LLAMAR ANTES DE VISITAR, CONFIRMAR FALLA Y DATOS | 08/09/2025 SE ENCUENTRA DATAFONO FUNCIONANDO CORRECTAMENTE, SE REALIZAN PRUEBAS OK</t>
  </si>
  <si>
    <t>F1ZZZ759</t>
  </si>
  <si>
    <t>COGOLLO ROSSO CAMILO ANDRES</t>
  </si>
  <si>
    <t>DISTRICOL KAROLAY PLATINUM</t>
  </si>
  <si>
    <t>FO-25-1492928</t>
  </si>
  <si>
    <t>08/09/2025 SE ESCALA PARA VISITA. LLAMAR ANTES DE VISITAR, CONFIRMAR FALLA Y DATOS | 08/09/2025 EN COMUNICACIÓN CON EL CLIENTE AL NÚMERO CELULAR 3102125826 SEÑORA KAROL CIFUENTES INDICA QUE NO REQUIERE VISITA TÉCNICA YA QUE EL PUNTO  CB SE ENCUENTRA TRABAJANDO CORRECTAMENTE Y OPERATIVO, INDICA QUE CUALQUIER NOVEDAD SE COMUNICA NUEVAMENTE CON LA LINEA NACIONAL DE BANCOLOMBIA, CLIENTE COMPARTE BAUCHE DE PRUEBA DEL CORRESPONSAL OPERATIVO</t>
  </si>
  <si>
    <t>DISTRICOL GRANERO CIENTO ONCE</t>
  </si>
  <si>
    <t>FO-25-1492117</t>
  </si>
  <si>
    <t>09/07/2025 SE ESCALA PARA VISITA. LLAMAR ANTES DE VISITAR, CONFIRMAR FALLA Y DATOS | 08/09/2025 SE LE INFORMA A CLIENTE QUE NO SE LE PUEDE CAMBIAR DATAFONO NUEVO POR EL TECLADO, SE LE EXPLICA QUE CON EL TIEMPO EL TECLADO ABLANDA.</t>
  </si>
  <si>
    <t>DISTRICOL EDS AFAS</t>
  </si>
  <si>
    <t>FO-25-1492128</t>
  </si>
  <si>
    <t>09/07/2025 SE ESCALA PARA VISITA. LLAMAR ANTES DE VISITAR, CONFIRMAR FALLA Y DATOS | 08/09/2025 SE DETECTA QUE EL DAÑO LO TIENEN EL CANAL DEL COMERCIO SE LE EXPLICA AL CLIENTE EL PROBLEMA EN EL MOMENTO EST A FUNCIONANDO BIEN TODO OK</t>
  </si>
  <si>
    <t>9C00I728</t>
  </si>
  <si>
    <t>DISTRICOL MERAQUI AUTOSERVICIO</t>
  </si>
  <si>
    <t>FO-25-1490396</t>
  </si>
  <si>
    <t>06/09/2025 SE ESCALA PARA VISITA. LLAMAR ANTES DE VISITAR, CONFIRMAR FALLA Y DATOS | 07/09/2025 SE PROGRAMA VISITA PARA MAÑANA LUNES, YA QUE EL CORRESPONSAL NO LABORA HOY, | 08/09/2025 SE VISITA CB. CLIENTE INFORMA QUE EL DATAFONO DÍAS ANTES NO LE IMPRIMÍA BIEN,PERO LE MOVIÓ ALGO EN LA IMPRESORA Y QUEDÓ OK. CLIENTE INFORMA QUE NO ES NECESARIO REVISAR EQUIPO</t>
  </si>
  <si>
    <t>MNPZZ724</t>
  </si>
  <si>
    <t>BARRIO CGT VALLE SECTOR PARQUE</t>
  </si>
  <si>
    <t>FO-25-1489763</t>
  </si>
  <si>
    <t>06/09/2025 SE REALIZA CONTACTO TELEFONICO CON LA SRA CAROLINA GOMEZ AL 3103759563 INDICA QUE EL DATAFONO SE DEMORA MUCHO EN IMPRIMIR CIERRES MAS DE UNA HORA, SE HACEN VALIDACIONES Y SE ESCALA PARA VISITA INDICA LLAMAR ANTES DE DESPLAZARSE YA QUE EL CB QUEDA 1 HORA ANTES DE TOLEDO Y POR EL NOMBRE DEL CB PUEDEN PASARSE DE DONDE QUEDA EL PUNTO | 08/09/2025 SE CONVERSA CON LA SEÑORA CAROLINA E INDICA QUE TODOS LOS DIAS HACE CIERRES Y CADA 8 DIAS LLAMA A LA MESA DE APOYO PARA QUE LE AYUDEN CON EL BORRADO DE MEMORIA Y ASÍ FUNCIONA BIEN, SE LE INDICA QUE SIGA ESTE PROCESO</t>
  </si>
  <si>
    <t>BARRIO SANTA BARBARA 2 VILLA D</t>
  </si>
  <si>
    <t>FO-25-1489772</t>
  </si>
  <si>
    <t>06/09/2025 SE ESCALA PARA VISITA. LLAMAR ANTES DE VISITAR, CONFIRMAR FALLA Y DATOS | 07/09/2025 SE CONTACTA TELEFÓNICAMENTE AL CLIENTE, SE LE INFORMA A LA SEÑORA JUDITH BLANCO, QUE NO SE CUENTA CON SOPORTE PARA CAMBIO DE EQUIPO Y SE DEBE AGENDAR LA VISITA PARA EL DÍA DE MAÑANA 08/09.
3114549955 | 08/09/2025 SE REALIZÓ VISITA AL COMERCIO Y SE REALIZA MANTENIMIENTO GENERAL, SE REALIZAN PRUEBAS EXITOSAS</t>
  </si>
  <si>
    <t>BL01Y205</t>
  </si>
  <si>
    <t>BARRIO SAN MIGUEL II</t>
  </si>
  <si>
    <t>FO-25-1488406</t>
  </si>
  <si>
    <t>06/09/2025 SE ESCALA PARA VISITA. LLAMAR ANTES DE VISITAR, CONFIRMAR FALLA Y DATOS | 06/09/2025 SE REALIZA LLAMADA DE VALIDACIÓN PARA ATENCIÓN DE INCIDENTE, SE HABLA CON EL SR. OLVEIN FLÓREZ, SE REALIZA PRUEBAS AL DATAFONO OK, SE VALIDA USUARIOS EXISTENTES Y CON ACCESO A MODULO CB, SE INDICA LA FORMA CORRECTA DE GENERAR DUPLICADOS Y CIERRES, CLAVE SUPERVISOR CORRECTA Y OPERATIVA.</t>
  </si>
  <si>
    <t>BARRIO CAMBULOS II NEIVA</t>
  </si>
  <si>
    <t>FO-25-1487576</t>
  </si>
  <si>
    <t>06/09/2025 SE REALIZA CAMBIO FUENTE DE PODER Y CABLE MAGIC BOX , LOS ANTERIORES ESTABA DETERIORADOS , SE REALIZA PRUEBAS OK,SE INSTALAN TORNILLOS A LAS LECTORAS DE BARRAS JUNTO A LAS BASES .</t>
  </si>
  <si>
    <t>GB0HZ778-A00JZ235</t>
  </si>
  <si>
    <t>PENOL   ANTIOQUIA 1</t>
  </si>
  <si>
    <t>FO-25-1486338</t>
  </si>
  <si>
    <t>05/09/2025 SE ESCALA PARA VISITA. LLAMAR ANTES DE VISITAR, CONFIRMAR FALLA Y DATOS | 06/09/2025 SE COMUNICA CON CLIENTE E INFORMA QUE FALLA PERTENECÍA AL CANAL INTERNO, EQUIPO FUNCIONANDO CORRECTAMENTE, SE CIERRA VISITA</t>
  </si>
  <si>
    <t>PTM VILLA DEL ROSARIO TIENDA D</t>
  </si>
  <si>
    <t>FO-25-1484043</t>
  </si>
  <si>
    <t>06/09/2025 SE REALIZÓ VISITA AL COMERCIO Y DATAFONO SE ENCUENTRA SIN CONEXIÓN A INTERNET, SE VERIFICAN CONEXIONES Y SE ENCUENTRA QUE EL ROUTER TIENE LOS PUERTOS DAÑADOS. QUEDÓ SIN CONEXIÓN A INTERNET, CONEXIONES DEL COMERCIO.</t>
  </si>
  <si>
    <t>TWZZZ084</t>
  </si>
  <si>
    <t>BARRIO CALLE DEL COMERCIO SAN</t>
  </si>
  <si>
    <t>FO-25-1483484</t>
  </si>
  <si>
    <t>05/09/2025 SE ESCALA PARA VISITA. LLAMAR ANTES DE VISITAR, CONFIRMAR FALLA Y DATOS | 06/09/2025 SE INDICA A CLIENTE QUE DEBE REALIZAR CIERRE 2 O 3 VECES HASTA QUE EL DATÁFONO DE EL MENSAJE SIN TRANSACCIONES</t>
  </si>
  <si>
    <t>BARRIO OTRO SAN ANDRES DE SOTA</t>
  </si>
  <si>
    <t>FO-25-1480602</t>
  </si>
  <si>
    <t>04/09/2025 SE ESCALA PARA VISITA. LLAMAR ANTES DE VISITAR, CONFIRMAR FALLA Y DATOS | 05/09/2025 SE VISITA SITIO, SE VERIFICA INFORMACIÓN SE REALIZA PRIMEROS AUXILIOS, SE CAMBIA CLAVE SUPERVISOR, SE REINICIA PARAMETROS Y SE REPISA TERMINAL, TECLADO OK, IMPRESIÓN OK, LECTOR DE CHIP OK, CÓDIGO DE BARRAS OK, PRUEBA TRX EXITOSA.</t>
  </si>
  <si>
    <t>SX0GZ313</t>
  </si>
  <si>
    <t>DISTRICOL CELULARES XIMENA</t>
  </si>
  <si>
    <t>FO-25-1480294</t>
  </si>
  <si>
    <t>04/09/2025 SE ESCALA PARA VISITA. LLAMAR ANTES DE VISITAR, CONFIRMAR FALLA Y DATOS | 05/09/2025 SE LE INFORMA A CLIENTE QUE DATAFONO ESTA BUENO SE REALIZAN PRUEBAS Y TIRILLAS SALEN BIEN.</t>
  </si>
  <si>
    <t>HA007027</t>
  </si>
  <si>
    <t>DISTRICOL LUXURY TECH HUB</t>
  </si>
  <si>
    <t>FO-25-1479104</t>
  </si>
  <si>
    <t>04/09/2025 SE ESCALA PARA VISITA. LLAMAR ANTES DE VISITAR, CONFIRMAR FALLA Y DATOS | 05/09/2025 SE REALIZA COMUNICACION CON CLIENTE AL NÚMERO TELEFÓNICO 3204115523 LA SEÑORA LEIDYA JOHANA PALACIOS MANIFIESTA QUE DESPUÉS DE LLAMAR A PEDIR SOPORTE DATAFONO SE ENCUENTRA FUNCIONANDO CORRECTAMENTE HA HECHO TRANSABILIDAD Y AL DIA DE HOY FUNCIONA CORRECTAMENTE...CANCELA VISITA TÉCNICA YA QUE SOLICITARA MANTENIMIENTO A INTERNET DE LOCAL</t>
  </si>
  <si>
    <t>BARRIO CENTRO CHIGORODO 6</t>
  </si>
  <si>
    <t>FO-25-1478462</t>
  </si>
  <si>
    <t>04/09/2025 SE ESCALA PARA VISITA. LLAMAR ANTES DE VISITAR, CONFIRMAR FALLA Y DATOS | 05/09/2025 SE EXPLICA A CLIENTE COMO MANIPULAR EL DATAFONO CON LA TAPA SUELTA, YA QUE NO SE CUENTA CON TAPAS EN STOCK Y NO AMERITA EL CAMBIO DE DATÁFONO.</t>
  </si>
  <si>
    <t>AD00O684</t>
  </si>
  <si>
    <t>MULTIPAGAS IPIALES</t>
  </si>
  <si>
    <t>FO-25-1476183</t>
  </si>
  <si>
    <t>04/09/2025 SE ESCALA PARA VISITA. LLAMAR ANTES DE VISITAR, CONFIRMAR FALLA Y DATOS | 05/09/2025 POR MOTIVOS DE CIERRE TEMPORAL EN LA VÍA SE DIFICULTA EL TRANSPORTE HACIA LA CIUDAD DESTINO POR LO CUAL SE ATENDERÁ LA ACTIVIDAD EN EL TRANSCURSO DEL DÍA... | 05/09/2025 SE ENCUENTRA DATAFONO DESCONFIGURADO SE REALIZA CONFIGURACIÓN OK Y MANTENIMIENTO PARÁMETROS OK Y SE REALIZAN PRUEBAS EXITOSAS DE TRANSACCIONES</t>
  </si>
  <si>
    <t>AIZZZ120</t>
  </si>
  <si>
    <t>BARRIO ALPES FLORENCIA 1</t>
  </si>
  <si>
    <t>FO-25-1472502</t>
  </si>
  <si>
    <t>04/09/2025 SE ESCALA PARA VISITA. LLAMAR ANTES DE VISITAR, CONFIRMAR FALLA Y DATOS | 07/09/2025 SIN SOPORTE DE ACTIVOS PARA CAMBIO DE EQUIPOS. | 08/09/2025 SE REALIZA VISITA AL CB Y CLIENTE MANIFIESTA QUE EL DATÁFONO ESTÁ FUNCIONANDO CON NORMALIDAD, MANIFIESTA QUE LE ARROJÓ UN ERROR LLAMO A LINA DE CORRESPONSALES Y LUEGO LE FUNCIONÓ EL DATÁFONO, NO SE TOCA DATÁFONO.</t>
  </si>
  <si>
    <t>AAL0P014</t>
  </si>
  <si>
    <t>BARRIO CENTRO CORDOBA</t>
  </si>
  <si>
    <t>FO-25-1470295</t>
  </si>
  <si>
    <t>03/09/2025 SE ESCALA PARA VISITA. LLAMAR ANTES DE VISITAR, CONFIRMAR FALLA Y DATOS | 04/09/2025 SE VERIFICA FALLA DE CIERRE CLIENTE NO REALIZA DE FORMA CORRECTA LOS CIERRES SE LE EXPLICA COMO SE DEBEN REALIZAR TODOS LOS DÍAS, SE CAMBIA A SU VEZ DATÁFONO POR DAÑO EN TECLADO BORROSO, SE EJECUTAN PRUEBAS TX EXITOSAS QUEDA OPERATIVO.</t>
  </si>
  <si>
    <t>TR003855</t>
  </si>
  <si>
    <t>BARRIO TORICES CARTAGENA DE INDIAS 7</t>
  </si>
  <si>
    <t>FO-25-1469921</t>
  </si>
  <si>
    <t>03/09/2025 SE ESCALA PARA VISITA. LLAMAR ANTES DE VISITAR, CONFIRMAR FALLA Y DATOS | 04/09/2025 SE REALIZA REVISIÓN DEL PUNTO TENÍA PROBLEMA DE CONEXIÓN EN EL PUNTO CON EL CABLE SE CONFIGURA EL EQUIPO QUEDA OPERATIVO SE HACE PRUEBAS</t>
  </si>
  <si>
    <t>V8ZZZ376</t>
  </si>
  <si>
    <t>CANEDO HERRERA ALEXANDER</t>
  </si>
  <si>
    <t>BARRIO CENTRO 6 ROLDANILLO</t>
  </si>
  <si>
    <t>FO-25-1466393</t>
  </si>
  <si>
    <t>03/09/2025 SE ESCALA PARA VISITA. LLAMAR ANTES DE VISITAR, CONFIRMAR FALLA Y DATOS | 04/09/2025 VISITAMOS COMERCIO EL DATÁFONO NO TIENE INTERNET REALIZAMOS EL DIAGNÓSTICO AL DATÁFONO Y AL CABLEADO Y TODO ESTA BIEN ENCONTRAMOS QUE LOS PUERTOS DEL MÓDEM ESTA FALLANDO LE INDICAMOS AL CLIENTE QUE LA FALLA NO ES DEL DATÁFONO SON LOS PUERTOS DEL MÓDEM LOS INTERCAMBIAMOS REALIZAMOS PRUEBAS OK.</t>
  </si>
  <si>
    <t>10RZZ599</t>
  </si>
  <si>
    <t>BARRIO CANDIDO QUINTERO DUITAMA 2</t>
  </si>
  <si>
    <t>FO-25-1466384</t>
  </si>
  <si>
    <t>03/09/2025 SE REALIZA BORRADO DE EQUIPO CARGANDO S.O Y VERSIÓN 10.3 N  DEJANDO PRUEBAS DE IMPRESIÓN EXITOSAS , PRUEBAS OK SIN TELECARGA NO AUTORIZADA</t>
  </si>
  <si>
    <t>FAZZZ489</t>
  </si>
  <si>
    <t>DISTRICOL SUPER DROGAS DEL LLA</t>
  </si>
  <si>
    <t>FO-25-1466378</t>
  </si>
  <si>
    <t>03/09/2025 SE ESCALA PARA VISITA. LLAMAR ANTES DE VISITAR, CONFIRMAR FALLA Y DATOS | 04/09/2025 EN COMUNICACIÓN CON EL SEÑOR PEDRO PIÑEROS AL NUMERO 3144080601, INDICA QUE YA SE ENCUENTRA OPERATIVO EL SERVICIO. LA FALLA PRESENTADA ERA POR PARTE DEL PROVEEDOR DE INTERNET.</t>
  </si>
  <si>
    <t>BARRIO LA CONCEPCION SABANALAR</t>
  </si>
  <si>
    <t>FO-25-1463883</t>
  </si>
  <si>
    <t>02/09/2025 SE ESCALA PARA VISITA. LLAMAR ANTES DE VISITAR, CONFIRMAR FALLA Y DATOS | 04/09/2025 SE LLEGA AL CB POR ERROR DE CONEXIÓN, SE REVISAN LAS CONEXIONES Y SE EVIDENCIA QUE TIENE PROBLEMAS CON LAS DIRECCIÓNES IP, SE LE RECOMIENDA QUE LE CONFIGUREN LA INTERNA DEL COMERCIO PARA QUE ASIGNE MÁS IP, O HABLÉ CON EL PROVEEDOR DE INTERNET, YA QUE TIENE UNO NUEVO DESDE HACE 1 MES, Y DESDE ESA FECHA ESTÁ PRESENTANDO EL INCONVENIENTE 
AL MOMENTO DE HACER LA VISITA ESTABA TRABAJANDO PERFECTAMENTE</t>
  </si>
  <si>
    <t>V1SZZ194</t>
  </si>
  <si>
    <t>REDY LIMONAR</t>
  </si>
  <si>
    <t>FO-25-1461638</t>
  </si>
  <si>
    <t>02/09/2025 SE ESCALA PARA VISITA. LLAMAR ANTES DE VISITAR, CONFIRMAR FALLA Y DATOS | 02/09/2025 SE COMUNICA CON EL CB ANTES DE REALIZAR LA VISITA E INFORMA QUE EL DATAFONO ESTÁ REALIZANDO TODAS LAS TRX CON NORMALIDAD PERO SIENTE QUE EL TECLADO DEL EQUIPO DESK2600 ESTÁ MÁS DURO A COMPARACIÓN DEL DESK3500, SE LE INFORMA QUE NO ES POSIBLE CAMBIAR EL EQUIPO YA QUE NO SE CUENTA YA CON ESA TECNOLOGÍA EN BACKUP.</t>
  </si>
  <si>
    <t>BARRIO PABLO VI SAN GIL</t>
  </si>
  <si>
    <t>FO-25-1461107</t>
  </si>
  <si>
    <t>02/09/2025 SE ESCALA PARA VISITA. LLAMAR ANTES DE VISITAR, CONFIRMAR FALLA Y DATOS | 02/09/2025 SE LLAMA A LA SEÑORA PAULA AL NUMERO 3204366205 INDICA Q YA NO NECESITA LA VISITA TECNICA QUE EL DATAFONO YA SE ENCUENTRA OPERATIVO, SE PROCEDE A CERRAR ORDEN</t>
  </si>
  <si>
    <t>BARRIO EL CARMELO BUGA</t>
  </si>
  <si>
    <t>FO-25-1459430</t>
  </si>
  <si>
    <t>02/09/2025 SE ESCALA PARA VISITA. LLAMAR ANTES DE VISITAR, CONFIRMAR FALLA Y DATOS | 02/09/2025 SE VISITA CORRESPONSAL Y SE REALIZA MANTENIMIENTO A EQUIPO. CABLEADO Y EQUIPO  EN BUEN ESTADO. TRANSACCIONES DE PRUEBA EXITOSAS.</t>
  </si>
  <si>
    <t>JFZZZ755</t>
  </si>
  <si>
    <t>BOLAÑOS TABORDA JORGE ENRIQUE</t>
  </si>
  <si>
    <t>BARRIO SANTA MONICA MEDELLIN</t>
  </si>
  <si>
    <t>FO-25-1458780</t>
  </si>
  <si>
    <t>02/09/2025 SE ESCALA PARA VISITA. LLAMAR ANTES DE VISITAR, CONFIRMAR FALLA Y DATOS | 02/09/2025 SE HABLA CON SEÑOR EDISON, INFORMA QUE YA LOGRÓ GENERAR CIERRE SIN NOVEDADES. SE CIERRA INCIDENTE, CB OPERATIVO.</t>
  </si>
  <si>
    <t>BARRIO LA FLORESTA MEDELLIN 3</t>
  </si>
  <si>
    <t>FO-25-1458774</t>
  </si>
  <si>
    <t>02/09/2025 SE ESCALA PARA VISITA. LLAMAR ANTES DE VISITAR, CONFIRMAR FALLA Y DATOS | 02/09/2025 DATAFONO MAL CONECTADO, SE ORGANIZA, EQUIPOS OPERATIVOS</t>
  </si>
  <si>
    <t>SAXZZ531</t>
  </si>
  <si>
    <t>BARRIO NELSON MANDELA SEC LOS</t>
  </si>
  <si>
    <t>FO-25-1457615</t>
  </si>
  <si>
    <t>01/09/2025 SE ESCALA PARA VISITA. LLAMAR ANTES DE VISITAR, CONFIRMAR FALLA Y DATOS | 02/09/2025 SE REALIZA LIMPIEZA A LA RANURA TENÍA SUCIO QUEDA FUNCIONANDO SIN PROBLEMAS SE HACEN PRUEBAS TODO OK</t>
  </si>
  <si>
    <t>LMNZZ641</t>
  </si>
  <si>
    <t>REVAL JUMBO CC SANTAFE MEDELLI</t>
  </si>
  <si>
    <t>FO-25-1457473</t>
  </si>
  <si>
    <t>01/09/2025 SE ESCALA PARA VISITA. LLAMAR ANTES DE VISITAR, CONFIRMAR FALLA Y DATOS | 02/09/2025 SE REVISA QUE EL PIN PAD TENÍA MALA CONEXIÓN YA QUE ESTABA MAL CONECTADO Y CAUSABA REINICIOS EN AMBOS EQUIPOS, ADICIONAL SE REALIZA BORRADO DE PARÁMETROS YA QUE NO DABA EL INTERNET, SE REALIZA CONSULTA DE SALDO SERVICIO OK.</t>
  </si>
  <si>
    <t>ABOXZ096</t>
  </si>
  <si>
    <t>PTM BOGOTA PAPELES Y TODO</t>
  </si>
  <si>
    <t>FO-25-1457466</t>
  </si>
  <si>
    <t>01/09/2025 SE ESCALA PARA VISITA. LLAMAR ANTES DE VISITAR, CONFIRMAR FALLA Y DATOS | 02/09/2025 SE VISITA COMERCIO CB BANCOLOMBIA, SE REALIZA BORRADO DE MEMORIA PARA DEJAR EL CB FUNCIONANDO CORRECTAMENTE, SE LE EXPLICA AL CLIENTE COMO DEBE DE REALIZAR LOS CIERRES CORRECTAMENTE, SE REALIZAN PRUEBAS OK, NO SE ALTERNAN USUARIOS.</t>
  </si>
  <si>
    <t>10SZZ184</t>
  </si>
  <si>
    <t>ARRIO LINARES II CHIGORODO</t>
  </si>
  <si>
    <t>FO-25-1457453</t>
  </si>
  <si>
    <t>01/09/2025 SE ESCALA PARA VISITA. LLAMAR ANTES DE VISITAR, CONFIRMAR FALLA Y DATOS | 02/09/2025 SOLUCIÓN FUE ATENDIDA CON RADICADO 2669221. DONDE SE REALIZO CAMBIO DEL DATAFONO QUE TENIA MALO LA LECTORA DE BARRAS.</t>
  </si>
  <si>
    <t>BARRIO SAN LUIS DUITAMA</t>
  </si>
  <si>
    <t>FO-25-1456898</t>
  </si>
  <si>
    <t>01/09/2025 SE ESCALA PARA VISITA. LLAMAR ANTES DE VISITAR, CONFIRMAR FALLA Y DATOS | 02/09/2025 SE  REVISA LECTOR DE BARRAS  TRABAJANDO CORRECTAMENTE, SE LE INDICA AL CLIENTE EL PROBLEMA QUE TIENE CON LOS RECIBOS DE LA LUZ NO ES PROBLEMA DEL LECTOR SI NO DE LA  IMPRESIÓN DE LA FACTURA DE LALUZ ,DEBEN VALIDARLOS CON LA ENTIDAD DE LA EBSA , SE VALIDA CON LECTOR NUEVO DE BLACK  Y EL PROBLEMA PERSISTE , YA QUE FACTURAS ANTIGUAS LAS LEE CON FACILIDAD Y LA ACTUAL NO  ,DEJANDO PRUEBAS OK SIN TELECARGA NO AUTORIZADA</t>
  </si>
  <si>
    <t>NA00A479</t>
  </si>
  <si>
    <t>DISTRICOL COPIDESCUENTOS LA 30</t>
  </si>
  <si>
    <t>FO-25-1456894</t>
  </si>
  <si>
    <t>01/09/2025 SE ESCALA PARA VISITA. LLAMAR ANTES DE VISITAR, CONFIRMAR FALLA Y DATOS | 02/09/2025 EN COMUNICACIÓN CON LA SEÑORA ALEIDA MARTINEZ AL NUMERO 3219456099, INDICA SE ENCUENTRA OPERATIVO EL SERVICIO. YA FUE RESUELTO CONEXIONES INTERNAS DEL COMERCIO.</t>
  </si>
  <si>
    <t>BARRIO POPULAR III MEDELLIN</t>
  </si>
  <si>
    <t>FO-25-1454118</t>
  </si>
  <si>
    <t>01/09/2025 SE ESCALA PARA VISITA. LLAMAR ANTES DE VISITAR, CONFIRMAR FALLA Y DATOS | 01/09/2025 LIMPIEZA DE LECTOR CHIP CON OBSTRUCCIÓN OK PRUEBAS OK</t>
  </si>
  <si>
    <t>A00MZ479</t>
  </si>
  <si>
    <t>DISTRICOL SKY VARIEDADES</t>
  </si>
  <si>
    <t>FO-25-1454092</t>
  </si>
  <si>
    <t>01/09/2025 SE ESCALA PARA VISITA. LLAMAR ANTES DE VISITAR, CONFIRMAR FALLA Y DATOS | 02/09/2025 SE VISITA EL SITIO EN LA DIRECCIÓN ASIGNADA, PERO EL COMERCIO NO EXISTE; SE VÁLIDA NÚMERO TELEFÓNICO 3176779937 SIN NINGÚN RESULTADO.</t>
  </si>
  <si>
    <t>BARRAGAN TAFUR EDWIN ESTEBAN</t>
  </si>
  <si>
    <t>BARRIO GUATAVITA CUNDINAMARCA</t>
  </si>
  <si>
    <t>FO-25-1453709</t>
  </si>
  <si>
    <t>01/09/2025 SE ESCALA PARA VISITA. LLAMAR ANTES DE VISITAR, CONFIRMAR FALLA Y DATOS | 02/09/2025 SE VALIDA FUNCIONAMIENTO DEL DATAFONO SIN NOVEDAD, SE INDICA AL CLIENTE LA FORMA CORRECTA DE REALIZAR EL APAGADO DEL DATAFONO PARA EVITAR LA PERDIDA DE CARGA DE LA BATERÍA.</t>
  </si>
  <si>
    <t>111YZ879</t>
  </si>
  <si>
    <t>PTM CALI  LA OFICINA JC</t>
  </si>
  <si>
    <t>FO-25-1453497</t>
  </si>
  <si>
    <t>01/09/2025 SE ESCALA PARA VISITA. LLAMAR ANTES DE VISITAR, CONFIRMAR FALLA Y DATOS | 01/09/2025 SE LLAMA AL NÚMERO DE CONTACTO 3187294939 Y CONTESTA LA SEÑORA DIANA OROZCO E INFORMA QUE EL CORRESPONSAL SE ENCUENTRA OPERATIVO Y QUE EL DAÑO FUE POR CABLEADO INTERNO PERO QUE YA LO SOLUCIONARON. PIDE CERRAR CASO.</t>
  </si>
  <si>
    <t>BARRIO VILLAS DE SAN JUAN GIRO</t>
  </si>
  <si>
    <t>FO-25-1453121</t>
  </si>
  <si>
    <t>01/09/2025 SE ESCALA PARA VISITA. LLAMAR ANTES DE VISITAR, CONFIRMAR FALLA Y DATOS | 01/09/2025 EN COMUNICACIÓN CON AL MOVIL 3168068586, INDICA QUE EL EQUIPO YA ESTÁ OPERANDO CORRECTAMENTE Y NO REQUIERE D E LA VISITA TECNICA, INDICA QUE E O ES NECESARIO EL DESPLAZAMIENTO DEL PERSONAL TECNICO, SE LE INFORMA QUE DE PRESENTAR UNA NUEVA FALLA DEBERÁ LLAMAR AL BANCO Y SOLICITAR UNA NUEVA VISITA TECNICA.</t>
  </si>
  <si>
    <t>PTM ARJONA VARIEDADES Y PAPELE</t>
  </si>
  <si>
    <t>FO-25-1453093</t>
  </si>
  <si>
    <t>01/09/2025 SE ESCALA PARA VISITA. LLAMAR ANTES DE VISITAR, CONFIRMAR FALLA Y DATOS | 02/09/2025 BUEN DIA CLIENTE TENIA LA LECTORA DESCONECTADA LA CONECTA Y QUEDA OPERANDO</t>
  </si>
  <si>
    <t>DISTRICOL SUPERMERCADO LAS LOM</t>
  </si>
  <si>
    <t>FO-25-1451277</t>
  </si>
  <si>
    <t>31/08/2025 SE ESCALA PARA VISITA. LLAMAR ANTES DE VISITAR, CONFIRMAR FALLA Y DATOS | 01/09/2025 SE REALIZÓ LIMPIEZA DE LECTOR CHIP</t>
  </si>
  <si>
    <t>MA00M514</t>
  </si>
  <si>
    <t>BARRIO CENTRO CHINCHINA 13</t>
  </si>
  <si>
    <t>FO-25-1449699</t>
  </si>
  <si>
    <t>30/08/2025 SE ESCALA PARA VISITA. LLAMAR ANTES DE VISITAR, CONFIRMAR FALLA Y DATOS | 31/08/2025 SE VALIDA INCONVENIENTE, CLIENTE NO LABORA FIN DE SEMANA, SE VALIDARA VISITA A APARTIR DEL DIA LUNES | 01/09/2025 SE REALIZA VISITA, SE VALIDA QUE USUARIA DESCONECTA EN LAS NOCHES EL DATÁFONO SE LE INDICA A USUARIO QUE DATAFONO DEBE DE PERMANECER CONECTADO A LA ENERGIA YA QUE SI NO ES ASI LA BATERIA SE DESCARGA Y LE PRESENTA ESTAS FALLAS MIENTRAS VUELVE A CARGAR LA BATERIA, SE HACEN PRUEBAS SERVICIO OK</t>
  </si>
  <si>
    <t>SIZZZ887</t>
  </si>
  <si>
    <t>BARRIO CENTTRO JUAN DE ACOSTA</t>
  </si>
  <si>
    <t>FO-25-1449693</t>
  </si>
  <si>
    <t>30/08/2025 SE ESCALA PARA VISITA. LLAMAR ANTES DE VISITAR, CONFIRMAR FALLA Y DATOS | 01/09/2025 CLIENTE MANIFIESTA QUE NO IMPRIME BAUCHER.  SE REALIZAN PRUEBAS DE CORRECTO FUNCIONAMIENTO Y SE LE EXPLICA QUE ESE DÍA S EL COLOR NORMAL DE LA IMPRESIÓN</t>
  </si>
  <si>
    <t>FASZZ028</t>
  </si>
  <si>
    <t>VILLACOB VILLACOB ELKIN EDUARDO</t>
  </si>
  <si>
    <t>BARRIO LOS CAMBULOS NEIVA 1</t>
  </si>
  <si>
    <t>FO-25-1449271</t>
  </si>
  <si>
    <t>30/08/2025 SE ESCALA PARA VISITA. LLAMAR ANTES DE VISITAR, CONFIRMAR FALLA Y DATOS | 31/08/2025 SIN SOPORTE POR PARTE DE REDEBAN SÁBADO Y DOMINGO.
SE INFORMA A LA CLIENTE COMENTANDO QUE SE DARÁ ATENCIÓN EL DÍA LUNES. | 01/09/2025 SE PIDE REALIZAR CIERRES , SE FORMATEA ,CONFIGURA E INICIALIZA, SE CREA USUARIO Y CLAVE CON EL CLIENTE, SE REALIZA PRUEBAS DE RETIRO OK</t>
  </si>
  <si>
    <t>VBZZZ271</t>
  </si>
  <si>
    <t>BARRIO CENTRO CALIMA 1</t>
  </si>
  <si>
    <t>FO-25-1445737</t>
  </si>
  <si>
    <t>29/08/2025 SE ESCALA PARA VISITA. LLAMAR ANTES DE VISITAR, CONFIRMAR FALLA Y DATOS | 30/08/2025 SE REPROGRAMA VISITA POR DISPONIBILIDAD DE TRANSPORTE INTERMUNICIPAL PARA VIAJAR A CALIMA DARIÉN | 01/09/2025 SE ENCONTRÓ EQUIPO CON ERROR DE CONEXION POR CONFIGURACIÓN DE IP, SE DEJA EL EQUIPO POR DHCP Y TODO QUEDA OK, CB BANCOLOMBIA PURO, PRUEBAS OK</t>
  </si>
  <si>
    <t>XRZZZ662</t>
  </si>
  <si>
    <t>DISTRICOL TIENDA DE SENTIMIENT</t>
  </si>
  <si>
    <t>FO-25-1444245</t>
  </si>
  <si>
    <t>29/08/2025 SE ESCALA PARA VISITA. LLAMAR ANTES DE VISITAR, CONFIRMAR FALLA Y DATOS | 01/09/2025 SE HABLA CON SEÑOR FERNANDO, NOS INFORMA QUE CB ESTÁ OPERATIVO, PROBLEMA DE CONEXION YA SE SOLUCIONÓ. SE CIERRA INCIDENTE.</t>
  </si>
  <si>
    <t>PTM  VALLE DEL GUAMUEZ DROGUER</t>
  </si>
  <si>
    <t>FO-25-1442066</t>
  </si>
  <si>
    <t>29/08/2025 SE ESCALA PARA VISITA. LLAMAR ANTES DE VISITAR, CONFIRMAR FALLA Y DATOS | 01/09/2025 SE ESTA EN DESPLAZAMIENTO AL SITIO, DADO PROBLEMAS EN LA VIA, CIERRE, SE LOGRA DEPLAZAMIENTO EL DIA DE HOY Y SE ESTA EN TRANSITO AL MUNICIPIO | 03/09/2025 SE REALIZA COMUNICACIÓN TELEFÓNICA CON LA CLIENTE E INFORMA QUE CUANDO SE COMUNICÓ A PEDIR VISITA TÉCNICA LE DIERON UNOS PASOS Y DESDE ESE DÍA EL DATAFONO YA ESTÁ HACIENDO EL CIERRE DE MANERA CORRECTA. CLIENTE INDICA QUE NO ES NECESARIO VISITAR</t>
  </si>
  <si>
    <t>FECHA ASIGNACION A LINEA COMUNICACIONES</t>
  </si>
  <si>
    <t>FECHA DEL CIERRE DEL TICKET (DD/MM/AAAA)</t>
  </si>
  <si>
    <t>SOLICITUD</t>
  </si>
  <si>
    <t>DESCRIPCIÓN</t>
  </si>
  <si>
    <t>CAUSAL ESTADO</t>
  </si>
  <si>
    <t xml:space="preserve">TERMINAL </t>
  </si>
  <si>
    <t>ACOMETIDA ELECTRICA</t>
  </si>
  <si>
    <t>VALOR ACTIVIDAD</t>
  </si>
  <si>
    <t>ORDEN DE CAMBIO</t>
  </si>
  <si>
    <t>BARRIO 20 DE JULIO YOPAL 1</t>
  </si>
  <si>
    <t>FO-25-1572244</t>
  </si>
  <si>
    <t>TRASLADO</t>
  </si>
  <si>
    <t>TRASLADO EXTERNO</t>
  </si>
  <si>
    <t>CB UNO A UNO</t>
  </si>
  <si>
    <t>EJECUTADO_CANCELADO</t>
  </si>
  <si>
    <t>DIRECCION ERRADA</t>
  </si>
  <si>
    <t>29/09/2025 SE LLEGA AL COMERCIO SE PREGUNTA NO CONOCEN AL CLIENTE SE LLAMA E INDICA DONDE ESTA EL COMERCIO SE VALIDA QUE LA DIRECCIÓN SE ENCUENTRA ERRADA DIRECCIÓN CORRECTA ES CLL 6 # 19 70</t>
  </si>
  <si>
    <t>BARRIO TURBO TURBO</t>
  </si>
  <si>
    <t>FO-25-1572233</t>
  </si>
  <si>
    <t>PETICIÓN USUARIO</t>
  </si>
  <si>
    <t>29/09/2025 CLIENTE NO SE ENCUENTRA EN DIRECCION, EN LLAMADA TELEFÓNICA INDICA QUE ESTARIA NUEVAMENTE EN DIRECCION EL VIERNES YA QUE SE ENCUENTRA EN MEDELLÍN</t>
  </si>
  <si>
    <t>BARRIO CARACOLI NEIVA</t>
  </si>
  <si>
    <t>FO-25-1546052</t>
  </si>
  <si>
    <t>CB CON EFECTY</t>
  </si>
  <si>
    <t>18/09/2025 SE REALIZA VISITA A LA DIRECCIÓN A TRASLADAR  SE EVIDENCIA EN PUNTO A TRASLADAR FUNCIONA UN EFECTY , POR POLÍTICAS DE BANCOLOMBIA NO SE REALIZA TRALSADO.</t>
  </si>
  <si>
    <t>DISTRICOL PAGO SERVIS LA POLA</t>
  </si>
  <si>
    <t>FO-25-1542401</t>
  </si>
  <si>
    <t>PETICIÓN RED</t>
  </si>
  <si>
    <t>18/09/2025 SE LLEGA A LA DIRECCIÓN REPORTADA EN LA ORDEN , NO HAY NADIES EN EL COMERCIO, SE CANCELA ACTIVIDAD UNA VEZ CLIENTE CONFIRMA DIRECCIÓN DEBIDO QUE SE EVIDENCIA MARCA COMPARTIDA .</t>
  </si>
  <si>
    <t>BARRIO CENTRO SINCELEJO 24</t>
  </si>
  <si>
    <t>FO-25-1514035</t>
  </si>
  <si>
    <t>17/09/2025 SE REALIZA VISITA PARA TRASLADO DEL CB 77578, PERO SE EVIDENCIA EN SITIO QUE EL COMERCIO TIENE FACHADA CON NOMBRE DE OTRO COMERCIO, ADICIONAL LA DIRECCIÓN QUE VIENE EN LA ORDEN Y CÁMARA DE COMERCIO NO COINCIDE CR 21 # 36 - 7 BL 3 TO 1 LC B11 CON LA DE LA CALLE EN LA QUE ESTÁ, PUES SE VALIDA DIRECCIÓN DEL CB 25634 Y ES CL 38 M A B 18 32. SE ESCALÓ CASO A LA RED Y LA RESPUESTA ES CANCELAR EL TRASLADO.</t>
  </si>
  <si>
    <t>BARRIO RESTREPO 13 BOGOTA</t>
  </si>
  <si>
    <t>FO-25-1514047</t>
  </si>
  <si>
    <t>PETICIÓN BANCOLOMBIA</t>
  </si>
  <si>
    <t>17/09/2025 DURANTE LA VISITA TÉCNICA PARA REALIZAR TRASLADO DE CORRESPONSAL AL LLEGAR SE EVIDENCIA QUE CORRESPONSAL BANCARIO SE ENCUENTRA CERRADO SE PROCEDE A LLAMAR AL CLIENTE EL CUAL NOS INDICA QUE ESTÁ POR LLEGAR, SE REALIZA DE IGUAL MANERA LA VALIDACIÓN DE CERCANÍA CON OTROS CORRESPONSALES, ENCONTRANDO QUE TENEMOS PROXIMIDAD CON UN CORRESPONSAL DE ALIANZA PTM DE NÚMERO 62060 A MENOS 20 METROS, SE REALIZA ESCALAMIENTO A RBM EN DONDE NOS INDICAN CANCELAR LA ACTIVIDAD A PETICIÓN DE LA ENTIDAD BANCARIA, SE BRINDA INFORMACIÓN A COMERCIO. SE PROCEDE A REALIZAR CIERRE DE LA ACTIVIDAD</t>
  </si>
  <si>
    <t>PTM MEDELLIN MYCELL MEDELLIN</t>
  </si>
  <si>
    <t>FO-25-1503416</t>
  </si>
  <si>
    <t>10/09/2025 SE LLEGA PUNTO Y CLIENTE INDICA QUE SE SOLICITÓ EL TRASLADO PERO EL CC AUN NO LE A ENTREGADO EL LOCAL, EL TEMA YA ESTA ESCALADO CON PTM Y SE ESTA A LA ESPERA</t>
  </si>
  <si>
    <t>DISTRICOL PENAS BISTRO</t>
  </si>
  <si>
    <t>FO-25-1503431</t>
  </si>
  <si>
    <t>12/09/2025 SE LLEGA AL SITIO POR INDICACIO DE RBM  DIRECCION:CR 12 #11 80 PERO NO CONCUERDA NO EXISTE  , EN COMUNICACIÓN CON LA USUARIA INDICA QUE ES POR LA CALLE 12# 11  ; SE LLEGA AL PUNTO DONDE SE LE INDICA AL CLIENTE QUE ESA DIRECCIÓN NO CONCUERDA CON LA ORDEN , CLIENTE INDICA QUE ESTÁ MAL LA INFORMACIÓN QUE ELLOS SE VAN A COMUNICAR CON LA ALIANZA DISTRICOL PARA QUE ACTUALICEN LA INFORMACIÓN DE LA CAMARA DE COMERCIO, CLIENTE INDICA QUE POR EL MOMENTO CONTINÚA EN LA DIRECCIÓN ANTIGUA Y QUE APENAS TENGA LA AUTORIZACIÓN DE DISTRICOL SE COMUNICA NUEVAMENTE , CASI FUE ESCALADO CON COORDINADOR DE ZONA DONDE INDICA CANCELAR TRASLADO</t>
  </si>
  <si>
    <t>DISTRICOL GRUPO GARYED SAS</t>
  </si>
  <si>
    <t>FO-25-1503436</t>
  </si>
  <si>
    <t>GESTIÓN_TELEFONICA</t>
  </si>
  <si>
    <t>CANCELADO POR EL USUARIO</t>
  </si>
  <si>
    <t>09/09/2025 SE INTENTA COMUNICACIÓN AL NÚMERO 3103396539 PERO NO HAY RESPUESTA Y TAMPOCO POR WHATSAPP, SE ESCALA PARA VISITA POR FAVOR LLAMAR ANTES DE DESPLAZARSE</t>
  </si>
  <si>
    <t>PTM MEDELLIN  MERCADOS SUAREZ</t>
  </si>
  <si>
    <t>FO-25-1456174</t>
  </si>
  <si>
    <t>OC REPETIDA</t>
  </si>
  <si>
    <t>03/09/2025 SE LLEGA AL PUNTO Y SE VERIFICA QUE EL TRASLADO YA FUE REALIZADO ANTERIORMENTE</t>
  </si>
  <si>
    <t>PTM BOGOTA COMERCIALIZADORA Y</t>
  </si>
  <si>
    <t>FO-25-1456154</t>
  </si>
  <si>
    <t>02/09/2025 SE VISITA CB POR TRASLADO DE PUNTO AL LLEGAR A LA DIRECCIÓN DE LA ORDEN CR 11 S#40-03 SUR ESTÁ NO EXISTE , SE PROCEDE A CONTACTAR A CLIENTE QUIÉN CONFIRMA DIRECCIÓN REAL COMO CR 11F#40-03 SUR SE INDICA A CLIENTE QUE ES NECESARIO ACTUALIZAR LA INFORMACIÓN Y SOLICITAR NUEVAMENTE EL TRASLADO SE VISITA A CLIENTE EN DIRECCIÓN REAL DONDE DEBE REALIZARSE EL TRASLADO Y SE FINALIZA ACTIVIDAD SMAS NOVEDAD</t>
  </si>
  <si>
    <t>DISTRICOL D Y M INTERCOMUNICAC</t>
  </si>
  <si>
    <t>FO-25-1456172</t>
  </si>
  <si>
    <t>02/09/2025 SE REALIZA VISITA AL COMERCIO PARA REALIZAR EL TRASLADO, PERO SE ENCUENTRA QUE EN EL MISMO COMERCIO SE ENCUENTRA PUBLICIDAD O CB DEL GRUPO AVAL.
‎POR LO QUE NO SE REALIZA EL TRASLADO Y SE LE INFORMA A EL CLIENTE.</t>
  </si>
  <si>
    <t>TORRES GARCIA JENDRY JOSE</t>
  </si>
  <si>
    <t>CENTRO_COSTO</t>
  </si>
  <si>
    <t>DESCRIPCION</t>
  </si>
  <si>
    <t>facturacion_swicth</t>
  </si>
  <si>
    <t>facturacion_switch</t>
  </si>
  <si>
    <t>CENTRO DE COSTOS LINEACOM</t>
  </si>
  <si>
    <t>CODIGO DANE</t>
  </si>
  <si>
    <t>FORMA DE ATENCION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</si>
</sst>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6">
    <numFmt numFmtId="6" formatCode="&quot;$&quot;\ #,##0;[Red]\-&quot;$&quot;\ #,##0"/>
    <numFmt numFmtId="42" formatCode="_-&quot;$&quot;\ * #,##0_-;\-&quot;$&quot;\ * #,##0_-;_-&quot;$&quot;\ * &quot;-&quot;_-;_-@_-"/>
    <numFmt numFmtId="43" formatCode="_-* #,##0.00_-;\-* #,##0.00_-;_-* &quot;-&quot;??_-;_-@_-"/>
    <numFmt numFmtId="164" formatCode="_-* #,##0.00\ _€_-;\-* #,##0.00\ _€_-;_-* &quot;-&quot;??\ _€_-;_-@_-"/>
    <numFmt numFmtId="165" formatCode="_(&quot;$&quot;\ * #,##0.00_);_(&quot;$&quot;\ * \(#,##0.00\);_(&quot;$&quot;\ * &quot;-&quot;??_);_(@_)"/>
    <numFmt numFmtId="166" formatCode="_(* #,##0.00_);_(* \(#,##0.00\);_(* &quot;-&quot;??_);_(@_)"/>
    <numFmt numFmtId="167" formatCode="_-&quot;$&quot;* #,##0.00_-;\-&quot;$&quot;* #,##0.00_-;_-&quot;$&quot;* &quot;-&quot;??_-;_-@_-"/>
    <numFmt numFmtId="168" formatCode="_ &quot;$&quot;\ * #,##0_ ;_ &quot;$&quot;\ * \-#,##0_ ;_ &quot;$&quot;\ * &quot;-&quot;??_ ;_ @_ "/>
    <numFmt numFmtId="169" formatCode="_(&quot;$&quot;\ * #,##0_);_(&quot;$&quot;\ * \(#,##0\);_(&quot;$&quot;\ * &quot;-&quot;??_);_(@_)"/>
    <numFmt numFmtId="170" formatCode="[$-409]d\-m\-yy\ h:mm\ AM/PM;@"/>
    <numFmt numFmtId="171" formatCode="[$-240A]dddd\,\ dd&quot; de &quot;mmmm&quot; de &quot;yyyy"/>
    <numFmt numFmtId="172" formatCode="_ * #,##0.00_ ;_ * \-#,##0.00_ ;_ * &quot;-&quot;??_ ;_ @_ "/>
    <numFmt numFmtId="173" formatCode="_-&quot;$&quot;* #,##0_-;\-&quot;$&quot;* #,##0_-;_-&quot;$&quot;* &quot;-&quot;??_-;_-@_-"/>
    <numFmt numFmtId="174" formatCode="&quot;$&quot;\ #,##0"/>
    <numFmt numFmtId="175" formatCode="_ &quot;$&quot;\ * #,##0.00_ ;_ &quot;$&quot;\ * \-#,##0.00_ ;_ &quot;$&quot;\ * &quot;-&quot;??_ ;_ @_ "/>
    <numFmt numFmtId="176" formatCode="_ [$€-2]\ * #,##0.00_ ;_ [$€-2]\ * \-#,##0.00_ ;_ [$€-2]\ * &quot;-&quot;??_ "/>
    <numFmt numFmtId="177" formatCode="[$-C0A]d\-mmm\-yy;@"/>
    <numFmt numFmtId="178" formatCode="[$-240A]General"/>
    <numFmt numFmtId="179" formatCode="0.000%"/>
    <numFmt numFmtId="180" formatCode="_ * #,##0.00_ ;_ * \-#,##0.00_ ;_ * \-??_ ;_ @_ "/>
    <numFmt numFmtId="181" formatCode="_-[$$-240A]\ * #,##0.00_-;\-[$$-240A]\ * #,##0.00_-;_-[$$-240A]\ * &quot;-&quot;??_-;_-@_-"/>
    <numFmt numFmtId="182" formatCode="_-[$$-240A]\ * #,##0_-;\-[$$-240A]\ * #,##0_-;_-[$$-240A]\ * &quot;-&quot;_-;_-@_-"/>
    <numFmt numFmtId="183" formatCode="dd/mm/yyyy;@"/>
    <numFmt numFmtId="184" formatCode="dd/mm/yyyy"/>
    <numFmt numFmtId="185" formatCode="_-[$$-240A]\ * #,##0_-;\-[$$-240A]\ * #,##0_-;_-[$$-240A]\ * &quot;-&quot;??_-;_-@_-"/>
    <numFmt numFmtId="186" formatCode="dd/mm/yyyy\ hh:mm"/>
  </numFmts>
  <fonts count="108">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0"/>
      <name val="Arial"/>
      <family val="2"/>
    </font>
    <font>
      <sz val="11"/>
      <color indexed="8"/>
      <name val="Calibri"/>
      <family val="2"/>
    </font>
    <font>
      <sz val="10"/>
      <color rgb="FF000000"/>
      <name val="Arial"/>
      <family val="2"/>
    </font>
    <font>
      <sz val="10"/>
      <name val="Arial"/>
      <family val="2"/>
    </font>
    <font>
      <sz val="10"/>
      <color theme="1"/>
      <name val="Apex"/>
      <family val="2"/>
    </font>
    <font>
      <u/>
      <sz val="11"/>
      <color theme="10"/>
      <name val="Calibri"/>
      <family val="2"/>
      <scheme val="minor"/>
    </font>
    <font>
      <sz val="12"/>
      <color theme="1"/>
      <name val="Trebuchet MS"/>
      <family val="2"/>
    </font>
    <font>
      <sz val="10"/>
      <name val="Century Gothic"/>
      <family val="2"/>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b/>
      <sz val="18"/>
      <color theme="3"/>
      <name val="Cambria"/>
      <family val="2"/>
      <scheme val="major"/>
    </font>
    <font>
      <sz val="11"/>
      <color rgb="FF000000"/>
      <name val="Arial"/>
      <family val="2"/>
    </font>
    <font>
      <sz val="11"/>
      <color indexed="9"/>
      <name val="Calibri"/>
      <family val="2"/>
    </font>
    <font>
      <sz val="11"/>
      <color rgb="FFFFFFFF"/>
      <name val="Arial"/>
      <family val="2"/>
    </font>
    <font>
      <sz val="11"/>
      <color indexed="17"/>
      <name val="Calibri"/>
      <family val="2"/>
    </font>
    <font>
      <b/>
      <sz val="11"/>
      <color indexed="52"/>
      <name val="Calibri"/>
      <family val="2"/>
    </font>
    <font>
      <b/>
      <sz val="11"/>
      <color indexed="9"/>
      <name val="Calibri"/>
      <family val="2"/>
    </font>
    <font>
      <sz val="11"/>
      <color indexed="52"/>
      <name val="Calibri"/>
      <family val="2"/>
    </font>
    <font>
      <b/>
      <sz val="11"/>
      <color indexed="56"/>
      <name val="Calibri"/>
      <family val="2"/>
    </font>
    <font>
      <sz val="11"/>
      <color indexed="62"/>
      <name val="Calibri"/>
      <family val="2"/>
    </font>
    <font>
      <sz val="11"/>
      <color rgb="FF000000"/>
      <name val="Calibri"/>
      <family val="2"/>
    </font>
    <font>
      <u/>
      <sz val="10"/>
      <color indexed="12"/>
      <name val="Arial"/>
      <family val="2"/>
    </font>
    <font>
      <u/>
      <sz val="11"/>
      <color theme="10"/>
      <name val="Calibri"/>
      <family val="2"/>
    </font>
    <font>
      <u/>
      <sz val="12.1"/>
      <color theme="10"/>
      <name val="Calibri"/>
      <family val="2"/>
    </font>
    <font>
      <sz val="11"/>
      <color indexed="20"/>
      <name val="Calibri"/>
      <family val="2"/>
    </font>
    <font>
      <sz val="11"/>
      <color indexed="60"/>
      <name val="Calibri"/>
      <family val="2"/>
    </font>
    <font>
      <sz val="11"/>
      <color theme="1"/>
      <name val="ApexSansBookT"/>
      <family val="2"/>
    </font>
    <font>
      <sz val="10"/>
      <color indexed="64"/>
      <name val="Arial"/>
      <family val="2"/>
    </font>
    <font>
      <sz val="10"/>
      <color theme="1"/>
      <name val="Tw Cen MT"/>
      <family val="2"/>
    </font>
    <font>
      <sz val="10"/>
      <name val="MS Sans Serif"/>
      <family val="2"/>
    </font>
    <font>
      <sz val="10"/>
      <color indexed="8"/>
      <name val="Arial"/>
      <family val="2"/>
    </font>
    <font>
      <sz val="11"/>
      <name val="Calibri"/>
      <family val="2"/>
    </font>
    <font>
      <b/>
      <sz val="11"/>
      <color indexed="63"/>
      <name val="Calibri"/>
      <family val="2"/>
    </font>
    <font>
      <sz val="11"/>
      <color rgb="FF000000"/>
      <name val="Calibri"/>
      <family val="2"/>
      <charset val="1"/>
    </font>
    <font>
      <sz val="11"/>
      <color indexed="10"/>
      <name val="Calibri"/>
      <family val="2"/>
    </font>
    <font>
      <i/>
      <sz val="11"/>
      <color indexed="23"/>
      <name val="Calibri"/>
      <family val="2"/>
    </font>
    <font>
      <b/>
      <sz val="15"/>
      <color indexed="56"/>
      <name val="Calibri"/>
      <family val="2"/>
    </font>
    <font>
      <b/>
      <sz val="13"/>
      <color indexed="56"/>
      <name val="Calibri"/>
      <family val="2"/>
    </font>
    <font>
      <b/>
      <sz val="18"/>
      <color indexed="56"/>
      <name val="Cambria"/>
      <family val="2"/>
    </font>
    <font>
      <b/>
      <sz val="11"/>
      <color indexed="8"/>
      <name val="Calibri"/>
      <family val="2"/>
    </font>
    <font>
      <sz val="11"/>
      <color rgb="FF006100"/>
      <name val="Arial"/>
      <family val="2"/>
    </font>
    <font>
      <sz val="11"/>
      <color rgb="FF9C0006"/>
      <name val="Arial"/>
      <family val="2"/>
    </font>
    <font>
      <b/>
      <sz val="18"/>
      <color rgb="FF1F4A7E"/>
      <name val="Cambria"/>
      <family val="2"/>
    </font>
    <font>
      <b/>
      <sz val="15"/>
      <color rgb="FF1F4A7E"/>
      <name val="Arial"/>
      <family val="2"/>
    </font>
    <font>
      <b/>
      <sz val="13"/>
      <color rgb="FF1F4A7E"/>
      <name val="Arial"/>
      <family val="2"/>
    </font>
    <font>
      <b/>
      <sz val="11"/>
      <color rgb="FF1F4A7E"/>
      <name val="Arial"/>
      <family val="2"/>
    </font>
    <font>
      <b/>
      <sz val="11"/>
      <color rgb="FFFFFFFF"/>
      <name val="Arial"/>
      <family val="2"/>
    </font>
    <font>
      <b/>
      <sz val="11"/>
      <color rgb="FF000000"/>
      <name val="Arial"/>
      <family val="2"/>
    </font>
    <font>
      <i/>
      <sz val="11"/>
      <color rgb="FF7F7F7F"/>
      <name val="Arial"/>
      <family val="2"/>
    </font>
    <font>
      <sz val="11"/>
      <color rgb="FFFF0000"/>
      <name val="Arial"/>
      <family val="2"/>
    </font>
    <font>
      <b/>
      <sz val="11"/>
      <color rgb="FFFA7D00"/>
      <name val="Arial"/>
      <family val="2"/>
    </font>
    <font>
      <sz val="11"/>
      <color rgb="FF3F3F76"/>
      <name val="Arial"/>
      <family val="2"/>
    </font>
    <font>
      <b/>
      <sz val="11"/>
      <color rgb="FF3F3F3F"/>
      <name val="Arial"/>
      <family val="2"/>
    </font>
    <font>
      <sz val="11"/>
      <color rgb="FF9C6500"/>
      <name val="Arial"/>
      <family val="2"/>
    </font>
    <font>
      <sz val="11"/>
      <color rgb="FFFA7D00"/>
      <name val="Arial"/>
      <family val="2"/>
    </font>
    <font>
      <sz val="10"/>
      <color theme="1"/>
      <name val="Calibri"/>
      <family val="2"/>
      <scheme val="minor"/>
    </font>
    <font>
      <b/>
      <sz val="8"/>
      <name val="Gelion Thin"/>
    </font>
    <font>
      <sz val="10"/>
      <name val="Gelion Thin"/>
    </font>
    <font>
      <sz val="8"/>
      <color theme="1"/>
      <name val="Gelion Thin"/>
    </font>
    <font>
      <sz val="8"/>
      <name val="Gelion Thin"/>
    </font>
    <font>
      <sz val="10"/>
      <color rgb="FF000000"/>
      <name val="Gelion Thin"/>
    </font>
    <font>
      <b/>
      <sz val="10"/>
      <name val="Gelion Thin"/>
    </font>
    <font>
      <sz val="8"/>
      <color rgb="FF000000"/>
      <name val="Gelion Thin"/>
    </font>
    <font>
      <b/>
      <sz val="11"/>
      <color theme="1"/>
      <name val="Gelion Thin"/>
    </font>
    <font>
      <b/>
      <i/>
      <sz val="11"/>
      <color rgb="FFFFFFFF"/>
      <name val="Century Gothic"/>
      <family val="2"/>
    </font>
    <font>
      <sz val="10"/>
      <color rgb="FF000000"/>
      <name val="Century Gothic"/>
      <family val="2"/>
    </font>
    <font>
      <sz val="10"/>
      <color rgb="FF3A3838"/>
      <name val="Century Gothic"/>
      <family val="2"/>
    </font>
    <font>
      <sz val="11"/>
      <color rgb="FF000000"/>
      <name val="Gelion Thin"/>
    </font>
    <font>
      <sz val="9"/>
      <color rgb="FF000000"/>
      <name val="Courier New"/>
      <family val="3"/>
    </font>
    <font>
      <b/>
      <sz val="10"/>
      <color rgb="FFC00000"/>
      <name val="Gelion Thin"/>
    </font>
    <font>
      <sz val="10"/>
      <color rgb="FFC00000"/>
      <name val="Gelion Thin"/>
    </font>
    <font>
      <sz val="10"/>
      <color rgb="FFC00000"/>
      <name val="Arial"/>
      <family val="2"/>
    </font>
    <font>
      <sz val="8"/>
      <name val="Gelion Light"/>
    </font>
    <font>
      <b/>
      <sz val="9"/>
      <color rgb="FFC00000"/>
      <name val="Gelion Thin"/>
    </font>
  </fonts>
  <fills count="8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rgb="FFDCE5F1"/>
      </patternFill>
    </fill>
    <fill>
      <patternFill patternType="solid">
        <fgColor rgb="FFF2DCDB"/>
      </patternFill>
    </fill>
    <fill>
      <patternFill patternType="solid">
        <fgColor rgb="FFEAF1DD"/>
      </patternFill>
    </fill>
    <fill>
      <patternFill patternType="solid">
        <fgColor rgb="FFE5DFEC"/>
      </patternFill>
    </fill>
    <fill>
      <patternFill patternType="solid">
        <fgColor rgb="FFDBEEF3"/>
      </patternFill>
    </fill>
    <fill>
      <patternFill patternType="solid">
        <fgColor rgb="FFFDE9D9"/>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rgb="FFB8CBE4"/>
      </patternFill>
    </fill>
    <fill>
      <patternFill patternType="solid">
        <fgColor rgb="FFE5B8B6"/>
      </patternFill>
    </fill>
    <fill>
      <patternFill patternType="solid">
        <fgColor rgb="FFD5E3BB"/>
      </patternFill>
    </fill>
    <fill>
      <patternFill patternType="solid">
        <fgColor rgb="FFCABFD8"/>
      </patternFill>
    </fill>
    <fill>
      <patternFill patternType="solid">
        <fgColor rgb="FFB6DDE8"/>
      </patternFill>
    </fill>
    <fill>
      <patternFill patternType="solid">
        <fgColor rgb="FFFBD3B3"/>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rgb="FF96B3D7"/>
      </patternFill>
    </fill>
    <fill>
      <patternFill patternType="solid">
        <fgColor rgb="FFD99694"/>
      </patternFill>
    </fill>
    <fill>
      <patternFill patternType="solid">
        <fgColor rgb="FFC2D69B"/>
      </patternFill>
    </fill>
    <fill>
      <patternFill patternType="solid">
        <fgColor rgb="FFB2A1C6"/>
      </patternFill>
    </fill>
    <fill>
      <patternFill patternType="solid">
        <fgColor rgb="FF94CDDD"/>
      </patternFill>
    </fill>
    <fill>
      <patternFill patternType="solid">
        <fgColor rgb="FFFABF8F"/>
      </patternFill>
    </fill>
    <fill>
      <patternFill patternType="solid">
        <fgColor indexed="22"/>
      </patternFill>
    </fill>
    <fill>
      <patternFill patternType="solid">
        <fgColor indexed="55"/>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43"/>
      </patternFill>
    </fill>
    <fill>
      <patternFill patternType="solid">
        <fgColor indexed="26"/>
      </patternFill>
    </fill>
    <fill>
      <patternFill patternType="solid">
        <fgColor rgb="FF5181BD"/>
      </patternFill>
    </fill>
    <fill>
      <patternFill patternType="solid">
        <fgColor rgb="FFC0514D"/>
      </patternFill>
    </fill>
    <fill>
      <patternFill patternType="solid">
        <fgColor rgb="FF9ABA58"/>
      </patternFill>
    </fill>
    <fill>
      <patternFill patternType="solid">
        <fgColor rgb="FF7E62A1"/>
      </patternFill>
    </fill>
    <fill>
      <patternFill patternType="solid">
        <fgColor rgb="FF4CACC6"/>
      </patternFill>
    </fill>
    <fill>
      <patternFill patternType="solid">
        <fgColor rgb="FFF79544"/>
      </patternFill>
    </fill>
    <fill>
      <patternFill patternType="solid">
        <fgColor rgb="FF9B9B9A"/>
        <bgColor indexed="64"/>
      </patternFill>
    </fill>
    <fill>
      <patternFill patternType="solid">
        <fgColor rgb="FF305496"/>
        <bgColor rgb="FF000000"/>
      </patternFill>
    </fill>
    <fill>
      <patternFill patternType="solid">
        <fgColor rgb="FFACB9CA"/>
        <bgColor rgb="FF000000"/>
      </patternFill>
    </fill>
    <fill>
      <patternFill patternType="solid">
        <fgColor rgb="FF00B0F0"/>
        <bgColor rgb="FF000000"/>
      </patternFill>
    </fill>
    <fill>
      <patternFill patternType="solid">
        <fgColor rgb="FFFFFF00"/>
        <bgColor rgb="FF000000"/>
      </patternFill>
    </fill>
    <fill>
      <patternFill patternType="solid">
        <fgColor rgb="FF00B0F0"/>
        <bgColor indexed="64"/>
      </patternFill>
    </fill>
    <fill>
      <patternFill patternType="solid">
        <fgColor theme="0"/>
        <bgColor indexed="64"/>
      </patternFill>
    </fill>
    <fill>
      <patternFill patternType="solid">
        <fgColor rgb="FFBAF50A"/>
        <bgColor indexed="64"/>
      </patternFill>
    </fill>
    <fill>
      <patternFill patternType="solid">
        <fgColor theme="6" tint="0.79998168889431442"/>
        <bgColor indexed="64"/>
      </patternFill>
    </fill>
  </fills>
  <borders count="37">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right/>
      <top/>
      <bottom style="thick">
        <color rgb="FF5181BD"/>
      </bottom>
      <diagonal/>
    </border>
    <border>
      <left/>
      <right/>
      <top/>
      <bottom style="thick">
        <color rgb="FFA6BFDD"/>
      </bottom>
      <diagonal/>
    </border>
    <border>
      <left/>
      <right/>
      <top/>
      <bottom style="medium">
        <color rgb="FF96B3D7"/>
      </bottom>
      <diagonal/>
    </border>
    <border>
      <left/>
      <right/>
      <top style="thin">
        <color rgb="FF5181BD"/>
      </top>
      <bottom style="double">
        <color rgb="FF5181BD"/>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s>
  <cellStyleXfs count="39247">
    <xf numFmtId="0" fontId="0" fillId="0" borderId="0"/>
    <xf numFmtId="168" fontId="20" fillId="0" borderId="0" applyFont="0" applyFill="0" applyBorder="0" applyAlignment="0" applyProtection="0"/>
    <xf numFmtId="0" fontId="20" fillId="0" borderId="0"/>
    <xf numFmtId="0" fontId="20" fillId="0" borderId="0"/>
    <xf numFmtId="0" fontId="19" fillId="0" borderId="0"/>
    <xf numFmtId="165" fontId="21" fillId="0" borderId="0" applyFont="0" applyFill="0" applyBorder="0" applyAlignment="0" applyProtection="0"/>
    <xf numFmtId="165" fontId="20" fillId="0" borderId="0" applyFont="0" applyFill="0" applyBorder="0" applyAlignment="0" applyProtection="0"/>
    <xf numFmtId="0" fontId="20" fillId="0" borderId="0"/>
    <xf numFmtId="170" fontId="18" fillId="0" borderId="0"/>
    <xf numFmtId="0" fontId="22" fillId="0" borderId="0"/>
    <xf numFmtId="171" fontId="20" fillId="0" borderId="0"/>
    <xf numFmtId="170" fontId="17" fillId="0" borderId="0"/>
    <xf numFmtId="0" fontId="23" fillId="0" borderId="0"/>
    <xf numFmtId="0" fontId="23" fillId="0" borderId="0"/>
    <xf numFmtId="0" fontId="16" fillId="0" borderId="0"/>
    <xf numFmtId="0" fontId="15" fillId="0" borderId="0"/>
    <xf numFmtId="0" fontId="14" fillId="0" borderId="0"/>
    <xf numFmtId="43" fontId="14" fillId="0" borderId="0" applyFont="0" applyFill="0" applyBorder="0" applyAlignment="0" applyProtection="0"/>
    <xf numFmtId="0" fontId="20" fillId="0" borderId="0"/>
    <xf numFmtId="172" fontId="20" fillId="0" borderId="0" applyFont="0" applyFill="0" applyBorder="0" applyAlignment="0" applyProtection="0"/>
    <xf numFmtId="0" fontId="20" fillId="0" borderId="0"/>
    <xf numFmtId="170" fontId="20" fillId="0" borderId="0"/>
    <xf numFmtId="0" fontId="13" fillId="0" borderId="0"/>
    <xf numFmtId="170" fontId="20" fillId="0" borderId="0"/>
    <xf numFmtId="0" fontId="24" fillId="0" borderId="0"/>
    <xf numFmtId="0" fontId="12" fillId="0" borderId="0"/>
    <xf numFmtId="0" fontId="11" fillId="0" borderId="0"/>
    <xf numFmtId="0" fontId="11" fillId="0" borderId="0"/>
    <xf numFmtId="0" fontId="20" fillId="0" borderId="0"/>
    <xf numFmtId="43" fontId="20" fillId="0" borderId="0" applyFont="0" applyFill="0" applyBorder="0" applyAlignment="0" applyProtection="0"/>
    <xf numFmtId="0" fontId="20" fillId="0" borderId="0"/>
    <xf numFmtId="165" fontId="20" fillId="0" borderId="0" applyFont="0" applyFill="0" applyBorder="0" applyAlignment="0" applyProtection="0"/>
    <xf numFmtId="165" fontId="10" fillId="0" borderId="0" applyFont="0" applyFill="0" applyBorder="0" applyAlignment="0" applyProtection="0"/>
    <xf numFmtId="0" fontId="25" fillId="0" borderId="0"/>
    <xf numFmtId="0" fontId="9" fillId="0" borderId="0"/>
    <xf numFmtId="170" fontId="9" fillId="0" borderId="0"/>
    <xf numFmtId="0" fontId="9" fillId="0" borderId="0"/>
    <xf numFmtId="0" fontId="9" fillId="0" borderId="0"/>
    <xf numFmtId="172" fontId="20" fillId="0" borderId="0" applyFont="0" applyFill="0" applyBorder="0" applyAlignment="0" applyProtection="0"/>
    <xf numFmtId="0" fontId="9" fillId="0" borderId="0"/>
    <xf numFmtId="0" fontId="9" fillId="0" borderId="0"/>
    <xf numFmtId="0" fontId="9" fillId="0" borderId="0"/>
    <xf numFmtId="0" fontId="9" fillId="0" borderId="0"/>
    <xf numFmtId="0" fontId="26" fillId="0" borderId="0" applyNumberFormat="0" applyFill="0" applyBorder="0" applyAlignment="0" applyProtection="0"/>
    <xf numFmtId="0" fontId="9" fillId="0" borderId="0"/>
    <xf numFmtId="43" fontId="9" fillId="0" borderId="0" applyFont="0" applyFill="0" applyBorder="0" applyAlignment="0" applyProtection="0"/>
    <xf numFmtId="166" fontId="9" fillId="0" borderId="0" applyFont="0" applyFill="0" applyBorder="0" applyAlignment="0" applyProtection="0"/>
    <xf numFmtId="165" fontId="9" fillId="0" borderId="0" applyFont="0" applyFill="0" applyBorder="0" applyAlignment="0" applyProtection="0"/>
    <xf numFmtId="167" fontId="25" fillId="0" borderId="0" applyFont="0" applyFill="0" applyBorder="0" applyAlignment="0" applyProtection="0"/>
    <xf numFmtId="165" fontId="9" fillId="0" borderId="0" applyFont="0" applyFill="0" applyBorder="0" applyAlignment="0" applyProtection="0"/>
    <xf numFmtId="170" fontId="9" fillId="0" borderId="0"/>
    <xf numFmtId="0" fontId="9" fillId="0" borderId="0"/>
    <xf numFmtId="0" fontId="9" fillId="0" borderId="0"/>
    <xf numFmtId="0" fontId="9" fillId="0" borderId="0"/>
    <xf numFmtId="0" fontId="9" fillId="0" borderId="0"/>
    <xf numFmtId="0" fontId="9" fillId="0" borderId="0"/>
    <xf numFmtId="0" fontId="9" fillId="0" borderId="0"/>
    <xf numFmtId="170" fontId="27" fillId="0" borderId="0"/>
    <xf numFmtId="0" fontId="9" fillId="0" borderId="0"/>
    <xf numFmtId="0" fontId="9" fillId="0" borderId="0"/>
    <xf numFmtId="0" fontId="9" fillId="0" borderId="0"/>
    <xf numFmtId="0" fontId="9" fillId="0" borderId="0"/>
    <xf numFmtId="0" fontId="9" fillId="0" borderId="0"/>
    <xf numFmtId="0" fontId="9" fillId="0" borderId="0"/>
    <xf numFmtId="0" fontId="20" fillId="0" borderId="0"/>
    <xf numFmtId="170" fontId="20" fillId="0" borderId="0"/>
    <xf numFmtId="172" fontId="20" fillId="0" borderId="0" applyFont="0" applyFill="0" applyBorder="0" applyAlignment="0" applyProtection="0"/>
    <xf numFmtId="0" fontId="9" fillId="0" borderId="0"/>
    <xf numFmtId="0" fontId="9" fillId="0" borderId="0"/>
    <xf numFmtId="0" fontId="25" fillId="0" borderId="0"/>
    <xf numFmtId="0" fontId="8" fillId="0" borderId="0"/>
    <xf numFmtId="0" fontId="20" fillId="0" borderId="0"/>
    <xf numFmtId="0" fontId="7" fillId="0" borderId="0"/>
    <xf numFmtId="0" fontId="7" fillId="0" borderId="0"/>
    <xf numFmtId="167" fontId="7" fillId="0" borderId="0" applyFont="0" applyFill="0" applyBorder="0" applyAlignment="0" applyProtection="0"/>
    <xf numFmtId="165" fontId="20" fillId="0" borderId="0" applyFont="0" applyFill="0" applyBorder="0" applyAlignment="0" applyProtection="0"/>
    <xf numFmtId="165" fontId="7" fillId="0" borderId="0" applyFont="0" applyFill="0" applyBorder="0" applyAlignment="0" applyProtection="0"/>
    <xf numFmtId="0" fontId="6" fillId="0" borderId="0"/>
    <xf numFmtId="167" fontId="6" fillId="0" borderId="0" applyFont="0" applyFill="0" applyBorder="0" applyAlignment="0" applyProtection="0"/>
    <xf numFmtId="0" fontId="5" fillId="0" borderId="0"/>
    <xf numFmtId="167" fontId="4" fillId="0" borderId="0" applyFont="0" applyFill="0" applyBorder="0" applyAlignment="0" applyProtection="0"/>
    <xf numFmtId="0" fontId="3" fillId="0" borderId="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22" fillId="33" borderId="0" applyNumberFormat="0" applyBorder="0" applyAlignment="0" applyProtection="0"/>
    <xf numFmtId="0" fontId="3" fillId="10" borderId="0" applyNumberFormat="0" applyBorder="0" applyAlignment="0" applyProtection="0"/>
    <xf numFmtId="0" fontId="22" fillId="33" borderId="0" applyNumberFormat="0" applyBorder="0" applyAlignment="0" applyProtection="0"/>
    <xf numFmtId="0" fontId="22" fillId="33"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22" fillId="34" borderId="0" applyNumberFormat="0" applyBorder="0" applyAlignment="0" applyProtection="0"/>
    <xf numFmtId="0" fontId="3" fillId="1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22" fillId="35" borderId="0" applyNumberFormat="0" applyBorder="0" applyAlignment="0" applyProtection="0"/>
    <xf numFmtId="0" fontId="3" fillId="18" borderId="0" applyNumberFormat="0" applyBorder="0" applyAlignment="0" applyProtection="0"/>
    <xf numFmtId="0" fontId="22" fillId="35" borderId="0" applyNumberFormat="0" applyBorder="0" applyAlignment="0" applyProtection="0"/>
    <xf numFmtId="0" fontId="22" fillId="35"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22" fillId="36" borderId="0" applyNumberFormat="0" applyBorder="0" applyAlignment="0" applyProtection="0"/>
    <xf numFmtId="0" fontId="3" fillId="22" borderId="0" applyNumberFormat="0" applyBorder="0" applyAlignment="0" applyProtection="0"/>
    <xf numFmtId="0" fontId="22" fillId="36" borderId="0" applyNumberFormat="0" applyBorder="0" applyAlignment="0" applyProtection="0"/>
    <xf numFmtId="0" fontId="22" fillId="36"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22" fillId="37" borderId="0" applyNumberFormat="0" applyBorder="0" applyAlignment="0" applyProtection="0"/>
    <xf numFmtId="0" fontId="3" fillId="26" borderId="0" applyNumberFormat="0" applyBorder="0" applyAlignment="0" applyProtection="0"/>
    <xf numFmtId="0" fontId="22" fillId="37" borderId="0" applyNumberFormat="0" applyBorder="0" applyAlignment="0" applyProtection="0"/>
    <xf numFmtId="0" fontId="22" fillId="37"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22" fillId="38" borderId="0" applyNumberFormat="0" applyBorder="0" applyAlignment="0" applyProtection="0"/>
    <xf numFmtId="0" fontId="3" fillId="30" borderId="0" applyNumberFormat="0" applyBorder="0" applyAlignment="0" applyProtection="0"/>
    <xf numFmtId="0" fontId="22" fillId="38" borderId="0" applyNumberFormat="0" applyBorder="0" applyAlignment="0" applyProtection="0"/>
    <xf numFmtId="0" fontId="22" fillId="38"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45" fillId="39" borderId="0" applyNumberFormat="0" applyBorder="0" applyAlignment="0" applyProtection="0"/>
    <xf numFmtId="0" fontId="45" fillId="40" borderId="0" applyNumberFormat="0" applyBorder="0" applyAlignment="0" applyProtection="0"/>
    <xf numFmtId="0" fontId="45" fillId="41" borderId="0" applyNumberFormat="0" applyBorder="0" applyAlignment="0" applyProtection="0"/>
    <xf numFmtId="0" fontId="45" fillId="42" borderId="0" applyNumberFormat="0" applyBorder="0" applyAlignment="0" applyProtection="0"/>
    <xf numFmtId="0" fontId="45" fillId="43" borderId="0" applyNumberFormat="0" applyBorder="0" applyAlignment="0" applyProtection="0"/>
    <xf numFmtId="0" fontId="45" fillId="44"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22" fillId="45" borderId="0" applyNumberFormat="0" applyBorder="0" applyAlignment="0" applyProtection="0"/>
    <xf numFmtId="0" fontId="3" fillId="11" borderId="0" applyNumberFormat="0" applyBorder="0" applyAlignment="0" applyProtection="0"/>
    <xf numFmtId="0" fontId="22" fillId="45" borderId="0" applyNumberFormat="0" applyBorder="0" applyAlignment="0" applyProtection="0"/>
    <xf numFmtId="0" fontId="22" fillId="45"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22" fillId="46" borderId="0" applyNumberFormat="0" applyBorder="0" applyAlignment="0" applyProtection="0"/>
    <xf numFmtId="0" fontId="3" fillId="15" borderId="0" applyNumberFormat="0" applyBorder="0" applyAlignment="0" applyProtection="0"/>
    <xf numFmtId="0" fontId="22" fillId="46" borderId="0" applyNumberFormat="0" applyBorder="0" applyAlignment="0" applyProtection="0"/>
    <xf numFmtId="0" fontId="22" fillId="46"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22" fillId="47" borderId="0" applyNumberFormat="0" applyBorder="0" applyAlignment="0" applyProtection="0"/>
    <xf numFmtId="0" fontId="3" fillId="19" borderId="0" applyNumberFormat="0" applyBorder="0" applyAlignment="0" applyProtection="0"/>
    <xf numFmtId="0" fontId="22" fillId="47" borderId="0" applyNumberFormat="0" applyBorder="0" applyAlignment="0" applyProtection="0"/>
    <xf numFmtId="0" fontId="22" fillId="47"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22" fillId="36" borderId="0" applyNumberFormat="0" applyBorder="0" applyAlignment="0" applyProtection="0"/>
    <xf numFmtId="0" fontId="3" fillId="23" borderId="0" applyNumberFormat="0" applyBorder="0" applyAlignment="0" applyProtection="0"/>
    <xf numFmtId="0" fontId="22" fillId="36" borderId="0" applyNumberFormat="0" applyBorder="0" applyAlignment="0" applyProtection="0"/>
    <xf numFmtId="0" fontId="22" fillId="36"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22" fillId="45" borderId="0" applyNumberFormat="0" applyBorder="0" applyAlignment="0" applyProtection="0"/>
    <xf numFmtId="0" fontId="3" fillId="27" borderId="0" applyNumberFormat="0" applyBorder="0" applyAlignment="0" applyProtection="0"/>
    <xf numFmtId="0" fontId="22" fillId="45" borderId="0" applyNumberFormat="0" applyBorder="0" applyAlignment="0" applyProtection="0"/>
    <xf numFmtId="0" fontId="22" fillId="45"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22" fillId="48" borderId="0" applyNumberFormat="0" applyBorder="0" applyAlignment="0" applyProtection="0"/>
    <xf numFmtId="0" fontId="3" fillId="31" borderId="0" applyNumberFormat="0" applyBorder="0" applyAlignment="0" applyProtection="0"/>
    <xf numFmtId="0" fontId="22" fillId="48" borderId="0" applyNumberFormat="0" applyBorder="0" applyAlignment="0" applyProtection="0"/>
    <xf numFmtId="0" fontId="22" fillId="48"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45" fillId="49" borderId="0" applyNumberFormat="0" applyBorder="0" applyAlignment="0" applyProtection="0"/>
    <xf numFmtId="0" fontId="45" fillId="50" borderId="0" applyNumberFormat="0" applyBorder="0" applyAlignment="0" applyProtection="0"/>
    <xf numFmtId="0" fontId="45" fillId="51" borderId="0" applyNumberFormat="0" applyBorder="0" applyAlignment="0" applyProtection="0"/>
    <xf numFmtId="0" fontId="45" fillId="52" borderId="0" applyNumberFormat="0" applyBorder="0" applyAlignment="0" applyProtection="0"/>
    <xf numFmtId="0" fontId="45" fillId="53" borderId="0" applyNumberFormat="0" applyBorder="0" applyAlignment="0" applyProtection="0"/>
    <xf numFmtId="0" fontId="45" fillId="54" borderId="0" applyNumberFormat="0" applyBorder="0" applyAlignment="0" applyProtection="0"/>
    <xf numFmtId="0" fontId="42" fillId="12" borderId="0" applyNumberFormat="0" applyBorder="0" applyAlignment="0" applyProtection="0"/>
    <xf numFmtId="0" fontId="42" fillId="12" borderId="0" applyNumberFormat="0" applyBorder="0" applyAlignment="0" applyProtection="0"/>
    <xf numFmtId="0" fontId="42" fillId="12" borderId="0" applyNumberFormat="0" applyBorder="0" applyAlignment="0" applyProtection="0"/>
    <xf numFmtId="0" fontId="42" fillId="12" borderId="0" applyNumberFormat="0" applyBorder="0" applyAlignment="0" applyProtection="0"/>
    <xf numFmtId="0" fontId="42" fillId="12" borderId="0" applyNumberFormat="0" applyBorder="0" applyAlignment="0" applyProtection="0"/>
    <xf numFmtId="0" fontId="42" fillId="16" borderId="0" applyNumberFormat="0" applyBorder="0" applyAlignment="0" applyProtection="0"/>
    <xf numFmtId="0" fontId="42" fillId="16" borderId="0" applyNumberFormat="0" applyBorder="0" applyAlignment="0" applyProtection="0"/>
    <xf numFmtId="0" fontId="42" fillId="16" borderId="0" applyNumberFormat="0" applyBorder="0" applyAlignment="0" applyProtection="0"/>
    <xf numFmtId="0" fontId="42" fillId="16" borderId="0" applyNumberFormat="0" applyBorder="0" applyAlignment="0" applyProtection="0"/>
    <xf numFmtId="0" fontId="42" fillId="16" borderId="0" applyNumberFormat="0" applyBorder="0" applyAlignment="0" applyProtection="0"/>
    <xf numFmtId="0" fontId="42" fillId="20" borderId="0" applyNumberFormat="0" applyBorder="0" applyAlignment="0" applyProtection="0"/>
    <xf numFmtId="0" fontId="42" fillId="20" borderId="0" applyNumberFormat="0" applyBorder="0" applyAlignment="0" applyProtection="0"/>
    <xf numFmtId="0" fontId="42" fillId="20" borderId="0" applyNumberFormat="0" applyBorder="0" applyAlignment="0" applyProtection="0"/>
    <xf numFmtId="0" fontId="42" fillId="20" borderId="0" applyNumberFormat="0" applyBorder="0" applyAlignment="0" applyProtection="0"/>
    <xf numFmtId="0" fontId="42" fillId="20" borderId="0" applyNumberFormat="0" applyBorder="0" applyAlignment="0" applyProtection="0"/>
    <xf numFmtId="0" fontId="42" fillId="24" borderId="0" applyNumberFormat="0" applyBorder="0" applyAlignment="0" applyProtection="0"/>
    <xf numFmtId="0" fontId="42" fillId="24" borderId="0" applyNumberFormat="0" applyBorder="0" applyAlignment="0" applyProtection="0"/>
    <xf numFmtId="0" fontId="42" fillId="24" borderId="0" applyNumberFormat="0" applyBorder="0" applyAlignment="0" applyProtection="0"/>
    <xf numFmtId="0" fontId="42" fillId="24" borderId="0" applyNumberFormat="0" applyBorder="0" applyAlignment="0" applyProtection="0"/>
    <xf numFmtId="0" fontId="42" fillId="24" borderId="0" applyNumberFormat="0" applyBorder="0" applyAlignment="0" applyProtection="0"/>
    <xf numFmtId="0" fontId="42" fillId="28" borderId="0" applyNumberFormat="0" applyBorder="0" applyAlignment="0" applyProtection="0"/>
    <xf numFmtId="0" fontId="42" fillId="28" borderId="0" applyNumberFormat="0" applyBorder="0" applyAlignment="0" applyProtection="0"/>
    <xf numFmtId="0" fontId="42" fillId="28" borderId="0" applyNumberFormat="0" applyBorder="0" applyAlignment="0" applyProtection="0"/>
    <xf numFmtId="0" fontId="42" fillId="28" borderId="0" applyNumberFormat="0" applyBorder="0" applyAlignment="0" applyProtection="0"/>
    <xf numFmtId="0" fontId="42" fillId="28" borderId="0" applyNumberFormat="0" applyBorder="0" applyAlignment="0" applyProtection="0"/>
    <xf numFmtId="0" fontId="42" fillId="32" borderId="0" applyNumberFormat="0" applyBorder="0" applyAlignment="0" applyProtection="0"/>
    <xf numFmtId="0" fontId="42" fillId="32" borderId="0" applyNumberFormat="0" applyBorder="0" applyAlignment="0" applyProtection="0"/>
    <xf numFmtId="0" fontId="42" fillId="32" borderId="0" applyNumberFormat="0" applyBorder="0" applyAlignment="0" applyProtection="0"/>
    <xf numFmtId="0" fontId="42" fillId="32" borderId="0" applyNumberFormat="0" applyBorder="0" applyAlignment="0" applyProtection="0"/>
    <xf numFmtId="0" fontId="42" fillId="32" borderId="0" applyNumberFormat="0" applyBorder="0" applyAlignment="0" applyProtection="0"/>
    <xf numFmtId="0" fontId="46" fillId="55" borderId="0" applyNumberFormat="0" applyBorder="0" applyAlignment="0" applyProtection="0"/>
    <xf numFmtId="0" fontId="42" fillId="12" borderId="0" applyNumberFormat="0" applyBorder="0" applyAlignment="0" applyProtection="0"/>
    <xf numFmtId="0" fontId="46" fillId="55" borderId="0" applyNumberFormat="0" applyBorder="0" applyAlignment="0" applyProtection="0"/>
    <xf numFmtId="0" fontId="46" fillId="55" borderId="0" applyNumberFormat="0" applyBorder="0" applyAlignment="0" applyProtection="0"/>
    <xf numFmtId="0" fontId="42" fillId="12" borderId="0" applyNumberFormat="0" applyBorder="0" applyAlignment="0" applyProtection="0"/>
    <xf numFmtId="0" fontId="42" fillId="12" borderId="0" applyNumberFormat="0" applyBorder="0" applyAlignment="0" applyProtection="0"/>
    <xf numFmtId="0" fontId="42" fillId="12" borderId="0" applyNumberFormat="0" applyBorder="0" applyAlignment="0" applyProtection="0"/>
    <xf numFmtId="0" fontId="42" fillId="12" borderId="0" applyNumberFormat="0" applyBorder="0" applyAlignment="0" applyProtection="0"/>
    <xf numFmtId="0" fontId="46" fillId="46" borderId="0" applyNumberFormat="0" applyBorder="0" applyAlignment="0" applyProtection="0"/>
    <xf numFmtId="0" fontId="42" fillId="1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2" fillId="16" borderId="0" applyNumberFormat="0" applyBorder="0" applyAlignment="0" applyProtection="0"/>
    <xf numFmtId="0" fontId="42" fillId="16" borderId="0" applyNumberFormat="0" applyBorder="0" applyAlignment="0" applyProtection="0"/>
    <xf numFmtId="0" fontId="42" fillId="16" borderId="0" applyNumberFormat="0" applyBorder="0" applyAlignment="0" applyProtection="0"/>
    <xf numFmtId="0" fontId="42" fillId="16" borderId="0" applyNumberFormat="0" applyBorder="0" applyAlignment="0" applyProtection="0"/>
    <xf numFmtId="0" fontId="46" fillId="47" borderId="0" applyNumberFormat="0" applyBorder="0" applyAlignment="0" applyProtection="0"/>
    <xf numFmtId="0" fontId="42" fillId="20"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2" fillId="20" borderId="0" applyNumberFormat="0" applyBorder="0" applyAlignment="0" applyProtection="0"/>
    <xf numFmtId="0" fontId="42" fillId="20" borderId="0" applyNumberFormat="0" applyBorder="0" applyAlignment="0" applyProtection="0"/>
    <xf numFmtId="0" fontId="42" fillId="20" borderId="0" applyNumberFormat="0" applyBorder="0" applyAlignment="0" applyProtection="0"/>
    <xf numFmtId="0" fontId="42" fillId="20" borderId="0" applyNumberFormat="0" applyBorder="0" applyAlignment="0" applyProtection="0"/>
    <xf numFmtId="0" fontId="46" fillId="56" borderId="0" applyNumberFormat="0" applyBorder="0" applyAlignment="0" applyProtection="0"/>
    <xf numFmtId="0" fontId="42" fillId="24" borderId="0" applyNumberFormat="0" applyBorder="0" applyAlignment="0" applyProtection="0"/>
    <xf numFmtId="0" fontId="46" fillId="56" borderId="0" applyNumberFormat="0" applyBorder="0" applyAlignment="0" applyProtection="0"/>
    <xf numFmtId="0" fontId="46" fillId="56" borderId="0" applyNumberFormat="0" applyBorder="0" applyAlignment="0" applyProtection="0"/>
    <xf numFmtId="0" fontId="42" fillId="24" borderId="0" applyNumberFormat="0" applyBorder="0" applyAlignment="0" applyProtection="0"/>
    <xf numFmtId="0" fontId="42" fillId="24" borderId="0" applyNumberFormat="0" applyBorder="0" applyAlignment="0" applyProtection="0"/>
    <xf numFmtId="0" fontId="42" fillId="24" borderId="0" applyNumberFormat="0" applyBorder="0" applyAlignment="0" applyProtection="0"/>
    <xf numFmtId="0" fontId="42" fillId="24" borderId="0" applyNumberFormat="0" applyBorder="0" applyAlignment="0" applyProtection="0"/>
    <xf numFmtId="0" fontId="46" fillId="57" borderId="0" applyNumberFormat="0" applyBorder="0" applyAlignment="0" applyProtection="0"/>
    <xf numFmtId="0" fontId="42" fillId="28" borderId="0" applyNumberFormat="0" applyBorder="0" applyAlignment="0" applyProtection="0"/>
    <xf numFmtId="0" fontId="46" fillId="57" borderId="0" applyNumberFormat="0" applyBorder="0" applyAlignment="0" applyProtection="0"/>
    <xf numFmtId="0" fontId="46" fillId="57" borderId="0" applyNumberFormat="0" applyBorder="0" applyAlignment="0" applyProtection="0"/>
    <xf numFmtId="0" fontId="42" fillId="28" borderId="0" applyNumberFormat="0" applyBorder="0" applyAlignment="0" applyProtection="0"/>
    <xf numFmtId="0" fontId="42" fillId="28" borderId="0" applyNumberFormat="0" applyBorder="0" applyAlignment="0" applyProtection="0"/>
    <xf numFmtId="0" fontId="42" fillId="28" borderId="0" applyNumberFormat="0" applyBorder="0" applyAlignment="0" applyProtection="0"/>
    <xf numFmtId="0" fontId="42" fillId="28" borderId="0" applyNumberFormat="0" applyBorder="0" applyAlignment="0" applyProtection="0"/>
    <xf numFmtId="0" fontId="46" fillId="58" borderId="0" applyNumberFormat="0" applyBorder="0" applyAlignment="0" applyProtection="0"/>
    <xf numFmtId="0" fontId="42" fillId="32" borderId="0" applyNumberFormat="0" applyBorder="0" applyAlignment="0" applyProtection="0"/>
    <xf numFmtId="0" fontId="46" fillId="58" borderId="0" applyNumberFormat="0" applyBorder="0" applyAlignment="0" applyProtection="0"/>
    <xf numFmtId="0" fontId="46" fillId="58" borderId="0" applyNumberFormat="0" applyBorder="0" applyAlignment="0" applyProtection="0"/>
    <xf numFmtId="0" fontId="42" fillId="32" borderId="0" applyNumberFormat="0" applyBorder="0" applyAlignment="0" applyProtection="0"/>
    <xf numFmtId="0" fontId="42" fillId="32" borderId="0" applyNumberFormat="0" applyBorder="0" applyAlignment="0" applyProtection="0"/>
    <xf numFmtId="0" fontId="42" fillId="32" borderId="0" applyNumberFormat="0" applyBorder="0" applyAlignment="0" applyProtection="0"/>
    <xf numFmtId="0" fontId="42" fillId="32" borderId="0" applyNumberFormat="0" applyBorder="0" applyAlignment="0" applyProtection="0"/>
    <xf numFmtId="0" fontId="47" fillId="59" borderId="0" applyNumberFormat="0" applyBorder="0" applyAlignment="0" applyProtection="0"/>
    <xf numFmtId="0" fontId="47" fillId="60" borderId="0" applyNumberFormat="0" applyBorder="0" applyAlignment="0" applyProtection="0"/>
    <xf numFmtId="0" fontId="47" fillId="61" borderId="0" applyNumberFormat="0" applyBorder="0" applyAlignment="0" applyProtection="0"/>
    <xf numFmtId="0" fontId="47" fillId="62" borderId="0" applyNumberFormat="0" applyBorder="0" applyAlignment="0" applyProtection="0"/>
    <xf numFmtId="0" fontId="47" fillId="63" borderId="0" applyNumberFormat="0" applyBorder="0" applyAlignment="0" applyProtection="0"/>
    <xf numFmtId="0" fontId="47" fillId="64" borderId="0" applyNumberFormat="0" applyBorder="0" applyAlignment="0" applyProtection="0"/>
    <xf numFmtId="0" fontId="42" fillId="9" borderId="0" applyNumberFormat="0" applyBorder="0" applyAlignment="0" applyProtection="0"/>
    <xf numFmtId="0" fontId="42" fillId="9" borderId="0" applyNumberFormat="0" applyBorder="0" applyAlignment="0" applyProtection="0"/>
    <xf numFmtId="0" fontId="42" fillId="9" borderId="0" applyNumberFormat="0" applyBorder="0" applyAlignment="0" applyProtection="0"/>
    <xf numFmtId="0" fontId="42" fillId="9" borderId="0" applyNumberFormat="0" applyBorder="0" applyAlignment="0" applyProtection="0"/>
    <xf numFmtId="0" fontId="42" fillId="9"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7" borderId="0" applyNumberFormat="0" applyBorder="0" applyAlignment="0" applyProtection="0"/>
    <xf numFmtId="0" fontId="42" fillId="17" borderId="0" applyNumberFormat="0" applyBorder="0" applyAlignment="0" applyProtection="0"/>
    <xf numFmtId="0" fontId="42" fillId="17" borderId="0" applyNumberFormat="0" applyBorder="0" applyAlignment="0" applyProtection="0"/>
    <xf numFmtId="0" fontId="42" fillId="17" borderId="0" applyNumberFormat="0" applyBorder="0" applyAlignment="0" applyProtection="0"/>
    <xf numFmtId="0" fontId="42" fillId="17"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5" borderId="0" applyNumberFormat="0" applyBorder="0" applyAlignment="0" applyProtection="0"/>
    <xf numFmtId="0" fontId="42" fillId="25" borderId="0" applyNumberFormat="0" applyBorder="0" applyAlignment="0" applyProtection="0"/>
    <xf numFmtId="0" fontId="42" fillId="25" borderId="0" applyNumberFormat="0" applyBorder="0" applyAlignment="0" applyProtection="0"/>
    <xf numFmtId="0" fontId="42" fillId="25" borderId="0" applyNumberFormat="0" applyBorder="0" applyAlignment="0" applyProtection="0"/>
    <xf numFmtId="0" fontId="42" fillId="25" borderId="0" applyNumberFormat="0" applyBorder="0" applyAlignment="0" applyProtection="0"/>
    <xf numFmtId="0" fontId="42" fillId="29" borderId="0" applyNumberFormat="0" applyBorder="0" applyAlignment="0" applyProtection="0"/>
    <xf numFmtId="0" fontId="42" fillId="29" borderId="0" applyNumberFormat="0" applyBorder="0" applyAlignment="0" applyProtection="0"/>
    <xf numFmtId="0" fontId="42" fillId="29" borderId="0" applyNumberFormat="0" applyBorder="0" applyAlignment="0" applyProtection="0"/>
    <xf numFmtId="0" fontId="42" fillId="29" borderId="0" applyNumberFormat="0" applyBorder="0" applyAlignment="0" applyProtection="0"/>
    <xf numFmtId="0" fontId="42" fillId="29" borderId="0" applyNumberFormat="0" applyBorder="0" applyAlignment="0" applyProtection="0"/>
    <xf numFmtId="0" fontId="33" fillId="3" borderId="0" applyNumberFormat="0" applyBorder="0" applyAlignment="0" applyProtection="0"/>
    <xf numFmtId="0" fontId="33" fillId="3" borderId="0" applyNumberFormat="0" applyBorder="0" applyAlignment="0" applyProtection="0"/>
    <xf numFmtId="0" fontId="33" fillId="3" borderId="0" applyNumberFormat="0" applyBorder="0" applyAlignment="0" applyProtection="0"/>
    <xf numFmtId="0" fontId="33" fillId="3" borderId="0" applyNumberFormat="0" applyBorder="0" applyAlignment="0" applyProtection="0"/>
    <xf numFmtId="0" fontId="33" fillId="3" borderId="0" applyNumberFormat="0" applyBorder="0" applyAlignment="0" applyProtection="0"/>
    <xf numFmtId="0" fontId="48" fillId="35" borderId="0" applyNumberFormat="0" applyBorder="0" applyAlignment="0" applyProtection="0"/>
    <xf numFmtId="0" fontId="32" fillId="2" borderId="0" applyNumberFormat="0" applyBorder="0" applyAlignment="0" applyProtection="0"/>
    <xf numFmtId="0" fontId="48" fillId="35" borderId="0" applyNumberFormat="0" applyBorder="0" applyAlignment="0" applyProtection="0"/>
    <xf numFmtId="0" fontId="32" fillId="2" borderId="0" applyNumberFormat="0" applyBorder="0" applyAlignment="0" applyProtection="0"/>
    <xf numFmtId="0" fontId="48" fillId="35" borderId="0" applyNumberFormat="0" applyBorder="0" applyAlignment="0" applyProtection="0"/>
    <xf numFmtId="0" fontId="48" fillId="35" borderId="0" applyNumberFormat="0" applyBorder="0" applyAlignment="0" applyProtection="0"/>
    <xf numFmtId="0" fontId="48" fillId="35" borderId="0" applyNumberFormat="0" applyBorder="0" applyAlignment="0" applyProtection="0"/>
    <xf numFmtId="0" fontId="32" fillId="2" borderId="0" applyNumberFormat="0" applyBorder="0" applyAlignment="0" applyProtection="0"/>
    <xf numFmtId="0" fontId="32" fillId="2" borderId="0" applyNumberFormat="0" applyBorder="0" applyAlignment="0" applyProtection="0"/>
    <xf numFmtId="0" fontId="48" fillId="35" borderId="0" applyNumberFormat="0" applyBorder="0" applyAlignment="0" applyProtection="0"/>
    <xf numFmtId="0" fontId="48" fillId="35" borderId="0" applyNumberFormat="0" applyBorder="0" applyAlignment="0" applyProtection="0"/>
    <xf numFmtId="0" fontId="32" fillId="2" borderId="0" applyNumberFormat="0" applyBorder="0" applyAlignment="0" applyProtection="0"/>
    <xf numFmtId="0" fontId="32" fillId="2" borderId="0" applyNumberFormat="0" applyBorder="0" applyAlignment="0" applyProtection="0"/>
    <xf numFmtId="0" fontId="32" fillId="2" borderId="0" applyNumberFormat="0" applyBorder="0" applyAlignment="0" applyProtection="0"/>
    <xf numFmtId="0" fontId="32" fillId="2" borderId="0" applyNumberFormat="0" applyBorder="0" applyAlignment="0" applyProtection="0"/>
    <xf numFmtId="0" fontId="32" fillId="2" borderId="0" applyNumberFormat="0" applyBorder="0" applyAlignment="0" applyProtection="0"/>
    <xf numFmtId="0" fontId="36" fillId="6" borderId="10" applyNumberFormat="0" applyAlignment="0" applyProtection="0"/>
    <xf numFmtId="0" fontId="36" fillId="6" borderId="10" applyNumberFormat="0" applyAlignment="0" applyProtection="0"/>
    <xf numFmtId="0" fontId="36" fillId="6" borderId="10" applyNumberFormat="0" applyAlignment="0" applyProtection="0"/>
    <xf numFmtId="0" fontId="36" fillId="6" borderId="10" applyNumberFormat="0" applyAlignment="0" applyProtection="0"/>
    <xf numFmtId="0" fontId="36" fillId="6" borderId="10" applyNumberFormat="0" applyAlignment="0" applyProtection="0"/>
    <xf numFmtId="0" fontId="49" fillId="65" borderId="16" applyNumberFormat="0" applyAlignment="0" applyProtection="0"/>
    <xf numFmtId="0" fontId="36" fillId="6" borderId="10" applyNumberFormat="0" applyAlignment="0" applyProtection="0"/>
    <xf numFmtId="0" fontId="49" fillId="65" borderId="16" applyNumberFormat="0" applyAlignment="0" applyProtection="0"/>
    <xf numFmtId="0" fontId="49" fillId="65" borderId="16" applyNumberFormat="0" applyAlignment="0" applyProtection="0"/>
    <xf numFmtId="0" fontId="36" fillId="6" borderId="10" applyNumberFormat="0" applyAlignment="0" applyProtection="0"/>
    <xf numFmtId="0" fontId="36" fillId="6" borderId="10" applyNumberFormat="0" applyAlignment="0" applyProtection="0"/>
    <xf numFmtId="0" fontId="36" fillId="6" borderId="10" applyNumberFormat="0" applyAlignment="0" applyProtection="0"/>
    <xf numFmtId="0" fontId="36" fillId="6" borderId="10" applyNumberFormat="0" applyAlignment="0" applyProtection="0"/>
    <xf numFmtId="0" fontId="50" fillId="66" borderId="17" applyNumberFormat="0" applyAlignment="0" applyProtection="0"/>
    <xf numFmtId="0" fontId="38" fillId="7" borderId="13" applyNumberFormat="0" applyAlignment="0" applyProtection="0"/>
    <xf numFmtId="0" fontId="50" fillId="66" borderId="17" applyNumberFormat="0" applyAlignment="0" applyProtection="0"/>
    <xf numFmtId="0" fontId="38" fillId="7" borderId="13" applyNumberFormat="0" applyAlignment="0" applyProtection="0"/>
    <xf numFmtId="0" fontId="50" fillId="66" borderId="17" applyNumberFormat="0" applyAlignment="0" applyProtection="0"/>
    <xf numFmtId="0" fontId="50" fillId="66" borderId="17" applyNumberFormat="0" applyAlignment="0" applyProtection="0"/>
    <xf numFmtId="0" fontId="50" fillId="66" borderId="17" applyNumberFormat="0" applyAlignment="0" applyProtection="0"/>
    <xf numFmtId="0" fontId="38" fillId="7" borderId="13" applyNumberFormat="0" applyAlignment="0" applyProtection="0"/>
    <xf numFmtId="0" fontId="38" fillId="7" borderId="13" applyNumberFormat="0" applyAlignment="0" applyProtection="0"/>
    <xf numFmtId="0" fontId="50" fillId="66" borderId="17" applyNumberFormat="0" applyAlignment="0" applyProtection="0"/>
    <xf numFmtId="0" fontId="50" fillId="66" borderId="17" applyNumberFormat="0" applyAlignment="0" applyProtection="0"/>
    <xf numFmtId="0" fontId="38" fillId="7" borderId="13" applyNumberFormat="0" applyAlignment="0" applyProtection="0"/>
    <xf numFmtId="0" fontId="38" fillId="7" borderId="13" applyNumberFormat="0" applyAlignment="0" applyProtection="0"/>
    <xf numFmtId="0" fontId="38" fillId="7" borderId="13" applyNumberFormat="0" applyAlignment="0" applyProtection="0"/>
    <xf numFmtId="0" fontId="38" fillId="7" borderId="13" applyNumberFormat="0" applyAlignment="0" applyProtection="0"/>
    <xf numFmtId="0" fontId="38" fillId="7" borderId="13" applyNumberFormat="0" applyAlignment="0" applyProtection="0"/>
    <xf numFmtId="0" fontId="51" fillId="0" borderId="18" applyNumberFormat="0" applyFill="0" applyAlignment="0" applyProtection="0"/>
    <xf numFmtId="0" fontId="37" fillId="0" borderId="12" applyNumberFormat="0" applyFill="0" applyAlignment="0" applyProtection="0"/>
    <xf numFmtId="0" fontId="51" fillId="0" borderId="18" applyNumberFormat="0" applyFill="0" applyAlignment="0" applyProtection="0"/>
    <xf numFmtId="0" fontId="37" fillId="0" borderId="12" applyNumberFormat="0" applyFill="0" applyAlignment="0" applyProtection="0"/>
    <xf numFmtId="0" fontId="51" fillId="0" borderId="18" applyNumberFormat="0" applyFill="0" applyAlignment="0" applyProtection="0"/>
    <xf numFmtId="0" fontId="51" fillId="0" borderId="18" applyNumberFormat="0" applyFill="0" applyAlignment="0" applyProtection="0"/>
    <xf numFmtId="0" fontId="51" fillId="0" borderId="18" applyNumberFormat="0" applyFill="0" applyAlignment="0" applyProtection="0"/>
    <xf numFmtId="0" fontId="37" fillId="0" borderId="12" applyNumberFormat="0" applyFill="0" applyAlignment="0" applyProtection="0"/>
    <xf numFmtId="0" fontId="37" fillId="0" borderId="12" applyNumberFormat="0" applyFill="0" applyAlignment="0" applyProtection="0"/>
    <xf numFmtId="0" fontId="51" fillId="0" borderId="18" applyNumberFormat="0" applyFill="0" applyAlignment="0" applyProtection="0"/>
    <xf numFmtId="0" fontId="51" fillId="0" borderId="18" applyNumberFormat="0" applyFill="0" applyAlignment="0" applyProtection="0"/>
    <xf numFmtId="0" fontId="37" fillId="0" borderId="12" applyNumberFormat="0" applyFill="0" applyAlignment="0" applyProtection="0"/>
    <xf numFmtId="0" fontId="37" fillId="0" borderId="12" applyNumberFormat="0" applyFill="0" applyAlignment="0" applyProtection="0"/>
    <xf numFmtId="0" fontId="37" fillId="0" borderId="12" applyNumberFormat="0" applyFill="0" applyAlignment="0" applyProtection="0"/>
    <xf numFmtId="0" fontId="37" fillId="0" borderId="12" applyNumberFormat="0" applyFill="0" applyAlignment="0" applyProtection="0"/>
    <xf numFmtId="0" fontId="37" fillId="0" borderId="12" applyNumberFormat="0" applyFill="0" applyAlignment="0" applyProtection="0"/>
    <xf numFmtId="0" fontId="38" fillId="7" borderId="13" applyNumberFormat="0" applyAlignment="0" applyProtection="0"/>
    <xf numFmtId="0" fontId="38" fillId="7" borderId="13" applyNumberFormat="0" applyAlignment="0" applyProtection="0"/>
    <xf numFmtId="0" fontId="38" fillId="7" borderId="13" applyNumberFormat="0" applyAlignment="0" applyProtection="0"/>
    <xf numFmtId="0" fontId="38" fillId="7" borderId="13" applyNumberFormat="0" applyAlignment="0" applyProtection="0"/>
    <xf numFmtId="0" fontId="38" fillId="7" borderId="13" applyNumberFormat="0" applyAlignment="0" applyProtection="0"/>
    <xf numFmtId="43" fontId="20" fillId="0" borderId="0" applyFont="0" applyFill="0" applyBorder="0" applyAlignment="0" applyProtection="0"/>
    <xf numFmtId="0" fontId="52" fillId="0" borderId="0" applyNumberFormat="0" applyFill="0" applyBorder="0" applyAlignment="0" applyProtection="0"/>
    <xf numFmtId="0" fontId="31" fillId="0" borderId="0" applyNumberFormat="0" applyFill="0" applyBorder="0" applyAlignment="0" applyProtection="0"/>
    <xf numFmtId="0" fontId="52" fillId="0" borderId="0" applyNumberFormat="0" applyFill="0" applyBorder="0" applyAlignment="0" applyProtection="0"/>
    <xf numFmtId="0" fontId="31"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46" fillId="67" borderId="0" applyNumberFormat="0" applyBorder="0" applyAlignment="0" applyProtection="0"/>
    <xf numFmtId="0" fontId="42" fillId="9" borderId="0" applyNumberFormat="0" applyBorder="0" applyAlignment="0" applyProtection="0"/>
    <xf numFmtId="0" fontId="46" fillId="67" borderId="0" applyNumberFormat="0" applyBorder="0" applyAlignment="0" applyProtection="0"/>
    <xf numFmtId="0" fontId="46" fillId="67" borderId="0" applyNumberFormat="0" applyBorder="0" applyAlignment="0" applyProtection="0"/>
    <xf numFmtId="0" fontId="42" fillId="9" borderId="0" applyNumberFormat="0" applyBorder="0" applyAlignment="0" applyProtection="0"/>
    <xf numFmtId="0" fontId="42" fillId="9" borderId="0" applyNumberFormat="0" applyBorder="0" applyAlignment="0" applyProtection="0"/>
    <xf numFmtId="0" fontId="42" fillId="9" borderId="0" applyNumberFormat="0" applyBorder="0" applyAlignment="0" applyProtection="0"/>
    <xf numFmtId="0" fontId="42" fillId="9" borderId="0" applyNumberFormat="0" applyBorder="0" applyAlignment="0" applyProtection="0"/>
    <xf numFmtId="0" fontId="46" fillId="68" borderId="0" applyNumberFormat="0" applyBorder="0" applyAlignment="0" applyProtection="0"/>
    <xf numFmtId="0" fontId="42" fillId="13" borderId="0" applyNumberFormat="0" applyBorder="0" applyAlignment="0" applyProtection="0"/>
    <xf numFmtId="0" fontId="46" fillId="68" borderId="0" applyNumberFormat="0" applyBorder="0" applyAlignment="0" applyProtection="0"/>
    <xf numFmtId="0" fontId="46" fillId="68"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6" fillId="69" borderId="0" applyNumberFormat="0" applyBorder="0" applyAlignment="0" applyProtection="0"/>
    <xf numFmtId="0" fontId="42" fillId="17" borderId="0" applyNumberFormat="0" applyBorder="0" applyAlignment="0" applyProtection="0"/>
    <xf numFmtId="0" fontId="46" fillId="69" borderId="0" applyNumberFormat="0" applyBorder="0" applyAlignment="0" applyProtection="0"/>
    <xf numFmtId="0" fontId="46" fillId="69" borderId="0" applyNumberFormat="0" applyBorder="0" applyAlignment="0" applyProtection="0"/>
    <xf numFmtId="0" fontId="42" fillId="17" borderId="0" applyNumberFormat="0" applyBorder="0" applyAlignment="0" applyProtection="0"/>
    <xf numFmtId="0" fontId="42" fillId="17" borderId="0" applyNumberFormat="0" applyBorder="0" applyAlignment="0" applyProtection="0"/>
    <xf numFmtId="0" fontId="42" fillId="17" borderId="0" applyNumberFormat="0" applyBorder="0" applyAlignment="0" applyProtection="0"/>
    <xf numFmtId="0" fontId="42" fillId="17" borderId="0" applyNumberFormat="0" applyBorder="0" applyAlignment="0" applyProtection="0"/>
    <xf numFmtId="0" fontId="46" fillId="56" borderId="0" applyNumberFormat="0" applyBorder="0" applyAlignment="0" applyProtection="0"/>
    <xf numFmtId="0" fontId="42" fillId="21" borderId="0" applyNumberFormat="0" applyBorder="0" applyAlignment="0" applyProtection="0"/>
    <xf numFmtId="0" fontId="46" fillId="56" borderId="0" applyNumberFormat="0" applyBorder="0" applyAlignment="0" applyProtection="0"/>
    <xf numFmtId="0" fontId="46" fillId="56"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6" fillId="57" borderId="0" applyNumberFormat="0" applyBorder="0" applyAlignment="0" applyProtection="0"/>
    <xf numFmtId="0" fontId="42" fillId="25" borderId="0" applyNumberFormat="0" applyBorder="0" applyAlignment="0" applyProtection="0"/>
    <xf numFmtId="0" fontId="46" fillId="57" borderId="0" applyNumberFormat="0" applyBorder="0" applyAlignment="0" applyProtection="0"/>
    <xf numFmtId="0" fontId="46" fillId="57" borderId="0" applyNumberFormat="0" applyBorder="0" applyAlignment="0" applyProtection="0"/>
    <xf numFmtId="0" fontId="42" fillId="25" borderId="0" applyNumberFormat="0" applyBorder="0" applyAlignment="0" applyProtection="0"/>
    <xf numFmtId="0" fontId="42" fillId="25" borderId="0" applyNumberFormat="0" applyBorder="0" applyAlignment="0" applyProtection="0"/>
    <xf numFmtId="0" fontId="42" fillId="25" borderId="0" applyNumberFormat="0" applyBorder="0" applyAlignment="0" applyProtection="0"/>
    <xf numFmtId="0" fontId="42" fillId="25" borderId="0" applyNumberFormat="0" applyBorder="0" applyAlignment="0" applyProtection="0"/>
    <xf numFmtId="0" fontId="46" fillId="70" borderId="0" applyNumberFormat="0" applyBorder="0" applyAlignment="0" applyProtection="0"/>
    <xf numFmtId="0" fontId="42" fillId="29" borderId="0" applyNumberFormat="0" applyBorder="0" applyAlignment="0" applyProtection="0"/>
    <xf numFmtId="0" fontId="46" fillId="70" borderId="0" applyNumberFormat="0" applyBorder="0" applyAlignment="0" applyProtection="0"/>
    <xf numFmtId="0" fontId="46" fillId="70" borderId="0" applyNumberFormat="0" applyBorder="0" applyAlignment="0" applyProtection="0"/>
    <xf numFmtId="0" fontId="42" fillId="29" borderId="0" applyNumberFormat="0" applyBorder="0" applyAlignment="0" applyProtection="0"/>
    <xf numFmtId="0" fontId="42" fillId="29" borderId="0" applyNumberFormat="0" applyBorder="0" applyAlignment="0" applyProtection="0"/>
    <xf numFmtId="0" fontId="42" fillId="29" borderId="0" applyNumberFormat="0" applyBorder="0" applyAlignment="0" applyProtection="0"/>
    <xf numFmtId="0" fontId="42" fillId="29" borderId="0" applyNumberFormat="0" applyBorder="0" applyAlignment="0" applyProtection="0"/>
    <xf numFmtId="0" fontId="53" fillId="38" borderId="16" applyNumberFormat="0" applyAlignment="0" applyProtection="0"/>
    <xf numFmtId="0" fontId="34" fillId="5" borderId="10" applyNumberFormat="0" applyAlignment="0" applyProtection="0"/>
    <xf numFmtId="0" fontId="53" fillId="38" borderId="16" applyNumberFormat="0" applyAlignment="0" applyProtection="0"/>
    <xf numFmtId="0" fontId="34" fillId="5" borderId="10" applyNumberFormat="0" applyAlignment="0" applyProtection="0"/>
    <xf numFmtId="0" fontId="53" fillId="38" borderId="16" applyNumberFormat="0" applyAlignment="0" applyProtection="0"/>
    <xf numFmtId="0" fontId="53" fillId="38" borderId="16" applyNumberFormat="0" applyAlignment="0" applyProtection="0"/>
    <xf numFmtId="0" fontId="53" fillId="38" borderId="16" applyNumberFormat="0" applyAlignment="0" applyProtection="0"/>
    <xf numFmtId="0" fontId="34" fillId="5" borderId="10" applyNumberFormat="0" applyAlignment="0" applyProtection="0"/>
    <xf numFmtId="0" fontId="34" fillId="5" borderId="10" applyNumberFormat="0" applyAlignment="0" applyProtection="0"/>
    <xf numFmtId="0" fontId="53" fillId="38" borderId="16" applyNumberFormat="0" applyAlignment="0" applyProtection="0"/>
    <xf numFmtId="0" fontId="53" fillId="38" borderId="16" applyNumberFormat="0" applyAlignment="0" applyProtection="0"/>
    <xf numFmtId="0" fontId="34" fillId="5" borderId="10" applyNumberFormat="0" applyAlignment="0" applyProtection="0"/>
    <xf numFmtId="0" fontId="34" fillId="5" borderId="10" applyNumberFormat="0" applyAlignment="0" applyProtection="0"/>
    <xf numFmtId="0" fontId="34" fillId="5" borderId="10" applyNumberFormat="0" applyAlignment="0" applyProtection="0"/>
    <xf numFmtId="0" fontId="34" fillId="5" borderId="10" applyNumberFormat="0" applyAlignment="0" applyProtection="0"/>
    <xf numFmtId="0" fontId="34" fillId="5" borderId="10" applyNumberFormat="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2" fillId="0" borderId="0" applyFont="0" applyFill="0" applyBorder="0" applyAlignment="0" applyProtection="0"/>
    <xf numFmtId="0" fontId="20" fillId="0" borderId="0" applyFont="0" applyFill="0" applyBorder="0" applyAlignment="0" applyProtection="0"/>
    <xf numFmtId="0" fontId="20" fillId="0" borderId="0" applyFont="0" applyFill="0" applyBorder="0" applyAlignment="0" applyProtection="0"/>
    <xf numFmtId="0" fontId="20" fillId="0" borderId="0" applyFont="0" applyFill="0" applyBorder="0" applyAlignment="0" applyProtection="0"/>
    <xf numFmtId="0" fontId="20" fillId="0" borderId="0" applyFont="0" applyFill="0" applyBorder="0" applyAlignment="0" applyProtection="0"/>
    <xf numFmtId="0" fontId="20" fillId="0" borderId="0" applyFont="0" applyFill="0" applyBorder="0" applyAlignment="0" applyProtection="0"/>
    <xf numFmtId="0" fontId="20" fillId="0" borderId="0" applyFont="0" applyFill="0" applyBorder="0" applyAlignment="0" applyProtection="0"/>
    <xf numFmtId="0" fontId="20" fillId="0" borderId="0" applyFont="0" applyFill="0" applyBorder="0" applyAlignment="0" applyProtection="0"/>
    <xf numFmtId="0" fontId="20" fillId="0" borderId="0" applyFont="0" applyFill="0" applyBorder="0" applyAlignment="0" applyProtection="0"/>
    <xf numFmtId="0" fontId="20" fillId="0" borderId="0" applyFont="0" applyFill="0" applyBorder="0" applyAlignment="0" applyProtection="0"/>
    <xf numFmtId="0" fontId="20" fillId="0" borderId="0" applyFont="0" applyFill="0" applyBorder="0" applyAlignment="0" applyProtection="0"/>
    <xf numFmtId="176" fontId="20" fillId="0" borderId="0" applyFont="0" applyFill="0" applyBorder="0" applyAlignment="0" applyProtection="0"/>
    <xf numFmtId="0" fontId="20" fillId="0" borderId="0" applyFont="0" applyFill="0" applyBorder="0" applyAlignment="0" applyProtection="0"/>
    <xf numFmtId="0" fontId="20" fillId="0" borderId="0" applyFont="0" applyFill="0" applyBorder="0" applyAlignment="0" applyProtection="0"/>
    <xf numFmtId="0" fontId="20" fillId="0" borderId="0" applyFont="0" applyFill="0" applyBorder="0" applyAlignment="0" applyProtection="0"/>
    <xf numFmtId="0" fontId="20" fillId="0" borderId="0" applyFont="0" applyFill="0" applyBorder="0" applyAlignment="0" applyProtection="0"/>
    <xf numFmtId="0" fontId="20" fillId="0" borderId="0" applyFont="0" applyFill="0" applyBorder="0" applyAlignment="0" applyProtection="0"/>
    <xf numFmtId="0" fontId="20" fillId="0" borderId="0" applyFont="0" applyFill="0" applyBorder="0" applyAlignment="0" applyProtection="0"/>
    <xf numFmtId="0" fontId="20" fillId="0" borderId="0" applyFont="0" applyFill="0" applyBorder="0" applyAlignment="0" applyProtection="0"/>
    <xf numFmtId="0" fontId="20" fillId="0" borderId="0" applyFont="0" applyFill="0" applyBorder="0" applyAlignment="0" applyProtection="0"/>
    <xf numFmtId="0" fontId="20" fillId="0" borderId="0" applyFont="0" applyFill="0" applyBorder="0" applyAlignment="0" applyProtection="0"/>
    <xf numFmtId="0" fontId="20" fillId="0" borderId="0" applyFont="0" applyFill="0" applyBorder="0" applyAlignment="0" applyProtection="0"/>
    <xf numFmtId="0" fontId="22" fillId="0" borderId="0"/>
    <xf numFmtId="177" fontId="22" fillId="0" borderId="0"/>
    <xf numFmtId="178" fontId="54" fillId="0" borderId="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32" fillId="2" borderId="0" applyNumberFormat="0" applyBorder="0" applyAlignment="0" applyProtection="0"/>
    <xf numFmtId="0" fontId="32" fillId="2" borderId="0" applyNumberFormat="0" applyBorder="0" applyAlignment="0" applyProtection="0"/>
    <xf numFmtId="0" fontId="32" fillId="2" borderId="0" applyNumberFormat="0" applyBorder="0" applyAlignment="0" applyProtection="0"/>
    <xf numFmtId="0" fontId="32" fillId="2" borderId="0" applyNumberFormat="0" applyBorder="0" applyAlignment="0" applyProtection="0"/>
    <xf numFmtId="0" fontId="32" fillId="2" borderId="0" applyNumberFormat="0" applyBorder="0" applyAlignment="0" applyProtection="0"/>
    <xf numFmtId="0" fontId="29" fillId="0" borderId="7" applyNumberFormat="0" applyFill="0" applyAlignment="0" applyProtection="0"/>
    <xf numFmtId="0" fontId="29" fillId="0" borderId="7" applyNumberFormat="0" applyFill="0" applyAlignment="0" applyProtection="0"/>
    <xf numFmtId="0" fontId="29" fillId="0" borderId="7" applyNumberFormat="0" applyFill="0" applyAlignment="0" applyProtection="0"/>
    <xf numFmtId="0" fontId="29" fillId="0" borderId="7" applyNumberFormat="0" applyFill="0" applyAlignment="0" applyProtection="0"/>
    <xf numFmtId="0" fontId="29" fillId="0" borderId="7" applyNumberFormat="0" applyFill="0" applyAlignment="0" applyProtection="0"/>
    <xf numFmtId="0" fontId="30" fillId="0" borderId="8" applyNumberFormat="0" applyFill="0" applyAlignment="0" applyProtection="0"/>
    <xf numFmtId="0" fontId="30" fillId="0" borderId="8" applyNumberFormat="0" applyFill="0" applyAlignment="0" applyProtection="0"/>
    <xf numFmtId="0" fontId="30" fillId="0" borderId="8" applyNumberFormat="0" applyFill="0" applyAlignment="0" applyProtection="0"/>
    <xf numFmtId="0" fontId="30" fillId="0" borderId="8" applyNumberFormat="0" applyFill="0" applyAlignment="0" applyProtection="0"/>
    <xf numFmtId="0" fontId="30" fillId="0" borderId="8" applyNumberFormat="0" applyFill="0" applyAlignment="0" applyProtection="0"/>
    <xf numFmtId="0" fontId="31" fillId="0" borderId="9" applyNumberFormat="0" applyFill="0" applyAlignment="0" applyProtection="0"/>
    <xf numFmtId="0" fontId="31" fillId="0" borderId="9" applyNumberFormat="0" applyFill="0" applyAlignment="0" applyProtection="0"/>
    <xf numFmtId="0" fontId="31" fillId="0" borderId="9" applyNumberFormat="0" applyFill="0" applyAlignment="0" applyProtection="0"/>
    <xf numFmtId="0" fontId="31" fillId="0" borderId="9" applyNumberFormat="0" applyFill="0" applyAlignment="0" applyProtection="0"/>
    <xf numFmtId="0" fontId="31" fillId="0" borderId="9" applyNumberFormat="0" applyFill="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55" fillId="0" borderId="0" applyNumberFormat="0" applyFill="0" applyBorder="0" applyAlignment="0" applyProtection="0">
      <alignment vertical="top"/>
      <protection locked="0"/>
    </xf>
    <xf numFmtId="0" fontId="55" fillId="0" borderId="0" applyNumberFormat="0" applyFill="0" applyBorder="0" applyAlignment="0" applyProtection="0"/>
    <xf numFmtId="0" fontId="56" fillId="0" borderId="0" applyNumberFormat="0" applyFill="0" applyBorder="0" applyAlignment="0" applyProtection="0">
      <alignment vertical="top"/>
      <protection locked="0"/>
    </xf>
    <xf numFmtId="0" fontId="26" fillId="0" borderId="0" applyNumberFormat="0" applyFill="0" applyBorder="0" applyAlignment="0" applyProtection="0"/>
    <xf numFmtId="0" fontId="56" fillId="0" borderId="0" applyNumberFormat="0" applyFill="0" applyBorder="0" applyAlignment="0" applyProtection="0">
      <alignment vertical="top"/>
      <protection locked="0"/>
    </xf>
    <xf numFmtId="0" fontId="57" fillId="0" borderId="0" applyNumberFormat="0" applyFill="0" applyBorder="0" applyAlignment="0" applyProtection="0">
      <alignment vertical="top"/>
      <protection locked="0"/>
    </xf>
    <xf numFmtId="177" fontId="26" fillId="0" borderId="0" applyNumberFormat="0" applyFill="0" applyBorder="0" applyAlignment="0" applyProtection="0"/>
    <xf numFmtId="0" fontId="58" fillId="34" borderId="0" applyNumberFormat="0" applyBorder="0" applyAlignment="0" applyProtection="0"/>
    <xf numFmtId="0" fontId="33" fillId="3" borderId="0" applyNumberFormat="0" applyBorder="0" applyAlignment="0" applyProtection="0"/>
    <xf numFmtId="0" fontId="58" fillId="34" borderId="0" applyNumberFormat="0" applyBorder="0" applyAlignment="0" applyProtection="0"/>
    <xf numFmtId="0" fontId="58" fillId="34" borderId="0" applyNumberFormat="0" applyBorder="0" applyAlignment="0" applyProtection="0"/>
    <xf numFmtId="0" fontId="33" fillId="3" borderId="0" applyNumberFormat="0" applyBorder="0" applyAlignment="0" applyProtection="0"/>
    <xf numFmtId="0" fontId="33" fillId="3" borderId="0" applyNumberFormat="0" applyBorder="0" applyAlignment="0" applyProtection="0"/>
    <xf numFmtId="0" fontId="33" fillId="3" borderId="0" applyNumberFormat="0" applyBorder="0" applyAlignment="0" applyProtection="0"/>
    <xf numFmtId="0" fontId="33" fillId="3" borderId="0" applyNumberFormat="0" applyBorder="0" applyAlignment="0" applyProtection="0"/>
    <xf numFmtId="0" fontId="34" fillId="5" borderId="10" applyNumberFormat="0" applyAlignment="0" applyProtection="0"/>
    <xf numFmtId="0" fontId="34" fillId="5" borderId="10" applyNumberFormat="0" applyAlignment="0" applyProtection="0"/>
    <xf numFmtId="0" fontId="34" fillId="5" borderId="10" applyNumberFormat="0" applyAlignment="0" applyProtection="0"/>
    <xf numFmtId="0" fontId="34" fillId="5" borderId="10" applyNumberFormat="0" applyAlignment="0" applyProtection="0"/>
    <xf numFmtId="0" fontId="34" fillId="5" borderId="10" applyNumberFormat="0" applyAlignment="0" applyProtection="0"/>
    <xf numFmtId="0" fontId="37" fillId="0" borderId="12" applyNumberFormat="0" applyFill="0" applyAlignment="0" applyProtection="0"/>
    <xf numFmtId="0" fontId="37" fillId="0" borderId="12" applyNumberFormat="0" applyFill="0" applyAlignment="0" applyProtection="0"/>
    <xf numFmtId="0" fontId="37" fillId="0" borderId="12" applyNumberFormat="0" applyFill="0" applyAlignment="0" applyProtection="0"/>
    <xf numFmtId="0" fontId="37" fillId="0" borderId="12" applyNumberFormat="0" applyFill="0" applyAlignment="0" applyProtection="0"/>
    <xf numFmtId="0" fontId="37" fillId="0" borderId="12" applyNumberFormat="0" applyFill="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64" fontId="3"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43" fontId="3"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43" fontId="27"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9" fontId="20" fillId="0" borderId="0" applyFont="0" applyFill="0" applyBorder="0" applyAlignment="0" applyProtection="0"/>
    <xf numFmtId="172" fontId="20" fillId="0" borderId="0" applyFont="0" applyFill="0" applyBorder="0" applyAlignment="0" applyProtection="0"/>
    <xf numFmtId="43" fontId="3"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43" fontId="3"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43" fontId="27" fillId="0" borderId="0" applyFont="0" applyFill="0" applyBorder="0" applyAlignment="0" applyProtection="0"/>
    <xf numFmtId="164" fontId="3"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43" fontId="22"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43" fontId="22"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172" fontId="20"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43" fontId="22"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80" fontId="20" fillId="0" borderId="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180" fontId="20" fillId="0" borderId="0" applyFill="0" applyBorder="0" applyAlignment="0" applyProtection="0"/>
    <xf numFmtId="172" fontId="20"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172" fontId="20"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43" fontId="27"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64" fontId="3"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43" fontId="27"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43" fontId="27"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43" fontId="27"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43" fontId="3"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64" fontId="3"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72" fontId="20"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72" fontId="20"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64" fontId="3"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72" fontId="20"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72" fontId="20"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64" fontId="3"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64" fontId="3"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64" fontId="3"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64" fontId="3"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64" fontId="3"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64" fontId="3"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64" fontId="3"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64" fontId="3"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64" fontId="3"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72" fontId="20" fillId="0" borderId="0" applyFont="0" applyFill="0" applyBorder="0" applyAlignment="0" applyProtection="0"/>
    <xf numFmtId="164" fontId="3" fillId="0" borderId="0" applyFont="0" applyFill="0" applyBorder="0" applyAlignment="0" applyProtection="0"/>
    <xf numFmtId="172" fontId="20" fillId="0" borderId="0" applyFont="0" applyFill="0" applyBorder="0" applyAlignment="0" applyProtection="0"/>
    <xf numFmtId="164" fontId="3" fillId="0" borderId="0" applyFont="0" applyFill="0" applyBorder="0" applyAlignment="0" applyProtection="0"/>
    <xf numFmtId="172" fontId="20"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72" fontId="20"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64" fontId="3"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64" fontId="3"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64" fontId="3"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64" fontId="3"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5" fontId="20"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75" fontId="20" fillId="0" borderId="0" applyFont="0" applyFill="0" applyBorder="0" applyAlignment="0" applyProtection="0"/>
    <xf numFmtId="165" fontId="3" fillId="0" borderId="0" applyFont="0" applyFill="0" applyBorder="0" applyAlignment="0" applyProtection="0"/>
    <xf numFmtId="175" fontId="20" fillId="0" borderId="0" applyFont="0" applyFill="0" applyBorder="0" applyAlignment="0" applyProtection="0"/>
    <xf numFmtId="165" fontId="3" fillId="0" borderId="0" applyFont="0" applyFill="0" applyBorder="0" applyAlignment="0" applyProtection="0"/>
    <xf numFmtId="175" fontId="20" fillId="0" borderId="0" applyFont="0" applyFill="0" applyBorder="0" applyAlignment="0" applyProtection="0"/>
    <xf numFmtId="165" fontId="3" fillId="0" borderId="0" applyFont="0" applyFill="0" applyBorder="0" applyAlignment="0" applyProtection="0"/>
    <xf numFmtId="175" fontId="20" fillId="0" borderId="0" applyFont="0" applyFill="0" applyBorder="0" applyAlignment="0" applyProtection="0"/>
    <xf numFmtId="175" fontId="20" fillId="0" borderId="0" applyFont="0" applyFill="0" applyBorder="0" applyAlignment="0" applyProtection="0"/>
    <xf numFmtId="175" fontId="20" fillId="0" borderId="0" applyFont="0" applyFill="0" applyBorder="0" applyAlignment="0" applyProtection="0"/>
    <xf numFmtId="175" fontId="20" fillId="0" borderId="0" applyFont="0" applyFill="0" applyBorder="0" applyAlignment="0" applyProtection="0"/>
    <xf numFmtId="175" fontId="20" fillId="0" borderId="0" applyFont="0" applyFill="0" applyBorder="0" applyAlignment="0" applyProtection="0"/>
    <xf numFmtId="165" fontId="20" fillId="0" borderId="0" applyFont="0" applyFill="0" applyBorder="0" applyAlignment="0" applyProtection="0"/>
    <xf numFmtId="165" fontId="20" fillId="0" borderId="0" applyFont="0" applyFill="0" applyBorder="0" applyAlignment="0" applyProtection="0"/>
    <xf numFmtId="175" fontId="20" fillId="0" borderId="0" applyFont="0" applyFill="0" applyBorder="0" applyAlignment="0" applyProtection="0"/>
    <xf numFmtId="175" fontId="20" fillId="0" borderId="0" applyFont="0" applyFill="0" applyBorder="0" applyAlignment="0" applyProtection="0"/>
    <xf numFmtId="175" fontId="20" fillId="0" borderId="0" applyFont="0" applyFill="0" applyBorder="0" applyAlignment="0" applyProtection="0"/>
    <xf numFmtId="175" fontId="20" fillId="0" borderId="0" applyFont="0" applyFill="0" applyBorder="0" applyAlignment="0" applyProtection="0"/>
    <xf numFmtId="175" fontId="20" fillId="0" borderId="0" applyFont="0" applyFill="0" applyBorder="0" applyAlignment="0" applyProtection="0"/>
    <xf numFmtId="175" fontId="20" fillId="0" borderId="0" applyFont="0" applyFill="0" applyBorder="0" applyAlignment="0" applyProtection="0"/>
    <xf numFmtId="175" fontId="20" fillId="0" borderId="0" applyFont="0" applyFill="0" applyBorder="0" applyAlignment="0" applyProtection="0"/>
    <xf numFmtId="175" fontId="20" fillId="0" borderId="0" applyFont="0" applyFill="0" applyBorder="0" applyAlignment="0" applyProtection="0"/>
    <xf numFmtId="167" fontId="3" fillId="0" borderId="0" applyFont="0" applyFill="0" applyBorder="0" applyAlignment="0" applyProtection="0"/>
    <xf numFmtId="175" fontId="20" fillId="0" borderId="0" applyFont="0" applyFill="0" applyBorder="0" applyAlignment="0" applyProtection="0"/>
    <xf numFmtId="175" fontId="20" fillId="0" borderId="0" applyFont="0" applyFill="0" applyBorder="0" applyAlignment="0" applyProtection="0"/>
    <xf numFmtId="175" fontId="20" fillId="0" borderId="0" applyFont="0" applyFill="0" applyBorder="0" applyAlignment="0" applyProtection="0"/>
    <xf numFmtId="175" fontId="20" fillId="0" borderId="0" applyFont="0" applyFill="0" applyBorder="0" applyAlignment="0" applyProtection="0"/>
    <xf numFmtId="175" fontId="20" fillId="0" borderId="0" applyFont="0" applyFill="0" applyBorder="0" applyAlignment="0" applyProtection="0"/>
    <xf numFmtId="167" fontId="3" fillId="0" borderId="0" applyFont="0" applyFill="0" applyBorder="0" applyAlignment="0" applyProtection="0"/>
    <xf numFmtId="167" fontId="3" fillId="0" borderId="0" applyFont="0" applyFill="0" applyBorder="0" applyAlignment="0" applyProtection="0"/>
    <xf numFmtId="165" fontId="3" fillId="0" borderId="0" applyFont="0" applyFill="0" applyBorder="0" applyAlignment="0" applyProtection="0"/>
    <xf numFmtId="0" fontId="59" fillId="71" borderId="0" applyNumberFormat="0" applyBorder="0" applyAlignment="0" applyProtection="0"/>
    <xf numFmtId="0" fontId="59" fillId="71" borderId="0" applyNumberFormat="0" applyBorder="0" applyAlignment="0" applyProtection="0"/>
    <xf numFmtId="0" fontId="59" fillId="71" borderId="0" applyNumberFormat="0" applyBorder="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170"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0"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0"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0"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0"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0"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0" fillId="0" borderId="0"/>
    <xf numFmtId="0" fontId="3" fillId="0" borderId="0"/>
    <xf numFmtId="0" fontId="3" fillId="0" borderId="0"/>
    <xf numFmtId="0" fontId="2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20" fillId="0" borderId="0"/>
    <xf numFmtId="0" fontId="20" fillId="0" borderId="0"/>
    <xf numFmtId="0" fontId="20" fillId="0" borderId="0"/>
    <xf numFmtId="0" fontId="3" fillId="0" borderId="0"/>
    <xf numFmtId="0" fontId="20" fillId="0" borderId="0"/>
    <xf numFmtId="0" fontId="20" fillId="0" borderId="0"/>
    <xf numFmtId="0" fontId="20" fillId="0" borderId="0"/>
    <xf numFmtId="0" fontId="20" fillId="0" borderId="0"/>
    <xf numFmtId="0" fontId="20" fillId="0" borderId="0"/>
    <xf numFmtId="0" fontId="3" fillId="0" borderId="0"/>
    <xf numFmtId="0" fontId="3" fillId="0" borderId="0"/>
    <xf numFmtId="170" fontId="20" fillId="0" borderId="0"/>
    <xf numFmtId="0" fontId="3" fillId="0" borderId="0"/>
    <xf numFmtId="0" fontId="20" fillId="0" borderId="0">
      <alignment vertical="top"/>
    </xf>
    <xf numFmtId="0" fontId="20" fillId="0" borderId="0">
      <alignment vertical="top"/>
    </xf>
    <xf numFmtId="0" fontId="20" fillId="0" borderId="0"/>
    <xf numFmtId="0" fontId="20" fillId="0" borderId="0"/>
    <xf numFmtId="0" fontId="20" fillId="0" borderId="0"/>
    <xf numFmtId="0" fontId="20" fillId="0" borderId="0"/>
    <xf numFmtId="0" fontId="20" fillId="0" borderId="0"/>
    <xf numFmtId="0" fontId="20" fillId="0" borderId="0"/>
    <xf numFmtId="0" fontId="60" fillId="0" borderId="0"/>
    <xf numFmtId="0" fontId="20" fillId="0" borderId="0"/>
    <xf numFmtId="0" fontId="20" fillId="0" borderId="0"/>
    <xf numFmtId="0" fontId="60" fillId="0" borderId="0"/>
    <xf numFmtId="0" fontId="20" fillId="0" borderId="0"/>
    <xf numFmtId="0" fontId="20" fillId="0" borderId="0"/>
    <xf numFmtId="0" fontId="6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3" fillId="0" borderId="0" applyNumberFormat="0" applyFill="0" applyBorder="0" applyAlignment="0" applyProtection="0"/>
    <xf numFmtId="0" fontId="20" fillId="0" borderId="0"/>
    <xf numFmtId="177"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17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177"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17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17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177" fontId="20" fillId="0" borderId="0"/>
    <xf numFmtId="0" fontId="20" fillId="0" borderId="0"/>
    <xf numFmtId="177" fontId="20" fillId="0" borderId="0"/>
    <xf numFmtId="0" fontId="20" fillId="0" borderId="0"/>
    <xf numFmtId="0" fontId="60" fillId="0" borderId="0"/>
    <xf numFmtId="177" fontId="20" fillId="0" borderId="0"/>
    <xf numFmtId="0" fontId="60" fillId="0" borderId="0"/>
    <xf numFmtId="177" fontId="20" fillId="0" borderId="0"/>
    <xf numFmtId="0" fontId="60" fillId="0" borderId="0"/>
    <xf numFmtId="177" fontId="20" fillId="0" borderId="0"/>
    <xf numFmtId="0" fontId="60" fillId="0" borderId="0"/>
    <xf numFmtId="177" fontId="20" fillId="0" borderId="0"/>
    <xf numFmtId="0" fontId="60" fillId="0" borderId="0"/>
    <xf numFmtId="177" fontId="27" fillId="0" borderId="0"/>
    <xf numFmtId="0" fontId="60" fillId="0" borderId="0"/>
    <xf numFmtId="0" fontId="60" fillId="0" borderId="0"/>
    <xf numFmtId="0" fontId="60" fillId="0" borderId="0"/>
    <xf numFmtId="0" fontId="60" fillId="0" borderId="0"/>
    <xf numFmtId="0" fontId="60" fillId="0" borderId="0"/>
    <xf numFmtId="0" fontId="20" fillId="0" borderId="0"/>
    <xf numFmtId="0" fontId="20" fillId="0" borderId="0"/>
    <xf numFmtId="0" fontId="20" fillId="0" borderId="0"/>
    <xf numFmtId="0" fontId="20" fillId="0" borderId="0"/>
    <xf numFmtId="177" fontId="27"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20" fillId="0" borderId="0"/>
    <xf numFmtId="0" fontId="20" fillId="0" borderId="0"/>
    <xf numFmtId="0" fontId="20" fillId="0" borderId="0"/>
    <xf numFmtId="0" fontId="20" fillId="0" borderId="0"/>
    <xf numFmtId="177" fontId="20" fillId="0" borderId="0"/>
    <xf numFmtId="170" fontId="2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20" fillId="0" borderId="0"/>
    <xf numFmtId="0" fontId="20" fillId="0" borderId="0"/>
    <xf numFmtId="0" fontId="20" fillId="0" borderId="0"/>
    <xf numFmtId="0" fontId="20" fillId="0" borderId="0"/>
    <xf numFmtId="177" fontId="20" fillId="0" borderId="0"/>
    <xf numFmtId="170" fontId="2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20" fillId="0" borderId="0"/>
    <xf numFmtId="0" fontId="20" fillId="0" borderId="0"/>
    <xf numFmtId="0" fontId="20" fillId="0" borderId="0"/>
    <xf numFmtId="0" fontId="20" fillId="0" borderId="0"/>
    <xf numFmtId="177" fontId="2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20" fillId="0" borderId="0"/>
    <xf numFmtId="0" fontId="20" fillId="0" borderId="0"/>
    <xf numFmtId="0" fontId="20" fillId="0" borderId="0"/>
    <xf numFmtId="0" fontId="20" fillId="0" borderId="0"/>
    <xf numFmtId="177" fontId="20" fillId="0" borderId="0"/>
    <xf numFmtId="170" fontId="2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20" fillId="0" borderId="0"/>
    <xf numFmtId="0" fontId="20" fillId="0" borderId="0"/>
    <xf numFmtId="0" fontId="20" fillId="0" borderId="0"/>
    <xf numFmtId="0" fontId="20" fillId="0" borderId="0"/>
    <xf numFmtId="177" fontId="2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20" fillId="0" borderId="0"/>
    <xf numFmtId="0" fontId="20" fillId="0" borderId="0"/>
    <xf numFmtId="0" fontId="20" fillId="0" borderId="0"/>
    <xf numFmtId="0" fontId="20" fillId="0" borderId="0"/>
    <xf numFmtId="177" fontId="2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20" fillId="0" borderId="0"/>
    <xf numFmtId="0" fontId="20" fillId="0" borderId="0"/>
    <xf numFmtId="0" fontId="20" fillId="0" borderId="0"/>
    <xf numFmtId="0" fontId="20" fillId="0" borderId="0"/>
    <xf numFmtId="177" fontId="27" fillId="0" borderId="0"/>
    <xf numFmtId="0" fontId="20" fillId="0" borderId="0"/>
    <xf numFmtId="0" fontId="20" fillId="0" borderId="0"/>
    <xf numFmtId="0" fontId="20" fillId="0" borderId="0"/>
    <xf numFmtId="0" fontId="20" fillId="0" borderId="0"/>
    <xf numFmtId="177" fontId="20" fillId="0" borderId="0"/>
    <xf numFmtId="170"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0"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0" fontId="20" fillId="0" borderId="0"/>
    <xf numFmtId="177" fontId="3" fillId="0" borderId="0"/>
    <xf numFmtId="177" fontId="3" fillId="0" borderId="0"/>
    <xf numFmtId="177" fontId="3" fillId="0" borderId="0"/>
    <xf numFmtId="177" fontId="3" fillId="0" borderId="0"/>
    <xf numFmtId="177" fontId="3" fillId="0" borderId="0"/>
    <xf numFmtId="170" fontId="20" fillId="0" borderId="0"/>
    <xf numFmtId="177" fontId="3" fillId="0" borderId="0"/>
    <xf numFmtId="170" fontId="20" fillId="0" borderId="0"/>
    <xf numFmtId="177" fontId="3" fillId="0" borderId="0"/>
    <xf numFmtId="170"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0" fontId="20" fillId="0" borderId="0"/>
    <xf numFmtId="177" fontId="3" fillId="0" borderId="0"/>
    <xf numFmtId="177" fontId="3" fillId="0" borderId="0"/>
    <xf numFmtId="177" fontId="3" fillId="0" borderId="0"/>
    <xf numFmtId="177" fontId="3" fillId="0" borderId="0"/>
    <xf numFmtId="177" fontId="3" fillId="0" borderId="0"/>
    <xf numFmtId="170"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0"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0" fontId="20" fillId="0" borderId="0"/>
    <xf numFmtId="177" fontId="3" fillId="0" borderId="0"/>
    <xf numFmtId="177" fontId="3" fillId="0" borderId="0"/>
    <xf numFmtId="177" fontId="3" fillId="0" borderId="0"/>
    <xf numFmtId="177" fontId="3" fillId="0" borderId="0"/>
    <xf numFmtId="177" fontId="3" fillId="0" borderId="0"/>
    <xf numFmtId="170" fontId="20" fillId="0" borderId="0"/>
    <xf numFmtId="177" fontId="3" fillId="0" borderId="0"/>
    <xf numFmtId="170" fontId="20" fillId="0" borderId="0"/>
    <xf numFmtId="177" fontId="3" fillId="0" borderId="0"/>
    <xf numFmtId="170"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0" fontId="20" fillId="0" borderId="0"/>
    <xf numFmtId="177" fontId="3" fillId="0" borderId="0"/>
    <xf numFmtId="177" fontId="3" fillId="0" borderId="0"/>
    <xf numFmtId="177" fontId="3" fillId="0" borderId="0"/>
    <xf numFmtId="177" fontId="3" fillId="0" borderId="0"/>
    <xf numFmtId="177" fontId="3" fillId="0" borderId="0"/>
    <xf numFmtId="170"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0"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0" fontId="20" fillId="0" borderId="0"/>
    <xf numFmtId="170" fontId="20" fillId="0" borderId="0"/>
    <xf numFmtId="170" fontId="20" fillId="0" borderId="0"/>
    <xf numFmtId="170" fontId="20" fillId="0" borderId="0"/>
    <xf numFmtId="170"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0"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0"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20" fillId="0" borderId="0"/>
    <xf numFmtId="177" fontId="3" fillId="0" borderId="0"/>
    <xf numFmtId="177" fontId="3" fillId="0" borderId="0"/>
    <xf numFmtId="177" fontId="3" fillId="0" borderId="0"/>
    <xf numFmtId="177" fontId="3" fillId="0" borderId="0"/>
    <xf numFmtId="170" fontId="20" fillId="0" borderId="0"/>
    <xf numFmtId="177" fontId="3"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0" fontId="20" fillId="0" borderId="0"/>
    <xf numFmtId="177"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0"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20" fillId="0" borderId="0"/>
    <xf numFmtId="177" fontId="3" fillId="0" borderId="0"/>
    <xf numFmtId="177" fontId="3" fillId="0" borderId="0"/>
    <xf numFmtId="177" fontId="3" fillId="0" borderId="0"/>
    <xf numFmtId="177" fontId="3"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0" fontId="20" fillId="0" borderId="0"/>
    <xf numFmtId="177"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0" fontId="20" fillId="0" borderId="0"/>
    <xf numFmtId="177" fontId="3" fillId="0" borderId="0"/>
    <xf numFmtId="177" fontId="20" fillId="0" borderId="0"/>
    <xf numFmtId="0" fontId="3" fillId="0" borderId="0"/>
    <xf numFmtId="177" fontId="20" fillId="0" borderId="0"/>
    <xf numFmtId="177" fontId="20" fillId="0" borderId="0"/>
    <xf numFmtId="177"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0" fontId="20" fillId="0" borderId="0"/>
    <xf numFmtId="177" fontId="3" fillId="0" borderId="0"/>
    <xf numFmtId="177" fontId="3" fillId="0" borderId="0"/>
    <xf numFmtId="177" fontId="3" fillId="0" borderId="0"/>
    <xf numFmtId="177" fontId="3" fillId="0" borderId="0"/>
    <xf numFmtId="177" fontId="3" fillId="0" borderId="0"/>
    <xf numFmtId="170" fontId="20" fillId="0" borderId="0"/>
    <xf numFmtId="177" fontId="3" fillId="0" borderId="0"/>
    <xf numFmtId="0" fontId="20" fillId="0" borderId="0">
      <alignment vertical="top"/>
    </xf>
    <xf numFmtId="170" fontId="20" fillId="0" borderId="0"/>
    <xf numFmtId="177" fontId="3" fillId="0" borderId="0"/>
    <xf numFmtId="170" fontId="20" fillId="0" borderId="0"/>
    <xf numFmtId="177" fontId="3" fillId="0" borderId="0"/>
    <xf numFmtId="170" fontId="20" fillId="0" borderId="0"/>
    <xf numFmtId="170"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0" fontId="20" fillId="0" borderId="0"/>
    <xf numFmtId="177" fontId="3" fillId="0" borderId="0"/>
    <xf numFmtId="170"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0" fontId="20" fillId="0" borderId="0"/>
    <xf numFmtId="177" fontId="3" fillId="0" borderId="0"/>
    <xf numFmtId="177" fontId="3" fillId="0" borderId="0"/>
    <xf numFmtId="177" fontId="3" fillId="0" borderId="0"/>
    <xf numFmtId="177" fontId="3" fillId="0" borderId="0"/>
    <xf numFmtId="177" fontId="3" fillId="0" borderId="0"/>
    <xf numFmtId="170" fontId="20" fillId="0" borderId="0"/>
    <xf numFmtId="177" fontId="3" fillId="0" borderId="0"/>
    <xf numFmtId="170" fontId="20" fillId="0" borderId="0"/>
    <xf numFmtId="177" fontId="3" fillId="0" borderId="0"/>
    <xf numFmtId="170"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0" fontId="20" fillId="0" borderId="0"/>
    <xf numFmtId="177" fontId="3" fillId="0" borderId="0"/>
    <xf numFmtId="177" fontId="3" fillId="0" borderId="0"/>
    <xf numFmtId="177" fontId="3" fillId="0" borderId="0"/>
    <xf numFmtId="177" fontId="3" fillId="0" borderId="0"/>
    <xf numFmtId="177" fontId="3" fillId="0" borderId="0"/>
    <xf numFmtId="170"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0" fontId="20" fillId="0" borderId="0"/>
    <xf numFmtId="177" fontId="3" fillId="0" borderId="0"/>
    <xf numFmtId="170"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0"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0"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0"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0"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0"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20" fillId="0" borderId="0"/>
    <xf numFmtId="177" fontId="3" fillId="0" borderId="0"/>
    <xf numFmtId="177" fontId="3" fillId="0" borderId="0"/>
    <xf numFmtId="177" fontId="3" fillId="0" borderId="0"/>
    <xf numFmtId="177" fontId="3" fillId="0" borderId="0"/>
    <xf numFmtId="170" fontId="20" fillId="0" borderId="0"/>
    <xf numFmtId="177" fontId="3"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0" fontId="20" fillId="0" borderId="0"/>
    <xf numFmtId="177"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0" fontId="20" fillId="0" borderId="0"/>
    <xf numFmtId="170" fontId="20" fillId="0" borderId="0"/>
    <xf numFmtId="177" fontId="20" fillId="0" borderId="0"/>
    <xf numFmtId="177" fontId="20" fillId="0" borderId="0"/>
    <xf numFmtId="177" fontId="20" fillId="0" borderId="0"/>
    <xf numFmtId="177" fontId="20" fillId="0" borderId="0"/>
    <xf numFmtId="177"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0" fontId="20" fillId="0" borderId="0"/>
    <xf numFmtId="177" fontId="3" fillId="0" borderId="0"/>
    <xf numFmtId="177" fontId="20" fillId="0" borderId="0"/>
    <xf numFmtId="177" fontId="20" fillId="0" borderId="0"/>
    <xf numFmtId="177" fontId="20" fillId="0" borderId="0"/>
    <xf numFmtId="177" fontId="20" fillId="0" borderId="0"/>
    <xf numFmtId="177" fontId="20" fillId="0" borderId="0"/>
    <xf numFmtId="177" fontId="3"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0"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0"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0" fontId="20" fillId="0" borderId="0"/>
    <xf numFmtId="177"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20" fillId="0" borderId="0"/>
    <xf numFmtId="177" fontId="3" fillId="0" borderId="0"/>
    <xf numFmtId="177" fontId="3" fillId="0" borderId="0"/>
    <xf numFmtId="177" fontId="3" fillId="0" borderId="0"/>
    <xf numFmtId="177" fontId="3" fillId="0" borderId="0"/>
    <xf numFmtId="170" fontId="20" fillId="0" borderId="0"/>
    <xf numFmtId="177" fontId="3"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0" fontId="20" fillId="0" borderId="0"/>
    <xf numFmtId="177" fontId="20" fillId="0" borderId="0"/>
    <xf numFmtId="170" fontId="20" fillId="0" borderId="0"/>
    <xf numFmtId="177" fontId="3" fillId="0" borderId="0"/>
    <xf numFmtId="177" fontId="3" fillId="0" borderId="0"/>
    <xf numFmtId="177" fontId="3" fillId="0" borderId="0"/>
    <xf numFmtId="177" fontId="3" fillId="0" borderId="0"/>
    <xf numFmtId="177" fontId="3" fillId="0" borderId="0"/>
    <xf numFmtId="170"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0" fontId="20" fillId="0" borderId="0"/>
    <xf numFmtId="177" fontId="3" fillId="0" borderId="0"/>
    <xf numFmtId="177" fontId="3" fillId="0" borderId="0"/>
    <xf numFmtId="177" fontId="3" fillId="0" borderId="0"/>
    <xf numFmtId="177" fontId="3" fillId="0" borderId="0"/>
    <xf numFmtId="177" fontId="3" fillId="0" borderId="0"/>
    <xf numFmtId="0"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0" fontId="3" fillId="0" borderId="0"/>
    <xf numFmtId="0" fontId="20" fillId="0" borderId="0"/>
    <xf numFmtId="177" fontId="20" fillId="0" borderId="0"/>
    <xf numFmtId="0"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0"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20" fillId="0" borderId="0"/>
    <xf numFmtId="177" fontId="3" fillId="0" borderId="0"/>
    <xf numFmtId="177" fontId="3" fillId="0" borderId="0"/>
    <xf numFmtId="177" fontId="3" fillId="0" borderId="0"/>
    <xf numFmtId="177" fontId="3"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0" fontId="20" fillId="0" borderId="0"/>
    <xf numFmtId="177" fontId="20" fillId="0" borderId="0"/>
    <xf numFmtId="0"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20" fillId="0" borderId="0"/>
    <xf numFmtId="177"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0"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20" fillId="0" borderId="0"/>
    <xf numFmtId="177" fontId="3" fillId="0" borderId="0"/>
    <xf numFmtId="177" fontId="3" fillId="0" borderId="0"/>
    <xf numFmtId="177" fontId="3" fillId="0" borderId="0"/>
    <xf numFmtId="177" fontId="3"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0" fontId="20" fillId="0" borderId="0"/>
    <xf numFmtId="177" fontId="20" fillId="0" borderId="0"/>
    <xf numFmtId="0"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20" fillId="0" borderId="0"/>
    <xf numFmtId="0" fontId="3" fillId="0" borderId="0"/>
    <xf numFmtId="177" fontId="3" fillId="0" borderId="0"/>
    <xf numFmtId="0" fontId="20" fillId="0" borderId="0"/>
    <xf numFmtId="0" fontId="20" fillId="0" borderId="0"/>
    <xf numFmtId="177" fontId="20" fillId="0" borderId="0"/>
    <xf numFmtId="0" fontId="20" fillId="0" borderId="0"/>
    <xf numFmtId="0" fontId="20" fillId="0" borderId="0"/>
    <xf numFmtId="177" fontId="20" fillId="0" borderId="0"/>
    <xf numFmtId="0" fontId="20" fillId="0" borderId="0"/>
    <xf numFmtId="0" fontId="20" fillId="0" borderId="0"/>
    <xf numFmtId="177" fontId="20" fillId="0" borderId="0"/>
    <xf numFmtId="0" fontId="20" fillId="0" borderId="0"/>
    <xf numFmtId="0" fontId="20" fillId="0" borderId="0"/>
    <xf numFmtId="177" fontId="20" fillId="0" borderId="0"/>
    <xf numFmtId="0" fontId="20" fillId="0" borderId="0"/>
    <xf numFmtId="0" fontId="20" fillId="0" borderId="0"/>
    <xf numFmtId="177" fontId="27" fillId="0" borderId="0"/>
    <xf numFmtId="0" fontId="20" fillId="0" borderId="0"/>
    <xf numFmtId="0" fontId="20" fillId="0" borderId="0"/>
    <xf numFmtId="177" fontId="27" fillId="0" borderId="0"/>
    <xf numFmtId="0" fontId="20" fillId="0" borderId="0"/>
    <xf numFmtId="0" fontId="20" fillId="0" borderId="0"/>
    <xf numFmtId="177" fontId="27" fillId="0" borderId="0"/>
    <xf numFmtId="0" fontId="20" fillId="0" borderId="0">
      <alignment vertical="top"/>
    </xf>
    <xf numFmtId="0" fontId="20" fillId="0" borderId="0">
      <alignment vertical="top"/>
    </xf>
    <xf numFmtId="0" fontId="20" fillId="0" borderId="0"/>
    <xf numFmtId="177" fontId="27" fillId="0" borderId="0"/>
    <xf numFmtId="0" fontId="20" fillId="0" borderId="0"/>
    <xf numFmtId="0" fontId="20" fillId="0" borderId="0"/>
    <xf numFmtId="177" fontId="20" fillId="0" borderId="0"/>
    <xf numFmtId="0" fontId="20" fillId="0" borderId="0"/>
    <xf numFmtId="0" fontId="20" fillId="0" borderId="0"/>
    <xf numFmtId="177" fontId="27" fillId="0" borderId="0"/>
    <xf numFmtId="0" fontId="20" fillId="0" borderId="0"/>
    <xf numFmtId="0" fontId="20" fillId="0" borderId="0"/>
    <xf numFmtId="177" fontId="20" fillId="0" borderId="0"/>
    <xf numFmtId="0" fontId="20" fillId="0" borderId="0"/>
    <xf numFmtId="0" fontId="20" fillId="0" borderId="0"/>
    <xf numFmtId="177" fontId="27" fillId="0" borderId="0"/>
    <xf numFmtId="0" fontId="20" fillId="0" borderId="0"/>
    <xf numFmtId="0" fontId="20" fillId="0" borderId="0"/>
    <xf numFmtId="177" fontId="20" fillId="0" borderId="0"/>
    <xf numFmtId="0" fontId="20" fillId="0" borderId="0"/>
    <xf numFmtId="0" fontId="20" fillId="0" borderId="0"/>
    <xf numFmtId="177" fontId="27" fillId="0" borderId="0"/>
    <xf numFmtId="0"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0"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0" fontId="3" fillId="0" borderId="0"/>
    <xf numFmtId="177" fontId="3" fillId="0" borderId="0"/>
    <xf numFmtId="177" fontId="3" fillId="0" borderId="0"/>
    <xf numFmtId="177" fontId="3" fillId="0" borderId="0"/>
    <xf numFmtId="177" fontId="3" fillId="0" borderId="0"/>
    <xf numFmtId="177" fontId="3" fillId="0" borderId="0"/>
    <xf numFmtId="0" fontId="3" fillId="0" borderId="0"/>
    <xf numFmtId="177" fontId="3" fillId="0" borderId="0"/>
    <xf numFmtId="0" fontId="20" fillId="0" borderId="0"/>
    <xf numFmtId="177" fontId="3" fillId="0" borderId="0"/>
    <xf numFmtId="0"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0" fontId="20" fillId="0" borderId="0"/>
    <xf numFmtId="177" fontId="3" fillId="0" borderId="0"/>
    <xf numFmtId="177" fontId="3" fillId="0" borderId="0"/>
    <xf numFmtId="177" fontId="3" fillId="0" borderId="0"/>
    <xf numFmtId="177" fontId="3" fillId="0" borderId="0"/>
    <xf numFmtId="177" fontId="3" fillId="0" borderId="0"/>
    <xf numFmtId="0"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0"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0" fontId="20" fillId="0" borderId="0"/>
    <xf numFmtId="177" fontId="3" fillId="0" borderId="0"/>
    <xf numFmtId="177" fontId="3" fillId="0" borderId="0"/>
    <xf numFmtId="177" fontId="3" fillId="0" borderId="0"/>
    <xf numFmtId="177" fontId="3" fillId="0" borderId="0"/>
    <xf numFmtId="177" fontId="3" fillId="0" borderId="0"/>
    <xf numFmtId="0"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0" fontId="20" fillId="0" borderId="0"/>
    <xf numFmtId="177" fontId="3" fillId="0" borderId="0"/>
    <xf numFmtId="177" fontId="3" fillId="0" borderId="0"/>
    <xf numFmtId="177" fontId="3" fillId="0" borderId="0"/>
    <xf numFmtId="177" fontId="3" fillId="0" borderId="0"/>
    <xf numFmtId="177" fontId="3" fillId="0" borderId="0"/>
    <xf numFmtId="0"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0" fontId="3" fillId="0" borderId="0"/>
    <xf numFmtId="177" fontId="3" fillId="0" borderId="0"/>
    <xf numFmtId="0" fontId="20" fillId="0" borderId="0"/>
    <xf numFmtId="177" fontId="3" fillId="0" borderId="0"/>
    <xf numFmtId="177" fontId="3" fillId="0" borderId="0"/>
    <xf numFmtId="177" fontId="3" fillId="0" borderId="0"/>
    <xf numFmtId="177" fontId="3" fillId="0" borderId="0"/>
    <xf numFmtId="177" fontId="3" fillId="0" borderId="0"/>
    <xf numFmtId="0" fontId="20" fillId="0" borderId="0"/>
    <xf numFmtId="177" fontId="3" fillId="0" borderId="0"/>
    <xf numFmtId="0" fontId="3" fillId="0" borderId="0"/>
    <xf numFmtId="177" fontId="3" fillId="0" borderId="0"/>
    <xf numFmtId="0"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0" fontId="20" fillId="0" borderId="0"/>
    <xf numFmtId="0" fontId="20" fillId="0" borderId="0"/>
    <xf numFmtId="177" fontId="20" fillId="0" borderId="0"/>
    <xf numFmtId="0" fontId="20" fillId="0" borderId="0"/>
    <xf numFmtId="0" fontId="20" fillId="0" borderId="0"/>
    <xf numFmtId="0" fontId="45" fillId="0" borderId="0"/>
    <xf numFmtId="177" fontId="27" fillId="0" borderId="0"/>
    <xf numFmtId="0" fontId="20" fillId="0" borderId="0"/>
    <xf numFmtId="0" fontId="20" fillId="0" borderId="0"/>
    <xf numFmtId="0" fontId="45" fillId="0" borderId="0"/>
    <xf numFmtId="177" fontId="27" fillId="0" borderId="0"/>
    <xf numFmtId="0" fontId="20" fillId="0" borderId="0"/>
    <xf numFmtId="0" fontId="20" fillId="0" borderId="0"/>
    <xf numFmtId="0" fontId="61" fillId="0" borderId="0"/>
    <xf numFmtId="0" fontId="45" fillId="0" borderId="0"/>
    <xf numFmtId="0" fontId="61" fillId="0" borderId="0"/>
    <xf numFmtId="0" fontId="61" fillId="0" borderId="0"/>
    <xf numFmtId="0" fontId="45" fillId="0" borderId="0"/>
    <xf numFmtId="177" fontId="27" fillId="0" borderId="0"/>
    <xf numFmtId="0" fontId="61" fillId="0" borderId="0"/>
    <xf numFmtId="0" fontId="45" fillId="0" borderId="0"/>
    <xf numFmtId="0" fontId="61" fillId="0" borderId="0"/>
    <xf numFmtId="0" fontId="20" fillId="0" borderId="0"/>
    <xf numFmtId="0" fontId="20" fillId="0" borderId="0"/>
    <xf numFmtId="0" fontId="45" fillId="0" borderId="0"/>
    <xf numFmtId="177" fontId="20" fillId="0" borderId="0"/>
    <xf numFmtId="0" fontId="20" fillId="0" borderId="0"/>
    <xf numFmtId="0" fontId="20" fillId="0" borderId="0"/>
    <xf numFmtId="0" fontId="45" fillId="0" borderId="0"/>
    <xf numFmtId="177" fontId="27" fillId="0" borderId="0"/>
    <xf numFmtId="0" fontId="20" fillId="0" borderId="0"/>
    <xf numFmtId="0" fontId="20" fillId="0" borderId="0"/>
    <xf numFmtId="0" fontId="61" fillId="0" borderId="0"/>
    <xf numFmtId="177" fontId="20" fillId="0" borderId="0"/>
    <xf numFmtId="0" fontId="20" fillId="0" borderId="0"/>
    <xf numFmtId="0" fontId="20" fillId="0" borderId="0"/>
    <xf numFmtId="177" fontId="27" fillId="0" borderId="0"/>
    <xf numFmtId="0" fontId="20" fillId="0" borderId="0"/>
    <xf numFmtId="0" fontId="20" fillId="0" borderId="0"/>
    <xf numFmtId="177" fontId="27" fillId="0" borderId="0"/>
    <xf numFmtId="0" fontId="20" fillId="0" borderId="0"/>
    <xf numFmtId="0" fontId="20" fillId="0" borderId="0"/>
    <xf numFmtId="177" fontId="27"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20" fillId="0" borderId="0">
      <alignment vertical="top"/>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45" fillId="0" borderId="0"/>
    <xf numFmtId="0" fontId="20" fillId="0" borderId="0"/>
    <xf numFmtId="0" fontId="45" fillId="0" borderId="0"/>
    <xf numFmtId="0" fontId="20" fillId="0" borderId="0"/>
    <xf numFmtId="0" fontId="45" fillId="0" borderId="0"/>
    <xf numFmtId="0" fontId="45" fillId="0" borderId="0"/>
    <xf numFmtId="0" fontId="20" fillId="0" borderId="0"/>
    <xf numFmtId="0" fontId="45" fillId="0" borderId="0"/>
    <xf numFmtId="0" fontId="20" fillId="0" borderId="0"/>
    <xf numFmtId="170" fontId="27" fillId="0" borderId="0"/>
    <xf numFmtId="0" fontId="20" fillId="0" borderId="0"/>
    <xf numFmtId="0" fontId="45"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170" fontId="27" fillId="0" borderId="0"/>
    <xf numFmtId="0" fontId="27" fillId="0" borderId="0"/>
    <xf numFmtId="0" fontId="20" fillId="0" borderId="0"/>
    <xf numFmtId="170" fontId="27" fillId="0" borderId="0"/>
    <xf numFmtId="0" fontId="20" fillId="0" borderId="0"/>
    <xf numFmtId="0" fontId="45" fillId="0" borderId="0"/>
    <xf numFmtId="177" fontId="27" fillId="0" borderId="0"/>
    <xf numFmtId="0" fontId="45" fillId="0" borderId="0"/>
    <xf numFmtId="170" fontId="27" fillId="0" borderId="0"/>
    <xf numFmtId="0" fontId="45" fillId="0" borderId="0"/>
    <xf numFmtId="0" fontId="45" fillId="0" borderId="0"/>
    <xf numFmtId="0" fontId="45" fillId="0" borderId="0"/>
    <xf numFmtId="0" fontId="45" fillId="0" borderId="0"/>
    <xf numFmtId="0" fontId="20" fillId="0" borderId="0"/>
    <xf numFmtId="0" fontId="20" fillId="0" borderId="0"/>
    <xf numFmtId="177" fontId="20" fillId="0" borderId="0"/>
    <xf numFmtId="0" fontId="20" fillId="0" borderId="0"/>
    <xf numFmtId="170" fontId="20" fillId="0" borderId="0"/>
    <xf numFmtId="0" fontId="20" fillId="0" borderId="0"/>
    <xf numFmtId="0" fontId="20" fillId="0" borderId="0"/>
    <xf numFmtId="0" fontId="20" fillId="0" borderId="0"/>
    <xf numFmtId="0" fontId="20" fillId="0" borderId="0"/>
    <xf numFmtId="0" fontId="20" fillId="0" borderId="0"/>
    <xf numFmtId="170" fontId="20" fillId="0" borderId="0"/>
    <xf numFmtId="177" fontId="20" fillId="0" borderId="0"/>
    <xf numFmtId="17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177" fontId="27" fillId="0" borderId="0"/>
    <xf numFmtId="0" fontId="20" fillId="0" borderId="0"/>
    <xf numFmtId="0" fontId="20" fillId="0" borderId="0"/>
    <xf numFmtId="177" fontId="27" fillId="0" borderId="0"/>
    <xf numFmtId="0" fontId="20" fillId="0" borderId="0"/>
    <xf numFmtId="0" fontId="20" fillId="0" borderId="0"/>
    <xf numFmtId="177" fontId="27" fillId="0" borderId="0"/>
    <xf numFmtId="0" fontId="20" fillId="0" borderId="0"/>
    <xf numFmtId="0" fontId="20" fillId="0" borderId="0"/>
    <xf numFmtId="177" fontId="27" fillId="0" borderId="0"/>
    <xf numFmtId="0" fontId="20" fillId="0" borderId="0"/>
    <xf numFmtId="0" fontId="20" fillId="0" borderId="0"/>
    <xf numFmtId="177" fontId="20" fillId="0" borderId="0"/>
    <xf numFmtId="0" fontId="20" fillId="0" borderId="0"/>
    <xf numFmtId="0" fontId="20" fillId="0" borderId="0"/>
    <xf numFmtId="177" fontId="20" fillId="0" borderId="0"/>
    <xf numFmtId="0" fontId="20" fillId="0" borderId="0"/>
    <xf numFmtId="0" fontId="20" fillId="0" borderId="0"/>
    <xf numFmtId="177" fontId="27" fillId="0" borderId="0"/>
    <xf numFmtId="0" fontId="20" fillId="0" borderId="0"/>
    <xf numFmtId="0" fontId="20" fillId="0" borderId="0"/>
    <xf numFmtId="177" fontId="20" fillId="0" borderId="0"/>
    <xf numFmtId="0"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0" fontId="20" fillId="0" borderId="0"/>
    <xf numFmtId="177" fontId="27" fillId="0" borderId="0"/>
    <xf numFmtId="177" fontId="27" fillId="0" borderId="0"/>
    <xf numFmtId="177" fontId="27" fillId="0" borderId="0"/>
    <xf numFmtId="177" fontId="27" fillId="0" borderId="0"/>
    <xf numFmtId="177" fontId="27" fillId="0" borderId="0"/>
    <xf numFmtId="177" fontId="27" fillId="0" borderId="0"/>
    <xf numFmtId="177" fontId="27" fillId="0" borderId="0"/>
    <xf numFmtId="177" fontId="27" fillId="0" borderId="0"/>
    <xf numFmtId="177" fontId="27" fillId="0" borderId="0"/>
    <xf numFmtId="177" fontId="27" fillId="0" borderId="0"/>
    <xf numFmtId="177" fontId="27"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7" fillId="0" borderId="0"/>
    <xf numFmtId="0" fontId="20" fillId="0" borderId="0"/>
    <xf numFmtId="177" fontId="20" fillId="0" borderId="0"/>
    <xf numFmtId="0" fontId="45" fillId="0" borderId="0"/>
    <xf numFmtId="177" fontId="27" fillId="0" borderId="0"/>
    <xf numFmtId="177" fontId="27" fillId="0" borderId="0"/>
    <xf numFmtId="177" fontId="27" fillId="0" borderId="0"/>
    <xf numFmtId="177" fontId="27" fillId="0" borderId="0"/>
    <xf numFmtId="177" fontId="27" fillId="0" borderId="0"/>
    <xf numFmtId="177" fontId="27" fillId="0" borderId="0"/>
    <xf numFmtId="177" fontId="27"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0" fontId="3" fillId="0" borderId="0"/>
    <xf numFmtId="170" fontId="3" fillId="0" borderId="0"/>
    <xf numFmtId="177" fontId="20" fillId="0" borderId="0"/>
    <xf numFmtId="0" fontId="61" fillId="0" borderId="0"/>
    <xf numFmtId="177" fontId="20" fillId="0" borderId="0"/>
    <xf numFmtId="177" fontId="20" fillId="0" borderId="0"/>
    <xf numFmtId="177" fontId="20" fillId="0" borderId="0"/>
    <xf numFmtId="177" fontId="20" fillId="0" borderId="0"/>
    <xf numFmtId="0" fontId="20" fillId="0" borderId="0"/>
    <xf numFmtId="177" fontId="27" fillId="0" borderId="0"/>
    <xf numFmtId="177" fontId="20" fillId="0" borderId="0"/>
    <xf numFmtId="0" fontId="20" fillId="0" borderId="0"/>
    <xf numFmtId="177" fontId="20" fillId="0" borderId="0"/>
    <xf numFmtId="0" fontId="45" fillId="0" borderId="0"/>
    <xf numFmtId="177" fontId="20" fillId="0" borderId="0"/>
    <xf numFmtId="0" fontId="61" fillId="0" borderId="0"/>
    <xf numFmtId="177" fontId="20" fillId="0" borderId="0"/>
    <xf numFmtId="0" fontId="61" fillId="0" borderId="0"/>
    <xf numFmtId="177" fontId="20" fillId="0" borderId="0"/>
    <xf numFmtId="177" fontId="20" fillId="0" borderId="0"/>
    <xf numFmtId="0" fontId="20" fillId="0" borderId="0"/>
    <xf numFmtId="0" fontId="20" fillId="0" borderId="0"/>
    <xf numFmtId="177" fontId="27" fillId="0" borderId="0"/>
    <xf numFmtId="0" fontId="20" fillId="0" borderId="0"/>
    <xf numFmtId="0" fontId="20" fillId="0" borderId="0"/>
    <xf numFmtId="0" fontId="20" fillId="0" borderId="0"/>
    <xf numFmtId="0" fontId="20" fillId="0" borderId="0"/>
    <xf numFmtId="177" fontId="27" fillId="0" borderId="0"/>
    <xf numFmtId="0" fontId="20" fillId="0" borderId="0"/>
    <xf numFmtId="0" fontId="20" fillId="0" borderId="0"/>
    <xf numFmtId="0" fontId="20" fillId="0" borderId="0"/>
    <xf numFmtId="0" fontId="20" fillId="0" borderId="0"/>
    <xf numFmtId="177" fontId="27" fillId="0" borderId="0"/>
    <xf numFmtId="0" fontId="20" fillId="0" borderId="0"/>
    <xf numFmtId="0" fontId="20" fillId="0" borderId="0"/>
    <xf numFmtId="0" fontId="20" fillId="0" borderId="0"/>
    <xf numFmtId="0" fontId="20" fillId="0" borderId="0"/>
    <xf numFmtId="177" fontId="27" fillId="0" borderId="0"/>
    <xf numFmtId="0" fontId="20" fillId="0" borderId="0"/>
    <xf numFmtId="0" fontId="20" fillId="0" borderId="0"/>
    <xf numFmtId="0" fontId="20" fillId="0" borderId="0"/>
    <xf numFmtId="0" fontId="20" fillId="0" borderId="0"/>
    <xf numFmtId="177" fontId="27" fillId="0" borderId="0"/>
    <xf numFmtId="0" fontId="20" fillId="0" borderId="0"/>
    <xf numFmtId="0" fontId="20" fillId="0" borderId="0"/>
    <xf numFmtId="0" fontId="20" fillId="0" borderId="0"/>
    <xf numFmtId="0" fontId="20" fillId="0" borderId="0"/>
    <xf numFmtId="177" fontId="27" fillId="0" borderId="0"/>
    <xf numFmtId="0" fontId="20" fillId="0" borderId="0"/>
    <xf numFmtId="0" fontId="20" fillId="0" borderId="0"/>
    <xf numFmtId="0" fontId="20" fillId="0" borderId="0"/>
    <xf numFmtId="0" fontId="20" fillId="0" borderId="0"/>
    <xf numFmtId="177" fontId="27" fillId="0" borderId="0"/>
    <xf numFmtId="0" fontId="20" fillId="0" borderId="0"/>
    <xf numFmtId="0" fontId="20" fillId="0" borderId="0"/>
    <xf numFmtId="0" fontId="20" fillId="0" borderId="0"/>
    <xf numFmtId="0" fontId="20" fillId="0" borderId="0"/>
    <xf numFmtId="177" fontId="27" fillId="0" borderId="0"/>
    <xf numFmtId="0" fontId="20" fillId="0" borderId="0"/>
    <xf numFmtId="0" fontId="20" fillId="0" borderId="0"/>
    <xf numFmtId="0" fontId="20" fillId="0" borderId="0"/>
    <xf numFmtId="0" fontId="20" fillId="0" borderId="0"/>
    <xf numFmtId="177" fontId="20" fillId="0" borderId="0"/>
    <xf numFmtId="0" fontId="20" fillId="0" borderId="0"/>
    <xf numFmtId="0" fontId="20" fillId="0" borderId="0"/>
    <xf numFmtId="0" fontId="20" fillId="0" borderId="0"/>
    <xf numFmtId="0" fontId="20" fillId="0" borderId="0"/>
    <xf numFmtId="177" fontId="20" fillId="0" borderId="0"/>
    <xf numFmtId="0"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7" fillId="0" borderId="0"/>
    <xf numFmtId="177" fontId="27" fillId="0" borderId="0"/>
    <xf numFmtId="177" fontId="27" fillId="0" borderId="0"/>
    <xf numFmtId="177" fontId="27" fillId="0" borderId="0"/>
    <xf numFmtId="177" fontId="27" fillId="0" borderId="0"/>
    <xf numFmtId="177" fontId="27" fillId="0" borderId="0"/>
    <xf numFmtId="177" fontId="27" fillId="0" borderId="0"/>
    <xf numFmtId="177" fontId="27" fillId="0" borderId="0"/>
    <xf numFmtId="177" fontId="27" fillId="0" borderId="0"/>
    <xf numFmtId="177" fontId="27" fillId="0" borderId="0"/>
    <xf numFmtId="177" fontId="27" fillId="0" borderId="0"/>
    <xf numFmtId="177" fontId="27" fillId="0" borderId="0"/>
    <xf numFmtId="0" fontId="20" fillId="0" borderId="0"/>
    <xf numFmtId="177" fontId="27" fillId="0" borderId="0"/>
    <xf numFmtId="177" fontId="27" fillId="0" borderId="0"/>
    <xf numFmtId="177" fontId="27" fillId="0" borderId="0"/>
    <xf numFmtId="177" fontId="27" fillId="0" borderId="0"/>
    <xf numFmtId="177" fontId="27" fillId="0" borderId="0"/>
    <xf numFmtId="177" fontId="27" fillId="0" borderId="0"/>
    <xf numFmtId="177" fontId="27" fillId="0" borderId="0"/>
    <xf numFmtId="177" fontId="20" fillId="0" borderId="0"/>
    <xf numFmtId="0" fontId="20" fillId="0" borderId="0"/>
    <xf numFmtId="177" fontId="27"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177" fontId="2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177" fontId="27" fillId="0" borderId="0"/>
    <xf numFmtId="0" fontId="20" fillId="0" borderId="0"/>
    <xf numFmtId="0" fontId="20" fillId="0" borderId="0"/>
    <xf numFmtId="0" fontId="20" fillId="0" borderId="0"/>
    <xf numFmtId="0" fontId="20" fillId="0" borderId="0"/>
    <xf numFmtId="0" fontId="20" fillId="0" borderId="0"/>
    <xf numFmtId="177" fontId="20" fillId="0" borderId="0"/>
    <xf numFmtId="0" fontId="20" fillId="0" borderId="0"/>
    <xf numFmtId="177" fontId="20" fillId="0" borderId="0"/>
    <xf numFmtId="0" fontId="20" fillId="0" borderId="0"/>
    <xf numFmtId="0" fontId="20" fillId="0" borderId="0"/>
    <xf numFmtId="170" fontId="20" fillId="0" borderId="0"/>
    <xf numFmtId="0" fontId="20" fillId="0" borderId="0"/>
    <xf numFmtId="170" fontId="20" fillId="0" borderId="0"/>
    <xf numFmtId="0" fontId="20" fillId="0" borderId="0" applyNumberFormat="0" applyFill="0" applyBorder="0" applyAlignment="0" applyProtection="0"/>
    <xf numFmtId="0" fontId="20" fillId="0" borderId="0"/>
    <xf numFmtId="0" fontId="20" fillId="0" borderId="0"/>
    <xf numFmtId="177" fontId="20" fillId="0" borderId="0"/>
    <xf numFmtId="0" fontId="20" fillId="0" borderId="0"/>
    <xf numFmtId="170" fontId="20" fillId="0" borderId="0"/>
    <xf numFmtId="0" fontId="20" fillId="0" borderId="0" applyNumberFormat="0" applyFill="0" applyBorder="0" applyAlignment="0" applyProtection="0"/>
    <xf numFmtId="0" fontId="20" fillId="0" borderId="0"/>
    <xf numFmtId="0" fontId="20" fillId="0" borderId="0"/>
    <xf numFmtId="0" fontId="20" fillId="0" borderId="0" applyNumberFormat="0" applyFill="0" applyBorder="0" applyAlignment="0" applyProtection="0"/>
    <xf numFmtId="0" fontId="20" fillId="0" borderId="0"/>
    <xf numFmtId="0" fontId="20" fillId="0" borderId="0"/>
    <xf numFmtId="177" fontId="20" fillId="0" borderId="0"/>
    <xf numFmtId="0" fontId="20" fillId="0" borderId="0"/>
    <xf numFmtId="0" fontId="60" fillId="0" borderId="0"/>
    <xf numFmtId="0" fontId="20" fillId="0" borderId="0"/>
    <xf numFmtId="0" fontId="20" fillId="0" borderId="0"/>
    <xf numFmtId="177" fontId="20" fillId="0" borderId="0"/>
    <xf numFmtId="0" fontId="20" fillId="0" borderId="0"/>
    <xf numFmtId="0" fontId="60" fillId="0" borderId="0"/>
    <xf numFmtId="177" fontId="20" fillId="0" borderId="0"/>
    <xf numFmtId="0" fontId="20" fillId="0" borderId="0"/>
    <xf numFmtId="0" fontId="20" fillId="0" borderId="0"/>
    <xf numFmtId="0" fontId="20" fillId="0" borderId="0"/>
    <xf numFmtId="0" fontId="20" fillId="0" borderId="0"/>
    <xf numFmtId="177" fontId="20" fillId="0" borderId="0"/>
    <xf numFmtId="0" fontId="20" fillId="0" borderId="0"/>
    <xf numFmtId="0" fontId="60" fillId="0" borderId="0"/>
    <xf numFmtId="177" fontId="20" fillId="0" borderId="0"/>
    <xf numFmtId="0" fontId="60" fillId="0" borderId="0"/>
    <xf numFmtId="177" fontId="20" fillId="0" borderId="0"/>
    <xf numFmtId="0" fontId="60" fillId="0" borderId="0"/>
    <xf numFmtId="177" fontId="20" fillId="0" borderId="0"/>
    <xf numFmtId="0" fontId="60" fillId="0" borderId="0"/>
    <xf numFmtId="177" fontId="20" fillId="0" borderId="0"/>
    <xf numFmtId="0" fontId="60" fillId="0" borderId="0"/>
    <xf numFmtId="177" fontId="20" fillId="0" borderId="0"/>
    <xf numFmtId="0" fontId="60" fillId="0" borderId="0"/>
    <xf numFmtId="177" fontId="20" fillId="0" borderId="0"/>
    <xf numFmtId="0" fontId="60" fillId="0" borderId="0"/>
    <xf numFmtId="177" fontId="20" fillId="0" borderId="0"/>
    <xf numFmtId="0" fontId="60" fillId="0" borderId="0"/>
    <xf numFmtId="177" fontId="20" fillId="0" borderId="0"/>
    <xf numFmtId="0" fontId="60" fillId="0" borderId="0"/>
    <xf numFmtId="177" fontId="20" fillId="0" borderId="0"/>
    <xf numFmtId="0" fontId="60" fillId="0" borderId="0"/>
    <xf numFmtId="177"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17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17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20" fillId="0" borderId="0"/>
    <xf numFmtId="0" fontId="20" fillId="0" borderId="0"/>
    <xf numFmtId="0" fontId="20" fillId="0" borderId="0"/>
    <xf numFmtId="0" fontId="20" fillId="0" borderId="0"/>
    <xf numFmtId="17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20" fillId="0" borderId="0"/>
    <xf numFmtId="0" fontId="20" fillId="0" borderId="0"/>
    <xf numFmtId="0" fontId="20" fillId="0" borderId="0"/>
    <xf numFmtId="0" fontId="20" fillId="0" borderId="0"/>
    <xf numFmtId="17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20" fillId="0" borderId="0"/>
    <xf numFmtId="177"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20" fillId="0" borderId="0"/>
    <xf numFmtId="177"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20" fillId="0" borderId="0"/>
    <xf numFmtId="0" fontId="20" fillId="0" borderId="0"/>
    <xf numFmtId="0" fontId="20" fillId="0" borderId="0"/>
    <xf numFmtId="177"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20" fillId="0" borderId="0"/>
    <xf numFmtId="0" fontId="3" fillId="0" borderId="0"/>
    <xf numFmtId="170" fontId="20" fillId="0" borderId="0"/>
    <xf numFmtId="0" fontId="20" fillId="0" borderId="0"/>
    <xf numFmtId="177"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4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20" fillId="0" borderId="0"/>
    <xf numFmtId="0" fontId="20" fillId="0" borderId="0"/>
    <xf numFmtId="0" fontId="20" fillId="0" borderId="0"/>
    <xf numFmtId="0" fontId="20" fillId="0" borderId="0"/>
    <xf numFmtId="17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20" fillId="0" borderId="0"/>
    <xf numFmtId="177" fontId="20" fillId="0" borderId="0"/>
    <xf numFmtId="0" fontId="20" fillId="0" borderId="0"/>
    <xf numFmtId="0" fontId="20" fillId="0" borderId="0"/>
    <xf numFmtId="0" fontId="3" fillId="0" borderId="0"/>
    <xf numFmtId="0" fontId="20" fillId="0" borderId="0"/>
    <xf numFmtId="177"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20" fillId="0" borderId="0"/>
    <xf numFmtId="0" fontId="20" fillId="0" borderId="0"/>
    <xf numFmtId="0" fontId="20" fillId="0" borderId="0"/>
    <xf numFmtId="0" fontId="20" fillId="0" borderId="0"/>
    <xf numFmtId="17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17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177"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20" fillId="0" borderId="0"/>
    <xf numFmtId="0" fontId="20" fillId="0" borderId="0"/>
    <xf numFmtId="0" fontId="20" fillId="0" borderId="0"/>
    <xf numFmtId="0" fontId="20" fillId="0" borderId="0"/>
    <xf numFmtId="177" fontId="2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177" fontId="2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177" fontId="2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177" fontId="2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177" fontId="27" fillId="0" borderId="0"/>
    <xf numFmtId="0" fontId="20" fillId="0" borderId="0"/>
    <xf numFmtId="0" fontId="20" fillId="0" borderId="0"/>
    <xf numFmtId="0" fontId="20" fillId="0" borderId="0"/>
    <xf numFmtId="0" fontId="20" fillId="0" borderId="0"/>
    <xf numFmtId="0" fontId="20" fillId="0" borderId="0"/>
    <xf numFmtId="0" fontId="62" fillId="0" borderId="0"/>
    <xf numFmtId="0" fontId="3" fillId="0" borderId="0"/>
    <xf numFmtId="0" fontId="62" fillId="0" borderId="0"/>
    <xf numFmtId="0" fontId="3" fillId="0" borderId="0"/>
    <xf numFmtId="0" fontId="62" fillId="0" borderId="0"/>
    <xf numFmtId="0" fontId="3" fillId="0" borderId="0"/>
    <xf numFmtId="0" fontId="62" fillId="0" borderId="0"/>
    <xf numFmtId="0" fontId="3" fillId="0" borderId="0"/>
    <xf numFmtId="0" fontId="62" fillId="0" borderId="0"/>
    <xf numFmtId="0" fontId="3" fillId="0" borderId="0"/>
    <xf numFmtId="0" fontId="62" fillId="0" borderId="0"/>
    <xf numFmtId="0" fontId="3" fillId="0" borderId="0"/>
    <xf numFmtId="0" fontId="62" fillId="0" borderId="0"/>
    <xf numFmtId="0" fontId="20" fillId="0" borderId="0"/>
    <xf numFmtId="0" fontId="20" fillId="0" borderId="0"/>
    <xf numFmtId="0" fontId="62" fillId="0" borderId="0"/>
    <xf numFmtId="0" fontId="20" fillId="0" borderId="0"/>
    <xf numFmtId="0" fontId="20" fillId="0" borderId="0"/>
    <xf numFmtId="0" fontId="20" fillId="0" borderId="0"/>
    <xf numFmtId="0" fontId="20" fillId="0" borderId="0"/>
    <xf numFmtId="0" fontId="20" fillId="0" borderId="0"/>
    <xf numFmtId="0" fontId="20" fillId="0" borderId="0"/>
    <xf numFmtId="177" fontId="27" fillId="0" borderId="0"/>
    <xf numFmtId="0" fontId="20" fillId="0" borderId="0"/>
    <xf numFmtId="0" fontId="62" fillId="0" borderId="0"/>
    <xf numFmtId="0" fontId="20" fillId="0" borderId="0"/>
    <xf numFmtId="0" fontId="20" fillId="0" borderId="0"/>
    <xf numFmtId="0" fontId="62" fillId="0" borderId="0"/>
    <xf numFmtId="0" fontId="20" fillId="0" borderId="0"/>
    <xf numFmtId="0" fontId="20" fillId="0" borderId="0"/>
    <xf numFmtId="0" fontId="62" fillId="0" borderId="0"/>
    <xf numFmtId="0" fontId="20" fillId="0" borderId="0"/>
    <xf numFmtId="0" fontId="20" fillId="0" borderId="0"/>
    <xf numFmtId="0" fontId="62" fillId="0" borderId="0"/>
    <xf numFmtId="0" fontId="3" fillId="0" borderId="0"/>
    <xf numFmtId="0" fontId="62" fillId="0" borderId="0"/>
    <xf numFmtId="0" fontId="62" fillId="0" borderId="0"/>
    <xf numFmtId="0" fontId="62" fillId="0" borderId="0"/>
    <xf numFmtId="0" fontId="62" fillId="0" borderId="0"/>
    <xf numFmtId="0" fontId="62" fillId="0" borderId="0"/>
    <xf numFmtId="0" fontId="62" fillId="0" borderId="0"/>
    <xf numFmtId="0" fontId="20" fillId="0" borderId="0"/>
    <xf numFmtId="0" fontId="20" fillId="0" borderId="0"/>
    <xf numFmtId="0" fontId="20" fillId="0" borderId="0"/>
    <xf numFmtId="0" fontId="20" fillId="0" borderId="0"/>
    <xf numFmtId="177" fontId="27" fillId="0" borderId="0"/>
    <xf numFmtId="0" fontId="20"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20" fillId="0" borderId="0"/>
    <xf numFmtId="0" fontId="20" fillId="0" borderId="0"/>
    <xf numFmtId="0" fontId="20" fillId="0" borderId="0"/>
    <xf numFmtId="0" fontId="20" fillId="0" borderId="0"/>
    <xf numFmtId="177" fontId="27" fillId="0" borderId="0"/>
    <xf numFmtId="0" fontId="20" fillId="0" borderId="0"/>
    <xf numFmtId="0" fontId="62" fillId="0" borderId="0"/>
    <xf numFmtId="0" fontId="62" fillId="0" borderId="0"/>
    <xf numFmtId="0" fontId="20" fillId="0" borderId="0"/>
    <xf numFmtId="0" fontId="20" fillId="0" borderId="0"/>
    <xf numFmtId="0" fontId="20" fillId="0" borderId="0"/>
    <xf numFmtId="0" fontId="20" fillId="0" borderId="0"/>
    <xf numFmtId="177" fontId="27" fillId="0" borderId="0"/>
    <xf numFmtId="0" fontId="20" fillId="0" borderId="0"/>
    <xf numFmtId="0" fontId="20" fillId="0" borderId="0"/>
    <xf numFmtId="0" fontId="20" fillId="0" borderId="0"/>
    <xf numFmtId="0" fontId="20" fillId="0" borderId="0"/>
    <xf numFmtId="0" fontId="20" fillId="0" borderId="0"/>
    <xf numFmtId="177" fontId="2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177" fontId="27" fillId="0" borderId="0"/>
    <xf numFmtId="0" fontId="20" fillId="0" borderId="0">
      <alignment vertical="top"/>
    </xf>
    <xf numFmtId="0" fontId="20" fillId="0" borderId="0"/>
    <xf numFmtId="0" fontId="20" fillId="0" borderId="0"/>
    <xf numFmtId="0" fontId="20" fillId="0" borderId="0"/>
    <xf numFmtId="0" fontId="20" fillId="0" borderId="0"/>
    <xf numFmtId="0" fontId="20" fillId="0" borderId="0"/>
    <xf numFmtId="0" fontId="20" fillId="0" borderId="0"/>
    <xf numFmtId="177" fontId="27" fillId="0" borderId="0"/>
    <xf numFmtId="0" fontId="20" fillId="0" borderId="0"/>
    <xf numFmtId="0" fontId="20" fillId="0" borderId="0"/>
    <xf numFmtId="0" fontId="20" fillId="0" borderId="0"/>
    <xf numFmtId="0" fontId="20" fillId="0" borderId="0"/>
    <xf numFmtId="177" fontId="27" fillId="0" borderId="0"/>
    <xf numFmtId="0" fontId="20" fillId="0" borderId="0"/>
    <xf numFmtId="0" fontId="20" fillId="0" borderId="0"/>
    <xf numFmtId="0" fontId="20" fillId="0" borderId="0"/>
    <xf numFmtId="0" fontId="20" fillId="0" borderId="0"/>
    <xf numFmtId="177" fontId="27" fillId="0" borderId="0"/>
    <xf numFmtId="0" fontId="20" fillId="0" borderId="0"/>
    <xf numFmtId="0" fontId="20" fillId="0" borderId="0"/>
    <xf numFmtId="0" fontId="20" fillId="0" borderId="0"/>
    <xf numFmtId="0" fontId="20" fillId="0" borderId="0"/>
    <xf numFmtId="177" fontId="27" fillId="0" borderId="0"/>
    <xf numFmtId="0" fontId="20" fillId="0" borderId="0"/>
    <xf numFmtId="0" fontId="20" fillId="0" borderId="0"/>
    <xf numFmtId="0" fontId="20" fillId="0" borderId="0"/>
    <xf numFmtId="0" fontId="20" fillId="0" borderId="0"/>
    <xf numFmtId="177" fontId="27" fillId="0" borderId="0"/>
    <xf numFmtId="0" fontId="20" fillId="0" borderId="0"/>
    <xf numFmtId="0" fontId="20" fillId="0" borderId="0"/>
    <xf numFmtId="0" fontId="20" fillId="0" borderId="0"/>
    <xf numFmtId="0" fontId="20" fillId="0" borderId="0"/>
    <xf numFmtId="177" fontId="27" fillId="0" borderId="0"/>
    <xf numFmtId="0" fontId="20" fillId="0" borderId="0"/>
    <xf numFmtId="0" fontId="20" fillId="0" borderId="0"/>
    <xf numFmtId="0" fontId="20" fillId="0" borderId="0"/>
    <xf numFmtId="0" fontId="20" fillId="0" borderId="0"/>
    <xf numFmtId="177" fontId="27" fillId="0" borderId="0"/>
    <xf numFmtId="0" fontId="20" fillId="0" borderId="0"/>
    <xf numFmtId="0" fontId="20" fillId="0" borderId="0"/>
    <xf numFmtId="0" fontId="20" fillId="0" borderId="0"/>
    <xf numFmtId="177" fontId="27" fillId="0" borderId="0"/>
    <xf numFmtId="0" fontId="20" fillId="0" borderId="0"/>
    <xf numFmtId="0" fontId="20" fillId="0" borderId="0"/>
    <xf numFmtId="177" fontId="27" fillId="0" borderId="0"/>
    <xf numFmtId="0" fontId="20" fillId="0" borderId="0"/>
    <xf numFmtId="0" fontId="20" fillId="0" borderId="0"/>
    <xf numFmtId="177" fontId="2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170" fontId="20" fillId="0" borderId="0"/>
    <xf numFmtId="0" fontId="20" fillId="0" borderId="0"/>
    <xf numFmtId="177" fontId="2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177" fontId="27" fillId="0" borderId="0"/>
    <xf numFmtId="0" fontId="20" fillId="0" borderId="0"/>
    <xf numFmtId="0" fontId="20" fillId="0" borderId="0"/>
    <xf numFmtId="177" fontId="27" fillId="0" borderId="0"/>
    <xf numFmtId="0" fontId="20" fillId="0" borderId="0"/>
    <xf numFmtId="0" fontId="20" fillId="0" borderId="0"/>
    <xf numFmtId="177" fontId="27" fillId="0" borderId="0"/>
    <xf numFmtId="0" fontId="20" fillId="0" borderId="0"/>
    <xf numFmtId="0" fontId="20" fillId="0" borderId="0"/>
    <xf numFmtId="177" fontId="27" fillId="0" borderId="0"/>
    <xf numFmtId="0" fontId="20" fillId="0" borderId="0"/>
    <xf numFmtId="0" fontId="20" fillId="0" borderId="0"/>
    <xf numFmtId="177" fontId="27" fillId="0" borderId="0"/>
    <xf numFmtId="0" fontId="20" fillId="0" borderId="0"/>
    <xf numFmtId="0" fontId="20" fillId="0" borderId="0"/>
    <xf numFmtId="177" fontId="27" fillId="0" borderId="0"/>
    <xf numFmtId="0" fontId="20" fillId="0" borderId="0"/>
    <xf numFmtId="0" fontId="20" fillId="0" borderId="0"/>
    <xf numFmtId="177" fontId="27" fillId="0" borderId="0"/>
    <xf numFmtId="0" fontId="20" fillId="0" borderId="0"/>
    <xf numFmtId="0" fontId="20" fillId="0" borderId="0"/>
    <xf numFmtId="177" fontId="27" fillId="0" borderId="0"/>
    <xf numFmtId="0" fontId="20" fillId="0" borderId="0"/>
    <xf numFmtId="0" fontId="20" fillId="0" borderId="0"/>
    <xf numFmtId="177" fontId="27" fillId="0" borderId="0"/>
    <xf numFmtId="0" fontId="20" fillId="0" borderId="0"/>
    <xf numFmtId="0" fontId="20" fillId="0" borderId="0"/>
    <xf numFmtId="177" fontId="27" fillId="0" borderId="0"/>
    <xf numFmtId="0" fontId="20" fillId="0" borderId="0"/>
    <xf numFmtId="0" fontId="20" fillId="0" borderId="0"/>
    <xf numFmtId="0" fontId="20" fillId="0" borderId="0"/>
    <xf numFmtId="0" fontId="20" fillId="0" borderId="0"/>
    <xf numFmtId="177" fontId="27" fillId="0" borderId="0"/>
    <xf numFmtId="0" fontId="20" fillId="0" borderId="0"/>
    <xf numFmtId="0" fontId="20" fillId="0" borderId="0"/>
    <xf numFmtId="0" fontId="20" fillId="0" borderId="0"/>
    <xf numFmtId="177" fontId="27" fillId="0" borderId="0"/>
    <xf numFmtId="0" fontId="20" fillId="0" borderId="0"/>
    <xf numFmtId="0" fontId="20" fillId="0" borderId="0"/>
    <xf numFmtId="177" fontId="27" fillId="0" borderId="0"/>
    <xf numFmtId="0" fontId="20" fillId="0" borderId="0"/>
    <xf numFmtId="0" fontId="20" fillId="0" borderId="0"/>
    <xf numFmtId="177" fontId="27" fillId="0" borderId="0"/>
    <xf numFmtId="0" fontId="20" fillId="0" borderId="0"/>
    <xf numFmtId="0" fontId="20" fillId="0" borderId="0"/>
    <xf numFmtId="177" fontId="27" fillId="0" borderId="0"/>
    <xf numFmtId="0" fontId="20" fillId="0" borderId="0"/>
    <xf numFmtId="0" fontId="20" fillId="0" borderId="0"/>
    <xf numFmtId="177" fontId="27" fillId="0" borderId="0"/>
    <xf numFmtId="0" fontId="20" fillId="0" borderId="0"/>
    <xf numFmtId="0" fontId="20" fillId="0" borderId="0"/>
    <xf numFmtId="177" fontId="27" fillId="0" borderId="0"/>
    <xf numFmtId="0" fontId="20" fillId="0" borderId="0"/>
    <xf numFmtId="0" fontId="20" fillId="0" borderId="0"/>
    <xf numFmtId="177" fontId="2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177" fontId="2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177" fontId="2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177" fontId="2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177" fontId="2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177" fontId="2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17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0"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0" fontId="3" fillId="0" borderId="0"/>
    <xf numFmtId="177" fontId="3" fillId="0" borderId="0"/>
    <xf numFmtId="177" fontId="3" fillId="0" borderId="0"/>
    <xf numFmtId="177" fontId="3" fillId="0" borderId="0"/>
    <xf numFmtId="177" fontId="3" fillId="0" borderId="0"/>
    <xf numFmtId="177" fontId="3" fillId="0" borderId="0"/>
    <xf numFmtId="0"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0"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0"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0" fontId="3" fillId="0" borderId="0"/>
    <xf numFmtId="0" fontId="20" fillId="0" borderId="0"/>
    <xf numFmtId="0" fontId="3" fillId="0" borderId="0"/>
    <xf numFmtId="0" fontId="3" fillId="0" borderId="0"/>
    <xf numFmtId="177" fontId="27" fillId="0" borderId="0"/>
    <xf numFmtId="0" fontId="3" fillId="0" borderId="0"/>
    <xf numFmtId="0" fontId="20" fillId="0" borderId="0"/>
    <xf numFmtId="0" fontId="3" fillId="0" borderId="0"/>
    <xf numFmtId="0" fontId="3" fillId="0" borderId="0"/>
    <xf numFmtId="177" fontId="27" fillId="0" borderId="0"/>
    <xf numFmtId="0" fontId="3" fillId="0" borderId="0"/>
    <xf numFmtId="0" fontId="20" fillId="0" borderId="0"/>
    <xf numFmtId="0" fontId="3" fillId="0" borderId="0"/>
    <xf numFmtId="0" fontId="3" fillId="0" borderId="0"/>
    <xf numFmtId="177" fontId="27" fillId="0" borderId="0"/>
    <xf numFmtId="0" fontId="3" fillId="0" borderId="0"/>
    <xf numFmtId="0" fontId="20" fillId="0" borderId="0"/>
    <xf numFmtId="0" fontId="3" fillId="0" borderId="0"/>
    <xf numFmtId="0" fontId="3" fillId="0" borderId="0"/>
    <xf numFmtId="177" fontId="27" fillId="0" borderId="0"/>
    <xf numFmtId="0" fontId="3" fillId="0" borderId="0"/>
    <xf numFmtId="0" fontId="20" fillId="0" borderId="0"/>
    <xf numFmtId="0" fontId="3" fillId="0" borderId="0"/>
    <xf numFmtId="0" fontId="3" fillId="0" borderId="0"/>
    <xf numFmtId="177" fontId="27" fillId="0" borderId="0"/>
    <xf numFmtId="0" fontId="3" fillId="0" borderId="0"/>
    <xf numFmtId="0" fontId="20" fillId="0" borderId="0"/>
    <xf numFmtId="0" fontId="3" fillId="0" borderId="0"/>
    <xf numFmtId="0" fontId="3" fillId="0" borderId="0"/>
    <xf numFmtId="177" fontId="27" fillId="0" borderId="0"/>
    <xf numFmtId="0"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0"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0" fontId="3" fillId="0" borderId="0"/>
    <xf numFmtId="177" fontId="3" fillId="0" borderId="0"/>
    <xf numFmtId="177" fontId="3" fillId="0" borderId="0"/>
    <xf numFmtId="177" fontId="3" fillId="0" borderId="0"/>
    <xf numFmtId="177" fontId="3" fillId="0" borderId="0"/>
    <xf numFmtId="177" fontId="3" fillId="0" borderId="0"/>
    <xf numFmtId="0"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0"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0"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0" fontId="3" fillId="0" borderId="0"/>
    <xf numFmtId="0" fontId="20" fillId="0" borderId="0"/>
    <xf numFmtId="0" fontId="3" fillId="0" borderId="0"/>
    <xf numFmtId="0" fontId="3" fillId="0" borderId="0"/>
    <xf numFmtId="177" fontId="27" fillId="0" borderId="0"/>
    <xf numFmtId="0" fontId="3" fillId="0" borderId="0"/>
    <xf numFmtId="0" fontId="20" fillId="0" borderId="0"/>
    <xf numFmtId="0" fontId="3" fillId="0" borderId="0"/>
    <xf numFmtId="0" fontId="3" fillId="0" borderId="0"/>
    <xf numFmtId="177" fontId="27" fillId="0" borderId="0"/>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xf numFmtId="0" fontId="20" fillId="0" borderId="0">
      <alignment vertical="top"/>
    </xf>
    <xf numFmtId="0" fontId="20" fillId="0" borderId="0">
      <alignment vertical="top"/>
    </xf>
    <xf numFmtId="0" fontId="20" fillId="0" borderId="0"/>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3" fillId="0" borderId="0"/>
    <xf numFmtId="0" fontId="20" fillId="0" borderId="0">
      <alignment vertical="top"/>
    </xf>
    <xf numFmtId="177" fontId="27" fillId="0" borderId="0"/>
    <xf numFmtId="0" fontId="20" fillId="0" borderId="0">
      <alignment vertical="top"/>
    </xf>
    <xf numFmtId="0" fontId="20" fillId="0" borderId="0"/>
    <xf numFmtId="0" fontId="3" fillId="0" borderId="0"/>
    <xf numFmtId="0" fontId="20" fillId="0" borderId="0"/>
    <xf numFmtId="0" fontId="3" fillId="0" borderId="0"/>
    <xf numFmtId="0" fontId="3" fillId="0" borderId="0"/>
    <xf numFmtId="177" fontId="27" fillId="0" borderId="0"/>
    <xf numFmtId="0" fontId="3" fillId="0" borderId="0"/>
    <xf numFmtId="0" fontId="20" fillId="0" borderId="0"/>
    <xf numFmtId="0" fontId="3" fillId="0" borderId="0"/>
    <xf numFmtId="0" fontId="3" fillId="0" borderId="0"/>
    <xf numFmtId="177" fontId="27" fillId="0" borderId="0"/>
    <xf numFmtId="0" fontId="20" fillId="0" borderId="0"/>
    <xf numFmtId="0" fontId="20" fillId="0" borderId="0"/>
    <xf numFmtId="177" fontId="27" fillId="0" borderId="0"/>
    <xf numFmtId="0" fontId="20" fillId="0" borderId="0"/>
    <xf numFmtId="0" fontId="20" fillId="0" borderId="0"/>
    <xf numFmtId="0" fontId="20" fillId="0" borderId="0"/>
    <xf numFmtId="0" fontId="3" fillId="0" borderId="0"/>
    <xf numFmtId="0" fontId="3" fillId="0" borderId="0"/>
    <xf numFmtId="0" fontId="3" fillId="0" borderId="0"/>
    <xf numFmtId="0" fontId="3" fillId="0" borderId="0"/>
    <xf numFmtId="0" fontId="20" fillId="0" borderId="0">
      <alignment vertical="top"/>
    </xf>
    <xf numFmtId="170" fontId="20" fillId="0" borderId="0"/>
    <xf numFmtId="0" fontId="20" fillId="0" borderId="0">
      <alignment vertical="top"/>
    </xf>
    <xf numFmtId="177" fontId="27" fillId="0" borderId="0"/>
    <xf numFmtId="0" fontId="20" fillId="0" borderId="0"/>
    <xf numFmtId="0" fontId="20" fillId="0" borderId="0"/>
    <xf numFmtId="0" fontId="20" fillId="0" borderId="0"/>
    <xf numFmtId="0" fontId="20" fillId="0" borderId="0">
      <alignment vertical="top"/>
    </xf>
    <xf numFmtId="0" fontId="20" fillId="0" borderId="0"/>
    <xf numFmtId="0" fontId="20" fillId="0" borderId="0"/>
    <xf numFmtId="0" fontId="20" fillId="0" borderId="0"/>
    <xf numFmtId="0" fontId="20" fillId="0" borderId="0"/>
    <xf numFmtId="0" fontId="20" fillId="0" borderId="0"/>
    <xf numFmtId="0" fontId="20" fillId="0" borderId="0">
      <alignment vertical="top"/>
    </xf>
    <xf numFmtId="0" fontId="20" fillId="0" borderId="0">
      <alignment vertical="top"/>
    </xf>
    <xf numFmtId="0" fontId="3" fillId="0" borderId="0"/>
    <xf numFmtId="0" fontId="20" fillId="0" borderId="0">
      <alignment vertical="top"/>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0" fillId="0" borderId="0"/>
    <xf numFmtId="0" fontId="3" fillId="0" borderId="0"/>
    <xf numFmtId="0" fontId="3" fillId="0" borderId="0"/>
    <xf numFmtId="177" fontId="2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0" fillId="0" borderId="0"/>
    <xf numFmtId="0" fontId="3" fillId="0" borderId="0"/>
    <xf numFmtId="0" fontId="3" fillId="0" borderId="0"/>
    <xf numFmtId="177" fontId="27" fillId="0" borderId="0"/>
    <xf numFmtId="0" fontId="3" fillId="0" borderId="0"/>
    <xf numFmtId="0" fontId="3" fillId="0" borderId="0"/>
    <xf numFmtId="0" fontId="3" fillId="0" borderId="0"/>
    <xf numFmtId="0" fontId="3" fillId="0" borderId="0"/>
    <xf numFmtId="0" fontId="3" fillId="0" borderId="0"/>
    <xf numFmtId="0" fontId="20" fillId="0" borderId="0"/>
    <xf numFmtId="0" fontId="20" fillId="0" borderId="0"/>
    <xf numFmtId="0" fontId="20" fillId="0" borderId="0"/>
    <xf numFmtId="0" fontId="20" fillId="0" borderId="0"/>
    <xf numFmtId="0" fontId="20" fillId="0" borderId="0"/>
    <xf numFmtId="0" fontId="3" fillId="0" borderId="0"/>
    <xf numFmtId="0" fontId="20" fillId="0" borderId="0"/>
    <xf numFmtId="0" fontId="3" fillId="0" borderId="0"/>
    <xf numFmtId="0" fontId="3" fillId="0" borderId="0"/>
    <xf numFmtId="177" fontId="27" fillId="0" borderId="0"/>
    <xf numFmtId="177" fontId="27" fillId="0" borderId="0"/>
    <xf numFmtId="0" fontId="3" fillId="0" borderId="0"/>
    <xf numFmtId="0" fontId="20" fillId="0" borderId="0"/>
    <xf numFmtId="0" fontId="3" fillId="0" borderId="0"/>
    <xf numFmtId="0" fontId="3" fillId="0" borderId="0"/>
    <xf numFmtId="177" fontId="27" fillId="0" borderId="0"/>
    <xf numFmtId="0" fontId="3" fillId="0" borderId="0"/>
    <xf numFmtId="0" fontId="20" fillId="0" borderId="0"/>
    <xf numFmtId="0" fontId="3" fillId="0" borderId="0"/>
    <xf numFmtId="0" fontId="3" fillId="0" borderId="0"/>
    <xf numFmtId="177" fontId="27" fillId="0" borderId="0"/>
    <xf numFmtId="0" fontId="3" fillId="0" borderId="0"/>
    <xf numFmtId="0" fontId="20" fillId="0" borderId="0"/>
    <xf numFmtId="0" fontId="3" fillId="0" borderId="0"/>
    <xf numFmtId="0" fontId="3" fillId="0" borderId="0"/>
    <xf numFmtId="177" fontId="2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17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3" fillId="0" borderId="0"/>
    <xf numFmtId="0" fontId="20" fillId="0" borderId="0"/>
    <xf numFmtId="177" fontId="20" fillId="0" borderId="0"/>
    <xf numFmtId="0" fontId="60" fillId="0" borderId="0"/>
    <xf numFmtId="0" fontId="3" fillId="0" borderId="0"/>
    <xf numFmtId="0" fontId="63" fillId="0" borderId="0"/>
    <xf numFmtId="0" fontId="60" fillId="0" borderId="0"/>
    <xf numFmtId="0" fontId="63" fillId="0" borderId="0"/>
    <xf numFmtId="170" fontId="3" fillId="0" borderId="0"/>
    <xf numFmtId="0" fontId="63" fillId="0" borderId="0"/>
    <xf numFmtId="0" fontId="60" fillId="0" borderId="0"/>
    <xf numFmtId="0" fontId="3" fillId="0" borderId="0"/>
    <xf numFmtId="0" fontId="3" fillId="0" borderId="0"/>
    <xf numFmtId="0" fontId="63" fillId="0" borderId="0"/>
    <xf numFmtId="0" fontId="60" fillId="0" borderId="0"/>
    <xf numFmtId="0" fontId="63" fillId="0" borderId="0"/>
    <xf numFmtId="0" fontId="63" fillId="0" borderId="0"/>
    <xf numFmtId="0" fontId="60" fillId="0" borderId="0"/>
    <xf numFmtId="0" fontId="63" fillId="0" borderId="0"/>
    <xf numFmtId="0" fontId="63" fillId="0" borderId="0"/>
    <xf numFmtId="0" fontId="60" fillId="0" borderId="0"/>
    <xf numFmtId="0" fontId="64" fillId="0" borderId="0"/>
    <xf numFmtId="0" fontId="60" fillId="0" borderId="0"/>
    <xf numFmtId="0" fontId="64" fillId="0" borderId="0"/>
    <xf numFmtId="0" fontId="60" fillId="0" borderId="0"/>
    <xf numFmtId="0" fontId="63" fillId="0" borderId="0"/>
    <xf numFmtId="0" fontId="6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0" fillId="0" borderId="0"/>
    <xf numFmtId="0" fontId="3" fillId="0" borderId="0"/>
    <xf numFmtId="0" fontId="3" fillId="0" borderId="0"/>
    <xf numFmtId="0" fontId="2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70" fontId="20"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20" fillId="0" borderId="0"/>
    <xf numFmtId="0" fontId="20" fillId="0" borderId="0"/>
    <xf numFmtId="0" fontId="20" fillId="0" borderId="0"/>
    <xf numFmtId="0" fontId="3" fillId="0" borderId="0"/>
    <xf numFmtId="0" fontId="20" fillId="0" borderId="0"/>
    <xf numFmtId="0" fontId="20" fillId="0" borderId="0"/>
    <xf numFmtId="0" fontId="20" fillId="0" borderId="0"/>
    <xf numFmtId="0" fontId="20" fillId="0" borderId="0"/>
    <xf numFmtId="0" fontId="20" fillId="0" borderId="0"/>
    <xf numFmtId="0" fontId="3" fillId="0" borderId="0"/>
    <xf numFmtId="0" fontId="3" fillId="0" borderId="0"/>
    <xf numFmtId="170" fontId="20" fillId="0" borderId="0"/>
    <xf numFmtId="177"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60" fillId="0" borderId="0"/>
    <xf numFmtId="0" fontId="20" fillId="0" borderId="0"/>
    <xf numFmtId="0" fontId="20" fillId="0" borderId="0"/>
    <xf numFmtId="0" fontId="20" fillId="0" borderId="0"/>
    <xf numFmtId="0" fontId="20" fillId="0" borderId="0"/>
    <xf numFmtId="0" fontId="20" fillId="0" borderId="0"/>
    <xf numFmtId="0" fontId="20" fillId="0" borderId="0"/>
    <xf numFmtId="0" fontId="60" fillId="0" borderId="0"/>
    <xf numFmtId="0" fontId="20" fillId="0" borderId="0"/>
    <xf numFmtId="0" fontId="20" fillId="0" borderId="0"/>
    <xf numFmtId="0" fontId="60" fillId="0" borderId="0"/>
    <xf numFmtId="0" fontId="20" fillId="0" borderId="0"/>
    <xf numFmtId="0" fontId="20" fillId="0" borderId="0"/>
    <xf numFmtId="0" fontId="6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20" fillId="0" borderId="0"/>
    <xf numFmtId="0" fontId="3" fillId="0" borderId="0"/>
    <xf numFmtId="0" fontId="3" fillId="0" borderId="0"/>
    <xf numFmtId="0" fontId="65" fillId="0" borderId="0"/>
    <xf numFmtId="0" fontId="3" fillId="0" borderId="0"/>
    <xf numFmtId="0" fontId="20" fillId="0" borderId="0"/>
    <xf numFmtId="0" fontId="20" fillId="0" borderId="0"/>
    <xf numFmtId="0" fontId="20" fillId="0" borderId="0"/>
    <xf numFmtId="0" fontId="20" fillId="0" borderId="0"/>
    <xf numFmtId="168" fontId="20" fillId="0" borderId="0" applyFont="0" applyFill="0" applyBorder="0" applyAlignment="0" applyProtection="0"/>
    <xf numFmtId="177" fontId="20" fillId="0" borderId="0"/>
    <xf numFmtId="0" fontId="60" fillId="0" borderId="0"/>
    <xf numFmtId="0" fontId="20" fillId="0" borderId="0"/>
    <xf numFmtId="0" fontId="20" fillId="0" borderId="0"/>
    <xf numFmtId="0" fontId="60" fillId="0" borderId="0"/>
    <xf numFmtId="0" fontId="20" fillId="0" borderId="0"/>
    <xf numFmtId="0" fontId="20" fillId="0" borderId="0"/>
    <xf numFmtId="0" fontId="20" fillId="0" borderId="0"/>
    <xf numFmtId="0" fontId="60" fillId="0" borderId="0"/>
    <xf numFmtId="0" fontId="20" fillId="0" borderId="0"/>
    <xf numFmtId="0" fontId="20" fillId="0" borderId="0"/>
    <xf numFmtId="0" fontId="20" fillId="0" borderId="0"/>
    <xf numFmtId="0" fontId="20" fillId="0" borderId="0"/>
    <xf numFmtId="0" fontId="60" fillId="0" borderId="0"/>
    <xf numFmtId="0" fontId="20" fillId="0" borderId="0"/>
    <xf numFmtId="0" fontId="20" fillId="0" borderId="0"/>
    <xf numFmtId="0" fontId="60" fillId="0" borderId="0"/>
    <xf numFmtId="0" fontId="20" fillId="0" borderId="0"/>
    <xf numFmtId="0" fontId="20" fillId="0" borderId="0"/>
    <xf numFmtId="0" fontId="20" fillId="0" borderId="0"/>
    <xf numFmtId="0" fontId="20" fillId="0" borderId="0"/>
    <xf numFmtId="0" fontId="6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0" fillId="0" borderId="0"/>
    <xf numFmtId="0" fontId="3" fillId="0" borderId="0"/>
    <xf numFmtId="0" fontId="3" fillId="0" borderId="0"/>
    <xf numFmtId="0" fontId="2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0" fillId="0" borderId="0"/>
    <xf numFmtId="0" fontId="20" fillId="0" borderId="0"/>
    <xf numFmtId="0" fontId="20" fillId="0" borderId="0"/>
    <xf numFmtId="0" fontId="20" fillId="0" borderId="0"/>
    <xf numFmtId="0" fontId="3" fillId="0" borderId="0"/>
    <xf numFmtId="0" fontId="3" fillId="0" borderId="0"/>
    <xf numFmtId="0" fontId="20" fillId="0" borderId="0"/>
    <xf numFmtId="0" fontId="20" fillId="0" borderId="0"/>
    <xf numFmtId="0" fontId="20" fillId="0" borderId="0"/>
    <xf numFmtId="0" fontId="20" fillId="0" borderId="0"/>
    <xf numFmtId="0" fontId="3" fillId="0" borderId="0"/>
    <xf numFmtId="0" fontId="3" fillId="0" borderId="0"/>
    <xf numFmtId="0" fontId="20" fillId="0" borderId="0"/>
    <xf numFmtId="0" fontId="20" fillId="0" borderId="0"/>
    <xf numFmtId="0" fontId="20" fillId="0" borderId="0"/>
    <xf numFmtId="0" fontId="20" fillId="0" borderId="0"/>
    <xf numFmtId="0" fontId="3" fillId="0" borderId="0"/>
    <xf numFmtId="0" fontId="3" fillId="0" borderId="0"/>
    <xf numFmtId="0" fontId="20" fillId="0" borderId="0"/>
    <xf numFmtId="0" fontId="20" fillId="0" borderId="0"/>
    <xf numFmtId="0" fontId="20" fillId="0" borderId="0"/>
    <xf numFmtId="0" fontId="20" fillId="0" borderId="0"/>
    <xf numFmtId="0" fontId="3" fillId="0" borderId="0"/>
    <xf numFmtId="0" fontId="3" fillId="0" borderId="0"/>
    <xf numFmtId="0" fontId="20" fillId="0" borderId="0"/>
    <xf numFmtId="0" fontId="20" fillId="0" borderId="0"/>
    <xf numFmtId="0" fontId="20" fillId="0" borderId="0"/>
    <xf numFmtId="0" fontId="20" fillId="0" borderId="0"/>
    <xf numFmtId="0" fontId="3" fillId="0" borderId="0"/>
    <xf numFmtId="0" fontId="3" fillId="0" borderId="0"/>
    <xf numFmtId="0" fontId="20" fillId="0" borderId="0"/>
    <xf numFmtId="0" fontId="20" fillId="0" borderId="0"/>
    <xf numFmtId="0" fontId="20" fillId="0" borderId="0"/>
    <xf numFmtId="0" fontId="20" fillId="0" borderId="0"/>
    <xf numFmtId="0" fontId="3" fillId="0" borderId="0"/>
    <xf numFmtId="0" fontId="3" fillId="0" borderId="0"/>
    <xf numFmtId="0" fontId="20" fillId="0" borderId="0"/>
    <xf numFmtId="0" fontId="20" fillId="0" borderId="0"/>
    <xf numFmtId="0" fontId="20" fillId="0" borderId="0"/>
    <xf numFmtId="0" fontId="20" fillId="0" borderId="0"/>
    <xf numFmtId="0" fontId="3" fillId="0" borderId="0"/>
    <xf numFmtId="0" fontId="3" fillId="0" borderId="0"/>
    <xf numFmtId="0" fontId="20" fillId="0" borderId="0"/>
    <xf numFmtId="0" fontId="20" fillId="0" borderId="0"/>
    <xf numFmtId="0" fontId="20" fillId="0" borderId="0"/>
    <xf numFmtId="0" fontId="20" fillId="0" borderId="0"/>
    <xf numFmtId="0" fontId="3" fillId="0" borderId="0"/>
    <xf numFmtId="0" fontId="3" fillId="0" borderId="0"/>
    <xf numFmtId="0" fontId="20" fillId="0" borderId="0"/>
    <xf numFmtId="0" fontId="20" fillId="0" borderId="0"/>
    <xf numFmtId="0" fontId="20" fillId="0" borderId="0"/>
    <xf numFmtId="0" fontId="20" fillId="0" borderId="0"/>
    <xf numFmtId="0" fontId="3" fillId="0" borderId="0"/>
    <xf numFmtId="0" fontId="3" fillId="0" borderId="0"/>
    <xf numFmtId="0" fontId="20" fillId="0" borderId="0"/>
    <xf numFmtId="0" fontId="20" fillId="0" borderId="0"/>
    <xf numFmtId="0" fontId="20" fillId="0" borderId="0"/>
    <xf numFmtId="0" fontId="20" fillId="0" borderId="0"/>
    <xf numFmtId="0" fontId="3" fillId="0" borderId="0"/>
    <xf numFmtId="0" fontId="3" fillId="0" borderId="0"/>
    <xf numFmtId="0" fontId="20" fillId="0" borderId="0"/>
    <xf numFmtId="0" fontId="3" fillId="0" borderId="0"/>
    <xf numFmtId="0" fontId="20" fillId="0" borderId="0"/>
    <xf numFmtId="0" fontId="20" fillId="0" borderId="0"/>
    <xf numFmtId="0" fontId="20" fillId="0" borderId="0"/>
    <xf numFmtId="0" fontId="3" fillId="0" borderId="0"/>
    <xf numFmtId="0" fontId="3" fillId="0" borderId="0"/>
    <xf numFmtId="0" fontId="20" fillId="0" borderId="0"/>
    <xf numFmtId="0" fontId="20" fillId="0" borderId="0"/>
    <xf numFmtId="0" fontId="20" fillId="0" borderId="0"/>
    <xf numFmtId="0" fontId="20" fillId="0" borderId="0"/>
    <xf numFmtId="0" fontId="3" fillId="0" borderId="0"/>
    <xf numFmtId="0" fontId="3" fillId="0" borderId="0"/>
    <xf numFmtId="0" fontId="20" fillId="0" borderId="0"/>
    <xf numFmtId="0" fontId="20" fillId="0" borderId="0"/>
    <xf numFmtId="0" fontId="3" fillId="0" borderId="0"/>
    <xf numFmtId="0" fontId="20" fillId="0" borderId="0"/>
    <xf numFmtId="0" fontId="20" fillId="0" borderId="0"/>
    <xf numFmtId="0" fontId="20" fillId="0" borderId="0"/>
    <xf numFmtId="0" fontId="3" fillId="0" borderId="0"/>
    <xf numFmtId="0" fontId="3" fillId="0" borderId="0"/>
    <xf numFmtId="0" fontId="20" fillId="0" borderId="0"/>
    <xf numFmtId="0" fontId="20" fillId="0" borderId="0"/>
    <xf numFmtId="0" fontId="20" fillId="0" borderId="0"/>
    <xf numFmtId="0" fontId="20" fillId="0" borderId="0"/>
    <xf numFmtId="0" fontId="3" fillId="0" borderId="0"/>
    <xf numFmtId="0" fontId="3" fillId="0" borderId="0"/>
    <xf numFmtId="0" fontId="20" fillId="0" borderId="0"/>
    <xf numFmtId="0" fontId="20" fillId="0" borderId="0"/>
    <xf numFmtId="0" fontId="20" fillId="0" borderId="0"/>
    <xf numFmtId="0" fontId="3" fillId="0" borderId="0"/>
    <xf numFmtId="0" fontId="20" fillId="0" borderId="0"/>
    <xf numFmtId="0" fontId="20" fillId="0" borderId="0"/>
    <xf numFmtId="0" fontId="20" fillId="0" borderId="0"/>
    <xf numFmtId="0" fontId="20" fillId="0" borderId="0"/>
    <xf numFmtId="0" fontId="3" fillId="0" borderId="0"/>
    <xf numFmtId="0" fontId="3" fillId="0" borderId="0"/>
    <xf numFmtId="0" fontId="20" fillId="0" borderId="0"/>
    <xf numFmtId="0" fontId="20" fillId="0" borderId="0"/>
    <xf numFmtId="0" fontId="20" fillId="0" borderId="0"/>
    <xf numFmtId="0" fontId="20" fillId="0" borderId="0"/>
    <xf numFmtId="0" fontId="3" fillId="0" borderId="0"/>
    <xf numFmtId="0" fontId="3" fillId="0" borderId="0"/>
    <xf numFmtId="0" fontId="20" fillId="0" borderId="0"/>
    <xf numFmtId="0" fontId="20" fillId="0" borderId="0"/>
    <xf numFmtId="0" fontId="3" fillId="0" borderId="0"/>
    <xf numFmtId="0" fontId="20" fillId="0" borderId="0"/>
    <xf numFmtId="0" fontId="20" fillId="0" borderId="0"/>
    <xf numFmtId="0" fontId="3" fillId="0" borderId="0"/>
    <xf numFmtId="0" fontId="20" fillId="0" borderId="0"/>
    <xf numFmtId="0" fontId="3" fillId="0" borderId="0"/>
    <xf numFmtId="170" fontId="20" fillId="0" borderId="0"/>
    <xf numFmtId="170" fontId="20" fillId="0" borderId="0"/>
    <xf numFmtId="170" fontId="20" fillId="0" borderId="0"/>
    <xf numFmtId="0" fontId="3" fillId="0" borderId="0"/>
    <xf numFmtId="0" fontId="3" fillId="0" borderId="0"/>
    <xf numFmtId="170" fontId="20" fillId="0" borderId="0"/>
    <xf numFmtId="0" fontId="3" fillId="0" borderId="0"/>
    <xf numFmtId="0" fontId="20" fillId="0" borderId="0"/>
    <xf numFmtId="0" fontId="20" fillId="0" borderId="0"/>
    <xf numFmtId="0" fontId="20" fillId="0" borderId="0"/>
    <xf numFmtId="0" fontId="3" fillId="0" borderId="0"/>
    <xf numFmtId="0" fontId="3" fillId="0" borderId="0"/>
    <xf numFmtId="0" fontId="20" fillId="0" borderId="0"/>
    <xf numFmtId="0" fontId="20" fillId="0" borderId="0"/>
    <xf numFmtId="0" fontId="20" fillId="0" borderId="0"/>
    <xf numFmtId="0" fontId="20" fillId="0" borderId="0"/>
    <xf numFmtId="0" fontId="3" fillId="0" borderId="0"/>
    <xf numFmtId="0" fontId="3" fillId="0" borderId="0"/>
    <xf numFmtId="0" fontId="20" fillId="0" borderId="0"/>
    <xf numFmtId="0" fontId="20" fillId="0" borderId="0"/>
    <xf numFmtId="0" fontId="20" fillId="0" borderId="0"/>
    <xf numFmtId="0" fontId="20" fillId="0" borderId="0"/>
    <xf numFmtId="0" fontId="3" fillId="0" borderId="0"/>
    <xf numFmtId="0" fontId="3" fillId="0" borderId="0"/>
    <xf numFmtId="0" fontId="20" fillId="0" borderId="0"/>
    <xf numFmtId="0" fontId="20" fillId="0" borderId="0"/>
    <xf numFmtId="0" fontId="20" fillId="0" borderId="0"/>
    <xf numFmtId="0" fontId="20" fillId="0" borderId="0"/>
    <xf numFmtId="0" fontId="3" fillId="0" borderId="0"/>
    <xf numFmtId="0" fontId="3" fillId="0" borderId="0"/>
    <xf numFmtId="0" fontId="20" fillId="0" borderId="0"/>
    <xf numFmtId="0" fontId="20" fillId="0" borderId="0"/>
    <xf numFmtId="0" fontId="20" fillId="0" borderId="0"/>
    <xf numFmtId="0" fontId="20" fillId="0" borderId="0"/>
    <xf numFmtId="0" fontId="3" fillId="0" borderId="0"/>
    <xf numFmtId="0" fontId="3" fillId="0" borderId="0"/>
    <xf numFmtId="0" fontId="20" fillId="0" borderId="0"/>
    <xf numFmtId="0" fontId="20" fillId="0" borderId="0"/>
    <xf numFmtId="0" fontId="20" fillId="0" borderId="0"/>
    <xf numFmtId="0" fontId="20" fillId="0" borderId="0"/>
    <xf numFmtId="0" fontId="3" fillId="0" borderId="0"/>
    <xf numFmtId="0" fontId="3" fillId="0" borderId="0"/>
    <xf numFmtId="0" fontId="20" fillId="0" borderId="0"/>
    <xf numFmtId="0" fontId="20" fillId="0" borderId="0"/>
    <xf numFmtId="0" fontId="20" fillId="0" borderId="0"/>
    <xf numFmtId="0" fontId="20" fillId="0" borderId="0"/>
    <xf numFmtId="0" fontId="20" fillId="0" borderId="0"/>
    <xf numFmtId="0" fontId="3" fillId="0" borderId="0"/>
    <xf numFmtId="0" fontId="3" fillId="0" borderId="0"/>
    <xf numFmtId="0" fontId="20" fillId="0" borderId="0"/>
    <xf numFmtId="0" fontId="20" fillId="0" borderId="0"/>
    <xf numFmtId="0" fontId="20" fillId="0" borderId="0"/>
    <xf numFmtId="0" fontId="3" fillId="0" borderId="0"/>
    <xf numFmtId="0" fontId="3" fillId="0" borderId="0"/>
    <xf numFmtId="0" fontId="20" fillId="0" borderId="0"/>
    <xf numFmtId="0" fontId="20" fillId="0" borderId="0"/>
    <xf numFmtId="0" fontId="20" fillId="0" borderId="0"/>
    <xf numFmtId="0" fontId="20" fillId="0" borderId="0"/>
    <xf numFmtId="0" fontId="20" fillId="0" borderId="0"/>
    <xf numFmtId="0" fontId="3" fillId="0" borderId="0"/>
    <xf numFmtId="0" fontId="3" fillId="0" borderId="0"/>
    <xf numFmtId="0" fontId="20" fillId="0" borderId="0"/>
    <xf numFmtId="0" fontId="20" fillId="0" borderId="0"/>
    <xf numFmtId="0" fontId="20" fillId="0" borderId="0"/>
    <xf numFmtId="0" fontId="3" fillId="0" borderId="0"/>
    <xf numFmtId="0" fontId="3" fillId="0" borderId="0"/>
    <xf numFmtId="0" fontId="20" fillId="0" borderId="0"/>
    <xf numFmtId="0" fontId="60" fillId="0" borderId="0"/>
    <xf numFmtId="0" fontId="20" fillId="0" borderId="0"/>
    <xf numFmtId="0" fontId="20" fillId="0" borderId="0"/>
    <xf numFmtId="0" fontId="20" fillId="0" borderId="0"/>
    <xf numFmtId="0" fontId="3" fillId="0" borderId="0"/>
    <xf numFmtId="0" fontId="3" fillId="0" borderId="0"/>
    <xf numFmtId="0" fontId="20" fillId="0" borderId="0"/>
    <xf numFmtId="0" fontId="20" fillId="0" borderId="0"/>
    <xf numFmtId="0" fontId="20" fillId="0" borderId="0"/>
    <xf numFmtId="0" fontId="3" fillId="0" borderId="0"/>
    <xf numFmtId="0" fontId="3" fillId="0" borderId="0"/>
    <xf numFmtId="0" fontId="20" fillId="0" borderId="0"/>
    <xf numFmtId="0" fontId="20" fillId="0" borderId="0"/>
    <xf numFmtId="0" fontId="60" fillId="0" borderId="0"/>
    <xf numFmtId="0" fontId="20" fillId="0" borderId="0"/>
    <xf numFmtId="0" fontId="20" fillId="0" borderId="0"/>
    <xf numFmtId="0" fontId="20" fillId="0" borderId="0"/>
    <xf numFmtId="0" fontId="3" fillId="0" borderId="0"/>
    <xf numFmtId="0" fontId="3" fillId="0" borderId="0"/>
    <xf numFmtId="0" fontId="20" fillId="0" borderId="0"/>
    <xf numFmtId="0" fontId="20" fillId="0" borderId="0"/>
    <xf numFmtId="0" fontId="20" fillId="0" borderId="0"/>
    <xf numFmtId="0" fontId="3" fillId="0" borderId="0"/>
    <xf numFmtId="0" fontId="3" fillId="0" borderId="0"/>
    <xf numFmtId="0" fontId="20" fillId="0" borderId="0"/>
    <xf numFmtId="0" fontId="20" fillId="0" borderId="0"/>
    <xf numFmtId="0" fontId="60" fillId="0" borderId="0"/>
    <xf numFmtId="0" fontId="20" fillId="0" borderId="0"/>
    <xf numFmtId="0" fontId="20" fillId="0" borderId="0"/>
    <xf numFmtId="0" fontId="20" fillId="0" borderId="0"/>
    <xf numFmtId="0" fontId="3" fillId="0" borderId="0"/>
    <xf numFmtId="0" fontId="3" fillId="0" borderId="0"/>
    <xf numFmtId="0" fontId="20" fillId="0" borderId="0"/>
    <xf numFmtId="0" fontId="20" fillId="0" borderId="0"/>
    <xf numFmtId="0" fontId="20" fillId="0" borderId="0"/>
    <xf numFmtId="0" fontId="3"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3" fillId="0" borderId="0"/>
    <xf numFmtId="0" fontId="20" fillId="0" borderId="0"/>
    <xf numFmtId="0" fontId="20" fillId="0" borderId="0"/>
    <xf numFmtId="0" fontId="20" fillId="0" borderId="0"/>
    <xf numFmtId="0" fontId="3" fillId="0" borderId="0"/>
    <xf numFmtId="0" fontId="3" fillId="0" borderId="0"/>
    <xf numFmtId="0" fontId="20" fillId="0" borderId="0"/>
    <xf numFmtId="0" fontId="60" fillId="0" borderId="0"/>
    <xf numFmtId="0" fontId="20" fillId="0" borderId="0"/>
    <xf numFmtId="0" fontId="20" fillId="0" borderId="0"/>
    <xf numFmtId="0" fontId="20" fillId="0" borderId="0"/>
    <xf numFmtId="0" fontId="3" fillId="0" borderId="0"/>
    <xf numFmtId="0" fontId="3" fillId="0" borderId="0"/>
    <xf numFmtId="0" fontId="20" fillId="0" borderId="0"/>
    <xf numFmtId="0" fontId="20" fillId="0" borderId="0"/>
    <xf numFmtId="0" fontId="20" fillId="0" borderId="0"/>
    <xf numFmtId="0" fontId="3"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3" fillId="0" borderId="0"/>
    <xf numFmtId="0" fontId="20" fillId="0" borderId="0"/>
    <xf numFmtId="0" fontId="20" fillId="0" borderId="0"/>
    <xf numFmtId="0" fontId="20" fillId="0" borderId="0"/>
    <xf numFmtId="0" fontId="3" fillId="0" borderId="0"/>
    <xf numFmtId="0" fontId="3" fillId="0" borderId="0"/>
    <xf numFmtId="0" fontId="20" fillId="0" borderId="0"/>
    <xf numFmtId="0" fontId="20" fillId="0" borderId="0"/>
    <xf numFmtId="0" fontId="20" fillId="0" borderId="0"/>
    <xf numFmtId="0" fontId="20" fillId="0" borderId="0"/>
    <xf numFmtId="0" fontId="20" fillId="0" borderId="0"/>
    <xf numFmtId="0" fontId="3" fillId="0" borderId="0"/>
    <xf numFmtId="0" fontId="3" fillId="0" borderId="0"/>
    <xf numFmtId="0" fontId="20" fillId="0" borderId="0"/>
    <xf numFmtId="0" fontId="20" fillId="0" borderId="0"/>
    <xf numFmtId="0" fontId="20" fillId="0" borderId="0"/>
    <xf numFmtId="0" fontId="3" fillId="0" borderId="0"/>
    <xf numFmtId="0" fontId="3" fillId="0" borderId="0"/>
    <xf numFmtId="0" fontId="20" fillId="0" borderId="0"/>
    <xf numFmtId="0" fontId="60" fillId="0" borderId="0"/>
    <xf numFmtId="0" fontId="20" fillId="0" borderId="0"/>
    <xf numFmtId="0" fontId="20" fillId="0" borderId="0"/>
    <xf numFmtId="0" fontId="20" fillId="0" borderId="0"/>
    <xf numFmtId="0" fontId="3" fillId="0" borderId="0"/>
    <xf numFmtId="0" fontId="3" fillId="0" borderId="0"/>
    <xf numFmtId="0" fontId="20" fillId="0" borderId="0"/>
    <xf numFmtId="0" fontId="20" fillId="0" borderId="0"/>
    <xf numFmtId="0" fontId="20" fillId="0" borderId="0"/>
    <xf numFmtId="0" fontId="3" fillId="0" borderId="0"/>
    <xf numFmtId="0" fontId="3" fillId="0" borderId="0"/>
    <xf numFmtId="0" fontId="20" fillId="0" borderId="0"/>
    <xf numFmtId="0" fontId="20" fillId="0" borderId="0"/>
    <xf numFmtId="0" fontId="22" fillId="72" borderId="19" applyNumberFormat="0" applyFont="0" applyAlignment="0" applyProtection="0"/>
    <xf numFmtId="0" fontId="20" fillId="72" borderId="19" applyNumberFormat="0" applyFont="0" applyAlignment="0" applyProtection="0"/>
    <xf numFmtId="0" fontId="22" fillId="8" borderId="14" applyNumberFormat="0" applyFont="0" applyAlignment="0" applyProtection="0"/>
    <xf numFmtId="0" fontId="20" fillId="72" borderId="19" applyNumberFormat="0" applyFont="0" applyAlignment="0" applyProtection="0"/>
    <xf numFmtId="0" fontId="22" fillId="8" borderId="14" applyNumberFormat="0" applyFont="0" applyAlignment="0" applyProtection="0"/>
    <xf numFmtId="0" fontId="20" fillId="72" borderId="19" applyNumberFormat="0" applyFont="0" applyAlignment="0" applyProtection="0"/>
    <xf numFmtId="0" fontId="20" fillId="72" borderId="19" applyNumberFormat="0" applyFont="0" applyAlignment="0" applyProtection="0"/>
    <xf numFmtId="0" fontId="20" fillId="72" borderId="19" applyNumberFormat="0" applyFont="0" applyAlignment="0" applyProtection="0"/>
    <xf numFmtId="0" fontId="3" fillId="0" borderId="0"/>
    <xf numFmtId="0" fontId="3" fillId="0" borderId="0"/>
    <xf numFmtId="0" fontId="20" fillId="72" borderId="19"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3" fillId="0" borderId="0"/>
    <xf numFmtId="0" fontId="3" fillId="0" borderId="0"/>
    <xf numFmtId="0" fontId="22" fillId="8" borderId="14" applyNumberFormat="0" applyFont="0" applyAlignment="0" applyProtection="0"/>
    <xf numFmtId="0" fontId="20" fillId="72" borderId="19" applyNumberFormat="0" applyFont="0" applyAlignment="0" applyProtection="0"/>
    <xf numFmtId="0" fontId="20" fillId="72" borderId="19" applyNumberFormat="0" applyFont="0" applyAlignment="0" applyProtection="0"/>
    <xf numFmtId="0" fontId="3" fillId="0" borderId="0"/>
    <xf numFmtId="0" fontId="3" fillId="0" borderId="0"/>
    <xf numFmtId="0" fontId="20" fillId="72" borderId="19" applyNumberFormat="0" applyFont="0" applyAlignment="0" applyProtection="0"/>
    <xf numFmtId="0" fontId="20" fillId="72" borderId="19" applyNumberFormat="0" applyFont="0" applyAlignment="0" applyProtection="0"/>
    <xf numFmtId="0" fontId="20" fillId="72" borderId="19" applyNumberFormat="0" applyFont="0" applyAlignment="0" applyProtection="0"/>
    <xf numFmtId="0" fontId="20" fillId="72" borderId="19" applyNumberFormat="0" applyFont="0" applyAlignment="0" applyProtection="0"/>
    <xf numFmtId="0" fontId="3" fillId="0" borderId="0"/>
    <xf numFmtId="0" fontId="3" fillId="0" borderId="0"/>
    <xf numFmtId="0" fontId="20" fillId="72" borderId="19" applyNumberFormat="0" applyFont="0" applyAlignment="0" applyProtection="0"/>
    <xf numFmtId="0" fontId="20" fillId="72" borderId="19" applyNumberFormat="0" applyFont="0" applyAlignment="0" applyProtection="0"/>
    <xf numFmtId="0" fontId="20" fillId="72" borderId="19" applyNumberFormat="0" applyFont="0" applyAlignment="0" applyProtection="0"/>
    <xf numFmtId="0" fontId="20" fillId="72" borderId="19" applyNumberFormat="0" applyFont="0" applyAlignment="0" applyProtection="0"/>
    <xf numFmtId="0" fontId="3" fillId="0" borderId="0"/>
    <xf numFmtId="0" fontId="3" fillId="0" borderId="0"/>
    <xf numFmtId="0" fontId="20" fillId="72" borderId="19"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3" fillId="0" borderId="0"/>
    <xf numFmtId="0" fontId="3" fillId="0" borderId="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3" fillId="0" borderId="0"/>
    <xf numFmtId="0" fontId="3" fillId="0" borderId="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3" fillId="0" borderId="0"/>
    <xf numFmtId="0" fontId="3" fillId="0" borderId="0"/>
    <xf numFmtId="0" fontId="22" fillId="8" borderId="14" applyNumberFormat="0" applyFont="0" applyAlignment="0" applyProtection="0"/>
    <xf numFmtId="0" fontId="3" fillId="8" borderId="14" applyNumberFormat="0" applyFont="0" applyAlignment="0" applyProtection="0"/>
    <xf numFmtId="0" fontId="3" fillId="8" borderId="14" applyNumberFormat="0" applyFont="0" applyAlignment="0" applyProtection="0"/>
    <xf numFmtId="0" fontId="3" fillId="8" borderId="14" applyNumberFormat="0" applyFont="0" applyAlignment="0" applyProtection="0"/>
    <xf numFmtId="0" fontId="3" fillId="0" borderId="0"/>
    <xf numFmtId="0" fontId="3" fillId="0" borderId="0"/>
    <xf numFmtId="0" fontId="3" fillId="8" borderId="14" applyNumberFormat="0" applyFont="0" applyAlignment="0" applyProtection="0"/>
    <xf numFmtId="0" fontId="20" fillId="72" borderId="19" applyNumberFormat="0" applyFont="0" applyAlignment="0" applyProtection="0"/>
    <xf numFmtId="0" fontId="20" fillId="72" borderId="19" applyNumberFormat="0" applyFont="0" applyAlignment="0" applyProtection="0"/>
    <xf numFmtId="0" fontId="3" fillId="0" borderId="0"/>
    <xf numFmtId="0" fontId="3" fillId="0" borderId="0"/>
    <xf numFmtId="0" fontId="20" fillId="72" borderId="19" applyNumberFormat="0" applyFont="0" applyAlignment="0" applyProtection="0"/>
    <xf numFmtId="0" fontId="20" fillId="72" borderId="19" applyNumberFormat="0" applyFont="0" applyAlignment="0" applyProtection="0"/>
    <xf numFmtId="0" fontId="3" fillId="8" borderId="14" applyNumberFormat="0" applyFont="0" applyAlignment="0" applyProtection="0"/>
    <xf numFmtId="0" fontId="3" fillId="8" borderId="14" applyNumberFormat="0" applyFont="0" applyAlignment="0" applyProtection="0"/>
    <xf numFmtId="0" fontId="3" fillId="8" borderId="14" applyNumberFormat="0" applyFont="0" applyAlignment="0" applyProtection="0"/>
    <xf numFmtId="0" fontId="3" fillId="0" borderId="0"/>
    <xf numFmtId="0" fontId="3" fillId="0" borderId="0"/>
    <xf numFmtId="0" fontId="3" fillId="8" borderId="14" applyNumberFormat="0" applyFont="0" applyAlignment="0" applyProtection="0"/>
    <xf numFmtId="0" fontId="22" fillId="72" borderId="19" applyNumberFormat="0" applyFont="0" applyAlignment="0" applyProtection="0"/>
    <xf numFmtId="0" fontId="20" fillId="72" borderId="19" applyNumberFormat="0" applyFont="0" applyAlignment="0" applyProtection="0"/>
    <xf numFmtId="0" fontId="20" fillId="72" borderId="19" applyNumberFormat="0" applyFont="0" applyAlignment="0" applyProtection="0"/>
    <xf numFmtId="0" fontId="3" fillId="0" borderId="0"/>
    <xf numFmtId="0" fontId="3" fillId="0" borderId="0"/>
    <xf numFmtId="0" fontId="20" fillId="72" borderId="19" applyNumberFormat="0" applyFont="0" applyAlignment="0" applyProtection="0"/>
    <xf numFmtId="0" fontId="20" fillId="72" borderId="19" applyNumberFormat="0" applyFont="0" applyAlignment="0" applyProtection="0"/>
    <xf numFmtId="0" fontId="20" fillId="72" borderId="19" applyNumberFormat="0" applyFont="0" applyAlignment="0" applyProtection="0"/>
    <xf numFmtId="0" fontId="20" fillId="72" borderId="19" applyNumberFormat="0" applyFont="0" applyAlignment="0" applyProtection="0"/>
    <xf numFmtId="0" fontId="3" fillId="0" borderId="0"/>
    <xf numFmtId="0" fontId="3" fillId="0" borderId="0"/>
    <xf numFmtId="0" fontId="20" fillId="72" borderId="19"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3" fillId="0" borderId="0"/>
    <xf numFmtId="0" fontId="3" fillId="0" borderId="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3" fillId="0" borderId="0"/>
    <xf numFmtId="0" fontId="3" fillId="0" borderId="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3" fillId="0" borderId="0"/>
    <xf numFmtId="0" fontId="3" fillId="0" borderId="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3" fillId="0" borderId="0"/>
    <xf numFmtId="0" fontId="3" fillId="0" borderId="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3" fillId="0" borderId="0"/>
    <xf numFmtId="0" fontId="3" fillId="0" borderId="0"/>
    <xf numFmtId="0" fontId="22" fillId="8" borderId="14" applyNumberFormat="0" applyFont="0" applyAlignment="0" applyProtection="0"/>
    <xf numFmtId="0" fontId="22" fillId="8" borderId="14" applyNumberFormat="0" applyFont="0" applyAlignment="0" applyProtection="0"/>
    <xf numFmtId="0" fontId="3" fillId="0" borderId="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3" fillId="0" borderId="0"/>
    <xf numFmtId="0" fontId="3" fillId="0" borderId="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3" fillId="0" borderId="0"/>
    <xf numFmtId="0" fontId="3" fillId="0" borderId="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3" fillId="0" borderId="0"/>
    <xf numFmtId="0" fontId="3" fillId="0" borderId="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3" fillId="0" borderId="0"/>
    <xf numFmtId="0" fontId="3" fillId="0" borderId="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3" fillId="0" borderId="0"/>
    <xf numFmtId="0" fontId="3" fillId="0" borderId="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3" fillId="0" borderId="0"/>
    <xf numFmtId="0" fontId="3" fillId="0" borderId="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3" fillId="0" borderId="0"/>
    <xf numFmtId="0" fontId="3" fillId="0" borderId="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3" fillId="0" borderId="0"/>
    <xf numFmtId="0" fontId="3" fillId="0" borderId="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3" fillId="0" borderId="0"/>
    <xf numFmtId="0" fontId="3" fillId="0" borderId="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3" fillId="0" borderId="0"/>
    <xf numFmtId="0" fontId="3" fillId="0" borderId="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3" fillId="0" borderId="0"/>
    <xf numFmtId="0" fontId="3" fillId="0" borderId="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3" fillId="0" borderId="0"/>
    <xf numFmtId="0" fontId="3" fillId="0" borderId="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3" fillId="0" borderId="0"/>
    <xf numFmtId="0" fontId="3" fillId="0" borderId="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3" fillId="0" borderId="0"/>
    <xf numFmtId="0" fontId="3" fillId="0" borderId="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3" fillId="0" borderId="0"/>
    <xf numFmtId="0" fontId="3" fillId="0" borderId="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3" fillId="0" borderId="0"/>
    <xf numFmtId="0" fontId="3" fillId="0" borderId="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3" fillId="0" borderId="0"/>
    <xf numFmtId="0" fontId="3" fillId="0" borderId="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3" fillId="0" borderId="0"/>
    <xf numFmtId="0" fontId="3" fillId="0" borderId="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3" fillId="0" borderId="0"/>
    <xf numFmtId="0" fontId="3" fillId="0" borderId="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3" fillId="0" borderId="0"/>
    <xf numFmtId="0" fontId="35" fillId="6" borderId="11" applyNumberFormat="0" applyAlignment="0" applyProtection="0"/>
    <xf numFmtId="0" fontId="35" fillId="6" borderId="11" applyNumberFormat="0" applyAlignment="0" applyProtection="0"/>
    <xf numFmtId="0" fontId="35" fillId="6" borderId="11" applyNumberFormat="0" applyAlignment="0" applyProtection="0"/>
    <xf numFmtId="0" fontId="35" fillId="6" borderId="11" applyNumberFormat="0" applyAlignment="0" applyProtection="0"/>
    <xf numFmtId="0" fontId="3" fillId="0" borderId="0"/>
    <xf numFmtId="0" fontId="3" fillId="0" borderId="0"/>
    <xf numFmtId="0" fontId="35" fillId="6" borderId="11" applyNumberFormat="0" applyAlignment="0" applyProtection="0"/>
    <xf numFmtId="0" fontId="35" fillId="6" borderId="11" applyNumberFormat="0" applyAlignment="0" applyProtection="0"/>
    <xf numFmtId="0" fontId="35" fillId="6" borderId="11" applyNumberFormat="0" applyAlignment="0" applyProtection="0"/>
    <xf numFmtId="0" fontId="35" fillId="6" borderId="11" applyNumberFormat="0" applyAlignment="0" applyProtection="0"/>
    <xf numFmtId="0" fontId="3" fillId="0" borderId="0"/>
    <xf numFmtId="0" fontId="3" fillId="0" borderId="0"/>
    <xf numFmtId="0" fontId="35" fillId="6" borderId="11" applyNumberFormat="0" applyAlignment="0" applyProtection="0"/>
    <xf numFmtId="0" fontId="35" fillId="6" borderId="11" applyNumberFormat="0" applyAlignment="0" applyProtection="0"/>
    <xf numFmtId="0" fontId="35" fillId="6" borderId="11" applyNumberFormat="0" applyAlignment="0" applyProtection="0"/>
    <xf numFmtId="0" fontId="35" fillId="6" borderId="11" applyNumberFormat="0" applyAlignment="0" applyProtection="0"/>
    <xf numFmtId="0" fontId="3" fillId="0" borderId="0"/>
    <xf numFmtId="0" fontId="3" fillId="0" borderId="0"/>
    <xf numFmtId="0" fontId="35" fillId="6" borderId="11" applyNumberFormat="0" applyAlignment="0" applyProtection="0"/>
    <xf numFmtId="0" fontId="35" fillId="6" borderId="11" applyNumberFormat="0" applyAlignment="0" applyProtection="0"/>
    <xf numFmtId="0" fontId="35" fillId="6" borderId="11" applyNumberFormat="0" applyAlignment="0" applyProtection="0"/>
    <xf numFmtId="0" fontId="35" fillId="6" borderId="11" applyNumberFormat="0" applyAlignment="0" applyProtection="0"/>
    <xf numFmtId="0" fontId="3" fillId="0" borderId="0"/>
    <xf numFmtId="0" fontId="3" fillId="0" borderId="0"/>
    <xf numFmtId="0" fontId="35" fillId="6" borderId="11" applyNumberFormat="0" applyAlignment="0" applyProtection="0"/>
    <xf numFmtId="0" fontId="35" fillId="6" borderId="11" applyNumberFormat="0" applyAlignment="0" applyProtection="0"/>
    <xf numFmtId="0" fontId="35" fillId="6" borderId="11" applyNumberFormat="0" applyAlignment="0" applyProtection="0"/>
    <xf numFmtId="0" fontId="3" fillId="0" borderId="0"/>
    <xf numFmtId="0" fontId="3" fillId="0" borderId="0"/>
    <xf numFmtId="0" fontId="35" fillId="6" borderId="11" applyNumberFormat="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0" fontId="3" fillId="0" borderId="0"/>
    <xf numFmtId="0" fontId="3" fillId="0" borderId="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0" fontId="3" fillId="0" borderId="0"/>
    <xf numFmtId="0" fontId="3" fillId="0" borderId="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0" fontId="3" fillId="0" borderId="0"/>
    <xf numFmtId="0" fontId="3" fillId="0" borderId="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0" fontId="3" fillId="0" borderId="0"/>
    <xf numFmtId="0" fontId="3" fillId="0" borderId="0"/>
    <xf numFmtId="9" fontId="20" fillId="0" borderId="0" applyFont="0" applyFill="0" applyBorder="0" applyAlignment="0" applyProtection="0"/>
    <xf numFmtId="0" fontId="3" fillId="0" borderId="0"/>
    <xf numFmtId="0" fontId="35" fillId="6" borderId="11" applyNumberFormat="0" applyAlignment="0" applyProtection="0"/>
    <xf numFmtId="0" fontId="66" fillId="65" borderId="20" applyNumberFormat="0" applyAlignment="0" applyProtection="0"/>
    <xf numFmtId="0" fontId="66" fillId="65" borderId="20" applyNumberFormat="0" applyAlignment="0" applyProtection="0"/>
    <xf numFmtId="0" fontId="66" fillId="65" borderId="20" applyNumberFormat="0" applyAlignment="0" applyProtection="0"/>
    <xf numFmtId="0" fontId="3" fillId="0" borderId="0"/>
    <xf numFmtId="0" fontId="35" fillId="6" borderId="11" applyNumberFormat="0" applyAlignment="0" applyProtection="0"/>
    <xf numFmtId="0" fontId="3" fillId="0" borderId="0"/>
    <xf numFmtId="0" fontId="66" fillId="65" borderId="20" applyNumberFormat="0" applyAlignment="0" applyProtection="0"/>
    <xf numFmtId="0" fontId="66" fillId="65" borderId="20" applyNumberFormat="0" applyAlignment="0" applyProtection="0"/>
    <xf numFmtId="0" fontId="66" fillId="65" borderId="20" applyNumberFormat="0" applyAlignment="0" applyProtection="0"/>
    <xf numFmtId="0" fontId="66" fillId="65" borderId="20" applyNumberFormat="0" applyAlignment="0" applyProtection="0"/>
    <xf numFmtId="0" fontId="3" fillId="0" borderId="0"/>
    <xf numFmtId="0" fontId="3" fillId="0" borderId="0"/>
    <xf numFmtId="0" fontId="66" fillId="65" borderId="20" applyNumberFormat="0" applyAlignment="0" applyProtection="0"/>
    <xf numFmtId="0" fontId="66" fillId="65" borderId="20" applyNumberFormat="0" applyAlignment="0" applyProtection="0"/>
    <xf numFmtId="0" fontId="66" fillId="65" borderId="20" applyNumberFormat="0" applyAlignment="0" applyProtection="0"/>
    <xf numFmtId="0" fontId="66" fillId="65" borderId="20" applyNumberFormat="0" applyAlignment="0" applyProtection="0"/>
    <xf numFmtId="0" fontId="3" fillId="0" borderId="0"/>
    <xf numFmtId="0" fontId="3" fillId="0" borderId="0"/>
    <xf numFmtId="0" fontId="66" fillId="65" borderId="20" applyNumberFormat="0" applyAlignment="0" applyProtection="0"/>
    <xf numFmtId="0" fontId="35" fillId="6" borderId="11" applyNumberFormat="0" applyAlignment="0" applyProtection="0"/>
    <xf numFmtId="0" fontId="35" fillId="6" borderId="11" applyNumberFormat="0" applyAlignment="0" applyProtection="0"/>
    <xf numFmtId="0" fontId="35" fillId="6" borderId="11" applyNumberFormat="0" applyAlignment="0" applyProtection="0"/>
    <xf numFmtId="0" fontId="3" fillId="0" borderId="0"/>
    <xf numFmtId="0" fontId="3" fillId="0" borderId="0"/>
    <xf numFmtId="0" fontId="35" fillId="6" borderId="11" applyNumberFormat="0" applyAlignment="0" applyProtection="0"/>
    <xf numFmtId="0" fontId="35" fillId="6" borderId="11" applyNumberFormat="0" applyAlignment="0" applyProtection="0"/>
    <xf numFmtId="0" fontId="35" fillId="6" borderId="11" applyNumberFormat="0" applyAlignment="0" applyProtection="0"/>
    <xf numFmtId="0" fontId="35" fillId="6" borderId="11" applyNumberFormat="0" applyAlignment="0" applyProtection="0"/>
    <xf numFmtId="0" fontId="3" fillId="0" borderId="0"/>
    <xf numFmtId="0" fontId="3" fillId="0" borderId="0"/>
    <xf numFmtId="0" fontId="35" fillId="6" borderId="11" applyNumberFormat="0" applyAlignment="0" applyProtection="0"/>
    <xf numFmtId="0" fontId="35" fillId="6" borderId="11" applyNumberFormat="0" applyAlignment="0" applyProtection="0"/>
    <xf numFmtId="0" fontId="35" fillId="6" borderId="11" applyNumberFormat="0" applyAlignment="0" applyProtection="0"/>
    <xf numFmtId="0" fontId="35" fillId="6" borderId="11" applyNumberFormat="0" applyAlignment="0" applyProtection="0"/>
    <xf numFmtId="0" fontId="3" fillId="0" borderId="0"/>
    <xf numFmtId="0" fontId="3" fillId="0" borderId="0"/>
    <xf numFmtId="0" fontId="35" fillId="6" borderId="11" applyNumberFormat="0" applyAlignment="0" applyProtection="0"/>
    <xf numFmtId="0" fontId="35" fillId="6" borderId="11" applyNumberFormat="0" applyAlignment="0" applyProtection="0"/>
    <xf numFmtId="0" fontId="35" fillId="6" borderId="11" applyNumberFormat="0" applyAlignment="0" applyProtection="0"/>
    <xf numFmtId="0" fontId="35" fillId="6" borderId="11" applyNumberFormat="0" applyAlignment="0" applyProtection="0"/>
    <xf numFmtId="0" fontId="3" fillId="0" borderId="0"/>
    <xf numFmtId="0" fontId="3" fillId="0" borderId="0"/>
    <xf numFmtId="0" fontId="35" fillId="6" borderId="11" applyNumberFormat="0" applyAlignment="0" applyProtection="0"/>
    <xf numFmtId="0" fontId="35" fillId="6" borderId="11" applyNumberFormat="0" applyAlignment="0" applyProtection="0"/>
    <xf numFmtId="0" fontId="35" fillId="6" borderId="11" applyNumberFormat="0" applyAlignment="0" applyProtection="0"/>
    <xf numFmtId="0" fontId="3" fillId="0" borderId="0"/>
    <xf numFmtId="0" fontId="67" fillId="0" borderId="0"/>
    <xf numFmtId="0" fontId="67" fillId="0" borderId="0"/>
    <xf numFmtId="0" fontId="67" fillId="0" borderId="0"/>
    <xf numFmtId="0" fontId="3" fillId="0" borderId="0"/>
    <xf numFmtId="0" fontId="3" fillId="0" borderId="0"/>
    <xf numFmtId="0" fontId="67" fillId="0" borderId="0"/>
    <xf numFmtId="0" fontId="39" fillId="0" borderId="0" applyNumberFormat="0" applyFill="0" applyBorder="0" applyAlignment="0" applyProtection="0"/>
    <xf numFmtId="0" fontId="39" fillId="0" borderId="0" applyNumberFormat="0" applyFill="0" applyBorder="0" applyAlignment="0" applyProtection="0"/>
    <xf numFmtId="0" fontId="3" fillId="0" borderId="0"/>
    <xf numFmtId="0" fontId="3" fillId="0" borderId="0"/>
    <xf numFmtId="0" fontId="39" fillId="0" borderId="0" applyNumberFormat="0" applyFill="0" applyBorder="0" applyAlignment="0" applyProtection="0"/>
    <xf numFmtId="0" fontId="68" fillId="0" borderId="0" applyNumberFormat="0" applyFill="0" applyBorder="0" applyAlignment="0" applyProtection="0"/>
    <xf numFmtId="0" fontId="39" fillId="0" borderId="0" applyNumberFormat="0" applyFill="0" applyBorder="0" applyAlignment="0" applyProtection="0"/>
    <xf numFmtId="0" fontId="68" fillId="0" borderId="0" applyNumberFormat="0" applyFill="0" applyBorder="0" applyAlignment="0" applyProtection="0"/>
    <xf numFmtId="0" fontId="39"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3" fillId="0" borderId="0"/>
    <xf numFmtId="0" fontId="3" fillId="0" borderId="0"/>
    <xf numFmtId="0" fontId="68"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 fillId="0" borderId="0"/>
    <xf numFmtId="0" fontId="3" fillId="0" borderId="0"/>
    <xf numFmtId="0" fontId="39"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3" fillId="0" borderId="0"/>
    <xf numFmtId="0" fontId="3" fillId="0" borderId="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3" fillId="0" borderId="0"/>
    <xf numFmtId="0" fontId="3" fillId="0" borderId="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3" fillId="0" borderId="0"/>
    <xf numFmtId="0" fontId="3" fillId="0" borderId="0"/>
    <xf numFmtId="0" fontId="68"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 fillId="0" borderId="0"/>
    <xf numFmtId="0" fontId="3" fillId="0" borderId="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 fillId="0" borderId="0"/>
    <xf numFmtId="0" fontId="3" fillId="0" borderId="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 fillId="0" borderId="0"/>
    <xf numFmtId="0" fontId="3" fillId="0" borderId="0"/>
    <xf numFmtId="0" fontId="39"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3" fillId="0" borderId="0"/>
    <xf numFmtId="0" fontId="3" fillId="0" borderId="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3" fillId="0" borderId="0"/>
    <xf numFmtId="0" fontId="3" fillId="0" borderId="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3" fillId="0" borderId="0"/>
    <xf numFmtId="0" fontId="3" fillId="0" borderId="0"/>
    <xf numFmtId="0" fontId="68"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 fillId="0" borderId="0"/>
    <xf numFmtId="0" fontId="3" fillId="0" borderId="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 fillId="0" borderId="0"/>
    <xf numFmtId="0" fontId="3" fillId="0" borderId="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 fillId="0" borderId="0"/>
    <xf numFmtId="0" fontId="3" fillId="0" borderId="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 fillId="0" borderId="0"/>
    <xf numFmtId="0" fontId="3" fillId="0" borderId="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 fillId="0" borderId="0"/>
    <xf numFmtId="0" fontId="3" fillId="0" borderId="0"/>
    <xf numFmtId="0" fontId="39" fillId="0" borderId="0" applyNumberFormat="0" applyFill="0" applyBorder="0" applyAlignment="0" applyProtection="0"/>
    <xf numFmtId="0" fontId="3" fillId="0" borderId="0"/>
    <xf numFmtId="0" fontId="40"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3" fillId="0" borderId="0"/>
    <xf numFmtId="0" fontId="40" fillId="0" borderId="0" applyNumberFormat="0" applyFill="0" applyBorder="0" applyAlignment="0" applyProtection="0"/>
    <xf numFmtId="0" fontId="3" fillId="0" borderId="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3" fillId="0" borderId="0"/>
    <xf numFmtId="0" fontId="3" fillId="0" borderId="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3" fillId="0" borderId="0"/>
    <xf numFmtId="0" fontId="3" fillId="0" borderId="0"/>
    <xf numFmtId="0" fontId="69"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3" fillId="0" borderId="0"/>
    <xf numFmtId="0" fontId="3" fillId="0" borderId="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3" fillId="0" borderId="0"/>
    <xf numFmtId="0" fontId="3" fillId="0" borderId="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3" fillId="0" borderId="0"/>
    <xf numFmtId="0" fontId="3" fillId="0" borderId="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3" fillId="0" borderId="0"/>
    <xf numFmtId="0" fontId="3" fillId="0" borderId="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3" fillId="0" borderId="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3" fillId="0" borderId="0"/>
    <xf numFmtId="0" fontId="3" fillId="0" borderId="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3" fillId="0" borderId="0"/>
    <xf numFmtId="0" fontId="3" fillId="0" borderId="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3" fillId="0" borderId="0"/>
    <xf numFmtId="0" fontId="3" fillId="0" borderId="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3" fillId="0" borderId="0"/>
    <xf numFmtId="0" fontId="3" fillId="0" borderId="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3" fillId="0" borderId="0"/>
    <xf numFmtId="0" fontId="3" fillId="0" borderId="0"/>
    <xf numFmtId="0" fontId="44" fillId="0" borderId="0" applyNumberFormat="0" applyFill="0" applyBorder="0" applyAlignment="0" applyProtection="0"/>
    <xf numFmtId="0" fontId="3" fillId="0" borderId="0"/>
    <xf numFmtId="0" fontId="29" fillId="0" borderId="7" applyNumberFormat="0" applyFill="0" applyAlignment="0" applyProtection="0"/>
    <xf numFmtId="0" fontId="70" fillId="0" borderId="21" applyNumberFormat="0" applyFill="0" applyAlignment="0" applyProtection="0"/>
    <xf numFmtId="0" fontId="70" fillId="0" borderId="21" applyNumberFormat="0" applyFill="0" applyAlignment="0" applyProtection="0"/>
    <xf numFmtId="0" fontId="70" fillId="0" borderId="21" applyNumberFormat="0" applyFill="0" applyAlignment="0" applyProtection="0"/>
    <xf numFmtId="0" fontId="3" fillId="0" borderId="0"/>
    <xf numFmtId="0" fontId="3" fillId="0" borderId="0"/>
    <xf numFmtId="0" fontId="70" fillId="0" borderId="21" applyNumberFormat="0" applyFill="0" applyAlignment="0" applyProtection="0"/>
    <xf numFmtId="0" fontId="70" fillId="0" borderId="21" applyNumberFormat="0" applyFill="0" applyAlignment="0" applyProtection="0"/>
    <xf numFmtId="0" fontId="70" fillId="0" borderId="21" applyNumberFormat="0" applyFill="0" applyAlignment="0" applyProtection="0"/>
    <xf numFmtId="0" fontId="70" fillId="0" borderId="21" applyNumberFormat="0" applyFill="0" applyAlignment="0" applyProtection="0"/>
    <xf numFmtId="0" fontId="3" fillId="0" borderId="0"/>
    <xf numFmtId="0" fontId="3" fillId="0" borderId="0"/>
    <xf numFmtId="0" fontId="70" fillId="0" borderId="21" applyNumberFormat="0" applyFill="0" applyAlignment="0" applyProtection="0"/>
    <xf numFmtId="0" fontId="70" fillId="0" borderId="21" applyNumberFormat="0" applyFill="0" applyAlignment="0" applyProtection="0"/>
    <xf numFmtId="0" fontId="70" fillId="0" borderId="21" applyNumberFormat="0" applyFill="0" applyAlignment="0" applyProtection="0"/>
    <xf numFmtId="0" fontId="70" fillId="0" borderId="21" applyNumberFormat="0" applyFill="0" applyAlignment="0" applyProtection="0"/>
    <xf numFmtId="0" fontId="3" fillId="0" borderId="0"/>
    <xf numFmtId="0" fontId="3" fillId="0" borderId="0"/>
    <xf numFmtId="0" fontId="70" fillId="0" borderId="21" applyNumberFormat="0" applyFill="0" applyAlignment="0" applyProtection="0"/>
    <xf numFmtId="0" fontId="29" fillId="0" borderId="7" applyNumberFormat="0" applyFill="0" applyAlignment="0" applyProtection="0"/>
    <xf numFmtId="0" fontId="29" fillId="0" borderId="7" applyNumberFormat="0" applyFill="0" applyAlignment="0" applyProtection="0"/>
    <xf numFmtId="0" fontId="29" fillId="0" borderId="7" applyNumberFormat="0" applyFill="0" applyAlignment="0" applyProtection="0"/>
    <xf numFmtId="0" fontId="3" fillId="0" borderId="0"/>
    <xf numFmtId="0" fontId="3" fillId="0" borderId="0"/>
    <xf numFmtId="0" fontId="29" fillId="0" borderId="7" applyNumberFormat="0" applyFill="0" applyAlignment="0" applyProtection="0"/>
    <xf numFmtId="0" fontId="29" fillId="0" borderId="7" applyNumberFormat="0" applyFill="0" applyAlignment="0" applyProtection="0"/>
    <xf numFmtId="0" fontId="29" fillId="0" borderId="7" applyNumberFormat="0" applyFill="0" applyAlignment="0" applyProtection="0"/>
    <xf numFmtId="0" fontId="29" fillId="0" borderId="7" applyNumberFormat="0" applyFill="0" applyAlignment="0" applyProtection="0"/>
    <xf numFmtId="0" fontId="3" fillId="0" borderId="0"/>
    <xf numFmtId="0" fontId="3" fillId="0" borderId="0"/>
    <xf numFmtId="0" fontId="29" fillId="0" borderId="7" applyNumberFormat="0" applyFill="0" applyAlignment="0" applyProtection="0"/>
    <xf numFmtId="0" fontId="29" fillId="0" borderId="7" applyNumberFormat="0" applyFill="0" applyAlignment="0" applyProtection="0"/>
    <xf numFmtId="0" fontId="29" fillId="0" borderId="7" applyNumberFormat="0" applyFill="0" applyAlignment="0" applyProtection="0"/>
    <xf numFmtId="0" fontId="29" fillId="0" borderId="7" applyNumberFormat="0" applyFill="0" applyAlignment="0" applyProtection="0"/>
    <xf numFmtId="0" fontId="3" fillId="0" borderId="0"/>
    <xf numFmtId="0" fontId="3" fillId="0" borderId="0"/>
    <xf numFmtId="0" fontId="29" fillId="0" borderId="7" applyNumberFormat="0" applyFill="0" applyAlignment="0" applyProtection="0"/>
    <xf numFmtId="0" fontId="29" fillId="0" borderId="7" applyNumberFormat="0" applyFill="0" applyAlignment="0" applyProtection="0"/>
    <xf numFmtId="0" fontId="29" fillId="0" borderId="7" applyNumberFormat="0" applyFill="0" applyAlignment="0" applyProtection="0"/>
    <xf numFmtId="0" fontId="29" fillId="0" borderId="7" applyNumberFormat="0" applyFill="0" applyAlignment="0" applyProtection="0"/>
    <xf numFmtId="0" fontId="3" fillId="0" borderId="0"/>
    <xf numFmtId="0" fontId="3" fillId="0" borderId="0"/>
    <xf numFmtId="0" fontId="29" fillId="0" borderId="7" applyNumberFormat="0" applyFill="0" applyAlignment="0" applyProtection="0"/>
    <xf numFmtId="0" fontId="29" fillId="0" borderId="7" applyNumberFormat="0" applyFill="0" applyAlignment="0" applyProtection="0"/>
    <xf numFmtId="0" fontId="29" fillId="0" borderId="7" applyNumberFormat="0" applyFill="0" applyAlignment="0" applyProtection="0"/>
    <xf numFmtId="0" fontId="3" fillId="0" borderId="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3" fillId="0" borderId="0"/>
    <xf numFmtId="0" fontId="3" fillId="0" borderId="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3" fillId="0" borderId="0"/>
    <xf numFmtId="0" fontId="3" fillId="0" borderId="0"/>
    <xf numFmtId="0" fontId="44" fillId="0" borderId="0" applyNumberFormat="0" applyFill="0" applyBorder="0" applyAlignment="0" applyProtection="0"/>
    <xf numFmtId="0" fontId="3" fillId="0" borderId="0"/>
    <xf numFmtId="0" fontId="30" fillId="0" borderId="8" applyNumberFormat="0" applyFill="0" applyAlignment="0" applyProtection="0"/>
    <xf numFmtId="0" fontId="71" fillId="0" borderId="22" applyNumberFormat="0" applyFill="0" applyAlignment="0" applyProtection="0"/>
    <xf numFmtId="0" fontId="71" fillId="0" borderId="22" applyNumberFormat="0" applyFill="0" applyAlignment="0" applyProtection="0"/>
    <xf numFmtId="0" fontId="71" fillId="0" borderId="22" applyNumberFormat="0" applyFill="0" applyAlignment="0" applyProtection="0"/>
    <xf numFmtId="0" fontId="3" fillId="0" borderId="0"/>
    <xf numFmtId="0" fontId="30" fillId="0" borderId="8" applyNumberFormat="0" applyFill="0" applyAlignment="0" applyProtection="0"/>
    <xf numFmtId="0" fontId="3" fillId="0" borderId="0"/>
    <xf numFmtId="0" fontId="71" fillId="0" borderId="22" applyNumberFormat="0" applyFill="0" applyAlignment="0" applyProtection="0"/>
    <xf numFmtId="0" fontId="71" fillId="0" borderId="22" applyNumberFormat="0" applyFill="0" applyAlignment="0" applyProtection="0"/>
    <xf numFmtId="0" fontId="71" fillId="0" borderId="22" applyNumberFormat="0" applyFill="0" applyAlignment="0" applyProtection="0"/>
    <xf numFmtId="0" fontId="71" fillId="0" borderId="22" applyNumberFormat="0" applyFill="0" applyAlignment="0" applyProtection="0"/>
    <xf numFmtId="0" fontId="3" fillId="0" borderId="0"/>
    <xf numFmtId="0" fontId="3" fillId="0" borderId="0"/>
    <xf numFmtId="0" fontId="71" fillId="0" borderId="22" applyNumberFormat="0" applyFill="0" applyAlignment="0" applyProtection="0"/>
    <xf numFmtId="0" fontId="71" fillId="0" borderId="22" applyNumberFormat="0" applyFill="0" applyAlignment="0" applyProtection="0"/>
    <xf numFmtId="0" fontId="71" fillId="0" borderId="22" applyNumberFormat="0" applyFill="0" applyAlignment="0" applyProtection="0"/>
    <xf numFmtId="0" fontId="71" fillId="0" borderId="22" applyNumberFormat="0" applyFill="0" applyAlignment="0" applyProtection="0"/>
    <xf numFmtId="0" fontId="3" fillId="0" borderId="0"/>
    <xf numFmtId="0" fontId="3" fillId="0" borderId="0"/>
    <xf numFmtId="0" fontId="71" fillId="0" borderId="22" applyNumberFormat="0" applyFill="0" applyAlignment="0" applyProtection="0"/>
    <xf numFmtId="0" fontId="30" fillId="0" borderId="8" applyNumberFormat="0" applyFill="0" applyAlignment="0" applyProtection="0"/>
    <xf numFmtId="0" fontId="30" fillId="0" borderId="8" applyNumberFormat="0" applyFill="0" applyAlignment="0" applyProtection="0"/>
    <xf numFmtId="0" fontId="30" fillId="0" borderId="8" applyNumberFormat="0" applyFill="0" applyAlignment="0" applyProtection="0"/>
    <xf numFmtId="0" fontId="3" fillId="0" borderId="0"/>
    <xf numFmtId="0" fontId="3" fillId="0" borderId="0"/>
    <xf numFmtId="0" fontId="30" fillId="0" borderId="8" applyNumberFormat="0" applyFill="0" applyAlignment="0" applyProtection="0"/>
    <xf numFmtId="0" fontId="30" fillId="0" borderId="8" applyNumberFormat="0" applyFill="0" applyAlignment="0" applyProtection="0"/>
    <xf numFmtId="0" fontId="30" fillId="0" borderId="8" applyNumberFormat="0" applyFill="0" applyAlignment="0" applyProtection="0"/>
    <xf numFmtId="0" fontId="30" fillId="0" borderId="8" applyNumberFormat="0" applyFill="0" applyAlignment="0" applyProtection="0"/>
    <xf numFmtId="0" fontId="3" fillId="0" borderId="0"/>
    <xf numFmtId="0" fontId="3" fillId="0" borderId="0"/>
    <xf numFmtId="0" fontId="30" fillId="0" borderId="8" applyNumberFormat="0" applyFill="0" applyAlignment="0" applyProtection="0"/>
    <xf numFmtId="0" fontId="30" fillId="0" borderId="8" applyNumberFormat="0" applyFill="0" applyAlignment="0" applyProtection="0"/>
    <xf numFmtId="0" fontId="30" fillId="0" borderId="8" applyNumberFormat="0" applyFill="0" applyAlignment="0" applyProtection="0"/>
    <xf numFmtId="0" fontId="30" fillId="0" borderId="8" applyNumberFormat="0" applyFill="0" applyAlignment="0" applyProtection="0"/>
    <xf numFmtId="0" fontId="3" fillId="0" borderId="0"/>
    <xf numFmtId="0" fontId="3" fillId="0" borderId="0"/>
    <xf numFmtId="0" fontId="30" fillId="0" borderId="8" applyNumberFormat="0" applyFill="0" applyAlignment="0" applyProtection="0"/>
    <xf numFmtId="0" fontId="30" fillId="0" borderId="8" applyNumberFormat="0" applyFill="0" applyAlignment="0" applyProtection="0"/>
    <xf numFmtId="0" fontId="30" fillId="0" borderId="8" applyNumberFormat="0" applyFill="0" applyAlignment="0" applyProtection="0"/>
    <xf numFmtId="0" fontId="30" fillId="0" borderId="8" applyNumberFormat="0" applyFill="0" applyAlignment="0" applyProtection="0"/>
    <xf numFmtId="0" fontId="3" fillId="0" borderId="0"/>
    <xf numFmtId="0" fontId="3" fillId="0" borderId="0"/>
    <xf numFmtId="0" fontId="30" fillId="0" borderId="8" applyNumberFormat="0" applyFill="0" applyAlignment="0" applyProtection="0"/>
    <xf numFmtId="0" fontId="30" fillId="0" borderId="8" applyNumberFormat="0" applyFill="0" applyAlignment="0" applyProtection="0"/>
    <xf numFmtId="0" fontId="30" fillId="0" borderId="8" applyNumberFormat="0" applyFill="0" applyAlignment="0" applyProtection="0"/>
    <xf numFmtId="0" fontId="3" fillId="0" borderId="0"/>
    <xf numFmtId="0" fontId="3" fillId="0" borderId="0"/>
    <xf numFmtId="0" fontId="31" fillId="0" borderId="9"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3" fillId="0" borderId="0"/>
    <xf numFmtId="0" fontId="31" fillId="0" borderId="9" applyNumberFormat="0" applyFill="0" applyAlignment="0" applyProtection="0"/>
    <xf numFmtId="0" fontId="3" fillId="0" borderId="0"/>
    <xf numFmtId="0"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3" fillId="0" borderId="0"/>
    <xf numFmtId="0" fontId="3" fillId="0" borderId="0"/>
    <xf numFmtId="0"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3" fillId="0" borderId="0"/>
    <xf numFmtId="0" fontId="3" fillId="0" borderId="0"/>
    <xf numFmtId="0" fontId="52" fillId="0" borderId="23" applyNumberFormat="0" applyFill="0" applyAlignment="0" applyProtection="0"/>
    <xf numFmtId="0" fontId="31" fillId="0" borderId="9" applyNumberFormat="0" applyFill="0" applyAlignment="0" applyProtection="0"/>
    <xf numFmtId="0" fontId="31" fillId="0" borderId="9" applyNumberFormat="0" applyFill="0" applyAlignment="0" applyProtection="0"/>
    <xf numFmtId="0" fontId="31" fillId="0" borderId="9" applyNumberFormat="0" applyFill="0" applyAlignment="0" applyProtection="0"/>
    <xf numFmtId="0" fontId="3" fillId="0" borderId="0"/>
    <xf numFmtId="0" fontId="3" fillId="0" borderId="0"/>
    <xf numFmtId="0" fontId="31" fillId="0" borderId="9" applyNumberFormat="0" applyFill="0" applyAlignment="0" applyProtection="0"/>
    <xf numFmtId="0" fontId="31" fillId="0" borderId="9" applyNumberFormat="0" applyFill="0" applyAlignment="0" applyProtection="0"/>
    <xf numFmtId="0" fontId="31" fillId="0" borderId="9" applyNumberFormat="0" applyFill="0" applyAlignment="0" applyProtection="0"/>
    <xf numFmtId="0" fontId="31" fillId="0" borderId="9" applyNumberFormat="0" applyFill="0" applyAlignment="0" applyProtection="0"/>
    <xf numFmtId="0" fontId="3" fillId="0" borderId="0"/>
    <xf numFmtId="0" fontId="3" fillId="0" borderId="0"/>
    <xf numFmtId="0" fontId="31" fillId="0" borderId="9" applyNumberFormat="0" applyFill="0" applyAlignment="0" applyProtection="0"/>
    <xf numFmtId="0" fontId="31" fillId="0" borderId="9" applyNumberFormat="0" applyFill="0" applyAlignment="0" applyProtection="0"/>
    <xf numFmtId="0" fontId="31" fillId="0" borderId="9" applyNumberFormat="0" applyFill="0" applyAlignment="0" applyProtection="0"/>
    <xf numFmtId="0" fontId="31" fillId="0" borderId="9" applyNumberFormat="0" applyFill="0" applyAlignment="0" applyProtection="0"/>
    <xf numFmtId="0" fontId="3" fillId="0" borderId="0"/>
    <xf numFmtId="0" fontId="3" fillId="0" borderId="0"/>
    <xf numFmtId="0" fontId="31" fillId="0" borderId="9" applyNumberFormat="0" applyFill="0" applyAlignment="0" applyProtection="0"/>
    <xf numFmtId="0" fontId="31" fillId="0" borderId="9" applyNumberFormat="0" applyFill="0" applyAlignment="0" applyProtection="0"/>
    <xf numFmtId="0" fontId="31" fillId="0" borderId="9" applyNumberFormat="0" applyFill="0" applyAlignment="0" applyProtection="0"/>
    <xf numFmtId="0" fontId="31" fillId="0" borderId="9" applyNumberFormat="0" applyFill="0" applyAlignment="0" applyProtection="0"/>
    <xf numFmtId="0" fontId="3" fillId="0" borderId="0"/>
    <xf numFmtId="0" fontId="3" fillId="0" borderId="0"/>
    <xf numFmtId="0" fontId="31" fillId="0" borderId="9" applyNumberFormat="0" applyFill="0" applyAlignment="0" applyProtection="0"/>
    <xf numFmtId="0" fontId="31" fillId="0" borderId="9" applyNumberFormat="0" applyFill="0" applyAlignment="0" applyProtection="0"/>
    <xf numFmtId="0" fontId="31" fillId="0" borderId="9" applyNumberFormat="0" applyFill="0" applyAlignment="0" applyProtection="0"/>
    <xf numFmtId="0" fontId="3" fillId="0" borderId="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3" fillId="0" borderId="0"/>
    <xf numFmtId="0" fontId="44" fillId="0" borderId="0" applyNumberFormat="0" applyFill="0" applyBorder="0" applyAlignment="0" applyProtection="0"/>
    <xf numFmtId="0" fontId="3" fillId="0" borderId="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3" fillId="0" borderId="0"/>
    <xf numFmtId="0" fontId="44" fillId="0" borderId="0" applyNumberFormat="0" applyFill="0" applyBorder="0" applyAlignment="0" applyProtection="0"/>
    <xf numFmtId="0" fontId="3" fillId="0" borderId="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3" fillId="0" borderId="0"/>
    <xf numFmtId="0" fontId="3" fillId="0" borderId="0"/>
    <xf numFmtId="0" fontId="72"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3" fillId="0" borderId="0"/>
    <xf numFmtId="0" fontId="3" fillId="0" borderId="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3" fillId="0" borderId="0"/>
    <xf numFmtId="0" fontId="3" fillId="0" borderId="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3" fillId="0" borderId="0"/>
    <xf numFmtId="0" fontId="3" fillId="0" borderId="0"/>
    <xf numFmtId="0" fontId="44" fillId="0" borderId="0" applyNumberFormat="0" applyFill="0" applyBorder="0" applyAlignment="0" applyProtection="0"/>
    <xf numFmtId="0" fontId="73" fillId="0" borderId="24" applyNumberFormat="0" applyFill="0" applyAlignment="0" applyProtection="0"/>
    <xf numFmtId="0" fontId="73" fillId="0" borderId="24" applyNumberFormat="0" applyFill="0" applyAlignment="0" applyProtection="0"/>
    <xf numFmtId="0" fontId="73" fillId="0" borderId="24" applyNumberFormat="0" applyFill="0" applyAlignment="0" applyProtection="0"/>
    <xf numFmtId="0" fontId="3" fillId="0" borderId="0"/>
    <xf numFmtId="0" fontId="3" fillId="0" borderId="0"/>
    <xf numFmtId="0" fontId="73" fillId="0" borderId="24" applyNumberFormat="0" applyFill="0" applyAlignment="0" applyProtection="0"/>
    <xf numFmtId="0" fontId="73" fillId="0" borderId="24" applyNumberFormat="0" applyFill="0" applyAlignment="0" applyProtection="0"/>
    <xf numFmtId="0" fontId="73" fillId="0" borderId="24" applyNumberFormat="0" applyFill="0" applyAlignment="0" applyProtection="0"/>
    <xf numFmtId="0" fontId="73" fillId="0" borderId="24" applyNumberFormat="0" applyFill="0" applyAlignment="0" applyProtection="0"/>
    <xf numFmtId="0" fontId="3" fillId="0" borderId="0"/>
    <xf numFmtId="0" fontId="3" fillId="0" borderId="0"/>
    <xf numFmtId="0" fontId="73" fillId="0" borderId="24" applyNumberFormat="0" applyFill="0" applyAlignment="0" applyProtection="0"/>
    <xf numFmtId="0" fontId="73" fillId="0" borderId="24" applyNumberFormat="0" applyFill="0" applyAlignment="0" applyProtection="0"/>
    <xf numFmtId="0" fontId="73" fillId="0" borderId="24" applyNumberFormat="0" applyFill="0" applyAlignment="0" applyProtection="0"/>
    <xf numFmtId="0" fontId="73" fillId="0" borderId="24" applyNumberFormat="0" applyFill="0" applyAlignment="0" applyProtection="0"/>
    <xf numFmtId="0" fontId="3" fillId="0" borderId="0"/>
    <xf numFmtId="0" fontId="3" fillId="0" borderId="0"/>
    <xf numFmtId="0" fontId="73" fillId="0" borderId="24" applyNumberFormat="0" applyFill="0" applyAlignment="0" applyProtection="0"/>
    <xf numFmtId="0" fontId="41" fillId="0" borderId="15" applyNumberFormat="0" applyFill="0" applyAlignment="0" applyProtection="0"/>
    <xf numFmtId="0" fontId="41" fillId="0" borderId="15" applyNumberFormat="0" applyFill="0" applyAlignment="0" applyProtection="0"/>
    <xf numFmtId="0" fontId="3" fillId="0" borderId="0"/>
    <xf numFmtId="0" fontId="3" fillId="0" borderId="0"/>
    <xf numFmtId="0" fontId="41" fillId="0" borderId="15" applyNumberFormat="0" applyFill="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 fillId="0" borderId="0"/>
    <xf numFmtId="0" fontId="3" fillId="0" borderId="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 fillId="0" borderId="0"/>
    <xf numFmtId="0" fontId="3" fillId="0" borderId="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 fillId="0" borderId="0"/>
    <xf numFmtId="0" fontId="3" fillId="0" borderId="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 fillId="0" borderId="0"/>
    <xf numFmtId="0" fontId="3" fillId="0" borderId="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 fillId="0" borderId="0"/>
    <xf numFmtId="0" fontId="3" fillId="0" borderId="0"/>
    <xf numFmtId="0" fontId="39" fillId="0" borderId="0" applyNumberFormat="0" applyFill="0" applyBorder="0" applyAlignment="0" applyProtection="0"/>
    <xf numFmtId="0" fontId="74" fillId="2" borderId="0" applyNumberFormat="0" applyBorder="0" applyAlignment="0" applyProtection="0"/>
    <xf numFmtId="0" fontId="75" fillId="3" borderId="0" applyNumberFormat="0" applyBorder="0" applyAlignment="0" applyProtection="0"/>
    <xf numFmtId="0" fontId="47" fillId="73" borderId="0" applyNumberFormat="0" applyBorder="0" applyAlignment="0" applyProtection="0"/>
    <xf numFmtId="0" fontId="47" fillId="74" borderId="0" applyNumberFormat="0" applyBorder="0" applyAlignment="0" applyProtection="0"/>
    <xf numFmtId="0" fontId="47" fillId="75" borderId="0" applyNumberFormat="0" applyBorder="0" applyAlignment="0" applyProtection="0"/>
    <xf numFmtId="0" fontId="47" fillId="76" borderId="0" applyNumberFormat="0" applyBorder="0" applyAlignment="0" applyProtection="0"/>
    <xf numFmtId="0" fontId="47" fillId="77" borderId="0" applyNumberFormat="0" applyBorder="0" applyAlignment="0" applyProtection="0"/>
    <xf numFmtId="0" fontId="47" fillId="78" borderId="0" applyNumberFormat="0" applyBorder="0" applyAlignment="0" applyProtection="0"/>
    <xf numFmtId="0" fontId="76" fillId="0" borderId="0" applyNumberFormat="0" applyFill="0" applyBorder="0" applyAlignment="0" applyProtection="0"/>
    <xf numFmtId="0" fontId="77" fillId="0" borderId="25" applyNumberFormat="0" applyFill="0" applyAlignment="0" applyProtection="0"/>
    <xf numFmtId="0" fontId="78" fillId="0" borderId="26" applyNumberFormat="0" applyFill="0" applyAlignment="0" applyProtection="0"/>
    <xf numFmtId="0" fontId="79" fillId="0" borderId="27" applyNumberFormat="0" applyFill="0" applyAlignment="0" applyProtection="0"/>
    <xf numFmtId="0" fontId="79" fillId="0" borderId="0" applyNumberFormat="0" applyFill="0" applyBorder="0" applyAlignment="0" applyProtection="0"/>
    <xf numFmtId="0" fontId="80" fillId="7" borderId="13" applyNumberFormat="0" applyAlignment="0" applyProtection="0"/>
    <xf numFmtId="0" fontId="81" fillId="0" borderId="28" applyNumberFormat="0" applyFill="0" applyAlignment="0" applyProtection="0"/>
    <xf numFmtId="0" fontId="45" fillId="8" borderId="14" applyNumberFormat="0" applyFont="0" applyAlignment="0" applyProtection="0"/>
    <xf numFmtId="0" fontId="82" fillId="0" borderId="0" applyNumberFormat="0" applyFill="0" applyBorder="0" applyAlignment="0" applyProtection="0"/>
    <xf numFmtId="0" fontId="83" fillId="0" borderId="0" applyNumberFormat="0" applyFill="0" applyBorder="0" applyAlignment="0" applyProtection="0"/>
    <xf numFmtId="0" fontId="84" fillId="6" borderId="10" applyNumberFormat="0" applyAlignment="0" applyProtection="0"/>
    <xf numFmtId="0" fontId="85" fillId="5" borderId="10" applyNumberFormat="0" applyAlignment="0" applyProtection="0"/>
    <xf numFmtId="0" fontId="86" fillId="6" borderId="11" applyNumberFormat="0" applyAlignment="0" applyProtection="0"/>
    <xf numFmtId="0" fontId="87" fillId="4" borderId="0" applyNumberFormat="0" applyBorder="0" applyAlignment="0" applyProtection="0"/>
    <xf numFmtId="0" fontId="88" fillId="0" borderId="12" applyNumberFormat="0" applyFill="0" applyAlignment="0" applyProtection="0"/>
    <xf numFmtId="0" fontId="25" fillId="0" borderId="0"/>
    <xf numFmtId="0" fontId="89" fillId="0" borderId="0"/>
    <xf numFmtId="0" fontId="89" fillId="0" borderId="0"/>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cellStyleXfs>
  <cellXfs count="130">
    <xf numFmtId="0" fontId="0" fillId="0" borderId="0" xfId="0"/>
    <xf numFmtId="0" fontId="20" fillId="0" borderId="0" xfId="0" applyFont="1"/>
    <xf numFmtId="0" fontId="28" fillId="0" borderId="0" xfId="0" applyFont="1"/>
    <xf numFmtId="169" fontId="28" fillId="0" borderId="0" xfId="0" applyNumberFormat="1" applyFont="1"/>
    <xf numFmtId="0" fontId="91" fillId="0" borderId="0" xfId="0" applyFont="1"/>
    <xf numFmtId="0" fontId="92" fillId="0" borderId="1" xfId="71" applyFont="1" applyBorder="1" applyProtection="1">
      <protection locked="0"/>
    </xf>
    <xf numFmtId="0" fontId="92" fillId="0" borderId="1" xfId="71" applyFont="1" applyBorder="1"/>
    <xf numFmtId="169" fontId="92" fillId="0" borderId="1" xfId="71" applyNumberFormat="1" applyFont="1" applyBorder="1" applyAlignment="1">
      <alignment vertical="center"/>
    </xf>
    <xf numFmtId="0" fontId="93" fillId="0" borderId="1" xfId="0" applyFont="1" applyBorder="1"/>
    <xf numFmtId="0" fontId="93" fillId="0" borderId="1" xfId="0" applyFont="1" applyBorder="1" applyAlignment="1">
      <alignment horizontal="center"/>
    </xf>
    <xf numFmtId="181" fontId="93" fillId="0" borderId="1" xfId="0" applyNumberFormat="1" applyFont="1" applyBorder="1" applyAlignment="1">
      <alignment horizontal="center"/>
    </xf>
    <xf numFmtId="169" fontId="93" fillId="0" borderId="1" xfId="5" applyNumberFormat="1" applyFont="1" applyBorder="1"/>
    <xf numFmtId="169" fontId="93" fillId="0" borderId="1" xfId="5" applyNumberFormat="1" applyFont="1" applyFill="1" applyBorder="1"/>
    <xf numFmtId="169" fontId="91" fillId="0" borderId="0" xfId="0" applyNumberFormat="1" applyFont="1"/>
    <xf numFmtId="169" fontId="90" fillId="0" borderId="1" xfId="5" applyNumberFormat="1" applyFont="1" applyBorder="1"/>
    <xf numFmtId="6" fontId="94" fillId="0" borderId="0" xfId="0" applyNumberFormat="1" applyFont="1"/>
    <xf numFmtId="0" fontId="96" fillId="0" borderId="1" xfId="0" applyFont="1" applyBorder="1" applyAlignment="1">
      <alignment vertical="center"/>
    </xf>
    <xf numFmtId="0" fontId="96" fillId="0" borderId="5" xfId="0" applyFont="1" applyBorder="1" applyAlignment="1">
      <alignment vertical="center"/>
    </xf>
    <xf numFmtId="0" fontId="96" fillId="0" borderId="0" xfId="0" applyFont="1" applyAlignment="1">
      <alignment vertical="center"/>
    </xf>
    <xf numFmtId="169" fontId="92" fillId="0" borderId="0" xfId="31" applyNumberFormat="1" applyFont="1" applyAlignment="1">
      <alignment horizontal="center" vertical="center"/>
    </xf>
    <xf numFmtId="0" fontId="97" fillId="0" borderId="1" xfId="39209" applyFont="1" applyBorder="1"/>
    <xf numFmtId="0" fontId="2" fillId="0" borderId="0" xfId="39209"/>
    <xf numFmtId="165" fontId="90" fillId="79" borderId="1" xfId="31" applyFont="1" applyFill="1" applyBorder="1" applyAlignment="1">
      <alignment horizontal="center" vertical="center"/>
    </xf>
    <xf numFmtId="0" fontId="90" fillId="79" borderId="1" xfId="0" applyFont="1" applyFill="1" applyBorder="1" applyAlignment="1">
      <alignment horizontal="center"/>
    </xf>
    <xf numFmtId="0" fontId="90" fillId="79" borderId="1" xfId="0" applyFont="1" applyFill="1" applyBorder="1"/>
    <xf numFmtId="165" fontId="90" fillId="79" borderId="1" xfId="5" applyFont="1" applyFill="1" applyBorder="1"/>
    <xf numFmtId="169" fontId="90" fillId="79" borderId="1" xfId="5" applyNumberFormat="1" applyFont="1" applyFill="1" applyBorder="1"/>
    <xf numFmtId="0" fontId="90" fillId="79" borderId="1" xfId="71" applyFont="1" applyFill="1" applyBorder="1" applyAlignment="1">
      <alignment horizontal="center"/>
    </xf>
    <xf numFmtId="174" fontId="90" fillId="79" borderId="1" xfId="71" applyNumberFormat="1" applyFont="1" applyFill="1" applyBorder="1" applyAlignment="1">
      <alignment horizontal="center" vertical="center"/>
    </xf>
    <xf numFmtId="174" fontId="90" fillId="79" borderId="3" xfId="71" applyNumberFormat="1" applyFont="1" applyFill="1" applyBorder="1" applyAlignment="1">
      <alignment horizontal="center" vertical="center"/>
    </xf>
    <xf numFmtId="174" fontId="90" fillId="79" borderId="4" xfId="71" applyNumberFormat="1" applyFont="1" applyFill="1" applyBorder="1" applyAlignment="1">
      <alignment horizontal="center" vertical="center"/>
    </xf>
    <xf numFmtId="0" fontId="96" fillId="0" borderId="33" xfId="0" applyFont="1" applyBorder="1"/>
    <xf numFmtId="0" fontId="98" fillId="80" borderId="1" xfId="0" applyFont="1" applyFill="1" applyBorder="1" applyAlignment="1">
      <alignment wrapText="1"/>
    </xf>
    <xf numFmtId="0" fontId="98" fillId="80" borderId="4" xfId="0" applyFont="1" applyFill="1" applyBorder="1" applyAlignment="1">
      <alignment wrapText="1"/>
    </xf>
    <xf numFmtId="0" fontId="98" fillId="81" borderId="4" xfId="0" applyFont="1" applyFill="1" applyBorder="1" applyAlignment="1">
      <alignment wrapText="1"/>
    </xf>
    <xf numFmtId="0" fontId="99" fillId="0" borderId="30" xfId="0" applyFont="1" applyBorder="1"/>
    <xf numFmtId="0" fontId="99" fillId="82" borderId="29" xfId="0" applyFont="1" applyFill="1" applyBorder="1"/>
    <xf numFmtId="0" fontId="99" fillId="0" borderId="29" xfId="0" applyFont="1" applyBorder="1"/>
    <xf numFmtId="0" fontId="100" fillId="0" borderId="29" xfId="0" applyFont="1" applyBorder="1"/>
    <xf numFmtId="0" fontId="99" fillId="83" borderId="29" xfId="0" applyFont="1" applyFill="1" applyBorder="1"/>
    <xf numFmtId="0" fontId="101" fillId="0" borderId="1" xfId="0" applyFont="1" applyBorder="1"/>
    <xf numFmtId="0" fontId="101" fillId="0" borderId="4" xfId="0" applyFont="1" applyBorder="1"/>
    <xf numFmtId="0" fontId="101" fillId="0" borderId="30" xfId="0" applyFont="1" applyBorder="1"/>
    <xf numFmtId="0" fontId="101" fillId="0" borderId="29" xfId="0" applyFont="1" applyBorder="1"/>
    <xf numFmtId="0" fontId="0" fillId="0" borderId="0" xfId="0" pivotButton="1"/>
    <xf numFmtId="10" fontId="0" fillId="0" borderId="0" xfId="0" applyNumberFormat="1"/>
    <xf numFmtId="182" fontId="0" fillId="0" borderId="0" xfId="0" applyNumberFormat="1"/>
    <xf numFmtId="0" fontId="0" fillId="86" borderId="0" xfId="0" applyFill="1"/>
    <xf numFmtId="174" fontId="90" fillId="79" borderId="30" xfId="71" applyNumberFormat="1" applyFont="1" applyFill="1" applyBorder="1" applyAlignment="1">
      <alignment horizontal="center" vertical="center"/>
    </xf>
    <xf numFmtId="0" fontId="102" fillId="0" borderId="32" xfId="0" applyFont="1" applyBorder="1"/>
    <xf numFmtId="0" fontId="92" fillId="0" borderId="3" xfId="71" applyFont="1" applyBorder="1" applyAlignment="1" applyProtection="1">
      <alignment horizontal="center" vertical="center"/>
      <protection locked="0"/>
    </xf>
    <xf numFmtId="169" fontId="92" fillId="0" borderId="4" xfId="71" applyNumberFormat="1" applyFont="1" applyBorder="1" applyAlignment="1">
      <alignment vertical="center"/>
    </xf>
    <xf numFmtId="0" fontId="90" fillId="79" borderId="31" xfId="71" applyFont="1" applyFill="1" applyBorder="1" applyAlignment="1">
      <alignment horizontal="center"/>
    </xf>
    <xf numFmtId="10" fontId="28" fillId="86" borderId="0" xfId="0" applyNumberFormat="1" applyFont="1" applyFill="1" applyAlignment="1">
      <alignment horizontal="center"/>
    </xf>
    <xf numFmtId="169" fontId="92" fillId="87" borderId="1" xfId="31" applyNumberFormat="1" applyFont="1" applyFill="1" applyBorder="1" applyAlignment="1">
      <alignment horizontal="center" vertical="center"/>
    </xf>
    <xf numFmtId="169" fontId="92" fillId="87" borderId="1" xfId="32" applyNumberFormat="1" applyFont="1" applyFill="1" applyBorder="1" applyAlignment="1">
      <alignment horizontal="center"/>
    </xf>
    <xf numFmtId="0" fontId="91" fillId="0" borderId="1" xfId="0" applyFont="1" applyBorder="1"/>
    <xf numFmtId="0" fontId="95" fillId="84" borderId="1" xfId="0" applyFont="1" applyFill="1" applyBorder="1" applyAlignment="1" applyProtection="1">
      <alignment horizontal="center" vertical="center" wrapText="1"/>
      <protection locked="0"/>
    </xf>
    <xf numFmtId="171" fontId="95" fillId="84" borderId="1" xfId="0" applyNumberFormat="1" applyFont="1" applyFill="1" applyBorder="1" applyAlignment="1">
      <alignment horizontal="center" vertical="center" wrapText="1"/>
    </xf>
    <xf numFmtId="171" fontId="95" fillId="84" borderId="1" xfId="0" applyNumberFormat="1" applyFont="1" applyFill="1" applyBorder="1" applyAlignment="1" applyProtection="1">
      <alignment horizontal="center" vertical="center" wrapText="1"/>
      <protection locked="0"/>
    </xf>
    <xf numFmtId="0" fontId="95" fillId="84" borderId="1" xfId="68" applyFont="1" applyFill="1" applyBorder="1" applyAlignment="1">
      <alignment horizontal="center" vertical="center" wrapText="1"/>
    </xf>
    <xf numFmtId="0" fontId="91" fillId="0" borderId="1" xfId="0" applyFont="1" applyBorder="1" applyAlignment="1">
      <alignment horizontal="center"/>
    </xf>
    <xf numFmtId="182" fontId="91" fillId="0" borderId="1" xfId="5" applyNumberFormat="1" applyFont="1" applyFill="1" applyBorder="1" applyAlignment="1">
      <alignment horizontal="center" vertical="center"/>
    </xf>
    <xf numFmtId="169" fontId="90" fillId="0" borderId="30" xfId="5" applyNumberFormat="1" applyFont="1" applyBorder="1" applyAlignment="1">
      <alignment horizontal="center" vertical="center"/>
    </xf>
    <xf numFmtId="0" fontId="91" fillId="0" borderId="0" xfId="0" applyFont="1" applyAlignment="1">
      <alignment horizontal="center"/>
    </xf>
    <xf numFmtId="0" fontId="91" fillId="0" borderId="31" xfId="0" applyFont="1" applyBorder="1" applyAlignment="1">
      <alignment horizontal="center"/>
    </xf>
    <xf numFmtId="0" fontId="91" fillId="0" borderId="1" xfId="0" applyFont="1" applyBorder="1" applyAlignment="1">
      <alignment horizontal="center" vertical="center"/>
    </xf>
    <xf numFmtId="173" fontId="91" fillId="0" borderId="1" xfId="5" applyNumberFormat="1" applyFont="1" applyFill="1" applyBorder="1" applyAlignment="1">
      <alignment horizontal="center" vertical="center"/>
    </xf>
    <xf numFmtId="173" fontId="91" fillId="0" borderId="1" xfId="0" applyNumberFormat="1" applyFont="1" applyBorder="1" applyAlignment="1">
      <alignment horizontal="center" vertical="center"/>
    </xf>
    <xf numFmtId="173" fontId="91" fillId="0" borderId="1" xfId="5" applyNumberFormat="1" applyFont="1" applyFill="1" applyBorder="1" applyAlignment="1">
      <alignment vertical="center"/>
    </xf>
    <xf numFmtId="0" fontId="104" fillId="0" borderId="0" xfId="0" applyFont="1"/>
    <xf numFmtId="0" fontId="105" fillId="0" borderId="0" xfId="0" applyFont="1"/>
    <xf numFmtId="0" fontId="105" fillId="0" borderId="0" xfId="0" applyFont="1" applyAlignment="1">
      <alignment horizontal="center" vertical="center"/>
    </xf>
    <xf numFmtId="173" fontId="103" fillId="0" borderId="35" xfId="0" applyNumberFormat="1" applyFont="1" applyBorder="1" applyAlignment="1">
      <alignment horizontal="center" vertical="center"/>
    </xf>
    <xf numFmtId="0" fontId="106" fillId="0" borderId="1" xfId="0" applyFont="1" applyBorder="1" applyAlignment="1">
      <alignment horizontal="center"/>
    </xf>
    <xf numFmtId="185" fontId="103" fillId="0" borderId="30" xfId="0" applyNumberFormat="1" applyFont="1" applyBorder="1" applyAlignment="1">
      <alignment horizontal="center" vertical="center"/>
    </xf>
    <xf numFmtId="14" fontId="95" fillId="84" borderId="31" xfId="0" applyNumberFormat="1" applyFont="1" applyFill="1" applyBorder="1" applyAlignment="1" applyProtection="1">
      <alignment horizontal="center" vertical="center" wrapText="1"/>
      <protection locked="0"/>
    </xf>
    <xf numFmtId="0" fontId="91" fillId="0" borderId="31" xfId="0" applyFont="1" applyBorder="1" applyAlignment="1">
      <alignment horizontal="left"/>
    </xf>
    <xf numFmtId="0" fontId="91" fillId="0" borderId="1" xfId="0" applyFont="1" applyBorder="1" applyAlignment="1">
      <alignment horizontal="left"/>
    </xf>
    <xf numFmtId="0" fontId="91" fillId="0" borderId="31" xfId="0" applyFont="1" applyBorder="1" applyAlignment="1" applyProtection="1">
      <alignment horizontal="left"/>
      <protection locked="0"/>
    </xf>
    <xf numFmtId="0" fontId="91" fillId="0" borderId="34" xfId="0" applyFont="1" applyBorder="1" applyAlignment="1" applyProtection="1">
      <alignment horizontal="left"/>
      <protection locked="0"/>
    </xf>
    <xf numFmtId="183" fontId="91" fillId="0" borderId="31" xfId="0" applyNumberFormat="1" applyFont="1" applyBorder="1" applyAlignment="1" applyProtection="1">
      <alignment horizontal="left" vertical="center"/>
      <protection locked="0"/>
    </xf>
    <xf numFmtId="14" fontId="91" fillId="0" borderId="31" xfId="0" applyNumberFormat="1" applyFont="1" applyBorder="1" applyAlignment="1" applyProtection="1">
      <alignment horizontal="left" vertical="center"/>
      <protection locked="0"/>
    </xf>
    <xf numFmtId="0" fontId="91" fillId="0" borderId="1" xfId="0" applyFont="1" applyBorder="1" applyAlignment="1" applyProtection="1">
      <alignment horizontal="left"/>
      <protection locked="0"/>
    </xf>
    <xf numFmtId="1" fontId="91" fillId="0" borderId="31" xfId="0" applyNumberFormat="1" applyFont="1" applyBorder="1" applyAlignment="1">
      <alignment horizontal="left"/>
    </xf>
    <xf numFmtId="0" fontId="91" fillId="0" borderId="31" xfId="0" applyFont="1" applyBorder="1" applyAlignment="1" applyProtection="1">
      <alignment horizontal="left" vertical="center"/>
      <protection locked="0"/>
    </xf>
    <xf numFmtId="184" fontId="91" fillId="0" borderId="1" xfId="0" applyNumberFormat="1" applyFont="1" applyBorder="1" applyAlignment="1" applyProtection="1">
      <alignment horizontal="left" vertical="center"/>
      <protection locked="0"/>
    </xf>
    <xf numFmtId="0" fontId="91" fillId="0" borderId="1" xfId="0" applyFont="1" applyBorder="1" applyAlignment="1" applyProtection="1">
      <alignment horizontal="left" vertical="center"/>
      <protection locked="0"/>
    </xf>
    <xf numFmtId="173" fontId="95" fillId="84" borderId="1" xfId="5" applyNumberFormat="1" applyFont="1" applyFill="1" applyBorder="1" applyAlignment="1">
      <alignment horizontal="center" vertical="center" wrapText="1"/>
    </xf>
    <xf numFmtId="0" fontId="91" fillId="85" borderId="31" xfId="0" applyFont="1" applyFill="1" applyBorder="1" applyAlignment="1" applyProtection="1">
      <alignment horizontal="left"/>
      <protection locked="0"/>
    </xf>
    <xf numFmtId="173" fontId="91" fillId="0" borderId="1" xfId="0" applyNumberFormat="1" applyFont="1" applyBorder="1" applyAlignment="1">
      <alignment vertical="center"/>
    </xf>
    <xf numFmtId="0" fontId="95" fillId="84" borderId="1" xfId="0" applyFont="1" applyFill="1" applyBorder="1" applyAlignment="1">
      <alignment horizontal="center" vertical="center" wrapText="1"/>
    </xf>
    <xf numFmtId="0" fontId="103" fillId="0" borderId="0" xfId="0" applyFont="1"/>
    <xf numFmtId="173" fontId="107" fillId="0" borderId="30" xfId="0" applyNumberFormat="1" applyFont="1" applyBorder="1" applyAlignment="1">
      <alignment horizontal="center" vertical="center"/>
    </xf>
    <xf numFmtId="0" fontId="103" fillId="0" borderId="0" xfId="0" applyFont="1" applyAlignment="1">
      <alignment horizontal="left" vertical="center"/>
    </xf>
    <xf numFmtId="14" fontId="91" fillId="0" borderId="0" xfId="0" applyNumberFormat="1" applyFont="1"/>
    <xf numFmtId="0" fontId="91" fillId="0" borderId="0" xfId="0" applyFont="1" applyAlignment="1">
      <alignment horizontal="right"/>
    </xf>
    <xf numFmtId="0" fontId="91" fillId="0" borderId="0" xfId="0" applyFont="1" applyAlignment="1">
      <alignment horizontal="center" vertical="center"/>
    </xf>
    <xf numFmtId="0" fontId="95" fillId="0" borderId="0" xfId="0" applyFont="1" applyAlignment="1">
      <alignment horizontal="center"/>
    </xf>
    <xf numFmtId="1" fontId="91" fillId="0" borderId="1" xfId="0" applyNumberFormat="1" applyFont="1" applyBorder="1" applyAlignment="1">
      <alignment horizontal="left"/>
    </xf>
    <xf numFmtId="0" fontId="91" fillId="85" borderId="1" xfId="0" applyFont="1" applyFill="1" applyBorder="1" applyAlignment="1" applyProtection="1">
      <alignment horizontal="left"/>
      <protection locked="0"/>
    </xf>
    <xf numFmtId="183" fontId="91" fillId="0" borderId="1" xfId="0" applyNumberFormat="1" applyFont="1" applyBorder="1" applyAlignment="1" applyProtection="1">
      <alignment horizontal="left" vertical="center"/>
      <protection locked="0"/>
    </xf>
    <xf numFmtId="14" fontId="91" fillId="0" borderId="1" xfId="0" applyNumberFormat="1" applyFont="1" applyBorder="1" applyAlignment="1" applyProtection="1">
      <alignment horizontal="left" vertical="center"/>
      <protection locked="0"/>
    </xf>
    <xf numFmtId="186" fontId="91" fillId="0" borderId="1" xfId="0" applyNumberFormat="1" applyFont="1" applyBorder="1"/>
    <xf numFmtId="42" fontId="0" fillId="0" borderId="0" xfId="0" applyNumberFormat="1"/>
    <xf numFmtId="0" fontId="90" fillId="79" borderId="3" xfId="71" applyFont="1" applyFill="1" applyBorder="1" applyAlignment="1">
      <alignment horizontal="center"/>
    </xf>
    <xf numFmtId="0" fontId="90" fillId="79" borderId="6" xfId="71" applyFont="1" applyFill="1" applyBorder="1" applyAlignment="1">
      <alignment horizontal="center"/>
    </xf>
    <xf numFmtId="0" fontId="90" fillId="79" borderId="4" xfId="71" applyFont="1" applyFill="1" applyBorder="1" applyAlignment="1">
      <alignment horizontal="center"/>
    </xf>
    <xf numFmtId="17" fontId="90" fillId="79" borderId="3" xfId="71" applyNumberFormat="1" applyFont="1" applyFill="1" applyBorder="1" applyAlignment="1" applyProtection="1">
      <alignment horizontal="center"/>
      <protection locked="0"/>
    </xf>
    <xf numFmtId="17" fontId="90" fillId="79" borderId="6" xfId="71" applyNumberFormat="1" applyFont="1" applyFill="1" applyBorder="1" applyAlignment="1" applyProtection="1">
      <alignment horizontal="center"/>
      <protection locked="0"/>
    </xf>
    <xf numFmtId="17" fontId="90" fillId="79" borderId="4" xfId="71" applyNumberFormat="1" applyFont="1" applyFill="1" applyBorder="1" applyAlignment="1" applyProtection="1">
      <alignment horizontal="center"/>
      <protection locked="0"/>
    </xf>
    <xf numFmtId="165" fontId="90" fillId="0" borderId="3" xfId="6" applyFont="1" applyBorder="1" applyAlignment="1">
      <alignment horizontal="right" indent="1"/>
    </xf>
    <xf numFmtId="165" fontId="90" fillId="0" borderId="6" xfId="6" applyFont="1" applyBorder="1" applyAlignment="1">
      <alignment horizontal="right" indent="1"/>
    </xf>
    <xf numFmtId="165" fontId="90" fillId="0" borderId="4" xfId="6" applyFont="1" applyBorder="1" applyAlignment="1">
      <alignment horizontal="right" indent="1"/>
    </xf>
    <xf numFmtId="165" fontId="90" fillId="79" borderId="3" xfId="6" applyFont="1" applyFill="1" applyBorder="1" applyAlignment="1">
      <alignment horizontal="right"/>
    </xf>
    <xf numFmtId="165" fontId="90" fillId="79" borderId="6" xfId="6" applyFont="1" applyFill="1" applyBorder="1" applyAlignment="1">
      <alignment horizontal="right"/>
    </xf>
    <xf numFmtId="165" fontId="90" fillId="79" borderId="4" xfId="6" applyFont="1" applyFill="1" applyBorder="1" applyAlignment="1">
      <alignment horizontal="right"/>
    </xf>
    <xf numFmtId="0" fontId="90" fillId="79" borderId="2" xfId="0" applyFont="1" applyFill="1" applyBorder="1" applyAlignment="1">
      <alignment horizontal="center"/>
    </xf>
    <xf numFmtId="0" fontId="90" fillId="79" borderId="0" xfId="0" applyFont="1" applyFill="1" applyAlignment="1">
      <alignment horizontal="center"/>
    </xf>
    <xf numFmtId="0" fontId="90" fillId="79" borderId="1" xfId="0" applyFont="1" applyFill="1" applyBorder="1" applyAlignment="1">
      <alignment horizontal="center"/>
    </xf>
    <xf numFmtId="17" fontId="90" fillId="79" borderId="1" xfId="0" applyNumberFormat="1" applyFont="1" applyFill="1" applyBorder="1" applyAlignment="1">
      <alignment horizontal="center"/>
    </xf>
    <xf numFmtId="0" fontId="93" fillId="0" borderId="1" xfId="0" applyFont="1" applyBorder="1" applyAlignment="1">
      <alignment horizontal="center"/>
    </xf>
    <xf numFmtId="0" fontId="90" fillId="0" borderId="35" xfId="0" applyFont="1" applyBorder="1" applyAlignment="1">
      <alignment horizontal="right"/>
    </xf>
    <xf numFmtId="0" fontId="90" fillId="0" borderId="36" xfId="0" applyFont="1" applyBorder="1" applyAlignment="1">
      <alignment horizontal="right"/>
    </xf>
    <xf numFmtId="0" fontId="90" fillId="0" borderId="29" xfId="0" applyFont="1" applyBorder="1" applyAlignment="1">
      <alignment horizontal="right"/>
    </xf>
    <xf numFmtId="0" fontId="95" fillId="79" borderId="1" xfId="0" applyFont="1" applyFill="1" applyBorder="1" applyAlignment="1">
      <alignment horizontal="center"/>
    </xf>
    <xf numFmtId="0" fontId="96" fillId="0" borderId="3" xfId="0" applyFont="1" applyBorder="1" applyAlignment="1">
      <alignment horizontal="left" vertical="center" wrapText="1"/>
    </xf>
    <xf numFmtId="0" fontId="96" fillId="0" borderId="6" xfId="0" applyFont="1" applyBorder="1" applyAlignment="1">
      <alignment horizontal="left" vertical="center" wrapText="1"/>
    </xf>
    <xf numFmtId="0" fontId="96" fillId="0" borderId="4" xfId="0" applyFont="1" applyBorder="1" applyAlignment="1">
      <alignment horizontal="left" vertical="center" wrapText="1"/>
    </xf>
    <xf numFmtId="0" fontId="41" fillId="0" borderId="1" xfId="0" applyFont="1" applyBorder="1" applyAlignment="1">
      <alignment horizontal="center" vertical="top"/>
    </xf>
  </cellXfs>
  <cellStyles count="39247">
    <cellStyle name="20% - Accent1" xfId="82" xr:uid="{00000000-0005-0000-0000-000000000000}"/>
    <cellStyle name="20% - Accent1 2" xfId="83" xr:uid="{00000000-0005-0000-0000-000001000000}"/>
    <cellStyle name="20% - Accent1 3" xfId="84" xr:uid="{00000000-0005-0000-0000-000002000000}"/>
    <cellStyle name="20% - Accent1 4" xfId="85" xr:uid="{00000000-0005-0000-0000-000003000000}"/>
    <cellStyle name="20% - Accent1 5" xfId="86" xr:uid="{00000000-0005-0000-0000-000004000000}"/>
    <cellStyle name="20% - Accent2" xfId="87" xr:uid="{00000000-0005-0000-0000-000005000000}"/>
    <cellStyle name="20% - Accent2 2" xfId="88" xr:uid="{00000000-0005-0000-0000-000006000000}"/>
    <cellStyle name="20% - Accent2 3" xfId="89" xr:uid="{00000000-0005-0000-0000-000007000000}"/>
    <cellStyle name="20% - Accent2 4" xfId="90" xr:uid="{00000000-0005-0000-0000-000008000000}"/>
    <cellStyle name="20% - Accent2 5" xfId="91" xr:uid="{00000000-0005-0000-0000-000009000000}"/>
    <cellStyle name="20% - Accent3" xfId="92" xr:uid="{00000000-0005-0000-0000-00000A000000}"/>
    <cellStyle name="20% - Accent3 2" xfId="93" xr:uid="{00000000-0005-0000-0000-00000B000000}"/>
    <cellStyle name="20% - Accent3 3" xfId="94" xr:uid="{00000000-0005-0000-0000-00000C000000}"/>
    <cellStyle name="20% - Accent3 4" xfId="95" xr:uid="{00000000-0005-0000-0000-00000D000000}"/>
    <cellStyle name="20% - Accent3 5" xfId="96" xr:uid="{00000000-0005-0000-0000-00000E000000}"/>
    <cellStyle name="20% - Accent4" xfId="97" xr:uid="{00000000-0005-0000-0000-00000F000000}"/>
    <cellStyle name="20% - Accent4 2" xfId="98" xr:uid="{00000000-0005-0000-0000-000010000000}"/>
    <cellStyle name="20% - Accent4 3" xfId="99" xr:uid="{00000000-0005-0000-0000-000011000000}"/>
    <cellStyle name="20% - Accent4 4" xfId="100" xr:uid="{00000000-0005-0000-0000-000012000000}"/>
    <cellStyle name="20% - Accent4 5" xfId="101" xr:uid="{00000000-0005-0000-0000-000013000000}"/>
    <cellStyle name="20% - Accent5" xfId="102" xr:uid="{00000000-0005-0000-0000-000014000000}"/>
    <cellStyle name="20% - Accent5 2" xfId="103" xr:uid="{00000000-0005-0000-0000-000015000000}"/>
    <cellStyle name="20% - Accent5 3" xfId="104" xr:uid="{00000000-0005-0000-0000-000016000000}"/>
    <cellStyle name="20% - Accent5 4" xfId="105" xr:uid="{00000000-0005-0000-0000-000017000000}"/>
    <cellStyle name="20% - Accent5 5" xfId="106" xr:uid="{00000000-0005-0000-0000-000018000000}"/>
    <cellStyle name="20% - Accent6" xfId="107" xr:uid="{00000000-0005-0000-0000-000019000000}"/>
    <cellStyle name="20% - Accent6 2" xfId="108" xr:uid="{00000000-0005-0000-0000-00001A000000}"/>
    <cellStyle name="20% - Accent6 3" xfId="109" xr:uid="{00000000-0005-0000-0000-00001B000000}"/>
    <cellStyle name="20% - Accent6 4" xfId="110" xr:uid="{00000000-0005-0000-0000-00001C000000}"/>
    <cellStyle name="20% - Accent6 5" xfId="111" xr:uid="{00000000-0005-0000-0000-00001D000000}"/>
    <cellStyle name="20% - Énfasis1 2" xfId="112" xr:uid="{00000000-0005-0000-0000-00001E000000}"/>
    <cellStyle name="20% - Énfasis1 2 2" xfId="113" xr:uid="{00000000-0005-0000-0000-00001F000000}"/>
    <cellStyle name="20% - Énfasis1 3" xfId="114" xr:uid="{00000000-0005-0000-0000-000020000000}"/>
    <cellStyle name="20% - Énfasis1 4" xfId="115" xr:uid="{00000000-0005-0000-0000-000021000000}"/>
    <cellStyle name="20% - Énfasis1 5" xfId="116" xr:uid="{00000000-0005-0000-0000-000022000000}"/>
    <cellStyle name="20% - Énfasis1 6" xfId="117" xr:uid="{00000000-0005-0000-0000-000023000000}"/>
    <cellStyle name="20% - Énfasis1 7" xfId="118" xr:uid="{00000000-0005-0000-0000-000024000000}"/>
    <cellStyle name="20% - Énfasis1 8" xfId="119" xr:uid="{00000000-0005-0000-0000-000025000000}"/>
    <cellStyle name="20% - Énfasis2 2" xfId="120" xr:uid="{00000000-0005-0000-0000-000026000000}"/>
    <cellStyle name="20% - Énfasis2 2 2" xfId="121" xr:uid="{00000000-0005-0000-0000-000027000000}"/>
    <cellStyle name="20% - Énfasis2 3" xfId="122" xr:uid="{00000000-0005-0000-0000-000028000000}"/>
    <cellStyle name="20% - Énfasis2 4" xfId="123" xr:uid="{00000000-0005-0000-0000-000029000000}"/>
    <cellStyle name="20% - Énfasis2 5" xfId="124" xr:uid="{00000000-0005-0000-0000-00002A000000}"/>
    <cellStyle name="20% - Énfasis2 6" xfId="125" xr:uid="{00000000-0005-0000-0000-00002B000000}"/>
    <cellStyle name="20% - Énfasis2 7" xfId="126" xr:uid="{00000000-0005-0000-0000-00002C000000}"/>
    <cellStyle name="20% - Énfasis2 8" xfId="127" xr:uid="{00000000-0005-0000-0000-00002D000000}"/>
    <cellStyle name="20% - Énfasis3 2" xfId="128" xr:uid="{00000000-0005-0000-0000-00002E000000}"/>
    <cellStyle name="20% - Énfasis3 2 2" xfId="129" xr:uid="{00000000-0005-0000-0000-00002F000000}"/>
    <cellStyle name="20% - Énfasis3 3" xfId="130" xr:uid="{00000000-0005-0000-0000-000030000000}"/>
    <cellStyle name="20% - Énfasis3 4" xfId="131" xr:uid="{00000000-0005-0000-0000-000031000000}"/>
    <cellStyle name="20% - Énfasis3 5" xfId="132" xr:uid="{00000000-0005-0000-0000-000032000000}"/>
    <cellStyle name="20% - Énfasis3 6" xfId="133" xr:uid="{00000000-0005-0000-0000-000033000000}"/>
    <cellStyle name="20% - Énfasis3 7" xfId="134" xr:uid="{00000000-0005-0000-0000-000034000000}"/>
    <cellStyle name="20% - Énfasis3 8" xfId="135" xr:uid="{00000000-0005-0000-0000-000035000000}"/>
    <cellStyle name="20% - Énfasis4 2" xfId="136" xr:uid="{00000000-0005-0000-0000-000036000000}"/>
    <cellStyle name="20% - Énfasis4 2 2" xfId="137" xr:uid="{00000000-0005-0000-0000-000037000000}"/>
    <cellStyle name="20% - Énfasis4 3" xfId="138" xr:uid="{00000000-0005-0000-0000-000038000000}"/>
    <cellStyle name="20% - Énfasis4 4" xfId="139" xr:uid="{00000000-0005-0000-0000-000039000000}"/>
    <cellStyle name="20% - Énfasis4 5" xfId="140" xr:uid="{00000000-0005-0000-0000-00003A000000}"/>
    <cellStyle name="20% - Énfasis4 6" xfId="141" xr:uid="{00000000-0005-0000-0000-00003B000000}"/>
    <cellStyle name="20% - Énfasis4 7" xfId="142" xr:uid="{00000000-0005-0000-0000-00003C000000}"/>
    <cellStyle name="20% - Énfasis4 8" xfId="143" xr:uid="{00000000-0005-0000-0000-00003D000000}"/>
    <cellStyle name="20% - Énfasis5 2" xfId="144" xr:uid="{00000000-0005-0000-0000-00003E000000}"/>
    <cellStyle name="20% - Énfasis5 2 2" xfId="145" xr:uid="{00000000-0005-0000-0000-00003F000000}"/>
    <cellStyle name="20% - Énfasis5 3" xfId="146" xr:uid="{00000000-0005-0000-0000-000040000000}"/>
    <cellStyle name="20% - Énfasis5 4" xfId="147" xr:uid="{00000000-0005-0000-0000-000041000000}"/>
    <cellStyle name="20% - Énfasis5 5" xfId="148" xr:uid="{00000000-0005-0000-0000-000042000000}"/>
    <cellStyle name="20% - Énfasis5 6" xfId="149" xr:uid="{00000000-0005-0000-0000-000043000000}"/>
    <cellStyle name="20% - Énfasis5 7" xfId="150" xr:uid="{00000000-0005-0000-0000-000044000000}"/>
    <cellStyle name="20% - Énfasis5 8" xfId="151" xr:uid="{00000000-0005-0000-0000-000045000000}"/>
    <cellStyle name="20% - Énfasis6 2" xfId="152" xr:uid="{00000000-0005-0000-0000-000046000000}"/>
    <cellStyle name="20% - Énfasis6 2 2" xfId="153" xr:uid="{00000000-0005-0000-0000-000047000000}"/>
    <cellStyle name="20% - Énfasis6 3" xfId="154" xr:uid="{00000000-0005-0000-0000-000048000000}"/>
    <cellStyle name="20% - Énfasis6 4" xfId="155" xr:uid="{00000000-0005-0000-0000-000049000000}"/>
    <cellStyle name="20% - Énfasis6 5" xfId="156" xr:uid="{00000000-0005-0000-0000-00004A000000}"/>
    <cellStyle name="20% - Énfasis6 6" xfId="157" xr:uid="{00000000-0005-0000-0000-00004B000000}"/>
    <cellStyle name="20% - Énfasis6 7" xfId="158" xr:uid="{00000000-0005-0000-0000-00004C000000}"/>
    <cellStyle name="20% - Énfasis6 8" xfId="159" xr:uid="{00000000-0005-0000-0000-00004D000000}"/>
    <cellStyle name="20% - 强调文字颜色 1" xfId="160" xr:uid="{00000000-0005-0000-0000-00004E000000}"/>
    <cellStyle name="20% - 强调文字颜色 2" xfId="161" xr:uid="{00000000-0005-0000-0000-00004F000000}"/>
    <cellStyle name="20% - 强调文字颜色 3" xfId="162" xr:uid="{00000000-0005-0000-0000-000050000000}"/>
    <cellStyle name="20% - 强调文字颜色 4" xfId="163" xr:uid="{00000000-0005-0000-0000-000051000000}"/>
    <cellStyle name="20% - 强调文字颜色 5" xfId="164" xr:uid="{00000000-0005-0000-0000-000052000000}"/>
    <cellStyle name="20% - 强调文字颜色 6" xfId="165" xr:uid="{00000000-0005-0000-0000-000053000000}"/>
    <cellStyle name="40% - Accent1" xfId="166" xr:uid="{00000000-0005-0000-0000-000054000000}"/>
    <cellStyle name="40% - Accent1 2" xfId="167" xr:uid="{00000000-0005-0000-0000-000055000000}"/>
    <cellStyle name="40% - Accent1 3" xfId="168" xr:uid="{00000000-0005-0000-0000-000056000000}"/>
    <cellStyle name="40% - Accent1 4" xfId="169" xr:uid="{00000000-0005-0000-0000-000057000000}"/>
    <cellStyle name="40% - Accent1 5" xfId="170" xr:uid="{00000000-0005-0000-0000-000058000000}"/>
    <cellStyle name="40% - Accent2" xfId="171" xr:uid="{00000000-0005-0000-0000-000059000000}"/>
    <cellStyle name="40% - Accent2 2" xfId="172" xr:uid="{00000000-0005-0000-0000-00005A000000}"/>
    <cellStyle name="40% - Accent2 3" xfId="173" xr:uid="{00000000-0005-0000-0000-00005B000000}"/>
    <cellStyle name="40% - Accent2 4" xfId="174" xr:uid="{00000000-0005-0000-0000-00005C000000}"/>
    <cellStyle name="40% - Accent2 5" xfId="175" xr:uid="{00000000-0005-0000-0000-00005D000000}"/>
    <cellStyle name="40% - Accent3" xfId="176" xr:uid="{00000000-0005-0000-0000-00005E000000}"/>
    <cellStyle name="40% - Accent3 2" xfId="177" xr:uid="{00000000-0005-0000-0000-00005F000000}"/>
    <cellStyle name="40% - Accent3 3" xfId="178" xr:uid="{00000000-0005-0000-0000-000060000000}"/>
    <cellStyle name="40% - Accent3 4" xfId="179" xr:uid="{00000000-0005-0000-0000-000061000000}"/>
    <cellStyle name="40% - Accent3 5" xfId="180" xr:uid="{00000000-0005-0000-0000-000062000000}"/>
    <cellStyle name="40% - Accent4" xfId="181" xr:uid="{00000000-0005-0000-0000-000063000000}"/>
    <cellStyle name="40% - Accent4 2" xfId="182" xr:uid="{00000000-0005-0000-0000-000064000000}"/>
    <cellStyle name="40% - Accent4 3" xfId="183" xr:uid="{00000000-0005-0000-0000-000065000000}"/>
    <cellStyle name="40% - Accent4 4" xfId="184" xr:uid="{00000000-0005-0000-0000-000066000000}"/>
    <cellStyle name="40% - Accent4 5" xfId="185" xr:uid="{00000000-0005-0000-0000-000067000000}"/>
    <cellStyle name="40% - Accent5" xfId="186" xr:uid="{00000000-0005-0000-0000-000068000000}"/>
    <cellStyle name="40% - Accent5 2" xfId="187" xr:uid="{00000000-0005-0000-0000-000069000000}"/>
    <cellStyle name="40% - Accent5 3" xfId="188" xr:uid="{00000000-0005-0000-0000-00006A000000}"/>
    <cellStyle name="40% - Accent5 4" xfId="189" xr:uid="{00000000-0005-0000-0000-00006B000000}"/>
    <cellStyle name="40% - Accent5 5" xfId="190" xr:uid="{00000000-0005-0000-0000-00006C000000}"/>
    <cellStyle name="40% - Accent6" xfId="191" xr:uid="{00000000-0005-0000-0000-00006D000000}"/>
    <cellStyle name="40% - Accent6 2" xfId="192" xr:uid="{00000000-0005-0000-0000-00006E000000}"/>
    <cellStyle name="40% - Accent6 3" xfId="193" xr:uid="{00000000-0005-0000-0000-00006F000000}"/>
    <cellStyle name="40% - Accent6 4" xfId="194" xr:uid="{00000000-0005-0000-0000-000070000000}"/>
    <cellStyle name="40% - Accent6 5" xfId="195" xr:uid="{00000000-0005-0000-0000-000071000000}"/>
    <cellStyle name="40% - Énfasis1 2" xfId="196" xr:uid="{00000000-0005-0000-0000-000072000000}"/>
    <cellStyle name="40% - Énfasis1 2 2" xfId="197" xr:uid="{00000000-0005-0000-0000-000073000000}"/>
    <cellStyle name="40% - Énfasis1 3" xfId="198" xr:uid="{00000000-0005-0000-0000-000074000000}"/>
    <cellStyle name="40% - Énfasis1 4" xfId="199" xr:uid="{00000000-0005-0000-0000-000075000000}"/>
    <cellStyle name="40% - Énfasis1 5" xfId="200" xr:uid="{00000000-0005-0000-0000-000076000000}"/>
    <cellStyle name="40% - Énfasis1 6" xfId="201" xr:uid="{00000000-0005-0000-0000-000077000000}"/>
    <cellStyle name="40% - Énfasis1 7" xfId="202" xr:uid="{00000000-0005-0000-0000-000078000000}"/>
    <cellStyle name="40% - Énfasis1 8" xfId="203" xr:uid="{00000000-0005-0000-0000-000079000000}"/>
    <cellStyle name="40% - Énfasis2 2" xfId="204" xr:uid="{00000000-0005-0000-0000-00007A000000}"/>
    <cellStyle name="40% - Énfasis2 2 2" xfId="205" xr:uid="{00000000-0005-0000-0000-00007B000000}"/>
    <cellStyle name="40% - Énfasis2 3" xfId="206" xr:uid="{00000000-0005-0000-0000-00007C000000}"/>
    <cellStyle name="40% - Énfasis2 4" xfId="207" xr:uid="{00000000-0005-0000-0000-00007D000000}"/>
    <cellStyle name="40% - Énfasis2 5" xfId="208" xr:uid="{00000000-0005-0000-0000-00007E000000}"/>
    <cellStyle name="40% - Énfasis2 6" xfId="209" xr:uid="{00000000-0005-0000-0000-00007F000000}"/>
    <cellStyle name="40% - Énfasis2 7" xfId="210" xr:uid="{00000000-0005-0000-0000-000080000000}"/>
    <cellStyle name="40% - Énfasis2 8" xfId="211" xr:uid="{00000000-0005-0000-0000-000081000000}"/>
    <cellStyle name="40% - Énfasis3 2" xfId="212" xr:uid="{00000000-0005-0000-0000-000082000000}"/>
    <cellStyle name="40% - Énfasis3 2 2" xfId="213" xr:uid="{00000000-0005-0000-0000-000083000000}"/>
    <cellStyle name="40% - Énfasis3 3" xfId="214" xr:uid="{00000000-0005-0000-0000-000084000000}"/>
    <cellStyle name="40% - Énfasis3 4" xfId="215" xr:uid="{00000000-0005-0000-0000-000085000000}"/>
    <cellStyle name="40% - Énfasis3 5" xfId="216" xr:uid="{00000000-0005-0000-0000-000086000000}"/>
    <cellStyle name="40% - Énfasis3 6" xfId="217" xr:uid="{00000000-0005-0000-0000-000087000000}"/>
    <cellStyle name="40% - Énfasis3 7" xfId="218" xr:uid="{00000000-0005-0000-0000-000088000000}"/>
    <cellStyle name="40% - Énfasis3 8" xfId="219" xr:uid="{00000000-0005-0000-0000-000089000000}"/>
    <cellStyle name="40% - Énfasis4 2" xfId="220" xr:uid="{00000000-0005-0000-0000-00008A000000}"/>
    <cellStyle name="40% - Énfasis4 2 2" xfId="221" xr:uid="{00000000-0005-0000-0000-00008B000000}"/>
    <cellStyle name="40% - Énfasis4 3" xfId="222" xr:uid="{00000000-0005-0000-0000-00008C000000}"/>
    <cellStyle name="40% - Énfasis4 4" xfId="223" xr:uid="{00000000-0005-0000-0000-00008D000000}"/>
    <cellStyle name="40% - Énfasis4 5" xfId="224" xr:uid="{00000000-0005-0000-0000-00008E000000}"/>
    <cellStyle name="40% - Énfasis4 6" xfId="225" xr:uid="{00000000-0005-0000-0000-00008F000000}"/>
    <cellStyle name="40% - Énfasis4 7" xfId="226" xr:uid="{00000000-0005-0000-0000-000090000000}"/>
    <cellStyle name="40% - Énfasis4 8" xfId="227" xr:uid="{00000000-0005-0000-0000-000091000000}"/>
    <cellStyle name="40% - Énfasis5 2" xfId="228" xr:uid="{00000000-0005-0000-0000-000092000000}"/>
    <cellStyle name="40% - Énfasis5 2 2" xfId="229" xr:uid="{00000000-0005-0000-0000-000093000000}"/>
    <cellStyle name="40% - Énfasis5 3" xfId="230" xr:uid="{00000000-0005-0000-0000-000094000000}"/>
    <cellStyle name="40% - Énfasis5 4" xfId="231" xr:uid="{00000000-0005-0000-0000-000095000000}"/>
    <cellStyle name="40% - Énfasis5 5" xfId="232" xr:uid="{00000000-0005-0000-0000-000096000000}"/>
    <cellStyle name="40% - Énfasis5 6" xfId="233" xr:uid="{00000000-0005-0000-0000-000097000000}"/>
    <cellStyle name="40% - Énfasis5 7" xfId="234" xr:uid="{00000000-0005-0000-0000-000098000000}"/>
    <cellStyle name="40% - Énfasis5 8" xfId="235" xr:uid="{00000000-0005-0000-0000-000099000000}"/>
    <cellStyle name="40% - Énfasis6 2" xfId="236" xr:uid="{00000000-0005-0000-0000-00009A000000}"/>
    <cellStyle name="40% - Énfasis6 2 2" xfId="237" xr:uid="{00000000-0005-0000-0000-00009B000000}"/>
    <cellStyle name="40% - Énfasis6 3" xfId="238" xr:uid="{00000000-0005-0000-0000-00009C000000}"/>
    <cellStyle name="40% - Énfasis6 4" xfId="239" xr:uid="{00000000-0005-0000-0000-00009D000000}"/>
    <cellStyle name="40% - Énfasis6 5" xfId="240" xr:uid="{00000000-0005-0000-0000-00009E000000}"/>
    <cellStyle name="40% - Énfasis6 6" xfId="241" xr:uid="{00000000-0005-0000-0000-00009F000000}"/>
    <cellStyle name="40% - Énfasis6 7" xfId="242" xr:uid="{00000000-0005-0000-0000-0000A0000000}"/>
    <cellStyle name="40% - Énfasis6 8" xfId="243" xr:uid="{00000000-0005-0000-0000-0000A1000000}"/>
    <cellStyle name="40% - 强调文字颜色 1" xfId="244" xr:uid="{00000000-0005-0000-0000-0000A2000000}"/>
    <cellStyle name="40% - 强调文字颜色 2" xfId="245" xr:uid="{00000000-0005-0000-0000-0000A3000000}"/>
    <cellStyle name="40% - 强调文字颜色 3" xfId="246" xr:uid="{00000000-0005-0000-0000-0000A4000000}"/>
    <cellStyle name="40% - 强调文字颜色 4" xfId="247" xr:uid="{00000000-0005-0000-0000-0000A5000000}"/>
    <cellStyle name="40% - 强调文字颜色 5" xfId="248" xr:uid="{00000000-0005-0000-0000-0000A6000000}"/>
    <cellStyle name="40% - 强调文字颜色 6" xfId="249" xr:uid="{00000000-0005-0000-0000-0000A7000000}"/>
    <cellStyle name="60% - Accent1" xfId="250" xr:uid="{00000000-0005-0000-0000-0000A8000000}"/>
    <cellStyle name="60% - Accent1 2" xfId="251" xr:uid="{00000000-0005-0000-0000-0000A9000000}"/>
    <cellStyle name="60% - Accent1 3" xfId="252" xr:uid="{00000000-0005-0000-0000-0000AA000000}"/>
    <cellStyle name="60% - Accent1 4" xfId="253" xr:uid="{00000000-0005-0000-0000-0000AB000000}"/>
    <cellStyle name="60% - Accent1 5" xfId="254" xr:uid="{00000000-0005-0000-0000-0000AC000000}"/>
    <cellStyle name="60% - Accent2" xfId="255" xr:uid="{00000000-0005-0000-0000-0000AD000000}"/>
    <cellStyle name="60% - Accent2 2" xfId="256" xr:uid="{00000000-0005-0000-0000-0000AE000000}"/>
    <cellStyle name="60% - Accent2 3" xfId="257" xr:uid="{00000000-0005-0000-0000-0000AF000000}"/>
    <cellStyle name="60% - Accent2 4" xfId="258" xr:uid="{00000000-0005-0000-0000-0000B0000000}"/>
    <cellStyle name="60% - Accent2 5" xfId="259" xr:uid="{00000000-0005-0000-0000-0000B1000000}"/>
    <cellStyle name="60% - Accent3" xfId="260" xr:uid="{00000000-0005-0000-0000-0000B2000000}"/>
    <cellStyle name="60% - Accent3 2" xfId="261" xr:uid="{00000000-0005-0000-0000-0000B3000000}"/>
    <cellStyle name="60% - Accent3 3" xfId="262" xr:uid="{00000000-0005-0000-0000-0000B4000000}"/>
    <cellStyle name="60% - Accent3 4" xfId="263" xr:uid="{00000000-0005-0000-0000-0000B5000000}"/>
    <cellStyle name="60% - Accent3 5" xfId="264" xr:uid="{00000000-0005-0000-0000-0000B6000000}"/>
    <cellStyle name="60% - Accent4" xfId="265" xr:uid="{00000000-0005-0000-0000-0000B7000000}"/>
    <cellStyle name="60% - Accent4 2" xfId="266" xr:uid="{00000000-0005-0000-0000-0000B8000000}"/>
    <cellStyle name="60% - Accent4 3" xfId="267" xr:uid="{00000000-0005-0000-0000-0000B9000000}"/>
    <cellStyle name="60% - Accent4 4" xfId="268" xr:uid="{00000000-0005-0000-0000-0000BA000000}"/>
    <cellStyle name="60% - Accent4 5" xfId="269" xr:uid="{00000000-0005-0000-0000-0000BB000000}"/>
    <cellStyle name="60% - Accent5" xfId="270" xr:uid="{00000000-0005-0000-0000-0000BC000000}"/>
    <cellStyle name="60% - Accent5 2" xfId="271" xr:uid="{00000000-0005-0000-0000-0000BD000000}"/>
    <cellStyle name="60% - Accent5 3" xfId="272" xr:uid="{00000000-0005-0000-0000-0000BE000000}"/>
    <cellStyle name="60% - Accent5 4" xfId="273" xr:uid="{00000000-0005-0000-0000-0000BF000000}"/>
    <cellStyle name="60% - Accent5 5" xfId="274" xr:uid="{00000000-0005-0000-0000-0000C0000000}"/>
    <cellStyle name="60% - Accent6" xfId="275" xr:uid="{00000000-0005-0000-0000-0000C1000000}"/>
    <cellStyle name="60% - Accent6 2" xfId="276" xr:uid="{00000000-0005-0000-0000-0000C2000000}"/>
    <cellStyle name="60% - Accent6 3" xfId="277" xr:uid="{00000000-0005-0000-0000-0000C3000000}"/>
    <cellStyle name="60% - Accent6 4" xfId="278" xr:uid="{00000000-0005-0000-0000-0000C4000000}"/>
    <cellStyle name="60% - Accent6 5" xfId="279" xr:uid="{00000000-0005-0000-0000-0000C5000000}"/>
    <cellStyle name="60% - Énfasis1 2" xfId="280" xr:uid="{00000000-0005-0000-0000-0000C6000000}"/>
    <cellStyle name="60% - Énfasis1 2 2" xfId="281" xr:uid="{00000000-0005-0000-0000-0000C7000000}"/>
    <cellStyle name="60% - Énfasis1 3" xfId="282" xr:uid="{00000000-0005-0000-0000-0000C8000000}"/>
    <cellStyle name="60% - Énfasis1 4" xfId="283" xr:uid="{00000000-0005-0000-0000-0000C9000000}"/>
    <cellStyle name="60% - Énfasis1 5" xfId="284" xr:uid="{00000000-0005-0000-0000-0000CA000000}"/>
    <cellStyle name="60% - Énfasis1 6" xfId="285" xr:uid="{00000000-0005-0000-0000-0000CB000000}"/>
    <cellStyle name="60% - Énfasis1 7" xfId="286" xr:uid="{00000000-0005-0000-0000-0000CC000000}"/>
    <cellStyle name="60% - Énfasis1 8" xfId="287" xr:uid="{00000000-0005-0000-0000-0000CD000000}"/>
    <cellStyle name="60% - Énfasis2 2" xfId="288" xr:uid="{00000000-0005-0000-0000-0000CE000000}"/>
    <cellStyle name="60% - Énfasis2 2 2" xfId="289" xr:uid="{00000000-0005-0000-0000-0000CF000000}"/>
    <cellStyle name="60% - Énfasis2 3" xfId="290" xr:uid="{00000000-0005-0000-0000-0000D0000000}"/>
    <cellStyle name="60% - Énfasis2 4" xfId="291" xr:uid="{00000000-0005-0000-0000-0000D1000000}"/>
    <cellStyle name="60% - Énfasis2 5" xfId="292" xr:uid="{00000000-0005-0000-0000-0000D2000000}"/>
    <cellStyle name="60% - Énfasis2 6" xfId="293" xr:uid="{00000000-0005-0000-0000-0000D3000000}"/>
    <cellStyle name="60% - Énfasis2 7" xfId="294" xr:uid="{00000000-0005-0000-0000-0000D4000000}"/>
    <cellStyle name="60% - Énfasis2 8" xfId="295" xr:uid="{00000000-0005-0000-0000-0000D5000000}"/>
    <cellStyle name="60% - Énfasis3 2" xfId="296" xr:uid="{00000000-0005-0000-0000-0000D6000000}"/>
    <cellStyle name="60% - Énfasis3 2 2" xfId="297" xr:uid="{00000000-0005-0000-0000-0000D7000000}"/>
    <cellStyle name="60% - Énfasis3 3" xfId="298" xr:uid="{00000000-0005-0000-0000-0000D8000000}"/>
    <cellStyle name="60% - Énfasis3 4" xfId="299" xr:uid="{00000000-0005-0000-0000-0000D9000000}"/>
    <cellStyle name="60% - Énfasis3 5" xfId="300" xr:uid="{00000000-0005-0000-0000-0000DA000000}"/>
    <cellStyle name="60% - Énfasis3 6" xfId="301" xr:uid="{00000000-0005-0000-0000-0000DB000000}"/>
    <cellStyle name="60% - Énfasis3 7" xfId="302" xr:uid="{00000000-0005-0000-0000-0000DC000000}"/>
    <cellStyle name="60% - Énfasis3 8" xfId="303" xr:uid="{00000000-0005-0000-0000-0000DD000000}"/>
    <cellStyle name="60% - Énfasis4 2" xfId="304" xr:uid="{00000000-0005-0000-0000-0000DE000000}"/>
    <cellStyle name="60% - Énfasis4 2 2" xfId="305" xr:uid="{00000000-0005-0000-0000-0000DF000000}"/>
    <cellStyle name="60% - Énfasis4 3" xfId="306" xr:uid="{00000000-0005-0000-0000-0000E0000000}"/>
    <cellStyle name="60% - Énfasis4 4" xfId="307" xr:uid="{00000000-0005-0000-0000-0000E1000000}"/>
    <cellStyle name="60% - Énfasis4 5" xfId="308" xr:uid="{00000000-0005-0000-0000-0000E2000000}"/>
    <cellStyle name="60% - Énfasis4 6" xfId="309" xr:uid="{00000000-0005-0000-0000-0000E3000000}"/>
    <cellStyle name="60% - Énfasis4 7" xfId="310" xr:uid="{00000000-0005-0000-0000-0000E4000000}"/>
    <cellStyle name="60% - Énfasis4 8" xfId="311" xr:uid="{00000000-0005-0000-0000-0000E5000000}"/>
    <cellStyle name="60% - Énfasis5 2" xfId="312" xr:uid="{00000000-0005-0000-0000-0000E6000000}"/>
    <cellStyle name="60% - Énfasis5 2 2" xfId="313" xr:uid="{00000000-0005-0000-0000-0000E7000000}"/>
    <cellStyle name="60% - Énfasis5 3" xfId="314" xr:uid="{00000000-0005-0000-0000-0000E8000000}"/>
    <cellStyle name="60% - Énfasis5 4" xfId="315" xr:uid="{00000000-0005-0000-0000-0000E9000000}"/>
    <cellStyle name="60% - Énfasis5 5" xfId="316" xr:uid="{00000000-0005-0000-0000-0000EA000000}"/>
    <cellStyle name="60% - Énfasis5 6" xfId="317" xr:uid="{00000000-0005-0000-0000-0000EB000000}"/>
    <cellStyle name="60% - Énfasis5 7" xfId="318" xr:uid="{00000000-0005-0000-0000-0000EC000000}"/>
    <cellStyle name="60% - Énfasis5 8" xfId="319" xr:uid="{00000000-0005-0000-0000-0000ED000000}"/>
    <cellStyle name="60% - Énfasis6 2" xfId="320" xr:uid="{00000000-0005-0000-0000-0000EE000000}"/>
    <cellStyle name="60% - Énfasis6 2 2" xfId="321" xr:uid="{00000000-0005-0000-0000-0000EF000000}"/>
    <cellStyle name="60% - Énfasis6 3" xfId="322" xr:uid="{00000000-0005-0000-0000-0000F0000000}"/>
    <cellStyle name="60% - Énfasis6 4" xfId="323" xr:uid="{00000000-0005-0000-0000-0000F1000000}"/>
    <cellStyle name="60% - Énfasis6 5" xfId="324" xr:uid="{00000000-0005-0000-0000-0000F2000000}"/>
    <cellStyle name="60% - Énfasis6 6" xfId="325" xr:uid="{00000000-0005-0000-0000-0000F3000000}"/>
    <cellStyle name="60% - Énfasis6 7" xfId="326" xr:uid="{00000000-0005-0000-0000-0000F4000000}"/>
    <cellStyle name="60% - Énfasis6 8" xfId="327" xr:uid="{00000000-0005-0000-0000-0000F5000000}"/>
    <cellStyle name="60% - 强调文字颜色 1" xfId="328" xr:uid="{00000000-0005-0000-0000-0000F6000000}"/>
    <cellStyle name="60% - 强调文字颜色 2" xfId="329" xr:uid="{00000000-0005-0000-0000-0000F7000000}"/>
    <cellStyle name="60% - 强调文字颜色 3" xfId="330" xr:uid="{00000000-0005-0000-0000-0000F8000000}"/>
    <cellStyle name="60% - 强调文字颜色 4" xfId="331" xr:uid="{00000000-0005-0000-0000-0000F9000000}"/>
    <cellStyle name="60% - 强调文字颜色 5" xfId="332" xr:uid="{00000000-0005-0000-0000-0000FA000000}"/>
    <cellStyle name="60% - 强调文字颜色 6" xfId="333" xr:uid="{00000000-0005-0000-0000-0000FB000000}"/>
    <cellStyle name="Accent1" xfId="334" xr:uid="{00000000-0005-0000-0000-0000FC000000}"/>
    <cellStyle name="Accent1 2" xfId="335" xr:uid="{00000000-0005-0000-0000-0000FD000000}"/>
    <cellStyle name="Accent1 3" xfId="336" xr:uid="{00000000-0005-0000-0000-0000FE000000}"/>
    <cellStyle name="Accent1 4" xfId="337" xr:uid="{00000000-0005-0000-0000-0000FF000000}"/>
    <cellStyle name="Accent1 5" xfId="338" xr:uid="{00000000-0005-0000-0000-000000010000}"/>
    <cellStyle name="Accent2" xfId="339" xr:uid="{00000000-0005-0000-0000-000001010000}"/>
    <cellStyle name="Accent2 2" xfId="340" xr:uid="{00000000-0005-0000-0000-000002010000}"/>
    <cellStyle name="Accent2 3" xfId="341" xr:uid="{00000000-0005-0000-0000-000003010000}"/>
    <cellStyle name="Accent2 4" xfId="342" xr:uid="{00000000-0005-0000-0000-000004010000}"/>
    <cellStyle name="Accent2 5" xfId="343" xr:uid="{00000000-0005-0000-0000-000005010000}"/>
    <cellStyle name="Accent3" xfId="344" xr:uid="{00000000-0005-0000-0000-000006010000}"/>
    <cellStyle name="Accent3 2" xfId="345" xr:uid="{00000000-0005-0000-0000-000007010000}"/>
    <cellStyle name="Accent3 3" xfId="346" xr:uid="{00000000-0005-0000-0000-000008010000}"/>
    <cellStyle name="Accent3 4" xfId="347" xr:uid="{00000000-0005-0000-0000-000009010000}"/>
    <cellStyle name="Accent3 5" xfId="348" xr:uid="{00000000-0005-0000-0000-00000A010000}"/>
    <cellStyle name="Accent4" xfId="349" xr:uid="{00000000-0005-0000-0000-00000B010000}"/>
    <cellStyle name="Accent4 2" xfId="350" xr:uid="{00000000-0005-0000-0000-00000C010000}"/>
    <cellStyle name="Accent4 3" xfId="351" xr:uid="{00000000-0005-0000-0000-00000D010000}"/>
    <cellStyle name="Accent4 4" xfId="352" xr:uid="{00000000-0005-0000-0000-00000E010000}"/>
    <cellStyle name="Accent4 5" xfId="353" xr:uid="{00000000-0005-0000-0000-00000F010000}"/>
    <cellStyle name="Accent5" xfId="354" xr:uid="{00000000-0005-0000-0000-000010010000}"/>
    <cellStyle name="Accent5 2" xfId="355" xr:uid="{00000000-0005-0000-0000-000011010000}"/>
    <cellStyle name="Accent5 3" xfId="356" xr:uid="{00000000-0005-0000-0000-000012010000}"/>
    <cellStyle name="Accent5 4" xfId="357" xr:uid="{00000000-0005-0000-0000-000013010000}"/>
    <cellStyle name="Accent5 5" xfId="358" xr:uid="{00000000-0005-0000-0000-000014010000}"/>
    <cellStyle name="Accent6" xfId="359" xr:uid="{00000000-0005-0000-0000-000015010000}"/>
    <cellStyle name="Accent6 2" xfId="360" xr:uid="{00000000-0005-0000-0000-000016010000}"/>
    <cellStyle name="Accent6 3" xfId="361" xr:uid="{00000000-0005-0000-0000-000017010000}"/>
    <cellStyle name="Accent6 4" xfId="362" xr:uid="{00000000-0005-0000-0000-000018010000}"/>
    <cellStyle name="Accent6 5" xfId="363" xr:uid="{00000000-0005-0000-0000-000019010000}"/>
    <cellStyle name="Bad" xfId="364" xr:uid="{00000000-0005-0000-0000-00001A010000}"/>
    <cellStyle name="Bad 2" xfId="365" xr:uid="{00000000-0005-0000-0000-00001B010000}"/>
    <cellStyle name="Bad 3" xfId="366" xr:uid="{00000000-0005-0000-0000-00001C010000}"/>
    <cellStyle name="Bad 4" xfId="367" xr:uid="{00000000-0005-0000-0000-00001D010000}"/>
    <cellStyle name="Bad 5" xfId="368" xr:uid="{00000000-0005-0000-0000-00001E010000}"/>
    <cellStyle name="Buena 2" xfId="369" xr:uid="{00000000-0005-0000-0000-00001F010000}"/>
    <cellStyle name="Buena 2 2" xfId="370" xr:uid="{00000000-0005-0000-0000-000020010000}"/>
    <cellStyle name="Buena 2 2 2" xfId="371" xr:uid="{00000000-0005-0000-0000-000021010000}"/>
    <cellStyle name="Buena 2 2 2 2" xfId="372" xr:uid="{00000000-0005-0000-0000-000022010000}"/>
    <cellStyle name="Buena 2 2 2 2 2" xfId="373" xr:uid="{00000000-0005-0000-0000-000023010000}"/>
    <cellStyle name="Buena 2 2 3" xfId="374" xr:uid="{00000000-0005-0000-0000-000024010000}"/>
    <cellStyle name="Buena 2 2 4" xfId="375" xr:uid="{00000000-0005-0000-0000-000025010000}"/>
    <cellStyle name="Buena 2 3" xfId="376" xr:uid="{00000000-0005-0000-0000-000026010000}"/>
    <cellStyle name="Buena 2 4" xfId="377" xr:uid="{00000000-0005-0000-0000-000027010000}"/>
    <cellStyle name="Buena 3" xfId="378" xr:uid="{00000000-0005-0000-0000-000028010000}"/>
    <cellStyle name="Buena 4" xfId="379" xr:uid="{00000000-0005-0000-0000-000029010000}"/>
    <cellStyle name="Buena 5" xfId="380" xr:uid="{00000000-0005-0000-0000-00002A010000}"/>
    <cellStyle name="Buena 6" xfId="381" xr:uid="{00000000-0005-0000-0000-00002B010000}"/>
    <cellStyle name="Buena 7" xfId="382" xr:uid="{00000000-0005-0000-0000-00002C010000}"/>
    <cellStyle name="Buena 8" xfId="383" xr:uid="{00000000-0005-0000-0000-00002D010000}"/>
    <cellStyle name="Buena 9" xfId="384" xr:uid="{00000000-0005-0000-0000-00002E010000}"/>
    <cellStyle name="Calculation" xfId="385" xr:uid="{00000000-0005-0000-0000-00002F010000}"/>
    <cellStyle name="Calculation 2" xfId="386" xr:uid="{00000000-0005-0000-0000-000030010000}"/>
    <cellStyle name="Calculation 3" xfId="387" xr:uid="{00000000-0005-0000-0000-000031010000}"/>
    <cellStyle name="Calculation 4" xfId="388" xr:uid="{00000000-0005-0000-0000-000032010000}"/>
    <cellStyle name="Calculation 5" xfId="389" xr:uid="{00000000-0005-0000-0000-000033010000}"/>
    <cellStyle name="Cálculo 2" xfId="390" xr:uid="{00000000-0005-0000-0000-000034010000}"/>
    <cellStyle name="Cálculo 2 2" xfId="391" xr:uid="{00000000-0005-0000-0000-000035010000}"/>
    <cellStyle name="Cálculo 3" xfId="392" xr:uid="{00000000-0005-0000-0000-000036010000}"/>
    <cellStyle name="Cálculo 4" xfId="393" xr:uid="{00000000-0005-0000-0000-000037010000}"/>
    <cellStyle name="Cálculo 5" xfId="394" xr:uid="{00000000-0005-0000-0000-000038010000}"/>
    <cellStyle name="Cálculo 6" xfId="395" xr:uid="{00000000-0005-0000-0000-000039010000}"/>
    <cellStyle name="Cálculo 7" xfId="396" xr:uid="{00000000-0005-0000-0000-00003A010000}"/>
    <cellStyle name="Cálculo 8" xfId="397" xr:uid="{00000000-0005-0000-0000-00003B010000}"/>
    <cellStyle name="Celda de comprobación 2" xfId="398" xr:uid="{00000000-0005-0000-0000-00003C010000}"/>
    <cellStyle name="Celda de comprobación 2 2" xfId="399" xr:uid="{00000000-0005-0000-0000-00003D010000}"/>
    <cellStyle name="Celda de comprobación 2 2 2" xfId="400" xr:uid="{00000000-0005-0000-0000-00003E010000}"/>
    <cellStyle name="Celda de comprobación 2 2 2 2" xfId="401" xr:uid="{00000000-0005-0000-0000-00003F010000}"/>
    <cellStyle name="Celda de comprobación 2 2 2 2 2" xfId="402" xr:uid="{00000000-0005-0000-0000-000040010000}"/>
    <cellStyle name="Celda de comprobación 2 2 3" xfId="403" xr:uid="{00000000-0005-0000-0000-000041010000}"/>
    <cellStyle name="Celda de comprobación 2 2 4" xfId="404" xr:uid="{00000000-0005-0000-0000-000042010000}"/>
    <cellStyle name="Celda de comprobación 2 3" xfId="405" xr:uid="{00000000-0005-0000-0000-000043010000}"/>
    <cellStyle name="Celda de comprobación 2 4" xfId="406" xr:uid="{00000000-0005-0000-0000-000044010000}"/>
    <cellStyle name="Celda de comprobación 3" xfId="407" xr:uid="{00000000-0005-0000-0000-000045010000}"/>
    <cellStyle name="Celda de comprobación 4" xfId="408" xr:uid="{00000000-0005-0000-0000-000046010000}"/>
    <cellStyle name="Celda de comprobación 5" xfId="409" xr:uid="{00000000-0005-0000-0000-000047010000}"/>
    <cellStyle name="Celda de comprobación 6" xfId="410" xr:uid="{00000000-0005-0000-0000-000048010000}"/>
    <cellStyle name="Celda de comprobación 7" xfId="411" xr:uid="{00000000-0005-0000-0000-000049010000}"/>
    <cellStyle name="Celda de comprobación 8" xfId="412" xr:uid="{00000000-0005-0000-0000-00004A010000}"/>
    <cellStyle name="Celda de comprobación 9" xfId="413" xr:uid="{00000000-0005-0000-0000-00004B010000}"/>
    <cellStyle name="Celda vinculada 2" xfId="414" xr:uid="{00000000-0005-0000-0000-00004C010000}"/>
    <cellStyle name="Celda vinculada 2 2" xfId="415" xr:uid="{00000000-0005-0000-0000-00004D010000}"/>
    <cellStyle name="Celda vinculada 2 2 2" xfId="416" xr:uid="{00000000-0005-0000-0000-00004E010000}"/>
    <cellStyle name="Celda vinculada 2 2 2 2" xfId="417" xr:uid="{00000000-0005-0000-0000-00004F010000}"/>
    <cellStyle name="Celda vinculada 2 2 2 2 2" xfId="418" xr:uid="{00000000-0005-0000-0000-000050010000}"/>
    <cellStyle name="Celda vinculada 2 2 3" xfId="419" xr:uid="{00000000-0005-0000-0000-000051010000}"/>
    <cellStyle name="Celda vinculada 2 2 4" xfId="420" xr:uid="{00000000-0005-0000-0000-000052010000}"/>
    <cellStyle name="Celda vinculada 2 3" xfId="421" xr:uid="{00000000-0005-0000-0000-000053010000}"/>
    <cellStyle name="Celda vinculada 2 4" xfId="422" xr:uid="{00000000-0005-0000-0000-000054010000}"/>
    <cellStyle name="Celda vinculada 3" xfId="423" xr:uid="{00000000-0005-0000-0000-000055010000}"/>
    <cellStyle name="Celda vinculada 4" xfId="424" xr:uid="{00000000-0005-0000-0000-000056010000}"/>
    <cellStyle name="Celda vinculada 5" xfId="425" xr:uid="{00000000-0005-0000-0000-000057010000}"/>
    <cellStyle name="Celda vinculada 6" xfId="426" xr:uid="{00000000-0005-0000-0000-000058010000}"/>
    <cellStyle name="Celda vinculada 7" xfId="427" xr:uid="{00000000-0005-0000-0000-000059010000}"/>
    <cellStyle name="Celda vinculada 8" xfId="428" xr:uid="{00000000-0005-0000-0000-00005A010000}"/>
    <cellStyle name="Celda vinculada 9" xfId="429" xr:uid="{00000000-0005-0000-0000-00005B010000}"/>
    <cellStyle name="Check Cell" xfId="430" xr:uid="{00000000-0005-0000-0000-00005C010000}"/>
    <cellStyle name="Check Cell 2" xfId="431" xr:uid="{00000000-0005-0000-0000-00005D010000}"/>
    <cellStyle name="Check Cell 3" xfId="432" xr:uid="{00000000-0005-0000-0000-00005E010000}"/>
    <cellStyle name="Check Cell 4" xfId="433" xr:uid="{00000000-0005-0000-0000-00005F010000}"/>
    <cellStyle name="Check Cell 5" xfId="434" xr:uid="{00000000-0005-0000-0000-000060010000}"/>
    <cellStyle name="Coma 2" xfId="435" xr:uid="{00000000-0005-0000-0000-000061010000}"/>
    <cellStyle name="Encabezado 4 2" xfId="436" xr:uid="{00000000-0005-0000-0000-000062010000}"/>
    <cellStyle name="Encabezado 4 2 2" xfId="437" xr:uid="{00000000-0005-0000-0000-000063010000}"/>
    <cellStyle name="Encabezado 4 2 2 2" xfId="438" xr:uid="{00000000-0005-0000-0000-000064010000}"/>
    <cellStyle name="Encabezado 4 2 2 2 2" xfId="439" xr:uid="{00000000-0005-0000-0000-000065010000}"/>
    <cellStyle name="Encabezado 4 2 2 2 2 2" xfId="440" xr:uid="{00000000-0005-0000-0000-000066010000}"/>
    <cellStyle name="Encabezado 4 2 2 3" xfId="441" xr:uid="{00000000-0005-0000-0000-000067010000}"/>
    <cellStyle name="Encabezado 4 2 2 4" xfId="442" xr:uid="{00000000-0005-0000-0000-000068010000}"/>
    <cellStyle name="Encabezado 4 2 3" xfId="443" xr:uid="{00000000-0005-0000-0000-000069010000}"/>
    <cellStyle name="Encabezado 4 2 4" xfId="444" xr:uid="{00000000-0005-0000-0000-00006A010000}"/>
    <cellStyle name="Encabezado 4 3" xfId="445" xr:uid="{00000000-0005-0000-0000-00006B010000}"/>
    <cellStyle name="Encabezado 4 4" xfId="446" xr:uid="{00000000-0005-0000-0000-00006C010000}"/>
    <cellStyle name="Encabezado 4 5" xfId="447" xr:uid="{00000000-0005-0000-0000-00006D010000}"/>
    <cellStyle name="Encabezado 4 6" xfId="448" xr:uid="{00000000-0005-0000-0000-00006E010000}"/>
    <cellStyle name="Encabezado 4 7" xfId="449" xr:uid="{00000000-0005-0000-0000-00006F010000}"/>
    <cellStyle name="Encabezado 4 8" xfId="450" xr:uid="{00000000-0005-0000-0000-000070010000}"/>
    <cellStyle name="Encabezado 4 9" xfId="451" xr:uid="{00000000-0005-0000-0000-000071010000}"/>
    <cellStyle name="Énfasis1 2" xfId="452" xr:uid="{00000000-0005-0000-0000-000072010000}"/>
    <cellStyle name="Énfasis1 2 2" xfId="453" xr:uid="{00000000-0005-0000-0000-000073010000}"/>
    <cellStyle name="Énfasis1 3" xfId="454" xr:uid="{00000000-0005-0000-0000-000074010000}"/>
    <cellStyle name="Énfasis1 4" xfId="455" xr:uid="{00000000-0005-0000-0000-000075010000}"/>
    <cellStyle name="Énfasis1 5" xfId="456" xr:uid="{00000000-0005-0000-0000-000076010000}"/>
    <cellStyle name="Énfasis1 6" xfId="457" xr:uid="{00000000-0005-0000-0000-000077010000}"/>
    <cellStyle name="Énfasis1 7" xfId="458" xr:uid="{00000000-0005-0000-0000-000078010000}"/>
    <cellStyle name="Énfasis1 8" xfId="459" xr:uid="{00000000-0005-0000-0000-000079010000}"/>
    <cellStyle name="Énfasis2 2" xfId="460" xr:uid="{00000000-0005-0000-0000-00007A010000}"/>
    <cellStyle name="Énfasis2 2 2" xfId="461" xr:uid="{00000000-0005-0000-0000-00007B010000}"/>
    <cellStyle name="Énfasis2 3" xfId="462" xr:uid="{00000000-0005-0000-0000-00007C010000}"/>
    <cellStyle name="Énfasis2 4" xfId="463" xr:uid="{00000000-0005-0000-0000-00007D010000}"/>
    <cellStyle name="Énfasis2 5" xfId="464" xr:uid="{00000000-0005-0000-0000-00007E010000}"/>
    <cellStyle name="Énfasis2 6" xfId="465" xr:uid="{00000000-0005-0000-0000-00007F010000}"/>
    <cellStyle name="Énfasis2 7" xfId="466" xr:uid="{00000000-0005-0000-0000-000080010000}"/>
    <cellStyle name="Énfasis2 8" xfId="467" xr:uid="{00000000-0005-0000-0000-000081010000}"/>
    <cellStyle name="Énfasis3 2" xfId="468" xr:uid="{00000000-0005-0000-0000-000082010000}"/>
    <cellStyle name="Énfasis3 2 2" xfId="469" xr:uid="{00000000-0005-0000-0000-000083010000}"/>
    <cellStyle name="Énfasis3 3" xfId="470" xr:uid="{00000000-0005-0000-0000-000084010000}"/>
    <cellStyle name="Énfasis3 4" xfId="471" xr:uid="{00000000-0005-0000-0000-000085010000}"/>
    <cellStyle name="Énfasis3 5" xfId="472" xr:uid="{00000000-0005-0000-0000-000086010000}"/>
    <cellStyle name="Énfasis3 6" xfId="473" xr:uid="{00000000-0005-0000-0000-000087010000}"/>
    <cellStyle name="Énfasis3 7" xfId="474" xr:uid="{00000000-0005-0000-0000-000088010000}"/>
    <cellStyle name="Énfasis3 8" xfId="475" xr:uid="{00000000-0005-0000-0000-000089010000}"/>
    <cellStyle name="Énfasis4 2" xfId="476" xr:uid="{00000000-0005-0000-0000-00008A010000}"/>
    <cellStyle name="Énfasis4 2 2" xfId="477" xr:uid="{00000000-0005-0000-0000-00008B010000}"/>
    <cellStyle name="Énfasis4 3" xfId="478" xr:uid="{00000000-0005-0000-0000-00008C010000}"/>
    <cellStyle name="Énfasis4 4" xfId="479" xr:uid="{00000000-0005-0000-0000-00008D010000}"/>
    <cellStyle name="Énfasis4 5" xfId="480" xr:uid="{00000000-0005-0000-0000-00008E010000}"/>
    <cellStyle name="Énfasis4 6" xfId="481" xr:uid="{00000000-0005-0000-0000-00008F010000}"/>
    <cellStyle name="Énfasis4 7" xfId="482" xr:uid="{00000000-0005-0000-0000-000090010000}"/>
    <cellStyle name="Énfasis4 8" xfId="483" xr:uid="{00000000-0005-0000-0000-000091010000}"/>
    <cellStyle name="Énfasis5 2" xfId="484" xr:uid="{00000000-0005-0000-0000-000092010000}"/>
    <cellStyle name="Énfasis5 2 2" xfId="485" xr:uid="{00000000-0005-0000-0000-000093010000}"/>
    <cellStyle name="Énfasis5 3" xfId="486" xr:uid="{00000000-0005-0000-0000-000094010000}"/>
    <cellStyle name="Énfasis5 4" xfId="487" xr:uid="{00000000-0005-0000-0000-000095010000}"/>
    <cellStyle name="Énfasis5 5" xfId="488" xr:uid="{00000000-0005-0000-0000-000096010000}"/>
    <cellStyle name="Énfasis5 6" xfId="489" xr:uid="{00000000-0005-0000-0000-000097010000}"/>
    <cellStyle name="Énfasis5 7" xfId="490" xr:uid="{00000000-0005-0000-0000-000098010000}"/>
    <cellStyle name="Énfasis5 8" xfId="491" xr:uid="{00000000-0005-0000-0000-000099010000}"/>
    <cellStyle name="Énfasis6 2" xfId="492" xr:uid="{00000000-0005-0000-0000-00009A010000}"/>
    <cellStyle name="Énfasis6 2 2" xfId="493" xr:uid="{00000000-0005-0000-0000-00009B010000}"/>
    <cellStyle name="Énfasis6 3" xfId="494" xr:uid="{00000000-0005-0000-0000-00009C010000}"/>
    <cellStyle name="Énfasis6 4" xfId="495" xr:uid="{00000000-0005-0000-0000-00009D010000}"/>
    <cellStyle name="Énfasis6 5" xfId="496" xr:uid="{00000000-0005-0000-0000-00009E010000}"/>
    <cellStyle name="Énfasis6 6" xfId="497" xr:uid="{00000000-0005-0000-0000-00009F010000}"/>
    <cellStyle name="Énfasis6 7" xfId="498" xr:uid="{00000000-0005-0000-0000-0000A0010000}"/>
    <cellStyle name="Énfasis6 8" xfId="499" xr:uid="{00000000-0005-0000-0000-0000A1010000}"/>
    <cellStyle name="Entrada 2" xfId="500" xr:uid="{00000000-0005-0000-0000-0000A2010000}"/>
    <cellStyle name="Entrada 2 2" xfId="501" xr:uid="{00000000-0005-0000-0000-0000A3010000}"/>
    <cellStyle name="Entrada 2 2 2" xfId="502" xr:uid="{00000000-0005-0000-0000-0000A4010000}"/>
    <cellStyle name="Entrada 2 2 2 2" xfId="503" xr:uid="{00000000-0005-0000-0000-0000A5010000}"/>
    <cellStyle name="Entrada 2 2 2 2 2" xfId="504" xr:uid="{00000000-0005-0000-0000-0000A6010000}"/>
    <cellStyle name="Entrada 2 2 3" xfId="505" xr:uid="{00000000-0005-0000-0000-0000A7010000}"/>
    <cellStyle name="Entrada 2 2 4" xfId="506" xr:uid="{00000000-0005-0000-0000-0000A8010000}"/>
    <cellStyle name="Entrada 2 3" xfId="507" xr:uid="{00000000-0005-0000-0000-0000A9010000}"/>
    <cellStyle name="Entrada 2 4" xfId="508" xr:uid="{00000000-0005-0000-0000-0000AA010000}"/>
    <cellStyle name="Entrada 3" xfId="509" xr:uid="{00000000-0005-0000-0000-0000AB010000}"/>
    <cellStyle name="Entrada 4" xfId="510" xr:uid="{00000000-0005-0000-0000-0000AC010000}"/>
    <cellStyle name="Entrada 5" xfId="511" xr:uid="{00000000-0005-0000-0000-0000AD010000}"/>
    <cellStyle name="Entrada 6" xfId="512" xr:uid="{00000000-0005-0000-0000-0000AE010000}"/>
    <cellStyle name="Entrada 7" xfId="513" xr:uid="{00000000-0005-0000-0000-0000AF010000}"/>
    <cellStyle name="Entrada 8" xfId="514" xr:uid="{00000000-0005-0000-0000-0000B0010000}"/>
    <cellStyle name="Entrada 9" xfId="515" xr:uid="{00000000-0005-0000-0000-0000B1010000}"/>
    <cellStyle name="Estilo 1" xfId="516" xr:uid="{00000000-0005-0000-0000-0000B2010000}"/>
    <cellStyle name="Estilo 1 10" xfId="517" xr:uid="{00000000-0005-0000-0000-0000B3010000}"/>
    <cellStyle name="Estilo 1 10 2" xfId="518" xr:uid="{00000000-0005-0000-0000-0000B4010000}"/>
    <cellStyle name="Estilo 1 10 3" xfId="519" xr:uid="{00000000-0005-0000-0000-0000B5010000}"/>
    <cellStyle name="Estilo 1 10_Enlaces" xfId="520" xr:uid="{00000000-0005-0000-0000-0000B6010000}"/>
    <cellStyle name="Estilo 1 100" xfId="521" xr:uid="{00000000-0005-0000-0000-0000B7010000}"/>
    <cellStyle name="Estilo 1 100 2" xfId="522" xr:uid="{00000000-0005-0000-0000-0000B8010000}"/>
    <cellStyle name="Estilo 1 101" xfId="523" xr:uid="{00000000-0005-0000-0000-0000B9010000}"/>
    <cellStyle name="Estilo 1 101 2" xfId="524" xr:uid="{00000000-0005-0000-0000-0000BA010000}"/>
    <cellStyle name="Estilo 1 102" xfId="525" xr:uid="{00000000-0005-0000-0000-0000BB010000}"/>
    <cellStyle name="Estilo 1 102 2" xfId="526" xr:uid="{00000000-0005-0000-0000-0000BC010000}"/>
    <cellStyle name="Estilo 1 103" xfId="527" xr:uid="{00000000-0005-0000-0000-0000BD010000}"/>
    <cellStyle name="Estilo 1 103 2" xfId="528" xr:uid="{00000000-0005-0000-0000-0000BE010000}"/>
    <cellStyle name="Estilo 1 104" xfId="529" xr:uid="{00000000-0005-0000-0000-0000BF010000}"/>
    <cellStyle name="Estilo 1 104 2" xfId="530" xr:uid="{00000000-0005-0000-0000-0000C0010000}"/>
    <cellStyle name="Estilo 1 105" xfId="531" xr:uid="{00000000-0005-0000-0000-0000C1010000}"/>
    <cellStyle name="Estilo 1 105 2" xfId="532" xr:uid="{00000000-0005-0000-0000-0000C2010000}"/>
    <cellStyle name="Estilo 1 106" xfId="533" xr:uid="{00000000-0005-0000-0000-0000C3010000}"/>
    <cellStyle name="Estilo 1 106 2" xfId="534" xr:uid="{00000000-0005-0000-0000-0000C4010000}"/>
    <cellStyle name="Estilo 1 107" xfId="535" xr:uid="{00000000-0005-0000-0000-0000C5010000}"/>
    <cellStyle name="Estilo 1 107 2" xfId="536" xr:uid="{00000000-0005-0000-0000-0000C6010000}"/>
    <cellStyle name="Estilo 1 108" xfId="537" xr:uid="{00000000-0005-0000-0000-0000C7010000}"/>
    <cellStyle name="Estilo 1 108 2" xfId="538" xr:uid="{00000000-0005-0000-0000-0000C8010000}"/>
    <cellStyle name="Estilo 1 109" xfId="539" xr:uid="{00000000-0005-0000-0000-0000C9010000}"/>
    <cellStyle name="Estilo 1 109 2" xfId="540" xr:uid="{00000000-0005-0000-0000-0000CA010000}"/>
    <cellStyle name="Estilo 1 11" xfId="541" xr:uid="{00000000-0005-0000-0000-0000CB010000}"/>
    <cellStyle name="Estilo 1 11 2" xfId="542" xr:uid="{00000000-0005-0000-0000-0000CC010000}"/>
    <cellStyle name="Estilo 1 11 3" xfId="543" xr:uid="{00000000-0005-0000-0000-0000CD010000}"/>
    <cellStyle name="Estilo 1 11_Enlaces" xfId="544" xr:uid="{00000000-0005-0000-0000-0000CE010000}"/>
    <cellStyle name="Estilo 1 110" xfId="545" xr:uid="{00000000-0005-0000-0000-0000CF010000}"/>
    <cellStyle name="Estilo 1 110 2" xfId="546" xr:uid="{00000000-0005-0000-0000-0000D0010000}"/>
    <cellStyle name="Estilo 1 111" xfId="547" xr:uid="{00000000-0005-0000-0000-0000D1010000}"/>
    <cellStyle name="Estilo 1 111 2" xfId="548" xr:uid="{00000000-0005-0000-0000-0000D2010000}"/>
    <cellStyle name="Estilo 1 112" xfId="549" xr:uid="{00000000-0005-0000-0000-0000D3010000}"/>
    <cellStyle name="Estilo 1 112 2" xfId="550" xr:uid="{00000000-0005-0000-0000-0000D4010000}"/>
    <cellStyle name="Estilo 1 113" xfId="551" xr:uid="{00000000-0005-0000-0000-0000D5010000}"/>
    <cellStyle name="Estilo 1 113 2" xfId="552" xr:uid="{00000000-0005-0000-0000-0000D6010000}"/>
    <cellStyle name="Estilo 1 114" xfId="553" xr:uid="{00000000-0005-0000-0000-0000D7010000}"/>
    <cellStyle name="Estilo 1 114 2" xfId="554" xr:uid="{00000000-0005-0000-0000-0000D8010000}"/>
    <cellStyle name="Estilo 1 115" xfId="555" xr:uid="{00000000-0005-0000-0000-0000D9010000}"/>
    <cellStyle name="Estilo 1 115 2" xfId="556" xr:uid="{00000000-0005-0000-0000-0000DA010000}"/>
    <cellStyle name="Estilo 1 116" xfId="557" xr:uid="{00000000-0005-0000-0000-0000DB010000}"/>
    <cellStyle name="Estilo 1 116 2" xfId="558" xr:uid="{00000000-0005-0000-0000-0000DC010000}"/>
    <cellStyle name="Estilo 1 117" xfId="559" xr:uid="{00000000-0005-0000-0000-0000DD010000}"/>
    <cellStyle name="Estilo 1 117 2" xfId="560" xr:uid="{00000000-0005-0000-0000-0000DE010000}"/>
    <cellStyle name="Estilo 1 118" xfId="561" xr:uid="{00000000-0005-0000-0000-0000DF010000}"/>
    <cellStyle name="Estilo 1 118 2" xfId="562" xr:uid="{00000000-0005-0000-0000-0000E0010000}"/>
    <cellStyle name="Estilo 1 119" xfId="563" xr:uid="{00000000-0005-0000-0000-0000E1010000}"/>
    <cellStyle name="Estilo 1 119 2" xfId="564" xr:uid="{00000000-0005-0000-0000-0000E2010000}"/>
    <cellStyle name="Estilo 1 12" xfId="565" xr:uid="{00000000-0005-0000-0000-0000E3010000}"/>
    <cellStyle name="Estilo 1 12 2" xfId="566" xr:uid="{00000000-0005-0000-0000-0000E4010000}"/>
    <cellStyle name="Estilo 1 12 3" xfId="567" xr:uid="{00000000-0005-0000-0000-0000E5010000}"/>
    <cellStyle name="Estilo 1 12_Enlaces" xfId="568" xr:uid="{00000000-0005-0000-0000-0000E6010000}"/>
    <cellStyle name="Estilo 1 120" xfId="569" xr:uid="{00000000-0005-0000-0000-0000E7010000}"/>
    <cellStyle name="Estilo 1 120 2" xfId="570" xr:uid="{00000000-0005-0000-0000-0000E8010000}"/>
    <cellStyle name="Estilo 1 121" xfId="571" xr:uid="{00000000-0005-0000-0000-0000E9010000}"/>
    <cellStyle name="Estilo 1 121 2" xfId="572" xr:uid="{00000000-0005-0000-0000-0000EA010000}"/>
    <cellStyle name="Estilo 1 122" xfId="573" xr:uid="{00000000-0005-0000-0000-0000EB010000}"/>
    <cellStyle name="Estilo 1 122 2" xfId="574" xr:uid="{00000000-0005-0000-0000-0000EC010000}"/>
    <cellStyle name="Estilo 1 123" xfId="575" xr:uid="{00000000-0005-0000-0000-0000ED010000}"/>
    <cellStyle name="Estilo 1 123 2" xfId="576" xr:uid="{00000000-0005-0000-0000-0000EE010000}"/>
    <cellStyle name="Estilo 1 124" xfId="577" xr:uid="{00000000-0005-0000-0000-0000EF010000}"/>
    <cellStyle name="Estilo 1 124 2" xfId="578" xr:uid="{00000000-0005-0000-0000-0000F0010000}"/>
    <cellStyle name="Estilo 1 125" xfId="579" xr:uid="{00000000-0005-0000-0000-0000F1010000}"/>
    <cellStyle name="Estilo 1 125 2" xfId="580" xr:uid="{00000000-0005-0000-0000-0000F2010000}"/>
    <cellStyle name="Estilo 1 126" xfId="581" xr:uid="{00000000-0005-0000-0000-0000F3010000}"/>
    <cellStyle name="Estilo 1 126 2" xfId="582" xr:uid="{00000000-0005-0000-0000-0000F4010000}"/>
    <cellStyle name="Estilo 1 127" xfId="583" xr:uid="{00000000-0005-0000-0000-0000F5010000}"/>
    <cellStyle name="Estilo 1 127 2" xfId="584" xr:uid="{00000000-0005-0000-0000-0000F6010000}"/>
    <cellStyle name="Estilo 1 128" xfId="585" xr:uid="{00000000-0005-0000-0000-0000F7010000}"/>
    <cellStyle name="Estilo 1 128 2" xfId="586" xr:uid="{00000000-0005-0000-0000-0000F8010000}"/>
    <cellStyle name="Estilo 1 129" xfId="587" xr:uid="{00000000-0005-0000-0000-0000F9010000}"/>
    <cellStyle name="Estilo 1 129 2" xfId="588" xr:uid="{00000000-0005-0000-0000-0000FA010000}"/>
    <cellStyle name="Estilo 1 13" xfId="589" xr:uid="{00000000-0005-0000-0000-0000FB010000}"/>
    <cellStyle name="Estilo 1 13 2" xfId="590" xr:uid="{00000000-0005-0000-0000-0000FC010000}"/>
    <cellStyle name="Estilo 1 13 3" xfId="591" xr:uid="{00000000-0005-0000-0000-0000FD010000}"/>
    <cellStyle name="Estilo 1 13_Enlaces" xfId="592" xr:uid="{00000000-0005-0000-0000-0000FE010000}"/>
    <cellStyle name="Estilo 1 130" xfId="593" xr:uid="{00000000-0005-0000-0000-0000FF010000}"/>
    <cellStyle name="Estilo 1 130 2" xfId="594" xr:uid="{00000000-0005-0000-0000-000000020000}"/>
    <cellStyle name="Estilo 1 131" xfId="595" xr:uid="{00000000-0005-0000-0000-000001020000}"/>
    <cellStyle name="Estilo 1 131 2" xfId="596" xr:uid="{00000000-0005-0000-0000-000002020000}"/>
    <cellStyle name="Estilo 1 132" xfId="597" xr:uid="{00000000-0005-0000-0000-000003020000}"/>
    <cellStyle name="Estilo 1 132 2" xfId="598" xr:uid="{00000000-0005-0000-0000-000004020000}"/>
    <cellStyle name="Estilo 1 133" xfId="599" xr:uid="{00000000-0005-0000-0000-000005020000}"/>
    <cellStyle name="Estilo 1 133 2" xfId="600" xr:uid="{00000000-0005-0000-0000-000006020000}"/>
    <cellStyle name="Estilo 1 134" xfId="601" xr:uid="{00000000-0005-0000-0000-000007020000}"/>
    <cellStyle name="Estilo 1 134 2" xfId="602" xr:uid="{00000000-0005-0000-0000-000008020000}"/>
    <cellStyle name="Estilo 1 135" xfId="603" xr:uid="{00000000-0005-0000-0000-000009020000}"/>
    <cellStyle name="Estilo 1 135 2" xfId="604" xr:uid="{00000000-0005-0000-0000-00000A020000}"/>
    <cellStyle name="Estilo 1 136" xfId="605" xr:uid="{00000000-0005-0000-0000-00000B020000}"/>
    <cellStyle name="Estilo 1 136 2" xfId="606" xr:uid="{00000000-0005-0000-0000-00000C020000}"/>
    <cellStyle name="Estilo 1 137" xfId="607" xr:uid="{00000000-0005-0000-0000-00000D020000}"/>
    <cellStyle name="Estilo 1 137 2" xfId="608" xr:uid="{00000000-0005-0000-0000-00000E020000}"/>
    <cellStyle name="Estilo 1 138" xfId="609" xr:uid="{00000000-0005-0000-0000-00000F020000}"/>
    <cellStyle name="Estilo 1 138 2" xfId="610" xr:uid="{00000000-0005-0000-0000-000010020000}"/>
    <cellStyle name="Estilo 1 139" xfId="611" xr:uid="{00000000-0005-0000-0000-000011020000}"/>
    <cellStyle name="Estilo 1 139 2" xfId="612" xr:uid="{00000000-0005-0000-0000-000012020000}"/>
    <cellStyle name="Estilo 1 14" xfId="613" xr:uid="{00000000-0005-0000-0000-000013020000}"/>
    <cellStyle name="Estilo 1 14 2" xfId="614" xr:uid="{00000000-0005-0000-0000-000014020000}"/>
    <cellStyle name="Estilo 1 14 3" xfId="615" xr:uid="{00000000-0005-0000-0000-000015020000}"/>
    <cellStyle name="Estilo 1 14_Enlaces" xfId="616" xr:uid="{00000000-0005-0000-0000-000016020000}"/>
    <cellStyle name="Estilo 1 140" xfId="617" xr:uid="{00000000-0005-0000-0000-000017020000}"/>
    <cellStyle name="Estilo 1 140 2" xfId="618" xr:uid="{00000000-0005-0000-0000-000018020000}"/>
    <cellStyle name="Estilo 1 141" xfId="619" xr:uid="{00000000-0005-0000-0000-000019020000}"/>
    <cellStyle name="Estilo 1 141 2" xfId="620" xr:uid="{00000000-0005-0000-0000-00001A020000}"/>
    <cellStyle name="Estilo 1 142" xfId="621" xr:uid="{00000000-0005-0000-0000-00001B020000}"/>
    <cellStyle name="Estilo 1 142 2" xfId="622" xr:uid="{00000000-0005-0000-0000-00001C020000}"/>
    <cellStyle name="Estilo 1 143" xfId="623" xr:uid="{00000000-0005-0000-0000-00001D020000}"/>
    <cellStyle name="Estilo 1 143 2" xfId="624" xr:uid="{00000000-0005-0000-0000-00001E020000}"/>
    <cellStyle name="Estilo 1 144" xfId="625" xr:uid="{00000000-0005-0000-0000-00001F020000}"/>
    <cellStyle name="Estilo 1 144 2" xfId="626" xr:uid="{00000000-0005-0000-0000-000020020000}"/>
    <cellStyle name="Estilo 1 145" xfId="627" xr:uid="{00000000-0005-0000-0000-000021020000}"/>
    <cellStyle name="Estilo 1 145 2" xfId="628" xr:uid="{00000000-0005-0000-0000-000022020000}"/>
    <cellStyle name="Estilo 1 146" xfId="629" xr:uid="{00000000-0005-0000-0000-000023020000}"/>
    <cellStyle name="Estilo 1 146 2" xfId="630" xr:uid="{00000000-0005-0000-0000-000024020000}"/>
    <cellStyle name="Estilo 1 147" xfId="631" xr:uid="{00000000-0005-0000-0000-000025020000}"/>
    <cellStyle name="Estilo 1 147 2" xfId="632" xr:uid="{00000000-0005-0000-0000-000026020000}"/>
    <cellStyle name="Estilo 1 148" xfId="633" xr:uid="{00000000-0005-0000-0000-000027020000}"/>
    <cellStyle name="Estilo 1 148 2" xfId="634" xr:uid="{00000000-0005-0000-0000-000028020000}"/>
    <cellStyle name="Estilo 1 149" xfId="635" xr:uid="{00000000-0005-0000-0000-000029020000}"/>
    <cellStyle name="Estilo 1 149 2" xfId="636" xr:uid="{00000000-0005-0000-0000-00002A020000}"/>
    <cellStyle name="Estilo 1 15" xfId="637" xr:uid="{00000000-0005-0000-0000-00002B020000}"/>
    <cellStyle name="Estilo 1 15 2" xfId="638" xr:uid="{00000000-0005-0000-0000-00002C020000}"/>
    <cellStyle name="Estilo 1 15 3" xfId="639" xr:uid="{00000000-0005-0000-0000-00002D020000}"/>
    <cellStyle name="Estilo 1 15_Enlaces" xfId="640" xr:uid="{00000000-0005-0000-0000-00002E020000}"/>
    <cellStyle name="Estilo 1 150" xfId="641" xr:uid="{00000000-0005-0000-0000-00002F020000}"/>
    <cellStyle name="Estilo 1 150 2" xfId="642" xr:uid="{00000000-0005-0000-0000-000030020000}"/>
    <cellStyle name="Estilo 1 151" xfId="643" xr:uid="{00000000-0005-0000-0000-000031020000}"/>
    <cellStyle name="Estilo 1 151 2" xfId="644" xr:uid="{00000000-0005-0000-0000-000032020000}"/>
    <cellStyle name="Estilo 1 152" xfId="645" xr:uid="{00000000-0005-0000-0000-000033020000}"/>
    <cellStyle name="Estilo 1 152 2" xfId="646" xr:uid="{00000000-0005-0000-0000-000034020000}"/>
    <cellStyle name="Estilo 1 153" xfId="647" xr:uid="{00000000-0005-0000-0000-000035020000}"/>
    <cellStyle name="Estilo 1 153 2" xfId="648" xr:uid="{00000000-0005-0000-0000-000036020000}"/>
    <cellStyle name="Estilo 1 154" xfId="649" xr:uid="{00000000-0005-0000-0000-000037020000}"/>
    <cellStyle name="Estilo 1 154 2" xfId="650" xr:uid="{00000000-0005-0000-0000-000038020000}"/>
    <cellStyle name="Estilo 1 155" xfId="651" xr:uid="{00000000-0005-0000-0000-000039020000}"/>
    <cellStyle name="Estilo 1 155 2" xfId="652" xr:uid="{00000000-0005-0000-0000-00003A020000}"/>
    <cellStyle name="Estilo 1 156" xfId="653" xr:uid="{00000000-0005-0000-0000-00003B020000}"/>
    <cellStyle name="Estilo 1 156 2" xfId="654" xr:uid="{00000000-0005-0000-0000-00003C020000}"/>
    <cellStyle name="Estilo 1 157" xfId="655" xr:uid="{00000000-0005-0000-0000-00003D020000}"/>
    <cellStyle name="Estilo 1 157 2" xfId="656" xr:uid="{00000000-0005-0000-0000-00003E020000}"/>
    <cellStyle name="Estilo 1 158" xfId="657" xr:uid="{00000000-0005-0000-0000-00003F020000}"/>
    <cellStyle name="Estilo 1 158 2" xfId="658" xr:uid="{00000000-0005-0000-0000-000040020000}"/>
    <cellStyle name="Estilo 1 159" xfId="659" xr:uid="{00000000-0005-0000-0000-000041020000}"/>
    <cellStyle name="Estilo 1 159 2" xfId="660" xr:uid="{00000000-0005-0000-0000-000042020000}"/>
    <cellStyle name="Estilo 1 16" xfId="661" xr:uid="{00000000-0005-0000-0000-000043020000}"/>
    <cellStyle name="Estilo 1 16 2" xfId="662" xr:uid="{00000000-0005-0000-0000-000044020000}"/>
    <cellStyle name="Estilo 1 16 3" xfId="663" xr:uid="{00000000-0005-0000-0000-000045020000}"/>
    <cellStyle name="Estilo 1 16_Enlaces" xfId="664" xr:uid="{00000000-0005-0000-0000-000046020000}"/>
    <cellStyle name="Estilo 1 160" xfId="665" xr:uid="{00000000-0005-0000-0000-000047020000}"/>
    <cellStyle name="Estilo 1 160 2" xfId="666" xr:uid="{00000000-0005-0000-0000-000048020000}"/>
    <cellStyle name="Estilo 1 161" xfId="667" xr:uid="{00000000-0005-0000-0000-000049020000}"/>
    <cellStyle name="Estilo 1 161 2" xfId="668" xr:uid="{00000000-0005-0000-0000-00004A020000}"/>
    <cellStyle name="Estilo 1 162" xfId="669" xr:uid="{00000000-0005-0000-0000-00004B020000}"/>
    <cellStyle name="Estilo 1 162 2" xfId="670" xr:uid="{00000000-0005-0000-0000-00004C020000}"/>
    <cellStyle name="Estilo 1 163" xfId="671" xr:uid="{00000000-0005-0000-0000-00004D020000}"/>
    <cellStyle name="Estilo 1 163 2" xfId="672" xr:uid="{00000000-0005-0000-0000-00004E020000}"/>
    <cellStyle name="Estilo 1 164" xfId="673" xr:uid="{00000000-0005-0000-0000-00004F020000}"/>
    <cellStyle name="Estilo 1 164 2" xfId="674" xr:uid="{00000000-0005-0000-0000-000050020000}"/>
    <cellStyle name="Estilo 1 165" xfId="675" xr:uid="{00000000-0005-0000-0000-000051020000}"/>
    <cellStyle name="Estilo 1 165 2" xfId="676" xr:uid="{00000000-0005-0000-0000-000052020000}"/>
    <cellStyle name="Estilo 1 166" xfId="677" xr:uid="{00000000-0005-0000-0000-000053020000}"/>
    <cellStyle name="Estilo 1 166 2" xfId="678" xr:uid="{00000000-0005-0000-0000-000054020000}"/>
    <cellStyle name="Estilo 1 167" xfId="679" xr:uid="{00000000-0005-0000-0000-000055020000}"/>
    <cellStyle name="Estilo 1 167 2" xfId="680" xr:uid="{00000000-0005-0000-0000-000056020000}"/>
    <cellStyle name="Estilo 1 168" xfId="681" xr:uid="{00000000-0005-0000-0000-000057020000}"/>
    <cellStyle name="Estilo 1 168 2" xfId="682" xr:uid="{00000000-0005-0000-0000-000058020000}"/>
    <cellStyle name="Estilo 1 169" xfId="683" xr:uid="{00000000-0005-0000-0000-000059020000}"/>
    <cellStyle name="Estilo 1 169 2" xfId="684" xr:uid="{00000000-0005-0000-0000-00005A020000}"/>
    <cellStyle name="Estilo 1 17" xfId="685" xr:uid="{00000000-0005-0000-0000-00005B020000}"/>
    <cellStyle name="Estilo 1 17 2" xfId="686" xr:uid="{00000000-0005-0000-0000-00005C020000}"/>
    <cellStyle name="Estilo 1 17 3" xfId="687" xr:uid="{00000000-0005-0000-0000-00005D020000}"/>
    <cellStyle name="Estilo 1 17_Enlaces" xfId="688" xr:uid="{00000000-0005-0000-0000-00005E020000}"/>
    <cellStyle name="Estilo 1 170" xfId="689" xr:uid="{00000000-0005-0000-0000-00005F020000}"/>
    <cellStyle name="Estilo 1 170 2" xfId="690" xr:uid="{00000000-0005-0000-0000-000060020000}"/>
    <cellStyle name="Estilo 1 171" xfId="691" xr:uid="{00000000-0005-0000-0000-000061020000}"/>
    <cellStyle name="Estilo 1 171 2" xfId="692" xr:uid="{00000000-0005-0000-0000-000062020000}"/>
    <cellStyle name="Estilo 1 172" xfId="693" xr:uid="{00000000-0005-0000-0000-000063020000}"/>
    <cellStyle name="Estilo 1 172 2" xfId="694" xr:uid="{00000000-0005-0000-0000-000064020000}"/>
    <cellStyle name="Estilo 1 173" xfId="695" xr:uid="{00000000-0005-0000-0000-000065020000}"/>
    <cellStyle name="Estilo 1 173 2" xfId="696" xr:uid="{00000000-0005-0000-0000-000066020000}"/>
    <cellStyle name="Estilo 1 174" xfId="697" xr:uid="{00000000-0005-0000-0000-000067020000}"/>
    <cellStyle name="Estilo 1 174 2" xfId="698" xr:uid="{00000000-0005-0000-0000-000068020000}"/>
    <cellStyle name="Estilo 1 175" xfId="699" xr:uid="{00000000-0005-0000-0000-000069020000}"/>
    <cellStyle name="Estilo 1 175 2" xfId="700" xr:uid="{00000000-0005-0000-0000-00006A020000}"/>
    <cellStyle name="Estilo 1 176" xfId="701" xr:uid="{00000000-0005-0000-0000-00006B020000}"/>
    <cellStyle name="Estilo 1 176 2" xfId="702" xr:uid="{00000000-0005-0000-0000-00006C020000}"/>
    <cellStyle name="Estilo 1 177" xfId="703" xr:uid="{00000000-0005-0000-0000-00006D020000}"/>
    <cellStyle name="Estilo 1 177 2" xfId="704" xr:uid="{00000000-0005-0000-0000-00006E020000}"/>
    <cellStyle name="Estilo 1 178" xfId="705" xr:uid="{00000000-0005-0000-0000-00006F020000}"/>
    <cellStyle name="Estilo 1 178 2" xfId="706" xr:uid="{00000000-0005-0000-0000-000070020000}"/>
    <cellStyle name="Estilo 1 179" xfId="707" xr:uid="{00000000-0005-0000-0000-000071020000}"/>
    <cellStyle name="Estilo 1 179 2" xfId="708" xr:uid="{00000000-0005-0000-0000-000072020000}"/>
    <cellStyle name="Estilo 1 18" xfId="709" xr:uid="{00000000-0005-0000-0000-000073020000}"/>
    <cellStyle name="Estilo 1 18 2" xfId="710" xr:uid="{00000000-0005-0000-0000-000074020000}"/>
    <cellStyle name="Estilo 1 18 3" xfId="711" xr:uid="{00000000-0005-0000-0000-000075020000}"/>
    <cellStyle name="Estilo 1 18_Enlaces" xfId="712" xr:uid="{00000000-0005-0000-0000-000076020000}"/>
    <cellStyle name="Estilo 1 180" xfId="713" xr:uid="{00000000-0005-0000-0000-000077020000}"/>
    <cellStyle name="Estilo 1 180 2" xfId="714" xr:uid="{00000000-0005-0000-0000-000078020000}"/>
    <cellStyle name="Estilo 1 181" xfId="715" xr:uid="{00000000-0005-0000-0000-000079020000}"/>
    <cellStyle name="Estilo 1 181 2" xfId="716" xr:uid="{00000000-0005-0000-0000-00007A020000}"/>
    <cellStyle name="Estilo 1 182" xfId="717" xr:uid="{00000000-0005-0000-0000-00007B020000}"/>
    <cellStyle name="Estilo 1 182 2" xfId="718" xr:uid="{00000000-0005-0000-0000-00007C020000}"/>
    <cellStyle name="Estilo 1 183" xfId="719" xr:uid="{00000000-0005-0000-0000-00007D020000}"/>
    <cellStyle name="Estilo 1 183 2" xfId="720" xr:uid="{00000000-0005-0000-0000-00007E020000}"/>
    <cellStyle name="Estilo 1 184" xfId="721" xr:uid="{00000000-0005-0000-0000-00007F020000}"/>
    <cellStyle name="Estilo 1 184 2" xfId="722" xr:uid="{00000000-0005-0000-0000-000080020000}"/>
    <cellStyle name="Estilo 1 185" xfId="723" xr:uid="{00000000-0005-0000-0000-000081020000}"/>
    <cellStyle name="Estilo 1 185 2" xfId="724" xr:uid="{00000000-0005-0000-0000-000082020000}"/>
    <cellStyle name="Estilo 1 186" xfId="725" xr:uid="{00000000-0005-0000-0000-000083020000}"/>
    <cellStyle name="Estilo 1 186 2" xfId="726" xr:uid="{00000000-0005-0000-0000-000084020000}"/>
    <cellStyle name="Estilo 1 187" xfId="727" xr:uid="{00000000-0005-0000-0000-000085020000}"/>
    <cellStyle name="Estilo 1 187 2" xfId="728" xr:uid="{00000000-0005-0000-0000-000086020000}"/>
    <cellStyle name="Estilo 1 188" xfId="729" xr:uid="{00000000-0005-0000-0000-000087020000}"/>
    <cellStyle name="Estilo 1 188 2" xfId="730" xr:uid="{00000000-0005-0000-0000-000088020000}"/>
    <cellStyle name="Estilo 1 189" xfId="731" xr:uid="{00000000-0005-0000-0000-000089020000}"/>
    <cellStyle name="Estilo 1 189 2" xfId="732" xr:uid="{00000000-0005-0000-0000-00008A020000}"/>
    <cellStyle name="Estilo 1 19" xfId="733" xr:uid="{00000000-0005-0000-0000-00008B020000}"/>
    <cellStyle name="Estilo 1 19 2" xfId="734" xr:uid="{00000000-0005-0000-0000-00008C020000}"/>
    <cellStyle name="Estilo 1 19 3" xfId="735" xr:uid="{00000000-0005-0000-0000-00008D020000}"/>
    <cellStyle name="Estilo 1 19_Enlaces" xfId="736" xr:uid="{00000000-0005-0000-0000-00008E020000}"/>
    <cellStyle name="Estilo 1 190" xfId="737" xr:uid="{00000000-0005-0000-0000-00008F020000}"/>
    <cellStyle name="Estilo 1 190 2" xfId="738" xr:uid="{00000000-0005-0000-0000-000090020000}"/>
    <cellStyle name="Estilo 1 191" xfId="739" xr:uid="{00000000-0005-0000-0000-000091020000}"/>
    <cellStyle name="Estilo 1 191 2" xfId="740" xr:uid="{00000000-0005-0000-0000-000092020000}"/>
    <cellStyle name="Estilo 1 192" xfId="741" xr:uid="{00000000-0005-0000-0000-000093020000}"/>
    <cellStyle name="Estilo 1 192 2" xfId="742" xr:uid="{00000000-0005-0000-0000-000094020000}"/>
    <cellStyle name="Estilo 1 193" xfId="743" xr:uid="{00000000-0005-0000-0000-000095020000}"/>
    <cellStyle name="Estilo 1 193 2" xfId="744" xr:uid="{00000000-0005-0000-0000-000096020000}"/>
    <cellStyle name="Estilo 1 194" xfId="745" xr:uid="{00000000-0005-0000-0000-000097020000}"/>
    <cellStyle name="Estilo 1 194 2" xfId="746" xr:uid="{00000000-0005-0000-0000-000098020000}"/>
    <cellStyle name="Estilo 1 195" xfId="747" xr:uid="{00000000-0005-0000-0000-000099020000}"/>
    <cellStyle name="Estilo 1 195 2" xfId="748" xr:uid="{00000000-0005-0000-0000-00009A020000}"/>
    <cellStyle name="Estilo 1 196" xfId="749" xr:uid="{00000000-0005-0000-0000-00009B020000}"/>
    <cellStyle name="Estilo 1 196 2" xfId="750" xr:uid="{00000000-0005-0000-0000-00009C020000}"/>
    <cellStyle name="Estilo 1 197" xfId="751" xr:uid="{00000000-0005-0000-0000-00009D020000}"/>
    <cellStyle name="Estilo 1 197 2" xfId="752" xr:uid="{00000000-0005-0000-0000-00009E020000}"/>
    <cellStyle name="Estilo 1 198" xfId="753" xr:uid="{00000000-0005-0000-0000-00009F020000}"/>
    <cellStyle name="Estilo 1 198 2" xfId="754" xr:uid="{00000000-0005-0000-0000-0000A0020000}"/>
    <cellStyle name="Estilo 1 199" xfId="755" xr:uid="{00000000-0005-0000-0000-0000A1020000}"/>
    <cellStyle name="Estilo 1 199 2" xfId="756" xr:uid="{00000000-0005-0000-0000-0000A2020000}"/>
    <cellStyle name="Estilo 1 2" xfId="757" xr:uid="{00000000-0005-0000-0000-0000A3020000}"/>
    <cellStyle name="Estilo 1 2 2" xfId="758" xr:uid="{00000000-0005-0000-0000-0000A4020000}"/>
    <cellStyle name="Estilo 1 2 2 2" xfId="759" xr:uid="{00000000-0005-0000-0000-0000A5020000}"/>
    <cellStyle name="Estilo 1 2 3" xfId="760" xr:uid="{00000000-0005-0000-0000-0000A6020000}"/>
    <cellStyle name="Estilo 1 2 3 2" xfId="761" xr:uid="{00000000-0005-0000-0000-0000A7020000}"/>
    <cellStyle name="Estilo 1 2 4" xfId="762" xr:uid="{00000000-0005-0000-0000-0000A8020000}"/>
    <cellStyle name="Estilo 1 2 4 2" xfId="763" xr:uid="{00000000-0005-0000-0000-0000A9020000}"/>
    <cellStyle name="Estilo 1 2 5" xfId="764" xr:uid="{00000000-0005-0000-0000-0000AA020000}"/>
    <cellStyle name="Estilo 1 2 6" xfId="765" xr:uid="{00000000-0005-0000-0000-0000AB020000}"/>
    <cellStyle name="Estilo 1 2 7" xfId="766" xr:uid="{00000000-0005-0000-0000-0000AC020000}"/>
    <cellStyle name="Estilo 1 2 7 2" xfId="767" xr:uid="{00000000-0005-0000-0000-0000AD020000}"/>
    <cellStyle name="Estilo 1 2_Enlaces" xfId="768" xr:uid="{00000000-0005-0000-0000-0000AE020000}"/>
    <cellStyle name="Estilo 1 20" xfId="769" xr:uid="{00000000-0005-0000-0000-0000AF020000}"/>
    <cellStyle name="Estilo 1 20 2" xfId="770" xr:uid="{00000000-0005-0000-0000-0000B0020000}"/>
    <cellStyle name="Estilo 1 20 3" xfId="771" xr:uid="{00000000-0005-0000-0000-0000B1020000}"/>
    <cellStyle name="Estilo 1 20_Enlaces" xfId="772" xr:uid="{00000000-0005-0000-0000-0000B2020000}"/>
    <cellStyle name="Estilo 1 200" xfId="773" xr:uid="{00000000-0005-0000-0000-0000B3020000}"/>
    <cellStyle name="Estilo 1 200 2" xfId="774" xr:uid="{00000000-0005-0000-0000-0000B4020000}"/>
    <cellStyle name="Estilo 1 21" xfId="775" xr:uid="{00000000-0005-0000-0000-0000B5020000}"/>
    <cellStyle name="Estilo 1 21 2" xfId="776" xr:uid="{00000000-0005-0000-0000-0000B6020000}"/>
    <cellStyle name="Estilo 1 21_Enlaces" xfId="777" xr:uid="{00000000-0005-0000-0000-0000B7020000}"/>
    <cellStyle name="Estilo 1 22" xfId="778" xr:uid="{00000000-0005-0000-0000-0000B8020000}"/>
    <cellStyle name="Estilo 1 22 2" xfId="779" xr:uid="{00000000-0005-0000-0000-0000B9020000}"/>
    <cellStyle name="Estilo 1 22_Enlaces" xfId="780" xr:uid="{00000000-0005-0000-0000-0000BA020000}"/>
    <cellStyle name="Estilo 1 23" xfId="781" xr:uid="{00000000-0005-0000-0000-0000BB020000}"/>
    <cellStyle name="Estilo 1 23 2" xfId="782" xr:uid="{00000000-0005-0000-0000-0000BC020000}"/>
    <cellStyle name="Estilo 1 23_Enlaces" xfId="783" xr:uid="{00000000-0005-0000-0000-0000BD020000}"/>
    <cellStyle name="Estilo 1 24" xfId="784" xr:uid="{00000000-0005-0000-0000-0000BE020000}"/>
    <cellStyle name="Estilo 1 24 2" xfId="785" xr:uid="{00000000-0005-0000-0000-0000BF020000}"/>
    <cellStyle name="Estilo 1 24_Enlaces" xfId="786" xr:uid="{00000000-0005-0000-0000-0000C0020000}"/>
    <cellStyle name="Estilo 1 25" xfId="787" xr:uid="{00000000-0005-0000-0000-0000C1020000}"/>
    <cellStyle name="Estilo 1 25 2" xfId="788" xr:uid="{00000000-0005-0000-0000-0000C2020000}"/>
    <cellStyle name="Estilo 1 25_Enlaces" xfId="789" xr:uid="{00000000-0005-0000-0000-0000C3020000}"/>
    <cellStyle name="Estilo 1 26" xfId="790" xr:uid="{00000000-0005-0000-0000-0000C4020000}"/>
    <cellStyle name="Estilo 1 26 2" xfId="791" xr:uid="{00000000-0005-0000-0000-0000C5020000}"/>
    <cellStyle name="Estilo 1 26_Enlaces" xfId="792" xr:uid="{00000000-0005-0000-0000-0000C6020000}"/>
    <cellStyle name="Estilo 1 27" xfId="793" xr:uid="{00000000-0005-0000-0000-0000C7020000}"/>
    <cellStyle name="Estilo 1 27 2" xfId="794" xr:uid="{00000000-0005-0000-0000-0000C8020000}"/>
    <cellStyle name="Estilo 1 27_Enlaces" xfId="795" xr:uid="{00000000-0005-0000-0000-0000C9020000}"/>
    <cellStyle name="Estilo 1 28" xfId="796" xr:uid="{00000000-0005-0000-0000-0000CA020000}"/>
    <cellStyle name="Estilo 1 29" xfId="797" xr:uid="{00000000-0005-0000-0000-0000CB020000}"/>
    <cellStyle name="Estilo 1 3" xfId="798" xr:uid="{00000000-0005-0000-0000-0000CC020000}"/>
    <cellStyle name="Estilo 1 3 2" xfId="799" xr:uid="{00000000-0005-0000-0000-0000CD020000}"/>
    <cellStyle name="Estilo 1 3 3" xfId="800" xr:uid="{00000000-0005-0000-0000-0000CE020000}"/>
    <cellStyle name="Estilo 1 3_Enlaces" xfId="801" xr:uid="{00000000-0005-0000-0000-0000CF020000}"/>
    <cellStyle name="Estilo 1 30" xfId="802" xr:uid="{00000000-0005-0000-0000-0000D0020000}"/>
    <cellStyle name="Estilo 1 31" xfId="803" xr:uid="{00000000-0005-0000-0000-0000D1020000}"/>
    <cellStyle name="Estilo 1 32" xfId="804" xr:uid="{00000000-0005-0000-0000-0000D2020000}"/>
    <cellStyle name="Estilo 1 33" xfId="805" xr:uid="{00000000-0005-0000-0000-0000D3020000}"/>
    <cellStyle name="Estilo 1 34" xfId="806" xr:uid="{00000000-0005-0000-0000-0000D4020000}"/>
    <cellStyle name="Estilo 1 35" xfId="807" xr:uid="{00000000-0005-0000-0000-0000D5020000}"/>
    <cellStyle name="Estilo 1 36" xfId="808" xr:uid="{00000000-0005-0000-0000-0000D6020000}"/>
    <cellStyle name="Estilo 1 37" xfId="809" xr:uid="{00000000-0005-0000-0000-0000D7020000}"/>
    <cellStyle name="Estilo 1 38" xfId="810" xr:uid="{00000000-0005-0000-0000-0000D8020000}"/>
    <cellStyle name="Estilo 1 39" xfId="811" xr:uid="{00000000-0005-0000-0000-0000D9020000}"/>
    <cellStyle name="Estilo 1 4" xfId="812" xr:uid="{00000000-0005-0000-0000-0000DA020000}"/>
    <cellStyle name="Estilo 1 4 2" xfId="813" xr:uid="{00000000-0005-0000-0000-0000DB020000}"/>
    <cellStyle name="Estilo 1 4 3" xfId="814" xr:uid="{00000000-0005-0000-0000-0000DC020000}"/>
    <cellStyle name="Estilo 1 4_Enlaces" xfId="815" xr:uid="{00000000-0005-0000-0000-0000DD020000}"/>
    <cellStyle name="Estilo 1 40" xfId="816" xr:uid="{00000000-0005-0000-0000-0000DE020000}"/>
    <cellStyle name="Estilo 1 41" xfId="817" xr:uid="{00000000-0005-0000-0000-0000DF020000}"/>
    <cellStyle name="Estilo 1 42" xfId="818" xr:uid="{00000000-0005-0000-0000-0000E0020000}"/>
    <cellStyle name="Estilo 1 43" xfId="819" xr:uid="{00000000-0005-0000-0000-0000E1020000}"/>
    <cellStyle name="Estilo 1 44" xfId="820" xr:uid="{00000000-0005-0000-0000-0000E2020000}"/>
    <cellStyle name="Estilo 1 45" xfId="821" xr:uid="{00000000-0005-0000-0000-0000E3020000}"/>
    <cellStyle name="Estilo 1 46" xfId="822" xr:uid="{00000000-0005-0000-0000-0000E4020000}"/>
    <cellStyle name="Estilo 1 47" xfId="823" xr:uid="{00000000-0005-0000-0000-0000E5020000}"/>
    <cellStyle name="Estilo 1 48" xfId="824" xr:uid="{00000000-0005-0000-0000-0000E6020000}"/>
    <cellStyle name="Estilo 1 49" xfId="825" xr:uid="{00000000-0005-0000-0000-0000E7020000}"/>
    <cellStyle name="Estilo 1 5" xfId="826" xr:uid="{00000000-0005-0000-0000-0000E8020000}"/>
    <cellStyle name="Estilo 1 5 2" xfId="827" xr:uid="{00000000-0005-0000-0000-0000E9020000}"/>
    <cellStyle name="Estilo 1 5 3" xfId="828" xr:uid="{00000000-0005-0000-0000-0000EA020000}"/>
    <cellStyle name="Estilo 1 5_Enlaces" xfId="829" xr:uid="{00000000-0005-0000-0000-0000EB020000}"/>
    <cellStyle name="Estilo 1 50" xfId="830" xr:uid="{00000000-0005-0000-0000-0000EC020000}"/>
    <cellStyle name="Estilo 1 51" xfId="831" xr:uid="{00000000-0005-0000-0000-0000ED020000}"/>
    <cellStyle name="Estilo 1 52" xfId="832" xr:uid="{00000000-0005-0000-0000-0000EE020000}"/>
    <cellStyle name="Estilo 1 53" xfId="833" xr:uid="{00000000-0005-0000-0000-0000EF020000}"/>
    <cellStyle name="Estilo 1 54" xfId="834" xr:uid="{00000000-0005-0000-0000-0000F0020000}"/>
    <cellStyle name="Estilo 1 55" xfId="835" xr:uid="{00000000-0005-0000-0000-0000F1020000}"/>
    <cellStyle name="Estilo 1 56" xfId="836" xr:uid="{00000000-0005-0000-0000-0000F2020000}"/>
    <cellStyle name="Estilo 1 57" xfId="837" xr:uid="{00000000-0005-0000-0000-0000F3020000}"/>
    <cellStyle name="Estilo 1 57 2" xfId="838" xr:uid="{00000000-0005-0000-0000-0000F4020000}"/>
    <cellStyle name="Estilo 1 57 3" xfId="839" xr:uid="{00000000-0005-0000-0000-0000F5020000}"/>
    <cellStyle name="Estilo 1 57 4" xfId="840" xr:uid="{00000000-0005-0000-0000-0000F6020000}"/>
    <cellStyle name="Estilo 1 57 5" xfId="841" xr:uid="{00000000-0005-0000-0000-0000F7020000}"/>
    <cellStyle name="Estilo 1 57 6" xfId="842" xr:uid="{00000000-0005-0000-0000-0000F8020000}"/>
    <cellStyle name="Estilo 1 58" xfId="843" xr:uid="{00000000-0005-0000-0000-0000F9020000}"/>
    <cellStyle name="Estilo 1 58 2" xfId="844" xr:uid="{00000000-0005-0000-0000-0000FA020000}"/>
    <cellStyle name="Estilo 1 58 3" xfId="845" xr:uid="{00000000-0005-0000-0000-0000FB020000}"/>
    <cellStyle name="Estilo 1 58 4" xfId="846" xr:uid="{00000000-0005-0000-0000-0000FC020000}"/>
    <cellStyle name="Estilo 1 58 5" xfId="847" xr:uid="{00000000-0005-0000-0000-0000FD020000}"/>
    <cellStyle name="Estilo 1 58 6" xfId="848" xr:uid="{00000000-0005-0000-0000-0000FE020000}"/>
    <cellStyle name="Estilo 1 59" xfId="849" xr:uid="{00000000-0005-0000-0000-0000FF020000}"/>
    <cellStyle name="Estilo 1 59 2" xfId="850" xr:uid="{00000000-0005-0000-0000-000000030000}"/>
    <cellStyle name="Estilo 1 59 3" xfId="851" xr:uid="{00000000-0005-0000-0000-000001030000}"/>
    <cellStyle name="Estilo 1 6" xfId="852" xr:uid="{00000000-0005-0000-0000-000002030000}"/>
    <cellStyle name="Estilo 1 6 2" xfId="853" xr:uid="{00000000-0005-0000-0000-000003030000}"/>
    <cellStyle name="Estilo 1 6 3" xfId="854" xr:uid="{00000000-0005-0000-0000-000004030000}"/>
    <cellStyle name="Estilo 1 6_Enlaces" xfId="855" xr:uid="{00000000-0005-0000-0000-000005030000}"/>
    <cellStyle name="Estilo 1 60" xfId="856" xr:uid="{00000000-0005-0000-0000-000006030000}"/>
    <cellStyle name="Estilo 1 60 2" xfId="857" xr:uid="{00000000-0005-0000-0000-000007030000}"/>
    <cellStyle name="Estilo 1 60 3" xfId="858" xr:uid="{00000000-0005-0000-0000-000008030000}"/>
    <cellStyle name="Estilo 1 61" xfId="859" xr:uid="{00000000-0005-0000-0000-000009030000}"/>
    <cellStyle name="Estilo 1 61 2" xfId="860" xr:uid="{00000000-0005-0000-0000-00000A030000}"/>
    <cellStyle name="Estilo 1 61 3" xfId="861" xr:uid="{00000000-0005-0000-0000-00000B030000}"/>
    <cellStyle name="Estilo 1 62" xfId="862" xr:uid="{00000000-0005-0000-0000-00000C030000}"/>
    <cellStyle name="Estilo 1 62 2" xfId="863" xr:uid="{00000000-0005-0000-0000-00000D030000}"/>
    <cellStyle name="Estilo 1 62 3" xfId="864" xr:uid="{00000000-0005-0000-0000-00000E030000}"/>
    <cellStyle name="Estilo 1 63" xfId="865" xr:uid="{00000000-0005-0000-0000-00000F030000}"/>
    <cellStyle name="Estilo 1 63 2" xfId="866" xr:uid="{00000000-0005-0000-0000-000010030000}"/>
    <cellStyle name="Estilo 1 63 3" xfId="867" xr:uid="{00000000-0005-0000-0000-000011030000}"/>
    <cellStyle name="Estilo 1 64" xfId="868" xr:uid="{00000000-0005-0000-0000-000012030000}"/>
    <cellStyle name="Estilo 1 64 2" xfId="869" xr:uid="{00000000-0005-0000-0000-000013030000}"/>
    <cellStyle name="Estilo 1 64 3" xfId="870" xr:uid="{00000000-0005-0000-0000-000014030000}"/>
    <cellStyle name="Estilo 1 65" xfId="871" xr:uid="{00000000-0005-0000-0000-000015030000}"/>
    <cellStyle name="Estilo 1 65 2" xfId="872" xr:uid="{00000000-0005-0000-0000-000016030000}"/>
    <cellStyle name="Estilo 1 65 3" xfId="873" xr:uid="{00000000-0005-0000-0000-000017030000}"/>
    <cellStyle name="Estilo 1 66" xfId="874" xr:uid="{00000000-0005-0000-0000-000018030000}"/>
    <cellStyle name="Estilo 1 66 2" xfId="875" xr:uid="{00000000-0005-0000-0000-000019030000}"/>
    <cellStyle name="Estilo 1 66 3" xfId="876" xr:uid="{00000000-0005-0000-0000-00001A030000}"/>
    <cellStyle name="Estilo 1 67" xfId="877" xr:uid="{00000000-0005-0000-0000-00001B030000}"/>
    <cellStyle name="Estilo 1 67 2" xfId="878" xr:uid="{00000000-0005-0000-0000-00001C030000}"/>
    <cellStyle name="Estilo 1 67 3" xfId="879" xr:uid="{00000000-0005-0000-0000-00001D030000}"/>
    <cellStyle name="Estilo 1 68" xfId="880" xr:uid="{00000000-0005-0000-0000-00001E030000}"/>
    <cellStyle name="Estilo 1 68 2" xfId="881" xr:uid="{00000000-0005-0000-0000-00001F030000}"/>
    <cellStyle name="Estilo 1 68 3" xfId="882" xr:uid="{00000000-0005-0000-0000-000020030000}"/>
    <cellStyle name="Estilo 1 69" xfId="883" xr:uid="{00000000-0005-0000-0000-000021030000}"/>
    <cellStyle name="Estilo 1 69 2" xfId="884" xr:uid="{00000000-0005-0000-0000-000022030000}"/>
    <cellStyle name="Estilo 1 69 3" xfId="885" xr:uid="{00000000-0005-0000-0000-000023030000}"/>
    <cellStyle name="Estilo 1 7" xfId="886" xr:uid="{00000000-0005-0000-0000-000024030000}"/>
    <cellStyle name="Estilo 1 7 2" xfId="887" xr:uid="{00000000-0005-0000-0000-000025030000}"/>
    <cellStyle name="Estilo 1 7 3" xfId="888" xr:uid="{00000000-0005-0000-0000-000026030000}"/>
    <cellStyle name="Estilo 1 7_Enlaces" xfId="889" xr:uid="{00000000-0005-0000-0000-000027030000}"/>
    <cellStyle name="Estilo 1 70" xfId="890" xr:uid="{00000000-0005-0000-0000-000028030000}"/>
    <cellStyle name="Estilo 1 70 2" xfId="891" xr:uid="{00000000-0005-0000-0000-000029030000}"/>
    <cellStyle name="Estilo 1 70 3" xfId="892" xr:uid="{00000000-0005-0000-0000-00002A030000}"/>
    <cellStyle name="Estilo 1 71" xfId="893" xr:uid="{00000000-0005-0000-0000-00002B030000}"/>
    <cellStyle name="Estilo 1 71 2" xfId="894" xr:uid="{00000000-0005-0000-0000-00002C030000}"/>
    <cellStyle name="Estilo 1 71 3" xfId="895" xr:uid="{00000000-0005-0000-0000-00002D030000}"/>
    <cellStyle name="Estilo 1 72" xfId="896" xr:uid="{00000000-0005-0000-0000-00002E030000}"/>
    <cellStyle name="Estilo 1 72 2" xfId="897" xr:uid="{00000000-0005-0000-0000-00002F030000}"/>
    <cellStyle name="Estilo 1 72 3" xfId="898" xr:uid="{00000000-0005-0000-0000-000030030000}"/>
    <cellStyle name="Estilo 1 73" xfId="899" xr:uid="{00000000-0005-0000-0000-000031030000}"/>
    <cellStyle name="Estilo 1 73 2" xfId="900" xr:uid="{00000000-0005-0000-0000-000032030000}"/>
    <cellStyle name="Estilo 1 73 3" xfId="901" xr:uid="{00000000-0005-0000-0000-000033030000}"/>
    <cellStyle name="Estilo 1 74" xfId="902" xr:uid="{00000000-0005-0000-0000-000034030000}"/>
    <cellStyle name="Estilo 1 74 2" xfId="903" xr:uid="{00000000-0005-0000-0000-000035030000}"/>
    <cellStyle name="Estilo 1 74 3" xfId="904" xr:uid="{00000000-0005-0000-0000-000036030000}"/>
    <cellStyle name="Estilo 1 75" xfId="905" xr:uid="{00000000-0005-0000-0000-000037030000}"/>
    <cellStyle name="Estilo 1 75 2" xfId="906" xr:uid="{00000000-0005-0000-0000-000038030000}"/>
    <cellStyle name="Estilo 1 75 3" xfId="907" xr:uid="{00000000-0005-0000-0000-000039030000}"/>
    <cellStyle name="Estilo 1 76" xfId="908" xr:uid="{00000000-0005-0000-0000-00003A030000}"/>
    <cellStyle name="Estilo 1 76 2" xfId="909" xr:uid="{00000000-0005-0000-0000-00003B030000}"/>
    <cellStyle name="Estilo 1 76 3" xfId="910" xr:uid="{00000000-0005-0000-0000-00003C030000}"/>
    <cellStyle name="Estilo 1 77" xfId="911" xr:uid="{00000000-0005-0000-0000-00003D030000}"/>
    <cellStyle name="Estilo 1 77 2" xfId="912" xr:uid="{00000000-0005-0000-0000-00003E030000}"/>
    <cellStyle name="Estilo 1 77 3" xfId="913" xr:uid="{00000000-0005-0000-0000-00003F030000}"/>
    <cellStyle name="Estilo 1 78" xfId="914" xr:uid="{00000000-0005-0000-0000-000040030000}"/>
    <cellStyle name="Estilo 1 78 2" xfId="915" xr:uid="{00000000-0005-0000-0000-000041030000}"/>
    <cellStyle name="Estilo 1 78 3" xfId="916" xr:uid="{00000000-0005-0000-0000-000042030000}"/>
    <cellStyle name="Estilo 1 79" xfId="917" xr:uid="{00000000-0005-0000-0000-000043030000}"/>
    <cellStyle name="Estilo 1 79 2" xfId="918" xr:uid="{00000000-0005-0000-0000-000044030000}"/>
    <cellStyle name="Estilo 1 79 3" xfId="919" xr:uid="{00000000-0005-0000-0000-000045030000}"/>
    <cellStyle name="Estilo 1 8" xfId="920" xr:uid="{00000000-0005-0000-0000-000046030000}"/>
    <cellStyle name="Estilo 1 8 2" xfId="921" xr:uid="{00000000-0005-0000-0000-000047030000}"/>
    <cellStyle name="Estilo 1 8 3" xfId="922" xr:uid="{00000000-0005-0000-0000-000048030000}"/>
    <cellStyle name="Estilo 1 8_Enlaces" xfId="923" xr:uid="{00000000-0005-0000-0000-000049030000}"/>
    <cellStyle name="Estilo 1 80" xfId="924" xr:uid="{00000000-0005-0000-0000-00004A030000}"/>
    <cellStyle name="Estilo 1 80 2" xfId="925" xr:uid="{00000000-0005-0000-0000-00004B030000}"/>
    <cellStyle name="Estilo 1 80 3" xfId="926" xr:uid="{00000000-0005-0000-0000-00004C030000}"/>
    <cellStyle name="Estilo 1 81" xfId="927" xr:uid="{00000000-0005-0000-0000-00004D030000}"/>
    <cellStyle name="Estilo 1 81 2" xfId="928" xr:uid="{00000000-0005-0000-0000-00004E030000}"/>
    <cellStyle name="Estilo 1 81 3" xfId="929" xr:uid="{00000000-0005-0000-0000-00004F030000}"/>
    <cellStyle name="Estilo 1 82" xfId="930" xr:uid="{00000000-0005-0000-0000-000050030000}"/>
    <cellStyle name="Estilo 1 82 2" xfId="931" xr:uid="{00000000-0005-0000-0000-000051030000}"/>
    <cellStyle name="Estilo 1 82 3" xfId="932" xr:uid="{00000000-0005-0000-0000-000052030000}"/>
    <cellStyle name="Estilo 1 83" xfId="933" xr:uid="{00000000-0005-0000-0000-000053030000}"/>
    <cellStyle name="Estilo 1 84" xfId="934" xr:uid="{00000000-0005-0000-0000-000054030000}"/>
    <cellStyle name="Estilo 1 85" xfId="935" xr:uid="{00000000-0005-0000-0000-000055030000}"/>
    <cellStyle name="Estilo 1 86" xfId="936" xr:uid="{00000000-0005-0000-0000-000056030000}"/>
    <cellStyle name="Estilo 1 87" xfId="937" xr:uid="{00000000-0005-0000-0000-000057030000}"/>
    <cellStyle name="Estilo 1 88" xfId="938" xr:uid="{00000000-0005-0000-0000-000058030000}"/>
    <cellStyle name="Estilo 1 89" xfId="939" xr:uid="{00000000-0005-0000-0000-000059030000}"/>
    <cellStyle name="Estilo 1 9" xfId="940" xr:uid="{00000000-0005-0000-0000-00005A030000}"/>
    <cellStyle name="Estilo 1 9 2" xfId="941" xr:uid="{00000000-0005-0000-0000-00005B030000}"/>
    <cellStyle name="Estilo 1 9 3" xfId="942" xr:uid="{00000000-0005-0000-0000-00005C030000}"/>
    <cellStyle name="Estilo 1 9_Enlaces" xfId="943" xr:uid="{00000000-0005-0000-0000-00005D030000}"/>
    <cellStyle name="Estilo 1 90" xfId="944" xr:uid="{00000000-0005-0000-0000-00005E030000}"/>
    <cellStyle name="Estilo 1 90 2" xfId="945" xr:uid="{00000000-0005-0000-0000-00005F030000}"/>
    <cellStyle name="Estilo 1 91" xfId="946" xr:uid="{00000000-0005-0000-0000-000060030000}"/>
    <cellStyle name="Estilo 1 91 2" xfId="947" xr:uid="{00000000-0005-0000-0000-000061030000}"/>
    <cellStyle name="Estilo 1 92" xfId="948" xr:uid="{00000000-0005-0000-0000-000062030000}"/>
    <cellStyle name="Estilo 1 92 2" xfId="949" xr:uid="{00000000-0005-0000-0000-000063030000}"/>
    <cellStyle name="Estilo 1 93" xfId="950" xr:uid="{00000000-0005-0000-0000-000064030000}"/>
    <cellStyle name="Estilo 1 93 2" xfId="951" xr:uid="{00000000-0005-0000-0000-000065030000}"/>
    <cellStyle name="Estilo 1 94" xfId="952" xr:uid="{00000000-0005-0000-0000-000066030000}"/>
    <cellStyle name="Estilo 1 94 2" xfId="953" xr:uid="{00000000-0005-0000-0000-000067030000}"/>
    <cellStyle name="Estilo 1 95" xfId="954" xr:uid="{00000000-0005-0000-0000-000068030000}"/>
    <cellStyle name="Estilo 1 95 2" xfId="955" xr:uid="{00000000-0005-0000-0000-000069030000}"/>
    <cellStyle name="Estilo 1 96" xfId="956" xr:uid="{00000000-0005-0000-0000-00006A030000}"/>
    <cellStyle name="Estilo 1 96 2" xfId="957" xr:uid="{00000000-0005-0000-0000-00006B030000}"/>
    <cellStyle name="Estilo 1 97" xfId="958" xr:uid="{00000000-0005-0000-0000-00006C030000}"/>
    <cellStyle name="Estilo 1 97 2" xfId="959" xr:uid="{00000000-0005-0000-0000-00006D030000}"/>
    <cellStyle name="Estilo 1 98" xfId="960" xr:uid="{00000000-0005-0000-0000-00006E030000}"/>
    <cellStyle name="Estilo 1 98 2" xfId="961" xr:uid="{00000000-0005-0000-0000-00006F030000}"/>
    <cellStyle name="Estilo 1 99" xfId="962" xr:uid="{00000000-0005-0000-0000-000070030000}"/>
    <cellStyle name="Estilo 1 99 2" xfId="963" xr:uid="{00000000-0005-0000-0000-000071030000}"/>
    <cellStyle name="Estilo 1_Enlaces" xfId="964" xr:uid="{00000000-0005-0000-0000-000072030000}"/>
    <cellStyle name="Euro" xfId="965" xr:uid="{00000000-0005-0000-0000-000073030000}"/>
    <cellStyle name="Euro 10" xfId="966" xr:uid="{00000000-0005-0000-0000-000074030000}"/>
    <cellStyle name="Euro 11" xfId="967" xr:uid="{00000000-0005-0000-0000-000075030000}"/>
    <cellStyle name="Euro 12" xfId="968" xr:uid="{00000000-0005-0000-0000-000076030000}"/>
    <cellStyle name="Euro 13" xfId="969" xr:uid="{00000000-0005-0000-0000-000077030000}"/>
    <cellStyle name="Euro 14" xfId="970" xr:uid="{00000000-0005-0000-0000-000078030000}"/>
    <cellStyle name="Euro 15" xfId="971" xr:uid="{00000000-0005-0000-0000-000079030000}"/>
    <cellStyle name="Euro 16" xfId="972" xr:uid="{00000000-0005-0000-0000-00007A030000}"/>
    <cellStyle name="Euro 17" xfId="973" xr:uid="{00000000-0005-0000-0000-00007B030000}"/>
    <cellStyle name="Euro 18" xfId="974" xr:uid="{00000000-0005-0000-0000-00007C030000}"/>
    <cellStyle name="Euro 19" xfId="975" xr:uid="{00000000-0005-0000-0000-00007D030000}"/>
    <cellStyle name="Euro 2" xfId="976" xr:uid="{00000000-0005-0000-0000-00007E030000}"/>
    <cellStyle name="Euro 2 2" xfId="977" xr:uid="{00000000-0005-0000-0000-00007F030000}"/>
    <cellStyle name="Euro 20" xfId="978" xr:uid="{00000000-0005-0000-0000-000080030000}"/>
    <cellStyle name="Euro 21" xfId="979" xr:uid="{00000000-0005-0000-0000-000081030000}"/>
    <cellStyle name="Euro 3" xfId="980" xr:uid="{00000000-0005-0000-0000-000082030000}"/>
    <cellStyle name="Euro 4" xfId="981" xr:uid="{00000000-0005-0000-0000-000083030000}"/>
    <cellStyle name="Euro 5" xfId="982" xr:uid="{00000000-0005-0000-0000-000084030000}"/>
    <cellStyle name="Euro 6" xfId="983" xr:uid="{00000000-0005-0000-0000-000085030000}"/>
    <cellStyle name="Euro 7" xfId="984" xr:uid="{00000000-0005-0000-0000-000086030000}"/>
    <cellStyle name="Euro 8" xfId="985" xr:uid="{00000000-0005-0000-0000-000087030000}"/>
    <cellStyle name="Euro 9" xfId="986" xr:uid="{00000000-0005-0000-0000-000088030000}"/>
    <cellStyle name="Excel Built-in Normal" xfId="9" xr:uid="{00000000-0005-0000-0000-000089030000}"/>
    <cellStyle name="Excel Built-in Normal 2" xfId="987" xr:uid="{00000000-0005-0000-0000-00008A030000}"/>
    <cellStyle name="Excel Built-in Normal 2 2" xfId="988" xr:uid="{00000000-0005-0000-0000-00008B030000}"/>
    <cellStyle name="Excel Built-in Normal 3" xfId="989" xr:uid="{00000000-0005-0000-0000-00008C030000}"/>
    <cellStyle name="Explanatory Text" xfId="990" xr:uid="{00000000-0005-0000-0000-00008D030000}"/>
    <cellStyle name="Explanatory Text 2" xfId="991" xr:uid="{00000000-0005-0000-0000-00008E030000}"/>
    <cellStyle name="Explanatory Text 3" xfId="992" xr:uid="{00000000-0005-0000-0000-00008F030000}"/>
    <cellStyle name="Explanatory Text 4" xfId="993" xr:uid="{00000000-0005-0000-0000-000090030000}"/>
    <cellStyle name="Explanatory Text 5" xfId="994" xr:uid="{00000000-0005-0000-0000-000091030000}"/>
    <cellStyle name="Good" xfId="995" xr:uid="{00000000-0005-0000-0000-000092030000}"/>
    <cellStyle name="Good 2" xfId="996" xr:uid="{00000000-0005-0000-0000-000093030000}"/>
    <cellStyle name="Good 3" xfId="997" xr:uid="{00000000-0005-0000-0000-000094030000}"/>
    <cellStyle name="Good 4" xfId="998" xr:uid="{00000000-0005-0000-0000-000095030000}"/>
    <cellStyle name="Good 5" xfId="999" xr:uid="{00000000-0005-0000-0000-000096030000}"/>
    <cellStyle name="Heading 1" xfId="1000" xr:uid="{00000000-0005-0000-0000-000097030000}"/>
    <cellStyle name="Heading 1 2" xfId="1001" xr:uid="{00000000-0005-0000-0000-000098030000}"/>
    <cellStyle name="Heading 1 3" xfId="1002" xr:uid="{00000000-0005-0000-0000-000099030000}"/>
    <cellStyle name="Heading 1 4" xfId="1003" xr:uid="{00000000-0005-0000-0000-00009A030000}"/>
    <cellStyle name="Heading 1 5" xfId="1004" xr:uid="{00000000-0005-0000-0000-00009B030000}"/>
    <cellStyle name="Heading 2" xfId="1005" xr:uid="{00000000-0005-0000-0000-00009C030000}"/>
    <cellStyle name="Heading 2 2" xfId="1006" xr:uid="{00000000-0005-0000-0000-00009D030000}"/>
    <cellStyle name="Heading 2 3" xfId="1007" xr:uid="{00000000-0005-0000-0000-00009E030000}"/>
    <cellStyle name="Heading 2 4" xfId="1008" xr:uid="{00000000-0005-0000-0000-00009F030000}"/>
    <cellStyle name="Heading 2 5" xfId="1009" xr:uid="{00000000-0005-0000-0000-0000A0030000}"/>
    <cellStyle name="Heading 3" xfId="1010" xr:uid="{00000000-0005-0000-0000-0000A1030000}"/>
    <cellStyle name="Heading 3 2" xfId="1011" xr:uid="{00000000-0005-0000-0000-0000A2030000}"/>
    <cellStyle name="Heading 3 3" xfId="1012" xr:uid="{00000000-0005-0000-0000-0000A3030000}"/>
    <cellStyle name="Heading 3 4" xfId="1013" xr:uid="{00000000-0005-0000-0000-0000A4030000}"/>
    <cellStyle name="Heading 3 5" xfId="1014" xr:uid="{00000000-0005-0000-0000-0000A5030000}"/>
    <cellStyle name="Heading 4" xfId="1015" xr:uid="{00000000-0005-0000-0000-0000A6030000}"/>
    <cellStyle name="Heading 4 2" xfId="1016" xr:uid="{00000000-0005-0000-0000-0000A7030000}"/>
    <cellStyle name="Heading 4 3" xfId="1017" xr:uid="{00000000-0005-0000-0000-0000A8030000}"/>
    <cellStyle name="Heading 4 4" xfId="1018" xr:uid="{00000000-0005-0000-0000-0000A9030000}"/>
    <cellStyle name="Heading 4 5" xfId="1019" xr:uid="{00000000-0005-0000-0000-0000AA030000}"/>
    <cellStyle name="Hipervínculo 2" xfId="1020" xr:uid="{00000000-0005-0000-0000-0000AB030000}"/>
    <cellStyle name="Hipervínculo 2 2" xfId="1021" xr:uid="{00000000-0005-0000-0000-0000AC030000}"/>
    <cellStyle name="Hipervínculo 3" xfId="1022" xr:uid="{00000000-0005-0000-0000-0000AD030000}"/>
    <cellStyle name="Hipervínculo 3 2" xfId="1023" xr:uid="{00000000-0005-0000-0000-0000AE030000}"/>
    <cellStyle name="Hipervínculo 4" xfId="1024" xr:uid="{00000000-0005-0000-0000-0000AF030000}"/>
    <cellStyle name="Hipervínculo 5" xfId="1025" xr:uid="{00000000-0005-0000-0000-0000B0030000}"/>
    <cellStyle name="Hipervínculo 6" xfId="1026" xr:uid="{00000000-0005-0000-0000-0000B1030000}"/>
    <cellStyle name="Hyperlink" xfId="43" xr:uid="{00000000-0005-0000-0000-0000B2030000}"/>
    <cellStyle name="Incorrecto 2" xfId="1027" xr:uid="{00000000-0005-0000-0000-0000B3030000}"/>
    <cellStyle name="Incorrecto 2 2" xfId="1028" xr:uid="{00000000-0005-0000-0000-0000B4030000}"/>
    <cellStyle name="Incorrecto 3" xfId="1029" xr:uid="{00000000-0005-0000-0000-0000B5030000}"/>
    <cellStyle name="Incorrecto 4" xfId="1030" xr:uid="{00000000-0005-0000-0000-0000B6030000}"/>
    <cellStyle name="Incorrecto 5" xfId="1031" xr:uid="{00000000-0005-0000-0000-0000B7030000}"/>
    <cellStyle name="Incorrecto 6" xfId="1032" xr:uid="{00000000-0005-0000-0000-0000B8030000}"/>
    <cellStyle name="Incorrecto 7" xfId="1033" xr:uid="{00000000-0005-0000-0000-0000B9030000}"/>
    <cellStyle name="Incorrecto 8" xfId="1034" xr:uid="{00000000-0005-0000-0000-0000BA030000}"/>
    <cellStyle name="Input" xfId="1035" xr:uid="{00000000-0005-0000-0000-0000BB030000}"/>
    <cellStyle name="Input 2" xfId="1036" xr:uid="{00000000-0005-0000-0000-0000BC030000}"/>
    <cellStyle name="Input 3" xfId="1037" xr:uid="{00000000-0005-0000-0000-0000BD030000}"/>
    <cellStyle name="Input 4" xfId="1038" xr:uid="{00000000-0005-0000-0000-0000BE030000}"/>
    <cellStyle name="Input 5" xfId="1039" xr:uid="{00000000-0005-0000-0000-0000BF030000}"/>
    <cellStyle name="Linked Cell" xfId="1040" xr:uid="{00000000-0005-0000-0000-0000C0030000}"/>
    <cellStyle name="Linked Cell 2" xfId="1041" xr:uid="{00000000-0005-0000-0000-0000C1030000}"/>
    <cellStyle name="Linked Cell 3" xfId="1042" xr:uid="{00000000-0005-0000-0000-0000C2030000}"/>
    <cellStyle name="Linked Cell 4" xfId="1043" xr:uid="{00000000-0005-0000-0000-0000C3030000}"/>
    <cellStyle name="Linked Cell 5" xfId="1044" xr:uid="{00000000-0005-0000-0000-0000C4030000}"/>
    <cellStyle name="Millares 10" xfId="1045" xr:uid="{00000000-0005-0000-0000-0000C5030000}"/>
    <cellStyle name="Millares 10 10" xfId="1046" xr:uid="{00000000-0005-0000-0000-0000C6030000}"/>
    <cellStyle name="Millares 10 11" xfId="1047" xr:uid="{00000000-0005-0000-0000-0000C7030000}"/>
    <cellStyle name="Millares 10 12" xfId="1048" xr:uid="{00000000-0005-0000-0000-0000C8030000}"/>
    <cellStyle name="Millares 10 13" xfId="1049" xr:uid="{00000000-0005-0000-0000-0000C9030000}"/>
    <cellStyle name="Millares 10 14" xfId="1050" xr:uid="{00000000-0005-0000-0000-0000CA030000}"/>
    <cellStyle name="Millares 10 15" xfId="1051" xr:uid="{00000000-0005-0000-0000-0000CB030000}"/>
    <cellStyle name="Millares 10 16" xfId="1052" xr:uid="{00000000-0005-0000-0000-0000CC030000}"/>
    <cellStyle name="Millares 10 17" xfId="1053" xr:uid="{00000000-0005-0000-0000-0000CD030000}"/>
    <cellStyle name="Millares 10 18" xfId="1054" xr:uid="{00000000-0005-0000-0000-0000CE030000}"/>
    <cellStyle name="Millares 10 19" xfId="1055" xr:uid="{00000000-0005-0000-0000-0000CF030000}"/>
    <cellStyle name="Millares 10 2" xfId="1056" xr:uid="{00000000-0005-0000-0000-0000D0030000}"/>
    <cellStyle name="Millares 10 2 2" xfId="1057" xr:uid="{00000000-0005-0000-0000-0000D1030000}"/>
    <cellStyle name="Millares 10 2 3" xfId="1058" xr:uid="{00000000-0005-0000-0000-0000D2030000}"/>
    <cellStyle name="Millares 10 20" xfId="1059" xr:uid="{00000000-0005-0000-0000-0000D3030000}"/>
    <cellStyle name="Millares 10 21" xfId="1060" xr:uid="{00000000-0005-0000-0000-0000D4030000}"/>
    <cellStyle name="Millares 10 22" xfId="1061" xr:uid="{00000000-0005-0000-0000-0000D5030000}"/>
    <cellStyle name="Millares 10 23" xfId="1062" xr:uid="{00000000-0005-0000-0000-0000D6030000}"/>
    <cellStyle name="Millares 10 24" xfId="1063" xr:uid="{00000000-0005-0000-0000-0000D7030000}"/>
    <cellStyle name="Millares 10 25" xfId="1064" xr:uid="{00000000-0005-0000-0000-0000D8030000}"/>
    <cellStyle name="Millares 10 3" xfId="1065" xr:uid="{00000000-0005-0000-0000-0000D9030000}"/>
    <cellStyle name="Millares 10 3 2" xfId="1066" xr:uid="{00000000-0005-0000-0000-0000DA030000}"/>
    <cellStyle name="Millares 10 3 3" xfId="1067" xr:uid="{00000000-0005-0000-0000-0000DB030000}"/>
    <cellStyle name="Millares 10 4" xfId="1068" xr:uid="{00000000-0005-0000-0000-0000DC030000}"/>
    <cellStyle name="Millares 10 5" xfId="1069" xr:uid="{00000000-0005-0000-0000-0000DD030000}"/>
    <cellStyle name="Millares 10 6" xfId="1070" xr:uid="{00000000-0005-0000-0000-0000DE030000}"/>
    <cellStyle name="Millares 10 7" xfId="1071" xr:uid="{00000000-0005-0000-0000-0000DF030000}"/>
    <cellStyle name="Millares 10 8" xfId="1072" xr:uid="{00000000-0005-0000-0000-0000E0030000}"/>
    <cellStyle name="Millares 10 9" xfId="1073" xr:uid="{00000000-0005-0000-0000-0000E1030000}"/>
    <cellStyle name="Millares 11" xfId="1074" xr:uid="{00000000-0005-0000-0000-0000E2030000}"/>
    <cellStyle name="Millares 11 2" xfId="1075" xr:uid="{00000000-0005-0000-0000-0000E3030000}"/>
    <cellStyle name="Millares 12" xfId="1076" xr:uid="{00000000-0005-0000-0000-0000E4030000}"/>
    <cellStyle name="Millares 12 2" xfId="1077" xr:uid="{00000000-0005-0000-0000-0000E5030000}"/>
    <cellStyle name="Millares 13" xfId="1078" xr:uid="{00000000-0005-0000-0000-0000E6030000}"/>
    <cellStyle name="Millares 13 2" xfId="1079" xr:uid="{00000000-0005-0000-0000-0000E7030000}"/>
    <cellStyle name="Millares 14" xfId="1080" xr:uid="{00000000-0005-0000-0000-0000E8030000}"/>
    <cellStyle name="Millares 15" xfId="1081" xr:uid="{00000000-0005-0000-0000-0000E9030000}"/>
    <cellStyle name="Millares 15 2" xfId="1082" xr:uid="{00000000-0005-0000-0000-0000EA030000}"/>
    <cellStyle name="Millares 16" xfId="1083" xr:uid="{00000000-0005-0000-0000-0000EB030000}"/>
    <cellStyle name="Millares 16 2" xfId="1084" xr:uid="{00000000-0005-0000-0000-0000EC030000}"/>
    <cellStyle name="Millares 17" xfId="1085" xr:uid="{00000000-0005-0000-0000-0000ED030000}"/>
    <cellStyle name="Millares 17 2" xfId="1086" xr:uid="{00000000-0005-0000-0000-0000EE030000}"/>
    <cellStyle name="Millares 18" xfId="1087" xr:uid="{00000000-0005-0000-0000-0000EF030000}"/>
    <cellStyle name="Millares 19" xfId="1088" xr:uid="{00000000-0005-0000-0000-0000F0030000}"/>
    <cellStyle name="Millares 19 2" xfId="1089" xr:uid="{00000000-0005-0000-0000-0000F1030000}"/>
    <cellStyle name="Millares 19 3" xfId="1090" xr:uid="{00000000-0005-0000-0000-0000F2030000}"/>
    <cellStyle name="Millares 2" xfId="17" xr:uid="{00000000-0005-0000-0000-0000F3030000}"/>
    <cellStyle name="Millares 2 10" xfId="1092" xr:uid="{00000000-0005-0000-0000-0000F4030000}"/>
    <cellStyle name="Millares 2 10 2" xfId="1093" xr:uid="{00000000-0005-0000-0000-0000F5030000}"/>
    <cellStyle name="Millares 2 10 3" xfId="1094" xr:uid="{00000000-0005-0000-0000-0000F6030000}"/>
    <cellStyle name="Millares 2 11" xfId="1095" xr:uid="{00000000-0005-0000-0000-0000F7030000}"/>
    <cellStyle name="Millares 2 12" xfId="1096" xr:uid="{00000000-0005-0000-0000-0000F8030000}"/>
    <cellStyle name="Millares 2 13" xfId="1097" xr:uid="{00000000-0005-0000-0000-0000F9030000}"/>
    <cellStyle name="Millares 2 13 2" xfId="1098" xr:uid="{00000000-0005-0000-0000-0000FA030000}"/>
    <cellStyle name="Millares 2 13 2 2" xfId="1099" xr:uid="{00000000-0005-0000-0000-0000FB030000}"/>
    <cellStyle name="Millares 2 14" xfId="1100" xr:uid="{00000000-0005-0000-0000-0000FC030000}"/>
    <cellStyle name="Millares 2 14 2" xfId="1101" xr:uid="{00000000-0005-0000-0000-0000FD030000}"/>
    <cellStyle name="Millares 2 14 3" xfId="1102" xr:uid="{00000000-0005-0000-0000-0000FE030000}"/>
    <cellStyle name="Millares 2 15" xfId="1103" xr:uid="{00000000-0005-0000-0000-0000FF030000}"/>
    <cellStyle name="Millares 2 15 2" xfId="1104" xr:uid="{00000000-0005-0000-0000-000000040000}"/>
    <cellStyle name="Millares 2 15 3" xfId="1105" xr:uid="{00000000-0005-0000-0000-000001040000}"/>
    <cellStyle name="Millares 2 16" xfId="1106" xr:uid="{00000000-0005-0000-0000-000002040000}"/>
    <cellStyle name="Millares 2 16 2" xfId="1107" xr:uid="{00000000-0005-0000-0000-000003040000}"/>
    <cellStyle name="Millares 2 17" xfId="1108" xr:uid="{00000000-0005-0000-0000-000004040000}"/>
    <cellStyle name="Millares 2 17 2" xfId="1109" xr:uid="{00000000-0005-0000-0000-000005040000}"/>
    <cellStyle name="Millares 2 18" xfId="1110" xr:uid="{00000000-0005-0000-0000-000006040000}"/>
    <cellStyle name="Millares 2 19" xfId="1111" xr:uid="{00000000-0005-0000-0000-000007040000}"/>
    <cellStyle name="Millares 2 2" xfId="29" xr:uid="{00000000-0005-0000-0000-000008040000}"/>
    <cellStyle name="Millares 2 2 10" xfId="1113" xr:uid="{00000000-0005-0000-0000-000009040000}"/>
    <cellStyle name="Millares 2 2 11" xfId="1114" xr:uid="{00000000-0005-0000-0000-00000A040000}"/>
    <cellStyle name="Millares 2 2 12" xfId="1115" xr:uid="{00000000-0005-0000-0000-00000B040000}"/>
    <cellStyle name="Millares 2 2 13" xfId="1116" xr:uid="{00000000-0005-0000-0000-00000C040000}"/>
    <cellStyle name="Millares 2 2 14" xfId="1117" xr:uid="{00000000-0005-0000-0000-00000D040000}"/>
    <cellStyle name="Millares 2 2 15" xfId="1118" xr:uid="{00000000-0005-0000-0000-00000E040000}"/>
    <cellStyle name="Millares 2 2 16" xfId="1119" xr:uid="{00000000-0005-0000-0000-00000F040000}"/>
    <cellStyle name="Millares 2 2 17" xfId="1120" xr:uid="{00000000-0005-0000-0000-000010040000}"/>
    <cellStyle name="Millares 2 2 18" xfId="1121" xr:uid="{00000000-0005-0000-0000-000011040000}"/>
    <cellStyle name="Millares 2 2 19" xfId="1122" xr:uid="{00000000-0005-0000-0000-000012040000}"/>
    <cellStyle name="Millares 2 2 2" xfId="1123" xr:uid="{00000000-0005-0000-0000-000013040000}"/>
    <cellStyle name="Millares 2 2 2 10" xfId="1124" xr:uid="{00000000-0005-0000-0000-000014040000}"/>
    <cellStyle name="Millares 2 2 2 11" xfId="1125" xr:uid="{00000000-0005-0000-0000-000015040000}"/>
    <cellStyle name="Millares 2 2 2 12" xfId="1126" xr:uid="{00000000-0005-0000-0000-000016040000}"/>
    <cellStyle name="Millares 2 2 2 13" xfId="1127" xr:uid="{00000000-0005-0000-0000-000017040000}"/>
    <cellStyle name="Millares 2 2 2 14" xfId="1128" xr:uid="{00000000-0005-0000-0000-000018040000}"/>
    <cellStyle name="Millares 2 2 2 15" xfId="1129" xr:uid="{00000000-0005-0000-0000-000019040000}"/>
    <cellStyle name="Millares 2 2 2 16" xfId="1130" xr:uid="{00000000-0005-0000-0000-00001A040000}"/>
    <cellStyle name="Millares 2 2 2 17" xfId="1131" xr:uid="{00000000-0005-0000-0000-00001B040000}"/>
    <cellStyle name="Millares 2 2 2 18" xfId="1132" xr:uid="{00000000-0005-0000-0000-00001C040000}"/>
    <cellStyle name="Millares 2 2 2 19" xfId="1133" xr:uid="{00000000-0005-0000-0000-00001D040000}"/>
    <cellStyle name="Millares 2 2 2 2" xfId="1134" xr:uid="{00000000-0005-0000-0000-00001E040000}"/>
    <cellStyle name="Millares 2 2 2 2 10" xfId="1135" xr:uid="{00000000-0005-0000-0000-00001F040000}"/>
    <cellStyle name="Millares 2 2 2 2 11" xfId="1136" xr:uid="{00000000-0005-0000-0000-000020040000}"/>
    <cellStyle name="Millares 2 2 2 2 12" xfId="1137" xr:uid="{00000000-0005-0000-0000-000021040000}"/>
    <cellStyle name="Millares 2 2 2 2 13" xfId="1138" xr:uid="{00000000-0005-0000-0000-000022040000}"/>
    <cellStyle name="Millares 2 2 2 2 14" xfId="1139" xr:uid="{00000000-0005-0000-0000-000023040000}"/>
    <cellStyle name="Millares 2 2 2 2 15" xfId="1140" xr:uid="{00000000-0005-0000-0000-000024040000}"/>
    <cellStyle name="Millares 2 2 2 2 16" xfId="1141" xr:uid="{00000000-0005-0000-0000-000025040000}"/>
    <cellStyle name="Millares 2 2 2 2 17" xfId="1142" xr:uid="{00000000-0005-0000-0000-000026040000}"/>
    <cellStyle name="Millares 2 2 2 2 18" xfId="1143" xr:uid="{00000000-0005-0000-0000-000027040000}"/>
    <cellStyle name="Millares 2 2 2 2 19" xfId="1144" xr:uid="{00000000-0005-0000-0000-000028040000}"/>
    <cellStyle name="Millares 2 2 2 2 2" xfId="1145" xr:uid="{00000000-0005-0000-0000-000029040000}"/>
    <cellStyle name="Millares 2 2 2 2 2 10" xfId="1146" xr:uid="{00000000-0005-0000-0000-00002A040000}"/>
    <cellStyle name="Millares 2 2 2 2 2 11" xfId="1147" xr:uid="{00000000-0005-0000-0000-00002B040000}"/>
    <cellStyle name="Millares 2 2 2 2 2 12" xfId="1148" xr:uid="{00000000-0005-0000-0000-00002C040000}"/>
    <cellStyle name="Millares 2 2 2 2 2 13" xfId="1149" xr:uid="{00000000-0005-0000-0000-00002D040000}"/>
    <cellStyle name="Millares 2 2 2 2 2 14" xfId="1150" xr:uid="{00000000-0005-0000-0000-00002E040000}"/>
    <cellStyle name="Millares 2 2 2 2 2 15" xfId="1151" xr:uid="{00000000-0005-0000-0000-00002F040000}"/>
    <cellStyle name="Millares 2 2 2 2 2 16" xfId="1152" xr:uid="{00000000-0005-0000-0000-000030040000}"/>
    <cellStyle name="Millares 2 2 2 2 2 17" xfId="1153" xr:uid="{00000000-0005-0000-0000-000031040000}"/>
    <cellStyle name="Millares 2 2 2 2 2 18" xfId="1154" xr:uid="{00000000-0005-0000-0000-000032040000}"/>
    <cellStyle name="Millares 2 2 2 2 2 19" xfId="1155" xr:uid="{00000000-0005-0000-0000-000033040000}"/>
    <cellStyle name="Millares 2 2 2 2 2 2" xfId="1156" xr:uid="{00000000-0005-0000-0000-000034040000}"/>
    <cellStyle name="Millares 2 2 2 2 2 2 10" xfId="1157" xr:uid="{00000000-0005-0000-0000-000035040000}"/>
    <cellStyle name="Millares 2 2 2 2 2 2 11" xfId="1158" xr:uid="{00000000-0005-0000-0000-000036040000}"/>
    <cellStyle name="Millares 2 2 2 2 2 2 12" xfId="1159" xr:uid="{00000000-0005-0000-0000-000037040000}"/>
    <cellStyle name="Millares 2 2 2 2 2 2 13" xfId="1160" xr:uid="{00000000-0005-0000-0000-000038040000}"/>
    <cellStyle name="Millares 2 2 2 2 2 2 14" xfId="1161" xr:uid="{00000000-0005-0000-0000-000039040000}"/>
    <cellStyle name="Millares 2 2 2 2 2 2 15" xfId="1162" xr:uid="{00000000-0005-0000-0000-00003A040000}"/>
    <cellStyle name="Millares 2 2 2 2 2 2 16" xfId="1163" xr:uid="{00000000-0005-0000-0000-00003B040000}"/>
    <cellStyle name="Millares 2 2 2 2 2 2 17" xfId="1164" xr:uid="{00000000-0005-0000-0000-00003C040000}"/>
    <cellStyle name="Millares 2 2 2 2 2 2 18" xfId="1165" xr:uid="{00000000-0005-0000-0000-00003D040000}"/>
    <cellStyle name="Millares 2 2 2 2 2 2 19" xfId="1166" xr:uid="{00000000-0005-0000-0000-00003E040000}"/>
    <cellStyle name="Millares 2 2 2 2 2 2 2" xfId="1167" xr:uid="{00000000-0005-0000-0000-00003F040000}"/>
    <cellStyle name="Millares 2 2 2 2 2 2 2 10" xfId="1168" xr:uid="{00000000-0005-0000-0000-000040040000}"/>
    <cellStyle name="Millares 2 2 2 2 2 2 2 11" xfId="1169" xr:uid="{00000000-0005-0000-0000-000041040000}"/>
    <cellStyle name="Millares 2 2 2 2 2 2 2 12" xfId="1170" xr:uid="{00000000-0005-0000-0000-000042040000}"/>
    <cellStyle name="Millares 2 2 2 2 2 2 2 13" xfId="1171" xr:uid="{00000000-0005-0000-0000-000043040000}"/>
    <cellStyle name="Millares 2 2 2 2 2 2 2 14" xfId="1172" xr:uid="{00000000-0005-0000-0000-000044040000}"/>
    <cellStyle name="Millares 2 2 2 2 2 2 2 15" xfId="1173" xr:uid="{00000000-0005-0000-0000-000045040000}"/>
    <cellStyle name="Millares 2 2 2 2 2 2 2 16" xfId="1174" xr:uid="{00000000-0005-0000-0000-000046040000}"/>
    <cellStyle name="Millares 2 2 2 2 2 2 2 17" xfId="1175" xr:uid="{00000000-0005-0000-0000-000047040000}"/>
    <cellStyle name="Millares 2 2 2 2 2 2 2 18" xfId="1176" xr:uid="{00000000-0005-0000-0000-000048040000}"/>
    <cellStyle name="Millares 2 2 2 2 2 2 2 19" xfId="1177" xr:uid="{00000000-0005-0000-0000-000049040000}"/>
    <cellStyle name="Millares 2 2 2 2 2 2 2 2" xfId="1178" xr:uid="{00000000-0005-0000-0000-00004A040000}"/>
    <cellStyle name="Millares 2 2 2 2 2 2 2 2 10" xfId="1179" xr:uid="{00000000-0005-0000-0000-00004B040000}"/>
    <cellStyle name="Millares 2 2 2 2 2 2 2 2 11" xfId="1180" xr:uid="{00000000-0005-0000-0000-00004C040000}"/>
    <cellStyle name="Millares 2 2 2 2 2 2 2 2 12" xfId="1181" xr:uid="{00000000-0005-0000-0000-00004D040000}"/>
    <cellStyle name="Millares 2 2 2 2 2 2 2 2 13" xfId="1182" xr:uid="{00000000-0005-0000-0000-00004E040000}"/>
    <cellStyle name="Millares 2 2 2 2 2 2 2 2 14" xfId="1183" xr:uid="{00000000-0005-0000-0000-00004F040000}"/>
    <cellStyle name="Millares 2 2 2 2 2 2 2 2 15" xfId="1184" xr:uid="{00000000-0005-0000-0000-000050040000}"/>
    <cellStyle name="Millares 2 2 2 2 2 2 2 2 2" xfId="1185" xr:uid="{00000000-0005-0000-0000-000051040000}"/>
    <cellStyle name="Millares 2 2 2 2 2 2 2 2 2 10" xfId="1186" xr:uid="{00000000-0005-0000-0000-000052040000}"/>
    <cellStyle name="Millares 2 2 2 2 2 2 2 2 2 11" xfId="1187" xr:uid="{00000000-0005-0000-0000-000053040000}"/>
    <cellStyle name="Millares 2 2 2 2 2 2 2 2 2 12" xfId="1188" xr:uid="{00000000-0005-0000-0000-000054040000}"/>
    <cellStyle name="Millares 2 2 2 2 2 2 2 2 2 13" xfId="1189" xr:uid="{00000000-0005-0000-0000-000055040000}"/>
    <cellStyle name="Millares 2 2 2 2 2 2 2 2 2 14" xfId="1190" xr:uid="{00000000-0005-0000-0000-000056040000}"/>
    <cellStyle name="Millares 2 2 2 2 2 2 2 2 2 15" xfId="1191" xr:uid="{00000000-0005-0000-0000-000057040000}"/>
    <cellStyle name="Millares 2 2 2 2 2 2 2 2 2 2" xfId="1192" xr:uid="{00000000-0005-0000-0000-000058040000}"/>
    <cellStyle name="Millares 2 2 2 2 2 2 2 2 2 2 10" xfId="1193" xr:uid="{00000000-0005-0000-0000-000059040000}"/>
    <cellStyle name="Millares 2 2 2 2 2 2 2 2 2 2 11" xfId="1194" xr:uid="{00000000-0005-0000-0000-00005A040000}"/>
    <cellStyle name="Millares 2 2 2 2 2 2 2 2 2 2 12" xfId="1195" xr:uid="{00000000-0005-0000-0000-00005B040000}"/>
    <cellStyle name="Millares 2 2 2 2 2 2 2 2 2 2 2" xfId="1196" xr:uid="{00000000-0005-0000-0000-00005C040000}"/>
    <cellStyle name="Millares 2 2 2 2 2 2 2 2 2 2 2 10" xfId="1197" xr:uid="{00000000-0005-0000-0000-00005D040000}"/>
    <cellStyle name="Millares 2 2 2 2 2 2 2 2 2 2 2 2" xfId="1198" xr:uid="{00000000-0005-0000-0000-00005E040000}"/>
    <cellStyle name="Millares 2 2 2 2 2 2 2 2 2 2 2 3" xfId="1199" xr:uid="{00000000-0005-0000-0000-00005F040000}"/>
    <cellStyle name="Millares 2 2 2 2 2 2 2 2 2 2 2 4" xfId="1200" xr:uid="{00000000-0005-0000-0000-000060040000}"/>
    <cellStyle name="Millares 2 2 2 2 2 2 2 2 2 2 2 5" xfId="1201" xr:uid="{00000000-0005-0000-0000-000061040000}"/>
    <cellStyle name="Millares 2 2 2 2 2 2 2 2 2 2 2 6" xfId="1202" xr:uid="{00000000-0005-0000-0000-000062040000}"/>
    <cellStyle name="Millares 2 2 2 2 2 2 2 2 2 2 2 7" xfId="1203" xr:uid="{00000000-0005-0000-0000-000063040000}"/>
    <cellStyle name="Millares 2 2 2 2 2 2 2 2 2 2 2 8" xfId="1204" xr:uid="{00000000-0005-0000-0000-000064040000}"/>
    <cellStyle name="Millares 2 2 2 2 2 2 2 2 2 2 2 9" xfId="1205" xr:uid="{00000000-0005-0000-0000-000065040000}"/>
    <cellStyle name="Millares 2 2 2 2 2 2 2 2 2 2 3" xfId="1206" xr:uid="{00000000-0005-0000-0000-000066040000}"/>
    <cellStyle name="Millares 2 2 2 2 2 2 2 2 2 2 4" xfId="1207" xr:uid="{00000000-0005-0000-0000-000067040000}"/>
    <cellStyle name="Millares 2 2 2 2 2 2 2 2 2 2 5" xfId="1208" xr:uid="{00000000-0005-0000-0000-000068040000}"/>
    <cellStyle name="Millares 2 2 2 2 2 2 2 2 2 2 6" xfId="1209" xr:uid="{00000000-0005-0000-0000-000069040000}"/>
    <cellStyle name="Millares 2 2 2 2 2 2 2 2 2 2 7" xfId="1210" xr:uid="{00000000-0005-0000-0000-00006A040000}"/>
    <cellStyle name="Millares 2 2 2 2 2 2 2 2 2 2 8" xfId="1211" xr:uid="{00000000-0005-0000-0000-00006B040000}"/>
    <cellStyle name="Millares 2 2 2 2 2 2 2 2 2 2 9" xfId="1212" xr:uid="{00000000-0005-0000-0000-00006C040000}"/>
    <cellStyle name="Millares 2 2 2 2 2 2 2 2 2 3" xfId="1213" xr:uid="{00000000-0005-0000-0000-00006D040000}"/>
    <cellStyle name="Millares 2 2 2 2 2 2 2 2 2 4" xfId="1214" xr:uid="{00000000-0005-0000-0000-00006E040000}"/>
    <cellStyle name="Millares 2 2 2 2 2 2 2 2 2 5" xfId="1215" xr:uid="{00000000-0005-0000-0000-00006F040000}"/>
    <cellStyle name="Millares 2 2 2 2 2 2 2 2 2 6" xfId="1216" xr:uid="{00000000-0005-0000-0000-000070040000}"/>
    <cellStyle name="Millares 2 2 2 2 2 2 2 2 2 6 10" xfId="1217" xr:uid="{00000000-0005-0000-0000-000071040000}"/>
    <cellStyle name="Millares 2 2 2 2 2 2 2 2 2 6 2" xfId="1218" xr:uid="{00000000-0005-0000-0000-000072040000}"/>
    <cellStyle name="Millares 2 2 2 2 2 2 2 2 2 6 3" xfId="1219" xr:uid="{00000000-0005-0000-0000-000073040000}"/>
    <cellStyle name="Millares 2 2 2 2 2 2 2 2 2 6 4" xfId="1220" xr:uid="{00000000-0005-0000-0000-000074040000}"/>
    <cellStyle name="Millares 2 2 2 2 2 2 2 2 2 6 5" xfId="1221" xr:uid="{00000000-0005-0000-0000-000075040000}"/>
    <cellStyle name="Millares 2 2 2 2 2 2 2 2 2 6 6" xfId="1222" xr:uid="{00000000-0005-0000-0000-000076040000}"/>
    <cellStyle name="Millares 2 2 2 2 2 2 2 2 2 6 7" xfId="1223" xr:uid="{00000000-0005-0000-0000-000077040000}"/>
    <cellStyle name="Millares 2 2 2 2 2 2 2 2 2 6 8" xfId="1224" xr:uid="{00000000-0005-0000-0000-000078040000}"/>
    <cellStyle name="Millares 2 2 2 2 2 2 2 2 2 6 9" xfId="1225" xr:uid="{00000000-0005-0000-0000-000079040000}"/>
    <cellStyle name="Millares 2 2 2 2 2 2 2 2 2 7" xfId="1226" xr:uid="{00000000-0005-0000-0000-00007A040000}"/>
    <cellStyle name="Millares 2 2 2 2 2 2 2 2 2 8" xfId="1227" xr:uid="{00000000-0005-0000-0000-00007B040000}"/>
    <cellStyle name="Millares 2 2 2 2 2 2 2 2 2 9" xfId="1228" xr:uid="{00000000-0005-0000-0000-00007C040000}"/>
    <cellStyle name="Millares 2 2 2 2 2 2 2 2 3" xfId="1229" xr:uid="{00000000-0005-0000-0000-00007D040000}"/>
    <cellStyle name="Millares 2 2 2 2 2 2 2 2 4" xfId="1230" xr:uid="{00000000-0005-0000-0000-00007E040000}"/>
    <cellStyle name="Millares 2 2 2 2 2 2 2 2 5" xfId="1231" xr:uid="{00000000-0005-0000-0000-00007F040000}"/>
    <cellStyle name="Millares 2 2 2 2 2 2 2 2 6" xfId="1232" xr:uid="{00000000-0005-0000-0000-000080040000}"/>
    <cellStyle name="Millares 2 2 2 2 2 2 2 2 6 10" xfId="1233" xr:uid="{00000000-0005-0000-0000-000081040000}"/>
    <cellStyle name="Millares 2 2 2 2 2 2 2 2 6 2" xfId="1234" xr:uid="{00000000-0005-0000-0000-000082040000}"/>
    <cellStyle name="Millares 2 2 2 2 2 2 2 2 6 3" xfId="1235" xr:uid="{00000000-0005-0000-0000-000083040000}"/>
    <cellStyle name="Millares 2 2 2 2 2 2 2 2 6 4" xfId="1236" xr:uid="{00000000-0005-0000-0000-000084040000}"/>
    <cellStyle name="Millares 2 2 2 2 2 2 2 2 6 5" xfId="1237" xr:uid="{00000000-0005-0000-0000-000085040000}"/>
    <cellStyle name="Millares 2 2 2 2 2 2 2 2 6 6" xfId="1238" xr:uid="{00000000-0005-0000-0000-000086040000}"/>
    <cellStyle name="Millares 2 2 2 2 2 2 2 2 6 7" xfId="1239" xr:uid="{00000000-0005-0000-0000-000087040000}"/>
    <cellStyle name="Millares 2 2 2 2 2 2 2 2 6 8" xfId="1240" xr:uid="{00000000-0005-0000-0000-000088040000}"/>
    <cellStyle name="Millares 2 2 2 2 2 2 2 2 6 9" xfId="1241" xr:uid="{00000000-0005-0000-0000-000089040000}"/>
    <cellStyle name="Millares 2 2 2 2 2 2 2 2 7" xfId="1242" xr:uid="{00000000-0005-0000-0000-00008A040000}"/>
    <cellStyle name="Millares 2 2 2 2 2 2 2 2 8" xfId="1243" xr:uid="{00000000-0005-0000-0000-00008B040000}"/>
    <cellStyle name="Millares 2 2 2 2 2 2 2 2 9" xfId="1244" xr:uid="{00000000-0005-0000-0000-00008C040000}"/>
    <cellStyle name="Millares 2 2 2 2 2 2 2 20" xfId="1245" xr:uid="{00000000-0005-0000-0000-00008D040000}"/>
    <cellStyle name="Millares 2 2 2 2 2 2 2 21" xfId="1246" xr:uid="{00000000-0005-0000-0000-00008E040000}"/>
    <cellStyle name="Millares 2 2 2 2 2 2 2 22" xfId="1247" xr:uid="{00000000-0005-0000-0000-00008F040000}"/>
    <cellStyle name="Millares 2 2 2 2 2 2 2 23" xfId="1248" xr:uid="{00000000-0005-0000-0000-000090040000}"/>
    <cellStyle name="Millares 2 2 2 2 2 2 2 24" xfId="1249" xr:uid="{00000000-0005-0000-0000-000091040000}"/>
    <cellStyle name="Millares 2 2 2 2 2 2 2 25" xfId="1250" xr:uid="{00000000-0005-0000-0000-000092040000}"/>
    <cellStyle name="Millares 2 2 2 2 2 2 2 25 10" xfId="1251" xr:uid="{00000000-0005-0000-0000-000093040000}"/>
    <cellStyle name="Millares 2 2 2 2 2 2 2 25 2" xfId="1252" xr:uid="{00000000-0005-0000-0000-000094040000}"/>
    <cellStyle name="Millares 2 2 2 2 2 2 2 25 3" xfId="1253" xr:uid="{00000000-0005-0000-0000-000095040000}"/>
    <cellStyle name="Millares 2 2 2 2 2 2 2 25 4" xfId="1254" xr:uid="{00000000-0005-0000-0000-000096040000}"/>
    <cellStyle name="Millares 2 2 2 2 2 2 2 25 5" xfId="1255" xr:uid="{00000000-0005-0000-0000-000097040000}"/>
    <cellStyle name="Millares 2 2 2 2 2 2 2 25 6" xfId="1256" xr:uid="{00000000-0005-0000-0000-000098040000}"/>
    <cellStyle name="Millares 2 2 2 2 2 2 2 25 7" xfId="1257" xr:uid="{00000000-0005-0000-0000-000099040000}"/>
    <cellStyle name="Millares 2 2 2 2 2 2 2 25 8" xfId="1258" xr:uid="{00000000-0005-0000-0000-00009A040000}"/>
    <cellStyle name="Millares 2 2 2 2 2 2 2 25 9" xfId="1259" xr:uid="{00000000-0005-0000-0000-00009B040000}"/>
    <cellStyle name="Millares 2 2 2 2 2 2 2 26" xfId="1260" xr:uid="{00000000-0005-0000-0000-00009C040000}"/>
    <cellStyle name="Millares 2 2 2 2 2 2 2 27" xfId="1261" xr:uid="{00000000-0005-0000-0000-00009D040000}"/>
    <cellStyle name="Millares 2 2 2 2 2 2 2 28" xfId="1262" xr:uid="{00000000-0005-0000-0000-00009E040000}"/>
    <cellStyle name="Millares 2 2 2 2 2 2 2 29" xfId="1263" xr:uid="{00000000-0005-0000-0000-00009F040000}"/>
    <cellStyle name="Millares 2 2 2 2 2 2 2 3" xfId="1264" xr:uid="{00000000-0005-0000-0000-0000A0040000}"/>
    <cellStyle name="Millares 2 2 2 2 2 2 2 30" xfId="1265" xr:uid="{00000000-0005-0000-0000-0000A1040000}"/>
    <cellStyle name="Millares 2 2 2 2 2 2 2 31" xfId="1266" xr:uid="{00000000-0005-0000-0000-0000A2040000}"/>
    <cellStyle name="Millares 2 2 2 2 2 2 2 32" xfId="1267" xr:uid="{00000000-0005-0000-0000-0000A3040000}"/>
    <cellStyle name="Millares 2 2 2 2 2 2 2 33" xfId="1268" xr:uid="{00000000-0005-0000-0000-0000A4040000}"/>
    <cellStyle name="Millares 2 2 2 2 2 2 2 34" xfId="1269" xr:uid="{00000000-0005-0000-0000-0000A5040000}"/>
    <cellStyle name="Millares 2 2 2 2 2 2 2 4" xfId="1270" xr:uid="{00000000-0005-0000-0000-0000A6040000}"/>
    <cellStyle name="Millares 2 2 2 2 2 2 2 5" xfId="1271" xr:uid="{00000000-0005-0000-0000-0000A7040000}"/>
    <cellStyle name="Millares 2 2 2 2 2 2 2 6" xfId="1272" xr:uid="{00000000-0005-0000-0000-0000A8040000}"/>
    <cellStyle name="Millares 2 2 2 2 2 2 2 7" xfId="1273" xr:uid="{00000000-0005-0000-0000-0000A9040000}"/>
    <cellStyle name="Millares 2 2 2 2 2 2 2 8" xfId="1274" xr:uid="{00000000-0005-0000-0000-0000AA040000}"/>
    <cellStyle name="Millares 2 2 2 2 2 2 2 9" xfId="1275" xr:uid="{00000000-0005-0000-0000-0000AB040000}"/>
    <cellStyle name="Millares 2 2 2 2 2 2 20" xfId="1276" xr:uid="{00000000-0005-0000-0000-0000AC040000}"/>
    <cellStyle name="Millares 2 2 2 2 2 2 21" xfId="1277" xr:uid="{00000000-0005-0000-0000-0000AD040000}"/>
    <cellStyle name="Millares 2 2 2 2 2 2 22" xfId="1278" xr:uid="{00000000-0005-0000-0000-0000AE040000}"/>
    <cellStyle name="Millares 2 2 2 2 2 2 23" xfId="1279" xr:uid="{00000000-0005-0000-0000-0000AF040000}"/>
    <cellStyle name="Millares 2 2 2 2 2 2 24" xfId="1280" xr:uid="{00000000-0005-0000-0000-0000B0040000}"/>
    <cellStyle name="Millares 2 2 2 2 2 2 25" xfId="1281" xr:uid="{00000000-0005-0000-0000-0000B1040000}"/>
    <cellStyle name="Millares 2 2 2 2 2 2 25 10" xfId="1282" xr:uid="{00000000-0005-0000-0000-0000B2040000}"/>
    <cellStyle name="Millares 2 2 2 2 2 2 25 2" xfId="1283" xr:uid="{00000000-0005-0000-0000-0000B3040000}"/>
    <cellStyle name="Millares 2 2 2 2 2 2 25 3" xfId="1284" xr:uid="{00000000-0005-0000-0000-0000B4040000}"/>
    <cellStyle name="Millares 2 2 2 2 2 2 25 4" xfId="1285" xr:uid="{00000000-0005-0000-0000-0000B5040000}"/>
    <cellStyle name="Millares 2 2 2 2 2 2 25 5" xfId="1286" xr:uid="{00000000-0005-0000-0000-0000B6040000}"/>
    <cellStyle name="Millares 2 2 2 2 2 2 25 6" xfId="1287" xr:uid="{00000000-0005-0000-0000-0000B7040000}"/>
    <cellStyle name="Millares 2 2 2 2 2 2 25 7" xfId="1288" xr:uid="{00000000-0005-0000-0000-0000B8040000}"/>
    <cellStyle name="Millares 2 2 2 2 2 2 25 8" xfId="1289" xr:uid="{00000000-0005-0000-0000-0000B9040000}"/>
    <cellStyle name="Millares 2 2 2 2 2 2 25 9" xfId="1290" xr:uid="{00000000-0005-0000-0000-0000BA040000}"/>
    <cellStyle name="Millares 2 2 2 2 2 2 26" xfId="1291" xr:uid="{00000000-0005-0000-0000-0000BB040000}"/>
    <cellStyle name="Millares 2 2 2 2 2 2 27" xfId="1292" xr:uid="{00000000-0005-0000-0000-0000BC040000}"/>
    <cellStyle name="Millares 2 2 2 2 2 2 28" xfId="1293" xr:uid="{00000000-0005-0000-0000-0000BD040000}"/>
    <cellStyle name="Millares 2 2 2 2 2 2 29" xfId="1294" xr:uid="{00000000-0005-0000-0000-0000BE040000}"/>
    <cellStyle name="Millares 2 2 2 2 2 2 3" xfId="1295" xr:uid="{00000000-0005-0000-0000-0000BF040000}"/>
    <cellStyle name="Millares 2 2 2 2 2 2 30" xfId="1296" xr:uid="{00000000-0005-0000-0000-0000C0040000}"/>
    <cellStyle name="Millares 2 2 2 2 2 2 31" xfId="1297" xr:uid="{00000000-0005-0000-0000-0000C1040000}"/>
    <cellStyle name="Millares 2 2 2 2 2 2 32" xfId="1298" xr:uid="{00000000-0005-0000-0000-0000C2040000}"/>
    <cellStyle name="Millares 2 2 2 2 2 2 33" xfId="1299" xr:uid="{00000000-0005-0000-0000-0000C3040000}"/>
    <cellStyle name="Millares 2 2 2 2 2 2 34" xfId="1300" xr:uid="{00000000-0005-0000-0000-0000C4040000}"/>
    <cellStyle name="Millares 2 2 2 2 2 2 35" xfId="1301" xr:uid="{00000000-0005-0000-0000-0000C5040000}"/>
    <cellStyle name="Millares 2 2 2 2 2 2 4" xfId="1302" xr:uid="{00000000-0005-0000-0000-0000C6040000}"/>
    <cellStyle name="Millares 2 2 2 2 2 2 5" xfId="1303" xr:uid="{00000000-0005-0000-0000-0000C7040000}"/>
    <cellStyle name="Millares 2 2 2 2 2 2 6" xfId="1304" xr:uid="{00000000-0005-0000-0000-0000C8040000}"/>
    <cellStyle name="Millares 2 2 2 2 2 2 7" xfId="1305" xr:uid="{00000000-0005-0000-0000-0000C9040000}"/>
    <cellStyle name="Millares 2 2 2 2 2 2 8" xfId="1306" xr:uid="{00000000-0005-0000-0000-0000CA040000}"/>
    <cellStyle name="Millares 2 2 2 2 2 2 9" xfId="1307" xr:uid="{00000000-0005-0000-0000-0000CB040000}"/>
    <cellStyle name="Millares 2 2 2 2 2 20" xfId="1308" xr:uid="{00000000-0005-0000-0000-0000CC040000}"/>
    <cellStyle name="Millares 2 2 2 2 2 21" xfId="1309" xr:uid="{00000000-0005-0000-0000-0000CD040000}"/>
    <cellStyle name="Millares 2 2 2 2 2 22" xfId="1310" xr:uid="{00000000-0005-0000-0000-0000CE040000}"/>
    <cellStyle name="Millares 2 2 2 2 2 23" xfId="1311" xr:uid="{00000000-0005-0000-0000-0000CF040000}"/>
    <cellStyle name="Millares 2 2 2 2 2 24" xfId="1312" xr:uid="{00000000-0005-0000-0000-0000D0040000}"/>
    <cellStyle name="Millares 2 2 2 2 2 25" xfId="1313" xr:uid="{00000000-0005-0000-0000-0000D1040000}"/>
    <cellStyle name="Millares 2 2 2 2 2 26" xfId="1314" xr:uid="{00000000-0005-0000-0000-0000D2040000}"/>
    <cellStyle name="Millares 2 2 2 2 2 27" xfId="1315" xr:uid="{00000000-0005-0000-0000-0000D3040000}"/>
    <cellStyle name="Millares 2 2 2 2 2 28" xfId="1316" xr:uid="{00000000-0005-0000-0000-0000D4040000}"/>
    <cellStyle name="Millares 2 2 2 2 2 29" xfId="1317" xr:uid="{00000000-0005-0000-0000-0000D5040000}"/>
    <cellStyle name="Millares 2 2 2 2 2 3" xfId="1318" xr:uid="{00000000-0005-0000-0000-0000D6040000}"/>
    <cellStyle name="Millares 2 2 2 2 2 30" xfId="1319" xr:uid="{00000000-0005-0000-0000-0000D7040000}"/>
    <cellStyle name="Millares 2 2 2 2 2 31" xfId="1320" xr:uid="{00000000-0005-0000-0000-0000D8040000}"/>
    <cellStyle name="Millares 2 2 2 2 2 32" xfId="1321" xr:uid="{00000000-0005-0000-0000-0000D9040000}"/>
    <cellStyle name="Millares 2 2 2 2 2 33" xfId="1322" xr:uid="{00000000-0005-0000-0000-0000DA040000}"/>
    <cellStyle name="Millares 2 2 2 2 2 34" xfId="1323" xr:uid="{00000000-0005-0000-0000-0000DB040000}"/>
    <cellStyle name="Millares 2 2 2 2 2 35" xfId="1324" xr:uid="{00000000-0005-0000-0000-0000DC040000}"/>
    <cellStyle name="Millares 2 2 2 2 2 36" xfId="1325" xr:uid="{00000000-0005-0000-0000-0000DD040000}"/>
    <cellStyle name="Millares 2 2 2 2 2 37" xfId="1326" xr:uid="{00000000-0005-0000-0000-0000DE040000}"/>
    <cellStyle name="Millares 2 2 2 2 2 38" xfId="1327" xr:uid="{00000000-0005-0000-0000-0000DF040000}"/>
    <cellStyle name="Millares 2 2 2 2 2 38 10" xfId="1328" xr:uid="{00000000-0005-0000-0000-0000E0040000}"/>
    <cellStyle name="Millares 2 2 2 2 2 38 2" xfId="1329" xr:uid="{00000000-0005-0000-0000-0000E1040000}"/>
    <cellStyle name="Millares 2 2 2 2 2 38 3" xfId="1330" xr:uid="{00000000-0005-0000-0000-0000E2040000}"/>
    <cellStyle name="Millares 2 2 2 2 2 38 4" xfId="1331" xr:uid="{00000000-0005-0000-0000-0000E3040000}"/>
    <cellStyle name="Millares 2 2 2 2 2 38 5" xfId="1332" xr:uid="{00000000-0005-0000-0000-0000E4040000}"/>
    <cellStyle name="Millares 2 2 2 2 2 38 6" xfId="1333" xr:uid="{00000000-0005-0000-0000-0000E5040000}"/>
    <cellStyle name="Millares 2 2 2 2 2 38 7" xfId="1334" xr:uid="{00000000-0005-0000-0000-0000E6040000}"/>
    <cellStyle name="Millares 2 2 2 2 2 38 8" xfId="1335" xr:uid="{00000000-0005-0000-0000-0000E7040000}"/>
    <cellStyle name="Millares 2 2 2 2 2 38 9" xfId="1336" xr:uid="{00000000-0005-0000-0000-0000E8040000}"/>
    <cellStyle name="Millares 2 2 2 2 2 39" xfId="1337" xr:uid="{00000000-0005-0000-0000-0000E9040000}"/>
    <cellStyle name="Millares 2 2 2 2 2 4" xfId="1338" xr:uid="{00000000-0005-0000-0000-0000EA040000}"/>
    <cellStyle name="Millares 2 2 2 2 2 40" xfId="1339" xr:uid="{00000000-0005-0000-0000-0000EB040000}"/>
    <cellStyle name="Millares 2 2 2 2 2 41" xfId="1340" xr:uid="{00000000-0005-0000-0000-0000EC040000}"/>
    <cellStyle name="Millares 2 2 2 2 2 42" xfId="1341" xr:uid="{00000000-0005-0000-0000-0000ED040000}"/>
    <cellStyle name="Millares 2 2 2 2 2 43" xfId="1342" xr:uid="{00000000-0005-0000-0000-0000EE040000}"/>
    <cellStyle name="Millares 2 2 2 2 2 44" xfId="1343" xr:uid="{00000000-0005-0000-0000-0000EF040000}"/>
    <cellStyle name="Millares 2 2 2 2 2 45" xfId="1344" xr:uid="{00000000-0005-0000-0000-0000F0040000}"/>
    <cellStyle name="Millares 2 2 2 2 2 46" xfId="1345" xr:uid="{00000000-0005-0000-0000-0000F1040000}"/>
    <cellStyle name="Millares 2 2 2 2 2 47" xfId="1346" xr:uid="{00000000-0005-0000-0000-0000F2040000}"/>
    <cellStyle name="Millares 2 2 2 2 2 48" xfId="1347" xr:uid="{00000000-0005-0000-0000-0000F3040000}"/>
    <cellStyle name="Millares 2 2 2 2 2 5" xfId="1348" xr:uid="{00000000-0005-0000-0000-0000F4040000}"/>
    <cellStyle name="Millares 2 2 2 2 2 6" xfId="1349" xr:uid="{00000000-0005-0000-0000-0000F5040000}"/>
    <cellStyle name="Millares 2 2 2 2 2 7" xfId="1350" xr:uid="{00000000-0005-0000-0000-0000F6040000}"/>
    <cellStyle name="Millares 2 2 2 2 2 8" xfId="1351" xr:uid="{00000000-0005-0000-0000-0000F7040000}"/>
    <cellStyle name="Millares 2 2 2 2 2 9" xfId="1352" xr:uid="{00000000-0005-0000-0000-0000F8040000}"/>
    <cellStyle name="Millares 2 2 2 2 20" xfId="1353" xr:uid="{00000000-0005-0000-0000-0000F9040000}"/>
    <cellStyle name="Millares 2 2 2 2 21" xfId="1354" xr:uid="{00000000-0005-0000-0000-0000FA040000}"/>
    <cellStyle name="Millares 2 2 2 2 22" xfId="1355" xr:uid="{00000000-0005-0000-0000-0000FB040000}"/>
    <cellStyle name="Millares 2 2 2 2 23" xfId="1356" xr:uid="{00000000-0005-0000-0000-0000FC040000}"/>
    <cellStyle name="Millares 2 2 2 2 24" xfId="1357" xr:uid="{00000000-0005-0000-0000-0000FD040000}"/>
    <cellStyle name="Millares 2 2 2 2 25" xfId="1358" xr:uid="{00000000-0005-0000-0000-0000FE040000}"/>
    <cellStyle name="Millares 2 2 2 2 26" xfId="1359" xr:uid="{00000000-0005-0000-0000-0000FF040000}"/>
    <cellStyle name="Millares 2 2 2 2 27" xfId="1360" xr:uid="{00000000-0005-0000-0000-000000050000}"/>
    <cellStyle name="Millares 2 2 2 2 28" xfId="1361" xr:uid="{00000000-0005-0000-0000-000001050000}"/>
    <cellStyle name="Millares 2 2 2 2 29" xfId="1362" xr:uid="{00000000-0005-0000-0000-000002050000}"/>
    <cellStyle name="Millares 2 2 2 2 3" xfId="1363" xr:uid="{00000000-0005-0000-0000-000003050000}"/>
    <cellStyle name="Millares 2 2 2 2 30" xfId="1364" xr:uid="{00000000-0005-0000-0000-000004050000}"/>
    <cellStyle name="Millares 2 2 2 2 31" xfId="1365" xr:uid="{00000000-0005-0000-0000-000005050000}"/>
    <cellStyle name="Millares 2 2 2 2 32" xfId="1366" xr:uid="{00000000-0005-0000-0000-000006050000}"/>
    <cellStyle name="Millares 2 2 2 2 33" xfId="1367" xr:uid="{00000000-0005-0000-0000-000007050000}"/>
    <cellStyle name="Millares 2 2 2 2 34" xfId="1368" xr:uid="{00000000-0005-0000-0000-000008050000}"/>
    <cellStyle name="Millares 2 2 2 2 35" xfId="1369" xr:uid="{00000000-0005-0000-0000-000009050000}"/>
    <cellStyle name="Millares 2 2 2 2 36" xfId="1370" xr:uid="{00000000-0005-0000-0000-00000A050000}"/>
    <cellStyle name="Millares 2 2 2 2 37" xfId="1371" xr:uid="{00000000-0005-0000-0000-00000B050000}"/>
    <cellStyle name="Millares 2 2 2 2 38" xfId="1372" xr:uid="{00000000-0005-0000-0000-00000C050000}"/>
    <cellStyle name="Millares 2 2 2 2 39" xfId="1373" xr:uid="{00000000-0005-0000-0000-00000D050000}"/>
    <cellStyle name="Millares 2 2 2 2 39 10" xfId="1374" xr:uid="{00000000-0005-0000-0000-00000E050000}"/>
    <cellStyle name="Millares 2 2 2 2 39 2" xfId="1375" xr:uid="{00000000-0005-0000-0000-00000F050000}"/>
    <cellStyle name="Millares 2 2 2 2 39 3" xfId="1376" xr:uid="{00000000-0005-0000-0000-000010050000}"/>
    <cellStyle name="Millares 2 2 2 2 39 4" xfId="1377" xr:uid="{00000000-0005-0000-0000-000011050000}"/>
    <cellStyle name="Millares 2 2 2 2 39 5" xfId="1378" xr:uid="{00000000-0005-0000-0000-000012050000}"/>
    <cellStyle name="Millares 2 2 2 2 39 6" xfId="1379" xr:uid="{00000000-0005-0000-0000-000013050000}"/>
    <cellStyle name="Millares 2 2 2 2 39 7" xfId="1380" xr:uid="{00000000-0005-0000-0000-000014050000}"/>
    <cellStyle name="Millares 2 2 2 2 39 8" xfId="1381" xr:uid="{00000000-0005-0000-0000-000015050000}"/>
    <cellStyle name="Millares 2 2 2 2 39 9" xfId="1382" xr:uid="{00000000-0005-0000-0000-000016050000}"/>
    <cellStyle name="Millares 2 2 2 2 4" xfId="1383" xr:uid="{00000000-0005-0000-0000-000017050000}"/>
    <cellStyle name="Millares 2 2 2 2 4 10" xfId="1384" xr:uid="{00000000-0005-0000-0000-000018050000}"/>
    <cellStyle name="Millares 2 2 2 2 4 11" xfId="1385" xr:uid="{00000000-0005-0000-0000-000019050000}"/>
    <cellStyle name="Millares 2 2 2 2 4 12" xfId="1386" xr:uid="{00000000-0005-0000-0000-00001A050000}"/>
    <cellStyle name="Millares 2 2 2 2 4 13" xfId="1387" xr:uid="{00000000-0005-0000-0000-00001B050000}"/>
    <cellStyle name="Millares 2 2 2 2 4 14" xfId="1388" xr:uid="{00000000-0005-0000-0000-00001C050000}"/>
    <cellStyle name="Millares 2 2 2 2 4 15" xfId="1389" xr:uid="{00000000-0005-0000-0000-00001D050000}"/>
    <cellStyle name="Millares 2 2 2 2 4 16" xfId="1390" xr:uid="{00000000-0005-0000-0000-00001E050000}"/>
    <cellStyle name="Millares 2 2 2 2 4 17" xfId="1391" xr:uid="{00000000-0005-0000-0000-00001F050000}"/>
    <cellStyle name="Millares 2 2 2 2 4 18" xfId="1392" xr:uid="{00000000-0005-0000-0000-000020050000}"/>
    <cellStyle name="Millares 2 2 2 2 4 19" xfId="1393" xr:uid="{00000000-0005-0000-0000-000021050000}"/>
    <cellStyle name="Millares 2 2 2 2 4 2" xfId="1394" xr:uid="{00000000-0005-0000-0000-000022050000}"/>
    <cellStyle name="Millares 2 2 2 2 4 2 10" xfId="1395" xr:uid="{00000000-0005-0000-0000-000023050000}"/>
    <cellStyle name="Millares 2 2 2 2 4 2 11" xfId="1396" xr:uid="{00000000-0005-0000-0000-000024050000}"/>
    <cellStyle name="Millares 2 2 2 2 4 2 12" xfId="1397" xr:uid="{00000000-0005-0000-0000-000025050000}"/>
    <cellStyle name="Millares 2 2 2 2 4 2 13" xfId="1398" xr:uid="{00000000-0005-0000-0000-000026050000}"/>
    <cellStyle name="Millares 2 2 2 2 4 2 14" xfId="1399" xr:uid="{00000000-0005-0000-0000-000027050000}"/>
    <cellStyle name="Millares 2 2 2 2 4 2 15" xfId="1400" xr:uid="{00000000-0005-0000-0000-000028050000}"/>
    <cellStyle name="Millares 2 2 2 2 4 2 16" xfId="1401" xr:uid="{00000000-0005-0000-0000-000029050000}"/>
    <cellStyle name="Millares 2 2 2 2 4 2 17" xfId="1402" xr:uid="{00000000-0005-0000-0000-00002A050000}"/>
    <cellStyle name="Millares 2 2 2 2 4 2 18" xfId="1403" xr:uid="{00000000-0005-0000-0000-00002B050000}"/>
    <cellStyle name="Millares 2 2 2 2 4 2 19" xfId="1404" xr:uid="{00000000-0005-0000-0000-00002C050000}"/>
    <cellStyle name="Millares 2 2 2 2 4 2 2" xfId="1405" xr:uid="{00000000-0005-0000-0000-00002D050000}"/>
    <cellStyle name="Millares 2 2 2 2 4 2 20" xfId="1406" xr:uid="{00000000-0005-0000-0000-00002E050000}"/>
    <cellStyle name="Millares 2 2 2 2 4 2 3" xfId="1407" xr:uid="{00000000-0005-0000-0000-00002F050000}"/>
    <cellStyle name="Millares 2 2 2 2 4 2 4" xfId="1408" xr:uid="{00000000-0005-0000-0000-000030050000}"/>
    <cellStyle name="Millares 2 2 2 2 4 2 5" xfId="1409" xr:uid="{00000000-0005-0000-0000-000031050000}"/>
    <cellStyle name="Millares 2 2 2 2 4 2 6" xfId="1410" xr:uid="{00000000-0005-0000-0000-000032050000}"/>
    <cellStyle name="Millares 2 2 2 2 4 2 7" xfId="1411" xr:uid="{00000000-0005-0000-0000-000033050000}"/>
    <cellStyle name="Millares 2 2 2 2 4 2 8" xfId="1412" xr:uid="{00000000-0005-0000-0000-000034050000}"/>
    <cellStyle name="Millares 2 2 2 2 4 2 9" xfId="1413" xr:uid="{00000000-0005-0000-0000-000035050000}"/>
    <cellStyle name="Millares 2 2 2 2 4 20" xfId="1414" xr:uid="{00000000-0005-0000-0000-000036050000}"/>
    <cellStyle name="Millares 2 2 2 2 4 3" xfId="1415" xr:uid="{00000000-0005-0000-0000-000037050000}"/>
    <cellStyle name="Millares 2 2 2 2 4 4" xfId="1416" xr:uid="{00000000-0005-0000-0000-000038050000}"/>
    <cellStyle name="Millares 2 2 2 2 4 5" xfId="1417" xr:uid="{00000000-0005-0000-0000-000039050000}"/>
    <cellStyle name="Millares 2 2 2 2 4 6" xfId="1418" xr:uid="{00000000-0005-0000-0000-00003A050000}"/>
    <cellStyle name="Millares 2 2 2 2 4 7" xfId="1419" xr:uid="{00000000-0005-0000-0000-00003B050000}"/>
    <cellStyle name="Millares 2 2 2 2 4 8" xfId="1420" xr:uid="{00000000-0005-0000-0000-00003C050000}"/>
    <cellStyle name="Millares 2 2 2 2 4 9" xfId="1421" xr:uid="{00000000-0005-0000-0000-00003D050000}"/>
    <cellStyle name="Millares 2 2 2 2 40" xfId="1422" xr:uid="{00000000-0005-0000-0000-00003E050000}"/>
    <cellStyle name="Millares 2 2 2 2 41" xfId="1423" xr:uid="{00000000-0005-0000-0000-00003F050000}"/>
    <cellStyle name="Millares 2 2 2 2 42" xfId="1424" xr:uid="{00000000-0005-0000-0000-000040050000}"/>
    <cellStyle name="Millares 2 2 2 2 43" xfId="1425" xr:uid="{00000000-0005-0000-0000-000041050000}"/>
    <cellStyle name="Millares 2 2 2 2 44" xfId="1426" xr:uid="{00000000-0005-0000-0000-000042050000}"/>
    <cellStyle name="Millares 2 2 2 2 45" xfId="1427" xr:uid="{00000000-0005-0000-0000-000043050000}"/>
    <cellStyle name="Millares 2 2 2 2 46" xfId="1428" xr:uid="{00000000-0005-0000-0000-000044050000}"/>
    <cellStyle name="Millares 2 2 2 2 47" xfId="1429" xr:uid="{00000000-0005-0000-0000-000045050000}"/>
    <cellStyle name="Millares 2 2 2 2 48" xfId="1430" xr:uid="{00000000-0005-0000-0000-000046050000}"/>
    <cellStyle name="Millares 2 2 2 2 5" xfId="1431" xr:uid="{00000000-0005-0000-0000-000047050000}"/>
    <cellStyle name="Millares 2 2 2 2 6" xfId="1432" xr:uid="{00000000-0005-0000-0000-000048050000}"/>
    <cellStyle name="Millares 2 2 2 2 7" xfId="1433" xr:uid="{00000000-0005-0000-0000-000049050000}"/>
    <cellStyle name="Millares 2 2 2 2 8" xfId="1434" xr:uid="{00000000-0005-0000-0000-00004A050000}"/>
    <cellStyle name="Millares 2 2 2 2 9" xfId="1435" xr:uid="{00000000-0005-0000-0000-00004B050000}"/>
    <cellStyle name="Millares 2 2 2 20" xfId="1436" xr:uid="{00000000-0005-0000-0000-00004C050000}"/>
    <cellStyle name="Millares 2 2 2 21" xfId="1437" xr:uid="{00000000-0005-0000-0000-00004D050000}"/>
    <cellStyle name="Millares 2 2 2 22" xfId="1438" xr:uid="{00000000-0005-0000-0000-00004E050000}"/>
    <cellStyle name="Millares 2 2 2 23" xfId="1439" xr:uid="{00000000-0005-0000-0000-00004F050000}"/>
    <cellStyle name="Millares 2 2 2 24" xfId="1440" xr:uid="{00000000-0005-0000-0000-000050050000}"/>
    <cellStyle name="Millares 2 2 2 25" xfId="1441" xr:uid="{00000000-0005-0000-0000-000051050000}"/>
    <cellStyle name="Millares 2 2 2 26" xfId="1442" xr:uid="{00000000-0005-0000-0000-000052050000}"/>
    <cellStyle name="Millares 2 2 2 27" xfId="1443" xr:uid="{00000000-0005-0000-0000-000053050000}"/>
    <cellStyle name="Millares 2 2 2 28" xfId="1444" xr:uid="{00000000-0005-0000-0000-000054050000}"/>
    <cellStyle name="Millares 2 2 2 29" xfId="1445" xr:uid="{00000000-0005-0000-0000-000055050000}"/>
    <cellStyle name="Millares 2 2 2 3" xfId="1446" xr:uid="{00000000-0005-0000-0000-000056050000}"/>
    <cellStyle name="Millares 2 2 2 3 10" xfId="1447" xr:uid="{00000000-0005-0000-0000-000057050000}"/>
    <cellStyle name="Millares 2 2 2 3 11" xfId="1448" xr:uid="{00000000-0005-0000-0000-000058050000}"/>
    <cellStyle name="Millares 2 2 2 3 12" xfId="1449" xr:uid="{00000000-0005-0000-0000-000059050000}"/>
    <cellStyle name="Millares 2 2 2 3 13" xfId="1450" xr:uid="{00000000-0005-0000-0000-00005A050000}"/>
    <cellStyle name="Millares 2 2 2 3 14" xfId="1451" xr:uid="{00000000-0005-0000-0000-00005B050000}"/>
    <cellStyle name="Millares 2 2 2 3 15" xfId="1452" xr:uid="{00000000-0005-0000-0000-00005C050000}"/>
    <cellStyle name="Millares 2 2 2 3 16" xfId="1453" xr:uid="{00000000-0005-0000-0000-00005D050000}"/>
    <cellStyle name="Millares 2 2 2 3 17" xfId="1454" xr:uid="{00000000-0005-0000-0000-00005E050000}"/>
    <cellStyle name="Millares 2 2 2 3 18" xfId="1455" xr:uid="{00000000-0005-0000-0000-00005F050000}"/>
    <cellStyle name="Millares 2 2 2 3 19" xfId="1456" xr:uid="{00000000-0005-0000-0000-000060050000}"/>
    <cellStyle name="Millares 2 2 2 3 2" xfId="1457" xr:uid="{00000000-0005-0000-0000-000061050000}"/>
    <cellStyle name="Millares 2 2 2 3 2 10" xfId="1458" xr:uid="{00000000-0005-0000-0000-000062050000}"/>
    <cellStyle name="Millares 2 2 2 3 2 11" xfId="1459" xr:uid="{00000000-0005-0000-0000-000063050000}"/>
    <cellStyle name="Millares 2 2 2 3 2 12" xfId="1460" xr:uid="{00000000-0005-0000-0000-000064050000}"/>
    <cellStyle name="Millares 2 2 2 3 2 13" xfId="1461" xr:uid="{00000000-0005-0000-0000-000065050000}"/>
    <cellStyle name="Millares 2 2 2 3 2 14" xfId="1462" xr:uid="{00000000-0005-0000-0000-000066050000}"/>
    <cellStyle name="Millares 2 2 2 3 2 15" xfId="1463" xr:uid="{00000000-0005-0000-0000-000067050000}"/>
    <cellStyle name="Millares 2 2 2 3 2 16" xfId="1464" xr:uid="{00000000-0005-0000-0000-000068050000}"/>
    <cellStyle name="Millares 2 2 2 3 2 17" xfId="1465" xr:uid="{00000000-0005-0000-0000-000069050000}"/>
    <cellStyle name="Millares 2 2 2 3 2 18" xfId="1466" xr:uid="{00000000-0005-0000-0000-00006A050000}"/>
    <cellStyle name="Millares 2 2 2 3 2 19" xfId="1467" xr:uid="{00000000-0005-0000-0000-00006B050000}"/>
    <cellStyle name="Millares 2 2 2 3 2 2" xfId="1468" xr:uid="{00000000-0005-0000-0000-00006C050000}"/>
    <cellStyle name="Millares 2 2 2 3 2 2 10" xfId="1469" xr:uid="{00000000-0005-0000-0000-00006D050000}"/>
    <cellStyle name="Millares 2 2 2 3 2 2 11" xfId="1470" xr:uid="{00000000-0005-0000-0000-00006E050000}"/>
    <cellStyle name="Millares 2 2 2 3 2 2 12" xfId="1471" xr:uid="{00000000-0005-0000-0000-00006F050000}"/>
    <cellStyle name="Millares 2 2 2 3 2 2 13" xfId="1472" xr:uid="{00000000-0005-0000-0000-000070050000}"/>
    <cellStyle name="Millares 2 2 2 3 2 2 14" xfId="1473" xr:uid="{00000000-0005-0000-0000-000071050000}"/>
    <cellStyle name="Millares 2 2 2 3 2 2 15" xfId="1474" xr:uid="{00000000-0005-0000-0000-000072050000}"/>
    <cellStyle name="Millares 2 2 2 3 2 2 16" xfId="1475" xr:uid="{00000000-0005-0000-0000-000073050000}"/>
    <cellStyle name="Millares 2 2 2 3 2 2 17" xfId="1476" xr:uid="{00000000-0005-0000-0000-000074050000}"/>
    <cellStyle name="Millares 2 2 2 3 2 2 18" xfId="1477" xr:uid="{00000000-0005-0000-0000-000075050000}"/>
    <cellStyle name="Millares 2 2 2 3 2 2 19" xfId="1478" xr:uid="{00000000-0005-0000-0000-000076050000}"/>
    <cellStyle name="Millares 2 2 2 3 2 2 2" xfId="1479" xr:uid="{00000000-0005-0000-0000-000077050000}"/>
    <cellStyle name="Millares 2 2 2 3 2 2 20" xfId="1480" xr:uid="{00000000-0005-0000-0000-000078050000}"/>
    <cellStyle name="Millares 2 2 2 3 2 2 3" xfId="1481" xr:uid="{00000000-0005-0000-0000-000079050000}"/>
    <cellStyle name="Millares 2 2 2 3 2 2 4" xfId="1482" xr:uid="{00000000-0005-0000-0000-00007A050000}"/>
    <cellStyle name="Millares 2 2 2 3 2 2 5" xfId="1483" xr:uid="{00000000-0005-0000-0000-00007B050000}"/>
    <cellStyle name="Millares 2 2 2 3 2 2 6" xfId="1484" xr:uid="{00000000-0005-0000-0000-00007C050000}"/>
    <cellStyle name="Millares 2 2 2 3 2 2 7" xfId="1485" xr:uid="{00000000-0005-0000-0000-00007D050000}"/>
    <cellStyle name="Millares 2 2 2 3 2 2 8" xfId="1486" xr:uid="{00000000-0005-0000-0000-00007E050000}"/>
    <cellStyle name="Millares 2 2 2 3 2 2 9" xfId="1487" xr:uid="{00000000-0005-0000-0000-00007F050000}"/>
    <cellStyle name="Millares 2 2 2 3 2 20" xfId="1488" xr:uid="{00000000-0005-0000-0000-000080050000}"/>
    <cellStyle name="Millares 2 2 2 3 2 3" xfId="1489" xr:uid="{00000000-0005-0000-0000-000081050000}"/>
    <cellStyle name="Millares 2 2 2 3 2 4" xfId="1490" xr:uid="{00000000-0005-0000-0000-000082050000}"/>
    <cellStyle name="Millares 2 2 2 3 2 5" xfId="1491" xr:uid="{00000000-0005-0000-0000-000083050000}"/>
    <cellStyle name="Millares 2 2 2 3 2 6" xfId="1492" xr:uid="{00000000-0005-0000-0000-000084050000}"/>
    <cellStyle name="Millares 2 2 2 3 2 7" xfId="1493" xr:uid="{00000000-0005-0000-0000-000085050000}"/>
    <cellStyle name="Millares 2 2 2 3 2 8" xfId="1494" xr:uid="{00000000-0005-0000-0000-000086050000}"/>
    <cellStyle name="Millares 2 2 2 3 2 9" xfId="1495" xr:uid="{00000000-0005-0000-0000-000087050000}"/>
    <cellStyle name="Millares 2 2 2 3 20" xfId="1496" xr:uid="{00000000-0005-0000-0000-000088050000}"/>
    <cellStyle name="Millares 2 2 2 3 21" xfId="1497" xr:uid="{00000000-0005-0000-0000-000089050000}"/>
    <cellStyle name="Millares 2 2 2 3 22" xfId="1498" xr:uid="{00000000-0005-0000-0000-00008A050000}"/>
    <cellStyle name="Millares 2 2 2 3 23" xfId="1499" xr:uid="{00000000-0005-0000-0000-00008B050000}"/>
    <cellStyle name="Millares 2 2 2 3 24" xfId="1500" xr:uid="{00000000-0005-0000-0000-00008C050000}"/>
    <cellStyle name="Millares 2 2 2 3 25" xfId="1501" xr:uid="{00000000-0005-0000-0000-00008D050000}"/>
    <cellStyle name="Millares 2 2 2 3 26" xfId="1502" xr:uid="{00000000-0005-0000-0000-00008E050000}"/>
    <cellStyle name="Millares 2 2 2 3 27" xfId="1503" xr:uid="{00000000-0005-0000-0000-00008F050000}"/>
    <cellStyle name="Millares 2 2 2 3 28" xfId="1504" xr:uid="{00000000-0005-0000-0000-000090050000}"/>
    <cellStyle name="Millares 2 2 2 3 29" xfId="1505" xr:uid="{00000000-0005-0000-0000-000091050000}"/>
    <cellStyle name="Millares 2 2 2 3 3" xfId="1506" xr:uid="{00000000-0005-0000-0000-000092050000}"/>
    <cellStyle name="Millares 2 2 2 3 30" xfId="1507" xr:uid="{00000000-0005-0000-0000-000093050000}"/>
    <cellStyle name="Millares 2 2 2 3 31" xfId="1508" xr:uid="{00000000-0005-0000-0000-000094050000}"/>
    <cellStyle name="Millares 2 2 2 3 32" xfId="1509" xr:uid="{00000000-0005-0000-0000-000095050000}"/>
    <cellStyle name="Millares 2 2 2 3 33" xfId="1510" xr:uid="{00000000-0005-0000-0000-000096050000}"/>
    <cellStyle name="Millares 2 2 2 3 4" xfId="1511" xr:uid="{00000000-0005-0000-0000-000097050000}"/>
    <cellStyle name="Millares 2 2 2 3 5" xfId="1512" xr:uid="{00000000-0005-0000-0000-000098050000}"/>
    <cellStyle name="Millares 2 2 2 3 6" xfId="1513" xr:uid="{00000000-0005-0000-0000-000099050000}"/>
    <cellStyle name="Millares 2 2 2 3 7" xfId="1514" xr:uid="{00000000-0005-0000-0000-00009A050000}"/>
    <cellStyle name="Millares 2 2 2 3 8" xfId="1515" xr:uid="{00000000-0005-0000-0000-00009B050000}"/>
    <cellStyle name="Millares 2 2 2 3 9" xfId="1516" xr:uid="{00000000-0005-0000-0000-00009C050000}"/>
    <cellStyle name="Millares 2 2 2 30" xfId="1517" xr:uid="{00000000-0005-0000-0000-00009D050000}"/>
    <cellStyle name="Millares 2 2 2 31" xfId="1518" xr:uid="{00000000-0005-0000-0000-00009E050000}"/>
    <cellStyle name="Millares 2 2 2 32" xfId="1519" xr:uid="{00000000-0005-0000-0000-00009F050000}"/>
    <cellStyle name="Millares 2 2 2 33" xfId="1520" xr:uid="{00000000-0005-0000-0000-0000A0050000}"/>
    <cellStyle name="Millares 2 2 2 34" xfId="1521" xr:uid="{00000000-0005-0000-0000-0000A1050000}"/>
    <cellStyle name="Millares 2 2 2 35" xfId="1522" xr:uid="{00000000-0005-0000-0000-0000A2050000}"/>
    <cellStyle name="Millares 2 2 2 36" xfId="1523" xr:uid="{00000000-0005-0000-0000-0000A3050000}"/>
    <cellStyle name="Millares 2 2 2 37" xfId="1524" xr:uid="{00000000-0005-0000-0000-0000A4050000}"/>
    <cellStyle name="Millares 2 2 2 38" xfId="1525" xr:uid="{00000000-0005-0000-0000-0000A5050000}"/>
    <cellStyle name="Millares 2 2 2 39" xfId="1526" xr:uid="{00000000-0005-0000-0000-0000A6050000}"/>
    <cellStyle name="Millares 2 2 2 39 10" xfId="1527" xr:uid="{00000000-0005-0000-0000-0000A7050000}"/>
    <cellStyle name="Millares 2 2 2 39 2" xfId="1528" xr:uid="{00000000-0005-0000-0000-0000A8050000}"/>
    <cellStyle name="Millares 2 2 2 39 3" xfId="1529" xr:uid="{00000000-0005-0000-0000-0000A9050000}"/>
    <cellStyle name="Millares 2 2 2 39 4" xfId="1530" xr:uid="{00000000-0005-0000-0000-0000AA050000}"/>
    <cellStyle name="Millares 2 2 2 39 5" xfId="1531" xr:uid="{00000000-0005-0000-0000-0000AB050000}"/>
    <cellStyle name="Millares 2 2 2 39 6" xfId="1532" xr:uid="{00000000-0005-0000-0000-0000AC050000}"/>
    <cellStyle name="Millares 2 2 2 39 7" xfId="1533" xr:uid="{00000000-0005-0000-0000-0000AD050000}"/>
    <cellStyle name="Millares 2 2 2 39 8" xfId="1534" xr:uid="{00000000-0005-0000-0000-0000AE050000}"/>
    <cellStyle name="Millares 2 2 2 39 9" xfId="1535" xr:uid="{00000000-0005-0000-0000-0000AF050000}"/>
    <cellStyle name="Millares 2 2 2 4" xfId="1536" xr:uid="{00000000-0005-0000-0000-0000B0050000}"/>
    <cellStyle name="Millares 2 2 2 4 10" xfId="1537" xr:uid="{00000000-0005-0000-0000-0000B1050000}"/>
    <cellStyle name="Millares 2 2 2 4 11" xfId="1538" xr:uid="{00000000-0005-0000-0000-0000B2050000}"/>
    <cellStyle name="Millares 2 2 2 4 12" xfId="1539" xr:uid="{00000000-0005-0000-0000-0000B3050000}"/>
    <cellStyle name="Millares 2 2 2 4 13" xfId="1540" xr:uid="{00000000-0005-0000-0000-0000B4050000}"/>
    <cellStyle name="Millares 2 2 2 4 14" xfId="1541" xr:uid="{00000000-0005-0000-0000-0000B5050000}"/>
    <cellStyle name="Millares 2 2 2 4 15" xfId="1542" xr:uid="{00000000-0005-0000-0000-0000B6050000}"/>
    <cellStyle name="Millares 2 2 2 4 16" xfId="1543" xr:uid="{00000000-0005-0000-0000-0000B7050000}"/>
    <cellStyle name="Millares 2 2 2 4 17" xfId="1544" xr:uid="{00000000-0005-0000-0000-0000B8050000}"/>
    <cellStyle name="Millares 2 2 2 4 18" xfId="1545" xr:uid="{00000000-0005-0000-0000-0000B9050000}"/>
    <cellStyle name="Millares 2 2 2 4 19" xfId="1546" xr:uid="{00000000-0005-0000-0000-0000BA050000}"/>
    <cellStyle name="Millares 2 2 2 4 2" xfId="1547" xr:uid="{00000000-0005-0000-0000-0000BB050000}"/>
    <cellStyle name="Millares 2 2 2 4 2 10" xfId="1548" xr:uid="{00000000-0005-0000-0000-0000BC050000}"/>
    <cellStyle name="Millares 2 2 2 4 2 11" xfId="1549" xr:uid="{00000000-0005-0000-0000-0000BD050000}"/>
    <cellStyle name="Millares 2 2 2 4 2 12" xfId="1550" xr:uid="{00000000-0005-0000-0000-0000BE050000}"/>
    <cellStyle name="Millares 2 2 2 4 2 13" xfId="1551" xr:uid="{00000000-0005-0000-0000-0000BF050000}"/>
    <cellStyle name="Millares 2 2 2 4 2 14" xfId="1552" xr:uid="{00000000-0005-0000-0000-0000C0050000}"/>
    <cellStyle name="Millares 2 2 2 4 2 15" xfId="1553" xr:uid="{00000000-0005-0000-0000-0000C1050000}"/>
    <cellStyle name="Millares 2 2 2 4 2 16" xfId="1554" xr:uid="{00000000-0005-0000-0000-0000C2050000}"/>
    <cellStyle name="Millares 2 2 2 4 2 17" xfId="1555" xr:uid="{00000000-0005-0000-0000-0000C3050000}"/>
    <cellStyle name="Millares 2 2 2 4 2 18" xfId="1556" xr:uid="{00000000-0005-0000-0000-0000C4050000}"/>
    <cellStyle name="Millares 2 2 2 4 2 19" xfId="1557" xr:uid="{00000000-0005-0000-0000-0000C5050000}"/>
    <cellStyle name="Millares 2 2 2 4 2 2" xfId="1558" xr:uid="{00000000-0005-0000-0000-0000C6050000}"/>
    <cellStyle name="Millares 2 2 2 4 2 20" xfId="1559" xr:uid="{00000000-0005-0000-0000-0000C7050000}"/>
    <cellStyle name="Millares 2 2 2 4 2 3" xfId="1560" xr:uid="{00000000-0005-0000-0000-0000C8050000}"/>
    <cellStyle name="Millares 2 2 2 4 2 4" xfId="1561" xr:uid="{00000000-0005-0000-0000-0000C9050000}"/>
    <cellStyle name="Millares 2 2 2 4 2 5" xfId="1562" xr:uid="{00000000-0005-0000-0000-0000CA050000}"/>
    <cellStyle name="Millares 2 2 2 4 2 6" xfId="1563" xr:uid="{00000000-0005-0000-0000-0000CB050000}"/>
    <cellStyle name="Millares 2 2 2 4 2 7" xfId="1564" xr:uid="{00000000-0005-0000-0000-0000CC050000}"/>
    <cellStyle name="Millares 2 2 2 4 2 8" xfId="1565" xr:uid="{00000000-0005-0000-0000-0000CD050000}"/>
    <cellStyle name="Millares 2 2 2 4 2 9" xfId="1566" xr:uid="{00000000-0005-0000-0000-0000CE050000}"/>
    <cellStyle name="Millares 2 2 2 4 20" xfId="1567" xr:uid="{00000000-0005-0000-0000-0000CF050000}"/>
    <cellStyle name="Millares 2 2 2 4 3" xfId="1568" xr:uid="{00000000-0005-0000-0000-0000D0050000}"/>
    <cellStyle name="Millares 2 2 2 4 4" xfId="1569" xr:uid="{00000000-0005-0000-0000-0000D1050000}"/>
    <cellStyle name="Millares 2 2 2 4 5" xfId="1570" xr:uid="{00000000-0005-0000-0000-0000D2050000}"/>
    <cellStyle name="Millares 2 2 2 4 6" xfId="1571" xr:uid="{00000000-0005-0000-0000-0000D3050000}"/>
    <cellStyle name="Millares 2 2 2 4 7" xfId="1572" xr:uid="{00000000-0005-0000-0000-0000D4050000}"/>
    <cellStyle name="Millares 2 2 2 4 8" xfId="1573" xr:uid="{00000000-0005-0000-0000-0000D5050000}"/>
    <cellStyle name="Millares 2 2 2 4 9" xfId="1574" xr:uid="{00000000-0005-0000-0000-0000D6050000}"/>
    <cellStyle name="Millares 2 2 2 40" xfId="1575" xr:uid="{00000000-0005-0000-0000-0000D7050000}"/>
    <cellStyle name="Millares 2 2 2 41" xfId="1576" xr:uid="{00000000-0005-0000-0000-0000D8050000}"/>
    <cellStyle name="Millares 2 2 2 42" xfId="1577" xr:uid="{00000000-0005-0000-0000-0000D9050000}"/>
    <cellStyle name="Millares 2 2 2 43" xfId="1578" xr:uid="{00000000-0005-0000-0000-0000DA050000}"/>
    <cellStyle name="Millares 2 2 2 44" xfId="1579" xr:uid="{00000000-0005-0000-0000-0000DB050000}"/>
    <cellStyle name="Millares 2 2 2 45" xfId="1580" xr:uid="{00000000-0005-0000-0000-0000DC050000}"/>
    <cellStyle name="Millares 2 2 2 46" xfId="1581" xr:uid="{00000000-0005-0000-0000-0000DD050000}"/>
    <cellStyle name="Millares 2 2 2 47" xfId="1582" xr:uid="{00000000-0005-0000-0000-0000DE050000}"/>
    <cellStyle name="Millares 2 2 2 48" xfId="1583" xr:uid="{00000000-0005-0000-0000-0000DF050000}"/>
    <cellStyle name="Millares 2 2 2 49" xfId="1584" xr:uid="{00000000-0005-0000-0000-0000E0050000}"/>
    <cellStyle name="Millares 2 2 2 5" xfId="1585" xr:uid="{00000000-0005-0000-0000-0000E1050000}"/>
    <cellStyle name="Millares 2 2 2 6" xfId="1586" xr:uid="{00000000-0005-0000-0000-0000E2050000}"/>
    <cellStyle name="Millares 2 2 2 7" xfId="1587" xr:uid="{00000000-0005-0000-0000-0000E3050000}"/>
    <cellStyle name="Millares 2 2 2 8" xfId="1588" xr:uid="{00000000-0005-0000-0000-0000E4050000}"/>
    <cellStyle name="Millares 2 2 2 9" xfId="1589" xr:uid="{00000000-0005-0000-0000-0000E5050000}"/>
    <cellStyle name="Millares 2 2 20" xfId="1590" xr:uid="{00000000-0005-0000-0000-0000E6050000}"/>
    <cellStyle name="Millares 2 2 21" xfId="1591" xr:uid="{00000000-0005-0000-0000-0000E7050000}"/>
    <cellStyle name="Millares 2 2 22" xfId="1592" xr:uid="{00000000-0005-0000-0000-0000E8050000}"/>
    <cellStyle name="Millares 2 2 23" xfId="1593" xr:uid="{00000000-0005-0000-0000-0000E9050000}"/>
    <cellStyle name="Millares 2 2 24" xfId="1594" xr:uid="{00000000-0005-0000-0000-0000EA050000}"/>
    <cellStyle name="Millares 2 2 25" xfId="1595" xr:uid="{00000000-0005-0000-0000-0000EB050000}"/>
    <cellStyle name="Millares 2 2 26" xfId="1596" xr:uid="{00000000-0005-0000-0000-0000EC050000}"/>
    <cellStyle name="Millares 2 2 27" xfId="1597" xr:uid="{00000000-0005-0000-0000-0000ED050000}"/>
    <cellStyle name="Millares 2 2 28" xfId="1598" xr:uid="{00000000-0005-0000-0000-0000EE050000}"/>
    <cellStyle name="Millares 2 2 29" xfId="1599" xr:uid="{00000000-0005-0000-0000-0000EF050000}"/>
    <cellStyle name="Millares 2 2 3" xfId="1600" xr:uid="{00000000-0005-0000-0000-0000F0050000}"/>
    <cellStyle name="Millares 2 2 3 10" xfId="1601" xr:uid="{00000000-0005-0000-0000-0000F1050000}"/>
    <cellStyle name="Millares 2 2 3 11" xfId="1602" xr:uid="{00000000-0005-0000-0000-0000F2050000}"/>
    <cellStyle name="Millares 2 2 3 12" xfId="1603" xr:uid="{00000000-0005-0000-0000-0000F3050000}"/>
    <cellStyle name="Millares 2 2 3 13" xfId="1604" xr:uid="{00000000-0005-0000-0000-0000F4050000}"/>
    <cellStyle name="Millares 2 2 3 14" xfId="1605" xr:uid="{00000000-0005-0000-0000-0000F5050000}"/>
    <cellStyle name="Millares 2 2 3 15" xfId="1606" xr:uid="{00000000-0005-0000-0000-0000F6050000}"/>
    <cellStyle name="Millares 2 2 3 16" xfId="1607" xr:uid="{00000000-0005-0000-0000-0000F7050000}"/>
    <cellStyle name="Millares 2 2 3 17" xfId="1608" xr:uid="{00000000-0005-0000-0000-0000F8050000}"/>
    <cellStyle name="Millares 2 2 3 18" xfId="1609" xr:uid="{00000000-0005-0000-0000-0000F9050000}"/>
    <cellStyle name="Millares 2 2 3 19" xfId="1610" xr:uid="{00000000-0005-0000-0000-0000FA050000}"/>
    <cellStyle name="Millares 2 2 3 2" xfId="1611" xr:uid="{00000000-0005-0000-0000-0000FB050000}"/>
    <cellStyle name="Millares 2 2 3 2 10" xfId="1612" xr:uid="{00000000-0005-0000-0000-0000FC050000}"/>
    <cellStyle name="Millares 2 2 3 2 11" xfId="1613" xr:uid="{00000000-0005-0000-0000-0000FD050000}"/>
    <cellStyle name="Millares 2 2 3 2 12" xfId="1614" xr:uid="{00000000-0005-0000-0000-0000FE050000}"/>
    <cellStyle name="Millares 2 2 3 2 13" xfId="1615" xr:uid="{00000000-0005-0000-0000-0000FF050000}"/>
    <cellStyle name="Millares 2 2 3 2 14" xfId="1616" xr:uid="{00000000-0005-0000-0000-000000060000}"/>
    <cellStyle name="Millares 2 2 3 2 15" xfId="1617" xr:uid="{00000000-0005-0000-0000-000001060000}"/>
    <cellStyle name="Millares 2 2 3 2 16" xfId="1618" xr:uid="{00000000-0005-0000-0000-000002060000}"/>
    <cellStyle name="Millares 2 2 3 2 17" xfId="1619" xr:uid="{00000000-0005-0000-0000-000003060000}"/>
    <cellStyle name="Millares 2 2 3 2 18" xfId="1620" xr:uid="{00000000-0005-0000-0000-000004060000}"/>
    <cellStyle name="Millares 2 2 3 2 19" xfId="1621" xr:uid="{00000000-0005-0000-0000-000005060000}"/>
    <cellStyle name="Millares 2 2 3 2 2" xfId="1622" xr:uid="{00000000-0005-0000-0000-000006060000}"/>
    <cellStyle name="Millares 2 2 3 2 2 10" xfId="1623" xr:uid="{00000000-0005-0000-0000-000007060000}"/>
    <cellStyle name="Millares 2 2 3 2 2 11" xfId="1624" xr:uid="{00000000-0005-0000-0000-000008060000}"/>
    <cellStyle name="Millares 2 2 3 2 2 12" xfId="1625" xr:uid="{00000000-0005-0000-0000-000009060000}"/>
    <cellStyle name="Millares 2 2 3 2 2 13" xfId="1626" xr:uid="{00000000-0005-0000-0000-00000A060000}"/>
    <cellStyle name="Millares 2 2 3 2 2 14" xfId="1627" xr:uid="{00000000-0005-0000-0000-00000B060000}"/>
    <cellStyle name="Millares 2 2 3 2 2 15" xfId="1628" xr:uid="{00000000-0005-0000-0000-00000C060000}"/>
    <cellStyle name="Millares 2 2 3 2 2 16" xfId="1629" xr:uid="{00000000-0005-0000-0000-00000D060000}"/>
    <cellStyle name="Millares 2 2 3 2 2 17" xfId="1630" xr:uid="{00000000-0005-0000-0000-00000E060000}"/>
    <cellStyle name="Millares 2 2 3 2 2 18" xfId="1631" xr:uid="{00000000-0005-0000-0000-00000F060000}"/>
    <cellStyle name="Millares 2 2 3 2 2 19" xfId="1632" xr:uid="{00000000-0005-0000-0000-000010060000}"/>
    <cellStyle name="Millares 2 2 3 2 2 2" xfId="1633" xr:uid="{00000000-0005-0000-0000-000011060000}"/>
    <cellStyle name="Millares 2 2 3 2 2 20" xfId="1634" xr:uid="{00000000-0005-0000-0000-000012060000}"/>
    <cellStyle name="Millares 2 2 3 2 2 3" xfId="1635" xr:uid="{00000000-0005-0000-0000-000013060000}"/>
    <cellStyle name="Millares 2 2 3 2 2 4" xfId="1636" xr:uid="{00000000-0005-0000-0000-000014060000}"/>
    <cellStyle name="Millares 2 2 3 2 2 5" xfId="1637" xr:uid="{00000000-0005-0000-0000-000015060000}"/>
    <cellStyle name="Millares 2 2 3 2 2 6" xfId="1638" xr:uid="{00000000-0005-0000-0000-000016060000}"/>
    <cellStyle name="Millares 2 2 3 2 2 7" xfId="1639" xr:uid="{00000000-0005-0000-0000-000017060000}"/>
    <cellStyle name="Millares 2 2 3 2 2 8" xfId="1640" xr:uid="{00000000-0005-0000-0000-000018060000}"/>
    <cellStyle name="Millares 2 2 3 2 2 9" xfId="1641" xr:uid="{00000000-0005-0000-0000-000019060000}"/>
    <cellStyle name="Millares 2 2 3 2 20" xfId="1642" xr:uid="{00000000-0005-0000-0000-00001A060000}"/>
    <cellStyle name="Millares 2 2 3 2 3" xfId="1643" xr:uid="{00000000-0005-0000-0000-00001B060000}"/>
    <cellStyle name="Millares 2 2 3 2 4" xfId="1644" xr:uid="{00000000-0005-0000-0000-00001C060000}"/>
    <cellStyle name="Millares 2 2 3 2 5" xfId="1645" xr:uid="{00000000-0005-0000-0000-00001D060000}"/>
    <cellStyle name="Millares 2 2 3 2 6" xfId="1646" xr:uid="{00000000-0005-0000-0000-00001E060000}"/>
    <cellStyle name="Millares 2 2 3 2 7" xfId="1647" xr:uid="{00000000-0005-0000-0000-00001F060000}"/>
    <cellStyle name="Millares 2 2 3 2 8" xfId="1648" xr:uid="{00000000-0005-0000-0000-000020060000}"/>
    <cellStyle name="Millares 2 2 3 2 9" xfId="1649" xr:uid="{00000000-0005-0000-0000-000021060000}"/>
    <cellStyle name="Millares 2 2 3 20" xfId="1650" xr:uid="{00000000-0005-0000-0000-000022060000}"/>
    <cellStyle name="Millares 2 2 3 21" xfId="1651" xr:uid="{00000000-0005-0000-0000-000023060000}"/>
    <cellStyle name="Millares 2 2 3 22" xfId="1652" xr:uid="{00000000-0005-0000-0000-000024060000}"/>
    <cellStyle name="Millares 2 2 3 23" xfId="1653" xr:uid="{00000000-0005-0000-0000-000025060000}"/>
    <cellStyle name="Millares 2 2 3 24" xfId="1654" xr:uid="{00000000-0005-0000-0000-000026060000}"/>
    <cellStyle name="Millares 2 2 3 25" xfId="1655" xr:uid="{00000000-0005-0000-0000-000027060000}"/>
    <cellStyle name="Millares 2 2 3 26" xfId="1656" xr:uid="{00000000-0005-0000-0000-000028060000}"/>
    <cellStyle name="Millares 2 2 3 27" xfId="1657" xr:uid="{00000000-0005-0000-0000-000029060000}"/>
    <cellStyle name="Millares 2 2 3 28" xfId="1658" xr:uid="{00000000-0005-0000-0000-00002A060000}"/>
    <cellStyle name="Millares 2 2 3 29" xfId="1659" xr:uid="{00000000-0005-0000-0000-00002B060000}"/>
    <cellStyle name="Millares 2 2 3 3" xfId="1660" xr:uid="{00000000-0005-0000-0000-00002C060000}"/>
    <cellStyle name="Millares 2 2 3 30" xfId="1661" xr:uid="{00000000-0005-0000-0000-00002D060000}"/>
    <cellStyle name="Millares 2 2 3 31" xfId="1662" xr:uid="{00000000-0005-0000-0000-00002E060000}"/>
    <cellStyle name="Millares 2 2 3 32" xfId="1663" xr:uid="{00000000-0005-0000-0000-00002F060000}"/>
    <cellStyle name="Millares 2 2 3 33" xfId="1664" xr:uid="{00000000-0005-0000-0000-000030060000}"/>
    <cellStyle name="Millares 2 2 3 34" xfId="1665" xr:uid="{00000000-0005-0000-0000-000031060000}"/>
    <cellStyle name="Millares 2 2 3 35" xfId="1666" xr:uid="{00000000-0005-0000-0000-000032060000}"/>
    <cellStyle name="Millares 2 2 3 4" xfId="1667" xr:uid="{00000000-0005-0000-0000-000033060000}"/>
    <cellStyle name="Millares 2 2 3 5" xfId="1668" xr:uid="{00000000-0005-0000-0000-000034060000}"/>
    <cellStyle name="Millares 2 2 3 6" xfId="1669" xr:uid="{00000000-0005-0000-0000-000035060000}"/>
    <cellStyle name="Millares 2 2 3 7" xfId="1670" xr:uid="{00000000-0005-0000-0000-000036060000}"/>
    <cellStyle name="Millares 2 2 3 8" xfId="1671" xr:uid="{00000000-0005-0000-0000-000037060000}"/>
    <cellStyle name="Millares 2 2 3 9" xfId="1672" xr:uid="{00000000-0005-0000-0000-000038060000}"/>
    <cellStyle name="Millares 2 2 30" xfId="1673" xr:uid="{00000000-0005-0000-0000-000039060000}"/>
    <cellStyle name="Millares 2 2 31" xfId="1674" xr:uid="{00000000-0005-0000-0000-00003A060000}"/>
    <cellStyle name="Millares 2 2 32" xfId="1675" xr:uid="{00000000-0005-0000-0000-00003B060000}"/>
    <cellStyle name="Millares 2 2 33" xfId="1676" xr:uid="{00000000-0005-0000-0000-00003C060000}"/>
    <cellStyle name="Millares 2 2 34" xfId="1677" xr:uid="{00000000-0005-0000-0000-00003D060000}"/>
    <cellStyle name="Millares 2 2 35" xfId="1678" xr:uid="{00000000-0005-0000-0000-00003E060000}"/>
    <cellStyle name="Millares 2 2 36" xfId="1679" xr:uid="{00000000-0005-0000-0000-00003F060000}"/>
    <cellStyle name="Millares 2 2 37" xfId="1680" xr:uid="{00000000-0005-0000-0000-000040060000}"/>
    <cellStyle name="Millares 2 2 38" xfId="1681" xr:uid="{00000000-0005-0000-0000-000041060000}"/>
    <cellStyle name="Millares 2 2 39" xfId="1682" xr:uid="{00000000-0005-0000-0000-000042060000}"/>
    <cellStyle name="Millares 2 2 39 10" xfId="1683" xr:uid="{00000000-0005-0000-0000-000043060000}"/>
    <cellStyle name="Millares 2 2 39 2" xfId="1684" xr:uid="{00000000-0005-0000-0000-000044060000}"/>
    <cellStyle name="Millares 2 2 39 3" xfId="1685" xr:uid="{00000000-0005-0000-0000-000045060000}"/>
    <cellStyle name="Millares 2 2 39 4" xfId="1686" xr:uid="{00000000-0005-0000-0000-000046060000}"/>
    <cellStyle name="Millares 2 2 39 5" xfId="1687" xr:uid="{00000000-0005-0000-0000-000047060000}"/>
    <cellStyle name="Millares 2 2 39 6" xfId="1688" xr:uid="{00000000-0005-0000-0000-000048060000}"/>
    <cellStyle name="Millares 2 2 39 7" xfId="1689" xr:uid="{00000000-0005-0000-0000-000049060000}"/>
    <cellStyle name="Millares 2 2 39 8" xfId="1690" xr:uid="{00000000-0005-0000-0000-00004A060000}"/>
    <cellStyle name="Millares 2 2 39 9" xfId="1691" xr:uid="{00000000-0005-0000-0000-00004B060000}"/>
    <cellStyle name="Millares 2 2 4" xfId="1692" xr:uid="{00000000-0005-0000-0000-00004C060000}"/>
    <cellStyle name="Millares 2 2 4 10" xfId="1693" xr:uid="{00000000-0005-0000-0000-00004D060000}"/>
    <cellStyle name="Millares 2 2 4 11" xfId="1694" xr:uid="{00000000-0005-0000-0000-00004E060000}"/>
    <cellStyle name="Millares 2 2 4 12" xfId="1695" xr:uid="{00000000-0005-0000-0000-00004F060000}"/>
    <cellStyle name="Millares 2 2 4 13" xfId="1696" xr:uid="{00000000-0005-0000-0000-000050060000}"/>
    <cellStyle name="Millares 2 2 4 14" xfId="1697" xr:uid="{00000000-0005-0000-0000-000051060000}"/>
    <cellStyle name="Millares 2 2 4 15" xfId="1698" xr:uid="{00000000-0005-0000-0000-000052060000}"/>
    <cellStyle name="Millares 2 2 4 16" xfId="1699" xr:uid="{00000000-0005-0000-0000-000053060000}"/>
    <cellStyle name="Millares 2 2 4 17" xfId="1700" xr:uid="{00000000-0005-0000-0000-000054060000}"/>
    <cellStyle name="Millares 2 2 4 18" xfId="1701" xr:uid="{00000000-0005-0000-0000-000055060000}"/>
    <cellStyle name="Millares 2 2 4 19" xfId="1702" xr:uid="{00000000-0005-0000-0000-000056060000}"/>
    <cellStyle name="Millares 2 2 4 2" xfId="1703" xr:uid="{00000000-0005-0000-0000-000057060000}"/>
    <cellStyle name="Millares 2 2 4 2 10" xfId="1704" xr:uid="{00000000-0005-0000-0000-000058060000}"/>
    <cellStyle name="Millares 2 2 4 2 11" xfId="1705" xr:uid="{00000000-0005-0000-0000-000059060000}"/>
    <cellStyle name="Millares 2 2 4 2 12" xfId="1706" xr:uid="{00000000-0005-0000-0000-00005A060000}"/>
    <cellStyle name="Millares 2 2 4 2 13" xfId="1707" xr:uid="{00000000-0005-0000-0000-00005B060000}"/>
    <cellStyle name="Millares 2 2 4 2 14" xfId="1708" xr:uid="{00000000-0005-0000-0000-00005C060000}"/>
    <cellStyle name="Millares 2 2 4 2 15" xfId="1709" xr:uid="{00000000-0005-0000-0000-00005D060000}"/>
    <cellStyle name="Millares 2 2 4 2 16" xfId="1710" xr:uid="{00000000-0005-0000-0000-00005E060000}"/>
    <cellStyle name="Millares 2 2 4 2 17" xfId="1711" xr:uid="{00000000-0005-0000-0000-00005F060000}"/>
    <cellStyle name="Millares 2 2 4 2 18" xfId="1712" xr:uid="{00000000-0005-0000-0000-000060060000}"/>
    <cellStyle name="Millares 2 2 4 2 19" xfId="1713" xr:uid="{00000000-0005-0000-0000-000061060000}"/>
    <cellStyle name="Millares 2 2 4 2 2" xfId="1714" xr:uid="{00000000-0005-0000-0000-000062060000}"/>
    <cellStyle name="Millares 2 2 4 2 20" xfId="1715" xr:uid="{00000000-0005-0000-0000-000063060000}"/>
    <cellStyle name="Millares 2 2 4 2 3" xfId="1716" xr:uid="{00000000-0005-0000-0000-000064060000}"/>
    <cellStyle name="Millares 2 2 4 2 4" xfId="1717" xr:uid="{00000000-0005-0000-0000-000065060000}"/>
    <cellStyle name="Millares 2 2 4 2 5" xfId="1718" xr:uid="{00000000-0005-0000-0000-000066060000}"/>
    <cellStyle name="Millares 2 2 4 2 6" xfId="1719" xr:uid="{00000000-0005-0000-0000-000067060000}"/>
    <cellStyle name="Millares 2 2 4 2 7" xfId="1720" xr:uid="{00000000-0005-0000-0000-000068060000}"/>
    <cellStyle name="Millares 2 2 4 2 8" xfId="1721" xr:uid="{00000000-0005-0000-0000-000069060000}"/>
    <cellStyle name="Millares 2 2 4 2 9" xfId="1722" xr:uid="{00000000-0005-0000-0000-00006A060000}"/>
    <cellStyle name="Millares 2 2 4 20" xfId="1723" xr:uid="{00000000-0005-0000-0000-00006B060000}"/>
    <cellStyle name="Millares 2 2 4 3" xfId="1724" xr:uid="{00000000-0005-0000-0000-00006C060000}"/>
    <cellStyle name="Millares 2 2 4 4" xfId="1725" xr:uid="{00000000-0005-0000-0000-00006D060000}"/>
    <cellStyle name="Millares 2 2 4 5" xfId="1726" xr:uid="{00000000-0005-0000-0000-00006E060000}"/>
    <cellStyle name="Millares 2 2 4 6" xfId="1727" xr:uid="{00000000-0005-0000-0000-00006F060000}"/>
    <cellStyle name="Millares 2 2 4 7" xfId="1728" xr:uid="{00000000-0005-0000-0000-000070060000}"/>
    <cellStyle name="Millares 2 2 4 8" xfId="1729" xr:uid="{00000000-0005-0000-0000-000071060000}"/>
    <cellStyle name="Millares 2 2 4 9" xfId="1730" xr:uid="{00000000-0005-0000-0000-000072060000}"/>
    <cellStyle name="Millares 2 2 40" xfId="1731" xr:uid="{00000000-0005-0000-0000-000073060000}"/>
    <cellStyle name="Millares 2 2 41" xfId="1732" xr:uid="{00000000-0005-0000-0000-000074060000}"/>
    <cellStyle name="Millares 2 2 42" xfId="1733" xr:uid="{00000000-0005-0000-0000-000075060000}"/>
    <cellStyle name="Millares 2 2 43" xfId="1734" xr:uid="{00000000-0005-0000-0000-000076060000}"/>
    <cellStyle name="Millares 2 2 44" xfId="1735" xr:uid="{00000000-0005-0000-0000-000077060000}"/>
    <cellStyle name="Millares 2 2 45" xfId="1736" xr:uid="{00000000-0005-0000-0000-000078060000}"/>
    <cellStyle name="Millares 2 2 46" xfId="1737" xr:uid="{00000000-0005-0000-0000-000079060000}"/>
    <cellStyle name="Millares 2 2 47" xfId="1738" xr:uid="{00000000-0005-0000-0000-00007A060000}"/>
    <cellStyle name="Millares 2 2 48" xfId="1739" xr:uid="{00000000-0005-0000-0000-00007B060000}"/>
    <cellStyle name="Millares 2 2 49" xfId="1112" xr:uid="{00000000-0005-0000-0000-00007C060000}"/>
    <cellStyle name="Millares 2 2 5" xfId="1740" xr:uid="{00000000-0005-0000-0000-00007D060000}"/>
    <cellStyle name="Millares 2 2 6" xfId="1741" xr:uid="{00000000-0005-0000-0000-00007E060000}"/>
    <cellStyle name="Millares 2 2 7" xfId="1742" xr:uid="{00000000-0005-0000-0000-00007F060000}"/>
    <cellStyle name="Millares 2 2 8" xfId="1743" xr:uid="{00000000-0005-0000-0000-000080060000}"/>
    <cellStyle name="Millares 2 2 9" xfId="1744" xr:uid="{00000000-0005-0000-0000-000081060000}"/>
    <cellStyle name="Millares 2 20" xfId="1745" xr:uid="{00000000-0005-0000-0000-000082060000}"/>
    <cellStyle name="Millares 2 21" xfId="1091" xr:uid="{00000000-0005-0000-0000-000083060000}"/>
    <cellStyle name="Millares 2 22" xfId="1746" xr:uid="{00000000-0005-0000-0000-000084060000}"/>
    <cellStyle name="Millares 2 24" xfId="1747" xr:uid="{00000000-0005-0000-0000-000085060000}"/>
    <cellStyle name="Millares 2 26" xfId="1748" xr:uid="{00000000-0005-0000-0000-000086060000}"/>
    <cellStyle name="Millares 2 28" xfId="1749" xr:uid="{00000000-0005-0000-0000-000087060000}"/>
    <cellStyle name="Millares 2 3" xfId="45" xr:uid="{00000000-0005-0000-0000-000088060000}"/>
    <cellStyle name="Millares 2 3 2" xfId="1751" xr:uid="{00000000-0005-0000-0000-000089060000}"/>
    <cellStyle name="Millares 2 3 3" xfId="1752" xr:uid="{00000000-0005-0000-0000-00008A060000}"/>
    <cellStyle name="Millares 2 3 4" xfId="1753" xr:uid="{00000000-0005-0000-0000-00008B060000}"/>
    <cellStyle name="Millares 2 3 5" xfId="1754" xr:uid="{00000000-0005-0000-0000-00008C060000}"/>
    <cellStyle name="Millares 2 3 6" xfId="1755" xr:uid="{00000000-0005-0000-0000-00008D060000}"/>
    <cellStyle name="Millares 2 3 7" xfId="1750" xr:uid="{00000000-0005-0000-0000-00008E060000}"/>
    <cellStyle name="Millares 2 30" xfId="1756" xr:uid="{00000000-0005-0000-0000-00008F060000}"/>
    <cellStyle name="Millares 2 32" xfId="1757" xr:uid="{00000000-0005-0000-0000-000090060000}"/>
    <cellStyle name="Millares 2 34" xfId="1758" xr:uid="{00000000-0005-0000-0000-000091060000}"/>
    <cellStyle name="Millares 2 36" xfId="1759" xr:uid="{00000000-0005-0000-0000-000092060000}"/>
    <cellStyle name="Millares 2 4" xfId="1760" xr:uid="{00000000-0005-0000-0000-000093060000}"/>
    <cellStyle name="Millares 2 4 2" xfId="1761" xr:uid="{00000000-0005-0000-0000-000094060000}"/>
    <cellStyle name="Millares 2 4 3" xfId="1762" xr:uid="{00000000-0005-0000-0000-000095060000}"/>
    <cellStyle name="Millares 2 4 4" xfId="1763" xr:uid="{00000000-0005-0000-0000-000096060000}"/>
    <cellStyle name="Millares 2 4 5" xfId="1764" xr:uid="{00000000-0005-0000-0000-000097060000}"/>
    <cellStyle name="Millares 2 4 6" xfId="1765" xr:uid="{00000000-0005-0000-0000-000098060000}"/>
    <cellStyle name="Millares 2 4 7" xfId="1766" xr:uid="{00000000-0005-0000-0000-000099060000}"/>
    <cellStyle name="Millares 2 4 8" xfId="1767" xr:uid="{00000000-0005-0000-0000-00009A060000}"/>
    <cellStyle name="Millares 2 5" xfId="1768" xr:uid="{00000000-0005-0000-0000-00009B060000}"/>
    <cellStyle name="Millares 2 6" xfId="1769" xr:uid="{00000000-0005-0000-0000-00009C060000}"/>
    <cellStyle name="Millares 2 6 2" xfId="1770" xr:uid="{00000000-0005-0000-0000-00009D060000}"/>
    <cellStyle name="Millares 2 7" xfId="1771" xr:uid="{00000000-0005-0000-0000-00009E060000}"/>
    <cellStyle name="Millares 2 7 2" xfId="1772" xr:uid="{00000000-0005-0000-0000-00009F060000}"/>
    <cellStyle name="Millares 2 7 3" xfId="1773" xr:uid="{00000000-0005-0000-0000-0000A0060000}"/>
    <cellStyle name="Millares 2 8" xfId="1774" xr:uid="{00000000-0005-0000-0000-0000A1060000}"/>
    <cellStyle name="Millares 2 8 2" xfId="1775" xr:uid="{00000000-0005-0000-0000-0000A2060000}"/>
    <cellStyle name="Millares 2 8 3" xfId="1776" xr:uid="{00000000-0005-0000-0000-0000A3060000}"/>
    <cellStyle name="Millares 2 9" xfId="1777" xr:uid="{00000000-0005-0000-0000-0000A4060000}"/>
    <cellStyle name="Millares 2 9 2" xfId="1778" xr:uid="{00000000-0005-0000-0000-0000A5060000}"/>
    <cellStyle name="Millares 2 9 3" xfId="1779" xr:uid="{00000000-0005-0000-0000-0000A6060000}"/>
    <cellStyle name="Millares 20" xfId="1780" xr:uid="{00000000-0005-0000-0000-0000A7060000}"/>
    <cellStyle name="Millares 20 2" xfId="1781" xr:uid="{00000000-0005-0000-0000-0000A8060000}"/>
    <cellStyle name="Millares 21" xfId="1782" xr:uid="{00000000-0005-0000-0000-0000A9060000}"/>
    <cellStyle name="Millares 21 2" xfId="1783" xr:uid="{00000000-0005-0000-0000-0000AA060000}"/>
    <cellStyle name="Millares 22" xfId="1784" xr:uid="{00000000-0005-0000-0000-0000AB060000}"/>
    <cellStyle name="Millares 28" xfId="1785" xr:uid="{00000000-0005-0000-0000-0000AC060000}"/>
    <cellStyle name="Millares 28 10" xfId="1786" xr:uid="{00000000-0005-0000-0000-0000AD060000}"/>
    <cellStyle name="Millares 28 11" xfId="1787" xr:uid="{00000000-0005-0000-0000-0000AE060000}"/>
    <cellStyle name="Millares 28 12" xfId="1788" xr:uid="{00000000-0005-0000-0000-0000AF060000}"/>
    <cellStyle name="Millares 28 13" xfId="1789" xr:uid="{00000000-0005-0000-0000-0000B0060000}"/>
    <cellStyle name="Millares 28 14" xfId="1790" xr:uid="{00000000-0005-0000-0000-0000B1060000}"/>
    <cellStyle name="Millares 28 15" xfId="1791" xr:uid="{00000000-0005-0000-0000-0000B2060000}"/>
    <cellStyle name="Millares 28 16" xfId="1792" xr:uid="{00000000-0005-0000-0000-0000B3060000}"/>
    <cellStyle name="Millares 28 17" xfId="1793" xr:uid="{00000000-0005-0000-0000-0000B4060000}"/>
    <cellStyle name="Millares 28 18" xfId="1794" xr:uid="{00000000-0005-0000-0000-0000B5060000}"/>
    <cellStyle name="Millares 28 19" xfId="1795" xr:uid="{00000000-0005-0000-0000-0000B6060000}"/>
    <cellStyle name="Millares 28 2" xfId="1796" xr:uid="{00000000-0005-0000-0000-0000B7060000}"/>
    <cellStyle name="Millares 28 2 2" xfId="1797" xr:uid="{00000000-0005-0000-0000-0000B8060000}"/>
    <cellStyle name="Millares 28 2 3" xfId="1798" xr:uid="{00000000-0005-0000-0000-0000B9060000}"/>
    <cellStyle name="Millares 28 20" xfId="1799" xr:uid="{00000000-0005-0000-0000-0000BA060000}"/>
    <cellStyle name="Millares 28 21" xfId="1800" xr:uid="{00000000-0005-0000-0000-0000BB060000}"/>
    <cellStyle name="Millares 28 22" xfId="1801" xr:uid="{00000000-0005-0000-0000-0000BC060000}"/>
    <cellStyle name="Millares 28 23" xfId="1802" xr:uid="{00000000-0005-0000-0000-0000BD060000}"/>
    <cellStyle name="Millares 28 24" xfId="1803" xr:uid="{00000000-0005-0000-0000-0000BE060000}"/>
    <cellStyle name="Millares 28 25" xfId="1804" xr:uid="{00000000-0005-0000-0000-0000BF060000}"/>
    <cellStyle name="Millares 28 3" xfId="1805" xr:uid="{00000000-0005-0000-0000-0000C0060000}"/>
    <cellStyle name="Millares 28 3 2" xfId="1806" xr:uid="{00000000-0005-0000-0000-0000C1060000}"/>
    <cellStyle name="Millares 28 3 3" xfId="1807" xr:uid="{00000000-0005-0000-0000-0000C2060000}"/>
    <cellStyle name="Millares 28 4" xfId="1808" xr:uid="{00000000-0005-0000-0000-0000C3060000}"/>
    <cellStyle name="Millares 28 5" xfId="1809" xr:uid="{00000000-0005-0000-0000-0000C4060000}"/>
    <cellStyle name="Millares 28 6" xfId="1810" xr:uid="{00000000-0005-0000-0000-0000C5060000}"/>
    <cellStyle name="Millares 28 7" xfId="1811" xr:uid="{00000000-0005-0000-0000-0000C6060000}"/>
    <cellStyle name="Millares 28 8" xfId="1812" xr:uid="{00000000-0005-0000-0000-0000C7060000}"/>
    <cellStyle name="Millares 28 9" xfId="1813" xr:uid="{00000000-0005-0000-0000-0000C8060000}"/>
    <cellStyle name="Millares 29" xfId="1814" xr:uid="{00000000-0005-0000-0000-0000C9060000}"/>
    <cellStyle name="Millares 29 10" xfId="1815" xr:uid="{00000000-0005-0000-0000-0000CA060000}"/>
    <cellStyle name="Millares 29 11" xfId="1816" xr:uid="{00000000-0005-0000-0000-0000CB060000}"/>
    <cellStyle name="Millares 29 12" xfId="1817" xr:uid="{00000000-0005-0000-0000-0000CC060000}"/>
    <cellStyle name="Millares 29 13" xfId="1818" xr:uid="{00000000-0005-0000-0000-0000CD060000}"/>
    <cellStyle name="Millares 29 14" xfId="1819" xr:uid="{00000000-0005-0000-0000-0000CE060000}"/>
    <cellStyle name="Millares 29 15" xfId="1820" xr:uid="{00000000-0005-0000-0000-0000CF060000}"/>
    <cellStyle name="Millares 29 16" xfId="1821" xr:uid="{00000000-0005-0000-0000-0000D0060000}"/>
    <cellStyle name="Millares 29 17" xfId="1822" xr:uid="{00000000-0005-0000-0000-0000D1060000}"/>
    <cellStyle name="Millares 29 18" xfId="1823" xr:uid="{00000000-0005-0000-0000-0000D2060000}"/>
    <cellStyle name="Millares 29 19" xfId="1824" xr:uid="{00000000-0005-0000-0000-0000D3060000}"/>
    <cellStyle name="Millares 29 2" xfId="1825" xr:uid="{00000000-0005-0000-0000-0000D4060000}"/>
    <cellStyle name="Millares 29 2 2" xfId="1826" xr:uid="{00000000-0005-0000-0000-0000D5060000}"/>
    <cellStyle name="Millares 29 2 3" xfId="1827" xr:uid="{00000000-0005-0000-0000-0000D6060000}"/>
    <cellStyle name="Millares 29 20" xfId="1828" xr:uid="{00000000-0005-0000-0000-0000D7060000}"/>
    <cellStyle name="Millares 29 21" xfId="1829" xr:uid="{00000000-0005-0000-0000-0000D8060000}"/>
    <cellStyle name="Millares 29 22" xfId="1830" xr:uid="{00000000-0005-0000-0000-0000D9060000}"/>
    <cellStyle name="Millares 29 23" xfId="1831" xr:uid="{00000000-0005-0000-0000-0000DA060000}"/>
    <cellStyle name="Millares 29 24" xfId="1832" xr:uid="{00000000-0005-0000-0000-0000DB060000}"/>
    <cellStyle name="Millares 29 25" xfId="1833" xr:uid="{00000000-0005-0000-0000-0000DC060000}"/>
    <cellStyle name="Millares 29 3" xfId="1834" xr:uid="{00000000-0005-0000-0000-0000DD060000}"/>
    <cellStyle name="Millares 29 3 2" xfId="1835" xr:uid="{00000000-0005-0000-0000-0000DE060000}"/>
    <cellStyle name="Millares 29 3 3" xfId="1836" xr:uid="{00000000-0005-0000-0000-0000DF060000}"/>
    <cellStyle name="Millares 29 4" xfId="1837" xr:uid="{00000000-0005-0000-0000-0000E0060000}"/>
    <cellStyle name="Millares 29 5" xfId="1838" xr:uid="{00000000-0005-0000-0000-0000E1060000}"/>
    <cellStyle name="Millares 29 6" xfId="1839" xr:uid="{00000000-0005-0000-0000-0000E2060000}"/>
    <cellStyle name="Millares 29 7" xfId="1840" xr:uid="{00000000-0005-0000-0000-0000E3060000}"/>
    <cellStyle name="Millares 29 8" xfId="1841" xr:uid="{00000000-0005-0000-0000-0000E4060000}"/>
    <cellStyle name="Millares 29 9" xfId="1842" xr:uid="{00000000-0005-0000-0000-0000E5060000}"/>
    <cellStyle name="Millares 3" xfId="46" xr:uid="{00000000-0005-0000-0000-0000E6060000}"/>
    <cellStyle name="Millares 3 10" xfId="1844" xr:uid="{00000000-0005-0000-0000-0000E7060000}"/>
    <cellStyle name="Millares 3 10 10" xfId="1845" xr:uid="{00000000-0005-0000-0000-0000E8060000}"/>
    <cellStyle name="Millares 3 10 11" xfId="1846" xr:uid="{00000000-0005-0000-0000-0000E9060000}"/>
    <cellStyle name="Millares 3 10 12" xfId="1847" xr:uid="{00000000-0005-0000-0000-0000EA060000}"/>
    <cellStyle name="Millares 3 10 13" xfId="1848" xr:uid="{00000000-0005-0000-0000-0000EB060000}"/>
    <cellStyle name="Millares 3 10 14" xfId="1849" xr:uid="{00000000-0005-0000-0000-0000EC060000}"/>
    <cellStyle name="Millares 3 10 15" xfId="1850" xr:uid="{00000000-0005-0000-0000-0000ED060000}"/>
    <cellStyle name="Millares 3 10 16" xfId="1851" xr:uid="{00000000-0005-0000-0000-0000EE060000}"/>
    <cellStyle name="Millares 3 10 17" xfId="1852" xr:uid="{00000000-0005-0000-0000-0000EF060000}"/>
    <cellStyle name="Millares 3 10 18" xfId="1853" xr:uid="{00000000-0005-0000-0000-0000F0060000}"/>
    <cellStyle name="Millares 3 10 19" xfId="1854" xr:uid="{00000000-0005-0000-0000-0000F1060000}"/>
    <cellStyle name="Millares 3 10 2" xfId="1855" xr:uid="{00000000-0005-0000-0000-0000F2060000}"/>
    <cellStyle name="Millares 3 10 2 10" xfId="1856" xr:uid="{00000000-0005-0000-0000-0000F3060000}"/>
    <cellStyle name="Millares 3 10 2 11" xfId="1857" xr:uid="{00000000-0005-0000-0000-0000F4060000}"/>
    <cellStyle name="Millares 3 10 2 12" xfId="1858" xr:uid="{00000000-0005-0000-0000-0000F5060000}"/>
    <cellStyle name="Millares 3 10 2 13" xfId="1859" xr:uid="{00000000-0005-0000-0000-0000F6060000}"/>
    <cellStyle name="Millares 3 10 2 14" xfId="1860" xr:uid="{00000000-0005-0000-0000-0000F7060000}"/>
    <cellStyle name="Millares 3 10 2 15" xfId="1861" xr:uid="{00000000-0005-0000-0000-0000F8060000}"/>
    <cellStyle name="Millares 3 10 2 16" xfId="1862" xr:uid="{00000000-0005-0000-0000-0000F9060000}"/>
    <cellStyle name="Millares 3 10 2 17" xfId="1863" xr:uid="{00000000-0005-0000-0000-0000FA060000}"/>
    <cellStyle name="Millares 3 10 2 2" xfId="1864" xr:uid="{00000000-0005-0000-0000-0000FB060000}"/>
    <cellStyle name="Millares 3 10 2 3" xfId="1865" xr:uid="{00000000-0005-0000-0000-0000FC060000}"/>
    <cellStyle name="Millares 3 10 2 3 2" xfId="1866" xr:uid="{00000000-0005-0000-0000-0000FD060000}"/>
    <cellStyle name="Millares 3 10 2 4" xfId="1867" xr:uid="{00000000-0005-0000-0000-0000FE060000}"/>
    <cellStyle name="Millares 3 10 2 5" xfId="1868" xr:uid="{00000000-0005-0000-0000-0000FF060000}"/>
    <cellStyle name="Millares 3 10 2 6" xfId="1869" xr:uid="{00000000-0005-0000-0000-000000070000}"/>
    <cellStyle name="Millares 3 10 2 7" xfId="1870" xr:uid="{00000000-0005-0000-0000-000001070000}"/>
    <cellStyle name="Millares 3 10 2 8" xfId="1871" xr:uid="{00000000-0005-0000-0000-000002070000}"/>
    <cellStyle name="Millares 3 10 2 9" xfId="1872" xr:uid="{00000000-0005-0000-0000-000003070000}"/>
    <cellStyle name="Millares 3 10 3" xfId="1873" xr:uid="{00000000-0005-0000-0000-000004070000}"/>
    <cellStyle name="Millares 3 10 4" xfId="1874" xr:uid="{00000000-0005-0000-0000-000005070000}"/>
    <cellStyle name="Millares 3 10 5" xfId="1875" xr:uid="{00000000-0005-0000-0000-000006070000}"/>
    <cellStyle name="Millares 3 10 6" xfId="1876" xr:uid="{00000000-0005-0000-0000-000007070000}"/>
    <cellStyle name="Millares 3 10 7" xfId="1877" xr:uid="{00000000-0005-0000-0000-000008070000}"/>
    <cellStyle name="Millares 3 10 8" xfId="1878" xr:uid="{00000000-0005-0000-0000-000009070000}"/>
    <cellStyle name="Millares 3 10 9" xfId="1879" xr:uid="{00000000-0005-0000-0000-00000A070000}"/>
    <cellStyle name="Millares 3 11" xfId="1880" xr:uid="{00000000-0005-0000-0000-00000B070000}"/>
    <cellStyle name="Millares 3 11 10" xfId="1881" xr:uid="{00000000-0005-0000-0000-00000C070000}"/>
    <cellStyle name="Millares 3 11 11" xfId="1882" xr:uid="{00000000-0005-0000-0000-00000D070000}"/>
    <cellStyle name="Millares 3 11 12" xfId="1883" xr:uid="{00000000-0005-0000-0000-00000E070000}"/>
    <cellStyle name="Millares 3 11 13" xfId="1884" xr:uid="{00000000-0005-0000-0000-00000F070000}"/>
    <cellStyle name="Millares 3 11 14" xfId="1885" xr:uid="{00000000-0005-0000-0000-000010070000}"/>
    <cellStyle name="Millares 3 11 15" xfId="1886" xr:uid="{00000000-0005-0000-0000-000011070000}"/>
    <cellStyle name="Millares 3 11 16" xfId="1887" xr:uid="{00000000-0005-0000-0000-000012070000}"/>
    <cellStyle name="Millares 3 11 17" xfId="1888" xr:uid="{00000000-0005-0000-0000-000013070000}"/>
    <cellStyle name="Millares 3 11 18" xfId="1889" xr:uid="{00000000-0005-0000-0000-000014070000}"/>
    <cellStyle name="Millares 3 11 19" xfId="1890" xr:uid="{00000000-0005-0000-0000-000015070000}"/>
    <cellStyle name="Millares 3 11 2" xfId="1891" xr:uid="{00000000-0005-0000-0000-000016070000}"/>
    <cellStyle name="Millares 3 11 2 10" xfId="1892" xr:uid="{00000000-0005-0000-0000-000017070000}"/>
    <cellStyle name="Millares 3 11 2 11" xfId="1893" xr:uid="{00000000-0005-0000-0000-000018070000}"/>
    <cellStyle name="Millares 3 11 2 12" xfId="1894" xr:uid="{00000000-0005-0000-0000-000019070000}"/>
    <cellStyle name="Millares 3 11 2 13" xfId="1895" xr:uid="{00000000-0005-0000-0000-00001A070000}"/>
    <cellStyle name="Millares 3 11 2 14" xfId="1896" xr:uid="{00000000-0005-0000-0000-00001B070000}"/>
    <cellStyle name="Millares 3 11 2 15" xfId="1897" xr:uid="{00000000-0005-0000-0000-00001C070000}"/>
    <cellStyle name="Millares 3 11 2 16" xfId="1898" xr:uid="{00000000-0005-0000-0000-00001D070000}"/>
    <cellStyle name="Millares 3 11 2 17" xfId="1899" xr:uid="{00000000-0005-0000-0000-00001E070000}"/>
    <cellStyle name="Millares 3 11 2 2" xfId="1900" xr:uid="{00000000-0005-0000-0000-00001F070000}"/>
    <cellStyle name="Millares 3 11 2 3" xfId="1901" xr:uid="{00000000-0005-0000-0000-000020070000}"/>
    <cellStyle name="Millares 3 11 2 3 2" xfId="1902" xr:uid="{00000000-0005-0000-0000-000021070000}"/>
    <cellStyle name="Millares 3 11 2 4" xfId="1903" xr:uid="{00000000-0005-0000-0000-000022070000}"/>
    <cellStyle name="Millares 3 11 2 5" xfId="1904" xr:uid="{00000000-0005-0000-0000-000023070000}"/>
    <cellStyle name="Millares 3 11 2 6" xfId="1905" xr:uid="{00000000-0005-0000-0000-000024070000}"/>
    <cellStyle name="Millares 3 11 2 7" xfId="1906" xr:uid="{00000000-0005-0000-0000-000025070000}"/>
    <cellStyle name="Millares 3 11 2 8" xfId="1907" xr:uid="{00000000-0005-0000-0000-000026070000}"/>
    <cellStyle name="Millares 3 11 2 9" xfId="1908" xr:uid="{00000000-0005-0000-0000-000027070000}"/>
    <cellStyle name="Millares 3 11 3" xfId="1909" xr:uid="{00000000-0005-0000-0000-000028070000}"/>
    <cellStyle name="Millares 3 11 4" xfId="1910" xr:uid="{00000000-0005-0000-0000-000029070000}"/>
    <cellStyle name="Millares 3 11 5" xfId="1911" xr:uid="{00000000-0005-0000-0000-00002A070000}"/>
    <cellStyle name="Millares 3 11 6" xfId="1912" xr:uid="{00000000-0005-0000-0000-00002B070000}"/>
    <cellStyle name="Millares 3 11 7" xfId="1913" xr:uid="{00000000-0005-0000-0000-00002C070000}"/>
    <cellStyle name="Millares 3 11 8" xfId="1914" xr:uid="{00000000-0005-0000-0000-00002D070000}"/>
    <cellStyle name="Millares 3 11 9" xfId="1915" xr:uid="{00000000-0005-0000-0000-00002E070000}"/>
    <cellStyle name="Millares 3 12" xfId="1916" xr:uid="{00000000-0005-0000-0000-00002F070000}"/>
    <cellStyle name="Millares 3 12 10" xfId="1917" xr:uid="{00000000-0005-0000-0000-000030070000}"/>
    <cellStyle name="Millares 3 12 11" xfId="1918" xr:uid="{00000000-0005-0000-0000-000031070000}"/>
    <cellStyle name="Millares 3 12 12" xfId="1919" xr:uid="{00000000-0005-0000-0000-000032070000}"/>
    <cellStyle name="Millares 3 12 13" xfId="1920" xr:uid="{00000000-0005-0000-0000-000033070000}"/>
    <cellStyle name="Millares 3 12 14" xfId="1921" xr:uid="{00000000-0005-0000-0000-000034070000}"/>
    <cellStyle name="Millares 3 12 15" xfId="1922" xr:uid="{00000000-0005-0000-0000-000035070000}"/>
    <cellStyle name="Millares 3 12 16" xfId="1923" xr:uid="{00000000-0005-0000-0000-000036070000}"/>
    <cellStyle name="Millares 3 12 17" xfId="1924" xr:uid="{00000000-0005-0000-0000-000037070000}"/>
    <cellStyle name="Millares 3 12 2" xfId="1925" xr:uid="{00000000-0005-0000-0000-000038070000}"/>
    <cellStyle name="Millares 3 12 3" xfId="1926" xr:uid="{00000000-0005-0000-0000-000039070000}"/>
    <cellStyle name="Millares 3 12 3 2" xfId="1927" xr:uid="{00000000-0005-0000-0000-00003A070000}"/>
    <cellStyle name="Millares 3 12 4" xfId="1928" xr:uid="{00000000-0005-0000-0000-00003B070000}"/>
    <cellStyle name="Millares 3 12 5" xfId="1929" xr:uid="{00000000-0005-0000-0000-00003C070000}"/>
    <cellStyle name="Millares 3 12 6" xfId="1930" xr:uid="{00000000-0005-0000-0000-00003D070000}"/>
    <cellStyle name="Millares 3 12 7" xfId="1931" xr:uid="{00000000-0005-0000-0000-00003E070000}"/>
    <cellStyle name="Millares 3 12 8" xfId="1932" xr:uid="{00000000-0005-0000-0000-00003F070000}"/>
    <cellStyle name="Millares 3 12 9" xfId="1933" xr:uid="{00000000-0005-0000-0000-000040070000}"/>
    <cellStyle name="Millares 3 13" xfId="1934" xr:uid="{00000000-0005-0000-0000-000041070000}"/>
    <cellStyle name="Millares 3 13 10" xfId="1935" xr:uid="{00000000-0005-0000-0000-000042070000}"/>
    <cellStyle name="Millares 3 13 11" xfId="1936" xr:uid="{00000000-0005-0000-0000-000043070000}"/>
    <cellStyle name="Millares 3 13 12" xfId="1937" xr:uid="{00000000-0005-0000-0000-000044070000}"/>
    <cellStyle name="Millares 3 13 13" xfId="1938" xr:uid="{00000000-0005-0000-0000-000045070000}"/>
    <cellStyle name="Millares 3 13 14" xfId="1939" xr:uid="{00000000-0005-0000-0000-000046070000}"/>
    <cellStyle name="Millares 3 13 15" xfId="1940" xr:uid="{00000000-0005-0000-0000-000047070000}"/>
    <cellStyle name="Millares 3 13 16" xfId="1941" xr:uid="{00000000-0005-0000-0000-000048070000}"/>
    <cellStyle name="Millares 3 13 17" xfId="1942" xr:uid="{00000000-0005-0000-0000-000049070000}"/>
    <cellStyle name="Millares 3 13 2" xfId="1943" xr:uid="{00000000-0005-0000-0000-00004A070000}"/>
    <cellStyle name="Millares 3 13 3" xfId="1944" xr:uid="{00000000-0005-0000-0000-00004B070000}"/>
    <cellStyle name="Millares 3 13 3 2" xfId="1945" xr:uid="{00000000-0005-0000-0000-00004C070000}"/>
    <cellStyle name="Millares 3 13 4" xfId="1946" xr:uid="{00000000-0005-0000-0000-00004D070000}"/>
    <cellStyle name="Millares 3 13 5" xfId="1947" xr:uid="{00000000-0005-0000-0000-00004E070000}"/>
    <cellStyle name="Millares 3 13 6" xfId="1948" xr:uid="{00000000-0005-0000-0000-00004F070000}"/>
    <cellStyle name="Millares 3 13 7" xfId="1949" xr:uid="{00000000-0005-0000-0000-000050070000}"/>
    <cellStyle name="Millares 3 13 8" xfId="1950" xr:uid="{00000000-0005-0000-0000-000051070000}"/>
    <cellStyle name="Millares 3 13 9" xfId="1951" xr:uid="{00000000-0005-0000-0000-000052070000}"/>
    <cellStyle name="Millares 3 14" xfId="1952" xr:uid="{00000000-0005-0000-0000-000053070000}"/>
    <cellStyle name="Millares 3 14 10" xfId="1953" xr:uid="{00000000-0005-0000-0000-000054070000}"/>
    <cellStyle name="Millares 3 14 11" xfId="1954" xr:uid="{00000000-0005-0000-0000-000055070000}"/>
    <cellStyle name="Millares 3 14 12" xfId="1955" xr:uid="{00000000-0005-0000-0000-000056070000}"/>
    <cellStyle name="Millares 3 14 13" xfId="1956" xr:uid="{00000000-0005-0000-0000-000057070000}"/>
    <cellStyle name="Millares 3 14 14" xfId="1957" xr:uid="{00000000-0005-0000-0000-000058070000}"/>
    <cellStyle name="Millares 3 14 15" xfId="1958" xr:uid="{00000000-0005-0000-0000-000059070000}"/>
    <cellStyle name="Millares 3 14 16" xfId="1959" xr:uid="{00000000-0005-0000-0000-00005A070000}"/>
    <cellStyle name="Millares 3 14 17" xfId="1960" xr:uid="{00000000-0005-0000-0000-00005B070000}"/>
    <cellStyle name="Millares 3 14 2" xfId="1961" xr:uid="{00000000-0005-0000-0000-00005C070000}"/>
    <cellStyle name="Millares 3 14 3" xfId="1962" xr:uid="{00000000-0005-0000-0000-00005D070000}"/>
    <cellStyle name="Millares 3 14 3 2" xfId="1963" xr:uid="{00000000-0005-0000-0000-00005E070000}"/>
    <cellStyle name="Millares 3 14 4" xfId="1964" xr:uid="{00000000-0005-0000-0000-00005F070000}"/>
    <cellStyle name="Millares 3 14 5" xfId="1965" xr:uid="{00000000-0005-0000-0000-000060070000}"/>
    <cellStyle name="Millares 3 14 6" xfId="1966" xr:uid="{00000000-0005-0000-0000-000061070000}"/>
    <cellStyle name="Millares 3 14 7" xfId="1967" xr:uid="{00000000-0005-0000-0000-000062070000}"/>
    <cellStyle name="Millares 3 14 8" xfId="1968" xr:uid="{00000000-0005-0000-0000-000063070000}"/>
    <cellStyle name="Millares 3 14 9" xfId="1969" xr:uid="{00000000-0005-0000-0000-000064070000}"/>
    <cellStyle name="Millares 3 15" xfId="1970" xr:uid="{00000000-0005-0000-0000-000065070000}"/>
    <cellStyle name="Millares 3 16" xfId="1971" xr:uid="{00000000-0005-0000-0000-000066070000}"/>
    <cellStyle name="Millares 3 17" xfId="1972" xr:uid="{00000000-0005-0000-0000-000067070000}"/>
    <cellStyle name="Millares 3 18" xfId="1973" xr:uid="{00000000-0005-0000-0000-000068070000}"/>
    <cellStyle name="Millares 3 19" xfId="1974" xr:uid="{00000000-0005-0000-0000-000069070000}"/>
    <cellStyle name="Millares 3 2" xfId="1975" xr:uid="{00000000-0005-0000-0000-00006A070000}"/>
    <cellStyle name="Millares 3 2 10" xfId="1976" xr:uid="{00000000-0005-0000-0000-00006B070000}"/>
    <cellStyle name="Millares 3 2 11" xfId="1977" xr:uid="{00000000-0005-0000-0000-00006C070000}"/>
    <cellStyle name="Millares 3 2 12" xfId="1978" xr:uid="{00000000-0005-0000-0000-00006D070000}"/>
    <cellStyle name="Millares 3 2 13" xfId="1979" xr:uid="{00000000-0005-0000-0000-00006E070000}"/>
    <cellStyle name="Millares 3 2 14" xfId="1980" xr:uid="{00000000-0005-0000-0000-00006F070000}"/>
    <cellStyle name="Millares 3 2 15" xfId="1981" xr:uid="{00000000-0005-0000-0000-000070070000}"/>
    <cellStyle name="Millares 3 2 16" xfId="1982" xr:uid="{00000000-0005-0000-0000-000071070000}"/>
    <cellStyle name="Millares 3 2 17" xfId="1983" xr:uid="{00000000-0005-0000-0000-000072070000}"/>
    <cellStyle name="Millares 3 2 18" xfId="1984" xr:uid="{00000000-0005-0000-0000-000073070000}"/>
    <cellStyle name="Millares 3 2 19" xfId="1985" xr:uid="{00000000-0005-0000-0000-000074070000}"/>
    <cellStyle name="Millares 3 2 2" xfId="1986" xr:uid="{00000000-0005-0000-0000-000075070000}"/>
    <cellStyle name="Millares 3 2 2 10" xfId="1987" xr:uid="{00000000-0005-0000-0000-000076070000}"/>
    <cellStyle name="Millares 3 2 2 11" xfId="1988" xr:uid="{00000000-0005-0000-0000-000077070000}"/>
    <cellStyle name="Millares 3 2 2 12" xfId="1989" xr:uid="{00000000-0005-0000-0000-000078070000}"/>
    <cellStyle name="Millares 3 2 2 13" xfId="1990" xr:uid="{00000000-0005-0000-0000-000079070000}"/>
    <cellStyle name="Millares 3 2 2 14" xfId="1991" xr:uid="{00000000-0005-0000-0000-00007A070000}"/>
    <cellStyle name="Millares 3 2 2 15" xfId="1992" xr:uid="{00000000-0005-0000-0000-00007B070000}"/>
    <cellStyle name="Millares 3 2 2 16" xfId="1993" xr:uid="{00000000-0005-0000-0000-00007C070000}"/>
    <cellStyle name="Millares 3 2 2 17" xfId="1994" xr:uid="{00000000-0005-0000-0000-00007D070000}"/>
    <cellStyle name="Millares 3 2 2 18" xfId="1995" xr:uid="{00000000-0005-0000-0000-00007E070000}"/>
    <cellStyle name="Millares 3 2 2 2" xfId="1996" xr:uid="{00000000-0005-0000-0000-00007F070000}"/>
    <cellStyle name="Millares 3 2 2 2 2" xfId="1997" xr:uid="{00000000-0005-0000-0000-000080070000}"/>
    <cellStyle name="Millares 3 2 2 2 2 2" xfId="1998" xr:uid="{00000000-0005-0000-0000-000081070000}"/>
    <cellStyle name="Millares 3 2 2 2 2 2 2" xfId="1999" xr:uid="{00000000-0005-0000-0000-000082070000}"/>
    <cellStyle name="Millares 3 2 2 2 2 2 2 2" xfId="2000" xr:uid="{00000000-0005-0000-0000-000083070000}"/>
    <cellStyle name="Millares 3 2 2 2 2 2 2 3" xfId="2001" xr:uid="{00000000-0005-0000-0000-000084070000}"/>
    <cellStyle name="Millares 3 2 2 2 2 2 3" xfId="2002" xr:uid="{00000000-0005-0000-0000-000085070000}"/>
    <cellStyle name="Millares 3 2 2 2 2 3" xfId="2003" xr:uid="{00000000-0005-0000-0000-000086070000}"/>
    <cellStyle name="Millares 3 2 2 2 2 4" xfId="2004" xr:uid="{00000000-0005-0000-0000-000087070000}"/>
    <cellStyle name="Millares 3 2 2 2 2 5" xfId="2005" xr:uid="{00000000-0005-0000-0000-000088070000}"/>
    <cellStyle name="Millares 3 2 2 2 3" xfId="2006" xr:uid="{00000000-0005-0000-0000-000089070000}"/>
    <cellStyle name="Millares 3 2 2 2 4" xfId="2007" xr:uid="{00000000-0005-0000-0000-00008A070000}"/>
    <cellStyle name="Millares 3 2 2 2 5" xfId="2008" xr:uid="{00000000-0005-0000-0000-00008B070000}"/>
    <cellStyle name="Millares 3 2 2 3" xfId="2009" xr:uid="{00000000-0005-0000-0000-00008C070000}"/>
    <cellStyle name="Millares 3 2 2 4" xfId="2010" xr:uid="{00000000-0005-0000-0000-00008D070000}"/>
    <cellStyle name="Millares 3 2 2 5" xfId="2011" xr:uid="{00000000-0005-0000-0000-00008E070000}"/>
    <cellStyle name="Millares 3 2 2 5 10" xfId="2012" xr:uid="{00000000-0005-0000-0000-00008F070000}"/>
    <cellStyle name="Millares 3 2 2 5 11" xfId="2013" xr:uid="{00000000-0005-0000-0000-000090070000}"/>
    <cellStyle name="Millares 3 2 2 5 12" xfId="2014" xr:uid="{00000000-0005-0000-0000-000091070000}"/>
    <cellStyle name="Millares 3 2 2 5 13" xfId="2015" xr:uid="{00000000-0005-0000-0000-000092070000}"/>
    <cellStyle name="Millares 3 2 2 5 14" xfId="2016" xr:uid="{00000000-0005-0000-0000-000093070000}"/>
    <cellStyle name="Millares 3 2 2 5 15" xfId="2017" xr:uid="{00000000-0005-0000-0000-000094070000}"/>
    <cellStyle name="Millares 3 2 2 5 16" xfId="2018" xr:uid="{00000000-0005-0000-0000-000095070000}"/>
    <cellStyle name="Millares 3 2 2 5 17" xfId="2019" xr:uid="{00000000-0005-0000-0000-000096070000}"/>
    <cellStyle name="Millares 3 2 2 5 18" xfId="2020" xr:uid="{00000000-0005-0000-0000-000097070000}"/>
    <cellStyle name="Millares 3 2 2 5 2" xfId="2021" xr:uid="{00000000-0005-0000-0000-000098070000}"/>
    <cellStyle name="Millares 3 2 2 5 2 10" xfId="2022" xr:uid="{00000000-0005-0000-0000-000099070000}"/>
    <cellStyle name="Millares 3 2 2 5 2 11" xfId="2023" xr:uid="{00000000-0005-0000-0000-00009A070000}"/>
    <cellStyle name="Millares 3 2 2 5 2 12" xfId="2024" xr:uid="{00000000-0005-0000-0000-00009B070000}"/>
    <cellStyle name="Millares 3 2 2 5 2 13" xfId="2025" xr:uid="{00000000-0005-0000-0000-00009C070000}"/>
    <cellStyle name="Millares 3 2 2 5 2 14" xfId="2026" xr:uid="{00000000-0005-0000-0000-00009D070000}"/>
    <cellStyle name="Millares 3 2 2 5 2 15" xfId="2027" xr:uid="{00000000-0005-0000-0000-00009E070000}"/>
    <cellStyle name="Millares 3 2 2 5 2 2" xfId="2028" xr:uid="{00000000-0005-0000-0000-00009F070000}"/>
    <cellStyle name="Millares 3 2 2 5 2 2 2" xfId="2029" xr:uid="{00000000-0005-0000-0000-0000A0070000}"/>
    <cellStyle name="Millares 3 2 2 5 2 2 3" xfId="2030" xr:uid="{00000000-0005-0000-0000-0000A1070000}"/>
    <cellStyle name="Millares 3 2 2 5 2 2 4" xfId="2031" xr:uid="{00000000-0005-0000-0000-0000A2070000}"/>
    <cellStyle name="Millares 3 2 2 5 2 2 5" xfId="2032" xr:uid="{00000000-0005-0000-0000-0000A3070000}"/>
    <cellStyle name="Millares 3 2 2 5 2 2 6" xfId="2033" xr:uid="{00000000-0005-0000-0000-0000A4070000}"/>
    <cellStyle name="Millares 3 2 2 5 2 3" xfId="2034" xr:uid="{00000000-0005-0000-0000-0000A5070000}"/>
    <cellStyle name="Millares 3 2 2 5 2 4" xfId="2035" xr:uid="{00000000-0005-0000-0000-0000A6070000}"/>
    <cellStyle name="Millares 3 2 2 5 2 5" xfId="2036" xr:uid="{00000000-0005-0000-0000-0000A7070000}"/>
    <cellStyle name="Millares 3 2 2 5 2 6" xfId="2037" xr:uid="{00000000-0005-0000-0000-0000A8070000}"/>
    <cellStyle name="Millares 3 2 2 5 2 7" xfId="2038" xr:uid="{00000000-0005-0000-0000-0000A9070000}"/>
    <cellStyle name="Millares 3 2 2 5 2 8" xfId="2039" xr:uid="{00000000-0005-0000-0000-0000AA070000}"/>
    <cellStyle name="Millares 3 2 2 5 2 9" xfId="2040" xr:uid="{00000000-0005-0000-0000-0000AB070000}"/>
    <cellStyle name="Millares 3 2 2 5 3" xfId="2041" xr:uid="{00000000-0005-0000-0000-0000AC070000}"/>
    <cellStyle name="Millares 3 2 2 5 3 10" xfId="2042" xr:uid="{00000000-0005-0000-0000-0000AD070000}"/>
    <cellStyle name="Millares 3 2 2 5 3 2" xfId="2043" xr:uid="{00000000-0005-0000-0000-0000AE070000}"/>
    <cellStyle name="Millares 3 2 2 5 3 3" xfId="2044" xr:uid="{00000000-0005-0000-0000-0000AF070000}"/>
    <cellStyle name="Millares 3 2 2 5 3 4" xfId="2045" xr:uid="{00000000-0005-0000-0000-0000B0070000}"/>
    <cellStyle name="Millares 3 2 2 5 3 5" xfId="2046" xr:uid="{00000000-0005-0000-0000-0000B1070000}"/>
    <cellStyle name="Millares 3 2 2 5 3 6" xfId="2047" xr:uid="{00000000-0005-0000-0000-0000B2070000}"/>
    <cellStyle name="Millares 3 2 2 5 3 7" xfId="2048" xr:uid="{00000000-0005-0000-0000-0000B3070000}"/>
    <cellStyle name="Millares 3 2 2 5 3 8" xfId="2049" xr:uid="{00000000-0005-0000-0000-0000B4070000}"/>
    <cellStyle name="Millares 3 2 2 5 3 9" xfId="2050" xr:uid="{00000000-0005-0000-0000-0000B5070000}"/>
    <cellStyle name="Millares 3 2 2 5 4" xfId="2051" xr:uid="{00000000-0005-0000-0000-0000B6070000}"/>
    <cellStyle name="Millares 3 2 2 5 5" xfId="2052" xr:uid="{00000000-0005-0000-0000-0000B7070000}"/>
    <cellStyle name="Millares 3 2 2 5 6" xfId="2053" xr:uid="{00000000-0005-0000-0000-0000B8070000}"/>
    <cellStyle name="Millares 3 2 2 5 7" xfId="2054" xr:uid="{00000000-0005-0000-0000-0000B9070000}"/>
    <cellStyle name="Millares 3 2 2 5 8" xfId="2055" xr:uid="{00000000-0005-0000-0000-0000BA070000}"/>
    <cellStyle name="Millares 3 2 2 5 9" xfId="2056" xr:uid="{00000000-0005-0000-0000-0000BB070000}"/>
    <cellStyle name="Millares 3 2 2 6" xfId="2057" xr:uid="{00000000-0005-0000-0000-0000BC070000}"/>
    <cellStyle name="Millares 3 2 2 7" xfId="2058" xr:uid="{00000000-0005-0000-0000-0000BD070000}"/>
    <cellStyle name="Millares 3 2 2 8" xfId="2059" xr:uid="{00000000-0005-0000-0000-0000BE070000}"/>
    <cellStyle name="Millares 3 2 2 9" xfId="2060" xr:uid="{00000000-0005-0000-0000-0000BF070000}"/>
    <cellStyle name="Millares 3 2 20" xfId="2061" xr:uid="{00000000-0005-0000-0000-0000C0070000}"/>
    <cellStyle name="Millares 3 2 21" xfId="2062" xr:uid="{00000000-0005-0000-0000-0000C1070000}"/>
    <cellStyle name="Millares 3 2 22" xfId="2063" xr:uid="{00000000-0005-0000-0000-0000C2070000}"/>
    <cellStyle name="Millares 3 2 23" xfId="2064" xr:uid="{00000000-0005-0000-0000-0000C3070000}"/>
    <cellStyle name="Millares 3 2 24" xfId="2065" xr:uid="{00000000-0005-0000-0000-0000C4070000}"/>
    <cellStyle name="Millares 3 2 3" xfId="2066" xr:uid="{00000000-0005-0000-0000-0000C5070000}"/>
    <cellStyle name="Millares 3 2 4" xfId="2067" xr:uid="{00000000-0005-0000-0000-0000C6070000}"/>
    <cellStyle name="Millares 3 2 5" xfId="2068" xr:uid="{00000000-0005-0000-0000-0000C7070000}"/>
    <cellStyle name="Millares 3 2 6" xfId="2069" xr:uid="{00000000-0005-0000-0000-0000C8070000}"/>
    <cellStyle name="Millares 3 2 7" xfId="2070" xr:uid="{00000000-0005-0000-0000-0000C9070000}"/>
    <cellStyle name="Millares 3 2 8" xfId="2071" xr:uid="{00000000-0005-0000-0000-0000CA070000}"/>
    <cellStyle name="Millares 3 2 9" xfId="2072" xr:uid="{00000000-0005-0000-0000-0000CB070000}"/>
    <cellStyle name="Millares 3 20" xfId="2073" xr:uid="{00000000-0005-0000-0000-0000CC070000}"/>
    <cellStyle name="Millares 3 21" xfId="2074" xr:uid="{00000000-0005-0000-0000-0000CD070000}"/>
    <cellStyle name="Millares 3 22" xfId="2075" xr:uid="{00000000-0005-0000-0000-0000CE070000}"/>
    <cellStyle name="Millares 3 23" xfId="2076" xr:uid="{00000000-0005-0000-0000-0000CF070000}"/>
    <cellStyle name="Millares 3 24" xfId="2077" xr:uid="{00000000-0005-0000-0000-0000D0070000}"/>
    <cellStyle name="Millares 3 25" xfId="2078" xr:uid="{00000000-0005-0000-0000-0000D1070000}"/>
    <cellStyle name="Millares 3 26" xfId="2079" xr:uid="{00000000-0005-0000-0000-0000D2070000}"/>
    <cellStyle name="Millares 3 27" xfId="2080" xr:uid="{00000000-0005-0000-0000-0000D3070000}"/>
    <cellStyle name="Millares 3 28" xfId="2081" xr:uid="{00000000-0005-0000-0000-0000D4070000}"/>
    <cellStyle name="Millares 3 29" xfId="2082" xr:uid="{00000000-0005-0000-0000-0000D5070000}"/>
    <cellStyle name="Millares 3 3" xfId="2083" xr:uid="{00000000-0005-0000-0000-0000D6070000}"/>
    <cellStyle name="Millares 3 30" xfId="2084" xr:uid="{00000000-0005-0000-0000-0000D7070000}"/>
    <cellStyle name="Millares 3 31" xfId="1843" xr:uid="{00000000-0005-0000-0000-0000D8070000}"/>
    <cellStyle name="Millares 3 4" xfId="2085" xr:uid="{00000000-0005-0000-0000-0000D9070000}"/>
    <cellStyle name="Millares 3 5" xfId="2086" xr:uid="{00000000-0005-0000-0000-0000DA070000}"/>
    <cellStyle name="Millares 3 6" xfId="2087" xr:uid="{00000000-0005-0000-0000-0000DB070000}"/>
    <cellStyle name="Millares 3 7" xfId="2088" xr:uid="{00000000-0005-0000-0000-0000DC070000}"/>
    <cellStyle name="Millares 3 8" xfId="2089" xr:uid="{00000000-0005-0000-0000-0000DD070000}"/>
    <cellStyle name="Millares 3 9" xfId="2090" xr:uid="{00000000-0005-0000-0000-0000DE070000}"/>
    <cellStyle name="Millares 30" xfId="2091" xr:uid="{00000000-0005-0000-0000-0000DF070000}"/>
    <cellStyle name="Millares 30 10" xfId="2092" xr:uid="{00000000-0005-0000-0000-0000E0070000}"/>
    <cellStyle name="Millares 30 11" xfId="2093" xr:uid="{00000000-0005-0000-0000-0000E1070000}"/>
    <cellStyle name="Millares 30 12" xfId="2094" xr:uid="{00000000-0005-0000-0000-0000E2070000}"/>
    <cellStyle name="Millares 30 13" xfId="2095" xr:uid="{00000000-0005-0000-0000-0000E3070000}"/>
    <cellStyle name="Millares 30 14" xfId="2096" xr:uid="{00000000-0005-0000-0000-0000E4070000}"/>
    <cellStyle name="Millares 30 15" xfId="2097" xr:uid="{00000000-0005-0000-0000-0000E5070000}"/>
    <cellStyle name="Millares 30 16" xfId="2098" xr:uid="{00000000-0005-0000-0000-0000E6070000}"/>
    <cellStyle name="Millares 30 17" xfId="2099" xr:uid="{00000000-0005-0000-0000-0000E7070000}"/>
    <cellStyle name="Millares 30 18" xfId="2100" xr:uid="{00000000-0005-0000-0000-0000E8070000}"/>
    <cellStyle name="Millares 30 19" xfId="2101" xr:uid="{00000000-0005-0000-0000-0000E9070000}"/>
    <cellStyle name="Millares 30 2" xfId="2102" xr:uid="{00000000-0005-0000-0000-0000EA070000}"/>
    <cellStyle name="Millares 30 2 2" xfId="2103" xr:uid="{00000000-0005-0000-0000-0000EB070000}"/>
    <cellStyle name="Millares 30 2 3" xfId="2104" xr:uid="{00000000-0005-0000-0000-0000EC070000}"/>
    <cellStyle name="Millares 30 20" xfId="2105" xr:uid="{00000000-0005-0000-0000-0000ED070000}"/>
    <cellStyle name="Millares 30 21" xfId="2106" xr:uid="{00000000-0005-0000-0000-0000EE070000}"/>
    <cellStyle name="Millares 30 22" xfId="2107" xr:uid="{00000000-0005-0000-0000-0000EF070000}"/>
    <cellStyle name="Millares 30 23" xfId="2108" xr:uid="{00000000-0005-0000-0000-0000F0070000}"/>
    <cellStyle name="Millares 30 24" xfId="2109" xr:uid="{00000000-0005-0000-0000-0000F1070000}"/>
    <cellStyle name="Millares 30 25" xfId="2110" xr:uid="{00000000-0005-0000-0000-0000F2070000}"/>
    <cellStyle name="Millares 30 3" xfId="2111" xr:uid="{00000000-0005-0000-0000-0000F3070000}"/>
    <cellStyle name="Millares 30 3 2" xfId="2112" xr:uid="{00000000-0005-0000-0000-0000F4070000}"/>
    <cellStyle name="Millares 30 3 3" xfId="2113" xr:uid="{00000000-0005-0000-0000-0000F5070000}"/>
    <cellStyle name="Millares 30 4" xfId="2114" xr:uid="{00000000-0005-0000-0000-0000F6070000}"/>
    <cellStyle name="Millares 30 5" xfId="2115" xr:uid="{00000000-0005-0000-0000-0000F7070000}"/>
    <cellStyle name="Millares 30 6" xfId="2116" xr:uid="{00000000-0005-0000-0000-0000F8070000}"/>
    <cellStyle name="Millares 30 7" xfId="2117" xr:uid="{00000000-0005-0000-0000-0000F9070000}"/>
    <cellStyle name="Millares 30 8" xfId="2118" xr:uid="{00000000-0005-0000-0000-0000FA070000}"/>
    <cellStyle name="Millares 30 9" xfId="2119" xr:uid="{00000000-0005-0000-0000-0000FB070000}"/>
    <cellStyle name="Millares 4" xfId="2120" xr:uid="{00000000-0005-0000-0000-0000FC070000}"/>
    <cellStyle name="Millares 4 2" xfId="2121" xr:uid="{00000000-0005-0000-0000-0000FD070000}"/>
    <cellStyle name="Millares 4 3" xfId="2122" xr:uid="{00000000-0005-0000-0000-0000FE070000}"/>
    <cellStyle name="Millares 5" xfId="2123" xr:uid="{00000000-0005-0000-0000-0000FF070000}"/>
    <cellStyle name="Millares 5 10" xfId="2124" xr:uid="{00000000-0005-0000-0000-000000080000}"/>
    <cellStyle name="Millares 5 11" xfId="2125" xr:uid="{00000000-0005-0000-0000-000001080000}"/>
    <cellStyle name="Millares 5 12" xfId="2126" xr:uid="{00000000-0005-0000-0000-000002080000}"/>
    <cellStyle name="Millares 5 13" xfId="2127" xr:uid="{00000000-0005-0000-0000-000003080000}"/>
    <cellStyle name="Millares 5 14" xfId="2128" xr:uid="{00000000-0005-0000-0000-000004080000}"/>
    <cellStyle name="Millares 5 15" xfId="2129" xr:uid="{00000000-0005-0000-0000-000005080000}"/>
    <cellStyle name="Millares 5 16" xfId="2130" xr:uid="{00000000-0005-0000-0000-000006080000}"/>
    <cellStyle name="Millares 5 17" xfId="2131" xr:uid="{00000000-0005-0000-0000-000007080000}"/>
    <cellStyle name="Millares 5 18" xfId="2132" xr:uid="{00000000-0005-0000-0000-000008080000}"/>
    <cellStyle name="Millares 5 19" xfId="2133" xr:uid="{00000000-0005-0000-0000-000009080000}"/>
    <cellStyle name="Millares 5 2" xfId="2134" xr:uid="{00000000-0005-0000-0000-00000A080000}"/>
    <cellStyle name="Millares 5 2 2" xfId="2135" xr:uid="{00000000-0005-0000-0000-00000B080000}"/>
    <cellStyle name="Millares 5 20" xfId="2136" xr:uid="{00000000-0005-0000-0000-00000C080000}"/>
    <cellStyle name="Millares 5 21" xfId="2137" xr:uid="{00000000-0005-0000-0000-00000D080000}"/>
    <cellStyle name="Millares 5 22" xfId="2138" xr:uid="{00000000-0005-0000-0000-00000E080000}"/>
    <cellStyle name="Millares 5 23" xfId="2139" xr:uid="{00000000-0005-0000-0000-00000F080000}"/>
    <cellStyle name="Millares 5 24" xfId="2140" xr:uid="{00000000-0005-0000-0000-000010080000}"/>
    <cellStyle name="Millares 5 25" xfId="2141" xr:uid="{00000000-0005-0000-0000-000011080000}"/>
    <cellStyle name="Millares 5 26" xfId="2142" xr:uid="{00000000-0005-0000-0000-000012080000}"/>
    <cellStyle name="Millares 5 3" xfId="2143" xr:uid="{00000000-0005-0000-0000-000013080000}"/>
    <cellStyle name="Millares 5 4" xfId="2144" xr:uid="{00000000-0005-0000-0000-000014080000}"/>
    <cellStyle name="Millares 5 5" xfId="2145" xr:uid="{00000000-0005-0000-0000-000015080000}"/>
    <cellStyle name="Millares 5 6" xfId="2146" xr:uid="{00000000-0005-0000-0000-000016080000}"/>
    <cellStyle name="Millares 5 7" xfId="2147" xr:uid="{00000000-0005-0000-0000-000017080000}"/>
    <cellStyle name="Millares 5 8" xfId="2148" xr:uid="{00000000-0005-0000-0000-000018080000}"/>
    <cellStyle name="Millares 5 9" xfId="2149" xr:uid="{00000000-0005-0000-0000-000019080000}"/>
    <cellStyle name="Millares 6" xfId="2150" xr:uid="{00000000-0005-0000-0000-00001A080000}"/>
    <cellStyle name="Millares 6 2" xfId="2151" xr:uid="{00000000-0005-0000-0000-00001B080000}"/>
    <cellStyle name="Millares 7" xfId="2152" xr:uid="{00000000-0005-0000-0000-00001C080000}"/>
    <cellStyle name="Millares 7 10" xfId="2153" xr:uid="{00000000-0005-0000-0000-00001D080000}"/>
    <cellStyle name="Millares 7 11" xfId="2154" xr:uid="{00000000-0005-0000-0000-00001E080000}"/>
    <cellStyle name="Millares 7 12" xfId="2155" xr:uid="{00000000-0005-0000-0000-00001F080000}"/>
    <cellStyle name="Millares 7 13" xfId="2156" xr:uid="{00000000-0005-0000-0000-000020080000}"/>
    <cellStyle name="Millares 7 14" xfId="2157" xr:uid="{00000000-0005-0000-0000-000021080000}"/>
    <cellStyle name="Millares 7 15" xfId="2158" xr:uid="{00000000-0005-0000-0000-000022080000}"/>
    <cellStyle name="Millares 7 16" xfId="2159" xr:uid="{00000000-0005-0000-0000-000023080000}"/>
    <cellStyle name="Millares 7 17" xfId="2160" xr:uid="{00000000-0005-0000-0000-000024080000}"/>
    <cellStyle name="Millares 7 18" xfId="2161" xr:uid="{00000000-0005-0000-0000-000025080000}"/>
    <cellStyle name="Millares 7 19" xfId="2162" xr:uid="{00000000-0005-0000-0000-000026080000}"/>
    <cellStyle name="Millares 7 2" xfId="2163" xr:uid="{00000000-0005-0000-0000-000027080000}"/>
    <cellStyle name="Millares 7 20" xfId="2164" xr:uid="{00000000-0005-0000-0000-000028080000}"/>
    <cellStyle name="Millares 7 21" xfId="2165" xr:uid="{00000000-0005-0000-0000-000029080000}"/>
    <cellStyle name="Millares 7 22" xfId="2166" xr:uid="{00000000-0005-0000-0000-00002A080000}"/>
    <cellStyle name="Millares 7 23" xfId="2167" xr:uid="{00000000-0005-0000-0000-00002B080000}"/>
    <cellStyle name="Millares 7 24" xfId="2168" xr:uid="{00000000-0005-0000-0000-00002C080000}"/>
    <cellStyle name="Millares 7 3" xfId="2169" xr:uid="{00000000-0005-0000-0000-00002D080000}"/>
    <cellStyle name="Millares 7 4" xfId="2170" xr:uid="{00000000-0005-0000-0000-00002E080000}"/>
    <cellStyle name="Millares 7 5" xfId="2171" xr:uid="{00000000-0005-0000-0000-00002F080000}"/>
    <cellStyle name="Millares 7 6" xfId="2172" xr:uid="{00000000-0005-0000-0000-000030080000}"/>
    <cellStyle name="Millares 7 7" xfId="2173" xr:uid="{00000000-0005-0000-0000-000031080000}"/>
    <cellStyle name="Millares 7 8" xfId="2174" xr:uid="{00000000-0005-0000-0000-000032080000}"/>
    <cellStyle name="Millares 7 9" xfId="2175" xr:uid="{00000000-0005-0000-0000-000033080000}"/>
    <cellStyle name="Millares 8" xfId="2176" xr:uid="{00000000-0005-0000-0000-000034080000}"/>
    <cellStyle name="Millares 8 10" xfId="2177" xr:uid="{00000000-0005-0000-0000-000035080000}"/>
    <cellStyle name="Millares 8 11" xfId="2178" xr:uid="{00000000-0005-0000-0000-000036080000}"/>
    <cellStyle name="Millares 8 12" xfId="2179" xr:uid="{00000000-0005-0000-0000-000037080000}"/>
    <cellStyle name="Millares 8 13" xfId="2180" xr:uid="{00000000-0005-0000-0000-000038080000}"/>
    <cellStyle name="Millares 8 14" xfId="2181" xr:uid="{00000000-0005-0000-0000-000039080000}"/>
    <cellStyle name="Millares 8 15" xfId="2182" xr:uid="{00000000-0005-0000-0000-00003A080000}"/>
    <cellStyle name="Millares 8 16" xfId="2183" xr:uid="{00000000-0005-0000-0000-00003B080000}"/>
    <cellStyle name="Millares 8 17" xfId="2184" xr:uid="{00000000-0005-0000-0000-00003C080000}"/>
    <cellStyle name="Millares 8 18" xfId="2185" xr:uid="{00000000-0005-0000-0000-00003D080000}"/>
    <cellStyle name="Millares 8 19" xfId="2186" xr:uid="{00000000-0005-0000-0000-00003E080000}"/>
    <cellStyle name="Millares 8 2" xfId="2187" xr:uid="{00000000-0005-0000-0000-00003F080000}"/>
    <cellStyle name="Millares 8 20" xfId="2188" xr:uid="{00000000-0005-0000-0000-000040080000}"/>
    <cellStyle name="Millares 8 21" xfId="2189" xr:uid="{00000000-0005-0000-0000-000041080000}"/>
    <cellStyle name="Millares 8 22" xfId="2190" xr:uid="{00000000-0005-0000-0000-000042080000}"/>
    <cellStyle name="Millares 8 23" xfId="2191" xr:uid="{00000000-0005-0000-0000-000043080000}"/>
    <cellStyle name="Millares 8 24" xfId="2192" xr:uid="{00000000-0005-0000-0000-000044080000}"/>
    <cellStyle name="Millares 8 3" xfId="2193" xr:uid="{00000000-0005-0000-0000-000045080000}"/>
    <cellStyle name="Millares 8 4" xfId="2194" xr:uid="{00000000-0005-0000-0000-000046080000}"/>
    <cellStyle name="Millares 8 5" xfId="2195" xr:uid="{00000000-0005-0000-0000-000047080000}"/>
    <cellStyle name="Millares 8 6" xfId="2196" xr:uid="{00000000-0005-0000-0000-000048080000}"/>
    <cellStyle name="Millares 8 7" xfId="2197" xr:uid="{00000000-0005-0000-0000-000049080000}"/>
    <cellStyle name="Millares 8 8" xfId="2198" xr:uid="{00000000-0005-0000-0000-00004A080000}"/>
    <cellStyle name="Millares 8 9" xfId="2199" xr:uid="{00000000-0005-0000-0000-00004B080000}"/>
    <cellStyle name="Millares 9" xfId="2200" xr:uid="{00000000-0005-0000-0000-00004C080000}"/>
    <cellStyle name="Moneda" xfId="5" builtinId="4"/>
    <cellStyle name="Moneda 2" xfId="6" xr:uid="{00000000-0005-0000-0000-00004E080000}"/>
    <cellStyle name="Moneda 2 10" xfId="31" xr:uid="{00000000-0005-0000-0000-00004F080000}"/>
    <cellStyle name="Moneda 2 10 2" xfId="75" xr:uid="{00000000-0005-0000-0000-000050080000}"/>
    <cellStyle name="Moneda 2 2" xfId="2201" xr:uid="{00000000-0005-0000-0000-000051080000}"/>
    <cellStyle name="Moneda 2 2 2" xfId="47" xr:uid="{00000000-0005-0000-0000-000052080000}"/>
    <cellStyle name="Moneda 2 2 2 2" xfId="2202" xr:uid="{00000000-0005-0000-0000-000053080000}"/>
    <cellStyle name="Moneda 2 2 3" xfId="2203" xr:uid="{00000000-0005-0000-0000-000054080000}"/>
    <cellStyle name="Moneda 2 3" xfId="2204" xr:uid="{00000000-0005-0000-0000-000055080000}"/>
    <cellStyle name="Moneda 2 3 2" xfId="2205" xr:uid="{00000000-0005-0000-0000-000056080000}"/>
    <cellStyle name="Moneda 2 4" xfId="2206" xr:uid="{00000000-0005-0000-0000-000057080000}"/>
    <cellStyle name="Moneda 2 4 2" xfId="2207" xr:uid="{00000000-0005-0000-0000-000058080000}"/>
    <cellStyle name="Moneda 2 5" xfId="2208" xr:uid="{00000000-0005-0000-0000-000059080000}"/>
    <cellStyle name="Moneda 2 5 2" xfId="2209" xr:uid="{00000000-0005-0000-0000-00005A080000}"/>
    <cellStyle name="Moneda 2 6" xfId="2210" xr:uid="{00000000-0005-0000-0000-00005B080000}"/>
    <cellStyle name="Moneda 2 6 2" xfId="2211" xr:uid="{00000000-0005-0000-0000-00005C080000}"/>
    <cellStyle name="Moneda 2 7" xfId="2212" xr:uid="{00000000-0005-0000-0000-00005D080000}"/>
    <cellStyle name="Moneda 2 7 2" xfId="2213" xr:uid="{00000000-0005-0000-0000-00005E080000}"/>
    <cellStyle name="Moneda 2 8" xfId="2214" xr:uid="{00000000-0005-0000-0000-00005F080000}"/>
    <cellStyle name="Moneda 2 8 2" xfId="2215" xr:uid="{00000000-0005-0000-0000-000060080000}"/>
    <cellStyle name="Moneda 2 9" xfId="2216" xr:uid="{00000000-0005-0000-0000-000061080000}"/>
    <cellStyle name="Moneda 26" xfId="2217" xr:uid="{00000000-0005-0000-0000-000062080000}"/>
    <cellStyle name="Moneda 26 2" xfId="2218" xr:uid="{00000000-0005-0000-0000-000063080000}"/>
    <cellStyle name="Moneda 26 2 2" xfId="2219" xr:uid="{00000000-0005-0000-0000-000064080000}"/>
    <cellStyle name="Moneda 26 2 3" xfId="2220" xr:uid="{00000000-0005-0000-0000-000065080000}"/>
    <cellStyle name="Moneda 26 3" xfId="2221" xr:uid="{00000000-0005-0000-0000-000066080000}"/>
    <cellStyle name="Moneda 26 3 2" xfId="2222" xr:uid="{00000000-0005-0000-0000-000067080000}"/>
    <cellStyle name="Moneda 26 3 3" xfId="2223" xr:uid="{00000000-0005-0000-0000-000068080000}"/>
    <cellStyle name="Moneda 26 4" xfId="2224" xr:uid="{00000000-0005-0000-0000-000069080000}"/>
    <cellStyle name="Moneda 3" xfId="48" xr:uid="{00000000-0005-0000-0000-00006A080000}"/>
    <cellStyle name="Moneda 3 2" xfId="2226" xr:uid="{00000000-0005-0000-0000-00006B080000}"/>
    <cellStyle name="Moneda 3 3" xfId="2227" xr:uid="{00000000-0005-0000-0000-00006C080000}"/>
    <cellStyle name="Moneda 3 4" xfId="2228" xr:uid="{00000000-0005-0000-0000-00006D080000}"/>
    <cellStyle name="Moneda 3 5" xfId="2229" xr:uid="{00000000-0005-0000-0000-00006E080000}"/>
    <cellStyle name="Moneda 3 6" xfId="2230" xr:uid="{00000000-0005-0000-0000-00006F080000}"/>
    <cellStyle name="Moneda 3 7" xfId="80" xr:uid="{00000000-0005-0000-0000-000070080000}"/>
    <cellStyle name="Moneda 3 7 2" xfId="2231" xr:uid="{00000000-0005-0000-0000-000071080000}"/>
    <cellStyle name="Moneda 3 8" xfId="2232" xr:uid="{00000000-0005-0000-0000-000072080000}"/>
    <cellStyle name="Moneda 3 9" xfId="2225" xr:uid="{00000000-0005-0000-0000-000073080000}"/>
    <cellStyle name="Moneda 4" xfId="32" xr:uid="{00000000-0005-0000-0000-000074080000}"/>
    <cellStyle name="Moneda 4 2" xfId="49" xr:uid="{00000000-0005-0000-0000-000075080000}"/>
    <cellStyle name="Moneda 4 3" xfId="76" xr:uid="{00000000-0005-0000-0000-000076080000}"/>
    <cellStyle name="Moneda 4 4" xfId="2233" xr:uid="{00000000-0005-0000-0000-000077080000}"/>
    <cellStyle name="Moneda 5" xfId="74" xr:uid="{00000000-0005-0000-0000-000078080000}"/>
    <cellStyle name="Moneda 6" xfId="78" xr:uid="{00000000-0005-0000-0000-000079080000}"/>
    <cellStyle name="Neutral 2" xfId="2234" xr:uid="{00000000-0005-0000-0000-00007A080000}"/>
    <cellStyle name="Neutral 3" xfId="2235" xr:uid="{00000000-0005-0000-0000-00007B080000}"/>
    <cellStyle name="Neutral 4" xfId="2236" xr:uid="{00000000-0005-0000-0000-00007C080000}"/>
    <cellStyle name="Normal" xfId="0" builtinId="0"/>
    <cellStyle name="Normal 10" xfId="33" xr:uid="{00000000-0005-0000-0000-00007E080000}"/>
    <cellStyle name="Normal 10 10" xfId="2238" xr:uid="{00000000-0005-0000-0000-00007F080000}"/>
    <cellStyle name="Normal 10 11" xfId="2239" xr:uid="{00000000-0005-0000-0000-000080080000}"/>
    <cellStyle name="Normal 10 12" xfId="2240" xr:uid="{00000000-0005-0000-0000-000081080000}"/>
    <cellStyle name="Normal 10 13" xfId="2241" xr:uid="{00000000-0005-0000-0000-000082080000}"/>
    <cellStyle name="Normal 10 14" xfId="2242" xr:uid="{00000000-0005-0000-0000-000083080000}"/>
    <cellStyle name="Normal 10 15" xfId="2243" xr:uid="{00000000-0005-0000-0000-000084080000}"/>
    <cellStyle name="Normal 10 16" xfId="2244" xr:uid="{00000000-0005-0000-0000-000085080000}"/>
    <cellStyle name="Normal 10 17" xfId="2245" xr:uid="{00000000-0005-0000-0000-000086080000}"/>
    <cellStyle name="Normal 10 18" xfId="2246" xr:uid="{00000000-0005-0000-0000-000087080000}"/>
    <cellStyle name="Normal 10 19" xfId="2247" xr:uid="{00000000-0005-0000-0000-000088080000}"/>
    <cellStyle name="Normal 10 2" xfId="2248" xr:uid="{00000000-0005-0000-0000-000089080000}"/>
    <cellStyle name="Normal 10 2 10" xfId="11" xr:uid="{00000000-0005-0000-0000-00008A080000}"/>
    <cellStyle name="Normal 10 2 10 10" xfId="2250" xr:uid="{00000000-0005-0000-0000-00008B080000}"/>
    <cellStyle name="Normal 10 2 10 10 10" xfId="2251" xr:uid="{00000000-0005-0000-0000-00008C080000}"/>
    <cellStyle name="Normal 10 2 10 10 11" xfId="2252" xr:uid="{00000000-0005-0000-0000-00008D080000}"/>
    <cellStyle name="Normal 10 2 10 10 12" xfId="2253" xr:uid="{00000000-0005-0000-0000-00008E080000}"/>
    <cellStyle name="Normal 10 2 10 10 13" xfId="2254" xr:uid="{00000000-0005-0000-0000-00008F080000}"/>
    <cellStyle name="Normal 10 2 10 10 14" xfId="2255" xr:uid="{00000000-0005-0000-0000-000090080000}"/>
    <cellStyle name="Normal 10 2 10 10 2" xfId="2256" xr:uid="{00000000-0005-0000-0000-000091080000}"/>
    <cellStyle name="Normal 10 2 10 10 2 10" xfId="2257" xr:uid="{00000000-0005-0000-0000-000092080000}"/>
    <cellStyle name="Normal 10 2 10 10 2 2" xfId="2258" xr:uid="{00000000-0005-0000-0000-000093080000}"/>
    <cellStyle name="Normal 10 2 10 10 2 3" xfId="2259" xr:uid="{00000000-0005-0000-0000-000094080000}"/>
    <cellStyle name="Normal 10 2 10 10 2 4" xfId="2260" xr:uid="{00000000-0005-0000-0000-000095080000}"/>
    <cellStyle name="Normal 10 2 10 10 2 5" xfId="2261" xr:uid="{00000000-0005-0000-0000-000096080000}"/>
    <cellStyle name="Normal 10 2 10 10 2 6" xfId="2262" xr:uid="{00000000-0005-0000-0000-000097080000}"/>
    <cellStyle name="Normal 10 2 10 10 2 7" xfId="2263" xr:uid="{00000000-0005-0000-0000-000098080000}"/>
    <cellStyle name="Normal 10 2 10 10 2 8" xfId="2264" xr:uid="{00000000-0005-0000-0000-000099080000}"/>
    <cellStyle name="Normal 10 2 10 10 2 9" xfId="2265" xr:uid="{00000000-0005-0000-0000-00009A080000}"/>
    <cellStyle name="Normal 10 2 10 10 3" xfId="2266" xr:uid="{00000000-0005-0000-0000-00009B080000}"/>
    <cellStyle name="Normal 10 2 10 10 3 10" xfId="2267" xr:uid="{00000000-0005-0000-0000-00009C080000}"/>
    <cellStyle name="Normal 10 2 10 10 3 2" xfId="2268" xr:uid="{00000000-0005-0000-0000-00009D080000}"/>
    <cellStyle name="Normal 10 2 10 10 3 3" xfId="2269" xr:uid="{00000000-0005-0000-0000-00009E080000}"/>
    <cellStyle name="Normal 10 2 10 10 3 4" xfId="2270" xr:uid="{00000000-0005-0000-0000-00009F080000}"/>
    <cellStyle name="Normal 10 2 10 10 3 5" xfId="2271" xr:uid="{00000000-0005-0000-0000-0000A0080000}"/>
    <cellStyle name="Normal 10 2 10 10 3 6" xfId="2272" xr:uid="{00000000-0005-0000-0000-0000A1080000}"/>
    <cellStyle name="Normal 10 2 10 10 3 7" xfId="2273" xr:uid="{00000000-0005-0000-0000-0000A2080000}"/>
    <cellStyle name="Normal 10 2 10 10 3 8" xfId="2274" xr:uid="{00000000-0005-0000-0000-0000A3080000}"/>
    <cellStyle name="Normal 10 2 10 10 3 9" xfId="2275" xr:uid="{00000000-0005-0000-0000-0000A4080000}"/>
    <cellStyle name="Normal 10 2 10 10 4" xfId="2276" xr:uid="{00000000-0005-0000-0000-0000A5080000}"/>
    <cellStyle name="Normal 10 2 10 10 4 10" xfId="2277" xr:uid="{00000000-0005-0000-0000-0000A6080000}"/>
    <cellStyle name="Normal 10 2 10 10 4 2" xfId="2278" xr:uid="{00000000-0005-0000-0000-0000A7080000}"/>
    <cellStyle name="Normal 10 2 10 10 4 3" xfId="2279" xr:uid="{00000000-0005-0000-0000-0000A8080000}"/>
    <cellStyle name="Normal 10 2 10 10 4 4" xfId="2280" xr:uid="{00000000-0005-0000-0000-0000A9080000}"/>
    <cellStyle name="Normal 10 2 10 10 4 5" xfId="2281" xr:uid="{00000000-0005-0000-0000-0000AA080000}"/>
    <cellStyle name="Normal 10 2 10 10 4 6" xfId="2282" xr:uid="{00000000-0005-0000-0000-0000AB080000}"/>
    <cellStyle name="Normal 10 2 10 10 4 7" xfId="2283" xr:uid="{00000000-0005-0000-0000-0000AC080000}"/>
    <cellStyle name="Normal 10 2 10 10 4 8" xfId="2284" xr:uid="{00000000-0005-0000-0000-0000AD080000}"/>
    <cellStyle name="Normal 10 2 10 10 4 9" xfId="2285" xr:uid="{00000000-0005-0000-0000-0000AE080000}"/>
    <cellStyle name="Normal 10 2 10 10 5" xfId="2286" xr:uid="{00000000-0005-0000-0000-0000AF080000}"/>
    <cellStyle name="Normal 10 2 10 10 5 10" xfId="2287" xr:uid="{00000000-0005-0000-0000-0000B0080000}"/>
    <cellStyle name="Normal 10 2 10 10 5 2" xfId="2288" xr:uid="{00000000-0005-0000-0000-0000B1080000}"/>
    <cellStyle name="Normal 10 2 10 10 5 3" xfId="2289" xr:uid="{00000000-0005-0000-0000-0000B2080000}"/>
    <cellStyle name="Normal 10 2 10 10 5 4" xfId="2290" xr:uid="{00000000-0005-0000-0000-0000B3080000}"/>
    <cellStyle name="Normal 10 2 10 10 5 5" xfId="2291" xr:uid="{00000000-0005-0000-0000-0000B4080000}"/>
    <cellStyle name="Normal 10 2 10 10 5 6" xfId="2292" xr:uid="{00000000-0005-0000-0000-0000B5080000}"/>
    <cellStyle name="Normal 10 2 10 10 5 7" xfId="2293" xr:uid="{00000000-0005-0000-0000-0000B6080000}"/>
    <cellStyle name="Normal 10 2 10 10 5 8" xfId="2294" xr:uid="{00000000-0005-0000-0000-0000B7080000}"/>
    <cellStyle name="Normal 10 2 10 10 5 9" xfId="2295" xr:uid="{00000000-0005-0000-0000-0000B8080000}"/>
    <cellStyle name="Normal 10 2 10 10 6" xfId="2296" xr:uid="{00000000-0005-0000-0000-0000B9080000}"/>
    <cellStyle name="Normal 10 2 10 10 7" xfId="2297" xr:uid="{00000000-0005-0000-0000-0000BA080000}"/>
    <cellStyle name="Normal 10 2 10 10 8" xfId="2298" xr:uid="{00000000-0005-0000-0000-0000BB080000}"/>
    <cellStyle name="Normal 10 2 10 10 9" xfId="2299" xr:uid="{00000000-0005-0000-0000-0000BC080000}"/>
    <cellStyle name="Normal 10 2 10 11" xfId="2300" xr:uid="{00000000-0005-0000-0000-0000BD080000}"/>
    <cellStyle name="Normal 10 2 10 11 10" xfId="2301" xr:uid="{00000000-0005-0000-0000-0000BE080000}"/>
    <cellStyle name="Normal 10 2 10 11 11" xfId="2302" xr:uid="{00000000-0005-0000-0000-0000BF080000}"/>
    <cellStyle name="Normal 10 2 10 11 12" xfId="2303" xr:uid="{00000000-0005-0000-0000-0000C0080000}"/>
    <cellStyle name="Normal 10 2 10 11 13" xfId="2304" xr:uid="{00000000-0005-0000-0000-0000C1080000}"/>
    <cellStyle name="Normal 10 2 10 11 14" xfId="2305" xr:uid="{00000000-0005-0000-0000-0000C2080000}"/>
    <cellStyle name="Normal 10 2 10 11 2" xfId="2306" xr:uid="{00000000-0005-0000-0000-0000C3080000}"/>
    <cellStyle name="Normal 10 2 10 11 2 10" xfId="2307" xr:uid="{00000000-0005-0000-0000-0000C4080000}"/>
    <cellStyle name="Normal 10 2 10 11 2 2" xfId="2308" xr:uid="{00000000-0005-0000-0000-0000C5080000}"/>
    <cellStyle name="Normal 10 2 10 11 2 3" xfId="2309" xr:uid="{00000000-0005-0000-0000-0000C6080000}"/>
    <cellStyle name="Normal 10 2 10 11 2 4" xfId="2310" xr:uid="{00000000-0005-0000-0000-0000C7080000}"/>
    <cellStyle name="Normal 10 2 10 11 2 5" xfId="2311" xr:uid="{00000000-0005-0000-0000-0000C8080000}"/>
    <cellStyle name="Normal 10 2 10 11 2 6" xfId="2312" xr:uid="{00000000-0005-0000-0000-0000C9080000}"/>
    <cellStyle name="Normal 10 2 10 11 2 7" xfId="2313" xr:uid="{00000000-0005-0000-0000-0000CA080000}"/>
    <cellStyle name="Normal 10 2 10 11 2 8" xfId="2314" xr:uid="{00000000-0005-0000-0000-0000CB080000}"/>
    <cellStyle name="Normal 10 2 10 11 2 9" xfId="2315" xr:uid="{00000000-0005-0000-0000-0000CC080000}"/>
    <cellStyle name="Normal 10 2 10 11 3" xfId="2316" xr:uid="{00000000-0005-0000-0000-0000CD080000}"/>
    <cellStyle name="Normal 10 2 10 11 3 10" xfId="2317" xr:uid="{00000000-0005-0000-0000-0000CE080000}"/>
    <cellStyle name="Normal 10 2 10 11 3 2" xfId="2318" xr:uid="{00000000-0005-0000-0000-0000CF080000}"/>
    <cellStyle name="Normal 10 2 10 11 3 3" xfId="2319" xr:uid="{00000000-0005-0000-0000-0000D0080000}"/>
    <cellStyle name="Normal 10 2 10 11 3 4" xfId="2320" xr:uid="{00000000-0005-0000-0000-0000D1080000}"/>
    <cellStyle name="Normal 10 2 10 11 3 5" xfId="2321" xr:uid="{00000000-0005-0000-0000-0000D2080000}"/>
    <cellStyle name="Normal 10 2 10 11 3 6" xfId="2322" xr:uid="{00000000-0005-0000-0000-0000D3080000}"/>
    <cellStyle name="Normal 10 2 10 11 3 7" xfId="2323" xr:uid="{00000000-0005-0000-0000-0000D4080000}"/>
    <cellStyle name="Normal 10 2 10 11 3 8" xfId="2324" xr:uid="{00000000-0005-0000-0000-0000D5080000}"/>
    <cellStyle name="Normal 10 2 10 11 3 9" xfId="2325" xr:uid="{00000000-0005-0000-0000-0000D6080000}"/>
    <cellStyle name="Normal 10 2 10 11 4" xfId="2326" xr:uid="{00000000-0005-0000-0000-0000D7080000}"/>
    <cellStyle name="Normal 10 2 10 11 4 10" xfId="2327" xr:uid="{00000000-0005-0000-0000-0000D8080000}"/>
    <cellStyle name="Normal 10 2 10 11 4 2" xfId="2328" xr:uid="{00000000-0005-0000-0000-0000D9080000}"/>
    <cellStyle name="Normal 10 2 10 11 4 3" xfId="2329" xr:uid="{00000000-0005-0000-0000-0000DA080000}"/>
    <cellStyle name="Normal 10 2 10 11 4 4" xfId="2330" xr:uid="{00000000-0005-0000-0000-0000DB080000}"/>
    <cellStyle name="Normal 10 2 10 11 4 5" xfId="2331" xr:uid="{00000000-0005-0000-0000-0000DC080000}"/>
    <cellStyle name="Normal 10 2 10 11 4 6" xfId="2332" xr:uid="{00000000-0005-0000-0000-0000DD080000}"/>
    <cellStyle name="Normal 10 2 10 11 4 7" xfId="2333" xr:uid="{00000000-0005-0000-0000-0000DE080000}"/>
    <cellStyle name="Normal 10 2 10 11 4 8" xfId="2334" xr:uid="{00000000-0005-0000-0000-0000DF080000}"/>
    <cellStyle name="Normal 10 2 10 11 4 9" xfId="2335" xr:uid="{00000000-0005-0000-0000-0000E0080000}"/>
    <cellStyle name="Normal 10 2 10 11 5" xfId="2336" xr:uid="{00000000-0005-0000-0000-0000E1080000}"/>
    <cellStyle name="Normal 10 2 10 11 5 10" xfId="2337" xr:uid="{00000000-0005-0000-0000-0000E2080000}"/>
    <cellStyle name="Normal 10 2 10 11 5 2" xfId="2338" xr:uid="{00000000-0005-0000-0000-0000E3080000}"/>
    <cellStyle name="Normal 10 2 10 11 5 3" xfId="2339" xr:uid="{00000000-0005-0000-0000-0000E4080000}"/>
    <cellStyle name="Normal 10 2 10 11 5 4" xfId="2340" xr:uid="{00000000-0005-0000-0000-0000E5080000}"/>
    <cellStyle name="Normal 10 2 10 11 5 5" xfId="2341" xr:uid="{00000000-0005-0000-0000-0000E6080000}"/>
    <cellStyle name="Normal 10 2 10 11 5 6" xfId="2342" xr:uid="{00000000-0005-0000-0000-0000E7080000}"/>
    <cellStyle name="Normal 10 2 10 11 5 7" xfId="2343" xr:uid="{00000000-0005-0000-0000-0000E8080000}"/>
    <cellStyle name="Normal 10 2 10 11 5 8" xfId="2344" xr:uid="{00000000-0005-0000-0000-0000E9080000}"/>
    <cellStyle name="Normal 10 2 10 11 5 9" xfId="2345" xr:uid="{00000000-0005-0000-0000-0000EA080000}"/>
    <cellStyle name="Normal 10 2 10 11 6" xfId="2346" xr:uid="{00000000-0005-0000-0000-0000EB080000}"/>
    <cellStyle name="Normal 10 2 10 11 7" xfId="2347" xr:uid="{00000000-0005-0000-0000-0000EC080000}"/>
    <cellStyle name="Normal 10 2 10 11 8" xfId="2348" xr:uid="{00000000-0005-0000-0000-0000ED080000}"/>
    <cellStyle name="Normal 10 2 10 11 9" xfId="2349" xr:uid="{00000000-0005-0000-0000-0000EE080000}"/>
    <cellStyle name="Normal 10 2 10 12" xfId="2350" xr:uid="{00000000-0005-0000-0000-0000EF080000}"/>
    <cellStyle name="Normal 10 2 10 12 10" xfId="2351" xr:uid="{00000000-0005-0000-0000-0000F0080000}"/>
    <cellStyle name="Normal 10 2 10 12 11" xfId="2352" xr:uid="{00000000-0005-0000-0000-0000F1080000}"/>
    <cellStyle name="Normal 10 2 10 12 12" xfId="2353" xr:uid="{00000000-0005-0000-0000-0000F2080000}"/>
    <cellStyle name="Normal 10 2 10 12 13" xfId="2354" xr:uid="{00000000-0005-0000-0000-0000F3080000}"/>
    <cellStyle name="Normal 10 2 10 12 14" xfId="2355" xr:uid="{00000000-0005-0000-0000-0000F4080000}"/>
    <cellStyle name="Normal 10 2 10 12 2" xfId="2356" xr:uid="{00000000-0005-0000-0000-0000F5080000}"/>
    <cellStyle name="Normal 10 2 10 12 2 10" xfId="2357" xr:uid="{00000000-0005-0000-0000-0000F6080000}"/>
    <cellStyle name="Normal 10 2 10 12 2 2" xfId="2358" xr:uid="{00000000-0005-0000-0000-0000F7080000}"/>
    <cellStyle name="Normal 10 2 10 12 2 3" xfId="2359" xr:uid="{00000000-0005-0000-0000-0000F8080000}"/>
    <cellStyle name="Normal 10 2 10 12 2 4" xfId="2360" xr:uid="{00000000-0005-0000-0000-0000F9080000}"/>
    <cellStyle name="Normal 10 2 10 12 2 5" xfId="2361" xr:uid="{00000000-0005-0000-0000-0000FA080000}"/>
    <cellStyle name="Normal 10 2 10 12 2 6" xfId="2362" xr:uid="{00000000-0005-0000-0000-0000FB080000}"/>
    <cellStyle name="Normal 10 2 10 12 2 7" xfId="2363" xr:uid="{00000000-0005-0000-0000-0000FC080000}"/>
    <cellStyle name="Normal 10 2 10 12 2 8" xfId="2364" xr:uid="{00000000-0005-0000-0000-0000FD080000}"/>
    <cellStyle name="Normal 10 2 10 12 2 9" xfId="2365" xr:uid="{00000000-0005-0000-0000-0000FE080000}"/>
    <cellStyle name="Normal 10 2 10 12 3" xfId="2366" xr:uid="{00000000-0005-0000-0000-0000FF080000}"/>
    <cellStyle name="Normal 10 2 10 12 3 10" xfId="2367" xr:uid="{00000000-0005-0000-0000-000000090000}"/>
    <cellStyle name="Normal 10 2 10 12 3 2" xfId="2368" xr:uid="{00000000-0005-0000-0000-000001090000}"/>
    <cellStyle name="Normal 10 2 10 12 3 3" xfId="2369" xr:uid="{00000000-0005-0000-0000-000002090000}"/>
    <cellStyle name="Normal 10 2 10 12 3 4" xfId="2370" xr:uid="{00000000-0005-0000-0000-000003090000}"/>
    <cellStyle name="Normal 10 2 10 12 3 5" xfId="2371" xr:uid="{00000000-0005-0000-0000-000004090000}"/>
    <cellStyle name="Normal 10 2 10 12 3 6" xfId="2372" xr:uid="{00000000-0005-0000-0000-000005090000}"/>
    <cellStyle name="Normal 10 2 10 12 3 7" xfId="2373" xr:uid="{00000000-0005-0000-0000-000006090000}"/>
    <cellStyle name="Normal 10 2 10 12 3 8" xfId="2374" xr:uid="{00000000-0005-0000-0000-000007090000}"/>
    <cellStyle name="Normal 10 2 10 12 3 9" xfId="2375" xr:uid="{00000000-0005-0000-0000-000008090000}"/>
    <cellStyle name="Normal 10 2 10 12 4" xfId="2376" xr:uid="{00000000-0005-0000-0000-000009090000}"/>
    <cellStyle name="Normal 10 2 10 12 4 10" xfId="2377" xr:uid="{00000000-0005-0000-0000-00000A090000}"/>
    <cellStyle name="Normal 10 2 10 12 4 2" xfId="2378" xr:uid="{00000000-0005-0000-0000-00000B090000}"/>
    <cellStyle name="Normal 10 2 10 12 4 3" xfId="2379" xr:uid="{00000000-0005-0000-0000-00000C090000}"/>
    <cellStyle name="Normal 10 2 10 12 4 4" xfId="2380" xr:uid="{00000000-0005-0000-0000-00000D090000}"/>
    <cellStyle name="Normal 10 2 10 12 4 5" xfId="2381" xr:uid="{00000000-0005-0000-0000-00000E090000}"/>
    <cellStyle name="Normal 10 2 10 12 4 6" xfId="2382" xr:uid="{00000000-0005-0000-0000-00000F090000}"/>
    <cellStyle name="Normal 10 2 10 12 4 7" xfId="2383" xr:uid="{00000000-0005-0000-0000-000010090000}"/>
    <cellStyle name="Normal 10 2 10 12 4 8" xfId="2384" xr:uid="{00000000-0005-0000-0000-000011090000}"/>
    <cellStyle name="Normal 10 2 10 12 4 9" xfId="2385" xr:uid="{00000000-0005-0000-0000-000012090000}"/>
    <cellStyle name="Normal 10 2 10 12 5" xfId="2386" xr:uid="{00000000-0005-0000-0000-000013090000}"/>
    <cellStyle name="Normal 10 2 10 12 5 10" xfId="2387" xr:uid="{00000000-0005-0000-0000-000014090000}"/>
    <cellStyle name="Normal 10 2 10 12 5 2" xfId="2388" xr:uid="{00000000-0005-0000-0000-000015090000}"/>
    <cellStyle name="Normal 10 2 10 12 5 3" xfId="2389" xr:uid="{00000000-0005-0000-0000-000016090000}"/>
    <cellStyle name="Normal 10 2 10 12 5 4" xfId="2390" xr:uid="{00000000-0005-0000-0000-000017090000}"/>
    <cellStyle name="Normal 10 2 10 12 5 5" xfId="2391" xr:uid="{00000000-0005-0000-0000-000018090000}"/>
    <cellStyle name="Normal 10 2 10 12 5 6" xfId="2392" xr:uid="{00000000-0005-0000-0000-000019090000}"/>
    <cellStyle name="Normal 10 2 10 12 5 7" xfId="2393" xr:uid="{00000000-0005-0000-0000-00001A090000}"/>
    <cellStyle name="Normal 10 2 10 12 5 8" xfId="2394" xr:uid="{00000000-0005-0000-0000-00001B090000}"/>
    <cellStyle name="Normal 10 2 10 12 5 9" xfId="2395" xr:uid="{00000000-0005-0000-0000-00001C090000}"/>
    <cellStyle name="Normal 10 2 10 12 6" xfId="2396" xr:uid="{00000000-0005-0000-0000-00001D090000}"/>
    <cellStyle name="Normal 10 2 10 12 7" xfId="2397" xr:uid="{00000000-0005-0000-0000-00001E090000}"/>
    <cellStyle name="Normal 10 2 10 12 8" xfId="2398" xr:uid="{00000000-0005-0000-0000-00001F090000}"/>
    <cellStyle name="Normal 10 2 10 12 9" xfId="2399" xr:uid="{00000000-0005-0000-0000-000020090000}"/>
    <cellStyle name="Normal 10 2 10 13" xfId="2400" xr:uid="{00000000-0005-0000-0000-000021090000}"/>
    <cellStyle name="Normal 10 2 10 13 10" xfId="2401" xr:uid="{00000000-0005-0000-0000-000022090000}"/>
    <cellStyle name="Normal 10 2 10 13 11" xfId="2402" xr:uid="{00000000-0005-0000-0000-000023090000}"/>
    <cellStyle name="Normal 10 2 10 13 12" xfId="2403" xr:uid="{00000000-0005-0000-0000-000024090000}"/>
    <cellStyle name="Normal 10 2 10 13 13" xfId="2404" xr:uid="{00000000-0005-0000-0000-000025090000}"/>
    <cellStyle name="Normal 10 2 10 13 14" xfId="2405" xr:uid="{00000000-0005-0000-0000-000026090000}"/>
    <cellStyle name="Normal 10 2 10 13 2" xfId="2406" xr:uid="{00000000-0005-0000-0000-000027090000}"/>
    <cellStyle name="Normal 10 2 10 13 2 10" xfId="2407" xr:uid="{00000000-0005-0000-0000-000028090000}"/>
    <cellStyle name="Normal 10 2 10 13 2 2" xfId="2408" xr:uid="{00000000-0005-0000-0000-000029090000}"/>
    <cellStyle name="Normal 10 2 10 13 2 3" xfId="2409" xr:uid="{00000000-0005-0000-0000-00002A090000}"/>
    <cellStyle name="Normal 10 2 10 13 2 4" xfId="2410" xr:uid="{00000000-0005-0000-0000-00002B090000}"/>
    <cellStyle name="Normal 10 2 10 13 2 5" xfId="2411" xr:uid="{00000000-0005-0000-0000-00002C090000}"/>
    <cellStyle name="Normal 10 2 10 13 2 6" xfId="2412" xr:uid="{00000000-0005-0000-0000-00002D090000}"/>
    <cellStyle name="Normal 10 2 10 13 2 7" xfId="2413" xr:uid="{00000000-0005-0000-0000-00002E090000}"/>
    <cellStyle name="Normal 10 2 10 13 2 8" xfId="2414" xr:uid="{00000000-0005-0000-0000-00002F090000}"/>
    <cellStyle name="Normal 10 2 10 13 2 9" xfId="2415" xr:uid="{00000000-0005-0000-0000-000030090000}"/>
    <cellStyle name="Normal 10 2 10 13 3" xfId="2416" xr:uid="{00000000-0005-0000-0000-000031090000}"/>
    <cellStyle name="Normal 10 2 10 13 3 10" xfId="2417" xr:uid="{00000000-0005-0000-0000-000032090000}"/>
    <cellStyle name="Normal 10 2 10 13 3 2" xfId="2418" xr:uid="{00000000-0005-0000-0000-000033090000}"/>
    <cellStyle name="Normal 10 2 10 13 3 3" xfId="2419" xr:uid="{00000000-0005-0000-0000-000034090000}"/>
    <cellStyle name="Normal 10 2 10 13 3 4" xfId="2420" xr:uid="{00000000-0005-0000-0000-000035090000}"/>
    <cellStyle name="Normal 10 2 10 13 3 5" xfId="2421" xr:uid="{00000000-0005-0000-0000-000036090000}"/>
    <cellStyle name="Normal 10 2 10 13 3 6" xfId="2422" xr:uid="{00000000-0005-0000-0000-000037090000}"/>
    <cellStyle name="Normal 10 2 10 13 3 7" xfId="2423" xr:uid="{00000000-0005-0000-0000-000038090000}"/>
    <cellStyle name="Normal 10 2 10 13 3 8" xfId="2424" xr:uid="{00000000-0005-0000-0000-000039090000}"/>
    <cellStyle name="Normal 10 2 10 13 3 9" xfId="2425" xr:uid="{00000000-0005-0000-0000-00003A090000}"/>
    <cellStyle name="Normal 10 2 10 13 4" xfId="2426" xr:uid="{00000000-0005-0000-0000-00003B090000}"/>
    <cellStyle name="Normal 10 2 10 13 4 10" xfId="2427" xr:uid="{00000000-0005-0000-0000-00003C090000}"/>
    <cellStyle name="Normal 10 2 10 13 4 2" xfId="2428" xr:uid="{00000000-0005-0000-0000-00003D090000}"/>
    <cellStyle name="Normal 10 2 10 13 4 3" xfId="2429" xr:uid="{00000000-0005-0000-0000-00003E090000}"/>
    <cellStyle name="Normal 10 2 10 13 4 4" xfId="2430" xr:uid="{00000000-0005-0000-0000-00003F090000}"/>
    <cellStyle name="Normal 10 2 10 13 4 5" xfId="2431" xr:uid="{00000000-0005-0000-0000-000040090000}"/>
    <cellStyle name="Normal 10 2 10 13 4 6" xfId="2432" xr:uid="{00000000-0005-0000-0000-000041090000}"/>
    <cellStyle name="Normal 10 2 10 13 4 7" xfId="2433" xr:uid="{00000000-0005-0000-0000-000042090000}"/>
    <cellStyle name="Normal 10 2 10 13 4 8" xfId="2434" xr:uid="{00000000-0005-0000-0000-000043090000}"/>
    <cellStyle name="Normal 10 2 10 13 4 9" xfId="2435" xr:uid="{00000000-0005-0000-0000-000044090000}"/>
    <cellStyle name="Normal 10 2 10 13 5" xfId="2436" xr:uid="{00000000-0005-0000-0000-000045090000}"/>
    <cellStyle name="Normal 10 2 10 13 5 10" xfId="2437" xr:uid="{00000000-0005-0000-0000-000046090000}"/>
    <cellStyle name="Normal 10 2 10 13 5 2" xfId="2438" xr:uid="{00000000-0005-0000-0000-000047090000}"/>
    <cellStyle name="Normal 10 2 10 13 5 3" xfId="2439" xr:uid="{00000000-0005-0000-0000-000048090000}"/>
    <cellStyle name="Normal 10 2 10 13 5 4" xfId="2440" xr:uid="{00000000-0005-0000-0000-000049090000}"/>
    <cellStyle name="Normal 10 2 10 13 5 5" xfId="2441" xr:uid="{00000000-0005-0000-0000-00004A090000}"/>
    <cellStyle name="Normal 10 2 10 13 5 6" xfId="2442" xr:uid="{00000000-0005-0000-0000-00004B090000}"/>
    <cellStyle name="Normal 10 2 10 13 5 7" xfId="2443" xr:uid="{00000000-0005-0000-0000-00004C090000}"/>
    <cellStyle name="Normal 10 2 10 13 5 8" xfId="2444" xr:uid="{00000000-0005-0000-0000-00004D090000}"/>
    <cellStyle name="Normal 10 2 10 13 5 9" xfId="2445" xr:uid="{00000000-0005-0000-0000-00004E090000}"/>
    <cellStyle name="Normal 10 2 10 13 6" xfId="2446" xr:uid="{00000000-0005-0000-0000-00004F090000}"/>
    <cellStyle name="Normal 10 2 10 13 7" xfId="2447" xr:uid="{00000000-0005-0000-0000-000050090000}"/>
    <cellStyle name="Normal 10 2 10 13 8" xfId="2448" xr:uid="{00000000-0005-0000-0000-000051090000}"/>
    <cellStyle name="Normal 10 2 10 13 9" xfId="2449" xr:uid="{00000000-0005-0000-0000-000052090000}"/>
    <cellStyle name="Normal 10 2 10 14" xfId="2450" xr:uid="{00000000-0005-0000-0000-000053090000}"/>
    <cellStyle name="Normal 10 2 10 14 10" xfId="2451" xr:uid="{00000000-0005-0000-0000-000054090000}"/>
    <cellStyle name="Normal 10 2 10 14 11" xfId="2452" xr:uid="{00000000-0005-0000-0000-000055090000}"/>
    <cellStyle name="Normal 10 2 10 14 12" xfId="2453" xr:uid="{00000000-0005-0000-0000-000056090000}"/>
    <cellStyle name="Normal 10 2 10 14 13" xfId="2454" xr:uid="{00000000-0005-0000-0000-000057090000}"/>
    <cellStyle name="Normal 10 2 10 14 14" xfId="2455" xr:uid="{00000000-0005-0000-0000-000058090000}"/>
    <cellStyle name="Normal 10 2 10 14 2" xfId="2456" xr:uid="{00000000-0005-0000-0000-000059090000}"/>
    <cellStyle name="Normal 10 2 10 14 2 10" xfId="2457" xr:uid="{00000000-0005-0000-0000-00005A090000}"/>
    <cellStyle name="Normal 10 2 10 14 2 2" xfId="2458" xr:uid="{00000000-0005-0000-0000-00005B090000}"/>
    <cellStyle name="Normal 10 2 10 14 2 3" xfId="2459" xr:uid="{00000000-0005-0000-0000-00005C090000}"/>
    <cellStyle name="Normal 10 2 10 14 2 4" xfId="2460" xr:uid="{00000000-0005-0000-0000-00005D090000}"/>
    <cellStyle name="Normal 10 2 10 14 2 5" xfId="2461" xr:uid="{00000000-0005-0000-0000-00005E090000}"/>
    <cellStyle name="Normal 10 2 10 14 2 6" xfId="2462" xr:uid="{00000000-0005-0000-0000-00005F090000}"/>
    <cellStyle name="Normal 10 2 10 14 2 7" xfId="2463" xr:uid="{00000000-0005-0000-0000-000060090000}"/>
    <cellStyle name="Normal 10 2 10 14 2 8" xfId="2464" xr:uid="{00000000-0005-0000-0000-000061090000}"/>
    <cellStyle name="Normal 10 2 10 14 2 9" xfId="2465" xr:uid="{00000000-0005-0000-0000-000062090000}"/>
    <cellStyle name="Normal 10 2 10 14 3" xfId="2466" xr:uid="{00000000-0005-0000-0000-000063090000}"/>
    <cellStyle name="Normal 10 2 10 14 3 10" xfId="2467" xr:uid="{00000000-0005-0000-0000-000064090000}"/>
    <cellStyle name="Normal 10 2 10 14 3 2" xfId="2468" xr:uid="{00000000-0005-0000-0000-000065090000}"/>
    <cellStyle name="Normal 10 2 10 14 3 3" xfId="2469" xr:uid="{00000000-0005-0000-0000-000066090000}"/>
    <cellStyle name="Normal 10 2 10 14 3 4" xfId="2470" xr:uid="{00000000-0005-0000-0000-000067090000}"/>
    <cellStyle name="Normal 10 2 10 14 3 5" xfId="2471" xr:uid="{00000000-0005-0000-0000-000068090000}"/>
    <cellStyle name="Normal 10 2 10 14 3 6" xfId="2472" xr:uid="{00000000-0005-0000-0000-000069090000}"/>
    <cellStyle name="Normal 10 2 10 14 3 7" xfId="2473" xr:uid="{00000000-0005-0000-0000-00006A090000}"/>
    <cellStyle name="Normal 10 2 10 14 3 8" xfId="2474" xr:uid="{00000000-0005-0000-0000-00006B090000}"/>
    <cellStyle name="Normal 10 2 10 14 3 9" xfId="2475" xr:uid="{00000000-0005-0000-0000-00006C090000}"/>
    <cellStyle name="Normal 10 2 10 14 4" xfId="2476" xr:uid="{00000000-0005-0000-0000-00006D090000}"/>
    <cellStyle name="Normal 10 2 10 14 4 10" xfId="2477" xr:uid="{00000000-0005-0000-0000-00006E090000}"/>
    <cellStyle name="Normal 10 2 10 14 4 2" xfId="2478" xr:uid="{00000000-0005-0000-0000-00006F090000}"/>
    <cellStyle name="Normal 10 2 10 14 4 3" xfId="2479" xr:uid="{00000000-0005-0000-0000-000070090000}"/>
    <cellStyle name="Normal 10 2 10 14 4 4" xfId="2480" xr:uid="{00000000-0005-0000-0000-000071090000}"/>
    <cellStyle name="Normal 10 2 10 14 4 5" xfId="2481" xr:uid="{00000000-0005-0000-0000-000072090000}"/>
    <cellStyle name="Normal 10 2 10 14 4 6" xfId="2482" xr:uid="{00000000-0005-0000-0000-000073090000}"/>
    <cellStyle name="Normal 10 2 10 14 4 7" xfId="2483" xr:uid="{00000000-0005-0000-0000-000074090000}"/>
    <cellStyle name="Normal 10 2 10 14 4 8" xfId="2484" xr:uid="{00000000-0005-0000-0000-000075090000}"/>
    <cellStyle name="Normal 10 2 10 14 4 9" xfId="2485" xr:uid="{00000000-0005-0000-0000-000076090000}"/>
    <cellStyle name="Normal 10 2 10 14 5" xfId="2486" xr:uid="{00000000-0005-0000-0000-000077090000}"/>
    <cellStyle name="Normal 10 2 10 14 5 10" xfId="2487" xr:uid="{00000000-0005-0000-0000-000078090000}"/>
    <cellStyle name="Normal 10 2 10 14 5 2" xfId="2488" xr:uid="{00000000-0005-0000-0000-000079090000}"/>
    <cellStyle name="Normal 10 2 10 14 5 3" xfId="2489" xr:uid="{00000000-0005-0000-0000-00007A090000}"/>
    <cellStyle name="Normal 10 2 10 14 5 4" xfId="2490" xr:uid="{00000000-0005-0000-0000-00007B090000}"/>
    <cellStyle name="Normal 10 2 10 14 5 5" xfId="2491" xr:uid="{00000000-0005-0000-0000-00007C090000}"/>
    <cellStyle name="Normal 10 2 10 14 5 6" xfId="2492" xr:uid="{00000000-0005-0000-0000-00007D090000}"/>
    <cellStyle name="Normal 10 2 10 14 5 7" xfId="2493" xr:uid="{00000000-0005-0000-0000-00007E090000}"/>
    <cellStyle name="Normal 10 2 10 14 5 8" xfId="2494" xr:uid="{00000000-0005-0000-0000-00007F090000}"/>
    <cellStyle name="Normal 10 2 10 14 5 9" xfId="2495" xr:uid="{00000000-0005-0000-0000-000080090000}"/>
    <cellStyle name="Normal 10 2 10 14 6" xfId="2496" xr:uid="{00000000-0005-0000-0000-000081090000}"/>
    <cellStyle name="Normal 10 2 10 14 7" xfId="2497" xr:uid="{00000000-0005-0000-0000-000082090000}"/>
    <cellStyle name="Normal 10 2 10 14 8" xfId="2498" xr:uid="{00000000-0005-0000-0000-000083090000}"/>
    <cellStyle name="Normal 10 2 10 14 9" xfId="2499" xr:uid="{00000000-0005-0000-0000-000084090000}"/>
    <cellStyle name="Normal 10 2 10 15" xfId="2500" xr:uid="{00000000-0005-0000-0000-000085090000}"/>
    <cellStyle name="Normal 10 2 10 15 10" xfId="2501" xr:uid="{00000000-0005-0000-0000-000086090000}"/>
    <cellStyle name="Normal 10 2 10 15 11" xfId="2502" xr:uid="{00000000-0005-0000-0000-000087090000}"/>
    <cellStyle name="Normal 10 2 10 15 12" xfId="2503" xr:uid="{00000000-0005-0000-0000-000088090000}"/>
    <cellStyle name="Normal 10 2 10 15 13" xfId="2504" xr:uid="{00000000-0005-0000-0000-000089090000}"/>
    <cellStyle name="Normal 10 2 10 15 14" xfId="2505" xr:uid="{00000000-0005-0000-0000-00008A090000}"/>
    <cellStyle name="Normal 10 2 10 15 2" xfId="2506" xr:uid="{00000000-0005-0000-0000-00008B090000}"/>
    <cellStyle name="Normal 10 2 10 15 2 10" xfId="2507" xr:uid="{00000000-0005-0000-0000-00008C090000}"/>
    <cellStyle name="Normal 10 2 10 15 2 2" xfId="2508" xr:uid="{00000000-0005-0000-0000-00008D090000}"/>
    <cellStyle name="Normal 10 2 10 15 2 3" xfId="2509" xr:uid="{00000000-0005-0000-0000-00008E090000}"/>
    <cellStyle name="Normal 10 2 10 15 2 4" xfId="2510" xr:uid="{00000000-0005-0000-0000-00008F090000}"/>
    <cellStyle name="Normal 10 2 10 15 2 5" xfId="2511" xr:uid="{00000000-0005-0000-0000-000090090000}"/>
    <cellStyle name="Normal 10 2 10 15 2 6" xfId="2512" xr:uid="{00000000-0005-0000-0000-000091090000}"/>
    <cellStyle name="Normal 10 2 10 15 2 7" xfId="2513" xr:uid="{00000000-0005-0000-0000-000092090000}"/>
    <cellStyle name="Normal 10 2 10 15 2 8" xfId="2514" xr:uid="{00000000-0005-0000-0000-000093090000}"/>
    <cellStyle name="Normal 10 2 10 15 2 9" xfId="2515" xr:uid="{00000000-0005-0000-0000-000094090000}"/>
    <cellStyle name="Normal 10 2 10 15 3" xfId="2516" xr:uid="{00000000-0005-0000-0000-000095090000}"/>
    <cellStyle name="Normal 10 2 10 15 3 10" xfId="2517" xr:uid="{00000000-0005-0000-0000-000096090000}"/>
    <cellStyle name="Normal 10 2 10 15 3 2" xfId="2518" xr:uid="{00000000-0005-0000-0000-000097090000}"/>
    <cellStyle name="Normal 10 2 10 15 3 3" xfId="2519" xr:uid="{00000000-0005-0000-0000-000098090000}"/>
    <cellStyle name="Normal 10 2 10 15 3 4" xfId="2520" xr:uid="{00000000-0005-0000-0000-000099090000}"/>
    <cellStyle name="Normal 10 2 10 15 3 5" xfId="2521" xr:uid="{00000000-0005-0000-0000-00009A090000}"/>
    <cellStyle name="Normal 10 2 10 15 3 6" xfId="2522" xr:uid="{00000000-0005-0000-0000-00009B090000}"/>
    <cellStyle name="Normal 10 2 10 15 3 7" xfId="2523" xr:uid="{00000000-0005-0000-0000-00009C090000}"/>
    <cellStyle name="Normal 10 2 10 15 3 8" xfId="2524" xr:uid="{00000000-0005-0000-0000-00009D090000}"/>
    <cellStyle name="Normal 10 2 10 15 3 9" xfId="2525" xr:uid="{00000000-0005-0000-0000-00009E090000}"/>
    <cellStyle name="Normal 10 2 10 15 4" xfId="2526" xr:uid="{00000000-0005-0000-0000-00009F090000}"/>
    <cellStyle name="Normal 10 2 10 15 4 10" xfId="2527" xr:uid="{00000000-0005-0000-0000-0000A0090000}"/>
    <cellStyle name="Normal 10 2 10 15 4 2" xfId="2528" xr:uid="{00000000-0005-0000-0000-0000A1090000}"/>
    <cellStyle name="Normal 10 2 10 15 4 3" xfId="2529" xr:uid="{00000000-0005-0000-0000-0000A2090000}"/>
    <cellStyle name="Normal 10 2 10 15 4 4" xfId="2530" xr:uid="{00000000-0005-0000-0000-0000A3090000}"/>
    <cellStyle name="Normal 10 2 10 15 4 5" xfId="2531" xr:uid="{00000000-0005-0000-0000-0000A4090000}"/>
    <cellStyle name="Normal 10 2 10 15 4 6" xfId="2532" xr:uid="{00000000-0005-0000-0000-0000A5090000}"/>
    <cellStyle name="Normal 10 2 10 15 4 7" xfId="2533" xr:uid="{00000000-0005-0000-0000-0000A6090000}"/>
    <cellStyle name="Normal 10 2 10 15 4 8" xfId="2534" xr:uid="{00000000-0005-0000-0000-0000A7090000}"/>
    <cellStyle name="Normal 10 2 10 15 4 9" xfId="2535" xr:uid="{00000000-0005-0000-0000-0000A8090000}"/>
    <cellStyle name="Normal 10 2 10 15 5" xfId="2536" xr:uid="{00000000-0005-0000-0000-0000A9090000}"/>
    <cellStyle name="Normal 10 2 10 15 5 10" xfId="2537" xr:uid="{00000000-0005-0000-0000-0000AA090000}"/>
    <cellStyle name="Normal 10 2 10 15 5 2" xfId="2538" xr:uid="{00000000-0005-0000-0000-0000AB090000}"/>
    <cellStyle name="Normal 10 2 10 15 5 3" xfId="2539" xr:uid="{00000000-0005-0000-0000-0000AC090000}"/>
    <cellStyle name="Normal 10 2 10 15 5 4" xfId="2540" xr:uid="{00000000-0005-0000-0000-0000AD090000}"/>
    <cellStyle name="Normal 10 2 10 15 5 5" xfId="2541" xr:uid="{00000000-0005-0000-0000-0000AE090000}"/>
    <cellStyle name="Normal 10 2 10 15 5 6" xfId="2542" xr:uid="{00000000-0005-0000-0000-0000AF090000}"/>
    <cellStyle name="Normal 10 2 10 15 5 7" xfId="2543" xr:uid="{00000000-0005-0000-0000-0000B0090000}"/>
    <cellStyle name="Normal 10 2 10 15 5 8" xfId="2544" xr:uid="{00000000-0005-0000-0000-0000B1090000}"/>
    <cellStyle name="Normal 10 2 10 15 5 9" xfId="2545" xr:uid="{00000000-0005-0000-0000-0000B2090000}"/>
    <cellStyle name="Normal 10 2 10 15 6" xfId="2546" xr:uid="{00000000-0005-0000-0000-0000B3090000}"/>
    <cellStyle name="Normal 10 2 10 15 7" xfId="2547" xr:uid="{00000000-0005-0000-0000-0000B4090000}"/>
    <cellStyle name="Normal 10 2 10 15 8" xfId="2548" xr:uid="{00000000-0005-0000-0000-0000B5090000}"/>
    <cellStyle name="Normal 10 2 10 15 9" xfId="2549" xr:uid="{00000000-0005-0000-0000-0000B6090000}"/>
    <cellStyle name="Normal 10 2 10 16" xfId="2550" xr:uid="{00000000-0005-0000-0000-0000B7090000}"/>
    <cellStyle name="Normal 10 2 10 16 10" xfId="2551" xr:uid="{00000000-0005-0000-0000-0000B8090000}"/>
    <cellStyle name="Normal 10 2 10 16 11" xfId="2552" xr:uid="{00000000-0005-0000-0000-0000B9090000}"/>
    <cellStyle name="Normal 10 2 10 16 12" xfId="2553" xr:uid="{00000000-0005-0000-0000-0000BA090000}"/>
    <cellStyle name="Normal 10 2 10 16 13" xfId="2554" xr:uid="{00000000-0005-0000-0000-0000BB090000}"/>
    <cellStyle name="Normal 10 2 10 16 14" xfId="2555" xr:uid="{00000000-0005-0000-0000-0000BC090000}"/>
    <cellStyle name="Normal 10 2 10 16 2" xfId="2556" xr:uid="{00000000-0005-0000-0000-0000BD090000}"/>
    <cellStyle name="Normal 10 2 10 16 2 10" xfId="2557" xr:uid="{00000000-0005-0000-0000-0000BE090000}"/>
    <cellStyle name="Normal 10 2 10 16 2 2" xfId="2558" xr:uid="{00000000-0005-0000-0000-0000BF090000}"/>
    <cellStyle name="Normal 10 2 10 16 2 3" xfId="2559" xr:uid="{00000000-0005-0000-0000-0000C0090000}"/>
    <cellStyle name="Normal 10 2 10 16 2 4" xfId="2560" xr:uid="{00000000-0005-0000-0000-0000C1090000}"/>
    <cellStyle name="Normal 10 2 10 16 2 5" xfId="2561" xr:uid="{00000000-0005-0000-0000-0000C2090000}"/>
    <cellStyle name="Normal 10 2 10 16 2 6" xfId="2562" xr:uid="{00000000-0005-0000-0000-0000C3090000}"/>
    <cellStyle name="Normal 10 2 10 16 2 7" xfId="2563" xr:uid="{00000000-0005-0000-0000-0000C4090000}"/>
    <cellStyle name="Normal 10 2 10 16 2 8" xfId="2564" xr:uid="{00000000-0005-0000-0000-0000C5090000}"/>
    <cellStyle name="Normal 10 2 10 16 2 9" xfId="2565" xr:uid="{00000000-0005-0000-0000-0000C6090000}"/>
    <cellStyle name="Normal 10 2 10 16 3" xfId="2566" xr:uid="{00000000-0005-0000-0000-0000C7090000}"/>
    <cellStyle name="Normal 10 2 10 16 3 10" xfId="2567" xr:uid="{00000000-0005-0000-0000-0000C8090000}"/>
    <cellStyle name="Normal 10 2 10 16 3 2" xfId="2568" xr:uid="{00000000-0005-0000-0000-0000C9090000}"/>
    <cellStyle name="Normal 10 2 10 16 3 3" xfId="2569" xr:uid="{00000000-0005-0000-0000-0000CA090000}"/>
    <cellStyle name="Normal 10 2 10 16 3 4" xfId="2570" xr:uid="{00000000-0005-0000-0000-0000CB090000}"/>
    <cellStyle name="Normal 10 2 10 16 3 5" xfId="2571" xr:uid="{00000000-0005-0000-0000-0000CC090000}"/>
    <cellStyle name="Normal 10 2 10 16 3 6" xfId="2572" xr:uid="{00000000-0005-0000-0000-0000CD090000}"/>
    <cellStyle name="Normal 10 2 10 16 3 7" xfId="2573" xr:uid="{00000000-0005-0000-0000-0000CE090000}"/>
    <cellStyle name="Normal 10 2 10 16 3 8" xfId="2574" xr:uid="{00000000-0005-0000-0000-0000CF090000}"/>
    <cellStyle name="Normal 10 2 10 16 3 9" xfId="2575" xr:uid="{00000000-0005-0000-0000-0000D0090000}"/>
    <cellStyle name="Normal 10 2 10 16 4" xfId="2576" xr:uid="{00000000-0005-0000-0000-0000D1090000}"/>
    <cellStyle name="Normal 10 2 10 16 4 10" xfId="2577" xr:uid="{00000000-0005-0000-0000-0000D2090000}"/>
    <cellStyle name="Normal 10 2 10 16 4 2" xfId="2578" xr:uid="{00000000-0005-0000-0000-0000D3090000}"/>
    <cellStyle name="Normal 10 2 10 16 4 3" xfId="2579" xr:uid="{00000000-0005-0000-0000-0000D4090000}"/>
    <cellStyle name="Normal 10 2 10 16 4 4" xfId="2580" xr:uid="{00000000-0005-0000-0000-0000D5090000}"/>
    <cellStyle name="Normal 10 2 10 16 4 5" xfId="2581" xr:uid="{00000000-0005-0000-0000-0000D6090000}"/>
    <cellStyle name="Normal 10 2 10 16 4 6" xfId="2582" xr:uid="{00000000-0005-0000-0000-0000D7090000}"/>
    <cellStyle name="Normal 10 2 10 16 4 7" xfId="2583" xr:uid="{00000000-0005-0000-0000-0000D8090000}"/>
    <cellStyle name="Normal 10 2 10 16 4 8" xfId="2584" xr:uid="{00000000-0005-0000-0000-0000D9090000}"/>
    <cellStyle name="Normal 10 2 10 16 4 9" xfId="2585" xr:uid="{00000000-0005-0000-0000-0000DA090000}"/>
    <cellStyle name="Normal 10 2 10 16 5" xfId="2586" xr:uid="{00000000-0005-0000-0000-0000DB090000}"/>
    <cellStyle name="Normal 10 2 10 16 5 10" xfId="2587" xr:uid="{00000000-0005-0000-0000-0000DC090000}"/>
    <cellStyle name="Normal 10 2 10 16 5 2" xfId="2588" xr:uid="{00000000-0005-0000-0000-0000DD090000}"/>
    <cellStyle name="Normal 10 2 10 16 5 3" xfId="2589" xr:uid="{00000000-0005-0000-0000-0000DE090000}"/>
    <cellStyle name="Normal 10 2 10 16 5 4" xfId="2590" xr:uid="{00000000-0005-0000-0000-0000DF090000}"/>
    <cellStyle name="Normal 10 2 10 16 5 5" xfId="2591" xr:uid="{00000000-0005-0000-0000-0000E0090000}"/>
    <cellStyle name="Normal 10 2 10 16 5 6" xfId="2592" xr:uid="{00000000-0005-0000-0000-0000E1090000}"/>
    <cellStyle name="Normal 10 2 10 16 5 7" xfId="2593" xr:uid="{00000000-0005-0000-0000-0000E2090000}"/>
    <cellStyle name="Normal 10 2 10 16 5 8" xfId="2594" xr:uid="{00000000-0005-0000-0000-0000E3090000}"/>
    <cellStyle name="Normal 10 2 10 16 5 9" xfId="2595" xr:uid="{00000000-0005-0000-0000-0000E4090000}"/>
    <cellStyle name="Normal 10 2 10 16 6" xfId="2596" xr:uid="{00000000-0005-0000-0000-0000E5090000}"/>
    <cellStyle name="Normal 10 2 10 16 7" xfId="2597" xr:uid="{00000000-0005-0000-0000-0000E6090000}"/>
    <cellStyle name="Normal 10 2 10 16 8" xfId="2598" xr:uid="{00000000-0005-0000-0000-0000E7090000}"/>
    <cellStyle name="Normal 10 2 10 16 9" xfId="2599" xr:uid="{00000000-0005-0000-0000-0000E8090000}"/>
    <cellStyle name="Normal 10 2 10 17" xfId="2600" xr:uid="{00000000-0005-0000-0000-0000E9090000}"/>
    <cellStyle name="Normal 10 2 10 17 10" xfId="2601" xr:uid="{00000000-0005-0000-0000-0000EA090000}"/>
    <cellStyle name="Normal 10 2 10 17 11" xfId="2602" xr:uid="{00000000-0005-0000-0000-0000EB090000}"/>
    <cellStyle name="Normal 10 2 10 17 12" xfId="2603" xr:uid="{00000000-0005-0000-0000-0000EC090000}"/>
    <cellStyle name="Normal 10 2 10 17 13" xfId="2604" xr:uid="{00000000-0005-0000-0000-0000ED090000}"/>
    <cellStyle name="Normal 10 2 10 17 14" xfId="2605" xr:uid="{00000000-0005-0000-0000-0000EE090000}"/>
    <cellStyle name="Normal 10 2 10 17 2" xfId="2606" xr:uid="{00000000-0005-0000-0000-0000EF090000}"/>
    <cellStyle name="Normal 10 2 10 17 2 10" xfId="2607" xr:uid="{00000000-0005-0000-0000-0000F0090000}"/>
    <cellStyle name="Normal 10 2 10 17 2 2" xfId="2608" xr:uid="{00000000-0005-0000-0000-0000F1090000}"/>
    <cellStyle name="Normal 10 2 10 17 2 3" xfId="2609" xr:uid="{00000000-0005-0000-0000-0000F2090000}"/>
    <cellStyle name="Normal 10 2 10 17 2 4" xfId="2610" xr:uid="{00000000-0005-0000-0000-0000F3090000}"/>
    <cellStyle name="Normal 10 2 10 17 2 5" xfId="2611" xr:uid="{00000000-0005-0000-0000-0000F4090000}"/>
    <cellStyle name="Normal 10 2 10 17 2 6" xfId="2612" xr:uid="{00000000-0005-0000-0000-0000F5090000}"/>
    <cellStyle name="Normal 10 2 10 17 2 7" xfId="2613" xr:uid="{00000000-0005-0000-0000-0000F6090000}"/>
    <cellStyle name="Normal 10 2 10 17 2 8" xfId="2614" xr:uid="{00000000-0005-0000-0000-0000F7090000}"/>
    <cellStyle name="Normal 10 2 10 17 2 9" xfId="2615" xr:uid="{00000000-0005-0000-0000-0000F8090000}"/>
    <cellStyle name="Normal 10 2 10 17 3" xfId="2616" xr:uid="{00000000-0005-0000-0000-0000F9090000}"/>
    <cellStyle name="Normal 10 2 10 17 3 10" xfId="2617" xr:uid="{00000000-0005-0000-0000-0000FA090000}"/>
    <cellStyle name="Normal 10 2 10 17 3 2" xfId="2618" xr:uid="{00000000-0005-0000-0000-0000FB090000}"/>
    <cellStyle name="Normal 10 2 10 17 3 3" xfId="2619" xr:uid="{00000000-0005-0000-0000-0000FC090000}"/>
    <cellStyle name="Normal 10 2 10 17 3 4" xfId="2620" xr:uid="{00000000-0005-0000-0000-0000FD090000}"/>
    <cellStyle name="Normal 10 2 10 17 3 5" xfId="2621" xr:uid="{00000000-0005-0000-0000-0000FE090000}"/>
    <cellStyle name="Normal 10 2 10 17 3 6" xfId="2622" xr:uid="{00000000-0005-0000-0000-0000FF090000}"/>
    <cellStyle name="Normal 10 2 10 17 3 7" xfId="2623" xr:uid="{00000000-0005-0000-0000-0000000A0000}"/>
    <cellStyle name="Normal 10 2 10 17 3 8" xfId="2624" xr:uid="{00000000-0005-0000-0000-0000010A0000}"/>
    <cellStyle name="Normal 10 2 10 17 3 9" xfId="2625" xr:uid="{00000000-0005-0000-0000-0000020A0000}"/>
    <cellStyle name="Normal 10 2 10 17 4" xfId="2626" xr:uid="{00000000-0005-0000-0000-0000030A0000}"/>
    <cellStyle name="Normal 10 2 10 17 4 10" xfId="2627" xr:uid="{00000000-0005-0000-0000-0000040A0000}"/>
    <cellStyle name="Normal 10 2 10 17 4 2" xfId="2628" xr:uid="{00000000-0005-0000-0000-0000050A0000}"/>
    <cellStyle name="Normal 10 2 10 17 4 3" xfId="2629" xr:uid="{00000000-0005-0000-0000-0000060A0000}"/>
    <cellStyle name="Normal 10 2 10 17 4 4" xfId="2630" xr:uid="{00000000-0005-0000-0000-0000070A0000}"/>
    <cellStyle name="Normal 10 2 10 17 4 5" xfId="2631" xr:uid="{00000000-0005-0000-0000-0000080A0000}"/>
    <cellStyle name="Normal 10 2 10 17 4 6" xfId="2632" xr:uid="{00000000-0005-0000-0000-0000090A0000}"/>
    <cellStyle name="Normal 10 2 10 17 4 7" xfId="2633" xr:uid="{00000000-0005-0000-0000-00000A0A0000}"/>
    <cellStyle name="Normal 10 2 10 17 4 8" xfId="2634" xr:uid="{00000000-0005-0000-0000-00000B0A0000}"/>
    <cellStyle name="Normal 10 2 10 17 4 9" xfId="2635" xr:uid="{00000000-0005-0000-0000-00000C0A0000}"/>
    <cellStyle name="Normal 10 2 10 17 5" xfId="2636" xr:uid="{00000000-0005-0000-0000-00000D0A0000}"/>
    <cellStyle name="Normal 10 2 10 17 5 10" xfId="2637" xr:uid="{00000000-0005-0000-0000-00000E0A0000}"/>
    <cellStyle name="Normal 10 2 10 17 5 2" xfId="2638" xr:uid="{00000000-0005-0000-0000-00000F0A0000}"/>
    <cellStyle name="Normal 10 2 10 17 5 3" xfId="2639" xr:uid="{00000000-0005-0000-0000-0000100A0000}"/>
    <cellStyle name="Normal 10 2 10 17 5 4" xfId="2640" xr:uid="{00000000-0005-0000-0000-0000110A0000}"/>
    <cellStyle name="Normal 10 2 10 17 5 5" xfId="2641" xr:uid="{00000000-0005-0000-0000-0000120A0000}"/>
    <cellStyle name="Normal 10 2 10 17 5 6" xfId="2642" xr:uid="{00000000-0005-0000-0000-0000130A0000}"/>
    <cellStyle name="Normal 10 2 10 17 5 7" xfId="2643" xr:uid="{00000000-0005-0000-0000-0000140A0000}"/>
    <cellStyle name="Normal 10 2 10 17 5 8" xfId="2644" xr:uid="{00000000-0005-0000-0000-0000150A0000}"/>
    <cellStyle name="Normal 10 2 10 17 5 9" xfId="2645" xr:uid="{00000000-0005-0000-0000-0000160A0000}"/>
    <cellStyle name="Normal 10 2 10 17 6" xfId="2646" xr:uid="{00000000-0005-0000-0000-0000170A0000}"/>
    <cellStyle name="Normal 10 2 10 17 7" xfId="2647" xr:uid="{00000000-0005-0000-0000-0000180A0000}"/>
    <cellStyle name="Normal 10 2 10 17 8" xfId="2648" xr:uid="{00000000-0005-0000-0000-0000190A0000}"/>
    <cellStyle name="Normal 10 2 10 17 9" xfId="2649" xr:uid="{00000000-0005-0000-0000-00001A0A0000}"/>
    <cellStyle name="Normal 10 2 10 18" xfId="2650" xr:uid="{00000000-0005-0000-0000-00001B0A0000}"/>
    <cellStyle name="Normal 10 2 10 18 10" xfId="2651" xr:uid="{00000000-0005-0000-0000-00001C0A0000}"/>
    <cellStyle name="Normal 10 2 10 18 11" xfId="2652" xr:uid="{00000000-0005-0000-0000-00001D0A0000}"/>
    <cellStyle name="Normal 10 2 10 18 12" xfId="2653" xr:uid="{00000000-0005-0000-0000-00001E0A0000}"/>
    <cellStyle name="Normal 10 2 10 18 13" xfId="2654" xr:uid="{00000000-0005-0000-0000-00001F0A0000}"/>
    <cellStyle name="Normal 10 2 10 18 14" xfId="2655" xr:uid="{00000000-0005-0000-0000-0000200A0000}"/>
    <cellStyle name="Normal 10 2 10 18 2" xfId="2656" xr:uid="{00000000-0005-0000-0000-0000210A0000}"/>
    <cellStyle name="Normal 10 2 10 18 2 10" xfId="2657" xr:uid="{00000000-0005-0000-0000-0000220A0000}"/>
    <cellStyle name="Normal 10 2 10 18 2 2" xfId="2658" xr:uid="{00000000-0005-0000-0000-0000230A0000}"/>
    <cellStyle name="Normal 10 2 10 18 2 3" xfId="2659" xr:uid="{00000000-0005-0000-0000-0000240A0000}"/>
    <cellStyle name="Normal 10 2 10 18 2 4" xfId="2660" xr:uid="{00000000-0005-0000-0000-0000250A0000}"/>
    <cellStyle name="Normal 10 2 10 18 2 5" xfId="2661" xr:uid="{00000000-0005-0000-0000-0000260A0000}"/>
    <cellStyle name="Normal 10 2 10 18 2 6" xfId="2662" xr:uid="{00000000-0005-0000-0000-0000270A0000}"/>
    <cellStyle name="Normal 10 2 10 18 2 7" xfId="2663" xr:uid="{00000000-0005-0000-0000-0000280A0000}"/>
    <cellStyle name="Normal 10 2 10 18 2 8" xfId="2664" xr:uid="{00000000-0005-0000-0000-0000290A0000}"/>
    <cellStyle name="Normal 10 2 10 18 2 9" xfId="2665" xr:uid="{00000000-0005-0000-0000-00002A0A0000}"/>
    <cellStyle name="Normal 10 2 10 18 3" xfId="2666" xr:uid="{00000000-0005-0000-0000-00002B0A0000}"/>
    <cellStyle name="Normal 10 2 10 18 3 10" xfId="2667" xr:uid="{00000000-0005-0000-0000-00002C0A0000}"/>
    <cellStyle name="Normal 10 2 10 18 3 2" xfId="2668" xr:uid="{00000000-0005-0000-0000-00002D0A0000}"/>
    <cellStyle name="Normal 10 2 10 18 3 3" xfId="2669" xr:uid="{00000000-0005-0000-0000-00002E0A0000}"/>
    <cellStyle name="Normal 10 2 10 18 3 4" xfId="2670" xr:uid="{00000000-0005-0000-0000-00002F0A0000}"/>
    <cellStyle name="Normal 10 2 10 18 3 5" xfId="2671" xr:uid="{00000000-0005-0000-0000-0000300A0000}"/>
    <cellStyle name="Normal 10 2 10 18 3 6" xfId="2672" xr:uid="{00000000-0005-0000-0000-0000310A0000}"/>
    <cellStyle name="Normal 10 2 10 18 3 7" xfId="2673" xr:uid="{00000000-0005-0000-0000-0000320A0000}"/>
    <cellStyle name="Normal 10 2 10 18 3 8" xfId="2674" xr:uid="{00000000-0005-0000-0000-0000330A0000}"/>
    <cellStyle name="Normal 10 2 10 18 3 9" xfId="2675" xr:uid="{00000000-0005-0000-0000-0000340A0000}"/>
    <cellStyle name="Normal 10 2 10 18 4" xfId="2676" xr:uid="{00000000-0005-0000-0000-0000350A0000}"/>
    <cellStyle name="Normal 10 2 10 18 4 10" xfId="2677" xr:uid="{00000000-0005-0000-0000-0000360A0000}"/>
    <cellStyle name="Normal 10 2 10 18 4 2" xfId="2678" xr:uid="{00000000-0005-0000-0000-0000370A0000}"/>
    <cellStyle name="Normal 10 2 10 18 4 3" xfId="2679" xr:uid="{00000000-0005-0000-0000-0000380A0000}"/>
    <cellStyle name="Normal 10 2 10 18 4 4" xfId="2680" xr:uid="{00000000-0005-0000-0000-0000390A0000}"/>
    <cellStyle name="Normal 10 2 10 18 4 5" xfId="2681" xr:uid="{00000000-0005-0000-0000-00003A0A0000}"/>
    <cellStyle name="Normal 10 2 10 18 4 6" xfId="2682" xr:uid="{00000000-0005-0000-0000-00003B0A0000}"/>
    <cellStyle name="Normal 10 2 10 18 4 7" xfId="2683" xr:uid="{00000000-0005-0000-0000-00003C0A0000}"/>
    <cellStyle name="Normal 10 2 10 18 4 8" xfId="2684" xr:uid="{00000000-0005-0000-0000-00003D0A0000}"/>
    <cellStyle name="Normal 10 2 10 18 4 9" xfId="2685" xr:uid="{00000000-0005-0000-0000-00003E0A0000}"/>
    <cellStyle name="Normal 10 2 10 18 5" xfId="2686" xr:uid="{00000000-0005-0000-0000-00003F0A0000}"/>
    <cellStyle name="Normal 10 2 10 18 5 10" xfId="2687" xr:uid="{00000000-0005-0000-0000-0000400A0000}"/>
    <cellStyle name="Normal 10 2 10 18 5 2" xfId="2688" xr:uid="{00000000-0005-0000-0000-0000410A0000}"/>
    <cellStyle name="Normal 10 2 10 18 5 3" xfId="2689" xr:uid="{00000000-0005-0000-0000-0000420A0000}"/>
    <cellStyle name="Normal 10 2 10 18 5 4" xfId="2690" xr:uid="{00000000-0005-0000-0000-0000430A0000}"/>
    <cellStyle name="Normal 10 2 10 18 5 5" xfId="2691" xr:uid="{00000000-0005-0000-0000-0000440A0000}"/>
    <cellStyle name="Normal 10 2 10 18 5 6" xfId="2692" xr:uid="{00000000-0005-0000-0000-0000450A0000}"/>
    <cellStyle name="Normal 10 2 10 18 5 7" xfId="2693" xr:uid="{00000000-0005-0000-0000-0000460A0000}"/>
    <cellStyle name="Normal 10 2 10 18 5 8" xfId="2694" xr:uid="{00000000-0005-0000-0000-0000470A0000}"/>
    <cellStyle name="Normal 10 2 10 18 5 9" xfId="2695" xr:uid="{00000000-0005-0000-0000-0000480A0000}"/>
    <cellStyle name="Normal 10 2 10 18 6" xfId="2696" xr:uid="{00000000-0005-0000-0000-0000490A0000}"/>
    <cellStyle name="Normal 10 2 10 18 7" xfId="2697" xr:uid="{00000000-0005-0000-0000-00004A0A0000}"/>
    <cellStyle name="Normal 10 2 10 18 8" xfId="2698" xr:uid="{00000000-0005-0000-0000-00004B0A0000}"/>
    <cellStyle name="Normal 10 2 10 18 9" xfId="2699" xr:uid="{00000000-0005-0000-0000-00004C0A0000}"/>
    <cellStyle name="Normal 10 2 10 19" xfId="2700" xr:uid="{00000000-0005-0000-0000-00004D0A0000}"/>
    <cellStyle name="Normal 10 2 10 19 10" xfId="2701" xr:uid="{00000000-0005-0000-0000-00004E0A0000}"/>
    <cellStyle name="Normal 10 2 10 19 11" xfId="2702" xr:uid="{00000000-0005-0000-0000-00004F0A0000}"/>
    <cellStyle name="Normal 10 2 10 19 12" xfId="2703" xr:uid="{00000000-0005-0000-0000-0000500A0000}"/>
    <cellStyle name="Normal 10 2 10 19 13" xfId="2704" xr:uid="{00000000-0005-0000-0000-0000510A0000}"/>
    <cellStyle name="Normal 10 2 10 19 14" xfId="2705" xr:uid="{00000000-0005-0000-0000-0000520A0000}"/>
    <cellStyle name="Normal 10 2 10 19 2" xfId="2706" xr:uid="{00000000-0005-0000-0000-0000530A0000}"/>
    <cellStyle name="Normal 10 2 10 19 2 10" xfId="2707" xr:uid="{00000000-0005-0000-0000-0000540A0000}"/>
    <cellStyle name="Normal 10 2 10 19 2 2" xfId="2708" xr:uid="{00000000-0005-0000-0000-0000550A0000}"/>
    <cellStyle name="Normal 10 2 10 19 2 3" xfId="2709" xr:uid="{00000000-0005-0000-0000-0000560A0000}"/>
    <cellStyle name="Normal 10 2 10 19 2 4" xfId="2710" xr:uid="{00000000-0005-0000-0000-0000570A0000}"/>
    <cellStyle name="Normal 10 2 10 19 2 5" xfId="2711" xr:uid="{00000000-0005-0000-0000-0000580A0000}"/>
    <cellStyle name="Normal 10 2 10 19 2 6" xfId="2712" xr:uid="{00000000-0005-0000-0000-0000590A0000}"/>
    <cellStyle name="Normal 10 2 10 19 2 7" xfId="2713" xr:uid="{00000000-0005-0000-0000-00005A0A0000}"/>
    <cellStyle name="Normal 10 2 10 19 2 8" xfId="2714" xr:uid="{00000000-0005-0000-0000-00005B0A0000}"/>
    <cellStyle name="Normal 10 2 10 19 2 9" xfId="2715" xr:uid="{00000000-0005-0000-0000-00005C0A0000}"/>
    <cellStyle name="Normal 10 2 10 19 3" xfId="2716" xr:uid="{00000000-0005-0000-0000-00005D0A0000}"/>
    <cellStyle name="Normal 10 2 10 19 3 10" xfId="2717" xr:uid="{00000000-0005-0000-0000-00005E0A0000}"/>
    <cellStyle name="Normal 10 2 10 19 3 2" xfId="2718" xr:uid="{00000000-0005-0000-0000-00005F0A0000}"/>
    <cellStyle name="Normal 10 2 10 19 3 3" xfId="2719" xr:uid="{00000000-0005-0000-0000-0000600A0000}"/>
    <cellStyle name="Normal 10 2 10 19 3 4" xfId="2720" xr:uid="{00000000-0005-0000-0000-0000610A0000}"/>
    <cellStyle name="Normal 10 2 10 19 3 5" xfId="2721" xr:uid="{00000000-0005-0000-0000-0000620A0000}"/>
    <cellStyle name="Normal 10 2 10 19 3 6" xfId="2722" xr:uid="{00000000-0005-0000-0000-0000630A0000}"/>
    <cellStyle name="Normal 10 2 10 19 3 7" xfId="2723" xr:uid="{00000000-0005-0000-0000-0000640A0000}"/>
    <cellStyle name="Normal 10 2 10 19 3 8" xfId="2724" xr:uid="{00000000-0005-0000-0000-0000650A0000}"/>
    <cellStyle name="Normal 10 2 10 19 3 9" xfId="2725" xr:uid="{00000000-0005-0000-0000-0000660A0000}"/>
    <cellStyle name="Normal 10 2 10 19 4" xfId="2726" xr:uid="{00000000-0005-0000-0000-0000670A0000}"/>
    <cellStyle name="Normal 10 2 10 19 4 10" xfId="2727" xr:uid="{00000000-0005-0000-0000-0000680A0000}"/>
    <cellStyle name="Normal 10 2 10 19 4 2" xfId="2728" xr:uid="{00000000-0005-0000-0000-0000690A0000}"/>
    <cellStyle name="Normal 10 2 10 19 4 3" xfId="2729" xr:uid="{00000000-0005-0000-0000-00006A0A0000}"/>
    <cellStyle name="Normal 10 2 10 19 4 4" xfId="2730" xr:uid="{00000000-0005-0000-0000-00006B0A0000}"/>
    <cellStyle name="Normal 10 2 10 19 4 5" xfId="2731" xr:uid="{00000000-0005-0000-0000-00006C0A0000}"/>
    <cellStyle name="Normal 10 2 10 19 4 6" xfId="2732" xr:uid="{00000000-0005-0000-0000-00006D0A0000}"/>
    <cellStyle name="Normal 10 2 10 19 4 7" xfId="2733" xr:uid="{00000000-0005-0000-0000-00006E0A0000}"/>
    <cellStyle name="Normal 10 2 10 19 4 8" xfId="2734" xr:uid="{00000000-0005-0000-0000-00006F0A0000}"/>
    <cellStyle name="Normal 10 2 10 19 4 9" xfId="2735" xr:uid="{00000000-0005-0000-0000-0000700A0000}"/>
    <cellStyle name="Normal 10 2 10 19 5" xfId="2736" xr:uid="{00000000-0005-0000-0000-0000710A0000}"/>
    <cellStyle name="Normal 10 2 10 19 5 10" xfId="2737" xr:uid="{00000000-0005-0000-0000-0000720A0000}"/>
    <cellStyle name="Normal 10 2 10 19 5 2" xfId="2738" xr:uid="{00000000-0005-0000-0000-0000730A0000}"/>
    <cellStyle name="Normal 10 2 10 19 5 3" xfId="2739" xr:uid="{00000000-0005-0000-0000-0000740A0000}"/>
    <cellStyle name="Normal 10 2 10 19 5 4" xfId="2740" xr:uid="{00000000-0005-0000-0000-0000750A0000}"/>
    <cellStyle name="Normal 10 2 10 19 5 5" xfId="2741" xr:uid="{00000000-0005-0000-0000-0000760A0000}"/>
    <cellStyle name="Normal 10 2 10 19 5 6" xfId="2742" xr:uid="{00000000-0005-0000-0000-0000770A0000}"/>
    <cellStyle name="Normal 10 2 10 19 5 7" xfId="2743" xr:uid="{00000000-0005-0000-0000-0000780A0000}"/>
    <cellStyle name="Normal 10 2 10 19 5 8" xfId="2744" xr:uid="{00000000-0005-0000-0000-0000790A0000}"/>
    <cellStyle name="Normal 10 2 10 19 5 9" xfId="2745" xr:uid="{00000000-0005-0000-0000-00007A0A0000}"/>
    <cellStyle name="Normal 10 2 10 19 6" xfId="2746" xr:uid="{00000000-0005-0000-0000-00007B0A0000}"/>
    <cellStyle name="Normal 10 2 10 19 7" xfId="2747" xr:uid="{00000000-0005-0000-0000-00007C0A0000}"/>
    <cellStyle name="Normal 10 2 10 19 8" xfId="2748" xr:uid="{00000000-0005-0000-0000-00007D0A0000}"/>
    <cellStyle name="Normal 10 2 10 19 9" xfId="2749" xr:uid="{00000000-0005-0000-0000-00007E0A0000}"/>
    <cellStyle name="Normal 10 2 10 2" xfId="50" xr:uid="{00000000-0005-0000-0000-00007F0A0000}"/>
    <cellStyle name="Normal 10 2 10 2 10" xfId="2751" xr:uid="{00000000-0005-0000-0000-0000800A0000}"/>
    <cellStyle name="Normal 10 2 10 2 10 10" xfId="2752" xr:uid="{00000000-0005-0000-0000-0000810A0000}"/>
    <cellStyle name="Normal 10 2 10 2 10 11" xfId="2753" xr:uid="{00000000-0005-0000-0000-0000820A0000}"/>
    <cellStyle name="Normal 10 2 10 2 10 12" xfId="2754" xr:uid="{00000000-0005-0000-0000-0000830A0000}"/>
    <cellStyle name="Normal 10 2 10 2 10 13" xfId="2755" xr:uid="{00000000-0005-0000-0000-0000840A0000}"/>
    <cellStyle name="Normal 10 2 10 2 10 14" xfId="2756" xr:uid="{00000000-0005-0000-0000-0000850A0000}"/>
    <cellStyle name="Normal 10 2 10 2 10 2" xfId="2757" xr:uid="{00000000-0005-0000-0000-0000860A0000}"/>
    <cellStyle name="Normal 10 2 10 2 10 2 10" xfId="2758" xr:uid="{00000000-0005-0000-0000-0000870A0000}"/>
    <cellStyle name="Normal 10 2 10 2 10 2 2" xfId="2759" xr:uid="{00000000-0005-0000-0000-0000880A0000}"/>
    <cellStyle name="Normal 10 2 10 2 10 2 3" xfId="2760" xr:uid="{00000000-0005-0000-0000-0000890A0000}"/>
    <cellStyle name="Normal 10 2 10 2 10 2 4" xfId="2761" xr:uid="{00000000-0005-0000-0000-00008A0A0000}"/>
    <cellStyle name="Normal 10 2 10 2 10 2 5" xfId="2762" xr:uid="{00000000-0005-0000-0000-00008B0A0000}"/>
    <cellStyle name="Normal 10 2 10 2 10 2 6" xfId="2763" xr:uid="{00000000-0005-0000-0000-00008C0A0000}"/>
    <cellStyle name="Normal 10 2 10 2 10 2 7" xfId="2764" xr:uid="{00000000-0005-0000-0000-00008D0A0000}"/>
    <cellStyle name="Normal 10 2 10 2 10 2 8" xfId="2765" xr:uid="{00000000-0005-0000-0000-00008E0A0000}"/>
    <cellStyle name="Normal 10 2 10 2 10 2 9" xfId="2766" xr:uid="{00000000-0005-0000-0000-00008F0A0000}"/>
    <cellStyle name="Normal 10 2 10 2 10 3" xfId="2767" xr:uid="{00000000-0005-0000-0000-0000900A0000}"/>
    <cellStyle name="Normal 10 2 10 2 10 3 10" xfId="2768" xr:uid="{00000000-0005-0000-0000-0000910A0000}"/>
    <cellStyle name="Normal 10 2 10 2 10 3 2" xfId="2769" xr:uid="{00000000-0005-0000-0000-0000920A0000}"/>
    <cellStyle name="Normal 10 2 10 2 10 3 3" xfId="2770" xr:uid="{00000000-0005-0000-0000-0000930A0000}"/>
    <cellStyle name="Normal 10 2 10 2 10 3 4" xfId="2771" xr:uid="{00000000-0005-0000-0000-0000940A0000}"/>
    <cellStyle name="Normal 10 2 10 2 10 3 5" xfId="2772" xr:uid="{00000000-0005-0000-0000-0000950A0000}"/>
    <cellStyle name="Normal 10 2 10 2 10 3 6" xfId="2773" xr:uid="{00000000-0005-0000-0000-0000960A0000}"/>
    <cellStyle name="Normal 10 2 10 2 10 3 7" xfId="2774" xr:uid="{00000000-0005-0000-0000-0000970A0000}"/>
    <cellStyle name="Normal 10 2 10 2 10 3 8" xfId="2775" xr:uid="{00000000-0005-0000-0000-0000980A0000}"/>
    <cellStyle name="Normal 10 2 10 2 10 3 9" xfId="2776" xr:uid="{00000000-0005-0000-0000-0000990A0000}"/>
    <cellStyle name="Normal 10 2 10 2 10 4" xfId="2777" xr:uid="{00000000-0005-0000-0000-00009A0A0000}"/>
    <cellStyle name="Normal 10 2 10 2 10 4 10" xfId="2778" xr:uid="{00000000-0005-0000-0000-00009B0A0000}"/>
    <cellStyle name="Normal 10 2 10 2 10 4 2" xfId="2779" xr:uid="{00000000-0005-0000-0000-00009C0A0000}"/>
    <cellStyle name="Normal 10 2 10 2 10 4 3" xfId="2780" xr:uid="{00000000-0005-0000-0000-00009D0A0000}"/>
    <cellStyle name="Normal 10 2 10 2 10 4 4" xfId="2781" xr:uid="{00000000-0005-0000-0000-00009E0A0000}"/>
    <cellStyle name="Normal 10 2 10 2 10 4 5" xfId="2782" xr:uid="{00000000-0005-0000-0000-00009F0A0000}"/>
    <cellStyle name="Normal 10 2 10 2 10 4 6" xfId="2783" xr:uid="{00000000-0005-0000-0000-0000A00A0000}"/>
    <cellStyle name="Normal 10 2 10 2 10 4 7" xfId="2784" xr:uid="{00000000-0005-0000-0000-0000A10A0000}"/>
    <cellStyle name="Normal 10 2 10 2 10 4 8" xfId="2785" xr:uid="{00000000-0005-0000-0000-0000A20A0000}"/>
    <cellStyle name="Normal 10 2 10 2 10 4 9" xfId="2786" xr:uid="{00000000-0005-0000-0000-0000A30A0000}"/>
    <cellStyle name="Normal 10 2 10 2 10 5" xfId="2787" xr:uid="{00000000-0005-0000-0000-0000A40A0000}"/>
    <cellStyle name="Normal 10 2 10 2 10 5 10" xfId="2788" xr:uid="{00000000-0005-0000-0000-0000A50A0000}"/>
    <cellStyle name="Normal 10 2 10 2 10 5 2" xfId="2789" xr:uid="{00000000-0005-0000-0000-0000A60A0000}"/>
    <cellStyle name="Normal 10 2 10 2 10 5 3" xfId="2790" xr:uid="{00000000-0005-0000-0000-0000A70A0000}"/>
    <cellStyle name="Normal 10 2 10 2 10 5 4" xfId="2791" xr:uid="{00000000-0005-0000-0000-0000A80A0000}"/>
    <cellStyle name="Normal 10 2 10 2 10 5 5" xfId="2792" xr:uid="{00000000-0005-0000-0000-0000A90A0000}"/>
    <cellStyle name="Normal 10 2 10 2 10 5 6" xfId="2793" xr:uid="{00000000-0005-0000-0000-0000AA0A0000}"/>
    <cellStyle name="Normal 10 2 10 2 10 5 7" xfId="2794" xr:uid="{00000000-0005-0000-0000-0000AB0A0000}"/>
    <cellStyle name="Normal 10 2 10 2 10 5 8" xfId="2795" xr:uid="{00000000-0005-0000-0000-0000AC0A0000}"/>
    <cellStyle name="Normal 10 2 10 2 10 5 9" xfId="2796" xr:uid="{00000000-0005-0000-0000-0000AD0A0000}"/>
    <cellStyle name="Normal 10 2 10 2 10 6" xfId="2797" xr:uid="{00000000-0005-0000-0000-0000AE0A0000}"/>
    <cellStyle name="Normal 10 2 10 2 10 7" xfId="2798" xr:uid="{00000000-0005-0000-0000-0000AF0A0000}"/>
    <cellStyle name="Normal 10 2 10 2 10 8" xfId="2799" xr:uid="{00000000-0005-0000-0000-0000B00A0000}"/>
    <cellStyle name="Normal 10 2 10 2 10 9" xfId="2800" xr:uid="{00000000-0005-0000-0000-0000B10A0000}"/>
    <cellStyle name="Normal 10 2 10 2 11" xfId="2801" xr:uid="{00000000-0005-0000-0000-0000B20A0000}"/>
    <cellStyle name="Normal 10 2 10 2 11 10" xfId="2802" xr:uid="{00000000-0005-0000-0000-0000B30A0000}"/>
    <cellStyle name="Normal 10 2 10 2 11 11" xfId="2803" xr:uid="{00000000-0005-0000-0000-0000B40A0000}"/>
    <cellStyle name="Normal 10 2 10 2 11 12" xfId="2804" xr:uid="{00000000-0005-0000-0000-0000B50A0000}"/>
    <cellStyle name="Normal 10 2 10 2 11 13" xfId="2805" xr:uid="{00000000-0005-0000-0000-0000B60A0000}"/>
    <cellStyle name="Normal 10 2 10 2 11 14" xfId="2806" xr:uid="{00000000-0005-0000-0000-0000B70A0000}"/>
    <cellStyle name="Normal 10 2 10 2 11 2" xfId="2807" xr:uid="{00000000-0005-0000-0000-0000B80A0000}"/>
    <cellStyle name="Normal 10 2 10 2 11 2 10" xfId="2808" xr:uid="{00000000-0005-0000-0000-0000B90A0000}"/>
    <cellStyle name="Normal 10 2 10 2 11 2 2" xfId="2809" xr:uid="{00000000-0005-0000-0000-0000BA0A0000}"/>
    <cellStyle name="Normal 10 2 10 2 11 2 3" xfId="2810" xr:uid="{00000000-0005-0000-0000-0000BB0A0000}"/>
    <cellStyle name="Normal 10 2 10 2 11 2 4" xfId="2811" xr:uid="{00000000-0005-0000-0000-0000BC0A0000}"/>
    <cellStyle name="Normal 10 2 10 2 11 2 5" xfId="2812" xr:uid="{00000000-0005-0000-0000-0000BD0A0000}"/>
    <cellStyle name="Normal 10 2 10 2 11 2 6" xfId="2813" xr:uid="{00000000-0005-0000-0000-0000BE0A0000}"/>
    <cellStyle name="Normal 10 2 10 2 11 2 7" xfId="2814" xr:uid="{00000000-0005-0000-0000-0000BF0A0000}"/>
    <cellStyle name="Normal 10 2 10 2 11 2 8" xfId="2815" xr:uid="{00000000-0005-0000-0000-0000C00A0000}"/>
    <cellStyle name="Normal 10 2 10 2 11 2 9" xfId="2816" xr:uid="{00000000-0005-0000-0000-0000C10A0000}"/>
    <cellStyle name="Normal 10 2 10 2 11 3" xfId="2817" xr:uid="{00000000-0005-0000-0000-0000C20A0000}"/>
    <cellStyle name="Normal 10 2 10 2 11 3 10" xfId="2818" xr:uid="{00000000-0005-0000-0000-0000C30A0000}"/>
    <cellStyle name="Normal 10 2 10 2 11 3 2" xfId="2819" xr:uid="{00000000-0005-0000-0000-0000C40A0000}"/>
    <cellStyle name="Normal 10 2 10 2 11 3 3" xfId="2820" xr:uid="{00000000-0005-0000-0000-0000C50A0000}"/>
    <cellStyle name="Normal 10 2 10 2 11 3 4" xfId="2821" xr:uid="{00000000-0005-0000-0000-0000C60A0000}"/>
    <cellStyle name="Normal 10 2 10 2 11 3 5" xfId="2822" xr:uid="{00000000-0005-0000-0000-0000C70A0000}"/>
    <cellStyle name="Normal 10 2 10 2 11 3 6" xfId="2823" xr:uid="{00000000-0005-0000-0000-0000C80A0000}"/>
    <cellStyle name="Normal 10 2 10 2 11 3 7" xfId="2824" xr:uid="{00000000-0005-0000-0000-0000C90A0000}"/>
    <cellStyle name="Normal 10 2 10 2 11 3 8" xfId="2825" xr:uid="{00000000-0005-0000-0000-0000CA0A0000}"/>
    <cellStyle name="Normal 10 2 10 2 11 3 9" xfId="2826" xr:uid="{00000000-0005-0000-0000-0000CB0A0000}"/>
    <cellStyle name="Normal 10 2 10 2 11 4" xfId="2827" xr:uid="{00000000-0005-0000-0000-0000CC0A0000}"/>
    <cellStyle name="Normal 10 2 10 2 11 4 10" xfId="2828" xr:uid="{00000000-0005-0000-0000-0000CD0A0000}"/>
    <cellStyle name="Normal 10 2 10 2 11 4 2" xfId="2829" xr:uid="{00000000-0005-0000-0000-0000CE0A0000}"/>
    <cellStyle name="Normal 10 2 10 2 11 4 3" xfId="2830" xr:uid="{00000000-0005-0000-0000-0000CF0A0000}"/>
    <cellStyle name="Normal 10 2 10 2 11 4 4" xfId="2831" xr:uid="{00000000-0005-0000-0000-0000D00A0000}"/>
    <cellStyle name="Normal 10 2 10 2 11 4 5" xfId="2832" xr:uid="{00000000-0005-0000-0000-0000D10A0000}"/>
    <cellStyle name="Normal 10 2 10 2 11 4 6" xfId="2833" xr:uid="{00000000-0005-0000-0000-0000D20A0000}"/>
    <cellStyle name="Normal 10 2 10 2 11 4 7" xfId="2834" xr:uid="{00000000-0005-0000-0000-0000D30A0000}"/>
    <cellStyle name="Normal 10 2 10 2 11 4 8" xfId="2835" xr:uid="{00000000-0005-0000-0000-0000D40A0000}"/>
    <cellStyle name="Normal 10 2 10 2 11 4 9" xfId="2836" xr:uid="{00000000-0005-0000-0000-0000D50A0000}"/>
    <cellStyle name="Normal 10 2 10 2 11 5" xfId="2837" xr:uid="{00000000-0005-0000-0000-0000D60A0000}"/>
    <cellStyle name="Normal 10 2 10 2 11 5 10" xfId="2838" xr:uid="{00000000-0005-0000-0000-0000D70A0000}"/>
    <cellStyle name="Normal 10 2 10 2 11 5 2" xfId="2839" xr:uid="{00000000-0005-0000-0000-0000D80A0000}"/>
    <cellStyle name="Normal 10 2 10 2 11 5 3" xfId="2840" xr:uid="{00000000-0005-0000-0000-0000D90A0000}"/>
    <cellStyle name="Normal 10 2 10 2 11 5 4" xfId="2841" xr:uid="{00000000-0005-0000-0000-0000DA0A0000}"/>
    <cellStyle name="Normal 10 2 10 2 11 5 5" xfId="2842" xr:uid="{00000000-0005-0000-0000-0000DB0A0000}"/>
    <cellStyle name="Normal 10 2 10 2 11 5 6" xfId="2843" xr:uid="{00000000-0005-0000-0000-0000DC0A0000}"/>
    <cellStyle name="Normal 10 2 10 2 11 5 7" xfId="2844" xr:uid="{00000000-0005-0000-0000-0000DD0A0000}"/>
    <cellStyle name="Normal 10 2 10 2 11 5 8" xfId="2845" xr:uid="{00000000-0005-0000-0000-0000DE0A0000}"/>
    <cellStyle name="Normal 10 2 10 2 11 5 9" xfId="2846" xr:uid="{00000000-0005-0000-0000-0000DF0A0000}"/>
    <cellStyle name="Normal 10 2 10 2 11 6" xfId="2847" xr:uid="{00000000-0005-0000-0000-0000E00A0000}"/>
    <cellStyle name="Normal 10 2 10 2 11 7" xfId="2848" xr:uid="{00000000-0005-0000-0000-0000E10A0000}"/>
    <cellStyle name="Normal 10 2 10 2 11 8" xfId="2849" xr:uid="{00000000-0005-0000-0000-0000E20A0000}"/>
    <cellStyle name="Normal 10 2 10 2 11 9" xfId="2850" xr:uid="{00000000-0005-0000-0000-0000E30A0000}"/>
    <cellStyle name="Normal 10 2 10 2 12" xfId="2851" xr:uid="{00000000-0005-0000-0000-0000E40A0000}"/>
    <cellStyle name="Normal 10 2 10 2 12 10" xfId="2852" xr:uid="{00000000-0005-0000-0000-0000E50A0000}"/>
    <cellStyle name="Normal 10 2 10 2 12 11" xfId="2853" xr:uid="{00000000-0005-0000-0000-0000E60A0000}"/>
    <cellStyle name="Normal 10 2 10 2 12 12" xfId="2854" xr:uid="{00000000-0005-0000-0000-0000E70A0000}"/>
    <cellStyle name="Normal 10 2 10 2 12 13" xfId="2855" xr:uid="{00000000-0005-0000-0000-0000E80A0000}"/>
    <cellStyle name="Normal 10 2 10 2 12 14" xfId="2856" xr:uid="{00000000-0005-0000-0000-0000E90A0000}"/>
    <cellStyle name="Normal 10 2 10 2 12 2" xfId="2857" xr:uid="{00000000-0005-0000-0000-0000EA0A0000}"/>
    <cellStyle name="Normal 10 2 10 2 12 2 10" xfId="2858" xr:uid="{00000000-0005-0000-0000-0000EB0A0000}"/>
    <cellStyle name="Normal 10 2 10 2 12 2 2" xfId="2859" xr:uid="{00000000-0005-0000-0000-0000EC0A0000}"/>
    <cellStyle name="Normal 10 2 10 2 12 2 3" xfId="2860" xr:uid="{00000000-0005-0000-0000-0000ED0A0000}"/>
    <cellStyle name="Normal 10 2 10 2 12 2 4" xfId="2861" xr:uid="{00000000-0005-0000-0000-0000EE0A0000}"/>
    <cellStyle name="Normal 10 2 10 2 12 2 5" xfId="2862" xr:uid="{00000000-0005-0000-0000-0000EF0A0000}"/>
    <cellStyle name="Normal 10 2 10 2 12 2 6" xfId="2863" xr:uid="{00000000-0005-0000-0000-0000F00A0000}"/>
    <cellStyle name="Normal 10 2 10 2 12 2 7" xfId="2864" xr:uid="{00000000-0005-0000-0000-0000F10A0000}"/>
    <cellStyle name="Normal 10 2 10 2 12 2 8" xfId="2865" xr:uid="{00000000-0005-0000-0000-0000F20A0000}"/>
    <cellStyle name="Normal 10 2 10 2 12 2 9" xfId="2866" xr:uid="{00000000-0005-0000-0000-0000F30A0000}"/>
    <cellStyle name="Normal 10 2 10 2 12 3" xfId="2867" xr:uid="{00000000-0005-0000-0000-0000F40A0000}"/>
    <cellStyle name="Normal 10 2 10 2 12 3 10" xfId="2868" xr:uid="{00000000-0005-0000-0000-0000F50A0000}"/>
    <cellStyle name="Normal 10 2 10 2 12 3 2" xfId="2869" xr:uid="{00000000-0005-0000-0000-0000F60A0000}"/>
    <cellStyle name="Normal 10 2 10 2 12 3 3" xfId="2870" xr:uid="{00000000-0005-0000-0000-0000F70A0000}"/>
    <cellStyle name="Normal 10 2 10 2 12 3 4" xfId="2871" xr:uid="{00000000-0005-0000-0000-0000F80A0000}"/>
    <cellStyle name="Normal 10 2 10 2 12 3 5" xfId="2872" xr:uid="{00000000-0005-0000-0000-0000F90A0000}"/>
    <cellStyle name="Normal 10 2 10 2 12 3 6" xfId="2873" xr:uid="{00000000-0005-0000-0000-0000FA0A0000}"/>
    <cellStyle name="Normal 10 2 10 2 12 3 7" xfId="2874" xr:uid="{00000000-0005-0000-0000-0000FB0A0000}"/>
    <cellStyle name="Normal 10 2 10 2 12 3 8" xfId="2875" xr:uid="{00000000-0005-0000-0000-0000FC0A0000}"/>
    <cellStyle name="Normal 10 2 10 2 12 3 9" xfId="2876" xr:uid="{00000000-0005-0000-0000-0000FD0A0000}"/>
    <cellStyle name="Normal 10 2 10 2 12 4" xfId="2877" xr:uid="{00000000-0005-0000-0000-0000FE0A0000}"/>
    <cellStyle name="Normal 10 2 10 2 12 4 10" xfId="2878" xr:uid="{00000000-0005-0000-0000-0000FF0A0000}"/>
    <cellStyle name="Normal 10 2 10 2 12 4 2" xfId="2879" xr:uid="{00000000-0005-0000-0000-0000000B0000}"/>
    <cellStyle name="Normal 10 2 10 2 12 4 3" xfId="2880" xr:uid="{00000000-0005-0000-0000-0000010B0000}"/>
    <cellStyle name="Normal 10 2 10 2 12 4 4" xfId="2881" xr:uid="{00000000-0005-0000-0000-0000020B0000}"/>
    <cellStyle name="Normal 10 2 10 2 12 4 5" xfId="2882" xr:uid="{00000000-0005-0000-0000-0000030B0000}"/>
    <cellStyle name="Normal 10 2 10 2 12 4 6" xfId="2883" xr:uid="{00000000-0005-0000-0000-0000040B0000}"/>
    <cellStyle name="Normal 10 2 10 2 12 4 7" xfId="2884" xr:uid="{00000000-0005-0000-0000-0000050B0000}"/>
    <cellStyle name="Normal 10 2 10 2 12 4 8" xfId="2885" xr:uid="{00000000-0005-0000-0000-0000060B0000}"/>
    <cellStyle name="Normal 10 2 10 2 12 4 9" xfId="2886" xr:uid="{00000000-0005-0000-0000-0000070B0000}"/>
    <cellStyle name="Normal 10 2 10 2 12 5" xfId="2887" xr:uid="{00000000-0005-0000-0000-0000080B0000}"/>
    <cellStyle name="Normal 10 2 10 2 12 5 10" xfId="2888" xr:uid="{00000000-0005-0000-0000-0000090B0000}"/>
    <cellStyle name="Normal 10 2 10 2 12 5 2" xfId="2889" xr:uid="{00000000-0005-0000-0000-00000A0B0000}"/>
    <cellStyle name="Normal 10 2 10 2 12 5 3" xfId="2890" xr:uid="{00000000-0005-0000-0000-00000B0B0000}"/>
    <cellStyle name="Normal 10 2 10 2 12 5 4" xfId="2891" xr:uid="{00000000-0005-0000-0000-00000C0B0000}"/>
    <cellStyle name="Normal 10 2 10 2 12 5 5" xfId="2892" xr:uid="{00000000-0005-0000-0000-00000D0B0000}"/>
    <cellStyle name="Normal 10 2 10 2 12 5 6" xfId="2893" xr:uid="{00000000-0005-0000-0000-00000E0B0000}"/>
    <cellStyle name="Normal 10 2 10 2 12 5 7" xfId="2894" xr:uid="{00000000-0005-0000-0000-00000F0B0000}"/>
    <cellStyle name="Normal 10 2 10 2 12 5 8" xfId="2895" xr:uid="{00000000-0005-0000-0000-0000100B0000}"/>
    <cellStyle name="Normal 10 2 10 2 12 5 9" xfId="2896" xr:uid="{00000000-0005-0000-0000-0000110B0000}"/>
    <cellStyle name="Normal 10 2 10 2 12 6" xfId="2897" xr:uid="{00000000-0005-0000-0000-0000120B0000}"/>
    <cellStyle name="Normal 10 2 10 2 12 7" xfId="2898" xr:uid="{00000000-0005-0000-0000-0000130B0000}"/>
    <cellStyle name="Normal 10 2 10 2 12 8" xfId="2899" xr:uid="{00000000-0005-0000-0000-0000140B0000}"/>
    <cellStyle name="Normal 10 2 10 2 12 9" xfId="2900" xr:uid="{00000000-0005-0000-0000-0000150B0000}"/>
    <cellStyle name="Normal 10 2 10 2 13" xfId="2901" xr:uid="{00000000-0005-0000-0000-0000160B0000}"/>
    <cellStyle name="Normal 10 2 10 2 13 10" xfId="2902" xr:uid="{00000000-0005-0000-0000-0000170B0000}"/>
    <cellStyle name="Normal 10 2 10 2 13 11" xfId="2903" xr:uid="{00000000-0005-0000-0000-0000180B0000}"/>
    <cellStyle name="Normal 10 2 10 2 13 12" xfId="2904" xr:uid="{00000000-0005-0000-0000-0000190B0000}"/>
    <cellStyle name="Normal 10 2 10 2 13 13" xfId="2905" xr:uid="{00000000-0005-0000-0000-00001A0B0000}"/>
    <cellStyle name="Normal 10 2 10 2 13 14" xfId="2906" xr:uid="{00000000-0005-0000-0000-00001B0B0000}"/>
    <cellStyle name="Normal 10 2 10 2 13 2" xfId="2907" xr:uid="{00000000-0005-0000-0000-00001C0B0000}"/>
    <cellStyle name="Normal 10 2 10 2 13 2 10" xfId="2908" xr:uid="{00000000-0005-0000-0000-00001D0B0000}"/>
    <cellStyle name="Normal 10 2 10 2 13 2 2" xfId="2909" xr:uid="{00000000-0005-0000-0000-00001E0B0000}"/>
    <cellStyle name="Normal 10 2 10 2 13 2 3" xfId="2910" xr:uid="{00000000-0005-0000-0000-00001F0B0000}"/>
    <cellStyle name="Normal 10 2 10 2 13 2 4" xfId="2911" xr:uid="{00000000-0005-0000-0000-0000200B0000}"/>
    <cellStyle name="Normal 10 2 10 2 13 2 5" xfId="2912" xr:uid="{00000000-0005-0000-0000-0000210B0000}"/>
    <cellStyle name="Normal 10 2 10 2 13 2 6" xfId="2913" xr:uid="{00000000-0005-0000-0000-0000220B0000}"/>
    <cellStyle name="Normal 10 2 10 2 13 2 7" xfId="2914" xr:uid="{00000000-0005-0000-0000-0000230B0000}"/>
    <cellStyle name="Normal 10 2 10 2 13 2 8" xfId="2915" xr:uid="{00000000-0005-0000-0000-0000240B0000}"/>
    <cellStyle name="Normal 10 2 10 2 13 2 9" xfId="2916" xr:uid="{00000000-0005-0000-0000-0000250B0000}"/>
    <cellStyle name="Normal 10 2 10 2 13 3" xfId="2917" xr:uid="{00000000-0005-0000-0000-0000260B0000}"/>
    <cellStyle name="Normal 10 2 10 2 13 3 10" xfId="2918" xr:uid="{00000000-0005-0000-0000-0000270B0000}"/>
    <cellStyle name="Normal 10 2 10 2 13 3 2" xfId="2919" xr:uid="{00000000-0005-0000-0000-0000280B0000}"/>
    <cellStyle name="Normal 10 2 10 2 13 3 3" xfId="2920" xr:uid="{00000000-0005-0000-0000-0000290B0000}"/>
    <cellStyle name="Normal 10 2 10 2 13 3 4" xfId="2921" xr:uid="{00000000-0005-0000-0000-00002A0B0000}"/>
    <cellStyle name="Normal 10 2 10 2 13 3 5" xfId="2922" xr:uid="{00000000-0005-0000-0000-00002B0B0000}"/>
    <cellStyle name="Normal 10 2 10 2 13 3 6" xfId="2923" xr:uid="{00000000-0005-0000-0000-00002C0B0000}"/>
    <cellStyle name="Normal 10 2 10 2 13 3 7" xfId="2924" xr:uid="{00000000-0005-0000-0000-00002D0B0000}"/>
    <cellStyle name="Normal 10 2 10 2 13 3 8" xfId="2925" xr:uid="{00000000-0005-0000-0000-00002E0B0000}"/>
    <cellStyle name="Normal 10 2 10 2 13 3 9" xfId="2926" xr:uid="{00000000-0005-0000-0000-00002F0B0000}"/>
    <cellStyle name="Normal 10 2 10 2 13 4" xfId="2927" xr:uid="{00000000-0005-0000-0000-0000300B0000}"/>
    <cellStyle name="Normal 10 2 10 2 13 4 10" xfId="2928" xr:uid="{00000000-0005-0000-0000-0000310B0000}"/>
    <cellStyle name="Normal 10 2 10 2 13 4 2" xfId="2929" xr:uid="{00000000-0005-0000-0000-0000320B0000}"/>
    <cellStyle name="Normal 10 2 10 2 13 4 3" xfId="2930" xr:uid="{00000000-0005-0000-0000-0000330B0000}"/>
    <cellStyle name="Normal 10 2 10 2 13 4 4" xfId="2931" xr:uid="{00000000-0005-0000-0000-0000340B0000}"/>
    <cellStyle name="Normal 10 2 10 2 13 4 5" xfId="2932" xr:uid="{00000000-0005-0000-0000-0000350B0000}"/>
    <cellStyle name="Normal 10 2 10 2 13 4 6" xfId="2933" xr:uid="{00000000-0005-0000-0000-0000360B0000}"/>
    <cellStyle name="Normal 10 2 10 2 13 4 7" xfId="2934" xr:uid="{00000000-0005-0000-0000-0000370B0000}"/>
    <cellStyle name="Normal 10 2 10 2 13 4 8" xfId="2935" xr:uid="{00000000-0005-0000-0000-0000380B0000}"/>
    <cellStyle name="Normal 10 2 10 2 13 4 9" xfId="2936" xr:uid="{00000000-0005-0000-0000-0000390B0000}"/>
    <cellStyle name="Normal 10 2 10 2 13 5" xfId="2937" xr:uid="{00000000-0005-0000-0000-00003A0B0000}"/>
    <cellStyle name="Normal 10 2 10 2 13 5 10" xfId="2938" xr:uid="{00000000-0005-0000-0000-00003B0B0000}"/>
    <cellStyle name="Normal 10 2 10 2 13 5 2" xfId="2939" xr:uid="{00000000-0005-0000-0000-00003C0B0000}"/>
    <cellStyle name="Normal 10 2 10 2 13 5 3" xfId="2940" xr:uid="{00000000-0005-0000-0000-00003D0B0000}"/>
    <cellStyle name="Normal 10 2 10 2 13 5 4" xfId="2941" xr:uid="{00000000-0005-0000-0000-00003E0B0000}"/>
    <cellStyle name="Normal 10 2 10 2 13 5 5" xfId="2942" xr:uid="{00000000-0005-0000-0000-00003F0B0000}"/>
    <cellStyle name="Normal 10 2 10 2 13 5 6" xfId="2943" xr:uid="{00000000-0005-0000-0000-0000400B0000}"/>
    <cellStyle name="Normal 10 2 10 2 13 5 7" xfId="2944" xr:uid="{00000000-0005-0000-0000-0000410B0000}"/>
    <cellStyle name="Normal 10 2 10 2 13 5 8" xfId="2945" xr:uid="{00000000-0005-0000-0000-0000420B0000}"/>
    <cellStyle name="Normal 10 2 10 2 13 5 9" xfId="2946" xr:uid="{00000000-0005-0000-0000-0000430B0000}"/>
    <cellStyle name="Normal 10 2 10 2 13 6" xfId="2947" xr:uid="{00000000-0005-0000-0000-0000440B0000}"/>
    <cellStyle name="Normal 10 2 10 2 13 7" xfId="2948" xr:uid="{00000000-0005-0000-0000-0000450B0000}"/>
    <cellStyle name="Normal 10 2 10 2 13 8" xfId="2949" xr:uid="{00000000-0005-0000-0000-0000460B0000}"/>
    <cellStyle name="Normal 10 2 10 2 13 9" xfId="2950" xr:uid="{00000000-0005-0000-0000-0000470B0000}"/>
    <cellStyle name="Normal 10 2 10 2 14" xfId="2951" xr:uid="{00000000-0005-0000-0000-0000480B0000}"/>
    <cellStyle name="Normal 10 2 10 2 14 10" xfId="2952" xr:uid="{00000000-0005-0000-0000-0000490B0000}"/>
    <cellStyle name="Normal 10 2 10 2 14 11" xfId="2953" xr:uid="{00000000-0005-0000-0000-00004A0B0000}"/>
    <cellStyle name="Normal 10 2 10 2 14 12" xfId="2954" xr:uid="{00000000-0005-0000-0000-00004B0B0000}"/>
    <cellStyle name="Normal 10 2 10 2 14 13" xfId="2955" xr:uid="{00000000-0005-0000-0000-00004C0B0000}"/>
    <cellStyle name="Normal 10 2 10 2 14 14" xfId="2956" xr:uid="{00000000-0005-0000-0000-00004D0B0000}"/>
    <cellStyle name="Normal 10 2 10 2 14 2" xfId="2957" xr:uid="{00000000-0005-0000-0000-00004E0B0000}"/>
    <cellStyle name="Normal 10 2 10 2 14 2 10" xfId="2958" xr:uid="{00000000-0005-0000-0000-00004F0B0000}"/>
    <cellStyle name="Normal 10 2 10 2 14 2 2" xfId="2959" xr:uid="{00000000-0005-0000-0000-0000500B0000}"/>
    <cellStyle name="Normal 10 2 10 2 14 2 3" xfId="2960" xr:uid="{00000000-0005-0000-0000-0000510B0000}"/>
    <cellStyle name="Normal 10 2 10 2 14 2 4" xfId="2961" xr:uid="{00000000-0005-0000-0000-0000520B0000}"/>
    <cellStyle name="Normal 10 2 10 2 14 2 5" xfId="2962" xr:uid="{00000000-0005-0000-0000-0000530B0000}"/>
    <cellStyle name="Normal 10 2 10 2 14 2 6" xfId="2963" xr:uid="{00000000-0005-0000-0000-0000540B0000}"/>
    <cellStyle name="Normal 10 2 10 2 14 2 7" xfId="2964" xr:uid="{00000000-0005-0000-0000-0000550B0000}"/>
    <cellStyle name="Normal 10 2 10 2 14 2 8" xfId="2965" xr:uid="{00000000-0005-0000-0000-0000560B0000}"/>
    <cellStyle name="Normal 10 2 10 2 14 2 9" xfId="2966" xr:uid="{00000000-0005-0000-0000-0000570B0000}"/>
    <cellStyle name="Normal 10 2 10 2 14 3" xfId="2967" xr:uid="{00000000-0005-0000-0000-0000580B0000}"/>
    <cellStyle name="Normal 10 2 10 2 14 3 10" xfId="2968" xr:uid="{00000000-0005-0000-0000-0000590B0000}"/>
    <cellStyle name="Normal 10 2 10 2 14 3 2" xfId="2969" xr:uid="{00000000-0005-0000-0000-00005A0B0000}"/>
    <cellStyle name="Normal 10 2 10 2 14 3 3" xfId="2970" xr:uid="{00000000-0005-0000-0000-00005B0B0000}"/>
    <cellStyle name="Normal 10 2 10 2 14 3 4" xfId="2971" xr:uid="{00000000-0005-0000-0000-00005C0B0000}"/>
    <cellStyle name="Normal 10 2 10 2 14 3 5" xfId="2972" xr:uid="{00000000-0005-0000-0000-00005D0B0000}"/>
    <cellStyle name="Normal 10 2 10 2 14 3 6" xfId="2973" xr:uid="{00000000-0005-0000-0000-00005E0B0000}"/>
    <cellStyle name="Normal 10 2 10 2 14 3 7" xfId="2974" xr:uid="{00000000-0005-0000-0000-00005F0B0000}"/>
    <cellStyle name="Normal 10 2 10 2 14 3 8" xfId="2975" xr:uid="{00000000-0005-0000-0000-0000600B0000}"/>
    <cellStyle name="Normal 10 2 10 2 14 3 9" xfId="2976" xr:uid="{00000000-0005-0000-0000-0000610B0000}"/>
    <cellStyle name="Normal 10 2 10 2 14 4" xfId="2977" xr:uid="{00000000-0005-0000-0000-0000620B0000}"/>
    <cellStyle name="Normal 10 2 10 2 14 4 10" xfId="2978" xr:uid="{00000000-0005-0000-0000-0000630B0000}"/>
    <cellStyle name="Normal 10 2 10 2 14 4 2" xfId="2979" xr:uid="{00000000-0005-0000-0000-0000640B0000}"/>
    <cellStyle name="Normal 10 2 10 2 14 4 3" xfId="2980" xr:uid="{00000000-0005-0000-0000-0000650B0000}"/>
    <cellStyle name="Normal 10 2 10 2 14 4 4" xfId="2981" xr:uid="{00000000-0005-0000-0000-0000660B0000}"/>
    <cellStyle name="Normal 10 2 10 2 14 4 5" xfId="2982" xr:uid="{00000000-0005-0000-0000-0000670B0000}"/>
    <cellStyle name="Normal 10 2 10 2 14 4 6" xfId="2983" xr:uid="{00000000-0005-0000-0000-0000680B0000}"/>
    <cellStyle name="Normal 10 2 10 2 14 4 7" xfId="2984" xr:uid="{00000000-0005-0000-0000-0000690B0000}"/>
    <cellStyle name="Normal 10 2 10 2 14 4 8" xfId="2985" xr:uid="{00000000-0005-0000-0000-00006A0B0000}"/>
    <cellStyle name="Normal 10 2 10 2 14 4 9" xfId="2986" xr:uid="{00000000-0005-0000-0000-00006B0B0000}"/>
    <cellStyle name="Normal 10 2 10 2 14 5" xfId="2987" xr:uid="{00000000-0005-0000-0000-00006C0B0000}"/>
    <cellStyle name="Normal 10 2 10 2 14 5 10" xfId="2988" xr:uid="{00000000-0005-0000-0000-00006D0B0000}"/>
    <cellStyle name="Normal 10 2 10 2 14 5 2" xfId="2989" xr:uid="{00000000-0005-0000-0000-00006E0B0000}"/>
    <cellStyle name="Normal 10 2 10 2 14 5 3" xfId="2990" xr:uid="{00000000-0005-0000-0000-00006F0B0000}"/>
    <cellStyle name="Normal 10 2 10 2 14 5 4" xfId="2991" xr:uid="{00000000-0005-0000-0000-0000700B0000}"/>
    <cellStyle name="Normal 10 2 10 2 14 5 5" xfId="2992" xr:uid="{00000000-0005-0000-0000-0000710B0000}"/>
    <cellStyle name="Normal 10 2 10 2 14 5 6" xfId="2993" xr:uid="{00000000-0005-0000-0000-0000720B0000}"/>
    <cellStyle name="Normal 10 2 10 2 14 5 7" xfId="2994" xr:uid="{00000000-0005-0000-0000-0000730B0000}"/>
    <cellStyle name="Normal 10 2 10 2 14 5 8" xfId="2995" xr:uid="{00000000-0005-0000-0000-0000740B0000}"/>
    <cellStyle name="Normal 10 2 10 2 14 5 9" xfId="2996" xr:uid="{00000000-0005-0000-0000-0000750B0000}"/>
    <cellStyle name="Normal 10 2 10 2 14 6" xfId="2997" xr:uid="{00000000-0005-0000-0000-0000760B0000}"/>
    <cellStyle name="Normal 10 2 10 2 14 7" xfId="2998" xr:uid="{00000000-0005-0000-0000-0000770B0000}"/>
    <cellStyle name="Normal 10 2 10 2 14 8" xfId="2999" xr:uid="{00000000-0005-0000-0000-0000780B0000}"/>
    <cellStyle name="Normal 10 2 10 2 14 9" xfId="3000" xr:uid="{00000000-0005-0000-0000-0000790B0000}"/>
    <cellStyle name="Normal 10 2 10 2 15" xfId="3001" xr:uid="{00000000-0005-0000-0000-00007A0B0000}"/>
    <cellStyle name="Normal 10 2 10 2 15 10" xfId="3002" xr:uid="{00000000-0005-0000-0000-00007B0B0000}"/>
    <cellStyle name="Normal 10 2 10 2 15 11" xfId="3003" xr:uid="{00000000-0005-0000-0000-00007C0B0000}"/>
    <cellStyle name="Normal 10 2 10 2 15 12" xfId="3004" xr:uid="{00000000-0005-0000-0000-00007D0B0000}"/>
    <cellStyle name="Normal 10 2 10 2 15 13" xfId="3005" xr:uid="{00000000-0005-0000-0000-00007E0B0000}"/>
    <cellStyle name="Normal 10 2 10 2 15 14" xfId="3006" xr:uid="{00000000-0005-0000-0000-00007F0B0000}"/>
    <cellStyle name="Normal 10 2 10 2 15 2" xfId="3007" xr:uid="{00000000-0005-0000-0000-0000800B0000}"/>
    <cellStyle name="Normal 10 2 10 2 15 2 10" xfId="3008" xr:uid="{00000000-0005-0000-0000-0000810B0000}"/>
    <cellStyle name="Normal 10 2 10 2 15 2 2" xfId="3009" xr:uid="{00000000-0005-0000-0000-0000820B0000}"/>
    <cellStyle name="Normal 10 2 10 2 15 2 3" xfId="3010" xr:uid="{00000000-0005-0000-0000-0000830B0000}"/>
    <cellStyle name="Normal 10 2 10 2 15 2 4" xfId="3011" xr:uid="{00000000-0005-0000-0000-0000840B0000}"/>
    <cellStyle name="Normal 10 2 10 2 15 2 5" xfId="3012" xr:uid="{00000000-0005-0000-0000-0000850B0000}"/>
    <cellStyle name="Normal 10 2 10 2 15 2 6" xfId="3013" xr:uid="{00000000-0005-0000-0000-0000860B0000}"/>
    <cellStyle name="Normal 10 2 10 2 15 2 7" xfId="3014" xr:uid="{00000000-0005-0000-0000-0000870B0000}"/>
    <cellStyle name="Normal 10 2 10 2 15 2 8" xfId="3015" xr:uid="{00000000-0005-0000-0000-0000880B0000}"/>
    <cellStyle name="Normal 10 2 10 2 15 2 9" xfId="3016" xr:uid="{00000000-0005-0000-0000-0000890B0000}"/>
    <cellStyle name="Normal 10 2 10 2 15 3" xfId="3017" xr:uid="{00000000-0005-0000-0000-00008A0B0000}"/>
    <cellStyle name="Normal 10 2 10 2 15 3 10" xfId="3018" xr:uid="{00000000-0005-0000-0000-00008B0B0000}"/>
    <cellStyle name="Normal 10 2 10 2 15 3 2" xfId="3019" xr:uid="{00000000-0005-0000-0000-00008C0B0000}"/>
    <cellStyle name="Normal 10 2 10 2 15 3 3" xfId="3020" xr:uid="{00000000-0005-0000-0000-00008D0B0000}"/>
    <cellStyle name="Normal 10 2 10 2 15 3 4" xfId="3021" xr:uid="{00000000-0005-0000-0000-00008E0B0000}"/>
    <cellStyle name="Normal 10 2 10 2 15 3 5" xfId="3022" xr:uid="{00000000-0005-0000-0000-00008F0B0000}"/>
    <cellStyle name="Normal 10 2 10 2 15 3 6" xfId="3023" xr:uid="{00000000-0005-0000-0000-0000900B0000}"/>
    <cellStyle name="Normal 10 2 10 2 15 3 7" xfId="3024" xr:uid="{00000000-0005-0000-0000-0000910B0000}"/>
    <cellStyle name="Normal 10 2 10 2 15 3 8" xfId="3025" xr:uid="{00000000-0005-0000-0000-0000920B0000}"/>
    <cellStyle name="Normal 10 2 10 2 15 3 9" xfId="3026" xr:uid="{00000000-0005-0000-0000-0000930B0000}"/>
    <cellStyle name="Normal 10 2 10 2 15 4" xfId="3027" xr:uid="{00000000-0005-0000-0000-0000940B0000}"/>
    <cellStyle name="Normal 10 2 10 2 15 4 10" xfId="3028" xr:uid="{00000000-0005-0000-0000-0000950B0000}"/>
    <cellStyle name="Normal 10 2 10 2 15 4 2" xfId="3029" xr:uid="{00000000-0005-0000-0000-0000960B0000}"/>
    <cellStyle name="Normal 10 2 10 2 15 4 3" xfId="3030" xr:uid="{00000000-0005-0000-0000-0000970B0000}"/>
    <cellStyle name="Normal 10 2 10 2 15 4 4" xfId="3031" xr:uid="{00000000-0005-0000-0000-0000980B0000}"/>
    <cellStyle name="Normal 10 2 10 2 15 4 5" xfId="3032" xr:uid="{00000000-0005-0000-0000-0000990B0000}"/>
    <cellStyle name="Normal 10 2 10 2 15 4 6" xfId="3033" xr:uid="{00000000-0005-0000-0000-00009A0B0000}"/>
    <cellStyle name="Normal 10 2 10 2 15 4 7" xfId="3034" xr:uid="{00000000-0005-0000-0000-00009B0B0000}"/>
    <cellStyle name="Normal 10 2 10 2 15 4 8" xfId="3035" xr:uid="{00000000-0005-0000-0000-00009C0B0000}"/>
    <cellStyle name="Normal 10 2 10 2 15 4 9" xfId="3036" xr:uid="{00000000-0005-0000-0000-00009D0B0000}"/>
    <cellStyle name="Normal 10 2 10 2 15 5" xfId="3037" xr:uid="{00000000-0005-0000-0000-00009E0B0000}"/>
    <cellStyle name="Normal 10 2 10 2 15 5 10" xfId="3038" xr:uid="{00000000-0005-0000-0000-00009F0B0000}"/>
    <cellStyle name="Normal 10 2 10 2 15 5 2" xfId="3039" xr:uid="{00000000-0005-0000-0000-0000A00B0000}"/>
    <cellStyle name="Normal 10 2 10 2 15 5 3" xfId="3040" xr:uid="{00000000-0005-0000-0000-0000A10B0000}"/>
    <cellStyle name="Normal 10 2 10 2 15 5 4" xfId="3041" xr:uid="{00000000-0005-0000-0000-0000A20B0000}"/>
    <cellStyle name="Normal 10 2 10 2 15 5 5" xfId="3042" xr:uid="{00000000-0005-0000-0000-0000A30B0000}"/>
    <cellStyle name="Normal 10 2 10 2 15 5 6" xfId="3043" xr:uid="{00000000-0005-0000-0000-0000A40B0000}"/>
    <cellStyle name="Normal 10 2 10 2 15 5 7" xfId="3044" xr:uid="{00000000-0005-0000-0000-0000A50B0000}"/>
    <cellStyle name="Normal 10 2 10 2 15 5 8" xfId="3045" xr:uid="{00000000-0005-0000-0000-0000A60B0000}"/>
    <cellStyle name="Normal 10 2 10 2 15 5 9" xfId="3046" xr:uid="{00000000-0005-0000-0000-0000A70B0000}"/>
    <cellStyle name="Normal 10 2 10 2 15 6" xfId="3047" xr:uid="{00000000-0005-0000-0000-0000A80B0000}"/>
    <cellStyle name="Normal 10 2 10 2 15 7" xfId="3048" xr:uid="{00000000-0005-0000-0000-0000A90B0000}"/>
    <cellStyle name="Normal 10 2 10 2 15 8" xfId="3049" xr:uid="{00000000-0005-0000-0000-0000AA0B0000}"/>
    <cellStyle name="Normal 10 2 10 2 15 9" xfId="3050" xr:uid="{00000000-0005-0000-0000-0000AB0B0000}"/>
    <cellStyle name="Normal 10 2 10 2 16" xfId="3051" xr:uid="{00000000-0005-0000-0000-0000AC0B0000}"/>
    <cellStyle name="Normal 10 2 10 2 16 10" xfId="3052" xr:uid="{00000000-0005-0000-0000-0000AD0B0000}"/>
    <cellStyle name="Normal 10 2 10 2 16 11" xfId="3053" xr:uid="{00000000-0005-0000-0000-0000AE0B0000}"/>
    <cellStyle name="Normal 10 2 10 2 16 12" xfId="3054" xr:uid="{00000000-0005-0000-0000-0000AF0B0000}"/>
    <cellStyle name="Normal 10 2 10 2 16 13" xfId="3055" xr:uid="{00000000-0005-0000-0000-0000B00B0000}"/>
    <cellStyle name="Normal 10 2 10 2 16 14" xfId="3056" xr:uid="{00000000-0005-0000-0000-0000B10B0000}"/>
    <cellStyle name="Normal 10 2 10 2 16 2" xfId="3057" xr:uid="{00000000-0005-0000-0000-0000B20B0000}"/>
    <cellStyle name="Normal 10 2 10 2 16 2 10" xfId="3058" xr:uid="{00000000-0005-0000-0000-0000B30B0000}"/>
    <cellStyle name="Normal 10 2 10 2 16 2 2" xfId="3059" xr:uid="{00000000-0005-0000-0000-0000B40B0000}"/>
    <cellStyle name="Normal 10 2 10 2 16 2 3" xfId="3060" xr:uid="{00000000-0005-0000-0000-0000B50B0000}"/>
    <cellStyle name="Normal 10 2 10 2 16 2 4" xfId="3061" xr:uid="{00000000-0005-0000-0000-0000B60B0000}"/>
    <cellStyle name="Normal 10 2 10 2 16 2 5" xfId="3062" xr:uid="{00000000-0005-0000-0000-0000B70B0000}"/>
    <cellStyle name="Normal 10 2 10 2 16 2 6" xfId="3063" xr:uid="{00000000-0005-0000-0000-0000B80B0000}"/>
    <cellStyle name="Normal 10 2 10 2 16 2 7" xfId="3064" xr:uid="{00000000-0005-0000-0000-0000B90B0000}"/>
    <cellStyle name="Normal 10 2 10 2 16 2 8" xfId="3065" xr:uid="{00000000-0005-0000-0000-0000BA0B0000}"/>
    <cellStyle name="Normal 10 2 10 2 16 2 9" xfId="3066" xr:uid="{00000000-0005-0000-0000-0000BB0B0000}"/>
    <cellStyle name="Normal 10 2 10 2 16 3" xfId="3067" xr:uid="{00000000-0005-0000-0000-0000BC0B0000}"/>
    <cellStyle name="Normal 10 2 10 2 16 3 10" xfId="3068" xr:uid="{00000000-0005-0000-0000-0000BD0B0000}"/>
    <cellStyle name="Normal 10 2 10 2 16 3 2" xfId="3069" xr:uid="{00000000-0005-0000-0000-0000BE0B0000}"/>
    <cellStyle name="Normal 10 2 10 2 16 3 3" xfId="3070" xr:uid="{00000000-0005-0000-0000-0000BF0B0000}"/>
    <cellStyle name="Normal 10 2 10 2 16 3 4" xfId="3071" xr:uid="{00000000-0005-0000-0000-0000C00B0000}"/>
    <cellStyle name="Normal 10 2 10 2 16 3 5" xfId="3072" xr:uid="{00000000-0005-0000-0000-0000C10B0000}"/>
    <cellStyle name="Normal 10 2 10 2 16 3 6" xfId="3073" xr:uid="{00000000-0005-0000-0000-0000C20B0000}"/>
    <cellStyle name="Normal 10 2 10 2 16 3 7" xfId="3074" xr:uid="{00000000-0005-0000-0000-0000C30B0000}"/>
    <cellStyle name="Normal 10 2 10 2 16 3 8" xfId="3075" xr:uid="{00000000-0005-0000-0000-0000C40B0000}"/>
    <cellStyle name="Normal 10 2 10 2 16 3 9" xfId="3076" xr:uid="{00000000-0005-0000-0000-0000C50B0000}"/>
    <cellStyle name="Normal 10 2 10 2 16 4" xfId="3077" xr:uid="{00000000-0005-0000-0000-0000C60B0000}"/>
    <cellStyle name="Normal 10 2 10 2 16 4 10" xfId="3078" xr:uid="{00000000-0005-0000-0000-0000C70B0000}"/>
    <cellStyle name="Normal 10 2 10 2 16 4 2" xfId="3079" xr:uid="{00000000-0005-0000-0000-0000C80B0000}"/>
    <cellStyle name="Normal 10 2 10 2 16 4 3" xfId="3080" xr:uid="{00000000-0005-0000-0000-0000C90B0000}"/>
    <cellStyle name="Normal 10 2 10 2 16 4 4" xfId="3081" xr:uid="{00000000-0005-0000-0000-0000CA0B0000}"/>
    <cellStyle name="Normal 10 2 10 2 16 4 5" xfId="3082" xr:uid="{00000000-0005-0000-0000-0000CB0B0000}"/>
    <cellStyle name="Normal 10 2 10 2 16 4 6" xfId="3083" xr:uid="{00000000-0005-0000-0000-0000CC0B0000}"/>
    <cellStyle name="Normal 10 2 10 2 16 4 7" xfId="3084" xr:uid="{00000000-0005-0000-0000-0000CD0B0000}"/>
    <cellStyle name="Normal 10 2 10 2 16 4 8" xfId="3085" xr:uid="{00000000-0005-0000-0000-0000CE0B0000}"/>
    <cellStyle name="Normal 10 2 10 2 16 4 9" xfId="3086" xr:uid="{00000000-0005-0000-0000-0000CF0B0000}"/>
    <cellStyle name="Normal 10 2 10 2 16 5" xfId="3087" xr:uid="{00000000-0005-0000-0000-0000D00B0000}"/>
    <cellStyle name="Normal 10 2 10 2 16 5 10" xfId="3088" xr:uid="{00000000-0005-0000-0000-0000D10B0000}"/>
    <cellStyle name="Normal 10 2 10 2 16 5 2" xfId="3089" xr:uid="{00000000-0005-0000-0000-0000D20B0000}"/>
    <cellStyle name="Normal 10 2 10 2 16 5 3" xfId="3090" xr:uid="{00000000-0005-0000-0000-0000D30B0000}"/>
    <cellStyle name="Normal 10 2 10 2 16 5 4" xfId="3091" xr:uid="{00000000-0005-0000-0000-0000D40B0000}"/>
    <cellStyle name="Normal 10 2 10 2 16 5 5" xfId="3092" xr:uid="{00000000-0005-0000-0000-0000D50B0000}"/>
    <cellStyle name="Normal 10 2 10 2 16 5 6" xfId="3093" xr:uid="{00000000-0005-0000-0000-0000D60B0000}"/>
    <cellStyle name="Normal 10 2 10 2 16 5 7" xfId="3094" xr:uid="{00000000-0005-0000-0000-0000D70B0000}"/>
    <cellStyle name="Normal 10 2 10 2 16 5 8" xfId="3095" xr:uid="{00000000-0005-0000-0000-0000D80B0000}"/>
    <cellStyle name="Normal 10 2 10 2 16 5 9" xfId="3096" xr:uid="{00000000-0005-0000-0000-0000D90B0000}"/>
    <cellStyle name="Normal 10 2 10 2 16 6" xfId="3097" xr:uid="{00000000-0005-0000-0000-0000DA0B0000}"/>
    <cellStyle name="Normal 10 2 10 2 16 7" xfId="3098" xr:uid="{00000000-0005-0000-0000-0000DB0B0000}"/>
    <cellStyle name="Normal 10 2 10 2 16 8" xfId="3099" xr:uid="{00000000-0005-0000-0000-0000DC0B0000}"/>
    <cellStyle name="Normal 10 2 10 2 16 9" xfId="3100" xr:uid="{00000000-0005-0000-0000-0000DD0B0000}"/>
    <cellStyle name="Normal 10 2 10 2 17" xfId="3101" xr:uid="{00000000-0005-0000-0000-0000DE0B0000}"/>
    <cellStyle name="Normal 10 2 10 2 17 10" xfId="3102" xr:uid="{00000000-0005-0000-0000-0000DF0B0000}"/>
    <cellStyle name="Normal 10 2 10 2 17 11" xfId="3103" xr:uid="{00000000-0005-0000-0000-0000E00B0000}"/>
    <cellStyle name="Normal 10 2 10 2 17 12" xfId="3104" xr:uid="{00000000-0005-0000-0000-0000E10B0000}"/>
    <cellStyle name="Normal 10 2 10 2 17 13" xfId="3105" xr:uid="{00000000-0005-0000-0000-0000E20B0000}"/>
    <cellStyle name="Normal 10 2 10 2 17 14" xfId="3106" xr:uid="{00000000-0005-0000-0000-0000E30B0000}"/>
    <cellStyle name="Normal 10 2 10 2 17 2" xfId="3107" xr:uid="{00000000-0005-0000-0000-0000E40B0000}"/>
    <cellStyle name="Normal 10 2 10 2 17 2 10" xfId="3108" xr:uid="{00000000-0005-0000-0000-0000E50B0000}"/>
    <cellStyle name="Normal 10 2 10 2 17 2 2" xfId="3109" xr:uid="{00000000-0005-0000-0000-0000E60B0000}"/>
    <cellStyle name="Normal 10 2 10 2 17 2 3" xfId="3110" xr:uid="{00000000-0005-0000-0000-0000E70B0000}"/>
    <cellStyle name="Normal 10 2 10 2 17 2 4" xfId="3111" xr:uid="{00000000-0005-0000-0000-0000E80B0000}"/>
    <cellStyle name="Normal 10 2 10 2 17 2 5" xfId="3112" xr:uid="{00000000-0005-0000-0000-0000E90B0000}"/>
    <cellStyle name="Normal 10 2 10 2 17 2 6" xfId="3113" xr:uid="{00000000-0005-0000-0000-0000EA0B0000}"/>
    <cellStyle name="Normal 10 2 10 2 17 2 7" xfId="3114" xr:uid="{00000000-0005-0000-0000-0000EB0B0000}"/>
    <cellStyle name="Normal 10 2 10 2 17 2 8" xfId="3115" xr:uid="{00000000-0005-0000-0000-0000EC0B0000}"/>
    <cellStyle name="Normal 10 2 10 2 17 2 9" xfId="3116" xr:uid="{00000000-0005-0000-0000-0000ED0B0000}"/>
    <cellStyle name="Normal 10 2 10 2 17 3" xfId="3117" xr:uid="{00000000-0005-0000-0000-0000EE0B0000}"/>
    <cellStyle name="Normal 10 2 10 2 17 3 10" xfId="3118" xr:uid="{00000000-0005-0000-0000-0000EF0B0000}"/>
    <cellStyle name="Normal 10 2 10 2 17 3 2" xfId="3119" xr:uid="{00000000-0005-0000-0000-0000F00B0000}"/>
    <cellStyle name="Normal 10 2 10 2 17 3 3" xfId="3120" xr:uid="{00000000-0005-0000-0000-0000F10B0000}"/>
    <cellStyle name="Normal 10 2 10 2 17 3 4" xfId="3121" xr:uid="{00000000-0005-0000-0000-0000F20B0000}"/>
    <cellStyle name="Normal 10 2 10 2 17 3 5" xfId="3122" xr:uid="{00000000-0005-0000-0000-0000F30B0000}"/>
    <cellStyle name="Normal 10 2 10 2 17 3 6" xfId="3123" xr:uid="{00000000-0005-0000-0000-0000F40B0000}"/>
    <cellStyle name="Normal 10 2 10 2 17 3 7" xfId="3124" xr:uid="{00000000-0005-0000-0000-0000F50B0000}"/>
    <cellStyle name="Normal 10 2 10 2 17 3 8" xfId="3125" xr:uid="{00000000-0005-0000-0000-0000F60B0000}"/>
    <cellStyle name="Normal 10 2 10 2 17 3 9" xfId="3126" xr:uid="{00000000-0005-0000-0000-0000F70B0000}"/>
    <cellStyle name="Normal 10 2 10 2 17 4" xfId="3127" xr:uid="{00000000-0005-0000-0000-0000F80B0000}"/>
    <cellStyle name="Normal 10 2 10 2 17 4 10" xfId="3128" xr:uid="{00000000-0005-0000-0000-0000F90B0000}"/>
    <cellStyle name="Normal 10 2 10 2 17 4 2" xfId="3129" xr:uid="{00000000-0005-0000-0000-0000FA0B0000}"/>
    <cellStyle name="Normal 10 2 10 2 17 4 3" xfId="3130" xr:uid="{00000000-0005-0000-0000-0000FB0B0000}"/>
    <cellStyle name="Normal 10 2 10 2 17 4 4" xfId="3131" xr:uid="{00000000-0005-0000-0000-0000FC0B0000}"/>
    <cellStyle name="Normal 10 2 10 2 17 4 5" xfId="3132" xr:uid="{00000000-0005-0000-0000-0000FD0B0000}"/>
    <cellStyle name="Normal 10 2 10 2 17 4 6" xfId="3133" xr:uid="{00000000-0005-0000-0000-0000FE0B0000}"/>
    <cellStyle name="Normal 10 2 10 2 17 4 7" xfId="3134" xr:uid="{00000000-0005-0000-0000-0000FF0B0000}"/>
    <cellStyle name="Normal 10 2 10 2 17 4 8" xfId="3135" xr:uid="{00000000-0005-0000-0000-0000000C0000}"/>
    <cellStyle name="Normal 10 2 10 2 17 4 9" xfId="3136" xr:uid="{00000000-0005-0000-0000-0000010C0000}"/>
    <cellStyle name="Normal 10 2 10 2 17 5" xfId="3137" xr:uid="{00000000-0005-0000-0000-0000020C0000}"/>
    <cellStyle name="Normal 10 2 10 2 17 5 10" xfId="3138" xr:uid="{00000000-0005-0000-0000-0000030C0000}"/>
    <cellStyle name="Normal 10 2 10 2 17 5 2" xfId="3139" xr:uid="{00000000-0005-0000-0000-0000040C0000}"/>
    <cellStyle name="Normal 10 2 10 2 17 5 3" xfId="3140" xr:uid="{00000000-0005-0000-0000-0000050C0000}"/>
    <cellStyle name="Normal 10 2 10 2 17 5 4" xfId="3141" xr:uid="{00000000-0005-0000-0000-0000060C0000}"/>
    <cellStyle name="Normal 10 2 10 2 17 5 5" xfId="3142" xr:uid="{00000000-0005-0000-0000-0000070C0000}"/>
    <cellStyle name="Normal 10 2 10 2 17 5 6" xfId="3143" xr:uid="{00000000-0005-0000-0000-0000080C0000}"/>
    <cellStyle name="Normal 10 2 10 2 17 5 7" xfId="3144" xr:uid="{00000000-0005-0000-0000-0000090C0000}"/>
    <cellStyle name="Normal 10 2 10 2 17 5 8" xfId="3145" xr:uid="{00000000-0005-0000-0000-00000A0C0000}"/>
    <cellStyle name="Normal 10 2 10 2 17 5 9" xfId="3146" xr:uid="{00000000-0005-0000-0000-00000B0C0000}"/>
    <cellStyle name="Normal 10 2 10 2 17 6" xfId="3147" xr:uid="{00000000-0005-0000-0000-00000C0C0000}"/>
    <cellStyle name="Normal 10 2 10 2 17 7" xfId="3148" xr:uid="{00000000-0005-0000-0000-00000D0C0000}"/>
    <cellStyle name="Normal 10 2 10 2 17 8" xfId="3149" xr:uid="{00000000-0005-0000-0000-00000E0C0000}"/>
    <cellStyle name="Normal 10 2 10 2 17 9" xfId="3150" xr:uid="{00000000-0005-0000-0000-00000F0C0000}"/>
    <cellStyle name="Normal 10 2 10 2 18" xfId="3151" xr:uid="{00000000-0005-0000-0000-0000100C0000}"/>
    <cellStyle name="Normal 10 2 10 2 18 10" xfId="3152" xr:uid="{00000000-0005-0000-0000-0000110C0000}"/>
    <cellStyle name="Normal 10 2 10 2 18 11" xfId="3153" xr:uid="{00000000-0005-0000-0000-0000120C0000}"/>
    <cellStyle name="Normal 10 2 10 2 18 12" xfId="3154" xr:uid="{00000000-0005-0000-0000-0000130C0000}"/>
    <cellStyle name="Normal 10 2 10 2 18 13" xfId="3155" xr:uid="{00000000-0005-0000-0000-0000140C0000}"/>
    <cellStyle name="Normal 10 2 10 2 18 14" xfId="3156" xr:uid="{00000000-0005-0000-0000-0000150C0000}"/>
    <cellStyle name="Normal 10 2 10 2 18 2" xfId="3157" xr:uid="{00000000-0005-0000-0000-0000160C0000}"/>
    <cellStyle name="Normal 10 2 10 2 18 2 10" xfId="3158" xr:uid="{00000000-0005-0000-0000-0000170C0000}"/>
    <cellStyle name="Normal 10 2 10 2 18 2 2" xfId="3159" xr:uid="{00000000-0005-0000-0000-0000180C0000}"/>
    <cellStyle name="Normal 10 2 10 2 18 2 3" xfId="3160" xr:uid="{00000000-0005-0000-0000-0000190C0000}"/>
    <cellStyle name="Normal 10 2 10 2 18 2 4" xfId="3161" xr:uid="{00000000-0005-0000-0000-00001A0C0000}"/>
    <cellStyle name="Normal 10 2 10 2 18 2 5" xfId="3162" xr:uid="{00000000-0005-0000-0000-00001B0C0000}"/>
    <cellStyle name="Normal 10 2 10 2 18 2 6" xfId="3163" xr:uid="{00000000-0005-0000-0000-00001C0C0000}"/>
    <cellStyle name="Normal 10 2 10 2 18 2 7" xfId="3164" xr:uid="{00000000-0005-0000-0000-00001D0C0000}"/>
    <cellStyle name="Normal 10 2 10 2 18 2 8" xfId="3165" xr:uid="{00000000-0005-0000-0000-00001E0C0000}"/>
    <cellStyle name="Normal 10 2 10 2 18 2 9" xfId="3166" xr:uid="{00000000-0005-0000-0000-00001F0C0000}"/>
    <cellStyle name="Normal 10 2 10 2 18 3" xfId="3167" xr:uid="{00000000-0005-0000-0000-0000200C0000}"/>
    <cellStyle name="Normal 10 2 10 2 18 3 10" xfId="3168" xr:uid="{00000000-0005-0000-0000-0000210C0000}"/>
    <cellStyle name="Normal 10 2 10 2 18 3 2" xfId="3169" xr:uid="{00000000-0005-0000-0000-0000220C0000}"/>
    <cellStyle name="Normal 10 2 10 2 18 3 3" xfId="3170" xr:uid="{00000000-0005-0000-0000-0000230C0000}"/>
    <cellStyle name="Normal 10 2 10 2 18 3 4" xfId="3171" xr:uid="{00000000-0005-0000-0000-0000240C0000}"/>
    <cellStyle name="Normal 10 2 10 2 18 3 5" xfId="3172" xr:uid="{00000000-0005-0000-0000-0000250C0000}"/>
    <cellStyle name="Normal 10 2 10 2 18 3 6" xfId="3173" xr:uid="{00000000-0005-0000-0000-0000260C0000}"/>
    <cellStyle name="Normal 10 2 10 2 18 3 7" xfId="3174" xr:uid="{00000000-0005-0000-0000-0000270C0000}"/>
    <cellStyle name="Normal 10 2 10 2 18 3 8" xfId="3175" xr:uid="{00000000-0005-0000-0000-0000280C0000}"/>
    <cellStyle name="Normal 10 2 10 2 18 3 9" xfId="3176" xr:uid="{00000000-0005-0000-0000-0000290C0000}"/>
    <cellStyle name="Normal 10 2 10 2 18 4" xfId="3177" xr:uid="{00000000-0005-0000-0000-00002A0C0000}"/>
    <cellStyle name="Normal 10 2 10 2 18 4 10" xfId="3178" xr:uid="{00000000-0005-0000-0000-00002B0C0000}"/>
    <cellStyle name="Normal 10 2 10 2 18 4 2" xfId="3179" xr:uid="{00000000-0005-0000-0000-00002C0C0000}"/>
    <cellStyle name="Normal 10 2 10 2 18 4 3" xfId="3180" xr:uid="{00000000-0005-0000-0000-00002D0C0000}"/>
    <cellStyle name="Normal 10 2 10 2 18 4 4" xfId="3181" xr:uid="{00000000-0005-0000-0000-00002E0C0000}"/>
    <cellStyle name="Normal 10 2 10 2 18 4 5" xfId="3182" xr:uid="{00000000-0005-0000-0000-00002F0C0000}"/>
    <cellStyle name="Normal 10 2 10 2 18 4 6" xfId="3183" xr:uid="{00000000-0005-0000-0000-0000300C0000}"/>
    <cellStyle name="Normal 10 2 10 2 18 4 7" xfId="3184" xr:uid="{00000000-0005-0000-0000-0000310C0000}"/>
    <cellStyle name="Normal 10 2 10 2 18 4 8" xfId="3185" xr:uid="{00000000-0005-0000-0000-0000320C0000}"/>
    <cellStyle name="Normal 10 2 10 2 18 4 9" xfId="3186" xr:uid="{00000000-0005-0000-0000-0000330C0000}"/>
    <cellStyle name="Normal 10 2 10 2 18 5" xfId="3187" xr:uid="{00000000-0005-0000-0000-0000340C0000}"/>
    <cellStyle name="Normal 10 2 10 2 18 5 10" xfId="3188" xr:uid="{00000000-0005-0000-0000-0000350C0000}"/>
    <cellStyle name="Normal 10 2 10 2 18 5 2" xfId="3189" xr:uid="{00000000-0005-0000-0000-0000360C0000}"/>
    <cellStyle name="Normal 10 2 10 2 18 5 3" xfId="3190" xr:uid="{00000000-0005-0000-0000-0000370C0000}"/>
    <cellStyle name="Normal 10 2 10 2 18 5 4" xfId="3191" xr:uid="{00000000-0005-0000-0000-0000380C0000}"/>
    <cellStyle name="Normal 10 2 10 2 18 5 5" xfId="3192" xr:uid="{00000000-0005-0000-0000-0000390C0000}"/>
    <cellStyle name="Normal 10 2 10 2 18 5 6" xfId="3193" xr:uid="{00000000-0005-0000-0000-00003A0C0000}"/>
    <cellStyle name="Normal 10 2 10 2 18 5 7" xfId="3194" xr:uid="{00000000-0005-0000-0000-00003B0C0000}"/>
    <cellStyle name="Normal 10 2 10 2 18 5 8" xfId="3195" xr:uid="{00000000-0005-0000-0000-00003C0C0000}"/>
    <cellStyle name="Normal 10 2 10 2 18 5 9" xfId="3196" xr:uid="{00000000-0005-0000-0000-00003D0C0000}"/>
    <cellStyle name="Normal 10 2 10 2 18 6" xfId="3197" xr:uid="{00000000-0005-0000-0000-00003E0C0000}"/>
    <cellStyle name="Normal 10 2 10 2 18 7" xfId="3198" xr:uid="{00000000-0005-0000-0000-00003F0C0000}"/>
    <cellStyle name="Normal 10 2 10 2 18 8" xfId="3199" xr:uid="{00000000-0005-0000-0000-0000400C0000}"/>
    <cellStyle name="Normal 10 2 10 2 18 9" xfId="3200" xr:uid="{00000000-0005-0000-0000-0000410C0000}"/>
    <cellStyle name="Normal 10 2 10 2 19" xfId="3201" xr:uid="{00000000-0005-0000-0000-0000420C0000}"/>
    <cellStyle name="Normal 10 2 10 2 19 10" xfId="3202" xr:uid="{00000000-0005-0000-0000-0000430C0000}"/>
    <cellStyle name="Normal 10 2 10 2 19 11" xfId="3203" xr:uid="{00000000-0005-0000-0000-0000440C0000}"/>
    <cellStyle name="Normal 10 2 10 2 19 12" xfId="3204" xr:uid="{00000000-0005-0000-0000-0000450C0000}"/>
    <cellStyle name="Normal 10 2 10 2 19 13" xfId="3205" xr:uid="{00000000-0005-0000-0000-0000460C0000}"/>
    <cellStyle name="Normal 10 2 10 2 19 14" xfId="3206" xr:uid="{00000000-0005-0000-0000-0000470C0000}"/>
    <cellStyle name="Normal 10 2 10 2 19 2" xfId="3207" xr:uid="{00000000-0005-0000-0000-0000480C0000}"/>
    <cellStyle name="Normal 10 2 10 2 19 2 10" xfId="3208" xr:uid="{00000000-0005-0000-0000-0000490C0000}"/>
    <cellStyle name="Normal 10 2 10 2 19 2 2" xfId="3209" xr:uid="{00000000-0005-0000-0000-00004A0C0000}"/>
    <cellStyle name="Normal 10 2 10 2 19 2 3" xfId="3210" xr:uid="{00000000-0005-0000-0000-00004B0C0000}"/>
    <cellStyle name="Normal 10 2 10 2 19 2 4" xfId="3211" xr:uid="{00000000-0005-0000-0000-00004C0C0000}"/>
    <cellStyle name="Normal 10 2 10 2 19 2 5" xfId="3212" xr:uid="{00000000-0005-0000-0000-00004D0C0000}"/>
    <cellStyle name="Normal 10 2 10 2 19 2 6" xfId="3213" xr:uid="{00000000-0005-0000-0000-00004E0C0000}"/>
    <cellStyle name="Normal 10 2 10 2 19 2 7" xfId="3214" xr:uid="{00000000-0005-0000-0000-00004F0C0000}"/>
    <cellStyle name="Normal 10 2 10 2 19 2 8" xfId="3215" xr:uid="{00000000-0005-0000-0000-0000500C0000}"/>
    <cellStyle name="Normal 10 2 10 2 19 2 9" xfId="3216" xr:uid="{00000000-0005-0000-0000-0000510C0000}"/>
    <cellStyle name="Normal 10 2 10 2 19 3" xfId="3217" xr:uid="{00000000-0005-0000-0000-0000520C0000}"/>
    <cellStyle name="Normal 10 2 10 2 19 3 10" xfId="3218" xr:uid="{00000000-0005-0000-0000-0000530C0000}"/>
    <cellStyle name="Normal 10 2 10 2 19 3 2" xfId="3219" xr:uid="{00000000-0005-0000-0000-0000540C0000}"/>
    <cellStyle name="Normal 10 2 10 2 19 3 3" xfId="3220" xr:uid="{00000000-0005-0000-0000-0000550C0000}"/>
    <cellStyle name="Normal 10 2 10 2 19 3 4" xfId="3221" xr:uid="{00000000-0005-0000-0000-0000560C0000}"/>
    <cellStyle name="Normal 10 2 10 2 19 3 5" xfId="3222" xr:uid="{00000000-0005-0000-0000-0000570C0000}"/>
    <cellStyle name="Normal 10 2 10 2 19 3 6" xfId="3223" xr:uid="{00000000-0005-0000-0000-0000580C0000}"/>
    <cellStyle name="Normal 10 2 10 2 19 3 7" xfId="3224" xr:uid="{00000000-0005-0000-0000-0000590C0000}"/>
    <cellStyle name="Normal 10 2 10 2 19 3 8" xfId="3225" xr:uid="{00000000-0005-0000-0000-00005A0C0000}"/>
    <cellStyle name="Normal 10 2 10 2 19 3 9" xfId="3226" xr:uid="{00000000-0005-0000-0000-00005B0C0000}"/>
    <cellStyle name="Normal 10 2 10 2 19 4" xfId="3227" xr:uid="{00000000-0005-0000-0000-00005C0C0000}"/>
    <cellStyle name="Normal 10 2 10 2 19 4 10" xfId="3228" xr:uid="{00000000-0005-0000-0000-00005D0C0000}"/>
    <cellStyle name="Normal 10 2 10 2 19 4 2" xfId="3229" xr:uid="{00000000-0005-0000-0000-00005E0C0000}"/>
    <cellStyle name="Normal 10 2 10 2 19 4 3" xfId="3230" xr:uid="{00000000-0005-0000-0000-00005F0C0000}"/>
    <cellStyle name="Normal 10 2 10 2 19 4 4" xfId="3231" xr:uid="{00000000-0005-0000-0000-0000600C0000}"/>
    <cellStyle name="Normal 10 2 10 2 19 4 5" xfId="3232" xr:uid="{00000000-0005-0000-0000-0000610C0000}"/>
    <cellStyle name="Normal 10 2 10 2 19 4 6" xfId="3233" xr:uid="{00000000-0005-0000-0000-0000620C0000}"/>
    <cellStyle name="Normal 10 2 10 2 19 4 7" xfId="3234" xr:uid="{00000000-0005-0000-0000-0000630C0000}"/>
    <cellStyle name="Normal 10 2 10 2 19 4 8" xfId="3235" xr:uid="{00000000-0005-0000-0000-0000640C0000}"/>
    <cellStyle name="Normal 10 2 10 2 19 4 9" xfId="3236" xr:uid="{00000000-0005-0000-0000-0000650C0000}"/>
    <cellStyle name="Normal 10 2 10 2 19 5" xfId="3237" xr:uid="{00000000-0005-0000-0000-0000660C0000}"/>
    <cellStyle name="Normal 10 2 10 2 19 5 10" xfId="3238" xr:uid="{00000000-0005-0000-0000-0000670C0000}"/>
    <cellStyle name="Normal 10 2 10 2 19 5 2" xfId="3239" xr:uid="{00000000-0005-0000-0000-0000680C0000}"/>
    <cellStyle name="Normal 10 2 10 2 19 5 3" xfId="3240" xr:uid="{00000000-0005-0000-0000-0000690C0000}"/>
    <cellStyle name="Normal 10 2 10 2 19 5 4" xfId="3241" xr:uid="{00000000-0005-0000-0000-00006A0C0000}"/>
    <cellStyle name="Normal 10 2 10 2 19 5 5" xfId="3242" xr:uid="{00000000-0005-0000-0000-00006B0C0000}"/>
    <cellStyle name="Normal 10 2 10 2 19 5 6" xfId="3243" xr:uid="{00000000-0005-0000-0000-00006C0C0000}"/>
    <cellStyle name="Normal 10 2 10 2 19 5 7" xfId="3244" xr:uid="{00000000-0005-0000-0000-00006D0C0000}"/>
    <cellStyle name="Normal 10 2 10 2 19 5 8" xfId="3245" xr:uid="{00000000-0005-0000-0000-00006E0C0000}"/>
    <cellStyle name="Normal 10 2 10 2 19 5 9" xfId="3246" xr:uid="{00000000-0005-0000-0000-00006F0C0000}"/>
    <cellStyle name="Normal 10 2 10 2 19 6" xfId="3247" xr:uid="{00000000-0005-0000-0000-0000700C0000}"/>
    <cellStyle name="Normal 10 2 10 2 19 7" xfId="3248" xr:uid="{00000000-0005-0000-0000-0000710C0000}"/>
    <cellStyle name="Normal 10 2 10 2 19 8" xfId="3249" xr:uid="{00000000-0005-0000-0000-0000720C0000}"/>
    <cellStyle name="Normal 10 2 10 2 19 9" xfId="3250" xr:uid="{00000000-0005-0000-0000-0000730C0000}"/>
    <cellStyle name="Normal 10 2 10 2 2" xfId="3251" xr:uid="{00000000-0005-0000-0000-0000740C0000}"/>
    <cellStyle name="Normal 10 2 10 2 2 10" xfId="3252" xr:uid="{00000000-0005-0000-0000-0000750C0000}"/>
    <cellStyle name="Normal 10 2 10 2 2 11" xfId="3253" xr:uid="{00000000-0005-0000-0000-0000760C0000}"/>
    <cellStyle name="Normal 10 2 10 2 2 12" xfId="3254" xr:uid="{00000000-0005-0000-0000-0000770C0000}"/>
    <cellStyle name="Normal 10 2 10 2 2 13" xfId="3255" xr:uid="{00000000-0005-0000-0000-0000780C0000}"/>
    <cellStyle name="Normal 10 2 10 2 2 14" xfId="3256" xr:uid="{00000000-0005-0000-0000-0000790C0000}"/>
    <cellStyle name="Normal 10 2 10 2 2 2" xfId="3257" xr:uid="{00000000-0005-0000-0000-00007A0C0000}"/>
    <cellStyle name="Normal 10 2 10 2 2 2 10" xfId="3258" xr:uid="{00000000-0005-0000-0000-00007B0C0000}"/>
    <cellStyle name="Normal 10 2 10 2 2 2 2" xfId="3259" xr:uid="{00000000-0005-0000-0000-00007C0C0000}"/>
    <cellStyle name="Normal 10 2 10 2 2 2 3" xfId="3260" xr:uid="{00000000-0005-0000-0000-00007D0C0000}"/>
    <cellStyle name="Normal 10 2 10 2 2 2 4" xfId="3261" xr:uid="{00000000-0005-0000-0000-00007E0C0000}"/>
    <cellStyle name="Normal 10 2 10 2 2 2 5" xfId="3262" xr:uid="{00000000-0005-0000-0000-00007F0C0000}"/>
    <cellStyle name="Normal 10 2 10 2 2 2 6" xfId="3263" xr:uid="{00000000-0005-0000-0000-0000800C0000}"/>
    <cellStyle name="Normal 10 2 10 2 2 2 7" xfId="3264" xr:uid="{00000000-0005-0000-0000-0000810C0000}"/>
    <cellStyle name="Normal 10 2 10 2 2 2 8" xfId="3265" xr:uid="{00000000-0005-0000-0000-0000820C0000}"/>
    <cellStyle name="Normal 10 2 10 2 2 2 9" xfId="3266" xr:uid="{00000000-0005-0000-0000-0000830C0000}"/>
    <cellStyle name="Normal 10 2 10 2 2 3" xfId="3267" xr:uid="{00000000-0005-0000-0000-0000840C0000}"/>
    <cellStyle name="Normal 10 2 10 2 2 3 10" xfId="3268" xr:uid="{00000000-0005-0000-0000-0000850C0000}"/>
    <cellStyle name="Normal 10 2 10 2 2 3 2" xfId="3269" xr:uid="{00000000-0005-0000-0000-0000860C0000}"/>
    <cellStyle name="Normal 10 2 10 2 2 3 3" xfId="3270" xr:uid="{00000000-0005-0000-0000-0000870C0000}"/>
    <cellStyle name="Normal 10 2 10 2 2 3 4" xfId="3271" xr:uid="{00000000-0005-0000-0000-0000880C0000}"/>
    <cellStyle name="Normal 10 2 10 2 2 3 5" xfId="3272" xr:uid="{00000000-0005-0000-0000-0000890C0000}"/>
    <cellStyle name="Normal 10 2 10 2 2 3 6" xfId="3273" xr:uid="{00000000-0005-0000-0000-00008A0C0000}"/>
    <cellStyle name="Normal 10 2 10 2 2 3 7" xfId="3274" xr:uid="{00000000-0005-0000-0000-00008B0C0000}"/>
    <cellStyle name="Normal 10 2 10 2 2 3 8" xfId="3275" xr:uid="{00000000-0005-0000-0000-00008C0C0000}"/>
    <cellStyle name="Normal 10 2 10 2 2 3 9" xfId="3276" xr:uid="{00000000-0005-0000-0000-00008D0C0000}"/>
    <cellStyle name="Normal 10 2 10 2 2 4" xfId="3277" xr:uid="{00000000-0005-0000-0000-00008E0C0000}"/>
    <cellStyle name="Normal 10 2 10 2 2 4 10" xfId="3278" xr:uid="{00000000-0005-0000-0000-00008F0C0000}"/>
    <cellStyle name="Normal 10 2 10 2 2 4 2" xfId="3279" xr:uid="{00000000-0005-0000-0000-0000900C0000}"/>
    <cellStyle name="Normal 10 2 10 2 2 4 3" xfId="3280" xr:uid="{00000000-0005-0000-0000-0000910C0000}"/>
    <cellStyle name="Normal 10 2 10 2 2 4 4" xfId="3281" xr:uid="{00000000-0005-0000-0000-0000920C0000}"/>
    <cellStyle name="Normal 10 2 10 2 2 4 5" xfId="3282" xr:uid="{00000000-0005-0000-0000-0000930C0000}"/>
    <cellStyle name="Normal 10 2 10 2 2 4 6" xfId="3283" xr:uid="{00000000-0005-0000-0000-0000940C0000}"/>
    <cellStyle name="Normal 10 2 10 2 2 4 7" xfId="3284" xr:uid="{00000000-0005-0000-0000-0000950C0000}"/>
    <cellStyle name="Normal 10 2 10 2 2 4 8" xfId="3285" xr:uid="{00000000-0005-0000-0000-0000960C0000}"/>
    <cellStyle name="Normal 10 2 10 2 2 4 9" xfId="3286" xr:uid="{00000000-0005-0000-0000-0000970C0000}"/>
    <cellStyle name="Normal 10 2 10 2 2 5" xfId="3287" xr:uid="{00000000-0005-0000-0000-0000980C0000}"/>
    <cellStyle name="Normal 10 2 10 2 2 5 10" xfId="3288" xr:uid="{00000000-0005-0000-0000-0000990C0000}"/>
    <cellStyle name="Normal 10 2 10 2 2 5 2" xfId="3289" xr:uid="{00000000-0005-0000-0000-00009A0C0000}"/>
    <cellStyle name="Normal 10 2 10 2 2 5 3" xfId="3290" xr:uid="{00000000-0005-0000-0000-00009B0C0000}"/>
    <cellStyle name="Normal 10 2 10 2 2 5 4" xfId="3291" xr:uid="{00000000-0005-0000-0000-00009C0C0000}"/>
    <cellStyle name="Normal 10 2 10 2 2 5 5" xfId="3292" xr:uid="{00000000-0005-0000-0000-00009D0C0000}"/>
    <cellStyle name="Normal 10 2 10 2 2 5 6" xfId="3293" xr:uid="{00000000-0005-0000-0000-00009E0C0000}"/>
    <cellStyle name="Normal 10 2 10 2 2 5 7" xfId="3294" xr:uid="{00000000-0005-0000-0000-00009F0C0000}"/>
    <cellStyle name="Normal 10 2 10 2 2 5 8" xfId="3295" xr:uid="{00000000-0005-0000-0000-0000A00C0000}"/>
    <cellStyle name="Normal 10 2 10 2 2 5 9" xfId="3296" xr:uid="{00000000-0005-0000-0000-0000A10C0000}"/>
    <cellStyle name="Normal 10 2 10 2 2 6" xfId="3297" xr:uid="{00000000-0005-0000-0000-0000A20C0000}"/>
    <cellStyle name="Normal 10 2 10 2 2 7" xfId="3298" xr:uid="{00000000-0005-0000-0000-0000A30C0000}"/>
    <cellStyle name="Normal 10 2 10 2 2 8" xfId="3299" xr:uid="{00000000-0005-0000-0000-0000A40C0000}"/>
    <cellStyle name="Normal 10 2 10 2 2 9" xfId="3300" xr:uid="{00000000-0005-0000-0000-0000A50C0000}"/>
    <cellStyle name="Normal 10 2 10 2 20" xfId="3301" xr:uid="{00000000-0005-0000-0000-0000A60C0000}"/>
    <cellStyle name="Normal 10 2 10 2 20 10" xfId="3302" xr:uid="{00000000-0005-0000-0000-0000A70C0000}"/>
    <cellStyle name="Normal 10 2 10 2 20 11" xfId="3303" xr:uid="{00000000-0005-0000-0000-0000A80C0000}"/>
    <cellStyle name="Normal 10 2 10 2 20 12" xfId="3304" xr:uid="{00000000-0005-0000-0000-0000A90C0000}"/>
    <cellStyle name="Normal 10 2 10 2 20 13" xfId="3305" xr:uid="{00000000-0005-0000-0000-0000AA0C0000}"/>
    <cellStyle name="Normal 10 2 10 2 20 14" xfId="3306" xr:uid="{00000000-0005-0000-0000-0000AB0C0000}"/>
    <cellStyle name="Normal 10 2 10 2 20 2" xfId="3307" xr:uid="{00000000-0005-0000-0000-0000AC0C0000}"/>
    <cellStyle name="Normal 10 2 10 2 20 2 10" xfId="3308" xr:uid="{00000000-0005-0000-0000-0000AD0C0000}"/>
    <cellStyle name="Normal 10 2 10 2 20 2 2" xfId="3309" xr:uid="{00000000-0005-0000-0000-0000AE0C0000}"/>
    <cellStyle name="Normal 10 2 10 2 20 2 3" xfId="3310" xr:uid="{00000000-0005-0000-0000-0000AF0C0000}"/>
    <cellStyle name="Normal 10 2 10 2 20 2 4" xfId="3311" xr:uid="{00000000-0005-0000-0000-0000B00C0000}"/>
    <cellStyle name="Normal 10 2 10 2 20 2 5" xfId="3312" xr:uid="{00000000-0005-0000-0000-0000B10C0000}"/>
    <cellStyle name="Normal 10 2 10 2 20 2 6" xfId="3313" xr:uid="{00000000-0005-0000-0000-0000B20C0000}"/>
    <cellStyle name="Normal 10 2 10 2 20 2 7" xfId="3314" xr:uid="{00000000-0005-0000-0000-0000B30C0000}"/>
    <cellStyle name="Normal 10 2 10 2 20 2 8" xfId="3315" xr:uid="{00000000-0005-0000-0000-0000B40C0000}"/>
    <cellStyle name="Normal 10 2 10 2 20 2 9" xfId="3316" xr:uid="{00000000-0005-0000-0000-0000B50C0000}"/>
    <cellStyle name="Normal 10 2 10 2 20 3" xfId="3317" xr:uid="{00000000-0005-0000-0000-0000B60C0000}"/>
    <cellStyle name="Normal 10 2 10 2 20 3 10" xfId="3318" xr:uid="{00000000-0005-0000-0000-0000B70C0000}"/>
    <cellStyle name="Normal 10 2 10 2 20 3 2" xfId="3319" xr:uid="{00000000-0005-0000-0000-0000B80C0000}"/>
    <cellStyle name="Normal 10 2 10 2 20 3 3" xfId="3320" xr:uid="{00000000-0005-0000-0000-0000B90C0000}"/>
    <cellStyle name="Normal 10 2 10 2 20 3 4" xfId="3321" xr:uid="{00000000-0005-0000-0000-0000BA0C0000}"/>
    <cellStyle name="Normal 10 2 10 2 20 3 5" xfId="3322" xr:uid="{00000000-0005-0000-0000-0000BB0C0000}"/>
    <cellStyle name="Normal 10 2 10 2 20 3 6" xfId="3323" xr:uid="{00000000-0005-0000-0000-0000BC0C0000}"/>
    <cellStyle name="Normal 10 2 10 2 20 3 7" xfId="3324" xr:uid="{00000000-0005-0000-0000-0000BD0C0000}"/>
    <cellStyle name="Normal 10 2 10 2 20 3 8" xfId="3325" xr:uid="{00000000-0005-0000-0000-0000BE0C0000}"/>
    <cellStyle name="Normal 10 2 10 2 20 3 9" xfId="3326" xr:uid="{00000000-0005-0000-0000-0000BF0C0000}"/>
    <cellStyle name="Normal 10 2 10 2 20 4" xfId="3327" xr:uid="{00000000-0005-0000-0000-0000C00C0000}"/>
    <cellStyle name="Normal 10 2 10 2 20 4 10" xfId="3328" xr:uid="{00000000-0005-0000-0000-0000C10C0000}"/>
    <cellStyle name="Normal 10 2 10 2 20 4 2" xfId="3329" xr:uid="{00000000-0005-0000-0000-0000C20C0000}"/>
    <cellStyle name="Normal 10 2 10 2 20 4 3" xfId="3330" xr:uid="{00000000-0005-0000-0000-0000C30C0000}"/>
    <cellStyle name="Normal 10 2 10 2 20 4 4" xfId="3331" xr:uid="{00000000-0005-0000-0000-0000C40C0000}"/>
    <cellStyle name="Normal 10 2 10 2 20 4 5" xfId="3332" xr:uid="{00000000-0005-0000-0000-0000C50C0000}"/>
    <cellStyle name="Normal 10 2 10 2 20 4 6" xfId="3333" xr:uid="{00000000-0005-0000-0000-0000C60C0000}"/>
    <cellStyle name="Normal 10 2 10 2 20 4 7" xfId="3334" xr:uid="{00000000-0005-0000-0000-0000C70C0000}"/>
    <cellStyle name="Normal 10 2 10 2 20 4 8" xfId="3335" xr:uid="{00000000-0005-0000-0000-0000C80C0000}"/>
    <cellStyle name="Normal 10 2 10 2 20 4 9" xfId="3336" xr:uid="{00000000-0005-0000-0000-0000C90C0000}"/>
    <cellStyle name="Normal 10 2 10 2 20 5" xfId="3337" xr:uid="{00000000-0005-0000-0000-0000CA0C0000}"/>
    <cellStyle name="Normal 10 2 10 2 20 5 10" xfId="3338" xr:uid="{00000000-0005-0000-0000-0000CB0C0000}"/>
    <cellStyle name="Normal 10 2 10 2 20 5 2" xfId="3339" xr:uid="{00000000-0005-0000-0000-0000CC0C0000}"/>
    <cellStyle name="Normal 10 2 10 2 20 5 3" xfId="3340" xr:uid="{00000000-0005-0000-0000-0000CD0C0000}"/>
    <cellStyle name="Normal 10 2 10 2 20 5 4" xfId="3341" xr:uid="{00000000-0005-0000-0000-0000CE0C0000}"/>
    <cellStyle name="Normal 10 2 10 2 20 5 5" xfId="3342" xr:uid="{00000000-0005-0000-0000-0000CF0C0000}"/>
    <cellStyle name="Normal 10 2 10 2 20 5 6" xfId="3343" xr:uid="{00000000-0005-0000-0000-0000D00C0000}"/>
    <cellStyle name="Normal 10 2 10 2 20 5 7" xfId="3344" xr:uid="{00000000-0005-0000-0000-0000D10C0000}"/>
    <cellStyle name="Normal 10 2 10 2 20 5 8" xfId="3345" xr:uid="{00000000-0005-0000-0000-0000D20C0000}"/>
    <cellStyle name="Normal 10 2 10 2 20 5 9" xfId="3346" xr:uid="{00000000-0005-0000-0000-0000D30C0000}"/>
    <cellStyle name="Normal 10 2 10 2 20 6" xfId="3347" xr:uid="{00000000-0005-0000-0000-0000D40C0000}"/>
    <cellStyle name="Normal 10 2 10 2 20 7" xfId="3348" xr:uid="{00000000-0005-0000-0000-0000D50C0000}"/>
    <cellStyle name="Normal 10 2 10 2 20 8" xfId="3349" xr:uid="{00000000-0005-0000-0000-0000D60C0000}"/>
    <cellStyle name="Normal 10 2 10 2 20 9" xfId="3350" xr:uid="{00000000-0005-0000-0000-0000D70C0000}"/>
    <cellStyle name="Normal 10 2 10 2 21" xfId="3351" xr:uid="{00000000-0005-0000-0000-0000D80C0000}"/>
    <cellStyle name="Normal 10 2 10 2 21 10" xfId="3352" xr:uid="{00000000-0005-0000-0000-0000D90C0000}"/>
    <cellStyle name="Normal 10 2 10 2 21 11" xfId="3353" xr:uid="{00000000-0005-0000-0000-0000DA0C0000}"/>
    <cellStyle name="Normal 10 2 10 2 21 12" xfId="3354" xr:uid="{00000000-0005-0000-0000-0000DB0C0000}"/>
    <cellStyle name="Normal 10 2 10 2 21 13" xfId="3355" xr:uid="{00000000-0005-0000-0000-0000DC0C0000}"/>
    <cellStyle name="Normal 10 2 10 2 21 14" xfId="3356" xr:uid="{00000000-0005-0000-0000-0000DD0C0000}"/>
    <cellStyle name="Normal 10 2 10 2 21 2" xfId="3357" xr:uid="{00000000-0005-0000-0000-0000DE0C0000}"/>
    <cellStyle name="Normal 10 2 10 2 21 2 10" xfId="3358" xr:uid="{00000000-0005-0000-0000-0000DF0C0000}"/>
    <cellStyle name="Normal 10 2 10 2 21 2 2" xfId="3359" xr:uid="{00000000-0005-0000-0000-0000E00C0000}"/>
    <cellStyle name="Normal 10 2 10 2 21 2 3" xfId="3360" xr:uid="{00000000-0005-0000-0000-0000E10C0000}"/>
    <cellStyle name="Normal 10 2 10 2 21 2 4" xfId="3361" xr:uid="{00000000-0005-0000-0000-0000E20C0000}"/>
    <cellStyle name="Normal 10 2 10 2 21 2 5" xfId="3362" xr:uid="{00000000-0005-0000-0000-0000E30C0000}"/>
    <cellStyle name="Normal 10 2 10 2 21 2 6" xfId="3363" xr:uid="{00000000-0005-0000-0000-0000E40C0000}"/>
    <cellStyle name="Normal 10 2 10 2 21 2 7" xfId="3364" xr:uid="{00000000-0005-0000-0000-0000E50C0000}"/>
    <cellStyle name="Normal 10 2 10 2 21 2 8" xfId="3365" xr:uid="{00000000-0005-0000-0000-0000E60C0000}"/>
    <cellStyle name="Normal 10 2 10 2 21 2 9" xfId="3366" xr:uid="{00000000-0005-0000-0000-0000E70C0000}"/>
    <cellStyle name="Normal 10 2 10 2 21 3" xfId="3367" xr:uid="{00000000-0005-0000-0000-0000E80C0000}"/>
    <cellStyle name="Normal 10 2 10 2 21 3 10" xfId="3368" xr:uid="{00000000-0005-0000-0000-0000E90C0000}"/>
    <cellStyle name="Normal 10 2 10 2 21 3 2" xfId="3369" xr:uid="{00000000-0005-0000-0000-0000EA0C0000}"/>
    <cellStyle name="Normal 10 2 10 2 21 3 3" xfId="3370" xr:uid="{00000000-0005-0000-0000-0000EB0C0000}"/>
    <cellStyle name="Normal 10 2 10 2 21 3 4" xfId="3371" xr:uid="{00000000-0005-0000-0000-0000EC0C0000}"/>
    <cellStyle name="Normal 10 2 10 2 21 3 5" xfId="3372" xr:uid="{00000000-0005-0000-0000-0000ED0C0000}"/>
    <cellStyle name="Normal 10 2 10 2 21 3 6" xfId="3373" xr:uid="{00000000-0005-0000-0000-0000EE0C0000}"/>
    <cellStyle name="Normal 10 2 10 2 21 3 7" xfId="3374" xr:uid="{00000000-0005-0000-0000-0000EF0C0000}"/>
    <cellStyle name="Normal 10 2 10 2 21 3 8" xfId="3375" xr:uid="{00000000-0005-0000-0000-0000F00C0000}"/>
    <cellStyle name="Normal 10 2 10 2 21 3 9" xfId="3376" xr:uid="{00000000-0005-0000-0000-0000F10C0000}"/>
    <cellStyle name="Normal 10 2 10 2 21 4" xfId="3377" xr:uid="{00000000-0005-0000-0000-0000F20C0000}"/>
    <cellStyle name="Normal 10 2 10 2 21 4 10" xfId="3378" xr:uid="{00000000-0005-0000-0000-0000F30C0000}"/>
    <cellStyle name="Normal 10 2 10 2 21 4 2" xfId="3379" xr:uid="{00000000-0005-0000-0000-0000F40C0000}"/>
    <cellStyle name="Normal 10 2 10 2 21 4 3" xfId="3380" xr:uid="{00000000-0005-0000-0000-0000F50C0000}"/>
    <cellStyle name="Normal 10 2 10 2 21 4 4" xfId="3381" xr:uid="{00000000-0005-0000-0000-0000F60C0000}"/>
    <cellStyle name="Normal 10 2 10 2 21 4 5" xfId="3382" xr:uid="{00000000-0005-0000-0000-0000F70C0000}"/>
    <cellStyle name="Normal 10 2 10 2 21 4 6" xfId="3383" xr:uid="{00000000-0005-0000-0000-0000F80C0000}"/>
    <cellStyle name="Normal 10 2 10 2 21 4 7" xfId="3384" xr:uid="{00000000-0005-0000-0000-0000F90C0000}"/>
    <cellStyle name="Normal 10 2 10 2 21 4 8" xfId="3385" xr:uid="{00000000-0005-0000-0000-0000FA0C0000}"/>
    <cellStyle name="Normal 10 2 10 2 21 4 9" xfId="3386" xr:uid="{00000000-0005-0000-0000-0000FB0C0000}"/>
    <cellStyle name="Normal 10 2 10 2 21 5" xfId="3387" xr:uid="{00000000-0005-0000-0000-0000FC0C0000}"/>
    <cellStyle name="Normal 10 2 10 2 21 5 10" xfId="3388" xr:uid="{00000000-0005-0000-0000-0000FD0C0000}"/>
    <cellStyle name="Normal 10 2 10 2 21 5 2" xfId="3389" xr:uid="{00000000-0005-0000-0000-0000FE0C0000}"/>
    <cellStyle name="Normal 10 2 10 2 21 5 3" xfId="3390" xr:uid="{00000000-0005-0000-0000-0000FF0C0000}"/>
    <cellStyle name="Normal 10 2 10 2 21 5 4" xfId="3391" xr:uid="{00000000-0005-0000-0000-0000000D0000}"/>
    <cellStyle name="Normal 10 2 10 2 21 5 5" xfId="3392" xr:uid="{00000000-0005-0000-0000-0000010D0000}"/>
    <cellStyle name="Normal 10 2 10 2 21 5 6" xfId="3393" xr:uid="{00000000-0005-0000-0000-0000020D0000}"/>
    <cellStyle name="Normal 10 2 10 2 21 5 7" xfId="3394" xr:uid="{00000000-0005-0000-0000-0000030D0000}"/>
    <cellStyle name="Normal 10 2 10 2 21 5 8" xfId="3395" xr:uid="{00000000-0005-0000-0000-0000040D0000}"/>
    <cellStyle name="Normal 10 2 10 2 21 5 9" xfId="3396" xr:uid="{00000000-0005-0000-0000-0000050D0000}"/>
    <cellStyle name="Normal 10 2 10 2 21 6" xfId="3397" xr:uid="{00000000-0005-0000-0000-0000060D0000}"/>
    <cellStyle name="Normal 10 2 10 2 21 7" xfId="3398" xr:uid="{00000000-0005-0000-0000-0000070D0000}"/>
    <cellStyle name="Normal 10 2 10 2 21 8" xfId="3399" xr:uid="{00000000-0005-0000-0000-0000080D0000}"/>
    <cellStyle name="Normal 10 2 10 2 21 9" xfId="3400" xr:uid="{00000000-0005-0000-0000-0000090D0000}"/>
    <cellStyle name="Normal 10 2 10 2 22" xfId="3401" xr:uid="{00000000-0005-0000-0000-00000A0D0000}"/>
    <cellStyle name="Normal 10 2 10 2 22 10" xfId="3402" xr:uid="{00000000-0005-0000-0000-00000B0D0000}"/>
    <cellStyle name="Normal 10 2 10 2 22 11" xfId="3403" xr:uid="{00000000-0005-0000-0000-00000C0D0000}"/>
    <cellStyle name="Normal 10 2 10 2 22 12" xfId="3404" xr:uid="{00000000-0005-0000-0000-00000D0D0000}"/>
    <cellStyle name="Normal 10 2 10 2 22 13" xfId="3405" xr:uid="{00000000-0005-0000-0000-00000E0D0000}"/>
    <cellStyle name="Normal 10 2 10 2 22 14" xfId="3406" xr:uid="{00000000-0005-0000-0000-00000F0D0000}"/>
    <cellStyle name="Normal 10 2 10 2 22 2" xfId="3407" xr:uid="{00000000-0005-0000-0000-0000100D0000}"/>
    <cellStyle name="Normal 10 2 10 2 22 2 10" xfId="3408" xr:uid="{00000000-0005-0000-0000-0000110D0000}"/>
    <cellStyle name="Normal 10 2 10 2 22 2 2" xfId="3409" xr:uid="{00000000-0005-0000-0000-0000120D0000}"/>
    <cellStyle name="Normal 10 2 10 2 22 2 3" xfId="3410" xr:uid="{00000000-0005-0000-0000-0000130D0000}"/>
    <cellStyle name="Normal 10 2 10 2 22 2 4" xfId="3411" xr:uid="{00000000-0005-0000-0000-0000140D0000}"/>
    <cellStyle name="Normal 10 2 10 2 22 2 5" xfId="3412" xr:uid="{00000000-0005-0000-0000-0000150D0000}"/>
    <cellStyle name="Normal 10 2 10 2 22 2 6" xfId="3413" xr:uid="{00000000-0005-0000-0000-0000160D0000}"/>
    <cellStyle name="Normal 10 2 10 2 22 2 7" xfId="3414" xr:uid="{00000000-0005-0000-0000-0000170D0000}"/>
    <cellStyle name="Normal 10 2 10 2 22 2 8" xfId="3415" xr:uid="{00000000-0005-0000-0000-0000180D0000}"/>
    <cellStyle name="Normal 10 2 10 2 22 2 9" xfId="3416" xr:uid="{00000000-0005-0000-0000-0000190D0000}"/>
    <cellStyle name="Normal 10 2 10 2 22 3" xfId="3417" xr:uid="{00000000-0005-0000-0000-00001A0D0000}"/>
    <cellStyle name="Normal 10 2 10 2 22 3 10" xfId="3418" xr:uid="{00000000-0005-0000-0000-00001B0D0000}"/>
    <cellStyle name="Normal 10 2 10 2 22 3 2" xfId="3419" xr:uid="{00000000-0005-0000-0000-00001C0D0000}"/>
    <cellStyle name="Normal 10 2 10 2 22 3 3" xfId="3420" xr:uid="{00000000-0005-0000-0000-00001D0D0000}"/>
    <cellStyle name="Normal 10 2 10 2 22 3 4" xfId="3421" xr:uid="{00000000-0005-0000-0000-00001E0D0000}"/>
    <cellStyle name="Normal 10 2 10 2 22 3 5" xfId="3422" xr:uid="{00000000-0005-0000-0000-00001F0D0000}"/>
    <cellStyle name="Normal 10 2 10 2 22 3 6" xfId="3423" xr:uid="{00000000-0005-0000-0000-0000200D0000}"/>
    <cellStyle name="Normal 10 2 10 2 22 3 7" xfId="3424" xr:uid="{00000000-0005-0000-0000-0000210D0000}"/>
    <cellStyle name="Normal 10 2 10 2 22 3 8" xfId="3425" xr:uid="{00000000-0005-0000-0000-0000220D0000}"/>
    <cellStyle name="Normal 10 2 10 2 22 3 9" xfId="3426" xr:uid="{00000000-0005-0000-0000-0000230D0000}"/>
    <cellStyle name="Normal 10 2 10 2 22 4" xfId="3427" xr:uid="{00000000-0005-0000-0000-0000240D0000}"/>
    <cellStyle name="Normal 10 2 10 2 22 4 10" xfId="3428" xr:uid="{00000000-0005-0000-0000-0000250D0000}"/>
    <cellStyle name="Normal 10 2 10 2 22 4 2" xfId="3429" xr:uid="{00000000-0005-0000-0000-0000260D0000}"/>
    <cellStyle name="Normal 10 2 10 2 22 4 3" xfId="3430" xr:uid="{00000000-0005-0000-0000-0000270D0000}"/>
    <cellStyle name="Normal 10 2 10 2 22 4 4" xfId="3431" xr:uid="{00000000-0005-0000-0000-0000280D0000}"/>
    <cellStyle name="Normal 10 2 10 2 22 4 5" xfId="3432" xr:uid="{00000000-0005-0000-0000-0000290D0000}"/>
    <cellStyle name="Normal 10 2 10 2 22 4 6" xfId="3433" xr:uid="{00000000-0005-0000-0000-00002A0D0000}"/>
    <cellStyle name="Normal 10 2 10 2 22 4 7" xfId="3434" xr:uid="{00000000-0005-0000-0000-00002B0D0000}"/>
    <cellStyle name="Normal 10 2 10 2 22 4 8" xfId="3435" xr:uid="{00000000-0005-0000-0000-00002C0D0000}"/>
    <cellStyle name="Normal 10 2 10 2 22 4 9" xfId="3436" xr:uid="{00000000-0005-0000-0000-00002D0D0000}"/>
    <cellStyle name="Normal 10 2 10 2 22 5" xfId="3437" xr:uid="{00000000-0005-0000-0000-00002E0D0000}"/>
    <cellStyle name="Normal 10 2 10 2 22 5 10" xfId="3438" xr:uid="{00000000-0005-0000-0000-00002F0D0000}"/>
    <cellStyle name="Normal 10 2 10 2 22 5 2" xfId="3439" xr:uid="{00000000-0005-0000-0000-0000300D0000}"/>
    <cellStyle name="Normal 10 2 10 2 22 5 3" xfId="3440" xr:uid="{00000000-0005-0000-0000-0000310D0000}"/>
    <cellStyle name="Normal 10 2 10 2 22 5 4" xfId="3441" xr:uid="{00000000-0005-0000-0000-0000320D0000}"/>
    <cellStyle name="Normal 10 2 10 2 22 5 5" xfId="3442" xr:uid="{00000000-0005-0000-0000-0000330D0000}"/>
    <cellStyle name="Normal 10 2 10 2 22 5 6" xfId="3443" xr:uid="{00000000-0005-0000-0000-0000340D0000}"/>
    <cellStyle name="Normal 10 2 10 2 22 5 7" xfId="3444" xr:uid="{00000000-0005-0000-0000-0000350D0000}"/>
    <cellStyle name="Normal 10 2 10 2 22 5 8" xfId="3445" xr:uid="{00000000-0005-0000-0000-0000360D0000}"/>
    <cellStyle name="Normal 10 2 10 2 22 5 9" xfId="3446" xr:uid="{00000000-0005-0000-0000-0000370D0000}"/>
    <cellStyle name="Normal 10 2 10 2 22 6" xfId="3447" xr:uid="{00000000-0005-0000-0000-0000380D0000}"/>
    <cellStyle name="Normal 10 2 10 2 22 7" xfId="3448" xr:uid="{00000000-0005-0000-0000-0000390D0000}"/>
    <cellStyle name="Normal 10 2 10 2 22 8" xfId="3449" xr:uid="{00000000-0005-0000-0000-00003A0D0000}"/>
    <cellStyle name="Normal 10 2 10 2 22 9" xfId="3450" xr:uid="{00000000-0005-0000-0000-00003B0D0000}"/>
    <cellStyle name="Normal 10 2 10 2 23" xfId="3451" xr:uid="{00000000-0005-0000-0000-00003C0D0000}"/>
    <cellStyle name="Normal 10 2 10 2 23 10" xfId="3452" xr:uid="{00000000-0005-0000-0000-00003D0D0000}"/>
    <cellStyle name="Normal 10 2 10 2 23 11" xfId="3453" xr:uid="{00000000-0005-0000-0000-00003E0D0000}"/>
    <cellStyle name="Normal 10 2 10 2 23 12" xfId="3454" xr:uid="{00000000-0005-0000-0000-00003F0D0000}"/>
    <cellStyle name="Normal 10 2 10 2 23 13" xfId="3455" xr:uid="{00000000-0005-0000-0000-0000400D0000}"/>
    <cellStyle name="Normal 10 2 10 2 23 14" xfId="3456" xr:uid="{00000000-0005-0000-0000-0000410D0000}"/>
    <cellStyle name="Normal 10 2 10 2 23 2" xfId="3457" xr:uid="{00000000-0005-0000-0000-0000420D0000}"/>
    <cellStyle name="Normal 10 2 10 2 23 2 10" xfId="3458" xr:uid="{00000000-0005-0000-0000-0000430D0000}"/>
    <cellStyle name="Normal 10 2 10 2 23 2 2" xfId="3459" xr:uid="{00000000-0005-0000-0000-0000440D0000}"/>
    <cellStyle name="Normal 10 2 10 2 23 2 3" xfId="3460" xr:uid="{00000000-0005-0000-0000-0000450D0000}"/>
    <cellStyle name="Normal 10 2 10 2 23 2 4" xfId="3461" xr:uid="{00000000-0005-0000-0000-0000460D0000}"/>
    <cellStyle name="Normal 10 2 10 2 23 2 5" xfId="3462" xr:uid="{00000000-0005-0000-0000-0000470D0000}"/>
    <cellStyle name="Normal 10 2 10 2 23 2 6" xfId="3463" xr:uid="{00000000-0005-0000-0000-0000480D0000}"/>
    <cellStyle name="Normal 10 2 10 2 23 2 7" xfId="3464" xr:uid="{00000000-0005-0000-0000-0000490D0000}"/>
    <cellStyle name="Normal 10 2 10 2 23 2 8" xfId="3465" xr:uid="{00000000-0005-0000-0000-00004A0D0000}"/>
    <cellStyle name="Normal 10 2 10 2 23 2 9" xfId="3466" xr:uid="{00000000-0005-0000-0000-00004B0D0000}"/>
    <cellStyle name="Normal 10 2 10 2 23 3" xfId="3467" xr:uid="{00000000-0005-0000-0000-00004C0D0000}"/>
    <cellStyle name="Normal 10 2 10 2 23 3 10" xfId="3468" xr:uid="{00000000-0005-0000-0000-00004D0D0000}"/>
    <cellStyle name="Normal 10 2 10 2 23 3 2" xfId="3469" xr:uid="{00000000-0005-0000-0000-00004E0D0000}"/>
    <cellStyle name="Normal 10 2 10 2 23 3 3" xfId="3470" xr:uid="{00000000-0005-0000-0000-00004F0D0000}"/>
    <cellStyle name="Normal 10 2 10 2 23 3 4" xfId="3471" xr:uid="{00000000-0005-0000-0000-0000500D0000}"/>
    <cellStyle name="Normal 10 2 10 2 23 3 5" xfId="3472" xr:uid="{00000000-0005-0000-0000-0000510D0000}"/>
    <cellStyle name="Normal 10 2 10 2 23 3 6" xfId="3473" xr:uid="{00000000-0005-0000-0000-0000520D0000}"/>
    <cellStyle name="Normal 10 2 10 2 23 3 7" xfId="3474" xr:uid="{00000000-0005-0000-0000-0000530D0000}"/>
    <cellStyle name="Normal 10 2 10 2 23 3 8" xfId="3475" xr:uid="{00000000-0005-0000-0000-0000540D0000}"/>
    <cellStyle name="Normal 10 2 10 2 23 3 9" xfId="3476" xr:uid="{00000000-0005-0000-0000-0000550D0000}"/>
    <cellStyle name="Normal 10 2 10 2 23 4" xfId="3477" xr:uid="{00000000-0005-0000-0000-0000560D0000}"/>
    <cellStyle name="Normal 10 2 10 2 23 4 10" xfId="3478" xr:uid="{00000000-0005-0000-0000-0000570D0000}"/>
    <cellStyle name="Normal 10 2 10 2 23 4 2" xfId="3479" xr:uid="{00000000-0005-0000-0000-0000580D0000}"/>
    <cellStyle name="Normal 10 2 10 2 23 4 3" xfId="3480" xr:uid="{00000000-0005-0000-0000-0000590D0000}"/>
    <cellStyle name="Normal 10 2 10 2 23 4 4" xfId="3481" xr:uid="{00000000-0005-0000-0000-00005A0D0000}"/>
    <cellStyle name="Normal 10 2 10 2 23 4 5" xfId="3482" xr:uid="{00000000-0005-0000-0000-00005B0D0000}"/>
    <cellStyle name="Normal 10 2 10 2 23 4 6" xfId="3483" xr:uid="{00000000-0005-0000-0000-00005C0D0000}"/>
    <cellStyle name="Normal 10 2 10 2 23 4 7" xfId="3484" xr:uid="{00000000-0005-0000-0000-00005D0D0000}"/>
    <cellStyle name="Normal 10 2 10 2 23 4 8" xfId="3485" xr:uid="{00000000-0005-0000-0000-00005E0D0000}"/>
    <cellStyle name="Normal 10 2 10 2 23 4 9" xfId="3486" xr:uid="{00000000-0005-0000-0000-00005F0D0000}"/>
    <cellStyle name="Normal 10 2 10 2 23 5" xfId="3487" xr:uid="{00000000-0005-0000-0000-0000600D0000}"/>
    <cellStyle name="Normal 10 2 10 2 23 5 10" xfId="3488" xr:uid="{00000000-0005-0000-0000-0000610D0000}"/>
    <cellStyle name="Normal 10 2 10 2 23 5 2" xfId="3489" xr:uid="{00000000-0005-0000-0000-0000620D0000}"/>
    <cellStyle name="Normal 10 2 10 2 23 5 3" xfId="3490" xr:uid="{00000000-0005-0000-0000-0000630D0000}"/>
    <cellStyle name="Normal 10 2 10 2 23 5 4" xfId="3491" xr:uid="{00000000-0005-0000-0000-0000640D0000}"/>
    <cellStyle name="Normal 10 2 10 2 23 5 5" xfId="3492" xr:uid="{00000000-0005-0000-0000-0000650D0000}"/>
    <cellStyle name="Normal 10 2 10 2 23 5 6" xfId="3493" xr:uid="{00000000-0005-0000-0000-0000660D0000}"/>
    <cellStyle name="Normal 10 2 10 2 23 5 7" xfId="3494" xr:uid="{00000000-0005-0000-0000-0000670D0000}"/>
    <cellStyle name="Normal 10 2 10 2 23 5 8" xfId="3495" xr:uid="{00000000-0005-0000-0000-0000680D0000}"/>
    <cellStyle name="Normal 10 2 10 2 23 5 9" xfId="3496" xr:uid="{00000000-0005-0000-0000-0000690D0000}"/>
    <cellStyle name="Normal 10 2 10 2 23 6" xfId="3497" xr:uid="{00000000-0005-0000-0000-00006A0D0000}"/>
    <cellStyle name="Normal 10 2 10 2 23 7" xfId="3498" xr:uid="{00000000-0005-0000-0000-00006B0D0000}"/>
    <cellStyle name="Normal 10 2 10 2 23 8" xfId="3499" xr:uid="{00000000-0005-0000-0000-00006C0D0000}"/>
    <cellStyle name="Normal 10 2 10 2 23 9" xfId="3500" xr:uid="{00000000-0005-0000-0000-00006D0D0000}"/>
    <cellStyle name="Normal 10 2 10 2 24" xfId="3501" xr:uid="{00000000-0005-0000-0000-00006E0D0000}"/>
    <cellStyle name="Normal 10 2 10 2 24 10" xfId="3502" xr:uid="{00000000-0005-0000-0000-00006F0D0000}"/>
    <cellStyle name="Normal 10 2 10 2 24 11" xfId="3503" xr:uid="{00000000-0005-0000-0000-0000700D0000}"/>
    <cellStyle name="Normal 10 2 10 2 24 12" xfId="3504" xr:uid="{00000000-0005-0000-0000-0000710D0000}"/>
    <cellStyle name="Normal 10 2 10 2 24 13" xfId="3505" xr:uid="{00000000-0005-0000-0000-0000720D0000}"/>
    <cellStyle name="Normal 10 2 10 2 24 14" xfId="3506" xr:uid="{00000000-0005-0000-0000-0000730D0000}"/>
    <cellStyle name="Normal 10 2 10 2 24 2" xfId="3507" xr:uid="{00000000-0005-0000-0000-0000740D0000}"/>
    <cellStyle name="Normal 10 2 10 2 24 2 10" xfId="3508" xr:uid="{00000000-0005-0000-0000-0000750D0000}"/>
    <cellStyle name="Normal 10 2 10 2 24 2 2" xfId="3509" xr:uid="{00000000-0005-0000-0000-0000760D0000}"/>
    <cellStyle name="Normal 10 2 10 2 24 2 3" xfId="3510" xr:uid="{00000000-0005-0000-0000-0000770D0000}"/>
    <cellStyle name="Normal 10 2 10 2 24 2 4" xfId="3511" xr:uid="{00000000-0005-0000-0000-0000780D0000}"/>
    <cellStyle name="Normal 10 2 10 2 24 2 5" xfId="3512" xr:uid="{00000000-0005-0000-0000-0000790D0000}"/>
    <cellStyle name="Normal 10 2 10 2 24 2 6" xfId="3513" xr:uid="{00000000-0005-0000-0000-00007A0D0000}"/>
    <cellStyle name="Normal 10 2 10 2 24 2 7" xfId="3514" xr:uid="{00000000-0005-0000-0000-00007B0D0000}"/>
    <cellStyle name="Normal 10 2 10 2 24 2 8" xfId="3515" xr:uid="{00000000-0005-0000-0000-00007C0D0000}"/>
    <cellStyle name="Normal 10 2 10 2 24 2 9" xfId="3516" xr:uid="{00000000-0005-0000-0000-00007D0D0000}"/>
    <cellStyle name="Normal 10 2 10 2 24 3" xfId="3517" xr:uid="{00000000-0005-0000-0000-00007E0D0000}"/>
    <cellStyle name="Normal 10 2 10 2 24 3 10" xfId="3518" xr:uid="{00000000-0005-0000-0000-00007F0D0000}"/>
    <cellStyle name="Normal 10 2 10 2 24 3 2" xfId="3519" xr:uid="{00000000-0005-0000-0000-0000800D0000}"/>
    <cellStyle name="Normal 10 2 10 2 24 3 3" xfId="3520" xr:uid="{00000000-0005-0000-0000-0000810D0000}"/>
    <cellStyle name="Normal 10 2 10 2 24 3 4" xfId="3521" xr:uid="{00000000-0005-0000-0000-0000820D0000}"/>
    <cellStyle name="Normal 10 2 10 2 24 3 5" xfId="3522" xr:uid="{00000000-0005-0000-0000-0000830D0000}"/>
    <cellStyle name="Normal 10 2 10 2 24 3 6" xfId="3523" xr:uid="{00000000-0005-0000-0000-0000840D0000}"/>
    <cellStyle name="Normal 10 2 10 2 24 3 7" xfId="3524" xr:uid="{00000000-0005-0000-0000-0000850D0000}"/>
    <cellStyle name="Normal 10 2 10 2 24 3 8" xfId="3525" xr:uid="{00000000-0005-0000-0000-0000860D0000}"/>
    <cellStyle name="Normal 10 2 10 2 24 3 9" xfId="3526" xr:uid="{00000000-0005-0000-0000-0000870D0000}"/>
    <cellStyle name="Normal 10 2 10 2 24 4" xfId="3527" xr:uid="{00000000-0005-0000-0000-0000880D0000}"/>
    <cellStyle name="Normal 10 2 10 2 24 4 10" xfId="3528" xr:uid="{00000000-0005-0000-0000-0000890D0000}"/>
    <cellStyle name="Normal 10 2 10 2 24 4 2" xfId="3529" xr:uid="{00000000-0005-0000-0000-00008A0D0000}"/>
    <cellStyle name="Normal 10 2 10 2 24 4 3" xfId="3530" xr:uid="{00000000-0005-0000-0000-00008B0D0000}"/>
    <cellStyle name="Normal 10 2 10 2 24 4 4" xfId="3531" xr:uid="{00000000-0005-0000-0000-00008C0D0000}"/>
    <cellStyle name="Normal 10 2 10 2 24 4 5" xfId="3532" xr:uid="{00000000-0005-0000-0000-00008D0D0000}"/>
    <cellStyle name="Normal 10 2 10 2 24 4 6" xfId="3533" xr:uid="{00000000-0005-0000-0000-00008E0D0000}"/>
    <cellStyle name="Normal 10 2 10 2 24 4 7" xfId="3534" xr:uid="{00000000-0005-0000-0000-00008F0D0000}"/>
    <cellStyle name="Normal 10 2 10 2 24 4 8" xfId="3535" xr:uid="{00000000-0005-0000-0000-0000900D0000}"/>
    <cellStyle name="Normal 10 2 10 2 24 4 9" xfId="3536" xr:uid="{00000000-0005-0000-0000-0000910D0000}"/>
    <cellStyle name="Normal 10 2 10 2 24 5" xfId="3537" xr:uid="{00000000-0005-0000-0000-0000920D0000}"/>
    <cellStyle name="Normal 10 2 10 2 24 5 10" xfId="3538" xr:uid="{00000000-0005-0000-0000-0000930D0000}"/>
    <cellStyle name="Normal 10 2 10 2 24 5 2" xfId="3539" xr:uid="{00000000-0005-0000-0000-0000940D0000}"/>
    <cellStyle name="Normal 10 2 10 2 24 5 3" xfId="3540" xr:uid="{00000000-0005-0000-0000-0000950D0000}"/>
    <cellStyle name="Normal 10 2 10 2 24 5 4" xfId="3541" xr:uid="{00000000-0005-0000-0000-0000960D0000}"/>
    <cellStyle name="Normal 10 2 10 2 24 5 5" xfId="3542" xr:uid="{00000000-0005-0000-0000-0000970D0000}"/>
    <cellStyle name="Normal 10 2 10 2 24 5 6" xfId="3543" xr:uid="{00000000-0005-0000-0000-0000980D0000}"/>
    <cellStyle name="Normal 10 2 10 2 24 5 7" xfId="3544" xr:uid="{00000000-0005-0000-0000-0000990D0000}"/>
    <cellStyle name="Normal 10 2 10 2 24 5 8" xfId="3545" xr:uid="{00000000-0005-0000-0000-00009A0D0000}"/>
    <cellStyle name="Normal 10 2 10 2 24 5 9" xfId="3546" xr:uid="{00000000-0005-0000-0000-00009B0D0000}"/>
    <cellStyle name="Normal 10 2 10 2 24 6" xfId="3547" xr:uid="{00000000-0005-0000-0000-00009C0D0000}"/>
    <cellStyle name="Normal 10 2 10 2 24 7" xfId="3548" xr:uid="{00000000-0005-0000-0000-00009D0D0000}"/>
    <cellStyle name="Normal 10 2 10 2 24 8" xfId="3549" xr:uid="{00000000-0005-0000-0000-00009E0D0000}"/>
    <cellStyle name="Normal 10 2 10 2 24 9" xfId="3550" xr:uid="{00000000-0005-0000-0000-00009F0D0000}"/>
    <cellStyle name="Normal 10 2 10 2 25" xfId="3551" xr:uid="{00000000-0005-0000-0000-0000A00D0000}"/>
    <cellStyle name="Normal 10 2 10 2 25 10" xfId="3552" xr:uid="{00000000-0005-0000-0000-0000A10D0000}"/>
    <cellStyle name="Normal 10 2 10 2 25 11" xfId="3553" xr:uid="{00000000-0005-0000-0000-0000A20D0000}"/>
    <cellStyle name="Normal 10 2 10 2 25 12" xfId="3554" xr:uid="{00000000-0005-0000-0000-0000A30D0000}"/>
    <cellStyle name="Normal 10 2 10 2 25 13" xfId="3555" xr:uid="{00000000-0005-0000-0000-0000A40D0000}"/>
    <cellStyle name="Normal 10 2 10 2 25 14" xfId="3556" xr:uid="{00000000-0005-0000-0000-0000A50D0000}"/>
    <cellStyle name="Normal 10 2 10 2 25 2" xfId="3557" xr:uid="{00000000-0005-0000-0000-0000A60D0000}"/>
    <cellStyle name="Normal 10 2 10 2 25 2 10" xfId="3558" xr:uid="{00000000-0005-0000-0000-0000A70D0000}"/>
    <cellStyle name="Normal 10 2 10 2 25 2 2" xfId="3559" xr:uid="{00000000-0005-0000-0000-0000A80D0000}"/>
    <cellStyle name="Normal 10 2 10 2 25 2 3" xfId="3560" xr:uid="{00000000-0005-0000-0000-0000A90D0000}"/>
    <cellStyle name="Normal 10 2 10 2 25 2 4" xfId="3561" xr:uid="{00000000-0005-0000-0000-0000AA0D0000}"/>
    <cellStyle name="Normal 10 2 10 2 25 2 5" xfId="3562" xr:uid="{00000000-0005-0000-0000-0000AB0D0000}"/>
    <cellStyle name="Normal 10 2 10 2 25 2 6" xfId="3563" xr:uid="{00000000-0005-0000-0000-0000AC0D0000}"/>
    <cellStyle name="Normal 10 2 10 2 25 2 7" xfId="3564" xr:uid="{00000000-0005-0000-0000-0000AD0D0000}"/>
    <cellStyle name="Normal 10 2 10 2 25 2 8" xfId="3565" xr:uid="{00000000-0005-0000-0000-0000AE0D0000}"/>
    <cellStyle name="Normal 10 2 10 2 25 2 9" xfId="3566" xr:uid="{00000000-0005-0000-0000-0000AF0D0000}"/>
    <cellStyle name="Normal 10 2 10 2 25 3" xfId="3567" xr:uid="{00000000-0005-0000-0000-0000B00D0000}"/>
    <cellStyle name="Normal 10 2 10 2 25 3 10" xfId="3568" xr:uid="{00000000-0005-0000-0000-0000B10D0000}"/>
    <cellStyle name="Normal 10 2 10 2 25 3 2" xfId="3569" xr:uid="{00000000-0005-0000-0000-0000B20D0000}"/>
    <cellStyle name="Normal 10 2 10 2 25 3 3" xfId="3570" xr:uid="{00000000-0005-0000-0000-0000B30D0000}"/>
    <cellStyle name="Normal 10 2 10 2 25 3 4" xfId="3571" xr:uid="{00000000-0005-0000-0000-0000B40D0000}"/>
    <cellStyle name="Normal 10 2 10 2 25 3 5" xfId="3572" xr:uid="{00000000-0005-0000-0000-0000B50D0000}"/>
    <cellStyle name="Normal 10 2 10 2 25 3 6" xfId="3573" xr:uid="{00000000-0005-0000-0000-0000B60D0000}"/>
    <cellStyle name="Normal 10 2 10 2 25 3 7" xfId="3574" xr:uid="{00000000-0005-0000-0000-0000B70D0000}"/>
    <cellStyle name="Normal 10 2 10 2 25 3 8" xfId="3575" xr:uid="{00000000-0005-0000-0000-0000B80D0000}"/>
    <cellStyle name="Normal 10 2 10 2 25 3 9" xfId="3576" xr:uid="{00000000-0005-0000-0000-0000B90D0000}"/>
    <cellStyle name="Normal 10 2 10 2 25 4" xfId="3577" xr:uid="{00000000-0005-0000-0000-0000BA0D0000}"/>
    <cellStyle name="Normal 10 2 10 2 25 4 10" xfId="3578" xr:uid="{00000000-0005-0000-0000-0000BB0D0000}"/>
    <cellStyle name="Normal 10 2 10 2 25 4 2" xfId="3579" xr:uid="{00000000-0005-0000-0000-0000BC0D0000}"/>
    <cellStyle name="Normal 10 2 10 2 25 4 3" xfId="3580" xr:uid="{00000000-0005-0000-0000-0000BD0D0000}"/>
    <cellStyle name="Normal 10 2 10 2 25 4 4" xfId="3581" xr:uid="{00000000-0005-0000-0000-0000BE0D0000}"/>
    <cellStyle name="Normal 10 2 10 2 25 4 5" xfId="3582" xr:uid="{00000000-0005-0000-0000-0000BF0D0000}"/>
    <cellStyle name="Normal 10 2 10 2 25 4 6" xfId="3583" xr:uid="{00000000-0005-0000-0000-0000C00D0000}"/>
    <cellStyle name="Normal 10 2 10 2 25 4 7" xfId="3584" xr:uid="{00000000-0005-0000-0000-0000C10D0000}"/>
    <cellStyle name="Normal 10 2 10 2 25 4 8" xfId="3585" xr:uid="{00000000-0005-0000-0000-0000C20D0000}"/>
    <cellStyle name="Normal 10 2 10 2 25 4 9" xfId="3586" xr:uid="{00000000-0005-0000-0000-0000C30D0000}"/>
    <cellStyle name="Normal 10 2 10 2 25 5" xfId="3587" xr:uid="{00000000-0005-0000-0000-0000C40D0000}"/>
    <cellStyle name="Normal 10 2 10 2 25 5 10" xfId="3588" xr:uid="{00000000-0005-0000-0000-0000C50D0000}"/>
    <cellStyle name="Normal 10 2 10 2 25 5 2" xfId="3589" xr:uid="{00000000-0005-0000-0000-0000C60D0000}"/>
    <cellStyle name="Normal 10 2 10 2 25 5 3" xfId="3590" xr:uid="{00000000-0005-0000-0000-0000C70D0000}"/>
    <cellStyle name="Normal 10 2 10 2 25 5 4" xfId="3591" xr:uid="{00000000-0005-0000-0000-0000C80D0000}"/>
    <cellStyle name="Normal 10 2 10 2 25 5 5" xfId="3592" xr:uid="{00000000-0005-0000-0000-0000C90D0000}"/>
    <cellStyle name="Normal 10 2 10 2 25 5 6" xfId="3593" xr:uid="{00000000-0005-0000-0000-0000CA0D0000}"/>
    <cellStyle name="Normal 10 2 10 2 25 5 7" xfId="3594" xr:uid="{00000000-0005-0000-0000-0000CB0D0000}"/>
    <cellStyle name="Normal 10 2 10 2 25 5 8" xfId="3595" xr:uid="{00000000-0005-0000-0000-0000CC0D0000}"/>
    <cellStyle name="Normal 10 2 10 2 25 5 9" xfId="3596" xr:uid="{00000000-0005-0000-0000-0000CD0D0000}"/>
    <cellStyle name="Normal 10 2 10 2 25 6" xfId="3597" xr:uid="{00000000-0005-0000-0000-0000CE0D0000}"/>
    <cellStyle name="Normal 10 2 10 2 25 7" xfId="3598" xr:uid="{00000000-0005-0000-0000-0000CF0D0000}"/>
    <cellStyle name="Normal 10 2 10 2 25 8" xfId="3599" xr:uid="{00000000-0005-0000-0000-0000D00D0000}"/>
    <cellStyle name="Normal 10 2 10 2 25 9" xfId="3600" xr:uid="{00000000-0005-0000-0000-0000D10D0000}"/>
    <cellStyle name="Normal 10 2 10 2 26" xfId="3601" xr:uid="{00000000-0005-0000-0000-0000D20D0000}"/>
    <cellStyle name="Normal 10 2 10 2 26 10" xfId="3602" xr:uid="{00000000-0005-0000-0000-0000D30D0000}"/>
    <cellStyle name="Normal 10 2 10 2 26 11" xfId="3603" xr:uid="{00000000-0005-0000-0000-0000D40D0000}"/>
    <cellStyle name="Normal 10 2 10 2 26 12" xfId="3604" xr:uid="{00000000-0005-0000-0000-0000D50D0000}"/>
    <cellStyle name="Normal 10 2 10 2 26 13" xfId="3605" xr:uid="{00000000-0005-0000-0000-0000D60D0000}"/>
    <cellStyle name="Normal 10 2 10 2 26 14" xfId="3606" xr:uid="{00000000-0005-0000-0000-0000D70D0000}"/>
    <cellStyle name="Normal 10 2 10 2 26 2" xfId="3607" xr:uid="{00000000-0005-0000-0000-0000D80D0000}"/>
    <cellStyle name="Normal 10 2 10 2 26 2 10" xfId="3608" xr:uid="{00000000-0005-0000-0000-0000D90D0000}"/>
    <cellStyle name="Normal 10 2 10 2 26 2 2" xfId="3609" xr:uid="{00000000-0005-0000-0000-0000DA0D0000}"/>
    <cellStyle name="Normal 10 2 10 2 26 2 3" xfId="3610" xr:uid="{00000000-0005-0000-0000-0000DB0D0000}"/>
    <cellStyle name="Normal 10 2 10 2 26 2 4" xfId="3611" xr:uid="{00000000-0005-0000-0000-0000DC0D0000}"/>
    <cellStyle name="Normal 10 2 10 2 26 2 5" xfId="3612" xr:uid="{00000000-0005-0000-0000-0000DD0D0000}"/>
    <cellStyle name="Normal 10 2 10 2 26 2 6" xfId="3613" xr:uid="{00000000-0005-0000-0000-0000DE0D0000}"/>
    <cellStyle name="Normal 10 2 10 2 26 2 7" xfId="3614" xr:uid="{00000000-0005-0000-0000-0000DF0D0000}"/>
    <cellStyle name="Normal 10 2 10 2 26 2 8" xfId="3615" xr:uid="{00000000-0005-0000-0000-0000E00D0000}"/>
    <cellStyle name="Normal 10 2 10 2 26 2 9" xfId="3616" xr:uid="{00000000-0005-0000-0000-0000E10D0000}"/>
    <cellStyle name="Normal 10 2 10 2 26 3" xfId="3617" xr:uid="{00000000-0005-0000-0000-0000E20D0000}"/>
    <cellStyle name="Normal 10 2 10 2 26 3 10" xfId="3618" xr:uid="{00000000-0005-0000-0000-0000E30D0000}"/>
    <cellStyle name="Normal 10 2 10 2 26 3 2" xfId="3619" xr:uid="{00000000-0005-0000-0000-0000E40D0000}"/>
    <cellStyle name="Normal 10 2 10 2 26 3 3" xfId="3620" xr:uid="{00000000-0005-0000-0000-0000E50D0000}"/>
    <cellStyle name="Normal 10 2 10 2 26 3 4" xfId="3621" xr:uid="{00000000-0005-0000-0000-0000E60D0000}"/>
    <cellStyle name="Normal 10 2 10 2 26 3 5" xfId="3622" xr:uid="{00000000-0005-0000-0000-0000E70D0000}"/>
    <cellStyle name="Normal 10 2 10 2 26 3 6" xfId="3623" xr:uid="{00000000-0005-0000-0000-0000E80D0000}"/>
    <cellStyle name="Normal 10 2 10 2 26 3 7" xfId="3624" xr:uid="{00000000-0005-0000-0000-0000E90D0000}"/>
    <cellStyle name="Normal 10 2 10 2 26 3 8" xfId="3625" xr:uid="{00000000-0005-0000-0000-0000EA0D0000}"/>
    <cellStyle name="Normal 10 2 10 2 26 3 9" xfId="3626" xr:uid="{00000000-0005-0000-0000-0000EB0D0000}"/>
    <cellStyle name="Normal 10 2 10 2 26 4" xfId="3627" xr:uid="{00000000-0005-0000-0000-0000EC0D0000}"/>
    <cellStyle name="Normal 10 2 10 2 26 4 10" xfId="3628" xr:uid="{00000000-0005-0000-0000-0000ED0D0000}"/>
    <cellStyle name="Normal 10 2 10 2 26 4 2" xfId="3629" xr:uid="{00000000-0005-0000-0000-0000EE0D0000}"/>
    <cellStyle name="Normal 10 2 10 2 26 4 3" xfId="3630" xr:uid="{00000000-0005-0000-0000-0000EF0D0000}"/>
    <cellStyle name="Normal 10 2 10 2 26 4 4" xfId="3631" xr:uid="{00000000-0005-0000-0000-0000F00D0000}"/>
    <cellStyle name="Normal 10 2 10 2 26 4 5" xfId="3632" xr:uid="{00000000-0005-0000-0000-0000F10D0000}"/>
    <cellStyle name="Normal 10 2 10 2 26 4 6" xfId="3633" xr:uid="{00000000-0005-0000-0000-0000F20D0000}"/>
    <cellStyle name="Normal 10 2 10 2 26 4 7" xfId="3634" xr:uid="{00000000-0005-0000-0000-0000F30D0000}"/>
    <cellStyle name="Normal 10 2 10 2 26 4 8" xfId="3635" xr:uid="{00000000-0005-0000-0000-0000F40D0000}"/>
    <cellStyle name="Normal 10 2 10 2 26 4 9" xfId="3636" xr:uid="{00000000-0005-0000-0000-0000F50D0000}"/>
    <cellStyle name="Normal 10 2 10 2 26 5" xfId="3637" xr:uid="{00000000-0005-0000-0000-0000F60D0000}"/>
    <cellStyle name="Normal 10 2 10 2 26 5 10" xfId="3638" xr:uid="{00000000-0005-0000-0000-0000F70D0000}"/>
    <cellStyle name="Normal 10 2 10 2 26 5 2" xfId="3639" xr:uid="{00000000-0005-0000-0000-0000F80D0000}"/>
    <cellStyle name="Normal 10 2 10 2 26 5 3" xfId="3640" xr:uid="{00000000-0005-0000-0000-0000F90D0000}"/>
    <cellStyle name="Normal 10 2 10 2 26 5 4" xfId="3641" xr:uid="{00000000-0005-0000-0000-0000FA0D0000}"/>
    <cellStyle name="Normal 10 2 10 2 26 5 5" xfId="3642" xr:uid="{00000000-0005-0000-0000-0000FB0D0000}"/>
    <cellStyle name="Normal 10 2 10 2 26 5 6" xfId="3643" xr:uid="{00000000-0005-0000-0000-0000FC0D0000}"/>
    <cellStyle name="Normal 10 2 10 2 26 5 7" xfId="3644" xr:uid="{00000000-0005-0000-0000-0000FD0D0000}"/>
    <cellStyle name="Normal 10 2 10 2 26 5 8" xfId="3645" xr:uid="{00000000-0005-0000-0000-0000FE0D0000}"/>
    <cellStyle name="Normal 10 2 10 2 26 5 9" xfId="3646" xr:uid="{00000000-0005-0000-0000-0000FF0D0000}"/>
    <cellStyle name="Normal 10 2 10 2 26 6" xfId="3647" xr:uid="{00000000-0005-0000-0000-0000000E0000}"/>
    <cellStyle name="Normal 10 2 10 2 26 7" xfId="3648" xr:uid="{00000000-0005-0000-0000-0000010E0000}"/>
    <cellStyle name="Normal 10 2 10 2 26 8" xfId="3649" xr:uid="{00000000-0005-0000-0000-0000020E0000}"/>
    <cellStyle name="Normal 10 2 10 2 26 9" xfId="3650" xr:uid="{00000000-0005-0000-0000-0000030E0000}"/>
    <cellStyle name="Normal 10 2 10 2 27" xfId="3651" xr:uid="{00000000-0005-0000-0000-0000040E0000}"/>
    <cellStyle name="Normal 10 2 10 2 27 10" xfId="3652" xr:uid="{00000000-0005-0000-0000-0000050E0000}"/>
    <cellStyle name="Normal 10 2 10 2 27 11" xfId="3653" xr:uid="{00000000-0005-0000-0000-0000060E0000}"/>
    <cellStyle name="Normal 10 2 10 2 27 12" xfId="3654" xr:uid="{00000000-0005-0000-0000-0000070E0000}"/>
    <cellStyle name="Normal 10 2 10 2 27 13" xfId="3655" xr:uid="{00000000-0005-0000-0000-0000080E0000}"/>
    <cellStyle name="Normal 10 2 10 2 27 14" xfId="3656" xr:uid="{00000000-0005-0000-0000-0000090E0000}"/>
    <cellStyle name="Normal 10 2 10 2 27 2" xfId="3657" xr:uid="{00000000-0005-0000-0000-00000A0E0000}"/>
    <cellStyle name="Normal 10 2 10 2 27 2 10" xfId="3658" xr:uid="{00000000-0005-0000-0000-00000B0E0000}"/>
    <cellStyle name="Normal 10 2 10 2 27 2 2" xfId="3659" xr:uid="{00000000-0005-0000-0000-00000C0E0000}"/>
    <cellStyle name="Normal 10 2 10 2 27 2 3" xfId="3660" xr:uid="{00000000-0005-0000-0000-00000D0E0000}"/>
    <cellStyle name="Normal 10 2 10 2 27 2 4" xfId="3661" xr:uid="{00000000-0005-0000-0000-00000E0E0000}"/>
    <cellStyle name="Normal 10 2 10 2 27 2 5" xfId="3662" xr:uid="{00000000-0005-0000-0000-00000F0E0000}"/>
    <cellStyle name="Normal 10 2 10 2 27 2 6" xfId="3663" xr:uid="{00000000-0005-0000-0000-0000100E0000}"/>
    <cellStyle name="Normal 10 2 10 2 27 2 7" xfId="3664" xr:uid="{00000000-0005-0000-0000-0000110E0000}"/>
    <cellStyle name="Normal 10 2 10 2 27 2 8" xfId="3665" xr:uid="{00000000-0005-0000-0000-0000120E0000}"/>
    <cellStyle name="Normal 10 2 10 2 27 2 9" xfId="3666" xr:uid="{00000000-0005-0000-0000-0000130E0000}"/>
    <cellStyle name="Normal 10 2 10 2 27 3" xfId="3667" xr:uid="{00000000-0005-0000-0000-0000140E0000}"/>
    <cellStyle name="Normal 10 2 10 2 27 3 10" xfId="3668" xr:uid="{00000000-0005-0000-0000-0000150E0000}"/>
    <cellStyle name="Normal 10 2 10 2 27 3 2" xfId="3669" xr:uid="{00000000-0005-0000-0000-0000160E0000}"/>
    <cellStyle name="Normal 10 2 10 2 27 3 3" xfId="3670" xr:uid="{00000000-0005-0000-0000-0000170E0000}"/>
    <cellStyle name="Normal 10 2 10 2 27 3 4" xfId="3671" xr:uid="{00000000-0005-0000-0000-0000180E0000}"/>
    <cellStyle name="Normal 10 2 10 2 27 3 5" xfId="3672" xr:uid="{00000000-0005-0000-0000-0000190E0000}"/>
    <cellStyle name="Normal 10 2 10 2 27 3 6" xfId="3673" xr:uid="{00000000-0005-0000-0000-00001A0E0000}"/>
    <cellStyle name="Normal 10 2 10 2 27 3 7" xfId="3674" xr:uid="{00000000-0005-0000-0000-00001B0E0000}"/>
    <cellStyle name="Normal 10 2 10 2 27 3 8" xfId="3675" xr:uid="{00000000-0005-0000-0000-00001C0E0000}"/>
    <cellStyle name="Normal 10 2 10 2 27 3 9" xfId="3676" xr:uid="{00000000-0005-0000-0000-00001D0E0000}"/>
    <cellStyle name="Normal 10 2 10 2 27 4" xfId="3677" xr:uid="{00000000-0005-0000-0000-00001E0E0000}"/>
    <cellStyle name="Normal 10 2 10 2 27 4 10" xfId="3678" xr:uid="{00000000-0005-0000-0000-00001F0E0000}"/>
    <cellStyle name="Normal 10 2 10 2 27 4 2" xfId="3679" xr:uid="{00000000-0005-0000-0000-0000200E0000}"/>
    <cellStyle name="Normal 10 2 10 2 27 4 3" xfId="3680" xr:uid="{00000000-0005-0000-0000-0000210E0000}"/>
    <cellStyle name="Normal 10 2 10 2 27 4 4" xfId="3681" xr:uid="{00000000-0005-0000-0000-0000220E0000}"/>
    <cellStyle name="Normal 10 2 10 2 27 4 5" xfId="3682" xr:uid="{00000000-0005-0000-0000-0000230E0000}"/>
    <cellStyle name="Normal 10 2 10 2 27 4 6" xfId="3683" xr:uid="{00000000-0005-0000-0000-0000240E0000}"/>
    <cellStyle name="Normal 10 2 10 2 27 4 7" xfId="3684" xr:uid="{00000000-0005-0000-0000-0000250E0000}"/>
    <cellStyle name="Normal 10 2 10 2 27 4 8" xfId="3685" xr:uid="{00000000-0005-0000-0000-0000260E0000}"/>
    <cellStyle name="Normal 10 2 10 2 27 4 9" xfId="3686" xr:uid="{00000000-0005-0000-0000-0000270E0000}"/>
    <cellStyle name="Normal 10 2 10 2 27 5" xfId="3687" xr:uid="{00000000-0005-0000-0000-0000280E0000}"/>
    <cellStyle name="Normal 10 2 10 2 27 5 10" xfId="3688" xr:uid="{00000000-0005-0000-0000-0000290E0000}"/>
    <cellStyle name="Normal 10 2 10 2 27 5 2" xfId="3689" xr:uid="{00000000-0005-0000-0000-00002A0E0000}"/>
    <cellStyle name="Normal 10 2 10 2 27 5 3" xfId="3690" xr:uid="{00000000-0005-0000-0000-00002B0E0000}"/>
    <cellStyle name="Normal 10 2 10 2 27 5 4" xfId="3691" xr:uid="{00000000-0005-0000-0000-00002C0E0000}"/>
    <cellStyle name="Normal 10 2 10 2 27 5 5" xfId="3692" xr:uid="{00000000-0005-0000-0000-00002D0E0000}"/>
    <cellStyle name="Normal 10 2 10 2 27 5 6" xfId="3693" xr:uid="{00000000-0005-0000-0000-00002E0E0000}"/>
    <cellStyle name="Normal 10 2 10 2 27 5 7" xfId="3694" xr:uid="{00000000-0005-0000-0000-00002F0E0000}"/>
    <cellStyle name="Normal 10 2 10 2 27 5 8" xfId="3695" xr:uid="{00000000-0005-0000-0000-0000300E0000}"/>
    <cellStyle name="Normal 10 2 10 2 27 5 9" xfId="3696" xr:uid="{00000000-0005-0000-0000-0000310E0000}"/>
    <cellStyle name="Normal 10 2 10 2 27 6" xfId="3697" xr:uid="{00000000-0005-0000-0000-0000320E0000}"/>
    <cellStyle name="Normal 10 2 10 2 27 7" xfId="3698" xr:uid="{00000000-0005-0000-0000-0000330E0000}"/>
    <cellStyle name="Normal 10 2 10 2 27 8" xfId="3699" xr:uid="{00000000-0005-0000-0000-0000340E0000}"/>
    <cellStyle name="Normal 10 2 10 2 27 9" xfId="3700" xr:uid="{00000000-0005-0000-0000-0000350E0000}"/>
    <cellStyle name="Normal 10 2 10 2 28" xfId="3701" xr:uid="{00000000-0005-0000-0000-0000360E0000}"/>
    <cellStyle name="Normal 10 2 10 2 28 10" xfId="3702" xr:uid="{00000000-0005-0000-0000-0000370E0000}"/>
    <cellStyle name="Normal 10 2 10 2 28 11" xfId="3703" xr:uid="{00000000-0005-0000-0000-0000380E0000}"/>
    <cellStyle name="Normal 10 2 10 2 28 12" xfId="3704" xr:uid="{00000000-0005-0000-0000-0000390E0000}"/>
    <cellStyle name="Normal 10 2 10 2 28 13" xfId="3705" xr:uid="{00000000-0005-0000-0000-00003A0E0000}"/>
    <cellStyle name="Normal 10 2 10 2 28 14" xfId="3706" xr:uid="{00000000-0005-0000-0000-00003B0E0000}"/>
    <cellStyle name="Normal 10 2 10 2 28 2" xfId="3707" xr:uid="{00000000-0005-0000-0000-00003C0E0000}"/>
    <cellStyle name="Normal 10 2 10 2 28 2 10" xfId="3708" xr:uid="{00000000-0005-0000-0000-00003D0E0000}"/>
    <cellStyle name="Normal 10 2 10 2 28 2 2" xfId="3709" xr:uid="{00000000-0005-0000-0000-00003E0E0000}"/>
    <cellStyle name="Normal 10 2 10 2 28 2 3" xfId="3710" xr:uid="{00000000-0005-0000-0000-00003F0E0000}"/>
    <cellStyle name="Normal 10 2 10 2 28 2 4" xfId="3711" xr:uid="{00000000-0005-0000-0000-0000400E0000}"/>
    <cellStyle name="Normal 10 2 10 2 28 2 5" xfId="3712" xr:uid="{00000000-0005-0000-0000-0000410E0000}"/>
    <cellStyle name="Normal 10 2 10 2 28 2 6" xfId="3713" xr:uid="{00000000-0005-0000-0000-0000420E0000}"/>
    <cellStyle name="Normal 10 2 10 2 28 2 7" xfId="3714" xr:uid="{00000000-0005-0000-0000-0000430E0000}"/>
    <cellStyle name="Normal 10 2 10 2 28 2 8" xfId="3715" xr:uid="{00000000-0005-0000-0000-0000440E0000}"/>
    <cellStyle name="Normal 10 2 10 2 28 2 9" xfId="3716" xr:uid="{00000000-0005-0000-0000-0000450E0000}"/>
    <cellStyle name="Normal 10 2 10 2 28 3" xfId="3717" xr:uid="{00000000-0005-0000-0000-0000460E0000}"/>
    <cellStyle name="Normal 10 2 10 2 28 3 10" xfId="3718" xr:uid="{00000000-0005-0000-0000-0000470E0000}"/>
    <cellStyle name="Normal 10 2 10 2 28 3 2" xfId="3719" xr:uid="{00000000-0005-0000-0000-0000480E0000}"/>
    <cellStyle name="Normal 10 2 10 2 28 3 3" xfId="3720" xr:uid="{00000000-0005-0000-0000-0000490E0000}"/>
    <cellStyle name="Normal 10 2 10 2 28 3 4" xfId="3721" xr:uid="{00000000-0005-0000-0000-00004A0E0000}"/>
    <cellStyle name="Normal 10 2 10 2 28 3 5" xfId="3722" xr:uid="{00000000-0005-0000-0000-00004B0E0000}"/>
    <cellStyle name="Normal 10 2 10 2 28 3 6" xfId="3723" xr:uid="{00000000-0005-0000-0000-00004C0E0000}"/>
    <cellStyle name="Normal 10 2 10 2 28 3 7" xfId="3724" xr:uid="{00000000-0005-0000-0000-00004D0E0000}"/>
    <cellStyle name="Normal 10 2 10 2 28 3 8" xfId="3725" xr:uid="{00000000-0005-0000-0000-00004E0E0000}"/>
    <cellStyle name="Normal 10 2 10 2 28 3 9" xfId="3726" xr:uid="{00000000-0005-0000-0000-00004F0E0000}"/>
    <cellStyle name="Normal 10 2 10 2 28 4" xfId="3727" xr:uid="{00000000-0005-0000-0000-0000500E0000}"/>
    <cellStyle name="Normal 10 2 10 2 28 4 10" xfId="3728" xr:uid="{00000000-0005-0000-0000-0000510E0000}"/>
    <cellStyle name="Normal 10 2 10 2 28 4 2" xfId="3729" xr:uid="{00000000-0005-0000-0000-0000520E0000}"/>
    <cellStyle name="Normal 10 2 10 2 28 4 3" xfId="3730" xr:uid="{00000000-0005-0000-0000-0000530E0000}"/>
    <cellStyle name="Normal 10 2 10 2 28 4 4" xfId="3731" xr:uid="{00000000-0005-0000-0000-0000540E0000}"/>
    <cellStyle name="Normal 10 2 10 2 28 4 5" xfId="3732" xr:uid="{00000000-0005-0000-0000-0000550E0000}"/>
    <cellStyle name="Normal 10 2 10 2 28 4 6" xfId="3733" xr:uid="{00000000-0005-0000-0000-0000560E0000}"/>
    <cellStyle name="Normal 10 2 10 2 28 4 7" xfId="3734" xr:uid="{00000000-0005-0000-0000-0000570E0000}"/>
    <cellStyle name="Normal 10 2 10 2 28 4 8" xfId="3735" xr:uid="{00000000-0005-0000-0000-0000580E0000}"/>
    <cellStyle name="Normal 10 2 10 2 28 4 9" xfId="3736" xr:uid="{00000000-0005-0000-0000-0000590E0000}"/>
    <cellStyle name="Normal 10 2 10 2 28 5" xfId="3737" xr:uid="{00000000-0005-0000-0000-00005A0E0000}"/>
    <cellStyle name="Normal 10 2 10 2 28 5 10" xfId="3738" xr:uid="{00000000-0005-0000-0000-00005B0E0000}"/>
    <cellStyle name="Normal 10 2 10 2 28 5 2" xfId="3739" xr:uid="{00000000-0005-0000-0000-00005C0E0000}"/>
    <cellStyle name="Normal 10 2 10 2 28 5 3" xfId="3740" xr:uid="{00000000-0005-0000-0000-00005D0E0000}"/>
    <cellStyle name="Normal 10 2 10 2 28 5 4" xfId="3741" xr:uid="{00000000-0005-0000-0000-00005E0E0000}"/>
    <cellStyle name="Normal 10 2 10 2 28 5 5" xfId="3742" xr:uid="{00000000-0005-0000-0000-00005F0E0000}"/>
    <cellStyle name="Normal 10 2 10 2 28 5 6" xfId="3743" xr:uid="{00000000-0005-0000-0000-0000600E0000}"/>
    <cellStyle name="Normal 10 2 10 2 28 5 7" xfId="3744" xr:uid="{00000000-0005-0000-0000-0000610E0000}"/>
    <cellStyle name="Normal 10 2 10 2 28 5 8" xfId="3745" xr:uid="{00000000-0005-0000-0000-0000620E0000}"/>
    <cellStyle name="Normal 10 2 10 2 28 5 9" xfId="3746" xr:uid="{00000000-0005-0000-0000-0000630E0000}"/>
    <cellStyle name="Normal 10 2 10 2 28 6" xfId="3747" xr:uid="{00000000-0005-0000-0000-0000640E0000}"/>
    <cellStyle name="Normal 10 2 10 2 28 7" xfId="3748" xr:uid="{00000000-0005-0000-0000-0000650E0000}"/>
    <cellStyle name="Normal 10 2 10 2 28 8" xfId="3749" xr:uid="{00000000-0005-0000-0000-0000660E0000}"/>
    <cellStyle name="Normal 10 2 10 2 28 9" xfId="3750" xr:uid="{00000000-0005-0000-0000-0000670E0000}"/>
    <cellStyle name="Normal 10 2 10 2 29" xfId="3751" xr:uid="{00000000-0005-0000-0000-0000680E0000}"/>
    <cellStyle name="Normal 10 2 10 2 29 10" xfId="3752" xr:uid="{00000000-0005-0000-0000-0000690E0000}"/>
    <cellStyle name="Normal 10 2 10 2 29 11" xfId="3753" xr:uid="{00000000-0005-0000-0000-00006A0E0000}"/>
    <cellStyle name="Normal 10 2 10 2 29 12" xfId="3754" xr:uid="{00000000-0005-0000-0000-00006B0E0000}"/>
    <cellStyle name="Normal 10 2 10 2 29 13" xfId="3755" xr:uid="{00000000-0005-0000-0000-00006C0E0000}"/>
    <cellStyle name="Normal 10 2 10 2 29 14" xfId="3756" xr:uid="{00000000-0005-0000-0000-00006D0E0000}"/>
    <cellStyle name="Normal 10 2 10 2 29 2" xfId="3757" xr:uid="{00000000-0005-0000-0000-00006E0E0000}"/>
    <cellStyle name="Normal 10 2 10 2 29 2 10" xfId="3758" xr:uid="{00000000-0005-0000-0000-00006F0E0000}"/>
    <cellStyle name="Normal 10 2 10 2 29 2 2" xfId="3759" xr:uid="{00000000-0005-0000-0000-0000700E0000}"/>
    <cellStyle name="Normal 10 2 10 2 29 2 3" xfId="3760" xr:uid="{00000000-0005-0000-0000-0000710E0000}"/>
    <cellStyle name="Normal 10 2 10 2 29 2 4" xfId="3761" xr:uid="{00000000-0005-0000-0000-0000720E0000}"/>
    <cellStyle name="Normal 10 2 10 2 29 2 5" xfId="3762" xr:uid="{00000000-0005-0000-0000-0000730E0000}"/>
    <cellStyle name="Normal 10 2 10 2 29 2 6" xfId="3763" xr:uid="{00000000-0005-0000-0000-0000740E0000}"/>
    <cellStyle name="Normal 10 2 10 2 29 2 7" xfId="3764" xr:uid="{00000000-0005-0000-0000-0000750E0000}"/>
    <cellStyle name="Normal 10 2 10 2 29 2 8" xfId="3765" xr:uid="{00000000-0005-0000-0000-0000760E0000}"/>
    <cellStyle name="Normal 10 2 10 2 29 2 9" xfId="3766" xr:uid="{00000000-0005-0000-0000-0000770E0000}"/>
    <cellStyle name="Normal 10 2 10 2 29 3" xfId="3767" xr:uid="{00000000-0005-0000-0000-0000780E0000}"/>
    <cellStyle name="Normal 10 2 10 2 29 3 10" xfId="3768" xr:uid="{00000000-0005-0000-0000-0000790E0000}"/>
    <cellStyle name="Normal 10 2 10 2 29 3 2" xfId="3769" xr:uid="{00000000-0005-0000-0000-00007A0E0000}"/>
    <cellStyle name="Normal 10 2 10 2 29 3 3" xfId="3770" xr:uid="{00000000-0005-0000-0000-00007B0E0000}"/>
    <cellStyle name="Normal 10 2 10 2 29 3 4" xfId="3771" xr:uid="{00000000-0005-0000-0000-00007C0E0000}"/>
    <cellStyle name="Normal 10 2 10 2 29 3 5" xfId="3772" xr:uid="{00000000-0005-0000-0000-00007D0E0000}"/>
    <cellStyle name="Normal 10 2 10 2 29 3 6" xfId="3773" xr:uid="{00000000-0005-0000-0000-00007E0E0000}"/>
    <cellStyle name="Normal 10 2 10 2 29 3 7" xfId="3774" xr:uid="{00000000-0005-0000-0000-00007F0E0000}"/>
    <cellStyle name="Normal 10 2 10 2 29 3 8" xfId="3775" xr:uid="{00000000-0005-0000-0000-0000800E0000}"/>
    <cellStyle name="Normal 10 2 10 2 29 3 9" xfId="3776" xr:uid="{00000000-0005-0000-0000-0000810E0000}"/>
    <cellStyle name="Normal 10 2 10 2 29 4" xfId="3777" xr:uid="{00000000-0005-0000-0000-0000820E0000}"/>
    <cellStyle name="Normal 10 2 10 2 29 4 10" xfId="3778" xr:uid="{00000000-0005-0000-0000-0000830E0000}"/>
    <cellStyle name="Normal 10 2 10 2 29 4 2" xfId="3779" xr:uid="{00000000-0005-0000-0000-0000840E0000}"/>
    <cellStyle name="Normal 10 2 10 2 29 4 3" xfId="3780" xr:uid="{00000000-0005-0000-0000-0000850E0000}"/>
    <cellStyle name="Normal 10 2 10 2 29 4 4" xfId="3781" xr:uid="{00000000-0005-0000-0000-0000860E0000}"/>
    <cellStyle name="Normal 10 2 10 2 29 4 5" xfId="3782" xr:uid="{00000000-0005-0000-0000-0000870E0000}"/>
    <cellStyle name="Normal 10 2 10 2 29 4 6" xfId="3783" xr:uid="{00000000-0005-0000-0000-0000880E0000}"/>
    <cellStyle name="Normal 10 2 10 2 29 4 7" xfId="3784" xr:uid="{00000000-0005-0000-0000-0000890E0000}"/>
    <cellStyle name="Normal 10 2 10 2 29 4 8" xfId="3785" xr:uid="{00000000-0005-0000-0000-00008A0E0000}"/>
    <cellStyle name="Normal 10 2 10 2 29 4 9" xfId="3786" xr:uid="{00000000-0005-0000-0000-00008B0E0000}"/>
    <cellStyle name="Normal 10 2 10 2 29 5" xfId="3787" xr:uid="{00000000-0005-0000-0000-00008C0E0000}"/>
    <cellStyle name="Normal 10 2 10 2 29 5 10" xfId="3788" xr:uid="{00000000-0005-0000-0000-00008D0E0000}"/>
    <cellStyle name="Normal 10 2 10 2 29 5 2" xfId="3789" xr:uid="{00000000-0005-0000-0000-00008E0E0000}"/>
    <cellStyle name="Normal 10 2 10 2 29 5 3" xfId="3790" xr:uid="{00000000-0005-0000-0000-00008F0E0000}"/>
    <cellStyle name="Normal 10 2 10 2 29 5 4" xfId="3791" xr:uid="{00000000-0005-0000-0000-0000900E0000}"/>
    <cellStyle name="Normal 10 2 10 2 29 5 5" xfId="3792" xr:uid="{00000000-0005-0000-0000-0000910E0000}"/>
    <cellStyle name="Normal 10 2 10 2 29 5 6" xfId="3793" xr:uid="{00000000-0005-0000-0000-0000920E0000}"/>
    <cellStyle name="Normal 10 2 10 2 29 5 7" xfId="3794" xr:uid="{00000000-0005-0000-0000-0000930E0000}"/>
    <cellStyle name="Normal 10 2 10 2 29 5 8" xfId="3795" xr:uid="{00000000-0005-0000-0000-0000940E0000}"/>
    <cellStyle name="Normal 10 2 10 2 29 5 9" xfId="3796" xr:uid="{00000000-0005-0000-0000-0000950E0000}"/>
    <cellStyle name="Normal 10 2 10 2 29 6" xfId="3797" xr:uid="{00000000-0005-0000-0000-0000960E0000}"/>
    <cellStyle name="Normal 10 2 10 2 29 7" xfId="3798" xr:uid="{00000000-0005-0000-0000-0000970E0000}"/>
    <cellStyle name="Normal 10 2 10 2 29 8" xfId="3799" xr:uid="{00000000-0005-0000-0000-0000980E0000}"/>
    <cellStyle name="Normal 10 2 10 2 29 9" xfId="3800" xr:uid="{00000000-0005-0000-0000-0000990E0000}"/>
    <cellStyle name="Normal 10 2 10 2 3" xfId="3801" xr:uid="{00000000-0005-0000-0000-00009A0E0000}"/>
    <cellStyle name="Normal 10 2 10 2 3 10" xfId="3802" xr:uid="{00000000-0005-0000-0000-00009B0E0000}"/>
    <cellStyle name="Normal 10 2 10 2 3 11" xfId="3803" xr:uid="{00000000-0005-0000-0000-00009C0E0000}"/>
    <cellStyle name="Normal 10 2 10 2 3 12" xfId="3804" xr:uid="{00000000-0005-0000-0000-00009D0E0000}"/>
    <cellStyle name="Normal 10 2 10 2 3 13" xfId="3805" xr:uid="{00000000-0005-0000-0000-00009E0E0000}"/>
    <cellStyle name="Normal 10 2 10 2 3 14" xfId="3806" xr:uid="{00000000-0005-0000-0000-00009F0E0000}"/>
    <cellStyle name="Normal 10 2 10 2 3 2" xfId="3807" xr:uid="{00000000-0005-0000-0000-0000A00E0000}"/>
    <cellStyle name="Normal 10 2 10 2 3 2 10" xfId="3808" xr:uid="{00000000-0005-0000-0000-0000A10E0000}"/>
    <cellStyle name="Normal 10 2 10 2 3 2 2" xfId="3809" xr:uid="{00000000-0005-0000-0000-0000A20E0000}"/>
    <cellStyle name="Normal 10 2 10 2 3 2 3" xfId="3810" xr:uid="{00000000-0005-0000-0000-0000A30E0000}"/>
    <cellStyle name="Normal 10 2 10 2 3 2 4" xfId="3811" xr:uid="{00000000-0005-0000-0000-0000A40E0000}"/>
    <cellStyle name="Normal 10 2 10 2 3 2 5" xfId="3812" xr:uid="{00000000-0005-0000-0000-0000A50E0000}"/>
    <cellStyle name="Normal 10 2 10 2 3 2 6" xfId="3813" xr:uid="{00000000-0005-0000-0000-0000A60E0000}"/>
    <cellStyle name="Normal 10 2 10 2 3 2 7" xfId="3814" xr:uid="{00000000-0005-0000-0000-0000A70E0000}"/>
    <cellStyle name="Normal 10 2 10 2 3 2 8" xfId="3815" xr:uid="{00000000-0005-0000-0000-0000A80E0000}"/>
    <cellStyle name="Normal 10 2 10 2 3 2 9" xfId="3816" xr:uid="{00000000-0005-0000-0000-0000A90E0000}"/>
    <cellStyle name="Normal 10 2 10 2 3 3" xfId="3817" xr:uid="{00000000-0005-0000-0000-0000AA0E0000}"/>
    <cellStyle name="Normal 10 2 10 2 3 3 10" xfId="3818" xr:uid="{00000000-0005-0000-0000-0000AB0E0000}"/>
    <cellStyle name="Normal 10 2 10 2 3 3 2" xfId="3819" xr:uid="{00000000-0005-0000-0000-0000AC0E0000}"/>
    <cellStyle name="Normal 10 2 10 2 3 3 3" xfId="3820" xr:uid="{00000000-0005-0000-0000-0000AD0E0000}"/>
    <cellStyle name="Normal 10 2 10 2 3 3 4" xfId="3821" xr:uid="{00000000-0005-0000-0000-0000AE0E0000}"/>
    <cellStyle name="Normal 10 2 10 2 3 3 5" xfId="3822" xr:uid="{00000000-0005-0000-0000-0000AF0E0000}"/>
    <cellStyle name="Normal 10 2 10 2 3 3 6" xfId="3823" xr:uid="{00000000-0005-0000-0000-0000B00E0000}"/>
    <cellStyle name="Normal 10 2 10 2 3 3 7" xfId="3824" xr:uid="{00000000-0005-0000-0000-0000B10E0000}"/>
    <cellStyle name="Normal 10 2 10 2 3 3 8" xfId="3825" xr:uid="{00000000-0005-0000-0000-0000B20E0000}"/>
    <cellStyle name="Normal 10 2 10 2 3 3 9" xfId="3826" xr:uid="{00000000-0005-0000-0000-0000B30E0000}"/>
    <cellStyle name="Normal 10 2 10 2 3 4" xfId="3827" xr:uid="{00000000-0005-0000-0000-0000B40E0000}"/>
    <cellStyle name="Normal 10 2 10 2 3 4 10" xfId="3828" xr:uid="{00000000-0005-0000-0000-0000B50E0000}"/>
    <cellStyle name="Normal 10 2 10 2 3 4 2" xfId="3829" xr:uid="{00000000-0005-0000-0000-0000B60E0000}"/>
    <cellStyle name="Normal 10 2 10 2 3 4 3" xfId="3830" xr:uid="{00000000-0005-0000-0000-0000B70E0000}"/>
    <cellStyle name="Normal 10 2 10 2 3 4 4" xfId="3831" xr:uid="{00000000-0005-0000-0000-0000B80E0000}"/>
    <cellStyle name="Normal 10 2 10 2 3 4 5" xfId="3832" xr:uid="{00000000-0005-0000-0000-0000B90E0000}"/>
    <cellStyle name="Normal 10 2 10 2 3 4 6" xfId="3833" xr:uid="{00000000-0005-0000-0000-0000BA0E0000}"/>
    <cellStyle name="Normal 10 2 10 2 3 4 7" xfId="3834" xr:uid="{00000000-0005-0000-0000-0000BB0E0000}"/>
    <cellStyle name="Normal 10 2 10 2 3 4 8" xfId="3835" xr:uid="{00000000-0005-0000-0000-0000BC0E0000}"/>
    <cellStyle name="Normal 10 2 10 2 3 4 9" xfId="3836" xr:uid="{00000000-0005-0000-0000-0000BD0E0000}"/>
    <cellStyle name="Normal 10 2 10 2 3 5" xfId="3837" xr:uid="{00000000-0005-0000-0000-0000BE0E0000}"/>
    <cellStyle name="Normal 10 2 10 2 3 5 10" xfId="3838" xr:uid="{00000000-0005-0000-0000-0000BF0E0000}"/>
    <cellStyle name="Normal 10 2 10 2 3 5 2" xfId="3839" xr:uid="{00000000-0005-0000-0000-0000C00E0000}"/>
    <cellStyle name="Normal 10 2 10 2 3 5 3" xfId="3840" xr:uid="{00000000-0005-0000-0000-0000C10E0000}"/>
    <cellStyle name="Normal 10 2 10 2 3 5 4" xfId="3841" xr:uid="{00000000-0005-0000-0000-0000C20E0000}"/>
    <cellStyle name="Normal 10 2 10 2 3 5 5" xfId="3842" xr:uid="{00000000-0005-0000-0000-0000C30E0000}"/>
    <cellStyle name="Normal 10 2 10 2 3 5 6" xfId="3843" xr:uid="{00000000-0005-0000-0000-0000C40E0000}"/>
    <cellStyle name="Normal 10 2 10 2 3 5 7" xfId="3844" xr:uid="{00000000-0005-0000-0000-0000C50E0000}"/>
    <cellStyle name="Normal 10 2 10 2 3 5 8" xfId="3845" xr:uid="{00000000-0005-0000-0000-0000C60E0000}"/>
    <cellStyle name="Normal 10 2 10 2 3 5 9" xfId="3846" xr:uid="{00000000-0005-0000-0000-0000C70E0000}"/>
    <cellStyle name="Normal 10 2 10 2 3 6" xfId="3847" xr:uid="{00000000-0005-0000-0000-0000C80E0000}"/>
    <cellStyle name="Normal 10 2 10 2 3 7" xfId="3848" xr:uid="{00000000-0005-0000-0000-0000C90E0000}"/>
    <cellStyle name="Normal 10 2 10 2 3 8" xfId="3849" xr:uid="{00000000-0005-0000-0000-0000CA0E0000}"/>
    <cellStyle name="Normal 10 2 10 2 3 9" xfId="3850" xr:uid="{00000000-0005-0000-0000-0000CB0E0000}"/>
    <cellStyle name="Normal 10 2 10 2 30" xfId="3851" xr:uid="{00000000-0005-0000-0000-0000CC0E0000}"/>
    <cellStyle name="Normal 10 2 10 2 30 10" xfId="3852" xr:uid="{00000000-0005-0000-0000-0000CD0E0000}"/>
    <cellStyle name="Normal 10 2 10 2 30 11" xfId="3853" xr:uid="{00000000-0005-0000-0000-0000CE0E0000}"/>
    <cellStyle name="Normal 10 2 10 2 30 12" xfId="3854" xr:uid="{00000000-0005-0000-0000-0000CF0E0000}"/>
    <cellStyle name="Normal 10 2 10 2 30 13" xfId="3855" xr:uid="{00000000-0005-0000-0000-0000D00E0000}"/>
    <cellStyle name="Normal 10 2 10 2 30 14" xfId="3856" xr:uid="{00000000-0005-0000-0000-0000D10E0000}"/>
    <cellStyle name="Normal 10 2 10 2 30 2" xfId="3857" xr:uid="{00000000-0005-0000-0000-0000D20E0000}"/>
    <cellStyle name="Normal 10 2 10 2 30 2 10" xfId="3858" xr:uid="{00000000-0005-0000-0000-0000D30E0000}"/>
    <cellStyle name="Normal 10 2 10 2 30 2 2" xfId="3859" xr:uid="{00000000-0005-0000-0000-0000D40E0000}"/>
    <cellStyle name="Normal 10 2 10 2 30 2 3" xfId="3860" xr:uid="{00000000-0005-0000-0000-0000D50E0000}"/>
    <cellStyle name="Normal 10 2 10 2 30 2 4" xfId="3861" xr:uid="{00000000-0005-0000-0000-0000D60E0000}"/>
    <cellStyle name="Normal 10 2 10 2 30 2 5" xfId="3862" xr:uid="{00000000-0005-0000-0000-0000D70E0000}"/>
    <cellStyle name="Normal 10 2 10 2 30 2 6" xfId="3863" xr:uid="{00000000-0005-0000-0000-0000D80E0000}"/>
    <cellStyle name="Normal 10 2 10 2 30 2 7" xfId="3864" xr:uid="{00000000-0005-0000-0000-0000D90E0000}"/>
    <cellStyle name="Normal 10 2 10 2 30 2 8" xfId="3865" xr:uid="{00000000-0005-0000-0000-0000DA0E0000}"/>
    <cellStyle name="Normal 10 2 10 2 30 2 9" xfId="3866" xr:uid="{00000000-0005-0000-0000-0000DB0E0000}"/>
    <cellStyle name="Normal 10 2 10 2 30 3" xfId="3867" xr:uid="{00000000-0005-0000-0000-0000DC0E0000}"/>
    <cellStyle name="Normal 10 2 10 2 30 3 10" xfId="3868" xr:uid="{00000000-0005-0000-0000-0000DD0E0000}"/>
    <cellStyle name="Normal 10 2 10 2 30 3 2" xfId="3869" xr:uid="{00000000-0005-0000-0000-0000DE0E0000}"/>
    <cellStyle name="Normal 10 2 10 2 30 3 3" xfId="3870" xr:uid="{00000000-0005-0000-0000-0000DF0E0000}"/>
    <cellStyle name="Normal 10 2 10 2 30 3 4" xfId="3871" xr:uid="{00000000-0005-0000-0000-0000E00E0000}"/>
    <cellStyle name="Normal 10 2 10 2 30 3 5" xfId="3872" xr:uid="{00000000-0005-0000-0000-0000E10E0000}"/>
    <cellStyle name="Normal 10 2 10 2 30 3 6" xfId="3873" xr:uid="{00000000-0005-0000-0000-0000E20E0000}"/>
    <cellStyle name="Normal 10 2 10 2 30 3 7" xfId="3874" xr:uid="{00000000-0005-0000-0000-0000E30E0000}"/>
    <cellStyle name="Normal 10 2 10 2 30 3 8" xfId="3875" xr:uid="{00000000-0005-0000-0000-0000E40E0000}"/>
    <cellStyle name="Normal 10 2 10 2 30 3 9" xfId="3876" xr:uid="{00000000-0005-0000-0000-0000E50E0000}"/>
    <cellStyle name="Normal 10 2 10 2 30 4" xfId="3877" xr:uid="{00000000-0005-0000-0000-0000E60E0000}"/>
    <cellStyle name="Normal 10 2 10 2 30 4 10" xfId="3878" xr:uid="{00000000-0005-0000-0000-0000E70E0000}"/>
    <cellStyle name="Normal 10 2 10 2 30 4 2" xfId="3879" xr:uid="{00000000-0005-0000-0000-0000E80E0000}"/>
    <cellStyle name="Normal 10 2 10 2 30 4 3" xfId="3880" xr:uid="{00000000-0005-0000-0000-0000E90E0000}"/>
    <cellStyle name="Normal 10 2 10 2 30 4 4" xfId="3881" xr:uid="{00000000-0005-0000-0000-0000EA0E0000}"/>
    <cellStyle name="Normal 10 2 10 2 30 4 5" xfId="3882" xr:uid="{00000000-0005-0000-0000-0000EB0E0000}"/>
    <cellStyle name="Normal 10 2 10 2 30 4 6" xfId="3883" xr:uid="{00000000-0005-0000-0000-0000EC0E0000}"/>
    <cellStyle name="Normal 10 2 10 2 30 4 7" xfId="3884" xr:uid="{00000000-0005-0000-0000-0000ED0E0000}"/>
    <cellStyle name="Normal 10 2 10 2 30 4 8" xfId="3885" xr:uid="{00000000-0005-0000-0000-0000EE0E0000}"/>
    <cellStyle name="Normal 10 2 10 2 30 4 9" xfId="3886" xr:uid="{00000000-0005-0000-0000-0000EF0E0000}"/>
    <cellStyle name="Normal 10 2 10 2 30 5" xfId="3887" xr:uid="{00000000-0005-0000-0000-0000F00E0000}"/>
    <cellStyle name="Normal 10 2 10 2 30 5 10" xfId="3888" xr:uid="{00000000-0005-0000-0000-0000F10E0000}"/>
    <cellStyle name="Normal 10 2 10 2 30 5 2" xfId="3889" xr:uid="{00000000-0005-0000-0000-0000F20E0000}"/>
    <cellStyle name="Normal 10 2 10 2 30 5 3" xfId="3890" xr:uid="{00000000-0005-0000-0000-0000F30E0000}"/>
    <cellStyle name="Normal 10 2 10 2 30 5 4" xfId="3891" xr:uid="{00000000-0005-0000-0000-0000F40E0000}"/>
    <cellStyle name="Normal 10 2 10 2 30 5 5" xfId="3892" xr:uid="{00000000-0005-0000-0000-0000F50E0000}"/>
    <cellStyle name="Normal 10 2 10 2 30 5 6" xfId="3893" xr:uid="{00000000-0005-0000-0000-0000F60E0000}"/>
    <cellStyle name="Normal 10 2 10 2 30 5 7" xfId="3894" xr:uid="{00000000-0005-0000-0000-0000F70E0000}"/>
    <cellStyle name="Normal 10 2 10 2 30 5 8" xfId="3895" xr:uid="{00000000-0005-0000-0000-0000F80E0000}"/>
    <cellStyle name="Normal 10 2 10 2 30 5 9" xfId="3896" xr:uid="{00000000-0005-0000-0000-0000F90E0000}"/>
    <cellStyle name="Normal 10 2 10 2 30 6" xfId="3897" xr:uid="{00000000-0005-0000-0000-0000FA0E0000}"/>
    <cellStyle name="Normal 10 2 10 2 30 7" xfId="3898" xr:uid="{00000000-0005-0000-0000-0000FB0E0000}"/>
    <cellStyle name="Normal 10 2 10 2 30 8" xfId="3899" xr:uid="{00000000-0005-0000-0000-0000FC0E0000}"/>
    <cellStyle name="Normal 10 2 10 2 30 9" xfId="3900" xr:uid="{00000000-0005-0000-0000-0000FD0E0000}"/>
    <cellStyle name="Normal 10 2 10 2 31" xfId="3901" xr:uid="{00000000-0005-0000-0000-0000FE0E0000}"/>
    <cellStyle name="Normal 10 2 10 2 31 10" xfId="3902" xr:uid="{00000000-0005-0000-0000-0000FF0E0000}"/>
    <cellStyle name="Normal 10 2 10 2 31 11" xfId="3903" xr:uid="{00000000-0005-0000-0000-0000000F0000}"/>
    <cellStyle name="Normal 10 2 10 2 31 12" xfId="3904" xr:uid="{00000000-0005-0000-0000-0000010F0000}"/>
    <cellStyle name="Normal 10 2 10 2 31 13" xfId="3905" xr:uid="{00000000-0005-0000-0000-0000020F0000}"/>
    <cellStyle name="Normal 10 2 10 2 31 14" xfId="3906" xr:uid="{00000000-0005-0000-0000-0000030F0000}"/>
    <cellStyle name="Normal 10 2 10 2 31 2" xfId="3907" xr:uid="{00000000-0005-0000-0000-0000040F0000}"/>
    <cellStyle name="Normal 10 2 10 2 31 2 10" xfId="3908" xr:uid="{00000000-0005-0000-0000-0000050F0000}"/>
    <cellStyle name="Normal 10 2 10 2 31 2 2" xfId="3909" xr:uid="{00000000-0005-0000-0000-0000060F0000}"/>
    <cellStyle name="Normal 10 2 10 2 31 2 3" xfId="3910" xr:uid="{00000000-0005-0000-0000-0000070F0000}"/>
    <cellStyle name="Normal 10 2 10 2 31 2 4" xfId="3911" xr:uid="{00000000-0005-0000-0000-0000080F0000}"/>
    <cellStyle name="Normal 10 2 10 2 31 2 5" xfId="3912" xr:uid="{00000000-0005-0000-0000-0000090F0000}"/>
    <cellStyle name="Normal 10 2 10 2 31 2 6" xfId="3913" xr:uid="{00000000-0005-0000-0000-00000A0F0000}"/>
    <cellStyle name="Normal 10 2 10 2 31 2 7" xfId="3914" xr:uid="{00000000-0005-0000-0000-00000B0F0000}"/>
    <cellStyle name="Normal 10 2 10 2 31 2 8" xfId="3915" xr:uid="{00000000-0005-0000-0000-00000C0F0000}"/>
    <cellStyle name="Normal 10 2 10 2 31 2 9" xfId="3916" xr:uid="{00000000-0005-0000-0000-00000D0F0000}"/>
    <cellStyle name="Normal 10 2 10 2 31 3" xfId="3917" xr:uid="{00000000-0005-0000-0000-00000E0F0000}"/>
    <cellStyle name="Normal 10 2 10 2 31 3 10" xfId="3918" xr:uid="{00000000-0005-0000-0000-00000F0F0000}"/>
    <cellStyle name="Normal 10 2 10 2 31 3 2" xfId="3919" xr:uid="{00000000-0005-0000-0000-0000100F0000}"/>
    <cellStyle name="Normal 10 2 10 2 31 3 3" xfId="3920" xr:uid="{00000000-0005-0000-0000-0000110F0000}"/>
    <cellStyle name="Normal 10 2 10 2 31 3 4" xfId="3921" xr:uid="{00000000-0005-0000-0000-0000120F0000}"/>
    <cellStyle name="Normal 10 2 10 2 31 3 5" xfId="3922" xr:uid="{00000000-0005-0000-0000-0000130F0000}"/>
    <cellStyle name="Normal 10 2 10 2 31 3 6" xfId="3923" xr:uid="{00000000-0005-0000-0000-0000140F0000}"/>
    <cellStyle name="Normal 10 2 10 2 31 3 7" xfId="3924" xr:uid="{00000000-0005-0000-0000-0000150F0000}"/>
    <cellStyle name="Normal 10 2 10 2 31 3 8" xfId="3925" xr:uid="{00000000-0005-0000-0000-0000160F0000}"/>
    <cellStyle name="Normal 10 2 10 2 31 3 9" xfId="3926" xr:uid="{00000000-0005-0000-0000-0000170F0000}"/>
    <cellStyle name="Normal 10 2 10 2 31 4" xfId="3927" xr:uid="{00000000-0005-0000-0000-0000180F0000}"/>
    <cellStyle name="Normal 10 2 10 2 31 4 10" xfId="3928" xr:uid="{00000000-0005-0000-0000-0000190F0000}"/>
    <cellStyle name="Normal 10 2 10 2 31 4 2" xfId="3929" xr:uid="{00000000-0005-0000-0000-00001A0F0000}"/>
    <cellStyle name="Normal 10 2 10 2 31 4 3" xfId="3930" xr:uid="{00000000-0005-0000-0000-00001B0F0000}"/>
    <cellStyle name="Normal 10 2 10 2 31 4 4" xfId="3931" xr:uid="{00000000-0005-0000-0000-00001C0F0000}"/>
    <cellStyle name="Normal 10 2 10 2 31 4 5" xfId="3932" xr:uid="{00000000-0005-0000-0000-00001D0F0000}"/>
    <cellStyle name="Normal 10 2 10 2 31 4 6" xfId="3933" xr:uid="{00000000-0005-0000-0000-00001E0F0000}"/>
    <cellStyle name="Normal 10 2 10 2 31 4 7" xfId="3934" xr:uid="{00000000-0005-0000-0000-00001F0F0000}"/>
    <cellStyle name="Normal 10 2 10 2 31 4 8" xfId="3935" xr:uid="{00000000-0005-0000-0000-0000200F0000}"/>
    <cellStyle name="Normal 10 2 10 2 31 4 9" xfId="3936" xr:uid="{00000000-0005-0000-0000-0000210F0000}"/>
    <cellStyle name="Normal 10 2 10 2 31 5" xfId="3937" xr:uid="{00000000-0005-0000-0000-0000220F0000}"/>
    <cellStyle name="Normal 10 2 10 2 31 5 10" xfId="3938" xr:uid="{00000000-0005-0000-0000-0000230F0000}"/>
    <cellStyle name="Normal 10 2 10 2 31 5 2" xfId="3939" xr:uid="{00000000-0005-0000-0000-0000240F0000}"/>
    <cellStyle name="Normal 10 2 10 2 31 5 3" xfId="3940" xr:uid="{00000000-0005-0000-0000-0000250F0000}"/>
    <cellStyle name="Normal 10 2 10 2 31 5 4" xfId="3941" xr:uid="{00000000-0005-0000-0000-0000260F0000}"/>
    <cellStyle name="Normal 10 2 10 2 31 5 5" xfId="3942" xr:uid="{00000000-0005-0000-0000-0000270F0000}"/>
    <cellStyle name="Normal 10 2 10 2 31 5 6" xfId="3943" xr:uid="{00000000-0005-0000-0000-0000280F0000}"/>
    <cellStyle name="Normal 10 2 10 2 31 5 7" xfId="3944" xr:uid="{00000000-0005-0000-0000-0000290F0000}"/>
    <cellStyle name="Normal 10 2 10 2 31 5 8" xfId="3945" xr:uid="{00000000-0005-0000-0000-00002A0F0000}"/>
    <cellStyle name="Normal 10 2 10 2 31 5 9" xfId="3946" xr:uid="{00000000-0005-0000-0000-00002B0F0000}"/>
    <cellStyle name="Normal 10 2 10 2 31 6" xfId="3947" xr:uid="{00000000-0005-0000-0000-00002C0F0000}"/>
    <cellStyle name="Normal 10 2 10 2 31 7" xfId="3948" xr:uid="{00000000-0005-0000-0000-00002D0F0000}"/>
    <cellStyle name="Normal 10 2 10 2 31 8" xfId="3949" xr:uid="{00000000-0005-0000-0000-00002E0F0000}"/>
    <cellStyle name="Normal 10 2 10 2 31 9" xfId="3950" xr:uid="{00000000-0005-0000-0000-00002F0F0000}"/>
    <cellStyle name="Normal 10 2 10 2 32" xfId="3951" xr:uid="{00000000-0005-0000-0000-0000300F0000}"/>
    <cellStyle name="Normal 10 2 10 2 32 10" xfId="3952" xr:uid="{00000000-0005-0000-0000-0000310F0000}"/>
    <cellStyle name="Normal 10 2 10 2 32 11" xfId="3953" xr:uid="{00000000-0005-0000-0000-0000320F0000}"/>
    <cellStyle name="Normal 10 2 10 2 32 12" xfId="3954" xr:uid="{00000000-0005-0000-0000-0000330F0000}"/>
    <cellStyle name="Normal 10 2 10 2 32 13" xfId="3955" xr:uid="{00000000-0005-0000-0000-0000340F0000}"/>
    <cellStyle name="Normal 10 2 10 2 32 14" xfId="3956" xr:uid="{00000000-0005-0000-0000-0000350F0000}"/>
    <cellStyle name="Normal 10 2 10 2 32 2" xfId="3957" xr:uid="{00000000-0005-0000-0000-0000360F0000}"/>
    <cellStyle name="Normal 10 2 10 2 32 2 10" xfId="3958" xr:uid="{00000000-0005-0000-0000-0000370F0000}"/>
    <cellStyle name="Normal 10 2 10 2 32 2 2" xfId="3959" xr:uid="{00000000-0005-0000-0000-0000380F0000}"/>
    <cellStyle name="Normal 10 2 10 2 32 2 3" xfId="3960" xr:uid="{00000000-0005-0000-0000-0000390F0000}"/>
    <cellStyle name="Normal 10 2 10 2 32 2 4" xfId="3961" xr:uid="{00000000-0005-0000-0000-00003A0F0000}"/>
    <cellStyle name="Normal 10 2 10 2 32 2 5" xfId="3962" xr:uid="{00000000-0005-0000-0000-00003B0F0000}"/>
    <cellStyle name="Normal 10 2 10 2 32 2 6" xfId="3963" xr:uid="{00000000-0005-0000-0000-00003C0F0000}"/>
    <cellStyle name="Normal 10 2 10 2 32 2 7" xfId="3964" xr:uid="{00000000-0005-0000-0000-00003D0F0000}"/>
    <cellStyle name="Normal 10 2 10 2 32 2 8" xfId="3965" xr:uid="{00000000-0005-0000-0000-00003E0F0000}"/>
    <cellStyle name="Normal 10 2 10 2 32 2 9" xfId="3966" xr:uid="{00000000-0005-0000-0000-00003F0F0000}"/>
    <cellStyle name="Normal 10 2 10 2 32 3" xfId="3967" xr:uid="{00000000-0005-0000-0000-0000400F0000}"/>
    <cellStyle name="Normal 10 2 10 2 32 3 10" xfId="3968" xr:uid="{00000000-0005-0000-0000-0000410F0000}"/>
    <cellStyle name="Normal 10 2 10 2 32 3 2" xfId="3969" xr:uid="{00000000-0005-0000-0000-0000420F0000}"/>
    <cellStyle name="Normal 10 2 10 2 32 3 3" xfId="3970" xr:uid="{00000000-0005-0000-0000-0000430F0000}"/>
    <cellStyle name="Normal 10 2 10 2 32 3 4" xfId="3971" xr:uid="{00000000-0005-0000-0000-0000440F0000}"/>
    <cellStyle name="Normal 10 2 10 2 32 3 5" xfId="3972" xr:uid="{00000000-0005-0000-0000-0000450F0000}"/>
    <cellStyle name="Normal 10 2 10 2 32 3 6" xfId="3973" xr:uid="{00000000-0005-0000-0000-0000460F0000}"/>
    <cellStyle name="Normal 10 2 10 2 32 3 7" xfId="3974" xr:uid="{00000000-0005-0000-0000-0000470F0000}"/>
    <cellStyle name="Normal 10 2 10 2 32 3 8" xfId="3975" xr:uid="{00000000-0005-0000-0000-0000480F0000}"/>
    <cellStyle name="Normal 10 2 10 2 32 3 9" xfId="3976" xr:uid="{00000000-0005-0000-0000-0000490F0000}"/>
    <cellStyle name="Normal 10 2 10 2 32 4" xfId="3977" xr:uid="{00000000-0005-0000-0000-00004A0F0000}"/>
    <cellStyle name="Normal 10 2 10 2 32 4 10" xfId="3978" xr:uid="{00000000-0005-0000-0000-00004B0F0000}"/>
    <cellStyle name="Normal 10 2 10 2 32 4 2" xfId="3979" xr:uid="{00000000-0005-0000-0000-00004C0F0000}"/>
    <cellStyle name="Normal 10 2 10 2 32 4 3" xfId="3980" xr:uid="{00000000-0005-0000-0000-00004D0F0000}"/>
    <cellStyle name="Normal 10 2 10 2 32 4 4" xfId="3981" xr:uid="{00000000-0005-0000-0000-00004E0F0000}"/>
    <cellStyle name="Normal 10 2 10 2 32 4 5" xfId="3982" xr:uid="{00000000-0005-0000-0000-00004F0F0000}"/>
    <cellStyle name="Normal 10 2 10 2 32 4 6" xfId="3983" xr:uid="{00000000-0005-0000-0000-0000500F0000}"/>
    <cellStyle name="Normal 10 2 10 2 32 4 7" xfId="3984" xr:uid="{00000000-0005-0000-0000-0000510F0000}"/>
    <cellStyle name="Normal 10 2 10 2 32 4 8" xfId="3985" xr:uid="{00000000-0005-0000-0000-0000520F0000}"/>
    <cellStyle name="Normal 10 2 10 2 32 4 9" xfId="3986" xr:uid="{00000000-0005-0000-0000-0000530F0000}"/>
    <cellStyle name="Normal 10 2 10 2 32 5" xfId="3987" xr:uid="{00000000-0005-0000-0000-0000540F0000}"/>
    <cellStyle name="Normal 10 2 10 2 32 5 10" xfId="3988" xr:uid="{00000000-0005-0000-0000-0000550F0000}"/>
    <cellStyle name="Normal 10 2 10 2 32 5 2" xfId="3989" xr:uid="{00000000-0005-0000-0000-0000560F0000}"/>
    <cellStyle name="Normal 10 2 10 2 32 5 3" xfId="3990" xr:uid="{00000000-0005-0000-0000-0000570F0000}"/>
    <cellStyle name="Normal 10 2 10 2 32 5 4" xfId="3991" xr:uid="{00000000-0005-0000-0000-0000580F0000}"/>
    <cellStyle name="Normal 10 2 10 2 32 5 5" xfId="3992" xr:uid="{00000000-0005-0000-0000-0000590F0000}"/>
    <cellStyle name="Normal 10 2 10 2 32 5 6" xfId="3993" xr:uid="{00000000-0005-0000-0000-00005A0F0000}"/>
    <cellStyle name="Normal 10 2 10 2 32 5 7" xfId="3994" xr:uid="{00000000-0005-0000-0000-00005B0F0000}"/>
    <cellStyle name="Normal 10 2 10 2 32 5 8" xfId="3995" xr:uid="{00000000-0005-0000-0000-00005C0F0000}"/>
    <cellStyle name="Normal 10 2 10 2 32 5 9" xfId="3996" xr:uid="{00000000-0005-0000-0000-00005D0F0000}"/>
    <cellStyle name="Normal 10 2 10 2 32 6" xfId="3997" xr:uid="{00000000-0005-0000-0000-00005E0F0000}"/>
    <cellStyle name="Normal 10 2 10 2 32 7" xfId="3998" xr:uid="{00000000-0005-0000-0000-00005F0F0000}"/>
    <cellStyle name="Normal 10 2 10 2 32 8" xfId="3999" xr:uid="{00000000-0005-0000-0000-0000600F0000}"/>
    <cellStyle name="Normal 10 2 10 2 32 9" xfId="4000" xr:uid="{00000000-0005-0000-0000-0000610F0000}"/>
    <cellStyle name="Normal 10 2 10 2 33" xfId="4001" xr:uid="{00000000-0005-0000-0000-0000620F0000}"/>
    <cellStyle name="Normal 10 2 10 2 33 10" xfId="4002" xr:uid="{00000000-0005-0000-0000-0000630F0000}"/>
    <cellStyle name="Normal 10 2 10 2 33 11" xfId="4003" xr:uid="{00000000-0005-0000-0000-0000640F0000}"/>
    <cellStyle name="Normal 10 2 10 2 33 12" xfId="4004" xr:uid="{00000000-0005-0000-0000-0000650F0000}"/>
    <cellStyle name="Normal 10 2 10 2 33 13" xfId="4005" xr:uid="{00000000-0005-0000-0000-0000660F0000}"/>
    <cellStyle name="Normal 10 2 10 2 33 14" xfId="4006" xr:uid="{00000000-0005-0000-0000-0000670F0000}"/>
    <cellStyle name="Normal 10 2 10 2 33 2" xfId="4007" xr:uid="{00000000-0005-0000-0000-0000680F0000}"/>
    <cellStyle name="Normal 10 2 10 2 33 2 10" xfId="4008" xr:uid="{00000000-0005-0000-0000-0000690F0000}"/>
    <cellStyle name="Normal 10 2 10 2 33 2 2" xfId="4009" xr:uid="{00000000-0005-0000-0000-00006A0F0000}"/>
    <cellStyle name="Normal 10 2 10 2 33 2 3" xfId="4010" xr:uid="{00000000-0005-0000-0000-00006B0F0000}"/>
    <cellStyle name="Normal 10 2 10 2 33 2 4" xfId="4011" xr:uid="{00000000-0005-0000-0000-00006C0F0000}"/>
    <cellStyle name="Normal 10 2 10 2 33 2 5" xfId="4012" xr:uid="{00000000-0005-0000-0000-00006D0F0000}"/>
    <cellStyle name="Normal 10 2 10 2 33 2 6" xfId="4013" xr:uid="{00000000-0005-0000-0000-00006E0F0000}"/>
    <cellStyle name="Normal 10 2 10 2 33 2 7" xfId="4014" xr:uid="{00000000-0005-0000-0000-00006F0F0000}"/>
    <cellStyle name="Normal 10 2 10 2 33 2 8" xfId="4015" xr:uid="{00000000-0005-0000-0000-0000700F0000}"/>
    <cellStyle name="Normal 10 2 10 2 33 2 9" xfId="4016" xr:uid="{00000000-0005-0000-0000-0000710F0000}"/>
    <cellStyle name="Normal 10 2 10 2 33 3" xfId="4017" xr:uid="{00000000-0005-0000-0000-0000720F0000}"/>
    <cellStyle name="Normal 10 2 10 2 33 3 10" xfId="4018" xr:uid="{00000000-0005-0000-0000-0000730F0000}"/>
    <cellStyle name="Normal 10 2 10 2 33 3 2" xfId="4019" xr:uid="{00000000-0005-0000-0000-0000740F0000}"/>
    <cellStyle name="Normal 10 2 10 2 33 3 3" xfId="4020" xr:uid="{00000000-0005-0000-0000-0000750F0000}"/>
    <cellStyle name="Normal 10 2 10 2 33 3 4" xfId="4021" xr:uid="{00000000-0005-0000-0000-0000760F0000}"/>
    <cellStyle name="Normal 10 2 10 2 33 3 5" xfId="4022" xr:uid="{00000000-0005-0000-0000-0000770F0000}"/>
    <cellStyle name="Normal 10 2 10 2 33 3 6" xfId="4023" xr:uid="{00000000-0005-0000-0000-0000780F0000}"/>
    <cellStyle name="Normal 10 2 10 2 33 3 7" xfId="4024" xr:uid="{00000000-0005-0000-0000-0000790F0000}"/>
    <cellStyle name="Normal 10 2 10 2 33 3 8" xfId="4025" xr:uid="{00000000-0005-0000-0000-00007A0F0000}"/>
    <cellStyle name="Normal 10 2 10 2 33 3 9" xfId="4026" xr:uid="{00000000-0005-0000-0000-00007B0F0000}"/>
    <cellStyle name="Normal 10 2 10 2 33 4" xfId="4027" xr:uid="{00000000-0005-0000-0000-00007C0F0000}"/>
    <cellStyle name="Normal 10 2 10 2 33 4 10" xfId="4028" xr:uid="{00000000-0005-0000-0000-00007D0F0000}"/>
    <cellStyle name="Normal 10 2 10 2 33 4 2" xfId="4029" xr:uid="{00000000-0005-0000-0000-00007E0F0000}"/>
    <cellStyle name="Normal 10 2 10 2 33 4 3" xfId="4030" xr:uid="{00000000-0005-0000-0000-00007F0F0000}"/>
    <cellStyle name="Normal 10 2 10 2 33 4 4" xfId="4031" xr:uid="{00000000-0005-0000-0000-0000800F0000}"/>
    <cellStyle name="Normal 10 2 10 2 33 4 5" xfId="4032" xr:uid="{00000000-0005-0000-0000-0000810F0000}"/>
    <cellStyle name="Normal 10 2 10 2 33 4 6" xfId="4033" xr:uid="{00000000-0005-0000-0000-0000820F0000}"/>
    <cellStyle name="Normal 10 2 10 2 33 4 7" xfId="4034" xr:uid="{00000000-0005-0000-0000-0000830F0000}"/>
    <cellStyle name="Normal 10 2 10 2 33 4 8" xfId="4035" xr:uid="{00000000-0005-0000-0000-0000840F0000}"/>
    <cellStyle name="Normal 10 2 10 2 33 4 9" xfId="4036" xr:uid="{00000000-0005-0000-0000-0000850F0000}"/>
    <cellStyle name="Normal 10 2 10 2 33 5" xfId="4037" xr:uid="{00000000-0005-0000-0000-0000860F0000}"/>
    <cellStyle name="Normal 10 2 10 2 33 5 10" xfId="4038" xr:uid="{00000000-0005-0000-0000-0000870F0000}"/>
    <cellStyle name="Normal 10 2 10 2 33 5 2" xfId="4039" xr:uid="{00000000-0005-0000-0000-0000880F0000}"/>
    <cellStyle name="Normal 10 2 10 2 33 5 3" xfId="4040" xr:uid="{00000000-0005-0000-0000-0000890F0000}"/>
    <cellStyle name="Normal 10 2 10 2 33 5 4" xfId="4041" xr:uid="{00000000-0005-0000-0000-00008A0F0000}"/>
    <cellStyle name="Normal 10 2 10 2 33 5 5" xfId="4042" xr:uid="{00000000-0005-0000-0000-00008B0F0000}"/>
    <cellStyle name="Normal 10 2 10 2 33 5 6" xfId="4043" xr:uid="{00000000-0005-0000-0000-00008C0F0000}"/>
    <cellStyle name="Normal 10 2 10 2 33 5 7" xfId="4044" xr:uid="{00000000-0005-0000-0000-00008D0F0000}"/>
    <cellStyle name="Normal 10 2 10 2 33 5 8" xfId="4045" xr:uid="{00000000-0005-0000-0000-00008E0F0000}"/>
    <cellStyle name="Normal 10 2 10 2 33 5 9" xfId="4046" xr:uid="{00000000-0005-0000-0000-00008F0F0000}"/>
    <cellStyle name="Normal 10 2 10 2 33 6" xfId="4047" xr:uid="{00000000-0005-0000-0000-0000900F0000}"/>
    <cellStyle name="Normal 10 2 10 2 33 7" xfId="4048" xr:uid="{00000000-0005-0000-0000-0000910F0000}"/>
    <cellStyle name="Normal 10 2 10 2 33 8" xfId="4049" xr:uid="{00000000-0005-0000-0000-0000920F0000}"/>
    <cellStyle name="Normal 10 2 10 2 33 9" xfId="4050" xr:uid="{00000000-0005-0000-0000-0000930F0000}"/>
    <cellStyle name="Normal 10 2 10 2 34" xfId="4051" xr:uid="{00000000-0005-0000-0000-0000940F0000}"/>
    <cellStyle name="Normal 10 2 10 2 34 10" xfId="4052" xr:uid="{00000000-0005-0000-0000-0000950F0000}"/>
    <cellStyle name="Normal 10 2 10 2 34 2" xfId="4053" xr:uid="{00000000-0005-0000-0000-0000960F0000}"/>
    <cellStyle name="Normal 10 2 10 2 34 3" xfId="4054" xr:uid="{00000000-0005-0000-0000-0000970F0000}"/>
    <cellStyle name="Normal 10 2 10 2 34 4" xfId="4055" xr:uid="{00000000-0005-0000-0000-0000980F0000}"/>
    <cellStyle name="Normal 10 2 10 2 34 5" xfId="4056" xr:uid="{00000000-0005-0000-0000-0000990F0000}"/>
    <cellStyle name="Normal 10 2 10 2 34 6" xfId="4057" xr:uid="{00000000-0005-0000-0000-00009A0F0000}"/>
    <cellStyle name="Normal 10 2 10 2 34 7" xfId="4058" xr:uid="{00000000-0005-0000-0000-00009B0F0000}"/>
    <cellStyle name="Normal 10 2 10 2 34 8" xfId="4059" xr:uid="{00000000-0005-0000-0000-00009C0F0000}"/>
    <cellStyle name="Normal 10 2 10 2 34 9" xfId="4060" xr:uid="{00000000-0005-0000-0000-00009D0F0000}"/>
    <cellStyle name="Normal 10 2 10 2 35" xfId="4061" xr:uid="{00000000-0005-0000-0000-00009E0F0000}"/>
    <cellStyle name="Normal 10 2 10 2 35 10" xfId="4062" xr:uid="{00000000-0005-0000-0000-00009F0F0000}"/>
    <cellStyle name="Normal 10 2 10 2 35 2" xfId="4063" xr:uid="{00000000-0005-0000-0000-0000A00F0000}"/>
    <cellStyle name="Normal 10 2 10 2 35 3" xfId="4064" xr:uid="{00000000-0005-0000-0000-0000A10F0000}"/>
    <cellStyle name="Normal 10 2 10 2 35 4" xfId="4065" xr:uid="{00000000-0005-0000-0000-0000A20F0000}"/>
    <cellStyle name="Normal 10 2 10 2 35 5" xfId="4066" xr:uid="{00000000-0005-0000-0000-0000A30F0000}"/>
    <cellStyle name="Normal 10 2 10 2 35 6" xfId="4067" xr:uid="{00000000-0005-0000-0000-0000A40F0000}"/>
    <cellStyle name="Normal 10 2 10 2 35 7" xfId="4068" xr:uid="{00000000-0005-0000-0000-0000A50F0000}"/>
    <cellStyle name="Normal 10 2 10 2 35 8" xfId="4069" xr:uid="{00000000-0005-0000-0000-0000A60F0000}"/>
    <cellStyle name="Normal 10 2 10 2 35 9" xfId="4070" xr:uid="{00000000-0005-0000-0000-0000A70F0000}"/>
    <cellStyle name="Normal 10 2 10 2 36" xfId="4071" xr:uid="{00000000-0005-0000-0000-0000A80F0000}"/>
    <cellStyle name="Normal 10 2 10 2 36 10" xfId="4072" xr:uid="{00000000-0005-0000-0000-0000A90F0000}"/>
    <cellStyle name="Normal 10 2 10 2 36 2" xfId="4073" xr:uid="{00000000-0005-0000-0000-0000AA0F0000}"/>
    <cellStyle name="Normal 10 2 10 2 36 3" xfId="4074" xr:uid="{00000000-0005-0000-0000-0000AB0F0000}"/>
    <cellStyle name="Normal 10 2 10 2 36 4" xfId="4075" xr:uid="{00000000-0005-0000-0000-0000AC0F0000}"/>
    <cellStyle name="Normal 10 2 10 2 36 5" xfId="4076" xr:uid="{00000000-0005-0000-0000-0000AD0F0000}"/>
    <cellStyle name="Normal 10 2 10 2 36 6" xfId="4077" xr:uid="{00000000-0005-0000-0000-0000AE0F0000}"/>
    <cellStyle name="Normal 10 2 10 2 36 7" xfId="4078" xr:uid="{00000000-0005-0000-0000-0000AF0F0000}"/>
    <cellStyle name="Normal 10 2 10 2 36 8" xfId="4079" xr:uid="{00000000-0005-0000-0000-0000B00F0000}"/>
    <cellStyle name="Normal 10 2 10 2 36 9" xfId="4080" xr:uid="{00000000-0005-0000-0000-0000B10F0000}"/>
    <cellStyle name="Normal 10 2 10 2 37" xfId="4081" xr:uid="{00000000-0005-0000-0000-0000B20F0000}"/>
    <cellStyle name="Normal 10 2 10 2 37 10" xfId="4082" xr:uid="{00000000-0005-0000-0000-0000B30F0000}"/>
    <cellStyle name="Normal 10 2 10 2 37 2" xfId="4083" xr:uid="{00000000-0005-0000-0000-0000B40F0000}"/>
    <cellStyle name="Normal 10 2 10 2 37 3" xfId="4084" xr:uid="{00000000-0005-0000-0000-0000B50F0000}"/>
    <cellStyle name="Normal 10 2 10 2 37 4" xfId="4085" xr:uid="{00000000-0005-0000-0000-0000B60F0000}"/>
    <cellStyle name="Normal 10 2 10 2 37 5" xfId="4086" xr:uid="{00000000-0005-0000-0000-0000B70F0000}"/>
    <cellStyle name="Normal 10 2 10 2 37 6" xfId="4087" xr:uid="{00000000-0005-0000-0000-0000B80F0000}"/>
    <cellStyle name="Normal 10 2 10 2 37 7" xfId="4088" xr:uid="{00000000-0005-0000-0000-0000B90F0000}"/>
    <cellStyle name="Normal 10 2 10 2 37 8" xfId="4089" xr:uid="{00000000-0005-0000-0000-0000BA0F0000}"/>
    <cellStyle name="Normal 10 2 10 2 37 9" xfId="4090" xr:uid="{00000000-0005-0000-0000-0000BB0F0000}"/>
    <cellStyle name="Normal 10 2 10 2 38" xfId="4091" xr:uid="{00000000-0005-0000-0000-0000BC0F0000}"/>
    <cellStyle name="Normal 10 2 10 2 39" xfId="4092" xr:uid="{00000000-0005-0000-0000-0000BD0F0000}"/>
    <cellStyle name="Normal 10 2 10 2 4" xfId="4093" xr:uid="{00000000-0005-0000-0000-0000BE0F0000}"/>
    <cellStyle name="Normal 10 2 10 2 4 10" xfId="4094" xr:uid="{00000000-0005-0000-0000-0000BF0F0000}"/>
    <cellStyle name="Normal 10 2 10 2 4 11" xfId="4095" xr:uid="{00000000-0005-0000-0000-0000C00F0000}"/>
    <cellStyle name="Normal 10 2 10 2 4 12" xfId="4096" xr:uid="{00000000-0005-0000-0000-0000C10F0000}"/>
    <cellStyle name="Normal 10 2 10 2 4 13" xfId="4097" xr:uid="{00000000-0005-0000-0000-0000C20F0000}"/>
    <cellStyle name="Normal 10 2 10 2 4 14" xfId="4098" xr:uid="{00000000-0005-0000-0000-0000C30F0000}"/>
    <cellStyle name="Normal 10 2 10 2 4 2" xfId="4099" xr:uid="{00000000-0005-0000-0000-0000C40F0000}"/>
    <cellStyle name="Normal 10 2 10 2 4 2 10" xfId="4100" xr:uid="{00000000-0005-0000-0000-0000C50F0000}"/>
    <cellStyle name="Normal 10 2 10 2 4 2 2" xfId="4101" xr:uid="{00000000-0005-0000-0000-0000C60F0000}"/>
    <cellStyle name="Normal 10 2 10 2 4 2 3" xfId="4102" xr:uid="{00000000-0005-0000-0000-0000C70F0000}"/>
    <cellStyle name="Normal 10 2 10 2 4 2 4" xfId="4103" xr:uid="{00000000-0005-0000-0000-0000C80F0000}"/>
    <cellStyle name="Normal 10 2 10 2 4 2 5" xfId="4104" xr:uid="{00000000-0005-0000-0000-0000C90F0000}"/>
    <cellStyle name="Normal 10 2 10 2 4 2 6" xfId="4105" xr:uid="{00000000-0005-0000-0000-0000CA0F0000}"/>
    <cellStyle name="Normal 10 2 10 2 4 2 7" xfId="4106" xr:uid="{00000000-0005-0000-0000-0000CB0F0000}"/>
    <cellStyle name="Normal 10 2 10 2 4 2 8" xfId="4107" xr:uid="{00000000-0005-0000-0000-0000CC0F0000}"/>
    <cellStyle name="Normal 10 2 10 2 4 2 9" xfId="4108" xr:uid="{00000000-0005-0000-0000-0000CD0F0000}"/>
    <cellStyle name="Normal 10 2 10 2 4 3" xfId="4109" xr:uid="{00000000-0005-0000-0000-0000CE0F0000}"/>
    <cellStyle name="Normal 10 2 10 2 4 3 10" xfId="4110" xr:uid="{00000000-0005-0000-0000-0000CF0F0000}"/>
    <cellStyle name="Normal 10 2 10 2 4 3 2" xfId="4111" xr:uid="{00000000-0005-0000-0000-0000D00F0000}"/>
    <cellStyle name="Normal 10 2 10 2 4 3 3" xfId="4112" xr:uid="{00000000-0005-0000-0000-0000D10F0000}"/>
    <cellStyle name="Normal 10 2 10 2 4 3 4" xfId="4113" xr:uid="{00000000-0005-0000-0000-0000D20F0000}"/>
    <cellStyle name="Normal 10 2 10 2 4 3 5" xfId="4114" xr:uid="{00000000-0005-0000-0000-0000D30F0000}"/>
    <cellStyle name="Normal 10 2 10 2 4 3 6" xfId="4115" xr:uid="{00000000-0005-0000-0000-0000D40F0000}"/>
    <cellStyle name="Normal 10 2 10 2 4 3 7" xfId="4116" xr:uid="{00000000-0005-0000-0000-0000D50F0000}"/>
    <cellStyle name="Normal 10 2 10 2 4 3 8" xfId="4117" xr:uid="{00000000-0005-0000-0000-0000D60F0000}"/>
    <cellStyle name="Normal 10 2 10 2 4 3 9" xfId="4118" xr:uid="{00000000-0005-0000-0000-0000D70F0000}"/>
    <cellStyle name="Normal 10 2 10 2 4 4" xfId="4119" xr:uid="{00000000-0005-0000-0000-0000D80F0000}"/>
    <cellStyle name="Normal 10 2 10 2 4 4 10" xfId="4120" xr:uid="{00000000-0005-0000-0000-0000D90F0000}"/>
    <cellStyle name="Normal 10 2 10 2 4 4 2" xfId="4121" xr:uid="{00000000-0005-0000-0000-0000DA0F0000}"/>
    <cellStyle name="Normal 10 2 10 2 4 4 3" xfId="4122" xr:uid="{00000000-0005-0000-0000-0000DB0F0000}"/>
    <cellStyle name="Normal 10 2 10 2 4 4 4" xfId="4123" xr:uid="{00000000-0005-0000-0000-0000DC0F0000}"/>
    <cellStyle name="Normal 10 2 10 2 4 4 5" xfId="4124" xr:uid="{00000000-0005-0000-0000-0000DD0F0000}"/>
    <cellStyle name="Normal 10 2 10 2 4 4 6" xfId="4125" xr:uid="{00000000-0005-0000-0000-0000DE0F0000}"/>
    <cellStyle name="Normal 10 2 10 2 4 4 7" xfId="4126" xr:uid="{00000000-0005-0000-0000-0000DF0F0000}"/>
    <cellStyle name="Normal 10 2 10 2 4 4 8" xfId="4127" xr:uid="{00000000-0005-0000-0000-0000E00F0000}"/>
    <cellStyle name="Normal 10 2 10 2 4 4 9" xfId="4128" xr:uid="{00000000-0005-0000-0000-0000E10F0000}"/>
    <cellStyle name="Normal 10 2 10 2 4 5" xfId="4129" xr:uid="{00000000-0005-0000-0000-0000E20F0000}"/>
    <cellStyle name="Normal 10 2 10 2 4 5 10" xfId="4130" xr:uid="{00000000-0005-0000-0000-0000E30F0000}"/>
    <cellStyle name="Normal 10 2 10 2 4 5 2" xfId="4131" xr:uid="{00000000-0005-0000-0000-0000E40F0000}"/>
    <cellStyle name="Normal 10 2 10 2 4 5 3" xfId="4132" xr:uid="{00000000-0005-0000-0000-0000E50F0000}"/>
    <cellStyle name="Normal 10 2 10 2 4 5 4" xfId="4133" xr:uid="{00000000-0005-0000-0000-0000E60F0000}"/>
    <cellStyle name="Normal 10 2 10 2 4 5 5" xfId="4134" xr:uid="{00000000-0005-0000-0000-0000E70F0000}"/>
    <cellStyle name="Normal 10 2 10 2 4 5 6" xfId="4135" xr:uid="{00000000-0005-0000-0000-0000E80F0000}"/>
    <cellStyle name="Normal 10 2 10 2 4 5 7" xfId="4136" xr:uid="{00000000-0005-0000-0000-0000E90F0000}"/>
    <cellStyle name="Normal 10 2 10 2 4 5 8" xfId="4137" xr:uid="{00000000-0005-0000-0000-0000EA0F0000}"/>
    <cellStyle name="Normal 10 2 10 2 4 5 9" xfId="4138" xr:uid="{00000000-0005-0000-0000-0000EB0F0000}"/>
    <cellStyle name="Normal 10 2 10 2 4 6" xfId="4139" xr:uid="{00000000-0005-0000-0000-0000EC0F0000}"/>
    <cellStyle name="Normal 10 2 10 2 4 7" xfId="4140" xr:uid="{00000000-0005-0000-0000-0000ED0F0000}"/>
    <cellStyle name="Normal 10 2 10 2 4 8" xfId="4141" xr:uid="{00000000-0005-0000-0000-0000EE0F0000}"/>
    <cellStyle name="Normal 10 2 10 2 4 9" xfId="4142" xr:uid="{00000000-0005-0000-0000-0000EF0F0000}"/>
    <cellStyle name="Normal 10 2 10 2 40" xfId="4143" xr:uid="{00000000-0005-0000-0000-0000F00F0000}"/>
    <cellStyle name="Normal 10 2 10 2 41" xfId="4144" xr:uid="{00000000-0005-0000-0000-0000F10F0000}"/>
    <cellStyle name="Normal 10 2 10 2 42" xfId="4145" xr:uid="{00000000-0005-0000-0000-0000F20F0000}"/>
    <cellStyle name="Normal 10 2 10 2 43" xfId="4146" xr:uid="{00000000-0005-0000-0000-0000F30F0000}"/>
    <cellStyle name="Normal 10 2 10 2 44" xfId="4147" xr:uid="{00000000-0005-0000-0000-0000F40F0000}"/>
    <cellStyle name="Normal 10 2 10 2 45" xfId="4148" xr:uid="{00000000-0005-0000-0000-0000F50F0000}"/>
    <cellStyle name="Normal 10 2 10 2 46" xfId="4149" xr:uid="{00000000-0005-0000-0000-0000F60F0000}"/>
    <cellStyle name="Normal 10 2 10 2 47" xfId="4150" xr:uid="{00000000-0005-0000-0000-0000F70F0000}"/>
    <cellStyle name="Normal 10 2 10 2 48" xfId="4151" xr:uid="{00000000-0005-0000-0000-0000F80F0000}"/>
    <cellStyle name="Normal 10 2 10 2 49" xfId="2750" xr:uid="{00000000-0005-0000-0000-0000F90F0000}"/>
    <cellStyle name="Normal 10 2 10 2 5" xfId="4152" xr:uid="{00000000-0005-0000-0000-0000FA0F0000}"/>
    <cellStyle name="Normal 10 2 10 2 5 10" xfId="4153" xr:uid="{00000000-0005-0000-0000-0000FB0F0000}"/>
    <cellStyle name="Normal 10 2 10 2 5 11" xfId="4154" xr:uid="{00000000-0005-0000-0000-0000FC0F0000}"/>
    <cellStyle name="Normal 10 2 10 2 5 12" xfId="4155" xr:uid="{00000000-0005-0000-0000-0000FD0F0000}"/>
    <cellStyle name="Normal 10 2 10 2 5 13" xfId="4156" xr:uid="{00000000-0005-0000-0000-0000FE0F0000}"/>
    <cellStyle name="Normal 10 2 10 2 5 14" xfId="4157" xr:uid="{00000000-0005-0000-0000-0000FF0F0000}"/>
    <cellStyle name="Normal 10 2 10 2 5 2" xfId="4158" xr:uid="{00000000-0005-0000-0000-000000100000}"/>
    <cellStyle name="Normal 10 2 10 2 5 2 10" xfId="4159" xr:uid="{00000000-0005-0000-0000-000001100000}"/>
    <cellStyle name="Normal 10 2 10 2 5 2 2" xfId="4160" xr:uid="{00000000-0005-0000-0000-000002100000}"/>
    <cellStyle name="Normal 10 2 10 2 5 2 3" xfId="4161" xr:uid="{00000000-0005-0000-0000-000003100000}"/>
    <cellStyle name="Normal 10 2 10 2 5 2 4" xfId="4162" xr:uid="{00000000-0005-0000-0000-000004100000}"/>
    <cellStyle name="Normal 10 2 10 2 5 2 5" xfId="4163" xr:uid="{00000000-0005-0000-0000-000005100000}"/>
    <cellStyle name="Normal 10 2 10 2 5 2 6" xfId="4164" xr:uid="{00000000-0005-0000-0000-000006100000}"/>
    <cellStyle name="Normal 10 2 10 2 5 2 7" xfId="4165" xr:uid="{00000000-0005-0000-0000-000007100000}"/>
    <cellStyle name="Normal 10 2 10 2 5 2 8" xfId="4166" xr:uid="{00000000-0005-0000-0000-000008100000}"/>
    <cellStyle name="Normal 10 2 10 2 5 2 9" xfId="4167" xr:uid="{00000000-0005-0000-0000-000009100000}"/>
    <cellStyle name="Normal 10 2 10 2 5 3" xfId="4168" xr:uid="{00000000-0005-0000-0000-00000A100000}"/>
    <cellStyle name="Normal 10 2 10 2 5 3 10" xfId="4169" xr:uid="{00000000-0005-0000-0000-00000B100000}"/>
    <cellStyle name="Normal 10 2 10 2 5 3 2" xfId="4170" xr:uid="{00000000-0005-0000-0000-00000C100000}"/>
    <cellStyle name="Normal 10 2 10 2 5 3 3" xfId="4171" xr:uid="{00000000-0005-0000-0000-00000D100000}"/>
    <cellStyle name="Normal 10 2 10 2 5 3 4" xfId="4172" xr:uid="{00000000-0005-0000-0000-00000E100000}"/>
    <cellStyle name="Normal 10 2 10 2 5 3 5" xfId="4173" xr:uid="{00000000-0005-0000-0000-00000F100000}"/>
    <cellStyle name="Normal 10 2 10 2 5 3 6" xfId="4174" xr:uid="{00000000-0005-0000-0000-000010100000}"/>
    <cellStyle name="Normal 10 2 10 2 5 3 7" xfId="4175" xr:uid="{00000000-0005-0000-0000-000011100000}"/>
    <cellStyle name="Normal 10 2 10 2 5 3 8" xfId="4176" xr:uid="{00000000-0005-0000-0000-000012100000}"/>
    <cellStyle name="Normal 10 2 10 2 5 3 9" xfId="4177" xr:uid="{00000000-0005-0000-0000-000013100000}"/>
    <cellStyle name="Normal 10 2 10 2 5 4" xfId="4178" xr:uid="{00000000-0005-0000-0000-000014100000}"/>
    <cellStyle name="Normal 10 2 10 2 5 4 10" xfId="4179" xr:uid="{00000000-0005-0000-0000-000015100000}"/>
    <cellStyle name="Normal 10 2 10 2 5 4 2" xfId="4180" xr:uid="{00000000-0005-0000-0000-000016100000}"/>
    <cellStyle name="Normal 10 2 10 2 5 4 3" xfId="4181" xr:uid="{00000000-0005-0000-0000-000017100000}"/>
    <cellStyle name="Normal 10 2 10 2 5 4 4" xfId="4182" xr:uid="{00000000-0005-0000-0000-000018100000}"/>
    <cellStyle name="Normal 10 2 10 2 5 4 5" xfId="4183" xr:uid="{00000000-0005-0000-0000-000019100000}"/>
    <cellStyle name="Normal 10 2 10 2 5 4 6" xfId="4184" xr:uid="{00000000-0005-0000-0000-00001A100000}"/>
    <cellStyle name="Normal 10 2 10 2 5 4 7" xfId="4185" xr:uid="{00000000-0005-0000-0000-00001B100000}"/>
    <cellStyle name="Normal 10 2 10 2 5 4 8" xfId="4186" xr:uid="{00000000-0005-0000-0000-00001C100000}"/>
    <cellStyle name="Normal 10 2 10 2 5 4 9" xfId="4187" xr:uid="{00000000-0005-0000-0000-00001D100000}"/>
    <cellStyle name="Normal 10 2 10 2 5 5" xfId="4188" xr:uid="{00000000-0005-0000-0000-00001E100000}"/>
    <cellStyle name="Normal 10 2 10 2 5 5 10" xfId="4189" xr:uid="{00000000-0005-0000-0000-00001F100000}"/>
    <cellStyle name="Normal 10 2 10 2 5 5 2" xfId="4190" xr:uid="{00000000-0005-0000-0000-000020100000}"/>
    <cellStyle name="Normal 10 2 10 2 5 5 3" xfId="4191" xr:uid="{00000000-0005-0000-0000-000021100000}"/>
    <cellStyle name="Normal 10 2 10 2 5 5 4" xfId="4192" xr:uid="{00000000-0005-0000-0000-000022100000}"/>
    <cellStyle name="Normal 10 2 10 2 5 5 5" xfId="4193" xr:uid="{00000000-0005-0000-0000-000023100000}"/>
    <cellStyle name="Normal 10 2 10 2 5 5 6" xfId="4194" xr:uid="{00000000-0005-0000-0000-000024100000}"/>
    <cellStyle name="Normal 10 2 10 2 5 5 7" xfId="4195" xr:uid="{00000000-0005-0000-0000-000025100000}"/>
    <cellStyle name="Normal 10 2 10 2 5 5 8" xfId="4196" xr:uid="{00000000-0005-0000-0000-000026100000}"/>
    <cellStyle name="Normal 10 2 10 2 5 5 9" xfId="4197" xr:uid="{00000000-0005-0000-0000-000027100000}"/>
    <cellStyle name="Normal 10 2 10 2 5 6" xfId="4198" xr:uid="{00000000-0005-0000-0000-000028100000}"/>
    <cellStyle name="Normal 10 2 10 2 5 7" xfId="4199" xr:uid="{00000000-0005-0000-0000-000029100000}"/>
    <cellStyle name="Normal 10 2 10 2 5 8" xfId="4200" xr:uid="{00000000-0005-0000-0000-00002A100000}"/>
    <cellStyle name="Normal 10 2 10 2 5 9" xfId="4201" xr:uid="{00000000-0005-0000-0000-00002B100000}"/>
    <cellStyle name="Normal 10 2 10 2 6" xfId="4202" xr:uid="{00000000-0005-0000-0000-00002C100000}"/>
    <cellStyle name="Normal 10 2 10 2 6 10" xfId="4203" xr:uid="{00000000-0005-0000-0000-00002D100000}"/>
    <cellStyle name="Normal 10 2 10 2 6 11" xfId="4204" xr:uid="{00000000-0005-0000-0000-00002E100000}"/>
    <cellStyle name="Normal 10 2 10 2 6 12" xfId="4205" xr:uid="{00000000-0005-0000-0000-00002F100000}"/>
    <cellStyle name="Normal 10 2 10 2 6 13" xfId="4206" xr:uid="{00000000-0005-0000-0000-000030100000}"/>
    <cellStyle name="Normal 10 2 10 2 6 14" xfId="4207" xr:uid="{00000000-0005-0000-0000-000031100000}"/>
    <cellStyle name="Normal 10 2 10 2 6 2" xfId="4208" xr:uid="{00000000-0005-0000-0000-000032100000}"/>
    <cellStyle name="Normal 10 2 10 2 6 2 10" xfId="4209" xr:uid="{00000000-0005-0000-0000-000033100000}"/>
    <cellStyle name="Normal 10 2 10 2 6 2 2" xfId="4210" xr:uid="{00000000-0005-0000-0000-000034100000}"/>
    <cellStyle name="Normal 10 2 10 2 6 2 3" xfId="4211" xr:uid="{00000000-0005-0000-0000-000035100000}"/>
    <cellStyle name="Normal 10 2 10 2 6 2 4" xfId="4212" xr:uid="{00000000-0005-0000-0000-000036100000}"/>
    <cellStyle name="Normal 10 2 10 2 6 2 5" xfId="4213" xr:uid="{00000000-0005-0000-0000-000037100000}"/>
    <cellStyle name="Normal 10 2 10 2 6 2 6" xfId="4214" xr:uid="{00000000-0005-0000-0000-000038100000}"/>
    <cellStyle name="Normal 10 2 10 2 6 2 7" xfId="4215" xr:uid="{00000000-0005-0000-0000-000039100000}"/>
    <cellStyle name="Normal 10 2 10 2 6 2 8" xfId="4216" xr:uid="{00000000-0005-0000-0000-00003A100000}"/>
    <cellStyle name="Normal 10 2 10 2 6 2 9" xfId="4217" xr:uid="{00000000-0005-0000-0000-00003B100000}"/>
    <cellStyle name="Normal 10 2 10 2 6 3" xfId="4218" xr:uid="{00000000-0005-0000-0000-00003C100000}"/>
    <cellStyle name="Normal 10 2 10 2 6 3 10" xfId="4219" xr:uid="{00000000-0005-0000-0000-00003D100000}"/>
    <cellStyle name="Normal 10 2 10 2 6 3 2" xfId="4220" xr:uid="{00000000-0005-0000-0000-00003E100000}"/>
    <cellStyle name="Normal 10 2 10 2 6 3 3" xfId="4221" xr:uid="{00000000-0005-0000-0000-00003F100000}"/>
    <cellStyle name="Normal 10 2 10 2 6 3 4" xfId="4222" xr:uid="{00000000-0005-0000-0000-000040100000}"/>
    <cellStyle name="Normal 10 2 10 2 6 3 5" xfId="4223" xr:uid="{00000000-0005-0000-0000-000041100000}"/>
    <cellStyle name="Normal 10 2 10 2 6 3 6" xfId="4224" xr:uid="{00000000-0005-0000-0000-000042100000}"/>
    <cellStyle name="Normal 10 2 10 2 6 3 7" xfId="4225" xr:uid="{00000000-0005-0000-0000-000043100000}"/>
    <cellStyle name="Normal 10 2 10 2 6 3 8" xfId="4226" xr:uid="{00000000-0005-0000-0000-000044100000}"/>
    <cellStyle name="Normal 10 2 10 2 6 3 9" xfId="4227" xr:uid="{00000000-0005-0000-0000-000045100000}"/>
    <cellStyle name="Normal 10 2 10 2 6 4" xfId="4228" xr:uid="{00000000-0005-0000-0000-000046100000}"/>
    <cellStyle name="Normal 10 2 10 2 6 4 10" xfId="4229" xr:uid="{00000000-0005-0000-0000-000047100000}"/>
    <cellStyle name="Normal 10 2 10 2 6 4 2" xfId="4230" xr:uid="{00000000-0005-0000-0000-000048100000}"/>
    <cellStyle name="Normal 10 2 10 2 6 4 3" xfId="4231" xr:uid="{00000000-0005-0000-0000-000049100000}"/>
    <cellStyle name="Normal 10 2 10 2 6 4 4" xfId="4232" xr:uid="{00000000-0005-0000-0000-00004A100000}"/>
    <cellStyle name="Normal 10 2 10 2 6 4 5" xfId="4233" xr:uid="{00000000-0005-0000-0000-00004B100000}"/>
    <cellStyle name="Normal 10 2 10 2 6 4 6" xfId="4234" xr:uid="{00000000-0005-0000-0000-00004C100000}"/>
    <cellStyle name="Normal 10 2 10 2 6 4 7" xfId="4235" xr:uid="{00000000-0005-0000-0000-00004D100000}"/>
    <cellStyle name="Normal 10 2 10 2 6 4 8" xfId="4236" xr:uid="{00000000-0005-0000-0000-00004E100000}"/>
    <cellStyle name="Normal 10 2 10 2 6 4 9" xfId="4237" xr:uid="{00000000-0005-0000-0000-00004F100000}"/>
    <cellStyle name="Normal 10 2 10 2 6 5" xfId="4238" xr:uid="{00000000-0005-0000-0000-000050100000}"/>
    <cellStyle name="Normal 10 2 10 2 6 5 10" xfId="4239" xr:uid="{00000000-0005-0000-0000-000051100000}"/>
    <cellStyle name="Normal 10 2 10 2 6 5 2" xfId="4240" xr:uid="{00000000-0005-0000-0000-000052100000}"/>
    <cellStyle name="Normal 10 2 10 2 6 5 3" xfId="4241" xr:uid="{00000000-0005-0000-0000-000053100000}"/>
    <cellStyle name="Normal 10 2 10 2 6 5 4" xfId="4242" xr:uid="{00000000-0005-0000-0000-000054100000}"/>
    <cellStyle name="Normal 10 2 10 2 6 5 5" xfId="4243" xr:uid="{00000000-0005-0000-0000-000055100000}"/>
    <cellStyle name="Normal 10 2 10 2 6 5 6" xfId="4244" xr:uid="{00000000-0005-0000-0000-000056100000}"/>
    <cellStyle name="Normal 10 2 10 2 6 5 7" xfId="4245" xr:uid="{00000000-0005-0000-0000-000057100000}"/>
    <cellStyle name="Normal 10 2 10 2 6 5 8" xfId="4246" xr:uid="{00000000-0005-0000-0000-000058100000}"/>
    <cellStyle name="Normal 10 2 10 2 6 5 9" xfId="4247" xr:uid="{00000000-0005-0000-0000-000059100000}"/>
    <cellStyle name="Normal 10 2 10 2 6 6" xfId="4248" xr:uid="{00000000-0005-0000-0000-00005A100000}"/>
    <cellStyle name="Normal 10 2 10 2 6 7" xfId="4249" xr:uid="{00000000-0005-0000-0000-00005B100000}"/>
    <cellStyle name="Normal 10 2 10 2 6 8" xfId="4250" xr:uid="{00000000-0005-0000-0000-00005C100000}"/>
    <cellStyle name="Normal 10 2 10 2 6 9" xfId="4251" xr:uid="{00000000-0005-0000-0000-00005D100000}"/>
    <cellStyle name="Normal 10 2 10 2 7" xfId="4252" xr:uid="{00000000-0005-0000-0000-00005E100000}"/>
    <cellStyle name="Normal 10 2 10 2 7 10" xfId="4253" xr:uid="{00000000-0005-0000-0000-00005F100000}"/>
    <cellStyle name="Normal 10 2 10 2 7 11" xfId="4254" xr:uid="{00000000-0005-0000-0000-000060100000}"/>
    <cellStyle name="Normal 10 2 10 2 7 12" xfId="4255" xr:uid="{00000000-0005-0000-0000-000061100000}"/>
    <cellStyle name="Normal 10 2 10 2 7 13" xfId="4256" xr:uid="{00000000-0005-0000-0000-000062100000}"/>
    <cellStyle name="Normal 10 2 10 2 7 14" xfId="4257" xr:uid="{00000000-0005-0000-0000-000063100000}"/>
    <cellStyle name="Normal 10 2 10 2 7 2" xfId="4258" xr:uid="{00000000-0005-0000-0000-000064100000}"/>
    <cellStyle name="Normal 10 2 10 2 7 2 10" xfId="4259" xr:uid="{00000000-0005-0000-0000-000065100000}"/>
    <cellStyle name="Normal 10 2 10 2 7 2 2" xfId="4260" xr:uid="{00000000-0005-0000-0000-000066100000}"/>
    <cellStyle name="Normal 10 2 10 2 7 2 3" xfId="4261" xr:uid="{00000000-0005-0000-0000-000067100000}"/>
    <cellStyle name="Normal 10 2 10 2 7 2 4" xfId="4262" xr:uid="{00000000-0005-0000-0000-000068100000}"/>
    <cellStyle name="Normal 10 2 10 2 7 2 5" xfId="4263" xr:uid="{00000000-0005-0000-0000-000069100000}"/>
    <cellStyle name="Normal 10 2 10 2 7 2 6" xfId="4264" xr:uid="{00000000-0005-0000-0000-00006A100000}"/>
    <cellStyle name="Normal 10 2 10 2 7 2 7" xfId="4265" xr:uid="{00000000-0005-0000-0000-00006B100000}"/>
    <cellStyle name="Normal 10 2 10 2 7 2 8" xfId="4266" xr:uid="{00000000-0005-0000-0000-00006C100000}"/>
    <cellStyle name="Normal 10 2 10 2 7 2 9" xfId="4267" xr:uid="{00000000-0005-0000-0000-00006D100000}"/>
    <cellStyle name="Normal 10 2 10 2 7 3" xfId="4268" xr:uid="{00000000-0005-0000-0000-00006E100000}"/>
    <cellStyle name="Normal 10 2 10 2 7 3 10" xfId="4269" xr:uid="{00000000-0005-0000-0000-00006F100000}"/>
    <cellStyle name="Normal 10 2 10 2 7 3 2" xfId="4270" xr:uid="{00000000-0005-0000-0000-000070100000}"/>
    <cellStyle name="Normal 10 2 10 2 7 3 3" xfId="4271" xr:uid="{00000000-0005-0000-0000-000071100000}"/>
    <cellStyle name="Normal 10 2 10 2 7 3 4" xfId="4272" xr:uid="{00000000-0005-0000-0000-000072100000}"/>
    <cellStyle name="Normal 10 2 10 2 7 3 5" xfId="4273" xr:uid="{00000000-0005-0000-0000-000073100000}"/>
    <cellStyle name="Normal 10 2 10 2 7 3 6" xfId="4274" xr:uid="{00000000-0005-0000-0000-000074100000}"/>
    <cellStyle name="Normal 10 2 10 2 7 3 7" xfId="4275" xr:uid="{00000000-0005-0000-0000-000075100000}"/>
    <cellStyle name="Normal 10 2 10 2 7 3 8" xfId="4276" xr:uid="{00000000-0005-0000-0000-000076100000}"/>
    <cellStyle name="Normal 10 2 10 2 7 3 9" xfId="4277" xr:uid="{00000000-0005-0000-0000-000077100000}"/>
    <cellStyle name="Normal 10 2 10 2 7 4" xfId="4278" xr:uid="{00000000-0005-0000-0000-000078100000}"/>
    <cellStyle name="Normal 10 2 10 2 7 4 10" xfId="4279" xr:uid="{00000000-0005-0000-0000-000079100000}"/>
    <cellStyle name="Normal 10 2 10 2 7 4 2" xfId="4280" xr:uid="{00000000-0005-0000-0000-00007A100000}"/>
    <cellStyle name="Normal 10 2 10 2 7 4 3" xfId="4281" xr:uid="{00000000-0005-0000-0000-00007B100000}"/>
    <cellStyle name="Normal 10 2 10 2 7 4 4" xfId="4282" xr:uid="{00000000-0005-0000-0000-00007C100000}"/>
    <cellStyle name="Normal 10 2 10 2 7 4 5" xfId="4283" xr:uid="{00000000-0005-0000-0000-00007D100000}"/>
    <cellStyle name="Normal 10 2 10 2 7 4 6" xfId="4284" xr:uid="{00000000-0005-0000-0000-00007E100000}"/>
    <cellStyle name="Normal 10 2 10 2 7 4 7" xfId="4285" xr:uid="{00000000-0005-0000-0000-00007F100000}"/>
    <cellStyle name="Normal 10 2 10 2 7 4 8" xfId="4286" xr:uid="{00000000-0005-0000-0000-000080100000}"/>
    <cellStyle name="Normal 10 2 10 2 7 4 9" xfId="4287" xr:uid="{00000000-0005-0000-0000-000081100000}"/>
    <cellStyle name="Normal 10 2 10 2 7 5" xfId="4288" xr:uid="{00000000-0005-0000-0000-000082100000}"/>
    <cellStyle name="Normal 10 2 10 2 7 5 10" xfId="4289" xr:uid="{00000000-0005-0000-0000-000083100000}"/>
    <cellStyle name="Normal 10 2 10 2 7 5 2" xfId="4290" xr:uid="{00000000-0005-0000-0000-000084100000}"/>
    <cellStyle name="Normal 10 2 10 2 7 5 3" xfId="4291" xr:uid="{00000000-0005-0000-0000-000085100000}"/>
    <cellStyle name="Normal 10 2 10 2 7 5 4" xfId="4292" xr:uid="{00000000-0005-0000-0000-000086100000}"/>
    <cellStyle name="Normal 10 2 10 2 7 5 5" xfId="4293" xr:uid="{00000000-0005-0000-0000-000087100000}"/>
    <cellStyle name="Normal 10 2 10 2 7 5 6" xfId="4294" xr:uid="{00000000-0005-0000-0000-000088100000}"/>
    <cellStyle name="Normal 10 2 10 2 7 5 7" xfId="4295" xr:uid="{00000000-0005-0000-0000-000089100000}"/>
    <cellStyle name="Normal 10 2 10 2 7 5 8" xfId="4296" xr:uid="{00000000-0005-0000-0000-00008A100000}"/>
    <cellStyle name="Normal 10 2 10 2 7 5 9" xfId="4297" xr:uid="{00000000-0005-0000-0000-00008B100000}"/>
    <cellStyle name="Normal 10 2 10 2 7 6" xfId="4298" xr:uid="{00000000-0005-0000-0000-00008C100000}"/>
    <cellStyle name="Normal 10 2 10 2 7 7" xfId="4299" xr:uid="{00000000-0005-0000-0000-00008D100000}"/>
    <cellStyle name="Normal 10 2 10 2 7 8" xfId="4300" xr:uid="{00000000-0005-0000-0000-00008E100000}"/>
    <cellStyle name="Normal 10 2 10 2 7 9" xfId="4301" xr:uid="{00000000-0005-0000-0000-00008F100000}"/>
    <cellStyle name="Normal 10 2 10 2 8" xfId="4302" xr:uid="{00000000-0005-0000-0000-000090100000}"/>
    <cellStyle name="Normal 10 2 10 2 8 10" xfId="4303" xr:uid="{00000000-0005-0000-0000-000091100000}"/>
    <cellStyle name="Normal 10 2 10 2 8 11" xfId="4304" xr:uid="{00000000-0005-0000-0000-000092100000}"/>
    <cellStyle name="Normal 10 2 10 2 8 12" xfId="4305" xr:uid="{00000000-0005-0000-0000-000093100000}"/>
    <cellStyle name="Normal 10 2 10 2 8 13" xfId="4306" xr:uid="{00000000-0005-0000-0000-000094100000}"/>
    <cellStyle name="Normal 10 2 10 2 8 14" xfId="4307" xr:uid="{00000000-0005-0000-0000-000095100000}"/>
    <cellStyle name="Normal 10 2 10 2 8 2" xfId="4308" xr:uid="{00000000-0005-0000-0000-000096100000}"/>
    <cellStyle name="Normal 10 2 10 2 8 2 10" xfId="4309" xr:uid="{00000000-0005-0000-0000-000097100000}"/>
    <cellStyle name="Normal 10 2 10 2 8 2 2" xfId="4310" xr:uid="{00000000-0005-0000-0000-000098100000}"/>
    <cellStyle name="Normal 10 2 10 2 8 2 3" xfId="4311" xr:uid="{00000000-0005-0000-0000-000099100000}"/>
    <cellStyle name="Normal 10 2 10 2 8 2 4" xfId="4312" xr:uid="{00000000-0005-0000-0000-00009A100000}"/>
    <cellStyle name="Normal 10 2 10 2 8 2 5" xfId="4313" xr:uid="{00000000-0005-0000-0000-00009B100000}"/>
    <cellStyle name="Normal 10 2 10 2 8 2 6" xfId="4314" xr:uid="{00000000-0005-0000-0000-00009C100000}"/>
    <cellStyle name="Normal 10 2 10 2 8 2 7" xfId="4315" xr:uid="{00000000-0005-0000-0000-00009D100000}"/>
    <cellStyle name="Normal 10 2 10 2 8 2 8" xfId="4316" xr:uid="{00000000-0005-0000-0000-00009E100000}"/>
    <cellStyle name="Normal 10 2 10 2 8 2 9" xfId="4317" xr:uid="{00000000-0005-0000-0000-00009F100000}"/>
    <cellStyle name="Normal 10 2 10 2 8 3" xfId="4318" xr:uid="{00000000-0005-0000-0000-0000A0100000}"/>
    <cellStyle name="Normal 10 2 10 2 8 3 10" xfId="4319" xr:uid="{00000000-0005-0000-0000-0000A1100000}"/>
    <cellStyle name="Normal 10 2 10 2 8 3 2" xfId="4320" xr:uid="{00000000-0005-0000-0000-0000A2100000}"/>
    <cellStyle name="Normal 10 2 10 2 8 3 3" xfId="4321" xr:uid="{00000000-0005-0000-0000-0000A3100000}"/>
    <cellStyle name="Normal 10 2 10 2 8 3 4" xfId="4322" xr:uid="{00000000-0005-0000-0000-0000A4100000}"/>
    <cellStyle name="Normal 10 2 10 2 8 3 5" xfId="4323" xr:uid="{00000000-0005-0000-0000-0000A5100000}"/>
    <cellStyle name="Normal 10 2 10 2 8 3 6" xfId="4324" xr:uid="{00000000-0005-0000-0000-0000A6100000}"/>
    <cellStyle name="Normal 10 2 10 2 8 3 7" xfId="4325" xr:uid="{00000000-0005-0000-0000-0000A7100000}"/>
    <cellStyle name="Normal 10 2 10 2 8 3 8" xfId="4326" xr:uid="{00000000-0005-0000-0000-0000A8100000}"/>
    <cellStyle name="Normal 10 2 10 2 8 3 9" xfId="4327" xr:uid="{00000000-0005-0000-0000-0000A9100000}"/>
    <cellStyle name="Normal 10 2 10 2 8 4" xfId="4328" xr:uid="{00000000-0005-0000-0000-0000AA100000}"/>
    <cellStyle name="Normal 10 2 10 2 8 4 10" xfId="4329" xr:uid="{00000000-0005-0000-0000-0000AB100000}"/>
    <cellStyle name="Normal 10 2 10 2 8 4 2" xfId="4330" xr:uid="{00000000-0005-0000-0000-0000AC100000}"/>
    <cellStyle name="Normal 10 2 10 2 8 4 3" xfId="4331" xr:uid="{00000000-0005-0000-0000-0000AD100000}"/>
    <cellStyle name="Normal 10 2 10 2 8 4 4" xfId="4332" xr:uid="{00000000-0005-0000-0000-0000AE100000}"/>
    <cellStyle name="Normal 10 2 10 2 8 4 5" xfId="4333" xr:uid="{00000000-0005-0000-0000-0000AF100000}"/>
    <cellStyle name="Normal 10 2 10 2 8 4 6" xfId="4334" xr:uid="{00000000-0005-0000-0000-0000B0100000}"/>
    <cellStyle name="Normal 10 2 10 2 8 4 7" xfId="4335" xr:uid="{00000000-0005-0000-0000-0000B1100000}"/>
    <cellStyle name="Normal 10 2 10 2 8 4 8" xfId="4336" xr:uid="{00000000-0005-0000-0000-0000B2100000}"/>
    <cellStyle name="Normal 10 2 10 2 8 4 9" xfId="4337" xr:uid="{00000000-0005-0000-0000-0000B3100000}"/>
    <cellStyle name="Normal 10 2 10 2 8 5" xfId="4338" xr:uid="{00000000-0005-0000-0000-0000B4100000}"/>
    <cellStyle name="Normal 10 2 10 2 8 5 10" xfId="4339" xr:uid="{00000000-0005-0000-0000-0000B5100000}"/>
    <cellStyle name="Normal 10 2 10 2 8 5 2" xfId="4340" xr:uid="{00000000-0005-0000-0000-0000B6100000}"/>
    <cellStyle name="Normal 10 2 10 2 8 5 3" xfId="4341" xr:uid="{00000000-0005-0000-0000-0000B7100000}"/>
    <cellStyle name="Normal 10 2 10 2 8 5 4" xfId="4342" xr:uid="{00000000-0005-0000-0000-0000B8100000}"/>
    <cellStyle name="Normal 10 2 10 2 8 5 5" xfId="4343" xr:uid="{00000000-0005-0000-0000-0000B9100000}"/>
    <cellStyle name="Normal 10 2 10 2 8 5 6" xfId="4344" xr:uid="{00000000-0005-0000-0000-0000BA100000}"/>
    <cellStyle name="Normal 10 2 10 2 8 5 7" xfId="4345" xr:uid="{00000000-0005-0000-0000-0000BB100000}"/>
    <cellStyle name="Normal 10 2 10 2 8 5 8" xfId="4346" xr:uid="{00000000-0005-0000-0000-0000BC100000}"/>
    <cellStyle name="Normal 10 2 10 2 8 5 9" xfId="4347" xr:uid="{00000000-0005-0000-0000-0000BD100000}"/>
    <cellStyle name="Normal 10 2 10 2 8 6" xfId="4348" xr:uid="{00000000-0005-0000-0000-0000BE100000}"/>
    <cellStyle name="Normal 10 2 10 2 8 7" xfId="4349" xr:uid="{00000000-0005-0000-0000-0000BF100000}"/>
    <cellStyle name="Normal 10 2 10 2 8 8" xfId="4350" xr:uid="{00000000-0005-0000-0000-0000C0100000}"/>
    <cellStyle name="Normal 10 2 10 2 8 9" xfId="4351" xr:uid="{00000000-0005-0000-0000-0000C1100000}"/>
    <cellStyle name="Normal 10 2 10 2 9" xfId="4352" xr:uid="{00000000-0005-0000-0000-0000C2100000}"/>
    <cellStyle name="Normal 10 2 10 2 9 10" xfId="4353" xr:uid="{00000000-0005-0000-0000-0000C3100000}"/>
    <cellStyle name="Normal 10 2 10 2 9 11" xfId="4354" xr:uid="{00000000-0005-0000-0000-0000C4100000}"/>
    <cellStyle name="Normal 10 2 10 2 9 12" xfId="4355" xr:uid="{00000000-0005-0000-0000-0000C5100000}"/>
    <cellStyle name="Normal 10 2 10 2 9 13" xfId="4356" xr:uid="{00000000-0005-0000-0000-0000C6100000}"/>
    <cellStyle name="Normal 10 2 10 2 9 14" xfId="4357" xr:uid="{00000000-0005-0000-0000-0000C7100000}"/>
    <cellStyle name="Normal 10 2 10 2 9 2" xfId="4358" xr:uid="{00000000-0005-0000-0000-0000C8100000}"/>
    <cellStyle name="Normal 10 2 10 2 9 2 10" xfId="4359" xr:uid="{00000000-0005-0000-0000-0000C9100000}"/>
    <cellStyle name="Normal 10 2 10 2 9 2 2" xfId="4360" xr:uid="{00000000-0005-0000-0000-0000CA100000}"/>
    <cellStyle name="Normal 10 2 10 2 9 2 3" xfId="4361" xr:uid="{00000000-0005-0000-0000-0000CB100000}"/>
    <cellStyle name="Normal 10 2 10 2 9 2 4" xfId="4362" xr:uid="{00000000-0005-0000-0000-0000CC100000}"/>
    <cellStyle name="Normal 10 2 10 2 9 2 5" xfId="4363" xr:uid="{00000000-0005-0000-0000-0000CD100000}"/>
    <cellStyle name="Normal 10 2 10 2 9 2 6" xfId="4364" xr:uid="{00000000-0005-0000-0000-0000CE100000}"/>
    <cellStyle name="Normal 10 2 10 2 9 2 7" xfId="4365" xr:uid="{00000000-0005-0000-0000-0000CF100000}"/>
    <cellStyle name="Normal 10 2 10 2 9 2 8" xfId="4366" xr:uid="{00000000-0005-0000-0000-0000D0100000}"/>
    <cellStyle name="Normal 10 2 10 2 9 2 9" xfId="4367" xr:uid="{00000000-0005-0000-0000-0000D1100000}"/>
    <cellStyle name="Normal 10 2 10 2 9 3" xfId="4368" xr:uid="{00000000-0005-0000-0000-0000D2100000}"/>
    <cellStyle name="Normal 10 2 10 2 9 3 10" xfId="4369" xr:uid="{00000000-0005-0000-0000-0000D3100000}"/>
    <cellStyle name="Normal 10 2 10 2 9 3 2" xfId="4370" xr:uid="{00000000-0005-0000-0000-0000D4100000}"/>
    <cellStyle name="Normal 10 2 10 2 9 3 3" xfId="4371" xr:uid="{00000000-0005-0000-0000-0000D5100000}"/>
    <cellStyle name="Normal 10 2 10 2 9 3 4" xfId="4372" xr:uid="{00000000-0005-0000-0000-0000D6100000}"/>
    <cellStyle name="Normal 10 2 10 2 9 3 5" xfId="4373" xr:uid="{00000000-0005-0000-0000-0000D7100000}"/>
    <cellStyle name="Normal 10 2 10 2 9 3 6" xfId="4374" xr:uid="{00000000-0005-0000-0000-0000D8100000}"/>
    <cellStyle name="Normal 10 2 10 2 9 3 7" xfId="4375" xr:uid="{00000000-0005-0000-0000-0000D9100000}"/>
    <cellStyle name="Normal 10 2 10 2 9 3 8" xfId="4376" xr:uid="{00000000-0005-0000-0000-0000DA100000}"/>
    <cellStyle name="Normal 10 2 10 2 9 3 9" xfId="4377" xr:uid="{00000000-0005-0000-0000-0000DB100000}"/>
    <cellStyle name="Normal 10 2 10 2 9 4" xfId="4378" xr:uid="{00000000-0005-0000-0000-0000DC100000}"/>
    <cellStyle name="Normal 10 2 10 2 9 4 10" xfId="4379" xr:uid="{00000000-0005-0000-0000-0000DD100000}"/>
    <cellStyle name="Normal 10 2 10 2 9 4 2" xfId="4380" xr:uid="{00000000-0005-0000-0000-0000DE100000}"/>
    <cellStyle name="Normal 10 2 10 2 9 4 3" xfId="4381" xr:uid="{00000000-0005-0000-0000-0000DF100000}"/>
    <cellStyle name="Normal 10 2 10 2 9 4 4" xfId="4382" xr:uid="{00000000-0005-0000-0000-0000E0100000}"/>
    <cellStyle name="Normal 10 2 10 2 9 4 5" xfId="4383" xr:uid="{00000000-0005-0000-0000-0000E1100000}"/>
    <cellStyle name="Normal 10 2 10 2 9 4 6" xfId="4384" xr:uid="{00000000-0005-0000-0000-0000E2100000}"/>
    <cellStyle name="Normal 10 2 10 2 9 4 7" xfId="4385" xr:uid="{00000000-0005-0000-0000-0000E3100000}"/>
    <cellStyle name="Normal 10 2 10 2 9 4 8" xfId="4386" xr:uid="{00000000-0005-0000-0000-0000E4100000}"/>
    <cellStyle name="Normal 10 2 10 2 9 4 9" xfId="4387" xr:uid="{00000000-0005-0000-0000-0000E5100000}"/>
    <cellStyle name="Normal 10 2 10 2 9 5" xfId="4388" xr:uid="{00000000-0005-0000-0000-0000E6100000}"/>
    <cellStyle name="Normal 10 2 10 2 9 5 10" xfId="4389" xr:uid="{00000000-0005-0000-0000-0000E7100000}"/>
    <cellStyle name="Normal 10 2 10 2 9 5 2" xfId="4390" xr:uid="{00000000-0005-0000-0000-0000E8100000}"/>
    <cellStyle name="Normal 10 2 10 2 9 5 3" xfId="4391" xr:uid="{00000000-0005-0000-0000-0000E9100000}"/>
    <cellStyle name="Normal 10 2 10 2 9 5 4" xfId="4392" xr:uid="{00000000-0005-0000-0000-0000EA100000}"/>
    <cellStyle name="Normal 10 2 10 2 9 5 5" xfId="4393" xr:uid="{00000000-0005-0000-0000-0000EB100000}"/>
    <cellStyle name="Normal 10 2 10 2 9 5 6" xfId="4394" xr:uid="{00000000-0005-0000-0000-0000EC100000}"/>
    <cellStyle name="Normal 10 2 10 2 9 5 7" xfId="4395" xr:uid="{00000000-0005-0000-0000-0000ED100000}"/>
    <cellStyle name="Normal 10 2 10 2 9 5 8" xfId="4396" xr:uid="{00000000-0005-0000-0000-0000EE100000}"/>
    <cellStyle name="Normal 10 2 10 2 9 5 9" xfId="4397" xr:uid="{00000000-0005-0000-0000-0000EF100000}"/>
    <cellStyle name="Normal 10 2 10 2 9 6" xfId="4398" xr:uid="{00000000-0005-0000-0000-0000F0100000}"/>
    <cellStyle name="Normal 10 2 10 2 9 7" xfId="4399" xr:uid="{00000000-0005-0000-0000-0000F1100000}"/>
    <cellStyle name="Normal 10 2 10 2 9 8" xfId="4400" xr:uid="{00000000-0005-0000-0000-0000F2100000}"/>
    <cellStyle name="Normal 10 2 10 2 9 9" xfId="4401" xr:uid="{00000000-0005-0000-0000-0000F3100000}"/>
    <cellStyle name="Normal 10 2 10 20" xfId="4402" xr:uid="{00000000-0005-0000-0000-0000F4100000}"/>
    <cellStyle name="Normal 10 2 10 20 10" xfId="4403" xr:uid="{00000000-0005-0000-0000-0000F5100000}"/>
    <cellStyle name="Normal 10 2 10 20 11" xfId="4404" xr:uid="{00000000-0005-0000-0000-0000F6100000}"/>
    <cellStyle name="Normal 10 2 10 20 12" xfId="4405" xr:uid="{00000000-0005-0000-0000-0000F7100000}"/>
    <cellStyle name="Normal 10 2 10 20 13" xfId="4406" xr:uid="{00000000-0005-0000-0000-0000F8100000}"/>
    <cellStyle name="Normal 10 2 10 20 14" xfId="4407" xr:uid="{00000000-0005-0000-0000-0000F9100000}"/>
    <cellStyle name="Normal 10 2 10 20 2" xfId="4408" xr:uid="{00000000-0005-0000-0000-0000FA100000}"/>
    <cellStyle name="Normal 10 2 10 20 2 10" xfId="4409" xr:uid="{00000000-0005-0000-0000-0000FB100000}"/>
    <cellStyle name="Normal 10 2 10 20 2 2" xfId="4410" xr:uid="{00000000-0005-0000-0000-0000FC100000}"/>
    <cellStyle name="Normal 10 2 10 20 2 3" xfId="4411" xr:uid="{00000000-0005-0000-0000-0000FD100000}"/>
    <cellStyle name="Normal 10 2 10 20 2 4" xfId="4412" xr:uid="{00000000-0005-0000-0000-0000FE100000}"/>
    <cellStyle name="Normal 10 2 10 20 2 5" xfId="4413" xr:uid="{00000000-0005-0000-0000-0000FF100000}"/>
    <cellStyle name="Normal 10 2 10 20 2 6" xfId="4414" xr:uid="{00000000-0005-0000-0000-000000110000}"/>
    <cellStyle name="Normal 10 2 10 20 2 7" xfId="4415" xr:uid="{00000000-0005-0000-0000-000001110000}"/>
    <cellStyle name="Normal 10 2 10 20 2 8" xfId="4416" xr:uid="{00000000-0005-0000-0000-000002110000}"/>
    <cellStyle name="Normal 10 2 10 20 2 9" xfId="4417" xr:uid="{00000000-0005-0000-0000-000003110000}"/>
    <cellStyle name="Normal 10 2 10 20 3" xfId="4418" xr:uid="{00000000-0005-0000-0000-000004110000}"/>
    <cellStyle name="Normal 10 2 10 20 3 10" xfId="4419" xr:uid="{00000000-0005-0000-0000-000005110000}"/>
    <cellStyle name="Normal 10 2 10 20 3 2" xfId="4420" xr:uid="{00000000-0005-0000-0000-000006110000}"/>
    <cellStyle name="Normal 10 2 10 20 3 3" xfId="4421" xr:uid="{00000000-0005-0000-0000-000007110000}"/>
    <cellStyle name="Normal 10 2 10 20 3 4" xfId="4422" xr:uid="{00000000-0005-0000-0000-000008110000}"/>
    <cellStyle name="Normal 10 2 10 20 3 5" xfId="4423" xr:uid="{00000000-0005-0000-0000-000009110000}"/>
    <cellStyle name="Normal 10 2 10 20 3 6" xfId="4424" xr:uid="{00000000-0005-0000-0000-00000A110000}"/>
    <cellStyle name="Normal 10 2 10 20 3 7" xfId="4425" xr:uid="{00000000-0005-0000-0000-00000B110000}"/>
    <cellStyle name="Normal 10 2 10 20 3 8" xfId="4426" xr:uid="{00000000-0005-0000-0000-00000C110000}"/>
    <cellStyle name="Normal 10 2 10 20 3 9" xfId="4427" xr:uid="{00000000-0005-0000-0000-00000D110000}"/>
    <cellStyle name="Normal 10 2 10 20 4" xfId="4428" xr:uid="{00000000-0005-0000-0000-00000E110000}"/>
    <cellStyle name="Normal 10 2 10 20 4 10" xfId="4429" xr:uid="{00000000-0005-0000-0000-00000F110000}"/>
    <cellStyle name="Normal 10 2 10 20 4 2" xfId="4430" xr:uid="{00000000-0005-0000-0000-000010110000}"/>
    <cellStyle name="Normal 10 2 10 20 4 3" xfId="4431" xr:uid="{00000000-0005-0000-0000-000011110000}"/>
    <cellStyle name="Normal 10 2 10 20 4 4" xfId="4432" xr:uid="{00000000-0005-0000-0000-000012110000}"/>
    <cellStyle name="Normal 10 2 10 20 4 5" xfId="4433" xr:uid="{00000000-0005-0000-0000-000013110000}"/>
    <cellStyle name="Normal 10 2 10 20 4 6" xfId="4434" xr:uid="{00000000-0005-0000-0000-000014110000}"/>
    <cellStyle name="Normal 10 2 10 20 4 7" xfId="4435" xr:uid="{00000000-0005-0000-0000-000015110000}"/>
    <cellStyle name="Normal 10 2 10 20 4 8" xfId="4436" xr:uid="{00000000-0005-0000-0000-000016110000}"/>
    <cellStyle name="Normal 10 2 10 20 4 9" xfId="4437" xr:uid="{00000000-0005-0000-0000-000017110000}"/>
    <cellStyle name="Normal 10 2 10 20 5" xfId="4438" xr:uid="{00000000-0005-0000-0000-000018110000}"/>
    <cellStyle name="Normal 10 2 10 20 5 10" xfId="4439" xr:uid="{00000000-0005-0000-0000-000019110000}"/>
    <cellStyle name="Normal 10 2 10 20 5 2" xfId="4440" xr:uid="{00000000-0005-0000-0000-00001A110000}"/>
    <cellStyle name="Normal 10 2 10 20 5 3" xfId="4441" xr:uid="{00000000-0005-0000-0000-00001B110000}"/>
    <cellStyle name="Normal 10 2 10 20 5 4" xfId="4442" xr:uid="{00000000-0005-0000-0000-00001C110000}"/>
    <cellStyle name="Normal 10 2 10 20 5 5" xfId="4443" xr:uid="{00000000-0005-0000-0000-00001D110000}"/>
    <cellStyle name="Normal 10 2 10 20 5 6" xfId="4444" xr:uid="{00000000-0005-0000-0000-00001E110000}"/>
    <cellStyle name="Normal 10 2 10 20 5 7" xfId="4445" xr:uid="{00000000-0005-0000-0000-00001F110000}"/>
    <cellStyle name="Normal 10 2 10 20 5 8" xfId="4446" xr:uid="{00000000-0005-0000-0000-000020110000}"/>
    <cellStyle name="Normal 10 2 10 20 5 9" xfId="4447" xr:uid="{00000000-0005-0000-0000-000021110000}"/>
    <cellStyle name="Normal 10 2 10 20 6" xfId="4448" xr:uid="{00000000-0005-0000-0000-000022110000}"/>
    <cellStyle name="Normal 10 2 10 20 7" xfId="4449" xr:uid="{00000000-0005-0000-0000-000023110000}"/>
    <cellStyle name="Normal 10 2 10 20 8" xfId="4450" xr:uid="{00000000-0005-0000-0000-000024110000}"/>
    <cellStyle name="Normal 10 2 10 20 9" xfId="4451" xr:uid="{00000000-0005-0000-0000-000025110000}"/>
    <cellStyle name="Normal 10 2 10 21" xfId="4452" xr:uid="{00000000-0005-0000-0000-000026110000}"/>
    <cellStyle name="Normal 10 2 10 21 10" xfId="4453" xr:uid="{00000000-0005-0000-0000-000027110000}"/>
    <cellStyle name="Normal 10 2 10 21 11" xfId="4454" xr:uid="{00000000-0005-0000-0000-000028110000}"/>
    <cellStyle name="Normal 10 2 10 21 12" xfId="4455" xr:uid="{00000000-0005-0000-0000-000029110000}"/>
    <cellStyle name="Normal 10 2 10 21 13" xfId="4456" xr:uid="{00000000-0005-0000-0000-00002A110000}"/>
    <cellStyle name="Normal 10 2 10 21 14" xfId="4457" xr:uid="{00000000-0005-0000-0000-00002B110000}"/>
    <cellStyle name="Normal 10 2 10 21 2" xfId="4458" xr:uid="{00000000-0005-0000-0000-00002C110000}"/>
    <cellStyle name="Normal 10 2 10 21 2 10" xfId="4459" xr:uid="{00000000-0005-0000-0000-00002D110000}"/>
    <cellStyle name="Normal 10 2 10 21 2 2" xfId="4460" xr:uid="{00000000-0005-0000-0000-00002E110000}"/>
    <cellStyle name="Normal 10 2 10 21 2 3" xfId="4461" xr:uid="{00000000-0005-0000-0000-00002F110000}"/>
    <cellStyle name="Normal 10 2 10 21 2 4" xfId="4462" xr:uid="{00000000-0005-0000-0000-000030110000}"/>
    <cellStyle name="Normal 10 2 10 21 2 5" xfId="4463" xr:uid="{00000000-0005-0000-0000-000031110000}"/>
    <cellStyle name="Normal 10 2 10 21 2 6" xfId="4464" xr:uid="{00000000-0005-0000-0000-000032110000}"/>
    <cellStyle name="Normal 10 2 10 21 2 7" xfId="4465" xr:uid="{00000000-0005-0000-0000-000033110000}"/>
    <cellStyle name="Normal 10 2 10 21 2 8" xfId="4466" xr:uid="{00000000-0005-0000-0000-000034110000}"/>
    <cellStyle name="Normal 10 2 10 21 2 9" xfId="4467" xr:uid="{00000000-0005-0000-0000-000035110000}"/>
    <cellStyle name="Normal 10 2 10 21 3" xfId="4468" xr:uid="{00000000-0005-0000-0000-000036110000}"/>
    <cellStyle name="Normal 10 2 10 21 3 10" xfId="4469" xr:uid="{00000000-0005-0000-0000-000037110000}"/>
    <cellStyle name="Normal 10 2 10 21 3 2" xfId="4470" xr:uid="{00000000-0005-0000-0000-000038110000}"/>
    <cellStyle name="Normal 10 2 10 21 3 3" xfId="4471" xr:uid="{00000000-0005-0000-0000-000039110000}"/>
    <cellStyle name="Normal 10 2 10 21 3 4" xfId="4472" xr:uid="{00000000-0005-0000-0000-00003A110000}"/>
    <cellStyle name="Normal 10 2 10 21 3 5" xfId="4473" xr:uid="{00000000-0005-0000-0000-00003B110000}"/>
    <cellStyle name="Normal 10 2 10 21 3 6" xfId="4474" xr:uid="{00000000-0005-0000-0000-00003C110000}"/>
    <cellStyle name="Normal 10 2 10 21 3 7" xfId="4475" xr:uid="{00000000-0005-0000-0000-00003D110000}"/>
    <cellStyle name="Normal 10 2 10 21 3 8" xfId="4476" xr:uid="{00000000-0005-0000-0000-00003E110000}"/>
    <cellStyle name="Normal 10 2 10 21 3 9" xfId="4477" xr:uid="{00000000-0005-0000-0000-00003F110000}"/>
    <cellStyle name="Normal 10 2 10 21 4" xfId="4478" xr:uid="{00000000-0005-0000-0000-000040110000}"/>
    <cellStyle name="Normal 10 2 10 21 4 10" xfId="4479" xr:uid="{00000000-0005-0000-0000-000041110000}"/>
    <cellStyle name="Normal 10 2 10 21 4 2" xfId="4480" xr:uid="{00000000-0005-0000-0000-000042110000}"/>
    <cellStyle name="Normal 10 2 10 21 4 3" xfId="4481" xr:uid="{00000000-0005-0000-0000-000043110000}"/>
    <cellStyle name="Normal 10 2 10 21 4 4" xfId="4482" xr:uid="{00000000-0005-0000-0000-000044110000}"/>
    <cellStyle name="Normal 10 2 10 21 4 5" xfId="4483" xr:uid="{00000000-0005-0000-0000-000045110000}"/>
    <cellStyle name="Normal 10 2 10 21 4 6" xfId="4484" xr:uid="{00000000-0005-0000-0000-000046110000}"/>
    <cellStyle name="Normal 10 2 10 21 4 7" xfId="4485" xr:uid="{00000000-0005-0000-0000-000047110000}"/>
    <cellStyle name="Normal 10 2 10 21 4 8" xfId="4486" xr:uid="{00000000-0005-0000-0000-000048110000}"/>
    <cellStyle name="Normal 10 2 10 21 4 9" xfId="4487" xr:uid="{00000000-0005-0000-0000-000049110000}"/>
    <cellStyle name="Normal 10 2 10 21 5" xfId="4488" xr:uid="{00000000-0005-0000-0000-00004A110000}"/>
    <cellStyle name="Normal 10 2 10 21 5 10" xfId="4489" xr:uid="{00000000-0005-0000-0000-00004B110000}"/>
    <cellStyle name="Normal 10 2 10 21 5 2" xfId="4490" xr:uid="{00000000-0005-0000-0000-00004C110000}"/>
    <cellStyle name="Normal 10 2 10 21 5 3" xfId="4491" xr:uid="{00000000-0005-0000-0000-00004D110000}"/>
    <cellStyle name="Normal 10 2 10 21 5 4" xfId="4492" xr:uid="{00000000-0005-0000-0000-00004E110000}"/>
    <cellStyle name="Normal 10 2 10 21 5 5" xfId="4493" xr:uid="{00000000-0005-0000-0000-00004F110000}"/>
    <cellStyle name="Normal 10 2 10 21 5 6" xfId="4494" xr:uid="{00000000-0005-0000-0000-000050110000}"/>
    <cellStyle name="Normal 10 2 10 21 5 7" xfId="4495" xr:uid="{00000000-0005-0000-0000-000051110000}"/>
    <cellStyle name="Normal 10 2 10 21 5 8" xfId="4496" xr:uid="{00000000-0005-0000-0000-000052110000}"/>
    <cellStyle name="Normal 10 2 10 21 5 9" xfId="4497" xr:uid="{00000000-0005-0000-0000-000053110000}"/>
    <cellStyle name="Normal 10 2 10 21 6" xfId="4498" xr:uid="{00000000-0005-0000-0000-000054110000}"/>
    <cellStyle name="Normal 10 2 10 21 7" xfId="4499" xr:uid="{00000000-0005-0000-0000-000055110000}"/>
    <cellStyle name="Normal 10 2 10 21 8" xfId="4500" xr:uid="{00000000-0005-0000-0000-000056110000}"/>
    <cellStyle name="Normal 10 2 10 21 9" xfId="4501" xr:uid="{00000000-0005-0000-0000-000057110000}"/>
    <cellStyle name="Normal 10 2 10 22" xfId="4502" xr:uid="{00000000-0005-0000-0000-000058110000}"/>
    <cellStyle name="Normal 10 2 10 22 10" xfId="4503" xr:uid="{00000000-0005-0000-0000-000059110000}"/>
    <cellStyle name="Normal 10 2 10 22 11" xfId="4504" xr:uid="{00000000-0005-0000-0000-00005A110000}"/>
    <cellStyle name="Normal 10 2 10 22 12" xfId="4505" xr:uid="{00000000-0005-0000-0000-00005B110000}"/>
    <cellStyle name="Normal 10 2 10 22 13" xfId="4506" xr:uid="{00000000-0005-0000-0000-00005C110000}"/>
    <cellStyle name="Normal 10 2 10 22 14" xfId="4507" xr:uid="{00000000-0005-0000-0000-00005D110000}"/>
    <cellStyle name="Normal 10 2 10 22 2" xfId="4508" xr:uid="{00000000-0005-0000-0000-00005E110000}"/>
    <cellStyle name="Normal 10 2 10 22 2 10" xfId="4509" xr:uid="{00000000-0005-0000-0000-00005F110000}"/>
    <cellStyle name="Normal 10 2 10 22 2 2" xfId="4510" xr:uid="{00000000-0005-0000-0000-000060110000}"/>
    <cellStyle name="Normal 10 2 10 22 2 3" xfId="4511" xr:uid="{00000000-0005-0000-0000-000061110000}"/>
    <cellStyle name="Normal 10 2 10 22 2 4" xfId="4512" xr:uid="{00000000-0005-0000-0000-000062110000}"/>
    <cellStyle name="Normal 10 2 10 22 2 5" xfId="4513" xr:uid="{00000000-0005-0000-0000-000063110000}"/>
    <cellStyle name="Normal 10 2 10 22 2 6" xfId="4514" xr:uid="{00000000-0005-0000-0000-000064110000}"/>
    <cellStyle name="Normal 10 2 10 22 2 7" xfId="4515" xr:uid="{00000000-0005-0000-0000-000065110000}"/>
    <cellStyle name="Normal 10 2 10 22 2 8" xfId="4516" xr:uid="{00000000-0005-0000-0000-000066110000}"/>
    <cellStyle name="Normal 10 2 10 22 2 9" xfId="4517" xr:uid="{00000000-0005-0000-0000-000067110000}"/>
    <cellStyle name="Normal 10 2 10 22 3" xfId="4518" xr:uid="{00000000-0005-0000-0000-000068110000}"/>
    <cellStyle name="Normal 10 2 10 22 3 10" xfId="4519" xr:uid="{00000000-0005-0000-0000-000069110000}"/>
    <cellStyle name="Normal 10 2 10 22 3 2" xfId="4520" xr:uid="{00000000-0005-0000-0000-00006A110000}"/>
    <cellStyle name="Normal 10 2 10 22 3 3" xfId="4521" xr:uid="{00000000-0005-0000-0000-00006B110000}"/>
    <cellStyle name="Normal 10 2 10 22 3 4" xfId="4522" xr:uid="{00000000-0005-0000-0000-00006C110000}"/>
    <cellStyle name="Normal 10 2 10 22 3 5" xfId="4523" xr:uid="{00000000-0005-0000-0000-00006D110000}"/>
    <cellStyle name="Normal 10 2 10 22 3 6" xfId="4524" xr:uid="{00000000-0005-0000-0000-00006E110000}"/>
    <cellStyle name="Normal 10 2 10 22 3 7" xfId="4525" xr:uid="{00000000-0005-0000-0000-00006F110000}"/>
    <cellStyle name="Normal 10 2 10 22 3 8" xfId="4526" xr:uid="{00000000-0005-0000-0000-000070110000}"/>
    <cellStyle name="Normal 10 2 10 22 3 9" xfId="4527" xr:uid="{00000000-0005-0000-0000-000071110000}"/>
    <cellStyle name="Normal 10 2 10 22 4" xfId="4528" xr:uid="{00000000-0005-0000-0000-000072110000}"/>
    <cellStyle name="Normal 10 2 10 22 4 10" xfId="4529" xr:uid="{00000000-0005-0000-0000-000073110000}"/>
    <cellStyle name="Normal 10 2 10 22 4 2" xfId="4530" xr:uid="{00000000-0005-0000-0000-000074110000}"/>
    <cellStyle name="Normal 10 2 10 22 4 3" xfId="4531" xr:uid="{00000000-0005-0000-0000-000075110000}"/>
    <cellStyle name="Normal 10 2 10 22 4 4" xfId="4532" xr:uid="{00000000-0005-0000-0000-000076110000}"/>
    <cellStyle name="Normal 10 2 10 22 4 5" xfId="4533" xr:uid="{00000000-0005-0000-0000-000077110000}"/>
    <cellStyle name="Normal 10 2 10 22 4 6" xfId="4534" xr:uid="{00000000-0005-0000-0000-000078110000}"/>
    <cellStyle name="Normal 10 2 10 22 4 7" xfId="4535" xr:uid="{00000000-0005-0000-0000-000079110000}"/>
    <cellStyle name="Normal 10 2 10 22 4 8" xfId="4536" xr:uid="{00000000-0005-0000-0000-00007A110000}"/>
    <cellStyle name="Normal 10 2 10 22 4 9" xfId="4537" xr:uid="{00000000-0005-0000-0000-00007B110000}"/>
    <cellStyle name="Normal 10 2 10 22 5" xfId="4538" xr:uid="{00000000-0005-0000-0000-00007C110000}"/>
    <cellStyle name="Normal 10 2 10 22 5 10" xfId="4539" xr:uid="{00000000-0005-0000-0000-00007D110000}"/>
    <cellStyle name="Normal 10 2 10 22 5 2" xfId="4540" xr:uid="{00000000-0005-0000-0000-00007E110000}"/>
    <cellStyle name="Normal 10 2 10 22 5 3" xfId="4541" xr:uid="{00000000-0005-0000-0000-00007F110000}"/>
    <cellStyle name="Normal 10 2 10 22 5 4" xfId="4542" xr:uid="{00000000-0005-0000-0000-000080110000}"/>
    <cellStyle name="Normal 10 2 10 22 5 5" xfId="4543" xr:uid="{00000000-0005-0000-0000-000081110000}"/>
    <cellStyle name="Normal 10 2 10 22 5 6" xfId="4544" xr:uid="{00000000-0005-0000-0000-000082110000}"/>
    <cellStyle name="Normal 10 2 10 22 5 7" xfId="4545" xr:uid="{00000000-0005-0000-0000-000083110000}"/>
    <cellStyle name="Normal 10 2 10 22 5 8" xfId="4546" xr:uid="{00000000-0005-0000-0000-000084110000}"/>
    <cellStyle name="Normal 10 2 10 22 5 9" xfId="4547" xr:uid="{00000000-0005-0000-0000-000085110000}"/>
    <cellStyle name="Normal 10 2 10 22 6" xfId="4548" xr:uid="{00000000-0005-0000-0000-000086110000}"/>
    <cellStyle name="Normal 10 2 10 22 7" xfId="4549" xr:uid="{00000000-0005-0000-0000-000087110000}"/>
    <cellStyle name="Normal 10 2 10 22 8" xfId="4550" xr:uid="{00000000-0005-0000-0000-000088110000}"/>
    <cellStyle name="Normal 10 2 10 22 9" xfId="4551" xr:uid="{00000000-0005-0000-0000-000089110000}"/>
    <cellStyle name="Normal 10 2 10 23" xfId="4552" xr:uid="{00000000-0005-0000-0000-00008A110000}"/>
    <cellStyle name="Normal 10 2 10 23 10" xfId="4553" xr:uid="{00000000-0005-0000-0000-00008B110000}"/>
    <cellStyle name="Normal 10 2 10 23 11" xfId="4554" xr:uid="{00000000-0005-0000-0000-00008C110000}"/>
    <cellStyle name="Normal 10 2 10 23 12" xfId="4555" xr:uid="{00000000-0005-0000-0000-00008D110000}"/>
    <cellStyle name="Normal 10 2 10 23 13" xfId="4556" xr:uid="{00000000-0005-0000-0000-00008E110000}"/>
    <cellStyle name="Normal 10 2 10 23 14" xfId="4557" xr:uid="{00000000-0005-0000-0000-00008F110000}"/>
    <cellStyle name="Normal 10 2 10 23 2" xfId="4558" xr:uid="{00000000-0005-0000-0000-000090110000}"/>
    <cellStyle name="Normal 10 2 10 23 2 10" xfId="4559" xr:uid="{00000000-0005-0000-0000-000091110000}"/>
    <cellStyle name="Normal 10 2 10 23 2 2" xfId="4560" xr:uid="{00000000-0005-0000-0000-000092110000}"/>
    <cellStyle name="Normal 10 2 10 23 2 3" xfId="4561" xr:uid="{00000000-0005-0000-0000-000093110000}"/>
    <cellStyle name="Normal 10 2 10 23 2 4" xfId="4562" xr:uid="{00000000-0005-0000-0000-000094110000}"/>
    <cellStyle name="Normal 10 2 10 23 2 5" xfId="4563" xr:uid="{00000000-0005-0000-0000-000095110000}"/>
    <cellStyle name="Normal 10 2 10 23 2 6" xfId="4564" xr:uid="{00000000-0005-0000-0000-000096110000}"/>
    <cellStyle name="Normal 10 2 10 23 2 7" xfId="4565" xr:uid="{00000000-0005-0000-0000-000097110000}"/>
    <cellStyle name="Normal 10 2 10 23 2 8" xfId="4566" xr:uid="{00000000-0005-0000-0000-000098110000}"/>
    <cellStyle name="Normal 10 2 10 23 2 9" xfId="4567" xr:uid="{00000000-0005-0000-0000-000099110000}"/>
    <cellStyle name="Normal 10 2 10 23 3" xfId="4568" xr:uid="{00000000-0005-0000-0000-00009A110000}"/>
    <cellStyle name="Normal 10 2 10 23 3 10" xfId="4569" xr:uid="{00000000-0005-0000-0000-00009B110000}"/>
    <cellStyle name="Normal 10 2 10 23 3 2" xfId="4570" xr:uid="{00000000-0005-0000-0000-00009C110000}"/>
    <cellStyle name="Normal 10 2 10 23 3 3" xfId="4571" xr:uid="{00000000-0005-0000-0000-00009D110000}"/>
    <cellStyle name="Normal 10 2 10 23 3 4" xfId="4572" xr:uid="{00000000-0005-0000-0000-00009E110000}"/>
    <cellStyle name="Normal 10 2 10 23 3 5" xfId="4573" xr:uid="{00000000-0005-0000-0000-00009F110000}"/>
    <cellStyle name="Normal 10 2 10 23 3 6" xfId="4574" xr:uid="{00000000-0005-0000-0000-0000A0110000}"/>
    <cellStyle name="Normal 10 2 10 23 3 7" xfId="4575" xr:uid="{00000000-0005-0000-0000-0000A1110000}"/>
    <cellStyle name="Normal 10 2 10 23 3 8" xfId="4576" xr:uid="{00000000-0005-0000-0000-0000A2110000}"/>
    <cellStyle name="Normal 10 2 10 23 3 9" xfId="4577" xr:uid="{00000000-0005-0000-0000-0000A3110000}"/>
    <cellStyle name="Normal 10 2 10 23 4" xfId="4578" xr:uid="{00000000-0005-0000-0000-0000A4110000}"/>
    <cellStyle name="Normal 10 2 10 23 4 10" xfId="4579" xr:uid="{00000000-0005-0000-0000-0000A5110000}"/>
    <cellStyle name="Normal 10 2 10 23 4 2" xfId="4580" xr:uid="{00000000-0005-0000-0000-0000A6110000}"/>
    <cellStyle name="Normal 10 2 10 23 4 3" xfId="4581" xr:uid="{00000000-0005-0000-0000-0000A7110000}"/>
    <cellStyle name="Normal 10 2 10 23 4 4" xfId="4582" xr:uid="{00000000-0005-0000-0000-0000A8110000}"/>
    <cellStyle name="Normal 10 2 10 23 4 5" xfId="4583" xr:uid="{00000000-0005-0000-0000-0000A9110000}"/>
    <cellStyle name="Normal 10 2 10 23 4 6" xfId="4584" xr:uid="{00000000-0005-0000-0000-0000AA110000}"/>
    <cellStyle name="Normal 10 2 10 23 4 7" xfId="4585" xr:uid="{00000000-0005-0000-0000-0000AB110000}"/>
    <cellStyle name="Normal 10 2 10 23 4 8" xfId="4586" xr:uid="{00000000-0005-0000-0000-0000AC110000}"/>
    <cellStyle name="Normal 10 2 10 23 4 9" xfId="4587" xr:uid="{00000000-0005-0000-0000-0000AD110000}"/>
    <cellStyle name="Normal 10 2 10 23 5" xfId="4588" xr:uid="{00000000-0005-0000-0000-0000AE110000}"/>
    <cellStyle name="Normal 10 2 10 23 5 10" xfId="4589" xr:uid="{00000000-0005-0000-0000-0000AF110000}"/>
    <cellStyle name="Normal 10 2 10 23 5 2" xfId="4590" xr:uid="{00000000-0005-0000-0000-0000B0110000}"/>
    <cellStyle name="Normal 10 2 10 23 5 3" xfId="4591" xr:uid="{00000000-0005-0000-0000-0000B1110000}"/>
    <cellStyle name="Normal 10 2 10 23 5 4" xfId="4592" xr:uid="{00000000-0005-0000-0000-0000B2110000}"/>
    <cellStyle name="Normal 10 2 10 23 5 5" xfId="4593" xr:uid="{00000000-0005-0000-0000-0000B3110000}"/>
    <cellStyle name="Normal 10 2 10 23 5 6" xfId="4594" xr:uid="{00000000-0005-0000-0000-0000B4110000}"/>
    <cellStyle name="Normal 10 2 10 23 5 7" xfId="4595" xr:uid="{00000000-0005-0000-0000-0000B5110000}"/>
    <cellStyle name="Normal 10 2 10 23 5 8" xfId="4596" xr:uid="{00000000-0005-0000-0000-0000B6110000}"/>
    <cellStyle name="Normal 10 2 10 23 5 9" xfId="4597" xr:uid="{00000000-0005-0000-0000-0000B7110000}"/>
    <cellStyle name="Normal 10 2 10 23 6" xfId="4598" xr:uid="{00000000-0005-0000-0000-0000B8110000}"/>
    <cellStyle name="Normal 10 2 10 23 7" xfId="4599" xr:uid="{00000000-0005-0000-0000-0000B9110000}"/>
    <cellStyle name="Normal 10 2 10 23 8" xfId="4600" xr:uid="{00000000-0005-0000-0000-0000BA110000}"/>
    <cellStyle name="Normal 10 2 10 23 9" xfId="4601" xr:uid="{00000000-0005-0000-0000-0000BB110000}"/>
    <cellStyle name="Normal 10 2 10 24" xfId="4602" xr:uid="{00000000-0005-0000-0000-0000BC110000}"/>
    <cellStyle name="Normal 10 2 10 24 10" xfId="4603" xr:uid="{00000000-0005-0000-0000-0000BD110000}"/>
    <cellStyle name="Normal 10 2 10 24 11" xfId="4604" xr:uid="{00000000-0005-0000-0000-0000BE110000}"/>
    <cellStyle name="Normal 10 2 10 24 12" xfId="4605" xr:uid="{00000000-0005-0000-0000-0000BF110000}"/>
    <cellStyle name="Normal 10 2 10 24 13" xfId="4606" xr:uid="{00000000-0005-0000-0000-0000C0110000}"/>
    <cellStyle name="Normal 10 2 10 24 14" xfId="4607" xr:uid="{00000000-0005-0000-0000-0000C1110000}"/>
    <cellStyle name="Normal 10 2 10 24 2" xfId="4608" xr:uid="{00000000-0005-0000-0000-0000C2110000}"/>
    <cellStyle name="Normal 10 2 10 24 2 10" xfId="4609" xr:uid="{00000000-0005-0000-0000-0000C3110000}"/>
    <cellStyle name="Normal 10 2 10 24 2 2" xfId="4610" xr:uid="{00000000-0005-0000-0000-0000C4110000}"/>
    <cellStyle name="Normal 10 2 10 24 2 3" xfId="4611" xr:uid="{00000000-0005-0000-0000-0000C5110000}"/>
    <cellStyle name="Normal 10 2 10 24 2 4" xfId="4612" xr:uid="{00000000-0005-0000-0000-0000C6110000}"/>
    <cellStyle name="Normal 10 2 10 24 2 5" xfId="4613" xr:uid="{00000000-0005-0000-0000-0000C7110000}"/>
    <cellStyle name="Normal 10 2 10 24 2 6" xfId="4614" xr:uid="{00000000-0005-0000-0000-0000C8110000}"/>
    <cellStyle name="Normal 10 2 10 24 2 7" xfId="4615" xr:uid="{00000000-0005-0000-0000-0000C9110000}"/>
    <cellStyle name="Normal 10 2 10 24 2 8" xfId="4616" xr:uid="{00000000-0005-0000-0000-0000CA110000}"/>
    <cellStyle name="Normal 10 2 10 24 2 9" xfId="4617" xr:uid="{00000000-0005-0000-0000-0000CB110000}"/>
    <cellStyle name="Normal 10 2 10 24 3" xfId="4618" xr:uid="{00000000-0005-0000-0000-0000CC110000}"/>
    <cellStyle name="Normal 10 2 10 24 3 10" xfId="4619" xr:uid="{00000000-0005-0000-0000-0000CD110000}"/>
    <cellStyle name="Normal 10 2 10 24 3 2" xfId="4620" xr:uid="{00000000-0005-0000-0000-0000CE110000}"/>
    <cellStyle name="Normal 10 2 10 24 3 3" xfId="4621" xr:uid="{00000000-0005-0000-0000-0000CF110000}"/>
    <cellStyle name="Normal 10 2 10 24 3 4" xfId="4622" xr:uid="{00000000-0005-0000-0000-0000D0110000}"/>
    <cellStyle name="Normal 10 2 10 24 3 5" xfId="4623" xr:uid="{00000000-0005-0000-0000-0000D1110000}"/>
    <cellStyle name="Normal 10 2 10 24 3 6" xfId="4624" xr:uid="{00000000-0005-0000-0000-0000D2110000}"/>
    <cellStyle name="Normal 10 2 10 24 3 7" xfId="4625" xr:uid="{00000000-0005-0000-0000-0000D3110000}"/>
    <cellStyle name="Normal 10 2 10 24 3 8" xfId="4626" xr:uid="{00000000-0005-0000-0000-0000D4110000}"/>
    <cellStyle name="Normal 10 2 10 24 3 9" xfId="4627" xr:uid="{00000000-0005-0000-0000-0000D5110000}"/>
    <cellStyle name="Normal 10 2 10 24 4" xfId="4628" xr:uid="{00000000-0005-0000-0000-0000D6110000}"/>
    <cellStyle name="Normal 10 2 10 24 4 10" xfId="4629" xr:uid="{00000000-0005-0000-0000-0000D7110000}"/>
    <cellStyle name="Normal 10 2 10 24 4 2" xfId="4630" xr:uid="{00000000-0005-0000-0000-0000D8110000}"/>
    <cellStyle name="Normal 10 2 10 24 4 3" xfId="4631" xr:uid="{00000000-0005-0000-0000-0000D9110000}"/>
    <cellStyle name="Normal 10 2 10 24 4 4" xfId="4632" xr:uid="{00000000-0005-0000-0000-0000DA110000}"/>
    <cellStyle name="Normal 10 2 10 24 4 5" xfId="4633" xr:uid="{00000000-0005-0000-0000-0000DB110000}"/>
    <cellStyle name="Normal 10 2 10 24 4 6" xfId="4634" xr:uid="{00000000-0005-0000-0000-0000DC110000}"/>
    <cellStyle name="Normal 10 2 10 24 4 7" xfId="4635" xr:uid="{00000000-0005-0000-0000-0000DD110000}"/>
    <cellStyle name="Normal 10 2 10 24 4 8" xfId="4636" xr:uid="{00000000-0005-0000-0000-0000DE110000}"/>
    <cellStyle name="Normal 10 2 10 24 4 9" xfId="4637" xr:uid="{00000000-0005-0000-0000-0000DF110000}"/>
    <cellStyle name="Normal 10 2 10 24 5" xfId="4638" xr:uid="{00000000-0005-0000-0000-0000E0110000}"/>
    <cellStyle name="Normal 10 2 10 24 5 10" xfId="4639" xr:uid="{00000000-0005-0000-0000-0000E1110000}"/>
    <cellStyle name="Normal 10 2 10 24 5 2" xfId="4640" xr:uid="{00000000-0005-0000-0000-0000E2110000}"/>
    <cellStyle name="Normal 10 2 10 24 5 3" xfId="4641" xr:uid="{00000000-0005-0000-0000-0000E3110000}"/>
    <cellStyle name="Normal 10 2 10 24 5 4" xfId="4642" xr:uid="{00000000-0005-0000-0000-0000E4110000}"/>
    <cellStyle name="Normal 10 2 10 24 5 5" xfId="4643" xr:uid="{00000000-0005-0000-0000-0000E5110000}"/>
    <cellStyle name="Normal 10 2 10 24 5 6" xfId="4644" xr:uid="{00000000-0005-0000-0000-0000E6110000}"/>
    <cellStyle name="Normal 10 2 10 24 5 7" xfId="4645" xr:uid="{00000000-0005-0000-0000-0000E7110000}"/>
    <cellStyle name="Normal 10 2 10 24 5 8" xfId="4646" xr:uid="{00000000-0005-0000-0000-0000E8110000}"/>
    <cellStyle name="Normal 10 2 10 24 5 9" xfId="4647" xr:uid="{00000000-0005-0000-0000-0000E9110000}"/>
    <cellStyle name="Normal 10 2 10 24 6" xfId="4648" xr:uid="{00000000-0005-0000-0000-0000EA110000}"/>
    <cellStyle name="Normal 10 2 10 24 7" xfId="4649" xr:uid="{00000000-0005-0000-0000-0000EB110000}"/>
    <cellStyle name="Normal 10 2 10 24 8" xfId="4650" xr:uid="{00000000-0005-0000-0000-0000EC110000}"/>
    <cellStyle name="Normal 10 2 10 24 9" xfId="4651" xr:uid="{00000000-0005-0000-0000-0000ED110000}"/>
    <cellStyle name="Normal 10 2 10 25" xfId="4652" xr:uid="{00000000-0005-0000-0000-0000EE110000}"/>
    <cellStyle name="Normal 10 2 10 25 10" xfId="4653" xr:uid="{00000000-0005-0000-0000-0000EF110000}"/>
    <cellStyle name="Normal 10 2 10 25 11" xfId="4654" xr:uid="{00000000-0005-0000-0000-0000F0110000}"/>
    <cellStyle name="Normal 10 2 10 25 12" xfId="4655" xr:uid="{00000000-0005-0000-0000-0000F1110000}"/>
    <cellStyle name="Normal 10 2 10 25 13" xfId="4656" xr:uid="{00000000-0005-0000-0000-0000F2110000}"/>
    <cellStyle name="Normal 10 2 10 25 14" xfId="4657" xr:uid="{00000000-0005-0000-0000-0000F3110000}"/>
    <cellStyle name="Normal 10 2 10 25 2" xfId="4658" xr:uid="{00000000-0005-0000-0000-0000F4110000}"/>
    <cellStyle name="Normal 10 2 10 25 2 10" xfId="4659" xr:uid="{00000000-0005-0000-0000-0000F5110000}"/>
    <cellStyle name="Normal 10 2 10 25 2 2" xfId="4660" xr:uid="{00000000-0005-0000-0000-0000F6110000}"/>
    <cellStyle name="Normal 10 2 10 25 2 3" xfId="4661" xr:uid="{00000000-0005-0000-0000-0000F7110000}"/>
    <cellStyle name="Normal 10 2 10 25 2 4" xfId="4662" xr:uid="{00000000-0005-0000-0000-0000F8110000}"/>
    <cellStyle name="Normal 10 2 10 25 2 5" xfId="4663" xr:uid="{00000000-0005-0000-0000-0000F9110000}"/>
    <cellStyle name="Normal 10 2 10 25 2 6" xfId="4664" xr:uid="{00000000-0005-0000-0000-0000FA110000}"/>
    <cellStyle name="Normal 10 2 10 25 2 7" xfId="4665" xr:uid="{00000000-0005-0000-0000-0000FB110000}"/>
    <cellStyle name="Normal 10 2 10 25 2 8" xfId="4666" xr:uid="{00000000-0005-0000-0000-0000FC110000}"/>
    <cellStyle name="Normal 10 2 10 25 2 9" xfId="4667" xr:uid="{00000000-0005-0000-0000-0000FD110000}"/>
    <cellStyle name="Normal 10 2 10 25 3" xfId="4668" xr:uid="{00000000-0005-0000-0000-0000FE110000}"/>
    <cellStyle name="Normal 10 2 10 25 3 10" xfId="4669" xr:uid="{00000000-0005-0000-0000-0000FF110000}"/>
    <cellStyle name="Normal 10 2 10 25 3 2" xfId="4670" xr:uid="{00000000-0005-0000-0000-000000120000}"/>
    <cellStyle name="Normal 10 2 10 25 3 3" xfId="4671" xr:uid="{00000000-0005-0000-0000-000001120000}"/>
    <cellStyle name="Normal 10 2 10 25 3 4" xfId="4672" xr:uid="{00000000-0005-0000-0000-000002120000}"/>
    <cellStyle name="Normal 10 2 10 25 3 5" xfId="4673" xr:uid="{00000000-0005-0000-0000-000003120000}"/>
    <cellStyle name="Normal 10 2 10 25 3 6" xfId="4674" xr:uid="{00000000-0005-0000-0000-000004120000}"/>
    <cellStyle name="Normal 10 2 10 25 3 7" xfId="4675" xr:uid="{00000000-0005-0000-0000-000005120000}"/>
    <cellStyle name="Normal 10 2 10 25 3 8" xfId="4676" xr:uid="{00000000-0005-0000-0000-000006120000}"/>
    <cellStyle name="Normal 10 2 10 25 3 9" xfId="4677" xr:uid="{00000000-0005-0000-0000-000007120000}"/>
    <cellStyle name="Normal 10 2 10 25 4" xfId="4678" xr:uid="{00000000-0005-0000-0000-000008120000}"/>
    <cellStyle name="Normal 10 2 10 25 4 10" xfId="4679" xr:uid="{00000000-0005-0000-0000-000009120000}"/>
    <cellStyle name="Normal 10 2 10 25 4 2" xfId="4680" xr:uid="{00000000-0005-0000-0000-00000A120000}"/>
    <cellStyle name="Normal 10 2 10 25 4 3" xfId="4681" xr:uid="{00000000-0005-0000-0000-00000B120000}"/>
    <cellStyle name="Normal 10 2 10 25 4 4" xfId="4682" xr:uid="{00000000-0005-0000-0000-00000C120000}"/>
    <cellStyle name="Normal 10 2 10 25 4 5" xfId="4683" xr:uid="{00000000-0005-0000-0000-00000D120000}"/>
    <cellStyle name="Normal 10 2 10 25 4 6" xfId="4684" xr:uid="{00000000-0005-0000-0000-00000E120000}"/>
    <cellStyle name="Normal 10 2 10 25 4 7" xfId="4685" xr:uid="{00000000-0005-0000-0000-00000F120000}"/>
    <cellStyle name="Normal 10 2 10 25 4 8" xfId="4686" xr:uid="{00000000-0005-0000-0000-000010120000}"/>
    <cellStyle name="Normal 10 2 10 25 4 9" xfId="4687" xr:uid="{00000000-0005-0000-0000-000011120000}"/>
    <cellStyle name="Normal 10 2 10 25 5" xfId="4688" xr:uid="{00000000-0005-0000-0000-000012120000}"/>
    <cellStyle name="Normal 10 2 10 25 5 10" xfId="4689" xr:uid="{00000000-0005-0000-0000-000013120000}"/>
    <cellStyle name="Normal 10 2 10 25 5 2" xfId="4690" xr:uid="{00000000-0005-0000-0000-000014120000}"/>
    <cellStyle name="Normal 10 2 10 25 5 3" xfId="4691" xr:uid="{00000000-0005-0000-0000-000015120000}"/>
    <cellStyle name="Normal 10 2 10 25 5 4" xfId="4692" xr:uid="{00000000-0005-0000-0000-000016120000}"/>
    <cellStyle name="Normal 10 2 10 25 5 5" xfId="4693" xr:uid="{00000000-0005-0000-0000-000017120000}"/>
    <cellStyle name="Normal 10 2 10 25 5 6" xfId="4694" xr:uid="{00000000-0005-0000-0000-000018120000}"/>
    <cellStyle name="Normal 10 2 10 25 5 7" xfId="4695" xr:uid="{00000000-0005-0000-0000-000019120000}"/>
    <cellStyle name="Normal 10 2 10 25 5 8" xfId="4696" xr:uid="{00000000-0005-0000-0000-00001A120000}"/>
    <cellStyle name="Normal 10 2 10 25 5 9" xfId="4697" xr:uid="{00000000-0005-0000-0000-00001B120000}"/>
    <cellStyle name="Normal 10 2 10 25 6" xfId="4698" xr:uid="{00000000-0005-0000-0000-00001C120000}"/>
    <cellStyle name="Normal 10 2 10 25 7" xfId="4699" xr:uid="{00000000-0005-0000-0000-00001D120000}"/>
    <cellStyle name="Normal 10 2 10 25 8" xfId="4700" xr:uid="{00000000-0005-0000-0000-00001E120000}"/>
    <cellStyle name="Normal 10 2 10 25 9" xfId="4701" xr:uid="{00000000-0005-0000-0000-00001F120000}"/>
    <cellStyle name="Normal 10 2 10 26" xfId="4702" xr:uid="{00000000-0005-0000-0000-000020120000}"/>
    <cellStyle name="Normal 10 2 10 26 10" xfId="4703" xr:uid="{00000000-0005-0000-0000-000021120000}"/>
    <cellStyle name="Normal 10 2 10 26 11" xfId="4704" xr:uid="{00000000-0005-0000-0000-000022120000}"/>
    <cellStyle name="Normal 10 2 10 26 12" xfId="4705" xr:uid="{00000000-0005-0000-0000-000023120000}"/>
    <cellStyle name="Normal 10 2 10 26 13" xfId="4706" xr:uid="{00000000-0005-0000-0000-000024120000}"/>
    <cellStyle name="Normal 10 2 10 26 14" xfId="4707" xr:uid="{00000000-0005-0000-0000-000025120000}"/>
    <cellStyle name="Normal 10 2 10 26 2" xfId="4708" xr:uid="{00000000-0005-0000-0000-000026120000}"/>
    <cellStyle name="Normal 10 2 10 26 2 10" xfId="4709" xr:uid="{00000000-0005-0000-0000-000027120000}"/>
    <cellStyle name="Normal 10 2 10 26 2 2" xfId="4710" xr:uid="{00000000-0005-0000-0000-000028120000}"/>
    <cellStyle name="Normal 10 2 10 26 2 3" xfId="4711" xr:uid="{00000000-0005-0000-0000-000029120000}"/>
    <cellStyle name="Normal 10 2 10 26 2 4" xfId="4712" xr:uid="{00000000-0005-0000-0000-00002A120000}"/>
    <cellStyle name="Normal 10 2 10 26 2 5" xfId="4713" xr:uid="{00000000-0005-0000-0000-00002B120000}"/>
    <cellStyle name="Normal 10 2 10 26 2 6" xfId="4714" xr:uid="{00000000-0005-0000-0000-00002C120000}"/>
    <cellStyle name="Normal 10 2 10 26 2 7" xfId="4715" xr:uid="{00000000-0005-0000-0000-00002D120000}"/>
    <cellStyle name="Normal 10 2 10 26 2 8" xfId="4716" xr:uid="{00000000-0005-0000-0000-00002E120000}"/>
    <cellStyle name="Normal 10 2 10 26 2 9" xfId="4717" xr:uid="{00000000-0005-0000-0000-00002F120000}"/>
    <cellStyle name="Normal 10 2 10 26 3" xfId="4718" xr:uid="{00000000-0005-0000-0000-000030120000}"/>
    <cellStyle name="Normal 10 2 10 26 3 10" xfId="4719" xr:uid="{00000000-0005-0000-0000-000031120000}"/>
    <cellStyle name="Normal 10 2 10 26 3 2" xfId="4720" xr:uid="{00000000-0005-0000-0000-000032120000}"/>
    <cellStyle name="Normal 10 2 10 26 3 3" xfId="4721" xr:uid="{00000000-0005-0000-0000-000033120000}"/>
    <cellStyle name="Normal 10 2 10 26 3 4" xfId="4722" xr:uid="{00000000-0005-0000-0000-000034120000}"/>
    <cellStyle name="Normal 10 2 10 26 3 5" xfId="4723" xr:uid="{00000000-0005-0000-0000-000035120000}"/>
    <cellStyle name="Normal 10 2 10 26 3 6" xfId="4724" xr:uid="{00000000-0005-0000-0000-000036120000}"/>
    <cellStyle name="Normal 10 2 10 26 3 7" xfId="4725" xr:uid="{00000000-0005-0000-0000-000037120000}"/>
    <cellStyle name="Normal 10 2 10 26 3 8" xfId="4726" xr:uid="{00000000-0005-0000-0000-000038120000}"/>
    <cellStyle name="Normal 10 2 10 26 3 9" xfId="4727" xr:uid="{00000000-0005-0000-0000-000039120000}"/>
    <cellStyle name="Normal 10 2 10 26 4" xfId="4728" xr:uid="{00000000-0005-0000-0000-00003A120000}"/>
    <cellStyle name="Normal 10 2 10 26 4 10" xfId="4729" xr:uid="{00000000-0005-0000-0000-00003B120000}"/>
    <cellStyle name="Normal 10 2 10 26 4 2" xfId="4730" xr:uid="{00000000-0005-0000-0000-00003C120000}"/>
    <cellStyle name="Normal 10 2 10 26 4 3" xfId="4731" xr:uid="{00000000-0005-0000-0000-00003D120000}"/>
    <cellStyle name="Normal 10 2 10 26 4 4" xfId="4732" xr:uid="{00000000-0005-0000-0000-00003E120000}"/>
    <cellStyle name="Normal 10 2 10 26 4 5" xfId="4733" xr:uid="{00000000-0005-0000-0000-00003F120000}"/>
    <cellStyle name="Normal 10 2 10 26 4 6" xfId="4734" xr:uid="{00000000-0005-0000-0000-000040120000}"/>
    <cellStyle name="Normal 10 2 10 26 4 7" xfId="4735" xr:uid="{00000000-0005-0000-0000-000041120000}"/>
    <cellStyle name="Normal 10 2 10 26 4 8" xfId="4736" xr:uid="{00000000-0005-0000-0000-000042120000}"/>
    <cellStyle name="Normal 10 2 10 26 4 9" xfId="4737" xr:uid="{00000000-0005-0000-0000-000043120000}"/>
    <cellStyle name="Normal 10 2 10 26 5" xfId="4738" xr:uid="{00000000-0005-0000-0000-000044120000}"/>
    <cellStyle name="Normal 10 2 10 26 5 10" xfId="4739" xr:uid="{00000000-0005-0000-0000-000045120000}"/>
    <cellStyle name="Normal 10 2 10 26 5 2" xfId="4740" xr:uid="{00000000-0005-0000-0000-000046120000}"/>
    <cellStyle name="Normal 10 2 10 26 5 3" xfId="4741" xr:uid="{00000000-0005-0000-0000-000047120000}"/>
    <cellStyle name="Normal 10 2 10 26 5 4" xfId="4742" xr:uid="{00000000-0005-0000-0000-000048120000}"/>
    <cellStyle name="Normal 10 2 10 26 5 5" xfId="4743" xr:uid="{00000000-0005-0000-0000-000049120000}"/>
    <cellStyle name="Normal 10 2 10 26 5 6" xfId="4744" xr:uid="{00000000-0005-0000-0000-00004A120000}"/>
    <cellStyle name="Normal 10 2 10 26 5 7" xfId="4745" xr:uid="{00000000-0005-0000-0000-00004B120000}"/>
    <cellStyle name="Normal 10 2 10 26 5 8" xfId="4746" xr:uid="{00000000-0005-0000-0000-00004C120000}"/>
    <cellStyle name="Normal 10 2 10 26 5 9" xfId="4747" xr:uid="{00000000-0005-0000-0000-00004D120000}"/>
    <cellStyle name="Normal 10 2 10 26 6" xfId="4748" xr:uid="{00000000-0005-0000-0000-00004E120000}"/>
    <cellStyle name="Normal 10 2 10 26 7" xfId="4749" xr:uid="{00000000-0005-0000-0000-00004F120000}"/>
    <cellStyle name="Normal 10 2 10 26 8" xfId="4750" xr:uid="{00000000-0005-0000-0000-000050120000}"/>
    <cellStyle name="Normal 10 2 10 26 9" xfId="4751" xr:uid="{00000000-0005-0000-0000-000051120000}"/>
    <cellStyle name="Normal 10 2 10 27" xfId="4752" xr:uid="{00000000-0005-0000-0000-000052120000}"/>
    <cellStyle name="Normal 10 2 10 27 10" xfId="4753" xr:uid="{00000000-0005-0000-0000-000053120000}"/>
    <cellStyle name="Normal 10 2 10 27 11" xfId="4754" xr:uid="{00000000-0005-0000-0000-000054120000}"/>
    <cellStyle name="Normal 10 2 10 27 12" xfId="4755" xr:uid="{00000000-0005-0000-0000-000055120000}"/>
    <cellStyle name="Normal 10 2 10 27 13" xfId="4756" xr:uid="{00000000-0005-0000-0000-000056120000}"/>
    <cellStyle name="Normal 10 2 10 27 14" xfId="4757" xr:uid="{00000000-0005-0000-0000-000057120000}"/>
    <cellStyle name="Normal 10 2 10 27 2" xfId="4758" xr:uid="{00000000-0005-0000-0000-000058120000}"/>
    <cellStyle name="Normal 10 2 10 27 2 10" xfId="4759" xr:uid="{00000000-0005-0000-0000-000059120000}"/>
    <cellStyle name="Normal 10 2 10 27 2 2" xfId="4760" xr:uid="{00000000-0005-0000-0000-00005A120000}"/>
    <cellStyle name="Normal 10 2 10 27 2 3" xfId="4761" xr:uid="{00000000-0005-0000-0000-00005B120000}"/>
    <cellStyle name="Normal 10 2 10 27 2 4" xfId="4762" xr:uid="{00000000-0005-0000-0000-00005C120000}"/>
    <cellStyle name="Normal 10 2 10 27 2 5" xfId="4763" xr:uid="{00000000-0005-0000-0000-00005D120000}"/>
    <cellStyle name="Normal 10 2 10 27 2 6" xfId="4764" xr:uid="{00000000-0005-0000-0000-00005E120000}"/>
    <cellStyle name="Normal 10 2 10 27 2 7" xfId="4765" xr:uid="{00000000-0005-0000-0000-00005F120000}"/>
    <cellStyle name="Normal 10 2 10 27 2 8" xfId="4766" xr:uid="{00000000-0005-0000-0000-000060120000}"/>
    <cellStyle name="Normal 10 2 10 27 2 9" xfId="4767" xr:uid="{00000000-0005-0000-0000-000061120000}"/>
    <cellStyle name="Normal 10 2 10 27 3" xfId="4768" xr:uid="{00000000-0005-0000-0000-000062120000}"/>
    <cellStyle name="Normal 10 2 10 27 3 10" xfId="4769" xr:uid="{00000000-0005-0000-0000-000063120000}"/>
    <cellStyle name="Normal 10 2 10 27 3 2" xfId="4770" xr:uid="{00000000-0005-0000-0000-000064120000}"/>
    <cellStyle name="Normal 10 2 10 27 3 3" xfId="4771" xr:uid="{00000000-0005-0000-0000-000065120000}"/>
    <cellStyle name="Normal 10 2 10 27 3 4" xfId="4772" xr:uid="{00000000-0005-0000-0000-000066120000}"/>
    <cellStyle name="Normal 10 2 10 27 3 5" xfId="4773" xr:uid="{00000000-0005-0000-0000-000067120000}"/>
    <cellStyle name="Normal 10 2 10 27 3 6" xfId="4774" xr:uid="{00000000-0005-0000-0000-000068120000}"/>
    <cellStyle name="Normal 10 2 10 27 3 7" xfId="4775" xr:uid="{00000000-0005-0000-0000-000069120000}"/>
    <cellStyle name="Normal 10 2 10 27 3 8" xfId="4776" xr:uid="{00000000-0005-0000-0000-00006A120000}"/>
    <cellStyle name="Normal 10 2 10 27 3 9" xfId="4777" xr:uid="{00000000-0005-0000-0000-00006B120000}"/>
    <cellStyle name="Normal 10 2 10 27 4" xfId="4778" xr:uid="{00000000-0005-0000-0000-00006C120000}"/>
    <cellStyle name="Normal 10 2 10 27 4 10" xfId="4779" xr:uid="{00000000-0005-0000-0000-00006D120000}"/>
    <cellStyle name="Normal 10 2 10 27 4 2" xfId="4780" xr:uid="{00000000-0005-0000-0000-00006E120000}"/>
    <cellStyle name="Normal 10 2 10 27 4 3" xfId="4781" xr:uid="{00000000-0005-0000-0000-00006F120000}"/>
    <cellStyle name="Normal 10 2 10 27 4 4" xfId="4782" xr:uid="{00000000-0005-0000-0000-000070120000}"/>
    <cellStyle name="Normal 10 2 10 27 4 5" xfId="4783" xr:uid="{00000000-0005-0000-0000-000071120000}"/>
    <cellStyle name="Normal 10 2 10 27 4 6" xfId="4784" xr:uid="{00000000-0005-0000-0000-000072120000}"/>
    <cellStyle name="Normal 10 2 10 27 4 7" xfId="4785" xr:uid="{00000000-0005-0000-0000-000073120000}"/>
    <cellStyle name="Normal 10 2 10 27 4 8" xfId="4786" xr:uid="{00000000-0005-0000-0000-000074120000}"/>
    <cellStyle name="Normal 10 2 10 27 4 9" xfId="4787" xr:uid="{00000000-0005-0000-0000-000075120000}"/>
    <cellStyle name="Normal 10 2 10 27 5" xfId="4788" xr:uid="{00000000-0005-0000-0000-000076120000}"/>
    <cellStyle name="Normal 10 2 10 27 5 10" xfId="4789" xr:uid="{00000000-0005-0000-0000-000077120000}"/>
    <cellStyle name="Normal 10 2 10 27 5 2" xfId="4790" xr:uid="{00000000-0005-0000-0000-000078120000}"/>
    <cellStyle name="Normal 10 2 10 27 5 3" xfId="4791" xr:uid="{00000000-0005-0000-0000-000079120000}"/>
    <cellStyle name="Normal 10 2 10 27 5 4" xfId="4792" xr:uid="{00000000-0005-0000-0000-00007A120000}"/>
    <cellStyle name="Normal 10 2 10 27 5 5" xfId="4793" xr:uid="{00000000-0005-0000-0000-00007B120000}"/>
    <cellStyle name="Normal 10 2 10 27 5 6" xfId="4794" xr:uid="{00000000-0005-0000-0000-00007C120000}"/>
    <cellStyle name="Normal 10 2 10 27 5 7" xfId="4795" xr:uid="{00000000-0005-0000-0000-00007D120000}"/>
    <cellStyle name="Normal 10 2 10 27 5 8" xfId="4796" xr:uid="{00000000-0005-0000-0000-00007E120000}"/>
    <cellStyle name="Normal 10 2 10 27 5 9" xfId="4797" xr:uid="{00000000-0005-0000-0000-00007F120000}"/>
    <cellStyle name="Normal 10 2 10 27 6" xfId="4798" xr:uid="{00000000-0005-0000-0000-000080120000}"/>
    <cellStyle name="Normal 10 2 10 27 7" xfId="4799" xr:uid="{00000000-0005-0000-0000-000081120000}"/>
    <cellStyle name="Normal 10 2 10 27 8" xfId="4800" xr:uid="{00000000-0005-0000-0000-000082120000}"/>
    <cellStyle name="Normal 10 2 10 27 9" xfId="4801" xr:uid="{00000000-0005-0000-0000-000083120000}"/>
    <cellStyle name="Normal 10 2 10 28" xfId="4802" xr:uid="{00000000-0005-0000-0000-000084120000}"/>
    <cellStyle name="Normal 10 2 10 28 10" xfId="4803" xr:uid="{00000000-0005-0000-0000-000085120000}"/>
    <cellStyle name="Normal 10 2 10 28 11" xfId="4804" xr:uid="{00000000-0005-0000-0000-000086120000}"/>
    <cellStyle name="Normal 10 2 10 28 12" xfId="4805" xr:uid="{00000000-0005-0000-0000-000087120000}"/>
    <cellStyle name="Normal 10 2 10 28 13" xfId="4806" xr:uid="{00000000-0005-0000-0000-000088120000}"/>
    <cellStyle name="Normal 10 2 10 28 14" xfId="4807" xr:uid="{00000000-0005-0000-0000-000089120000}"/>
    <cellStyle name="Normal 10 2 10 28 2" xfId="4808" xr:uid="{00000000-0005-0000-0000-00008A120000}"/>
    <cellStyle name="Normal 10 2 10 28 2 10" xfId="4809" xr:uid="{00000000-0005-0000-0000-00008B120000}"/>
    <cellStyle name="Normal 10 2 10 28 2 2" xfId="4810" xr:uid="{00000000-0005-0000-0000-00008C120000}"/>
    <cellStyle name="Normal 10 2 10 28 2 3" xfId="4811" xr:uid="{00000000-0005-0000-0000-00008D120000}"/>
    <cellStyle name="Normal 10 2 10 28 2 4" xfId="4812" xr:uid="{00000000-0005-0000-0000-00008E120000}"/>
    <cellStyle name="Normal 10 2 10 28 2 5" xfId="4813" xr:uid="{00000000-0005-0000-0000-00008F120000}"/>
    <cellStyle name="Normal 10 2 10 28 2 6" xfId="4814" xr:uid="{00000000-0005-0000-0000-000090120000}"/>
    <cellStyle name="Normal 10 2 10 28 2 7" xfId="4815" xr:uid="{00000000-0005-0000-0000-000091120000}"/>
    <cellStyle name="Normal 10 2 10 28 2 8" xfId="4816" xr:uid="{00000000-0005-0000-0000-000092120000}"/>
    <cellStyle name="Normal 10 2 10 28 2 9" xfId="4817" xr:uid="{00000000-0005-0000-0000-000093120000}"/>
    <cellStyle name="Normal 10 2 10 28 3" xfId="4818" xr:uid="{00000000-0005-0000-0000-000094120000}"/>
    <cellStyle name="Normal 10 2 10 28 3 10" xfId="4819" xr:uid="{00000000-0005-0000-0000-000095120000}"/>
    <cellStyle name="Normal 10 2 10 28 3 2" xfId="4820" xr:uid="{00000000-0005-0000-0000-000096120000}"/>
    <cellStyle name="Normal 10 2 10 28 3 3" xfId="4821" xr:uid="{00000000-0005-0000-0000-000097120000}"/>
    <cellStyle name="Normal 10 2 10 28 3 4" xfId="4822" xr:uid="{00000000-0005-0000-0000-000098120000}"/>
    <cellStyle name="Normal 10 2 10 28 3 5" xfId="4823" xr:uid="{00000000-0005-0000-0000-000099120000}"/>
    <cellStyle name="Normal 10 2 10 28 3 6" xfId="4824" xr:uid="{00000000-0005-0000-0000-00009A120000}"/>
    <cellStyle name="Normal 10 2 10 28 3 7" xfId="4825" xr:uid="{00000000-0005-0000-0000-00009B120000}"/>
    <cellStyle name="Normal 10 2 10 28 3 8" xfId="4826" xr:uid="{00000000-0005-0000-0000-00009C120000}"/>
    <cellStyle name="Normal 10 2 10 28 3 9" xfId="4827" xr:uid="{00000000-0005-0000-0000-00009D120000}"/>
    <cellStyle name="Normal 10 2 10 28 4" xfId="4828" xr:uid="{00000000-0005-0000-0000-00009E120000}"/>
    <cellStyle name="Normal 10 2 10 28 4 10" xfId="4829" xr:uid="{00000000-0005-0000-0000-00009F120000}"/>
    <cellStyle name="Normal 10 2 10 28 4 2" xfId="4830" xr:uid="{00000000-0005-0000-0000-0000A0120000}"/>
    <cellStyle name="Normal 10 2 10 28 4 3" xfId="4831" xr:uid="{00000000-0005-0000-0000-0000A1120000}"/>
    <cellStyle name="Normal 10 2 10 28 4 4" xfId="4832" xr:uid="{00000000-0005-0000-0000-0000A2120000}"/>
    <cellStyle name="Normal 10 2 10 28 4 5" xfId="4833" xr:uid="{00000000-0005-0000-0000-0000A3120000}"/>
    <cellStyle name="Normal 10 2 10 28 4 6" xfId="4834" xr:uid="{00000000-0005-0000-0000-0000A4120000}"/>
    <cellStyle name="Normal 10 2 10 28 4 7" xfId="4835" xr:uid="{00000000-0005-0000-0000-0000A5120000}"/>
    <cellStyle name="Normal 10 2 10 28 4 8" xfId="4836" xr:uid="{00000000-0005-0000-0000-0000A6120000}"/>
    <cellStyle name="Normal 10 2 10 28 4 9" xfId="4837" xr:uid="{00000000-0005-0000-0000-0000A7120000}"/>
    <cellStyle name="Normal 10 2 10 28 5" xfId="4838" xr:uid="{00000000-0005-0000-0000-0000A8120000}"/>
    <cellStyle name="Normal 10 2 10 28 5 10" xfId="4839" xr:uid="{00000000-0005-0000-0000-0000A9120000}"/>
    <cellStyle name="Normal 10 2 10 28 5 2" xfId="4840" xr:uid="{00000000-0005-0000-0000-0000AA120000}"/>
    <cellStyle name="Normal 10 2 10 28 5 3" xfId="4841" xr:uid="{00000000-0005-0000-0000-0000AB120000}"/>
    <cellStyle name="Normal 10 2 10 28 5 4" xfId="4842" xr:uid="{00000000-0005-0000-0000-0000AC120000}"/>
    <cellStyle name="Normal 10 2 10 28 5 5" xfId="4843" xr:uid="{00000000-0005-0000-0000-0000AD120000}"/>
    <cellStyle name="Normal 10 2 10 28 5 6" xfId="4844" xr:uid="{00000000-0005-0000-0000-0000AE120000}"/>
    <cellStyle name="Normal 10 2 10 28 5 7" xfId="4845" xr:uid="{00000000-0005-0000-0000-0000AF120000}"/>
    <cellStyle name="Normal 10 2 10 28 5 8" xfId="4846" xr:uid="{00000000-0005-0000-0000-0000B0120000}"/>
    <cellStyle name="Normal 10 2 10 28 5 9" xfId="4847" xr:uid="{00000000-0005-0000-0000-0000B1120000}"/>
    <cellStyle name="Normal 10 2 10 28 6" xfId="4848" xr:uid="{00000000-0005-0000-0000-0000B2120000}"/>
    <cellStyle name="Normal 10 2 10 28 7" xfId="4849" xr:uid="{00000000-0005-0000-0000-0000B3120000}"/>
    <cellStyle name="Normal 10 2 10 28 8" xfId="4850" xr:uid="{00000000-0005-0000-0000-0000B4120000}"/>
    <cellStyle name="Normal 10 2 10 28 9" xfId="4851" xr:uid="{00000000-0005-0000-0000-0000B5120000}"/>
    <cellStyle name="Normal 10 2 10 29" xfId="4852" xr:uid="{00000000-0005-0000-0000-0000B6120000}"/>
    <cellStyle name="Normal 10 2 10 29 10" xfId="4853" xr:uid="{00000000-0005-0000-0000-0000B7120000}"/>
    <cellStyle name="Normal 10 2 10 29 11" xfId="4854" xr:uid="{00000000-0005-0000-0000-0000B8120000}"/>
    <cellStyle name="Normal 10 2 10 29 12" xfId="4855" xr:uid="{00000000-0005-0000-0000-0000B9120000}"/>
    <cellStyle name="Normal 10 2 10 29 13" xfId="4856" xr:uid="{00000000-0005-0000-0000-0000BA120000}"/>
    <cellStyle name="Normal 10 2 10 29 14" xfId="4857" xr:uid="{00000000-0005-0000-0000-0000BB120000}"/>
    <cellStyle name="Normal 10 2 10 29 2" xfId="4858" xr:uid="{00000000-0005-0000-0000-0000BC120000}"/>
    <cellStyle name="Normal 10 2 10 29 2 10" xfId="4859" xr:uid="{00000000-0005-0000-0000-0000BD120000}"/>
    <cellStyle name="Normal 10 2 10 29 2 2" xfId="4860" xr:uid="{00000000-0005-0000-0000-0000BE120000}"/>
    <cellStyle name="Normal 10 2 10 29 2 3" xfId="4861" xr:uid="{00000000-0005-0000-0000-0000BF120000}"/>
    <cellStyle name="Normal 10 2 10 29 2 4" xfId="4862" xr:uid="{00000000-0005-0000-0000-0000C0120000}"/>
    <cellStyle name="Normal 10 2 10 29 2 5" xfId="4863" xr:uid="{00000000-0005-0000-0000-0000C1120000}"/>
    <cellStyle name="Normal 10 2 10 29 2 6" xfId="4864" xr:uid="{00000000-0005-0000-0000-0000C2120000}"/>
    <cellStyle name="Normal 10 2 10 29 2 7" xfId="4865" xr:uid="{00000000-0005-0000-0000-0000C3120000}"/>
    <cellStyle name="Normal 10 2 10 29 2 8" xfId="4866" xr:uid="{00000000-0005-0000-0000-0000C4120000}"/>
    <cellStyle name="Normal 10 2 10 29 2 9" xfId="4867" xr:uid="{00000000-0005-0000-0000-0000C5120000}"/>
    <cellStyle name="Normal 10 2 10 29 3" xfId="4868" xr:uid="{00000000-0005-0000-0000-0000C6120000}"/>
    <cellStyle name="Normal 10 2 10 29 3 10" xfId="4869" xr:uid="{00000000-0005-0000-0000-0000C7120000}"/>
    <cellStyle name="Normal 10 2 10 29 3 2" xfId="4870" xr:uid="{00000000-0005-0000-0000-0000C8120000}"/>
    <cellStyle name="Normal 10 2 10 29 3 3" xfId="4871" xr:uid="{00000000-0005-0000-0000-0000C9120000}"/>
    <cellStyle name="Normal 10 2 10 29 3 4" xfId="4872" xr:uid="{00000000-0005-0000-0000-0000CA120000}"/>
    <cellStyle name="Normal 10 2 10 29 3 5" xfId="4873" xr:uid="{00000000-0005-0000-0000-0000CB120000}"/>
    <cellStyle name="Normal 10 2 10 29 3 6" xfId="4874" xr:uid="{00000000-0005-0000-0000-0000CC120000}"/>
    <cellStyle name="Normal 10 2 10 29 3 7" xfId="4875" xr:uid="{00000000-0005-0000-0000-0000CD120000}"/>
    <cellStyle name="Normal 10 2 10 29 3 8" xfId="4876" xr:uid="{00000000-0005-0000-0000-0000CE120000}"/>
    <cellStyle name="Normal 10 2 10 29 3 9" xfId="4877" xr:uid="{00000000-0005-0000-0000-0000CF120000}"/>
    <cellStyle name="Normal 10 2 10 29 4" xfId="4878" xr:uid="{00000000-0005-0000-0000-0000D0120000}"/>
    <cellStyle name="Normal 10 2 10 29 4 10" xfId="4879" xr:uid="{00000000-0005-0000-0000-0000D1120000}"/>
    <cellStyle name="Normal 10 2 10 29 4 2" xfId="4880" xr:uid="{00000000-0005-0000-0000-0000D2120000}"/>
    <cellStyle name="Normal 10 2 10 29 4 3" xfId="4881" xr:uid="{00000000-0005-0000-0000-0000D3120000}"/>
    <cellStyle name="Normal 10 2 10 29 4 4" xfId="4882" xr:uid="{00000000-0005-0000-0000-0000D4120000}"/>
    <cellStyle name="Normal 10 2 10 29 4 5" xfId="4883" xr:uid="{00000000-0005-0000-0000-0000D5120000}"/>
    <cellStyle name="Normal 10 2 10 29 4 6" xfId="4884" xr:uid="{00000000-0005-0000-0000-0000D6120000}"/>
    <cellStyle name="Normal 10 2 10 29 4 7" xfId="4885" xr:uid="{00000000-0005-0000-0000-0000D7120000}"/>
    <cellStyle name="Normal 10 2 10 29 4 8" xfId="4886" xr:uid="{00000000-0005-0000-0000-0000D8120000}"/>
    <cellStyle name="Normal 10 2 10 29 4 9" xfId="4887" xr:uid="{00000000-0005-0000-0000-0000D9120000}"/>
    <cellStyle name="Normal 10 2 10 29 5" xfId="4888" xr:uid="{00000000-0005-0000-0000-0000DA120000}"/>
    <cellStyle name="Normal 10 2 10 29 5 10" xfId="4889" xr:uid="{00000000-0005-0000-0000-0000DB120000}"/>
    <cellStyle name="Normal 10 2 10 29 5 2" xfId="4890" xr:uid="{00000000-0005-0000-0000-0000DC120000}"/>
    <cellStyle name="Normal 10 2 10 29 5 3" xfId="4891" xr:uid="{00000000-0005-0000-0000-0000DD120000}"/>
    <cellStyle name="Normal 10 2 10 29 5 4" xfId="4892" xr:uid="{00000000-0005-0000-0000-0000DE120000}"/>
    <cellStyle name="Normal 10 2 10 29 5 5" xfId="4893" xr:uid="{00000000-0005-0000-0000-0000DF120000}"/>
    <cellStyle name="Normal 10 2 10 29 5 6" xfId="4894" xr:uid="{00000000-0005-0000-0000-0000E0120000}"/>
    <cellStyle name="Normal 10 2 10 29 5 7" xfId="4895" xr:uid="{00000000-0005-0000-0000-0000E1120000}"/>
    <cellStyle name="Normal 10 2 10 29 5 8" xfId="4896" xr:uid="{00000000-0005-0000-0000-0000E2120000}"/>
    <cellStyle name="Normal 10 2 10 29 5 9" xfId="4897" xr:uid="{00000000-0005-0000-0000-0000E3120000}"/>
    <cellStyle name="Normal 10 2 10 29 6" xfId="4898" xr:uid="{00000000-0005-0000-0000-0000E4120000}"/>
    <cellStyle name="Normal 10 2 10 29 7" xfId="4899" xr:uid="{00000000-0005-0000-0000-0000E5120000}"/>
    <cellStyle name="Normal 10 2 10 29 8" xfId="4900" xr:uid="{00000000-0005-0000-0000-0000E6120000}"/>
    <cellStyle name="Normal 10 2 10 29 9" xfId="4901" xr:uid="{00000000-0005-0000-0000-0000E7120000}"/>
    <cellStyle name="Normal 10 2 10 3" xfId="35" xr:uid="{00000000-0005-0000-0000-0000E8120000}"/>
    <cellStyle name="Normal 10 2 10 3 10" xfId="4903" xr:uid="{00000000-0005-0000-0000-0000E9120000}"/>
    <cellStyle name="Normal 10 2 10 3 11" xfId="4904" xr:uid="{00000000-0005-0000-0000-0000EA120000}"/>
    <cellStyle name="Normal 10 2 10 3 12" xfId="4905" xr:uid="{00000000-0005-0000-0000-0000EB120000}"/>
    <cellStyle name="Normal 10 2 10 3 13" xfId="4906" xr:uid="{00000000-0005-0000-0000-0000EC120000}"/>
    <cellStyle name="Normal 10 2 10 3 14" xfId="4907" xr:uid="{00000000-0005-0000-0000-0000ED120000}"/>
    <cellStyle name="Normal 10 2 10 3 15" xfId="4908" xr:uid="{00000000-0005-0000-0000-0000EE120000}"/>
    <cellStyle name="Normal 10 2 10 3 16" xfId="4902" xr:uid="{00000000-0005-0000-0000-0000EF120000}"/>
    <cellStyle name="Normal 10 2 10 3 2" xfId="4909" xr:uid="{00000000-0005-0000-0000-0000F0120000}"/>
    <cellStyle name="Normal 10 2 10 3 2 10" xfId="4910" xr:uid="{00000000-0005-0000-0000-0000F1120000}"/>
    <cellStyle name="Normal 10 2 10 3 2 2" xfId="4911" xr:uid="{00000000-0005-0000-0000-0000F2120000}"/>
    <cellStyle name="Normal 10 2 10 3 2 3" xfId="4912" xr:uid="{00000000-0005-0000-0000-0000F3120000}"/>
    <cellStyle name="Normal 10 2 10 3 2 4" xfId="4913" xr:uid="{00000000-0005-0000-0000-0000F4120000}"/>
    <cellStyle name="Normal 10 2 10 3 2 5" xfId="4914" xr:uid="{00000000-0005-0000-0000-0000F5120000}"/>
    <cellStyle name="Normal 10 2 10 3 2 6" xfId="4915" xr:uid="{00000000-0005-0000-0000-0000F6120000}"/>
    <cellStyle name="Normal 10 2 10 3 2 7" xfId="4916" xr:uid="{00000000-0005-0000-0000-0000F7120000}"/>
    <cellStyle name="Normal 10 2 10 3 2 8" xfId="4917" xr:uid="{00000000-0005-0000-0000-0000F8120000}"/>
    <cellStyle name="Normal 10 2 10 3 2 9" xfId="4918" xr:uid="{00000000-0005-0000-0000-0000F9120000}"/>
    <cellStyle name="Normal 10 2 10 3 3" xfId="4919" xr:uid="{00000000-0005-0000-0000-0000FA120000}"/>
    <cellStyle name="Normal 10 2 10 3 3 10" xfId="4920" xr:uid="{00000000-0005-0000-0000-0000FB120000}"/>
    <cellStyle name="Normal 10 2 10 3 3 2" xfId="4921" xr:uid="{00000000-0005-0000-0000-0000FC120000}"/>
    <cellStyle name="Normal 10 2 10 3 3 3" xfId="4922" xr:uid="{00000000-0005-0000-0000-0000FD120000}"/>
    <cellStyle name="Normal 10 2 10 3 3 4" xfId="4923" xr:uid="{00000000-0005-0000-0000-0000FE120000}"/>
    <cellStyle name="Normal 10 2 10 3 3 5" xfId="4924" xr:uid="{00000000-0005-0000-0000-0000FF120000}"/>
    <cellStyle name="Normal 10 2 10 3 3 6" xfId="4925" xr:uid="{00000000-0005-0000-0000-000000130000}"/>
    <cellStyle name="Normal 10 2 10 3 3 7" xfId="4926" xr:uid="{00000000-0005-0000-0000-000001130000}"/>
    <cellStyle name="Normal 10 2 10 3 3 8" xfId="4927" xr:uid="{00000000-0005-0000-0000-000002130000}"/>
    <cellStyle name="Normal 10 2 10 3 3 9" xfId="4928" xr:uid="{00000000-0005-0000-0000-000003130000}"/>
    <cellStyle name="Normal 10 2 10 3 4" xfId="4929" xr:uid="{00000000-0005-0000-0000-000004130000}"/>
    <cellStyle name="Normal 10 2 10 3 4 10" xfId="4930" xr:uid="{00000000-0005-0000-0000-000005130000}"/>
    <cellStyle name="Normal 10 2 10 3 4 2" xfId="4931" xr:uid="{00000000-0005-0000-0000-000006130000}"/>
    <cellStyle name="Normal 10 2 10 3 4 3" xfId="4932" xr:uid="{00000000-0005-0000-0000-000007130000}"/>
    <cellStyle name="Normal 10 2 10 3 4 4" xfId="4933" xr:uid="{00000000-0005-0000-0000-000008130000}"/>
    <cellStyle name="Normal 10 2 10 3 4 5" xfId="4934" xr:uid="{00000000-0005-0000-0000-000009130000}"/>
    <cellStyle name="Normal 10 2 10 3 4 6" xfId="4935" xr:uid="{00000000-0005-0000-0000-00000A130000}"/>
    <cellStyle name="Normal 10 2 10 3 4 7" xfId="4936" xr:uid="{00000000-0005-0000-0000-00000B130000}"/>
    <cellStyle name="Normal 10 2 10 3 4 8" xfId="4937" xr:uid="{00000000-0005-0000-0000-00000C130000}"/>
    <cellStyle name="Normal 10 2 10 3 4 9" xfId="4938" xr:uid="{00000000-0005-0000-0000-00000D130000}"/>
    <cellStyle name="Normal 10 2 10 3 5" xfId="4939" xr:uid="{00000000-0005-0000-0000-00000E130000}"/>
    <cellStyle name="Normal 10 2 10 3 5 10" xfId="4940" xr:uid="{00000000-0005-0000-0000-00000F130000}"/>
    <cellStyle name="Normal 10 2 10 3 5 2" xfId="4941" xr:uid="{00000000-0005-0000-0000-000010130000}"/>
    <cellStyle name="Normal 10 2 10 3 5 3" xfId="4942" xr:uid="{00000000-0005-0000-0000-000011130000}"/>
    <cellStyle name="Normal 10 2 10 3 5 4" xfId="4943" xr:uid="{00000000-0005-0000-0000-000012130000}"/>
    <cellStyle name="Normal 10 2 10 3 5 5" xfId="4944" xr:uid="{00000000-0005-0000-0000-000013130000}"/>
    <cellStyle name="Normal 10 2 10 3 5 6" xfId="4945" xr:uid="{00000000-0005-0000-0000-000014130000}"/>
    <cellStyle name="Normal 10 2 10 3 5 7" xfId="4946" xr:uid="{00000000-0005-0000-0000-000015130000}"/>
    <cellStyle name="Normal 10 2 10 3 5 8" xfId="4947" xr:uid="{00000000-0005-0000-0000-000016130000}"/>
    <cellStyle name="Normal 10 2 10 3 5 9" xfId="4948" xr:uid="{00000000-0005-0000-0000-000017130000}"/>
    <cellStyle name="Normal 10 2 10 3 6" xfId="4949" xr:uid="{00000000-0005-0000-0000-000018130000}"/>
    <cellStyle name="Normal 10 2 10 3 7" xfId="4950" xr:uid="{00000000-0005-0000-0000-000019130000}"/>
    <cellStyle name="Normal 10 2 10 3 8" xfId="4951" xr:uid="{00000000-0005-0000-0000-00001A130000}"/>
    <cellStyle name="Normal 10 2 10 3 9" xfId="4952" xr:uid="{00000000-0005-0000-0000-00001B130000}"/>
    <cellStyle name="Normal 10 2 10 30" xfId="4953" xr:uid="{00000000-0005-0000-0000-00001C130000}"/>
    <cellStyle name="Normal 10 2 10 30 10" xfId="4954" xr:uid="{00000000-0005-0000-0000-00001D130000}"/>
    <cellStyle name="Normal 10 2 10 30 11" xfId="4955" xr:uid="{00000000-0005-0000-0000-00001E130000}"/>
    <cellStyle name="Normal 10 2 10 30 12" xfId="4956" xr:uid="{00000000-0005-0000-0000-00001F130000}"/>
    <cellStyle name="Normal 10 2 10 30 13" xfId="4957" xr:uid="{00000000-0005-0000-0000-000020130000}"/>
    <cellStyle name="Normal 10 2 10 30 14" xfId="4958" xr:uid="{00000000-0005-0000-0000-000021130000}"/>
    <cellStyle name="Normal 10 2 10 30 2" xfId="4959" xr:uid="{00000000-0005-0000-0000-000022130000}"/>
    <cellStyle name="Normal 10 2 10 30 2 10" xfId="4960" xr:uid="{00000000-0005-0000-0000-000023130000}"/>
    <cellStyle name="Normal 10 2 10 30 2 2" xfId="4961" xr:uid="{00000000-0005-0000-0000-000024130000}"/>
    <cellStyle name="Normal 10 2 10 30 2 3" xfId="4962" xr:uid="{00000000-0005-0000-0000-000025130000}"/>
    <cellStyle name="Normal 10 2 10 30 2 4" xfId="4963" xr:uid="{00000000-0005-0000-0000-000026130000}"/>
    <cellStyle name="Normal 10 2 10 30 2 5" xfId="4964" xr:uid="{00000000-0005-0000-0000-000027130000}"/>
    <cellStyle name="Normal 10 2 10 30 2 6" xfId="4965" xr:uid="{00000000-0005-0000-0000-000028130000}"/>
    <cellStyle name="Normal 10 2 10 30 2 7" xfId="4966" xr:uid="{00000000-0005-0000-0000-000029130000}"/>
    <cellStyle name="Normal 10 2 10 30 2 8" xfId="4967" xr:uid="{00000000-0005-0000-0000-00002A130000}"/>
    <cellStyle name="Normal 10 2 10 30 2 9" xfId="4968" xr:uid="{00000000-0005-0000-0000-00002B130000}"/>
    <cellStyle name="Normal 10 2 10 30 3" xfId="4969" xr:uid="{00000000-0005-0000-0000-00002C130000}"/>
    <cellStyle name="Normal 10 2 10 30 3 10" xfId="4970" xr:uid="{00000000-0005-0000-0000-00002D130000}"/>
    <cellStyle name="Normal 10 2 10 30 3 2" xfId="4971" xr:uid="{00000000-0005-0000-0000-00002E130000}"/>
    <cellStyle name="Normal 10 2 10 30 3 3" xfId="4972" xr:uid="{00000000-0005-0000-0000-00002F130000}"/>
    <cellStyle name="Normal 10 2 10 30 3 4" xfId="4973" xr:uid="{00000000-0005-0000-0000-000030130000}"/>
    <cellStyle name="Normal 10 2 10 30 3 5" xfId="4974" xr:uid="{00000000-0005-0000-0000-000031130000}"/>
    <cellStyle name="Normal 10 2 10 30 3 6" xfId="4975" xr:uid="{00000000-0005-0000-0000-000032130000}"/>
    <cellStyle name="Normal 10 2 10 30 3 7" xfId="4976" xr:uid="{00000000-0005-0000-0000-000033130000}"/>
    <cellStyle name="Normal 10 2 10 30 3 8" xfId="4977" xr:uid="{00000000-0005-0000-0000-000034130000}"/>
    <cellStyle name="Normal 10 2 10 30 3 9" xfId="4978" xr:uid="{00000000-0005-0000-0000-000035130000}"/>
    <cellStyle name="Normal 10 2 10 30 4" xfId="4979" xr:uid="{00000000-0005-0000-0000-000036130000}"/>
    <cellStyle name="Normal 10 2 10 30 4 10" xfId="4980" xr:uid="{00000000-0005-0000-0000-000037130000}"/>
    <cellStyle name="Normal 10 2 10 30 4 2" xfId="4981" xr:uid="{00000000-0005-0000-0000-000038130000}"/>
    <cellStyle name="Normal 10 2 10 30 4 3" xfId="4982" xr:uid="{00000000-0005-0000-0000-000039130000}"/>
    <cellStyle name="Normal 10 2 10 30 4 4" xfId="4983" xr:uid="{00000000-0005-0000-0000-00003A130000}"/>
    <cellStyle name="Normal 10 2 10 30 4 5" xfId="4984" xr:uid="{00000000-0005-0000-0000-00003B130000}"/>
    <cellStyle name="Normal 10 2 10 30 4 6" xfId="4985" xr:uid="{00000000-0005-0000-0000-00003C130000}"/>
    <cellStyle name="Normal 10 2 10 30 4 7" xfId="4986" xr:uid="{00000000-0005-0000-0000-00003D130000}"/>
    <cellStyle name="Normal 10 2 10 30 4 8" xfId="4987" xr:uid="{00000000-0005-0000-0000-00003E130000}"/>
    <cellStyle name="Normal 10 2 10 30 4 9" xfId="4988" xr:uid="{00000000-0005-0000-0000-00003F130000}"/>
    <cellStyle name="Normal 10 2 10 30 5" xfId="4989" xr:uid="{00000000-0005-0000-0000-000040130000}"/>
    <cellStyle name="Normal 10 2 10 30 5 10" xfId="4990" xr:uid="{00000000-0005-0000-0000-000041130000}"/>
    <cellStyle name="Normal 10 2 10 30 5 2" xfId="4991" xr:uid="{00000000-0005-0000-0000-000042130000}"/>
    <cellStyle name="Normal 10 2 10 30 5 3" xfId="4992" xr:uid="{00000000-0005-0000-0000-000043130000}"/>
    <cellStyle name="Normal 10 2 10 30 5 4" xfId="4993" xr:uid="{00000000-0005-0000-0000-000044130000}"/>
    <cellStyle name="Normal 10 2 10 30 5 5" xfId="4994" xr:uid="{00000000-0005-0000-0000-000045130000}"/>
    <cellStyle name="Normal 10 2 10 30 5 6" xfId="4995" xr:uid="{00000000-0005-0000-0000-000046130000}"/>
    <cellStyle name="Normal 10 2 10 30 5 7" xfId="4996" xr:uid="{00000000-0005-0000-0000-000047130000}"/>
    <cellStyle name="Normal 10 2 10 30 5 8" xfId="4997" xr:uid="{00000000-0005-0000-0000-000048130000}"/>
    <cellStyle name="Normal 10 2 10 30 5 9" xfId="4998" xr:uid="{00000000-0005-0000-0000-000049130000}"/>
    <cellStyle name="Normal 10 2 10 30 6" xfId="4999" xr:uid="{00000000-0005-0000-0000-00004A130000}"/>
    <cellStyle name="Normal 10 2 10 30 7" xfId="5000" xr:uid="{00000000-0005-0000-0000-00004B130000}"/>
    <cellStyle name="Normal 10 2 10 30 8" xfId="5001" xr:uid="{00000000-0005-0000-0000-00004C130000}"/>
    <cellStyle name="Normal 10 2 10 30 9" xfId="5002" xr:uid="{00000000-0005-0000-0000-00004D130000}"/>
    <cellStyle name="Normal 10 2 10 31" xfId="5003" xr:uid="{00000000-0005-0000-0000-00004E130000}"/>
    <cellStyle name="Normal 10 2 10 31 10" xfId="5004" xr:uid="{00000000-0005-0000-0000-00004F130000}"/>
    <cellStyle name="Normal 10 2 10 31 11" xfId="5005" xr:uid="{00000000-0005-0000-0000-000050130000}"/>
    <cellStyle name="Normal 10 2 10 31 12" xfId="5006" xr:uid="{00000000-0005-0000-0000-000051130000}"/>
    <cellStyle name="Normal 10 2 10 31 13" xfId="5007" xr:uid="{00000000-0005-0000-0000-000052130000}"/>
    <cellStyle name="Normal 10 2 10 31 14" xfId="5008" xr:uid="{00000000-0005-0000-0000-000053130000}"/>
    <cellStyle name="Normal 10 2 10 31 2" xfId="5009" xr:uid="{00000000-0005-0000-0000-000054130000}"/>
    <cellStyle name="Normal 10 2 10 31 2 10" xfId="5010" xr:uid="{00000000-0005-0000-0000-000055130000}"/>
    <cellStyle name="Normal 10 2 10 31 2 2" xfId="5011" xr:uid="{00000000-0005-0000-0000-000056130000}"/>
    <cellStyle name="Normal 10 2 10 31 2 3" xfId="5012" xr:uid="{00000000-0005-0000-0000-000057130000}"/>
    <cellStyle name="Normal 10 2 10 31 2 4" xfId="5013" xr:uid="{00000000-0005-0000-0000-000058130000}"/>
    <cellStyle name="Normal 10 2 10 31 2 5" xfId="5014" xr:uid="{00000000-0005-0000-0000-000059130000}"/>
    <cellStyle name="Normal 10 2 10 31 2 6" xfId="5015" xr:uid="{00000000-0005-0000-0000-00005A130000}"/>
    <cellStyle name="Normal 10 2 10 31 2 7" xfId="5016" xr:uid="{00000000-0005-0000-0000-00005B130000}"/>
    <cellStyle name="Normal 10 2 10 31 2 8" xfId="5017" xr:uid="{00000000-0005-0000-0000-00005C130000}"/>
    <cellStyle name="Normal 10 2 10 31 2 9" xfId="5018" xr:uid="{00000000-0005-0000-0000-00005D130000}"/>
    <cellStyle name="Normal 10 2 10 31 3" xfId="5019" xr:uid="{00000000-0005-0000-0000-00005E130000}"/>
    <cellStyle name="Normal 10 2 10 31 3 10" xfId="5020" xr:uid="{00000000-0005-0000-0000-00005F130000}"/>
    <cellStyle name="Normal 10 2 10 31 3 2" xfId="5021" xr:uid="{00000000-0005-0000-0000-000060130000}"/>
    <cellStyle name="Normal 10 2 10 31 3 3" xfId="5022" xr:uid="{00000000-0005-0000-0000-000061130000}"/>
    <cellStyle name="Normal 10 2 10 31 3 4" xfId="5023" xr:uid="{00000000-0005-0000-0000-000062130000}"/>
    <cellStyle name="Normal 10 2 10 31 3 5" xfId="5024" xr:uid="{00000000-0005-0000-0000-000063130000}"/>
    <cellStyle name="Normal 10 2 10 31 3 6" xfId="5025" xr:uid="{00000000-0005-0000-0000-000064130000}"/>
    <cellStyle name="Normal 10 2 10 31 3 7" xfId="5026" xr:uid="{00000000-0005-0000-0000-000065130000}"/>
    <cellStyle name="Normal 10 2 10 31 3 8" xfId="5027" xr:uid="{00000000-0005-0000-0000-000066130000}"/>
    <cellStyle name="Normal 10 2 10 31 3 9" xfId="5028" xr:uid="{00000000-0005-0000-0000-000067130000}"/>
    <cellStyle name="Normal 10 2 10 31 4" xfId="5029" xr:uid="{00000000-0005-0000-0000-000068130000}"/>
    <cellStyle name="Normal 10 2 10 31 4 10" xfId="5030" xr:uid="{00000000-0005-0000-0000-000069130000}"/>
    <cellStyle name="Normal 10 2 10 31 4 2" xfId="5031" xr:uid="{00000000-0005-0000-0000-00006A130000}"/>
    <cellStyle name="Normal 10 2 10 31 4 3" xfId="5032" xr:uid="{00000000-0005-0000-0000-00006B130000}"/>
    <cellStyle name="Normal 10 2 10 31 4 4" xfId="5033" xr:uid="{00000000-0005-0000-0000-00006C130000}"/>
    <cellStyle name="Normal 10 2 10 31 4 5" xfId="5034" xr:uid="{00000000-0005-0000-0000-00006D130000}"/>
    <cellStyle name="Normal 10 2 10 31 4 6" xfId="5035" xr:uid="{00000000-0005-0000-0000-00006E130000}"/>
    <cellStyle name="Normal 10 2 10 31 4 7" xfId="5036" xr:uid="{00000000-0005-0000-0000-00006F130000}"/>
    <cellStyle name="Normal 10 2 10 31 4 8" xfId="5037" xr:uid="{00000000-0005-0000-0000-000070130000}"/>
    <cellStyle name="Normal 10 2 10 31 4 9" xfId="5038" xr:uid="{00000000-0005-0000-0000-000071130000}"/>
    <cellStyle name="Normal 10 2 10 31 5" xfId="5039" xr:uid="{00000000-0005-0000-0000-000072130000}"/>
    <cellStyle name="Normal 10 2 10 31 5 10" xfId="5040" xr:uid="{00000000-0005-0000-0000-000073130000}"/>
    <cellStyle name="Normal 10 2 10 31 5 2" xfId="5041" xr:uid="{00000000-0005-0000-0000-000074130000}"/>
    <cellStyle name="Normal 10 2 10 31 5 3" xfId="5042" xr:uid="{00000000-0005-0000-0000-000075130000}"/>
    <cellStyle name="Normal 10 2 10 31 5 4" xfId="5043" xr:uid="{00000000-0005-0000-0000-000076130000}"/>
    <cellStyle name="Normal 10 2 10 31 5 5" xfId="5044" xr:uid="{00000000-0005-0000-0000-000077130000}"/>
    <cellStyle name="Normal 10 2 10 31 5 6" xfId="5045" xr:uid="{00000000-0005-0000-0000-000078130000}"/>
    <cellStyle name="Normal 10 2 10 31 5 7" xfId="5046" xr:uid="{00000000-0005-0000-0000-000079130000}"/>
    <cellStyle name="Normal 10 2 10 31 5 8" xfId="5047" xr:uid="{00000000-0005-0000-0000-00007A130000}"/>
    <cellStyle name="Normal 10 2 10 31 5 9" xfId="5048" xr:uid="{00000000-0005-0000-0000-00007B130000}"/>
    <cellStyle name="Normal 10 2 10 31 6" xfId="5049" xr:uid="{00000000-0005-0000-0000-00007C130000}"/>
    <cellStyle name="Normal 10 2 10 31 7" xfId="5050" xr:uid="{00000000-0005-0000-0000-00007D130000}"/>
    <cellStyle name="Normal 10 2 10 31 8" xfId="5051" xr:uid="{00000000-0005-0000-0000-00007E130000}"/>
    <cellStyle name="Normal 10 2 10 31 9" xfId="5052" xr:uid="{00000000-0005-0000-0000-00007F130000}"/>
    <cellStyle name="Normal 10 2 10 32" xfId="5053" xr:uid="{00000000-0005-0000-0000-000080130000}"/>
    <cellStyle name="Normal 10 2 10 32 10" xfId="5054" xr:uid="{00000000-0005-0000-0000-000081130000}"/>
    <cellStyle name="Normal 10 2 10 32 11" xfId="5055" xr:uid="{00000000-0005-0000-0000-000082130000}"/>
    <cellStyle name="Normal 10 2 10 32 12" xfId="5056" xr:uid="{00000000-0005-0000-0000-000083130000}"/>
    <cellStyle name="Normal 10 2 10 32 13" xfId="5057" xr:uid="{00000000-0005-0000-0000-000084130000}"/>
    <cellStyle name="Normal 10 2 10 32 14" xfId="5058" xr:uid="{00000000-0005-0000-0000-000085130000}"/>
    <cellStyle name="Normal 10 2 10 32 2" xfId="5059" xr:uid="{00000000-0005-0000-0000-000086130000}"/>
    <cellStyle name="Normal 10 2 10 32 2 10" xfId="5060" xr:uid="{00000000-0005-0000-0000-000087130000}"/>
    <cellStyle name="Normal 10 2 10 32 2 2" xfId="5061" xr:uid="{00000000-0005-0000-0000-000088130000}"/>
    <cellStyle name="Normal 10 2 10 32 2 3" xfId="5062" xr:uid="{00000000-0005-0000-0000-000089130000}"/>
    <cellStyle name="Normal 10 2 10 32 2 4" xfId="5063" xr:uid="{00000000-0005-0000-0000-00008A130000}"/>
    <cellStyle name="Normal 10 2 10 32 2 5" xfId="5064" xr:uid="{00000000-0005-0000-0000-00008B130000}"/>
    <cellStyle name="Normal 10 2 10 32 2 6" xfId="5065" xr:uid="{00000000-0005-0000-0000-00008C130000}"/>
    <cellStyle name="Normal 10 2 10 32 2 7" xfId="5066" xr:uid="{00000000-0005-0000-0000-00008D130000}"/>
    <cellStyle name="Normal 10 2 10 32 2 8" xfId="5067" xr:uid="{00000000-0005-0000-0000-00008E130000}"/>
    <cellStyle name="Normal 10 2 10 32 2 9" xfId="5068" xr:uid="{00000000-0005-0000-0000-00008F130000}"/>
    <cellStyle name="Normal 10 2 10 32 3" xfId="5069" xr:uid="{00000000-0005-0000-0000-000090130000}"/>
    <cellStyle name="Normal 10 2 10 32 3 10" xfId="5070" xr:uid="{00000000-0005-0000-0000-000091130000}"/>
    <cellStyle name="Normal 10 2 10 32 3 2" xfId="5071" xr:uid="{00000000-0005-0000-0000-000092130000}"/>
    <cellStyle name="Normal 10 2 10 32 3 3" xfId="5072" xr:uid="{00000000-0005-0000-0000-000093130000}"/>
    <cellStyle name="Normal 10 2 10 32 3 4" xfId="5073" xr:uid="{00000000-0005-0000-0000-000094130000}"/>
    <cellStyle name="Normal 10 2 10 32 3 5" xfId="5074" xr:uid="{00000000-0005-0000-0000-000095130000}"/>
    <cellStyle name="Normal 10 2 10 32 3 6" xfId="5075" xr:uid="{00000000-0005-0000-0000-000096130000}"/>
    <cellStyle name="Normal 10 2 10 32 3 7" xfId="5076" xr:uid="{00000000-0005-0000-0000-000097130000}"/>
    <cellStyle name="Normal 10 2 10 32 3 8" xfId="5077" xr:uid="{00000000-0005-0000-0000-000098130000}"/>
    <cellStyle name="Normal 10 2 10 32 3 9" xfId="5078" xr:uid="{00000000-0005-0000-0000-000099130000}"/>
    <cellStyle name="Normal 10 2 10 32 4" xfId="5079" xr:uid="{00000000-0005-0000-0000-00009A130000}"/>
    <cellStyle name="Normal 10 2 10 32 4 10" xfId="5080" xr:uid="{00000000-0005-0000-0000-00009B130000}"/>
    <cellStyle name="Normal 10 2 10 32 4 2" xfId="5081" xr:uid="{00000000-0005-0000-0000-00009C130000}"/>
    <cellStyle name="Normal 10 2 10 32 4 3" xfId="5082" xr:uid="{00000000-0005-0000-0000-00009D130000}"/>
    <cellStyle name="Normal 10 2 10 32 4 4" xfId="5083" xr:uid="{00000000-0005-0000-0000-00009E130000}"/>
    <cellStyle name="Normal 10 2 10 32 4 5" xfId="5084" xr:uid="{00000000-0005-0000-0000-00009F130000}"/>
    <cellStyle name="Normal 10 2 10 32 4 6" xfId="5085" xr:uid="{00000000-0005-0000-0000-0000A0130000}"/>
    <cellStyle name="Normal 10 2 10 32 4 7" xfId="5086" xr:uid="{00000000-0005-0000-0000-0000A1130000}"/>
    <cellStyle name="Normal 10 2 10 32 4 8" xfId="5087" xr:uid="{00000000-0005-0000-0000-0000A2130000}"/>
    <cellStyle name="Normal 10 2 10 32 4 9" xfId="5088" xr:uid="{00000000-0005-0000-0000-0000A3130000}"/>
    <cellStyle name="Normal 10 2 10 32 5" xfId="5089" xr:uid="{00000000-0005-0000-0000-0000A4130000}"/>
    <cellStyle name="Normal 10 2 10 32 5 10" xfId="5090" xr:uid="{00000000-0005-0000-0000-0000A5130000}"/>
    <cellStyle name="Normal 10 2 10 32 5 2" xfId="5091" xr:uid="{00000000-0005-0000-0000-0000A6130000}"/>
    <cellStyle name="Normal 10 2 10 32 5 3" xfId="5092" xr:uid="{00000000-0005-0000-0000-0000A7130000}"/>
    <cellStyle name="Normal 10 2 10 32 5 4" xfId="5093" xr:uid="{00000000-0005-0000-0000-0000A8130000}"/>
    <cellStyle name="Normal 10 2 10 32 5 5" xfId="5094" xr:uid="{00000000-0005-0000-0000-0000A9130000}"/>
    <cellStyle name="Normal 10 2 10 32 5 6" xfId="5095" xr:uid="{00000000-0005-0000-0000-0000AA130000}"/>
    <cellStyle name="Normal 10 2 10 32 5 7" xfId="5096" xr:uid="{00000000-0005-0000-0000-0000AB130000}"/>
    <cellStyle name="Normal 10 2 10 32 5 8" xfId="5097" xr:uid="{00000000-0005-0000-0000-0000AC130000}"/>
    <cellStyle name="Normal 10 2 10 32 5 9" xfId="5098" xr:uid="{00000000-0005-0000-0000-0000AD130000}"/>
    <cellStyle name="Normal 10 2 10 32 6" xfId="5099" xr:uid="{00000000-0005-0000-0000-0000AE130000}"/>
    <cellStyle name="Normal 10 2 10 32 7" xfId="5100" xr:uid="{00000000-0005-0000-0000-0000AF130000}"/>
    <cellStyle name="Normal 10 2 10 32 8" xfId="5101" xr:uid="{00000000-0005-0000-0000-0000B0130000}"/>
    <cellStyle name="Normal 10 2 10 32 9" xfId="5102" xr:uid="{00000000-0005-0000-0000-0000B1130000}"/>
    <cellStyle name="Normal 10 2 10 33" xfId="5103" xr:uid="{00000000-0005-0000-0000-0000B2130000}"/>
    <cellStyle name="Normal 10 2 10 33 10" xfId="5104" xr:uid="{00000000-0005-0000-0000-0000B3130000}"/>
    <cellStyle name="Normal 10 2 10 33 11" xfId="5105" xr:uid="{00000000-0005-0000-0000-0000B4130000}"/>
    <cellStyle name="Normal 10 2 10 33 12" xfId="5106" xr:uid="{00000000-0005-0000-0000-0000B5130000}"/>
    <cellStyle name="Normal 10 2 10 33 13" xfId="5107" xr:uid="{00000000-0005-0000-0000-0000B6130000}"/>
    <cellStyle name="Normal 10 2 10 33 14" xfId="5108" xr:uid="{00000000-0005-0000-0000-0000B7130000}"/>
    <cellStyle name="Normal 10 2 10 33 2" xfId="5109" xr:uid="{00000000-0005-0000-0000-0000B8130000}"/>
    <cellStyle name="Normal 10 2 10 33 2 10" xfId="5110" xr:uid="{00000000-0005-0000-0000-0000B9130000}"/>
    <cellStyle name="Normal 10 2 10 33 2 2" xfId="5111" xr:uid="{00000000-0005-0000-0000-0000BA130000}"/>
    <cellStyle name="Normal 10 2 10 33 2 3" xfId="5112" xr:uid="{00000000-0005-0000-0000-0000BB130000}"/>
    <cellStyle name="Normal 10 2 10 33 2 4" xfId="5113" xr:uid="{00000000-0005-0000-0000-0000BC130000}"/>
    <cellStyle name="Normal 10 2 10 33 2 5" xfId="5114" xr:uid="{00000000-0005-0000-0000-0000BD130000}"/>
    <cellStyle name="Normal 10 2 10 33 2 6" xfId="5115" xr:uid="{00000000-0005-0000-0000-0000BE130000}"/>
    <cellStyle name="Normal 10 2 10 33 2 7" xfId="5116" xr:uid="{00000000-0005-0000-0000-0000BF130000}"/>
    <cellStyle name="Normal 10 2 10 33 2 8" xfId="5117" xr:uid="{00000000-0005-0000-0000-0000C0130000}"/>
    <cellStyle name="Normal 10 2 10 33 2 9" xfId="5118" xr:uid="{00000000-0005-0000-0000-0000C1130000}"/>
    <cellStyle name="Normal 10 2 10 33 3" xfId="5119" xr:uid="{00000000-0005-0000-0000-0000C2130000}"/>
    <cellStyle name="Normal 10 2 10 33 3 10" xfId="5120" xr:uid="{00000000-0005-0000-0000-0000C3130000}"/>
    <cellStyle name="Normal 10 2 10 33 3 2" xfId="5121" xr:uid="{00000000-0005-0000-0000-0000C4130000}"/>
    <cellStyle name="Normal 10 2 10 33 3 3" xfId="5122" xr:uid="{00000000-0005-0000-0000-0000C5130000}"/>
    <cellStyle name="Normal 10 2 10 33 3 4" xfId="5123" xr:uid="{00000000-0005-0000-0000-0000C6130000}"/>
    <cellStyle name="Normal 10 2 10 33 3 5" xfId="5124" xr:uid="{00000000-0005-0000-0000-0000C7130000}"/>
    <cellStyle name="Normal 10 2 10 33 3 6" xfId="5125" xr:uid="{00000000-0005-0000-0000-0000C8130000}"/>
    <cellStyle name="Normal 10 2 10 33 3 7" xfId="5126" xr:uid="{00000000-0005-0000-0000-0000C9130000}"/>
    <cellStyle name="Normal 10 2 10 33 3 8" xfId="5127" xr:uid="{00000000-0005-0000-0000-0000CA130000}"/>
    <cellStyle name="Normal 10 2 10 33 3 9" xfId="5128" xr:uid="{00000000-0005-0000-0000-0000CB130000}"/>
    <cellStyle name="Normal 10 2 10 33 4" xfId="5129" xr:uid="{00000000-0005-0000-0000-0000CC130000}"/>
    <cellStyle name="Normal 10 2 10 33 4 10" xfId="5130" xr:uid="{00000000-0005-0000-0000-0000CD130000}"/>
    <cellStyle name="Normal 10 2 10 33 4 2" xfId="5131" xr:uid="{00000000-0005-0000-0000-0000CE130000}"/>
    <cellStyle name="Normal 10 2 10 33 4 3" xfId="5132" xr:uid="{00000000-0005-0000-0000-0000CF130000}"/>
    <cellStyle name="Normal 10 2 10 33 4 4" xfId="5133" xr:uid="{00000000-0005-0000-0000-0000D0130000}"/>
    <cellStyle name="Normal 10 2 10 33 4 5" xfId="5134" xr:uid="{00000000-0005-0000-0000-0000D1130000}"/>
    <cellStyle name="Normal 10 2 10 33 4 6" xfId="5135" xr:uid="{00000000-0005-0000-0000-0000D2130000}"/>
    <cellStyle name="Normal 10 2 10 33 4 7" xfId="5136" xr:uid="{00000000-0005-0000-0000-0000D3130000}"/>
    <cellStyle name="Normal 10 2 10 33 4 8" xfId="5137" xr:uid="{00000000-0005-0000-0000-0000D4130000}"/>
    <cellStyle name="Normal 10 2 10 33 4 9" xfId="5138" xr:uid="{00000000-0005-0000-0000-0000D5130000}"/>
    <cellStyle name="Normal 10 2 10 33 5" xfId="5139" xr:uid="{00000000-0005-0000-0000-0000D6130000}"/>
    <cellStyle name="Normal 10 2 10 33 5 10" xfId="5140" xr:uid="{00000000-0005-0000-0000-0000D7130000}"/>
    <cellStyle name="Normal 10 2 10 33 5 2" xfId="5141" xr:uid="{00000000-0005-0000-0000-0000D8130000}"/>
    <cellStyle name="Normal 10 2 10 33 5 3" xfId="5142" xr:uid="{00000000-0005-0000-0000-0000D9130000}"/>
    <cellStyle name="Normal 10 2 10 33 5 4" xfId="5143" xr:uid="{00000000-0005-0000-0000-0000DA130000}"/>
    <cellStyle name="Normal 10 2 10 33 5 5" xfId="5144" xr:uid="{00000000-0005-0000-0000-0000DB130000}"/>
    <cellStyle name="Normal 10 2 10 33 5 6" xfId="5145" xr:uid="{00000000-0005-0000-0000-0000DC130000}"/>
    <cellStyle name="Normal 10 2 10 33 5 7" xfId="5146" xr:uid="{00000000-0005-0000-0000-0000DD130000}"/>
    <cellStyle name="Normal 10 2 10 33 5 8" xfId="5147" xr:uid="{00000000-0005-0000-0000-0000DE130000}"/>
    <cellStyle name="Normal 10 2 10 33 5 9" xfId="5148" xr:uid="{00000000-0005-0000-0000-0000DF130000}"/>
    <cellStyle name="Normal 10 2 10 33 6" xfId="5149" xr:uid="{00000000-0005-0000-0000-0000E0130000}"/>
    <cellStyle name="Normal 10 2 10 33 7" xfId="5150" xr:uid="{00000000-0005-0000-0000-0000E1130000}"/>
    <cellStyle name="Normal 10 2 10 33 8" xfId="5151" xr:uid="{00000000-0005-0000-0000-0000E2130000}"/>
    <cellStyle name="Normal 10 2 10 33 9" xfId="5152" xr:uid="{00000000-0005-0000-0000-0000E3130000}"/>
    <cellStyle name="Normal 10 2 10 34" xfId="5153" xr:uid="{00000000-0005-0000-0000-0000E4130000}"/>
    <cellStyle name="Normal 10 2 10 34 10" xfId="5154" xr:uid="{00000000-0005-0000-0000-0000E5130000}"/>
    <cellStyle name="Normal 10 2 10 34 11" xfId="5155" xr:uid="{00000000-0005-0000-0000-0000E6130000}"/>
    <cellStyle name="Normal 10 2 10 34 12" xfId="5156" xr:uid="{00000000-0005-0000-0000-0000E7130000}"/>
    <cellStyle name="Normal 10 2 10 34 13" xfId="5157" xr:uid="{00000000-0005-0000-0000-0000E8130000}"/>
    <cellStyle name="Normal 10 2 10 34 14" xfId="5158" xr:uid="{00000000-0005-0000-0000-0000E9130000}"/>
    <cellStyle name="Normal 10 2 10 34 2" xfId="5159" xr:uid="{00000000-0005-0000-0000-0000EA130000}"/>
    <cellStyle name="Normal 10 2 10 34 2 10" xfId="5160" xr:uid="{00000000-0005-0000-0000-0000EB130000}"/>
    <cellStyle name="Normal 10 2 10 34 2 2" xfId="5161" xr:uid="{00000000-0005-0000-0000-0000EC130000}"/>
    <cellStyle name="Normal 10 2 10 34 2 3" xfId="5162" xr:uid="{00000000-0005-0000-0000-0000ED130000}"/>
    <cellStyle name="Normal 10 2 10 34 2 4" xfId="5163" xr:uid="{00000000-0005-0000-0000-0000EE130000}"/>
    <cellStyle name="Normal 10 2 10 34 2 5" xfId="5164" xr:uid="{00000000-0005-0000-0000-0000EF130000}"/>
    <cellStyle name="Normal 10 2 10 34 2 6" xfId="5165" xr:uid="{00000000-0005-0000-0000-0000F0130000}"/>
    <cellStyle name="Normal 10 2 10 34 2 7" xfId="5166" xr:uid="{00000000-0005-0000-0000-0000F1130000}"/>
    <cellStyle name="Normal 10 2 10 34 2 8" xfId="5167" xr:uid="{00000000-0005-0000-0000-0000F2130000}"/>
    <cellStyle name="Normal 10 2 10 34 2 9" xfId="5168" xr:uid="{00000000-0005-0000-0000-0000F3130000}"/>
    <cellStyle name="Normal 10 2 10 34 3" xfId="5169" xr:uid="{00000000-0005-0000-0000-0000F4130000}"/>
    <cellStyle name="Normal 10 2 10 34 3 10" xfId="5170" xr:uid="{00000000-0005-0000-0000-0000F5130000}"/>
    <cellStyle name="Normal 10 2 10 34 3 2" xfId="5171" xr:uid="{00000000-0005-0000-0000-0000F6130000}"/>
    <cellStyle name="Normal 10 2 10 34 3 3" xfId="5172" xr:uid="{00000000-0005-0000-0000-0000F7130000}"/>
    <cellStyle name="Normal 10 2 10 34 3 4" xfId="5173" xr:uid="{00000000-0005-0000-0000-0000F8130000}"/>
    <cellStyle name="Normal 10 2 10 34 3 5" xfId="5174" xr:uid="{00000000-0005-0000-0000-0000F9130000}"/>
    <cellStyle name="Normal 10 2 10 34 3 6" xfId="5175" xr:uid="{00000000-0005-0000-0000-0000FA130000}"/>
    <cellStyle name="Normal 10 2 10 34 3 7" xfId="5176" xr:uid="{00000000-0005-0000-0000-0000FB130000}"/>
    <cellStyle name="Normal 10 2 10 34 3 8" xfId="5177" xr:uid="{00000000-0005-0000-0000-0000FC130000}"/>
    <cellStyle name="Normal 10 2 10 34 3 9" xfId="5178" xr:uid="{00000000-0005-0000-0000-0000FD130000}"/>
    <cellStyle name="Normal 10 2 10 34 4" xfId="5179" xr:uid="{00000000-0005-0000-0000-0000FE130000}"/>
    <cellStyle name="Normal 10 2 10 34 4 10" xfId="5180" xr:uid="{00000000-0005-0000-0000-0000FF130000}"/>
    <cellStyle name="Normal 10 2 10 34 4 2" xfId="5181" xr:uid="{00000000-0005-0000-0000-000000140000}"/>
    <cellStyle name="Normal 10 2 10 34 4 3" xfId="5182" xr:uid="{00000000-0005-0000-0000-000001140000}"/>
    <cellStyle name="Normal 10 2 10 34 4 4" xfId="5183" xr:uid="{00000000-0005-0000-0000-000002140000}"/>
    <cellStyle name="Normal 10 2 10 34 4 5" xfId="5184" xr:uid="{00000000-0005-0000-0000-000003140000}"/>
    <cellStyle name="Normal 10 2 10 34 4 6" xfId="5185" xr:uid="{00000000-0005-0000-0000-000004140000}"/>
    <cellStyle name="Normal 10 2 10 34 4 7" xfId="5186" xr:uid="{00000000-0005-0000-0000-000005140000}"/>
    <cellStyle name="Normal 10 2 10 34 4 8" xfId="5187" xr:uid="{00000000-0005-0000-0000-000006140000}"/>
    <cellStyle name="Normal 10 2 10 34 4 9" xfId="5188" xr:uid="{00000000-0005-0000-0000-000007140000}"/>
    <cellStyle name="Normal 10 2 10 34 5" xfId="5189" xr:uid="{00000000-0005-0000-0000-000008140000}"/>
    <cellStyle name="Normal 10 2 10 34 5 10" xfId="5190" xr:uid="{00000000-0005-0000-0000-000009140000}"/>
    <cellStyle name="Normal 10 2 10 34 5 2" xfId="5191" xr:uid="{00000000-0005-0000-0000-00000A140000}"/>
    <cellStyle name="Normal 10 2 10 34 5 3" xfId="5192" xr:uid="{00000000-0005-0000-0000-00000B140000}"/>
    <cellStyle name="Normal 10 2 10 34 5 4" xfId="5193" xr:uid="{00000000-0005-0000-0000-00000C140000}"/>
    <cellStyle name="Normal 10 2 10 34 5 5" xfId="5194" xr:uid="{00000000-0005-0000-0000-00000D140000}"/>
    <cellStyle name="Normal 10 2 10 34 5 6" xfId="5195" xr:uid="{00000000-0005-0000-0000-00000E140000}"/>
    <cellStyle name="Normal 10 2 10 34 5 7" xfId="5196" xr:uid="{00000000-0005-0000-0000-00000F140000}"/>
    <cellStyle name="Normal 10 2 10 34 5 8" xfId="5197" xr:uid="{00000000-0005-0000-0000-000010140000}"/>
    <cellStyle name="Normal 10 2 10 34 5 9" xfId="5198" xr:uid="{00000000-0005-0000-0000-000011140000}"/>
    <cellStyle name="Normal 10 2 10 34 6" xfId="5199" xr:uid="{00000000-0005-0000-0000-000012140000}"/>
    <cellStyle name="Normal 10 2 10 34 7" xfId="5200" xr:uid="{00000000-0005-0000-0000-000013140000}"/>
    <cellStyle name="Normal 10 2 10 34 8" xfId="5201" xr:uid="{00000000-0005-0000-0000-000014140000}"/>
    <cellStyle name="Normal 10 2 10 34 9" xfId="5202" xr:uid="{00000000-0005-0000-0000-000015140000}"/>
    <cellStyle name="Normal 10 2 10 35" xfId="5203" xr:uid="{00000000-0005-0000-0000-000016140000}"/>
    <cellStyle name="Normal 10 2 10 35 10" xfId="5204" xr:uid="{00000000-0005-0000-0000-000017140000}"/>
    <cellStyle name="Normal 10 2 10 35 2" xfId="5205" xr:uid="{00000000-0005-0000-0000-000018140000}"/>
    <cellStyle name="Normal 10 2 10 35 3" xfId="5206" xr:uid="{00000000-0005-0000-0000-000019140000}"/>
    <cellStyle name="Normal 10 2 10 35 4" xfId="5207" xr:uid="{00000000-0005-0000-0000-00001A140000}"/>
    <cellStyle name="Normal 10 2 10 35 5" xfId="5208" xr:uid="{00000000-0005-0000-0000-00001B140000}"/>
    <cellStyle name="Normal 10 2 10 35 6" xfId="5209" xr:uid="{00000000-0005-0000-0000-00001C140000}"/>
    <cellStyle name="Normal 10 2 10 35 7" xfId="5210" xr:uid="{00000000-0005-0000-0000-00001D140000}"/>
    <cellStyle name="Normal 10 2 10 35 8" xfId="5211" xr:uid="{00000000-0005-0000-0000-00001E140000}"/>
    <cellStyle name="Normal 10 2 10 35 9" xfId="5212" xr:uid="{00000000-0005-0000-0000-00001F140000}"/>
    <cellStyle name="Normal 10 2 10 36" xfId="5213" xr:uid="{00000000-0005-0000-0000-000020140000}"/>
    <cellStyle name="Normal 10 2 10 36 10" xfId="5214" xr:uid="{00000000-0005-0000-0000-000021140000}"/>
    <cellStyle name="Normal 10 2 10 36 2" xfId="5215" xr:uid="{00000000-0005-0000-0000-000022140000}"/>
    <cellStyle name="Normal 10 2 10 36 3" xfId="5216" xr:uid="{00000000-0005-0000-0000-000023140000}"/>
    <cellStyle name="Normal 10 2 10 36 4" xfId="5217" xr:uid="{00000000-0005-0000-0000-000024140000}"/>
    <cellStyle name="Normal 10 2 10 36 5" xfId="5218" xr:uid="{00000000-0005-0000-0000-000025140000}"/>
    <cellStyle name="Normal 10 2 10 36 6" xfId="5219" xr:uid="{00000000-0005-0000-0000-000026140000}"/>
    <cellStyle name="Normal 10 2 10 36 7" xfId="5220" xr:uid="{00000000-0005-0000-0000-000027140000}"/>
    <cellStyle name="Normal 10 2 10 36 8" xfId="5221" xr:uid="{00000000-0005-0000-0000-000028140000}"/>
    <cellStyle name="Normal 10 2 10 36 9" xfId="5222" xr:uid="{00000000-0005-0000-0000-000029140000}"/>
    <cellStyle name="Normal 10 2 10 37" xfId="5223" xr:uid="{00000000-0005-0000-0000-00002A140000}"/>
    <cellStyle name="Normal 10 2 10 37 10" xfId="5224" xr:uid="{00000000-0005-0000-0000-00002B140000}"/>
    <cellStyle name="Normal 10 2 10 37 2" xfId="5225" xr:uid="{00000000-0005-0000-0000-00002C140000}"/>
    <cellStyle name="Normal 10 2 10 37 3" xfId="5226" xr:uid="{00000000-0005-0000-0000-00002D140000}"/>
    <cellStyle name="Normal 10 2 10 37 4" xfId="5227" xr:uid="{00000000-0005-0000-0000-00002E140000}"/>
    <cellStyle name="Normal 10 2 10 37 5" xfId="5228" xr:uid="{00000000-0005-0000-0000-00002F140000}"/>
    <cellStyle name="Normal 10 2 10 37 6" xfId="5229" xr:uid="{00000000-0005-0000-0000-000030140000}"/>
    <cellStyle name="Normal 10 2 10 37 7" xfId="5230" xr:uid="{00000000-0005-0000-0000-000031140000}"/>
    <cellStyle name="Normal 10 2 10 37 8" xfId="5231" xr:uid="{00000000-0005-0000-0000-000032140000}"/>
    <cellStyle name="Normal 10 2 10 37 9" xfId="5232" xr:uid="{00000000-0005-0000-0000-000033140000}"/>
    <cellStyle name="Normal 10 2 10 38" xfId="5233" xr:uid="{00000000-0005-0000-0000-000034140000}"/>
    <cellStyle name="Normal 10 2 10 38 10" xfId="5234" xr:uid="{00000000-0005-0000-0000-000035140000}"/>
    <cellStyle name="Normal 10 2 10 38 2" xfId="5235" xr:uid="{00000000-0005-0000-0000-000036140000}"/>
    <cellStyle name="Normal 10 2 10 38 3" xfId="5236" xr:uid="{00000000-0005-0000-0000-000037140000}"/>
    <cellStyle name="Normal 10 2 10 38 4" xfId="5237" xr:uid="{00000000-0005-0000-0000-000038140000}"/>
    <cellStyle name="Normal 10 2 10 38 5" xfId="5238" xr:uid="{00000000-0005-0000-0000-000039140000}"/>
    <cellStyle name="Normal 10 2 10 38 6" xfId="5239" xr:uid="{00000000-0005-0000-0000-00003A140000}"/>
    <cellStyle name="Normal 10 2 10 38 7" xfId="5240" xr:uid="{00000000-0005-0000-0000-00003B140000}"/>
    <cellStyle name="Normal 10 2 10 38 8" xfId="5241" xr:uid="{00000000-0005-0000-0000-00003C140000}"/>
    <cellStyle name="Normal 10 2 10 38 9" xfId="5242" xr:uid="{00000000-0005-0000-0000-00003D140000}"/>
    <cellStyle name="Normal 10 2 10 39" xfId="5243" xr:uid="{00000000-0005-0000-0000-00003E140000}"/>
    <cellStyle name="Normal 10 2 10 4" xfId="5244" xr:uid="{00000000-0005-0000-0000-00003F140000}"/>
    <cellStyle name="Normal 10 2 10 4 10" xfId="5245" xr:uid="{00000000-0005-0000-0000-000040140000}"/>
    <cellStyle name="Normal 10 2 10 4 11" xfId="5246" xr:uid="{00000000-0005-0000-0000-000041140000}"/>
    <cellStyle name="Normal 10 2 10 4 12" xfId="5247" xr:uid="{00000000-0005-0000-0000-000042140000}"/>
    <cellStyle name="Normal 10 2 10 4 13" xfId="5248" xr:uid="{00000000-0005-0000-0000-000043140000}"/>
    <cellStyle name="Normal 10 2 10 4 14" xfId="5249" xr:uid="{00000000-0005-0000-0000-000044140000}"/>
    <cellStyle name="Normal 10 2 10 4 2" xfId="5250" xr:uid="{00000000-0005-0000-0000-000045140000}"/>
    <cellStyle name="Normal 10 2 10 4 2 10" xfId="5251" xr:uid="{00000000-0005-0000-0000-000046140000}"/>
    <cellStyle name="Normal 10 2 10 4 2 2" xfId="5252" xr:uid="{00000000-0005-0000-0000-000047140000}"/>
    <cellStyle name="Normal 10 2 10 4 2 3" xfId="5253" xr:uid="{00000000-0005-0000-0000-000048140000}"/>
    <cellStyle name="Normal 10 2 10 4 2 4" xfId="5254" xr:uid="{00000000-0005-0000-0000-000049140000}"/>
    <cellStyle name="Normal 10 2 10 4 2 5" xfId="5255" xr:uid="{00000000-0005-0000-0000-00004A140000}"/>
    <cellStyle name="Normal 10 2 10 4 2 6" xfId="5256" xr:uid="{00000000-0005-0000-0000-00004B140000}"/>
    <cellStyle name="Normal 10 2 10 4 2 7" xfId="5257" xr:uid="{00000000-0005-0000-0000-00004C140000}"/>
    <cellStyle name="Normal 10 2 10 4 2 8" xfId="5258" xr:uid="{00000000-0005-0000-0000-00004D140000}"/>
    <cellStyle name="Normal 10 2 10 4 2 9" xfId="5259" xr:uid="{00000000-0005-0000-0000-00004E140000}"/>
    <cellStyle name="Normal 10 2 10 4 3" xfId="5260" xr:uid="{00000000-0005-0000-0000-00004F140000}"/>
    <cellStyle name="Normal 10 2 10 4 3 10" xfId="5261" xr:uid="{00000000-0005-0000-0000-000050140000}"/>
    <cellStyle name="Normal 10 2 10 4 3 2" xfId="5262" xr:uid="{00000000-0005-0000-0000-000051140000}"/>
    <cellStyle name="Normal 10 2 10 4 3 3" xfId="5263" xr:uid="{00000000-0005-0000-0000-000052140000}"/>
    <cellStyle name="Normal 10 2 10 4 3 4" xfId="5264" xr:uid="{00000000-0005-0000-0000-000053140000}"/>
    <cellStyle name="Normal 10 2 10 4 3 5" xfId="5265" xr:uid="{00000000-0005-0000-0000-000054140000}"/>
    <cellStyle name="Normal 10 2 10 4 3 6" xfId="5266" xr:uid="{00000000-0005-0000-0000-000055140000}"/>
    <cellStyle name="Normal 10 2 10 4 3 7" xfId="5267" xr:uid="{00000000-0005-0000-0000-000056140000}"/>
    <cellStyle name="Normal 10 2 10 4 3 8" xfId="5268" xr:uid="{00000000-0005-0000-0000-000057140000}"/>
    <cellStyle name="Normal 10 2 10 4 3 9" xfId="5269" xr:uid="{00000000-0005-0000-0000-000058140000}"/>
    <cellStyle name="Normal 10 2 10 4 4" xfId="5270" xr:uid="{00000000-0005-0000-0000-000059140000}"/>
    <cellStyle name="Normal 10 2 10 4 4 10" xfId="5271" xr:uid="{00000000-0005-0000-0000-00005A140000}"/>
    <cellStyle name="Normal 10 2 10 4 4 2" xfId="5272" xr:uid="{00000000-0005-0000-0000-00005B140000}"/>
    <cellStyle name="Normal 10 2 10 4 4 3" xfId="5273" xr:uid="{00000000-0005-0000-0000-00005C140000}"/>
    <cellStyle name="Normal 10 2 10 4 4 4" xfId="5274" xr:uid="{00000000-0005-0000-0000-00005D140000}"/>
    <cellStyle name="Normal 10 2 10 4 4 5" xfId="5275" xr:uid="{00000000-0005-0000-0000-00005E140000}"/>
    <cellStyle name="Normal 10 2 10 4 4 6" xfId="5276" xr:uid="{00000000-0005-0000-0000-00005F140000}"/>
    <cellStyle name="Normal 10 2 10 4 4 7" xfId="5277" xr:uid="{00000000-0005-0000-0000-000060140000}"/>
    <cellStyle name="Normal 10 2 10 4 4 8" xfId="5278" xr:uid="{00000000-0005-0000-0000-000061140000}"/>
    <cellStyle name="Normal 10 2 10 4 4 9" xfId="5279" xr:uid="{00000000-0005-0000-0000-000062140000}"/>
    <cellStyle name="Normal 10 2 10 4 5" xfId="5280" xr:uid="{00000000-0005-0000-0000-000063140000}"/>
    <cellStyle name="Normal 10 2 10 4 5 10" xfId="5281" xr:uid="{00000000-0005-0000-0000-000064140000}"/>
    <cellStyle name="Normal 10 2 10 4 5 2" xfId="5282" xr:uid="{00000000-0005-0000-0000-000065140000}"/>
    <cellStyle name="Normal 10 2 10 4 5 3" xfId="5283" xr:uid="{00000000-0005-0000-0000-000066140000}"/>
    <cellStyle name="Normal 10 2 10 4 5 4" xfId="5284" xr:uid="{00000000-0005-0000-0000-000067140000}"/>
    <cellStyle name="Normal 10 2 10 4 5 5" xfId="5285" xr:uid="{00000000-0005-0000-0000-000068140000}"/>
    <cellStyle name="Normal 10 2 10 4 5 6" xfId="5286" xr:uid="{00000000-0005-0000-0000-000069140000}"/>
    <cellStyle name="Normal 10 2 10 4 5 7" xfId="5287" xr:uid="{00000000-0005-0000-0000-00006A140000}"/>
    <cellStyle name="Normal 10 2 10 4 5 8" xfId="5288" xr:uid="{00000000-0005-0000-0000-00006B140000}"/>
    <cellStyle name="Normal 10 2 10 4 5 9" xfId="5289" xr:uid="{00000000-0005-0000-0000-00006C140000}"/>
    <cellStyle name="Normal 10 2 10 4 6" xfId="5290" xr:uid="{00000000-0005-0000-0000-00006D140000}"/>
    <cellStyle name="Normal 10 2 10 4 7" xfId="5291" xr:uid="{00000000-0005-0000-0000-00006E140000}"/>
    <cellStyle name="Normal 10 2 10 4 8" xfId="5292" xr:uid="{00000000-0005-0000-0000-00006F140000}"/>
    <cellStyle name="Normal 10 2 10 4 9" xfId="5293" xr:uid="{00000000-0005-0000-0000-000070140000}"/>
    <cellStyle name="Normal 10 2 10 40" xfId="5294" xr:uid="{00000000-0005-0000-0000-000071140000}"/>
    <cellStyle name="Normal 10 2 10 41" xfId="5295" xr:uid="{00000000-0005-0000-0000-000072140000}"/>
    <cellStyle name="Normal 10 2 10 42" xfId="5296" xr:uid="{00000000-0005-0000-0000-000073140000}"/>
    <cellStyle name="Normal 10 2 10 43" xfId="5297" xr:uid="{00000000-0005-0000-0000-000074140000}"/>
    <cellStyle name="Normal 10 2 10 44" xfId="5298" xr:uid="{00000000-0005-0000-0000-000075140000}"/>
    <cellStyle name="Normal 10 2 10 45" xfId="5299" xr:uid="{00000000-0005-0000-0000-000076140000}"/>
    <cellStyle name="Normal 10 2 10 46" xfId="5300" xr:uid="{00000000-0005-0000-0000-000077140000}"/>
    <cellStyle name="Normal 10 2 10 47" xfId="5301" xr:uid="{00000000-0005-0000-0000-000078140000}"/>
    <cellStyle name="Normal 10 2 10 48" xfId="5302" xr:uid="{00000000-0005-0000-0000-000079140000}"/>
    <cellStyle name="Normal 10 2 10 49" xfId="5303" xr:uid="{00000000-0005-0000-0000-00007A140000}"/>
    <cellStyle name="Normal 10 2 10 5" xfId="5304" xr:uid="{00000000-0005-0000-0000-00007B140000}"/>
    <cellStyle name="Normal 10 2 10 5 10" xfId="5305" xr:uid="{00000000-0005-0000-0000-00007C140000}"/>
    <cellStyle name="Normal 10 2 10 5 11" xfId="5306" xr:uid="{00000000-0005-0000-0000-00007D140000}"/>
    <cellStyle name="Normal 10 2 10 5 12" xfId="5307" xr:uid="{00000000-0005-0000-0000-00007E140000}"/>
    <cellStyle name="Normal 10 2 10 5 13" xfId="5308" xr:uid="{00000000-0005-0000-0000-00007F140000}"/>
    <cellStyle name="Normal 10 2 10 5 14" xfId="5309" xr:uid="{00000000-0005-0000-0000-000080140000}"/>
    <cellStyle name="Normal 10 2 10 5 2" xfId="5310" xr:uid="{00000000-0005-0000-0000-000081140000}"/>
    <cellStyle name="Normal 10 2 10 5 2 10" xfId="5311" xr:uid="{00000000-0005-0000-0000-000082140000}"/>
    <cellStyle name="Normal 10 2 10 5 2 2" xfId="5312" xr:uid="{00000000-0005-0000-0000-000083140000}"/>
    <cellStyle name="Normal 10 2 10 5 2 3" xfId="5313" xr:uid="{00000000-0005-0000-0000-000084140000}"/>
    <cellStyle name="Normal 10 2 10 5 2 4" xfId="5314" xr:uid="{00000000-0005-0000-0000-000085140000}"/>
    <cellStyle name="Normal 10 2 10 5 2 5" xfId="5315" xr:uid="{00000000-0005-0000-0000-000086140000}"/>
    <cellStyle name="Normal 10 2 10 5 2 6" xfId="5316" xr:uid="{00000000-0005-0000-0000-000087140000}"/>
    <cellStyle name="Normal 10 2 10 5 2 7" xfId="5317" xr:uid="{00000000-0005-0000-0000-000088140000}"/>
    <cellStyle name="Normal 10 2 10 5 2 8" xfId="5318" xr:uid="{00000000-0005-0000-0000-000089140000}"/>
    <cellStyle name="Normal 10 2 10 5 2 9" xfId="5319" xr:uid="{00000000-0005-0000-0000-00008A140000}"/>
    <cellStyle name="Normal 10 2 10 5 3" xfId="5320" xr:uid="{00000000-0005-0000-0000-00008B140000}"/>
    <cellStyle name="Normal 10 2 10 5 3 10" xfId="5321" xr:uid="{00000000-0005-0000-0000-00008C140000}"/>
    <cellStyle name="Normal 10 2 10 5 3 2" xfId="5322" xr:uid="{00000000-0005-0000-0000-00008D140000}"/>
    <cellStyle name="Normal 10 2 10 5 3 3" xfId="5323" xr:uid="{00000000-0005-0000-0000-00008E140000}"/>
    <cellStyle name="Normal 10 2 10 5 3 4" xfId="5324" xr:uid="{00000000-0005-0000-0000-00008F140000}"/>
    <cellStyle name="Normal 10 2 10 5 3 5" xfId="5325" xr:uid="{00000000-0005-0000-0000-000090140000}"/>
    <cellStyle name="Normal 10 2 10 5 3 6" xfId="5326" xr:uid="{00000000-0005-0000-0000-000091140000}"/>
    <cellStyle name="Normal 10 2 10 5 3 7" xfId="5327" xr:uid="{00000000-0005-0000-0000-000092140000}"/>
    <cellStyle name="Normal 10 2 10 5 3 8" xfId="5328" xr:uid="{00000000-0005-0000-0000-000093140000}"/>
    <cellStyle name="Normal 10 2 10 5 3 9" xfId="5329" xr:uid="{00000000-0005-0000-0000-000094140000}"/>
    <cellStyle name="Normal 10 2 10 5 4" xfId="5330" xr:uid="{00000000-0005-0000-0000-000095140000}"/>
    <cellStyle name="Normal 10 2 10 5 4 10" xfId="5331" xr:uid="{00000000-0005-0000-0000-000096140000}"/>
    <cellStyle name="Normal 10 2 10 5 4 2" xfId="5332" xr:uid="{00000000-0005-0000-0000-000097140000}"/>
    <cellStyle name="Normal 10 2 10 5 4 3" xfId="5333" xr:uid="{00000000-0005-0000-0000-000098140000}"/>
    <cellStyle name="Normal 10 2 10 5 4 4" xfId="5334" xr:uid="{00000000-0005-0000-0000-000099140000}"/>
    <cellStyle name="Normal 10 2 10 5 4 5" xfId="5335" xr:uid="{00000000-0005-0000-0000-00009A140000}"/>
    <cellStyle name="Normal 10 2 10 5 4 6" xfId="5336" xr:uid="{00000000-0005-0000-0000-00009B140000}"/>
    <cellStyle name="Normal 10 2 10 5 4 7" xfId="5337" xr:uid="{00000000-0005-0000-0000-00009C140000}"/>
    <cellStyle name="Normal 10 2 10 5 4 8" xfId="5338" xr:uid="{00000000-0005-0000-0000-00009D140000}"/>
    <cellStyle name="Normal 10 2 10 5 4 9" xfId="5339" xr:uid="{00000000-0005-0000-0000-00009E140000}"/>
    <cellStyle name="Normal 10 2 10 5 5" xfId="5340" xr:uid="{00000000-0005-0000-0000-00009F140000}"/>
    <cellStyle name="Normal 10 2 10 5 5 10" xfId="5341" xr:uid="{00000000-0005-0000-0000-0000A0140000}"/>
    <cellStyle name="Normal 10 2 10 5 5 2" xfId="5342" xr:uid="{00000000-0005-0000-0000-0000A1140000}"/>
    <cellStyle name="Normal 10 2 10 5 5 3" xfId="5343" xr:uid="{00000000-0005-0000-0000-0000A2140000}"/>
    <cellStyle name="Normal 10 2 10 5 5 4" xfId="5344" xr:uid="{00000000-0005-0000-0000-0000A3140000}"/>
    <cellStyle name="Normal 10 2 10 5 5 5" xfId="5345" xr:uid="{00000000-0005-0000-0000-0000A4140000}"/>
    <cellStyle name="Normal 10 2 10 5 5 6" xfId="5346" xr:uid="{00000000-0005-0000-0000-0000A5140000}"/>
    <cellStyle name="Normal 10 2 10 5 5 7" xfId="5347" xr:uid="{00000000-0005-0000-0000-0000A6140000}"/>
    <cellStyle name="Normal 10 2 10 5 5 8" xfId="5348" xr:uid="{00000000-0005-0000-0000-0000A7140000}"/>
    <cellStyle name="Normal 10 2 10 5 5 9" xfId="5349" xr:uid="{00000000-0005-0000-0000-0000A8140000}"/>
    <cellStyle name="Normal 10 2 10 5 6" xfId="5350" xr:uid="{00000000-0005-0000-0000-0000A9140000}"/>
    <cellStyle name="Normal 10 2 10 5 7" xfId="5351" xr:uid="{00000000-0005-0000-0000-0000AA140000}"/>
    <cellStyle name="Normal 10 2 10 5 8" xfId="5352" xr:uid="{00000000-0005-0000-0000-0000AB140000}"/>
    <cellStyle name="Normal 10 2 10 5 9" xfId="5353" xr:uid="{00000000-0005-0000-0000-0000AC140000}"/>
    <cellStyle name="Normal 10 2 10 50" xfId="22" xr:uid="{00000000-0005-0000-0000-0000AD140000}"/>
    <cellStyle name="Normal 10 2 10 50 2" xfId="51" xr:uid="{00000000-0005-0000-0000-0000AE140000}"/>
    <cellStyle name="Normal 10 2 10 50 3" xfId="5354" xr:uid="{00000000-0005-0000-0000-0000AF140000}"/>
    <cellStyle name="Normal 10 2 10 51" xfId="2249" xr:uid="{00000000-0005-0000-0000-0000B0140000}"/>
    <cellStyle name="Normal 10 2 10 6" xfId="5355" xr:uid="{00000000-0005-0000-0000-0000B1140000}"/>
    <cellStyle name="Normal 10 2 10 6 10" xfId="5356" xr:uid="{00000000-0005-0000-0000-0000B2140000}"/>
    <cellStyle name="Normal 10 2 10 6 11" xfId="5357" xr:uid="{00000000-0005-0000-0000-0000B3140000}"/>
    <cellStyle name="Normal 10 2 10 6 12" xfId="5358" xr:uid="{00000000-0005-0000-0000-0000B4140000}"/>
    <cellStyle name="Normal 10 2 10 6 13" xfId="5359" xr:uid="{00000000-0005-0000-0000-0000B5140000}"/>
    <cellStyle name="Normal 10 2 10 6 14" xfId="5360" xr:uid="{00000000-0005-0000-0000-0000B6140000}"/>
    <cellStyle name="Normal 10 2 10 6 2" xfId="5361" xr:uid="{00000000-0005-0000-0000-0000B7140000}"/>
    <cellStyle name="Normal 10 2 10 6 2 10" xfId="5362" xr:uid="{00000000-0005-0000-0000-0000B8140000}"/>
    <cellStyle name="Normal 10 2 10 6 2 2" xfId="5363" xr:uid="{00000000-0005-0000-0000-0000B9140000}"/>
    <cellStyle name="Normal 10 2 10 6 2 3" xfId="5364" xr:uid="{00000000-0005-0000-0000-0000BA140000}"/>
    <cellStyle name="Normal 10 2 10 6 2 4" xfId="5365" xr:uid="{00000000-0005-0000-0000-0000BB140000}"/>
    <cellStyle name="Normal 10 2 10 6 2 5" xfId="5366" xr:uid="{00000000-0005-0000-0000-0000BC140000}"/>
    <cellStyle name="Normal 10 2 10 6 2 6" xfId="5367" xr:uid="{00000000-0005-0000-0000-0000BD140000}"/>
    <cellStyle name="Normal 10 2 10 6 2 7" xfId="5368" xr:uid="{00000000-0005-0000-0000-0000BE140000}"/>
    <cellStyle name="Normal 10 2 10 6 2 8" xfId="5369" xr:uid="{00000000-0005-0000-0000-0000BF140000}"/>
    <cellStyle name="Normal 10 2 10 6 2 9" xfId="5370" xr:uid="{00000000-0005-0000-0000-0000C0140000}"/>
    <cellStyle name="Normal 10 2 10 6 3" xfId="5371" xr:uid="{00000000-0005-0000-0000-0000C1140000}"/>
    <cellStyle name="Normal 10 2 10 6 3 10" xfId="5372" xr:uid="{00000000-0005-0000-0000-0000C2140000}"/>
    <cellStyle name="Normal 10 2 10 6 3 2" xfId="5373" xr:uid="{00000000-0005-0000-0000-0000C3140000}"/>
    <cellStyle name="Normal 10 2 10 6 3 3" xfId="5374" xr:uid="{00000000-0005-0000-0000-0000C4140000}"/>
    <cellStyle name="Normal 10 2 10 6 3 4" xfId="5375" xr:uid="{00000000-0005-0000-0000-0000C5140000}"/>
    <cellStyle name="Normal 10 2 10 6 3 5" xfId="5376" xr:uid="{00000000-0005-0000-0000-0000C6140000}"/>
    <cellStyle name="Normal 10 2 10 6 3 6" xfId="5377" xr:uid="{00000000-0005-0000-0000-0000C7140000}"/>
    <cellStyle name="Normal 10 2 10 6 3 7" xfId="5378" xr:uid="{00000000-0005-0000-0000-0000C8140000}"/>
    <cellStyle name="Normal 10 2 10 6 3 8" xfId="5379" xr:uid="{00000000-0005-0000-0000-0000C9140000}"/>
    <cellStyle name="Normal 10 2 10 6 3 9" xfId="5380" xr:uid="{00000000-0005-0000-0000-0000CA140000}"/>
    <cellStyle name="Normal 10 2 10 6 4" xfId="5381" xr:uid="{00000000-0005-0000-0000-0000CB140000}"/>
    <cellStyle name="Normal 10 2 10 6 4 10" xfId="5382" xr:uid="{00000000-0005-0000-0000-0000CC140000}"/>
    <cellStyle name="Normal 10 2 10 6 4 2" xfId="5383" xr:uid="{00000000-0005-0000-0000-0000CD140000}"/>
    <cellStyle name="Normal 10 2 10 6 4 3" xfId="5384" xr:uid="{00000000-0005-0000-0000-0000CE140000}"/>
    <cellStyle name="Normal 10 2 10 6 4 4" xfId="5385" xr:uid="{00000000-0005-0000-0000-0000CF140000}"/>
    <cellStyle name="Normal 10 2 10 6 4 5" xfId="5386" xr:uid="{00000000-0005-0000-0000-0000D0140000}"/>
    <cellStyle name="Normal 10 2 10 6 4 6" xfId="5387" xr:uid="{00000000-0005-0000-0000-0000D1140000}"/>
    <cellStyle name="Normal 10 2 10 6 4 7" xfId="5388" xr:uid="{00000000-0005-0000-0000-0000D2140000}"/>
    <cellStyle name="Normal 10 2 10 6 4 8" xfId="5389" xr:uid="{00000000-0005-0000-0000-0000D3140000}"/>
    <cellStyle name="Normal 10 2 10 6 4 9" xfId="5390" xr:uid="{00000000-0005-0000-0000-0000D4140000}"/>
    <cellStyle name="Normal 10 2 10 6 5" xfId="5391" xr:uid="{00000000-0005-0000-0000-0000D5140000}"/>
    <cellStyle name="Normal 10 2 10 6 5 10" xfId="5392" xr:uid="{00000000-0005-0000-0000-0000D6140000}"/>
    <cellStyle name="Normal 10 2 10 6 5 2" xfId="5393" xr:uid="{00000000-0005-0000-0000-0000D7140000}"/>
    <cellStyle name="Normal 10 2 10 6 5 3" xfId="5394" xr:uid="{00000000-0005-0000-0000-0000D8140000}"/>
    <cellStyle name="Normal 10 2 10 6 5 4" xfId="5395" xr:uid="{00000000-0005-0000-0000-0000D9140000}"/>
    <cellStyle name="Normal 10 2 10 6 5 5" xfId="5396" xr:uid="{00000000-0005-0000-0000-0000DA140000}"/>
    <cellStyle name="Normal 10 2 10 6 5 6" xfId="5397" xr:uid="{00000000-0005-0000-0000-0000DB140000}"/>
    <cellStyle name="Normal 10 2 10 6 5 7" xfId="5398" xr:uid="{00000000-0005-0000-0000-0000DC140000}"/>
    <cellStyle name="Normal 10 2 10 6 5 8" xfId="5399" xr:uid="{00000000-0005-0000-0000-0000DD140000}"/>
    <cellStyle name="Normal 10 2 10 6 5 9" xfId="5400" xr:uid="{00000000-0005-0000-0000-0000DE140000}"/>
    <cellStyle name="Normal 10 2 10 6 6" xfId="5401" xr:uid="{00000000-0005-0000-0000-0000DF140000}"/>
    <cellStyle name="Normal 10 2 10 6 7" xfId="5402" xr:uid="{00000000-0005-0000-0000-0000E0140000}"/>
    <cellStyle name="Normal 10 2 10 6 8" xfId="5403" xr:uid="{00000000-0005-0000-0000-0000E1140000}"/>
    <cellStyle name="Normal 10 2 10 6 9" xfId="5404" xr:uid="{00000000-0005-0000-0000-0000E2140000}"/>
    <cellStyle name="Normal 10 2 10 7" xfId="5405" xr:uid="{00000000-0005-0000-0000-0000E3140000}"/>
    <cellStyle name="Normal 10 2 10 7 10" xfId="5406" xr:uid="{00000000-0005-0000-0000-0000E4140000}"/>
    <cellStyle name="Normal 10 2 10 7 11" xfId="5407" xr:uid="{00000000-0005-0000-0000-0000E5140000}"/>
    <cellStyle name="Normal 10 2 10 7 12" xfId="5408" xr:uid="{00000000-0005-0000-0000-0000E6140000}"/>
    <cellStyle name="Normal 10 2 10 7 13" xfId="5409" xr:uid="{00000000-0005-0000-0000-0000E7140000}"/>
    <cellStyle name="Normal 10 2 10 7 14" xfId="5410" xr:uid="{00000000-0005-0000-0000-0000E8140000}"/>
    <cellStyle name="Normal 10 2 10 7 2" xfId="5411" xr:uid="{00000000-0005-0000-0000-0000E9140000}"/>
    <cellStyle name="Normal 10 2 10 7 2 10" xfId="5412" xr:uid="{00000000-0005-0000-0000-0000EA140000}"/>
    <cellStyle name="Normal 10 2 10 7 2 2" xfId="5413" xr:uid="{00000000-0005-0000-0000-0000EB140000}"/>
    <cellStyle name="Normal 10 2 10 7 2 3" xfId="5414" xr:uid="{00000000-0005-0000-0000-0000EC140000}"/>
    <cellStyle name="Normal 10 2 10 7 2 4" xfId="5415" xr:uid="{00000000-0005-0000-0000-0000ED140000}"/>
    <cellStyle name="Normal 10 2 10 7 2 5" xfId="5416" xr:uid="{00000000-0005-0000-0000-0000EE140000}"/>
    <cellStyle name="Normal 10 2 10 7 2 6" xfId="5417" xr:uid="{00000000-0005-0000-0000-0000EF140000}"/>
    <cellStyle name="Normal 10 2 10 7 2 7" xfId="5418" xr:uid="{00000000-0005-0000-0000-0000F0140000}"/>
    <cellStyle name="Normal 10 2 10 7 2 8" xfId="5419" xr:uid="{00000000-0005-0000-0000-0000F1140000}"/>
    <cellStyle name="Normal 10 2 10 7 2 9" xfId="5420" xr:uid="{00000000-0005-0000-0000-0000F2140000}"/>
    <cellStyle name="Normal 10 2 10 7 3" xfId="5421" xr:uid="{00000000-0005-0000-0000-0000F3140000}"/>
    <cellStyle name="Normal 10 2 10 7 3 10" xfId="5422" xr:uid="{00000000-0005-0000-0000-0000F4140000}"/>
    <cellStyle name="Normal 10 2 10 7 3 2" xfId="5423" xr:uid="{00000000-0005-0000-0000-0000F5140000}"/>
    <cellStyle name="Normal 10 2 10 7 3 3" xfId="5424" xr:uid="{00000000-0005-0000-0000-0000F6140000}"/>
    <cellStyle name="Normal 10 2 10 7 3 4" xfId="5425" xr:uid="{00000000-0005-0000-0000-0000F7140000}"/>
    <cellStyle name="Normal 10 2 10 7 3 5" xfId="5426" xr:uid="{00000000-0005-0000-0000-0000F8140000}"/>
    <cellStyle name="Normal 10 2 10 7 3 6" xfId="5427" xr:uid="{00000000-0005-0000-0000-0000F9140000}"/>
    <cellStyle name="Normal 10 2 10 7 3 7" xfId="5428" xr:uid="{00000000-0005-0000-0000-0000FA140000}"/>
    <cellStyle name="Normal 10 2 10 7 3 8" xfId="5429" xr:uid="{00000000-0005-0000-0000-0000FB140000}"/>
    <cellStyle name="Normal 10 2 10 7 3 9" xfId="5430" xr:uid="{00000000-0005-0000-0000-0000FC140000}"/>
    <cellStyle name="Normal 10 2 10 7 4" xfId="5431" xr:uid="{00000000-0005-0000-0000-0000FD140000}"/>
    <cellStyle name="Normal 10 2 10 7 4 10" xfId="5432" xr:uid="{00000000-0005-0000-0000-0000FE140000}"/>
    <cellStyle name="Normal 10 2 10 7 4 2" xfId="5433" xr:uid="{00000000-0005-0000-0000-0000FF140000}"/>
    <cellStyle name="Normal 10 2 10 7 4 3" xfId="5434" xr:uid="{00000000-0005-0000-0000-000000150000}"/>
    <cellStyle name="Normal 10 2 10 7 4 4" xfId="5435" xr:uid="{00000000-0005-0000-0000-000001150000}"/>
    <cellStyle name="Normal 10 2 10 7 4 5" xfId="5436" xr:uid="{00000000-0005-0000-0000-000002150000}"/>
    <cellStyle name="Normal 10 2 10 7 4 6" xfId="5437" xr:uid="{00000000-0005-0000-0000-000003150000}"/>
    <cellStyle name="Normal 10 2 10 7 4 7" xfId="5438" xr:uid="{00000000-0005-0000-0000-000004150000}"/>
    <cellStyle name="Normal 10 2 10 7 4 8" xfId="5439" xr:uid="{00000000-0005-0000-0000-000005150000}"/>
    <cellStyle name="Normal 10 2 10 7 4 9" xfId="5440" xr:uid="{00000000-0005-0000-0000-000006150000}"/>
    <cellStyle name="Normal 10 2 10 7 5" xfId="5441" xr:uid="{00000000-0005-0000-0000-000007150000}"/>
    <cellStyle name="Normal 10 2 10 7 5 10" xfId="5442" xr:uid="{00000000-0005-0000-0000-000008150000}"/>
    <cellStyle name="Normal 10 2 10 7 5 2" xfId="5443" xr:uid="{00000000-0005-0000-0000-000009150000}"/>
    <cellStyle name="Normal 10 2 10 7 5 3" xfId="5444" xr:uid="{00000000-0005-0000-0000-00000A150000}"/>
    <cellStyle name="Normal 10 2 10 7 5 4" xfId="5445" xr:uid="{00000000-0005-0000-0000-00000B150000}"/>
    <cellStyle name="Normal 10 2 10 7 5 5" xfId="5446" xr:uid="{00000000-0005-0000-0000-00000C150000}"/>
    <cellStyle name="Normal 10 2 10 7 5 6" xfId="5447" xr:uid="{00000000-0005-0000-0000-00000D150000}"/>
    <cellStyle name="Normal 10 2 10 7 5 7" xfId="5448" xr:uid="{00000000-0005-0000-0000-00000E150000}"/>
    <cellStyle name="Normal 10 2 10 7 5 8" xfId="5449" xr:uid="{00000000-0005-0000-0000-00000F150000}"/>
    <cellStyle name="Normal 10 2 10 7 5 9" xfId="5450" xr:uid="{00000000-0005-0000-0000-000010150000}"/>
    <cellStyle name="Normal 10 2 10 7 6" xfId="5451" xr:uid="{00000000-0005-0000-0000-000011150000}"/>
    <cellStyle name="Normal 10 2 10 7 7" xfId="5452" xr:uid="{00000000-0005-0000-0000-000012150000}"/>
    <cellStyle name="Normal 10 2 10 7 8" xfId="5453" xr:uid="{00000000-0005-0000-0000-000013150000}"/>
    <cellStyle name="Normal 10 2 10 7 9" xfId="5454" xr:uid="{00000000-0005-0000-0000-000014150000}"/>
    <cellStyle name="Normal 10 2 10 8" xfId="5455" xr:uid="{00000000-0005-0000-0000-000015150000}"/>
    <cellStyle name="Normal 10 2 10 8 10" xfId="5456" xr:uid="{00000000-0005-0000-0000-000016150000}"/>
    <cellStyle name="Normal 10 2 10 8 11" xfId="5457" xr:uid="{00000000-0005-0000-0000-000017150000}"/>
    <cellStyle name="Normal 10 2 10 8 12" xfId="5458" xr:uid="{00000000-0005-0000-0000-000018150000}"/>
    <cellStyle name="Normal 10 2 10 8 13" xfId="5459" xr:uid="{00000000-0005-0000-0000-000019150000}"/>
    <cellStyle name="Normal 10 2 10 8 14" xfId="5460" xr:uid="{00000000-0005-0000-0000-00001A150000}"/>
    <cellStyle name="Normal 10 2 10 8 2" xfId="5461" xr:uid="{00000000-0005-0000-0000-00001B150000}"/>
    <cellStyle name="Normal 10 2 10 8 2 10" xfId="5462" xr:uid="{00000000-0005-0000-0000-00001C150000}"/>
    <cellStyle name="Normal 10 2 10 8 2 2" xfId="5463" xr:uid="{00000000-0005-0000-0000-00001D150000}"/>
    <cellStyle name="Normal 10 2 10 8 2 3" xfId="5464" xr:uid="{00000000-0005-0000-0000-00001E150000}"/>
    <cellStyle name="Normal 10 2 10 8 2 4" xfId="5465" xr:uid="{00000000-0005-0000-0000-00001F150000}"/>
    <cellStyle name="Normal 10 2 10 8 2 5" xfId="5466" xr:uid="{00000000-0005-0000-0000-000020150000}"/>
    <cellStyle name="Normal 10 2 10 8 2 6" xfId="5467" xr:uid="{00000000-0005-0000-0000-000021150000}"/>
    <cellStyle name="Normal 10 2 10 8 2 7" xfId="5468" xr:uid="{00000000-0005-0000-0000-000022150000}"/>
    <cellStyle name="Normal 10 2 10 8 2 8" xfId="5469" xr:uid="{00000000-0005-0000-0000-000023150000}"/>
    <cellStyle name="Normal 10 2 10 8 2 9" xfId="5470" xr:uid="{00000000-0005-0000-0000-000024150000}"/>
    <cellStyle name="Normal 10 2 10 8 3" xfId="5471" xr:uid="{00000000-0005-0000-0000-000025150000}"/>
    <cellStyle name="Normal 10 2 10 8 3 10" xfId="5472" xr:uid="{00000000-0005-0000-0000-000026150000}"/>
    <cellStyle name="Normal 10 2 10 8 3 2" xfId="5473" xr:uid="{00000000-0005-0000-0000-000027150000}"/>
    <cellStyle name="Normal 10 2 10 8 3 3" xfId="5474" xr:uid="{00000000-0005-0000-0000-000028150000}"/>
    <cellStyle name="Normal 10 2 10 8 3 4" xfId="5475" xr:uid="{00000000-0005-0000-0000-000029150000}"/>
    <cellStyle name="Normal 10 2 10 8 3 5" xfId="5476" xr:uid="{00000000-0005-0000-0000-00002A150000}"/>
    <cellStyle name="Normal 10 2 10 8 3 6" xfId="5477" xr:uid="{00000000-0005-0000-0000-00002B150000}"/>
    <cellStyle name="Normal 10 2 10 8 3 7" xfId="5478" xr:uid="{00000000-0005-0000-0000-00002C150000}"/>
    <cellStyle name="Normal 10 2 10 8 3 8" xfId="5479" xr:uid="{00000000-0005-0000-0000-00002D150000}"/>
    <cellStyle name="Normal 10 2 10 8 3 9" xfId="5480" xr:uid="{00000000-0005-0000-0000-00002E150000}"/>
    <cellStyle name="Normal 10 2 10 8 4" xfId="5481" xr:uid="{00000000-0005-0000-0000-00002F150000}"/>
    <cellStyle name="Normal 10 2 10 8 4 10" xfId="5482" xr:uid="{00000000-0005-0000-0000-000030150000}"/>
    <cellStyle name="Normal 10 2 10 8 4 2" xfId="5483" xr:uid="{00000000-0005-0000-0000-000031150000}"/>
    <cellStyle name="Normal 10 2 10 8 4 3" xfId="5484" xr:uid="{00000000-0005-0000-0000-000032150000}"/>
    <cellStyle name="Normal 10 2 10 8 4 4" xfId="5485" xr:uid="{00000000-0005-0000-0000-000033150000}"/>
    <cellStyle name="Normal 10 2 10 8 4 5" xfId="5486" xr:uid="{00000000-0005-0000-0000-000034150000}"/>
    <cellStyle name="Normal 10 2 10 8 4 6" xfId="5487" xr:uid="{00000000-0005-0000-0000-000035150000}"/>
    <cellStyle name="Normal 10 2 10 8 4 7" xfId="5488" xr:uid="{00000000-0005-0000-0000-000036150000}"/>
    <cellStyle name="Normal 10 2 10 8 4 8" xfId="5489" xr:uid="{00000000-0005-0000-0000-000037150000}"/>
    <cellStyle name="Normal 10 2 10 8 4 9" xfId="5490" xr:uid="{00000000-0005-0000-0000-000038150000}"/>
    <cellStyle name="Normal 10 2 10 8 5" xfId="5491" xr:uid="{00000000-0005-0000-0000-000039150000}"/>
    <cellStyle name="Normal 10 2 10 8 5 10" xfId="5492" xr:uid="{00000000-0005-0000-0000-00003A150000}"/>
    <cellStyle name="Normal 10 2 10 8 5 2" xfId="5493" xr:uid="{00000000-0005-0000-0000-00003B150000}"/>
    <cellStyle name="Normal 10 2 10 8 5 3" xfId="5494" xr:uid="{00000000-0005-0000-0000-00003C150000}"/>
    <cellStyle name="Normal 10 2 10 8 5 4" xfId="5495" xr:uid="{00000000-0005-0000-0000-00003D150000}"/>
    <cellStyle name="Normal 10 2 10 8 5 5" xfId="5496" xr:uid="{00000000-0005-0000-0000-00003E150000}"/>
    <cellStyle name="Normal 10 2 10 8 5 6" xfId="5497" xr:uid="{00000000-0005-0000-0000-00003F150000}"/>
    <cellStyle name="Normal 10 2 10 8 5 7" xfId="5498" xr:uid="{00000000-0005-0000-0000-000040150000}"/>
    <cellStyle name="Normal 10 2 10 8 5 8" xfId="5499" xr:uid="{00000000-0005-0000-0000-000041150000}"/>
    <cellStyle name="Normal 10 2 10 8 5 9" xfId="5500" xr:uid="{00000000-0005-0000-0000-000042150000}"/>
    <cellStyle name="Normal 10 2 10 8 6" xfId="5501" xr:uid="{00000000-0005-0000-0000-000043150000}"/>
    <cellStyle name="Normal 10 2 10 8 7" xfId="5502" xr:uid="{00000000-0005-0000-0000-000044150000}"/>
    <cellStyle name="Normal 10 2 10 8 8" xfId="5503" xr:uid="{00000000-0005-0000-0000-000045150000}"/>
    <cellStyle name="Normal 10 2 10 8 9" xfId="5504" xr:uid="{00000000-0005-0000-0000-000046150000}"/>
    <cellStyle name="Normal 10 2 10 9" xfId="5505" xr:uid="{00000000-0005-0000-0000-000047150000}"/>
    <cellStyle name="Normal 10 2 10 9 10" xfId="5506" xr:uid="{00000000-0005-0000-0000-000048150000}"/>
    <cellStyle name="Normal 10 2 10 9 11" xfId="5507" xr:uid="{00000000-0005-0000-0000-000049150000}"/>
    <cellStyle name="Normal 10 2 10 9 12" xfId="5508" xr:uid="{00000000-0005-0000-0000-00004A150000}"/>
    <cellStyle name="Normal 10 2 10 9 13" xfId="5509" xr:uid="{00000000-0005-0000-0000-00004B150000}"/>
    <cellStyle name="Normal 10 2 10 9 14" xfId="5510" xr:uid="{00000000-0005-0000-0000-00004C150000}"/>
    <cellStyle name="Normal 10 2 10 9 2" xfId="5511" xr:uid="{00000000-0005-0000-0000-00004D150000}"/>
    <cellStyle name="Normal 10 2 10 9 2 10" xfId="5512" xr:uid="{00000000-0005-0000-0000-00004E150000}"/>
    <cellStyle name="Normal 10 2 10 9 2 2" xfId="5513" xr:uid="{00000000-0005-0000-0000-00004F150000}"/>
    <cellStyle name="Normal 10 2 10 9 2 3" xfId="5514" xr:uid="{00000000-0005-0000-0000-000050150000}"/>
    <cellStyle name="Normal 10 2 10 9 2 4" xfId="5515" xr:uid="{00000000-0005-0000-0000-000051150000}"/>
    <cellStyle name="Normal 10 2 10 9 2 5" xfId="5516" xr:uid="{00000000-0005-0000-0000-000052150000}"/>
    <cellStyle name="Normal 10 2 10 9 2 6" xfId="5517" xr:uid="{00000000-0005-0000-0000-000053150000}"/>
    <cellStyle name="Normal 10 2 10 9 2 7" xfId="5518" xr:uid="{00000000-0005-0000-0000-000054150000}"/>
    <cellStyle name="Normal 10 2 10 9 2 8" xfId="5519" xr:uid="{00000000-0005-0000-0000-000055150000}"/>
    <cellStyle name="Normal 10 2 10 9 2 9" xfId="5520" xr:uid="{00000000-0005-0000-0000-000056150000}"/>
    <cellStyle name="Normal 10 2 10 9 3" xfId="5521" xr:uid="{00000000-0005-0000-0000-000057150000}"/>
    <cellStyle name="Normal 10 2 10 9 3 10" xfId="5522" xr:uid="{00000000-0005-0000-0000-000058150000}"/>
    <cellStyle name="Normal 10 2 10 9 3 2" xfId="5523" xr:uid="{00000000-0005-0000-0000-000059150000}"/>
    <cellStyle name="Normal 10 2 10 9 3 3" xfId="5524" xr:uid="{00000000-0005-0000-0000-00005A150000}"/>
    <cellStyle name="Normal 10 2 10 9 3 4" xfId="5525" xr:uid="{00000000-0005-0000-0000-00005B150000}"/>
    <cellStyle name="Normal 10 2 10 9 3 5" xfId="5526" xr:uid="{00000000-0005-0000-0000-00005C150000}"/>
    <cellStyle name="Normal 10 2 10 9 3 6" xfId="5527" xr:uid="{00000000-0005-0000-0000-00005D150000}"/>
    <cellStyle name="Normal 10 2 10 9 3 7" xfId="5528" xr:uid="{00000000-0005-0000-0000-00005E150000}"/>
    <cellStyle name="Normal 10 2 10 9 3 8" xfId="5529" xr:uid="{00000000-0005-0000-0000-00005F150000}"/>
    <cellStyle name="Normal 10 2 10 9 3 9" xfId="5530" xr:uid="{00000000-0005-0000-0000-000060150000}"/>
    <cellStyle name="Normal 10 2 10 9 4" xfId="5531" xr:uid="{00000000-0005-0000-0000-000061150000}"/>
    <cellStyle name="Normal 10 2 10 9 4 10" xfId="5532" xr:uid="{00000000-0005-0000-0000-000062150000}"/>
    <cellStyle name="Normal 10 2 10 9 4 2" xfId="5533" xr:uid="{00000000-0005-0000-0000-000063150000}"/>
    <cellStyle name="Normal 10 2 10 9 4 3" xfId="5534" xr:uid="{00000000-0005-0000-0000-000064150000}"/>
    <cellStyle name="Normal 10 2 10 9 4 4" xfId="5535" xr:uid="{00000000-0005-0000-0000-000065150000}"/>
    <cellStyle name="Normal 10 2 10 9 4 5" xfId="5536" xr:uid="{00000000-0005-0000-0000-000066150000}"/>
    <cellStyle name="Normal 10 2 10 9 4 6" xfId="5537" xr:uid="{00000000-0005-0000-0000-000067150000}"/>
    <cellStyle name="Normal 10 2 10 9 4 7" xfId="5538" xr:uid="{00000000-0005-0000-0000-000068150000}"/>
    <cellStyle name="Normal 10 2 10 9 4 8" xfId="5539" xr:uid="{00000000-0005-0000-0000-000069150000}"/>
    <cellStyle name="Normal 10 2 10 9 4 9" xfId="5540" xr:uid="{00000000-0005-0000-0000-00006A150000}"/>
    <cellStyle name="Normal 10 2 10 9 5" xfId="5541" xr:uid="{00000000-0005-0000-0000-00006B150000}"/>
    <cellStyle name="Normal 10 2 10 9 5 10" xfId="5542" xr:uid="{00000000-0005-0000-0000-00006C150000}"/>
    <cellStyle name="Normal 10 2 10 9 5 2" xfId="5543" xr:uid="{00000000-0005-0000-0000-00006D150000}"/>
    <cellStyle name="Normal 10 2 10 9 5 3" xfId="5544" xr:uid="{00000000-0005-0000-0000-00006E150000}"/>
    <cellStyle name="Normal 10 2 10 9 5 4" xfId="5545" xr:uid="{00000000-0005-0000-0000-00006F150000}"/>
    <cellStyle name="Normal 10 2 10 9 5 5" xfId="5546" xr:uid="{00000000-0005-0000-0000-000070150000}"/>
    <cellStyle name="Normal 10 2 10 9 5 6" xfId="5547" xr:uid="{00000000-0005-0000-0000-000071150000}"/>
    <cellStyle name="Normal 10 2 10 9 5 7" xfId="5548" xr:uid="{00000000-0005-0000-0000-000072150000}"/>
    <cellStyle name="Normal 10 2 10 9 5 8" xfId="5549" xr:uid="{00000000-0005-0000-0000-000073150000}"/>
    <cellStyle name="Normal 10 2 10 9 5 9" xfId="5550" xr:uid="{00000000-0005-0000-0000-000074150000}"/>
    <cellStyle name="Normal 10 2 10 9 6" xfId="5551" xr:uid="{00000000-0005-0000-0000-000075150000}"/>
    <cellStyle name="Normal 10 2 10 9 7" xfId="5552" xr:uid="{00000000-0005-0000-0000-000076150000}"/>
    <cellStyle name="Normal 10 2 10 9 8" xfId="5553" xr:uid="{00000000-0005-0000-0000-000077150000}"/>
    <cellStyle name="Normal 10 2 10 9 9" xfId="5554" xr:uid="{00000000-0005-0000-0000-000078150000}"/>
    <cellStyle name="Normal 10 2 11" xfId="5555" xr:uid="{00000000-0005-0000-0000-000079150000}"/>
    <cellStyle name="Normal 10 2 12" xfId="5556" xr:uid="{00000000-0005-0000-0000-00007A150000}"/>
    <cellStyle name="Normal 10 2 13" xfId="5557" xr:uid="{00000000-0005-0000-0000-00007B150000}"/>
    <cellStyle name="Normal 10 2 14" xfId="5558" xr:uid="{00000000-0005-0000-0000-00007C150000}"/>
    <cellStyle name="Normal 10 2 15" xfId="5559" xr:uid="{00000000-0005-0000-0000-00007D150000}"/>
    <cellStyle name="Normal 10 2 16" xfId="5560" xr:uid="{00000000-0005-0000-0000-00007E150000}"/>
    <cellStyle name="Normal 10 2 17" xfId="5561" xr:uid="{00000000-0005-0000-0000-00007F150000}"/>
    <cellStyle name="Normal 10 2 18" xfId="5562" xr:uid="{00000000-0005-0000-0000-000080150000}"/>
    <cellStyle name="Normal 10 2 19" xfId="5563" xr:uid="{00000000-0005-0000-0000-000081150000}"/>
    <cellStyle name="Normal 10 2 2" xfId="5564" xr:uid="{00000000-0005-0000-0000-000082150000}"/>
    <cellStyle name="Normal 10 2 2 2" xfId="5565" xr:uid="{00000000-0005-0000-0000-000083150000}"/>
    <cellStyle name="Normal 10 2 2 2 2" xfId="5566" xr:uid="{00000000-0005-0000-0000-000084150000}"/>
    <cellStyle name="Normal 10 2 20" xfId="5567" xr:uid="{00000000-0005-0000-0000-000085150000}"/>
    <cellStyle name="Normal 10 2 21" xfId="5568" xr:uid="{00000000-0005-0000-0000-000086150000}"/>
    <cellStyle name="Normal 10 2 22" xfId="5569" xr:uid="{00000000-0005-0000-0000-000087150000}"/>
    <cellStyle name="Normal 10 2 23" xfId="5570" xr:uid="{00000000-0005-0000-0000-000088150000}"/>
    <cellStyle name="Normal 10 2 24" xfId="5571" xr:uid="{00000000-0005-0000-0000-000089150000}"/>
    <cellStyle name="Normal 10 2 25" xfId="5572" xr:uid="{00000000-0005-0000-0000-00008A150000}"/>
    <cellStyle name="Normal 10 2 26" xfId="5573" xr:uid="{00000000-0005-0000-0000-00008B150000}"/>
    <cellStyle name="Normal 10 2 27" xfId="5574" xr:uid="{00000000-0005-0000-0000-00008C150000}"/>
    <cellStyle name="Normal 10 2 28" xfId="5575" xr:uid="{00000000-0005-0000-0000-00008D150000}"/>
    <cellStyle name="Normal 10 2 29" xfId="5576" xr:uid="{00000000-0005-0000-0000-00008E150000}"/>
    <cellStyle name="Normal 10 2 3" xfId="5577" xr:uid="{00000000-0005-0000-0000-00008F150000}"/>
    <cellStyle name="Normal 10 2 30" xfId="5578" xr:uid="{00000000-0005-0000-0000-000090150000}"/>
    <cellStyle name="Normal 10 2 31" xfId="5579" xr:uid="{00000000-0005-0000-0000-000091150000}"/>
    <cellStyle name="Normal 10 2 32" xfId="5580" xr:uid="{00000000-0005-0000-0000-000092150000}"/>
    <cellStyle name="Normal 10 2 33" xfId="5581" xr:uid="{00000000-0005-0000-0000-000093150000}"/>
    <cellStyle name="Normal 10 2 34" xfId="5582" xr:uid="{00000000-0005-0000-0000-000094150000}"/>
    <cellStyle name="Normal 10 2 35" xfId="5583" xr:uid="{00000000-0005-0000-0000-000095150000}"/>
    <cellStyle name="Normal 10 2 36" xfId="5584" xr:uid="{00000000-0005-0000-0000-000096150000}"/>
    <cellStyle name="Normal 10 2 37" xfId="5585" xr:uid="{00000000-0005-0000-0000-000097150000}"/>
    <cellStyle name="Normal 10 2 38" xfId="5586" xr:uid="{00000000-0005-0000-0000-000098150000}"/>
    <cellStyle name="Normal 10 2 39" xfId="5587" xr:uid="{00000000-0005-0000-0000-000099150000}"/>
    <cellStyle name="Normal 10 2 4" xfId="5588" xr:uid="{00000000-0005-0000-0000-00009A150000}"/>
    <cellStyle name="Normal 10 2 40" xfId="5589" xr:uid="{00000000-0005-0000-0000-00009B150000}"/>
    <cellStyle name="Normal 10 2 41" xfId="5590" xr:uid="{00000000-0005-0000-0000-00009C150000}"/>
    <cellStyle name="Normal 10 2 42" xfId="5591" xr:uid="{00000000-0005-0000-0000-00009D150000}"/>
    <cellStyle name="Normal 10 2 43" xfId="5592" xr:uid="{00000000-0005-0000-0000-00009E150000}"/>
    <cellStyle name="Normal 10 2 44" xfId="5593" xr:uid="{00000000-0005-0000-0000-00009F150000}"/>
    <cellStyle name="Normal 10 2 45" xfId="5594" xr:uid="{00000000-0005-0000-0000-0000A0150000}"/>
    <cellStyle name="Normal 10 2 46" xfId="5595" xr:uid="{00000000-0005-0000-0000-0000A1150000}"/>
    <cellStyle name="Normal 10 2 47" xfId="5596" xr:uid="{00000000-0005-0000-0000-0000A2150000}"/>
    <cellStyle name="Normal 10 2 48" xfId="5597" xr:uid="{00000000-0005-0000-0000-0000A3150000}"/>
    <cellStyle name="Normal 10 2 49" xfId="5598" xr:uid="{00000000-0005-0000-0000-0000A4150000}"/>
    <cellStyle name="Normal 10 2 5" xfId="5599" xr:uid="{00000000-0005-0000-0000-0000A5150000}"/>
    <cellStyle name="Normal 10 2 50" xfId="5600" xr:uid="{00000000-0005-0000-0000-0000A6150000}"/>
    <cellStyle name="Normal 10 2 51" xfId="5601" xr:uid="{00000000-0005-0000-0000-0000A7150000}"/>
    <cellStyle name="Normal 10 2 52" xfId="5602" xr:uid="{00000000-0005-0000-0000-0000A8150000}"/>
    <cellStyle name="Normal 10 2 53" xfId="5603" xr:uid="{00000000-0005-0000-0000-0000A9150000}"/>
    <cellStyle name="Normal 10 2 54" xfId="5604" xr:uid="{00000000-0005-0000-0000-0000AA150000}"/>
    <cellStyle name="Normal 10 2 55" xfId="5605" xr:uid="{00000000-0005-0000-0000-0000AB150000}"/>
    <cellStyle name="Normal 10 2 56" xfId="5606" xr:uid="{00000000-0005-0000-0000-0000AC150000}"/>
    <cellStyle name="Normal 10 2 57" xfId="5607" xr:uid="{00000000-0005-0000-0000-0000AD150000}"/>
    <cellStyle name="Normal 10 2 58" xfId="5608" xr:uid="{00000000-0005-0000-0000-0000AE150000}"/>
    <cellStyle name="Normal 10 2 59" xfId="5609" xr:uid="{00000000-0005-0000-0000-0000AF150000}"/>
    <cellStyle name="Normal 10 2 6" xfId="5610" xr:uid="{00000000-0005-0000-0000-0000B0150000}"/>
    <cellStyle name="Normal 10 2 60" xfId="5611" xr:uid="{00000000-0005-0000-0000-0000B1150000}"/>
    <cellStyle name="Normal 10 2 61" xfId="5612" xr:uid="{00000000-0005-0000-0000-0000B2150000}"/>
    <cellStyle name="Normal 10 2 62" xfId="5613" xr:uid="{00000000-0005-0000-0000-0000B3150000}"/>
    <cellStyle name="Normal 10 2 63" xfId="5614" xr:uid="{00000000-0005-0000-0000-0000B4150000}"/>
    <cellStyle name="Normal 10 2 64" xfId="5615" xr:uid="{00000000-0005-0000-0000-0000B5150000}"/>
    <cellStyle name="Normal 10 2 65" xfId="5616" xr:uid="{00000000-0005-0000-0000-0000B6150000}"/>
    <cellStyle name="Normal 10 2 66" xfId="5617" xr:uid="{00000000-0005-0000-0000-0000B7150000}"/>
    <cellStyle name="Normal 10 2 67" xfId="5618" xr:uid="{00000000-0005-0000-0000-0000B8150000}"/>
    <cellStyle name="Normal 10 2 68" xfId="5619" xr:uid="{00000000-0005-0000-0000-0000B9150000}"/>
    <cellStyle name="Normal 10 2 69" xfId="5620" xr:uid="{00000000-0005-0000-0000-0000BA150000}"/>
    <cellStyle name="Normal 10 2 7" xfId="5621" xr:uid="{00000000-0005-0000-0000-0000BB150000}"/>
    <cellStyle name="Normal 10 2 70" xfId="5622" xr:uid="{00000000-0005-0000-0000-0000BC150000}"/>
    <cellStyle name="Normal 10 2 71" xfId="5623" xr:uid="{00000000-0005-0000-0000-0000BD150000}"/>
    <cellStyle name="Normal 10 2 72" xfId="5624" xr:uid="{00000000-0005-0000-0000-0000BE150000}"/>
    <cellStyle name="Normal 10 2 73" xfId="5625" xr:uid="{00000000-0005-0000-0000-0000BF150000}"/>
    <cellStyle name="Normal 10 2 74" xfId="5626" xr:uid="{00000000-0005-0000-0000-0000C0150000}"/>
    <cellStyle name="Normal 10 2 75" xfId="5627" xr:uid="{00000000-0005-0000-0000-0000C1150000}"/>
    <cellStyle name="Normal 10 2 76" xfId="5628" xr:uid="{00000000-0005-0000-0000-0000C2150000}"/>
    <cellStyle name="Normal 10 2 77" xfId="5629" xr:uid="{00000000-0005-0000-0000-0000C3150000}"/>
    <cellStyle name="Normal 10 2 78" xfId="5630" xr:uid="{00000000-0005-0000-0000-0000C4150000}"/>
    <cellStyle name="Normal 10 2 79" xfId="5631" xr:uid="{00000000-0005-0000-0000-0000C5150000}"/>
    <cellStyle name="Normal 10 2 8" xfId="5632" xr:uid="{00000000-0005-0000-0000-0000C6150000}"/>
    <cellStyle name="Normal 10 2 9" xfId="5633" xr:uid="{00000000-0005-0000-0000-0000C7150000}"/>
    <cellStyle name="Normal 10 2_Enlaces" xfId="5634" xr:uid="{00000000-0005-0000-0000-0000C8150000}"/>
    <cellStyle name="Normal 10 20" xfId="5635" xr:uid="{00000000-0005-0000-0000-0000C9150000}"/>
    <cellStyle name="Normal 10 21" xfId="5636" xr:uid="{00000000-0005-0000-0000-0000CA150000}"/>
    <cellStyle name="Normal 10 22" xfId="5637" xr:uid="{00000000-0005-0000-0000-0000CB150000}"/>
    <cellStyle name="Normal 10 23" xfId="5638" xr:uid="{00000000-0005-0000-0000-0000CC150000}"/>
    <cellStyle name="Normal 10 24" xfId="5639" xr:uid="{00000000-0005-0000-0000-0000CD150000}"/>
    <cellStyle name="Normal 10 25" xfId="5640" xr:uid="{00000000-0005-0000-0000-0000CE150000}"/>
    <cellStyle name="Normal 10 26" xfId="5641" xr:uid="{00000000-0005-0000-0000-0000CF150000}"/>
    <cellStyle name="Normal 10 27" xfId="5642" xr:uid="{00000000-0005-0000-0000-0000D0150000}"/>
    <cellStyle name="Normal 10 28" xfId="5643" xr:uid="{00000000-0005-0000-0000-0000D1150000}"/>
    <cellStyle name="Normal 10 29" xfId="5644" xr:uid="{00000000-0005-0000-0000-0000D2150000}"/>
    <cellStyle name="Normal 10 3" xfId="5645" xr:uid="{00000000-0005-0000-0000-0000D3150000}"/>
    <cellStyle name="Normal 10 3 2" xfId="5646" xr:uid="{00000000-0005-0000-0000-0000D4150000}"/>
    <cellStyle name="Normal 10 3 3" xfId="5647" xr:uid="{00000000-0005-0000-0000-0000D5150000}"/>
    <cellStyle name="Normal 10 3 4" xfId="5648" xr:uid="{00000000-0005-0000-0000-0000D6150000}"/>
    <cellStyle name="Normal 10 3 4 2" xfId="5649" xr:uid="{00000000-0005-0000-0000-0000D7150000}"/>
    <cellStyle name="Normal 10 3 4 2 2" xfId="5650" xr:uid="{00000000-0005-0000-0000-0000D8150000}"/>
    <cellStyle name="Normal 10 3 4 3" xfId="5651" xr:uid="{00000000-0005-0000-0000-0000D9150000}"/>
    <cellStyle name="Normal 10 3 5" xfId="5652" xr:uid="{00000000-0005-0000-0000-0000DA150000}"/>
    <cellStyle name="Normal 10 3 6" xfId="5653" xr:uid="{00000000-0005-0000-0000-0000DB150000}"/>
    <cellStyle name="Normal 10 3 7" xfId="5654" xr:uid="{00000000-0005-0000-0000-0000DC150000}"/>
    <cellStyle name="Normal 10 3 7 2" xfId="5655" xr:uid="{00000000-0005-0000-0000-0000DD150000}"/>
    <cellStyle name="Normal 10 3 8" xfId="5656" xr:uid="{00000000-0005-0000-0000-0000DE150000}"/>
    <cellStyle name="Normal 10 3 9" xfId="5657" xr:uid="{00000000-0005-0000-0000-0000DF150000}"/>
    <cellStyle name="Normal 10 3_Implem" xfId="5658" xr:uid="{00000000-0005-0000-0000-0000E0150000}"/>
    <cellStyle name="Normal 10 30" xfId="5659" xr:uid="{00000000-0005-0000-0000-0000E1150000}"/>
    <cellStyle name="Normal 10 31" xfId="5660" xr:uid="{00000000-0005-0000-0000-0000E2150000}"/>
    <cellStyle name="Normal 10 32" xfId="2237" xr:uid="{00000000-0005-0000-0000-0000E3150000}"/>
    <cellStyle name="Normal 10 4" xfId="5661" xr:uid="{00000000-0005-0000-0000-0000E4150000}"/>
    <cellStyle name="Normal 10 5" xfId="5662" xr:uid="{00000000-0005-0000-0000-0000E5150000}"/>
    <cellStyle name="Normal 10 6" xfId="5663" xr:uid="{00000000-0005-0000-0000-0000E6150000}"/>
    <cellStyle name="Normal 10 7" xfId="5664" xr:uid="{00000000-0005-0000-0000-0000E7150000}"/>
    <cellStyle name="Normal 10 8" xfId="5665" xr:uid="{00000000-0005-0000-0000-0000E8150000}"/>
    <cellStyle name="Normal 10 9" xfId="5666" xr:uid="{00000000-0005-0000-0000-0000E9150000}"/>
    <cellStyle name="Normal 100" xfId="5667" xr:uid="{00000000-0005-0000-0000-0000EA150000}"/>
    <cellStyle name="Normal 100 2" xfId="5668" xr:uid="{00000000-0005-0000-0000-0000EB150000}"/>
    <cellStyle name="Normal 100 3" xfId="5669" xr:uid="{00000000-0005-0000-0000-0000EC150000}"/>
    <cellStyle name="Normal 101" xfId="5670" xr:uid="{00000000-0005-0000-0000-0000ED150000}"/>
    <cellStyle name="Normal 101 2" xfId="5671" xr:uid="{00000000-0005-0000-0000-0000EE150000}"/>
    <cellStyle name="Normal 101 3" xfId="5672" xr:uid="{00000000-0005-0000-0000-0000EF150000}"/>
    <cellStyle name="Normal 102" xfId="5673" xr:uid="{00000000-0005-0000-0000-0000F0150000}"/>
    <cellStyle name="Normal 102 2" xfId="5674" xr:uid="{00000000-0005-0000-0000-0000F1150000}"/>
    <cellStyle name="Normal 102 3" xfId="5675" xr:uid="{00000000-0005-0000-0000-0000F2150000}"/>
    <cellStyle name="Normal 103" xfId="5676" xr:uid="{00000000-0005-0000-0000-0000F3150000}"/>
    <cellStyle name="Normal 103 2" xfId="5677" xr:uid="{00000000-0005-0000-0000-0000F4150000}"/>
    <cellStyle name="Normal 104" xfId="5678" xr:uid="{00000000-0005-0000-0000-0000F5150000}"/>
    <cellStyle name="Normal 104 2" xfId="5679" xr:uid="{00000000-0005-0000-0000-0000F6150000}"/>
    <cellStyle name="Normal 105" xfId="5680" xr:uid="{00000000-0005-0000-0000-0000F7150000}"/>
    <cellStyle name="Normal 105 2" xfId="5681" xr:uid="{00000000-0005-0000-0000-0000F8150000}"/>
    <cellStyle name="Normal 106" xfId="5682" xr:uid="{00000000-0005-0000-0000-0000F9150000}"/>
    <cellStyle name="Normal 106 2" xfId="5683" xr:uid="{00000000-0005-0000-0000-0000FA150000}"/>
    <cellStyle name="Normal 107" xfId="5684" xr:uid="{00000000-0005-0000-0000-0000FB150000}"/>
    <cellStyle name="Normal 107 2" xfId="5685" xr:uid="{00000000-0005-0000-0000-0000FC150000}"/>
    <cellStyle name="Normal 108" xfId="5686" xr:uid="{00000000-0005-0000-0000-0000FD150000}"/>
    <cellStyle name="Normal 108 2" xfId="5687" xr:uid="{00000000-0005-0000-0000-0000FE150000}"/>
    <cellStyle name="Normal 109" xfId="5688" xr:uid="{00000000-0005-0000-0000-0000FF150000}"/>
    <cellStyle name="Normal 109 2" xfId="5689" xr:uid="{00000000-0005-0000-0000-000000160000}"/>
    <cellStyle name="Normal 11" xfId="70" xr:uid="{00000000-0005-0000-0000-000001160000}"/>
    <cellStyle name="Normal 11 10" xfId="5691" xr:uid="{00000000-0005-0000-0000-000002160000}"/>
    <cellStyle name="Normal 11 11" xfId="5692" xr:uid="{00000000-0005-0000-0000-000003160000}"/>
    <cellStyle name="Normal 11 12" xfId="5693" xr:uid="{00000000-0005-0000-0000-000004160000}"/>
    <cellStyle name="Normal 11 13" xfId="5694" xr:uid="{00000000-0005-0000-0000-000005160000}"/>
    <cellStyle name="Normal 11 14" xfId="5695" xr:uid="{00000000-0005-0000-0000-000006160000}"/>
    <cellStyle name="Normal 11 15" xfId="5696" xr:uid="{00000000-0005-0000-0000-000007160000}"/>
    <cellStyle name="Normal 11 16" xfId="5697" xr:uid="{00000000-0005-0000-0000-000008160000}"/>
    <cellStyle name="Normal 11 17" xfId="5698" xr:uid="{00000000-0005-0000-0000-000009160000}"/>
    <cellStyle name="Normal 11 18" xfId="5699" xr:uid="{00000000-0005-0000-0000-00000A160000}"/>
    <cellStyle name="Normal 11 19" xfId="5700" xr:uid="{00000000-0005-0000-0000-00000B160000}"/>
    <cellStyle name="Normal 11 2" xfId="5701" xr:uid="{00000000-0005-0000-0000-00000C160000}"/>
    <cellStyle name="Normal 11 2 2" xfId="5702" xr:uid="{00000000-0005-0000-0000-00000D160000}"/>
    <cellStyle name="Normal 11 2 3" xfId="5703" xr:uid="{00000000-0005-0000-0000-00000E160000}"/>
    <cellStyle name="Normal 11 20" xfId="5704" xr:uid="{00000000-0005-0000-0000-00000F160000}"/>
    <cellStyle name="Normal 11 21" xfId="5705" xr:uid="{00000000-0005-0000-0000-000010160000}"/>
    <cellStyle name="Normal 11 22" xfId="5706" xr:uid="{00000000-0005-0000-0000-000011160000}"/>
    <cellStyle name="Normal 11 23" xfId="5707" xr:uid="{00000000-0005-0000-0000-000012160000}"/>
    <cellStyle name="Normal 11 24" xfId="5708" xr:uid="{00000000-0005-0000-0000-000013160000}"/>
    <cellStyle name="Normal 11 25" xfId="5709" xr:uid="{00000000-0005-0000-0000-000014160000}"/>
    <cellStyle name="Normal 11 26" xfId="5690" xr:uid="{00000000-0005-0000-0000-000015160000}"/>
    <cellStyle name="Normal 11 3" xfId="5710" xr:uid="{00000000-0005-0000-0000-000016160000}"/>
    <cellStyle name="Normal 11 3 2" xfId="5711" xr:uid="{00000000-0005-0000-0000-000017160000}"/>
    <cellStyle name="Normal 11 3 3" xfId="5712" xr:uid="{00000000-0005-0000-0000-000018160000}"/>
    <cellStyle name="Normal 11 4" xfId="5713" xr:uid="{00000000-0005-0000-0000-000019160000}"/>
    <cellStyle name="Normal 11 5" xfId="5714" xr:uid="{00000000-0005-0000-0000-00001A160000}"/>
    <cellStyle name="Normal 11 6" xfId="5715" xr:uid="{00000000-0005-0000-0000-00001B160000}"/>
    <cellStyle name="Normal 11 7" xfId="5716" xr:uid="{00000000-0005-0000-0000-00001C160000}"/>
    <cellStyle name="Normal 11 8" xfId="5717" xr:uid="{00000000-0005-0000-0000-00001D160000}"/>
    <cellStyle name="Normal 11 9" xfId="5718" xr:uid="{00000000-0005-0000-0000-00001E160000}"/>
    <cellStyle name="Normal 110" xfId="5719" xr:uid="{00000000-0005-0000-0000-00001F160000}"/>
    <cellStyle name="Normal 110 2" xfId="5720" xr:uid="{00000000-0005-0000-0000-000020160000}"/>
    <cellStyle name="Normal 111" xfId="5721" xr:uid="{00000000-0005-0000-0000-000021160000}"/>
    <cellStyle name="Normal 111 2" xfId="5722" xr:uid="{00000000-0005-0000-0000-000022160000}"/>
    <cellStyle name="Normal 112" xfId="5723" xr:uid="{00000000-0005-0000-0000-000023160000}"/>
    <cellStyle name="Normal 112 2" xfId="5724" xr:uid="{00000000-0005-0000-0000-000024160000}"/>
    <cellStyle name="Normal 113" xfId="5725" xr:uid="{00000000-0005-0000-0000-000025160000}"/>
    <cellStyle name="Normal 113 2" xfId="5726" xr:uid="{00000000-0005-0000-0000-000026160000}"/>
    <cellStyle name="Normal 114" xfId="5727" xr:uid="{00000000-0005-0000-0000-000027160000}"/>
    <cellStyle name="Normal 114 2" xfId="5728" xr:uid="{00000000-0005-0000-0000-000028160000}"/>
    <cellStyle name="Normal 115" xfId="5729" xr:uid="{00000000-0005-0000-0000-000029160000}"/>
    <cellStyle name="Normal 115 2" xfId="5730" xr:uid="{00000000-0005-0000-0000-00002A160000}"/>
    <cellStyle name="Normal 116" xfId="5731" xr:uid="{00000000-0005-0000-0000-00002B160000}"/>
    <cellStyle name="Normal 116 2" xfId="5732" xr:uid="{00000000-0005-0000-0000-00002C160000}"/>
    <cellStyle name="Normal 117" xfId="5733" xr:uid="{00000000-0005-0000-0000-00002D160000}"/>
    <cellStyle name="Normal 117 2" xfId="5734" xr:uid="{00000000-0005-0000-0000-00002E160000}"/>
    <cellStyle name="Normal 118" xfId="5735" xr:uid="{00000000-0005-0000-0000-00002F160000}"/>
    <cellStyle name="Normal 118 2" xfId="5736" xr:uid="{00000000-0005-0000-0000-000030160000}"/>
    <cellStyle name="Normal 119" xfId="5737" xr:uid="{00000000-0005-0000-0000-000031160000}"/>
    <cellStyle name="Normal 119 2" xfId="5738" xr:uid="{00000000-0005-0000-0000-000032160000}"/>
    <cellStyle name="Normal 12" xfId="72" xr:uid="{00000000-0005-0000-0000-000033160000}"/>
    <cellStyle name="Normal 12 10" xfId="5740" xr:uid="{00000000-0005-0000-0000-000034160000}"/>
    <cellStyle name="Normal 12 11" xfId="5741" xr:uid="{00000000-0005-0000-0000-000035160000}"/>
    <cellStyle name="Normal 12 12" xfId="5742" xr:uid="{00000000-0005-0000-0000-000036160000}"/>
    <cellStyle name="Normal 12 13" xfId="5743" xr:uid="{00000000-0005-0000-0000-000037160000}"/>
    <cellStyle name="Normal 12 14" xfId="5744" xr:uid="{00000000-0005-0000-0000-000038160000}"/>
    <cellStyle name="Normal 12 15" xfId="5745" xr:uid="{00000000-0005-0000-0000-000039160000}"/>
    <cellStyle name="Normal 12 16" xfId="5746" xr:uid="{00000000-0005-0000-0000-00003A160000}"/>
    <cellStyle name="Normal 12 17" xfId="5747" xr:uid="{00000000-0005-0000-0000-00003B160000}"/>
    <cellStyle name="Normal 12 18" xfId="5748" xr:uid="{00000000-0005-0000-0000-00003C160000}"/>
    <cellStyle name="Normal 12 19" xfId="5749" xr:uid="{00000000-0005-0000-0000-00003D160000}"/>
    <cellStyle name="Normal 12 2" xfId="5750" xr:uid="{00000000-0005-0000-0000-00003E160000}"/>
    <cellStyle name="Normal 12 2 2" xfId="5751" xr:uid="{00000000-0005-0000-0000-00003F160000}"/>
    <cellStyle name="Normal 12 2 3" xfId="5752" xr:uid="{00000000-0005-0000-0000-000040160000}"/>
    <cellStyle name="Normal 12 20" xfId="5753" xr:uid="{00000000-0005-0000-0000-000041160000}"/>
    <cellStyle name="Normal 12 21" xfId="5754" xr:uid="{00000000-0005-0000-0000-000042160000}"/>
    <cellStyle name="Normal 12 22" xfId="5755" xr:uid="{00000000-0005-0000-0000-000043160000}"/>
    <cellStyle name="Normal 12 23" xfId="5756" xr:uid="{00000000-0005-0000-0000-000044160000}"/>
    <cellStyle name="Normal 12 24" xfId="5757" xr:uid="{00000000-0005-0000-0000-000045160000}"/>
    <cellStyle name="Normal 12 25" xfId="5758" xr:uid="{00000000-0005-0000-0000-000046160000}"/>
    <cellStyle name="Normal 12 26" xfId="5739" xr:uid="{00000000-0005-0000-0000-000047160000}"/>
    <cellStyle name="Normal 12 3" xfId="5759" xr:uid="{00000000-0005-0000-0000-000048160000}"/>
    <cellStyle name="Normal 12 3 2" xfId="5760" xr:uid="{00000000-0005-0000-0000-000049160000}"/>
    <cellStyle name="Normal 12 3 3" xfId="5761" xr:uid="{00000000-0005-0000-0000-00004A160000}"/>
    <cellStyle name="Normal 12 4" xfId="5762" xr:uid="{00000000-0005-0000-0000-00004B160000}"/>
    <cellStyle name="Normal 12 5" xfId="5763" xr:uid="{00000000-0005-0000-0000-00004C160000}"/>
    <cellStyle name="Normal 12 6" xfId="5764" xr:uid="{00000000-0005-0000-0000-00004D160000}"/>
    <cellStyle name="Normal 12 7" xfId="5765" xr:uid="{00000000-0005-0000-0000-00004E160000}"/>
    <cellStyle name="Normal 12 8" xfId="5766" xr:uid="{00000000-0005-0000-0000-00004F160000}"/>
    <cellStyle name="Normal 12 9" xfId="5767" xr:uid="{00000000-0005-0000-0000-000050160000}"/>
    <cellStyle name="Normal 120" xfId="5768" xr:uid="{00000000-0005-0000-0000-000051160000}"/>
    <cellStyle name="Normal 120 2" xfId="5769" xr:uid="{00000000-0005-0000-0000-000052160000}"/>
    <cellStyle name="Normal 121" xfId="5770" xr:uid="{00000000-0005-0000-0000-000053160000}"/>
    <cellStyle name="Normal 121 2" xfId="5771" xr:uid="{00000000-0005-0000-0000-000054160000}"/>
    <cellStyle name="Normal 122" xfId="5772" xr:uid="{00000000-0005-0000-0000-000055160000}"/>
    <cellStyle name="Normal 122 2" xfId="5773" xr:uid="{00000000-0005-0000-0000-000056160000}"/>
    <cellStyle name="Normal 123" xfId="5774" xr:uid="{00000000-0005-0000-0000-000057160000}"/>
    <cellStyle name="Normal 123 2" xfId="5775" xr:uid="{00000000-0005-0000-0000-000058160000}"/>
    <cellStyle name="Normal 124" xfId="5776" xr:uid="{00000000-0005-0000-0000-000059160000}"/>
    <cellStyle name="Normal 124 2" xfId="5777" xr:uid="{00000000-0005-0000-0000-00005A160000}"/>
    <cellStyle name="Normal 125" xfId="5778" xr:uid="{00000000-0005-0000-0000-00005B160000}"/>
    <cellStyle name="Normal 125 2" xfId="5779" xr:uid="{00000000-0005-0000-0000-00005C160000}"/>
    <cellStyle name="Normal 126" xfId="5780" xr:uid="{00000000-0005-0000-0000-00005D160000}"/>
    <cellStyle name="Normal 126 2" xfId="5781" xr:uid="{00000000-0005-0000-0000-00005E160000}"/>
    <cellStyle name="Normal 127" xfId="5782" xr:uid="{00000000-0005-0000-0000-00005F160000}"/>
    <cellStyle name="Normal 127 2" xfId="5783" xr:uid="{00000000-0005-0000-0000-000060160000}"/>
    <cellStyle name="Normal 128" xfId="5784" xr:uid="{00000000-0005-0000-0000-000061160000}"/>
    <cellStyle name="Normal 128 2" xfId="5785" xr:uid="{00000000-0005-0000-0000-000062160000}"/>
    <cellStyle name="Normal 129" xfId="5786" xr:uid="{00000000-0005-0000-0000-000063160000}"/>
    <cellStyle name="Normal 129 2" xfId="5787" xr:uid="{00000000-0005-0000-0000-000064160000}"/>
    <cellStyle name="Normal 13" xfId="79" xr:uid="{00000000-0005-0000-0000-000065160000}"/>
    <cellStyle name="Normal 13 10" xfId="5789" xr:uid="{00000000-0005-0000-0000-000066160000}"/>
    <cellStyle name="Normal 13 11" xfId="5790" xr:uid="{00000000-0005-0000-0000-000067160000}"/>
    <cellStyle name="Normal 13 12" xfId="5791" xr:uid="{00000000-0005-0000-0000-000068160000}"/>
    <cellStyle name="Normal 13 13" xfId="5792" xr:uid="{00000000-0005-0000-0000-000069160000}"/>
    <cellStyle name="Normal 13 14" xfId="5793" xr:uid="{00000000-0005-0000-0000-00006A160000}"/>
    <cellStyle name="Normal 13 15" xfId="5794" xr:uid="{00000000-0005-0000-0000-00006B160000}"/>
    <cellStyle name="Normal 13 16" xfId="5795" xr:uid="{00000000-0005-0000-0000-00006C160000}"/>
    <cellStyle name="Normal 13 17" xfId="5796" xr:uid="{00000000-0005-0000-0000-00006D160000}"/>
    <cellStyle name="Normal 13 18" xfId="5797" xr:uid="{00000000-0005-0000-0000-00006E160000}"/>
    <cellStyle name="Normal 13 19" xfId="5798" xr:uid="{00000000-0005-0000-0000-00006F160000}"/>
    <cellStyle name="Normal 13 2" xfId="5799" xr:uid="{00000000-0005-0000-0000-000070160000}"/>
    <cellStyle name="Normal 13 2 2" xfId="5800" xr:uid="{00000000-0005-0000-0000-000071160000}"/>
    <cellStyle name="Normal 13 2 3" xfId="5801" xr:uid="{00000000-0005-0000-0000-000072160000}"/>
    <cellStyle name="Normal 13 20" xfId="5802" xr:uid="{00000000-0005-0000-0000-000073160000}"/>
    <cellStyle name="Normal 13 21" xfId="5803" xr:uid="{00000000-0005-0000-0000-000074160000}"/>
    <cellStyle name="Normal 13 22" xfId="5804" xr:uid="{00000000-0005-0000-0000-000075160000}"/>
    <cellStyle name="Normal 13 23" xfId="5805" xr:uid="{00000000-0005-0000-0000-000076160000}"/>
    <cellStyle name="Normal 13 24" xfId="5806" xr:uid="{00000000-0005-0000-0000-000077160000}"/>
    <cellStyle name="Normal 13 25" xfId="5807" xr:uid="{00000000-0005-0000-0000-000078160000}"/>
    <cellStyle name="Normal 13 26" xfId="5808" xr:uid="{00000000-0005-0000-0000-000079160000}"/>
    <cellStyle name="Normal 13 27" xfId="5788" xr:uid="{00000000-0005-0000-0000-00007A160000}"/>
    <cellStyle name="Normal 13 3" xfId="5809" xr:uid="{00000000-0005-0000-0000-00007B160000}"/>
    <cellStyle name="Normal 13 3 2" xfId="5810" xr:uid="{00000000-0005-0000-0000-00007C160000}"/>
    <cellStyle name="Normal 13 3 3" xfId="5811" xr:uid="{00000000-0005-0000-0000-00007D160000}"/>
    <cellStyle name="Normal 13 4" xfId="5812" xr:uid="{00000000-0005-0000-0000-00007E160000}"/>
    <cellStyle name="Normal 13 5" xfId="5813" xr:uid="{00000000-0005-0000-0000-00007F160000}"/>
    <cellStyle name="Normal 13 6" xfId="5814" xr:uid="{00000000-0005-0000-0000-000080160000}"/>
    <cellStyle name="Normal 13 7" xfId="5815" xr:uid="{00000000-0005-0000-0000-000081160000}"/>
    <cellStyle name="Normal 13 8" xfId="5816" xr:uid="{00000000-0005-0000-0000-000082160000}"/>
    <cellStyle name="Normal 13 9" xfId="5817" xr:uid="{00000000-0005-0000-0000-000083160000}"/>
    <cellStyle name="Normal 130" xfId="5818" xr:uid="{00000000-0005-0000-0000-000084160000}"/>
    <cellStyle name="Normal 130 2" xfId="5819" xr:uid="{00000000-0005-0000-0000-000085160000}"/>
    <cellStyle name="Normal 131" xfId="5820" xr:uid="{00000000-0005-0000-0000-000086160000}"/>
    <cellStyle name="Normal 131 2" xfId="5821" xr:uid="{00000000-0005-0000-0000-000087160000}"/>
    <cellStyle name="Normal 132" xfId="5822" xr:uid="{00000000-0005-0000-0000-000088160000}"/>
    <cellStyle name="Normal 132 2" xfId="5823" xr:uid="{00000000-0005-0000-0000-000089160000}"/>
    <cellStyle name="Normal 133" xfId="5824" xr:uid="{00000000-0005-0000-0000-00008A160000}"/>
    <cellStyle name="Normal 133 2" xfId="5825" xr:uid="{00000000-0005-0000-0000-00008B160000}"/>
    <cellStyle name="Normal 134" xfId="5826" xr:uid="{00000000-0005-0000-0000-00008C160000}"/>
    <cellStyle name="Normal 134 2" xfId="5827" xr:uid="{00000000-0005-0000-0000-00008D160000}"/>
    <cellStyle name="Normal 135" xfId="5828" xr:uid="{00000000-0005-0000-0000-00008E160000}"/>
    <cellStyle name="Normal 135 2" xfId="5829" xr:uid="{00000000-0005-0000-0000-00008F160000}"/>
    <cellStyle name="Normal 136" xfId="5830" xr:uid="{00000000-0005-0000-0000-000090160000}"/>
    <cellStyle name="Normal 136 2" xfId="5831" xr:uid="{00000000-0005-0000-0000-000091160000}"/>
    <cellStyle name="Normal 137" xfId="5832" xr:uid="{00000000-0005-0000-0000-000092160000}"/>
    <cellStyle name="Normal 137 2" xfId="5833" xr:uid="{00000000-0005-0000-0000-000093160000}"/>
    <cellStyle name="Normal 138" xfId="5834" xr:uid="{00000000-0005-0000-0000-000094160000}"/>
    <cellStyle name="Normal 138 2" xfId="5835" xr:uid="{00000000-0005-0000-0000-000095160000}"/>
    <cellStyle name="Normal 139" xfId="5836" xr:uid="{00000000-0005-0000-0000-000096160000}"/>
    <cellStyle name="Normal 139 2" xfId="5837" xr:uid="{00000000-0005-0000-0000-000097160000}"/>
    <cellStyle name="Normal 14" xfId="5838" xr:uid="{00000000-0005-0000-0000-000098160000}"/>
    <cellStyle name="Normal 14 2" xfId="5839" xr:uid="{00000000-0005-0000-0000-000099160000}"/>
    <cellStyle name="Normal 14 3" xfId="5840" xr:uid="{00000000-0005-0000-0000-00009A160000}"/>
    <cellStyle name="Normal 14 3 2" xfId="5841" xr:uid="{00000000-0005-0000-0000-00009B160000}"/>
    <cellStyle name="Normal 14 4" xfId="5842" xr:uid="{00000000-0005-0000-0000-00009C160000}"/>
    <cellStyle name="Normal 14 5" xfId="5843" xr:uid="{00000000-0005-0000-0000-00009D160000}"/>
    <cellStyle name="Normal 140" xfId="5844" xr:uid="{00000000-0005-0000-0000-00009E160000}"/>
    <cellStyle name="Normal 140 2" xfId="5845" xr:uid="{00000000-0005-0000-0000-00009F160000}"/>
    <cellStyle name="Normal 141" xfId="5846" xr:uid="{00000000-0005-0000-0000-0000A0160000}"/>
    <cellStyle name="Normal 141 2" xfId="5847" xr:uid="{00000000-0005-0000-0000-0000A1160000}"/>
    <cellStyle name="Normal 142" xfId="5848" xr:uid="{00000000-0005-0000-0000-0000A2160000}"/>
    <cellStyle name="Normal 142 2" xfId="5849" xr:uid="{00000000-0005-0000-0000-0000A3160000}"/>
    <cellStyle name="Normal 143" xfId="5850" xr:uid="{00000000-0005-0000-0000-0000A4160000}"/>
    <cellStyle name="Normal 143 2" xfId="5851" xr:uid="{00000000-0005-0000-0000-0000A5160000}"/>
    <cellStyle name="Normal 144" xfId="5852" xr:uid="{00000000-0005-0000-0000-0000A6160000}"/>
    <cellStyle name="Normal 144 2" xfId="5853" xr:uid="{00000000-0005-0000-0000-0000A7160000}"/>
    <cellStyle name="Normal 145" xfId="5854" xr:uid="{00000000-0005-0000-0000-0000A8160000}"/>
    <cellStyle name="Normal 145 2" xfId="5855" xr:uid="{00000000-0005-0000-0000-0000A9160000}"/>
    <cellStyle name="Normal 146" xfId="5856" xr:uid="{00000000-0005-0000-0000-0000AA160000}"/>
    <cellStyle name="Normal 146 2" xfId="5857" xr:uid="{00000000-0005-0000-0000-0000AB160000}"/>
    <cellStyle name="Normal 147" xfId="5858" xr:uid="{00000000-0005-0000-0000-0000AC160000}"/>
    <cellStyle name="Normal 147 2" xfId="5859" xr:uid="{00000000-0005-0000-0000-0000AD160000}"/>
    <cellStyle name="Normal 148" xfId="5860" xr:uid="{00000000-0005-0000-0000-0000AE160000}"/>
    <cellStyle name="Normal 148 2" xfId="5861" xr:uid="{00000000-0005-0000-0000-0000AF160000}"/>
    <cellStyle name="Normal 149" xfId="5862" xr:uid="{00000000-0005-0000-0000-0000B0160000}"/>
    <cellStyle name="Normal 149 2" xfId="5863" xr:uid="{00000000-0005-0000-0000-0000B1160000}"/>
    <cellStyle name="Normal 15" xfId="18" xr:uid="{00000000-0005-0000-0000-0000B2160000}"/>
    <cellStyle name="Normal 15 10" xfId="5864" xr:uid="{00000000-0005-0000-0000-0000B3160000}"/>
    <cellStyle name="Normal 15 11" xfId="5865" xr:uid="{00000000-0005-0000-0000-0000B4160000}"/>
    <cellStyle name="Normal 15 12" xfId="5866" xr:uid="{00000000-0005-0000-0000-0000B5160000}"/>
    <cellStyle name="Normal 15 13" xfId="5867" xr:uid="{00000000-0005-0000-0000-0000B6160000}"/>
    <cellStyle name="Normal 15 14" xfId="5868" xr:uid="{00000000-0005-0000-0000-0000B7160000}"/>
    <cellStyle name="Normal 15 15" xfId="5869" xr:uid="{00000000-0005-0000-0000-0000B8160000}"/>
    <cellStyle name="Normal 15 16" xfId="5870" xr:uid="{00000000-0005-0000-0000-0000B9160000}"/>
    <cellStyle name="Normal 15 17" xfId="5871" xr:uid="{00000000-0005-0000-0000-0000BA160000}"/>
    <cellStyle name="Normal 15 18" xfId="5872" xr:uid="{00000000-0005-0000-0000-0000BB160000}"/>
    <cellStyle name="Normal 15 19" xfId="5873" xr:uid="{00000000-0005-0000-0000-0000BC160000}"/>
    <cellStyle name="Normal 15 2" xfId="5874" xr:uid="{00000000-0005-0000-0000-0000BD160000}"/>
    <cellStyle name="Normal 15 2 2" xfId="5875" xr:uid="{00000000-0005-0000-0000-0000BE160000}"/>
    <cellStyle name="Normal 15 2 3" xfId="5876" xr:uid="{00000000-0005-0000-0000-0000BF160000}"/>
    <cellStyle name="Normal 15 20" xfId="5877" xr:uid="{00000000-0005-0000-0000-0000C0160000}"/>
    <cellStyle name="Normal 15 21" xfId="5878" xr:uid="{00000000-0005-0000-0000-0000C1160000}"/>
    <cellStyle name="Normal 15 22" xfId="5879" xr:uid="{00000000-0005-0000-0000-0000C2160000}"/>
    <cellStyle name="Normal 15 23" xfId="5880" xr:uid="{00000000-0005-0000-0000-0000C3160000}"/>
    <cellStyle name="Normal 15 24" xfId="5881" xr:uid="{00000000-0005-0000-0000-0000C4160000}"/>
    <cellStyle name="Normal 15 25" xfId="5882" xr:uid="{00000000-0005-0000-0000-0000C5160000}"/>
    <cellStyle name="Normal 15 3" xfId="5883" xr:uid="{00000000-0005-0000-0000-0000C6160000}"/>
    <cellStyle name="Normal 15 3 2" xfId="5884" xr:uid="{00000000-0005-0000-0000-0000C7160000}"/>
    <cellStyle name="Normal 15 3 3" xfId="5885" xr:uid="{00000000-0005-0000-0000-0000C8160000}"/>
    <cellStyle name="Normal 15 4" xfId="5886" xr:uid="{00000000-0005-0000-0000-0000C9160000}"/>
    <cellStyle name="Normal 15 5" xfId="5887" xr:uid="{00000000-0005-0000-0000-0000CA160000}"/>
    <cellStyle name="Normal 15 6" xfId="5888" xr:uid="{00000000-0005-0000-0000-0000CB160000}"/>
    <cellStyle name="Normal 15 7" xfId="5889" xr:uid="{00000000-0005-0000-0000-0000CC160000}"/>
    <cellStyle name="Normal 15 8" xfId="5890" xr:uid="{00000000-0005-0000-0000-0000CD160000}"/>
    <cellStyle name="Normal 15 9" xfId="5891" xr:uid="{00000000-0005-0000-0000-0000CE160000}"/>
    <cellStyle name="Normal 150" xfId="5892" xr:uid="{00000000-0005-0000-0000-0000CF160000}"/>
    <cellStyle name="Normal 150 2" xfId="5893" xr:uid="{00000000-0005-0000-0000-0000D0160000}"/>
    <cellStyle name="Normal 151" xfId="5894" xr:uid="{00000000-0005-0000-0000-0000D1160000}"/>
    <cellStyle name="Normal 151 2" xfId="5895" xr:uid="{00000000-0005-0000-0000-0000D2160000}"/>
    <cellStyle name="Normal 152" xfId="5896" xr:uid="{00000000-0005-0000-0000-0000D3160000}"/>
    <cellStyle name="Normal 152 2" xfId="5897" xr:uid="{00000000-0005-0000-0000-0000D4160000}"/>
    <cellStyle name="Normal 153" xfId="5898" xr:uid="{00000000-0005-0000-0000-0000D5160000}"/>
    <cellStyle name="Normal 153 2" xfId="5899" xr:uid="{00000000-0005-0000-0000-0000D6160000}"/>
    <cellStyle name="Normal 154" xfId="5900" xr:uid="{00000000-0005-0000-0000-0000D7160000}"/>
    <cellStyle name="Normal 154 2" xfId="5901" xr:uid="{00000000-0005-0000-0000-0000D8160000}"/>
    <cellStyle name="Normal 155" xfId="5902" xr:uid="{00000000-0005-0000-0000-0000D9160000}"/>
    <cellStyle name="Normal 155 2" xfId="5903" xr:uid="{00000000-0005-0000-0000-0000DA160000}"/>
    <cellStyle name="Normal 156" xfId="5904" xr:uid="{00000000-0005-0000-0000-0000DB160000}"/>
    <cellStyle name="Normal 156 2" xfId="5905" xr:uid="{00000000-0005-0000-0000-0000DC160000}"/>
    <cellStyle name="Normal 157" xfId="5906" xr:uid="{00000000-0005-0000-0000-0000DD160000}"/>
    <cellStyle name="Normal 157 2" xfId="5907" xr:uid="{00000000-0005-0000-0000-0000DE160000}"/>
    <cellStyle name="Normal 158" xfId="5908" xr:uid="{00000000-0005-0000-0000-0000DF160000}"/>
    <cellStyle name="Normal 158 2" xfId="5909" xr:uid="{00000000-0005-0000-0000-0000E0160000}"/>
    <cellStyle name="Normal 159" xfId="5910" xr:uid="{00000000-0005-0000-0000-0000E1160000}"/>
    <cellStyle name="Normal 159 2" xfId="5911" xr:uid="{00000000-0005-0000-0000-0000E2160000}"/>
    <cellStyle name="Normal 16" xfId="5912" xr:uid="{00000000-0005-0000-0000-0000E3160000}"/>
    <cellStyle name="Normal 16 10" xfId="5913" xr:uid="{00000000-0005-0000-0000-0000E4160000}"/>
    <cellStyle name="Normal 16 11" xfId="5914" xr:uid="{00000000-0005-0000-0000-0000E5160000}"/>
    <cellStyle name="Normal 16 12" xfId="5915" xr:uid="{00000000-0005-0000-0000-0000E6160000}"/>
    <cellStyle name="Normal 16 13" xfId="5916" xr:uid="{00000000-0005-0000-0000-0000E7160000}"/>
    <cellStyle name="Normal 16 14" xfId="5917" xr:uid="{00000000-0005-0000-0000-0000E8160000}"/>
    <cellStyle name="Normal 16 15" xfId="5918" xr:uid="{00000000-0005-0000-0000-0000E9160000}"/>
    <cellStyle name="Normal 16 16" xfId="5919" xr:uid="{00000000-0005-0000-0000-0000EA160000}"/>
    <cellStyle name="Normal 16 17" xfId="5920" xr:uid="{00000000-0005-0000-0000-0000EB160000}"/>
    <cellStyle name="Normal 16 18" xfId="5921" xr:uid="{00000000-0005-0000-0000-0000EC160000}"/>
    <cellStyle name="Normal 16 19" xfId="5922" xr:uid="{00000000-0005-0000-0000-0000ED160000}"/>
    <cellStyle name="Normal 16 2" xfId="5923" xr:uid="{00000000-0005-0000-0000-0000EE160000}"/>
    <cellStyle name="Normal 16 2 2" xfId="5924" xr:uid="{00000000-0005-0000-0000-0000EF160000}"/>
    <cellStyle name="Normal 16 2 3" xfId="5925" xr:uid="{00000000-0005-0000-0000-0000F0160000}"/>
    <cellStyle name="Normal 16 20" xfId="5926" xr:uid="{00000000-0005-0000-0000-0000F1160000}"/>
    <cellStyle name="Normal 16 21" xfId="5927" xr:uid="{00000000-0005-0000-0000-0000F2160000}"/>
    <cellStyle name="Normal 16 22" xfId="5928" xr:uid="{00000000-0005-0000-0000-0000F3160000}"/>
    <cellStyle name="Normal 16 23" xfId="5929" xr:uid="{00000000-0005-0000-0000-0000F4160000}"/>
    <cellStyle name="Normal 16 24" xfId="5930" xr:uid="{00000000-0005-0000-0000-0000F5160000}"/>
    <cellStyle name="Normal 16 25" xfId="5931" xr:uid="{00000000-0005-0000-0000-0000F6160000}"/>
    <cellStyle name="Normal 16 26" xfId="5932" xr:uid="{00000000-0005-0000-0000-0000F7160000}"/>
    <cellStyle name="Normal 16 3" xfId="5933" xr:uid="{00000000-0005-0000-0000-0000F8160000}"/>
    <cellStyle name="Normal 16 3 2" xfId="5934" xr:uid="{00000000-0005-0000-0000-0000F9160000}"/>
    <cellStyle name="Normal 16 3 3" xfId="5935" xr:uid="{00000000-0005-0000-0000-0000FA160000}"/>
    <cellStyle name="Normal 16 4" xfId="5936" xr:uid="{00000000-0005-0000-0000-0000FB160000}"/>
    <cellStyle name="Normal 16 5" xfId="5937" xr:uid="{00000000-0005-0000-0000-0000FC160000}"/>
    <cellStyle name="Normal 16 6" xfId="5938" xr:uid="{00000000-0005-0000-0000-0000FD160000}"/>
    <cellStyle name="Normal 16 7" xfId="5939" xr:uid="{00000000-0005-0000-0000-0000FE160000}"/>
    <cellStyle name="Normal 16 8" xfId="5940" xr:uid="{00000000-0005-0000-0000-0000FF160000}"/>
    <cellStyle name="Normal 16 9" xfId="5941" xr:uid="{00000000-0005-0000-0000-000000170000}"/>
    <cellStyle name="Normal 160" xfId="5942" xr:uid="{00000000-0005-0000-0000-000001170000}"/>
    <cellStyle name="Normal 160 2" xfId="5943" xr:uid="{00000000-0005-0000-0000-000002170000}"/>
    <cellStyle name="Normal 161" xfId="5944" xr:uid="{00000000-0005-0000-0000-000003170000}"/>
    <cellStyle name="Normal 161 2" xfId="5945" xr:uid="{00000000-0005-0000-0000-000004170000}"/>
    <cellStyle name="Normal 162" xfId="5946" xr:uid="{00000000-0005-0000-0000-000005170000}"/>
    <cellStyle name="Normal 162 2" xfId="5947" xr:uid="{00000000-0005-0000-0000-000006170000}"/>
    <cellStyle name="Normal 163" xfId="5948" xr:uid="{00000000-0005-0000-0000-000007170000}"/>
    <cellStyle name="Normal 163 2" xfId="5949" xr:uid="{00000000-0005-0000-0000-000008170000}"/>
    <cellStyle name="Normal 164" xfId="5950" xr:uid="{00000000-0005-0000-0000-000009170000}"/>
    <cellStyle name="Normal 164 2" xfId="5951" xr:uid="{00000000-0005-0000-0000-00000A170000}"/>
    <cellStyle name="Normal 165" xfId="5952" xr:uid="{00000000-0005-0000-0000-00000B170000}"/>
    <cellStyle name="Normal 165 2" xfId="5953" xr:uid="{00000000-0005-0000-0000-00000C170000}"/>
    <cellStyle name="Normal 166" xfId="5954" xr:uid="{00000000-0005-0000-0000-00000D170000}"/>
    <cellStyle name="Normal 166 2" xfId="5955" xr:uid="{00000000-0005-0000-0000-00000E170000}"/>
    <cellStyle name="Normal 167" xfId="5956" xr:uid="{00000000-0005-0000-0000-00000F170000}"/>
    <cellStyle name="Normal 167 2" xfId="5957" xr:uid="{00000000-0005-0000-0000-000010170000}"/>
    <cellStyle name="Normal 168" xfId="5958" xr:uid="{00000000-0005-0000-0000-000011170000}"/>
    <cellStyle name="Normal 168 2" xfId="5959" xr:uid="{00000000-0005-0000-0000-000012170000}"/>
    <cellStyle name="Normal 169" xfId="5960" xr:uid="{00000000-0005-0000-0000-000013170000}"/>
    <cellStyle name="Normal 169 2" xfId="5961" xr:uid="{00000000-0005-0000-0000-000014170000}"/>
    <cellStyle name="Normal 17" xfId="19" xr:uid="{00000000-0005-0000-0000-000015170000}"/>
    <cellStyle name="Normal 17 10" xfId="5963" xr:uid="{00000000-0005-0000-0000-000016170000}"/>
    <cellStyle name="Normal 17 11" xfId="5964" xr:uid="{00000000-0005-0000-0000-000017170000}"/>
    <cellStyle name="Normal 17 12" xfId="5965" xr:uid="{00000000-0005-0000-0000-000018170000}"/>
    <cellStyle name="Normal 17 13" xfId="5966" xr:uid="{00000000-0005-0000-0000-000019170000}"/>
    <cellStyle name="Normal 17 14" xfId="5967" xr:uid="{00000000-0005-0000-0000-00001A170000}"/>
    <cellStyle name="Normal 17 15" xfId="5968" xr:uid="{00000000-0005-0000-0000-00001B170000}"/>
    <cellStyle name="Normal 17 16" xfId="5969" xr:uid="{00000000-0005-0000-0000-00001C170000}"/>
    <cellStyle name="Normal 17 17" xfId="5970" xr:uid="{00000000-0005-0000-0000-00001D170000}"/>
    <cellStyle name="Normal 17 18" xfId="5971" xr:uid="{00000000-0005-0000-0000-00001E170000}"/>
    <cellStyle name="Normal 17 19" xfId="5972" xr:uid="{00000000-0005-0000-0000-00001F170000}"/>
    <cellStyle name="Normal 17 2" xfId="5973" xr:uid="{00000000-0005-0000-0000-000020170000}"/>
    <cellStyle name="Normal 17 2 2" xfId="5974" xr:uid="{00000000-0005-0000-0000-000021170000}"/>
    <cellStyle name="Normal 17 2 3" xfId="5975" xr:uid="{00000000-0005-0000-0000-000022170000}"/>
    <cellStyle name="Normal 17 20" xfId="5976" xr:uid="{00000000-0005-0000-0000-000023170000}"/>
    <cellStyle name="Normal 17 21" xfId="5977" xr:uid="{00000000-0005-0000-0000-000024170000}"/>
    <cellStyle name="Normal 17 22" xfId="5978" xr:uid="{00000000-0005-0000-0000-000025170000}"/>
    <cellStyle name="Normal 17 23" xfId="5979" xr:uid="{00000000-0005-0000-0000-000026170000}"/>
    <cellStyle name="Normal 17 24" xfId="5980" xr:uid="{00000000-0005-0000-0000-000027170000}"/>
    <cellStyle name="Normal 17 25" xfId="5981" xr:uid="{00000000-0005-0000-0000-000028170000}"/>
    <cellStyle name="Normal 17 26" xfId="5982" xr:uid="{00000000-0005-0000-0000-000029170000}"/>
    <cellStyle name="Normal 17 27" xfId="5983" xr:uid="{00000000-0005-0000-0000-00002A170000}"/>
    <cellStyle name="Normal 17 28" xfId="5984" xr:uid="{00000000-0005-0000-0000-00002B170000}"/>
    <cellStyle name="Normal 17 29" xfId="5985" xr:uid="{00000000-0005-0000-0000-00002C170000}"/>
    <cellStyle name="Normal 17 3" xfId="5986" xr:uid="{00000000-0005-0000-0000-00002D170000}"/>
    <cellStyle name="Normal 17 3 2" xfId="5987" xr:uid="{00000000-0005-0000-0000-00002E170000}"/>
    <cellStyle name="Normal 17 3 3" xfId="5988" xr:uid="{00000000-0005-0000-0000-00002F170000}"/>
    <cellStyle name="Normal 17 3 4" xfId="5989" xr:uid="{00000000-0005-0000-0000-000030170000}"/>
    <cellStyle name="Normal 17 3 5" xfId="5990" xr:uid="{00000000-0005-0000-0000-000031170000}"/>
    <cellStyle name="Normal 17 30" xfId="5962" xr:uid="{00000000-0005-0000-0000-000032170000}"/>
    <cellStyle name="Normal 17 4" xfId="5991" xr:uid="{00000000-0005-0000-0000-000033170000}"/>
    <cellStyle name="Normal 17 5" xfId="5992" xr:uid="{00000000-0005-0000-0000-000034170000}"/>
    <cellStyle name="Normal 17 6" xfId="5993" xr:uid="{00000000-0005-0000-0000-000035170000}"/>
    <cellStyle name="Normal 17 7" xfId="5994" xr:uid="{00000000-0005-0000-0000-000036170000}"/>
    <cellStyle name="Normal 17 8" xfId="5995" xr:uid="{00000000-0005-0000-0000-000037170000}"/>
    <cellStyle name="Normal 17 9" xfId="5996" xr:uid="{00000000-0005-0000-0000-000038170000}"/>
    <cellStyle name="Normal 170" xfId="5997" xr:uid="{00000000-0005-0000-0000-000039170000}"/>
    <cellStyle name="Normal 171" xfId="5998" xr:uid="{00000000-0005-0000-0000-00003A170000}"/>
    <cellStyle name="Normal 172" xfId="69" xr:uid="{00000000-0005-0000-0000-00003B170000}"/>
    <cellStyle name="Normal 172 2" xfId="39188" xr:uid="{00000000-0005-0000-0000-00003C170000}"/>
    <cellStyle name="Normal 173" xfId="81" xr:uid="{00000000-0005-0000-0000-00003D170000}"/>
    <cellStyle name="Normal 174" xfId="5999" xr:uid="{00000000-0005-0000-0000-00003E170000}"/>
    <cellStyle name="Normal 175" xfId="6000" xr:uid="{00000000-0005-0000-0000-00003F170000}"/>
    <cellStyle name="Normal 176" xfId="6001" xr:uid="{00000000-0005-0000-0000-000040170000}"/>
    <cellStyle name="Normal 177" xfId="39209" xr:uid="{863E2430-35F2-4A7A-A69B-88494B9BBC7F}"/>
    <cellStyle name="Normal 178" xfId="39210" xr:uid="{765E4576-B5C1-484F-9BFE-07A2379C846E}"/>
    <cellStyle name="Normal 179" xfId="39211" xr:uid="{1907FC12-0E0A-4312-9A24-BD28EAB47C71}"/>
    <cellStyle name="Normal 18" xfId="6002" xr:uid="{00000000-0005-0000-0000-000041170000}"/>
    <cellStyle name="Normal 18 10" xfId="6003" xr:uid="{00000000-0005-0000-0000-000042170000}"/>
    <cellStyle name="Normal 18 11" xfId="6004" xr:uid="{00000000-0005-0000-0000-000043170000}"/>
    <cellStyle name="Normal 18 12" xfId="6005" xr:uid="{00000000-0005-0000-0000-000044170000}"/>
    <cellStyle name="Normal 18 13" xfId="6006" xr:uid="{00000000-0005-0000-0000-000045170000}"/>
    <cellStyle name="Normal 18 14" xfId="6007" xr:uid="{00000000-0005-0000-0000-000046170000}"/>
    <cellStyle name="Normal 18 15" xfId="6008" xr:uid="{00000000-0005-0000-0000-000047170000}"/>
    <cellStyle name="Normal 18 16" xfId="6009" xr:uid="{00000000-0005-0000-0000-000048170000}"/>
    <cellStyle name="Normal 18 17" xfId="6010" xr:uid="{00000000-0005-0000-0000-000049170000}"/>
    <cellStyle name="Normal 18 18" xfId="6011" xr:uid="{00000000-0005-0000-0000-00004A170000}"/>
    <cellStyle name="Normal 18 19" xfId="6012" xr:uid="{00000000-0005-0000-0000-00004B170000}"/>
    <cellStyle name="Normal 18 2" xfId="6013" xr:uid="{00000000-0005-0000-0000-00004C170000}"/>
    <cellStyle name="Normal 18 2 2" xfId="6014" xr:uid="{00000000-0005-0000-0000-00004D170000}"/>
    <cellStyle name="Normal 18 2 3" xfId="6015" xr:uid="{00000000-0005-0000-0000-00004E170000}"/>
    <cellStyle name="Normal 18 20" xfId="6016" xr:uid="{00000000-0005-0000-0000-00004F170000}"/>
    <cellStyle name="Normal 18 21" xfId="6017" xr:uid="{00000000-0005-0000-0000-000050170000}"/>
    <cellStyle name="Normal 18 22" xfId="6018" xr:uid="{00000000-0005-0000-0000-000051170000}"/>
    <cellStyle name="Normal 18 23" xfId="6019" xr:uid="{00000000-0005-0000-0000-000052170000}"/>
    <cellStyle name="Normal 18 24" xfId="6020" xr:uid="{00000000-0005-0000-0000-000053170000}"/>
    <cellStyle name="Normal 18 25" xfId="6021" xr:uid="{00000000-0005-0000-0000-000054170000}"/>
    <cellStyle name="Normal 18 3" xfId="6022" xr:uid="{00000000-0005-0000-0000-000055170000}"/>
    <cellStyle name="Normal 18 3 2" xfId="6023" xr:uid="{00000000-0005-0000-0000-000056170000}"/>
    <cellStyle name="Normal 18 3 3" xfId="6024" xr:uid="{00000000-0005-0000-0000-000057170000}"/>
    <cellStyle name="Normal 18 3 4" xfId="6025" xr:uid="{00000000-0005-0000-0000-000058170000}"/>
    <cellStyle name="Normal 18 3 5" xfId="6026" xr:uid="{00000000-0005-0000-0000-000059170000}"/>
    <cellStyle name="Normal 18 4" xfId="6027" xr:uid="{00000000-0005-0000-0000-00005A170000}"/>
    <cellStyle name="Normal 18 5" xfId="6028" xr:uid="{00000000-0005-0000-0000-00005B170000}"/>
    <cellStyle name="Normal 18 6" xfId="6029" xr:uid="{00000000-0005-0000-0000-00005C170000}"/>
    <cellStyle name="Normal 18 7" xfId="6030" xr:uid="{00000000-0005-0000-0000-00005D170000}"/>
    <cellStyle name="Normal 18 8" xfId="6031" xr:uid="{00000000-0005-0000-0000-00005E170000}"/>
    <cellStyle name="Normal 18 9" xfId="6032" xr:uid="{00000000-0005-0000-0000-00005F170000}"/>
    <cellStyle name="Normal 180" xfId="39212" xr:uid="{4AB87A41-B7A7-4AC1-A194-D14BFBD4D033}"/>
    <cellStyle name="Normal 181" xfId="39213" xr:uid="{76849C3A-2503-42FC-A5FA-0E2D52B85C03}"/>
    <cellStyle name="Normal 182" xfId="39214" xr:uid="{97D7DF95-1382-4C44-A030-C0EFB469B8C8}"/>
    <cellStyle name="Normal 183" xfId="39215" xr:uid="{F975256D-BCA1-4D30-BE26-47E6C8D696F2}"/>
    <cellStyle name="Normal 184" xfId="39216" xr:uid="{6173132F-6954-4B41-A115-DDE1A6892BF9}"/>
    <cellStyle name="Normal 185" xfId="39217" xr:uid="{F1C93F53-2F6E-4847-B175-104196EF8B49}"/>
    <cellStyle name="Normal 186" xfId="39218" xr:uid="{4BB4B454-CF2E-4706-B5D1-0E97233C5082}"/>
    <cellStyle name="Normal 187" xfId="39219" xr:uid="{D563389A-3F7F-404A-98F2-65013BE0E11A}"/>
    <cellStyle name="Normal 188" xfId="39220" xr:uid="{331BFD2B-A875-4C6A-B4F4-2161FD65154A}"/>
    <cellStyle name="Normal 189" xfId="39221" xr:uid="{1D6E10DC-908C-4645-9A4F-CE0BCBBB64E2}"/>
    <cellStyle name="Normal 19" xfId="6033" xr:uid="{00000000-0005-0000-0000-000060170000}"/>
    <cellStyle name="Normal 19 10" xfId="6034" xr:uid="{00000000-0005-0000-0000-000061170000}"/>
    <cellStyle name="Normal 19 11" xfId="6035" xr:uid="{00000000-0005-0000-0000-000062170000}"/>
    <cellStyle name="Normal 19 12" xfId="6036" xr:uid="{00000000-0005-0000-0000-000063170000}"/>
    <cellStyle name="Normal 19 13" xfId="6037" xr:uid="{00000000-0005-0000-0000-000064170000}"/>
    <cellStyle name="Normal 19 14" xfId="6038" xr:uid="{00000000-0005-0000-0000-000065170000}"/>
    <cellStyle name="Normal 19 15" xfId="6039" xr:uid="{00000000-0005-0000-0000-000066170000}"/>
    <cellStyle name="Normal 19 16" xfId="6040" xr:uid="{00000000-0005-0000-0000-000067170000}"/>
    <cellStyle name="Normal 19 17" xfId="6041" xr:uid="{00000000-0005-0000-0000-000068170000}"/>
    <cellStyle name="Normal 19 18" xfId="6042" xr:uid="{00000000-0005-0000-0000-000069170000}"/>
    <cellStyle name="Normal 19 19" xfId="6043" xr:uid="{00000000-0005-0000-0000-00006A170000}"/>
    <cellStyle name="Normal 19 2" xfId="6044" xr:uid="{00000000-0005-0000-0000-00006B170000}"/>
    <cellStyle name="Normal 19 2 2" xfId="6045" xr:uid="{00000000-0005-0000-0000-00006C170000}"/>
    <cellStyle name="Normal 19 2 3" xfId="6046" xr:uid="{00000000-0005-0000-0000-00006D170000}"/>
    <cellStyle name="Normal 19 20" xfId="6047" xr:uid="{00000000-0005-0000-0000-00006E170000}"/>
    <cellStyle name="Normal 19 21" xfId="6048" xr:uid="{00000000-0005-0000-0000-00006F170000}"/>
    <cellStyle name="Normal 19 22" xfId="6049" xr:uid="{00000000-0005-0000-0000-000070170000}"/>
    <cellStyle name="Normal 19 23" xfId="6050" xr:uid="{00000000-0005-0000-0000-000071170000}"/>
    <cellStyle name="Normal 19 24" xfId="6051" xr:uid="{00000000-0005-0000-0000-000072170000}"/>
    <cellStyle name="Normal 19 25" xfId="6052" xr:uid="{00000000-0005-0000-0000-000073170000}"/>
    <cellStyle name="Normal 19 3" xfId="6053" xr:uid="{00000000-0005-0000-0000-000074170000}"/>
    <cellStyle name="Normal 19 3 2" xfId="6054" xr:uid="{00000000-0005-0000-0000-000075170000}"/>
    <cellStyle name="Normal 19 3 3" xfId="6055" xr:uid="{00000000-0005-0000-0000-000076170000}"/>
    <cellStyle name="Normal 19 3 4" xfId="6056" xr:uid="{00000000-0005-0000-0000-000077170000}"/>
    <cellStyle name="Normal 19 3 5" xfId="6057" xr:uid="{00000000-0005-0000-0000-000078170000}"/>
    <cellStyle name="Normal 19 4" xfId="6058" xr:uid="{00000000-0005-0000-0000-000079170000}"/>
    <cellStyle name="Normal 19 5" xfId="6059" xr:uid="{00000000-0005-0000-0000-00007A170000}"/>
    <cellStyle name="Normal 19 6" xfId="6060" xr:uid="{00000000-0005-0000-0000-00007B170000}"/>
    <cellStyle name="Normal 19 7" xfId="6061" xr:uid="{00000000-0005-0000-0000-00007C170000}"/>
    <cellStyle name="Normal 19 8" xfId="6062" xr:uid="{00000000-0005-0000-0000-00007D170000}"/>
    <cellStyle name="Normal 19 9" xfId="6063" xr:uid="{00000000-0005-0000-0000-00007E170000}"/>
    <cellStyle name="Normal 190" xfId="39222" xr:uid="{2C496D13-EC99-4267-A157-98CA1BFEE4B7}"/>
    <cellStyle name="Normal 191" xfId="39223" xr:uid="{96244954-9739-4E8B-80D8-92960EBCD641}"/>
    <cellStyle name="Normal 192" xfId="39224" xr:uid="{B4BDB30D-C35E-4548-9E97-479762C70C8E}"/>
    <cellStyle name="Normal 193" xfId="39225" xr:uid="{A2EE7842-B040-4248-81DC-B54EC58E2D09}"/>
    <cellStyle name="Normal 194" xfId="39226" xr:uid="{6F9F307F-5595-4F8F-B70A-C8C8822C2766}"/>
    <cellStyle name="Normal 195" xfId="39227" xr:uid="{372266A6-36F8-40EA-A392-2AB63C0B640E}"/>
    <cellStyle name="Normal 196" xfId="39228" xr:uid="{509BD7B5-BD65-46D6-84FD-277BE8AC6670}"/>
    <cellStyle name="Normal 197" xfId="39229" xr:uid="{7C89211D-F15B-4E66-B2D3-530E26BC1DB8}"/>
    <cellStyle name="Normal 198" xfId="39230" xr:uid="{49E7C0EE-E402-435D-B452-21A6CF823CF3}"/>
    <cellStyle name="Normal 199" xfId="39231" xr:uid="{B22934AC-A265-43C0-849A-52C6EA5B3538}"/>
    <cellStyle name="Normal 2" xfId="4" xr:uid="{00000000-0005-0000-0000-00007F170000}"/>
    <cellStyle name="Normal 2 10" xfId="14" xr:uid="{00000000-0005-0000-0000-000080170000}"/>
    <cellStyle name="Normal 2 10 10" xfId="6064" xr:uid="{00000000-0005-0000-0000-000081170000}"/>
    <cellStyle name="Normal 2 10 2" xfId="71" xr:uid="{00000000-0005-0000-0000-000082170000}"/>
    <cellStyle name="Normal 2 10 3" xfId="6065" xr:uid="{00000000-0005-0000-0000-000083170000}"/>
    <cellStyle name="Normal 2 10 4" xfId="6066" xr:uid="{00000000-0005-0000-0000-000084170000}"/>
    <cellStyle name="Normal 2 10_Enlaces" xfId="6067" xr:uid="{00000000-0005-0000-0000-000085170000}"/>
    <cellStyle name="Normal 2 100" xfId="6068" xr:uid="{00000000-0005-0000-0000-000086170000}"/>
    <cellStyle name="Normal 2 100 2" xfId="6069" xr:uid="{00000000-0005-0000-0000-000087170000}"/>
    <cellStyle name="Normal 2 101" xfId="6070" xr:uid="{00000000-0005-0000-0000-000088170000}"/>
    <cellStyle name="Normal 2 101 2" xfId="6071" xr:uid="{00000000-0005-0000-0000-000089170000}"/>
    <cellStyle name="Normal 2 102" xfId="6072" xr:uid="{00000000-0005-0000-0000-00008A170000}"/>
    <cellStyle name="Normal 2 102 2" xfId="6073" xr:uid="{00000000-0005-0000-0000-00008B170000}"/>
    <cellStyle name="Normal 2 103" xfId="6074" xr:uid="{00000000-0005-0000-0000-00008C170000}"/>
    <cellStyle name="Normal 2 103 2" xfId="6075" xr:uid="{00000000-0005-0000-0000-00008D170000}"/>
    <cellStyle name="Normal 2 104" xfId="6076" xr:uid="{00000000-0005-0000-0000-00008E170000}"/>
    <cellStyle name="Normal 2 104 2" xfId="6077" xr:uid="{00000000-0005-0000-0000-00008F170000}"/>
    <cellStyle name="Normal 2 105" xfId="6078" xr:uid="{00000000-0005-0000-0000-000090170000}"/>
    <cellStyle name="Normal 2 106" xfId="6079" xr:uid="{00000000-0005-0000-0000-000091170000}"/>
    <cellStyle name="Normal 2 107" xfId="6080" xr:uid="{00000000-0005-0000-0000-000092170000}"/>
    <cellStyle name="Normal 2 108" xfId="6081" xr:uid="{00000000-0005-0000-0000-000093170000}"/>
    <cellStyle name="Normal 2 109" xfId="6082" xr:uid="{00000000-0005-0000-0000-000094170000}"/>
    <cellStyle name="Normal 2 11" xfId="6083" xr:uid="{00000000-0005-0000-0000-000095170000}"/>
    <cellStyle name="Normal 2 11 2" xfId="6084" xr:uid="{00000000-0005-0000-0000-000096170000}"/>
    <cellStyle name="Normal 2 11 3" xfId="6085" xr:uid="{00000000-0005-0000-0000-000097170000}"/>
    <cellStyle name="Normal 2 11 4" xfId="6086" xr:uid="{00000000-0005-0000-0000-000098170000}"/>
    <cellStyle name="Normal 2 11 5" xfId="6087" xr:uid="{00000000-0005-0000-0000-000099170000}"/>
    <cellStyle name="Normal 2 110" xfId="6088" xr:uid="{00000000-0005-0000-0000-00009A170000}"/>
    <cellStyle name="Normal 2 111" xfId="6089" xr:uid="{00000000-0005-0000-0000-00009B170000}"/>
    <cellStyle name="Normal 2 112" xfId="6090" xr:uid="{00000000-0005-0000-0000-00009C170000}"/>
    <cellStyle name="Normal 2 113" xfId="6091" xr:uid="{00000000-0005-0000-0000-00009D170000}"/>
    <cellStyle name="Normal 2 114" xfId="6092" xr:uid="{00000000-0005-0000-0000-00009E170000}"/>
    <cellStyle name="Normal 2 115" xfId="6093" xr:uid="{00000000-0005-0000-0000-00009F170000}"/>
    <cellStyle name="Normal 2 116" xfId="6094" xr:uid="{00000000-0005-0000-0000-0000A0170000}"/>
    <cellStyle name="Normal 2 117" xfId="6095" xr:uid="{00000000-0005-0000-0000-0000A1170000}"/>
    <cellStyle name="Normal 2 118" xfId="6096" xr:uid="{00000000-0005-0000-0000-0000A2170000}"/>
    <cellStyle name="Normal 2 119" xfId="6097" xr:uid="{00000000-0005-0000-0000-0000A3170000}"/>
    <cellStyle name="Normal 2 12" xfId="6098" xr:uid="{00000000-0005-0000-0000-0000A4170000}"/>
    <cellStyle name="Normal 2 12 2" xfId="6099" xr:uid="{00000000-0005-0000-0000-0000A5170000}"/>
    <cellStyle name="Normal 2 12 3" xfId="6100" xr:uid="{00000000-0005-0000-0000-0000A6170000}"/>
    <cellStyle name="Normal 2 12 4" xfId="6101" xr:uid="{00000000-0005-0000-0000-0000A7170000}"/>
    <cellStyle name="Normal 2 12 5" xfId="6102" xr:uid="{00000000-0005-0000-0000-0000A8170000}"/>
    <cellStyle name="Normal 2 12 6" xfId="6103" xr:uid="{00000000-0005-0000-0000-0000A9170000}"/>
    <cellStyle name="Normal 2 120" xfId="6104" xr:uid="{00000000-0005-0000-0000-0000AA170000}"/>
    <cellStyle name="Normal 2 121" xfId="6105" xr:uid="{00000000-0005-0000-0000-0000AB170000}"/>
    <cellStyle name="Normal 2 122" xfId="6106" xr:uid="{00000000-0005-0000-0000-0000AC170000}"/>
    <cellStyle name="Normal 2 123" xfId="6107" xr:uid="{00000000-0005-0000-0000-0000AD170000}"/>
    <cellStyle name="Normal 2 124" xfId="6108" xr:uid="{00000000-0005-0000-0000-0000AE170000}"/>
    <cellStyle name="Normal 2 125" xfId="6109" xr:uid="{00000000-0005-0000-0000-0000AF170000}"/>
    <cellStyle name="Normal 2 126" xfId="6110" xr:uid="{00000000-0005-0000-0000-0000B0170000}"/>
    <cellStyle name="Normal 2 127" xfId="6111" xr:uid="{00000000-0005-0000-0000-0000B1170000}"/>
    <cellStyle name="Normal 2 128" xfId="6112" xr:uid="{00000000-0005-0000-0000-0000B2170000}"/>
    <cellStyle name="Normal 2 129" xfId="6113" xr:uid="{00000000-0005-0000-0000-0000B3170000}"/>
    <cellStyle name="Normal 2 13" xfId="6114" xr:uid="{00000000-0005-0000-0000-0000B4170000}"/>
    <cellStyle name="Normal 2 13 2" xfId="6115" xr:uid="{00000000-0005-0000-0000-0000B5170000}"/>
    <cellStyle name="Normal 2 13 3" xfId="6116" xr:uid="{00000000-0005-0000-0000-0000B6170000}"/>
    <cellStyle name="Normal 2 13 4" xfId="6117" xr:uid="{00000000-0005-0000-0000-0000B7170000}"/>
    <cellStyle name="Normal 2 13 5" xfId="6118" xr:uid="{00000000-0005-0000-0000-0000B8170000}"/>
    <cellStyle name="Normal 2 13 6" xfId="6119" xr:uid="{00000000-0005-0000-0000-0000B9170000}"/>
    <cellStyle name="Normal 2 130" xfId="6120" xr:uid="{00000000-0005-0000-0000-0000BA170000}"/>
    <cellStyle name="Normal 2 131" xfId="6121" xr:uid="{00000000-0005-0000-0000-0000BB170000}"/>
    <cellStyle name="Normal 2 132" xfId="6122" xr:uid="{00000000-0005-0000-0000-0000BC170000}"/>
    <cellStyle name="Normal 2 133" xfId="6123" xr:uid="{00000000-0005-0000-0000-0000BD170000}"/>
    <cellStyle name="Normal 2 134" xfId="6124" xr:uid="{00000000-0005-0000-0000-0000BE170000}"/>
    <cellStyle name="Normal 2 135" xfId="6125" xr:uid="{00000000-0005-0000-0000-0000BF170000}"/>
    <cellStyle name="Normal 2 136" xfId="6126" xr:uid="{00000000-0005-0000-0000-0000C0170000}"/>
    <cellStyle name="Normal 2 137" xfId="6127" xr:uid="{00000000-0005-0000-0000-0000C1170000}"/>
    <cellStyle name="Normal 2 138" xfId="6128" xr:uid="{00000000-0005-0000-0000-0000C2170000}"/>
    <cellStyle name="Normal 2 139" xfId="6129" xr:uid="{00000000-0005-0000-0000-0000C3170000}"/>
    <cellStyle name="Normal 2 14" xfId="6130" xr:uid="{00000000-0005-0000-0000-0000C4170000}"/>
    <cellStyle name="Normal 2 14 2" xfId="6131" xr:uid="{00000000-0005-0000-0000-0000C5170000}"/>
    <cellStyle name="Normal 2 14 3" xfId="6132" xr:uid="{00000000-0005-0000-0000-0000C6170000}"/>
    <cellStyle name="Normal 2 14 4" xfId="6133" xr:uid="{00000000-0005-0000-0000-0000C7170000}"/>
    <cellStyle name="Normal 2 14 5" xfId="6134" xr:uid="{00000000-0005-0000-0000-0000C8170000}"/>
    <cellStyle name="Normal 2 140" xfId="6135" xr:uid="{00000000-0005-0000-0000-0000C9170000}"/>
    <cellStyle name="Normal 2 141" xfId="6136" xr:uid="{00000000-0005-0000-0000-0000CA170000}"/>
    <cellStyle name="Normal 2 142" xfId="6137" xr:uid="{00000000-0005-0000-0000-0000CB170000}"/>
    <cellStyle name="Normal 2 143" xfId="6138" xr:uid="{00000000-0005-0000-0000-0000CC170000}"/>
    <cellStyle name="Normal 2 144" xfId="6139" xr:uid="{00000000-0005-0000-0000-0000CD170000}"/>
    <cellStyle name="Normal 2 145" xfId="6140" xr:uid="{00000000-0005-0000-0000-0000CE170000}"/>
    <cellStyle name="Normal 2 146" xfId="6141" xr:uid="{00000000-0005-0000-0000-0000CF170000}"/>
    <cellStyle name="Normal 2 147" xfId="6142" xr:uid="{00000000-0005-0000-0000-0000D0170000}"/>
    <cellStyle name="Normal 2 148" xfId="6143" xr:uid="{00000000-0005-0000-0000-0000D1170000}"/>
    <cellStyle name="Normal 2 149" xfId="6144" xr:uid="{00000000-0005-0000-0000-0000D2170000}"/>
    <cellStyle name="Normal 2 15" xfId="6145" xr:uid="{00000000-0005-0000-0000-0000D3170000}"/>
    <cellStyle name="Normal 2 15 2" xfId="6146" xr:uid="{00000000-0005-0000-0000-0000D4170000}"/>
    <cellStyle name="Normal 2 15 3" xfId="6147" xr:uid="{00000000-0005-0000-0000-0000D5170000}"/>
    <cellStyle name="Normal 2 15 4" xfId="6148" xr:uid="{00000000-0005-0000-0000-0000D6170000}"/>
    <cellStyle name="Normal 2 15 5" xfId="6149" xr:uid="{00000000-0005-0000-0000-0000D7170000}"/>
    <cellStyle name="Normal 2 15 6" xfId="6150" xr:uid="{00000000-0005-0000-0000-0000D8170000}"/>
    <cellStyle name="Normal 2 150" xfId="6151" xr:uid="{00000000-0005-0000-0000-0000D9170000}"/>
    <cellStyle name="Normal 2 151" xfId="6152" xr:uid="{00000000-0005-0000-0000-0000DA170000}"/>
    <cellStyle name="Normal 2 152" xfId="6153" xr:uid="{00000000-0005-0000-0000-0000DB170000}"/>
    <cellStyle name="Normal 2 153" xfId="6154" xr:uid="{00000000-0005-0000-0000-0000DC170000}"/>
    <cellStyle name="Normal 2 154" xfId="6155" xr:uid="{00000000-0005-0000-0000-0000DD170000}"/>
    <cellStyle name="Normal 2 155" xfId="6156" xr:uid="{00000000-0005-0000-0000-0000DE170000}"/>
    <cellStyle name="Normal 2 156" xfId="6157" xr:uid="{00000000-0005-0000-0000-0000DF170000}"/>
    <cellStyle name="Normal 2 157" xfId="6158" xr:uid="{00000000-0005-0000-0000-0000E0170000}"/>
    <cellStyle name="Normal 2 158" xfId="6159" xr:uid="{00000000-0005-0000-0000-0000E1170000}"/>
    <cellStyle name="Normal 2 159" xfId="6160" xr:uid="{00000000-0005-0000-0000-0000E2170000}"/>
    <cellStyle name="Normal 2 16" xfId="6161" xr:uid="{00000000-0005-0000-0000-0000E3170000}"/>
    <cellStyle name="Normal 2 16 2" xfId="6162" xr:uid="{00000000-0005-0000-0000-0000E4170000}"/>
    <cellStyle name="Normal 2 16 3" xfId="6163" xr:uid="{00000000-0005-0000-0000-0000E5170000}"/>
    <cellStyle name="Normal 2 16 4" xfId="6164" xr:uid="{00000000-0005-0000-0000-0000E6170000}"/>
    <cellStyle name="Normal 2 16 5" xfId="6165" xr:uid="{00000000-0005-0000-0000-0000E7170000}"/>
    <cellStyle name="Normal 2 160" xfId="6166" xr:uid="{00000000-0005-0000-0000-0000E8170000}"/>
    <cellStyle name="Normal 2 161" xfId="6167" xr:uid="{00000000-0005-0000-0000-0000E9170000}"/>
    <cellStyle name="Normal 2 162" xfId="6168" xr:uid="{00000000-0005-0000-0000-0000EA170000}"/>
    <cellStyle name="Normal 2 163" xfId="6169" xr:uid="{00000000-0005-0000-0000-0000EB170000}"/>
    <cellStyle name="Normal 2 164" xfId="6170" xr:uid="{00000000-0005-0000-0000-0000EC170000}"/>
    <cellStyle name="Normal 2 165" xfId="6171" xr:uid="{00000000-0005-0000-0000-0000ED170000}"/>
    <cellStyle name="Normal 2 166" xfId="6172" xr:uid="{00000000-0005-0000-0000-0000EE170000}"/>
    <cellStyle name="Normal 2 167" xfId="6173" xr:uid="{00000000-0005-0000-0000-0000EF170000}"/>
    <cellStyle name="Normal 2 168" xfId="6174" xr:uid="{00000000-0005-0000-0000-0000F0170000}"/>
    <cellStyle name="Normal 2 169" xfId="6175" xr:uid="{00000000-0005-0000-0000-0000F1170000}"/>
    <cellStyle name="Normal 2 17" xfId="6176" xr:uid="{00000000-0005-0000-0000-0000F2170000}"/>
    <cellStyle name="Normal 2 17 2" xfId="6177" xr:uid="{00000000-0005-0000-0000-0000F3170000}"/>
    <cellStyle name="Normal 2 17 3" xfId="6178" xr:uid="{00000000-0005-0000-0000-0000F4170000}"/>
    <cellStyle name="Normal 2 17 4" xfId="6179" xr:uid="{00000000-0005-0000-0000-0000F5170000}"/>
    <cellStyle name="Normal 2 17 5" xfId="6180" xr:uid="{00000000-0005-0000-0000-0000F6170000}"/>
    <cellStyle name="Normal 2 170" xfId="6181" xr:uid="{00000000-0005-0000-0000-0000F7170000}"/>
    <cellStyle name="Normal 2 171" xfId="6182" xr:uid="{00000000-0005-0000-0000-0000F8170000}"/>
    <cellStyle name="Normal 2 172" xfId="6183" xr:uid="{00000000-0005-0000-0000-0000F9170000}"/>
    <cellStyle name="Normal 2 173" xfId="6184" xr:uid="{00000000-0005-0000-0000-0000FA170000}"/>
    <cellStyle name="Normal 2 174" xfId="6185" xr:uid="{00000000-0005-0000-0000-0000FB170000}"/>
    <cellStyle name="Normal 2 175" xfId="6186" xr:uid="{00000000-0005-0000-0000-0000FC170000}"/>
    <cellStyle name="Normal 2 176" xfId="6187" xr:uid="{00000000-0005-0000-0000-0000FD170000}"/>
    <cellStyle name="Normal 2 177" xfId="6188" xr:uid="{00000000-0005-0000-0000-0000FE170000}"/>
    <cellStyle name="Normal 2 178" xfId="6189" xr:uid="{00000000-0005-0000-0000-0000FF170000}"/>
    <cellStyle name="Normal 2 179" xfId="6190" xr:uid="{00000000-0005-0000-0000-000000180000}"/>
    <cellStyle name="Normal 2 18" xfId="6191" xr:uid="{00000000-0005-0000-0000-000001180000}"/>
    <cellStyle name="Normal 2 18 2" xfId="6192" xr:uid="{00000000-0005-0000-0000-000002180000}"/>
    <cellStyle name="Normal 2 18 3" xfId="6193" xr:uid="{00000000-0005-0000-0000-000003180000}"/>
    <cellStyle name="Normal 2 18 4" xfId="6194" xr:uid="{00000000-0005-0000-0000-000004180000}"/>
    <cellStyle name="Normal 2 18 5" xfId="6195" xr:uid="{00000000-0005-0000-0000-000005180000}"/>
    <cellStyle name="Normal 2 19" xfId="6196" xr:uid="{00000000-0005-0000-0000-000006180000}"/>
    <cellStyle name="Normal 2 19 2" xfId="6197" xr:uid="{00000000-0005-0000-0000-000007180000}"/>
    <cellStyle name="Normal 2 19 3" xfId="6198" xr:uid="{00000000-0005-0000-0000-000008180000}"/>
    <cellStyle name="Normal 2 19 4" xfId="6199" xr:uid="{00000000-0005-0000-0000-000009180000}"/>
    <cellStyle name="Normal 2 19 5" xfId="6200" xr:uid="{00000000-0005-0000-0000-00000A180000}"/>
    <cellStyle name="Normal 2 2" xfId="8" xr:uid="{00000000-0005-0000-0000-00000B180000}"/>
    <cellStyle name="Normal 2 2 10" xfId="6202" xr:uid="{00000000-0005-0000-0000-00000C180000}"/>
    <cellStyle name="Normal 2 2 10 10" xfId="6203" xr:uid="{00000000-0005-0000-0000-00000D180000}"/>
    <cellStyle name="Normal 2 2 10 10 10" xfId="6204" xr:uid="{00000000-0005-0000-0000-00000E180000}"/>
    <cellStyle name="Normal 2 2 10 10 11" xfId="6205" xr:uid="{00000000-0005-0000-0000-00000F180000}"/>
    <cellStyle name="Normal 2 2 10 10 12" xfId="6206" xr:uid="{00000000-0005-0000-0000-000010180000}"/>
    <cellStyle name="Normal 2 2 10 10 13" xfId="6207" xr:uid="{00000000-0005-0000-0000-000011180000}"/>
    <cellStyle name="Normal 2 2 10 10 14" xfId="6208" xr:uid="{00000000-0005-0000-0000-000012180000}"/>
    <cellStyle name="Normal 2 2 10 10 2" xfId="6209" xr:uid="{00000000-0005-0000-0000-000013180000}"/>
    <cellStyle name="Normal 2 2 10 10 2 10" xfId="6210" xr:uid="{00000000-0005-0000-0000-000014180000}"/>
    <cellStyle name="Normal 2 2 10 10 2 2" xfId="6211" xr:uid="{00000000-0005-0000-0000-000015180000}"/>
    <cellStyle name="Normal 2 2 10 10 2 3" xfId="6212" xr:uid="{00000000-0005-0000-0000-000016180000}"/>
    <cellStyle name="Normal 2 2 10 10 2 4" xfId="6213" xr:uid="{00000000-0005-0000-0000-000017180000}"/>
    <cellStyle name="Normal 2 2 10 10 2 5" xfId="6214" xr:uid="{00000000-0005-0000-0000-000018180000}"/>
    <cellStyle name="Normal 2 2 10 10 2 6" xfId="6215" xr:uid="{00000000-0005-0000-0000-000019180000}"/>
    <cellStyle name="Normal 2 2 10 10 2 7" xfId="6216" xr:uid="{00000000-0005-0000-0000-00001A180000}"/>
    <cellStyle name="Normal 2 2 10 10 2 8" xfId="6217" xr:uid="{00000000-0005-0000-0000-00001B180000}"/>
    <cellStyle name="Normal 2 2 10 10 2 9" xfId="6218" xr:uid="{00000000-0005-0000-0000-00001C180000}"/>
    <cellStyle name="Normal 2 2 10 10 3" xfId="6219" xr:uid="{00000000-0005-0000-0000-00001D180000}"/>
    <cellStyle name="Normal 2 2 10 10 3 10" xfId="6220" xr:uid="{00000000-0005-0000-0000-00001E180000}"/>
    <cellStyle name="Normal 2 2 10 10 3 2" xfId="6221" xr:uid="{00000000-0005-0000-0000-00001F180000}"/>
    <cellStyle name="Normal 2 2 10 10 3 3" xfId="6222" xr:uid="{00000000-0005-0000-0000-000020180000}"/>
    <cellStyle name="Normal 2 2 10 10 3 4" xfId="6223" xr:uid="{00000000-0005-0000-0000-000021180000}"/>
    <cellStyle name="Normal 2 2 10 10 3 5" xfId="6224" xr:uid="{00000000-0005-0000-0000-000022180000}"/>
    <cellStyle name="Normal 2 2 10 10 3 6" xfId="6225" xr:uid="{00000000-0005-0000-0000-000023180000}"/>
    <cellStyle name="Normal 2 2 10 10 3 7" xfId="6226" xr:uid="{00000000-0005-0000-0000-000024180000}"/>
    <cellStyle name="Normal 2 2 10 10 3 8" xfId="6227" xr:uid="{00000000-0005-0000-0000-000025180000}"/>
    <cellStyle name="Normal 2 2 10 10 3 9" xfId="6228" xr:uid="{00000000-0005-0000-0000-000026180000}"/>
    <cellStyle name="Normal 2 2 10 10 4" xfId="6229" xr:uid="{00000000-0005-0000-0000-000027180000}"/>
    <cellStyle name="Normal 2 2 10 10 4 10" xfId="6230" xr:uid="{00000000-0005-0000-0000-000028180000}"/>
    <cellStyle name="Normal 2 2 10 10 4 2" xfId="6231" xr:uid="{00000000-0005-0000-0000-000029180000}"/>
    <cellStyle name="Normal 2 2 10 10 4 3" xfId="6232" xr:uid="{00000000-0005-0000-0000-00002A180000}"/>
    <cellStyle name="Normal 2 2 10 10 4 4" xfId="6233" xr:uid="{00000000-0005-0000-0000-00002B180000}"/>
    <cellStyle name="Normal 2 2 10 10 4 5" xfId="6234" xr:uid="{00000000-0005-0000-0000-00002C180000}"/>
    <cellStyle name="Normal 2 2 10 10 4 6" xfId="6235" xr:uid="{00000000-0005-0000-0000-00002D180000}"/>
    <cellStyle name="Normal 2 2 10 10 4 7" xfId="6236" xr:uid="{00000000-0005-0000-0000-00002E180000}"/>
    <cellStyle name="Normal 2 2 10 10 4 8" xfId="6237" xr:uid="{00000000-0005-0000-0000-00002F180000}"/>
    <cellStyle name="Normal 2 2 10 10 4 9" xfId="6238" xr:uid="{00000000-0005-0000-0000-000030180000}"/>
    <cellStyle name="Normal 2 2 10 10 5" xfId="6239" xr:uid="{00000000-0005-0000-0000-000031180000}"/>
    <cellStyle name="Normal 2 2 10 10 5 10" xfId="6240" xr:uid="{00000000-0005-0000-0000-000032180000}"/>
    <cellStyle name="Normal 2 2 10 10 5 2" xfId="6241" xr:uid="{00000000-0005-0000-0000-000033180000}"/>
    <cellStyle name="Normal 2 2 10 10 5 3" xfId="6242" xr:uid="{00000000-0005-0000-0000-000034180000}"/>
    <cellStyle name="Normal 2 2 10 10 5 4" xfId="6243" xr:uid="{00000000-0005-0000-0000-000035180000}"/>
    <cellStyle name="Normal 2 2 10 10 5 5" xfId="6244" xr:uid="{00000000-0005-0000-0000-000036180000}"/>
    <cellStyle name="Normal 2 2 10 10 5 6" xfId="6245" xr:uid="{00000000-0005-0000-0000-000037180000}"/>
    <cellStyle name="Normal 2 2 10 10 5 7" xfId="6246" xr:uid="{00000000-0005-0000-0000-000038180000}"/>
    <cellStyle name="Normal 2 2 10 10 5 8" xfId="6247" xr:uid="{00000000-0005-0000-0000-000039180000}"/>
    <cellStyle name="Normal 2 2 10 10 5 9" xfId="6248" xr:uid="{00000000-0005-0000-0000-00003A180000}"/>
    <cellStyle name="Normal 2 2 10 10 6" xfId="6249" xr:uid="{00000000-0005-0000-0000-00003B180000}"/>
    <cellStyle name="Normal 2 2 10 10 7" xfId="6250" xr:uid="{00000000-0005-0000-0000-00003C180000}"/>
    <cellStyle name="Normal 2 2 10 10 8" xfId="6251" xr:uid="{00000000-0005-0000-0000-00003D180000}"/>
    <cellStyle name="Normal 2 2 10 10 9" xfId="6252" xr:uid="{00000000-0005-0000-0000-00003E180000}"/>
    <cellStyle name="Normal 2 2 10 11" xfId="6253" xr:uid="{00000000-0005-0000-0000-00003F180000}"/>
    <cellStyle name="Normal 2 2 10 11 10" xfId="6254" xr:uid="{00000000-0005-0000-0000-000040180000}"/>
    <cellStyle name="Normal 2 2 10 11 11" xfId="6255" xr:uid="{00000000-0005-0000-0000-000041180000}"/>
    <cellStyle name="Normal 2 2 10 11 12" xfId="6256" xr:uid="{00000000-0005-0000-0000-000042180000}"/>
    <cellStyle name="Normal 2 2 10 11 13" xfId="6257" xr:uid="{00000000-0005-0000-0000-000043180000}"/>
    <cellStyle name="Normal 2 2 10 11 14" xfId="6258" xr:uid="{00000000-0005-0000-0000-000044180000}"/>
    <cellStyle name="Normal 2 2 10 11 2" xfId="6259" xr:uid="{00000000-0005-0000-0000-000045180000}"/>
    <cellStyle name="Normal 2 2 10 11 2 10" xfId="6260" xr:uid="{00000000-0005-0000-0000-000046180000}"/>
    <cellStyle name="Normal 2 2 10 11 2 2" xfId="6261" xr:uid="{00000000-0005-0000-0000-000047180000}"/>
    <cellStyle name="Normal 2 2 10 11 2 3" xfId="6262" xr:uid="{00000000-0005-0000-0000-000048180000}"/>
    <cellStyle name="Normal 2 2 10 11 2 4" xfId="6263" xr:uid="{00000000-0005-0000-0000-000049180000}"/>
    <cellStyle name="Normal 2 2 10 11 2 5" xfId="6264" xr:uid="{00000000-0005-0000-0000-00004A180000}"/>
    <cellStyle name="Normal 2 2 10 11 2 6" xfId="6265" xr:uid="{00000000-0005-0000-0000-00004B180000}"/>
    <cellStyle name="Normal 2 2 10 11 2 7" xfId="6266" xr:uid="{00000000-0005-0000-0000-00004C180000}"/>
    <cellStyle name="Normal 2 2 10 11 2 8" xfId="6267" xr:uid="{00000000-0005-0000-0000-00004D180000}"/>
    <cellStyle name="Normal 2 2 10 11 2 9" xfId="6268" xr:uid="{00000000-0005-0000-0000-00004E180000}"/>
    <cellStyle name="Normal 2 2 10 11 3" xfId="6269" xr:uid="{00000000-0005-0000-0000-00004F180000}"/>
    <cellStyle name="Normal 2 2 10 11 3 10" xfId="6270" xr:uid="{00000000-0005-0000-0000-000050180000}"/>
    <cellStyle name="Normal 2 2 10 11 3 2" xfId="6271" xr:uid="{00000000-0005-0000-0000-000051180000}"/>
    <cellStyle name="Normal 2 2 10 11 3 3" xfId="6272" xr:uid="{00000000-0005-0000-0000-000052180000}"/>
    <cellStyle name="Normal 2 2 10 11 3 4" xfId="6273" xr:uid="{00000000-0005-0000-0000-000053180000}"/>
    <cellStyle name="Normal 2 2 10 11 3 5" xfId="6274" xr:uid="{00000000-0005-0000-0000-000054180000}"/>
    <cellStyle name="Normal 2 2 10 11 3 6" xfId="6275" xr:uid="{00000000-0005-0000-0000-000055180000}"/>
    <cellStyle name="Normal 2 2 10 11 3 7" xfId="6276" xr:uid="{00000000-0005-0000-0000-000056180000}"/>
    <cellStyle name="Normal 2 2 10 11 3 8" xfId="6277" xr:uid="{00000000-0005-0000-0000-000057180000}"/>
    <cellStyle name="Normal 2 2 10 11 3 9" xfId="6278" xr:uid="{00000000-0005-0000-0000-000058180000}"/>
    <cellStyle name="Normal 2 2 10 11 4" xfId="6279" xr:uid="{00000000-0005-0000-0000-000059180000}"/>
    <cellStyle name="Normal 2 2 10 11 4 10" xfId="6280" xr:uid="{00000000-0005-0000-0000-00005A180000}"/>
    <cellStyle name="Normal 2 2 10 11 4 2" xfId="6281" xr:uid="{00000000-0005-0000-0000-00005B180000}"/>
    <cellStyle name="Normal 2 2 10 11 4 3" xfId="6282" xr:uid="{00000000-0005-0000-0000-00005C180000}"/>
    <cellStyle name="Normal 2 2 10 11 4 4" xfId="6283" xr:uid="{00000000-0005-0000-0000-00005D180000}"/>
    <cellStyle name="Normal 2 2 10 11 4 5" xfId="6284" xr:uid="{00000000-0005-0000-0000-00005E180000}"/>
    <cellStyle name="Normal 2 2 10 11 4 6" xfId="6285" xr:uid="{00000000-0005-0000-0000-00005F180000}"/>
    <cellStyle name="Normal 2 2 10 11 4 7" xfId="6286" xr:uid="{00000000-0005-0000-0000-000060180000}"/>
    <cellStyle name="Normal 2 2 10 11 4 8" xfId="6287" xr:uid="{00000000-0005-0000-0000-000061180000}"/>
    <cellStyle name="Normal 2 2 10 11 4 9" xfId="6288" xr:uid="{00000000-0005-0000-0000-000062180000}"/>
    <cellStyle name="Normal 2 2 10 11 5" xfId="6289" xr:uid="{00000000-0005-0000-0000-000063180000}"/>
    <cellStyle name="Normal 2 2 10 11 5 10" xfId="6290" xr:uid="{00000000-0005-0000-0000-000064180000}"/>
    <cellStyle name="Normal 2 2 10 11 5 2" xfId="6291" xr:uid="{00000000-0005-0000-0000-000065180000}"/>
    <cellStyle name="Normal 2 2 10 11 5 3" xfId="6292" xr:uid="{00000000-0005-0000-0000-000066180000}"/>
    <cellStyle name="Normal 2 2 10 11 5 4" xfId="6293" xr:uid="{00000000-0005-0000-0000-000067180000}"/>
    <cellStyle name="Normal 2 2 10 11 5 5" xfId="6294" xr:uid="{00000000-0005-0000-0000-000068180000}"/>
    <cellStyle name="Normal 2 2 10 11 5 6" xfId="6295" xr:uid="{00000000-0005-0000-0000-000069180000}"/>
    <cellStyle name="Normal 2 2 10 11 5 7" xfId="6296" xr:uid="{00000000-0005-0000-0000-00006A180000}"/>
    <cellStyle name="Normal 2 2 10 11 5 8" xfId="6297" xr:uid="{00000000-0005-0000-0000-00006B180000}"/>
    <cellStyle name="Normal 2 2 10 11 5 9" xfId="6298" xr:uid="{00000000-0005-0000-0000-00006C180000}"/>
    <cellStyle name="Normal 2 2 10 11 6" xfId="6299" xr:uid="{00000000-0005-0000-0000-00006D180000}"/>
    <cellStyle name="Normal 2 2 10 11 7" xfId="6300" xr:uid="{00000000-0005-0000-0000-00006E180000}"/>
    <cellStyle name="Normal 2 2 10 11 8" xfId="6301" xr:uid="{00000000-0005-0000-0000-00006F180000}"/>
    <cellStyle name="Normal 2 2 10 11 9" xfId="6302" xr:uid="{00000000-0005-0000-0000-000070180000}"/>
    <cellStyle name="Normal 2 2 10 12" xfId="6303" xr:uid="{00000000-0005-0000-0000-000071180000}"/>
    <cellStyle name="Normal 2 2 10 12 10" xfId="6304" xr:uid="{00000000-0005-0000-0000-000072180000}"/>
    <cellStyle name="Normal 2 2 10 12 11" xfId="6305" xr:uid="{00000000-0005-0000-0000-000073180000}"/>
    <cellStyle name="Normal 2 2 10 12 12" xfId="6306" xr:uid="{00000000-0005-0000-0000-000074180000}"/>
    <cellStyle name="Normal 2 2 10 12 13" xfId="6307" xr:uid="{00000000-0005-0000-0000-000075180000}"/>
    <cellStyle name="Normal 2 2 10 12 14" xfId="6308" xr:uid="{00000000-0005-0000-0000-000076180000}"/>
    <cellStyle name="Normal 2 2 10 12 2" xfId="6309" xr:uid="{00000000-0005-0000-0000-000077180000}"/>
    <cellStyle name="Normal 2 2 10 12 2 10" xfId="6310" xr:uid="{00000000-0005-0000-0000-000078180000}"/>
    <cellStyle name="Normal 2 2 10 12 2 2" xfId="6311" xr:uid="{00000000-0005-0000-0000-000079180000}"/>
    <cellStyle name="Normal 2 2 10 12 2 3" xfId="6312" xr:uid="{00000000-0005-0000-0000-00007A180000}"/>
    <cellStyle name="Normal 2 2 10 12 2 4" xfId="6313" xr:uid="{00000000-0005-0000-0000-00007B180000}"/>
    <cellStyle name="Normal 2 2 10 12 2 5" xfId="6314" xr:uid="{00000000-0005-0000-0000-00007C180000}"/>
    <cellStyle name="Normal 2 2 10 12 2 6" xfId="6315" xr:uid="{00000000-0005-0000-0000-00007D180000}"/>
    <cellStyle name="Normal 2 2 10 12 2 7" xfId="6316" xr:uid="{00000000-0005-0000-0000-00007E180000}"/>
    <cellStyle name="Normal 2 2 10 12 2 8" xfId="6317" xr:uid="{00000000-0005-0000-0000-00007F180000}"/>
    <cellStyle name="Normal 2 2 10 12 2 9" xfId="6318" xr:uid="{00000000-0005-0000-0000-000080180000}"/>
    <cellStyle name="Normal 2 2 10 12 3" xfId="6319" xr:uid="{00000000-0005-0000-0000-000081180000}"/>
    <cellStyle name="Normal 2 2 10 12 3 10" xfId="6320" xr:uid="{00000000-0005-0000-0000-000082180000}"/>
    <cellStyle name="Normal 2 2 10 12 3 2" xfId="6321" xr:uid="{00000000-0005-0000-0000-000083180000}"/>
    <cellStyle name="Normal 2 2 10 12 3 3" xfId="6322" xr:uid="{00000000-0005-0000-0000-000084180000}"/>
    <cellStyle name="Normal 2 2 10 12 3 4" xfId="6323" xr:uid="{00000000-0005-0000-0000-000085180000}"/>
    <cellStyle name="Normal 2 2 10 12 3 5" xfId="6324" xr:uid="{00000000-0005-0000-0000-000086180000}"/>
    <cellStyle name="Normal 2 2 10 12 3 6" xfId="6325" xr:uid="{00000000-0005-0000-0000-000087180000}"/>
    <cellStyle name="Normal 2 2 10 12 3 7" xfId="6326" xr:uid="{00000000-0005-0000-0000-000088180000}"/>
    <cellStyle name="Normal 2 2 10 12 3 8" xfId="6327" xr:uid="{00000000-0005-0000-0000-000089180000}"/>
    <cellStyle name="Normal 2 2 10 12 3 9" xfId="6328" xr:uid="{00000000-0005-0000-0000-00008A180000}"/>
    <cellStyle name="Normal 2 2 10 12 4" xfId="6329" xr:uid="{00000000-0005-0000-0000-00008B180000}"/>
    <cellStyle name="Normal 2 2 10 12 4 10" xfId="6330" xr:uid="{00000000-0005-0000-0000-00008C180000}"/>
    <cellStyle name="Normal 2 2 10 12 4 2" xfId="6331" xr:uid="{00000000-0005-0000-0000-00008D180000}"/>
    <cellStyle name="Normal 2 2 10 12 4 3" xfId="6332" xr:uid="{00000000-0005-0000-0000-00008E180000}"/>
    <cellStyle name="Normal 2 2 10 12 4 4" xfId="6333" xr:uid="{00000000-0005-0000-0000-00008F180000}"/>
    <cellStyle name="Normal 2 2 10 12 4 5" xfId="6334" xr:uid="{00000000-0005-0000-0000-000090180000}"/>
    <cellStyle name="Normal 2 2 10 12 4 6" xfId="6335" xr:uid="{00000000-0005-0000-0000-000091180000}"/>
    <cellStyle name="Normal 2 2 10 12 4 7" xfId="6336" xr:uid="{00000000-0005-0000-0000-000092180000}"/>
    <cellStyle name="Normal 2 2 10 12 4 8" xfId="6337" xr:uid="{00000000-0005-0000-0000-000093180000}"/>
    <cellStyle name="Normal 2 2 10 12 4 9" xfId="6338" xr:uid="{00000000-0005-0000-0000-000094180000}"/>
    <cellStyle name="Normal 2 2 10 12 5" xfId="6339" xr:uid="{00000000-0005-0000-0000-000095180000}"/>
    <cellStyle name="Normal 2 2 10 12 5 10" xfId="6340" xr:uid="{00000000-0005-0000-0000-000096180000}"/>
    <cellStyle name="Normal 2 2 10 12 5 2" xfId="6341" xr:uid="{00000000-0005-0000-0000-000097180000}"/>
    <cellStyle name="Normal 2 2 10 12 5 3" xfId="6342" xr:uid="{00000000-0005-0000-0000-000098180000}"/>
    <cellStyle name="Normal 2 2 10 12 5 4" xfId="6343" xr:uid="{00000000-0005-0000-0000-000099180000}"/>
    <cellStyle name="Normal 2 2 10 12 5 5" xfId="6344" xr:uid="{00000000-0005-0000-0000-00009A180000}"/>
    <cellStyle name="Normal 2 2 10 12 5 6" xfId="6345" xr:uid="{00000000-0005-0000-0000-00009B180000}"/>
    <cellStyle name="Normal 2 2 10 12 5 7" xfId="6346" xr:uid="{00000000-0005-0000-0000-00009C180000}"/>
    <cellStyle name="Normal 2 2 10 12 5 8" xfId="6347" xr:uid="{00000000-0005-0000-0000-00009D180000}"/>
    <cellStyle name="Normal 2 2 10 12 5 9" xfId="6348" xr:uid="{00000000-0005-0000-0000-00009E180000}"/>
    <cellStyle name="Normal 2 2 10 12 6" xfId="6349" xr:uid="{00000000-0005-0000-0000-00009F180000}"/>
    <cellStyle name="Normal 2 2 10 12 7" xfId="6350" xr:uid="{00000000-0005-0000-0000-0000A0180000}"/>
    <cellStyle name="Normal 2 2 10 12 8" xfId="6351" xr:uid="{00000000-0005-0000-0000-0000A1180000}"/>
    <cellStyle name="Normal 2 2 10 12 9" xfId="6352" xr:uid="{00000000-0005-0000-0000-0000A2180000}"/>
    <cellStyle name="Normal 2 2 10 13" xfId="6353" xr:uid="{00000000-0005-0000-0000-0000A3180000}"/>
    <cellStyle name="Normal 2 2 10 13 10" xfId="6354" xr:uid="{00000000-0005-0000-0000-0000A4180000}"/>
    <cellStyle name="Normal 2 2 10 13 11" xfId="6355" xr:uid="{00000000-0005-0000-0000-0000A5180000}"/>
    <cellStyle name="Normal 2 2 10 13 12" xfId="6356" xr:uid="{00000000-0005-0000-0000-0000A6180000}"/>
    <cellStyle name="Normal 2 2 10 13 13" xfId="6357" xr:uid="{00000000-0005-0000-0000-0000A7180000}"/>
    <cellStyle name="Normal 2 2 10 13 14" xfId="6358" xr:uid="{00000000-0005-0000-0000-0000A8180000}"/>
    <cellStyle name="Normal 2 2 10 13 2" xfId="6359" xr:uid="{00000000-0005-0000-0000-0000A9180000}"/>
    <cellStyle name="Normal 2 2 10 13 2 10" xfId="6360" xr:uid="{00000000-0005-0000-0000-0000AA180000}"/>
    <cellStyle name="Normal 2 2 10 13 2 2" xfId="6361" xr:uid="{00000000-0005-0000-0000-0000AB180000}"/>
    <cellStyle name="Normal 2 2 10 13 2 3" xfId="6362" xr:uid="{00000000-0005-0000-0000-0000AC180000}"/>
    <cellStyle name="Normal 2 2 10 13 2 4" xfId="6363" xr:uid="{00000000-0005-0000-0000-0000AD180000}"/>
    <cellStyle name="Normal 2 2 10 13 2 5" xfId="6364" xr:uid="{00000000-0005-0000-0000-0000AE180000}"/>
    <cellStyle name="Normal 2 2 10 13 2 6" xfId="6365" xr:uid="{00000000-0005-0000-0000-0000AF180000}"/>
    <cellStyle name="Normal 2 2 10 13 2 7" xfId="6366" xr:uid="{00000000-0005-0000-0000-0000B0180000}"/>
    <cellStyle name="Normal 2 2 10 13 2 8" xfId="6367" xr:uid="{00000000-0005-0000-0000-0000B1180000}"/>
    <cellStyle name="Normal 2 2 10 13 2 9" xfId="6368" xr:uid="{00000000-0005-0000-0000-0000B2180000}"/>
    <cellStyle name="Normal 2 2 10 13 3" xfId="6369" xr:uid="{00000000-0005-0000-0000-0000B3180000}"/>
    <cellStyle name="Normal 2 2 10 13 3 10" xfId="6370" xr:uid="{00000000-0005-0000-0000-0000B4180000}"/>
    <cellStyle name="Normal 2 2 10 13 3 2" xfId="6371" xr:uid="{00000000-0005-0000-0000-0000B5180000}"/>
    <cellStyle name="Normal 2 2 10 13 3 3" xfId="6372" xr:uid="{00000000-0005-0000-0000-0000B6180000}"/>
    <cellStyle name="Normal 2 2 10 13 3 4" xfId="6373" xr:uid="{00000000-0005-0000-0000-0000B7180000}"/>
    <cellStyle name="Normal 2 2 10 13 3 5" xfId="6374" xr:uid="{00000000-0005-0000-0000-0000B8180000}"/>
    <cellStyle name="Normal 2 2 10 13 3 6" xfId="6375" xr:uid="{00000000-0005-0000-0000-0000B9180000}"/>
    <cellStyle name="Normal 2 2 10 13 3 7" xfId="6376" xr:uid="{00000000-0005-0000-0000-0000BA180000}"/>
    <cellStyle name="Normal 2 2 10 13 3 8" xfId="6377" xr:uid="{00000000-0005-0000-0000-0000BB180000}"/>
    <cellStyle name="Normal 2 2 10 13 3 9" xfId="6378" xr:uid="{00000000-0005-0000-0000-0000BC180000}"/>
    <cellStyle name="Normal 2 2 10 13 4" xfId="6379" xr:uid="{00000000-0005-0000-0000-0000BD180000}"/>
    <cellStyle name="Normal 2 2 10 13 4 10" xfId="6380" xr:uid="{00000000-0005-0000-0000-0000BE180000}"/>
    <cellStyle name="Normal 2 2 10 13 4 2" xfId="6381" xr:uid="{00000000-0005-0000-0000-0000BF180000}"/>
    <cellStyle name="Normal 2 2 10 13 4 3" xfId="6382" xr:uid="{00000000-0005-0000-0000-0000C0180000}"/>
    <cellStyle name="Normal 2 2 10 13 4 4" xfId="6383" xr:uid="{00000000-0005-0000-0000-0000C1180000}"/>
    <cellStyle name="Normal 2 2 10 13 4 5" xfId="6384" xr:uid="{00000000-0005-0000-0000-0000C2180000}"/>
    <cellStyle name="Normal 2 2 10 13 4 6" xfId="6385" xr:uid="{00000000-0005-0000-0000-0000C3180000}"/>
    <cellStyle name="Normal 2 2 10 13 4 7" xfId="6386" xr:uid="{00000000-0005-0000-0000-0000C4180000}"/>
    <cellStyle name="Normal 2 2 10 13 4 8" xfId="6387" xr:uid="{00000000-0005-0000-0000-0000C5180000}"/>
    <cellStyle name="Normal 2 2 10 13 4 9" xfId="6388" xr:uid="{00000000-0005-0000-0000-0000C6180000}"/>
    <cellStyle name="Normal 2 2 10 13 5" xfId="6389" xr:uid="{00000000-0005-0000-0000-0000C7180000}"/>
    <cellStyle name="Normal 2 2 10 13 5 10" xfId="6390" xr:uid="{00000000-0005-0000-0000-0000C8180000}"/>
    <cellStyle name="Normal 2 2 10 13 5 2" xfId="6391" xr:uid="{00000000-0005-0000-0000-0000C9180000}"/>
    <cellStyle name="Normal 2 2 10 13 5 3" xfId="6392" xr:uid="{00000000-0005-0000-0000-0000CA180000}"/>
    <cellStyle name="Normal 2 2 10 13 5 4" xfId="6393" xr:uid="{00000000-0005-0000-0000-0000CB180000}"/>
    <cellStyle name="Normal 2 2 10 13 5 5" xfId="6394" xr:uid="{00000000-0005-0000-0000-0000CC180000}"/>
    <cellStyle name="Normal 2 2 10 13 5 6" xfId="6395" xr:uid="{00000000-0005-0000-0000-0000CD180000}"/>
    <cellStyle name="Normal 2 2 10 13 5 7" xfId="6396" xr:uid="{00000000-0005-0000-0000-0000CE180000}"/>
    <cellStyle name="Normal 2 2 10 13 5 8" xfId="6397" xr:uid="{00000000-0005-0000-0000-0000CF180000}"/>
    <cellStyle name="Normal 2 2 10 13 5 9" xfId="6398" xr:uid="{00000000-0005-0000-0000-0000D0180000}"/>
    <cellStyle name="Normal 2 2 10 13 6" xfId="6399" xr:uid="{00000000-0005-0000-0000-0000D1180000}"/>
    <cellStyle name="Normal 2 2 10 13 7" xfId="6400" xr:uid="{00000000-0005-0000-0000-0000D2180000}"/>
    <cellStyle name="Normal 2 2 10 13 8" xfId="6401" xr:uid="{00000000-0005-0000-0000-0000D3180000}"/>
    <cellStyle name="Normal 2 2 10 13 9" xfId="6402" xr:uid="{00000000-0005-0000-0000-0000D4180000}"/>
    <cellStyle name="Normal 2 2 10 14" xfId="6403" xr:uid="{00000000-0005-0000-0000-0000D5180000}"/>
    <cellStyle name="Normal 2 2 10 14 10" xfId="6404" xr:uid="{00000000-0005-0000-0000-0000D6180000}"/>
    <cellStyle name="Normal 2 2 10 14 11" xfId="6405" xr:uid="{00000000-0005-0000-0000-0000D7180000}"/>
    <cellStyle name="Normal 2 2 10 14 12" xfId="6406" xr:uid="{00000000-0005-0000-0000-0000D8180000}"/>
    <cellStyle name="Normal 2 2 10 14 13" xfId="6407" xr:uid="{00000000-0005-0000-0000-0000D9180000}"/>
    <cellStyle name="Normal 2 2 10 14 14" xfId="6408" xr:uid="{00000000-0005-0000-0000-0000DA180000}"/>
    <cellStyle name="Normal 2 2 10 14 2" xfId="6409" xr:uid="{00000000-0005-0000-0000-0000DB180000}"/>
    <cellStyle name="Normal 2 2 10 14 2 10" xfId="6410" xr:uid="{00000000-0005-0000-0000-0000DC180000}"/>
    <cellStyle name="Normal 2 2 10 14 2 2" xfId="6411" xr:uid="{00000000-0005-0000-0000-0000DD180000}"/>
    <cellStyle name="Normal 2 2 10 14 2 3" xfId="6412" xr:uid="{00000000-0005-0000-0000-0000DE180000}"/>
    <cellStyle name="Normal 2 2 10 14 2 4" xfId="6413" xr:uid="{00000000-0005-0000-0000-0000DF180000}"/>
    <cellStyle name="Normal 2 2 10 14 2 5" xfId="6414" xr:uid="{00000000-0005-0000-0000-0000E0180000}"/>
    <cellStyle name="Normal 2 2 10 14 2 6" xfId="6415" xr:uid="{00000000-0005-0000-0000-0000E1180000}"/>
    <cellStyle name="Normal 2 2 10 14 2 7" xfId="6416" xr:uid="{00000000-0005-0000-0000-0000E2180000}"/>
    <cellStyle name="Normal 2 2 10 14 2 8" xfId="6417" xr:uid="{00000000-0005-0000-0000-0000E3180000}"/>
    <cellStyle name="Normal 2 2 10 14 2 9" xfId="6418" xr:uid="{00000000-0005-0000-0000-0000E4180000}"/>
    <cellStyle name="Normal 2 2 10 14 3" xfId="6419" xr:uid="{00000000-0005-0000-0000-0000E5180000}"/>
    <cellStyle name="Normal 2 2 10 14 3 10" xfId="6420" xr:uid="{00000000-0005-0000-0000-0000E6180000}"/>
    <cellStyle name="Normal 2 2 10 14 3 2" xfId="6421" xr:uid="{00000000-0005-0000-0000-0000E7180000}"/>
    <cellStyle name="Normal 2 2 10 14 3 3" xfId="6422" xr:uid="{00000000-0005-0000-0000-0000E8180000}"/>
    <cellStyle name="Normal 2 2 10 14 3 4" xfId="6423" xr:uid="{00000000-0005-0000-0000-0000E9180000}"/>
    <cellStyle name="Normal 2 2 10 14 3 5" xfId="6424" xr:uid="{00000000-0005-0000-0000-0000EA180000}"/>
    <cellStyle name="Normal 2 2 10 14 3 6" xfId="6425" xr:uid="{00000000-0005-0000-0000-0000EB180000}"/>
    <cellStyle name="Normal 2 2 10 14 3 7" xfId="6426" xr:uid="{00000000-0005-0000-0000-0000EC180000}"/>
    <cellStyle name="Normal 2 2 10 14 3 8" xfId="6427" xr:uid="{00000000-0005-0000-0000-0000ED180000}"/>
    <cellStyle name="Normal 2 2 10 14 3 9" xfId="6428" xr:uid="{00000000-0005-0000-0000-0000EE180000}"/>
    <cellStyle name="Normal 2 2 10 14 4" xfId="6429" xr:uid="{00000000-0005-0000-0000-0000EF180000}"/>
    <cellStyle name="Normal 2 2 10 14 4 10" xfId="6430" xr:uid="{00000000-0005-0000-0000-0000F0180000}"/>
    <cellStyle name="Normal 2 2 10 14 4 2" xfId="6431" xr:uid="{00000000-0005-0000-0000-0000F1180000}"/>
    <cellStyle name="Normal 2 2 10 14 4 3" xfId="6432" xr:uid="{00000000-0005-0000-0000-0000F2180000}"/>
    <cellStyle name="Normal 2 2 10 14 4 4" xfId="6433" xr:uid="{00000000-0005-0000-0000-0000F3180000}"/>
    <cellStyle name="Normal 2 2 10 14 4 5" xfId="6434" xr:uid="{00000000-0005-0000-0000-0000F4180000}"/>
    <cellStyle name="Normal 2 2 10 14 4 6" xfId="6435" xr:uid="{00000000-0005-0000-0000-0000F5180000}"/>
    <cellStyle name="Normal 2 2 10 14 4 7" xfId="6436" xr:uid="{00000000-0005-0000-0000-0000F6180000}"/>
    <cellStyle name="Normal 2 2 10 14 4 8" xfId="6437" xr:uid="{00000000-0005-0000-0000-0000F7180000}"/>
    <cellStyle name="Normal 2 2 10 14 4 9" xfId="6438" xr:uid="{00000000-0005-0000-0000-0000F8180000}"/>
    <cellStyle name="Normal 2 2 10 14 5" xfId="6439" xr:uid="{00000000-0005-0000-0000-0000F9180000}"/>
    <cellStyle name="Normal 2 2 10 14 5 10" xfId="6440" xr:uid="{00000000-0005-0000-0000-0000FA180000}"/>
    <cellStyle name="Normal 2 2 10 14 5 2" xfId="6441" xr:uid="{00000000-0005-0000-0000-0000FB180000}"/>
    <cellStyle name="Normal 2 2 10 14 5 3" xfId="6442" xr:uid="{00000000-0005-0000-0000-0000FC180000}"/>
    <cellStyle name="Normal 2 2 10 14 5 4" xfId="6443" xr:uid="{00000000-0005-0000-0000-0000FD180000}"/>
    <cellStyle name="Normal 2 2 10 14 5 5" xfId="6444" xr:uid="{00000000-0005-0000-0000-0000FE180000}"/>
    <cellStyle name="Normal 2 2 10 14 5 6" xfId="6445" xr:uid="{00000000-0005-0000-0000-0000FF180000}"/>
    <cellStyle name="Normal 2 2 10 14 5 7" xfId="6446" xr:uid="{00000000-0005-0000-0000-000000190000}"/>
    <cellStyle name="Normal 2 2 10 14 5 8" xfId="6447" xr:uid="{00000000-0005-0000-0000-000001190000}"/>
    <cellStyle name="Normal 2 2 10 14 5 9" xfId="6448" xr:uid="{00000000-0005-0000-0000-000002190000}"/>
    <cellStyle name="Normal 2 2 10 14 6" xfId="6449" xr:uid="{00000000-0005-0000-0000-000003190000}"/>
    <cellStyle name="Normal 2 2 10 14 7" xfId="6450" xr:uid="{00000000-0005-0000-0000-000004190000}"/>
    <cellStyle name="Normal 2 2 10 14 8" xfId="6451" xr:uid="{00000000-0005-0000-0000-000005190000}"/>
    <cellStyle name="Normal 2 2 10 14 9" xfId="6452" xr:uid="{00000000-0005-0000-0000-000006190000}"/>
    <cellStyle name="Normal 2 2 10 15" xfId="6453" xr:uid="{00000000-0005-0000-0000-000007190000}"/>
    <cellStyle name="Normal 2 2 10 15 10" xfId="6454" xr:uid="{00000000-0005-0000-0000-000008190000}"/>
    <cellStyle name="Normal 2 2 10 15 11" xfId="6455" xr:uid="{00000000-0005-0000-0000-000009190000}"/>
    <cellStyle name="Normal 2 2 10 15 12" xfId="6456" xr:uid="{00000000-0005-0000-0000-00000A190000}"/>
    <cellStyle name="Normal 2 2 10 15 13" xfId="6457" xr:uid="{00000000-0005-0000-0000-00000B190000}"/>
    <cellStyle name="Normal 2 2 10 15 14" xfId="6458" xr:uid="{00000000-0005-0000-0000-00000C190000}"/>
    <cellStyle name="Normal 2 2 10 15 2" xfId="6459" xr:uid="{00000000-0005-0000-0000-00000D190000}"/>
    <cellStyle name="Normal 2 2 10 15 2 10" xfId="6460" xr:uid="{00000000-0005-0000-0000-00000E190000}"/>
    <cellStyle name="Normal 2 2 10 15 2 2" xfId="6461" xr:uid="{00000000-0005-0000-0000-00000F190000}"/>
    <cellStyle name="Normal 2 2 10 15 2 3" xfId="6462" xr:uid="{00000000-0005-0000-0000-000010190000}"/>
    <cellStyle name="Normal 2 2 10 15 2 4" xfId="6463" xr:uid="{00000000-0005-0000-0000-000011190000}"/>
    <cellStyle name="Normal 2 2 10 15 2 5" xfId="6464" xr:uid="{00000000-0005-0000-0000-000012190000}"/>
    <cellStyle name="Normal 2 2 10 15 2 6" xfId="6465" xr:uid="{00000000-0005-0000-0000-000013190000}"/>
    <cellStyle name="Normal 2 2 10 15 2 7" xfId="6466" xr:uid="{00000000-0005-0000-0000-000014190000}"/>
    <cellStyle name="Normal 2 2 10 15 2 8" xfId="6467" xr:uid="{00000000-0005-0000-0000-000015190000}"/>
    <cellStyle name="Normal 2 2 10 15 2 9" xfId="6468" xr:uid="{00000000-0005-0000-0000-000016190000}"/>
    <cellStyle name="Normal 2 2 10 15 3" xfId="6469" xr:uid="{00000000-0005-0000-0000-000017190000}"/>
    <cellStyle name="Normal 2 2 10 15 3 10" xfId="6470" xr:uid="{00000000-0005-0000-0000-000018190000}"/>
    <cellStyle name="Normal 2 2 10 15 3 2" xfId="6471" xr:uid="{00000000-0005-0000-0000-000019190000}"/>
    <cellStyle name="Normal 2 2 10 15 3 3" xfId="6472" xr:uid="{00000000-0005-0000-0000-00001A190000}"/>
    <cellStyle name="Normal 2 2 10 15 3 4" xfId="6473" xr:uid="{00000000-0005-0000-0000-00001B190000}"/>
    <cellStyle name="Normal 2 2 10 15 3 5" xfId="6474" xr:uid="{00000000-0005-0000-0000-00001C190000}"/>
    <cellStyle name="Normal 2 2 10 15 3 6" xfId="6475" xr:uid="{00000000-0005-0000-0000-00001D190000}"/>
    <cellStyle name="Normal 2 2 10 15 3 7" xfId="6476" xr:uid="{00000000-0005-0000-0000-00001E190000}"/>
    <cellStyle name="Normal 2 2 10 15 3 8" xfId="6477" xr:uid="{00000000-0005-0000-0000-00001F190000}"/>
    <cellStyle name="Normal 2 2 10 15 3 9" xfId="6478" xr:uid="{00000000-0005-0000-0000-000020190000}"/>
    <cellStyle name="Normal 2 2 10 15 4" xfId="6479" xr:uid="{00000000-0005-0000-0000-000021190000}"/>
    <cellStyle name="Normal 2 2 10 15 4 10" xfId="6480" xr:uid="{00000000-0005-0000-0000-000022190000}"/>
    <cellStyle name="Normal 2 2 10 15 4 2" xfId="6481" xr:uid="{00000000-0005-0000-0000-000023190000}"/>
    <cellStyle name="Normal 2 2 10 15 4 3" xfId="6482" xr:uid="{00000000-0005-0000-0000-000024190000}"/>
    <cellStyle name="Normal 2 2 10 15 4 4" xfId="6483" xr:uid="{00000000-0005-0000-0000-000025190000}"/>
    <cellStyle name="Normal 2 2 10 15 4 5" xfId="6484" xr:uid="{00000000-0005-0000-0000-000026190000}"/>
    <cellStyle name="Normal 2 2 10 15 4 6" xfId="6485" xr:uid="{00000000-0005-0000-0000-000027190000}"/>
    <cellStyle name="Normal 2 2 10 15 4 7" xfId="6486" xr:uid="{00000000-0005-0000-0000-000028190000}"/>
    <cellStyle name="Normal 2 2 10 15 4 8" xfId="6487" xr:uid="{00000000-0005-0000-0000-000029190000}"/>
    <cellStyle name="Normal 2 2 10 15 4 9" xfId="6488" xr:uid="{00000000-0005-0000-0000-00002A190000}"/>
    <cellStyle name="Normal 2 2 10 15 5" xfId="6489" xr:uid="{00000000-0005-0000-0000-00002B190000}"/>
    <cellStyle name="Normal 2 2 10 15 5 10" xfId="6490" xr:uid="{00000000-0005-0000-0000-00002C190000}"/>
    <cellStyle name="Normal 2 2 10 15 5 2" xfId="6491" xr:uid="{00000000-0005-0000-0000-00002D190000}"/>
    <cellStyle name="Normal 2 2 10 15 5 3" xfId="6492" xr:uid="{00000000-0005-0000-0000-00002E190000}"/>
    <cellStyle name="Normal 2 2 10 15 5 4" xfId="6493" xr:uid="{00000000-0005-0000-0000-00002F190000}"/>
    <cellStyle name="Normal 2 2 10 15 5 5" xfId="6494" xr:uid="{00000000-0005-0000-0000-000030190000}"/>
    <cellStyle name="Normal 2 2 10 15 5 6" xfId="6495" xr:uid="{00000000-0005-0000-0000-000031190000}"/>
    <cellStyle name="Normal 2 2 10 15 5 7" xfId="6496" xr:uid="{00000000-0005-0000-0000-000032190000}"/>
    <cellStyle name="Normal 2 2 10 15 5 8" xfId="6497" xr:uid="{00000000-0005-0000-0000-000033190000}"/>
    <cellStyle name="Normal 2 2 10 15 5 9" xfId="6498" xr:uid="{00000000-0005-0000-0000-000034190000}"/>
    <cellStyle name="Normal 2 2 10 15 6" xfId="6499" xr:uid="{00000000-0005-0000-0000-000035190000}"/>
    <cellStyle name="Normal 2 2 10 15 7" xfId="6500" xr:uid="{00000000-0005-0000-0000-000036190000}"/>
    <cellStyle name="Normal 2 2 10 15 8" xfId="6501" xr:uid="{00000000-0005-0000-0000-000037190000}"/>
    <cellStyle name="Normal 2 2 10 15 9" xfId="6502" xr:uid="{00000000-0005-0000-0000-000038190000}"/>
    <cellStyle name="Normal 2 2 10 16" xfId="6503" xr:uid="{00000000-0005-0000-0000-000039190000}"/>
    <cellStyle name="Normal 2 2 10 16 10" xfId="6504" xr:uid="{00000000-0005-0000-0000-00003A190000}"/>
    <cellStyle name="Normal 2 2 10 16 11" xfId="6505" xr:uid="{00000000-0005-0000-0000-00003B190000}"/>
    <cellStyle name="Normal 2 2 10 16 12" xfId="6506" xr:uid="{00000000-0005-0000-0000-00003C190000}"/>
    <cellStyle name="Normal 2 2 10 16 13" xfId="6507" xr:uid="{00000000-0005-0000-0000-00003D190000}"/>
    <cellStyle name="Normal 2 2 10 16 14" xfId="6508" xr:uid="{00000000-0005-0000-0000-00003E190000}"/>
    <cellStyle name="Normal 2 2 10 16 2" xfId="6509" xr:uid="{00000000-0005-0000-0000-00003F190000}"/>
    <cellStyle name="Normal 2 2 10 16 2 10" xfId="6510" xr:uid="{00000000-0005-0000-0000-000040190000}"/>
    <cellStyle name="Normal 2 2 10 16 2 2" xfId="6511" xr:uid="{00000000-0005-0000-0000-000041190000}"/>
    <cellStyle name="Normal 2 2 10 16 2 3" xfId="6512" xr:uid="{00000000-0005-0000-0000-000042190000}"/>
    <cellStyle name="Normal 2 2 10 16 2 4" xfId="6513" xr:uid="{00000000-0005-0000-0000-000043190000}"/>
    <cellStyle name="Normal 2 2 10 16 2 5" xfId="6514" xr:uid="{00000000-0005-0000-0000-000044190000}"/>
    <cellStyle name="Normal 2 2 10 16 2 6" xfId="6515" xr:uid="{00000000-0005-0000-0000-000045190000}"/>
    <cellStyle name="Normal 2 2 10 16 2 7" xfId="6516" xr:uid="{00000000-0005-0000-0000-000046190000}"/>
    <cellStyle name="Normal 2 2 10 16 2 8" xfId="6517" xr:uid="{00000000-0005-0000-0000-000047190000}"/>
    <cellStyle name="Normal 2 2 10 16 2 9" xfId="6518" xr:uid="{00000000-0005-0000-0000-000048190000}"/>
    <cellStyle name="Normal 2 2 10 16 3" xfId="6519" xr:uid="{00000000-0005-0000-0000-000049190000}"/>
    <cellStyle name="Normal 2 2 10 16 3 10" xfId="6520" xr:uid="{00000000-0005-0000-0000-00004A190000}"/>
    <cellStyle name="Normal 2 2 10 16 3 2" xfId="6521" xr:uid="{00000000-0005-0000-0000-00004B190000}"/>
    <cellStyle name="Normal 2 2 10 16 3 3" xfId="6522" xr:uid="{00000000-0005-0000-0000-00004C190000}"/>
    <cellStyle name="Normal 2 2 10 16 3 4" xfId="6523" xr:uid="{00000000-0005-0000-0000-00004D190000}"/>
    <cellStyle name="Normal 2 2 10 16 3 5" xfId="6524" xr:uid="{00000000-0005-0000-0000-00004E190000}"/>
    <cellStyle name="Normal 2 2 10 16 3 6" xfId="6525" xr:uid="{00000000-0005-0000-0000-00004F190000}"/>
    <cellStyle name="Normal 2 2 10 16 3 7" xfId="6526" xr:uid="{00000000-0005-0000-0000-000050190000}"/>
    <cellStyle name="Normal 2 2 10 16 3 8" xfId="6527" xr:uid="{00000000-0005-0000-0000-000051190000}"/>
    <cellStyle name="Normal 2 2 10 16 3 9" xfId="6528" xr:uid="{00000000-0005-0000-0000-000052190000}"/>
    <cellStyle name="Normal 2 2 10 16 4" xfId="6529" xr:uid="{00000000-0005-0000-0000-000053190000}"/>
    <cellStyle name="Normal 2 2 10 16 4 10" xfId="6530" xr:uid="{00000000-0005-0000-0000-000054190000}"/>
    <cellStyle name="Normal 2 2 10 16 4 2" xfId="6531" xr:uid="{00000000-0005-0000-0000-000055190000}"/>
    <cellStyle name="Normal 2 2 10 16 4 3" xfId="6532" xr:uid="{00000000-0005-0000-0000-000056190000}"/>
    <cellStyle name="Normal 2 2 10 16 4 4" xfId="6533" xr:uid="{00000000-0005-0000-0000-000057190000}"/>
    <cellStyle name="Normal 2 2 10 16 4 5" xfId="6534" xr:uid="{00000000-0005-0000-0000-000058190000}"/>
    <cellStyle name="Normal 2 2 10 16 4 6" xfId="6535" xr:uid="{00000000-0005-0000-0000-000059190000}"/>
    <cellStyle name="Normal 2 2 10 16 4 7" xfId="6536" xr:uid="{00000000-0005-0000-0000-00005A190000}"/>
    <cellStyle name="Normal 2 2 10 16 4 8" xfId="6537" xr:uid="{00000000-0005-0000-0000-00005B190000}"/>
    <cellStyle name="Normal 2 2 10 16 4 9" xfId="6538" xr:uid="{00000000-0005-0000-0000-00005C190000}"/>
    <cellStyle name="Normal 2 2 10 16 5" xfId="6539" xr:uid="{00000000-0005-0000-0000-00005D190000}"/>
    <cellStyle name="Normal 2 2 10 16 5 10" xfId="6540" xr:uid="{00000000-0005-0000-0000-00005E190000}"/>
    <cellStyle name="Normal 2 2 10 16 5 2" xfId="6541" xr:uid="{00000000-0005-0000-0000-00005F190000}"/>
    <cellStyle name="Normal 2 2 10 16 5 3" xfId="6542" xr:uid="{00000000-0005-0000-0000-000060190000}"/>
    <cellStyle name="Normal 2 2 10 16 5 4" xfId="6543" xr:uid="{00000000-0005-0000-0000-000061190000}"/>
    <cellStyle name="Normal 2 2 10 16 5 5" xfId="6544" xr:uid="{00000000-0005-0000-0000-000062190000}"/>
    <cellStyle name="Normal 2 2 10 16 5 6" xfId="6545" xr:uid="{00000000-0005-0000-0000-000063190000}"/>
    <cellStyle name="Normal 2 2 10 16 5 7" xfId="6546" xr:uid="{00000000-0005-0000-0000-000064190000}"/>
    <cellStyle name="Normal 2 2 10 16 5 8" xfId="6547" xr:uid="{00000000-0005-0000-0000-000065190000}"/>
    <cellStyle name="Normal 2 2 10 16 5 9" xfId="6548" xr:uid="{00000000-0005-0000-0000-000066190000}"/>
    <cellStyle name="Normal 2 2 10 16 6" xfId="6549" xr:uid="{00000000-0005-0000-0000-000067190000}"/>
    <cellStyle name="Normal 2 2 10 16 7" xfId="6550" xr:uid="{00000000-0005-0000-0000-000068190000}"/>
    <cellStyle name="Normal 2 2 10 16 8" xfId="6551" xr:uid="{00000000-0005-0000-0000-000069190000}"/>
    <cellStyle name="Normal 2 2 10 16 9" xfId="6552" xr:uid="{00000000-0005-0000-0000-00006A190000}"/>
    <cellStyle name="Normal 2 2 10 17" xfId="6553" xr:uid="{00000000-0005-0000-0000-00006B190000}"/>
    <cellStyle name="Normal 2 2 10 17 10" xfId="6554" xr:uid="{00000000-0005-0000-0000-00006C190000}"/>
    <cellStyle name="Normal 2 2 10 17 11" xfId="6555" xr:uid="{00000000-0005-0000-0000-00006D190000}"/>
    <cellStyle name="Normal 2 2 10 17 12" xfId="6556" xr:uid="{00000000-0005-0000-0000-00006E190000}"/>
    <cellStyle name="Normal 2 2 10 17 13" xfId="6557" xr:uid="{00000000-0005-0000-0000-00006F190000}"/>
    <cellStyle name="Normal 2 2 10 17 14" xfId="6558" xr:uid="{00000000-0005-0000-0000-000070190000}"/>
    <cellStyle name="Normal 2 2 10 17 2" xfId="6559" xr:uid="{00000000-0005-0000-0000-000071190000}"/>
    <cellStyle name="Normal 2 2 10 17 2 10" xfId="6560" xr:uid="{00000000-0005-0000-0000-000072190000}"/>
    <cellStyle name="Normal 2 2 10 17 2 2" xfId="6561" xr:uid="{00000000-0005-0000-0000-000073190000}"/>
    <cellStyle name="Normal 2 2 10 17 2 3" xfId="6562" xr:uid="{00000000-0005-0000-0000-000074190000}"/>
    <cellStyle name="Normal 2 2 10 17 2 4" xfId="6563" xr:uid="{00000000-0005-0000-0000-000075190000}"/>
    <cellStyle name="Normal 2 2 10 17 2 5" xfId="6564" xr:uid="{00000000-0005-0000-0000-000076190000}"/>
    <cellStyle name="Normal 2 2 10 17 2 6" xfId="6565" xr:uid="{00000000-0005-0000-0000-000077190000}"/>
    <cellStyle name="Normal 2 2 10 17 2 7" xfId="6566" xr:uid="{00000000-0005-0000-0000-000078190000}"/>
    <cellStyle name="Normal 2 2 10 17 2 8" xfId="6567" xr:uid="{00000000-0005-0000-0000-000079190000}"/>
    <cellStyle name="Normal 2 2 10 17 2 9" xfId="6568" xr:uid="{00000000-0005-0000-0000-00007A190000}"/>
    <cellStyle name="Normal 2 2 10 17 3" xfId="6569" xr:uid="{00000000-0005-0000-0000-00007B190000}"/>
    <cellStyle name="Normal 2 2 10 17 3 10" xfId="6570" xr:uid="{00000000-0005-0000-0000-00007C190000}"/>
    <cellStyle name="Normal 2 2 10 17 3 2" xfId="6571" xr:uid="{00000000-0005-0000-0000-00007D190000}"/>
    <cellStyle name="Normal 2 2 10 17 3 3" xfId="6572" xr:uid="{00000000-0005-0000-0000-00007E190000}"/>
    <cellStyle name="Normal 2 2 10 17 3 4" xfId="6573" xr:uid="{00000000-0005-0000-0000-00007F190000}"/>
    <cellStyle name="Normal 2 2 10 17 3 5" xfId="6574" xr:uid="{00000000-0005-0000-0000-000080190000}"/>
    <cellStyle name="Normal 2 2 10 17 3 6" xfId="6575" xr:uid="{00000000-0005-0000-0000-000081190000}"/>
    <cellStyle name="Normal 2 2 10 17 3 7" xfId="6576" xr:uid="{00000000-0005-0000-0000-000082190000}"/>
    <cellStyle name="Normal 2 2 10 17 3 8" xfId="6577" xr:uid="{00000000-0005-0000-0000-000083190000}"/>
    <cellStyle name="Normal 2 2 10 17 3 9" xfId="6578" xr:uid="{00000000-0005-0000-0000-000084190000}"/>
    <cellStyle name="Normal 2 2 10 17 4" xfId="6579" xr:uid="{00000000-0005-0000-0000-000085190000}"/>
    <cellStyle name="Normal 2 2 10 17 4 10" xfId="6580" xr:uid="{00000000-0005-0000-0000-000086190000}"/>
    <cellStyle name="Normal 2 2 10 17 4 2" xfId="6581" xr:uid="{00000000-0005-0000-0000-000087190000}"/>
    <cellStyle name="Normal 2 2 10 17 4 3" xfId="6582" xr:uid="{00000000-0005-0000-0000-000088190000}"/>
    <cellStyle name="Normal 2 2 10 17 4 4" xfId="6583" xr:uid="{00000000-0005-0000-0000-000089190000}"/>
    <cellStyle name="Normal 2 2 10 17 4 5" xfId="6584" xr:uid="{00000000-0005-0000-0000-00008A190000}"/>
    <cellStyle name="Normal 2 2 10 17 4 6" xfId="6585" xr:uid="{00000000-0005-0000-0000-00008B190000}"/>
    <cellStyle name="Normal 2 2 10 17 4 7" xfId="6586" xr:uid="{00000000-0005-0000-0000-00008C190000}"/>
    <cellStyle name="Normal 2 2 10 17 4 8" xfId="6587" xr:uid="{00000000-0005-0000-0000-00008D190000}"/>
    <cellStyle name="Normal 2 2 10 17 4 9" xfId="6588" xr:uid="{00000000-0005-0000-0000-00008E190000}"/>
    <cellStyle name="Normal 2 2 10 17 5" xfId="6589" xr:uid="{00000000-0005-0000-0000-00008F190000}"/>
    <cellStyle name="Normal 2 2 10 17 5 10" xfId="6590" xr:uid="{00000000-0005-0000-0000-000090190000}"/>
    <cellStyle name="Normal 2 2 10 17 5 2" xfId="6591" xr:uid="{00000000-0005-0000-0000-000091190000}"/>
    <cellStyle name="Normal 2 2 10 17 5 3" xfId="6592" xr:uid="{00000000-0005-0000-0000-000092190000}"/>
    <cellStyle name="Normal 2 2 10 17 5 4" xfId="6593" xr:uid="{00000000-0005-0000-0000-000093190000}"/>
    <cellStyle name="Normal 2 2 10 17 5 5" xfId="6594" xr:uid="{00000000-0005-0000-0000-000094190000}"/>
    <cellStyle name="Normal 2 2 10 17 5 6" xfId="6595" xr:uid="{00000000-0005-0000-0000-000095190000}"/>
    <cellStyle name="Normal 2 2 10 17 5 7" xfId="6596" xr:uid="{00000000-0005-0000-0000-000096190000}"/>
    <cellStyle name="Normal 2 2 10 17 5 8" xfId="6597" xr:uid="{00000000-0005-0000-0000-000097190000}"/>
    <cellStyle name="Normal 2 2 10 17 5 9" xfId="6598" xr:uid="{00000000-0005-0000-0000-000098190000}"/>
    <cellStyle name="Normal 2 2 10 17 6" xfId="6599" xr:uid="{00000000-0005-0000-0000-000099190000}"/>
    <cellStyle name="Normal 2 2 10 17 7" xfId="6600" xr:uid="{00000000-0005-0000-0000-00009A190000}"/>
    <cellStyle name="Normal 2 2 10 17 8" xfId="6601" xr:uid="{00000000-0005-0000-0000-00009B190000}"/>
    <cellStyle name="Normal 2 2 10 17 9" xfId="6602" xr:uid="{00000000-0005-0000-0000-00009C190000}"/>
    <cellStyle name="Normal 2 2 10 18" xfId="6603" xr:uid="{00000000-0005-0000-0000-00009D190000}"/>
    <cellStyle name="Normal 2 2 10 18 10" xfId="6604" xr:uid="{00000000-0005-0000-0000-00009E190000}"/>
    <cellStyle name="Normal 2 2 10 18 11" xfId="6605" xr:uid="{00000000-0005-0000-0000-00009F190000}"/>
    <cellStyle name="Normal 2 2 10 18 12" xfId="6606" xr:uid="{00000000-0005-0000-0000-0000A0190000}"/>
    <cellStyle name="Normal 2 2 10 18 13" xfId="6607" xr:uid="{00000000-0005-0000-0000-0000A1190000}"/>
    <cellStyle name="Normal 2 2 10 18 14" xfId="6608" xr:uid="{00000000-0005-0000-0000-0000A2190000}"/>
    <cellStyle name="Normal 2 2 10 18 2" xfId="6609" xr:uid="{00000000-0005-0000-0000-0000A3190000}"/>
    <cellStyle name="Normal 2 2 10 18 2 10" xfId="6610" xr:uid="{00000000-0005-0000-0000-0000A4190000}"/>
    <cellStyle name="Normal 2 2 10 18 2 2" xfId="6611" xr:uid="{00000000-0005-0000-0000-0000A5190000}"/>
    <cellStyle name="Normal 2 2 10 18 2 3" xfId="6612" xr:uid="{00000000-0005-0000-0000-0000A6190000}"/>
    <cellStyle name="Normal 2 2 10 18 2 4" xfId="6613" xr:uid="{00000000-0005-0000-0000-0000A7190000}"/>
    <cellStyle name="Normal 2 2 10 18 2 5" xfId="6614" xr:uid="{00000000-0005-0000-0000-0000A8190000}"/>
    <cellStyle name="Normal 2 2 10 18 2 6" xfId="6615" xr:uid="{00000000-0005-0000-0000-0000A9190000}"/>
    <cellStyle name="Normal 2 2 10 18 2 7" xfId="6616" xr:uid="{00000000-0005-0000-0000-0000AA190000}"/>
    <cellStyle name="Normal 2 2 10 18 2 8" xfId="6617" xr:uid="{00000000-0005-0000-0000-0000AB190000}"/>
    <cellStyle name="Normal 2 2 10 18 2 9" xfId="6618" xr:uid="{00000000-0005-0000-0000-0000AC190000}"/>
    <cellStyle name="Normal 2 2 10 18 3" xfId="6619" xr:uid="{00000000-0005-0000-0000-0000AD190000}"/>
    <cellStyle name="Normal 2 2 10 18 3 10" xfId="6620" xr:uid="{00000000-0005-0000-0000-0000AE190000}"/>
    <cellStyle name="Normal 2 2 10 18 3 2" xfId="6621" xr:uid="{00000000-0005-0000-0000-0000AF190000}"/>
    <cellStyle name="Normal 2 2 10 18 3 3" xfId="6622" xr:uid="{00000000-0005-0000-0000-0000B0190000}"/>
    <cellStyle name="Normal 2 2 10 18 3 4" xfId="6623" xr:uid="{00000000-0005-0000-0000-0000B1190000}"/>
    <cellStyle name="Normal 2 2 10 18 3 5" xfId="6624" xr:uid="{00000000-0005-0000-0000-0000B2190000}"/>
    <cellStyle name="Normal 2 2 10 18 3 6" xfId="6625" xr:uid="{00000000-0005-0000-0000-0000B3190000}"/>
    <cellStyle name="Normal 2 2 10 18 3 7" xfId="6626" xr:uid="{00000000-0005-0000-0000-0000B4190000}"/>
    <cellStyle name="Normal 2 2 10 18 3 8" xfId="6627" xr:uid="{00000000-0005-0000-0000-0000B5190000}"/>
    <cellStyle name="Normal 2 2 10 18 3 9" xfId="6628" xr:uid="{00000000-0005-0000-0000-0000B6190000}"/>
    <cellStyle name="Normal 2 2 10 18 4" xfId="6629" xr:uid="{00000000-0005-0000-0000-0000B7190000}"/>
    <cellStyle name="Normal 2 2 10 18 4 10" xfId="6630" xr:uid="{00000000-0005-0000-0000-0000B8190000}"/>
    <cellStyle name="Normal 2 2 10 18 4 2" xfId="6631" xr:uid="{00000000-0005-0000-0000-0000B9190000}"/>
    <cellStyle name="Normal 2 2 10 18 4 3" xfId="6632" xr:uid="{00000000-0005-0000-0000-0000BA190000}"/>
    <cellStyle name="Normal 2 2 10 18 4 4" xfId="6633" xr:uid="{00000000-0005-0000-0000-0000BB190000}"/>
    <cellStyle name="Normal 2 2 10 18 4 5" xfId="6634" xr:uid="{00000000-0005-0000-0000-0000BC190000}"/>
    <cellStyle name="Normal 2 2 10 18 4 6" xfId="6635" xr:uid="{00000000-0005-0000-0000-0000BD190000}"/>
    <cellStyle name="Normal 2 2 10 18 4 7" xfId="6636" xr:uid="{00000000-0005-0000-0000-0000BE190000}"/>
    <cellStyle name="Normal 2 2 10 18 4 8" xfId="6637" xr:uid="{00000000-0005-0000-0000-0000BF190000}"/>
    <cellStyle name="Normal 2 2 10 18 4 9" xfId="6638" xr:uid="{00000000-0005-0000-0000-0000C0190000}"/>
    <cellStyle name="Normal 2 2 10 18 5" xfId="6639" xr:uid="{00000000-0005-0000-0000-0000C1190000}"/>
    <cellStyle name="Normal 2 2 10 18 5 10" xfId="6640" xr:uid="{00000000-0005-0000-0000-0000C2190000}"/>
    <cellStyle name="Normal 2 2 10 18 5 2" xfId="6641" xr:uid="{00000000-0005-0000-0000-0000C3190000}"/>
    <cellStyle name="Normal 2 2 10 18 5 3" xfId="6642" xr:uid="{00000000-0005-0000-0000-0000C4190000}"/>
    <cellStyle name="Normal 2 2 10 18 5 4" xfId="6643" xr:uid="{00000000-0005-0000-0000-0000C5190000}"/>
    <cellStyle name="Normal 2 2 10 18 5 5" xfId="6644" xr:uid="{00000000-0005-0000-0000-0000C6190000}"/>
    <cellStyle name="Normal 2 2 10 18 5 6" xfId="6645" xr:uid="{00000000-0005-0000-0000-0000C7190000}"/>
    <cellStyle name="Normal 2 2 10 18 5 7" xfId="6646" xr:uid="{00000000-0005-0000-0000-0000C8190000}"/>
    <cellStyle name="Normal 2 2 10 18 5 8" xfId="6647" xr:uid="{00000000-0005-0000-0000-0000C9190000}"/>
    <cellStyle name="Normal 2 2 10 18 5 9" xfId="6648" xr:uid="{00000000-0005-0000-0000-0000CA190000}"/>
    <cellStyle name="Normal 2 2 10 18 6" xfId="6649" xr:uid="{00000000-0005-0000-0000-0000CB190000}"/>
    <cellStyle name="Normal 2 2 10 18 7" xfId="6650" xr:uid="{00000000-0005-0000-0000-0000CC190000}"/>
    <cellStyle name="Normal 2 2 10 18 8" xfId="6651" xr:uid="{00000000-0005-0000-0000-0000CD190000}"/>
    <cellStyle name="Normal 2 2 10 18 9" xfId="6652" xr:uid="{00000000-0005-0000-0000-0000CE190000}"/>
    <cellStyle name="Normal 2 2 10 19" xfId="6653" xr:uid="{00000000-0005-0000-0000-0000CF190000}"/>
    <cellStyle name="Normal 2 2 10 19 10" xfId="6654" xr:uid="{00000000-0005-0000-0000-0000D0190000}"/>
    <cellStyle name="Normal 2 2 10 19 11" xfId="6655" xr:uid="{00000000-0005-0000-0000-0000D1190000}"/>
    <cellStyle name="Normal 2 2 10 19 12" xfId="6656" xr:uid="{00000000-0005-0000-0000-0000D2190000}"/>
    <cellStyle name="Normal 2 2 10 19 13" xfId="6657" xr:uid="{00000000-0005-0000-0000-0000D3190000}"/>
    <cellStyle name="Normal 2 2 10 19 14" xfId="6658" xr:uid="{00000000-0005-0000-0000-0000D4190000}"/>
    <cellStyle name="Normal 2 2 10 19 2" xfId="6659" xr:uid="{00000000-0005-0000-0000-0000D5190000}"/>
    <cellStyle name="Normal 2 2 10 19 2 10" xfId="6660" xr:uid="{00000000-0005-0000-0000-0000D6190000}"/>
    <cellStyle name="Normal 2 2 10 19 2 2" xfId="6661" xr:uid="{00000000-0005-0000-0000-0000D7190000}"/>
    <cellStyle name="Normal 2 2 10 19 2 3" xfId="6662" xr:uid="{00000000-0005-0000-0000-0000D8190000}"/>
    <cellStyle name="Normal 2 2 10 19 2 4" xfId="6663" xr:uid="{00000000-0005-0000-0000-0000D9190000}"/>
    <cellStyle name="Normal 2 2 10 19 2 5" xfId="6664" xr:uid="{00000000-0005-0000-0000-0000DA190000}"/>
    <cellStyle name="Normal 2 2 10 19 2 6" xfId="6665" xr:uid="{00000000-0005-0000-0000-0000DB190000}"/>
    <cellStyle name="Normal 2 2 10 19 2 7" xfId="6666" xr:uid="{00000000-0005-0000-0000-0000DC190000}"/>
    <cellStyle name="Normal 2 2 10 19 2 8" xfId="6667" xr:uid="{00000000-0005-0000-0000-0000DD190000}"/>
    <cellStyle name="Normal 2 2 10 19 2 9" xfId="6668" xr:uid="{00000000-0005-0000-0000-0000DE190000}"/>
    <cellStyle name="Normal 2 2 10 19 3" xfId="6669" xr:uid="{00000000-0005-0000-0000-0000DF190000}"/>
    <cellStyle name="Normal 2 2 10 19 3 10" xfId="6670" xr:uid="{00000000-0005-0000-0000-0000E0190000}"/>
    <cellStyle name="Normal 2 2 10 19 3 2" xfId="6671" xr:uid="{00000000-0005-0000-0000-0000E1190000}"/>
    <cellStyle name="Normal 2 2 10 19 3 3" xfId="6672" xr:uid="{00000000-0005-0000-0000-0000E2190000}"/>
    <cellStyle name="Normal 2 2 10 19 3 4" xfId="6673" xr:uid="{00000000-0005-0000-0000-0000E3190000}"/>
    <cellStyle name="Normal 2 2 10 19 3 5" xfId="6674" xr:uid="{00000000-0005-0000-0000-0000E4190000}"/>
    <cellStyle name="Normal 2 2 10 19 3 6" xfId="6675" xr:uid="{00000000-0005-0000-0000-0000E5190000}"/>
    <cellStyle name="Normal 2 2 10 19 3 7" xfId="6676" xr:uid="{00000000-0005-0000-0000-0000E6190000}"/>
    <cellStyle name="Normal 2 2 10 19 3 8" xfId="6677" xr:uid="{00000000-0005-0000-0000-0000E7190000}"/>
    <cellStyle name="Normal 2 2 10 19 3 9" xfId="6678" xr:uid="{00000000-0005-0000-0000-0000E8190000}"/>
    <cellStyle name="Normal 2 2 10 19 4" xfId="6679" xr:uid="{00000000-0005-0000-0000-0000E9190000}"/>
    <cellStyle name="Normal 2 2 10 19 4 10" xfId="6680" xr:uid="{00000000-0005-0000-0000-0000EA190000}"/>
    <cellStyle name="Normal 2 2 10 19 4 2" xfId="6681" xr:uid="{00000000-0005-0000-0000-0000EB190000}"/>
    <cellStyle name="Normal 2 2 10 19 4 3" xfId="6682" xr:uid="{00000000-0005-0000-0000-0000EC190000}"/>
    <cellStyle name="Normal 2 2 10 19 4 4" xfId="6683" xr:uid="{00000000-0005-0000-0000-0000ED190000}"/>
    <cellStyle name="Normal 2 2 10 19 4 5" xfId="6684" xr:uid="{00000000-0005-0000-0000-0000EE190000}"/>
    <cellStyle name="Normal 2 2 10 19 4 6" xfId="6685" xr:uid="{00000000-0005-0000-0000-0000EF190000}"/>
    <cellStyle name="Normal 2 2 10 19 4 7" xfId="6686" xr:uid="{00000000-0005-0000-0000-0000F0190000}"/>
    <cellStyle name="Normal 2 2 10 19 4 8" xfId="6687" xr:uid="{00000000-0005-0000-0000-0000F1190000}"/>
    <cellStyle name="Normal 2 2 10 19 4 9" xfId="6688" xr:uid="{00000000-0005-0000-0000-0000F2190000}"/>
    <cellStyle name="Normal 2 2 10 19 5" xfId="6689" xr:uid="{00000000-0005-0000-0000-0000F3190000}"/>
    <cellStyle name="Normal 2 2 10 19 5 10" xfId="6690" xr:uid="{00000000-0005-0000-0000-0000F4190000}"/>
    <cellStyle name="Normal 2 2 10 19 5 2" xfId="6691" xr:uid="{00000000-0005-0000-0000-0000F5190000}"/>
    <cellStyle name="Normal 2 2 10 19 5 3" xfId="6692" xr:uid="{00000000-0005-0000-0000-0000F6190000}"/>
    <cellStyle name="Normal 2 2 10 19 5 4" xfId="6693" xr:uid="{00000000-0005-0000-0000-0000F7190000}"/>
    <cellStyle name="Normal 2 2 10 19 5 5" xfId="6694" xr:uid="{00000000-0005-0000-0000-0000F8190000}"/>
    <cellStyle name="Normal 2 2 10 19 5 6" xfId="6695" xr:uid="{00000000-0005-0000-0000-0000F9190000}"/>
    <cellStyle name="Normal 2 2 10 19 5 7" xfId="6696" xr:uid="{00000000-0005-0000-0000-0000FA190000}"/>
    <cellStyle name="Normal 2 2 10 19 5 8" xfId="6697" xr:uid="{00000000-0005-0000-0000-0000FB190000}"/>
    <cellStyle name="Normal 2 2 10 19 5 9" xfId="6698" xr:uid="{00000000-0005-0000-0000-0000FC190000}"/>
    <cellStyle name="Normal 2 2 10 19 6" xfId="6699" xr:uid="{00000000-0005-0000-0000-0000FD190000}"/>
    <cellStyle name="Normal 2 2 10 19 7" xfId="6700" xr:uid="{00000000-0005-0000-0000-0000FE190000}"/>
    <cellStyle name="Normal 2 2 10 19 8" xfId="6701" xr:uid="{00000000-0005-0000-0000-0000FF190000}"/>
    <cellStyle name="Normal 2 2 10 19 9" xfId="6702" xr:uid="{00000000-0005-0000-0000-0000001A0000}"/>
    <cellStyle name="Normal 2 2 10 2" xfId="6703" xr:uid="{00000000-0005-0000-0000-0000011A0000}"/>
    <cellStyle name="Normal 2 2 10 2 10" xfId="6704" xr:uid="{00000000-0005-0000-0000-0000021A0000}"/>
    <cellStyle name="Normal 2 2 10 2 10 10" xfId="6705" xr:uid="{00000000-0005-0000-0000-0000031A0000}"/>
    <cellStyle name="Normal 2 2 10 2 10 11" xfId="6706" xr:uid="{00000000-0005-0000-0000-0000041A0000}"/>
    <cellStyle name="Normal 2 2 10 2 10 12" xfId="6707" xr:uid="{00000000-0005-0000-0000-0000051A0000}"/>
    <cellStyle name="Normal 2 2 10 2 10 13" xfId="6708" xr:uid="{00000000-0005-0000-0000-0000061A0000}"/>
    <cellStyle name="Normal 2 2 10 2 10 14" xfId="6709" xr:uid="{00000000-0005-0000-0000-0000071A0000}"/>
    <cellStyle name="Normal 2 2 10 2 10 2" xfId="6710" xr:uid="{00000000-0005-0000-0000-0000081A0000}"/>
    <cellStyle name="Normal 2 2 10 2 10 2 10" xfId="6711" xr:uid="{00000000-0005-0000-0000-0000091A0000}"/>
    <cellStyle name="Normal 2 2 10 2 10 2 2" xfId="6712" xr:uid="{00000000-0005-0000-0000-00000A1A0000}"/>
    <cellStyle name="Normal 2 2 10 2 10 2 3" xfId="6713" xr:uid="{00000000-0005-0000-0000-00000B1A0000}"/>
    <cellStyle name="Normal 2 2 10 2 10 2 4" xfId="6714" xr:uid="{00000000-0005-0000-0000-00000C1A0000}"/>
    <cellStyle name="Normal 2 2 10 2 10 2 5" xfId="6715" xr:uid="{00000000-0005-0000-0000-00000D1A0000}"/>
    <cellStyle name="Normal 2 2 10 2 10 2 6" xfId="6716" xr:uid="{00000000-0005-0000-0000-00000E1A0000}"/>
    <cellStyle name="Normal 2 2 10 2 10 2 7" xfId="6717" xr:uid="{00000000-0005-0000-0000-00000F1A0000}"/>
    <cellStyle name="Normal 2 2 10 2 10 2 8" xfId="6718" xr:uid="{00000000-0005-0000-0000-0000101A0000}"/>
    <cellStyle name="Normal 2 2 10 2 10 2 9" xfId="6719" xr:uid="{00000000-0005-0000-0000-0000111A0000}"/>
    <cellStyle name="Normal 2 2 10 2 10 3" xfId="6720" xr:uid="{00000000-0005-0000-0000-0000121A0000}"/>
    <cellStyle name="Normal 2 2 10 2 10 3 10" xfId="6721" xr:uid="{00000000-0005-0000-0000-0000131A0000}"/>
    <cellStyle name="Normal 2 2 10 2 10 3 2" xfId="6722" xr:uid="{00000000-0005-0000-0000-0000141A0000}"/>
    <cellStyle name="Normal 2 2 10 2 10 3 3" xfId="6723" xr:uid="{00000000-0005-0000-0000-0000151A0000}"/>
    <cellStyle name="Normal 2 2 10 2 10 3 4" xfId="6724" xr:uid="{00000000-0005-0000-0000-0000161A0000}"/>
    <cellStyle name="Normal 2 2 10 2 10 3 5" xfId="6725" xr:uid="{00000000-0005-0000-0000-0000171A0000}"/>
    <cellStyle name="Normal 2 2 10 2 10 3 6" xfId="6726" xr:uid="{00000000-0005-0000-0000-0000181A0000}"/>
    <cellStyle name="Normal 2 2 10 2 10 3 7" xfId="6727" xr:uid="{00000000-0005-0000-0000-0000191A0000}"/>
    <cellStyle name="Normal 2 2 10 2 10 3 8" xfId="6728" xr:uid="{00000000-0005-0000-0000-00001A1A0000}"/>
    <cellStyle name="Normal 2 2 10 2 10 3 9" xfId="6729" xr:uid="{00000000-0005-0000-0000-00001B1A0000}"/>
    <cellStyle name="Normal 2 2 10 2 10 4" xfId="6730" xr:uid="{00000000-0005-0000-0000-00001C1A0000}"/>
    <cellStyle name="Normal 2 2 10 2 10 4 10" xfId="6731" xr:uid="{00000000-0005-0000-0000-00001D1A0000}"/>
    <cellStyle name="Normal 2 2 10 2 10 4 2" xfId="6732" xr:uid="{00000000-0005-0000-0000-00001E1A0000}"/>
    <cellStyle name="Normal 2 2 10 2 10 4 3" xfId="6733" xr:uid="{00000000-0005-0000-0000-00001F1A0000}"/>
    <cellStyle name="Normal 2 2 10 2 10 4 4" xfId="6734" xr:uid="{00000000-0005-0000-0000-0000201A0000}"/>
    <cellStyle name="Normal 2 2 10 2 10 4 5" xfId="6735" xr:uid="{00000000-0005-0000-0000-0000211A0000}"/>
    <cellStyle name="Normal 2 2 10 2 10 4 6" xfId="6736" xr:uid="{00000000-0005-0000-0000-0000221A0000}"/>
    <cellStyle name="Normal 2 2 10 2 10 4 7" xfId="6737" xr:uid="{00000000-0005-0000-0000-0000231A0000}"/>
    <cellStyle name="Normal 2 2 10 2 10 4 8" xfId="6738" xr:uid="{00000000-0005-0000-0000-0000241A0000}"/>
    <cellStyle name="Normal 2 2 10 2 10 4 9" xfId="6739" xr:uid="{00000000-0005-0000-0000-0000251A0000}"/>
    <cellStyle name="Normal 2 2 10 2 10 5" xfId="6740" xr:uid="{00000000-0005-0000-0000-0000261A0000}"/>
    <cellStyle name="Normal 2 2 10 2 10 5 10" xfId="6741" xr:uid="{00000000-0005-0000-0000-0000271A0000}"/>
    <cellStyle name="Normal 2 2 10 2 10 5 2" xfId="6742" xr:uid="{00000000-0005-0000-0000-0000281A0000}"/>
    <cellStyle name="Normal 2 2 10 2 10 5 3" xfId="6743" xr:uid="{00000000-0005-0000-0000-0000291A0000}"/>
    <cellStyle name="Normal 2 2 10 2 10 5 4" xfId="6744" xr:uid="{00000000-0005-0000-0000-00002A1A0000}"/>
    <cellStyle name="Normal 2 2 10 2 10 5 5" xfId="6745" xr:uid="{00000000-0005-0000-0000-00002B1A0000}"/>
    <cellStyle name="Normal 2 2 10 2 10 5 6" xfId="6746" xr:uid="{00000000-0005-0000-0000-00002C1A0000}"/>
    <cellStyle name="Normal 2 2 10 2 10 5 7" xfId="6747" xr:uid="{00000000-0005-0000-0000-00002D1A0000}"/>
    <cellStyle name="Normal 2 2 10 2 10 5 8" xfId="6748" xr:uid="{00000000-0005-0000-0000-00002E1A0000}"/>
    <cellStyle name="Normal 2 2 10 2 10 5 9" xfId="6749" xr:uid="{00000000-0005-0000-0000-00002F1A0000}"/>
    <cellStyle name="Normal 2 2 10 2 10 6" xfId="6750" xr:uid="{00000000-0005-0000-0000-0000301A0000}"/>
    <cellStyle name="Normal 2 2 10 2 10 7" xfId="6751" xr:uid="{00000000-0005-0000-0000-0000311A0000}"/>
    <cellStyle name="Normal 2 2 10 2 10 8" xfId="6752" xr:uid="{00000000-0005-0000-0000-0000321A0000}"/>
    <cellStyle name="Normal 2 2 10 2 10 9" xfId="6753" xr:uid="{00000000-0005-0000-0000-0000331A0000}"/>
    <cellStyle name="Normal 2 2 10 2 11" xfId="6754" xr:uid="{00000000-0005-0000-0000-0000341A0000}"/>
    <cellStyle name="Normal 2 2 10 2 11 10" xfId="6755" xr:uid="{00000000-0005-0000-0000-0000351A0000}"/>
    <cellStyle name="Normal 2 2 10 2 11 11" xfId="6756" xr:uid="{00000000-0005-0000-0000-0000361A0000}"/>
    <cellStyle name="Normal 2 2 10 2 11 12" xfId="6757" xr:uid="{00000000-0005-0000-0000-0000371A0000}"/>
    <cellStyle name="Normal 2 2 10 2 11 13" xfId="6758" xr:uid="{00000000-0005-0000-0000-0000381A0000}"/>
    <cellStyle name="Normal 2 2 10 2 11 14" xfId="6759" xr:uid="{00000000-0005-0000-0000-0000391A0000}"/>
    <cellStyle name="Normal 2 2 10 2 11 2" xfId="6760" xr:uid="{00000000-0005-0000-0000-00003A1A0000}"/>
    <cellStyle name="Normal 2 2 10 2 11 2 10" xfId="6761" xr:uid="{00000000-0005-0000-0000-00003B1A0000}"/>
    <cellStyle name="Normal 2 2 10 2 11 2 2" xfId="6762" xr:uid="{00000000-0005-0000-0000-00003C1A0000}"/>
    <cellStyle name="Normal 2 2 10 2 11 2 3" xfId="6763" xr:uid="{00000000-0005-0000-0000-00003D1A0000}"/>
    <cellStyle name="Normal 2 2 10 2 11 2 4" xfId="6764" xr:uid="{00000000-0005-0000-0000-00003E1A0000}"/>
    <cellStyle name="Normal 2 2 10 2 11 2 5" xfId="6765" xr:uid="{00000000-0005-0000-0000-00003F1A0000}"/>
    <cellStyle name="Normal 2 2 10 2 11 2 6" xfId="6766" xr:uid="{00000000-0005-0000-0000-0000401A0000}"/>
    <cellStyle name="Normal 2 2 10 2 11 2 7" xfId="6767" xr:uid="{00000000-0005-0000-0000-0000411A0000}"/>
    <cellStyle name="Normal 2 2 10 2 11 2 8" xfId="6768" xr:uid="{00000000-0005-0000-0000-0000421A0000}"/>
    <cellStyle name="Normal 2 2 10 2 11 2 9" xfId="6769" xr:uid="{00000000-0005-0000-0000-0000431A0000}"/>
    <cellStyle name="Normal 2 2 10 2 11 3" xfId="6770" xr:uid="{00000000-0005-0000-0000-0000441A0000}"/>
    <cellStyle name="Normal 2 2 10 2 11 3 10" xfId="6771" xr:uid="{00000000-0005-0000-0000-0000451A0000}"/>
    <cellStyle name="Normal 2 2 10 2 11 3 2" xfId="6772" xr:uid="{00000000-0005-0000-0000-0000461A0000}"/>
    <cellStyle name="Normal 2 2 10 2 11 3 3" xfId="6773" xr:uid="{00000000-0005-0000-0000-0000471A0000}"/>
    <cellStyle name="Normal 2 2 10 2 11 3 4" xfId="6774" xr:uid="{00000000-0005-0000-0000-0000481A0000}"/>
    <cellStyle name="Normal 2 2 10 2 11 3 5" xfId="6775" xr:uid="{00000000-0005-0000-0000-0000491A0000}"/>
    <cellStyle name="Normal 2 2 10 2 11 3 6" xfId="6776" xr:uid="{00000000-0005-0000-0000-00004A1A0000}"/>
    <cellStyle name="Normal 2 2 10 2 11 3 7" xfId="6777" xr:uid="{00000000-0005-0000-0000-00004B1A0000}"/>
    <cellStyle name="Normal 2 2 10 2 11 3 8" xfId="6778" xr:uid="{00000000-0005-0000-0000-00004C1A0000}"/>
    <cellStyle name="Normal 2 2 10 2 11 3 9" xfId="6779" xr:uid="{00000000-0005-0000-0000-00004D1A0000}"/>
    <cellStyle name="Normal 2 2 10 2 11 4" xfId="6780" xr:uid="{00000000-0005-0000-0000-00004E1A0000}"/>
    <cellStyle name="Normal 2 2 10 2 11 4 10" xfId="6781" xr:uid="{00000000-0005-0000-0000-00004F1A0000}"/>
    <cellStyle name="Normal 2 2 10 2 11 4 2" xfId="6782" xr:uid="{00000000-0005-0000-0000-0000501A0000}"/>
    <cellStyle name="Normal 2 2 10 2 11 4 3" xfId="6783" xr:uid="{00000000-0005-0000-0000-0000511A0000}"/>
    <cellStyle name="Normal 2 2 10 2 11 4 4" xfId="6784" xr:uid="{00000000-0005-0000-0000-0000521A0000}"/>
    <cellStyle name="Normal 2 2 10 2 11 4 5" xfId="6785" xr:uid="{00000000-0005-0000-0000-0000531A0000}"/>
    <cellStyle name="Normal 2 2 10 2 11 4 6" xfId="6786" xr:uid="{00000000-0005-0000-0000-0000541A0000}"/>
    <cellStyle name="Normal 2 2 10 2 11 4 7" xfId="6787" xr:uid="{00000000-0005-0000-0000-0000551A0000}"/>
    <cellStyle name="Normal 2 2 10 2 11 4 8" xfId="6788" xr:uid="{00000000-0005-0000-0000-0000561A0000}"/>
    <cellStyle name="Normal 2 2 10 2 11 4 9" xfId="6789" xr:uid="{00000000-0005-0000-0000-0000571A0000}"/>
    <cellStyle name="Normal 2 2 10 2 11 5" xfId="6790" xr:uid="{00000000-0005-0000-0000-0000581A0000}"/>
    <cellStyle name="Normal 2 2 10 2 11 5 10" xfId="6791" xr:uid="{00000000-0005-0000-0000-0000591A0000}"/>
    <cellStyle name="Normal 2 2 10 2 11 5 2" xfId="6792" xr:uid="{00000000-0005-0000-0000-00005A1A0000}"/>
    <cellStyle name="Normal 2 2 10 2 11 5 3" xfId="6793" xr:uid="{00000000-0005-0000-0000-00005B1A0000}"/>
    <cellStyle name="Normal 2 2 10 2 11 5 4" xfId="6794" xr:uid="{00000000-0005-0000-0000-00005C1A0000}"/>
    <cellStyle name="Normal 2 2 10 2 11 5 5" xfId="6795" xr:uid="{00000000-0005-0000-0000-00005D1A0000}"/>
    <cellStyle name="Normal 2 2 10 2 11 5 6" xfId="6796" xr:uid="{00000000-0005-0000-0000-00005E1A0000}"/>
    <cellStyle name="Normal 2 2 10 2 11 5 7" xfId="6797" xr:uid="{00000000-0005-0000-0000-00005F1A0000}"/>
    <cellStyle name="Normal 2 2 10 2 11 5 8" xfId="6798" xr:uid="{00000000-0005-0000-0000-0000601A0000}"/>
    <cellStyle name="Normal 2 2 10 2 11 5 9" xfId="6799" xr:uid="{00000000-0005-0000-0000-0000611A0000}"/>
    <cellStyle name="Normal 2 2 10 2 11 6" xfId="6800" xr:uid="{00000000-0005-0000-0000-0000621A0000}"/>
    <cellStyle name="Normal 2 2 10 2 11 7" xfId="6801" xr:uid="{00000000-0005-0000-0000-0000631A0000}"/>
    <cellStyle name="Normal 2 2 10 2 11 8" xfId="6802" xr:uid="{00000000-0005-0000-0000-0000641A0000}"/>
    <cellStyle name="Normal 2 2 10 2 11 9" xfId="6803" xr:uid="{00000000-0005-0000-0000-0000651A0000}"/>
    <cellStyle name="Normal 2 2 10 2 12" xfId="6804" xr:uid="{00000000-0005-0000-0000-0000661A0000}"/>
    <cellStyle name="Normal 2 2 10 2 12 10" xfId="6805" xr:uid="{00000000-0005-0000-0000-0000671A0000}"/>
    <cellStyle name="Normal 2 2 10 2 12 11" xfId="6806" xr:uid="{00000000-0005-0000-0000-0000681A0000}"/>
    <cellStyle name="Normal 2 2 10 2 12 12" xfId="6807" xr:uid="{00000000-0005-0000-0000-0000691A0000}"/>
    <cellStyle name="Normal 2 2 10 2 12 13" xfId="6808" xr:uid="{00000000-0005-0000-0000-00006A1A0000}"/>
    <cellStyle name="Normal 2 2 10 2 12 14" xfId="6809" xr:uid="{00000000-0005-0000-0000-00006B1A0000}"/>
    <cellStyle name="Normal 2 2 10 2 12 2" xfId="6810" xr:uid="{00000000-0005-0000-0000-00006C1A0000}"/>
    <cellStyle name="Normal 2 2 10 2 12 2 10" xfId="6811" xr:uid="{00000000-0005-0000-0000-00006D1A0000}"/>
    <cellStyle name="Normal 2 2 10 2 12 2 2" xfId="6812" xr:uid="{00000000-0005-0000-0000-00006E1A0000}"/>
    <cellStyle name="Normal 2 2 10 2 12 2 3" xfId="6813" xr:uid="{00000000-0005-0000-0000-00006F1A0000}"/>
    <cellStyle name="Normal 2 2 10 2 12 2 4" xfId="6814" xr:uid="{00000000-0005-0000-0000-0000701A0000}"/>
    <cellStyle name="Normal 2 2 10 2 12 2 5" xfId="6815" xr:uid="{00000000-0005-0000-0000-0000711A0000}"/>
    <cellStyle name="Normal 2 2 10 2 12 2 6" xfId="6816" xr:uid="{00000000-0005-0000-0000-0000721A0000}"/>
    <cellStyle name="Normal 2 2 10 2 12 2 7" xfId="6817" xr:uid="{00000000-0005-0000-0000-0000731A0000}"/>
    <cellStyle name="Normal 2 2 10 2 12 2 8" xfId="6818" xr:uid="{00000000-0005-0000-0000-0000741A0000}"/>
    <cellStyle name="Normal 2 2 10 2 12 2 9" xfId="6819" xr:uid="{00000000-0005-0000-0000-0000751A0000}"/>
    <cellStyle name="Normal 2 2 10 2 12 3" xfId="6820" xr:uid="{00000000-0005-0000-0000-0000761A0000}"/>
    <cellStyle name="Normal 2 2 10 2 12 3 10" xfId="6821" xr:uid="{00000000-0005-0000-0000-0000771A0000}"/>
    <cellStyle name="Normal 2 2 10 2 12 3 2" xfId="6822" xr:uid="{00000000-0005-0000-0000-0000781A0000}"/>
    <cellStyle name="Normal 2 2 10 2 12 3 3" xfId="6823" xr:uid="{00000000-0005-0000-0000-0000791A0000}"/>
    <cellStyle name="Normal 2 2 10 2 12 3 4" xfId="6824" xr:uid="{00000000-0005-0000-0000-00007A1A0000}"/>
    <cellStyle name="Normal 2 2 10 2 12 3 5" xfId="6825" xr:uid="{00000000-0005-0000-0000-00007B1A0000}"/>
    <cellStyle name="Normal 2 2 10 2 12 3 6" xfId="6826" xr:uid="{00000000-0005-0000-0000-00007C1A0000}"/>
    <cellStyle name="Normal 2 2 10 2 12 3 7" xfId="6827" xr:uid="{00000000-0005-0000-0000-00007D1A0000}"/>
    <cellStyle name="Normal 2 2 10 2 12 3 8" xfId="6828" xr:uid="{00000000-0005-0000-0000-00007E1A0000}"/>
    <cellStyle name="Normal 2 2 10 2 12 3 9" xfId="6829" xr:uid="{00000000-0005-0000-0000-00007F1A0000}"/>
    <cellStyle name="Normal 2 2 10 2 12 4" xfId="6830" xr:uid="{00000000-0005-0000-0000-0000801A0000}"/>
    <cellStyle name="Normal 2 2 10 2 12 4 10" xfId="6831" xr:uid="{00000000-0005-0000-0000-0000811A0000}"/>
    <cellStyle name="Normal 2 2 10 2 12 4 2" xfId="6832" xr:uid="{00000000-0005-0000-0000-0000821A0000}"/>
    <cellStyle name="Normal 2 2 10 2 12 4 3" xfId="6833" xr:uid="{00000000-0005-0000-0000-0000831A0000}"/>
    <cellStyle name="Normal 2 2 10 2 12 4 4" xfId="6834" xr:uid="{00000000-0005-0000-0000-0000841A0000}"/>
    <cellStyle name="Normal 2 2 10 2 12 4 5" xfId="6835" xr:uid="{00000000-0005-0000-0000-0000851A0000}"/>
    <cellStyle name="Normal 2 2 10 2 12 4 6" xfId="6836" xr:uid="{00000000-0005-0000-0000-0000861A0000}"/>
    <cellStyle name="Normal 2 2 10 2 12 4 7" xfId="6837" xr:uid="{00000000-0005-0000-0000-0000871A0000}"/>
    <cellStyle name="Normal 2 2 10 2 12 4 8" xfId="6838" xr:uid="{00000000-0005-0000-0000-0000881A0000}"/>
    <cellStyle name="Normal 2 2 10 2 12 4 9" xfId="6839" xr:uid="{00000000-0005-0000-0000-0000891A0000}"/>
    <cellStyle name="Normal 2 2 10 2 12 5" xfId="6840" xr:uid="{00000000-0005-0000-0000-00008A1A0000}"/>
    <cellStyle name="Normal 2 2 10 2 12 5 10" xfId="6841" xr:uid="{00000000-0005-0000-0000-00008B1A0000}"/>
    <cellStyle name="Normal 2 2 10 2 12 5 2" xfId="6842" xr:uid="{00000000-0005-0000-0000-00008C1A0000}"/>
    <cellStyle name="Normal 2 2 10 2 12 5 3" xfId="6843" xr:uid="{00000000-0005-0000-0000-00008D1A0000}"/>
    <cellStyle name="Normal 2 2 10 2 12 5 4" xfId="6844" xr:uid="{00000000-0005-0000-0000-00008E1A0000}"/>
    <cellStyle name="Normal 2 2 10 2 12 5 5" xfId="6845" xr:uid="{00000000-0005-0000-0000-00008F1A0000}"/>
    <cellStyle name="Normal 2 2 10 2 12 5 6" xfId="6846" xr:uid="{00000000-0005-0000-0000-0000901A0000}"/>
    <cellStyle name="Normal 2 2 10 2 12 5 7" xfId="6847" xr:uid="{00000000-0005-0000-0000-0000911A0000}"/>
    <cellStyle name="Normal 2 2 10 2 12 5 8" xfId="6848" xr:uid="{00000000-0005-0000-0000-0000921A0000}"/>
    <cellStyle name="Normal 2 2 10 2 12 5 9" xfId="6849" xr:uid="{00000000-0005-0000-0000-0000931A0000}"/>
    <cellStyle name="Normal 2 2 10 2 12 6" xfId="6850" xr:uid="{00000000-0005-0000-0000-0000941A0000}"/>
    <cellStyle name="Normal 2 2 10 2 12 7" xfId="6851" xr:uid="{00000000-0005-0000-0000-0000951A0000}"/>
    <cellStyle name="Normal 2 2 10 2 12 8" xfId="6852" xr:uid="{00000000-0005-0000-0000-0000961A0000}"/>
    <cellStyle name="Normal 2 2 10 2 12 9" xfId="6853" xr:uid="{00000000-0005-0000-0000-0000971A0000}"/>
    <cellStyle name="Normal 2 2 10 2 13" xfId="6854" xr:uid="{00000000-0005-0000-0000-0000981A0000}"/>
    <cellStyle name="Normal 2 2 10 2 13 10" xfId="6855" xr:uid="{00000000-0005-0000-0000-0000991A0000}"/>
    <cellStyle name="Normal 2 2 10 2 13 11" xfId="6856" xr:uid="{00000000-0005-0000-0000-00009A1A0000}"/>
    <cellStyle name="Normal 2 2 10 2 13 12" xfId="6857" xr:uid="{00000000-0005-0000-0000-00009B1A0000}"/>
    <cellStyle name="Normal 2 2 10 2 13 13" xfId="6858" xr:uid="{00000000-0005-0000-0000-00009C1A0000}"/>
    <cellStyle name="Normal 2 2 10 2 13 14" xfId="6859" xr:uid="{00000000-0005-0000-0000-00009D1A0000}"/>
    <cellStyle name="Normal 2 2 10 2 13 2" xfId="6860" xr:uid="{00000000-0005-0000-0000-00009E1A0000}"/>
    <cellStyle name="Normal 2 2 10 2 13 2 10" xfId="6861" xr:uid="{00000000-0005-0000-0000-00009F1A0000}"/>
    <cellStyle name="Normal 2 2 10 2 13 2 2" xfId="6862" xr:uid="{00000000-0005-0000-0000-0000A01A0000}"/>
    <cellStyle name="Normal 2 2 10 2 13 2 3" xfId="6863" xr:uid="{00000000-0005-0000-0000-0000A11A0000}"/>
    <cellStyle name="Normal 2 2 10 2 13 2 4" xfId="6864" xr:uid="{00000000-0005-0000-0000-0000A21A0000}"/>
    <cellStyle name="Normal 2 2 10 2 13 2 5" xfId="6865" xr:uid="{00000000-0005-0000-0000-0000A31A0000}"/>
    <cellStyle name="Normal 2 2 10 2 13 2 6" xfId="6866" xr:uid="{00000000-0005-0000-0000-0000A41A0000}"/>
    <cellStyle name="Normal 2 2 10 2 13 2 7" xfId="6867" xr:uid="{00000000-0005-0000-0000-0000A51A0000}"/>
    <cellStyle name="Normal 2 2 10 2 13 2 8" xfId="6868" xr:uid="{00000000-0005-0000-0000-0000A61A0000}"/>
    <cellStyle name="Normal 2 2 10 2 13 2 9" xfId="6869" xr:uid="{00000000-0005-0000-0000-0000A71A0000}"/>
    <cellStyle name="Normal 2 2 10 2 13 3" xfId="6870" xr:uid="{00000000-0005-0000-0000-0000A81A0000}"/>
    <cellStyle name="Normal 2 2 10 2 13 3 10" xfId="6871" xr:uid="{00000000-0005-0000-0000-0000A91A0000}"/>
    <cellStyle name="Normal 2 2 10 2 13 3 2" xfId="6872" xr:uid="{00000000-0005-0000-0000-0000AA1A0000}"/>
    <cellStyle name="Normal 2 2 10 2 13 3 3" xfId="6873" xr:uid="{00000000-0005-0000-0000-0000AB1A0000}"/>
    <cellStyle name="Normal 2 2 10 2 13 3 4" xfId="6874" xr:uid="{00000000-0005-0000-0000-0000AC1A0000}"/>
    <cellStyle name="Normal 2 2 10 2 13 3 5" xfId="6875" xr:uid="{00000000-0005-0000-0000-0000AD1A0000}"/>
    <cellStyle name="Normal 2 2 10 2 13 3 6" xfId="6876" xr:uid="{00000000-0005-0000-0000-0000AE1A0000}"/>
    <cellStyle name="Normal 2 2 10 2 13 3 7" xfId="6877" xr:uid="{00000000-0005-0000-0000-0000AF1A0000}"/>
    <cellStyle name="Normal 2 2 10 2 13 3 8" xfId="6878" xr:uid="{00000000-0005-0000-0000-0000B01A0000}"/>
    <cellStyle name="Normal 2 2 10 2 13 3 9" xfId="6879" xr:uid="{00000000-0005-0000-0000-0000B11A0000}"/>
    <cellStyle name="Normal 2 2 10 2 13 4" xfId="6880" xr:uid="{00000000-0005-0000-0000-0000B21A0000}"/>
    <cellStyle name="Normal 2 2 10 2 13 4 10" xfId="6881" xr:uid="{00000000-0005-0000-0000-0000B31A0000}"/>
    <cellStyle name="Normal 2 2 10 2 13 4 2" xfId="6882" xr:uid="{00000000-0005-0000-0000-0000B41A0000}"/>
    <cellStyle name="Normal 2 2 10 2 13 4 3" xfId="6883" xr:uid="{00000000-0005-0000-0000-0000B51A0000}"/>
    <cellStyle name="Normal 2 2 10 2 13 4 4" xfId="6884" xr:uid="{00000000-0005-0000-0000-0000B61A0000}"/>
    <cellStyle name="Normal 2 2 10 2 13 4 5" xfId="6885" xr:uid="{00000000-0005-0000-0000-0000B71A0000}"/>
    <cellStyle name="Normal 2 2 10 2 13 4 6" xfId="6886" xr:uid="{00000000-0005-0000-0000-0000B81A0000}"/>
    <cellStyle name="Normal 2 2 10 2 13 4 7" xfId="6887" xr:uid="{00000000-0005-0000-0000-0000B91A0000}"/>
    <cellStyle name="Normal 2 2 10 2 13 4 8" xfId="6888" xr:uid="{00000000-0005-0000-0000-0000BA1A0000}"/>
    <cellStyle name="Normal 2 2 10 2 13 4 9" xfId="6889" xr:uid="{00000000-0005-0000-0000-0000BB1A0000}"/>
    <cellStyle name="Normal 2 2 10 2 13 5" xfId="6890" xr:uid="{00000000-0005-0000-0000-0000BC1A0000}"/>
    <cellStyle name="Normal 2 2 10 2 13 5 10" xfId="6891" xr:uid="{00000000-0005-0000-0000-0000BD1A0000}"/>
    <cellStyle name="Normal 2 2 10 2 13 5 2" xfId="6892" xr:uid="{00000000-0005-0000-0000-0000BE1A0000}"/>
    <cellStyle name="Normal 2 2 10 2 13 5 3" xfId="6893" xr:uid="{00000000-0005-0000-0000-0000BF1A0000}"/>
    <cellStyle name="Normal 2 2 10 2 13 5 4" xfId="6894" xr:uid="{00000000-0005-0000-0000-0000C01A0000}"/>
    <cellStyle name="Normal 2 2 10 2 13 5 5" xfId="6895" xr:uid="{00000000-0005-0000-0000-0000C11A0000}"/>
    <cellStyle name="Normal 2 2 10 2 13 5 6" xfId="6896" xr:uid="{00000000-0005-0000-0000-0000C21A0000}"/>
    <cellStyle name="Normal 2 2 10 2 13 5 7" xfId="6897" xr:uid="{00000000-0005-0000-0000-0000C31A0000}"/>
    <cellStyle name="Normal 2 2 10 2 13 5 8" xfId="6898" xr:uid="{00000000-0005-0000-0000-0000C41A0000}"/>
    <cellStyle name="Normal 2 2 10 2 13 5 9" xfId="6899" xr:uid="{00000000-0005-0000-0000-0000C51A0000}"/>
    <cellStyle name="Normal 2 2 10 2 13 6" xfId="6900" xr:uid="{00000000-0005-0000-0000-0000C61A0000}"/>
    <cellStyle name="Normal 2 2 10 2 13 7" xfId="6901" xr:uid="{00000000-0005-0000-0000-0000C71A0000}"/>
    <cellStyle name="Normal 2 2 10 2 13 8" xfId="6902" xr:uid="{00000000-0005-0000-0000-0000C81A0000}"/>
    <cellStyle name="Normal 2 2 10 2 13 9" xfId="6903" xr:uid="{00000000-0005-0000-0000-0000C91A0000}"/>
    <cellStyle name="Normal 2 2 10 2 14" xfId="6904" xr:uid="{00000000-0005-0000-0000-0000CA1A0000}"/>
    <cellStyle name="Normal 2 2 10 2 14 10" xfId="6905" xr:uid="{00000000-0005-0000-0000-0000CB1A0000}"/>
    <cellStyle name="Normal 2 2 10 2 14 11" xfId="6906" xr:uid="{00000000-0005-0000-0000-0000CC1A0000}"/>
    <cellStyle name="Normal 2 2 10 2 14 12" xfId="6907" xr:uid="{00000000-0005-0000-0000-0000CD1A0000}"/>
    <cellStyle name="Normal 2 2 10 2 14 13" xfId="6908" xr:uid="{00000000-0005-0000-0000-0000CE1A0000}"/>
    <cellStyle name="Normal 2 2 10 2 14 14" xfId="6909" xr:uid="{00000000-0005-0000-0000-0000CF1A0000}"/>
    <cellStyle name="Normal 2 2 10 2 14 2" xfId="6910" xr:uid="{00000000-0005-0000-0000-0000D01A0000}"/>
    <cellStyle name="Normal 2 2 10 2 14 2 10" xfId="6911" xr:uid="{00000000-0005-0000-0000-0000D11A0000}"/>
    <cellStyle name="Normal 2 2 10 2 14 2 2" xfId="6912" xr:uid="{00000000-0005-0000-0000-0000D21A0000}"/>
    <cellStyle name="Normal 2 2 10 2 14 2 3" xfId="6913" xr:uid="{00000000-0005-0000-0000-0000D31A0000}"/>
    <cellStyle name="Normal 2 2 10 2 14 2 4" xfId="6914" xr:uid="{00000000-0005-0000-0000-0000D41A0000}"/>
    <cellStyle name="Normal 2 2 10 2 14 2 5" xfId="6915" xr:uid="{00000000-0005-0000-0000-0000D51A0000}"/>
    <cellStyle name="Normal 2 2 10 2 14 2 6" xfId="6916" xr:uid="{00000000-0005-0000-0000-0000D61A0000}"/>
    <cellStyle name="Normal 2 2 10 2 14 2 7" xfId="6917" xr:uid="{00000000-0005-0000-0000-0000D71A0000}"/>
    <cellStyle name="Normal 2 2 10 2 14 2 8" xfId="6918" xr:uid="{00000000-0005-0000-0000-0000D81A0000}"/>
    <cellStyle name="Normal 2 2 10 2 14 2 9" xfId="6919" xr:uid="{00000000-0005-0000-0000-0000D91A0000}"/>
    <cellStyle name="Normal 2 2 10 2 14 3" xfId="6920" xr:uid="{00000000-0005-0000-0000-0000DA1A0000}"/>
    <cellStyle name="Normal 2 2 10 2 14 3 10" xfId="6921" xr:uid="{00000000-0005-0000-0000-0000DB1A0000}"/>
    <cellStyle name="Normal 2 2 10 2 14 3 2" xfId="6922" xr:uid="{00000000-0005-0000-0000-0000DC1A0000}"/>
    <cellStyle name="Normal 2 2 10 2 14 3 3" xfId="6923" xr:uid="{00000000-0005-0000-0000-0000DD1A0000}"/>
    <cellStyle name="Normal 2 2 10 2 14 3 4" xfId="6924" xr:uid="{00000000-0005-0000-0000-0000DE1A0000}"/>
    <cellStyle name="Normal 2 2 10 2 14 3 5" xfId="6925" xr:uid="{00000000-0005-0000-0000-0000DF1A0000}"/>
    <cellStyle name="Normal 2 2 10 2 14 3 6" xfId="6926" xr:uid="{00000000-0005-0000-0000-0000E01A0000}"/>
    <cellStyle name="Normal 2 2 10 2 14 3 7" xfId="6927" xr:uid="{00000000-0005-0000-0000-0000E11A0000}"/>
    <cellStyle name="Normal 2 2 10 2 14 3 8" xfId="6928" xr:uid="{00000000-0005-0000-0000-0000E21A0000}"/>
    <cellStyle name="Normal 2 2 10 2 14 3 9" xfId="6929" xr:uid="{00000000-0005-0000-0000-0000E31A0000}"/>
    <cellStyle name="Normal 2 2 10 2 14 4" xfId="6930" xr:uid="{00000000-0005-0000-0000-0000E41A0000}"/>
    <cellStyle name="Normal 2 2 10 2 14 4 10" xfId="6931" xr:uid="{00000000-0005-0000-0000-0000E51A0000}"/>
    <cellStyle name="Normal 2 2 10 2 14 4 2" xfId="6932" xr:uid="{00000000-0005-0000-0000-0000E61A0000}"/>
    <cellStyle name="Normal 2 2 10 2 14 4 3" xfId="6933" xr:uid="{00000000-0005-0000-0000-0000E71A0000}"/>
    <cellStyle name="Normal 2 2 10 2 14 4 4" xfId="6934" xr:uid="{00000000-0005-0000-0000-0000E81A0000}"/>
    <cellStyle name="Normal 2 2 10 2 14 4 5" xfId="6935" xr:uid="{00000000-0005-0000-0000-0000E91A0000}"/>
    <cellStyle name="Normal 2 2 10 2 14 4 6" xfId="6936" xr:uid="{00000000-0005-0000-0000-0000EA1A0000}"/>
    <cellStyle name="Normal 2 2 10 2 14 4 7" xfId="6937" xr:uid="{00000000-0005-0000-0000-0000EB1A0000}"/>
    <cellStyle name="Normal 2 2 10 2 14 4 8" xfId="6938" xr:uid="{00000000-0005-0000-0000-0000EC1A0000}"/>
    <cellStyle name="Normal 2 2 10 2 14 4 9" xfId="6939" xr:uid="{00000000-0005-0000-0000-0000ED1A0000}"/>
    <cellStyle name="Normal 2 2 10 2 14 5" xfId="6940" xr:uid="{00000000-0005-0000-0000-0000EE1A0000}"/>
    <cellStyle name="Normal 2 2 10 2 14 5 10" xfId="6941" xr:uid="{00000000-0005-0000-0000-0000EF1A0000}"/>
    <cellStyle name="Normal 2 2 10 2 14 5 2" xfId="6942" xr:uid="{00000000-0005-0000-0000-0000F01A0000}"/>
    <cellStyle name="Normal 2 2 10 2 14 5 3" xfId="6943" xr:uid="{00000000-0005-0000-0000-0000F11A0000}"/>
    <cellStyle name="Normal 2 2 10 2 14 5 4" xfId="6944" xr:uid="{00000000-0005-0000-0000-0000F21A0000}"/>
    <cellStyle name="Normal 2 2 10 2 14 5 5" xfId="6945" xr:uid="{00000000-0005-0000-0000-0000F31A0000}"/>
    <cellStyle name="Normal 2 2 10 2 14 5 6" xfId="6946" xr:uid="{00000000-0005-0000-0000-0000F41A0000}"/>
    <cellStyle name="Normal 2 2 10 2 14 5 7" xfId="6947" xr:uid="{00000000-0005-0000-0000-0000F51A0000}"/>
    <cellStyle name="Normal 2 2 10 2 14 5 8" xfId="6948" xr:uid="{00000000-0005-0000-0000-0000F61A0000}"/>
    <cellStyle name="Normal 2 2 10 2 14 5 9" xfId="6949" xr:uid="{00000000-0005-0000-0000-0000F71A0000}"/>
    <cellStyle name="Normal 2 2 10 2 14 6" xfId="6950" xr:uid="{00000000-0005-0000-0000-0000F81A0000}"/>
    <cellStyle name="Normal 2 2 10 2 14 7" xfId="6951" xr:uid="{00000000-0005-0000-0000-0000F91A0000}"/>
    <cellStyle name="Normal 2 2 10 2 14 8" xfId="6952" xr:uid="{00000000-0005-0000-0000-0000FA1A0000}"/>
    <cellStyle name="Normal 2 2 10 2 14 9" xfId="6953" xr:uid="{00000000-0005-0000-0000-0000FB1A0000}"/>
    <cellStyle name="Normal 2 2 10 2 15" xfId="6954" xr:uid="{00000000-0005-0000-0000-0000FC1A0000}"/>
    <cellStyle name="Normal 2 2 10 2 15 10" xfId="6955" xr:uid="{00000000-0005-0000-0000-0000FD1A0000}"/>
    <cellStyle name="Normal 2 2 10 2 15 11" xfId="6956" xr:uid="{00000000-0005-0000-0000-0000FE1A0000}"/>
    <cellStyle name="Normal 2 2 10 2 15 12" xfId="6957" xr:uid="{00000000-0005-0000-0000-0000FF1A0000}"/>
    <cellStyle name="Normal 2 2 10 2 15 13" xfId="6958" xr:uid="{00000000-0005-0000-0000-0000001B0000}"/>
    <cellStyle name="Normal 2 2 10 2 15 14" xfId="6959" xr:uid="{00000000-0005-0000-0000-0000011B0000}"/>
    <cellStyle name="Normal 2 2 10 2 15 2" xfId="6960" xr:uid="{00000000-0005-0000-0000-0000021B0000}"/>
    <cellStyle name="Normal 2 2 10 2 15 2 10" xfId="6961" xr:uid="{00000000-0005-0000-0000-0000031B0000}"/>
    <cellStyle name="Normal 2 2 10 2 15 2 2" xfId="6962" xr:uid="{00000000-0005-0000-0000-0000041B0000}"/>
    <cellStyle name="Normal 2 2 10 2 15 2 3" xfId="6963" xr:uid="{00000000-0005-0000-0000-0000051B0000}"/>
    <cellStyle name="Normal 2 2 10 2 15 2 4" xfId="6964" xr:uid="{00000000-0005-0000-0000-0000061B0000}"/>
    <cellStyle name="Normal 2 2 10 2 15 2 5" xfId="6965" xr:uid="{00000000-0005-0000-0000-0000071B0000}"/>
    <cellStyle name="Normal 2 2 10 2 15 2 6" xfId="6966" xr:uid="{00000000-0005-0000-0000-0000081B0000}"/>
    <cellStyle name="Normal 2 2 10 2 15 2 7" xfId="6967" xr:uid="{00000000-0005-0000-0000-0000091B0000}"/>
    <cellStyle name="Normal 2 2 10 2 15 2 8" xfId="6968" xr:uid="{00000000-0005-0000-0000-00000A1B0000}"/>
    <cellStyle name="Normal 2 2 10 2 15 2 9" xfId="6969" xr:uid="{00000000-0005-0000-0000-00000B1B0000}"/>
    <cellStyle name="Normal 2 2 10 2 15 3" xfId="6970" xr:uid="{00000000-0005-0000-0000-00000C1B0000}"/>
    <cellStyle name="Normal 2 2 10 2 15 3 10" xfId="6971" xr:uid="{00000000-0005-0000-0000-00000D1B0000}"/>
    <cellStyle name="Normal 2 2 10 2 15 3 2" xfId="6972" xr:uid="{00000000-0005-0000-0000-00000E1B0000}"/>
    <cellStyle name="Normal 2 2 10 2 15 3 3" xfId="6973" xr:uid="{00000000-0005-0000-0000-00000F1B0000}"/>
    <cellStyle name="Normal 2 2 10 2 15 3 4" xfId="6974" xr:uid="{00000000-0005-0000-0000-0000101B0000}"/>
    <cellStyle name="Normal 2 2 10 2 15 3 5" xfId="6975" xr:uid="{00000000-0005-0000-0000-0000111B0000}"/>
    <cellStyle name="Normal 2 2 10 2 15 3 6" xfId="6976" xr:uid="{00000000-0005-0000-0000-0000121B0000}"/>
    <cellStyle name="Normal 2 2 10 2 15 3 7" xfId="6977" xr:uid="{00000000-0005-0000-0000-0000131B0000}"/>
    <cellStyle name="Normal 2 2 10 2 15 3 8" xfId="6978" xr:uid="{00000000-0005-0000-0000-0000141B0000}"/>
    <cellStyle name="Normal 2 2 10 2 15 3 9" xfId="6979" xr:uid="{00000000-0005-0000-0000-0000151B0000}"/>
    <cellStyle name="Normal 2 2 10 2 15 4" xfId="6980" xr:uid="{00000000-0005-0000-0000-0000161B0000}"/>
    <cellStyle name="Normal 2 2 10 2 15 4 10" xfId="6981" xr:uid="{00000000-0005-0000-0000-0000171B0000}"/>
    <cellStyle name="Normal 2 2 10 2 15 4 2" xfId="6982" xr:uid="{00000000-0005-0000-0000-0000181B0000}"/>
    <cellStyle name="Normal 2 2 10 2 15 4 3" xfId="6983" xr:uid="{00000000-0005-0000-0000-0000191B0000}"/>
    <cellStyle name="Normal 2 2 10 2 15 4 4" xfId="6984" xr:uid="{00000000-0005-0000-0000-00001A1B0000}"/>
    <cellStyle name="Normal 2 2 10 2 15 4 5" xfId="6985" xr:uid="{00000000-0005-0000-0000-00001B1B0000}"/>
    <cellStyle name="Normal 2 2 10 2 15 4 6" xfId="6986" xr:uid="{00000000-0005-0000-0000-00001C1B0000}"/>
    <cellStyle name="Normal 2 2 10 2 15 4 7" xfId="6987" xr:uid="{00000000-0005-0000-0000-00001D1B0000}"/>
    <cellStyle name="Normal 2 2 10 2 15 4 8" xfId="6988" xr:uid="{00000000-0005-0000-0000-00001E1B0000}"/>
    <cellStyle name="Normal 2 2 10 2 15 4 9" xfId="6989" xr:uid="{00000000-0005-0000-0000-00001F1B0000}"/>
    <cellStyle name="Normal 2 2 10 2 15 5" xfId="6990" xr:uid="{00000000-0005-0000-0000-0000201B0000}"/>
    <cellStyle name="Normal 2 2 10 2 15 5 10" xfId="6991" xr:uid="{00000000-0005-0000-0000-0000211B0000}"/>
    <cellStyle name="Normal 2 2 10 2 15 5 2" xfId="6992" xr:uid="{00000000-0005-0000-0000-0000221B0000}"/>
    <cellStyle name="Normal 2 2 10 2 15 5 3" xfId="6993" xr:uid="{00000000-0005-0000-0000-0000231B0000}"/>
    <cellStyle name="Normal 2 2 10 2 15 5 4" xfId="6994" xr:uid="{00000000-0005-0000-0000-0000241B0000}"/>
    <cellStyle name="Normal 2 2 10 2 15 5 5" xfId="6995" xr:uid="{00000000-0005-0000-0000-0000251B0000}"/>
    <cellStyle name="Normal 2 2 10 2 15 5 6" xfId="6996" xr:uid="{00000000-0005-0000-0000-0000261B0000}"/>
    <cellStyle name="Normal 2 2 10 2 15 5 7" xfId="6997" xr:uid="{00000000-0005-0000-0000-0000271B0000}"/>
    <cellStyle name="Normal 2 2 10 2 15 5 8" xfId="6998" xr:uid="{00000000-0005-0000-0000-0000281B0000}"/>
    <cellStyle name="Normal 2 2 10 2 15 5 9" xfId="6999" xr:uid="{00000000-0005-0000-0000-0000291B0000}"/>
    <cellStyle name="Normal 2 2 10 2 15 6" xfId="7000" xr:uid="{00000000-0005-0000-0000-00002A1B0000}"/>
    <cellStyle name="Normal 2 2 10 2 15 7" xfId="7001" xr:uid="{00000000-0005-0000-0000-00002B1B0000}"/>
    <cellStyle name="Normal 2 2 10 2 15 8" xfId="7002" xr:uid="{00000000-0005-0000-0000-00002C1B0000}"/>
    <cellStyle name="Normal 2 2 10 2 15 9" xfId="7003" xr:uid="{00000000-0005-0000-0000-00002D1B0000}"/>
    <cellStyle name="Normal 2 2 10 2 16" xfId="7004" xr:uid="{00000000-0005-0000-0000-00002E1B0000}"/>
    <cellStyle name="Normal 2 2 10 2 16 10" xfId="7005" xr:uid="{00000000-0005-0000-0000-00002F1B0000}"/>
    <cellStyle name="Normal 2 2 10 2 16 11" xfId="7006" xr:uid="{00000000-0005-0000-0000-0000301B0000}"/>
    <cellStyle name="Normal 2 2 10 2 16 12" xfId="7007" xr:uid="{00000000-0005-0000-0000-0000311B0000}"/>
    <cellStyle name="Normal 2 2 10 2 16 13" xfId="7008" xr:uid="{00000000-0005-0000-0000-0000321B0000}"/>
    <cellStyle name="Normal 2 2 10 2 16 14" xfId="7009" xr:uid="{00000000-0005-0000-0000-0000331B0000}"/>
    <cellStyle name="Normal 2 2 10 2 16 2" xfId="7010" xr:uid="{00000000-0005-0000-0000-0000341B0000}"/>
    <cellStyle name="Normal 2 2 10 2 16 2 10" xfId="7011" xr:uid="{00000000-0005-0000-0000-0000351B0000}"/>
    <cellStyle name="Normal 2 2 10 2 16 2 2" xfId="7012" xr:uid="{00000000-0005-0000-0000-0000361B0000}"/>
    <cellStyle name="Normal 2 2 10 2 16 2 3" xfId="7013" xr:uid="{00000000-0005-0000-0000-0000371B0000}"/>
    <cellStyle name="Normal 2 2 10 2 16 2 4" xfId="7014" xr:uid="{00000000-0005-0000-0000-0000381B0000}"/>
    <cellStyle name="Normal 2 2 10 2 16 2 5" xfId="7015" xr:uid="{00000000-0005-0000-0000-0000391B0000}"/>
    <cellStyle name="Normal 2 2 10 2 16 2 6" xfId="7016" xr:uid="{00000000-0005-0000-0000-00003A1B0000}"/>
    <cellStyle name="Normal 2 2 10 2 16 2 7" xfId="7017" xr:uid="{00000000-0005-0000-0000-00003B1B0000}"/>
    <cellStyle name="Normal 2 2 10 2 16 2 8" xfId="7018" xr:uid="{00000000-0005-0000-0000-00003C1B0000}"/>
    <cellStyle name="Normal 2 2 10 2 16 2 9" xfId="7019" xr:uid="{00000000-0005-0000-0000-00003D1B0000}"/>
    <cellStyle name="Normal 2 2 10 2 16 3" xfId="7020" xr:uid="{00000000-0005-0000-0000-00003E1B0000}"/>
    <cellStyle name="Normal 2 2 10 2 16 3 10" xfId="7021" xr:uid="{00000000-0005-0000-0000-00003F1B0000}"/>
    <cellStyle name="Normal 2 2 10 2 16 3 2" xfId="7022" xr:uid="{00000000-0005-0000-0000-0000401B0000}"/>
    <cellStyle name="Normal 2 2 10 2 16 3 3" xfId="7023" xr:uid="{00000000-0005-0000-0000-0000411B0000}"/>
    <cellStyle name="Normal 2 2 10 2 16 3 4" xfId="7024" xr:uid="{00000000-0005-0000-0000-0000421B0000}"/>
    <cellStyle name="Normal 2 2 10 2 16 3 5" xfId="7025" xr:uid="{00000000-0005-0000-0000-0000431B0000}"/>
    <cellStyle name="Normal 2 2 10 2 16 3 6" xfId="7026" xr:uid="{00000000-0005-0000-0000-0000441B0000}"/>
    <cellStyle name="Normal 2 2 10 2 16 3 7" xfId="7027" xr:uid="{00000000-0005-0000-0000-0000451B0000}"/>
    <cellStyle name="Normal 2 2 10 2 16 3 8" xfId="7028" xr:uid="{00000000-0005-0000-0000-0000461B0000}"/>
    <cellStyle name="Normal 2 2 10 2 16 3 9" xfId="7029" xr:uid="{00000000-0005-0000-0000-0000471B0000}"/>
    <cellStyle name="Normal 2 2 10 2 16 4" xfId="7030" xr:uid="{00000000-0005-0000-0000-0000481B0000}"/>
    <cellStyle name="Normal 2 2 10 2 16 4 10" xfId="7031" xr:uid="{00000000-0005-0000-0000-0000491B0000}"/>
    <cellStyle name="Normal 2 2 10 2 16 4 2" xfId="7032" xr:uid="{00000000-0005-0000-0000-00004A1B0000}"/>
    <cellStyle name="Normal 2 2 10 2 16 4 3" xfId="7033" xr:uid="{00000000-0005-0000-0000-00004B1B0000}"/>
    <cellStyle name="Normal 2 2 10 2 16 4 4" xfId="7034" xr:uid="{00000000-0005-0000-0000-00004C1B0000}"/>
    <cellStyle name="Normal 2 2 10 2 16 4 5" xfId="7035" xr:uid="{00000000-0005-0000-0000-00004D1B0000}"/>
    <cellStyle name="Normal 2 2 10 2 16 4 6" xfId="7036" xr:uid="{00000000-0005-0000-0000-00004E1B0000}"/>
    <cellStyle name="Normal 2 2 10 2 16 4 7" xfId="7037" xr:uid="{00000000-0005-0000-0000-00004F1B0000}"/>
    <cellStyle name="Normal 2 2 10 2 16 4 8" xfId="7038" xr:uid="{00000000-0005-0000-0000-0000501B0000}"/>
    <cellStyle name="Normal 2 2 10 2 16 4 9" xfId="7039" xr:uid="{00000000-0005-0000-0000-0000511B0000}"/>
    <cellStyle name="Normal 2 2 10 2 16 5" xfId="7040" xr:uid="{00000000-0005-0000-0000-0000521B0000}"/>
    <cellStyle name="Normal 2 2 10 2 16 5 10" xfId="7041" xr:uid="{00000000-0005-0000-0000-0000531B0000}"/>
    <cellStyle name="Normal 2 2 10 2 16 5 2" xfId="7042" xr:uid="{00000000-0005-0000-0000-0000541B0000}"/>
    <cellStyle name="Normal 2 2 10 2 16 5 3" xfId="7043" xr:uid="{00000000-0005-0000-0000-0000551B0000}"/>
    <cellStyle name="Normal 2 2 10 2 16 5 4" xfId="7044" xr:uid="{00000000-0005-0000-0000-0000561B0000}"/>
    <cellStyle name="Normal 2 2 10 2 16 5 5" xfId="7045" xr:uid="{00000000-0005-0000-0000-0000571B0000}"/>
    <cellStyle name="Normal 2 2 10 2 16 5 6" xfId="7046" xr:uid="{00000000-0005-0000-0000-0000581B0000}"/>
    <cellStyle name="Normal 2 2 10 2 16 5 7" xfId="7047" xr:uid="{00000000-0005-0000-0000-0000591B0000}"/>
    <cellStyle name="Normal 2 2 10 2 16 5 8" xfId="7048" xr:uid="{00000000-0005-0000-0000-00005A1B0000}"/>
    <cellStyle name="Normal 2 2 10 2 16 5 9" xfId="7049" xr:uid="{00000000-0005-0000-0000-00005B1B0000}"/>
    <cellStyle name="Normal 2 2 10 2 16 6" xfId="7050" xr:uid="{00000000-0005-0000-0000-00005C1B0000}"/>
    <cellStyle name="Normal 2 2 10 2 16 7" xfId="7051" xr:uid="{00000000-0005-0000-0000-00005D1B0000}"/>
    <cellStyle name="Normal 2 2 10 2 16 8" xfId="7052" xr:uid="{00000000-0005-0000-0000-00005E1B0000}"/>
    <cellStyle name="Normal 2 2 10 2 16 9" xfId="7053" xr:uid="{00000000-0005-0000-0000-00005F1B0000}"/>
    <cellStyle name="Normal 2 2 10 2 17" xfId="7054" xr:uid="{00000000-0005-0000-0000-0000601B0000}"/>
    <cellStyle name="Normal 2 2 10 2 17 10" xfId="7055" xr:uid="{00000000-0005-0000-0000-0000611B0000}"/>
    <cellStyle name="Normal 2 2 10 2 17 11" xfId="7056" xr:uid="{00000000-0005-0000-0000-0000621B0000}"/>
    <cellStyle name="Normal 2 2 10 2 17 12" xfId="7057" xr:uid="{00000000-0005-0000-0000-0000631B0000}"/>
    <cellStyle name="Normal 2 2 10 2 17 13" xfId="7058" xr:uid="{00000000-0005-0000-0000-0000641B0000}"/>
    <cellStyle name="Normal 2 2 10 2 17 14" xfId="7059" xr:uid="{00000000-0005-0000-0000-0000651B0000}"/>
    <cellStyle name="Normal 2 2 10 2 17 2" xfId="7060" xr:uid="{00000000-0005-0000-0000-0000661B0000}"/>
    <cellStyle name="Normal 2 2 10 2 17 2 10" xfId="7061" xr:uid="{00000000-0005-0000-0000-0000671B0000}"/>
    <cellStyle name="Normal 2 2 10 2 17 2 2" xfId="7062" xr:uid="{00000000-0005-0000-0000-0000681B0000}"/>
    <cellStyle name="Normal 2 2 10 2 17 2 3" xfId="7063" xr:uid="{00000000-0005-0000-0000-0000691B0000}"/>
    <cellStyle name="Normal 2 2 10 2 17 2 4" xfId="7064" xr:uid="{00000000-0005-0000-0000-00006A1B0000}"/>
    <cellStyle name="Normal 2 2 10 2 17 2 5" xfId="7065" xr:uid="{00000000-0005-0000-0000-00006B1B0000}"/>
    <cellStyle name="Normal 2 2 10 2 17 2 6" xfId="7066" xr:uid="{00000000-0005-0000-0000-00006C1B0000}"/>
    <cellStyle name="Normal 2 2 10 2 17 2 7" xfId="7067" xr:uid="{00000000-0005-0000-0000-00006D1B0000}"/>
    <cellStyle name="Normal 2 2 10 2 17 2 8" xfId="7068" xr:uid="{00000000-0005-0000-0000-00006E1B0000}"/>
    <cellStyle name="Normal 2 2 10 2 17 2 9" xfId="7069" xr:uid="{00000000-0005-0000-0000-00006F1B0000}"/>
    <cellStyle name="Normal 2 2 10 2 17 3" xfId="7070" xr:uid="{00000000-0005-0000-0000-0000701B0000}"/>
    <cellStyle name="Normal 2 2 10 2 17 3 10" xfId="7071" xr:uid="{00000000-0005-0000-0000-0000711B0000}"/>
    <cellStyle name="Normal 2 2 10 2 17 3 2" xfId="7072" xr:uid="{00000000-0005-0000-0000-0000721B0000}"/>
    <cellStyle name="Normal 2 2 10 2 17 3 3" xfId="7073" xr:uid="{00000000-0005-0000-0000-0000731B0000}"/>
    <cellStyle name="Normal 2 2 10 2 17 3 4" xfId="7074" xr:uid="{00000000-0005-0000-0000-0000741B0000}"/>
    <cellStyle name="Normal 2 2 10 2 17 3 5" xfId="7075" xr:uid="{00000000-0005-0000-0000-0000751B0000}"/>
    <cellStyle name="Normal 2 2 10 2 17 3 6" xfId="7076" xr:uid="{00000000-0005-0000-0000-0000761B0000}"/>
    <cellStyle name="Normal 2 2 10 2 17 3 7" xfId="7077" xr:uid="{00000000-0005-0000-0000-0000771B0000}"/>
    <cellStyle name="Normal 2 2 10 2 17 3 8" xfId="7078" xr:uid="{00000000-0005-0000-0000-0000781B0000}"/>
    <cellStyle name="Normal 2 2 10 2 17 3 9" xfId="7079" xr:uid="{00000000-0005-0000-0000-0000791B0000}"/>
    <cellStyle name="Normal 2 2 10 2 17 4" xfId="7080" xr:uid="{00000000-0005-0000-0000-00007A1B0000}"/>
    <cellStyle name="Normal 2 2 10 2 17 4 10" xfId="7081" xr:uid="{00000000-0005-0000-0000-00007B1B0000}"/>
    <cellStyle name="Normal 2 2 10 2 17 4 2" xfId="7082" xr:uid="{00000000-0005-0000-0000-00007C1B0000}"/>
    <cellStyle name="Normal 2 2 10 2 17 4 3" xfId="7083" xr:uid="{00000000-0005-0000-0000-00007D1B0000}"/>
    <cellStyle name="Normal 2 2 10 2 17 4 4" xfId="7084" xr:uid="{00000000-0005-0000-0000-00007E1B0000}"/>
    <cellStyle name="Normal 2 2 10 2 17 4 5" xfId="7085" xr:uid="{00000000-0005-0000-0000-00007F1B0000}"/>
    <cellStyle name="Normal 2 2 10 2 17 4 6" xfId="7086" xr:uid="{00000000-0005-0000-0000-0000801B0000}"/>
    <cellStyle name="Normal 2 2 10 2 17 4 7" xfId="7087" xr:uid="{00000000-0005-0000-0000-0000811B0000}"/>
    <cellStyle name="Normal 2 2 10 2 17 4 8" xfId="7088" xr:uid="{00000000-0005-0000-0000-0000821B0000}"/>
    <cellStyle name="Normal 2 2 10 2 17 4 9" xfId="7089" xr:uid="{00000000-0005-0000-0000-0000831B0000}"/>
    <cellStyle name="Normal 2 2 10 2 17 5" xfId="7090" xr:uid="{00000000-0005-0000-0000-0000841B0000}"/>
    <cellStyle name="Normal 2 2 10 2 17 5 10" xfId="7091" xr:uid="{00000000-0005-0000-0000-0000851B0000}"/>
    <cellStyle name="Normal 2 2 10 2 17 5 2" xfId="7092" xr:uid="{00000000-0005-0000-0000-0000861B0000}"/>
    <cellStyle name="Normal 2 2 10 2 17 5 3" xfId="7093" xr:uid="{00000000-0005-0000-0000-0000871B0000}"/>
    <cellStyle name="Normal 2 2 10 2 17 5 4" xfId="7094" xr:uid="{00000000-0005-0000-0000-0000881B0000}"/>
    <cellStyle name="Normal 2 2 10 2 17 5 5" xfId="7095" xr:uid="{00000000-0005-0000-0000-0000891B0000}"/>
    <cellStyle name="Normal 2 2 10 2 17 5 6" xfId="7096" xr:uid="{00000000-0005-0000-0000-00008A1B0000}"/>
    <cellStyle name="Normal 2 2 10 2 17 5 7" xfId="7097" xr:uid="{00000000-0005-0000-0000-00008B1B0000}"/>
    <cellStyle name="Normal 2 2 10 2 17 5 8" xfId="7098" xr:uid="{00000000-0005-0000-0000-00008C1B0000}"/>
    <cellStyle name="Normal 2 2 10 2 17 5 9" xfId="7099" xr:uid="{00000000-0005-0000-0000-00008D1B0000}"/>
    <cellStyle name="Normal 2 2 10 2 17 6" xfId="7100" xr:uid="{00000000-0005-0000-0000-00008E1B0000}"/>
    <cellStyle name="Normal 2 2 10 2 17 7" xfId="7101" xr:uid="{00000000-0005-0000-0000-00008F1B0000}"/>
    <cellStyle name="Normal 2 2 10 2 17 8" xfId="7102" xr:uid="{00000000-0005-0000-0000-0000901B0000}"/>
    <cellStyle name="Normal 2 2 10 2 17 9" xfId="7103" xr:uid="{00000000-0005-0000-0000-0000911B0000}"/>
    <cellStyle name="Normal 2 2 10 2 18" xfId="7104" xr:uid="{00000000-0005-0000-0000-0000921B0000}"/>
    <cellStyle name="Normal 2 2 10 2 18 10" xfId="7105" xr:uid="{00000000-0005-0000-0000-0000931B0000}"/>
    <cellStyle name="Normal 2 2 10 2 18 11" xfId="7106" xr:uid="{00000000-0005-0000-0000-0000941B0000}"/>
    <cellStyle name="Normal 2 2 10 2 18 12" xfId="7107" xr:uid="{00000000-0005-0000-0000-0000951B0000}"/>
    <cellStyle name="Normal 2 2 10 2 18 13" xfId="7108" xr:uid="{00000000-0005-0000-0000-0000961B0000}"/>
    <cellStyle name="Normal 2 2 10 2 18 14" xfId="7109" xr:uid="{00000000-0005-0000-0000-0000971B0000}"/>
    <cellStyle name="Normal 2 2 10 2 18 2" xfId="7110" xr:uid="{00000000-0005-0000-0000-0000981B0000}"/>
    <cellStyle name="Normal 2 2 10 2 18 2 10" xfId="7111" xr:uid="{00000000-0005-0000-0000-0000991B0000}"/>
    <cellStyle name="Normal 2 2 10 2 18 2 2" xfId="7112" xr:uid="{00000000-0005-0000-0000-00009A1B0000}"/>
    <cellStyle name="Normal 2 2 10 2 18 2 3" xfId="7113" xr:uid="{00000000-0005-0000-0000-00009B1B0000}"/>
    <cellStyle name="Normal 2 2 10 2 18 2 4" xfId="7114" xr:uid="{00000000-0005-0000-0000-00009C1B0000}"/>
    <cellStyle name="Normal 2 2 10 2 18 2 5" xfId="7115" xr:uid="{00000000-0005-0000-0000-00009D1B0000}"/>
    <cellStyle name="Normal 2 2 10 2 18 2 6" xfId="7116" xr:uid="{00000000-0005-0000-0000-00009E1B0000}"/>
    <cellStyle name="Normal 2 2 10 2 18 2 7" xfId="7117" xr:uid="{00000000-0005-0000-0000-00009F1B0000}"/>
    <cellStyle name="Normal 2 2 10 2 18 2 8" xfId="7118" xr:uid="{00000000-0005-0000-0000-0000A01B0000}"/>
    <cellStyle name="Normal 2 2 10 2 18 2 9" xfId="7119" xr:uid="{00000000-0005-0000-0000-0000A11B0000}"/>
    <cellStyle name="Normal 2 2 10 2 18 3" xfId="7120" xr:uid="{00000000-0005-0000-0000-0000A21B0000}"/>
    <cellStyle name="Normal 2 2 10 2 18 3 10" xfId="7121" xr:uid="{00000000-0005-0000-0000-0000A31B0000}"/>
    <cellStyle name="Normal 2 2 10 2 18 3 2" xfId="7122" xr:uid="{00000000-0005-0000-0000-0000A41B0000}"/>
    <cellStyle name="Normal 2 2 10 2 18 3 3" xfId="7123" xr:uid="{00000000-0005-0000-0000-0000A51B0000}"/>
    <cellStyle name="Normal 2 2 10 2 18 3 4" xfId="7124" xr:uid="{00000000-0005-0000-0000-0000A61B0000}"/>
    <cellStyle name="Normal 2 2 10 2 18 3 5" xfId="7125" xr:uid="{00000000-0005-0000-0000-0000A71B0000}"/>
    <cellStyle name="Normal 2 2 10 2 18 3 6" xfId="7126" xr:uid="{00000000-0005-0000-0000-0000A81B0000}"/>
    <cellStyle name="Normal 2 2 10 2 18 3 7" xfId="7127" xr:uid="{00000000-0005-0000-0000-0000A91B0000}"/>
    <cellStyle name="Normal 2 2 10 2 18 3 8" xfId="7128" xr:uid="{00000000-0005-0000-0000-0000AA1B0000}"/>
    <cellStyle name="Normal 2 2 10 2 18 3 9" xfId="7129" xr:uid="{00000000-0005-0000-0000-0000AB1B0000}"/>
    <cellStyle name="Normal 2 2 10 2 18 4" xfId="7130" xr:uid="{00000000-0005-0000-0000-0000AC1B0000}"/>
    <cellStyle name="Normal 2 2 10 2 18 4 10" xfId="7131" xr:uid="{00000000-0005-0000-0000-0000AD1B0000}"/>
    <cellStyle name="Normal 2 2 10 2 18 4 2" xfId="7132" xr:uid="{00000000-0005-0000-0000-0000AE1B0000}"/>
    <cellStyle name="Normal 2 2 10 2 18 4 3" xfId="7133" xr:uid="{00000000-0005-0000-0000-0000AF1B0000}"/>
    <cellStyle name="Normal 2 2 10 2 18 4 4" xfId="7134" xr:uid="{00000000-0005-0000-0000-0000B01B0000}"/>
    <cellStyle name="Normal 2 2 10 2 18 4 5" xfId="7135" xr:uid="{00000000-0005-0000-0000-0000B11B0000}"/>
    <cellStyle name="Normal 2 2 10 2 18 4 6" xfId="7136" xr:uid="{00000000-0005-0000-0000-0000B21B0000}"/>
    <cellStyle name="Normal 2 2 10 2 18 4 7" xfId="7137" xr:uid="{00000000-0005-0000-0000-0000B31B0000}"/>
    <cellStyle name="Normal 2 2 10 2 18 4 8" xfId="7138" xr:uid="{00000000-0005-0000-0000-0000B41B0000}"/>
    <cellStyle name="Normal 2 2 10 2 18 4 9" xfId="7139" xr:uid="{00000000-0005-0000-0000-0000B51B0000}"/>
    <cellStyle name="Normal 2 2 10 2 18 5" xfId="7140" xr:uid="{00000000-0005-0000-0000-0000B61B0000}"/>
    <cellStyle name="Normal 2 2 10 2 18 5 10" xfId="7141" xr:uid="{00000000-0005-0000-0000-0000B71B0000}"/>
    <cellStyle name="Normal 2 2 10 2 18 5 2" xfId="7142" xr:uid="{00000000-0005-0000-0000-0000B81B0000}"/>
    <cellStyle name="Normal 2 2 10 2 18 5 3" xfId="7143" xr:uid="{00000000-0005-0000-0000-0000B91B0000}"/>
    <cellStyle name="Normal 2 2 10 2 18 5 4" xfId="7144" xr:uid="{00000000-0005-0000-0000-0000BA1B0000}"/>
    <cellStyle name="Normal 2 2 10 2 18 5 5" xfId="7145" xr:uid="{00000000-0005-0000-0000-0000BB1B0000}"/>
    <cellStyle name="Normal 2 2 10 2 18 5 6" xfId="7146" xr:uid="{00000000-0005-0000-0000-0000BC1B0000}"/>
    <cellStyle name="Normal 2 2 10 2 18 5 7" xfId="7147" xr:uid="{00000000-0005-0000-0000-0000BD1B0000}"/>
    <cellStyle name="Normal 2 2 10 2 18 5 8" xfId="7148" xr:uid="{00000000-0005-0000-0000-0000BE1B0000}"/>
    <cellStyle name="Normal 2 2 10 2 18 5 9" xfId="7149" xr:uid="{00000000-0005-0000-0000-0000BF1B0000}"/>
    <cellStyle name="Normal 2 2 10 2 18 6" xfId="7150" xr:uid="{00000000-0005-0000-0000-0000C01B0000}"/>
    <cellStyle name="Normal 2 2 10 2 18 7" xfId="7151" xr:uid="{00000000-0005-0000-0000-0000C11B0000}"/>
    <cellStyle name="Normal 2 2 10 2 18 8" xfId="7152" xr:uid="{00000000-0005-0000-0000-0000C21B0000}"/>
    <cellStyle name="Normal 2 2 10 2 18 9" xfId="7153" xr:uid="{00000000-0005-0000-0000-0000C31B0000}"/>
    <cellStyle name="Normal 2 2 10 2 19" xfId="7154" xr:uid="{00000000-0005-0000-0000-0000C41B0000}"/>
    <cellStyle name="Normal 2 2 10 2 19 10" xfId="7155" xr:uid="{00000000-0005-0000-0000-0000C51B0000}"/>
    <cellStyle name="Normal 2 2 10 2 19 11" xfId="7156" xr:uid="{00000000-0005-0000-0000-0000C61B0000}"/>
    <cellStyle name="Normal 2 2 10 2 19 12" xfId="7157" xr:uid="{00000000-0005-0000-0000-0000C71B0000}"/>
    <cellStyle name="Normal 2 2 10 2 19 13" xfId="7158" xr:uid="{00000000-0005-0000-0000-0000C81B0000}"/>
    <cellStyle name="Normal 2 2 10 2 19 14" xfId="7159" xr:uid="{00000000-0005-0000-0000-0000C91B0000}"/>
    <cellStyle name="Normal 2 2 10 2 19 2" xfId="7160" xr:uid="{00000000-0005-0000-0000-0000CA1B0000}"/>
    <cellStyle name="Normal 2 2 10 2 19 2 10" xfId="7161" xr:uid="{00000000-0005-0000-0000-0000CB1B0000}"/>
    <cellStyle name="Normal 2 2 10 2 19 2 2" xfId="7162" xr:uid="{00000000-0005-0000-0000-0000CC1B0000}"/>
    <cellStyle name="Normal 2 2 10 2 19 2 3" xfId="7163" xr:uid="{00000000-0005-0000-0000-0000CD1B0000}"/>
    <cellStyle name="Normal 2 2 10 2 19 2 4" xfId="7164" xr:uid="{00000000-0005-0000-0000-0000CE1B0000}"/>
    <cellStyle name="Normal 2 2 10 2 19 2 5" xfId="7165" xr:uid="{00000000-0005-0000-0000-0000CF1B0000}"/>
    <cellStyle name="Normal 2 2 10 2 19 2 6" xfId="7166" xr:uid="{00000000-0005-0000-0000-0000D01B0000}"/>
    <cellStyle name="Normal 2 2 10 2 19 2 7" xfId="7167" xr:uid="{00000000-0005-0000-0000-0000D11B0000}"/>
    <cellStyle name="Normal 2 2 10 2 19 2 8" xfId="7168" xr:uid="{00000000-0005-0000-0000-0000D21B0000}"/>
    <cellStyle name="Normal 2 2 10 2 19 2 9" xfId="7169" xr:uid="{00000000-0005-0000-0000-0000D31B0000}"/>
    <cellStyle name="Normal 2 2 10 2 19 3" xfId="7170" xr:uid="{00000000-0005-0000-0000-0000D41B0000}"/>
    <cellStyle name="Normal 2 2 10 2 19 3 10" xfId="7171" xr:uid="{00000000-0005-0000-0000-0000D51B0000}"/>
    <cellStyle name="Normal 2 2 10 2 19 3 2" xfId="7172" xr:uid="{00000000-0005-0000-0000-0000D61B0000}"/>
    <cellStyle name="Normal 2 2 10 2 19 3 3" xfId="7173" xr:uid="{00000000-0005-0000-0000-0000D71B0000}"/>
    <cellStyle name="Normal 2 2 10 2 19 3 4" xfId="7174" xr:uid="{00000000-0005-0000-0000-0000D81B0000}"/>
    <cellStyle name="Normal 2 2 10 2 19 3 5" xfId="7175" xr:uid="{00000000-0005-0000-0000-0000D91B0000}"/>
    <cellStyle name="Normal 2 2 10 2 19 3 6" xfId="7176" xr:uid="{00000000-0005-0000-0000-0000DA1B0000}"/>
    <cellStyle name="Normal 2 2 10 2 19 3 7" xfId="7177" xr:uid="{00000000-0005-0000-0000-0000DB1B0000}"/>
    <cellStyle name="Normal 2 2 10 2 19 3 8" xfId="7178" xr:uid="{00000000-0005-0000-0000-0000DC1B0000}"/>
    <cellStyle name="Normal 2 2 10 2 19 3 9" xfId="7179" xr:uid="{00000000-0005-0000-0000-0000DD1B0000}"/>
    <cellStyle name="Normal 2 2 10 2 19 4" xfId="7180" xr:uid="{00000000-0005-0000-0000-0000DE1B0000}"/>
    <cellStyle name="Normal 2 2 10 2 19 4 10" xfId="7181" xr:uid="{00000000-0005-0000-0000-0000DF1B0000}"/>
    <cellStyle name="Normal 2 2 10 2 19 4 2" xfId="7182" xr:uid="{00000000-0005-0000-0000-0000E01B0000}"/>
    <cellStyle name="Normal 2 2 10 2 19 4 3" xfId="7183" xr:uid="{00000000-0005-0000-0000-0000E11B0000}"/>
    <cellStyle name="Normal 2 2 10 2 19 4 4" xfId="7184" xr:uid="{00000000-0005-0000-0000-0000E21B0000}"/>
    <cellStyle name="Normal 2 2 10 2 19 4 5" xfId="7185" xr:uid="{00000000-0005-0000-0000-0000E31B0000}"/>
    <cellStyle name="Normal 2 2 10 2 19 4 6" xfId="7186" xr:uid="{00000000-0005-0000-0000-0000E41B0000}"/>
    <cellStyle name="Normal 2 2 10 2 19 4 7" xfId="7187" xr:uid="{00000000-0005-0000-0000-0000E51B0000}"/>
    <cellStyle name="Normal 2 2 10 2 19 4 8" xfId="7188" xr:uid="{00000000-0005-0000-0000-0000E61B0000}"/>
    <cellStyle name="Normal 2 2 10 2 19 4 9" xfId="7189" xr:uid="{00000000-0005-0000-0000-0000E71B0000}"/>
    <cellStyle name="Normal 2 2 10 2 19 5" xfId="7190" xr:uid="{00000000-0005-0000-0000-0000E81B0000}"/>
    <cellStyle name="Normal 2 2 10 2 19 5 10" xfId="7191" xr:uid="{00000000-0005-0000-0000-0000E91B0000}"/>
    <cellStyle name="Normal 2 2 10 2 19 5 2" xfId="7192" xr:uid="{00000000-0005-0000-0000-0000EA1B0000}"/>
    <cellStyle name="Normal 2 2 10 2 19 5 3" xfId="7193" xr:uid="{00000000-0005-0000-0000-0000EB1B0000}"/>
    <cellStyle name="Normal 2 2 10 2 19 5 4" xfId="7194" xr:uid="{00000000-0005-0000-0000-0000EC1B0000}"/>
    <cellStyle name="Normal 2 2 10 2 19 5 5" xfId="7195" xr:uid="{00000000-0005-0000-0000-0000ED1B0000}"/>
    <cellStyle name="Normal 2 2 10 2 19 5 6" xfId="7196" xr:uid="{00000000-0005-0000-0000-0000EE1B0000}"/>
    <cellStyle name="Normal 2 2 10 2 19 5 7" xfId="7197" xr:uid="{00000000-0005-0000-0000-0000EF1B0000}"/>
    <cellStyle name="Normal 2 2 10 2 19 5 8" xfId="7198" xr:uid="{00000000-0005-0000-0000-0000F01B0000}"/>
    <cellStyle name="Normal 2 2 10 2 19 5 9" xfId="7199" xr:uid="{00000000-0005-0000-0000-0000F11B0000}"/>
    <cellStyle name="Normal 2 2 10 2 19 6" xfId="7200" xr:uid="{00000000-0005-0000-0000-0000F21B0000}"/>
    <cellStyle name="Normal 2 2 10 2 19 7" xfId="7201" xr:uid="{00000000-0005-0000-0000-0000F31B0000}"/>
    <cellStyle name="Normal 2 2 10 2 19 8" xfId="7202" xr:uid="{00000000-0005-0000-0000-0000F41B0000}"/>
    <cellStyle name="Normal 2 2 10 2 19 9" xfId="7203" xr:uid="{00000000-0005-0000-0000-0000F51B0000}"/>
    <cellStyle name="Normal 2 2 10 2 2" xfId="7204" xr:uid="{00000000-0005-0000-0000-0000F61B0000}"/>
    <cellStyle name="Normal 2 2 10 2 2 10" xfId="7205" xr:uid="{00000000-0005-0000-0000-0000F71B0000}"/>
    <cellStyle name="Normal 2 2 10 2 2 11" xfId="7206" xr:uid="{00000000-0005-0000-0000-0000F81B0000}"/>
    <cellStyle name="Normal 2 2 10 2 2 12" xfId="7207" xr:uid="{00000000-0005-0000-0000-0000F91B0000}"/>
    <cellStyle name="Normal 2 2 10 2 2 13" xfId="7208" xr:uid="{00000000-0005-0000-0000-0000FA1B0000}"/>
    <cellStyle name="Normal 2 2 10 2 2 14" xfId="7209" xr:uid="{00000000-0005-0000-0000-0000FB1B0000}"/>
    <cellStyle name="Normal 2 2 10 2 2 2" xfId="7210" xr:uid="{00000000-0005-0000-0000-0000FC1B0000}"/>
    <cellStyle name="Normal 2 2 10 2 2 2 10" xfId="7211" xr:uid="{00000000-0005-0000-0000-0000FD1B0000}"/>
    <cellStyle name="Normal 2 2 10 2 2 2 2" xfId="7212" xr:uid="{00000000-0005-0000-0000-0000FE1B0000}"/>
    <cellStyle name="Normal 2 2 10 2 2 2 3" xfId="7213" xr:uid="{00000000-0005-0000-0000-0000FF1B0000}"/>
    <cellStyle name="Normal 2 2 10 2 2 2 4" xfId="7214" xr:uid="{00000000-0005-0000-0000-0000001C0000}"/>
    <cellStyle name="Normal 2 2 10 2 2 2 5" xfId="7215" xr:uid="{00000000-0005-0000-0000-0000011C0000}"/>
    <cellStyle name="Normal 2 2 10 2 2 2 6" xfId="7216" xr:uid="{00000000-0005-0000-0000-0000021C0000}"/>
    <cellStyle name="Normal 2 2 10 2 2 2 7" xfId="7217" xr:uid="{00000000-0005-0000-0000-0000031C0000}"/>
    <cellStyle name="Normal 2 2 10 2 2 2 8" xfId="7218" xr:uid="{00000000-0005-0000-0000-0000041C0000}"/>
    <cellStyle name="Normal 2 2 10 2 2 2 9" xfId="7219" xr:uid="{00000000-0005-0000-0000-0000051C0000}"/>
    <cellStyle name="Normal 2 2 10 2 2 3" xfId="7220" xr:uid="{00000000-0005-0000-0000-0000061C0000}"/>
    <cellStyle name="Normal 2 2 10 2 2 3 10" xfId="7221" xr:uid="{00000000-0005-0000-0000-0000071C0000}"/>
    <cellStyle name="Normal 2 2 10 2 2 3 2" xfId="7222" xr:uid="{00000000-0005-0000-0000-0000081C0000}"/>
    <cellStyle name="Normal 2 2 10 2 2 3 3" xfId="7223" xr:uid="{00000000-0005-0000-0000-0000091C0000}"/>
    <cellStyle name="Normal 2 2 10 2 2 3 4" xfId="7224" xr:uid="{00000000-0005-0000-0000-00000A1C0000}"/>
    <cellStyle name="Normal 2 2 10 2 2 3 5" xfId="7225" xr:uid="{00000000-0005-0000-0000-00000B1C0000}"/>
    <cellStyle name="Normal 2 2 10 2 2 3 6" xfId="7226" xr:uid="{00000000-0005-0000-0000-00000C1C0000}"/>
    <cellStyle name="Normal 2 2 10 2 2 3 7" xfId="7227" xr:uid="{00000000-0005-0000-0000-00000D1C0000}"/>
    <cellStyle name="Normal 2 2 10 2 2 3 8" xfId="7228" xr:uid="{00000000-0005-0000-0000-00000E1C0000}"/>
    <cellStyle name="Normal 2 2 10 2 2 3 9" xfId="7229" xr:uid="{00000000-0005-0000-0000-00000F1C0000}"/>
    <cellStyle name="Normal 2 2 10 2 2 4" xfId="7230" xr:uid="{00000000-0005-0000-0000-0000101C0000}"/>
    <cellStyle name="Normal 2 2 10 2 2 4 10" xfId="7231" xr:uid="{00000000-0005-0000-0000-0000111C0000}"/>
    <cellStyle name="Normal 2 2 10 2 2 4 2" xfId="7232" xr:uid="{00000000-0005-0000-0000-0000121C0000}"/>
    <cellStyle name="Normal 2 2 10 2 2 4 3" xfId="7233" xr:uid="{00000000-0005-0000-0000-0000131C0000}"/>
    <cellStyle name="Normal 2 2 10 2 2 4 4" xfId="7234" xr:uid="{00000000-0005-0000-0000-0000141C0000}"/>
    <cellStyle name="Normal 2 2 10 2 2 4 5" xfId="7235" xr:uid="{00000000-0005-0000-0000-0000151C0000}"/>
    <cellStyle name="Normal 2 2 10 2 2 4 6" xfId="7236" xr:uid="{00000000-0005-0000-0000-0000161C0000}"/>
    <cellStyle name="Normal 2 2 10 2 2 4 7" xfId="7237" xr:uid="{00000000-0005-0000-0000-0000171C0000}"/>
    <cellStyle name="Normal 2 2 10 2 2 4 8" xfId="7238" xr:uid="{00000000-0005-0000-0000-0000181C0000}"/>
    <cellStyle name="Normal 2 2 10 2 2 4 9" xfId="7239" xr:uid="{00000000-0005-0000-0000-0000191C0000}"/>
    <cellStyle name="Normal 2 2 10 2 2 5" xfId="7240" xr:uid="{00000000-0005-0000-0000-00001A1C0000}"/>
    <cellStyle name="Normal 2 2 10 2 2 5 10" xfId="7241" xr:uid="{00000000-0005-0000-0000-00001B1C0000}"/>
    <cellStyle name="Normal 2 2 10 2 2 5 2" xfId="7242" xr:uid="{00000000-0005-0000-0000-00001C1C0000}"/>
    <cellStyle name="Normal 2 2 10 2 2 5 3" xfId="7243" xr:uid="{00000000-0005-0000-0000-00001D1C0000}"/>
    <cellStyle name="Normal 2 2 10 2 2 5 4" xfId="7244" xr:uid="{00000000-0005-0000-0000-00001E1C0000}"/>
    <cellStyle name="Normal 2 2 10 2 2 5 5" xfId="7245" xr:uid="{00000000-0005-0000-0000-00001F1C0000}"/>
    <cellStyle name="Normal 2 2 10 2 2 5 6" xfId="7246" xr:uid="{00000000-0005-0000-0000-0000201C0000}"/>
    <cellStyle name="Normal 2 2 10 2 2 5 7" xfId="7247" xr:uid="{00000000-0005-0000-0000-0000211C0000}"/>
    <cellStyle name="Normal 2 2 10 2 2 5 8" xfId="7248" xr:uid="{00000000-0005-0000-0000-0000221C0000}"/>
    <cellStyle name="Normal 2 2 10 2 2 5 9" xfId="7249" xr:uid="{00000000-0005-0000-0000-0000231C0000}"/>
    <cellStyle name="Normal 2 2 10 2 2 6" xfId="7250" xr:uid="{00000000-0005-0000-0000-0000241C0000}"/>
    <cellStyle name="Normal 2 2 10 2 2 7" xfId="7251" xr:uid="{00000000-0005-0000-0000-0000251C0000}"/>
    <cellStyle name="Normal 2 2 10 2 2 8" xfId="7252" xr:uid="{00000000-0005-0000-0000-0000261C0000}"/>
    <cellStyle name="Normal 2 2 10 2 2 9" xfId="7253" xr:uid="{00000000-0005-0000-0000-0000271C0000}"/>
    <cellStyle name="Normal 2 2 10 2 20" xfId="7254" xr:uid="{00000000-0005-0000-0000-0000281C0000}"/>
    <cellStyle name="Normal 2 2 10 2 20 10" xfId="7255" xr:uid="{00000000-0005-0000-0000-0000291C0000}"/>
    <cellStyle name="Normal 2 2 10 2 20 11" xfId="7256" xr:uid="{00000000-0005-0000-0000-00002A1C0000}"/>
    <cellStyle name="Normal 2 2 10 2 20 12" xfId="7257" xr:uid="{00000000-0005-0000-0000-00002B1C0000}"/>
    <cellStyle name="Normal 2 2 10 2 20 13" xfId="7258" xr:uid="{00000000-0005-0000-0000-00002C1C0000}"/>
    <cellStyle name="Normal 2 2 10 2 20 14" xfId="7259" xr:uid="{00000000-0005-0000-0000-00002D1C0000}"/>
    <cellStyle name="Normal 2 2 10 2 20 2" xfId="7260" xr:uid="{00000000-0005-0000-0000-00002E1C0000}"/>
    <cellStyle name="Normal 2 2 10 2 20 2 10" xfId="7261" xr:uid="{00000000-0005-0000-0000-00002F1C0000}"/>
    <cellStyle name="Normal 2 2 10 2 20 2 2" xfId="7262" xr:uid="{00000000-0005-0000-0000-0000301C0000}"/>
    <cellStyle name="Normal 2 2 10 2 20 2 3" xfId="7263" xr:uid="{00000000-0005-0000-0000-0000311C0000}"/>
    <cellStyle name="Normal 2 2 10 2 20 2 4" xfId="7264" xr:uid="{00000000-0005-0000-0000-0000321C0000}"/>
    <cellStyle name="Normal 2 2 10 2 20 2 5" xfId="7265" xr:uid="{00000000-0005-0000-0000-0000331C0000}"/>
    <cellStyle name="Normal 2 2 10 2 20 2 6" xfId="7266" xr:uid="{00000000-0005-0000-0000-0000341C0000}"/>
    <cellStyle name="Normal 2 2 10 2 20 2 7" xfId="7267" xr:uid="{00000000-0005-0000-0000-0000351C0000}"/>
    <cellStyle name="Normal 2 2 10 2 20 2 8" xfId="7268" xr:uid="{00000000-0005-0000-0000-0000361C0000}"/>
    <cellStyle name="Normal 2 2 10 2 20 2 9" xfId="7269" xr:uid="{00000000-0005-0000-0000-0000371C0000}"/>
    <cellStyle name="Normal 2 2 10 2 20 3" xfId="7270" xr:uid="{00000000-0005-0000-0000-0000381C0000}"/>
    <cellStyle name="Normal 2 2 10 2 20 3 10" xfId="7271" xr:uid="{00000000-0005-0000-0000-0000391C0000}"/>
    <cellStyle name="Normal 2 2 10 2 20 3 2" xfId="7272" xr:uid="{00000000-0005-0000-0000-00003A1C0000}"/>
    <cellStyle name="Normal 2 2 10 2 20 3 3" xfId="7273" xr:uid="{00000000-0005-0000-0000-00003B1C0000}"/>
    <cellStyle name="Normal 2 2 10 2 20 3 4" xfId="7274" xr:uid="{00000000-0005-0000-0000-00003C1C0000}"/>
    <cellStyle name="Normal 2 2 10 2 20 3 5" xfId="7275" xr:uid="{00000000-0005-0000-0000-00003D1C0000}"/>
    <cellStyle name="Normal 2 2 10 2 20 3 6" xfId="7276" xr:uid="{00000000-0005-0000-0000-00003E1C0000}"/>
    <cellStyle name="Normal 2 2 10 2 20 3 7" xfId="7277" xr:uid="{00000000-0005-0000-0000-00003F1C0000}"/>
    <cellStyle name="Normal 2 2 10 2 20 3 8" xfId="7278" xr:uid="{00000000-0005-0000-0000-0000401C0000}"/>
    <cellStyle name="Normal 2 2 10 2 20 3 9" xfId="7279" xr:uid="{00000000-0005-0000-0000-0000411C0000}"/>
    <cellStyle name="Normal 2 2 10 2 20 4" xfId="7280" xr:uid="{00000000-0005-0000-0000-0000421C0000}"/>
    <cellStyle name="Normal 2 2 10 2 20 4 10" xfId="7281" xr:uid="{00000000-0005-0000-0000-0000431C0000}"/>
    <cellStyle name="Normal 2 2 10 2 20 4 2" xfId="7282" xr:uid="{00000000-0005-0000-0000-0000441C0000}"/>
    <cellStyle name="Normal 2 2 10 2 20 4 3" xfId="7283" xr:uid="{00000000-0005-0000-0000-0000451C0000}"/>
    <cellStyle name="Normal 2 2 10 2 20 4 4" xfId="7284" xr:uid="{00000000-0005-0000-0000-0000461C0000}"/>
    <cellStyle name="Normal 2 2 10 2 20 4 5" xfId="7285" xr:uid="{00000000-0005-0000-0000-0000471C0000}"/>
    <cellStyle name="Normal 2 2 10 2 20 4 6" xfId="7286" xr:uid="{00000000-0005-0000-0000-0000481C0000}"/>
    <cellStyle name="Normal 2 2 10 2 20 4 7" xfId="7287" xr:uid="{00000000-0005-0000-0000-0000491C0000}"/>
    <cellStyle name="Normal 2 2 10 2 20 4 8" xfId="7288" xr:uid="{00000000-0005-0000-0000-00004A1C0000}"/>
    <cellStyle name="Normal 2 2 10 2 20 4 9" xfId="7289" xr:uid="{00000000-0005-0000-0000-00004B1C0000}"/>
    <cellStyle name="Normal 2 2 10 2 20 5" xfId="7290" xr:uid="{00000000-0005-0000-0000-00004C1C0000}"/>
    <cellStyle name="Normal 2 2 10 2 20 5 10" xfId="7291" xr:uid="{00000000-0005-0000-0000-00004D1C0000}"/>
    <cellStyle name="Normal 2 2 10 2 20 5 2" xfId="7292" xr:uid="{00000000-0005-0000-0000-00004E1C0000}"/>
    <cellStyle name="Normal 2 2 10 2 20 5 3" xfId="7293" xr:uid="{00000000-0005-0000-0000-00004F1C0000}"/>
    <cellStyle name="Normal 2 2 10 2 20 5 4" xfId="7294" xr:uid="{00000000-0005-0000-0000-0000501C0000}"/>
    <cellStyle name="Normal 2 2 10 2 20 5 5" xfId="7295" xr:uid="{00000000-0005-0000-0000-0000511C0000}"/>
    <cellStyle name="Normal 2 2 10 2 20 5 6" xfId="7296" xr:uid="{00000000-0005-0000-0000-0000521C0000}"/>
    <cellStyle name="Normal 2 2 10 2 20 5 7" xfId="7297" xr:uid="{00000000-0005-0000-0000-0000531C0000}"/>
    <cellStyle name="Normal 2 2 10 2 20 5 8" xfId="7298" xr:uid="{00000000-0005-0000-0000-0000541C0000}"/>
    <cellStyle name="Normal 2 2 10 2 20 5 9" xfId="7299" xr:uid="{00000000-0005-0000-0000-0000551C0000}"/>
    <cellStyle name="Normal 2 2 10 2 20 6" xfId="7300" xr:uid="{00000000-0005-0000-0000-0000561C0000}"/>
    <cellStyle name="Normal 2 2 10 2 20 7" xfId="7301" xr:uid="{00000000-0005-0000-0000-0000571C0000}"/>
    <cellStyle name="Normal 2 2 10 2 20 8" xfId="7302" xr:uid="{00000000-0005-0000-0000-0000581C0000}"/>
    <cellStyle name="Normal 2 2 10 2 20 9" xfId="7303" xr:uid="{00000000-0005-0000-0000-0000591C0000}"/>
    <cellStyle name="Normal 2 2 10 2 21" xfId="7304" xr:uid="{00000000-0005-0000-0000-00005A1C0000}"/>
    <cellStyle name="Normal 2 2 10 2 21 10" xfId="7305" xr:uid="{00000000-0005-0000-0000-00005B1C0000}"/>
    <cellStyle name="Normal 2 2 10 2 21 11" xfId="7306" xr:uid="{00000000-0005-0000-0000-00005C1C0000}"/>
    <cellStyle name="Normal 2 2 10 2 21 12" xfId="7307" xr:uid="{00000000-0005-0000-0000-00005D1C0000}"/>
    <cellStyle name="Normal 2 2 10 2 21 13" xfId="7308" xr:uid="{00000000-0005-0000-0000-00005E1C0000}"/>
    <cellStyle name="Normal 2 2 10 2 21 14" xfId="7309" xr:uid="{00000000-0005-0000-0000-00005F1C0000}"/>
    <cellStyle name="Normal 2 2 10 2 21 2" xfId="7310" xr:uid="{00000000-0005-0000-0000-0000601C0000}"/>
    <cellStyle name="Normal 2 2 10 2 21 2 10" xfId="7311" xr:uid="{00000000-0005-0000-0000-0000611C0000}"/>
    <cellStyle name="Normal 2 2 10 2 21 2 2" xfId="7312" xr:uid="{00000000-0005-0000-0000-0000621C0000}"/>
    <cellStyle name="Normal 2 2 10 2 21 2 3" xfId="7313" xr:uid="{00000000-0005-0000-0000-0000631C0000}"/>
    <cellStyle name="Normal 2 2 10 2 21 2 4" xfId="7314" xr:uid="{00000000-0005-0000-0000-0000641C0000}"/>
    <cellStyle name="Normal 2 2 10 2 21 2 5" xfId="7315" xr:uid="{00000000-0005-0000-0000-0000651C0000}"/>
    <cellStyle name="Normal 2 2 10 2 21 2 6" xfId="7316" xr:uid="{00000000-0005-0000-0000-0000661C0000}"/>
    <cellStyle name="Normal 2 2 10 2 21 2 7" xfId="7317" xr:uid="{00000000-0005-0000-0000-0000671C0000}"/>
    <cellStyle name="Normal 2 2 10 2 21 2 8" xfId="7318" xr:uid="{00000000-0005-0000-0000-0000681C0000}"/>
    <cellStyle name="Normal 2 2 10 2 21 2 9" xfId="7319" xr:uid="{00000000-0005-0000-0000-0000691C0000}"/>
    <cellStyle name="Normal 2 2 10 2 21 3" xfId="7320" xr:uid="{00000000-0005-0000-0000-00006A1C0000}"/>
    <cellStyle name="Normal 2 2 10 2 21 3 10" xfId="7321" xr:uid="{00000000-0005-0000-0000-00006B1C0000}"/>
    <cellStyle name="Normal 2 2 10 2 21 3 2" xfId="7322" xr:uid="{00000000-0005-0000-0000-00006C1C0000}"/>
    <cellStyle name="Normal 2 2 10 2 21 3 3" xfId="7323" xr:uid="{00000000-0005-0000-0000-00006D1C0000}"/>
    <cellStyle name="Normal 2 2 10 2 21 3 4" xfId="7324" xr:uid="{00000000-0005-0000-0000-00006E1C0000}"/>
    <cellStyle name="Normal 2 2 10 2 21 3 5" xfId="7325" xr:uid="{00000000-0005-0000-0000-00006F1C0000}"/>
    <cellStyle name="Normal 2 2 10 2 21 3 6" xfId="7326" xr:uid="{00000000-0005-0000-0000-0000701C0000}"/>
    <cellStyle name="Normal 2 2 10 2 21 3 7" xfId="7327" xr:uid="{00000000-0005-0000-0000-0000711C0000}"/>
    <cellStyle name="Normal 2 2 10 2 21 3 8" xfId="7328" xr:uid="{00000000-0005-0000-0000-0000721C0000}"/>
    <cellStyle name="Normal 2 2 10 2 21 3 9" xfId="7329" xr:uid="{00000000-0005-0000-0000-0000731C0000}"/>
    <cellStyle name="Normal 2 2 10 2 21 4" xfId="7330" xr:uid="{00000000-0005-0000-0000-0000741C0000}"/>
    <cellStyle name="Normal 2 2 10 2 21 4 10" xfId="7331" xr:uid="{00000000-0005-0000-0000-0000751C0000}"/>
    <cellStyle name="Normal 2 2 10 2 21 4 2" xfId="7332" xr:uid="{00000000-0005-0000-0000-0000761C0000}"/>
    <cellStyle name="Normal 2 2 10 2 21 4 3" xfId="7333" xr:uid="{00000000-0005-0000-0000-0000771C0000}"/>
    <cellStyle name="Normal 2 2 10 2 21 4 4" xfId="7334" xr:uid="{00000000-0005-0000-0000-0000781C0000}"/>
    <cellStyle name="Normal 2 2 10 2 21 4 5" xfId="7335" xr:uid="{00000000-0005-0000-0000-0000791C0000}"/>
    <cellStyle name="Normal 2 2 10 2 21 4 6" xfId="7336" xr:uid="{00000000-0005-0000-0000-00007A1C0000}"/>
    <cellStyle name="Normal 2 2 10 2 21 4 7" xfId="7337" xr:uid="{00000000-0005-0000-0000-00007B1C0000}"/>
    <cellStyle name="Normal 2 2 10 2 21 4 8" xfId="7338" xr:uid="{00000000-0005-0000-0000-00007C1C0000}"/>
    <cellStyle name="Normal 2 2 10 2 21 4 9" xfId="7339" xr:uid="{00000000-0005-0000-0000-00007D1C0000}"/>
    <cellStyle name="Normal 2 2 10 2 21 5" xfId="7340" xr:uid="{00000000-0005-0000-0000-00007E1C0000}"/>
    <cellStyle name="Normal 2 2 10 2 21 5 10" xfId="7341" xr:uid="{00000000-0005-0000-0000-00007F1C0000}"/>
    <cellStyle name="Normal 2 2 10 2 21 5 2" xfId="7342" xr:uid="{00000000-0005-0000-0000-0000801C0000}"/>
    <cellStyle name="Normal 2 2 10 2 21 5 3" xfId="7343" xr:uid="{00000000-0005-0000-0000-0000811C0000}"/>
    <cellStyle name="Normal 2 2 10 2 21 5 4" xfId="7344" xr:uid="{00000000-0005-0000-0000-0000821C0000}"/>
    <cellStyle name="Normal 2 2 10 2 21 5 5" xfId="7345" xr:uid="{00000000-0005-0000-0000-0000831C0000}"/>
    <cellStyle name="Normal 2 2 10 2 21 5 6" xfId="7346" xr:uid="{00000000-0005-0000-0000-0000841C0000}"/>
    <cellStyle name="Normal 2 2 10 2 21 5 7" xfId="7347" xr:uid="{00000000-0005-0000-0000-0000851C0000}"/>
    <cellStyle name="Normal 2 2 10 2 21 5 8" xfId="7348" xr:uid="{00000000-0005-0000-0000-0000861C0000}"/>
    <cellStyle name="Normal 2 2 10 2 21 5 9" xfId="7349" xr:uid="{00000000-0005-0000-0000-0000871C0000}"/>
    <cellStyle name="Normal 2 2 10 2 21 6" xfId="7350" xr:uid="{00000000-0005-0000-0000-0000881C0000}"/>
    <cellStyle name="Normal 2 2 10 2 21 7" xfId="7351" xr:uid="{00000000-0005-0000-0000-0000891C0000}"/>
    <cellStyle name="Normal 2 2 10 2 21 8" xfId="7352" xr:uid="{00000000-0005-0000-0000-00008A1C0000}"/>
    <cellStyle name="Normal 2 2 10 2 21 9" xfId="7353" xr:uid="{00000000-0005-0000-0000-00008B1C0000}"/>
    <cellStyle name="Normal 2 2 10 2 22" xfId="7354" xr:uid="{00000000-0005-0000-0000-00008C1C0000}"/>
    <cellStyle name="Normal 2 2 10 2 22 10" xfId="7355" xr:uid="{00000000-0005-0000-0000-00008D1C0000}"/>
    <cellStyle name="Normal 2 2 10 2 22 11" xfId="7356" xr:uid="{00000000-0005-0000-0000-00008E1C0000}"/>
    <cellStyle name="Normal 2 2 10 2 22 12" xfId="7357" xr:uid="{00000000-0005-0000-0000-00008F1C0000}"/>
    <cellStyle name="Normal 2 2 10 2 22 13" xfId="7358" xr:uid="{00000000-0005-0000-0000-0000901C0000}"/>
    <cellStyle name="Normal 2 2 10 2 22 14" xfId="7359" xr:uid="{00000000-0005-0000-0000-0000911C0000}"/>
    <cellStyle name="Normal 2 2 10 2 22 2" xfId="7360" xr:uid="{00000000-0005-0000-0000-0000921C0000}"/>
    <cellStyle name="Normal 2 2 10 2 22 2 10" xfId="7361" xr:uid="{00000000-0005-0000-0000-0000931C0000}"/>
    <cellStyle name="Normal 2 2 10 2 22 2 2" xfId="7362" xr:uid="{00000000-0005-0000-0000-0000941C0000}"/>
    <cellStyle name="Normal 2 2 10 2 22 2 3" xfId="7363" xr:uid="{00000000-0005-0000-0000-0000951C0000}"/>
    <cellStyle name="Normal 2 2 10 2 22 2 4" xfId="7364" xr:uid="{00000000-0005-0000-0000-0000961C0000}"/>
    <cellStyle name="Normal 2 2 10 2 22 2 5" xfId="7365" xr:uid="{00000000-0005-0000-0000-0000971C0000}"/>
    <cellStyle name="Normal 2 2 10 2 22 2 6" xfId="7366" xr:uid="{00000000-0005-0000-0000-0000981C0000}"/>
    <cellStyle name="Normal 2 2 10 2 22 2 7" xfId="7367" xr:uid="{00000000-0005-0000-0000-0000991C0000}"/>
    <cellStyle name="Normal 2 2 10 2 22 2 8" xfId="7368" xr:uid="{00000000-0005-0000-0000-00009A1C0000}"/>
    <cellStyle name="Normal 2 2 10 2 22 2 9" xfId="7369" xr:uid="{00000000-0005-0000-0000-00009B1C0000}"/>
    <cellStyle name="Normal 2 2 10 2 22 3" xfId="7370" xr:uid="{00000000-0005-0000-0000-00009C1C0000}"/>
    <cellStyle name="Normal 2 2 10 2 22 3 10" xfId="7371" xr:uid="{00000000-0005-0000-0000-00009D1C0000}"/>
    <cellStyle name="Normal 2 2 10 2 22 3 2" xfId="7372" xr:uid="{00000000-0005-0000-0000-00009E1C0000}"/>
    <cellStyle name="Normal 2 2 10 2 22 3 3" xfId="7373" xr:uid="{00000000-0005-0000-0000-00009F1C0000}"/>
    <cellStyle name="Normal 2 2 10 2 22 3 4" xfId="7374" xr:uid="{00000000-0005-0000-0000-0000A01C0000}"/>
    <cellStyle name="Normal 2 2 10 2 22 3 5" xfId="7375" xr:uid="{00000000-0005-0000-0000-0000A11C0000}"/>
    <cellStyle name="Normal 2 2 10 2 22 3 6" xfId="7376" xr:uid="{00000000-0005-0000-0000-0000A21C0000}"/>
    <cellStyle name="Normal 2 2 10 2 22 3 7" xfId="7377" xr:uid="{00000000-0005-0000-0000-0000A31C0000}"/>
    <cellStyle name="Normal 2 2 10 2 22 3 8" xfId="7378" xr:uid="{00000000-0005-0000-0000-0000A41C0000}"/>
    <cellStyle name="Normal 2 2 10 2 22 3 9" xfId="7379" xr:uid="{00000000-0005-0000-0000-0000A51C0000}"/>
    <cellStyle name="Normal 2 2 10 2 22 4" xfId="7380" xr:uid="{00000000-0005-0000-0000-0000A61C0000}"/>
    <cellStyle name="Normal 2 2 10 2 22 4 10" xfId="7381" xr:uid="{00000000-0005-0000-0000-0000A71C0000}"/>
    <cellStyle name="Normal 2 2 10 2 22 4 2" xfId="7382" xr:uid="{00000000-0005-0000-0000-0000A81C0000}"/>
    <cellStyle name="Normal 2 2 10 2 22 4 3" xfId="7383" xr:uid="{00000000-0005-0000-0000-0000A91C0000}"/>
    <cellStyle name="Normal 2 2 10 2 22 4 4" xfId="7384" xr:uid="{00000000-0005-0000-0000-0000AA1C0000}"/>
    <cellStyle name="Normal 2 2 10 2 22 4 5" xfId="7385" xr:uid="{00000000-0005-0000-0000-0000AB1C0000}"/>
    <cellStyle name="Normal 2 2 10 2 22 4 6" xfId="7386" xr:uid="{00000000-0005-0000-0000-0000AC1C0000}"/>
    <cellStyle name="Normal 2 2 10 2 22 4 7" xfId="7387" xr:uid="{00000000-0005-0000-0000-0000AD1C0000}"/>
    <cellStyle name="Normal 2 2 10 2 22 4 8" xfId="7388" xr:uid="{00000000-0005-0000-0000-0000AE1C0000}"/>
    <cellStyle name="Normal 2 2 10 2 22 4 9" xfId="7389" xr:uid="{00000000-0005-0000-0000-0000AF1C0000}"/>
    <cellStyle name="Normal 2 2 10 2 22 5" xfId="7390" xr:uid="{00000000-0005-0000-0000-0000B01C0000}"/>
    <cellStyle name="Normal 2 2 10 2 22 5 10" xfId="7391" xr:uid="{00000000-0005-0000-0000-0000B11C0000}"/>
    <cellStyle name="Normal 2 2 10 2 22 5 2" xfId="7392" xr:uid="{00000000-0005-0000-0000-0000B21C0000}"/>
    <cellStyle name="Normal 2 2 10 2 22 5 3" xfId="7393" xr:uid="{00000000-0005-0000-0000-0000B31C0000}"/>
    <cellStyle name="Normal 2 2 10 2 22 5 4" xfId="7394" xr:uid="{00000000-0005-0000-0000-0000B41C0000}"/>
    <cellStyle name="Normal 2 2 10 2 22 5 5" xfId="7395" xr:uid="{00000000-0005-0000-0000-0000B51C0000}"/>
    <cellStyle name="Normal 2 2 10 2 22 5 6" xfId="7396" xr:uid="{00000000-0005-0000-0000-0000B61C0000}"/>
    <cellStyle name="Normal 2 2 10 2 22 5 7" xfId="7397" xr:uid="{00000000-0005-0000-0000-0000B71C0000}"/>
    <cellStyle name="Normal 2 2 10 2 22 5 8" xfId="7398" xr:uid="{00000000-0005-0000-0000-0000B81C0000}"/>
    <cellStyle name="Normal 2 2 10 2 22 5 9" xfId="7399" xr:uid="{00000000-0005-0000-0000-0000B91C0000}"/>
    <cellStyle name="Normal 2 2 10 2 22 6" xfId="7400" xr:uid="{00000000-0005-0000-0000-0000BA1C0000}"/>
    <cellStyle name="Normal 2 2 10 2 22 7" xfId="7401" xr:uid="{00000000-0005-0000-0000-0000BB1C0000}"/>
    <cellStyle name="Normal 2 2 10 2 22 8" xfId="7402" xr:uid="{00000000-0005-0000-0000-0000BC1C0000}"/>
    <cellStyle name="Normal 2 2 10 2 22 9" xfId="7403" xr:uid="{00000000-0005-0000-0000-0000BD1C0000}"/>
    <cellStyle name="Normal 2 2 10 2 23" xfId="7404" xr:uid="{00000000-0005-0000-0000-0000BE1C0000}"/>
    <cellStyle name="Normal 2 2 10 2 23 10" xfId="7405" xr:uid="{00000000-0005-0000-0000-0000BF1C0000}"/>
    <cellStyle name="Normal 2 2 10 2 23 11" xfId="7406" xr:uid="{00000000-0005-0000-0000-0000C01C0000}"/>
    <cellStyle name="Normal 2 2 10 2 23 12" xfId="7407" xr:uid="{00000000-0005-0000-0000-0000C11C0000}"/>
    <cellStyle name="Normal 2 2 10 2 23 13" xfId="7408" xr:uid="{00000000-0005-0000-0000-0000C21C0000}"/>
    <cellStyle name="Normal 2 2 10 2 23 14" xfId="7409" xr:uid="{00000000-0005-0000-0000-0000C31C0000}"/>
    <cellStyle name="Normal 2 2 10 2 23 2" xfId="7410" xr:uid="{00000000-0005-0000-0000-0000C41C0000}"/>
    <cellStyle name="Normal 2 2 10 2 23 2 10" xfId="7411" xr:uid="{00000000-0005-0000-0000-0000C51C0000}"/>
    <cellStyle name="Normal 2 2 10 2 23 2 2" xfId="7412" xr:uid="{00000000-0005-0000-0000-0000C61C0000}"/>
    <cellStyle name="Normal 2 2 10 2 23 2 3" xfId="7413" xr:uid="{00000000-0005-0000-0000-0000C71C0000}"/>
    <cellStyle name="Normal 2 2 10 2 23 2 4" xfId="7414" xr:uid="{00000000-0005-0000-0000-0000C81C0000}"/>
    <cellStyle name="Normal 2 2 10 2 23 2 5" xfId="7415" xr:uid="{00000000-0005-0000-0000-0000C91C0000}"/>
    <cellStyle name="Normal 2 2 10 2 23 2 6" xfId="7416" xr:uid="{00000000-0005-0000-0000-0000CA1C0000}"/>
    <cellStyle name="Normal 2 2 10 2 23 2 7" xfId="7417" xr:uid="{00000000-0005-0000-0000-0000CB1C0000}"/>
    <cellStyle name="Normal 2 2 10 2 23 2 8" xfId="7418" xr:uid="{00000000-0005-0000-0000-0000CC1C0000}"/>
    <cellStyle name="Normal 2 2 10 2 23 2 9" xfId="7419" xr:uid="{00000000-0005-0000-0000-0000CD1C0000}"/>
    <cellStyle name="Normal 2 2 10 2 23 3" xfId="7420" xr:uid="{00000000-0005-0000-0000-0000CE1C0000}"/>
    <cellStyle name="Normal 2 2 10 2 23 3 10" xfId="7421" xr:uid="{00000000-0005-0000-0000-0000CF1C0000}"/>
    <cellStyle name="Normal 2 2 10 2 23 3 2" xfId="7422" xr:uid="{00000000-0005-0000-0000-0000D01C0000}"/>
    <cellStyle name="Normal 2 2 10 2 23 3 3" xfId="7423" xr:uid="{00000000-0005-0000-0000-0000D11C0000}"/>
    <cellStyle name="Normal 2 2 10 2 23 3 4" xfId="7424" xr:uid="{00000000-0005-0000-0000-0000D21C0000}"/>
    <cellStyle name="Normal 2 2 10 2 23 3 5" xfId="7425" xr:uid="{00000000-0005-0000-0000-0000D31C0000}"/>
    <cellStyle name="Normal 2 2 10 2 23 3 6" xfId="7426" xr:uid="{00000000-0005-0000-0000-0000D41C0000}"/>
    <cellStyle name="Normal 2 2 10 2 23 3 7" xfId="7427" xr:uid="{00000000-0005-0000-0000-0000D51C0000}"/>
    <cellStyle name="Normal 2 2 10 2 23 3 8" xfId="7428" xr:uid="{00000000-0005-0000-0000-0000D61C0000}"/>
    <cellStyle name="Normal 2 2 10 2 23 3 9" xfId="7429" xr:uid="{00000000-0005-0000-0000-0000D71C0000}"/>
    <cellStyle name="Normal 2 2 10 2 23 4" xfId="7430" xr:uid="{00000000-0005-0000-0000-0000D81C0000}"/>
    <cellStyle name="Normal 2 2 10 2 23 4 10" xfId="7431" xr:uid="{00000000-0005-0000-0000-0000D91C0000}"/>
    <cellStyle name="Normal 2 2 10 2 23 4 2" xfId="7432" xr:uid="{00000000-0005-0000-0000-0000DA1C0000}"/>
    <cellStyle name="Normal 2 2 10 2 23 4 3" xfId="7433" xr:uid="{00000000-0005-0000-0000-0000DB1C0000}"/>
    <cellStyle name="Normal 2 2 10 2 23 4 4" xfId="7434" xr:uid="{00000000-0005-0000-0000-0000DC1C0000}"/>
    <cellStyle name="Normal 2 2 10 2 23 4 5" xfId="7435" xr:uid="{00000000-0005-0000-0000-0000DD1C0000}"/>
    <cellStyle name="Normal 2 2 10 2 23 4 6" xfId="7436" xr:uid="{00000000-0005-0000-0000-0000DE1C0000}"/>
    <cellStyle name="Normal 2 2 10 2 23 4 7" xfId="7437" xr:uid="{00000000-0005-0000-0000-0000DF1C0000}"/>
    <cellStyle name="Normal 2 2 10 2 23 4 8" xfId="7438" xr:uid="{00000000-0005-0000-0000-0000E01C0000}"/>
    <cellStyle name="Normal 2 2 10 2 23 4 9" xfId="7439" xr:uid="{00000000-0005-0000-0000-0000E11C0000}"/>
    <cellStyle name="Normal 2 2 10 2 23 5" xfId="7440" xr:uid="{00000000-0005-0000-0000-0000E21C0000}"/>
    <cellStyle name="Normal 2 2 10 2 23 5 10" xfId="7441" xr:uid="{00000000-0005-0000-0000-0000E31C0000}"/>
    <cellStyle name="Normal 2 2 10 2 23 5 2" xfId="7442" xr:uid="{00000000-0005-0000-0000-0000E41C0000}"/>
    <cellStyle name="Normal 2 2 10 2 23 5 3" xfId="7443" xr:uid="{00000000-0005-0000-0000-0000E51C0000}"/>
    <cellStyle name="Normal 2 2 10 2 23 5 4" xfId="7444" xr:uid="{00000000-0005-0000-0000-0000E61C0000}"/>
    <cellStyle name="Normal 2 2 10 2 23 5 5" xfId="7445" xr:uid="{00000000-0005-0000-0000-0000E71C0000}"/>
    <cellStyle name="Normal 2 2 10 2 23 5 6" xfId="7446" xr:uid="{00000000-0005-0000-0000-0000E81C0000}"/>
    <cellStyle name="Normal 2 2 10 2 23 5 7" xfId="7447" xr:uid="{00000000-0005-0000-0000-0000E91C0000}"/>
    <cellStyle name="Normal 2 2 10 2 23 5 8" xfId="7448" xr:uid="{00000000-0005-0000-0000-0000EA1C0000}"/>
    <cellStyle name="Normal 2 2 10 2 23 5 9" xfId="7449" xr:uid="{00000000-0005-0000-0000-0000EB1C0000}"/>
    <cellStyle name="Normal 2 2 10 2 23 6" xfId="7450" xr:uid="{00000000-0005-0000-0000-0000EC1C0000}"/>
    <cellStyle name="Normal 2 2 10 2 23 7" xfId="7451" xr:uid="{00000000-0005-0000-0000-0000ED1C0000}"/>
    <cellStyle name="Normal 2 2 10 2 23 8" xfId="7452" xr:uid="{00000000-0005-0000-0000-0000EE1C0000}"/>
    <cellStyle name="Normal 2 2 10 2 23 9" xfId="7453" xr:uid="{00000000-0005-0000-0000-0000EF1C0000}"/>
    <cellStyle name="Normal 2 2 10 2 24" xfId="7454" xr:uid="{00000000-0005-0000-0000-0000F01C0000}"/>
    <cellStyle name="Normal 2 2 10 2 24 10" xfId="7455" xr:uid="{00000000-0005-0000-0000-0000F11C0000}"/>
    <cellStyle name="Normal 2 2 10 2 24 11" xfId="7456" xr:uid="{00000000-0005-0000-0000-0000F21C0000}"/>
    <cellStyle name="Normal 2 2 10 2 24 12" xfId="7457" xr:uid="{00000000-0005-0000-0000-0000F31C0000}"/>
    <cellStyle name="Normal 2 2 10 2 24 13" xfId="7458" xr:uid="{00000000-0005-0000-0000-0000F41C0000}"/>
    <cellStyle name="Normal 2 2 10 2 24 14" xfId="7459" xr:uid="{00000000-0005-0000-0000-0000F51C0000}"/>
    <cellStyle name="Normal 2 2 10 2 24 2" xfId="7460" xr:uid="{00000000-0005-0000-0000-0000F61C0000}"/>
    <cellStyle name="Normal 2 2 10 2 24 2 10" xfId="7461" xr:uid="{00000000-0005-0000-0000-0000F71C0000}"/>
    <cellStyle name="Normal 2 2 10 2 24 2 2" xfId="7462" xr:uid="{00000000-0005-0000-0000-0000F81C0000}"/>
    <cellStyle name="Normal 2 2 10 2 24 2 3" xfId="7463" xr:uid="{00000000-0005-0000-0000-0000F91C0000}"/>
    <cellStyle name="Normal 2 2 10 2 24 2 4" xfId="7464" xr:uid="{00000000-0005-0000-0000-0000FA1C0000}"/>
    <cellStyle name="Normal 2 2 10 2 24 2 5" xfId="7465" xr:uid="{00000000-0005-0000-0000-0000FB1C0000}"/>
    <cellStyle name="Normal 2 2 10 2 24 2 6" xfId="7466" xr:uid="{00000000-0005-0000-0000-0000FC1C0000}"/>
    <cellStyle name="Normal 2 2 10 2 24 2 7" xfId="7467" xr:uid="{00000000-0005-0000-0000-0000FD1C0000}"/>
    <cellStyle name="Normal 2 2 10 2 24 2 8" xfId="7468" xr:uid="{00000000-0005-0000-0000-0000FE1C0000}"/>
    <cellStyle name="Normal 2 2 10 2 24 2 9" xfId="7469" xr:uid="{00000000-0005-0000-0000-0000FF1C0000}"/>
    <cellStyle name="Normal 2 2 10 2 24 3" xfId="7470" xr:uid="{00000000-0005-0000-0000-0000001D0000}"/>
    <cellStyle name="Normal 2 2 10 2 24 3 10" xfId="7471" xr:uid="{00000000-0005-0000-0000-0000011D0000}"/>
    <cellStyle name="Normal 2 2 10 2 24 3 2" xfId="7472" xr:uid="{00000000-0005-0000-0000-0000021D0000}"/>
    <cellStyle name="Normal 2 2 10 2 24 3 3" xfId="7473" xr:uid="{00000000-0005-0000-0000-0000031D0000}"/>
    <cellStyle name="Normal 2 2 10 2 24 3 4" xfId="7474" xr:uid="{00000000-0005-0000-0000-0000041D0000}"/>
    <cellStyle name="Normal 2 2 10 2 24 3 5" xfId="7475" xr:uid="{00000000-0005-0000-0000-0000051D0000}"/>
    <cellStyle name="Normal 2 2 10 2 24 3 6" xfId="7476" xr:uid="{00000000-0005-0000-0000-0000061D0000}"/>
    <cellStyle name="Normal 2 2 10 2 24 3 7" xfId="7477" xr:uid="{00000000-0005-0000-0000-0000071D0000}"/>
    <cellStyle name="Normal 2 2 10 2 24 3 8" xfId="7478" xr:uid="{00000000-0005-0000-0000-0000081D0000}"/>
    <cellStyle name="Normal 2 2 10 2 24 3 9" xfId="7479" xr:uid="{00000000-0005-0000-0000-0000091D0000}"/>
    <cellStyle name="Normal 2 2 10 2 24 4" xfId="7480" xr:uid="{00000000-0005-0000-0000-00000A1D0000}"/>
    <cellStyle name="Normal 2 2 10 2 24 4 10" xfId="7481" xr:uid="{00000000-0005-0000-0000-00000B1D0000}"/>
    <cellStyle name="Normal 2 2 10 2 24 4 2" xfId="7482" xr:uid="{00000000-0005-0000-0000-00000C1D0000}"/>
    <cellStyle name="Normal 2 2 10 2 24 4 3" xfId="7483" xr:uid="{00000000-0005-0000-0000-00000D1D0000}"/>
    <cellStyle name="Normal 2 2 10 2 24 4 4" xfId="7484" xr:uid="{00000000-0005-0000-0000-00000E1D0000}"/>
    <cellStyle name="Normal 2 2 10 2 24 4 5" xfId="7485" xr:uid="{00000000-0005-0000-0000-00000F1D0000}"/>
    <cellStyle name="Normal 2 2 10 2 24 4 6" xfId="7486" xr:uid="{00000000-0005-0000-0000-0000101D0000}"/>
    <cellStyle name="Normal 2 2 10 2 24 4 7" xfId="7487" xr:uid="{00000000-0005-0000-0000-0000111D0000}"/>
    <cellStyle name="Normal 2 2 10 2 24 4 8" xfId="7488" xr:uid="{00000000-0005-0000-0000-0000121D0000}"/>
    <cellStyle name="Normal 2 2 10 2 24 4 9" xfId="7489" xr:uid="{00000000-0005-0000-0000-0000131D0000}"/>
    <cellStyle name="Normal 2 2 10 2 24 5" xfId="7490" xr:uid="{00000000-0005-0000-0000-0000141D0000}"/>
    <cellStyle name="Normal 2 2 10 2 24 5 10" xfId="7491" xr:uid="{00000000-0005-0000-0000-0000151D0000}"/>
    <cellStyle name="Normal 2 2 10 2 24 5 2" xfId="7492" xr:uid="{00000000-0005-0000-0000-0000161D0000}"/>
    <cellStyle name="Normal 2 2 10 2 24 5 3" xfId="7493" xr:uid="{00000000-0005-0000-0000-0000171D0000}"/>
    <cellStyle name="Normal 2 2 10 2 24 5 4" xfId="7494" xr:uid="{00000000-0005-0000-0000-0000181D0000}"/>
    <cellStyle name="Normal 2 2 10 2 24 5 5" xfId="7495" xr:uid="{00000000-0005-0000-0000-0000191D0000}"/>
    <cellStyle name="Normal 2 2 10 2 24 5 6" xfId="7496" xr:uid="{00000000-0005-0000-0000-00001A1D0000}"/>
    <cellStyle name="Normal 2 2 10 2 24 5 7" xfId="7497" xr:uid="{00000000-0005-0000-0000-00001B1D0000}"/>
    <cellStyle name="Normal 2 2 10 2 24 5 8" xfId="7498" xr:uid="{00000000-0005-0000-0000-00001C1D0000}"/>
    <cellStyle name="Normal 2 2 10 2 24 5 9" xfId="7499" xr:uid="{00000000-0005-0000-0000-00001D1D0000}"/>
    <cellStyle name="Normal 2 2 10 2 24 6" xfId="7500" xr:uid="{00000000-0005-0000-0000-00001E1D0000}"/>
    <cellStyle name="Normal 2 2 10 2 24 7" xfId="7501" xr:uid="{00000000-0005-0000-0000-00001F1D0000}"/>
    <cellStyle name="Normal 2 2 10 2 24 8" xfId="7502" xr:uid="{00000000-0005-0000-0000-0000201D0000}"/>
    <cellStyle name="Normal 2 2 10 2 24 9" xfId="7503" xr:uid="{00000000-0005-0000-0000-0000211D0000}"/>
    <cellStyle name="Normal 2 2 10 2 25" xfId="7504" xr:uid="{00000000-0005-0000-0000-0000221D0000}"/>
    <cellStyle name="Normal 2 2 10 2 25 10" xfId="7505" xr:uid="{00000000-0005-0000-0000-0000231D0000}"/>
    <cellStyle name="Normal 2 2 10 2 25 11" xfId="7506" xr:uid="{00000000-0005-0000-0000-0000241D0000}"/>
    <cellStyle name="Normal 2 2 10 2 25 12" xfId="7507" xr:uid="{00000000-0005-0000-0000-0000251D0000}"/>
    <cellStyle name="Normal 2 2 10 2 25 13" xfId="7508" xr:uid="{00000000-0005-0000-0000-0000261D0000}"/>
    <cellStyle name="Normal 2 2 10 2 25 14" xfId="7509" xr:uid="{00000000-0005-0000-0000-0000271D0000}"/>
    <cellStyle name="Normal 2 2 10 2 25 2" xfId="7510" xr:uid="{00000000-0005-0000-0000-0000281D0000}"/>
    <cellStyle name="Normal 2 2 10 2 25 2 10" xfId="7511" xr:uid="{00000000-0005-0000-0000-0000291D0000}"/>
    <cellStyle name="Normal 2 2 10 2 25 2 2" xfId="7512" xr:uid="{00000000-0005-0000-0000-00002A1D0000}"/>
    <cellStyle name="Normal 2 2 10 2 25 2 3" xfId="7513" xr:uid="{00000000-0005-0000-0000-00002B1D0000}"/>
    <cellStyle name="Normal 2 2 10 2 25 2 4" xfId="7514" xr:uid="{00000000-0005-0000-0000-00002C1D0000}"/>
    <cellStyle name="Normal 2 2 10 2 25 2 5" xfId="7515" xr:uid="{00000000-0005-0000-0000-00002D1D0000}"/>
    <cellStyle name="Normal 2 2 10 2 25 2 6" xfId="7516" xr:uid="{00000000-0005-0000-0000-00002E1D0000}"/>
    <cellStyle name="Normal 2 2 10 2 25 2 7" xfId="7517" xr:uid="{00000000-0005-0000-0000-00002F1D0000}"/>
    <cellStyle name="Normal 2 2 10 2 25 2 8" xfId="7518" xr:uid="{00000000-0005-0000-0000-0000301D0000}"/>
    <cellStyle name="Normal 2 2 10 2 25 2 9" xfId="7519" xr:uid="{00000000-0005-0000-0000-0000311D0000}"/>
    <cellStyle name="Normal 2 2 10 2 25 3" xfId="7520" xr:uid="{00000000-0005-0000-0000-0000321D0000}"/>
    <cellStyle name="Normal 2 2 10 2 25 3 10" xfId="7521" xr:uid="{00000000-0005-0000-0000-0000331D0000}"/>
    <cellStyle name="Normal 2 2 10 2 25 3 2" xfId="7522" xr:uid="{00000000-0005-0000-0000-0000341D0000}"/>
    <cellStyle name="Normal 2 2 10 2 25 3 3" xfId="7523" xr:uid="{00000000-0005-0000-0000-0000351D0000}"/>
    <cellStyle name="Normal 2 2 10 2 25 3 4" xfId="7524" xr:uid="{00000000-0005-0000-0000-0000361D0000}"/>
    <cellStyle name="Normal 2 2 10 2 25 3 5" xfId="7525" xr:uid="{00000000-0005-0000-0000-0000371D0000}"/>
    <cellStyle name="Normal 2 2 10 2 25 3 6" xfId="7526" xr:uid="{00000000-0005-0000-0000-0000381D0000}"/>
    <cellStyle name="Normal 2 2 10 2 25 3 7" xfId="7527" xr:uid="{00000000-0005-0000-0000-0000391D0000}"/>
    <cellStyle name="Normal 2 2 10 2 25 3 8" xfId="7528" xr:uid="{00000000-0005-0000-0000-00003A1D0000}"/>
    <cellStyle name="Normal 2 2 10 2 25 3 9" xfId="7529" xr:uid="{00000000-0005-0000-0000-00003B1D0000}"/>
    <cellStyle name="Normal 2 2 10 2 25 4" xfId="7530" xr:uid="{00000000-0005-0000-0000-00003C1D0000}"/>
    <cellStyle name="Normal 2 2 10 2 25 4 10" xfId="7531" xr:uid="{00000000-0005-0000-0000-00003D1D0000}"/>
    <cellStyle name="Normal 2 2 10 2 25 4 2" xfId="7532" xr:uid="{00000000-0005-0000-0000-00003E1D0000}"/>
    <cellStyle name="Normal 2 2 10 2 25 4 3" xfId="7533" xr:uid="{00000000-0005-0000-0000-00003F1D0000}"/>
    <cellStyle name="Normal 2 2 10 2 25 4 4" xfId="7534" xr:uid="{00000000-0005-0000-0000-0000401D0000}"/>
    <cellStyle name="Normal 2 2 10 2 25 4 5" xfId="7535" xr:uid="{00000000-0005-0000-0000-0000411D0000}"/>
    <cellStyle name="Normal 2 2 10 2 25 4 6" xfId="7536" xr:uid="{00000000-0005-0000-0000-0000421D0000}"/>
    <cellStyle name="Normal 2 2 10 2 25 4 7" xfId="7537" xr:uid="{00000000-0005-0000-0000-0000431D0000}"/>
    <cellStyle name="Normal 2 2 10 2 25 4 8" xfId="7538" xr:uid="{00000000-0005-0000-0000-0000441D0000}"/>
    <cellStyle name="Normal 2 2 10 2 25 4 9" xfId="7539" xr:uid="{00000000-0005-0000-0000-0000451D0000}"/>
    <cellStyle name="Normal 2 2 10 2 25 5" xfId="7540" xr:uid="{00000000-0005-0000-0000-0000461D0000}"/>
    <cellStyle name="Normal 2 2 10 2 25 5 10" xfId="7541" xr:uid="{00000000-0005-0000-0000-0000471D0000}"/>
    <cellStyle name="Normal 2 2 10 2 25 5 2" xfId="7542" xr:uid="{00000000-0005-0000-0000-0000481D0000}"/>
    <cellStyle name="Normal 2 2 10 2 25 5 3" xfId="7543" xr:uid="{00000000-0005-0000-0000-0000491D0000}"/>
    <cellStyle name="Normal 2 2 10 2 25 5 4" xfId="7544" xr:uid="{00000000-0005-0000-0000-00004A1D0000}"/>
    <cellStyle name="Normal 2 2 10 2 25 5 5" xfId="7545" xr:uid="{00000000-0005-0000-0000-00004B1D0000}"/>
    <cellStyle name="Normal 2 2 10 2 25 5 6" xfId="7546" xr:uid="{00000000-0005-0000-0000-00004C1D0000}"/>
    <cellStyle name="Normal 2 2 10 2 25 5 7" xfId="7547" xr:uid="{00000000-0005-0000-0000-00004D1D0000}"/>
    <cellStyle name="Normal 2 2 10 2 25 5 8" xfId="7548" xr:uid="{00000000-0005-0000-0000-00004E1D0000}"/>
    <cellStyle name="Normal 2 2 10 2 25 5 9" xfId="7549" xr:uid="{00000000-0005-0000-0000-00004F1D0000}"/>
    <cellStyle name="Normal 2 2 10 2 25 6" xfId="7550" xr:uid="{00000000-0005-0000-0000-0000501D0000}"/>
    <cellStyle name="Normal 2 2 10 2 25 7" xfId="7551" xr:uid="{00000000-0005-0000-0000-0000511D0000}"/>
    <cellStyle name="Normal 2 2 10 2 25 8" xfId="7552" xr:uid="{00000000-0005-0000-0000-0000521D0000}"/>
    <cellStyle name="Normal 2 2 10 2 25 9" xfId="7553" xr:uid="{00000000-0005-0000-0000-0000531D0000}"/>
    <cellStyle name="Normal 2 2 10 2 26" xfId="7554" xr:uid="{00000000-0005-0000-0000-0000541D0000}"/>
    <cellStyle name="Normal 2 2 10 2 26 10" xfId="7555" xr:uid="{00000000-0005-0000-0000-0000551D0000}"/>
    <cellStyle name="Normal 2 2 10 2 26 11" xfId="7556" xr:uid="{00000000-0005-0000-0000-0000561D0000}"/>
    <cellStyle name="Normal 2 2 10 2 26 12" xfId="7557" xr:uid="{00000000-0005-0000-0000-0000571D0000}"/>
    <cellStyle name="Normal 2 2 10 2 26 13" xfId="7558" xr:uid="{00000000-0005-0000-0000-0000581D0000}"/>
    <cellStyle name="Normal 2 2 10 2 26 14" xfId="7559" xr:uid="{00000000-0005-0000-0000-0000591D0000}"/>
    <cellStyle name="Normal 2 2 10 2 26 2" xfId="7560" xr:uid="{00000000-0005-0000-0000-00005A1D0000}"/>
    <cellStyle name="Normal 2 2 10 2 26 2 10" xfId="7561" xr:uid="{00000000-0005-0000-0000-00005B1D0000}"/>
    <cellStyle name="Normal 2 2 10 2 26 2 2" xfId="7562" xr:uid="{00000000-0005-0000-0000-00005C1D0000}"/>
    <cellStyle name="Normal 2 2 10 2 26 2 3" xfId="7563" xr:uid="{00000000-0005-0000-0000-00005D1D0000}"/>
    <cellStyle name="Normal 2 2 10 2 26 2 4" xfId="7564" xr:uid="{00000000-0005-0000-0000-00005E1D0000}"/>
    <cellStyle name="Normal 2 2 10 2 26 2 5" xfId="7565" xr:uid="{00000000-0005-0000-0000-00005F1D0000}"/>
    <cellStyle name="Normal 2 2 10 2 26 2 6" xfId="7566" xr:uid="{00000000-0005-0000-0000-0000601D0000}"/>
    <cellStyle name="Normal 2 2 10 2 26 2 7" xfId="7567" xr:uid="{00000000-0005-0000-0000-0000611D0000}"/>
    <cellStyle name="Normal 2 2 10 2 26 2 8" xfId="7568" xr:uid="{00000000-0005-0000-0000-0000621D0000}"/>
    <cellStyle name="Normal 2 2 10 2 26 2 9" xfId="7569" xr:uid="{00000000-0005-0000-0000-0000631D0000}"/>
    <cellStyle name="Normal 2 2 10 2 26 3" xfId="7570" xr:uid="{00000000-0005-0000-0000-0000641D0000}"/>
    <cellStyle name="Normal 2 2 10 2 26 3 10" xfId="7571" xr:uid="{00000000-0005-0000-0000-0000651D0000}"/>
    <cellStyle name="Normal 2 2 10 2 26 3 2" xfId="7572" xr:uid="{00000000-0005-0000-0000-0000661D0000}"/>
    <cellStyle name="Normal 2 2 10 2 26 3 3" xfId="7573" xr:uid="{00000000-0005-0000-0000-0000671D0000}"/>
    <cellStyle name="Normal 2 2 10 2 26 3 4" xfId="7574" xr:uid="{00000000-0005-0000-0000-0000681D0000}"/>
    <cellStyle name="Normal 2 2 10 2 26 3 5" xfId="7575" xr:uid="{00000000-0005-0000-0000-0000691D0000}"/>
    <cellStyle name="Normal 2 2 10 2 26 3 6" xfId="7576" xr:uid="{00000000-0005-0000-0000-00006A1D0000}"/>
    <cellStyle name="Normal 2 2 10 2 26 3 7" xfId="7577" xr:uid="{00000000-0005-0000-0000-00006B1D0000}"/>
    <cellStyle name="Normal 2 2 10 2 26 3 8" xfId="7578" xr:uid="{00000000-0005-0000-0000-00006C1D0000}"/>
    <cellStyle name="Normal 2 2 10 2 26 3 9" xfId="7579" xr:uid="{00000000-0005-0000-0000-00006D1D0000}"/>
    <cellStyle name="Normal 2 2 10 2 26 4" xfId="7580" xr:uid="{00000000-0005-0000-0000-00006E1D0000}"/>
    <cellStyle name="Normal 2 2 10 2 26 4 10" xfId="7581" xr:uid="{00000000-0005-0000-0000-00006F1D0000}"/>
    <cellStyle name="Normal 2 2 10 2 26 4 2" xfId="7582" xr:uid="{00000000-0005-0000-0000-0000701D0000}"/>
    <cellStyle name="Normal 2 2 10 2 26 4 3" xfId="7583" xr:uid="{00000000-0005-0000-0000-0000711D0000}"/>
    <cellStyle name="Normal 2 2 10 2 26 4 4" xfId="7584" xr:uid="{00000000-0005-0000-0000-0000721D0000}"/>
    <cellStyle name="Normal 2 2 10 2 26 4 5" xfId="7585" xr:uid="{00000000-0005-0000-0000-0000731D0000}"/>
    <cellStyle name="Normal 2 2 10 2 26 4 6" xfId="7586" xr:uid="{00000000-0005-0000-0000-0000741D0000}"/>
    <cellStyle name="Normal 2 2 10 2 26 4 7" xfId="7587" xr:uid="{00000000-0005-0000-0000-0000751D0000}"/>
    <cellStyle name="Normal 2 2 10 2 26 4 8" xfId="7588" xr:uid="{00000000-0005-0000-0000-0000761D0000}"/>
    <cellStyle name="Normal 2 2 10 2 26 4 9" xfId="7589" xr:uid="{00000000-0005-0000-0000-0000771D0000}"/>
    <cellStyle name="Normal 2 2 10 2 26 5" xfId="7590" xr:uid="{00000000-0005-0000-0000-0000781D0000}"/>
    <cellStyle name="Normal 2 2 10 2 26 5 10" xfId="7591" xr:uid="{00000000-0005-0000-0000-0000791D0000}"/>
    <cellStyle name="Normal 2 2 10 2 26 5 2" xfId="7592" xr:uid="{00000000-0005-0000-0000-00007A1D0000}"/>
    <cellStyle name="Normal 2 2 10 2 26 5 3" xfId="7593" xr:uid="{00000000-0005-0000-0000-00007B1D0000}"/>
    <cellStyle name="Normal 2 2 10 2 26 5 4" xfId="7594" xr:uid="{00000000-0005-0000-0000-00007C1D0000}"/>
    <cellStyle name="Normal 2 2 10 2 26 5 5" xfId="7595" xr:uid="{00000000-0005-0000-0000-00007D1D0000}"/>
    <cellStyle name="Normal 2 2 10 2 26 5 6" xfId="7596" xr:uid="{00000000-0005-0000-0000-00007E1D0000}"/>
    <cellStyle name="Normal 2 2 10 2 26 5 7" xfId="7597" xr:uid="{00000000-0005-0000-0000-00007F1D0000}"/>
    <cellStyle name="Normal 2 2 10 2 26 5 8" xfId="7598" xr:uid="{00000000-0005-0000-0000-0000801D0000}"/>
    <cellStyle name="Normal 2 2 10 2 26 5 9" xfId="7599" xr:uid="{00000000-0005-0000-0000-0000811D0000}"/>
    <cellStyle name="Normal 2 2 10 2 26 6" xfId="7600" xr:uid="{00000000-0005-0000-0000-0000821D0000}"/>
    <cellStyle name="Normal 2 2 10 2 26 7" xfId="7601" xr:uid="{00000000-0005-0000-0000-0000831D0000}"/>
    <cellStyle name="Normal 2 2 10 2 26 8" xfId="7602" xr:uid="{00000000-0005-0000-0000-0000841D0000}"/>
    <cellStyle name="Normal 2 2 10 2 26 9" xfId="7603" xr:uid="{00000000-0005-0000-0000-0000851D0000}"/>
    <cellStyle name="Normal 2 2 10 2 27" xfId="7604" xr:uid="{00000000-0005-0000-0000-0000861D0000}"/>
    <cellStyle name="Normal 2 2 10 2 27 10" xfId="7605" xr:uid="{00000000-0005-0000-0000-0000871D0000}"/>
    <cellStyle name="Normal 2 2 10 2 27 11" xfId="7606" xr:uid="{00000000-0005-0000-0000-0000881D0000}"/>
    <cellStyle name="Normal 2 2 10 2 27 12" xfId="7607" xr:uid="{00000000-0005-0000-0000-0000891D0000}"/>
    <cellStyle name="Normal 2 2 10 2 27 13" xfId="7608" xr:uid="{00000000-0005-0000-0000-00008A1D0000}"/>
    <cellStyle name="Normal 2 2 10 2 27 14" xfId="7609" xr:uid="{00000000-0005-0000-0000-00008B1D0000}"/>
    <cellStyle name="Normal 2 2 10 2 27 2" xfId="7610" xr:uid="{00000000-0005-0000-0000-00008C1D0000}"/>
    <cellStyle name="Normal 2 2 10 2 27 2 10" xfId="7611" xr:uid="{00000000-0005-0000-0000-00008D1D0000}"/>
    <cellStyle name="Normal 2 2 10 2 27 2 2" xfId="7612" xr:uid="{00000000-0005-0000-0000-00008E1D0000}"/>
    <cellStyle name="Normal 2 2 10 2 27 2 3" xfId="7613" xr:uid="{00000000-0005-0000-0000-00008F1D0000}"/>
    <cellStyle name="Normal 2 2 10 2 27 2 4" xfId="7614" xr:uid="{00000000-0005-0000-0000-0000901D0000}"/>
    <cellStyle name="Normal 2 2 10 2 27 2 5" xfId="7615" xr:uid="{00000000-0005-0000-0000-0000911D0000}"/>
    <cellStyle name="Normal 2 2 10 2 27 2 6" xfId="7616" xr:uid="{00000000-0005-0000-0000-0000921D0000}"/>
    <cellStyle name="Normal 2 2 10 2 27 2 7" xfId="7617" xr:uid="{00000000-0005-0000-0000-0000931D0000}"/>
    <cellStyle name="Normal 2 2 10 2 27 2 8" xfId="7618" xr:uid="{00000000-0005-0000-0000-0000941D0000}"/>
    <cellStyle name="Normal 2 2 10 2 27 2 9" xfId="7619" xr:uid="{00000000-0005-0000-0000-0000951D0000}"/>
    <cellStyle name="Normal 2 2 10 2 27 3" xfId="7620" xr:uid="{00000000-0005-0000-0000-0000961D0000}"/>
    <cellStyle name="Normal 2 2 10 2 27 3 10" xfId="7621" xr:uid="{00000000-0005-0000-0000-0000971D0000}"/>
    <cellStyle name="Normal 2 2 10 2 27 3 2" xfId="7622" xr:uid="{00000000-0005-0000-0000-0000981D0000}"/>
    <cellStyle name="Normal 2 2 10 2 27 3 3" xfId="7623" xr:uid="{00000000-0005-0000-0000-0000991D0000}"/>
    <cellStyle name="Normal 2 2 10 2 27 3 4" xfId="7624" xr:uid="{00000000-0005-0000-0000-00009A1D0000}"/>
    <cellStyle name="Normal 2 2 10 2 27 3 5" xfId="7625" xr:uid="{00000000-0005-0000-0000-00009B1D0000}"/>
    <cellStyle name="Normal 2 2 10 2 27 3 6" xfId="7626" xr:uid="{00000000-0005-0000-0000-00009C1D0000}"/>
    <cellStyle name="Normal 2 2 10 2 27 3 7" xfId="7627" xr:uid="{00000000-0005-0000-0000-00009D1D0000}"/>
    <cellStyle name="Normal 2 2 10 2 27 3 8" xfId="7628" xr:uid="{00000000-0005-0000-0000-00009E1D0000}"/>
    <cellStyle name="Normal 2 2 10 2 27 3 9" xfId="7629" xr:uid="{00000000-0005-0000-0000-00009F1D0000}"/>
    <cellStyle name="Normal 2 2 10 2 27 4" xfId="7630" xr:uid="{00000000-0005-0000-0000-0000A01D0000}"/>
    <cellStyle name="Normal 2 2 10 2 27 4 10" xfId="7631" xr:uid="{00000000-0005-0000-0000-0000A11D0000}"/>
    <cellStyle name="Normal 2 2 10 2 27 4 2" xfId="7632" xr:uid="{00000000-0005-0000-0000-0000A21D0000}"/>
    <cellStyle name="Normal 2 2 10 2 27 4 3" xfId="7633" xr:uid="{00000000-0005-0000-0000-0000A31D0000}"/>
    <cellStyle name="Normal 2 2 10 2 27 4 4" xfId="7634" xr:uid="{00000000-0005-0000-0000-0000A41D0000}"/>
    <cellStyle name="Normal 2 2 10 2 27 4 5" xfId="7635" xr:uid="{00000000-0005-0000-0000-0000A51D0000}"/>
    <cellStyle name="Normal 2 2 10 2 27 4 6" xfId="7636" xr:uid="{00000000-0005-0000-0000-0000A61D0000}"/>
    <cellStyle name="Normal 2 2 10 2 27 4 7" xfId="7637" xr:uid="{00000000-0005-0000-0000-0000A71D0000}"/>
    <cellStyle name="Normal 2 2 10 2 27 4 8" xfId="7638" xr:uid="{00000000-0005-0000-0000-0000A81D0000}"/>
    <cellStyle name="Normal 2 2 10 2 27 4 9" xfId="7639" xr:uid="{00000000-0005-0000-0000-0000A91D0000}"/>
    <cellStyle name="Normal 2 2 10 2 27 5" xfId="7640" xr:uid="{00000000-0005-0000-0000-0000AA1D0000}"/>
    <cellStyle name="Normal 2 2 10 2 27 5 10" xfId="7641" xr:uid="{00000000-0005-0000-0000-0000AB1D0000}"/>
    <cellStyle name="Normal 2 2 10 2 27 5 2" xfId="7642" xr:uid="{00000000-0005-0000-0000-0000AC1D0000}"/>
    <cellStyle name="Normal 2 2 10 2 27 5 3" xfId="7643" xr:uid="{00000000-0005-0000-0000-0000AD1D0000}"/>
    <cellStyle name="Normal 2 2 10 2 27 5 4" xfId="7644" xr:uid="{00000000-0005-0000-0000-0000AE1D0000}"/>
    <cellStyle name="Normal 2 2 10 2 27 5 5" xfId="7645" xr:uid="{00000000-0005-0000-0000-0000AF1D0000}"/>
    <cellStyle name="Normal 2 2 10 2 27 5 6" xfId="7646" xr:uid="{00000000-0005-0000-0000-0000B01D0000}"/>
    <cellStyle name="Normal 2 2 10 2 27 5 7" xfId="7647" xr:uid="{00000000-0005-0000-0000-0000B11D0000}"/>
    <cellStyle name="Normal 2 2 10 2 27 5 8" xfId="7648" xr:uid="{00000000-0005-0000-0000-0000B21D0000}"/>
    <cellStyle name="Normal 2 2 10 2 27 5 9" xfId="7649" xr:uid="{00000000-0005-0000-0000-0000B31D0000}"/>
    <cellStyle name="Normal 2 2 10 2 27 6" xfId="7650" xr:uid="{00000000-0005-0000-0000-0000B41D0000}"/>
    <cellStyle name="Normal 2 2 10 2 27 7" xfId="7651" xr:uid="{00000000-0005-0000-0000-0000B51D0000}"/>
    <cellStyle name="Normal 2 2 10 2 27 8" xfId="7652" xr:uid="{00000000-0005-0000-0000-0000B61D0000}"/>
    <cellStyle name="Normal 2 2 10 2 27 9" xfId="7653" xr:uid="{00000000-0005-0000-0000-0000B71D0000}"/>
    <cellStyle name="Normal 2 2 10 2 28" xfId="7654" xr:uid="{00000000-0005-0000-0000-0000B81D0000}"/>
    <cellStyle name="Normal 2 2 10 2 28 10" xfId="7655" xr:uid="{00000000-0005-0000-0000-0000B91D0000}"/>
    <cellStyle name="Normal 2 2 10 2 28 11" xfId="7656" xr:uid="{00000000-0005-0000-0000-0000BA1D0000}"/>
    <cellStyle name="Normal 2 2 10 2 28 12" xfId="7657" xr:uid="{00000000-0005-0000-0000-0000BB1D0000}"/>
    <cellStyle name="Normal 2 2 10 2 28 13" xfId="7658" xr:uid="{00000000-0005-0000-0000-0000BC1D0000}"/>
    <cellStyle name="Normal 2 2 10 2 28 14" xfId="7659" xr:uid="{00000000-0005-0000-0000-0000BD1D0000}"/>
    <cellStyle name="Normal 2 2 10 2 28 2" xfId="7660" xr:uid="{00000000-0005-0000-0000-0000BE1D0000}"/>
    <cellStyle name="Normal 2 2 10 2 28 2 10" xfId="7661" xr:uid="{00000000-0005-0000-0000-0000BF1D0000}"/>
    <cellStyle name="Normal 2 2 10 2 28 2 2" xfId="7662" xr:uid="{00000000-0005-0000-0000-0000C01D0000}"/>
    <cellStyle name="Normal 2 2 10 2 28 2 3" xfId="7663" xr:uid="{00000000-0005-0000-0000-0000C11D0000}"/>
    <cellStyle name="Normal 2 2 10 2 28 2 4" xfId="7664" xr:uid="{00000000-0005-0000-0000-0000C21D0000}"/>
    <cellStyle name="Normal 2 2 10 2 28 2 5" xfId="7665" xr:uid="{00000000-0005-0000-0000-0000C31D0000}"/>
    <cellStyle name="Normal 2 2 10 2 28 2 6" xfId="7666" xr:uid="{00000000-0005-0000-0000-0000C41D0000}"/>
    <cellStyle name="Normal 2 2 10 2 28 2 7" xfId="7667" xr:uid="{00000000-0005-0000-0000-0000C51D0000}"/>
    <cellStyle name="Normal 2 2 10 2 28 2 8" xfId="7668" xr:uid="{00000000-0005-0000-0000-0000C61D0000}"/>
    <cellStyle name="Normal 2 2 10 2 28 2 9" xfId="7669" xr:uid="{00000000-0005-0000-0000-0000C71D0000}"/>
    <cellStyle name="Normal 2 2 10 2 28 3" xfId="7670" xr:uid="{00000000-0005-0000-0000-0000C81D0000}"/>
    <cellStyle name="Normal 2 2 10 2 28 3 10" xfId="7671" xr:uid="{00000000-0005-0000-0000-0000C91D0000}"/>
    <cellStyle name="Normal 2 2 10 2 28 3 2" xfId="7672" xr:uid="{00000000-0005-0000-0000-0000CA1D0000}"/>
    <cellStyle name="Normal 2 2 10 2 28 3 3" xfId="7673" xr:uid="{00000000-0005-0000-0000-0000CB1D0000}"/>
    <cellStyle name="Normal 2 2 10 2 28 3 4" xfId="7674" xr:uid="{00000000-0005-0000-0000-0000CC1D0000}"/>
    <cellStyle name="Normal 2 2 10 2 28 3 5" xfId="7675" xr:uid="{00000000-0005-0000-0000-0000CD1D0000}"/>
    <cellStyle name="Normal 2 2 10 2 28 3 6" xfId="7676" xr:uid="{00000000-0005-0000-0000-0000CE1D0000}"/>
    <cellStyle name="Normal 2 2 10 2 28 3 7" xfId="7677" xr:uid="{00000000-0005-0000-0000-0000CF1D0000}"/>
    <cellStyle name="Normal 2 2 10 2 28 3 8" xfId="7678" xr:uid="{00000000-0005-0000-0000-0000D01D0000}"/>
    <cellStyle name="Normal 2 2 10 2 28 3 9" xfId="7679" xr:uid="{00000000-0005-0000-0000-0000D11D0000}"/>
    <cellStyle name="Normal 2 2 10 2 28 4" xfId="7680" xr:uid="{00000000-0005-0000-0000-0000D21D0000}"/>
    <cellStyle name="Normal 2 2 10 2 28 4 10" xfId="7681" xr:uid="{00000000-0005-0000-0000-0000D31D0000}"/>
    <cellStyle name="Normal 2 2 10 2 28 4 2" xfId="7682" xr:uid="{00000000-0005-0000-0000-0000D41D0000}"/>
    <cellStyle name="Normal 2 2 10 2 28 4 3" xfId="7683" xr:uid="{00000000-0005-0000-0000-0000D51D0000}"/>
    <cellStyle name="Normal 2 2 10 2 28 4 4" xfId="7684" xr:uid="{00000000-0005-0000-0000-0000D61D0000}"/>
    <cellStyle name="Normal 2 2 10 2 28 4 5" xfId="7685" xr:uid="{00000000-0005-0000-0000-0000D71D0000}"/>
    <cellStyle name="Normal 2 2 10 2 28 4 6" xfId="7686" xr:uid="{00000000-0005-0000-0000-0000D81D0000}"/>
    <cellStyle name="Normal 2 2 10 2 28 4 7" xfId="7687" xr:uid="{00000000-0005-0000-0000-0000D91D0000}"/>
    <cellStyle name="Normal 2 2 10 2 28 4 8" xfId="7688" xr:uid="{00000000-0005-0000-0000-0000DA1D0000}"/>
    <cellStyle name="Normal 2 2 10 2 28 4 9" xfId="7689" xr:uid="{00000000-0005-0000-0000-0000DB1D0000}"/>
    <cellStyle name="Normal 2 2 10 2 28 5" xfId="7690" xr:uid="{00000000-0005-0000-0000-0000DC1D0000}"/>
    <cellStyle name="Normal 2 2 10 2 28 5 10" xfId="7691" xr:uid="{00000000-0005-0000-0000-0000DD1D0000}"/>
    <cellStyle name="Normal 2 2 10 2 28 5 2" xfId="7692" xr:uid="{00000000-0005-0000-0000-0000DE1D0000}"/>
    <cellStyle name="Normal 2 2 10 2 28 5 3" xfId="7693" xr:uid="{00000000-0005-0000-0000-0000DF1D0000}"/>
    <cellStyle name="Normal 2 2 10 2 28 5 4" xfId="7694" xr:uid="{00000000-0005-0000-0000-0000E01D0000}"/>
    <cellStyle name="Normal 2 2 10 2 28 5 5" xfId="7695" xr:uid="{00000000-0005-0000-0000-0000E11D0000}"/>
    <cellStyle name="Normal 2 2 10 2 28 5 6" xfId="7696" xr:uid="{00000000-0005-0000-0000-0000E21D0000}"/>
    <cellStyle name="Normal 2 2 10 2 28 5 7" xfId="7697" xr:uid="{00000000-0005-0000-0000-0000E31D0000}"/>
    <cellStyle name="Normal 2 2 10 2 28 5 8" xfId="7698" xr:uid="{00000000-0005-0000-0000-0000E41D0000}"/>
    <cellStyle name="Normal 2 2 10 2 28 5 9" xfId="7699" xr:uid="{00000000-0005-0000-0000-0000E51D0000}"/>
    <cellStyle name="Normal 2 2 10 2 28 6" xfId="7700" xr:uid="{00000000-0005-0000-0000-0000E61D0000}"/>
    <cellStyle name="Normal 2 2 10 2 28 7" xfId="7701" xr:uid="{00000000-0005-0000-0000-0000E71D0000}"/>
    <cellStyle name="Normal 2 2 10 2 28 8" xfId="7702" xr:uid="{00000000-0005-0000-0000-0000E81D0000}"/>
    <cellStyle name="Normal 2 2 10 2 28 9" xfId="7703" xr:uid="{00000000-0005-0000-0000-0000E91D0000}"/>
    <cellStyle name="Normal 2 2 10 2 29" xfId="7704" xr:uid="{00000000-0005-0000-0000-0000EA1D0000}"/>
    <cellStyle name="Normal 2 2 10 2 29 10" xfId="7705" xr:uid="{00000000-0005-0000-0000-0000EB1D0000}"/>
    <cellStyle name="Normal 2 2 10 2 29 11" xfId="7706" xr:uid="{00000000-0005-0000-0000-0000EC1D0000}"/>
    <cellStyle name="Normal 2 2 10 2 29 12" xfId="7707" xr:uid="{00000000-0005-0000-0000-0000ED1D0000}"/>
    <cellStyle name="Normal 2 2 10 2 29 13" xfId="7708" xr:uid="{00000000-0005-0000-0000-0000EE1D0000}"/>
    <cellStyle name="Normal 2 2 10 2 29 14" xfId="7709" xr:uid="{00000000-0005-0000-0000-0000EF1D0000}"/>
    <cellStyle name="Normal 2 2 10 2 29 2" xfId="7710" xr:uid="{00000000-0005-0000-0000-0000F01D0000}"/>
    <cellStyle name="Normal 2 2 10 2 29 2 10" xfId="7711" xr:uid="{00000000-0005-0000-0000-0000F11D0000}"/>
    <cellStyle name="Normal 2 2 10 2 29 2 2" xfId="7712" xr:uid="{00000000-0005-0000-0000-0000F21D0000}"/>
    <cellStyle name="Normal 2 2 10 2 29 2 3" xfId="7713" xr:uid="{00000000-0005-0000-0000-0000F31D0000}"/>
    <cellStyle name="Normal 2 2 10 2 29 2 4" xfId="7714" xr:uid="{00000000-0005-0000-0000-0000F41D0000}"/>
    <cellStyle name="Normal 2 2 10 2 29 2 5" xfId="7715" xr:uid="{00000000-0005-0000-0000-0000F51D0000}"/>
    <cellStyle name="Normal 2 2 10 2 29 2 6" xfId="7716" xr:uid="{00000000-0005-0000-0000-0000F61D0000}"/>
    <cellStyle name="Normal 2 2 10 2 29 2 7" xfId="7717" xr:uid="{00000000-0005-0000-0000-0000F71D0000}"/>
    <cellStyle name="Normal 2 2 10 2 29 2 8" xfId="7718" xr:uid="{00000000-0005-0000-0000-0000F81D0000}"/>
    <cellStyle name="Normal 2 2 10 2 29 2 9" xfId="7719" xr:uid="{00000000-0005-0000-0000-0000F91D0000}"/>
    <cellStyle name="Normal 2 2 10 2 29 3" xfId="7720" xr:uid="{00000000-0005-0000-0000-0000FA1D0000}"/>
    <cellStyle name="Normal 2 2 10 2 29 3 10" xfId="7721" xr:uid="{00000000-0005-0000-0000-0000FB1D0000}"/>
    <cellStyle name="Normal 2 2 10 2 29 3 2" xfId="7722" xr:uid="{00000000-0005-0000-0000-0000FC1D0000}"/>
    <cellStyle name="Normal 2 2 10 2 29 3 3" xfId="7723" xr:uid="{00000000-0005-0000-0000-0000FD1D0000}"/>
    <cellStyle name="Normal 2 2 10 2 29 3 4" xfId="7724" xr:uid="{00000000-0005-0000-0000-0000FE1D0000}"/>
    <cellStyle name="Normal 2 2 10 2 29 3 5" xfId="7725" xr:uid="{00000000-0005-0000-0000-0000FF1D0000}"/>
    <cellStyle name="Normal 2 2 10 2 29 3 6" xfId="7726" xr:uid="{00000000-0005-0000-0000-0000001E0000}"/>
    <cellStyle name="Normal 2 2 10 2 29 3 7" xfId="7727" xr:uid="{00000000-0005-0000-0000-0000011E0000}"/>
    <cellStyle name="Normal 2 2 10 2 29 3 8" xfId="7728" xr:uid="{00000000-0005-0000-0000-0000021E0000}"/>
    <cellStyle name="Normal 2 2 10 2 29 3 9" xfId="7729" xr:uid="{00000000-0005-0000-0000-0000031E0000}"/>
    <cellStyle name="Normal 2 2 10 2 29 4" xfId="7730" xr:uid="{00000000-0005-0000-0000-0000041E0000}"/>
    <cellStyle name="Normal 2 2 10 2 29 4 10" xfId="7731" xr:uid="{00000000-0005-0000-0000-0000051E0000}"/>
    <cellStyle name="Normal 2 2 10 2 29 4 2" xfId="7732" xr:uid="{00000000-0005-0000-0000-0000061E0000}"/>
    <cellStyle name="Normal 2 2 10 2 29 4 3" xfId="7733" xr:uid="{00000000-0005-0000-0000-0000071E0000}"/>
    <cellStyle name="Normal 2 2 10 2 29 4 4" xfId="7734" xr:uid="{00000000-0005-0000-0000-0000081E0000}"/>
    <cellStyle name="Normal 2 2 10 2 29 4 5" xfId="7735" xr:uid="{00000000-0005-0000-0000-0000091E0000}"/>
    <cellStyle name="Normal 2 2 10 2 29 4 6" xfId="7736" xr:uid="{00000000-0005-0000-0000-00000A1E0000}"/>
    <cellStyle name="Normal 2 2 10 2 29 4 7" xfId="7737" xr:uid="{00000000-0005-0000-0000-00000B1E0000}"/>
    <cellStyle name="Normal 2 2 10 2 29 4 8" xfId="7738" xr:uid="{00000000-0005-0000-0000-00000C1E0000}"/>
    <cellStyle name="Normal 2 2 10 2 29 4 9" xfId="7739" xr:uid="{00000000-0005-0000-0000-00000D1E0000}"/>
    <cellStyle name="Normal 2 2 10 2 29 5" xfId="7740" xr:uid="{00000000-0005-0000-0000-00000E1E0000}"/>
    <cellStyle name="Normal 2 2 10 2 29 5 10" xfId="7741" xr:uid="{00000000-0005-0000-0000-00000F1E0000}"/>
    <cellStyle name="Normal 2 2 10 2 29 5 2" xfId="7742" xr:uid="{00000000-0005-0000-0000-0000101E0000}"/>
    <cellStyle name="Normal 2 2 10 2 29 5 3" xfId="7743" xr:uid="{00000000-0005-0000-0000-0000111E0000}"/>
    <cellStyle name="Normal 2 2 10 2 29 5 4" xfId="7744" xr:uid="{00000000-0005-0000-0000-0000121E0000}"/>
    <cellStyle name="Normal 2 2 10 2 29 5 5" xfId="7745" xr:uid="{00000000-0005-0000-0000-0000131E0000}"/>
    <cellStyle name="Normal 2 2 10 2 29 5 6" xfId="7746" xr:uid="{00000000-0005-0000-0000-0000141E0000}"/>
    <cellStyle name="Normal 2 2 10 2 29 5 7" xfId="7747" xr:uid="{00000000-0005-0000-0000-0000151E0000}"/>
    <cellStyle name="Normal 2 2 10 2 29 5 8" xfId="7748" xr:uid="{00000000-0005-0000-0000-0000161E0000}"/>
    <cellStyle name="Normal 2 2 10 2 29 5 9" xfId="7749" xr:uid="{00000000-0005-0000-0000-0000171E0000}"/>
    <cellStyle name="Normal 2 2 10 2 29 6" xfId="7750" xr:uid="{00000000-0005-0000-0000-0000181E0000}"/>
    <cellStyle name="Normal 2 2 10 2 29 7" xfId="7751" xr:uid="{00000000-0005-0000-0000-0000191E0000}"/>
    <cellStyle name="Normal 2 2 10 2 29 8" xfId="7752" xr:uid="{00000000-0005-0000-0000-00001A1E0000}"/>
    <cellStyle name="Normal 2 2 10 2 29 9" xfId="7753" xr:uid="{00000000-0005-0000-0000-00001B1E0000}"/>
    <cellStyle name="Normal 2 2 10 2 3" xfId="7754" xr:uid="{00000000-0005-0000-0000-00001C1E0000}"/>
    <cellStyle name="Normal 2 2 10 2 3 10" xfId="7755" xr:uid="{00000000-0005-0000-0000-00001D1E0000}"/>
    <cellStyle name="Normal 2 2 10 2 3 11" xfId="7756" xr:uid="{00000000-0005-0000-0000-00001E1E0000}"/>
    <cellStyle name="Normal 2 2 10 2 3 12" xfId="7757" xr:uid="{00000000-0005-0000-0000-00001F1E0000}"/>
    <cellStyle name="Normal 2 2 10 2 3 13" xfId="7758" xr:uid="{00000000-0005-0000-0000-0000201E0000}"/>
    <cellStyle name="Normal 2 2 10 2 3 14" xfId="7759" xr:uid="{00000000-0005-0000-0000-0000211E0000}"/>
    <cellStyle name="Normal 2 2 10 2 3 2" xfId="7760" xr:uid="{00000000-0005-0000-0000-0000221E0000}"/>
    <cellStyle name="Normal 2 2 10 2 3 2 10" xfId="7761" xr:uid="{00000000-0005-0000-0000-0000231E0000}"/>
    <cellStyle name="Normal 2 2 10 2 3 2 2" xfId="7762" xr:uid="{00000000-0005-0000-0000-0000241E0000}"/>
    <cellStyle name="Normal 2 2 10 2 3 2 3" xfId="7763" xr:uid="{00000000-0005-0000-0000-0000251E0000}"/>
    <cellStyle name="Normal 2 2 10 2 3 2 4" xfId="7764" xr:uid="{00000000-0005-0000-0000-0000261E0000}"/>
    <cellStyle name="Normal 2 2 10 2 3 2 5" xfId="7765" xr:uid="{00000000-0005-0000-0000-0000271E0000}"/>
    <cellStyle name="Normal 2 2 10 2 3 2 6" xfId="7766" xr:uid="{00000000-0005-0000-0000-0000281E0000}"/>
    <cellStyle name="Normal 2 2 10 2 3 2 7" xfId="7767" xr:uid="{00000000-0005-0000-0000-0000291E0000}"/>
    <cellStyle name="Normal 2 2 10 2 3 2 8" xfId="7768" xr:uid="{00000000-0005-0000-0000-00002A1E0000}"/>
    <cellStyle name="Normal 2 2 10 2 3 2 9" xfId="7769" xr:uid="{00000000-0005-0000-0000-00002B1E0000}"/>
    <cellStyle name="Normal 2 2 10 2 3 3" xfId="7770" xr:uid="{00000000-0005-0000-0000-00002C1E0000}"/>
    <cellStyle name="Normal 2 2 10 2 3 3 10" xfId="7771" xr:uid="{00000000-0005-0000-0000-00002D1E0000}"/>
    <cellStyle name="Normal 2 2 10 2 3 3 2" xfId="7772" xr:uid="{00000000-0005-0000-0000-00002E1E0000}"/>
    <cellStyle name="Normal 2 2 10 2 3 3 3" xfId="7773" xr:uid="{00000000-0005-0000-0000-00002F1E0000}"/>
    <cellStyle name="Normal 2 2 10 2 3 3 4" xfId="7774" xr:uid="{00000000-0005-0000-0000-0000301E0000}"/>
    <cellStyle name="Normal 2 2 10 2 3 3 5" xfId="7775" xr:uid="{00000000-0005-0000-0000-0000311E0000}"/>
    <cellStyle name="Normal 2 2 10 2 3 3 6" xfId="7776" xr:uid="{00000000-0005-0000-0000-0000321E0000}"/>
    <cellStyle name="Normal 2 2 10 2 3 3 7" xfId="7777" xr:uid="{00000000-0005-0000-0000-0000331E0000}"/>
    <cellStyle name="Normal 2 2 10 2 3 3 8" xfId="7778" xr:uid="{00000000-0005-0000-0000-0000341E0000}"/>
    <cellStyle name="Normal 2 2 10 2 3 3 9" xfId="7779" xr:uid="{00000000-0005-0000-0000-0000351E0000}"/>
    <cellStyle name="Normal 2 2 10 2 3 4" xfId="7780" xr:uid="{00000000-0005-0000-0000-0000361E0000}"/>
    <cellStyle name="Normal 2 2 10 2 3 4 10" xfId="7781" xr:uid="{00000000-0005-0000-0000-0000371E0000}"/>
    <cellStyle name="Normal 2 2 10 2 3 4 2" xfId="7782" xr:uid="{00000000-0005-0000-0000-0000381E0000}"/>
    <cellStyle name="Normal 2 2 10 2 3 4 3" xfId="7783" xr:uid="{00000000-0005-0000-0000-0000391E0000}"/>
    <cellStyle name="Normal 2 2 10 2 3 4 4" xfId="7784" xr:uid="{00000000-0005-0000-0000-00003A1E0000}"/>
    <cellStyle name="Normal 2 2 10 2 3 4 5" xfId="7785" xr:uid="{00000000-0005-0000-0000-00003B1E0000}"/>
    <cellStyle name="Normal 2 2 10 2 3 4 6" xfId="7786" xr:uid="{00000000-0005-0000-0000-00003C1E0000}"/>
    <cellStyle name="Normal 2 2 10 2 3 4 7" xfId="7787" xr:uid="{00000000-0005-0000-0000-00003D1E0000}"/>
    <cellStyle name="Normal 2 2 10 2 3 4 8" xfId="7788" xr:uid="{00000000-0005-0000-0000-00003E1E0000}"/>
    <cellStyle name="Normal 2 2 10 2 3 4 9" xfId="7789" xr:uid="{00000000-0005-0000-0000-00003F1E0000}"/>
    <cellStyle name="Normal 2 2 10 2 3 5" xfId="7790" xr:uid="{00000000-0005-0000-0000-0000401E0000}"/>
    <cellStyle name="Normal 2 2 10 2 3 5 10" xfId="7791" xr:uid="{00000000-0005-0000-0000-0000411E0000}"/>
    <cellStyle name="Normal 2 2 10 2 3 5 2" xfId="7792" xr:uid="{00000000-0005-0000-0000-0000421E0000}"/>
    <cellStyle name="Normal 2 2 10 2 3 5 3" xfId="7793" xr:uid="{00000000-0005-0000-0000-0000431E0000}"/>
    <cellStyle name="Normal 2 2 10 2 3 5 4" xfId="7794" xr:uid="{00000000-0005-0000-0000-0000441E0000}"/>
    <cellStyle name="Normal 2 2 10 2 3 5 5" xfId="7795" xr:uid="{00000000-0005-0000-0000-0000451E0000}"/>
    <cellStyle name="Normal 2 2 10 2 3 5 6" xfId="7796" xr:uid="{00000000-0005-0000-0000-0000461E0000}"/>
    <cellStyle name="Normal 2 2 10 2 3 5 7" xfId="7797" xr:uid="{00000000-0005-0000-0000-0000471E0000}"/>
    <cellStyle name="Normal 2 2 10 2 3 5 8" xfId="7798" xr:uid="{00000000-0005-0000-0000-0000481E0000}"/>
    <cellStyle name="Normal 2 2 10 2 3 5 9" xfId="7799" xr:uid="{00000000-0005-0000-0000-0000491E0000}"/>
    <cellStyle name="Normal 2 2 10 2 3 6" xfId="7800" xr:uid="{00000000-0005-0000-0000-00004A1E0000}"/>
    <cellStyle name="Normal 2 2 10 2 3 7" xfId="7801" xr:uid="{00000000-0005-0000-0000-00004B1E0000}"/>
    <cellStyle name="Normal 2 2 10 2 3 8" xfId="7802" xr:uid="{00000000-0005-0000-0000-00004C1E0000}"/>
    <cellStyle name="Normal 2 2 10 2 3 9" xfId="7803" xr:uid="{00000000-0005-0000-0000-00004D1E0000}"/>
    <cellStyle name="Normal 2 2 10 2 30" xfId="7804" xr:uid="{00000000-0005-0000-0000-00004E1E0000}"/>
    <cellStyle name="Normal 2 2 10 2 30 10" xfId="7805" xr:uid="{00000000-0005-0000-0000-00004F1E0000}"/>
    <cellStyle name="Normal 2 2 10 2 30 11" xfId="7806" xr:uid="{00000000-0005-0000-0000-0000501E0000}"/>
    <cellStyle name="Normal 2 2 10 2 30 12" xfId="7807" xr:uid="{00000000-0005-0000-0000-0000511E0000}"/>
    <cellStyle name="Normal 2 2 10 2 30 13" xfId="7808" xr:uid="{00000000-0005-0000-0000-0000521E0000}"/>
    <cellStyle name="Normal 2 2 10 2 30 14" xfId="7809" xr:uid="{00000000-0005-0000-0000-0000531E0000}"/>
    <cellStyle name="Normal 2 2 10 2 30 2" xfId="7810" xr:uid="{00000000-0005-0000-0000-0000541E0000}"/>
    <cellStyle name="Normal 2 2 10 2 30 2 10" xfId="7811" xr:uid="{00000000-0005-0000-0000-0000551E0000}"/>
    <cellStyle name="Normal 2 2 10 2 30 2 2" xfId="7812" xr:uid="{00000000-0005-0000-0000-0000561E0000}"/>
    <cellStyle name="Normal 2 2 10 2 30 2 3" xfId="7813" xr:uid="{00000000-0005-0000-0000-0000571E0000}"/>
    <cellStyle name="Normal 2 2 10 2 30 2 4" xfId="7814" xr:uid="{00000000-0005-0000-0000-0000581E0000}"/>
    <cellStyle name="Normal 2 2 10 2 30 2 5" xfId="7815" xr:uid="{00000000-0005-0000-0000-0000591E0000}"/>
    <cellStyle name="Normal 2 2 10 2 30 2 6" xfId="7816" xr:uid="{00000000-0005-0000-0000-00005A1E0000}"/>
    <cellStyle name="Normal 2 2 10 2 30 2 7" xfId="7817" xr:uid="{00000000-0005-0000-0000-00005B1E0000}"/>
    <cellStyle name="Normal 2 2 10 2 30 2 8" xfId="7818" xr:uid="{00000000-0005-0000-0000-00005C1E0000}"/>
    <cellStyle name="Normal 2 2 10 2 30 2 9" xfId="7819" xr:uid="{00000000-0005-0000-0000-00005D1E0000}"/>
    <cellStyle name="Normal 2 2 10 2 30 3" xfId="7820" xr:uid="{00000000-0005-0000-0000-00005E1E0000}"/>
    <cellStyle name="Normal 2 2 10 2 30 3 10" xfId="7821" xr:uid="{00000000-0005-0000-0000-00005F1E0000}"/>
    <cellStyle name="Normal 2 2 10 2 30 3 2" xfId="7822" xr:uid="{00000000-0005-0000-0000-0000601E0000}"/>
    <cellStyle name="Normal 2 2 10 2 30 3 3" xfId="7823" xr:uid="{00000000-0005-0000-0000-0000611E0000}"/>
    <cellStyle name="Normal 2 2 10 2 30 3 4" xfId="7824" xr:uid="{00000000-0005-0000-0000-0000621E0000}"/>
    <cellStyle name="Normal 2 2 10 2 30 3 5" xfId="7825" xr:uid="{00000000-0005-0000-0000-0000631E0000}"/>
    <cellStyle name="Normal 2 2 10 2 30 3 6" xfId="7826" xr:uid="{00000000-0005-0000-0000-0000641E0000}"/>
    <cellStyle name="Normal 2 2 10 2 30 3 7" xfId="7827" xr:uid="{00000000-0005-0000-0000-0000651E0000}"/>
    <cellStyle name="Normal 2 2 10 2 30 3 8" xfId="7828" xr:uid="{00000000-0005-0000-0000-0000661E0000}"/>
    <cellStyle name="Normal 2 2 10 2 30 3 9" xfId="7829" xr:uid="{00000000-0005-0000-0000-0000671E0000}"/>
    <cellStyle name="Normal 2 2 10 2 30 4" xfId="7830" xr:uid="{00000000-0005-0000-0000-0000681E0000}"/>
    <cellStyle name="Normal 2 2 10 2 30 4 10" xfId="7831" xr:uid="{00000000-0005-0000-0000-0000691E0000}"/>
    <cellStyle name="Normal 2 2 10 2 30 4 2" xfId="7832" xr:uid="{00000000-0005-0000-0000-00006A1E0000}"/>
    <cellStyle name="Normal 2 2 10 2 30 4 3" xfId="7833" xr:uid="{00000000-0005-0000-0000-00006B1E0000}"/>
    <cellStyle name="Normal 2 2 10 2 30 4 4" xfId="7834" xr:uid="{00000000-0005-0000-0000-00006C1E0000}"/>
    <cellStyle name="Normal 2 2 10 2 30 4 5" xfId="7835" xr:uid="{00000000-0005-0000-0000-00006D1E0000}"/>
    <cellStyle name="Normal 2 2 10 2 30 4 6" xfId="7836" xr:uid="{00000000-0005-0000-0000-00006E1E0000}"/>
    <cellStyle name="Normal 2 2 10 2 30 4 7" xfId="7837" xr:uid="{00000000-0005-0000-0000-00006F1E0000}"/>
    <cellStyle name="Normal 2 2 10 2 30 4 8" xfId="7838" xr:uid="{00000000-0005-0000-0000-0000701E0000}"/>
    <cellStyle name="Normal 2 2 10 2 30 4 9" xfId="7839" xr:uid="{00000000-0005-0000-0000-0000711E0000}"/>
    <cellStyle name="Normal 2 2 10 2 30 5" xfId="7840" xr:uid="{00000000-0005-0000-0000-0000721E0000}"/>
    <cellStyle name="Normal 2 2 10 2 30 5 10" xfId="7841" xr:uid="{00000000-0005-0000-0000-0000731E0000}"/>
    <cellStyle name="Normal 2 2 10 2 30 5 2" xfId="7842" xr:uid="{00000000-0005-0000-0000-0000741E0000}"/>
    <cellStyle name="Normal 2 2 10 2 30 5 3" xfId="7843" xr:uid="{00000000-0005-0000-0000-0000751E0000}"/>
    <cellStyle name="Normal 2 2 10 2 30 5 4" xfId="7844" xr:uid="{00000000-0005-0000-0000-0000761E0000}"/>
    <cellStyle name="Normal 2 2 10 2 30 5 5" xfId="7845" xr:uid="{00000000-0005-0000-0000-0000771E0000}"/>
    <cellStyle name="Normal 2 2 10 2 30 5 6" xfId="7846" xr:uid="{00000000-0005-0000-0000-0000781E0000}"/>
    <cellStyle name="Normal 2 2 10 2 30 5 7" xfId="7847" xr:uid="{00000000-0005-0000-0000-0000791E0000}"/>
    <cellStyle name="Normal 2 2 10 2 30 5 8" xfId="7848" xr:uid="{00000000-0005-0000-0000-00007A1E0000}"/>
    <cellStyle name="Normal 2 2 10 2 30 5 9" xfId="7849" xr:uid="{00000000-0005-0000-0000-00007B1E0000}"/>
    <cellStyle name="Normal 2 2 10 2 30 6" xfId="7850" xr:uid="{00000000-0005-0000-0000-00007C1E0000}"/>
    <cellStyle name="Normal 2 2 10 2 30 7" xfId="7851" xr:uid="{00000000-0005-0000-0000-00007D1E0000}"/>
    <cellStyle name="Normal 2 2 10 2 30 8" xfId="7852" xr:uid="{00000000-0005-0000-0000-00007E1E0000}"/>
    <cellStyle name="Normal 2 2 10 2 30 9" xfId="7853" xr:uid="{00000000-0005-0000-0000-00007F1E0000}"/>
    <cellStyle name="Normal 2 2 10 2 31" xfId="7854" xr:uid="{00000000-0005-0000-0000-0000801E0000}"/>
    <cellStyle name="Normal 2 2 10 2 31 10" xfId="7855" xr:uid="{00000000-0005-0000-0000-0000811E0000}"/>
    <cellStyle name="Normal 2 2 10 2 31 11" xfId="7856" xr:uid="{00000000-0005-0000-0000-0000821E0000}"/>
    <cellStyle name="Normal 2 2 10 2 31 12" xfId="7857" xr:uid="{00000000-0005-0000-0000-0000831E0000}"/>
    <cellStyle name="Normal 2 2 10 2 31 13" xfId="7858" xr:uid="{00000000-0005-0000-0000-0000841E0000}"/>
    <cellStyle name="Normal 2 2 10 2 31 14" xfId="7859" xr:uid="{00000000-0005-0000-0000-0000851E0000}"/>
    <cellStyle name="Normal 2 2 10 2 31 2" xfId="7860" xr:uid="{00000000-0005-0000-0000-0000861E0000}"/>
    <cellStyle name="Normal 2 2 10 2 31 2 10" xfId="7861" xr:uid="{00000000-0005-0000-0000-0000871E0000}"/>
    <cellStyle name="Normal 2 2 10 2 31 2 2" xfId="7862" xr:uid="{00000000-0005-0000-0000-0000881E0000}"/>
    <cellStyle name="Normal 2 2 10 2 31 2 3" xfId="7863" xr:uid="{00000000-0005-0000-0000-0000891E0000}"/>
    <cellStyle name="Normal 2 2 10 2 31 2 4" xfId="7864" xr:uid="{00000000-0005-0000-0000-00008A1E0000}"/>
    <cellStyle name="Normal 2 2 10 2 31 2 5" xfId="7865" xr:uid="{00000000-0005-0000-0000-00008B1E0000}"/>
    <cellStyle name="Normal 2 2 10 2 31 2 6" xfId="7866" xr:uid="{00000000-0005-0000-0000-00008C1E0000}"/>
    <cellStyle name="Normal 2 2 10 2 31 2 7" xfId="7867" xr:uid="{00000000-0005-0000-0000-00008D1E0000}"/>
    <cellStyle name="Normal 2 2 10 2 31 2 8" xfId="7868" xr:uid="{00000000-0005-0000-0000-00008E1E0000}"/>
    <cellStyle name="Normal 2 2 10 2 31 2 9" xfId="7869" xr:uid="{00000000-0005-0000-0000-00008F1E0000}"/>
    <cellStyle name="Normal 2 2 10 2 31 3" xfId="7870" xr:uid="{00000000-0005-0000-0000-0000901E0000}"/>
    <cellStyle name="Normal 2 2 10 2 31 3 10" xfId="7871" xr:uid="{00000000-0005-0000-0000-0000911E0000}"/>
    <cellStyle name="Normal 2 2 10 2 31 3 2" xfId="7872" xr:uid="{00000000-0005-0000-0000-0000921E0000}"/>
    <cellStyle name="Normal 2 2 10 2 31 3 3" xfId="7873" xr:uid="{00000000-0005-0000-0000-0000931E0000}"/>
    <cellStyle name="Normal 2 2 10 2 31 3 4" xfId="7874" xr:uid="{00000000-0005-0000-0000-0000941E0000}"/>
    <cellStyle name="Normal 2 2 10 2 31 3 5" xfId="7875" xr:uid="{00000000-0005-0000-0000-0000951E0000}"/>
    <cellStyle name="Normal 2 2 10 2 31 3 6" xfId="7876" xr:uid="{00000000-0005-0000-0000-0000961E0000}"/>
    <cellStyle name="Normal 2 2 10 2 31 3 7" xfId="7877" xr:uid="{00000000-0005-0000-0000-0000971E0000}"/>
    <cellStyle name="Normal 2 2 10 2 31 3 8" xfId="7878" xr:uid="{00000000-0005-0000-0000-0000981E0000}"/>
    <cellStyle name="Normal 2 2 10 2 31 3 9" xfId="7879" xr:uid="{00000000-0005-0000-0000-0000991E0000}"/>
    <cellStyle name="Normal 2 2 10 2 31 4" xfId="7880" xr:uid="{00000000-0005-0000-0000-00009A1E0000}"/>
    <cellStyle name="Normal 2 2 10 2 31 4 10" xfId="7881" xr:uid="{00000000-0005-0000-0000-00009B1E0000}"/>
    <cellStyle name="Normal 2 2 10 2 31 4 2" xfId="7882" xr:uid="{00000000-0005-0000-0000-00009C1E0000}"/>
    <cellStyle name="Normal 2 2 10 2 31 4 3" xfId="7883" xr:uid="{00000000-0005-0000-0000-00009D1E0000}"/>
    <cellStyle name="Normal 2 2 10 2 31 4 4" xfId="7884" xr:uid="{00000000-0005-0000-0000-00009E1E0000}"/>
    <cellStyle name="Normal 2 2 10 2 31 4 5" xfId="7885" xr:uid="{00000000-0005-0000-0000-00009F1E0000}"/>
    <cellStyle name="Normal 2 2 10 2 31 4 6" xfId="7886" xr:uid="{00000000-0005-0000-0000-0000A01E0000}"/>
    <cellStyle name="Normal 2 2 10 2 31 4 7" xfId="7887" xr:uid="{00000000-0005-0000-0000-0000A11E0000}"/>
    <cellStyle name="Normal 2 2 10 2 31 4 8" xfId="7888" xr:uid="{00000000-0005-0000-0000-0000A21E0000}"/>
    <cellStyle name="Normal 2 2 10 2 31 4 9" xfId="7889" xr:uid="{00000000-0005-0000-0000-0000A31E0000}"/>
    <cellStyle name="Normal 2 2 10 2 31 5" xfId="7890" xr:uid="{00000000-0005-0000-0000-0000A41E0000}"/>
    <cellStyle name="Normal 2 2 10 2 31 5 10" xfId="7891" xr:uid="{00000000-0005-0000-0000-0000A51E0000}"/>
    <cellStyle name="Normal 2 2 10 2 31 5 2" xfId="7892" xr:uid="{00000000-0005-0000-0000-0000A61E0000}"/>
    <cellStyle name="Normal 2 2 10 2 31 5 3" xfId="7893" xr:uid="{00000000-0005-0000-0000-0000A71E0000}"/>
    <cellStyle name="Normal 2 2 10 2 31 5 4" xfId="7894" xr:uid="{00000000-0005-0000-0000-0000A81E0000}"/>
    <cellStyle name="Normal 2 2 10 2 31 5 5" xfId="7895" xr:uid="{00000000-0005-0000-0000-0000A91E0000}"/>
    <cellStyle name="Normal 2 2 10 2 31 5 6" xfId="7896" xr:uid="{00000000-0005-0000-0000-0000AA1E0000}"/>
    <cellStyle name="Normal 2 2 10 2 31 5 7" xfId="7897" xr:uid="{00000000-0005-0000-0000-0000AB1E0000}"/>
    <cellStyle name="Normal 2 2 10 2 31 5 8" xfId="7898" xr:uid="{00000000-0005-0000-0000-0000AC1E0000}"/>
    <cellStyle name="Normal 2 2 10 2 31 5 9" xfId="7899" xr:uid="{00000000-0005-0000-0000-0000AD1E0000}"/>
    <cellStyle name="Normal 2 2 10 2 31 6" xfId="7900" xr:uid="{00000000-0005-0000-0000-0000AE1E0000}"/>
    <cellStyle name="Normal 2 2 10 2 31 7" xfId="7901" xr:uid="{00000000-0005-0000-0000-0000AF1E0000}"/>
    <cellStyle name="Normal 2 2 10 2 31 8" xfId="7902" xr:uid="{00000000-0005-0000-0000-0000B01E0000}"/>
    <cellStyle name="Normal 2 2 10 2 31 9" xfId="7903" xr:uid="{00000000-0005-0000-0000-0000B11E0000}"/>
    <cellStyle name="Normal 2 2 10 2 32" xfId="7904" xr:uid="{00000000-0005-0000-0000-0000B21E0000}"/>
    <cellStyle name="Normal 2 2 10 2 32 10" xfId="7905" xr:uid="{00000000-0005-0000-0000-0000B31E0000}"/>
    <cellStyle name="Normal 2 2 10 2 32 11" xfId="7906" xr:uid="{00000000-0005-0000-0000-0000B41E0000}"/>
    <cellStyle name="Normal 2 2 10 2 32 12" xfId="7907" xr:uid="{00000000-0005-0000-0000-0000B51E0000}"/>
    <cellStyle name="Normal 2 2 10 2 32 13" xfId="7908" xr:uid="{00000000-0005-0000-0000-0000B61E0000}"/>
    <cellStyle name="Normal 2 2 10 2 32 14" xfId="7909" xr:uid="{00000000-0005-0000-0000-0000B71E0000}"/>
    <cellStyle name="Normal 2 2 10 2 32 2" xfId="7910" xr:uid="{00000000-0005-0000-0000-0000B81E0000}"/>
    <cellStyle name="Normal 2 2 10 2 32 2 10" xfId="7911" xr:uid="{00000000-0005-0000-0000-0000B91E0000}"/>
    <cellStyle name="Normal 2 2 10 2 32 2 2" xfId="7912" xr:uid="{00000000-0005-0000-0000-0000BA1E0000}"/>
    <cellStyle name="Normal 2 2 10 2 32 2 3" xfId="7913" xr:uid="{00000000-0005-0000-0000-0000BB1E0000}"/>
    <cellStyle name="Normal 2 2 10 2 32 2 4" xfId="7914" xr:uid="{00000000-0005-0000-0000-0000BC1E0000}"/>
    <cellStyle name="Normal 2 2 10 2 32 2 5" xfId="7915" xr:uid="{00000000-0005-0000-0000-0000BD1E0000}"/>
    <cellStyle name="Normal 2 2 10 2 32 2 6" xfId="7916" xr:uid="{00000000-0005-0000-0000-0000BE1E0000}"/>
    <cellStyle name="Normal 2 2 10 2 32 2 7" xfId="7917" xr:uid="{00000000-0005-0000-0000-0000BF1E0000}"/>
    <cellStyle name="Normal 2 2 10 2 32 2 8" xfId="7918" xr:uid="{00000000-0005-0000-0000-0000C01E0000}"/>
    <cellStyle name="Normal 2 2 10 2 32 2 9" xfId="7919" xr:uid="{00000000-0005-0000-0000-0000C11E0000}"/>
    <cellStyle name="Normal 2 2 10 2 32 3" xfId="7920" xr:uid="{00000000-0005-0000-0000-0000C21E0000}"/>
    <cellStyle name="Normal 2 2 10 2 32 3 10" xfId="7921" xr:uid="{00000000-0005-0000-0000-0000C31E0000}"/>
    <cellStyle name="Normal 2 2 10 2 32 3 2" xfId="7922" xr:uid="{00000000-0005-0000-0000-0000C41E0000}"/>
    <cellStyle name="Normal 2 2 10 2 32 3 3" xfId="7923" xr:uid="{00000000-0005-0000-0000-0000C51E0000}"/>
    <cellStyle name="Normal 2 2 10 2 32 3 4" xfId="7924" xr:uid="{00000000-0005-0000-0000-0000C61E0000}"/>
    <cellStyle name="Normal 2 2 10 2 32 3 5" xfId="7925" xr:uid="{00000000-0005-0000-0000-0000C71E0000}"/>
    <cellStyle name="Normal 2 2 10 2 32 3 6" xfId="7926" xr:uid="{00000000-0005-0000-0000-0000C81E0000}"/>
    <cellStyle name="Normal 2 2 10 2 32 3 7" xfId="7927" xr:uid="{00000000-0005-0000-0000-0000C91E0000}"/>
    <cellStyle name="Normal 2 2 10 2 32 3 8" xfId="7928" xr:uid="{00000000-0005-0000-0000-0000CA1E0000}"/>
    <cellStyle name="Normal 2 2 10 2 32 3 9" xfId="7929" xr:uid="{00000000-0005-0000-0000-0000CB1E0000}"/>
    <cellStyle name="Normal 2 2 10 2 32 4" xfId="7930" xr:uid="{00000000-0005-0000-0000-0000CC1E0000}"/>
    <cellStyle name="Normal 2 2 10 2 32 4 10" xfId="7931" xr:uid="{00000000-0005-0000-0000-0000CD1E0000}"/>
    <cellStyle name="Normal 2 2 10 2 32 4 2" xfId="7932" xr:uid="{00000000-0005-0000-0000-0000CE1E0000}"/>
    <cellStyle name="Normal 2 2 10 2 32 4 3" xfId="7933" xr:uid="{00000000-0005-0000-0000-0000CF1E0000}"/>
    <cellStyle name="Normal 2 2 10 2 32 4 4" xfId="7934" xr:uid="{00000000-0005-0000-0000-0000D01E0000}"/>
    <cellStyle name="Normal 2 2 10 2 32 4 5" xfId="7935" xr:uid="{00000000-0005-0000-0000-0000D11E0000}"/>
    <cellStyle name="Normal 2 2 10 2 32 4 6" xfId="7936" xr:uid="{00000000-0005-0000-0000-0000D21E0000}"/>
    <cellStyle name="Normal 2 2 10 2 32 4 7" xfId="7937" xr:uid="{00000000-0005-0000-0000-0000D31E0000}"/>
    <cellStyle name="Normal 2 2 10 2 32 4 8" xfId="7938" xr:uid="{00000000-0005-0000-0000-0000D41E0000}"/>
    <cellStyle name="Normal 2 2 10 2 32 4 9" xfId="7939" xr:uid="{00000000-0005-0000-0000-0000D51E0000}"/>
    <cellStyle name="Normal 2 2 10 2 32 5" xfId="7940" xr:uid="{00000000-0005-0000-0000-0000D61E0000}"/>
    <cellStyle name="Normal 2 2 10 2 32 5 10" xfId="7941" xr:uid="{00000000-0005-0000-0000-0000D71E0000}"/>
    <cellStyle name="Normal 2 2 10 2 32 5 2" xfId="7942" xr:uid="{00000000-0005-0000-0000-0000D81E0000}"/>
    <cellStyle name="Normal 2 2 10 2 32 5 3" xfId="7943" xr:uid="{00000000-0005-0000-0000-0000D91E0000}"/>
    <cellStyle name="Normal 2 2 10 2 32 5 4" xfId="7944" xr:uid="{00000000-0005-0000-0000-0000DA1E0000}"/>
    <cellStyle name="Normal 2 2 10 2 32 5 5" xfId="7945" xr:uid="{00000000-0005-0000-0000-0000DB1E0000}"/>
    <cellStyle name="Normal 2 2 10 2 32 5 6" xfId="7946" xr:uid="{00000000-0005-0000-0000-0000DC1E0000}"/>
    <cellStyle name="Normal 2 2 10 2 32 5 7" xfId="7947" xr:uid="{00000000-0005-0000-0000-0000DD1E0000}"/>
    <cellStyle name="Normal 2 2 10 2 32 5 8" xfId="7948" xr:uid="{00000000-0005-0000-0000-0000DE1E0000}"/>
    <cellStyle name="Normal 2 2 10 2 32 5 9" xfId="7949" xr:uid="{00000000-0005-0000-0000-0000DF1E0000}"/>
    <cellStyle name="Normal 2 2 10 2 32 6" xfId="7950" xr:uid="{00000000-0005-0000-0000-0000E01E0000}"/>
    <cellStyle name="Normal 2 2 10 2 32 7" xfId="7951" xr:uid="{00000000-0005-0000-0000-0000E11E0000}"/>
    <cellStyle name="Normal 2 2 10 2 32 8" xfId="7952" xr:uid="{00000000-0005-0000-0000-0000E21E0000}"/>
    <cellStyle name="Normal 2 2 10 2 32 9" xfId="7953" xr:uid="{00000000-0005-0000-0000-0000E31E0000}"/>
    <cellStyle name="Normal 2 2 10 2 33" xfId="7954" xr:uid="{00000000-0005-0000-0000-0000E41E0000}"/>
    <cellStyle name="Normal 2 2 10 2 33 10" xfId="7955" xr:uid="{00000000-0005-0000-0000-0000E51E0000}"/>
    <cellStyle name="Normal 2 2 10 2 33 11" xfId="7956" xr:uid="{00000000-0005-0000-0000-0000E61E0000}"/>
    <cellStyle name="Normal 2 2 10 2 33 12" xfId="7957" xr:uid="{00000000-0005-0000-0000-0000E71E0000}"/>
    <cellStyle name="Normal 2 2 10 2 33 13" xfId="7958" xr:uid="{00000000-0005-0000-0000-0000E81E0000}"/>
    <cellStyle name="Normal 2 2 10 2 33 14" xfId="7959" xr:uid="{00000000-0005-0000-0000-0000E91E0000}"/>
    <cellStyle name="Normal 2 2 10 2 33 2" xfId="7960" xr:uid="{00000000-0005-0000-0000-0000EA1E0000}"/>
    <cellStyle name="Normal 2 2 10 2 33 2 10" xfId="7961" xr:uid="{00000000-0005-0000-0000-0000EB1E0000}"/>
    <cellStyle name="Normal 2 2 10 2 33 2 2" xfId="7962" xr:uid="{00000000-0005-0000-0000-0000EC1E0000}"/>
    <cellStyle name="Normal 2 2 10 2 33 2 3" xfId="7963" xr:uid="{00000000-0005-0000-0000-0000ED1E0000}"/>
    <cellStyle name="Normal 2 2 10 2 33 2 4" xfId="7964" xr:uid="{00000000-0005-0000-0000-0000EE1E0000}"/>
    <cellStyle name="Normal 2 2 10 2 33 2 5" xfId="7965" xr:uid="{00000000-0005-0000-0000-0000EF1E0000}"/>
    <cellStyle name="Normal 2 2 10 2 33 2 6" xfId="7966" xr:uid="{00000000-0005-0000-0000-0000F01E0000}"/>
    <cellStyle name="Normal 2 2 10 2 33 2 7" xfId="7967" xr:uid="{00000000-0005-0000-0000-0000F11E0000}"/>
    <cellStyle name="Normal 2 2 10 2 33 2 8" xfId="7968" xr:uid="{00000000-0005-0000-0000-0000F21E0000}"/>
    <cellStyle name="Normal 2 2 10 2 33 2 9" xfId="7969" xr:uid="{00000000-0005-0000-0000-0000F31E0000}"/>
    <cellStyle name="Normal 2 2 10 2 33 3" xfId="7970" xr:uid="{00000000-0005-0000-0000-0000F41E0000}"/>
    <cellStyle name="Normal 2 2 10 2 33 3 10" xfId="7971" xr:uid="{00000000-0005-0000-0000-0000F51E0000}"/>
    <cellStyle name="Normal 2 2 10 2 33 3 2" xfId="7972" xr:uid="{00000000-0005-0000-0000-0000F61E0000}"/>
    <cellStyle name="Normal 2 2 10 2 33 3 3" xfId="7973" xr:uid="{00000000-0005-0000-0000-0000F71E0000}"/>
    <cellStyle name="Normal 2 2 10 2 33 3 4" xfId="7974" xr:uid="{00000000-0005-0000-0000-0000F81E0000}"/>
    <cellStyle name="Normal 2 2 10 2 33 3 5" xfId="7975" xr:uid="{00000000-0005-0000-0000-0000F91E0000}"/>
    <cellStyle name="Normal 2 2 10 2 33 3 6" xfId="7976" xr:uid="{00000000-0005-0000-0000-0000FA1E0000}"/>
    <cellStyle name="Normal 2 2 10 2 33 3 7" xfId="7977" xr:uid="{00000000-0005-0000-0000-0000FB1E0000}"/>
    <cellStyle name="Normal 2 2 10 2 33 3 8" xfId="7978" xr:uid="{00000000-0005-0000-0000-0000FC1E0000}"/>
    <cellStyle name="Normal 2 2 10 2 33 3 9" xfId="7979" xr:uid="{00000000-0005-0000-0000-0000FD1E0000}"/>
    <cellStyle name="Normal 2 2 10 2 33 4" xfId="7980" xr:uid="{00000000-0005-0000-0000-0000FE1E0000}"/>
    <cellStyle name="Normal 2 2 10 2 33 4 10" xfId="7981" xr:uid="{00000000-0005-0000-0000-0000FF1E0000}"/>
    <cellStyle name="Normal 2 2 10 2 33 4 2" xfId="7982" xr:uid="{00000000-0005-0000-0000-0000001F0000}"/>
    <cellStyle name="Normal 2 2 10 2 33 4 3" xfId="7983" xr:uid="{00000000-0005-0000-0000-0000011F0000}"/>
    <cellStyle name="Normal 2 2 10 2 33 4 4" xfId="7984" xr:uid="{00000000-0005-0000-0000-0000021F0000}"/>
    <cellStyle name="Normal 2 2 10 2 33 4 5" xfId="7985" xr:uid="{00000000-0005-0000-0000-0000031F0000}"/>
    <cellStyle name="Normal 2 2 10 2 33 4 6" xfId="7986" xr:uid="{00000000-0005-0000-0000-0000041F0000}"/>
    <cellStyle name="Normal 2 2 10 2 33 4 7" xfId="7987" xr:uid="{00000000-0005-0000-0000-0000051F0000}"/>
    <cellStyle name="Normal 2 2 10 2 33 4 8" xfId="7988" xr:uid="{00000000-0005-0000-0000-0000061F0000}"/>
    <cellStyle name="Normal 2 2 10 2 33 4 9" xfId="7989" xr:uid="{00000000-0005-0000-0000-0000071F0000}"/>
    <cellStyle name="Normal 2 2 10 2 33 5" xfId="7990" xr:uid="{00000000-0005-0000-0000-0000081F0000}"/>
    <cellStyle name="Normal 2 2 10 2 33 5 10" xfId="7991" xr:uid="{00000000-0005-0000-0000-0000091F0000}"/>
    <cellStyle name="Normal 2 2 10 2 33 5 2" xfId="7992" xr:uid="{00000000-0005-0000-0000-00000A1F0000}"/>
    <cellStyle name="Normal 2 2 10 2 33 5 3" xfId="7993" xr:uid="{00000000-0005-0000-0000-00000B1F0000}"/>
    <cellStyle name="Normal 2 2 10 2 33 5 4" xfId="7994" xr:uid="{00000000-0005-0000-0000-00000C1F0000}"/>
    <cellStyle name="Normal 2 2 10 2 33 5 5" xfId="7995" xr:uid="{00000000-0005-0000-0000-00000D1F0000}"/>
    <cellStyle name="Normal 2 2 10 2 33 5 6" xfId="7996" xr:uid="{00000000-0005-0000-0000-00000E1F0000}"/>
    <cellStyle name="Normal 2 2 10 2 33 5 7" xfId="7997" xr:uid="{00000000-0005-0000-0000-00000F1F0000}"/>
    <cellStyle name="Normal 2 2 10 2 33 5 8" xfId="7998" xr:uid="{00000000-0005-0000-0000-0000101F0000}"/>
    <cellStyle name="Normal 2 2 10 2 33 5 9" xfId="7999" xr:uid="{00000000-0005-0000-0000-0000111F0000}"/>
    <cellStyle name="Normal 2 2 10 2 33 6" xfId="8000" xr:uid="{00000000-0005-0000-0000-0000121F0000}"/>
    <cellStyle name="Normal 2 2 10 2 33 7" xfId="8001" xr:uid="{00000000-0005-0000-0000-0000131F0000}"/>
    <cellStyle name="Normal 2 2 10 2 33 8" xfId="8002" xr:uid="{00000000-0005-0000-0000-0000141F0000}"/>
    <cellStyle name="Normal 2 2 10 2 33 9" xfId="8003" xr:uid="{00000000-0005-0000-0000-0000151F0000}"/>
    <cellStyle name="Normal 2 2 10 2 34" xfId="8004" xr:uid="{00000000-0005-0000-0000-0000161F0000}"/>
    <cellStyle name="Normal 2 2 10 2 34 10" xfId="8005" xr:uid="{00000000-0005-0000-0000-0000171F0000}"/>
    <cellStyle name="Normal 2 2 10 2 34 2" xfId="8006" xr:uid="{00000000-0005-0000-0000-0000181F0000}"/>
    <cellStyle name="Normal 2 2 10 2 34 3" xfId="8007" xr:uid="{00000000-0005-0000-0000-0000191F0000}"/>
    <cellStyle name="Normal 2 2 10 2 34 4" xfId="8008" xr:uid="{00000000-0005-0000-0000-00001A1F0000}"/>
    <cellStyle name="Normal 2 2 10 2 34 5" xfId="8009" xr:uid="{00000000-0005-0000-0000-00001B1F0000}"/>
    <cellStyle name="Normal 2 2 10 2 34 6" xfId="8010" xr:uid="{00000000-0005-0000-0000-00001C1F0000}"/>
    <cellStyle name="Normal 2 2 10 2 34 7" xfId="8011" xr:uid="{00000000-0005-0000-0000-00001D1F0000}"/>
    <cellStyle name="Normal 2 2 10 2 34 8" xfId="8012" xr:uid="{00000000-0005-0000-0000-00001E1F0000}"/>
    <cellStyle name="Normal 2 2 10 2 34 9" xfId="8013" xr:uid="{00000000-0005-0000-0000-00001F1F0000}"/>
    <cellStyle name="Normal 2 2 10 2 35" xfId="8014" xr:uid="{00000000-0005-0000-0000-0000201F0000}"/>
    <cellStyle name="Normal 2 2 10 2 35 10" xfId="8015" xr:uid="{00000000-0005-0000-0000-0000211F0000}"/>
    <cellStyle name="Normal 2 2 10 2 35 2" xfId="8016" xr:uid="{00000000-0005-0000-0000-0000221F0000}"/>
    <cellStyle name="Normal 2 2 10 2 35 3" xfId="8017" xr:uid="{00000000-0005-0000-0000-0000231F0000}"/>
    <cellStyle name="Normal 2 2 10 2 35 4" xfId="8018" xr:uid="{00000000-0005-0000-0000-0000241F0000}"/>
    <cellStyle name="Normal 2 2 10 2 35 5" xfId="8019" xr:uid="{00000000-0005-0000-0000-0000251F0000}"/>
    <cellStyle name="Normal 2 2 10 2 35 6" xfId="8020" xr:uid="{00000000-0005-0000-0000-0000261F0000}"/>
    <cellStyle name="Normal 2 2 10 2 35 7" xfId="8021" xr:uid="{00000000-0005-0000-0000-0000271F0000}"/>
    <cellStyle name="Normal 2 2 10 2 35 8" xfId="8022" xr:uid="{00000000-0005-0000-0000-0000281F0000}"/>
    <cellStyle name="Normal 2 2 10 2 35 9" xfId="8023" xr:uid="{00000000-0005-0000-0000-0000291F0000}"/>
    <cellStyle name="Normal 2 2 10 2 36" xfId="8024" xr:uid="{00000000-0005-0000-0000-00002A1F0000}"/>
    <cellStyle name="Normal 2 2 10 2 36 10" xfId="8025" xr:uid="{00000000-0005-0000-0000-00002B1F0000}"/>
    <cellStyle name="Normal 2 2 10 2 36 2" xfId="8026" xr:uid="{00000000-0005-0000-0000-00002C1F0000}"/>
    <cellStyle name="Normal 2 2 10 2 36 3" xfId="8027" xr:uid="{00000000-0005-0000-0000-00002D1F0000}"/>
    <cellStyle name="Normal 2 2 10 2 36 4" xfId="8028" xr:uid="{00000000-0005-0000-0000-00002E1F0000}"/>
    <cellStyle name="Normal 2 2 10 2 36 5" xfId="8029" xr:uid="{00000000-0005-0000-0000-00002F1F0000}"/>
    <cellStyle name="Normal 2 2 10 2 36 6" xfId="8030" xr:uid="{00000000-0005-0000-0000-0000301F0000}"/>
    <cellStyle name="Normal 2 2 10 2 36 7" xfId="8031" xr:uid="{00000000-0005-0000-0000-0000311F0000}"/>
    <cellStyle name="Normal 2 2 10 2 36 8" xfId="8032" xr:uid="{00000000-0005-0000-0000-0000321F0000}"/>
    <cellStyle name="Normal 2 2 10 2 36 9" xfId="8033" xr:uid="{00000000-0005-0000-0000-0000331F0000}"/>
    <cellStyle name="Normal 2 2 10 2 37" xfId="8034" xr:uid="{00000000-0005-0000-0000-0000341F0000}"/>
    <cellStyle name="Normal 2 2 10 2 37 10" xfId="8035" xr:uid="{00000000-0005-0000-0000-0000351F0000}"/>
    <cellStyle name="Normal 2 2 10 2 37 2" xfId="8036" xr:uid="{00000000-0005-0000-0000-0000361F0000}"/>
    <cellStyle name="Normal 2 2 10 2 37 3" xfId="8037" xr:uid="{00000000-0005-0000-0000-0000371F0000}"/>
    <cellStyle name="Normal 2 2 10 2 37 4" xfId="8038" xr:uid="{00000000-0005-0000-0000-0000381F0000}"/>
    <cellStyle name="Normal 2 2 10 2 37 5" xfId="8039" xr:uid="{00000000-0005-0000-0000-0000391F0000}"/>
    <cellStyle name="Normal 2 2 10 2 37 6" xfId="8040" xr:uid="{00000000-0005-0000-0000-00003A1F0000}"/>
    <cellStyle name="Normal 2 2 10 2 37 7" xfId="8041" xr:uid="{00000000-0005-0000-0000-00003B1F0000}"/>
    <cellStyle name="Normal 2 2 10 2 37 8" xfId="8042" xr:uid="{00000000-0005-0000-0000-00003C1F0000}"/>
    <cellStyle name="Normal 2 2 10 2 37 9" xfId="8043" xr:uid="{00000000-0005-0000-0000-00003D1F0000}"/>
    <cellStyle name="Normal 2 2 10 2 38" xfId="8044" xr:uid="{00000000-0005-0000-0000-00003E1F0000}"/>
    <cellStyle name="Normal 2 2 10 2 39" xfId="8045" xr:uid="{00000000-0005-0000-0000-00003F1F0000}"/>
    <cellStyle name="Normal 2 2 10 2 4" xfId="8046" xr:uid="{00000000-0005-0000-0000-0000401F0000}"/>
    <cellStyle name="Normal 2 2 10 2 4 10" xfId="8047" xr:uid="{00000000-0005-0000-0000-0000411F0000}"/>
    <cellStyle name="Normal 2 2 10 2 4 11" xfId="8048" xr:uid="{00000000-0005-0000-0000-0000421F0000}"/>
    <cellStyle name="Normal 2 2 10 2 4 12" xfId="8049" xr:uid="{00000000-0005-0000-0000-0000431F0000}"/>
    <cellStyle name="Normal 2 2 10 2 4 13" xfId="8050" xr:uid="{00000000-0005-0000-0000-0000441F0000}"/>
    <cellStyle name="Normal 2 2 10 2 4 14" xfId="8051" xr:uid="{00000000-0005-0000-0000-0000451F0000}"/>
    <cellStyle name="Normal 2 2 10 2 4 2" xfId="8052" xr:uid="{00000000-0005-0000-0000-0000461F0000}"/>
    <cellStyle name="Normal 2 2 10 2 4 2 10" xfId="8053" xr:uid="{00000000-0005-0000-0000-0000471F0000}"/>
    <cellStyle name="Normal 2 2 10 2 4 2 2" xfId="8054" xr:uid="{00000000-0005-0000-0000-0000481F0000}"/>
    <cellStyle name="Normal 2 2 10 2 4 2 3" xfId="8055" xr:uid="{00000000-0005-0000-0000-0000491F0000}"/>
    <cellStyle name="Normal 2 2 10 2 4 2 4" xfId="8056" xr:uid="{00000000-0005-0000-0000-00004A1F0000}"/>
    <cellStyle name="Normal 2 2 10 2 4 2 5" xfId="8057" xr:uid="{00000000-0005-0000-0000-00004B1F0000}"/>
    <cellStyle name="Normal 2 2 10 2 4 2 6" xfId="8058" xr:uid="{00000000-0005-0000-0000-00004C1F0000}"/>
    <cellStyle name="Normal 2 2 10 2 4 2 7" xfId="8059" xr:uid="{00000000-0005-0000-0000-00004D1F0000}"/>
    <cellStyle name="Normal 2 2 10 2 4 2 8" xfId="8060" xr:uid="{00000000-0005-0000-0000-00004E1F0000}"/>
    <cellStyle name="Normal 2 2 10 2 4 2 9" xfId="8061" xr:uid="{00000000-0005-0000-0000-00004F1F0000}"/>
    <cellStyle name="Normal 2 2 10 2 4 3" xfId="8062" xr:uid="{00000000-0005-0000-0000-0000501F0000}"/>
    <cellStyle name="Normal 2 2 10 2 4 3 10" xfId="8063" xr:uid="{00000000-0005-0000-0000-0000511F0000}"/>
    <cellStyle name="Normal 2 2 10 2 4 3 2" xfId="8064" xr:uid="{00000000-0005-0000-0000-0000521F0000}"/>
    <cellStyle name="Normal 2 2 10 2 4 3 3" xfId="8065" xr:uid="{00000000-0005-0000-0000-0000531F0000}"/>
    <cellStyle name="Normal 2 2 10 2 4 3 4" xfId="8066" xr:uid="{00000000-0005-0000-0000-0000541F0000}"/>
    <cellStyle name="Normal 2 2 10 2 4 3 5" xfId="8067" xr:uid="{00000000-0005-0000-0000-0000551F0000}"/>
    <cellStyle name="Normal 2 2 10 2 4 3 6" xfId="8068" xr:uid="{00000000-0005-0000-0000-0000561F0000}"/>
    <cellStyle name="Normal 2 2 10 2 4 3 7" xfId="8069" xr:uid="{00000000-0005-0000-0000-0000571F0000}"/>
    <cellStyle name="Normal 2 2 10 2 4 3 8" xfId="8070" xr:uid="{00000000-0005-0000-0000-0000581F0000}"/>
    <cellStyle name="Normal 2 2 10 2 4 3 9" xfId="8071" xr:uid="{00000000-0005-0000-0000-0000591F0000}"/>
    <cellStyle name="Normal 2 2 10 2 4 4" xfId="8072" xr:uid="{00000000-0005-0000-0000-00005A1F0000}"/>
    <cellStyle name="Normal 2 2 10 2 4 4 10" xfId="8073" xr:uid="{00000000-0005-0000-0000-00005B1F0000}"/>
    <cellStyle name="Normal 2 2 10 2 4 4 2" xfId="8074" xr:uid="{00000000-0005-0000-0000-00005C1F0000}"/>
    <cellStyle name="Normal 2 2 10 2 4 4 3" xfId="8075" xr:uid="{00000000-0005-0000-0000-00005D1F0000}"/>
    <cellStyle name="Normal 2 2 10 2 4 4 4" xfId="8076" xr:uid="{00000000-0005-0000-0000-00005E1F0000}"/>
    <cellStyle name="Normal 2 2 10 2 4 4 5" xfId="8077" xr:uid="{00000000-0005-0000-0000-00005F1F0000}"/>
    <cellStyle name="Normal 2 2 10 2 4 4 6" xfId="8078" xr:uid="{00000000-0005-0000-0000-0000601F0000}"/>
    <cellStyle name="Normal 2 2 10 2 4 4 7" xfId="8079" xr:uid="{00000000-0005-0000-0000-0000611F0000}"/>
    <cellStyle name="Normal 2 2 10 2 4 4 8" xfId="8080" xr:uid="{00000000-0005-0000-0000-0000621F0000}"/>
    <cellStyle name="Normal 2 2 10 2 4 4 9" xfId="8081" xr:uid="{00000000-0005-0000-0000-0000631F0000}"/>
    <cellStyle name="Normal 2 2 10 2 4 5" xfId="8082" xr:uid="{00000000-0005-0000-0000-0000641F0000}"/>
    <cellStyle name="Normal 2 2 10 2 4 5 10" xfId="8083" xr:uid="{00000000-0005-0000-0000-0000651F0000}"/>
    <cellStyle name="Normal 2 2 10 2 4 5 2" xfId="8084" xr:uid="{00000000-0005-0000-0000-0000661F0000}"/>
    <cellStyle name="Normal 2 2 10 2 4 5 3" xfId="8085" xr:uid="{00000000-0005-0000-0000-0000671F0000}"/>
    <cellStyle name="Normal 2 2 10 2 4 5 4" xfId="8086" xr:uid="{00000000-0005-0000-0000-0000681F0000}"/>
    <cellStyle name="Normal 2 2 10 2 4 5 5" xfId="8087" xr:uid="{00000000-0005-0000-0000-0000691F0000}"/>
    <cellStyle name="Normal 2 2 10 2 4 5 6" xfId="8088" xr:uid="{00000000-0005-0000-0000-00006A1F0000}"/>
    <cellStyle name="Normal 2 2 10 2 4 5 7" xfId="8089" xr:uid="{00000000-0005-0000-0000-00006B1F0000}"/>
    <cellStyle name="Normal 2 2 10 2 4 5 8" xfId="8090" xr:uid="{00000000-0005-0000-0000-00006C1F0000}"/>
    <cellStyle name="Normal 2 2 10 2 4 5 9" xfId="8091" xr:uid="{00000000-0005-0000-0000-00006D1F0000}"/>
    <cellStyle name="Normal 2 2 10 2 4 6" xfId="8092" xr:uid="{00000000-0005-0000-0000-00006E1F0000}"/>
    <cellStyle name="Normal 2 2 10 2 4 7" xfId="8093" xr:uid="{00000000-0005-0000-0000-00006F1F0000}"/>
    <cellStyle name="Normal 2 2 10 2 4 8" xfId="8094" xr:uid="{00000000-0005-0000-0000-0000701F0000}"/>
    <cellStyle name="Normal 2 2 10 2 4 9" xfId="8095" xr:uid="{00000000-0005-0000-0000-0000711F0000}"/>
    <cellStyle name="Normal 2 2 10 2 40" xfId="8096" xr:uid="{00000000-0005-0000-0000-0000721F0000}"/>
    <cellStyle name="Normal 2 2 10 2 41" xfId="8097" xr:uid="{00000000-0005-0000-0000-0000731F0000}"/>
    <cellStyle name="Normal 2 2 10 2 42" xfId="8098" xr:uid="{00000000-0005-0000-0000-0000741F0000}"/>
    <cellStyle name="Normal 2 2 10 2 43" xfId="8099" xr:uid="{00000000-0005-0000-0000-0000751F0000}"/>
    <cellStyle name="Normal 2 2 10 2 44" xfId="8100" xr:uid="{00000000-0005-0000-0000-0000761F0000}"/>
    <cellStyle name="Normal 2 2 10 2 45" xfId="8101" xr:uid="{00000000-0005-0000-0000-0000771F0000}"/>
    <cellStyle name="Normal 2 2 10 2 46" xfId="8102" xr:uid="{00000000-0005-0000-0000-0000781F0000}"/>
    <cellStyle name="Normal 2 2 10 2 5" xfId="8103" xr:uid="{00000000-0005-0000-0000-0000791F0000}"/>
    <cellStyle name="Normal 2 2 10 2 5 10" xfId="8104" xr:uid="{00000000-0005-0000-0000-00007A1F0000}"/>
    <cellStyle name="Normal 2 2 10 2 5 11" xfId="8105" xr:uid="{00000000-0005-0000-0000-00007B1F0000}"/>
    <cellStyle name="Normal 2 2 10 2 5 12" xfId="8106" xr:uid="{00000000-0005-0000-0000-00007C1F0000}"/>
    <cellStyle name="Normal 2 2 10 2 5 13" xfId="8107" xr:uid="{00000000-0005-0000-0000-00007D1F0000}"/>
    <cellStyle name="Normal 2 2 10 2 5 14" xfId="8108" xr:uid="{00000000-0005-0000-0000-00007E1F0000}"/>
    <cellStyle name="Normal 2 2 10 2 5 2" xfId="8109" xr:uid="{00000000-0005-0000-0000-00007F1F0000}"/>
    <cellStyle name="Normal 2 2 10 2 5 2 10" xfId="8110" xr:uid="{00000000-0005-0000-0000-0000801F0000}"/>
    <cellStyle name="Normal 2 2 10 2 5 2 2" xfId="8111" xr:uid="{00000000-0005-0000-0000-0000811F0000}"/>
    <cellStyle name="Normal 2 2 10 2 5 2 3" xfId="8112" xr:uid="{00000000-0005-0000-0000-0000821F0000}"/>
    <cellStyle name="Normal 2 2 10 2 5 2 4" xfId="8113" xr:uid="{00000000-0005-0000-0000-0000831F0000}"/>
    <cellStyle name="Normal 2 2 10 2 5 2 5" xfId="8114" xr:uid="{00000000-0005-0000-0000-0000841F0000}"/>
    <cellStyle name="Normal 2 2 10 2 5 2 6" xfId="8115" xr:uid="{00000000-0005-0000-0000-0000851F0000}"/>
    <cellStyle name="Normal 2 2 10 2 5 2 7" xfId="8116" xr:uid="{00000000-0005-0000-0000-0000861F0000}"/>
    <cellStyle name="Normal 2 2 10 2 5 2 8" xfId="8117" xr:uid="{00000000-0005-0000-0000-0000871F0000}"/>
    <cellStyle name="Normal 2 2 10 2 5 2 9" xfId="8118" xr:uid="{00000000-0005-0000-0000-0000881F0000}"/>
    <cellStyle name="Normal 2 2 10 2 5 3" xfId="8119" xr:uid="{00000000-0005-0000-0000-0000891F0000}"/>
    <cellStyle name="Normal 2 2 10 2 5 3 10" xfId="8120" xr:uid="{00000000-0005-0000-0000-00008A1F0000}"/>
    <cellStyle name="Normal 2 2 10 2 5 3 2" xfId="8121" xr:uid="{00000000-0005-0000-0000-00008B1F0000}"/>
    <cellStyle name="Normal 2 2 10 2 5 3 3" xfId="8122" xr:uid="{00000000-0005-0000-0000-00008C1F0000}"/>
    <cellStyle name="Normal 2 2 10 2 5 3 4" xfId="8123" xr:uid="{00000000-0005-0000-0000-00008D1F0000}"/>
    <cellStyle name="Normal 2 2 10 2 5 3 5" xfId="8124" xr:uid="{00000000-0005-0000-0000-00008E1F0000}"/>
    <cellStyle name="Normal 2 2 10 2 5 3 6" xfId="8125" xr:uid="{00000000-0005-0000-0000-00008F1F0000}"/>
    <cellStyle name="Normal 2 2 10 2 5 3 7" xfId="8126" xr:uid="{00000000-0005-0000-0000-0000901F0000}"/>
    <cellStyle name="Normal 2 2 10 2 5 3 8" xfId="8127" xr:uid="{00000000-0005-0000-0000-0000911F0000}"/>
    <cellStyle name="Normal 2 2 10 2 5 3 9" xfId="8128" xr:uid="{00000000-0005-0000-0000-0000921F0000}"/>
    <cellStyle name="Normal 2 2 10 2 5 4" xfId="8129" xr:uid="{00000000-0005-0000-0000-0000931F0000}"/>
    <cellStyle name="Normal 2 2 10 2 5 4 10" xfId="8130" xr:uid="{00000000-0005-0000-0000-0000941F0000}"/>
    <cellStyle name="Normal 2 2 10 2 5 4 2" xfId="8131" xr:uid="{00000000-0005-0000-0000-0000951F0000}"/>
    <cellStyle name="Normal 2 2 10 2 5 4 3" xfId="8132" xr:uid="{00000000-0005-0000-0000-0000961F0000}"/>
    <cellStyle name="Normal 2 2 10 2 5 4 4" xfId="8133" xr:uid="{00000000-0005-0000-0000-0000971F0000}"/>
    <cellStyle name="Normal 2 2 10 2 5 4 5" xfId="8134" xr:uid="{00000000-0005-0000-0000-0000981F0000}"/>
    <cellStyle name="Normal 2 2 10 2 5 4 6" xfId="8135" xr:uid="{00000000-0005-0000-0000-0000991F0000}"/>
    <cellStyle name="Normal 2 2 10 2 5 4 7" xfId="8136" xr:uid="{00000000-0005-0000-0000-00009A1F0000}"/>
    <cellStyle name="Normal 2 2 10 2 5 4 8" xfId="8137" xr:uid="{00000000-0005-0000-0000-00009B1F0000}"/>
    <cellStyle name="Normal 2 2 10 2 5 4 9" xfId="8138" xr:uid="{00000000-0005-0000-0000-00009C1F0000}"/>
    <cellStyle name="Normal 2 2 10 2 5 5" xfId="8139" xr:uid="{00000000-0005-0000-0000-00009D1F0000}"/>
    <cellStyle name="Normal 2 2 10 2 5 5 10" xfId="8140" xr:uid="{00000000-0005-0000-0000-00009E1F0000}"/>
    <cellStyle name="Normal 2 2 10 2 5 5 2" xfId="8141" xr:uid="{00000000-0005-0000-0000-00009F1F0000}"/>
    <cellStyle name="Normal 2 2 10 2 5 5 3" xfId="8142" xr:uid="{00000000-0005-0000-0000-0000A01F0000}"/>
    <cellStyle name="Normal 2 2 10 2 5 5 4" xfId="8143" xr:uid="{00000000-0005-0000-0000-0000A11F0000}"/>
    <cellStyle name="Normal 2 2 10 2 5 5 5" xfId="8144" xr:uid="{00000000-0005-0000-0000-0000A21F0000}"/>
    <cellStyle name="Normal 2 2 10 2 5 5 6" xfId="8145" xr:uid="{00000000-0005-0000-0000-0000A31F0000}"/>
    <cellStyle name="Normal 2 2 10 2 5 5 7" xfId="8146" xr:uid="{00000000-0005-0000-0000-0000A41F0000}"/>
    <cellStyle name="Normal 2 2 10 2 5 5 8" xfId="8147" xr:uid="{00000000-0005-0000-0000-0000A51F0000}"/>
    <cellStyle name="Normal 2 2 10 2 5 5 9" xfId="8148" xr:uid="{00000000-0005-0000-0000-0000A61F0000}"/>
    <cellStyle name="Normal 2 2 10 2 5 6" xfId="8149" xr:uid="{00000000-0005-0000-0000-0000A71F0000}"/>
    <cellStyle name="Normal 2 2 10 2 5 7" xfId="8150" xr:uid="{00000000-0005-0000-0000-0000A81F0000}"/>
    <cellStyle name="Normal 2 2 10 2 5 8" xfId="8151" xr:uid="{00000000-0005-0000-0000-0000A91F0000}"/>
    <cellStyle name="Normal 2 2 10 2 5 9" xfId="8152" xr:uid="{00000000-0005-0000-0000-0000AA1F0000}"/>
    <cellStyle name="Normal 2 2 10 2 6" xfId="8153" xr:uid="{00000000-0005-0000-0000-0000AB1F0000}"/>
    <cellStyle name="Normal 2 2 10 2 6 10" xfId="8154" xr:uid="{00000000-0005-0000-0000-0000AC1F0000}"/>
    <cellStyle name="Normal 2 2 10 2 6 11" xfId="8155" xr:uid="{00000000-0005-0000-0000-0000AD1F0000}"/>
    <cellStyle name="Normal 2 2 10 2 6 12" xfId="8156" xr:uid="{00000000-0005-0000-0000-0000AE1F0000}"/>
    <cellStyle name="Normal 2 2 10 2 6 13" xfId="8157" xr:uid="{00000000-0005-0000-0000-0000AF1F0000}"/>
    <cellStyle name="Normal 2 2 10 2 6 14" xfId="8158" xr:uid="{00000000-0005-0000-0000-0000B01F0000}"/>
    <cellStyle name="Normal 2 2 10 2 6 2" xfId="8159" xr:uid="{00000000-0005-0000-0000-0000B11F0000}"/>
    <cellStyle name="Normal 2 2 10 2 6 2 10" xfId="8160" xr:uid="{00000000-0005-0000-0000-0000B21F0000}"/>
    <cellStyle name="Normal 2 2 10 2 6 2 2" xfId="8161" xr:uid="{00000000-0005-0000-0000-0000B31F0000}"/>
    <cellStyle name="Normal 2 2 10 2 6 2 3" xfId="8162" xr:uid="{00000000-0005-0000-0000-0000B41F0000}"/>
    <cellStyle name="Normal 2 2 10 2 6 2 4" xfId="8163" xr:uid="{00000000-0005-0000-0000-0000B51F0000}"/>
    <cellStyle name="Normal 2 2 10 2 6 2 5" xfId="8164" xr:uid="{00000000-0005-0000-0000-0000B61F0000}"/>
    <cellStyle name="Normal 2 2 10 2 6 2 6" xfId="8165" xr:uid="{00000000-0005-0000-0000-0000B71F0000}"/>
    <cellStyle name="Normal 2 2 10 2 6 2 7" xfId="8166" xr:uid="{00000000-0005-0000-0000-0000B81F0000}"/>
    <cellStyle name="Normal 2 2 10 2 6 2 8" xfId="8167" xr:uid="{00000000-0005-0000-0000-0000B91F0000}"/>
    <cellStyle name="Normal 2 2 10 2 6 2 9" xfId="8168" xr:uid="{00000000-0005-0000-0000-0000BA1F0000}"/>
    <cellStyle name="Normal 2 2 10 2 6 3" xfId="8169" xr:uid="{00000000-0005-0000-0000-0000BB1F0000}"/>
    <cellStyle name="Normal 2 2 10 2 6 3 10" xfId="8170" xr:uid="{00000000-0005-0000-0000-0000BC1F0000}"/>
    <cellStyle name="Normal 2 2 10 2 6 3 2" xfId="8171" xr:uid="{00000000-0005-0000-0000-0000BD1F0000}"/>
    <cellStyle name="Normal 2 2 10 2 6 3 3" xfId="8172" xr:uid="{00000000-0005-0000-0000-0000BE1F0000}"/>
    <cellStyle name="Normal 2 2 10 2 6 3 4" xfId="8173" xr:uid="{00000000-0005-0000-0000-0000BF1F0000}"/>
    <cellStyle name="Normal 2 2 10 2 6 3 5" xfId="8174" xr:uid="{00000000-0005-0000-0000-0000C01F0000}"/>
    <cellStyle name="Normal 2 2 10 2 6 3 6" xfId="8175" xr:uid="{00000000-0005-0000-0000-0000C11F0000}"/>
    <cellStyle name="Normal 2 2 10 2 6 3 7" xfId="8176" xr:uid="{00000000-0005-0000-0000-0000C21F0000}"/>
    <cellStyle name="Normal 2 2 10 2 6 3 8" xfId="8177" xr:uid="{00000000-0005-0000-0000-0000C31F0000}"/>
    <cellStyle name="Normal 2 2 10 2 6 3 9" xfId="8178" xr:uid="{00000000-0005-0000-0000-0000C41F0000}"/>
    <cellStyle name="Normal 2 2 10 2 6 4" xfId="8179" xr:uid="{00000000-0005-0000-0000-0000C51F0000}"/>
    <cellStyle name="Normal 2 2 10 2 6 4 10" xfId="8180" xr:uid="{00000000-0005-0000-0000-0000C61F0000}"/>
    <cellStyle name="Normal 2 2 10 2 6 4 2" xfId="8181" xr:uid="{00000000-0005-0000-0000-0000C71F0000}"/>
    <cellStyle name="Normal 2 2 10 2 6 4 3" xfId="8182" xr:uid="{00000000-0005-0000-0000-0000C81F0000}"/>
    <cellStyle name="Normal 2 2 10 2 6 4 4" xfId="8183" xr:uid="{00000000-0005-0000-0000-0000C91F0000}"/>
    <cellStyle name="Normal 2 2 10 2 6 4 5" xfId="8184" xr:uid="{00000000-0005-0000-0000-0000CA1F0000}"/>
    <cellStyle name="Normal 2 2 10 2 6 4 6" xfId="8185" xr:uid="{00000000-0005-0000-0000-0000CB1F0000}"/>
    <cellStyle name="Normal 2 2 10 2 6 4 7" xfId="8186" xr:uid="{00000000-0005-0000-0000-0000CC1F0000}"/>
    <cellStyle name="Normal 2 2 10 2 6 4 8" xfId="8187" xr:uid="{00000000-0005-0000-0000-0000CD1F0000}"/>
    <cellStyle name="Normal 2 2 10 2 6 4 9" xfId="8188" xr:uid="{00000000-0005-0000-0000-0000CE1F0000}"/>
    <cellStyle name="Normal 2 2 10 2 6 5" xfId="8189" xr:uid="{00000000-0005-0000-0000-0000CF1F0000}"/>
    <cellStyle name="Normal 2 2 10 2 6 5 10" xfId="8190" xr:uid="{00000000-0005-0000-0000-0000D01F0000}"/>
    <cellStyle name="Normal 2 2 10 2 6 5 2" xfId="8191" xr:uid="{00000000-0005-0000-0000-0000D11F0000}"/>
    <cellStyle name="Normal 2 2 10 2 6 5 3" xfId="8192" xr:uid="{00000000-0005-0000-0000-0000D21F0000}"/>
    <cellStyle name="Normal 2 2 10 2 6 5 4" xfId="8193" xr:uid="{00000000-0005-0000-0000-0000D31F0000}"/>
    <cellStyle name="Normal 2 2 10 2 6 5 5" xfId="8194" xr:uid="{00000000-0005-0000-0000-0000D41F0000}"/>
    <cellStyle name="Normal 2 2 10 2 6 5 6" xfId="8195" xr:uid="{00000000-0005-0000-0000-0000D51F0000}"/>
    <cellStyle name="Normal 2 2 10 2 6 5 7" xfId="8196" xr:uid="{00000000-0005-0000-0000-0000D61F0000}"/>
    <cellStyle name="Normal 2 2 10 2 6 5 8" xfId="8197" xr:uid="{00000000-0005-0000-0000-0000D71F0000}"/>
    <cellStyle name="Normal 2 2 10 2 6 5 9" xfId="8198" xr:uid="{00000000-0005-0000-0000-0000D81F0000}"/>
    <cellStyle name="Normal 2 2 10 2 6 6" xfId="8199" xr:uid="{00000000-0005-0000-0000-0000D91F0000}"/>
    <cellStyle name="Normal 2 2 10 2 6 7" xfId="8200" xr:uid="{00000000-0005-0000-0000-0000DA1F0000}"/>
    <cellStyle name="Normal 2 2 10 2 6 8" xfId="8201" xr:uid="{00000000-0005-0000-0000-0000DB1F0000}"/>
    <cellStyle name="Normal 2 2 10 2 6 9" xfId="8202" xr:uid="{00000000-0005-0000-0000-0000DC1F0000}"/>
    <cellStyle name="Normal 2 2 10 2 7" xfId="8203" xr:uid="{00000000-0005-0000-0000-0000DD1F0000}"/>
    <cellStyle name="Normal 2 2 10 2 7 10" xfId="8204" xr:uid="{00000000-0005-0000-0000-0000DE1F0000}"/>
    <cellStyle name="Normal 2 2 10 2 7 11" xfId="8205" xr:uid="{00000000-0005-0000-0000-0000DF1F0000}"/>
    <cellStyle name="Normal 2 2 10 2 7 12" xfId="8206" xr:uid="{00000000-0005-0000-0000-0000E01F0000}"/>
    <cellStyle name="Normal 2 2 10 2 7 13" xfId="8207" xr:uid="{00000000-0005-0000-0000-0000E11F0000}"/>
    <cellStyle name="Normal 2 2 10 2 7 14" xfId="8208" xr:uid="{00000000-0005-0000-0000-0000E21F0000}"/>
    <cellStyle name="Normal 2 2 10 2 7 2" xfId="8209" xr:uid="{00000000-0005-0000-0000-0000E31F0000}"/>
    <cellStyle name="Normal 2 2 10 2 7 2 10" xfId="8210" xr:uid="{00000000-0005-0000-0000-0000E41F0000}"/>
    <cellStyle name="Normal 2 2 10 2 7 2 2" xfId="8211" xr:uid="{00000000-0005-0000-0000-0000E51F0000}"/>
    <cellStyle name="Normal 2 2 10 2 7 2 3" xfId="8212" xr:uid="{00000000-0005-0000-0000-0000E61F0000}"/>
    <cellStyle name="Normal 2 2 10 2 7 2 4" xfId="8213" xr:uid="{00000000-0005-0000-0000-0000E71F0000}"/>
    <cellStyle name="Normal 2 2 10 2 7 2 5" xfId="8214" xr:uid="{00000000-0005-0000-0000-0000E81F0000}"/>
    <cellStyle name="Normal 2 2 10 2 7 2 6" xfId="8215" xr:uid="{00000000-0005-0000-0000-0000E91F0000}"/>
    <cellStyle name="Normal 2 2 10 2 7 2 7" xfId="8216" xr:uid="{00000000-0005-0000-0000-0000EA1F0000}"/>
    <cellStyle name="Normal 2 2 10 2 7 2 8" xfId="8217" xr:uid="{00000000-0005-0000-0000-0000EB1F0000}"/>
    <cellStyle name="Normal 2 2 10 2 7 2 9" xfId="8218" xr:uid="{00000000-0005-0000-0000-0000EC1F0000}"/>
    <cellStyle name="Normal 2 2 10 2 7 3" xfId="8219" xr:uid="{00000000-0005-0000-0000-0000ED1F0000}"/>
    <cellStyle name="Normal 2 2 10 2 7 3 10" xfId="8220" xr:uid="{00000000-0005-0000-0000-0000EE1F0000}"/>
    <cellStyle name="Normal 2 2 10 2 7 3 2" xfId="8221" xr:uid="{00000000-0005-0000-0000-0000EF1F0000}"/>
    <cellStyle name="Normal 2 2 10 2 7 3 3" xfId="8222" xr:uid="{00000000-0005-0000-0000-0000F01F0000}"/>
    <cellStyle name="Normal 2 2 10 2 7 3 4" xfId="8223" xr:uid="{00000000-0005-0000-0000-0000F11F0000}"/>
    <cellStyle name="Normal 2 2 10 2 7 3 5" xfId="8224" xr:uid="{00000000-0005-0000-0000-0000F21F0000}"/>
    <cellStyle name="Normal 2 2 10 2 7 3 6" xfId="8225" xr:uid="{00000000-0005-0000-0000-0000F31F0000}"/>
    <cellStyle name="Normal 2 2 10 2 7 3 7" xfId="8226" xr:uid="{00000000-0005-0000-0000-0000F41F0000}"/>
    <cellStyle name="Normal 2 2 10 2 7 3 8" xfId="8227" xr:uid="{00000000-0005-0000-0000-0000F51F0000}"/>
    <cellStyle name="Normal 2 2 10 2 7 3 9" xfId="8228" xr:uid="{00000000-0005-0000-0000-0000F61F0000}"/>
    <cellStyle name="Normal 2 2 10 2 7 4" xfId="8229" xr:uid="{00000000-0005-0000-0000-0000F71F0000}"/>
    <cellStyle name="Normal 2 2 10 2 7 4 10" xfId="8230" xr:uid="{00000000-0005-0000-0000-0000F81F0000}"/>
    <cellStyle name="Normal 2 2 10 2 7 4 2" xfId="8231" xr:uid="{00000000-0005-0000-0000-0000F91F0000}"/>
    <cellStyle name="Normal 2 2 10 2 7 4 3" xfId="8232" xr:uid="{00000000-0005-0000-0000-0000FA1F0000}"/>
    <cellStyle name="Normal 2 2 10 2 7 4 4" xfId="8233" xr:uid="{00000000-0005-0000-0000-0000FB1F0000}"/>
    <cellStyle name="Normal 2 2 10 2 7 4 5" xfId="8234" xr:uid="{00000000-0005-0000-0000-0000FC1F0000}"/>
    <cellStyle name="Normal 2 2 10 2 7 4 6" xfId="8235" xr:uid="{00000000-0005-0000-0000-0000FD1F0000}"/>
    <cellStyle name="Normal 2 2 10 2 7 4 7" xfId="8236" xr:uid="{00000000-0005-0000-0000-0000FE1F0000}"/>
    <cellStyle name="Normal 2 2 10 2 7 4 8" xfId="8237" xr:uid="{00000000-0005-0000-0000-0000FF1F0000}"/>
    <cellStyle name="Normal 2 2 10 2 7 4 9" xfId="8238" xr:uid="{00000000-0005-0000-0000-000000200000}"/>
    <cellStyle name="Normal 2 2 10 2 7 5" xfId="8239" xr:uid="{00000000-0005-0000-0000-000001200000}"/>
    <cellStyle name="Normal 2 2 10 2 7 5 10" xfId="8240" xr:uid="{00000000-0005-0000-0000-000002200000}"/>
    <cellStyle name="Normal 2 2 10 2 7 5 2" xfId="8241" xr:uid="{00000000-0005-0000-0000-000003200000}"/>
    <cellStyle name="Normal 2 2 10 2 7 5 3" xfId="8242" xr:uid="{00000000-0005-0000-0000-000004200000}"/>
    <cellStyle name="Normal 2 2 10 2 7 5 4" xfId="8243" xr:uid="{00000000-0005-0000-0000-000005200000}"/>
    <cellStyle name="Normal 2 2 10 2 7 5 5" xfId="8244" xr:uid="{00000000-0005-0000-0000-000006200000}"/>
    <cellStyle name="Normal 2 2 10 2 7 5 6" xfId="8245" xr:uid="{00000000-0005-0000-0000-000007200000}"/>
    <cellStyle name="Normal 2 2 10 2 7 5 7" xfId="8246" xr:uid="{00000000-0005-0000-0000-000008200000}"/>
    <cellStyle name="Normal 2 2 10 2 7 5 8" xfId="8247" xr:uid="{00000000-0005-0000-0000-000009200000}"/>
    <cellStyle name="Normal 2 2 10 2 7 5 9" xfId="8248" xr:uid="{00000000-0005-0000-0000-00000A200000}"/>
    <cellStyle name="Normal 2 2 10 2 7 6" xfId="8249" xr:uid="{00000000-0005-0000-0000-00000B200000}"/>
    <cellStyle name="Normal 2 2 10 2 7 7" xfId="8250" xr:uid="{00000000-0005-0000-0000-00000C200000}"/>
    <cellStyle name="Normal 2 2 10 2 7 8" xfId="8251" xr:uid="{00000000-0005-0000-0000-00000D200000}"/>
    <cellStyle name="Normal 2 2 10 2 7 9" xfId="8252" xr:uid="{00000000-0005-0000-0000-00000E200000}"/>
    <cellStyle name="Normal 2 2 10 2 8" xfId="8253" xr:uid="{00000000-0005-0000-0000-00000F200000}"/>
    <cellStyle name="Normal 2 2 10 2 8 10" xfId="8254" xr:uid="{00000000-0005-0000-0000-000010200000}"/>
    <cellStyle name="Normal 2 2 10 2 8 11" xfId="8255" xr:uid="{00000000-0005-0000-0000-000011200000}"/>
    <cellStyle name="Normal 2 2 10 2 8 12" xfId="8256" xr:uid="{00000000-0005-0000-0000-000012200000}"/>
    <cellStyle name="Normal 2 2 10 2 8 13" xfId="8257" xr:uid="{00000000-0005-0000-0000-000013200000}"/>
    <cellStyle name="Normal 2 2 10 2 8 14" xfId="8258" xr:uid="{00000000-0005-0000-0000-000014200000}"/>
    <cellStyle name="Normal 2 2 10 2 8 2" xfId="8259" xr:uid="{00000000-0005-0000-0000-000015200000}"/>
    <cellStyle name="Normal 2 2 10 2 8 2 10" xfId="8260" xr:uid="{00000000-0005-0000-0000-000016200000}"/>
    <cellStyle name="Normal 2 2 10 2 8 2 2" xfId="8261" xr:uid="{00000000-0005-0000-0000-000017200000}"/>
    <cellStyle name="Normal 2 2 10 2 8 2 3" xfId="8262" xr:uid="{00000000-0005-0000-0000-000018200000}"/>
    <cellStyle name="Normal 2 2 10 2 8 2 4" xfId="8263" xr:uid="{00000000-0005-0000-0000-000019200000}"/>
    <cellStyle name="Normal 2 2 10 2 8 2 5" xfId="8264" xr:uid="{00000000-0005-0000-0000-00001A200000}"/>
    <cellStyle name="Normal 2 2 10 2 8 2 6" xfId="8265" xr:uid="{00000000-0005-0000-0000-00001B200000}"/>
    <cellStyle name="Normal 2 2 10 2 8 2 7" xfId="8266" xr:uid="{00000000-0005-0000-0000-00001C200000}"/>
    <cellStyle name="Normal 2 2 10 2 8 2 8" xfId="8267" xr:uid="{00000000-0005-0000-0000-00001D200000}"/>
    <cellStyle name="Normal 2 2 10 2 8 2 9" xfId="8268" xr:uid="{00000000-0005-0000-0000-00001E200000}"/>
    <cellStyle name="Normal 2 2 10 2 8 3" xfId="8269" xr:uid="{00000000-0005-0000-0000-00001F200000}"/>
    <cellStyle name="Normal 2 2 10 2 8 3 10" xfId="8270" xr:uid="{00000000-0005-0000-0000-000020200000}"/>
    <cellStyle name="Normal 2 2 10 2 8 3 2" xfId="8271" xr:uid="{00000000-0005-0000-0000-000021200000}"/>
    <cellStyle name="Normal 2 2 10 2 8 3 3" xfId="8272" xr:uid="{00000000-0005-0000-0000-000022200000}"/>
    <cellStyle name="Normal 2 2 10 2 8 3 4" xfId="8273" xr:uid="{00000000-0005-0000-0000-000023200000}"/>
    <cellStyle name="Normal 2 2 10 2 8 3 5" xfId="8274" xr:uid="{00000000-0005-0000-0000-000024200000}"/>
    <cellStyle name="Normal 2 2 10 2 8 3 6" xfId="8275" xr:uid="{00000000-0005-0000-0000-000025200000}"/>
    <cellStyle name="Normal 2 2 10 2 8 3 7" xfId="8276" xr:uid="{00000000-0005-0000-0000-000026200000}"/>
    <cellStyle name="Normal 2 2 10 2 8 3 8" xfId="8277" xr:uid="{00000000-0005-0000-0000-000027200000}"/>
    <cellStyle name="Normal 2 2 10 2 8 3 9" xfId="8278" xr:uid="{00000000-0005-0000-0000-000028200000}"/>
    <cellStyle name="Normal 2 2 10 2 8 4" xfId="8279" xr:uid="{00000000-0005-0000-0000-000029200000}"/>
    <cellStyle name="Normal 2 2 10 2 8 4 10" xfId="8280" xr:uid="{00000000-0005-0000-0000-00002A200000}"/>
    <cellStyle name="Normal 2 2 10 2 8 4 2" xfId="8281" xr:uid="{00000000-0005-0000-0000-00002B200000}"/>
    <cellStyle name="Normal 2 2 10 2 8 4 3" xfId="8282" xr:uid="{00000000-0005-0000-0000-00002C200000}"/>
    <cellStyle name="Normal 2 2 10 2 8 4 4" xfId="8283" xr:uid="{00000000-0005-0000-0000-00002D200000}"/>
    <cellStyle name="Normal 2 2 10 2 8 4 5" xfId="8284" xr:uid="{00000000-0005-0000-0000-00002E200000}"/>
    <cellStyle name="Normal 2 2 10 2 8 4 6" xfId="8285" xr:uid="{00000000-0005-0000-0000-00002F200000}"/>
    <cellStyle name="Normal 2 2 10 2 8 4 7" xfId="8286" xr:uid="{00000000-0005-0000-0000-000030200000}"/>
    <cellStyle name="Normal 2 2 10 2 8 4 8" xfId="8287" xr:uid="{00000000-0005-0000-0000-000031200000}"/>
    <cellStyle name="Normal 2 2 10 2 8 4 9" xfId="8288" xr:uid="{00000000-0005-0000-0000-000032200000}"/>
    <cellStyle name="Normal 2 2 10 2 8 5" xfId="8289" xr:uid="{00000000-0005-0000-0000-000033200000}"/>
    <cellStyle name="Normal 2 2 10 2 8 5 10" xfId="8290" xr:uid="{00000000-0005-0000-0000-000034200000}"/>
    <cellStyle name="Normal 2 2 10 2 8 5 2" xfId="8291" xr:uid="{00000000-0005-0000-0000-000035200000}"/>
    <cellStyle name="Normal 2 2 10 2 8 5 3" xfId="8292" xr:uid="{00000000-0005-0000-0000-000036200000}"/>
    <cellStyle name="Normal 2 2 10 2 8 5 4" xfId="8293" xr:uid="{00000000-0005-0000-0000-000037200000}"/>
    <cellStyle name="Normal 2 2 10 2 8 5 5" xfId="8294" xr:uid="{00000000-0005-0000-0000-000038200000}"/>
    <cellStyle name="Normal 2 2 10 2 8 5 6" xfId="8295" xr:uid="{00000000-0005-0000-0000-000039200000}"/>
    <cellStyle name="Normal 2 2 10 2 8 5 7" xfId="8296" xr:uid="{00000000-0005-0000-0000-00003A200000}"/>
    <cellStyle name="Normal 2 2 10 2 8 5 8" xfId="8297" xr:uid="{00000000-0005-0000-0000-00003B200000}"/>
    <cellStyle name="Normal 2 2 10 2 8 5 9" xfId="8298" xr:uid="{00000000-0005-0000-0000-00003C200000}"/>
    <cellStyle name="Normal 2 2 10 2 8 6" xfId="8299" xr:uid="{00000000-0005-0000-0000-00003D200000}"/>
    <cellStyle name="Normal 2 2 10 2 8 7" xfId="8300" xr:uid="{00000000-0005-0000-0000-00003E200000}"/>
    <cellStyle name="Normal 2 2 10 2 8 8" xfId="8301" xr:uid="{00000000-0005-0000-0000-00003F200000}"/>
    <cellStyle name="Normal 2 2 10 2 8 9" xfId="8302" xr:uid="{00000000-0005-0000-0000-000040200000}"/>
    <cellStyle name="Normal 2 2 10 2 9" xfId="8303" xr:uid="{00000000-0005-0000-0000-000041200000}"/>
    <cellStyle name="Normal 2 2 10 2 9 10" xfId="8304" xr:uid="{00000000-0005-0000-0000-000042200000}"/>
    <cellStyle name="Normal 2 2 10 2 9 11" xfId="8305" xr:uid="{00000000-0005-0000-0000-000043200000}"/>
    <cellStyle name="Normal 2 2 10 2 9 12" xfId="8306" xr:uid="{00000000-0005-0000-0000-000044200000}"/>
    <cellStyle name="Normal 2 2 10 2 9 13" xfId="8307" xr:uid="{00000000-0005-0000-0000-000045200000}"/>
    <cellStyle name="Normal 2 2 10 2 9 14" xfId="8308" xr:uid="{00000000-0005-0000-0000-000046200000}"/>
    <cellStyle name="Normal 2 2 10 2 9 2" xfId="8309" xr:uid="{00000000-0005-0000-0000-000047200000}"/>
    <cellStyle name="Normal 2 2 10 2 9 2 10" xfId="8310" xr:uid="{00000000-0005-0000-0000-000048200000}"/>
    <cellStyle name="Normal 2 2 10 2 9 2 2" xfId="8311" xr:uid="{00000000-0005-0000-0000-000049200000}"/>
    <cellStyle name="Normal 2 2 10 2 9 2 3" xfId="8312" xr:uid="{00000000-0005-0000-0000-00004A200000}"/>
    <cellStyle name="Normal 2 2 10 2 9 2 4" xfId="8313" xr:uid="{00000000-0005-0000-0000-00004B200000}"/>
    <cellStyle name="Normal 2 2 10 2 9 2 5" xfId="8314" xr:uid="{00000000-0005-0000-0000-00004C200000}"/>
    <cellStyle name="Normal 2 2 10 2 9 2 6" xfId="8315" xr:uid="{00000000-0005-0000-0000-00004D200000}"/>
    <cellStyle name="Normal 2 2 10 2 9 2 7" xfId="8316" xr:uid="{00000000-0005-0000-0000-00004E200000}"/>
    <cellStyle name="Normal 2 2 10 2 9 2 8" xfId="8317" xr:uid="{00000000-0005-0000-0000-00004F200000}"/>
    <cellStyle name="Normal 2 2 10 2 9 2 9" xfId="8318" xr:uid="{00000000-0005-0000-0000-000050200000}"/>
    <cellStyle name="Normal 2 2 10 2 9 3" xfId="8319" xr:uid="{00000000-0005-0000-0000-000051200000}"/>
    <cellStyle name="Normal 2 2 10 2 9 3 10" xfId="8320" xr:uid="{00000000-0005-0000-0000-000052200000}"/>
    <cellStyle name="Normal 2 2 10 2 9 3 2" xfId="8321" xr:uid="{00000000-0005-0000-0000-000053200000}"/>
    <cellStyle name="Normal 2 2 10 2 9 3 3" xfId="8322" xr:uid="{00000000-0005-0000-0000-000054200000}"/>
    <cellStyle name="Normal 2 2 10 2 9 3 4" xfId="8323" xr:uid="{00000000-0005-0000-0000-000055200000}"/>
    <cellStyle name="Normal 2 2 10 2 9 3 5" xfId="8324" xr:uid="{00000000-0005-0000-0000-000056200000}"/>
    <cellStyle name="Normal 2 2 10 2 9 3 6" xfId="8325" xr:uid="{00000000-0005-0000-0000-000057200000}"/>
    <cellStyle name="Normal 2 2 10 2 9 3 7" xfId="8326" xr:uid="{00000000-0005-0000-0000-000058200000}"/>
    <cellStyle name="Normal 2 2 10 2 9 3 8" xfId="8327" xr:uid="{00000000-0005-0000-0000-000059200000}"/>
    <cellStyle name="Normal 2 2 10 2 9 3 9" xfId="8328" xr:uid="{00000000-0005-0000-0000-00005A200000}"/>
    <cellStyle name="Normal 2 2 10 2 9 4" xfId="8329" xr:uid="{00000000-0005-0000-0000-00005B200000}"/>
    <cellStyle name="Normal 2 2 10 2 9 4 10" xfId="8330" xr:uid="{00000000-0005-0000-0000-00005C200000}"/>
    <cellStyle name="Normal 2 2 10 2 9 4 2" xfId="8331" xr:uid="{00000000-0005-0000-0000-00005D200000}"/>
    <cellStyle name="Normal 2 2 10 2 9 4 3" xfId="8332" xr:uid="{00000000-0005-0000-0000-00005E200000}"/>
    <cellStyle name="Normal 2 2 10 2 9 4 4" xfId="8333" xr:uid="{00000000-0005-0000-0000-00005F200000}"/>
    <cellStyle name="Normal 2 2 10 2 9 4 5" xfId="8334" xr:uid="{00000000-0005-0000-0000-000060200000}"/>
    <cellStyle name="Normal 2 2 10 2 9 4 6" xfId="8335" xr:uid="{00000000-0005-0000-0000-000061200000}"/>
    <cellStyle name="Normal 2 2 10 2 9 4 7" xfId="8336" xr:uid="{00000000-0005-0000-0000-000062200000}"/>
    <cellStyle name="Normal 2 2 10 2 9 4 8" xfId="8337" xr:uid="{00000000-0005-0000-0000-000063200000}"/>
    <cellStyle name="Normal 2 2 10 2 9 4 9" xfId="8338" xr:uid="{00000000-0005-0000-0000-000064200000}"/>
    <cellStyle name="Normal 2 2 10 2 9 5" xfId="8339" xr:uid="{00000000-0005-0000-0000-000065200000}"/>
    <cellStyle name="Normal 2 2 10 2 9 5 10" xfId="8340" xr:uid="{00000000-0005-0000-0000-000066200000}"/>
    <cellStyle name="Normal 2 2 10 2 9 5 2" xfId="8341" xr:uid="{00000000-0005-0000-0000-000067200000}"/>
    <cellStyle name="Normal 2 2 10 2 9 5 3" xfId="8342" xr:uid="{00000000-0005-0000-0000-000068200000}"/>
    <cellStyle name="Normal 2 2 10 2 9 5 4" xfId="8343" xr:uid="{00000000-0005-0000-0000-000069200000}"/>
    <cellStyle name="Normal 2 2 10 2 9 5 5" xfId="8344" xr:uid="{00000000-0005-0000-0000-00006A200000}"/>
    <cellStyle name="Normal 2 2 10 2 9 5 6" xfId="8345" xr:uid="{00000000-0005-0000-0000-00006B200000}"/>
    <cellStyle name="Normal 2 2 10 2 9 5 7" xfId="8346" xr:uid="{00000000-0005-0000-0000-00006C200000}"/>
    <cellStyle name="Normal 2 2 10 2 9 5 8" xfId="8347" xr:uid="{00000000-0005-0000-0000-00006D200000}"/>
    <cellStyle name="Normal 2 2 10 2 9 5 9" xfId="8348" xr:uid="{00000000-0005-0000-0000-00006E200000}"/>
    <cellStyle name="Normal 2 2 10 2 9 6" xfId="8349" xr:uid="{00000000-0005-0000-0000-00006F200000}"/>
    <cellStyle name="Normal 2 2 10 2 9 7" xfId="8350" xr:uid="{00000000-0005-0000-0000-000070200000}"/>
    <cellStyle name="Normal 2 2 10 2 9 8" xfId="8351" xr:uid="{00000000-0005-0000-0000-000071200000}"/>
    <cellStyle name="Normal 2 2 10 2 9 9" xfId="8352" xr:uid="{00000000-0005-0000-0000-000072200000}"/>
    <cellStyle name="Normal 2 2 10 20" xfId="8353" xr:uid="{00000000-0005-0000-0000-000073200000}"/>
    <cellStyle name="Normal 2 2 10 20 10" xfId="8354" xr:uid="{00000000-0005-0000-0000-000074200000}"/>
    <cellStyle name="Normal 2 2 10 20 11" xfId="8355" xr:uid="{00000000-0005-0000-0000-000075200000}"/>
    <cellStyle name="Normal 2 2 10 20 12" xfId="8356" xr:uid="{00000000-0005-0000-0000-000076200000}"/>
    <cellStyle name="Normal 2 2 10 20 13" xfId="8357" xr:uid="{00000000-0005-0000-0000-000077200000}"/>
    <cellStyle name="Normal 2 2 10 20 14" xfId="8358" xr:uid="{00000000-0005-0000-0000-000078200000}"/>
    <cellStyle name="Normal 2 2 10 20 2" xfId="8359" xr:uid="{00000000-0005-0000-0000-000079200000}"/>
    <cellStyle name="Normal 2 2 10 20 2 10" xfId="8360" xr:uid="{00000000-0005-0000-0000-00007A200000}"/>
    <cellStyle name="Normal 2 2 10 20 2 2" xfId="8361" xr:uid="{00000000-0005-0000-0000-00007B200000}"/>
    <cellStyle name="Normal 2 2 10 20 2 3" xfId="8362" xr:uid="{00000000-0005-0000-0000-00007C200000}"/>
    <cellStyle name="Normal 2 2 10 20 2 4" xfId="8363" xr:uid="{00000000-0005-0000-0000-00007D200000}"/>
    <cellStyle name="Normal 2 2 10 20 2 5" xfId="8364" xr:uid="{00000000-0005-0000-0000-00007E200000}"/>
    <cellStyle name="Normal 2 2 10 20 2 6" xfId="8365" xr:uid="{00000000-0005-0000-0000-00007F200000}"/>
    <cellStyle name="Normal 2 2 10 20 2 7" xfId="8366" xr:uid="{00000000-0005-0000-0000-000080200000}"/>
    <cellStyle name="Normal 2 2 10 20 2 8" xfId="8367" xr:uid="{00000000-0005-0000-0000-000081200000}"/>
    <cellStyle name="Normal 2 2 10 20 2 9" xfId="8368" xr:uid="{00000000-0005-0000-0000-000082200000}"/>
    <cellStyle name="Normal 2 2 10 20 3" xfId="8369" xr:uid="{00000000-0005-0000-0000-000083200000}"/>
    <cellStyle name="Normal 2 2 10 20 3 10" xfId="8370" xr:uid="{00000000-0005-0000-0000-000084200000}"/>
    <cellStyle name="Normal 2 2 10 20 3 2" xfId="8371" xr:uid="{00000000-0005-0000-0000-000085200000}"/>
    <cellStyle name="Normal 2 2 10 20 3 3" xfId="8372" xr:uid="{00000000-0005-0000-0000-000086200000}"/>
    <cellStyle name="Normal 2 2 10 20 3 4" xfId="8373" xr:uid="{00000000-0005-0000-0000-000087200000}"/>
    <cellStyle name="Normal 2 2 10 20 3 5" xfId="8374" xr:uid="{00000000-0005-0000-0000-000088200000}"/>
    <cellStyle name="Normal 2 2 10 20 3 6" xfId="8375" xr:uid="{00000000-0005-0000-0000-000089200000}"/>
    <cellStyle name="Normal 2 2 10 20 3 7" xfId="8376" xr:uid="{00000000-0005-0000-0000-00008A200000}"/>
    <cellStyle name="Normal 2 2 10 20 3 8" xfId="8377" xr:uid="{00000000-0005-0000-0000-00008B200000}"/>
    <cellStyle name="Normal 2 2 10 20 3 9" xfId="8378" xr:uid="{00000000-0005-0000-0000-00008C200000}"/>
    <cellStyle name="Normal 2 2 10 20 4" xfId="8379" xr:uid="{00000000-0005-0000-0000-00008D200000}"/>
    <cellStyle name="Normal 2 2 10 20 4 10" xfId="8380" xr:uid="{00000000-0005-0000-0000-00008E200000}"/>
    <cellStyle name="Normal 2 2 10 20 4 2" xfId="8381" xr:uid="{00000000-0005-0000-0000-00008F200000}"/>
    <cellStyle name="Normal 2 2 10 20 4 3" xfId="8382" xr:uid="{00000000-0005-0000-0000-000090200000}"/>
    <cellStyle name="Normal 2 2 10 20 4 4" xfId="8383" xr:uid="{00000000-0005-0000-0000-000091200000}"/>
    <cellStyle name="Normal 2 2 10 20 4 5" xfId="8384" xr:uid="{00000000-0005-0000-0000-000092200000}"/>
    <cellStyle name="Normal 2 2 10 20 4 6" xfId="8385" xr:uid="{00000000-0005-0000-0000-000093200000}"/>
    <cellStyle name="Normal 2 2 10 20 4 7" xfId="8386" xr:uid="{00000000-0005-0000-0000-000094200000}"/>
    <cellStyle name="Normal 2 2 10 20 4 8" xfId="8387" xr:uid="{00000000-0005-0000-0000-000095200000}"/>
    <cellStyle name="Normal 2 2 10 20 4 9" xfId="8388" xr:uid="{00000000-0005-0000-0000-000096200000}"/>
    <cellStyle name="Normal 2 2 10 20 5" xfId="8389" xr:uid="{00000000-0005-0000-0000-000097200000}"/>
    <cellStyle name="Normal 2 2 10 20 5 10" xfId="8390" xr:uid="{00000000-0005-0000-0000-000098200000}"/>
    <cellStyle name="Normal 2 2 10 20 5 2" xfId="8391" xr:uid="{00000000-0005-0000-0000-000099200000}"/>
    <cellStyle name="Normal 2 2 10 20 5 3" xfId="8392" xr:uid="{00000000-0005-0000-0000-00009A200000}"/>
    <cellStyle name="Normal 2 2 10 20 5 4" xfId="8393" xr:uid="{00000000-0005-0000-0000-00009B200000}"/>
    <cellStyle name="Normal 2 2 10 20 5 5" xfId="8394" xr:uid="{00000000-0005-0000-0000-00009C200000}"/>
    <cellStyle name="Normal 2 2 10 20 5 6" xfId="8395" xr:uid="{00000000-0005-0000-0000-00009D200000}"/>
    <cellStyle name="Normal 2 2 10 20 5 7" xfId="8396" xr:uid="{00000000-0005-0000-0000-00009E200000}"/>
    <cellStyle name="Normal 2 2 10 20 5 8" xfId="8397" xr:uid="{00000000-0005-0000-0000-00009F200000}"/>
    <cellStyle name="Normal 2 2 10 20 5 9" xfId="8398" xr:uid="{00000000-0005-0000-0000-0000A0200000}"/>
    <cellStyle name="Normal 2 2 10 20 6" xfId="8399" xr:uid="{00000000-0005-0000-0000-0000A1200000}"/>
    <cellStyle name="Normal 2 2 10 20 7" xfId="8400" xr:uid="{00000000-0005-0000-0000-0000A2200000}"/>
    <cellStyle name="Normal 2 2 10 20 8" xfId="8401" xr:uid="{00000000-0005-0000-0000-0000A3200000}"/>
    <cellStyle name="Normal 2 2 10 20 9" xfId="8402" xr:uid="{00000000-0005-0000-0000-0000A4200000}"/>
    <cellStyle name="Normal 2 2 10 21" xfId="8403" xr:uid="{00000000-0005-0000-0000-0000A5200000}"/>
    <cellStyle name="Normal 2 2 10 21 10" xfId="8404" xr:uid="{00000000-0005-0000-0000-0000A6200000}"/>
    <cellStyle name="Normal 2 2 10 21 11" xfId="8405" xr:uid="{00000000-0005-0000-0000-0000A7200000}"/>
    <cellStyle name="Normal 2 2 10 21 12" xfId="8406" xr:uid="{00000000-0005-0000-0000-0000A8200000}"/>
    <cellStyle name="Normal 2 2 10 21 13" xfId="8407" xr:uid="{00000000-0005-0000-0000-0000A9200000}"/>
    <cellStyle name="Normal 2 2 10 21 14" xfId="8408" xr:uid="{00000000-0005-0000-0000-0000AA200000}"/>
    <cellStyle name="Normal 2 2 10 21 2" xfId="8409" xr:uid="{00000000-0005-0000-0000-0000AB200000}"/>
    <cellStyle name="Normal 2 2 10 21 2 10" xfId="8410" xr:uid="{00000000-0005-0000-0000-0000AC200000}"/>
    <cellStyle name="Normal 2 2 10 21 2 2" xfId="8411" xr:uid="{00000000-0005-0000-0000-0000AD200000}"/>
    <cellStyle name="Normal 2 2 10 21 2 3" xfId="8412" xr:uid="{00000000-0005-0000-0000-0000AE200000}"/>
    <cellStyle name="Normal 2 2 10 21 2 4" xfId="8413" xr:uid="{00000000-0005-0000-0000-0000AF200000}"/>
    <cellStyle name="Normal 2 2 10 21 2 5" xfId="8414" xr:uid="{00000000-0005-0000-0000-0000B0200000}"/>
    <cellStyle name="Normal 2 2 10 21 2 6" xfId="8415" xr:uid="{00000000-0005-0000-0000-0000B1200000}"/>
    <cellStyle name="Normal 2 2 10 21 2 7" xfId="8416" xr:uid="{00000000-0005-0000-0000-0000B2200000}"/>
    <cellStyle name="Normal 2 2 10 21 2 8" xfId="8417" xr:uid="{00000000-0005-0000-0000-0000B3200000}"/>
    <cellStyle name="Normal 2 2 10 21 2 9" xfId="8418" xr:uid="{00000000-0005-0000-0000-0000B4200000}"/>
    <cellStyle name="Normal 2 2 10 21 3" xfId="8419" xr:uid="{00000000-0005-0000-0000-0000B5200000}"/>
    <cellStyle name="Normal 2 2 10 21 3 10" xfId="8420" xr:uid="{00000000-0005-0000-0000-0000B6200000}"/>
    <cellStyle name="Normal 2 2 10 21 3 2" xfId="8421" xr:uid="{00000000-0005-0000-0000-0000B7200000}"/>
    <cellStyle name="Normal 2 2 10 21 3 3" xfId="8422" xr:uid="{00000000-0005-0000-0000-0000B8200000}"/>
    <cellStyle name="Normal 2 2 10 21 3 4" xfId="8423" xr:uid="{00000000-0005-0000-0000-0000B9200000}"/>
    <cellStyle name="Normal 2 2 10 21 3 5" xfId="8424" xr:uid="{00000000-0005-0000-0000-0000BA200000}"/>
    <cellStyle name="Normal 2 2 10 21 3 6" xfId="8425" xr:uid="{00000000-0005-0000-0000-0000BB200000}"/>
    <cellStyle name="Normal 2 2 10 21 3 7" xfId="8426" xr:uid="{00000000-0005-0000-0000-0000BC200000}"/>
    <cellStyle name="Normal 2 2 10 21 3 8" xfId="8427" xr:uid="{00000000-0005-0000-0000-0000BD200000}"/>
    <cellStyle name="Normal 2 2 10 21 3 9" xfId="8428" xr:uid="{00000000-0005-0000-0000-0000BE200000}"/>
    <cellStyle name="Normal 2 2 10 21 4" xfId="8429" xr:uid="{00000000-0005-0000-0000-0000BF200000}"/>
    <cellStyle name="Normal 2 2 10 21 4 10" xfId="8430" xr:uid="{00000000-0005-0000-0000-0000C0200000}"/>
    <cellStyle name="Normal 2 2 10 21 4 2" xfId="8431" xr:uid="{00000000-0005-0000-0000-0000C1200000}"/>
    <cellStyle name="Normal 2 2 10 21 4 3" xfId="8432" xr:uid="{00000000-0005-0000-0000-0000C2200000}"/>
    <cellStyle name="Normal 2 2 10 21 4 4" xfId="8433" xr:uid="{00000000-0005-0000-0000-0000C3200000}"/>
    <cellStyle name="Normal 2 2 10 21 4 5" xfId="8434" xr:uid="{00000000-0005-0000-0000-0000C4200000}"/>
    <cellStyle name="Normal 2 2 10 21 4 6" xfId="8435" xr:uid="{00000000-0005-0000-0000-0000C5200000}"/>
    <cellStyle name="Normal 2 2 10 21 4 7" xfId="8436" xr:uid="{00000000-0005-0000-0000-0000C6200000}"/>
    <cellStyle name="Normal 2 2 10 21 4 8" xfId="8437" xr:uid="{00000000-0005-0000-0000-0000C7200000}"/>
    <cellStyle name="Normal 2 2 10 21 4 9" xfId="8438" xr:uid="{00000000-0005-0000-0000-0000C8200000}"/>
    <cellStyle name="Normal 2 2 10 21 5" xfId="8439" xr:uid="{00000000-0005-0000-0000-0000C9200000}"/>
    <cellStyle name="Normal 2 2 10 21 5 10" xfId="8440" xr:uid="{00000000-0005-0000-0000-0000CA200000}"/>
    <cellStyle name="Normal 2 2 10 21 5 2" xfId="8441" xr:uid="{00000000-0005-0000-0000-0000CB200000}"/>
    <cellStyle name="Normal 2 2 10 21 5 3" xfId="8442" xr:uid="{00000000-0005-0000-0000-0000CC200000}"/>
    <cellStyle name="Normal 2 2 10 21 5 4" xfId="8443" xr:uid="{00000000-0005-0000-0000-0000CD200000}"/>
    <cellStyle name="Normal 2 2 10 21 5 5" xfId="8444" xr:uid="{00000000-0005-0000-0000-0000CE200000}"/>
    <cellStyle name="Normal 2 2 10 21 5 6" xfId="8445" xr:uid="{00000000-0005-0000-0000-0000CF200000}"/>
    <cellStyle name="Normal 2 2 10 21 5 7" xfId="8446" xr:uid="{00000000-0005-0000-0000-0000D0200000}"/>
    <cellStyle name="Normal 2 2 10 21 5 8" xfId="8447" xr:uid="{00000000-0005-0000-0000-0000D1200000}"/>
    <cellStyle name="Normal 2 2 10 21 5 9" xfId="8448" xr:uid="{00000000-0005-0000-0000-0000D2200000}"/>
    <cellStyle name="Normal 2 2 10 21 6" xfId="8449" xr:uid="{00000000-0005-0000-0000-0000D3200000}"/>
    <cellStyle name="Normal 2 2 10 21 7" xfId="8450" xr:uid="{00000000-0005-0000-0000-0000D4200000}"/>
    <cellStyle name="Normal 2 2 10 21 8" xfId="8451" xr:uid="{00000000-0005-0000-0000-0000D5200000}"/>
    <cellStyle name="Normal 2 2 10 21 9" xfId="8452" xr:uid="{00000000-0005-0000-0000-0000D6200000}"/>
    <cellStyle name="Normal 2 2 10 22" xfId="8453" xr:uid="{00000000-0005-0000-0000-0000D7200000}"/>
    <cellStyle name="Normal 2 2 10 22 10" xfId="8454" xr:uid="{00000000-0005-0000-0000-0000D8200000}"/>
    <cellStyle name="Normal 2 2 10 22 11" xfId="8455" xr:uid="{00000000-0005-0000-0000-0000D9200000}"/>
    <cellStyle name="Normal 2 2 10 22 12" xfId="8456" xr:uid="{00000000-0005-0000-0000-0000DA200000}"/>
    <cellStyle name="Normal 2 2 10 22 13" xfId="8457" xr:uid="{00000000-0005-0000-0000-0000DB200000}"/>
    <cellStyle name="Normal 2 2 10 22 14" xfId="8458" xr:uid="{00000000-0005-0000-0000-0000DC200000}"/>
    <cellStyle name="Normal 2 2 10 22 2" xfId="8459" xr:uid="{00000000-0005-0000-0000-0000DD200000}"/>
    <cellStyle name="Normal 2 2 10 22 2 10" xfId="8460" xr:uid="{00000000-0005-0000-0000-0000DE200000}"/>
    <cellStyle name="Normal 2 2 10 22 2 2" xfId="8461" xr:uid="{00000000-0005-0000-0000-0000DF200000}"/>
    <cellStyle name="Normal 2 2 10 22 2 3" xfId="8462" xr:uid="{00000000-0005-0000-0000-0000E0200000}"/>
    <cellStyle name="Normal 2 2 10 22 2 4" xfId="8463" xr:uid="{00000000-0005-0000-0000-0000E1200000}"/>
    <cellStyle name="Normal 2 2 10 22 2 5" xfId="8464" xr:uid="{00000000-0005-0000-0000-0000E2200000}"/>
    <cellStyle name="Normal 2 2 10 22 2 6" xfId="8465" xr:uid="{00000000-0005-0000-0000-0000E3200000}"/>
    <cellStyle name="Normal 2 2 10 22 2 7" xfId="8466" xr:uid="{00000000-0005-0000-0000-0000E4200000}"/>
    <cellStyle name="Normal 2 2 10 22 2 8" xfId="8467" xr:uid="{00000000-0005-0000-0000-0000E5200000}"/>
    <cellStyle name="Normal 2 2 10 22 2 9" xfId="8468" xr:uid="{00000000-0005-0000-0000-0000E6200000}"/>
    <cellStyle name="Normal 2 2 10 22 3" xfId="8469" xr:uid="{00000000-0005-0000-0000-0000E7200000}"/>
    <cellStyle name="Normal 2 2 10 22 3 10" xfId="8470" xr:uid="{00000000-0005-0000-0000-0000E8200000}"/>
    <cellStyle name="Normal 2 2 10 22 3 2" xfId="8471" xr:uid="{00000000-0005-0000-0000-0000E9200000}"/>
    <cellStyle name="Normal 2 2 10 22 3 3" xfId="8472" xr:uid="{00000000-0005-0000-0000-0000EA200000}"/>
    <cellStyle name="Normal 2 2 10 22 3 4" xfId="8473" xr:uid="{00000000-0005-0000-0000-0000EB200000}"/>
    <cellStyle name="Normal 2 2 10 22 3 5" xfId="8474" xr:uid="{00000000-0005-0000-0000-0000EC200000}"/>
    <cellStyle name="Normal 2 2 10 22 3 6" xfId="8475" xr:uid="{00000000-0005-0000-0000-0000ED200000}"/>
    <cellStyle name="Normal 2 2 10 22 3 7" xfId="8476" xr:uid="{00000000-0005-0000-0000-0000EE200000}"/>
    <cellStyle name="Normal 2 2 10 22 3 8" xfId="8477" xr:uid="{00000000-0005-0000-0000-0000EF200000}"/>
    <cellStyle name="Normal 2 2 10 22 3 9" xfId="8478" xr:uid="{00000000-0005-0000-0000-0000F0200000}"/>
    <cellStyle name="Normal 2 2 10 22 4" xfId="8479" xr:uid="{00000000-0005-0000-0000-0000F1200000}"/>
    <cellStyle name="Normal 2 2 10 22 4 10" xfId="8480" xr:uid="{00000000-0005-0000-0000-0000F2200000}"/>
    <cellStyle name="Normal 2 2 10 22 4 2" xfId="8481" xr:uid="{00000000-0005-0000-0000-0000F3200000}"/>
    <cellStyle name="Normal 2 2 10 22 4 3" xfId="8482" xr:uid="{00000000-0005-0000-0000-0000F4200000}"/>
    <cellStyle name="Normal 2 2 10 22 4 4" xfId="8483" xr:uid="{00000000-0005-0000-0000-0000F5200000}"/>
    <cellStyle name="Normal 2 2 10 22 4 5" xfId="8484" xr:uid="{00000000-0005-0000-0000-0000F6200000}"/>
    <cellStyle name="Normal 2 2 10 22 4 6" xfId="8485" xr:uid="{00000000-0005-0000-0000-0000F7200000}"/>
    <cellStyle name="Normal 2 2 10 22 4 7" xfId="8486" xr:uid="{00000000-0005-0000-0000-0000F8200000}"/>
    <cellStyle name="Normal 2 2 10 22 4 8" xfId="8487" xr:uid="{00000000-0005-0000-0000-0000F9200000}"/>
    <cellStyle name="Normal 2 2 10 22 4 9" xfId="8488" xr:uid="{00000000-0005-0000-0000-0000FA200000}"/>
    <cellStyle name="Normal 2 2 10 22 5" xfId="8489" xr:uid="{00000000-0005-0000-0000-0000FB200000}"/>
    <cellStyle name="Normal 2 2 10 22 5 10" xfId="8490" xr:uid="{00000000-0005-0000-0000-0000FC200000}"/>
    <cellStyle name="Normal 2 2 10 22 5 2" xfId="8491" xr:uid="{00000000-0005-0000-0000-0000FD200000}"/>
    <cellStyle name="Normal 2 2 10 22 5 3" xfId="8492" xr:uid="{00000000-0005-0000-0000-0000FE200000}"/>
    <cellStyle name="Normal 2 2 10 22 5 4" xfId="8493" xr:uid="{00000000-0005-0000-0000-0000FF200000}"/>
    <cellStyle name="Normal 2 2 10 22 5 5" xfId="8494" xr:uid="{00000000-0005-0000-0000-000000210000}"/>
    <cellStyle name="Normal 2 2 10 22 5 6" xfId="8495" xr:uid="{00000000-0005-0000-0000-000001210000}"/>
    <cellStyle name="Normal 2 2 10 22 5 7" xfId="8496" xr:uid="{00000000-0005-0000-0000-000002210000}"/>
    <cellStyle name="Normal 2 2 10 22 5 8" xfId="8497" xr:uid="{00000000-0005-0000-0000-000003210000}"/>
    <cellStyle name="Normal 2 2 10 22 5 9" xfId="8498" xr:uid="{00000000-0005-0000-0000-000004210000}"/>
    <cellStyle name="Normal 2 2 10 22 6" xfId="8499" xr:uid="{00000000-0005-0000-0000-000005210000}"/>
    <cellStyle name="Normal 2 2 10 22 7" xfId="8500" xr:uid="{00000000-0005-0000-0000-000006210000}"/>
    <cellStyle name="Normal 2 2 10 22 8" xfId="8501" xr:uid="{00000000-0005-0000-0000-000007210000}"/>
    <cellStyle name="Normal 2 2 10 22 9" xfId="8502" xr:uid="{00000000-0005-0000-0000-000008210000}"/>
    <cellStyle name="Normal 2 2 10 23" xfId="8503" xr:uid="{00000000-0005-0000-0000-000009210000}"/>
    <cellStyle name="Normal 2 2 10 23 10" xfId="8504" xr:uid="{00000000-0005-0000-0000-00000A210000}"/>
    <cellStyle name="Normal 2 2 10 23 11" xfId="8505" xr:uid="{00000000-0005-0000-0000-00000B210000}"/>
    <cellStyle name="Normal 2 2 10 23 12" xfId="8506" xr:uid="{00000000-0005-0000-0000-00000C210000}"/>
    <cellStyle name="Normal 2 2 10 23 13" xfId="8507" xr:uid="{00000000-0005-0000-0000-00000D210000}"/>
    <cellStyle name="Normal 2 2 10 23 14" xfId="8508" xr:uid="{00000000-0005-0000-0000-00000E210000}"/>
    <cellStyle name="Normal 2 2 10 23 2" xfId="8509" xr:uid="{00000000-0005-0000-0000-00000F210000}"/>
    <cellStyle name="Normal 2 2 10 23 2 10" xfId="8510" xr:uid="{00000000-0005-0000-0000-000010210000}"/>
    <cellStyle name="Normal 2 2 10 23 2 2" xfId="8511" xr:uid="{00000000-0005-0000-0000-000011210000}"/>
    <cellStyle name="Normal 2 2 10 23 2 3" xfId="8512" xr:uid="{00000000-0005-0000-0000-000012210000}"/>
    <cellStyle name="Normal 2 2 10 23 2 4" xfId="8513" xr:uid="{00000000-0005-0000-0000-000013210000}"/>
    <cellStyle name="Normal 2 2 10 23 2 5" xfId="8514" xr:uid="{00000000-0005-0000-0000-000014210000}"/>
    <cellStyle name="Normal 2 2 10 23 2 6" xfId="8515" xr:uid="{00000000-0005-0000-0000-000015210000}"/>
    <cellStyle name="Normal 2 2 10 23 2 7" xfId="8516" xr:uid="{00000000-0005-0000-0000-000016210000}"/>
    <cellStyle name="Normal 2 2 10 23 2 8" xfId="8517" xr:uid="{00000000-0005-0000-0000-000017210000}"/>
    <cellStyle name="Normal 2 2 10 23 2 9" xfId="8518" xr:uid="{00000000-0005-0000-0000-000018210000}"/>
    <cellStyle name="Normal 2 2 10 23 3" xfId="8519" xr:uid="{00000000-0005-0000-0000-000019210000}"/>
    <cellStyle name="Normal 2 2 10 23 3 10" xfId="8520" xr:uid="{00000000-0005-0000-0000-00001A210000}"/>
    <cellStyle name="Normal 2 2 10 23 3 2" xfId="8521" xr:uid="{00000000-0005-0000-0000-00001B210000}"/>
    <cellStyle name="Normal 2 2 10 23 3 3" xfId="8522" xr:uid="{00000000-0005-0000-0000-00001C210000}"/>
    <cellStyle name="Normal 2 2 10 23 3 4" xfId="8523" xr:uid="{00000000-0005-0000-0000-00001D210000}"/>
    <cellStyle name="Normal 2 2 10 23 3 5" xfId="8524" xr:uid="{00000000-0005-0000-0000-00001E210000}"/>
    <cellStyle name="Normal 2 2 10 23 3 6" xfId="8525" xr:uid="{00000000-0005-0000-0000-00001F210000}"/>
    <cellStyle name="Normal 2 2 10 23 3 7" xfId="8526" xr:uid="{00000000-0005-0000-0000-000020210000}"/>
    <cellStyle name="Normal 2 2 10 23 3 8" xfId="8527" xr:uid="{00000000-0005-0000-0000-000021210000}"/>
    <cellStyle name="Normal 2 2 10 23 3 9" xfId="8528" xr:uid="{00000000-0005-0000-0000-000022210000}"/>
    <cellStyle name="Normal 2 2 10 23 4" xfId="8529" xr:uid="{00000000-0005-0000-0000-000023210000}"/>
    <cellStyle name="Normal 2 2 10 23 4 10" xfId="8530" xr:uid="{00000000-0005-0000-0000-000024210000}"/>
    <cellStyle name="Normal 2 2 10 23 4 2" xfId="8531" xr:uid="{00000000-0005-0000-0000-000025210000}"/>
    <cellStyle name="Normal 2 2 10 23 4 3" xfId="8532" xr:uid="{00000000-0005-0000-0000-000026210000}"/>
    <cellStyle name="Normal 2 2 10 23 4 4" xfId="8533" xr:uid="{00000000-0005-0000-0000-000027210000}"/>
    <cellStyle name="Normal 2 2 10 23 4 5" xfId="8534" xr:uid="{00000000-0005-0000-0000-000028210000}"/>
    <cellStyle name="Normal 2 2 10 23 4 6" xfId="8535" xr:uid="{00000000-0005-0000-0000-000029210000}"/>
    <cellStyle name="Normal 2 2 10 23 4 7" xfId="8536" xr:uid="{00000000-0005-0000-0000-00002A210000}"/>
    <cellStyle name="Normal 2 2 10 23 4 8" xfId="8537" xr:uid="{00000000-0005-0000-0000-00002B210000}"/>
    <cellStyle name="Normal 2 2 10 23 4 9" xfId="8538" xr:uid="{00000000-0005-0000-0000-00002C210000}"/>
    <cellStyle name="Normal 2 2 10 23 5" xfId="8539" xr:uid="{00000000-0005-0000-0000-00002D210000}"/>
    <cellStyle name="Normal 2 2 10 23 5 10" xfId="8540" xr:uid="{00000000-0005-0000-0000-00002E210000}"/>
    <cellStyle name="Normal 2 2 10 23 5 2" xfId="8541" xr:uid="{00000000-0005-0000-0000-00002F210000}"/>
    <cellStyle name="Normal 2 2 10 23 5 3" xfId="8542" xr:uid="{00000000-0005-0000-0000-000030210000}"/>
    <cellStyle name="Normal 2 2 10 23 5 4" xfId="8543" xr:uid="{00000000-0005-0000-0000-000031210000}"/>
    <cellStyle name="Normal 2 2 10 23 5 5" xfId="8544" xr:uid="{00000000-0005-0000-0000-000032210000}"/>
    <cellStyle name="Normal 2 2 10 23 5 6" xfId="8545" xr:uid="{00000000-0005-0000-0000-000033210000}"/>
    <cellStyle name="Normal 2 2 10 23 5 7" xfId="8546" xr:uid="{00000000-0005-0000-0000-000034210000}"/>
    <cellStyle name="Normal 2 2 10 23 5 8" xfId="8547" xr:uid="{00000000-0005-0000-0000-000035210000}"/>
    <cellStyle name="Normal 2 2 10 23 5 9" xfId="8548" xr:uid="{00000000-0005-0000-0000-000036210000}"/>
    <cellStyle name="Normal 2 2 10 23 6" xfId="8549" xr:uid="{00000000-0005-0000-0000-000037210000}"/>
    <cellStyle name="Normal 2 2 10 23 7" xfId="8550" xr:uid="{00000000-0005-0000-0000-000038210000}"/>
    <cellStyle name="Normal 2 2 10 23 8" xfId="8551" xr:uid="{00000000-0005-0000-0000-000039210000}"/>
    <cellStyle name="Normal 2 2 10 23 9" xfId="8552" xr:uid="{00000000-0005-0000-0000-00003A210000}"/>
    <cellStyle name="Normal 2 2 10 24" xfId="8553" xr:uid="{00000000-0005-0000-0000-00003B210000}"/>
    <cellStyle name="Normal 2 2 10 24 10" xfId="8554" xr:uid="{00000000-0005-0000-0000-00003C210000}"/>
    <cellStyle name="Normal 2 2 10 24 11" xfId="8555" xr:uid="{00000000-0005-0000-0000-00003D210000}"/>
    <cellStyle name="Normal 2 2 10 24 12" xfId="8556" xr:uid="{00000000-0005-0000-0000-00003E210000}"/>
    <cellStyle name="Normal 2 2 10 24 13" xfId="8557" xr:uid="{00000000-0005-0000-0000-00003F210000}"/>
    <cellStyle name="Normal 2 2 10 24 14" xfId="8558" xr:uid="{00000000-0005-0000-0000-000040210000}"/>
    <cellStyle name="Normal 2 2 10 24 2" xfId="8559" xr:uid="{00000000-0005-0000-0000-000041210000}"/>
    <cellStyle name="Normal 2 2 10 24 2 10" xfId="8560" xr:uid="{00000000-0005-0000-0000-000042210000}"/>
    <cellStyle name="Normal 2 2 10 24 2 2" xfId="8561" xr:uid="{00000000-0005-0000-0000-000043210000}"/>
    <cellStyle name="Normal 2 2 10 24 2 3" xfId="8562" xr:uid="{00000000-0005-0000-0000-000044210000}"/>
    <cellStyle name="Normal 2 2 10 24 2 4" xfId="8563" xr:uid="{00000000-0005-0000-0000-000045210000}"/>
    <cellStyle name="Normal 2 2 10 24 2 5" xfId="8564" xr:uid="{00000000-0005-0000-0000-000046210000}"/>
    <cellStyle name="Normal 2 2 10 24 2 6" xfId="8565" xr:uid="{00000000-0005-0000-0000-000047210000}"/>
    <cellStyle name="Normal 2 2 10 24 2 7" xfId="8566" xr:uid="{00000000-0005-0000-0000-000048210000}"/>
    <cellStyle name="Normal 2 2 10 24 2 8" xfId="8567" xr:uid="{00000000-0005-0000-0000-000049210000}"/>
    <cellStyle name="Normal 2 2 10 24 2 9" xfId="8568" xr:uid="{00000000-0005-0000-0000-00004A210000}"/>
    <cellStyle name="Normal 2 2 10 24 3" xfId="8569" xr:uid="{00000000-0005-0000-0000-00004B210000}"/>
    <cellStyle name="Normal 2 2 10 24 3 10" xfId="8570" xr:uid="{00000000-0005-0000-0000-00004C210000}"/>
    <cellStyle name="Normal 2 2 10 24 3 2" xfId="8571" xr:uid="{00000000-0005-0000-0000-00004D210000}"/>
    <cellStyle name="Normal 2 2 10 24 3 3" xfId="8572" xr:uid="{00000000-0005-0000-0000-00004E210000}"/>
    <cellStyle name="Normal 2 2 10 24 3 4" xfId="8573" xr:uid="{00000000-0005-0000-0000-00004F210000}"/>
    <cellStyle name="Normal 2 2 10 24 3 5" xfId="8574" xr:uid="{00000000-0005-0000-0000-000050210000}"/>
    <cellStyle name="Normal 2 2 10 24 3 6" xfId="8575" xr:uid="{00000000-0005-0000-0000-000051210000}"/>
    <cellStyle name="Normal 2 2 10 24 3 7" xfId="8576" xr:uid="{00000000-0005-0000-0000-000052210000}"/>
    <cellStyle name="Normal 2 2 10 24 3 8" xfId="8577" xr:uid="{00000000-0005-0000-0000-000053210000}"/>
    <cellStyle name="Normal 2 2 10 24 3 9" xfId="8578" xr:uid="{00000000-0005-0000-0000-000054210000}"/>
    <cellStyle name="Normal 2 2 10 24 4" xfId="8579" xr:uid="{00000000-0005-0000-0000-000055210000}"/>
    <cellStyle name="Normal 2 2 10 24 4 10" xfId="8580" xr:uid="{00000000-0005-0000-0000-000056210000}"/>
    <cellStyle name="Normal 2 2 10 24 4 2" xfId="8581" xr:uid="{00000000-0005-0000-0000-000057210000}"/>
    <cellStyle name="Normal 2 2 10 24 4 3" xfId="8582" xr:uid="{00000000-0005-0000-0000-000058210000}"/>
    <cellStyle name="Normal 2 2 10 24 4 4" xfId="8583" xr:uid="{00000000-0005-0000-0000-000059210000}"/>
    <cellStyle name="Normal 2 2 10 24 4 5" xfId="8584" xr:uid="{00000000-0005-0000-0000-00005A210000}"/>
    <cellStyle name="Normal 2 2 10 24 4 6" xfId="8585" xr:uid="{00000000-0005-0000-0000-00005B210000}"/>
    <cellStyle name="Normal 2 2 10 24 4 7" xfId="8586" xr:uid="{00000000-0005-0000-0000-00005C210000}"/>
    <cellStyle name="Normal 2 2 10 24 4 8" xfId="8587" xr:uid="{00000000-0005-0000-0000-00005D210000}"/>
    <cellStyle name="Normal 2 2 10 24 4 9" xfId="8588" xr:uid="{00000000-0005-0000-0000-00005E210000}"/>
    <cellStyle name="Normal 2 2 10 24 5" xfId="8589" xr:uid="{00000000-0005-0000-0000-00005F210000}"/>
    <cellStyle name="Normal 2 2 10 24 5 10" xfId="8590" xr:uid="{00000000-0005-0000-0000-000060210000}"/>
    <cellStyle name="Normal 2 2 10 24 5 2" xfId="8591" xr:uid="{00000000-0005-0000-0000-000061210000}"/>
    <cellStyle name="Normal 2 2 10 24 5 3" xfId="8592" xr:uid="{00000000-0005-0000-0000-000062210000}"/>
    <cellStyle name="Normal 2 2 10 24 5 4" xfId="8593" xr:uid="{00000000-0005-0000-0000-000063210000}"/>
    <cellStyle name="Normal 2 2 10 24 5 5" xfId="8594" xr:uid="{00000000-0005-0000-0000-000064210000}"/>
    <cellStyle name="Normal 2 2 10 24 5 6" xfId="8595" xr:uid="{00000000-0005-0000-0000-000065210000}"/>
    <cellStyle name="Normal 2 2 10 24 5 7" xfId="8596" xr:uid="{00000000-0005-0000-0000-000066210000}"/>
    <cellStyle name="Normal 2 2 10 24 5 8" xfId="8597" xr:uid="{00000000-0005-0000-0000-000067210000}"/>
    <cellStyle name="Normal 2 2 10 24 5 9" xfId="8598" xr:uid="{00000000-0005-0000-0000-000068210000}"/>
    <cellStyle name="Normal 2 2 10 24 6" xfId="8599" xr:uid="{00000000-0005-0000-0000-000069210000}"/>
    <cellStyle name="Normal 2 2 10 24 7" xfId="8600" xr:uid="{00000000-0005-0000-0000-00006A210000}"/>
    <cellStyle name="Normal 2 2 10 24 8" xfId="8601" xr:uid="{00000000-0005-0000-0000-00006B210000}"/>
    <cellStyle name="Normal 2 2 10 24 9" xfId="8602" xr:uid="{00000000-0005-0000-0000-00006C210000}"/>
    <cellStyle name="Normal 2 2 10 25" xfId="8603" xr:uid="{00000000-0005-0000-0000-00006D210000}"/>
    <cellStyle name="Normal 2 2 10 25 10" xfId="8604" xr:uid="{00000000-0005-0000-0000-00006E210000}"/>
    <cellStyle name="Normal 2 2 10 25 11" xfId="8605" xr:uid="{00000000-0005-0000-0000-00006F210000}"/>
    <cellStyle name="Normal 2 2 10 25 12" xfId="8606" xr:uid="{00000000-0005-0000-0000-000070210000}"/>
    <cellStyle name="Normal 2 2 10 25 13" xfId="8607" xr:uid="{00000000-0005-0000-0000-000071210000}"/>
    <cellStyle name="Normal 2 2 10 25 14" xfId="8608" xr:uid="{00000000-0005-0000-0000-000072210000}"/>
    <cellStyle name="Normal 2 2 10 25 2" xfId="8609" xr:uid="{00000000-0005-0000-0000-000073210000}"/>
    <cellStyle name="Normal 2 2 10 25 2 10" xfId="8610" xr:uid="{00000000-0005-0000-0000-000074210000}"/>
    <cellStyle name="Normal 2 2 10 25 2 2" xfId="8611" xr:uid="{00000000-0005-0000-0000-000075210000}"/>
    <cellStyle name="Normal 2 2 10 25 2 3" xfId="8612" xr:uid="{00000000-0005-0000-0000-000076210000}"/>
    <cellStyle name="Normal 2 2 10 25 2 4" xfId="8613" xr:uid="{00000000-0005-0000-0000-000077210000}"/>
    <cellStyle name="Normal 2 2 10 25 2 5" xfId="8614" xr:uid="{00000000-0005-0000-0000-000078210000}"/>
    <cellStyle name="Normal 2 2 10 25 2 6" xfId="8615" xr:uid="{00000000-0005-0000-0000-000079210000}"/>
    <cellStyle name="Normal 2 2 10 25 2 7" xfId="8616" xr:uid="{00000000-0005-0000-0000-00007A210000}"/>
    <cellStyle name="Normal 2 2 10 25 2 8" xfId="8617" xr:uid="{00000000-0005-0000-0000-00007B210000}"/>
    <cellStyle name="Normal 2 2 10 25 2 9" xfId="8618" xr:uid="{00000000-0005-0000-0000-00007C210000}"/>
    <cellStyle name="Normal 2 2 10 25 3" xfId="8619" xr:uid="{00000000-0005-0000-0000-00007D210000}"/>
    <cellStyle name="Normal 2 2 10 25 3 10" xfId="8620" xr:uid="{00000000-0005-0000-0000-00007E210000}"/>
    <cellStyle name="Normal 2 2 10 25 3 2" xfId="8621" xr:uid="{00000000-0005-0000-0000-00007F210000}"/>
    <cellStyle name="Normal 2 2 10 25 3 3" xfId="8622" xr:uid="{00000000-0005-0000-0000-000080210000}"/>
    <cellStyle name="Normal 2 2 10 25 3 4" xfId="8623" xr:uid="{00000000-0005-0000-0000-000081210000}"/>
    <cellStyle name="Normal 2 2 10 25 3 5" xfId="8624" xr:uid="{00000000-0005-0000-0000-000082210000}"/>
    <cellStyle name="Normal 2 2 10 25 3 6" xfId="8625" xr:uid="{00000000-0005-0000-0000-000083210000}"/>
    <cellStyle name="Normal 2 2 10 25 3 7" xfId="8626" xr:uid="{00000000-0005-0000-0000-000084210000}"/>
    <cellStyle name="Normal 2 2 10 25 3 8" xfId="8627" xr:uid="{00000000-0005-0000-0000-000085210000}"/>
    <cellStyle name="Normal 2 2 10 25 3 9" xfId="8628" xr:uid="{00000000-0005-0000-0000-000086210000}"/>
    <cellStyle name="Normal 2 2 10 25 4" xfId="8629" xr:uid="{00000000-0005-0000-0000-000087210000}"/>
    <cellStyle name="Normal 2 2 10 25 4 10" xfId="8630" xr:uid="{00000000-0005-0000-0000-000088210000}"/>
    <cellStyle name="Normal 2 2 10 25 4 2" xfId="8631" xr:uid="{00000000-0005-0000-0000-000089210000}"/>
    <cellStyle name="Normal 2 2 10 25 4 3" xfId="8632" xr:uid="{00000000-0005-0000-0000-00008A210000}"/>
    <cellStyle name="Normal 2 2 10 25 4 4" xfId="8633" xr:uid="{00000000-0005-0000-0000-00008B210000}"/>
    <cellStyle name="Normal 2 2 10 25 4 5" xfId="8634" xr:uid="{00000000-0005-0000-0000-00008C210000}"/>
    <cellStyle name="Normal 2 2 10 25 4 6" xfId="8635" xr:uid="{00000000-0005-0000-0000-00008D210000}"/>
    <cellStyle name="Normal 2 2 10 25 4 7" xfId="8636" xr:uid="{00000000-0005-0000-0000-00008E210000}"/>
    <cellStyle name="Normal 2 2 10 25 4 8" xfId="8637" xr:uid="{00000000-0005-0000-0000-00008F210000}"/>
    <cellStyle name="Normal 2 2 10 25 4 9" xfId="8638" xr:uid="{00000000-0005-0000-0000-000090210000}"/>
    <cellStyle name="Normal 2 2 10 25 5" xfId="8639" xr:uid="{00000000-0005-0000-0000-000091210000}"/>
    <cellStyle name="Normal 2 2 10 25 5 10" xfId="8640" xr:uid="{00000000-0005-0000-0000-000092210000}"/>
    <cellStyle name="Normal 2 2 10 25 5 2" xfId="8641" xr:uid="{00000000-0005-0000-0000-000093210000}"/>
    <cellStyle name="Normal 2 2 10 25 5 3" xfId="8642" xr:uid="{00000000-0005-0000-0000-000094210000}"/>
    <cellStyle name="Normal 2 2 10 25 5 4" xfId="8643" xr:uid="{00000000-0005-0000-0000-000095210000}"/>
    <cellStyle name="Normal 2 2 10 25 5 5" xfId="8644" xr:uid="{00000000-0005-0000-0000-000096210000}"/>
    <cellStyle name="Normal 2 2 10 25 5 6" xfId="8645" xr:uid="{00000000-0005-0000-0000-000097210000}"/>
    <cellStyle name="Normal 2 2 10 25 5 7" xfId="8646" xr:uid="{00000000-0005-0000-0000-000098210000}"/>
    <cellStyle name="Normal 2 2 10 25 5 8" xfId="8647" xr:uid="{00000000-0005-0000-0000-000099210000}"/>
    <cellStyle name="Normal 2 2 10 25 5 9" xfId="8648" xr:uid="{00000000-0005-0000-0000-00009A210000}"/>
    <cellStyle name="Normal 2 2 10 25 6" xfId="8649" xr:uid="{00000000-0005-0000-0000-00009B210000}"/>
    <cellStyle name="Normal 2 2 10 25 7" xfId="8650" xr:uid="{00000000-0005-0000-0000-00009C210000}"/>
    <cellStyle name="Normal 2 2 10 25 8" xfId="8651" xr:uid="{00000000-0005-0000-0000-00009D210000}"/>
    <cellStyle name="Normal 2 2 10 25 9" xfId="8652" xr:uid="{00000000-0005-0000-0000-00009E210000}"/>
    <cellStyle name="Normal 2 2 10 26" xfId="8653" xr:uid="{00000000-0005-0000-0000-00009F210000}"/>
    <cellStyle name="Normal 2 2 10 26 10" xfId="8654" xr:uid="{00000000-0005-0000-0000-0000A0210000}"/>
    <cellStyle name="Normal 2 2 10 26 11" xfId="8655" xr:uid="{00000000-0005-0000-0000-0000A1210000}"/>
    <cellStyle name="Normal 2 2 10 26 12" xfId="8656" xr:uid="{00000000-0005-0000-0000-0000A2210000}"/>
    <cellStyle name="Normal 2 2 10 26 13" xfId="8657" xr:uid="{00000000-0005-0000-0000-0000A3210000}"/>
    <cellStyle name="Normal 2 2 10 26 14" xfId="8658" xr:uid="{00000000-0005-0000-0000-0000A4210000}"/>
    <cellStyle name="Normal 2 2 10 26 2" xfId="8659" xr:uid="{00000000-0005-0000-0000-0000A5210000}"/>
    <cellStyle name="Normal 2 2 10 26 2 10" xfId="8660" xr:uid="{00000000-0005-0000-0000-0000A6210000}"/>
    <cellStyle name="Normal 2 2 10 26 2 2" xfId="8661" xr:uid="{00000000-0005-0000-0000-0000A7210000}"/>
    <cellStyle name="Normal 2 2 10 26 2 3" xfId="8662" xr:uid="{00000000-0005-0000-0000-0000A8210000}"/>
    <cellStyle name="Normal 2 2 10 26 2 4" xfId="8663" xr:uid="{00000000-0005-0000-0000-0000A9210000}"/>
    <cellStyle name="Normal 2 2 10 26 2 5" xfId="8664" xr:uid="{00000000-0005-0000-0000-0000AA210000}"/>
    <cellStyle name="Normal 2 2 10 26 2 6" xfId="8665" xr:uid="{00000000-0005-0000-0000-0000AB210000}"/>
    <cellStyle name="Normal 2 2 10 26 2 7" xfId="8666" xr:uid="{00000000-0005-0000-0000-0000AC210000}"/>
    <cellStyle name="Normal 2 2 10 26 2 8" xfId="8667" xr:uid="{00000000-0005-0000-0000-0000AD210000}"/>
    <cellStyle name="Normal 2 2 10 26 2 9" xfId="8668" xr:uid="{00000000-0005-0000-0000-0000AE210000}"/>
    <cellStyle name="Normal 2 2 10 26 3" xfId="8669" xr:uid="{00000000-0005-0000-0000-0000AF210000}"/>
    <cellStyle name="Normal 2 2 10 26 3 10" xfId="8670" xr:uid="{00000000-0005-0000-0000-0000B0210000}"/>
    <cellStyle name="Normal 2 2 10 26 3 2" xfId="8671" xr:uid="{00000000-0005-0000-0000-0000B1210000}"/>
    <cellStyle name="Normal 2 2 10 26 3 3" xfId="8672" xr:uid="{00000000-0005-0000-0000-0000B2210000}"/>
    <cellStyle name="Normal 2 2 10 26 3 4" xfId="8673" xr:uid="{00000000-0005-0000-0000-0000B3210000}"/>
    <cellStyle name="Normal 2 2 10 26 3 5" xfId="8674" xr:uid="{00000000-0005-0000-0000-0000B4210000}"/>
    <cellStyle name="Normal 2 2 10 26 3 6" xfId="8675" xr:uid="{00000000-0005-0000-0000-0000B5210000}"/>
    <cellStyle name="Normal 2 2 10 26 3 7" xfId="8676" xr:uid="{00000000-0005-0000-0000-0000B6210000}"/>
    <cellStyle name="Normal 2 2 10 26 3 8" xfId="8677" xr:uid="{00000000-0005-0000-0000-0000B7210000}"/>
    <cellStyle name="Normal 2 2 10 26 3 9" xfId="8678" xr:uid="{00000000-0005-0000-0000-0000B8210000}"/>
    <cellStyle name="Normal 2 2 10 26 4" xfId="8679" xr:uid="{00000000-0005-0000-0000-0000B9210000}"/>
    <cellStyle name="Normal 2 2 10 26 4 10" xfId="8680" xr:uid="{00000000-0005-0000-0000-0000BA210000}"/>
    <cellStyle name="Normal 2 2 10 26 4 2" xfId="8681" xr:uid="{00000000-0005-0000-0000-0000BB210000}"/>
    <cellStyle name="Normal 2 2 10 26 4 3" xfId="8682" xr:uid="{00000000-0005-0000-0000-0000BC210000}"/>
    <cellStyle name="Normal 2 2 10 26 4 4" xfId="8683" xr:uid="{00000000-0005-0000-0000-0000BD210000}"/>
    <cellStyle name="Normal 2 2 10 26 4 5" xfId="8684" xr:uid="{00000000-0005-0000-0000-0000BE210000}"/>
    <cellStyle name="Normal 2 2 10 26 4 6" xfId="8685" xr:uid="{00000000-0005-0000-0000-0000BF210000}"/>
    <cellStyle name="Normal 2 2 10 26 4 7" xfId="8686" xr:uid="{00000000-0005-0000-0000-0000C0210000}"/>
    <cellStyle name="Normal 2 2 10 26 4 8" xfId="8687" xr:uid="{00000000-0005-0000-0000-0000C1210000}"/>
    <cellStyle name="Normal 2 2 10 26 4 9" xfId="8688" xr:uid="{00000000-0005-0000-0000-0000C2210000}"/>
    <cellStyle name="Normal 2 2 10 26 5" xfId="8689" xr:uid="{00000000-0005-0000-0000-0000C3210000}"/>
    <cellStyle name="Normal 2 2 10 26 5 10" xfId="8690" xr:uid="{00000000-0005-0000-0000-0000C4210000}"/>
    <cellStyle name="Normal 2 2 10 26 5 2" xfId="8691" xr:uid="{00000000-0005-0000-0000-0000C5210000}"/>
    <cellStyle name="Normal 2 2 10 26 5 3" xfId="8692" xr:uid="{00000000-0005-0000-0000-0000C6210000}"/>
    <cellStyle name="Normal 2 2 10 26 5 4" xfId="8693" xr:uid="{00000000-0005-0000-0000-0000C7210000}"/>
    <cellStyle name="Normal 2 2 10 26 5 5" xfId="8694" xr:uid="{00000000-0005-0000-0000-0000C8210000}"/>
    <cellStyle name="Normal 2 2 10 26 5 6" xfId="8695" xr:uid="{00000000-0005-0000-0000-0000C9210000}"/>
    <cellStyle name="Normal 2 2 10 26 5 7" xfId="8696" xr:uid="{00000000-0005-0000-0000-0000CA210000}"/>
    <cellStyle name="Normal 2 2 10 26 5 8" xfId="8697" xr:uid="{00000000-0005-0000-0000-0000CB210000}"/>
    <cellStyle name="Normal 2 2 10 26 5 9" xfId="8698" xr:uid="{00000000-0005-0000-0000-0000CC210000}"/>
    <cellStyle name="Normal 2 2 10 26 6" xfId="8699" xr:uid="{00000000-0005-0000-0000-0000CD210000}"/>
    <cellStyle name="Normal 2 2 10 26 7" xfId="8700" xr:uid="{00000000-0005-0000-0000-0000CE210000}"/>
    <cellStyle name="Normal 2 2 10 26 8" xfId="8701" xr:uid="{00000000-0005-0000-0000-0000CF210000}"/>
    <cellStyle name="Normal 2 2 10 26 9" xfId="8702" xr:uid="{00000000-0005-0000-0000-0000D0210000}"/>
    <cellStyle name="Normal 2 2 10 27" xfId="8703" xr:uid="{00000000-0005-0000-0000-0000D1210000}"/>
    <cellStyle name="Normal 2 2 10 27 10" xfId="8704" xr:uid="{00000000-0005-0000-0000-0000D2210000}"/>
    <cellStyle name="Normal 2 2 10 27 11" xfId="8705" xr:uid="{00000000-0005-0000-0000-0000D3210000}"/>
    <cellStyle name="Normal 2 2 10 27 12" xfId="8706" xr:uid="{00000000-0005-0000-0000-0000D4210000}"/>
    <cellStyle name="Normal 2 2 10 27 13" xfId="8707" xr:uid="{00000000-0005-0000-0000-0000D5210000}"/>
    <cellStyle name="Normal 2 2 10 27 14" xfId="8708" xr:uid="{00000000-0005-0000-0000-0000D6210000}"/>
    <cellStyle name="Normal 2 2 10 27 2" xfId="8709" xr:uid="{00000000-0005-0000-0000-0000D7210000}"/>
    <cellStyle name="Normal 2 2 10 27 2 10" xfId="8710" xr:uid="{00000000-0005-0000-0000-0000D8210000}"/>
    <cellStyle name="Normal 2 2 10 27 2 2" xfId="8711" xr:uid="{00000000-0005-0000-0000-0000D9210000}"/>
    <cellStyle name="Normal 2 2 10 27 2 3" xfId="8712" xr:uid="{00000000-0005-0000-0000-0000DA210000}"/>
    <cellStyle name="Normal 2 2 10 27 2 4" xfId="8713" xr:uid="{00000000-0005-0000-0000-0000DB210000}"/>
    <cellStyle name="Normal 2 2 10 27 2 5" xfId="8714" xr:uid="{00000000-0005-0000-0000-0000DC210000}"/>
    <cellStyle name="Normal 2 2 10 27 2 6" xfId="8715" xr:uid="{00000000-0005-0000-0000-0000DD210000}"/>
    <cellStyle name="Normal 2 2 10 27 2 7" xfId="8716" xr:uid="{00000000-0005-0000-0000-0000DE210000}"/>
    <cellStyle name="Normal 2 2 10 27 2 8" xfId="8717" xr:uid="{00000000-0005-0000-0000-0000DF210000}"/>
    <cellStyle name="Normal 2 2 10 27 2 9" xfId="8718" xr:uid="{00000000-0005-0000-0000-0000E0210000}"/>
    <cellStyle name="Normal 2 2 10 27 3" xfId="8719" xr:uid="{00000000-0005-0000-0000-0000E1210000}"/>
    <cellStyle name="Normal 2 2 10 27 3 10" xfId="8720" xr:uid="{00000000-0005-0000-0000-0000E2210000}"/>
    <cellStyle name="Normal 2 2 10 27 3 2" xfId="8721" xr:uid="{00000000-0005-0000-0000-0000E3210000}"/>
    <cellStyle name="Normal 2 2 10 27 3 3" xfId="8722" xr:uid="{00000000-0005-0000-0000-0000E4210000}"/>
    <cellStyle name="Normal 2 2 10 27 3 4" xfId="8723" xr:uid="{00000000-0005-0000-0000-0000E5210000}"/>
    <cellStyle name="Normal 2 2 10 27 3 5" xfId="8724" xr:uid="{00000000-0005-0000-0000-0000E6210000}"/>
    <cellStyle name="Normal 2 2 10 27 3 6" xfId="8725" xr:uid="{00000000-0005-0000-0000-0000E7210000}"/>
    <cellStyle name="Normal 2 2 10 27 3 7" xfId="8726" xr:uid="{00000000-0005-0000-0000-0000E8210000}"/>
    <cellStyle name="Normal 2 2 10 27 3 8" xfId="8727" xr:uid="{00000000-0005-0000-0000-0000E9210000}"/>
    <cellStyle name="Normal 2 2 10 27 3 9" xfId="8728" xr:uid="{00000000-0005-0000-0000-0000EA210000}"/>
    <cellStyle name="Normal 2 2 10 27 4" xfId="8729" xr:uid="{00000000-0005-0000-0000-0000EB210000}"/>
    <cellStyle name="Normal 2 2 10 27 4 10" xfId="8730" xr:uid="{00000000-0005-0000-0000-0000EC210000}"/>
    <cellStyle name="Normal 2 2 10 27 4 2" xfId="8731" xr:uid="{00000000-0005-0000-0000-0000ED210000}"/>
    <cellStyle name="Normal 2 2 10 27 4 3" xfId="8732" xr:uid="{00000000-0005-0000-0000-0000EE210000}"/>
    <cellStyle name="Normal 2 2 10 27 4 4" xfId="8733" xr:uid="{00000000-0005-0000-0000-0000EF210000}"/>
    <cellStyle name="Normal 2 2 10 27 4 5" xfId="8734" xr:uid="{00000000-0005-0000-0000-0000F0210000}"/>
    <cellStyle name="Normal 2 2 10 27 4 6" xfId="8735" xr:uid="{00000000-0005-0000-0000-0000F1210000}"/>
    <cellStyle name="Normal 2 2 10 27 4 7" xfId="8736" xr:uid="{00000000-0005-0000-0000-0000F2210000}"/>
    <cellStyle name="Normal 2 2 10 27 4 8" xfId="8737" xr:uid="{00000000-0005-0000-0000-0000F3210000}"/>
    <cellStyle name="Normal 2 2 10 27 4 9" xfId="8738" xr:uid="{00000000-0005-0000-0000-0000F4210000}"/>
    <cellStyle name="Normal 2 2 10 27 5" xfId="8739" xr:uid="{00000000-0005-0000-0000-0000F5210000}"/>
    <cellStyle name="Normal 2 2 10 27 5 10" xfId="8740" xr:uid="{00000000-0005-0000-0000-0000F6210000}"/>
    <cellStyle name="Normal 2 2 10 27 5 2" xfId="8741" xr:uid="{00000000-0005-0000-0000-0000F7210000}"/>
    <cellStyle name="Normal 2 2 10 27 5 3" xfId="8742" xr:uid="{00000000-0005-0000-0000-0000F8210000}"/>
    <cellStyle name="Normal 2 2 10 27 5 4" xfId="8743" xr:uid="{00000000-0005-0000-0000-0000F9210000}"/>
    <cellStyle name="Normal 2 2 10 27 5 5" xfId="8744" xr:uid="{00000000-0005-0000-0000-0000FA210000}"/>
    <cellStyle name="Normal 2 2 10 27 5 6" xfId="8745" xr:uid="{00000000-0005-0000-0000-0000FB210000}"/>
    <cellStyle name="Normal 2 2 10 27 5 7" xfId="8746" xr:uid="{00000000-0005-0000-0000-0000FC210000}"/>
    <cellStyle name="Normal 2 2 10 27 5 8" xfId="8747" xr:uid="{00000000-0005-0000-0000-0000FD210000}"/>
    <cellStyle name="Normal 2 2 10 27 5 9" xfId="8748" xr:uid="{00000000-0005-0000-0000-0000FE210000}"/>
    <cellStyle name="Normal 2 2 10 27 6" xfId="8749" xr:uid="{00000000-0005-0000-0000-0000FF210000}"/>
    <cellStyle name="Normal 2 2 10 27 7" xfId="8750" xr:uid="{00000000-0005-0000-0000-000000220000}"/>
    <cellStyle name="Normal 2 2 10 27 8" xfId="8751" xr:uid="{00000000-0005-0000-0000-000001220000}"/>
    <cellStyle name="Normal 2 2 10 27 9" xfId="8752" xr:uid="{00000000-0005-0000-0000-000002220000}"/>
    <cellStyle name="Normal 2 2 10 28" xfId="8753" xr:uid="{00000000-0005-0000-0000-000003220000}"/>
    <cellStyle name="Normal 2 2 10 28 10" xfId="8754" xr:uid="{00000000-0005-0000-0000-000004220000}"/>
    <cellStyle name="Normal 2 2 10 28 11" xfId="8755" xr:uid="{00000000-0005-0000-0000-000005220000}"/>
    <cellStyle name="Normal 2 2 10 28 12" xfId="8756" xr:uid="{00000000-0005-0000-0000-000006220000}"/>
    <cellStyle name="Normal 2 2 10 28 13" xfId="8757" xr:uid="{00000000-0005-0000-0000-000007220000}"/>
    <cellStyle name="Normal 2 2 10 28 14" xfId="8758" xr:uid="{00000000-0005-0000-0000-000008220000}"/>
    <cellStyle name="Normal 2 2 10 28 2" xfId="8759" xr:uid="{00000000-0005-0000-0000-000009220000}"/>
    <cellStyle name="Normal 2 2 10 28 2 10" xfId="8760" xr:uid="{00000000-0005-0000-0000-00000A220000}"/>
    <cellStyle name="Normal 2 2 10 28 2 2" xfId="8761" xr:uid="{00000000-0005-0000-0000-00000B220000}"/>
    <cellStyle name="Normal 2 2 10 28 2 3" xfId="8762" xr:uid="{00000000-0005-0000-0000-00000C220000}"/>
    <cellStyle name="Normal 2 2 10 28 2 4" xfId="8763" xr:uid="{00000000-0005-0000-0000-00000D220000}"/>
    <cellStyle name="Normal 2 2 10 28 2 5" xfId="8764" xr:uid="{00000000-0005-0000-0000-00000E220000}"/>
    <cellStyle name="Normal 2 2 10 28 2 6" xfId="8765" xr:uid="{00000000-0005-0000-0000-00000F220000}"/>
    <cellStyle name="Normal 2 2 10 28 2 7" xfId="8766" xr:uid="{00000000-0005-0000-0000-000010220000}"/>
    <cellStyle name="Normal 2 2 10 28 2 8" xfId="8767" xr:uid="{00000000-0005-0000-0000-000011220000}"/>
    <cellStyle name="Normal 2 2 10 28 2 9" xfId="8768" xr:uid="{00000000-0005-0000-0000-000012220000}"/>
    <cellStyle name="Normal 2 2 10 28 3" xfId="8769" xr:uid="{00000000-0005-0000-0000-000013220000}"/>
    <cellStyle name="Normal 2 2 10 28 3 10" xfId="8770" xr:uid="{00000000-0005-0000-0000-000014220000}"/>
    <cellStyle name="Normal 2 2 10 28 3 2" xfId="8771" xr:uid="{00000000-0005-0000-0000-000015220000}"/>
    <cellStyle name="Normal 2 2 10 28 3 3" xfId="8772" xr:uid="{00000000-0005-0000-0000-000016220000}"/>
    <cellStyle name="Normal 2 2 10 28 3 4" xfId="8773" xr:uid="{00000000-0005-0000-0000-000017220000}"/>
    <cellStyle name="Normal 2 2 10 28 3 5" xfId="8774" xr:uid="{00000000-0005-0000-0000-000018220000}"/>
    <cellStyle name="Normal 2 2 10 28 3 6" xfId="8775" xr:uid="{00000000-0005-0000-0000-000019220000}"/>
    <cellStyle name="Normal 2 2 10 28 3 7" xfId="8776" xr:uid="{00000000-0005-0000-0000-00001A220000}"/>
    <cellStyle name="Normal 2 2 10 28 3 8" xfId="8777" xr:uid="{00000000-0005-0000-0000-00001B220000}"/>
    <cellStyle name="Normal 2 2 10 28 3 9" xfId="8778" xr:uid="{00000000-0005-0000-0000-00001C220000}"/>
    <cellStyle name="Normal 2 2 10 28 4" xfId="8779" xr:uid="{00000000-0005-0000-0000-00001D220000}"/>
    <cellStyle name="Normal 2 2 10 28 4 10" xfId="8780" xr:uid="{00000000-0005-0000-0000-00001E220000}"/>
    <cellStyle name="Normal 2 2 10 28 4 2" xfId="8781" xr:uid="{00000000-0005-0000-0000-00001F220000}"/>
    <cellStyle name="Normal 2 2 10 28 4 3" xfId="8782" xr:uid="{00000000-0005-0000-0000-000020220000}"/>
    <cellStyle name="Normal 2 2 10 28 4 4" xfId="8783" xr:uid="{00000000-0005-0000-0000-000021220000}"/>
    <cellStyle name="Normal 2 2 10 28 4 5" xfId="8784" xr:uid="{00000000-0005-0000-0000-000022220000}"/>
    <cellStyle name="Normal 2 2 10 28 4 6" xfId="8785" xr:uid="{00000000-0005-0000-0000-000023220000}"/>
    <cellStyle name="Normal 2 2 10 28 4 7" xfId="8786" xr:uid="{00000000-0005-0000-0000-000024220000}"/>
    <cellStyle name="Normal 2 2 10 28 4 8" xfId="8787" xr:uid="{00000000-0005-0000-0000-000025220000}"/>
    <cellStyle name="Normal 2 2 10 28 4 9" xfId="8788" xr:uid="{00000000-0005-0000-0000-000026220000}"/>
    <cellStyle name="Normal 2 2 10 28 5" xfId="8789" xr:uid="{00000000-0005-0000-0000-000027220000}"/>
    <cellStyle name="Normal 2 2 10 28 5 10" xfId="8790" xr:uid="{00000000-0005-0000-0000-000028220000}"/>
    <cellStyle name="Normal 2 2 10 28 5 2" xfId="8791" xr:uid="{00000000-0005-0000-0000-000029220000}"/>
    <cellStyle name="Normal 2 2 10 28 5 3" xfId="8792" xr:uid="{00000000-0005-0000-0000-00002A220000}"/>
    <cellStyle name="Normal 2 2 10 28 5 4" xfId="8793" xr:uid="{00000000-0005-0000-0000-00002B220000}"/>
    <cellStyle name="Normal 2 2 10 28 5 5" xfId="8794" xr:uid="{00000000-0005-0000-0000-00002C220000}"/>
    <cellStyle name="Normal 2 2 10 28 5 6" xfId="8795" xr:uid="{00000000-0005-0000-0000-00002D220000}"/>
    <cellStyle name="Normal 2 2 10 28 5 7" xfId="8796" xr:uid="{00000000-0005-0000-0000-00002E220000}"/>
    <cellStyle name="Normal 2 2 10 28 5 8" xfId="8797" xr:uid="{00000000-0005-0000-0000-00002F220000}"/>
    <cellStyle name="Normal 2 2 10 28 5 9" xfId="8798" xr:uid="{00000000-0005-0000-0000-000030220000}"/>
    <cellStyle name="Normal 2 2 10 28 6" xfId="8799" xr:uid="{00000000-0005-0000-0000-000031220000}"/>
    <cellStyle name="Normal 2 2 10 28 7" xfId="8800" xr:uid="{00000000-0005-0000-0000-000032220000}"/>
    <cellStyle name="Normal 2 2 10 28 8" xfId="8801" xr:uid="{00000000-0005-0000-0000-000033220000}"/>
    <cellStyle name="Normal 2 2 10 28 9" xfId="8802" xr:uid="{00000000-0005-0000-0000-000034220000}"/>
    <cellStyle name="Normal 2 2 10 29" xfId="8803" xr:uid="{00000000-0005-0000-0000-000035220000}"/>
    <cellStyle name="Normal 2 2 10 29 10" xfId="8804" xr:uid="{00000000-0005-0000-0000-000036220000}"/>
    <cellStyle name="Normal 2 2 10 29 11" xfId="8805" xr:uid="{00000000-0005-0000-0000-000037220000}"/>
    <cellStyle name="Normal 2 2 10 29 12" xfId="8806" xr:uid="{00000000-0005-0000-0000-000038220000}"/>
    <cellStyle name="Normal 2 2 10 29 13" xfId="8807" xr:uid="{00000000-0005-0000-0000-000039220000}"/>
    <cellStyle name="Normal 2 2 10 29 14" xfId="8808" xr:uid="{00000000-0005-0000-0000-00003A220000}"/>
    <cellStyle name="Normal 2 2 10 29 2" xfId="8809" xr:uid="{00000000-0005-0000-0000-00003B220000}"/>
    <cellStyle name="Normal 2 2 10 29 2 10" xfId="8810" xr:uid="{00000000-0005-0000-0000-00003C220000}"/>
    <cellStyle name="Normal 2 2 10 29 2 2" xfId="8811" xr:uid="{00000000-0005-0000-0000-00003D220000}"/>
    <cellStyle name="Normal 2 2 10 29 2 3" xfId="8812" xr:uid="{00000000-0005-0000-0000-00003E220000}"/>
    <cellStyle name="Normal 2 2 10 29 2 4" xfId="8813" xr:uid="{00000000-0005-0000-0000-00003F220000}"/>
    <cellStyle name="Normal 2 2 10 29 2 5" xfId="8814" xr:uid="{00000000-0005-0000-0000-000040220000}"/>
    <cellStyle name="Normal 2 2 10 29 2 6" xfId="8815" xr:uid="{00000000-0005-0000-0000-000041220000}"/>
    <cellStyle name="Normal 2 2 10 29 2 7" xfId="8816" xr:uid="{00000000-0005-0000-0000-000042220000}"/>
    <cellStyle name="Normal 2 2 10 29 2 8" xfId="8817" xr:uid="{00000000-0005-0000-0000-000043220000}"/>
    <cellStyle name="Normal 2 2 10 29 2 9" xfId="8818" xr:uid="{00000000-0005-0000-0000-000044220000}"/>
    <cellStyle name="Normal 2 2 10 29 3" xfId="8819" xr:uid="{00000000-0005-0000-0000-000045220000}"/>
    <cellStyle name="Normal 2 2 10 29 3 10" xfId="8820" xr:uid="{00000000-0005-0000-0000-000046220000}"/>
    <cellStyle name="Normal 2 2 10 29 3 2" xfId="8821" xr:uid="{00000000-0005-0000-0000-000047220000}"/>
    <cellStyle name="Normal 2 2 10 29 3 3" xfId="8822" xr:uid="{00000000-0005-0000-0000-000048220000}"/>
    <cellStyle name="Normal 2 2 10 29 3 4" xfId="8823" xr:uid="{00000000-0005-0000-0000-000049220000}"/>
    <cellStyle name="Normal 2 2 10 29 3 5" xfId="8824" xr:uid="{00000000-0005-0000-0000-00004A220000}"/>
    <cellStyle name="Normal 2 2 10 29 3 6" xfId="8825" xr:uid="{00000000-0005-0000-0000-00004B220000}"/>
    <cellStyle name="Normal 2 2 10 29 3 7" xfId="8826" xr:uid="{00000000-0005-0000-0000-00004C220000}"/>
    <cellStyle name="Normal 2 2 10 29 3 8" xfId="8827" xr:uid="{00000000-0005-0000-0000-00004D220000}"/>
    <cellStyle name="Normal 2 2 10 29 3 9" xfId="8828" xr:uid="{00000000-0005-0000-0000-00004E220000}"/>
    <cellStyle name="Normal 2 2 10 29 4" xfId="8829" xr:uid="{00000000-0005-0000-0000-00004F220000}"/>
    <cellStyle name="Normal 2 2 10 29 4 10" xfId="8830" xr:uid="{00000000-0005-0000-0000-000050220000}"/>
    <cellStyle name="Normal 2 2 10 29 4 2" xfId="8831" xr:uid="{00000000-0005-0000-0000-000051220000}"/>
    <cellStyle name="Normal 2 2 10 29 4 3" xfId="8832" xr:uid="{00000000-0005-0000-0000-000052220000}"/>
    <cellStyle name="Normal 2 2 10 29 4 4" xfId="8833" xr:uid="{00000000-0005-0000-0000-000053220000}"/>
    <cellStyle name="Normal 2 2 10 29 4 5" xfId="8834" xr:uid="{00000000-0005-0000-0000-000054220000}"/>
    <cellStyle name="Normal 2 2 10 29 4 6" xfId="8835" xr:uid="{00000000-0005-0000-0000-000055220000}"/>
    <cellStyle name="Normal 2 2 10 29 4 7" xfId="8836" xr:uid="{00000000-0005-0000-0000-000056220000}"/>
    <cellStyle name="Normal 2 2 10 29 4 8" xfId="8837" xr:uid="{00000000-0005-0000-0000-000057220000}"/>
    <cellStyle name="Normal 2 2 10 29 4 9" xfId="8838" xr:uid="{00000000-0005-0000-0000-000058220000}"/>
    <cellStyle name="Normal 2 2 10 29 5" xfId="8839" xr:uid="{00000000-0005-0000-0000-000059220000}"/>
    <cellStyle name="Normal 2 2 10 29 5 10" xfId="8840" xr:uid="{00000000-0005-0000-0000-00005A220000}"/>
    <cellStyle name="Normal 2 2 10 29 5 2" xfId="8841" xr:uid="{00000000-0005-0000-0000-00005B220000}"/>
    <cellStyle name="Normal 2 2 10 29 5 3" xfId="8842" xr:uid="{00000000-0005-0000-0000-00005C220000}"/>
    <cellStyle name="Normal 2 2 10 29 5 4" xfId="8843" xr:uid="{00000000-0005-0000-0000-00005D220000}"/>
    <cellStyle name="Normal 2 2 10 29 5 5" xfId="8844" xr:uid="{00000000-0005-0000-0000-00005E220000}"/>
    <cellStyle name="Normal 2 2 10 29 5 6" xfId="8845" xr:uid="{00000000-0005-0000-0000-00005F220000}"/>
    <cellStyle name="Normal 2 2 10 29 5 7" xfId="8846" xr:uid="{00000000-0005-0000-0000-000060220000}"/>
    <cellStyle name="Normal 2 2 10 29 5 8" xfId="8847" xr:uid="{00000000-0005-0000-0000-000061220000}"/>
    <cellStyle name="Normal 2 2 10 29 5 9" xfId="8848" xr:uid="{00000000-0005-0000-0000-000062220000}"/>
    <cellStyle name="Normal 2 2 10 29 6" xfId="8849" xr:uid="{00000000-0005-0000-0000-000063220000}"/>
    <cellStyle name="Normal 2 2 10 29 7" xfId="8850" xr:uid="{00000000-0005-0000-0000-000064220000}"/>
    <cellStyle name="Normal 2 2 10 29 8" xfId="8851" xr:uid="{00000000-0005-0000-0000-000065220000}"/>
    <cellStyle name="Normal 2 2 10 29 9" xfId="8852" xr:uid="{00000000-0005-0000-0000-000066220000}"/>
    <cellStyle name="Normal 2 2 10 3" xfId="8853" xr:uid="{00000000-0005-0000-0000-000067220000}"/>
    <cellStyle name="Normal 2 2 10 3 10" xfId="8854" xr:uid="{00000000-0005-0000-0000-000068220000}"/>
    <cellStyle name="Normal 2 2 10 3 11" xfId="8855" xr:uid="{00000000-0005-0000-0000-000069220000}"/>
    <cellStyle name="Normal 2 2 10 3 12" xfId="8856" xr:uid="{00000000-0005-0000-0000-00006A220000}"/>
    <cellStyle name="Normal 2 2 10 3 13" xfId="8857" xr:uid="{00000000-0005-0000-0000-00006B220000}"/>
    <cellStyle name="Normal 2 2 10 3 14" xfId="8858" xr:uid="{00000000-0005-0000-0000-00006C220000}"/>
    <cellStyle name="Normal 2 2 10 3 2" xfId="8859" xr:uid="{00000000-0005-0000-0000-00006D220000}"/>
    <cellStyle name="Normal 2 2 10 3 2 10" xfId="8860" xr:uid="{00000000-0005-0000-0000-00006E220000}"/>
    <cellStyle name="Normal 2 2 10 3 2 2" xfId="8861" xr:uid="{00000000-0005-0000-0000-00006F220000}"/>
    <cellStyle name="Normal 2 2 10 3 2 3" xfId="8862" xr:uid="{00000000-0005-0000-0000-000070220000}"/>
    <cellStyle name="Normal 2 2 10 3 2 4" xfId="8863" xr:uid="{00000000-0005-0000-0000-000071220000}"/>
    <cellStyle name="Normal 2 2 10 3 2 5" xfId="8864" xr:uid="{00000000-0005-0000-0000-000072220000}"/>
    <cellStyle name="Normal 2 2 10 3 2 6" xfId="8865" xr:uid="{00000000-0005-0000-0000-000073220000}"/>
    <cellStyle name="Normal 2 2 10 3 2 7" xfId="8866" xr:uid="{00000000-0005-0000-0000-000074220000}"/>
    <cellStyle name="Normal 2 2 10 3 2 8" xfId="8867" xr:uid="{00000000-0005-0000-0000-000075220000}"/>
    <cellStyle name="Normal 2 2 10 3 2 9" xfId="8868" xr:uid="{00000000-0005-0000-0000-000076220000}"/>
    <cellStyle name="Normal 2 2 10 3 3" xfId="8869" xr:uid="{00000000-0005-0000-0000-000077220000}"/>
    <cellStyle name="Normal 2 2 10 3 3 10" xfId="8870" xr:uid="{00000000-0005-0000-0000-000078220000}"/>
    <cellStyle name="Normal 2 2 10 3 3 2" xfId="8871" xr:uid="{00000000-0005-0000-0000-000079220000}"/>
    <cellStyle name="Normal 2 2 10 3 3 3" xfId="8872" xr:uid="{00000000-0005-0000-0000-00007A220000}"/>
    <cellStyle name="Normal 2 2 10 3 3 4" xfId="8873" xr:uid="{00000000-0005-0000-0000-00007B220000}"/>
    <cellStyle name="Normal 2 2 10 3 3 5" xfId="8874" xr:uid="{00000000-0005-0000-0000-00007C220000}"/>
    <cellStyle name="Normal 2 2 10 3 3 6" xfId="8875" xr:uid="{00000000-0005-0000-0000-00007D220000}"/>
    <cellStyle name="Normal 2 2 10 3 3 7" xfId="8876" xr:uid="{00000000-0005-0000-0000-00007E220000}"/>
    <cellStyle name="Normal 2 2 10 3 3 8" xfId="8877" xr:uid="{00000000-0005-0000-0000-00007F220000}"/>
    <cellStyle name="Normal 2 2 10 3 3 9" xfId="8878" xr:uid="{00000000-0005-0000-0000-000080220000}"/>
    <cellStyle name="Normal 2 2 10 3 4" xfId="8879" xr:uid="{00000000-0005-0000-0000-000081220000}"/>
    <cellStyle name="Normal 2 2 10 3 4 10" xfId="8880" xr:uid="{00000000-0005-0000-0000-000082220000}"/>
    <cellStyle name="Normal 2 2 10 3 4 2" xfId="8881" xr:uid="{00000000-0005-0000-0000-000083220000}"/>
    <cellStyle name="Normal 2 2 10 3 4 3" xfId="8882" xr:uid="{00000000-0005-0000-0000-000084220000}"/>
    <cellStyle name="Normal 2 2 10 3 4 4" xfId="8883" xr:uid="{00000000-0005-0000-0000-000085220000}"/>
    <cellStyle name="Normal 2 2 10 3 4 5" xfId="8884" xr:uid="{00000000-0005-0000-0000-000086220000}"/>
    <cellStyle name="Normal 2 2 10 3 4 6" xfId="8885" xr:uid="{00000000-0005-0000-0000-000087220000}"/>
    <cellStyle name="Normal 2 2 10 3 4 7" xfId="8886" xr:uid="{00000000-0005-0000-0000-000088220000}"/>
    <cellStyle name="Normal 2 2 10 3 4 8" xfId="8887" xr:uid="{00000000-0005-0000-0000-000089220000}"/>
    <cellStyle name="Normal 2 2 10 3 4 9" xfId="8888" xr:uid="{00000000-0005-0000-0000-00008A220000}"/>
    <cellStyle name="Normal 2 2 10 3 5" xfId="8889" xr:uid="{00000000-0005-0000-0000-00008B220000}"/>
    <cellStyle name="Normal 2 2 10 3 5 10" xfId="8890" xr:uid="{00000000-0005-0000-0000-00008C220000}"/>
    <cellStyle name="Normal 2 2 10 3 5 2" xfId="8891" xr:uid="{00000000-0005-0000-0000-00008D220000}"/>
    <cellStyle name="Normal 2 2 10 3 5 3" xfId="8892" xr:uid="{00000000-0005-0000-0000-00008E220000}"/>
    <cellStyle name="Normal 2 2 10 3 5 4" xfId="8893" xr:uid="{00000000-0005-0000-0000-00008F220000}"/>
    <cellStyle name="Normal 2 2 10 3 5 5" xfId="8894" xr:uid="{00000000-0005-0000-0000-000090220000}"/>
    <cellStyle name="Normal 2 2 10 3 5 6" xfId="8895" xr:uid="{00000000-0005-0000-0000-000091220000}"/>
    <cellStyle name="Normal 2 2 10 3 5 7" xfId="8896" xr:uid="{00000000-0005-0000-0000-000092220000}"/>
    <cellStyle name="Normal 2 2 10 3 5 8" xfId="8897" xr:uid="{00000000-0005-0000-0000-000093220000}"/>
    <cellStyle name="Normal 2 2 10 3 5 9" xfId="8898" xr:uid="{00000000-0005-0000-0000-000094220000}"/>
    <cellStyle name="Normal 2 2 10 3 6" xfId="8899" xr:uid="{00000000-0005-0000-0000-000095220000}"/>
    <cellStyle name="Normal 2 2 10 3 7" xfId="8900" xr:uid="{00000000-0005-0000-0000-000096220000}"/>
    <cellStyle name="Normal 2 2 10 3 8" xfId="8901" xr:uid="{00000000-0005-0000-0000-000097220000}"/>
    <cellStyle name="Normal 2 2 10 3 9" xfId="8902" xr:uid="{00000000-0005-0000-0000-000098220000}"/>
    <cellStyle name="Normal 2 2 10 30" xfId="8903" xr:uid="{00000000-0005-0000-0000-000099220000}"/>
    <cellStyle name="Normal 2 2 10 30 10" xfId="8904" xr:uid="{00000000-0005-0000-0000-00009A220000}"/>
    <cellStyle name="Normal 2 2 10 30 11" xfId="8905" xr:uid="{00000000-0005-0000-0000-00009B220000}"/>
    <cellStyle name="Normal 2 2 10 30 12" xfId="8906" xr:uid="{00000000-0005-0000-0000-00009C220000}"/>
    <cellStyle name="Normal 2 2 10 30 13" xfId="8907" xr:uid="{00000000-0005-0000-0000-00009D220000}"/>
    <cellStyle name="Normal 2 2 10 30 14" xfId="8908" xr:uid="{00000000-0005-0000-0000-00009E220000}"/>
    <cellStyle name="Normal 2 2 10 30 2" xfId="8909" xr:uid="{00000000-0005-0000-0000-00009F220000}"/>
    <cellStyle name="Normal 2 2 10 30 2 10" xfId="8910" xr:uid="{00000000-0005-0000-0000-0000A0220000}"/>
    <cellStyle name="Normal 2 2 10 30 2 2" xfId="8911" xr:uid="{00000000-0005-0000-0000-0000A1220000}"/>
    <cellStyle name="Normal 2 2 10 30 2 3" xfId="8912" xr:uid="{00000000-0005-0000-0000-0000A2220000}"/>
    <cellStyle name="Normal 2 2 10 30 2 4" xfId="8913" xr:uid="{00000000-0005-0000-0000-0000A3220000}"/>
    <cellStyle name="Normal 2 2 10 30 2 5" xfId="8914" xr:uid="{00000000-0005-0000-0000-0000A4220000}"/>
    <cellStyle name="Normal 2 2 10 30 2 6" xfId="8915" xr:uid="{00000000-0005-0000-0000-0000A5220000}"/>
    <cellStyle name="Normal 2 2 10 30 2 7" xfId="8916" xr:uid="{00000000-0005-0000-0000-0000A6220000}"/>
    <cellStyle name="Normal 2 2 10 30 2 8" xfId="8917" xr:uid="{00000000-0005-0000-0000-0000A7220000}"/>
    <cellStyle name="Normal 2 2 10 30 2 9" xfId="8918" xr:uid="{00000000-0005-0000-0000-0000A8220000}"/>
    <cellStyle name="Normal 2 2 10 30 3" xfId="8919" xr:uid="{00000000-0005-0000-0000-0000A9220000}"/>
    <cellStyle name="Normal 2 2 10 30 3 10" xfId="8920" xr:uid="{00000000-0005-0000-0000-0000AA220000}"/>
    <cellStyle name="Normal 2 2 10 30 3 2" xfId="8921" xr:uid="{00000000-0005-0000-0000-0000AB220000}"/>
    <cellStyle name="Normal 2 2 10 30 3 3" xfId="8922" xr:uid="{00000000-0005-0000-0000-0000AC220000}"/>
    <cellStyle name="Normal 2 2 10 30 3 4" xfId="8923" xr:uid="{00000000-0005-0000-0000-0000AD220000}"/>
    <cellStyle name="Normal 2 2 10 30 3 5" xfId="8924" xr:uid="{00000000-0005-0000-0000-0000AE220000}"/>
    <cellStyle name="Normal 2 2 10 30 3 6" xfId="8925" xr:uid="{00000000-0005-0000-0000-0000AF220000}"/>
    <cellStyle name="Normal 2 2 10 30 3 7" xfId="8926" xr:uid="{00000000-0005-0000-0000-0000B0220000}"/>
    <cellStyle name="Normal 2 2 10 30 3 8" xfId="8927" xr:uid="{00000000-0005-0000-0000-0000B1220000}"/>
    <cellStyle name="Normal 2 2 10 30 3 9" xfId="8928" xr:uid="{00000000-0005-0000-0000-0000B2220000}"/>
    <cellStyle name="Normal 2 2 10 30 4" xfId="8929" xr:uid="{00000000-0005-0000-0000-0000B3220000}"/>
    <cellStyle name="Normal 2 2 10 30 4 10" xfId="8930" xr:uid="{00000000-0005-0000-0000-0000B4220000}"/>
    <cellStyle name="Normal 2 2 10 30 4 2" xfId="8931" xr:uid="{00000000-0005-0000-0000-0000B5220000}"/>
    <cellStyle name="Normal 2 2 10 30 4 3" xfId="8932" xr:uid="{00000000-0005-0000-0000-0000B6220000}"/>
    <cellStyle name="Normal 2 2 10 30 4 4" xfId="8933" xr:uid="{00000000-0005-0000-0000-0000B7220000}"/>
    <cellStyle name="Normal 2 2 10 30 4 5" xfId="8934" xr:uid="{00000000-0005-0000-0000-0000B8220000}"/>
    <cellStyle name="Normal 2 2 10 30 4 6" xfId="8935" xr:uid="{00000000-0005-0000-0000-0000B9220000}"/>
    <cellStyle name="Normal 2 2 10 30 4 7" xfId="8936" xr:uid="{00000000-0005-0000-0000-0000BA220000}"/>
    <cellStyle name="Normal 2 2 10 30 4 8" xfId="8937" xr:uid="{00000000-0005-0000-0000-0000BB220000}"/>
    <cellStyle name="Normal 2 2 10 30 4 9" xfId="8938" xr:uid="{00000000-0005-0000-0000-0000BC220000}"/>
    <cellStyle name="Normal 2 2 10 30 5" xfId="8939" xr:uid="{00000000-0005-0000-0000-0000BD220000}"/>
    <cellStyle name="Normal 2 2 10 30 5 10" xfId="8940" xr:uid="{00000000-0005-0000-0000-0000BE220000}"/>
    <cellStyle name="Normal 2 2 10 30 5 2" xfId="8941" xr:uid="{00000000-0005-0000-0000-0000BF220000}"/>
    <cellStyle name="Normal 2 2 10 30 5 3" xfId="8942" xr:uid="{00000000-0005-0000-0000-0000C0220000}"/>
    <cellStyle name="Normal 2 2 10 30 5 4" xfId="8943" xr:uid="{00000000-0005-0000-0000-0000C1220000}"/>
    <cellStyle name="Normal 2 2 10 30 5 5" xfId="8944" xr:uid="{00000000-0005-0000-0000-0000C2220000}"/>
    <cellStyle name="Normal 2 2 10 30 5 6" xfId="8945" xr:uid="{00000000-0005-0000-0000-0000C3220000}"/>
    <cellStyle name="Normal 2 2 10 30 5 7" xfId="8946" xr:uid="{00000000-0005-0000-0000-0000C4220000}"/>
    <cellStyle name="Normal 2 2 10 30 5 8" xfId="8947" xr:uid="{00000000-0005-0000-0000-0000C5220000}"/>
    <cellStyle name="Normal 2 2 10 30 5 9" xfId="8948" xr:uid="{00000000-0005-0000-0000-0000C6220000}"/>
    <cellStyle name="Normal 2 2 10 30 6" xfId="8949" xr:uid="{00000000-0005-0000-0000-0000C7220000}"/>
    <cellStyle name="Normal 2 2 10 30 7" xfId="8950" xr:uid="{00000000-0005-0000-0000-0000C8220000}"/>
    <cellStyle name="Normal 2 2 10 30 8" xfId="8951" xr:uid="{00000000-0005-0000-0000-0000C9220000}"/>
    <cellStyle name="Normal 2 2 10 30 9" xfId="8952" xr:uid="{00000000-0005-0000-0000-0000CA220000}"/>
    <cellStyle name="Normal 2 2 10 31" xfId="8953" xr:uid="{00000000-0005-0000-0000-0000CB220000}"/>
    <cellStyle name="Normal 2 2 10 31 10" xfId="8954" xr:uid="{00000000-0005-0000-0000-0000CC220000}"/>
    <cellStyle name="Normal 2 2 10 31 11" xfId="8955" xr:uid="{00000000-0005-0000-0000-0000CD220000}"/>
    <cellStyle name="Normal 2 2 10 31 12" xfId="8956" xr:uid="{00000000-0005-0000-0000-0000CE220000}"/>
    <cellStyle name="Normal 2 2 10 31 13" xfId="8957" xr:uid="{00000000-0005-0000-0000-0000CF220000}"/>
    <cellStyle name="Normal 2 2 10 31 14" xfId="8958" xr:uid="{00000000-0005-0000-0000-0000D0220000}"/>
    <cellStyle name="Normal 2 2 10 31 2" xfId="8959" xr:uid="{00000000-0005-0000-0000-0000D1220000}"/>
    <cellStyle name="Normal 2 2 10 31 2 10" xfId="8960" xr:uid="{00000000-0005-0000-0000-0000D2220000}"/>
    <cellStyle name="Normal 2 2 10 31 2 2" xfId="8961" xr:uid="{00000000-0005-0000-0000-0000D3220000}"/>
    <cellStyle name="Normal 2 2 10 31 2 3" xfId="8962" xr:uid="{00000000-0005-0000-0000-0000D4220000}"/>
    <cellStyle name="Normal 2 2 10 31 2 4" xfId="8963" xr:uid="{00000000-0005-0000-0000-0000D5220000}"/>
    <cellStyle name="Normal 2 2 10 31 2 5" xfId="8964" xr:uid="{00000000-0005-0000-0000-0000D6220000}"/>
    <cellStyle name="Normal 2 2 10 31 2 6" xfId="8965" xr:uid="{00000000-0005-0000-0000-0000D7220000}"/>
    <cellStyle name="Normal 2 2 10 31 2 7" xfId="8966" xr:uid="{00000000-0005-0000-0000-0000D8220000}"/>
    <cellStyle name="Normal 2 2 10 31 2 8" xfId="8967" xr:uid="{00000000-0005-0000-0000-0000D9220000}"/>
    <cellStyle name="Normal 2 2 10 31 2 9" xfId="8968" xr:uid="{00000000-0005-0000-0000-0000DA220000}"/>
    <cellStyle name="Normal 2 2 10 31 3" xfId="8969" xr:uid="{00000000-0005-0000-0000-0000DB220000}"/>
    <cellStyle name="Normal 2 2 10 31 3 10" xfId="8970" xr:uid="{00000000-0005-0000-0000-0000DC220000}"/>
    <cellStyle name="Normal 2 2 10 31 3 2" xfId="8971" xr:uid="{00000000-0005-0000-0000-0000DD220000}"/>
    <cellStyle name="Normal 2 2 10 31 3 3" xfId="8972" xr:uid="{00000000-0005-0000-0000-0000DE220000}"/>
    <cellStyle name="Normal 2 2 10 31 3 4" xfId="8973" xr:uid="{00000000-0005-0000-0000-0000DF220000}"/>
    <cellStyle name="Normal 2 2 10 31 3 5" xfId="8974" xr:uid="{00000000-0005-0000-0000-0000E0220000}"/>
    <cellStyle name="Normal 2 2 10 31 3 6" xfId="8975" xr:uid="{00000000-0005-0000-0000-0000E1220000}"/>
    <cellStyle name="Normal 2 2 10 31 3 7" xfId="8976" xr:uid="{00000000-0005-0000-0000-0000E2220000}"/>
    <cellStyle name="Normal 2 2 10 31 3 8" xfId="8977" xr:uid="{00000000-0005-0000-0000-0000E3220000}"/>
    <cellStyle name="Normal 2 2 10 31 3 9" xfId="8978" xr:uid="{00000000-0005-0000-0000-0000E4220000}"/>
    <cellStyle name="Normal 2 2 10 31 4" xfId="8979" xr:uid="{00000000-0005-0000-0000-0000E5220000}"/>
    <cellStyle name="Normal 2 2 10 31 4 10" xfId="8980" xr:uid="{00000000-0005-0000-0000-0000E6220000}"/>
    <cellStyle name="Normal 2 2 10 31 4 2" xfId="8981" xr:uid="{00000000-0005-0000-0000-0000E7220000}"/>
    <cellStyle name="Normal 2 2 10 31 4 3" xfId="8982" xr:uid="{00000000-0005-0000-0000-0000E8220000}"/>
    <cellStyle name="Normal 2 2 10 31 4 4" xfId="8983" xr:uid="{00000000-0005-0000-0000-0000E9220000}"/>
    <cellStyle name="Normal 2 2 10 31 4 5" xfId="8984" xr:uid="{00000000-0005-0000-0000-0000EA220000}"/>
    <cellStyle name="Normal 2 2 10 31 4 6" xfId="8985" xr:uid="{00000000-0005-0000-0000-0000EB220000}"/>
    <cellStyle name="Normal 2 2 10 31 4 7" xfId="8986" xr:uid="{00000000-0005-0000-0000-0000EC220000}"/>
    <cellStyle name="Normal 2 2 10 31 4 8" xfId="8987" xr:uid="{00000000-0005-0000-0000-0000ED220000}"/>
    <cellStyle name="Normal 2 2 10 31 4 9" xfId="8988" xr:uid="{00000000-0005-0000-0000-0000EE220000}"/>
    <cellStyle name="Normal 2 2 10 31 5" xfId="8989" xr:uid="{00000000-0005-0000-0000-0000EF220000}"/>
    <cellStyle name="Normal 2 2 10 31 5 10" xfId="8990" xr:uid="{00000000-0005-0000-0000-0000F0220000}"/>
    <cellStyle name="Normal 2 2 10 31 5 2" xfId="8991" xr:uid="{00000000-0005-0000-0000-0000F1220000}"/>
    <cellStyle name="Normal 2 2 10 31 5 3" xfId="8992" xr:uid="{00000000-0005-0000-0000-0000F2220000}"/>
    <cellStyle name="Normal 2 2 10 31 5 4" xfId="8993" xr:uid="{00000000-0005-0000-0000-0000F3220000}"/>
    <cellStyle name="Normal 2 2 10 31 5 5" xfId="8994" xr:uid="{00000000-0005-0000-0000-0000F4220000}"/>
    <cellStyle name="Normal 2 2 10 31 5 6" xfId="8995" xr:uid="{00000000-0005-0000-0000-0000F5220000}"/>
    <cellStyle name="Normal 2 2 10 31 5 7" xfId="8996" xr:uid="{00000000-0005-0000-0000-0000F6220000}"/>
    <cellStyle name="Normal 2 2 10 31 5 8" xfId="8997" xr:uid="{00000000-0005-0000-0000-0000F7220000}"/>
    <cellStyle name="Normal 2 2 10 31 5 9" xfId="8998" xr:uid="{00000000-0005-0000-0000-0000F8220000}"/>
    <cellStyle name="Normal 2 2 10 31 6" xfId="8999" xr:uid="{00000000-0005-0000-0000-0000F9220000}"/>
    <cellStyle name="Normal 2 2 10 31 7" xfId="9000" xr:uid="{00000000-0005-0000-0000-0000FA220000}"/>
    <cellStyle name="Normal 2 2 10 31 8" xfId="9001" xr:uid="{00000000-0005-0000-0000-0000FB220000}"/>
    <cellStyle name="Normal 2 2 10 31 9" xfId="9002" xr:uid="{00000000-0005-0000-0000-0000FC220000}"/>
    <cellStyle name="Normal 2 2 10 32" xfId="9003" xr:uid="{00000000-0005-0000-0000-0000FD220000}"/>
    <cellStyle name="Normal 2 2 10 32 10" xfId="9004" xr:uid="{00000000-0005-0000-0000-0000FE220000}"/>
    <cellStyle name="Normal 2 2 10 32 11" xfId="9005" xr:uid="{00000000-0005-0000-0000-0000FF220000}"/>
    <cellStyle name="Normal 2 2 10 32 12" xfId="9006" xr:uid="{00000000-0005-0000-0000-000000230000}"/>
    <cellStyle name="Normal 2 2 10 32 13" xfId="9007" xr:uid="{00000000-0005-0000-0000-000001230000}"/>
    <cellStyle name="Normal 2 2 10 32 14" xfId="9008" xr:uid="{00000000-0005-0000-0000-000002230000}"/>
    <cellStyle name="Normal 2 2 10 32 2" xfId="9009" xr:uid="{00000000-0005-0000-0000-000003230000}"/>
    <cellStyle name="Normal 2 2 10 32 2 10" xfId="9010" xr:uid="{00000000-0005-0000-0000-000004230000}"/>
    <cellStyle name="Normal 2 2 10 32 2 2" xfId="9011" xr:uid="{00000000-0005-0000-0000-000005230000}"/>
    <cellStyle name="Normal 2 2 10 32 2 3" xfId="9012" xr:uid="{00000000-0005-0000-0000-000006230000}"/>
    <cellStyle name="Normal 2 2 10 32 2 4" xfId="9013" xr:uid="{00000000-0005-0000-0000-000007230000}"/>
    <cellStyle name="Normal 2 2 10 32 2 5" xfId="9014" xr:uid="{00000000-0005-0000-0000-000008230000}"/>
    <cellStyle name="Normal 2 2 10 32 2 6" xfId="9015" xr:uid="{00000000-0005-0000-0000-000009230000}"/>
    <cellStyle name="Normal 2 2 10 32 2 7" xfId="9016" xr:uid="{00000000-0005-0000-0000-00000A230000}"/>
    <cellStyle name="Normal 2 2 10 32 2 8" xfId="9017" xr:uid="{00000000-0005-0000-0000-00000B230000}"/>
    <cellStyle name="Normal 2 2 10 32 2 9" xfId="9018" xr:uid="{00000000-0005-0000-0000-00000C230000}"/>
    <cellStyle name="Normal 2 2 10 32 3" xfId="9019" xr:uid="{00000000-0005-0000-0000-00000D230000}"/>
    <cellStyle name="Normal 2 2 10 32 3 10" xfId="9020" xr:uid="{00000000-0005-0000-0000-00000E230000}"/>
    <cellStyle name="Normal 2 2 10 32 3 2" xfId="9021" xr:uid="{00000000-0005-0000-0000-00000F230000}"/>
    <cellStyle name="Normal 2 2 10 32 3 3" xfId="9022" xr:uid="{00000000-0005-0000-0000-000010230000}"/>
    <cellStyle name="Normal 2 2 10 32 3 4" xfId="9023" xr:uid="{00000000-0005-0000-0000-000011230000}"/>
    <cellStyle name="Normal 2 2 10 32 3 5" xfId="9024" xr:uid="{00000000-0005-0000-0000-000012230000}"/>
    <cellStyle name="Normal 2 2 10 32 3 6" xfId="9025" xr:uid="{00000000-0005-0000-0000-000013230000}"/>
    <cellStyle name="Normal 2 2 10 32 3 7" xfId="9026" xr:uid="{00000000-0005-0000-0000-000014230000}"/>
    <cellStyle name="Normal 2 2 10 32 3 8" xfId="9027" xr:uid="{00000000-0005-0000-0000-000015230000}"/>
    <cellStyle name="Normal 2 2 10 32 3 9" xfId="9028" xr:uid="{00000000-0005-0000-0000-000016230000}"/>
    <cellStyle name="Normal 2 2 10 32 4" xfId="9029" xr:uid="{00000000-0005-0000-0000-000017230000}"/>
    <cellStyle name="Normal 2 2 10 32 4 10" xfId="9030" xr:uid="{00000000-0005-0000-0000-000018230000}"/>
    <cellStyle name="Normal 2 2 10 32 4 2" xfId="9031" xr:uid="{00000000-0005-0000-0000-000019230000}"/>
    <cellStyle name="Normal 2 2 10 32 4 3" xfId="9032" xr:uid="{00000000-0005-0000-0000-00001A230000}"/>
    <cellStyle name="Normal 2 2 10 32 4 4" xfId="9033" xr:uid="{00000000-0005-0000-0000-00001B230000}"/>
    <cellStyle name="Normal 2 2 10 32 4 5" xfId="9034" xr:uid="{00000000-0005-0000-0000-00001C230000}"/>
    <cellStyle name="Normal 2 2 10 32 4 6" xfId="9035" xr:uid="{00000000-0005-0000-0000-00001D230000}"/>
    <cellStyle name="Normal 2 2 10 32 4 7" xfId="9036" xr:uid="{00000000-0005-0000-0000-00001E230000}"/>
    <cellStyle name="Normal 2 2 10 32 4 8" xfId="9037" xr:uid="{00000000-0005-0000-0000-00001F230000}"/>
    <cellStyle name="Normal 2 2 10 32 4 9" xfId="9038" xr:uid="{00000000-0005-0000-0000-000020230000}"/>
    <cellStyle name="Normal 2 2 10 32 5" xfId="9039" xr:uid="{00000000-0005-0000-0000-000021230000}"/>
    <cellStyle name="Normal 2 2 10 32 5 10" xfId="9040" xr:uid="{00000000-0005-0000-0000-000022230000}"/>
    <cellStyle name="Normal 2 2 10 32 5 2" xfId="9041" xr:uid="{00000000-0005-0000-0000-000023230000}"/>
    <cellStyle name="Normal 2 2 10 32 5 3" xfId="9042" xr:uid="{00000000-0005-0000-0000-000024230000}"/>
    <cellStyle name="Normal 2 2 10 32 5 4" xfId="9043" xr:uid="{00000000-0005-0000-0000-000025230000}"/>
    <cellStyle name="Normal 2 2 10 32 5 5" xfId="9044" xr:uid="{00000000-0005-0000-0000-000026230000}"/>
    <cellStyle name="Normal 2 2 10 32 5 6" xfId="9045" xr:uid="{00000000-0005-0000-0000-000027230000}"/>
    <cellStyle name="Normal 2 2 10 32 5 7" xfId="9046" xr:uid="{00000000-0005-0000-0000-000028230000}"/>
    <cellStyle name="Normal 2 2 10 32 5 8" xfId="9047" xr:uid="{00000000-0005-0000-0000-000029230000}"/>
    <cellStyle name="Normal 2 2 10 32 5 9" xfId="9048" xr:uid="{00000000-0005-0000-0000-00002A230000}"/>
    <cellStyle name="Normal 2 2 10 32 6" xfId="9049" xr:uid="{00000000-0005-0000-0000-00002B230000}"/>
    <cellStyle name="Normal 2 2 10 32 7" xfId="9050" xr:uid="{00000000-0005-0000-0000-00002C230000}"/>
    <cellStyle name="Normal 2 2 10 32 8" xfId="9051" xr:uid="{00000000-0005-0000-0000-00002D230000}"/>
    <cellStyle name="Normal 2 2 10 32 9" xfId="9052" xr:uid="{00000000-0005-0000-0000-00002E230000}"/>
    <cellStyle name="Normal 2 2 10 33" xfId="9053" xr:uid="{00000000-0005-0000-0000-00002F230000}"/>
    <cellStyle name="Normal 2 2 10 33 10" xfId="9054" xr:uid="{00000000-0005-0000-0000-000030230000}"/>
    <cellStyle name="Normal 2 2 10 33 11" xfId="9055" xr:uid="{00000000-0005-0000-0000-000031230000}"/>
    <cellStyle name="Normal 2 2 10 33 12" xfId="9056" xr:uid="{00000000-0005-0000-0000-000032230000}"/>
    <cellStyle name="Normal 2 2 10 33 13" xfId="9057" xr:uid="{00000000-0005-0000-0000-000033230000}"/>
    <cellStyle name="Normal 2 2 10 33 14" xfId="9058" xr:uid="{00000000-0005-0000-0000-000034230000}"/>
    <cellStyle name="Normal 2 2 10 33 2" xfId="9059" xr:uid="{00000000-0005-0000-0000-000035230000}"/>
    <cellStyle name="Normal 2 2 10 33 2 10" xfId="9060" xr:uid="{00000000-0005-0000-0000-000036230000}"/>
    <cellStyle name="Normal 2 2 10 33 2 2" xfId="9061" xr:uid="{00000000-0005-0000-0000-000037230000}"/>
    <cellStyle name="Normal 2 2 10 33 2 3" xfId="9062" xr:uid="{00000000-0005-0000-0000-000038230000}"/>
    <cellStyle name="Normal 2 2 10 33 2 4" xfId="9063" xr:uid="{00000000-0005-0000-0000-000039230000}"/>
    <cellStyle name="Normal 2 2 10 33 2 5" xfId="9064" xr:uid="{00000000-0005-0000-0000-00003A230000}"/>
    <cellStyle name="Normal 2 2 10 33 2 6" xfId="9065" xr:uid="{00000000-0005-0000-0000-00003B230000}"/>
    <cellStyle name="Normal 2 2 10 33 2 7" xfId="9066" xr:uid="{00000000-0005-0000-0000-00003C230000}"/>
    <cellStyle name="Normal 2 2 10 33 2 8" xfId="9067" xr:uid="{00000000-0005-0000-0000-00003D230000}"/>
    <cellStyle name="Normal 2 2 10 33 2 9" xfId="9068" xr:uid="{00000000-0005-0000-0000-00003E230000}"/>
    <cellStyle name="Normal 2 2 10 33 3" xfId="9069" xr:uid="{00000000-0005-0000-0000-00003F230000}"/>
    <cellStyle name="Normal 2 2 10 33 3 10" xfId="9070" xr:uid="{00000000-0005-0000-0000-000040230000}"/>
    <cellStyle name="Normal 2 2 10 33 3 2" xfId="9071" xr:uid="{00000000-0005-0000-0000-000041230000}"/>
    <cellStyle name="Normal 2 2 10 33 3 3" xfId="9072" xr:uid="{00000000-0005-0000-0000-000042230000}"/>
    <cellStyle name="Normal 2 2 10 33 3 4" xfId="9073" xr:uid="{00000000-0005-0000-0000-000043230000}"/>
    <cellStyle name="Normal 2 2 10 33 3 5" xfId="9074" xr:uid="{00000000-0005-0000-0000-000044230000}"/>
    <cellStyle name="Normal 2 2 10 33 3 6" xfId="9075" xr:uid="{00000000-0005-0000-0000-000045230000}"/>
    <cellStyle name="Normal 2 2 10 33 3 7" xfId="9076" xr:uid="{00000000-0005-0000-0000-000046230000}"/>
    <cellStyle name="Normal 2 2 10 33 3 8" xfId="9077" xr:uid="{00000000-0005-0000-0000-000047230000}"/>
    <cellStyle name="Normal 2 2 10 33 3 9" xfId="9078" xr:uid="{00000000-0005-0000-0000-000048230000}"/>
    <cellStyle name="Normal 2 2 10 33 4" xfId="9079" xr:uid="{00000000-0005-0000-0000-000049230000}"/>
    <cellStyle name="Normal 2 2 10 33 4 10" xfId="9080" xr:uid="{00000000-0005-0000-0000-00004A230000}"/>
    <cellStyle name="Normal 2 2 10 33 4 2" xfId="9081" xr:uid="{00000000-0005-0000-0000-00004B230000}"/>
    <cellStyle name="Normal 2 2 10 33 4 3" xfId="9082" xr:uid="{00000000-0005-0000-0000-00004C230000}"/>
    <cellStyle name="Normal 2 2 10 33 4 4" xfId="9083" xr:uid="{00000000-0005-0000-0000-00004D230000}"/>
    <cellStyle name="Normal 2 2 10 33 4 5" xfId="9084" xr:uid="{00000000-0005-0000-0000-00004E230000}"/>
    <cellStyle name="Normal 2 2 10 33 4 6" xfId="9085" xr:uid="{00000000-0005-0000-0000-00004F230000}"/>
    <cellStyle name="Normal 2 2 10 33 4 7" xfId="9086" xr:uid="{00000000-0005-0000-0000-000050230000}"/>
    <cellStyle name="Normal 2 2 10 33 4 8" xfId="9087" xr:uid="{00000000-0005-0000-0000-000051230000}"/>
    <cellStyle name="Normal 2 2 10 33 4 9" xfId="9088" xr:uid="{00000000-0005-0000-0000-000052230000}"/>
    <cellStyle name="Normal 2 2 10 33 5" xfId="9089" xr:uid="{00000000-0005-0000-0000-000053230000}"/>
    <cellStyle name="Normal 2 2 10 33 5 10" xfId="9090" xr:uid="{00000000-0005-0000-0000-000054230000}"/>
    <cellStyle name="Normal 2 2 10 33 5 2" xfId="9091" xr:uid="{00000000-0005-0000-0000-000055230000}"/>
    <cellStyle name="Normal 2 2 10 33 5 3" xfId="9092" xr:uid="{00000000-0005-0000-0000-000056230000}"/>
    <cellStyle name="Normal 2 2 10 33 5 4" xfId="9093" xr:uid="{00000000-0005-0000-0000-000057230000}"/>
    <cellStyle name="Normal 2 2 10 33 5 5" xfId="9094" xr:uid="{00000000-0005-0000-0000-000058230000}"/>
    <cellStyle name="Normal 2 2 10 33 5 6" xfId="9095" xr:uid="{00000000-0005-0000-0000-000059230000}"/>
    <cellStyle name="Normal 2 2 10 33 5 7" xfId="9096" xr:uid="{00000000-0005-0000-0000-00005A230000}"/>
    <cellStyle name="Normal 2 2 10 33 5 8" xfId="9097" xr:uid="{00000000-0005-0000-0000-00005B230000}"/>
    <cellStyle name="Normal 2 2 10 33 5 9" xfId="9098" xr:uid="{00000000-0005-0000-0000-00005C230000}"/>
    <cellStyle name="Normal 2 2 10 33 6" xfId="9099" xr:uid="{00000000-0005-0000-0000-00005D230000}"/>
    <cellStyle name="Normal 2 2 10 33 7" xfId="9100" xr:uid="{00000000-0005-0000-0000-00005E230000}"/>
    <cellStyle name="Normal 2 2 10 33 8" xfId="9101" xr:uid="{00000000-0005-0000-0000-00005F230000}"/>
    <cellStyle name="Normal 2 2 10 33 9" xfId="9102" xr:uid="{00000000-0005-0000-0000-000060230000}"/>
    <cellStyle name="Normal 2 2 10 34" xfId="9103" xr:uid="{00000000-0005-0000-0000-000061230000}"/>
    <cellStyle name="Normal 2 2 10 34 10" xfId="9104" xr:uid="{00000000-0005-0000-0000-000062230000}"/>
    <cellStyle name="Normal 2 2 10 34 11" xfId="9105" xr:uid="{00000000-0005-0000-0000-000063230000}"/>
    <cellStyle name="Normal 2 2 10 34 12" xfId="9106" xr:uid="{00000000-0005-0000-0000-000064230000}"/>
    <cellStyle name="Normal 2 2 10 34 13" xfId="9107" xr:uid="{00000000-0005-0000-0000-000065230000}"/>
    <cellStyle name="Normal 2 2 10 34 14" xfId="9108" xr:uid="{00000000-0005-0000-0000-000066230000}"/>
    <cellStyle name="Normal 2 2 10 34 2" xfId="9109" xr:uid="{00000000-0005-0000-0000-000067230000}"/>
    <cellStyle name="Normal 2 2 10 34 2 10" xfId="9110" xr:uid="{00000000-0005-0000-0000-000068230000}"/>
    <cellStyle name="Normal 2 2 10 34 2 2" xfId="9111" xr:uid="{00000000-0005-0000-0000-000069230000}"/>
    <cellStyle name="Normal 2 2 10 34 2 3" xfId="9112" xr:uid="{00000000-0005-0000-0000-00006A230000}"/>
    <cellStyle name="Normal 2 2 10 34 2 4" xfId="9113" xr:uid="{00000000-0005-0000-0000-00006B230000}"/>
    <cellStyle name="Normal 2 2 10 34 2 5" xfId="9114" xr:uid="{00000000-0005-0000-0000-00006C230000}"/>
    <cellStyle name="Normal 2 2 10 34 2 6" xfId="9115" xr:uid="{00000000-0005-0000-0000-00006D230000}"/>
    <cellStyle name="Normal 2 2 10 34 2 7" xfId="9116" xr:uid="{00000000-0005-0000-0000-00006E230000}"/>
    <cellStyle name="Normal 2 2 10 34 2 8" xfId="9117" xr:uid="{00000000-0005-0000-0000-00006F230000}"/>
    <cellStyle name="Normal 2 2 10 34 2 9" xfId="9118" xr:uid="{00000000-0005-0000-0000-000070230000}"/>
    <cellStyle name="Normal 2 2 10 34 3" xfId="9119" xr:uid="{00000000-0005-0000-0000-000071230000}"/>
    <cellStyle name="Normal 2 2 10 34 3 10" xfId="9120" xr:uid="{00000000-0005-0000-0000-000072230000}"/>
    <cellStyle name="Normal 2 2 10 34 3 2" xfId="9121" xr:uid="{00000000-0005-0000-0000-000073230000}"/>
    <cellStyle name="Normal 2 2 10 34 3 3" xfId="9122" xr:uid="{00000000-0005-0000-0000-000074230000}"/>
    <cellStyle name="Normal 2 2 10 34 3 4" xfId="9123" xr:uid="{00000000-0005-0000-0000-000075230000}"/>
    <cellStyle name="Normal 2 2 10 34 3 5" xfId="9124" xr:uid="{00000000-0005-0000-0000-000076230000}"/>
    <cellStyle name="Normal 2 2 10 34 3 6" xfId="9125" xr:uid="{00000000-0005-0000-0000-000077230000}"/>
    <cellStyle name="Normal 2 2 10 34 3 7" xfId="9126" xr:uid="{00000000-0005-0000-0000-000078230000}"/>
    <cellStyle name="Normal 2 2 10 34 3 8" xfId="9127" xr:uid="{00000000-0005-0000-0000-000079230000}"/>
    <cellStyle name="Normal 2 2 10 34 3 9" xfId="9128" xr:uid="{00000000-0005-0000-0000-00007A230000}"/>
    <cellStyle name="Normal 2 2 10 34 4" xfId="9129" xr:uid="{00000000-0005-0000-0000-00007B230000}"/>
    <cellStyle name="Normal 2 2 10 34 4 10" xfId="9130" xr:uid="{00000000-0005-0000-0000-00007C230000}"/>
    <cellStyle name="Normal 2 2 10 34 4 2" xfId="9131" xr:uid="{00000000-0005-0000-0000-00007D230000}"/>
    <cellStyle name="Normal 2 2 10 34 4 3" xfId="9132" xr:uid="{00000000-0005-0000-0000-00007E230000}"/>
    <cellStyle name="Normal 2 2 10 34 4 4" xfId="9133" xr:uid="{00000000-0005-0000-0000-00007F230000}"/>
    <cellStyle name="Normal 2 2 10 34 4 5" xfId="9134" xr:uid="{00000000-0005-0000-0000-000080230000}"/>
    <cellStyle name="Normal 2 2 10 34 4 6" xfId="9135" xr:uid="{00000000-0005-0000-0000-000081230000}"/>
    <cellStyle name="Normal 2 2 10 34 4 7" xfId="9136" xr:uid="{00000000-0005-0000-0000-000082230000}"/>
    <cellStyle name="Normal 2 2 10 34 4 8" xfId="9137" xr:uid="{00000000-0005-0000-0000-000083230000}"/>
    <cellStyle name="Normal 2 2 10 34 4 9" xfId="9138" xr:uid="{00000000-0005-0000-0000-000084230000}"/>
    <cellStyle name="Normal 2 2 10 34 5" xfId="9139" xr:uid="{00000000-0005-0000-0000-000085230000}"/>
    <cellStyle name="Normal 2 2 10 34 5 10" xfId="9140" xr:uid="{00000000-0005-0000-0000-000086230000}"/>
    <cellStyle name="Normal 2 2 10 34 5 2" xfId="9141" xr:uid="{00000000-0005-0000-0000-000087230000}"/>
    <cellStyle name="Normal 2 2 10 34 5 3" xfId="9142" xr:uid="{00000000-0005-0000-0000-000088230000}"/>
    <cellStyle name="Normal 2 2 10 34 5 4" xfId="9143" xr:uid="{00000000-0005-0000-0000-000089230000}"/>
    <cellStyle name="Normal 2 2 10 34 5 5" xfId="9144" xr:uid="{00000000-0005-0000-0000-00008A230000}"/>
    <cellStyle name="Normal 2 2 10 34 5 6" xfId="9145" xr:uid="{00000000-0005-0000-0000-00008B230000}"/>
    <cellStyle name="Normal 2 2 10 34 5 7" xfId="9146" xr:uid="{00000000-0005-0000-0000-00008C230000}"/>
    <cellStyle name="Normal 2 2 10 34 5 8" xfId="9147" xr:uid="{00000000-0005-0000-0000-00008D230000}"/>
    <cellStyle name="Normal 2 2 10 34 5 9" xfId="9148" xr:uid="{00000000-0005-0000-0000-00008E230000}"/>
    <cellStyle name="Normal 2 2 10 34 6" xfId="9149" xr:uid="{00000000-0005-0000-0000-00008F230000}"/>
    <cellStyle name="Normal 2 2 10 34 7" xfId="9150" xr:uid="{00000000-0005-0000-0000-000090230000}"/>
    <cellStyle name="Normal 2 2 10 34 8" xfId="9151" xr:uid="{00000000-0005-0000-0000-000091230000}"/>
    <cellStyle name="Normal 2 2 10 34 9" xfId="9152" xr:uid="{00000000-0005-0000-0000-000092230000}"/>
    <cellStyle name="Normal 2 2 10 35" xfId="9153" xr:uid="{00000000-0005-0000-0000-000093230000}"/>
    <cellStyle name="Normal 2 2 10 35 10" xfId="9154" xr:uid="{00000000-0005-0000-0000-000094230000}"/>
    <cellStyle name="Normal 2 2 10 35 2" xfId="9155" xr:uid="{00000000-0005-0000-0000-000095230000}"/>
    <cellStyle name="Normal 2 2 10 35 3" xfId="9156" xr:uid="{00000000-0005-0000-0000-000096230000}"/>
    <cellStyle name="Normal 2 2 10 35 4" xfId="9157" xr:uid="{00000000-0005-0000-0000-000097230000}"/>
    <cellStyle name="Normal 2 2 10 35 5" xfId="9158" xr:uid="{00000000-0005-0000-0000-000098230000}"/>
    <cellStyle name="Normal 2 2 10 35 6" xfId="9159" xr:uid="{00000000-0005-0000-0000-000099230000}"/>
    <cellStyle name="Normal 2 2 10 35 7" xfId="9160" xr:uid="{00000000-0005-0000-0000-00009A230000}"/>
    <cellStyle name="Normal 2 2 10 35 8" xfId="9161" xr:uid="{00000000-0005-0000-0000-00009B230000}"/>
    <cellStyle name="Normal 2 2 10 35 9" xfId="9162" xr:uid="{00000000-0005-0000-0000-00009C230000}"/>
    <cellStyle name="Normal 2 2 10 36" xfId="9163" xr:uid="{00000000-0005-0000-0000-00009D230000}"/>
    <cellStyle name="Normal 2 2 10 36 10" xfId="9164" xr:uid="{00000000-0005-0000-0000-00009E230000}"/>
    <cellStyle name="Normal 2 2 10 36 2" xfId="9165" xr:uid="{00000000-0005-0000-0000-00009F230000}"/>
    <cellStyle name="Normal 2 2 10 36 3" xfId="9166" xr:uid="{00000000-0005-0000-0000-0000A0230000}"/>
    <cellStyle name="Normal 2 2 10 36 4" xfId="9167" xr:uid="{00000000-0005-0000-0000-0000A1230000}"/>
    <cellStyle name="Normal 2 2 10 36 5" xfId="9168" xr:uid="{00000000-0005-0000-0000-0000A2230000}"/>
    <cellStyle name="Normal 2 2 10 36 6" xfId="9169" xr:uid="{00000000-0005-0000-0000-0000A3230000}"/>
    <cellStyle name="Normal 2 2 10 36 7" xfId="9170" xr:uid="{00000000-0005-0000-0000-0000A4230000}"/>
    <cellStyle name="Normal 2 2 10 36 8" xfId="9171" xr:uid="{00000000-0005-0000-0000-0000A5230000}"/>
    <cellStyle name="Normal 2 2 10 36 9" xfId="9172" xr:uid="{00000000-0005-0000-0000-0000A6230000}"/>
    <cellStyle name="Normal 2 2 10 37" xfId="9173" xr:uid="{00000000-0005-0000-0000-0000A7230000}"/>
    <cellStyle name="Normal 2 2 10 37 10" xfId="9174" xr:uid="{00000000-0005-0000-0000-0000A8230000}"/>
    <cellStyle name="Normal 2 2 10 37 2" xfId="9175" xr:uid="{00000000-0005-0000-0000-0000A9230000}"/>
    <cellStyle name="Normal 2 2 10 37 3" xfId="9176" xr:uid="{00000000-0005-0000-0000-0000AA230000}"/>
    <cellStyle name="Normal 2 2 10 37 4" xfId="9177" xr:uid="{00000000-0005-0000-0000-0000AB230000}"/>
    <cellStyle name="Normal 2 2 10 37 5" xfId="9178" xr:uid="{00000000-0005-0000-0000-0000AC230000}"/>
    <cellStyle name="Normal 2 2 10 37 6" xfId="9179" xr:uid="{00000000-0005-0000-0000-0000AD230000}"/>
    <cellStyle name="Normal 2 2 10 37 7" xfId="9180" xr:uid="{00000000-0005-0000-0000-0000AE230000}"/>
    <cellStyle name="Normal 2 2 10 37 8" xfId="9181" xr:uid="{00000000-0005-0000-0000-0000AF230000}"/>
    <cellStyle name="Normal 2 2 10 37 9" xfId="9182" xr:uid="{00000000-0005-0000-0000-0000B0230000}"/>
    <cellStyle name="Normal 2 2 10 38" xfId="9183" xr:uid="{00000000-0005-0000-0000-0000B1230000}"/>
    <cellStyle name="Normal 2 2 10 38 10" xfId="9184" xr:uid="{00000000-0005-0000-0000-0000B2230000}"/>
    <cellStyle name="Normal 2 2 10 38 2" xfId="9185" xr:uid="{00000000-0005-0000-0000-0000B3230000}"/>
    <cellStyle name="Normal 2 2 10 38 3" xfId="9186" xr:uid="{00000000-0005-0000-0000-0000B4230000}"/>
    <cellStyle name="Normal 2 2 10 38 4" xfId="9187" xr:uid="{00000000-0005-0000-0000-0000B5230000}"/>
    <cellStyle name="Normal 2 2 10 38 5" xfId="9188" xr:uid="{00000000-0005-0000-0000-0000B6230000}"/>
    <cellStyle name="Normal 2 2 10 38 6" xfId="9189" xr:uid="{00000000-0005-0000-0000-0000B7230000}"/>
    <cellStyle name="Normal 2 2 10 38 7" xfId="9190" xr:uid="{00000000-0005-0000-0000-0000B8230000}"/>
    <cellStyle name="Normal 2 2 10 38 8" xfId="9191" xr:uid="{00000000-0005-0000-0000-0000B9230000}"/>
    <cellStyle name="Normal 2 2 10 38 9" xfId="9192" xr:uid="{00000000-0005-0000-0000-0000BA230000}"/>
    <cellStyle name="Normal 2 2 10 39" xfId="9193" xr:uid="{00000000-0005-0000-0000-0000BB230000}"/>
    <cellStyle name="Normal 2 2 10 4" xfId="9194" xr:uid="{00000000-0005-0000-0000-0000BC230000}"/>
    <cellStyle name="Normal 2 2 10 4 10" xfId="9195" xr:uid="{00000000-0005-0000-0000-0000BD230000}"/>
    <cellStyle name="Normal 2 2 10 4 11" xfId="9196" xr:uid="{00000000-0005-0000-0000-0000BE230000}"/>
    <cellStyle name="Normal 2 2 10 4 12" xfId="9197" xr:uid="{00000000-0005-0000-0000-0000BF230000}"/>
    <cellStyle name="Normal 2 2 10 4 13" xfId="9198" xr:uid="{00000000-0005-0000-0000-0000C0230000}"/>
    <cellStyle name="Normal 2 2 10 4 14" xfId="9199" xr:uid="{00000000-0005-0000-0000-0000C1230000}"/>
    <cellStyle name="Normal 2 2 10 4 2" xfId="9200" xr:uid="{00000000-0005-0000-0000-0000C2230000}"/>
    <cellStyle name="Normal 2 2 10 4 2 10" xfId="9201" xr:uid="{00000000-0005-0000-0000-0000C3230000}"/>
    <cellStyle name="Normal 2 2 10 4 2 2" xfId="9202" xr:uid="{00000000-0005-0000-0000-0000C4230000}"/>
    <cellStyle name="Normal 2 2 10 4 2 3" xfId="9203" xr:uid="{00000000-0005-0000-0000-0000C5230000}"/>
    <cellStyle name="Normal 2 2 10 4 2 4" xfId="9204" xr:uid="{00000000-0005-0000-0000-0000C6230000}"/>
    <cellStyle name="Normal 2 2 10 4 2 5" xfId="9205" xr:uid="{00000000-0005-0000-0000-0000C7230000}"/>
    <cellStyle name="Normal 2 2 10 4 2 6" xfId="9206" xr:uid="{00000000-0005-0000-0000-0000C8230000}"/>
    <cellStyle name="Normal 2 2 10 4 2 7" xfId="9207" xr:uid="{00000000-0005-0000-0000-0000C9230000}"/>
    <cellStyle name="Normal 2 2 10 4 2 8" xfId="9208" xr:uid="{00000000-0005-0000-0000-0000CA230000}"/>
    <cellStyle name="Normal 2 2 10 4 2 9" xfId="9209" xr:uid="{00000000-0005-0000-0000-0000CB230000}"/>
    <cellStyle name="Normal 2 2 10 4 3" xfId="9210" xr:uid="{00000000-0005-0000-0000-0000CC230000}"/>
    <cellStyle name="Normal 2 2 10 4 3 10" xfId="9211" xr:uid="{00000000-0005-0000-0000-0000CD230000}"/>
    <cellStyle name="Normal 2 2 10 4 3 2" xfId="9212" xr:uid="{00000000-0005-0000-0000-0000CE230000}"/>
    <cellStyle name="Normal 2 2 10 4 3 3" xfId="9213" xr:uid="{00000000-0005-0000-0000-0000CF230000}"/>
    <cellStyle name="Normal 2 2 10 4 3 4" xfId="9214" xr:uid="{00000000-0005-0000-0000-0000D0230000}"/>
    <cellStyle name="Normal 2 2 10 4 3 5" xfId="9215" xr:uid="{00000000-0005-0000-0000-0000D1230000}"/>
    <cellStyle name="Normal 2 2 10 4 3 6" xfId="9216" xr:uid="{00000000-0005-0000-0000-0000D2230000}"/>
    <cellStyle name="Normal 2 2 10 4 3 7" xfId="9217" xr:uid="{00000000-0005-0000-0000-0000D3230000}"/>
    <cellStyle name="Normal 2 2 10 4 3 8" xfId="9218" xr:uid="{00000000-0005-0000-0000-0000D4230000}"/>
    <cellStyle name="Normal 2 2 10 4 3 9" xfId="9219" xr:uid="{00000000-0005-0000-0000-0000D5230000}"/>
    <cellStyle name="Normal 2 2 10 4 4" xfId="9220" xr:uid="{00000000-0005-0000-0000-0000D6230000}"/>
    <cellStyle name="Normal 2 2 10 4 4 10" xfId="9221" xr:uid="{00000000-0005-0000-0000-0000D7230000}"/>
    <cellStyle name="Normal 2 2 10 4 4 2" xfId="9222" xr:uid="{00000000-0005-0000-0000-0000D8230000}"/>
    <cellStyle name="Normal 2 2 10 4 4 3" xfId="9223" xr:uid="{00000000-0005-0000-0000-0000D9230000}"/>
    <cellStyle name="Normal 2 2 10 4 4 4" xfId="9224" xr:uid="{00000000-0005-0000-0000-0000DA230000}"/>
    <cellStyle name="Normal 2 2 10 4 4 5" xfId="9225" xr:uid="{00000000-0005-0000-0000-0000DB230000}"/>
    <cellStyle name="Normal 2 2 10 4 4 6" xfId="9226" xr:uid="{00000000-0005-0000-0000-0000DC230000}"/>
    <cellStyle name="Normal 2 2 10 4 4 7" xfId="9227" xr:uid="{00000000-0005-0000-0000-0000DD230000}"/>
    <cellStyle name="Normal 2 2 10 4 4 8" xfId="9228" xr:uid="{00000000-0005-0000-0000-0000DE230000}"/>
    <cellStyle name="Normal 2 2 10 4 4 9" xfId="9229" xr:uid="{00000000-0005-0000-0000-0000DF230000}"/>
    <cellStyle name="Normal 2 2 10 4 5" xfId="9230" xr:uid="{00000000-0005-0000-0000-0000E0230000}"/>
    <cellStyle name="Normal 2 2 10 4 5 10" xfId="9231" xr:uid="{00000000-0005-0000-0000-0000E1230000}"/>
    <cellStyle name="Normal 2 2 10 4 5 2" xfId="9232" xr:uid="{00000000-0005-0000-0000-0000E2230000}"/>
    <cellStyle name="Normal 2 2 10 4 5 3" xfId="9233" xr:uid="{00000000-0005-0000-0000-0000E3230000}"/>
    <cellStyle name="Normal 2 2 10 4 5 4" xfId="9234" xr:uid="{00000000-0005-0000-0000-0000E4230000}"/>
    <cellStyle name="Normal 2 2 10 4 5 5" xfId="9235" xr:uid="{00000000-0005-0000-0000-0000E5230000}"/>
    <cellStyle name="Normal 2 2 10 4 5 6" xfId="9236" xr:uid="{00000000-0005-0000-0000-0000E6230000}"/>
    <cellStyle name="Normal 2 2 10 4 5 7" xfId="9237" xr:uid="{00000000-0005-0000-0000-0000E7230000}"/>
    <cellStyle name="Normal 2 2 10 4 5 8" xfId="9238" xr:uid="{00000000-0005-0000-0000-0000E8230000}"/>
    <cellStyle name="Normal 2 2 10 4 5 9" xfId="9239" xr:uid="{00000000-0005-0000-0000-0000E9230000}"/>
    <cellStyle name="Normal 2 2 10 4 6" xfId="9240" xr:uid="{00000000-0005-0000-0000-0000EA230000}"/>
    <cellStyle name="Normal 2 2 10 4 7" xfId="9241" xr:uid="{00000000-0005-0000-0000-0000EB230000}"/>
    <cellStyle name="Normal 2 2 10 4 8" xfId="9242" xr:uid="{00000000-0005-0000-0000-0000EC230000}"/>
    <cellStyle name="Normal 2 2 10 4 9" xfId="9243" xr:uid="{00000000-0005-0000-0000-0000ED230000}"/>
    <cellStyle name="Normal 2 2 10 40" xfId="9244" xr:uid="{00000000-0005-0000-0000-0000EE230000}"/>
    <cellStyle name="Normal 2 2 10 41" xfId="9245" xr:uid="{00000000-0005-0000-0000-0000EF230000}"/>
    <cellStyle name="Normal 2 2 10 42" xfId="9246" xr:uid="{00000000-0005-0000-0000-0000F0230000}"/>
    <cellStyle name="Normal 2 2 10 43" xfId="9247" xr:uid="{00000000-0005-0000-0000-0000F1230000}"/>
    <cellStyle name="Normal 2 2 10 44" xfId="9248" xr:uid="{00000000-0005-0000-0000-0000F2230000}"/>
    <cellStyle name="Normal 2 2 10 45" xfId="9249" xr:uid="{00000000-0005-0000-0000-0000F3230000}"/>
    <cellStyle name="Normal 2 2 10 46" xfId="9250" xr:uid="{00000000-0005-0000-0000-0000F4230000}"/>
    <cellStyle name="Normal 2 2 10 47" xfId="9251" xr:uid="{00000000-0005-0000-0000-0000F5230000}"/>
    <cellStyle name="Normal 2 2 10 5" xfId="9252" xr:uid="{00000000-0005-0000-0000-0000F6230000}"/>
    <cellStyle name="Normal 2 2 10 5 10" xfId="9253" xr:uid="{00000000-0005-0000-0000-0000F7230000}"/>
    <cellStyle name="Normal 2 2 10 5 11" xfId="9254" xr:uid="{00000000-0005-0000-0000-0000F8230000}"/>
    <cellStyle name="Normal 2 2 10 5 12" xfId="9255" xr:uid="{00000000-0005-0000-0000-0000F9230000}"/>
    <cellStyle name="Normal 2 2 10 5 13" xfId="9256" xr:uid="{00000000-0005-0000-0000-0000FA230000}"/>
    <cellStyle name="Normal 2 2 10 5 14" xfId="9257" xr:uid="{00000000-0005-0000-0000-0000FB230000}"/>
    <cellStyle name="Normal 2 2 10 5 2" xfId="9258" xr:uid="{00000000-0005-0000-0000-0000FC230000}"/>
    <cellStyle name="Normal 2 2 10 5 2 10" xfId="9259" xr:uid="{00000000-0005-0000-0000-0000FD230000}"/>
    <cellStyle name="Normal 2 2 10 5 2 2" xfId="9260" xr:uid="{00000000-0005-0000-0000-0000FE230000}"/>
    <cellStyle name="Normal 2 2 10 5 2 3" xfId="9261" xr:uid="{00000000-0005-0000-0000-0000FF230000}"/>
    <cellStyle name="Normal 2 2 10 5 2 4" xfId="9262" xr:uid="{00000000-0005-0000-0000-000000240000}"/>
    <cellStyle name="Normal 2 2 10 5 2 5" xfId="9263" xr:uid="{00000000-0005-0000-0000-000001240000}"/>
    <cellStyle name="Normal 2 2 10 5 2 6" xfId="9264" xr:uid="{00000000-0005-0000-0000-000002240000}"/>
    <cellStyle name="Normal 2 2 10 5 2 7" xfId="9265" xr:uid="{00000000-0005-0000-0000-000003240000}"/>
    <cellStyle name="Normal 2 2 10 5 2 8" xfId="9266" xr:uid="{00000000-0005-0000-0000-000004240000}"/>
    <cellStyle name="Normal 2 2 10 5 2 9" xfId="9267" xr:uid="{00000000-0005-0000-0000-000005240000}"/>
    <cellStyle name="Normal 2 2 10 5 3" xfId="9268" xr:uid="{00000000-0005-0000-0000-000006240000}"/>
    <cellStyle name="Normal 2 2 10 5 3 10" xfId="9269" xr:uid="{00000000-0005-0000-0000-000007240000}"/>
    <cellStyle name="Normal 2 2 10 5 3 2" xfId="9270" xr:uid="{00000000-0005-0000-0000-000008240000}"/>
    <cellStyle name="Normal 2 2 10 5 3 3" xfId="9271" xr:uid="{00000000-0005-0000-0000-000009240000}"/>
    <cellStyle name="Normal 2 2 10 5 3 4" xfId="9272" xr:uid="{00000000-0005-0000-0000-00000A240000}"/>
    <cellStyle name="Normal 2 2 10 5 3 5" xfId="9273" xr:uid="{00000000-0005-0000-0000-00000B240000}"/>
    <cellStyle name="Normal 2 2 10 5 3 6" xfId="9274" xr:uid="{00000000-0005-0000-0000-00000C240000}"/>
    <cellStyle name="Normal 2 2 10 5 3 7" xfId="9275" xr:uid="{00000000-0005-0000-0000-00000D240000}"/>
    <cellStyle name="Normal 2 2 10 5 3 8" xfId="9276" xr:uid="{00000000-0005-0000-0000-00000E240000}"/>
    <cellStyle name="Normal 2 2 10 5 3 9" xfId="9277" xr:uid="{00000000-0005-0000-0000-00000F240000}"/>
    <cellStyle name="Normal 2 2 10 5 4" xfId="9278" xr:uid="{00000000-0005-0000-0000-000010240000}"/>
    <cellStyle name="Normal 2 2 10 5 4 10" xfId="9279" xr:uid="{00000000-0005-0000-0000-000011240000}"/>
    <cellStyle name="Normal 2 2 10 5 4 2" xfId="9280" xr:uid="{00000000-0005-0000-0000-000012240000}"/>
    <cellStyle name="Normal 2 2 10 5 4 3" xfId="9281" xr:uid="{00000000-0005-0000-0000-000013240000}"/>
    <cellStyle name="Normal 2 2 10 5 4 4" xfId="9282" xr:uid="{00000000-0005-0000-0000-000014240000}"/>
    <cellStyle name="Normal 2 2 10 5 4 5" xfId="9283" xr:uid="{00000000-0005-0000-0000-000015240000}"/>
    <cellStyle name="Normal 2 2 10 5 4 6" xfId="9284" xr:uid="{00000000-0005-0000-0000-000016240000}"/>
    <cellStyle name="Normal 2 2 10 5 4 7" xfId="9285" xr:uid="{00000000-0005-0000-0000-000017240000}"/>
    <cellStyle name="Normal 2 2 10 5 4 8" xfId="9286" xr:uid="{00000000-0005-0000-0000-000018240000}"/>
    <cellStyle name="Normal 2 2 10 5 4 9" xfId="9287" xr:uid="{00000000-0005-0000-0000-000019240000}"/>
    <cellStyle name="Normal 2 2 10 5 5" xfId="9288" xr:uid="{00000000-0005-0000-0000-00001A240000}"/>
    <cellStyle name="Normal 2 2 10 5 5 10" xfId="9289" xr:uid="{00000000-0005-0000-0000-00001B240000}"/>
    <cellStyle name="Normal 2 2 10 5 5 2" xfId="9290" xr:uid="{00000000-0005-0000-0000-00001C240000}"/>
    <cellStyle name="Normal 2 2 10 5 5 3" xfId="9291" xr:uid="{00000000-0005-0000-0000-00001D240000}"/>
    <cellStyle name="Normal 2 2 10 5 5 4" xfId="9292" xr:uid="{00000000-0005-0000-0000-00001E240000}"/>
    <cellStyle name="Normal 2 2 10 5 5 5" xfId="9293" xr:uid="{00000000-0005-0000-0000-00001F240000}"/>
    <cellStyle name="Normal 2 2 10 5 5 6" xfId="9294" xr:uid="{00000000-0005-0000-0000-000020240000}"/>
    <cellStyle name="Normal 2 2 10 5 5 7" xfId="9295" xr:uid="{00000000-0005-0000-0000-000021240000}"/>
    <cellStyle name="Normal 2 2 10 5 5 8" xfId="9296" xr:uid="{00000000-0005-0000-0000-000022240000}"/>
    <cellStyle name="Normal 2 2 10 5 5 9" xfId="9297" xr:uid="{00000000-0005-0000-0000-000023240000}"/>
    <cellStyle name="Normal 2 2 10 5 6" xfId="9298" xr:uid="{00000000-0005-0000-0000-000024240000}"/>
    <cellStyle name="Normal 2 2 10 5 7" xfId="9299" xr:uid="{00000000-0005-0000-0000-000025240000}"/>
    <cellStyle name="Normal 2 2 10 5 8" xfId="9300" xr:uid="{00000000-0005-0000-0000-000026240000}"/>
    <cellStyle name="Normal 2 2 10 5 9" xfId="9301" xr:uid="{00000000-0005-0000-0000-000027240000}"/>
    <cellStyle name="Normal 2 2 10 6" xfId="9302" xr:uid="{00000000-0005-0000-0000-000028240000}"/>
    <cellStyle name="Normal 2 2 10 6 10" xfId="9303" xr:uid="{00000000-0005-0000-0000-000029240000}"/>
    <cellStyle name="Normal 2 2 10 6 11" xfId="9304" xr:uid="{00000000-0005-0000-0000-00002A240000}"/>
    <cellStyle name="Normal 2 2 10 6 12" xfId="9305" xr:uid="{00000000-0005-0000-0000-00002B240000}"/>
    <cellStyle name="Normal 2 2 10 6 13" xfId="9306" xr:uid="{00000000-0005-0000-0000-00002C240000}"/>
    <cellStyle name="Normal 2 2 10 6 14" xfId="9307" xr:uid="{00000000-0005-0000-0000-00002D240000}"/>
    <cellStyle name="Normal 2 2 10 6 2" xfId="9308" xr:uid="{00000000-0005-0000-0000-00002E240000}"/>
    <cellStyle name="Normal 2 2 10 6 2 10" xfId="9309" xr:uid="{00000000-0005-0000-0000-00002F240000}"/>
    <cellStyle name="Normal 2 2 10 6 2 2" xfId="9310" xr:uid="{00000000-0005-0000-0000-000030240000}"/>
    <cellStyle name="Normal 2 2 10 6 2 3" xfId="9311" xr:uid="{00000000-0005-0000-0000-000031240000}"/>
    <cellStyle name="Normal 2 2 10 6 2 4" xfId="9312" xr:uid="{00000000-0005-0000-0000-000032240000}"/>
    <cellStyle name="Normal 2 2 10 6 2 5" xfId="9313" xr:uid="{00000000-0005-0000-0000-000033240000}"/>
    <cellStyle name="Normal 2 2 10 6 2 6" xfId="9314" xr:uid="{00000000-0005-0000-0000-000034240000}"/>
    <cellStyle name="Normal 2 2 10 6 2 7" xfId="9315" xr:uid="{00000000-0005-0000-0000-000035240000}"/>
    <cellStyle name="Normal 2 2 10 6 2 8" xfId="9316" xr:uid="{00000000-0005-0000-0000-000036240000}"/>
    <cellStyle name="Normal 2 2 10 6 2 9" xfId="9317" xr:uid="{00000000-0005-0000-0000-000037240000}"/>
    <cellStyle name="Normal 2 2 10 6 3" xfId="9318" xr:uid="{00000000-0005-0000-0000-000038240000}"/>
    <cellStyle name="Normal 2 2 10 6 3 10" xfId="9319" xr:uid="{00000000-0005-0000-0000-000039240000}"/>
    <cellStyle name="Normal 2 2 10 6 3 2" xfId="9320" xr:uid="{00000000-0005-0000-0000-00003A240000}"/>
    <cellStyle name="Normal 2 2 10 6 3 3" xfId="9321" xr:uid="{00000000-0005-0000-0000-00003B240000}"/>
    <cellStyle name="Normal 2 2 10 6 3 4" xfId="9322" xr:uid="{00000000-0005-0000-0000-00003C240000}"/>
    <cellStyle name="Normal 2 2 10 6 3 5" xfId="9323" xr:uid="{00000000-0005-0000-0000-00003D240000}"/>
    <cellStyle name="Normal 2 2 10 6 3 6" xfId="9324" xr:uid="{00000000-0005-0000-0000-00003E240000}"/>
    <cellStyle name="Normal 2 2 10 6 3 7" xfId="9325" xr:uid="{00000000-0005-0000-0000-00003F240000}"/>
    <cellStyle name="Normal 2 2 10 6 3 8" xfId="9326" xr:uid="{00000000-0005-0000-0000-000040240000}"/>
    <cellStyle name="Normal 2 2 10 6 3 9" xfId="9327" xr:uid="{00000000-0005-0000-0000-000041240000}"/>
    <cellStyle name="Normal 2 2 10 6 4" xfId="9328" xr:uid="{00000000-0005-0000-0000-000042240000}"/>
    <cellStyle name="Normal 2 2 10 6 4 10" xfId="9329" xr:uid="{00000000-0005-0000-0000-000043240000}"/>
    <cellStyle name="Normal 2 2 10 6 4 2" xfId="9330" xr:uid="{00000000-0005-0000-0000-000044240000}"/>
    <cellStyle name="Normal 2 2 10 6 4 3" xfId="9331" xr:uid="{00000000-0005-0000-0000-000045240000}"/>
    <cellStyle name="Normal 2 2 10 6 4 4" xfId="9332" xr:uid="{00000000-0005-0000-0000-000046240000}"/>
    <cellStyle name="Normal 2 2 10 6 4 5" xfId="9333" xr:uid="{00000000-0005-0000-0000-000047240000}"/>
    <cellStyle name="Normal 2 2 10 6 4 6" xfId="9334" xr:uid="{00000000-0005-0000-0000-000048240000}"/>
    <cellStyle name="Normal 2 2 10 6 4 7" xfId="9335" xr:uid="{00000000-0005-0000-0000-000049240000}"/>
    <cellStyle name="Normal 2 2 10 6 4 8" xfId="9336" xr:uid="{00000000-0005-0000-0000-00004A240000}"/>
    <cellStyle name="Normal 2 2 10 6 4 9" xfId="9337" xr:uid="{00000000-0005-0000-0000-00004B240000}"/>
    <cellStyle name="Normal 2 2 10 6 5" xfId="9338" xr:uid="{00000000-0005-0000-0000-00004C240000}"/>
    <cellStyle name="Normal 2 2 10 6 5 10" xfId="9339" xr:uid="{00000000-0005-0000-0000-00004D240000}"/>
    <cellStyle name="Normal 2 2 10 6 5 2" xfId="9340" xr:uid="{00000000-0005-0000-0000-00004E240000}"/>
    <cellStyle name="Normal 2 2 10 6 5 3" xfId="9341" xr:uid="{00000000-0005-0000-0000-00004F240000}"/>
    <cellStyle name="Normal 2 2 10 6 5 4" xfId="9342" xr:uid="{00000000-0005-0000-0000-000050240000}"/>
    <cellStyle name="Normal 2 2 10 6 5 5" xfId="9343" xr:uid="{00000000-0005-0000-0000-000051240000}"/>
    <cellStyle name="Normal 2 2 10 6 5 6" xfId="9344" xr:uid="{00000000-0005-0000-0000-000052240000}"/>
    <cellStyle name="Normal 2 2 10 6 5 7" xfId="9345" xr:uid="{00000000-0005-0000-0000-000053240000}"/>
    <cellStyle name="Normal 2 2 10 6 5 8" xfId="9346" xr:uid="{00000000-0005-0000-0000-000054240000}"/>
    <cellStyle name="Normal 2 2 10 6 5 9" xfId="9347" xr:uid="{00000000-0005-0000-0000-000055240000}"/>
    <cellStyle name="Normal 2 2 10 6 6" xfId="9348" xr:uid="{00000000-0005-0000-0000-000056240000}"/>
    <cellStyle name="Normal 2 2 10 6 7" xfId="9349" xr:uid="{00000000-0005-0000-0000-000057240000}"/>
    <cellStyle name="Normal 2 2 10 6 8" xfId="9350" xr:uid="{00000000-0005-0000-0000-000058240000}"/>
    <cellStyle name="Normal 2 2 10 6 9" xfId="9351" xr:uid="{00000000-0005-0000-0000-000059240000}"/>
    <cellStyle name="Normal 2 2 10 7" xfId="9352" xr:uid="{00000000-0005-0000-0000-00005A240000}"/>
    <cellStyle name="Normal 2 2 10 7 10" xfId="9353" xr:uid="{00000000-0005-0000-0000-00005B240000}"/>
    <cellStyle name="Normal 2 2 10 7 11" xfId="9354" xr:uid="{00000000-0005-0000-0000-00005C240000}"/>
    <cellStyle name="Normal 2 2 10 7 12" xfId="9355" xr:uid="{00000000-0005-0000-0000-00005D240000}"/>
    <cellStyle name="Normal 2 2 10 7 13" xfId="9356" xr:uid="{00000000-0005-0000-0000-00005E240000}"/>
    <cellStyle name="Normal 2 2 10 7 14" xfId="9357" xr:uid="{00000000-0005-0000-0000-00005F240000}"/>
    <cellStyle name="Normal 2 2 10 7 2" xfId="9358" xr:uid="{00000000-0005-0000-0000-000060240000}"/>
    <cellStyle name="Normal 2 2 10 7 2 10" xfId="9359" xr:uid="{00000000-0005-0000-0000-000061240000}"/>
    <cellStyle name="Normal 2 2 10 7 2 2" xfId="9360" xr:uid="{00000000-0005-0000-0000-000062240000}"/>
    <cellStyle name="Normal 2 2 10 7 2 3" xfId="9361" xr:uid="{00000000-0005-0000-0000-000063240000}"/>
    <cellStyle name="Normal 2 2 10 7 2 4" xfId="9362" xr:uid="{00000000-0005-0000-0000-000064240000}"/>
    <cellStyle name="Normal 2 2 10 7 2 5" xfId="9363" xr:uid="{00000000-0005-0000-0000-000065240000}"/>
    <cellStyle name="Normal 2 2 10 7 2 6" xfId="9364" xr:uid="{00000000-0005-0000-0000-000066240000}"/>
    <cellStyle name="Normal 2 2 10 7 2 7" xfId="9365" xr:uid="{00000000-0005-0000-0000-000067240000}"/>
    <cellStyle name="Normal 2 2 10 7 2 8" xfId="9366" xr:uid="{00000000-0005-0000-0000-000068240000}"/>
    <cellStyle name="Normal 2 2 10 7 2 9" xfId="9367" xr:uid="{00000000-0005-0000-0000-000069240000}"/>
    <cellStyle name="Normal 2 2 10 7 3" xfId="9368" xr:uid="{00000000-0005-0000-0000-00006A240000}"/>
    <cellStyle name="Normal 2 2 10 7 3 10" xfId="9369" xr:uid="{00000000-0005-0000-0000-00006B240000}"/>
    <cellStyle name="Normal 2 2 10 7 3 2" xfId="9370" xr:uid="{00000000-0005-0000-0000-00006C240000}"/>
    <cellStyle name="Normal 2 2 10 7 3 3" xfId="9371" xr:uid="{00000000-0005-0000-0000-00006D240000}"/>
    <cellStyle name="Normal 2 2 10 7 3 4" xfId="9372" xr:uid="{00000000-0005-0000-0000-00006E240000}"/>
    <cellStyle name="Normal 2 2 10 7 3 5" xfId="9373" xr:uid="{00000000-0005-0000-0000-00006F240000}"/>
    <cellStyle name="Normal 2 2 10 7 3 6" xfId="9374" xr:uid="{00000000-0005-0000-0000-000070240000}"/>
    <cellStyle name="Normal 2 2 10 7 3 7" xfId="9375" xr:uid="{00000000-0005-0000-0000-000071240000}"/>
    <cellStyle name="Normal 2 2 10 7 3 8" xfId="9376" xr:uid="{00000000-0005-0000-0000-000072240000}"/>
    <cellStyle name="Normal 2 2 10 7 3 9" xfId="9377" xr:uid="{00000000-0005-0000-0000-000073240000}"/>
    <cellStyle name="Normal 2 2 10 7 4" xfId="9378" xr:uid="{00000000-0005-0000-0000-000074240000}"/>
    <cellStyle name="Normal 2 2 10 7 4 10" xfId="9379" xr:uid="{00000000-0005-0000-0000-000075240000}"/>
    <cellStyle name="Normal 2 2 10 7 4 2" xfId="9380" xr:uid="{00000000-0005-0000-0000-000076240000}"/>
    <cellStyle name="Normal 2 2 10 7 4 3" xfId="9381" xr:uid="{00000000-0005-0000-0000-000077240000}"/>
    <cellStyle name="Normal 2 2 10 7 4 4" xfId="9382" xr:uid="{00000000-0005-0000-0000-000078240000}"/>
    <cellStyle name="Normal 2 2 10 7 4 5" xfId="9383" xr:uid="{00000000-0005-0000-0000-000079240000}"/>
    <cellStyle name="Normal 2 2 10 7 4 6" xfId="9384" xr:uid="{00000000-0005-0000-0000-00007A240000}"/>
    <cellStyle name="Normal 2 2 10 7 4 7" xfId="9385" xr:uid="{00000000-0005-0000-0000-00007B240000}"/>
    <cellStyle name="Normal 2 2 10 7 4 8" xfId="9386" xr:uid="{00000000-0005-0000-0000-00007C240000}"/>
    <cellStyle name="Normal 2 2 10 7 4 9" xfId="9387" xr:uid="{00000000-0005-0000-0000-00007D240000}"/>
    <cellStyle name="Normal 2 2 10 7 5" xfId="9388" xr:uid="{00000000-0005-0000-0000-00007E240000}"/>
    <cellStyle name="Normal 2 2 10 7 5 10" xfId="9389" xr:uid="{00000000-0005-0000-0000-00007F240000}"/>
    <cellStyle name="Normal 2 2 10 7 5 2" xfId="9390" xr:uid="{00000000-0005-0000-0000-000080240000}"/>
    <cellStyle name="Normal 2 2 10 7 5 3" xfId="9391" xr:uid="{00000000-0005-0000-0000-000081240000}"/>
    <cellStyle name="Normal 2 2 10 7 5 4" xfId="9392" xr:uid="{00000000-0005-0000-0000-000082240000}"/>
    <cellStyle name="Normal 2 2 10 7 5 5" xfId="9393" xr:uid="{00000000-0005-0000-0000-000083240000}"/>
    <cellStyle name="Normal 2 2 10 7 5 6" xfId="9394" xr:uid="{00000000-0005-0000-0000-000084240000}"/>
    <cellStyle name="Normal 2 2 10 7 5 7" xfId="9395" xr:uid="{00000000-0005-0000-0000-000085240000}"/>
    <cellStyle name="Normal 2 2 10 7 5 8" xfId="9396" xr:uid="{00000000-0005-0000-0000-000086240000}"/>
    <cellStyle name="Normal 2 2 10 7 5 9" xfId="9397" xr:uid="{00000000-0005-0000-0000-000087240000}"/>
    <cellStyle name="Normal 2 2 10 7 6" xfId="9398" xr:uid="{00000000-0005-0000-0000-000088240000}"/>
    <cellStyle name="Normal 2 2 10 7 7" xfId="9399" xr:uid="{00000000-0005-0000-0000-000089240000}"/>
    <cellStyle name="Normal 2 2 10 7 8" xfId="9400" xr:uid="{00000000-0005-0000-0000-00008A240000}"/>
    <cellStyle name="Normal 2 2 10 7 9" xfId="9401" xr:uid="{00000000-0005-0000-0000-00008B240000}"/>
    <cellStyle name="Normal 2 2 10 8" xfId="9402" xr:uid="{00000000-0005-0000-0000-00008C240000}"/>
    <cellStyle name="Normal 2 2 10 8 10" xfId="9403" xr:uid="{00000000-0005-0000-0000-00008D240000}"/>
    <cellStyle name="Normal 2 2 10 8 11" xfId="9404" xr:uid="{00000000-0005-0000-0000-00008E240000}"/>
    <cellStyle name="Normal 2 2 10 8 12" xfId="9405" xr:uid="{00000000-0005-0000-0000-00008F240000}"/>
    <cellStyle name="Normal 2 2 10 8 13" xfId="9406" xr:uid="{00000000-0005-0000-0000-000090240000}"/>
    <cellStyle name="Normal 2 2 10 8 14" xfId="9407" xr:uid="{00000000-0005-0000-0000-000091240000}"/>
    <cellStyle name="Normal 2 2 10 8 2" xfId="9408" xr:uid="{00000000-0005-0000-0000-000092240000}"/>
    <cellStyle name="Normal 2 2 10 8 2 10" xfId="9409" xr:uid="{00000000-0005-0000-0000-000093240000}"/>
    <cellStyle name="Normal 2 2 10 8 2 2" xfId="9410" xr:uid="{00000000-0005-0000-0000-000094240000}"/>
    <cellStyle name="Normal 2 2 10 8 2 3" xfId="9411" xr:uid="{00000000-0005-0000-0000-000095240000}"/>
    <cellStyle name="Normal 2 2 10 8 2 4" xfId="9412" xr:uid="{00000000-0005-0000-0000-000096240000}"/>
    <cellStyle name="Normal 2 2 10 8 2 5" xfId="9413" xr:uid="{00000000-0005-0000-0000-000097240000}"/>
    <cellStyle name="Normal 2 2 10 8 2 6" xfId="9414" xr:uid="{00000000-0005-0000-0000-000098240000}"/>
    <cellStyle name="Normal 2 2 10 8 2 7" xfId="9415" xr:uid="{00000000-0005-0000-0000-000099240000}"/>
    <cellStyle name="Normal 2 2 10 8 2 8" xfId="9416" xr:uid="{00000000-0005-0000-0000-00009A240000}"/>
    <cellStyle name="Normal 2 2 10 8 2 9" xfId="9417" xr:uid="{00000000-0005-0000-0000-00009B240000}"/>
    <cellStyle name="Normal 2 2 10 8 3" xfId="9418" xr:uid="{00000000-0005-0000-0000-00009C240000}"/>
    <cellStyle name="Normal 2 2 10 8 3 10" xfId="9419" xr:uid="{00000000-0005-0000-0000-00009D240000}"/>
    <cellStyle name="Normal 2 2 10 8 3 2" xfId="9420" xr:uid="{00000000-0005-0000-0000-00009E240000}"/>
    <cellStyle name="Normal 2 2 10 8 3 3" xfId="9421" xr:uid="{00000000-0005-0000-0000-00009F240000}"/>
    <cellStyle name="Normal 2 2 10 8 3 4" xfId="9422" xr:uid="{00000000-0005-0000-0000-0000A0240000}"/>
    <cellStyle name="Normal 2 2 10 8 3 5" xfId="9423" xr:uid="{00000000-0005-0000-0000-0000A1240000}"/>
    <cellStyle name="Normal 2 2 10 8 3 6" xfId="9424" xr:uid="{00000000-0005-0000-0000-0000A2240000}"/>
    <cellStyle name="Normal 2 2 10 8 3 7" xfId="9425" xr:uid="{00000000-0005-0000-0000-0000A3240000}"/>
    <cellStyle name="Normal 2 2 10 8 3 8" xfId="9426" xr:uid="{00000000-0005-0000-0000-0000A4240000}"/>
    <cellStyle name="Normal 2 2 10 8 3 9" xfId="9427" xr:uid="{00000000-0005-0000-0000-0000A5240000}"/>
    <cellStyle name="Normal 2 2 10 8 4" xfId="9428" xr:uid="{00000000-0005-0000-0000-0000A6240000}"/>
    <cellStyle name="Normal 2 2 10 8 4 10" xfId="9429" xr:uid="{00000000-0005-0000-0000-0000A7240000}"/>
    <cellStyle name="Normal 2 2 10 8 4 2" xfId="9430" xr:uid="{00000000-0005-0000-0000-0000A8240000}"/>
    <cellStyle name="Normal 2 2 10 8 4 3" xfId="9431" xr:uid="{00000000-0005-0000-0000-0000A9240000}"/>
    <cellStyle name="Normal 2 2 10 8 4 4" xfId="9432" xr:uid="{00000000-0005-0000-0000-0000AA240000}"/>
    <cellStyle name="Normal 2 2 10 8 4 5" xfId="9433" xr:uid="{00000000-0005-0000-0000-0000AB240000}"/>
    <cellStyle name="Normal 2 2 10 8 4 6" xfId="9434" xr:uid="{00000000-0005-0000-0000-0000AC240000}"/>
    <cellStyle name="Normal 2 2 10 8 4 7" xfId="9435" xr:uid="{00000000-0005-0000-0000-0000AD240000}"/>
    <cellStyle name="Normal 2 2 10 8 4 8" xfId="9436" xr:uid="{00000000-0005-0000-0000-0000AE240000}"/>
    <cellStyle name="Normal 2 2 10 8 4 9" xfId="9437" xr:uid="{00000000-0005-0000-0000-0000AF240000}"/>
    <cellStyle name="Normal 2 2 10 8 5" xfId="9438" xr:uid="{00000000-0005-0000-0000-0000B0240000}"/>
    <cellStyle name="Normal 2 2 10 8 5 10" xfId="9439" xr:uid="{00000000-0005-0000-0000-0000B1240000}"/>
    <cellStyle name="Normal 2 2 10 8 5 2" xfId="9440" xr:uid="{00000000-0005-0000-0000-0000B2240000}"/>
    <cellStyle name="Normal 2 2 10 8 5 3" xfId="9441" xr:uid="{00000000-0005-0000-0000-0000B3240000}"/>
    <cellStyle name="Normal 2 2 10 8 5 4" xfId="9442" xr:uid="{00000000-0005-0000-0000-0000B4240000}"/>
    <cellStyle name="Normal 2 2 10 8 5 5" xfId="9443" xr:uid="{00000000-0005-0000-0000-0000B5240000}"/>
    <cellStyle name="Normal 2 2 10 8 5 6" xfId="9444" xr:uid="{00000000-0005-0000-0000-0000B6240000}"/>
    <cellStyle name="Normal 2 2 10 8 5 7" xfId="9445" xr:uid="{00000000-0005-0000-0000-0000B7240000}"/>
    <cellStyle name="Normal 2 2 10 8 5 8" xfId="9446" xr:uid="{00000000-0005-0000-0000-0000B8240000}"/>
    <cellStyle name="Normal 2 2 10 8 5 9" xfId="9447" xr:uid="{00000000-0005-0000-0000-0000B9240000}"/>
    <cellStyle name="Normal 2 2 10 8 6" xfId="9448" xr:uid="{00000000-0005-0000-0000-0000BA240000}"/>
    <cellStyle name="Normal 2 2 10 8 7" xfId="9449" xr:uid="{00000000-0005-0000-0000-0000BB240000}"/>
    <cellStyle name="Normal 2 2 10 8 8" xfId="9450" xr:uid="{00000000-0005-0000-0000-0000BC240000}"/>
    <cellStyle name="Normal 2 2 10 8 9" xfId="9451" xr:uid="{00000000-0005-0000-0000-0000BD240000}"/>
    <cellStyle name="Normal 2 2 10 9" xfId="9452" xr:uid="{00000000-0005-0000-0000-0000BE240000}"/>
    <cellStyle name="Normal 2 2 10 9 10" xfId="9453" xr:uid="{00000000-0005-0000-0000-0000BF240000}"/>
    <cellStyle name="Normal 2 2 10 9 11" xfId="9454" xr:uid="{00000000-0005-0000-0000-0000C0240000}"/>
    <cellStyle name="Normal 2 2 10 9 12" xfId="9455" xr:uid="{00000000-0005-0000-0000-0000C1240000}"/>
    <cellStyle name="Normal 2 2 10 9 13" xfId="9456" xr:uid="{00000000-0005-0000-0000-0000C2240000}"/>
    <cellStyle name="Normal 2 2 10 9 14" xfId="9457" xr:uid="{00000000-0005-0000-0000-0000C3240000}"/>
    <cellStyle name="Normal 2 2 10 9 2" xfId="9458" xr:uid="{00000000-0005-0000-0000-0000C4240000}"/>
    <cellStyle name="Normal 2 2 10 9 2 10" xfId="9459" xr:uid="{00000000-0005-0000-0000-0000C5240000}"/>
    <cellStyle name="Normal 2 2 10 9 2 2" xfId="9460" xr:uid="{00000000-0005-0000-0000-0000C6240000}"/>
    <cellStyle name="Normal 2 2 10 9 2 3" xfId="9461" xr:uid="{00000000-0005-0000-0000-0000C7240000}"/>
    <cellStyle name="Normal 2 2 10 9 2 4" xfId="9462" xr:uid="{00000000-0005-0000-0000-0000C8240000}"/>
    <cellStyle name="Normal 2 2 10 9 2 5" xfId="9463" xr:uid="{00000000-0005-0000-0000-0000C9240000}"/>
    <cellStyle name="Normal 2 2 10 9 2 6" xfId="9464" xr:uid="{00000000-0005-0000-0000-0000CA240000}"/>
    <cellStyle name="Normal 2 2 10 9 2 7" xfId="9465" xr:uid="{00000000-0005-0000-0000-0000CB240000}"/>
    <cellStyle name="Normal 2 2 10 9 2 8" xfId="9466" xr:uid="{00000000-0005-0000-0000-0000CC240000}"/>
    <cellStyle name="Normal 2 2 10 9 2 9" xfId="9467" xr:uid="{00000000-0005-0000-0000-0000CD240000}"/>
    <cellStyle name="Normal 2 2 10 9 3" xfId="9468" xr:uid="{00000000-0005-0000-0000-0000CE240000}"/>
    <cellStyle name="Normal 2 2 10 9 3 10" xfId="9469" xr:uid="{00000000-0005-0000-0000-0000CF240000}"/>
    <cellStyle name="Normal 2 2 10 9 3 2" xfId="9470" xr:uid="{00000000-0005-0000-0000-0000D0240000}"/>
    <cellStyle name="Normal 2 2 10 9 3 3" xfId="9471" xr:uid="{00000000-0005-0000-0000-0000D1240000}"/>
    <cellStyle name="Normal 2 2 10 9 3 4" xfId="9472" xr:uid="{00000000-0005-0000-0000-0000D2240000}"/>
    <cellStyle name="Normal 2 2 10 9 3 5" xfId="9473" xr:uid="{00000000-0005-0000-0000-0000D3240000}"/>
    <cellStyle name="Normal 2 2 10 9 3 6" xfId="9474" xr:uid="{00000000-0005-0000-0000-0000D4240000}"/>
    <cellStyle name="Normal 2 2 10 9 3 7" xfId="9475" xr:uid="{00000000-0005-0000-0000-0000D5240000}"/>
    <cellStyle name="Normal 2 2 10 9 3 8" xfId="9476" xr:uid="{00000000-0005-0000-0000-0000D6240000}"/>
    <cellStyle name="Normal 2 2 10 9 3 9" xfId="9477" xr:uid="{00000000-0005-0000-0000-0000D7240000}"/>
    <cellStyle name="Normal 2 2 10 9 4" xfId="9478" xr:uid="{00000000-0005-0000-0000-0000D8240000}"/>
    <cellStyle name="Normal 2 2 10 9 4 10" xfId="9479" xr:uid="{00000000-0005-0000-0000-0000D9240000}"/>
    <cellStyle name="Normal 2 2 10 9 4 2" xfId="9480" xr:uid="{00000000-0005-0000-0000-0000DA240000}"/>
    <cellStyle name="Normal 2 2 10 9 4 3" xfId="9481" xr:uid="{00000000-0005-0000-0000-0000DB240000}"/>
    <cellStyle name="Normal 2 2 10 9 4 4" xfId="9482" xr:uid="{00000000-0005-0000-0000-0000DC240000}"/>
    <cellStyle name="Normal 2 2 10 9 4 5" xfId="9483" xr:uid="{00000000-0005-0000-0000-0000DD240000}"/>
    <cellStyle name="Normal 2 2 10 9 4 6" xfId="9484" xr:uid="{00000000-0005-0000-0000-0000DE240000}"/>
    <cellStyle name="Normal 2 2 10 9 4 7" xfId="9485" xr:uid="{00000000-0005-0000-0000-0000DF240000}"/>
    <cellStyle name="Normal 2 2 10 9 4 8" xfId="9486" xr:uid="{00000000-0005-0000-0000-0000E0240000}"/>
    <cellStyle name="Normal 2 2 10 9 4 9" xfId="9487" xr:uid="{00000000-0005-0000-0000-0000E1240000}"/>
    <cellStyle name="Normal 2 2 10 9 5" xfId="9488" xr:uid="{00000000-0005-0000-0000-0000E2240000}"/>
    <cellStyle name="Normal 2 2 10 9 5 10" xfId="9489" xr:uid="{00000000-0005-0000-0000-0000E3240000}"/>
    <cellStyle name="Normal 2 2 10 9 5 2" xfId="9490" xr:uid="{00000000-0005-0000-0000-0000E4240000}"/>
    <cellStyle name="Normal 2 2 10 9 5 3" xfId="9491" xr:uid="{00000000-0005-0000-0000-0000E5240000}"/>
    <cellStyle name="Normal 2 2 10 9 5 4" xfId="9492" xr:uid="{00000000-0005-0000-0000-0000E6240000}"/>
    <cellStyle name="Normal 2 2 10 9 5 5" xfId="9493" xr:uid="{00000000-0005-0000-0000-0000E7240000}"/>
    <cellStyle name="Normal 2 2 10 9 5 6" xfId="9494" xr:uid="{00000000-0005-0000-0000-0000E8240000}"/>
    <cellStyle name="Normal 2 2 10 9 5 7" xfId="9495" xr:uid="{00000000-0005-0000-0000-0000E9240000}"/>
    <cellStyle name="Normal 2 2 10 9 5 8" xfId="9496" xr:uid="{00000000-0005-0000-0000-0000EA240000}"/>
    <cellStyle name="Normal 2 2 10 9 5 9" xfId="9497" xr:uid="{00000000-0005-0000-0000-0000EB240000}"/>
    <cellStyle name="Normal 2 2 10 9 6" xfId="9498" xr:uid="{00000000-0005-0000-0000-0000EC240000}"/>
    <cellStyle name="Normal 2 2 10 9 7" xfId="9499" xr:uid="{00000000-0005-0000-0000-0000ED240000}"/>
    <cellStyle name="Normal 2 2 10 9 8" xfId="9500" xr:uid="{00000000-0005-0000-0000-0000EE240000}"/>
    <cellStyle name="Normal 2 2 10 9 9" xfId="9501" xr:uid="{00000000-0005-0000-0000-0000EF240000}"/>
    <cellStyle name="Normal 2 2 11" xfId="9502" xr:uid="{00000000-0005-0000-0000-0000F0240000}"/>
    <cellStyle name="Normal 2 2 12" xfId="9503" xr:uid="{00000000-0005-0000-0000-0000F1240000}"/>
    <cellStyle name="Normal 2 2 13" xfId="9504" xr:uid="{00000000-0005-0000-0000-0000F2240000}"/>
    <cellStyle name="Normal 2 2 14" xfId="9505" xr:uid="{00000000-0005-0000-0000-0000F3240000}"/>
    <cellStyle name="Normal 2 2 15" xfId="9506" xr:uid="{00000000-0005-0000-0000-0000F4240000}"/>
    <cellStyle name="Normal 2 2 16" xfId="9507" xr:uid="{00000000-0005-0000-0000-0000F5240000}"/>
    <cellStyle name="Normal 2 2 17" xfId="9508" xr:uid="{00000000-0005-0000-0000-0000F6240000}"/>
    <cellStyle name="Normal 2 2 18" xfId="9509" xr:uid="{00000000-0005-0000-0000-0000F7240000}"/>
    <cellStyle name="Normal 2 2 19" xfId="9510" xr:uid="{00000000-0005-0000-0000-0000F8240000}"/>
    <cellStyle name="Normal 2 2 2" xfId="10" xr:uid="{00000000-0005-0000-0000-0000F9240000}"/>
    <cellStyle name="Normal 2 2 2 10" xfId="9511" xr:uid="{00000000-0005-0000-0000-0000FA240000}"/>
    <cellStyle name="Normal 2 2 2 10 10" xfId="9512" xr:uid="{00000000-0005-0000-0000-0000FB240000}"/>
    <cellStyle name="Normal 2 2 2 10 11" xfId="9513" xr:uid="{00000000-0005-0000-0000-0000FC240000}"/>
    <cellStyle name="Normal 2 2 2 10 12" xfId="9514" xr:uid="{00000000-0005-0000-0000-0000FD240000}"/>
    <cellStyle name="Normal 2 2 2 10 13" xfId="9515" xr:uid="{00000000-0005-0000-0000-0000FE240000}"/>
    <cellStyle name="Normal 2 2 2 10 14" xfId="9516" xr:uid="{00000000-0005-0000-0000-0000FF240000}"/>
    <cellStyle name="Normal 2 2 2 10 2" xfId="9517" xr:uid="{00000000-0005-0000-0000-000000250000}"/>
    <cellStyle name="Normal 2 2 2 10 2 10" xfId="9518" xr:uid="{00000000-0005-0000-0000-000001250000}"/>
    <cellStyle name="Normal 2 2 2 10 2 2" xfId="9519" xr:uid="{00000000-0005-0000-0000-000002250000}"/>
    <cellStyle name="Normal 2 2 2 10 2 3" xfId="9520" xr:uid="{00000000-0005-0000-0000-000003250000}"/>
    <cellStyle name="Normal 2 2 2 10 2 4" xfId="9521" xr:uid="{00000000-0005-0000-0000-000004250000}"/>
    <cellStyle name="Normal 2 2 2 10 2 5" xfId="9522" xr:uid="{00000000-0005-0000-0000-000005250000}"/>
    <cellStyle name="Normal 2 2 2 10 2 6" xfId="9523" xr:uid="{00000000-0005-0000-0000-000006250000}"/>
    <cellStyle name="Normal 2 2 2 10 2 7" xfId="9524" xr:uid="{00000000-0005-0000-0000-000007250000}"/>
    <cellStyle name="Normal 2 2 2 10 2 8" xfId="9525" xr:uid="{00000000-0005-0000-0000-000008250000}"/>
    <cellStyle name="Normal 2 2 2 10 2 9" xfId="9526" xr:uid="{00000000-0005-0000-0000-000009250000}"/>
    <cellStyle name="Normal 2 2 2 10 3" xfId="9527" xr:uid="{00000000-0005-0000-0000-00000A250000}"/>
    <cellStyle name="Normal 2 2 2 10 3 10" xfId="9528" xr:uid="{00000000-0005-0000-0000-00000B250000}"/>
    <cellStyle name="Normal 2 2 2 10 3 2" xfId="9529" xr:uid="{00000000-0005-0000-0000-00000C250000}"/>
    <cellStyle name="Normal 2 2 2 10 3 3" xfId="9530" xr:uid="{00000000-0005-0000-0000-00000D250000}"/>
    <cellStyle name="Normal 2 2 2 10 3 4" xfId="9531" xr:uid="{00000000-0005-0000-0000-00000E250000}"/>
    <cellStyle name="Normal 2 2 2 10 3 5" xfId="9532" xr:uid="{00000000-0005-0000-0000-00000F250000}"/>
    <cellStyle name="Normal 2 2 2 10 3 6" xfId="9533" xr:uid="{00000000-0005-0000-0000-000010250000}"/>
    <cellStyle name="Normal 2 2 2 10 3 7" xfId="9534" xr:uid="{00000000-0005-0000-0000-000011250000}"/>
    <cellStyle name="Normal 2 2 2 10 3 8" xfId="9535" xr:uid="{00000000-0005-0000-0000-000012250000}"/>
    <cellStyle name="Normal 2 2 2 10 3 9" xfId="9536" xr:uid="{00000000-0005-0000-0000-000013250000}"/>
    <cellStyle name="Normal 2 2 2 10 4" xfId="9537" xr:uid="{00000000-0005-0000-0000-000014250000}"/>
    <cellStyle name="Normal 2 2 2 10 4 10" xfId="9538" xr:uid="{00000000-0005-0000-0000-000015250000}"/>
    <cellStyle name="Normal 2 2 2 10 4 2" xfId="9539" xr:uid="{00000000-0005-0000-0000-000016250000}"/>
    <cellStyle name="Normal 2 2 2 10 4 3" xfId="9540" xr:uid="{00000000-0005-0000-0000-000017250000}"/>
    <cellStyle name="Normal 2 2 2 10 4 4" xfId="9541" xr:uid="{00000000-0005-0000-0000-000018250000}"/>
    <cellStyle name="Normal 2 2 2 10 4 5" xfId="9542" xr:uid="{00000000-0005-0000-0000-000019250000}"/>
    <cellStyle name="Normal 2 2 2 10 4 6" xfId="9543" xr:uid="{00000000-0005-0000-0000-00001A250000}"/>
    <cellStyle name="Normal 2 2 2 10 4 7" xfId="9544" xr:uid="{00000000-0005-0000-0000-00001B250000}"/>
    <cellStyle name="Normal 2 2 2 10 4 8" xfId="9545" xr:uid="{00000000-0005-0000-0000-00001C250000}"/>
    <cellStyle name="Normal 2 2 2 10 4 9" xfId="9546" xr:uid="{00000000-0005-0000-0000-00001D250000}"/>
    <cellStyle name="Normal 2 2 2 10 5" xfId="9547" xr:uid="{00000000-0005-0000-0000-00001E250000}"/>
    <cellStyle name="Normal 2 2 2 10 5 10" xfId="9548" xr:uid="{00000000-0005-0000-0000-00001F250000}"/>
    <cellStyle name="Normal 2 2 2 10 5 2" xfId="9549" xr:uid="{00000000-0005-0000-0000-000020250000}"/>
    <cellStyle name="Normal 2 2 2 10 5 3" xfId="9550" xr:uid="{00000000-0005-0000-0000-000021250000}"/>
    <cellStyle name="Normal 2 2 2 10 5 4" xfId="9551" xr:uid="{00000000-0005-0000-0000-000022250000}"/>
    <cellStyle name="Normal 2 2 2 10 5 5" xfId="9552" xr:uid="{00000000-0005-0000-0000-000023250000}"/>
    <cellStyle name="Normal 2 2 2 10 5 6" xfId="9553" xr:uid="{00000000-0005-0000-0000-000024250000}"/>
    <cellStyle name="Normal 2 2 2 10 5 7" xfId="9554" xr:uid="{00000000-0005-0000-0000-000025250000}"/>
    <cellStyle name="Normal 2 2 2 10 5 8" xfId="9555" xr:uid="{00000000-0005-0000-0000-000026250000}"/>
    <cellStyle name="Normal 2 2 2 10 5 9" xfId="9556" xr:uid="{00000000-0005-0000-0000-000027250000}"/>
    <cellStyle name="Normal 2 2 2 10 6" xfId="9557" xr:uid="{00000000-0005-0000-0000-000028250000}"/>
    <cellStyle name="Normal 2 2 2 10 7" xfId="9558" xr:uid="{00000000-0005-0000-0000-000029250000}"/>
    <cellStyle name="Normal 2 2 2 10 8" xfId="9559" xr:uid="{00000000-0005-0000-0000-00002A250000}"/>
    <cellStyle name="Normal 2 2 2 10 9" xfId="9560" xr:uid="{00000000-0005-0000-0000-00002B250000}"/>
    <cellStyle name="Normal 2 2 2 11" xfId="9561" xr:uid="{00000000-0005-0000-0000-00002C250000}"/>
    <cellStyle name="Normal 2 2 2 11 10" xfId="9562" xr:uid="{00000000-0005-0000-0000-00002D250000}"/>
    <cellStyle name="Normal 2 2 2 11 11" xfId="9563" xr:uid="{00000000-0005-0000-0000-00002E250000}"/>
    <cellStyle name="Normal 2 2 2 11 12" xfId="9564" xr:uid="{00000000-0005-0000-0000-00002F250000}"/>
    <cellStyle name="Normal 2 2 2 11 13" xfId="9565" xr:uid="{00000000-0005-0000-0000-000030250000}"/>
    <cellStyle name="Normal 2 2 2 11 14" xfId="9566" xr:uid="{00000000-0005-0000-0000-000031250000}"/>
    <cellStyle name="Normal 2 2 2 11 2" xfId="9567" xr:uid="{00000000-0005-0000-0000-000032250000}"/>
    <cellStyle name="Normal 2 2 2 11 2 10" xfId="9568" xr:uid="{00000000-0005-0000-0000-000033250000}"/>
    <cellStyle name="Normal 2 2 2 11 2 2" xfId="9569" xr:uid="{00000000-0005-0000-0000-000034250000}"/>
    <cellStyle name="Normal 2 2 2 11 2 3" xfId="9570" xr:uid="{00000000-0005-0000-0000-000035250000}"/>
    <cellStyle name="Normal 2 2 2 11 2 4" xfId="9571" xr:uid="{00000000-0005-0000-0000-000036250000}"/>
    <cellStyle name="Normal 2 2 2 11 2 5" xfId="9572" xr:uid="{00000000-0005-0000-0000-000037250000}"/>
    <cellStyle name="Normal 2 2 2 11 2 6" xfId="9573" xr:uid="{00000000-0005-0000-0000-000038250000}"/>
    <cellStyle name="Normal 2 2 2 11 2 7" xfId="9574" xr:uid="{00000000-0005-0000-0000-000039250000}"/>
    <cellStyle name="Normal 2 2 2 11 2 8" xfId="9575" xr:uid="{00000000-0005-0000-0000-00003A250000}"/>
    <cellStyle name="Normal 2 2 2 11 2 9" xfId="9576" xr:uid="{00000000-0005-0000-0000-00003B250000}"/>
    <cellStyle name="Normal 2 2 2 11 3" xfId="9577" xr:uid="{00000000-0005-0000-0000-00003C250000}"/>
    <cellStyle name="Normal 2 2 2 11 3 10" xfId="9578" xr:uid="{00000000-0005-0000-0000-00003D250000}"/>
    <cellStyle name="Normal 2 2 2 11 3 2" xfId="9579" xr:uid="{00000000-0005-0000-0000-00003E250000}"/>
    <cellStyle name="Normal 2 2 2 11 3 3" xfId="9580" xr:uid="{00000000-0005-0000-0000-00003F250000}"/>
    <cellStyle name="Normal 2 2 2 11 3 4" xfId="9581" xr:uid="{00000000-0005-0000-0000-000040250000}"/>
    <cellStyle name="Normal 2 2 2 11 3 5" xfId="9582" xr:uid="{00000000-0005-0000-0000-000041250000}"/>
    <cellStyle name="Normal 2 2 2 11 3 6" xfId="9583" xr:uid="{00000000-0005-0000-0000-000042250000}"/>
    <cellStyle name="Normal 2 2 2 11 3 7" xfId="9584" xr:uid="{00000000-0005-0000-0000-000043250000}"/>
    <cellStyle name="Normal 2 2 2 11 3 8" xfId="9585" xr:uid="{00000000-0005-0000-0000-000044250000}"/>
    <cellStyle name="Normal 2 2 2 11 3 9" xfId="9586" xr:uid="{00000000-0005-0000-0000-000045250000}"/>
    <cellStyle name="Normal 2 2 2 11 4" xfId="9587" xr:uid="{00000000-0005-0000-0000-000046250000}"/>
    <cellStyle name="Normal 2 2 2 11 4 10" xfId="9588" xr:uid="{00000000-0005-0000-0000-000047250000}"/>
    <cellStyle name="Normal 2 2 2 11 4 2" xfId="9589" xr:uid="{00000000-0005-0000-0000-000048250000}"/>
    <cellStyle name="Normal 2 2 2 11 4 3" xfId="9590" xr:uid="{00000000-0005-0000-0000-000049250000}"/>
    <cellStyle name="Normal 2 2 2 11 4 4" xfId="9591" xr:uid="{00000000-0005-0000-0000-00004A250000}"/>
    <cellStyle name="Normal 2 2 2 11 4 5" xfId="9592" xr:uid="{00000000-0005-0000-0000-00004B250000}"/>
    <cellStyle name="Normal 2 2 2 11 4 6" xfId="9593" xr:uid="{00000000-0005-0000-0000-00004C250000}"/>
    <cellStyle name="Normal 2 2 2 11 4 7" xfId="9594" xr:uid="{00000000-0005-0000-0000-00004D250000}"/>
    <cellStyle name="Normal 2 2 2 11 4 8" xfId="9595" xr:uid="{00000000-0005-0000-0000-00004E250000}"/>
    <cellStyle name="Normal 2 2 2 11 4 9" xfId="9596" xr:uid="{00000000-0005-0000-0000-00004F250000}"/>
    <cellStyle name="Normal 2 2 2 11 5" xfId="9597" xr:uid="{00000000-0005-0000-0000-000050250000}"/>
    <cellStyle name="Normal 2 2 2 11 5 10" xfId="9598" xr:uid="{00000000-0005-0000-0000-000051250000}"/>
    <cellStyle name="Normal 2 2 2 11 5 2" xfId="9599" xr:uid="{00000000-0005-0000-0000-000052250000}"/>
    <cellStyle name="Normal 2 2 2 11 5 3" xfId="9600" xr:uid="{00000000-0005-0000-0000-000053250000}"/>
    <cellStyle name="Normal 2 2 2 11 5 4" xfId="9601" xr:uid="{00000000-0005-0000-0000-000054250000}"/>
    <cellStyle name="Normal 2 2 2 11 5 5" xfId="9602" xr:uid="{00000000-0005-0000-0000-000055250000}"/>
    <cellStyle name="Normal 2 2 2 11 5 6" xfId="9603" xr:uid="{00000000-0005-0000-0000-000056250000}"/>
    <cellStyle name="Normal 2 2 2 11 5 7" xfId="9604" xr:uid="{00000000-0005-0000-0000-000057250000}"/>
    <cellStyle name="Normal 2 2 2 11 5 8" xfId="9605" xr:uid="{00000000-0005-0000-0000-000058250000}"/>
    <cellStyle name="Normal 2 2 2 11 5 9" xfId="9606" xr:uid="{00000000-0005-0000-0000-000059250000}"/>
    <cellStyle name="Normal 2 2 2 11 6" xfId="9607" xr:uid="{00000000-0005-0000-0000-00005A250000}"/>
    <cellStyle name="Normal 2 2 2 11 7" xfId="9608" xr:uid="{00000000-0005-0000-0000-00005B250000}"/>
    <cellStyle name="Normal 2 2 2 11 8" xfId="9609" xr:uid="{00000000-0005-0000-0000-00005C250000}"/>
    <cellStyle name="Normal 2 2 2 11 9" xfId="9610" xr:uid="{00000000-0005-0000-0000-00005D250000}"/>
    <cellStyle name="Normal 2 2 2 12" xfId="9611" xr:uid="{00000000-0005-0000-0000-00005E250000}"/>
    <cellStyle name="Normal 2 2 2 12 10" xfId="9612" xr:uid="{00000000-0005-0000-0000-00005F250000}"/>
    <cellStyle name="Normal 2 2 2 12 11" xfId="9613" xr:uid="{00000000-0005-0000-0000-000060250000}"/>
    <cellStyle name="Normal 2 2 2 12 12" xfId="9614" xr:uid="{00000000-0005-0000-0000-000061250000}"/>
    <cellStyle name="Normal 2 2 2 12 13" xfId="9615" xr:uid="{00000000-0005-0000-0000-000062250000}"/>
    <cellStyle name="Normal 2 2 2 12 14" xfId="9616" xr:uid="{00000000-0005-0000-0000-000063250000}"/>
    <cellStyle name="Normal 2 2 2 12 2" xfId="9617" xr:uid="{00000000-0005-0000-0000-000064250000}"/>
    <cellStyle name="Normal 2 2 2 12 2 10" xfId="9618" xr:uid="{00000000-0005-0000-0000-000065250000}"/>
    <cellStyle name="Normal 2 2 2 12 2 2" xfId="9619" xr:uid="{00000000-0005-0000-0000-000066250000}"/>
    <cellStyle name="Normal 2 2 2 12 2 3" xfId="9620" xr:uid="{00000000-0005-0000-0000-000067250000}"/>
    <cellStyle name="Normal 2 2 2 12 2 4" xfId="9621" xr:uid="{00000000-0005-0000-0000-000068250000}"/>
    <cellStyle name="Normal 2 2 2 12 2 5" xfId="9622" xr:uid="{00000000-0005-0000-0000-000069250000}"/>
    <cellStyle name="Normal 2 2 2 12 2 6" xfId="9623" xr:uid="{00000000-0005-0000-0000-00006A250000}"/>
    <cellStyle name="Normal 2 2 2 12 2 7" xfId="9624" xr:uid="{00000000-0005-0000-0000-00006B250000}"/>
    <cellStyle name="Normal 2 2 2 12 2 8" xfId="9625" xr:uid="{00000000-0005-0000-0000-00006C250000}"/>
    <cellStyle name="Normal 2 2 2 12 2 9" xfId="9626" xr:uid="{00000000-0005-0000-0000-00006D250000}"/>
    <cellStyle name="Normal 2 2 2 12 3" xfId="9627" xr:uid="{00000000-0005-0000-0000-00006E250000}"/>
    <cellStyle name="Normal 2 2 2 12 3 10" xfId="9628" xr:uid="{00000000-0005-0000-0000-00006F250000}"/>
    <cellStyle name="Normal 2 2 2 12 3 2" xfId="9629" xr:uid="{00000000-0005-0000-0000-000070250000}"/>
    <cellStyle name="Normal 2 2 2 12 3 3" xfId="9630" xr:uid="{00000000-0005-0000-0000-000071250000}"/>
    <cellStyle name="Normal 2 2 2 12 3 4" xfId="9631" xr:uid="{00000000-0005-0000-0000-000072250000}"/>
    <cellStyle name="Normal 2 2 2 12 3 5" xfId="9632" xr:uid="{00000000-0005-0000-0000-000073250000}"/>
    <cellStyle name="Normal 2 2 2 12 3 6" xfId="9633" xr:uid="{00000000-0005-0000-0000-000074250000}"/>
    <cellStyle name="Normal 2 2 2 12 3 7" xfId="9634" xr:uid="{00000000-0005-0000-0000-000075250000}"/>
    <cellStyle name="Normal 2 2 2 12 3 8" xfId="9635" xr:uid="{00000000-0005-0000-0000-000076250000}"/>
    <cellStyle name="Normal 2 2 2 12 3 9" xfId="9636" xr:uid="{00000000-0005-0000-0000-000077250000}"/>
    <cellStyle name="Normal 2 2 2 12 4" xfId="9637" xr:uid="{00000000-0005-0000-0000-000078250000}"/>
    <cellStyle name="Normal 2 2 2 12 4 10" xfId="9638" xr:uid="{00000000-0005-0000-0000-000079250000}"/>
    <cellStyle name="Normal 2 2 2 12 4 2" xfId="9639" xr:uid="{00000000-0005-0000-0000-00007A250000}"/>
    <cellStyle name="Normal 2 2 2 12 4 3" xfId="9640" xr:uid="{00000000-0005-0000-0000-00007B250000}"/>
    <cellStyle name="Normal 2 2 2 12 4 4" xfId="9641" xr:uid="{00000000-0005-0000-0000-00007C250000}"/>
    <cellStyle name="Normal 2 2 2 12 4 5" xfId="9642" xr:uid="{00000000-0005-0000-0000-00007D250000}"/>
    <cellStyle name="Normal 2 2 2 12 4 6" xfId="9643" xr:uid="{00000000-0005-0000-0000-00007E250000}"/>
    <cellStyle name="Normal 2 2 2 12 4 7" xfId="9644" xr:uid="{00000000-0005-0000-0000-00007F250000}"/>
    <cellStyle name="Normal 2 2 2 12 4 8" xfId="9645" xr:uid="{00000000-0005-0000-0000-000080250000}"/>
    <cellStyle name="Normal 2 2 2 12 4 9" xfId="9646" xr:uid="{00000000-0005-0000-0000-000081250000}"/>
    <cellStyle name="Normal 2 2 2 12 5" xfId="9647" xr:uid="{00000000-0005-0000-0000-000082250000}"/>
    <cellStyle name="Normal 2 2 2 12 5 10" xfId="9648" xr:uid="{00000000-0005-0000-0000-000083250000}"/>
    <cellStyle name="Normal 2 2 2 12 5 2" xfId="9649" xr:uid="{00000000-0005-0000-0000-000084250000}"/>
    <cellStyle name="Normal 2 2 2 12 5 3" xfId="9650" xr:uid="{00000000-0005-0000-0000-000085250000}"/>
    <cellStyle name="Normal 2 2 2 12 5 4" xfId="9651" xr:uid="{00000000-0005-0000-0000-000086250000}"/>
    <cellStyle name="Normal 2 2 2 12 5 5" xfId="9652" xr:uid="{00000000-0005-0000-0000-000087250000}"/>
    <cellStyle name="Normal 2 2 2 12 5 6" xfId="9653" xr:uid="{00000000-0005-0000-0000-000088250000}"/>
    <cellStyle name="Normal 2 2 2 12 5 7" xfId="9654" xr:uid="{00000000-0005-0000-0000-000089250000}"/>
    <cellStyle name="Normal 2 2 2 12 5 8" xfId="9655" xr:uid="{00000000-0005-0000-0000-00008A250000}"/>
    <cellStyle name="Normal 2 2 2 12 5 9" xfId="9656" xr:uid="{00000000-0005-0000-0000-00008B250000}"/>
    <cellStyle name="Normal 2 2 2 12 6" xfId="9657" xr:uid="{00000000-0005-0000-0000-00008C250000}"/>
    <cellStyle name="Normal 2 2 2 12 7" xfId="9658" xr:uid="{00000000-0005-0000-0000-00008D250000}"/>
    <cellStyle name="Normal 2 2 2 12 8" xfId="9659" xr:uid="{00000000-0005-0000-0000-00008E250000}"/>
    <cellStyle name="Normal 2 2 2 12 9" xfId="9660" xr:uid="{00000000-0005-0000-0000-00008F250000}"/>
    <cellStyle name="Normal 2 2 2 13" xfId="9661" xr:uid="{00000000-0005-0000-0000-000090250000}"/>
    <cellStyle name="Normal 2 2 2 13 10" xfId="9662" xr:uid="{00000000-0005-0000-0000-000091250000}"/>
    <cellStyle name="Normal 2 2 2 13 11" xfId="9663" xr:uid="{00000000-0005-0000-0000-000092250000}"/>
    <cellStyle name="Normal 2 2 2 13 12" xfId="9664" xr:uid="{00000000-0005-0000-0000-000093250000}"/>
    <cellStyle name="Normal 2 2 2 13 13" xfId="9665" xr:uid="{00000000-0005-0000-0000-000094250000}"/>
    <cellStyle name="Normal 2 2 2 13 14" xfId="9666" xr:uid="{00000000-0005-0000-0000-000095250000}"/>
    <cellStyle name="Normal 2 2 2 13 2" xfId="9667" xr:uid="{00000000-0005-0000-0000-000096250000}"/>
    <cellStyle name="Normal 2 2 2 13 2 10" xfId="9668" xr:uid="{00000000-0005-0000-0000-000097250000}"/>
    <cellStyle name="Normal 2 2 2 13 2 2" xfId="9669" xr:uid="{00000000-0005-0000-0000-000098250000}"/>
    <cellStyle name="Normal 2 2 2 13 2 3" xfId="9670" xr:uid="{00000000-0005-0000-0000-000099250000}"/>
    <cellStyle name="Normal 2 2 2 13 2 4" xfId="9671" xr:uid="{00000000-0005-0000-0000-00009A250000}"/>
    <cellStyle name="Normal 2 2 2 13 2 5" xfId="9672" xr:uid="{00000000-0005-0000-0000-00009B250000}"/>
    <cellStyle name="Normal 2 2 2 13 2 6" xfId="9673" xr:uid="{00000000-0005-0000-0000-00009C250000}"/>
    <cellStyle name="Normal 2 2 2 13 2 7" xfId="9674" xr:uid="{00000000-0005-0000-0000-00009D250000}"/>
    <cellStyle name="Normal 2 2 2 13 2 8" xfId="9675" xr:uid="{00000000-0005-0000-0000-00009E250000}"/>
    <cellStyle name="Normal 2 2 2 13 2 9" xfId="9676" xr:uid="{00000000-0005-0000-0000-00009F250000}"/>
    <cellStyle name="Normal 2 2 2 13 3" xfId="9677" xr:uid="{00000000-0005-0000-0000-0000A0250000}"/>
    <cellStyle name="Normal 2 2 2 13 3 10" xfId="9678" xr:uid="{00000000-0005-0000-0000-0000A1250000}"/>
    <cellStyle name="Normal 2 2 2 13 3 2" xfId="9679" xr:uid="{00000000-0005-0000-0000-0000A2250000}"/>
    <cellStyle name="Normal 2 2 2 13 3 3" xfId="9680" xr:uid="{00000000-0005-0000-0000-0000A3250000}"/>
    <cellStyle name="Normal 2 2 2 13 3 4" xfId="9681" xr:uid="{00000000-0005-0000-0000-0000A4250000}"/>
    <cellStyle name="Normal 2 2 2 13 3 5" xfId="9682" xr:uid="{00000000-0005-0000-0000-0000A5250000}"/>
    <cellStyle name="Normal 2 2 2 13 3 6" xfId="9683" xr:uid="{00000000-0005-0000-0000-0000A6250000}"/>
    <cellStyle name="Normal 2 2 2 13 3 7" xfId="9684" xr:uid="{00000000-0005-0000-0000-0000A7250000}"/>
    <cellStyle name="Normal 2 2 2 13 3 8" xfId="9685" xr:uid="{00000000-0005-0000-0000-0000A8250000}"/>
    <cellStyle name="Normal 2 2 2 13 3 9" xfId="9686" xr:uid="{00000000-0005-0000-0000-0000A9250000}"/>
    <cellStyle name="Normal 2 2 2 13 4" xfId="9687" xr:uid="{00000000-0005-0000-0000-0000AA250000}"/>
    <cellStyle name="Normal 2 2 2 13 4 10" xfId="9688" xr:uid="{00000000-0005-0000-0000-0000AB250000}"/>
    <cellStyle name="Normal 2 2 2 13 4 2" xfId="9689" xr:uid="{00000000-0005-0000-0000-0000AC250000}"/>
    <cellStyle name="Normal 2 2 2 13 4 3" xfId="9690" xr:uid="{00000000-0005-0000-0000-0000AD250000}"/>
    <cellStyle name="Normal 2 2 2 13 4 4" xfId="9691" xr:uid="{00000000-0005-0000-0000-0000AE250000}"/>
    <cellStyle name="Normal 2 2 2 13 4 5" xfId="9692" xr:uid="{00000000-0005-0000-0000-0000AF250000}"/>
    <cellStyle name="Normal 2 2 2 13 4 6" xfId="9693" xr:uid="{00000000-0005-0000-0000-0000B0250000}"/>
    <cellStyle name="Normal 2 2 2 13 4 7" xfId="9694" xr:uid="{00000000-0005-0000-0000-0000B1250000}"/>
    <cellStyle name="Normal 2 2 2 13 4 8" xfId="9695" xr:uid="{00000000-0005-0000-0000-0000B2250000}"/>
    <cellStyle name="Normal 2 2 2 13 4 9" xfId="9696" xr:uid="{00000000-0005-0000-0000-0000B3250000}"/>
    <cellStyle name="Normal 2 2 2 13 5" xfId="9697" xr:uid="{00000000-0005-0000-0000-0000B4250000}"/>
    <cellStyle name="Normal 2 2 2 13 5 10" xfId="9698" xr:uid="{00000000-0005-0000-0000-0000B5250000}"/>
    <cellStyle name="Normal 2 2 2 13 5 2" xfId="9699" xr:uid="{00000000-0005-0000-0000-0000B6250000}"/>
    <cellStyle name="Normal 2 2 2 13 5 3" xfId="9700" xr:uid="{00000000-0005-0000-0000-0000B7250000}"/>
    <cellStyle name="Normal 2 2 2 13 5 4" xfId="9701" xr:uid="{00000000-0005-0000-0000-0000B8250000}"/>
    <cellStyle name="Normal 2 2 2 13 5 5" xfId="9702" xr:uid="{00000000-0005-0000-0000-0000B9250000}"/>
    <cellStyle name="Normal 2 2 2 13 5 6" xfId="9703" xr:uid="{00000000-0005-0000-0000-0000BA250000}"/>
    <cellStyle name="Normal 2 2 2 13 5 7" xfId="9704" xr:uid="{00000000-0005-0000-0000-0000BB250000}"/>
    <cellStyle name="Normal 2 2 2 13 5 8" xfId="9705" xr:uid="{00000000-0005-0000-0000-0000BC250000}"/>
    <cellStyle name="Normal 2 2 2 13 5 9" xfId="9706" xr:uid="{00000000-0005-0000-0000-0000BD250000}"/>
    <cellStyle name="Normal 2 2 2 13 6" xfId="9707" xr:uid="{00000000-0005-0000-0000-0000BE250000}"/>
    <cellStyle name="Normal 2 2 2 13 7" xfId="9708" xr:uid="{00000000-0005-0000-0000-0000BF250000}"/>
    <cellStyle name="Normal 2 2 2 13 8" xfId="9709" xr:uid="{00000000-0005-0000-0000-0000C0250000}"/>
    <cellStyle name="Normal 2 2 2 13 9" xfId="9710" xr:uid="{00000000-0005-0000-0000-0000C1250000}"/>
    <cellStyle name="Normal 2 2 2 14" xfId="9711" xr:uid="{00000000-0005-0000-0000-0000C2250000}"/>
    <cellStyle name="Normal 2 2 2 14 10" xfId="9712" xr:uid="{00000000-0005-0000-0000-0000C3250000}"/>
    <cellStyle name="Normal 2 2 2 14 11" xfId="9713" xr:uid="{00000000-0005-0000-0000-0000C4250000}"/>
    <cellStyle name="Normal 2 2 2 14 12" xfId="9714" xr:uid="{00000000-0005-0000-0000-0000C5250000}"/>
    <cellStyle name="Normal 2 2 2 14 13" xfId="9715" xr:uid="{00000000-0005-0000-0000-0000C6250000}"/>
    <cellStyle name="Normal 2 2 2 14 14" xfId="9716" xr:uid="{00000000-0005-0000-0000-0000C7250000}"/>
    <cellStyle name="Normal 2 2 2 14 2" xfId="9717" xr:uid="{00000000-0005-0000-0000-0000C8250000}"/>
    <cellStyle name="Normal 2 2 2 14 2 10" xfId="9718" xr:uid="{00000000-0005-0000-0000-0000C9250000}"/>
    <cellStyle name="Normal 2 2 2 14 2 2" xfId="9719" xr:uid="{00000000-0005-0000-0000-0000CA250000}"/>
    <cellStyle name="Normal 2 2 2 14 2 3" xfId="9720" xr:uid="{00000000-0005-0000-0000-0000CB250000}"/>
    <cellStyle name="Normal 2 2 2 14 2 4" xfId="9721" xr:uid="{00000000-0005-0000-0000-0000CC250000}"/>
    <cellStyle name="Normal 2 2 2 14 2 5" xfId="9722" xr:uid="{00000000-0005-0000-0000-0000CD250000}"/>
    <cellStyle name="Normal 2 2 2 14 2 6" xfId="9723" xr:uid="{00000000-0005-0000-0000-0000CE250000}"/>
    <cellStyle name="Normal 2 2 2 14 2 7" xfId="9724" xr:uid="{00000000-0005-0000-0000-0000CF250000}"/>
    <cellStyle name="Normal 2 2 2 14 2 8" xfId="9725" xr:uid="{00000000-0005-0000-0000-0000D0250000}"/>
    <cellStyle name="Normal 2 2 2 14 2 9" xfId="9726" xr:uid="{00000000-0005-0000-0000-0000D1250000}"/>
    <cellStyle name="Normal 2 2 2 14 3" xfId="9727" xr:uid="{00000000-0005-0000-0000-0000D2250000}"/>
    <cellStyle name="Normal 2 2 2 14 3 10" xfId="9728" xr:uid="{00000000-0005-0000-0000-0000D3250000}"/>
    <cellStyle name="Normal 2 2 2 14 3 2" xfId="9729" xr:uid="{00000000-0005-0000-0000-0000D4250000}"/>
    <cellStyle name="Normal 2 2 2 14 3 3" xfId="9730" xr:uid="{00000000-0005-0000-0000-0000D5250000}"/>
    <cellStyle name="Normal 2 2 2 14 3 4" xfId="9731" xr:uid="{00000000-0005-0000-0000-0000D6250000}"/>
    <cellStyle name="Normal 2 2 2 14 3 5" xfId="9732" xr:uid="{00000000-0005-0000-0000-0000D7250000}"/>
    <cellStyle name="Normal 2 2 2 14 3 6" xfId="9733" xr:uid="{00000000-0005-0000-0000-0000D8250000}"/>
    <cellStyle name="Normal 2 2 2 14 3 7" xfId="9734" xr:uid="{00000000-0005-0000-0000-0000D9250000}"/>
    <cellStyle name="Normal 2 2 2 14 3 8" xfId="9735" xr:uid="{00000000-0005-0000-0000-0000DA250000}"/>
    <cellStyle name="Normal 2 2 2 14 3 9" xfId="9736" xr:uid="{00000000-0005-0000-0000-0000DB250000}"/>
    <cellStyle name="Normal 2 2 2 14 4" xfId="9737" xr:uid="{00000000-0005-0000-0000-0000DC250000}"/>
    <cellStyle name="Normal 2 2 2 14 4 10" xfId="9738" xr:uid="{00000000-0005-0000-0000-0000DD250000}"/>
    <cellStyle name="Normal 2 2 2 14 4 2" xfId="9739" xr:uid="{00000000-0005-0000-0000-0000DE250000}"/>
    <cellStyle name="Normal 2 2 2 14 4 3" xfId="9740" xr:uid="{00000000-0005-0000-0000-0000DF250000}"/>
    <cellStyle name="Normal 2 2 2 14 4 4" xfId="9741" xr:uid="{00000000-0005-0000-0000-0000E0250000}"/>
    <cellStyle name="Normal 2 2 2 14 4 5" xfId="9742" xr:uid="{00000000-0005-0000-0000-0000E1250000}"/>
    <cellStyle name="Normal 2 2 2 14 4 6" xfId="9743" xr:uid="{00000000-0005-0000-0000-0000E2250000}"/>
    <cellStyle name="Normal 2 2 2 14 4 7" xfId="9744" xr:uid="{00000000-0005-0000-0000-0000E3250000}"/>
    <cellStyle name="Normal 2 2 2 14 4 8" xfId="9745" xr:uid="{00000000-0005-0000-0000-0000E4250000}"/>
    <cellStyle name="Normal 2 2 2 14 4 9" xfId="9746" xr:uid="{00000000-0005-0000-0000-0000E5250000}"/>
    <cellStyle name="Normal 2 2 2 14 5" xfId="9747" xr:uid="{00000000-0005-0000-0000-0000E6250000}"/>
    <cellStyle name="Normal 2 2 2 14 5 10" xfId="9748" xr:uid="{00000000-0005-0000-0000-0000E7250000}"/>
    <cellStyle name="Normal 2 2 2 14 5 2" xfId="9749" xr:uid="{00000000-0005-0000-0000-0000E8250000}"/>
    <cellStyle name="Normal 2 2 2 14 5 3" xfId="9750" xr:uid="{00000000-0005-0000-0000-0000E9250000}"/>
    <cellStyle name="Normal 2 2 2 14 5 4" xfId="9751" xr:uid="{00000000-0005-0000-0000-0000EA250000}"/>
    <cellStyle name="Normal 2 2 2 14 5 5" xfId="9752" xr:uid="{00000000-0005-0000-0000-0000EB250000}"/>
    <cellStyle name="Normal 2 2 2 14 5 6" xfId="9753" xr:uid="{00000000-0005-0000-0000-0000EC250000}"/>
    <cellStyle name="Normal 2 2 2 14 5 7" xfId="9754" xr:uid="{00000000-0005-0000-0000-0000ED250000}"/>
    <cellStyle name="Normal 2 2 2 14 5 8" xfId="9755" xr:uid="{00000000-0005-0000-0000-0000EE250000}"/>
    <cellStyle name="Normal 2 2 2 14 5 9" xfId="9756" xr:uid="{00000000-0005-0000-0000-0000EF250000}"/>
    <cellStyle name="Normal 2 2 2 14 6" xfId="9757" xr:uid="{00000000-0005-0000-0000-0000F0250000}"/>
    <cellStyle name="Normal 2 2 2 14 7" xfId="9758" xr:uid="{00000000-0005-0000-0000-0000F1250000}"/>
    <cellStyle name="Normal 2 2 2 14 8" xfId="9759" xr:uid="{00000000-0005-0000-0000-0000F2250000}"/>
    <cellStyle name="Normal 2 2 2 14 9" xfId="9760" xr:uid="{00000000-0005-0000-0000-0000F3250000}"/>
    <cellStyle name="Normal 2 2 2 15" xfId="9761" xr:uid="{00000000-0005-0000-0000-0000F4250000}"/>
    <cellStyle name="Normal 2 2 2 15 10" xfId="9762" xr:uid="{00000000-0005-0000-0000-0000F5250000}"/>
    <cellStyle name="Normal 2 2 2 15 11" xfId="9763" xr:uid="{00000000-0005-0000-0000-0000F6250000}"/>
    <cellStyle name="Normal 2 2 2 15 12" xfId="9764" xr:uid="{00000000-0005-0000-0000-0000F7250000}"/>
    <cellStyle name="Normal 2 2 2 15 13" xfId="9765" xr:uid="{00000000-0005-0000-0000-0000F8250000}"/>
    <cellStyle name="Normal 2 2 2 15 14" xfId="9766" xr:uid="{00000000-0005-0000-0000-0000F9250000}"/>
    <cellStyle name="Normal 2 2 2 15 2" xfId="9767" xr:uid="{00000000-0005-0000-0000-0000FA250000}"/>
    <cellStyle name="Normal 2 2 2 15 2 10" xfId="9768" xr:uid="{00000000-0005-0000-0000-0000FB250000}"/>
    <cellStyle name="Normal 2 2 2 15 2 2" xfId="9769" xr:uid="{00000000-0005-0000-0000-0000FC250000}"/>
    <cellStyle name="Normal 2 2 2 15 2 3" xfId="9770" xr:uid="{00000000-0005-0000-0000-0000FD250000}"/>
    <cellStyle name="Normal 2 2 2 15 2 4" xfId="9771" xr:uid="{00000000-0005-0000-0000-0000FE250000}"/>
    <cellStyle name="Normal 2 2 2 15 2 5" xfId="9772" xr:uid="{00000000-0005-0000-0000-0000FF250000}"/>
    <cellStyle name="Normal 2 2 2 15 2 6" xfId="9773" xr:uid="{00000000-0005-0000-0000-000000260000}"/>
    <cellStyle name="Normal 2 2 2 15 2 7" xfId="9774" xr:uid="{00000000-0005-0000-0000-000001260000}"/>
    <cellStyle name="Normal 2 2 2 15 2 8" xfId="9775" xr:uid="{00000000-0005-0000-0000-000002260000}"/>
    <cellStyle name="Normal 2 2 2 15 2 9" xfId="9776" xr:uid="{00000000-0005-0000-0000-000003260000}"/>
    <cellStyle name="Normal 2 2 2 15 3" xfId="9777" xr:uid="{00000000-0005-0000-0000-000004260000}"/>
    <cellStyle name="Normal 2 2 2 15 3 10" xfId="9778" xr:uid="{00000000-0005-0000-0000-000005260000}"/>
    <cellStyle name="Normal 2 2 2 15 3 2" xfId="9779" xr:uid="{00000000-0005-0000-0000-000006260000}"/>
    <cellStyle name="Normal 2 2 2 15 3 3" xfId="9780" xr:uid="{00000000-0005-0000-0000-000007260000}"/>
    <cellStyle name="Normal 2 2 2 15 3 4" xfId="9781" xr:uid="{00000000-0005-0000-0000-000008260000}"/>
    <cellStyle name="Normal 2 2 2 15 3 5" xfId="9782" xr:uid="{00000000-0005-0000-0000-000009260000}"/>
    <cellStyle name="Normal 2 2 2 15 3 6" xfId="9783" xr:uid="{00000000-0005-0000-0000-00000A260000}"/>
    <cellStyle name="Normal 2 2 2 15 3 7" xfId="9784" xr:uid="{00000000-0005-0000-0000-00000B260000}"/>
    <cellStyle name="Normal 2 2 2 15 3 8" xfId="9785" xr:uid="{00000000-0005-0000-0000-00000C260000}"/>
    <cellStyle name="Normal 2 2 2 15 3 9" xfId="9786" xr:uid="{00000000-0005-0000-0000-00000D260000}"/>
    <cellStyle name="Normal 2 2 2 15 4" xfId="9787" xr:uid="{00000000-0005-0000-0000-00000E260000}"/>
    <cellStyle name="Normal 2 2 2 15 4 10" xfId="9788" xr:uid="{00000000-0005-0000-0000-00000F260000}"/>
    <cellStyle name="Normal 2 2 2 15 4 2" xfId="9789" xr:uid="{00000000-0005-0000-0000-000010260000}"/>
    <cellStyle name="Normal 2 2 2 15 4 3" xfId="9790" xr:uid="{00000000-0005-0000-0000-000011260000}"/>
    <cellStyle name="Normal 2 2 2 15 4 4" xfId="9791" xr:uid="{00000000-0005-0000-0000-000012260000}"/>
    <cellStyle name="Normal 2 2 2 15 4 5" xfId="9792" xr:uid="{00000000-0005-0000-0000-000013260000}"/>
    <cellStyle name="Normal 2 2 2 15 4 6" xfId="9793" xr:uid="{00000000-0005-0000-0000-000014260000}"/>
    <cellStyle name="Normal 2 2 2 15 4 7" xfId="9794" xr:uid="{00000000-0005-0000-0000-000015260000}"/>
    <cellStyle name="Normal 2 2 2 15 4 8" xfId="9795" xr:uid="{00000000-0005-0000-0000-000016260000}"/>
    <cellStyle name="Normal 2 2 2 15 4 9" xfId="9796" xr:uid="{00000000-0005-0000-0000-000017260000}"/>
    <cellStyle name="Normal 2 2 2 15 5" xfId="9797" xr:uid="{00000000-0005-0000-0000-000018260000}"/>
    <cellStyle name="Normal 2 2 2 15 5 10" xfId="9798" xr:uid="{00000000-0005-0000-0000-000019260000}"/>
    <cellStyle name="Normal 2 2 2 15 5 2" xfId="9799" xr:uid="{00000000-0005-0000-0000-00001A260000}"/>
    <cellStyle name="Normal 2 2 2 15 5 3" xfId="9800" xr:uid="{00000000-0005-0000-0000-00001B260000}"/>
    <cellStyle name="Normal 2 2 2 15 5 4" xfId="9801" xr:uid="{00000000-0005-0000-0000-00001C260000}"/>
    <cellStyle name="Normal 2 2 2 15 5 5" xfId="9802" xr:uid="{00000000-0005-0000-0000-00001D260000}"/>
    <cellStyle name="Normal 2 2 2 15 5 6" xfId="9803" xr:uid="{00000000-0005-0000-0000-00001E260000}"/>
    <cellStyle name="Normal 2 2 2 15 5 7" xfId="9804" xr:uid="{00000000-0005-0000-0000-00001F260000}"/>
    <cellStyle name="Normal 2 2 2 15 5 8" xfId="9805" xr:uid="{00000000-0005-0000-0000-000020260000}"/>
    <cellStyle name="Normal 2 2 2 15 5 9" xfId="9806" xr:uid="{00000000-0005-0000-0000-000021260000}"/>
    <cellStyle name="Normal 2 2 2 15 6" xfId="9807" xr:uid="{00000000-0005-0000-0000-000022260000}"/>
    <cellStyle name="Normal 2 2 2 15 7" xfId="9808" xr:uid="{00000000-0005-0000-0000-000023260000}"/>
    <cellStyle name="Normal 2 2 2 15 8" xfId="9809" xr:uid="{00000000-0005-0000-0000-000024260000}"/>
    <cellStyle name="Normal 2 2 2 15 9" xfId="9810" xr:uid="{00000000-0005-0000-0000-000025260000}"/>
    <cellStyle name="Normal 2 2 2 16" xfId="9811" xr:uid="{00000000-0005-0000-0000-000026260000}"/>
    <cellStyle name="Normal 2 2 2 16 10" xfId="9812" xr:uid="{00000000-0005-0000-0000-000027260000}"/>
    <cellStyle name="Normal 2 2 2 16 11" xfId="9813" xr:uid="{00000000-0005-0000-0000-000028260000}"/>
    <cellStyle name="Normal 2 2 2 16 12" xfId="9814" xr:uid="{00000000-0005-0000-0000-000029260000}"/>
    <cellStyle name="Normal 2 2 2 16 13" xfId="9815" xr:uid="{00000000-0005-0000-0000-00002A260000}"/>
    <cellStyle name="Normal 2 2 2 16 14" xfId="9816" xr:uid="{00000000-0005-0000-0000-00002B260000}"/>
    <cellStyle name="Normal 2 2 2 16 2" xfId="9817" xr:uid="{00000000-0005-0000-0000-00002C260000}"/>
    <cellStyle name="Normal 2 2 2 16 2 10" xfId="9818" xr:uid="{00000000-0005-0000-0000-00002D260000}"/>
    <cellStyle name="Normal 2 2 2 16 2 2" xfId="9819" xr:uid="{00000000-0005-0000-0000-00002E260000}"/>
    <cellStyle name="Normal 2 2 2 16 2 3" xfId="9820" xr:uid="{00000000-0005-0000-0000-00002F260000}"/>
    <cellStyle name="Normal 2 2 2 16 2 4" xfId="9821" xr:uid="{00000000-0005-0000-0000-000030260000}"/>
    <cellStyle name="Normal 2 2 2 16 2 5" xfId="9822" xr:uid="{00000000-0005-0000-0000-000031260000}"/>
    <cellStyle name="Normal 2 2 2 16 2 6" xfId="9823" xr:uid="{00000000-0005-0000-0000-000032260000}"/>
    <cellStyle name="Normal 2 2 2 16 2 7" xfId="9824" xr:uid="{00000000-0005-0000-0000-000033260000}"/>
    <cellStyle name="Normal 2 2 2 16 2 8" xfId="9825" xr:uid="{00000000-0005-0000-0000-000034260000}"/>
    <cellStyle name="Normal 2 2 2 16 2 9" xfId="9826" xr:uid="{00000000-0005-0000-0000-000035260000}"/>
    <cellStyle name="Normal 2 2 2 16 3" xfId="9827" xr:uid="{00000000-0005-0000-0000-000036260000}"/>
    <cellStyle name="Normal 2 2 2 16 3 10" xfId="9828" xr:uid="{00000000-0005-0000-0000-000037260000}"/>
    <cellStyle name="Normal 2 2 2 16 3 2" xfId="9829" xr:uid="{00000000-0005-0000-0000-000038260000}"/>
    <cellStyle name="Normal 2 2 2 16 3 3" xfId="9830" xr:uid="{00000000-0005-0000-0000-000039260000}"/>
    <cellStyle name="Normal 2 2 2 16 3 4" xfId="9831" xr:uid="{00000000-0005-0000-0000-00003A260000}"/>
    <cellStyle name="Normal 2 2 2 16 3 5" xfId="9832" xr:uid="{00000000-0005-0000-0000-00003B260000}"/>
    <cellStyle name="Normal 2 2 2 16 3 6" xfId="9833" xr:uid="{00000000-0005-0000-0000-00003C260000}"/>
    <cellStyle name="Normal 2 2 2 16 3 7" xfId="9834" xr:uid="{00000000-0005-0000-0000-00003D260000}"/>
    <cellStyle name="Normal 2 2 2 16 3 8" xfId="9835" xr:uid="{00000000-0005-0000-0000-00003E260000}"/>
    <cellStyle name="Normal 2 2 2 16 3 9" xfId="9836" xr:uid="{00000000-0005-0000-0000-00003F260000}"/>
    <cellStyle name="Normal 2 2 2 16 4" xfId="9837" xr:uid="{00000000-0005-0000-0000-000040260000}"/>
    <cellStyle name="Normal 2 2 2 16 4 10" xfId="9838" xr:uid="{00000000-0005-0000-0000-000041260000}"/>
    <cellStyle name="Normal 2 2 2 16 4 2" xfId="9839" xr:uid="{00000000-0005-0000-0000-000042260000}"/>
    <cellStyle name="Normal 2 2 2 16 4 3" xfId="9840" xr:uid="{00000000-0005-0000-0000-000043260000}"/>
    <cellStyle name="Normal 2 2 2 16 4 4" xfId="9841" xr:uid="{00000000-0005-0000-0000-000044260000}"/>
    <cellStyle name="Normal 2 2 2 16 4 5" xfId="9842" xr:uid="{00000000-0005-0000-0000-000045260000}"/>
    <cellStyle name="Normal 2 2 2 16 4 6" xfId="9843" xr:uid="{00000000-0005-0000-0000-000046260000}"/>
    <cellStyle name="Normal 2 2 2 16 4 7" xfId="9844" xr:uid="{00000000-0005-0000-0000-000047260000}"/>
    <cellStyle name="Normal 2 2 2 16 4 8" xfId="9845" xr:uid="{00000000-0005-0000-0000-000048260000}"/>
    <cellStyle name="Normal 2 2 2 16 4 9" xfId="9846" xr:uid="{00000000-0005-0000-0000-000049260000}"/>
    <cellStyle name="Normal 2 2 2 16 5" xfId="9847" xr:uid="{00000000-0005-0000-0000-00004A260000}"/>
    <cellStyle name="Normal 2 2 2 16 5 10" xfId="9848" xr:uid="{00000000-0005-0000-0000-00004B260000}"/>
    <cellStyle name="Normal 2 2 2 16 5 2" xfId="9849" xr:uid="{00000000-0005-0000-0000-00004C260000}"/>
    <cellStyle name="Normal 2 2 2 16 5 3" xfId="9850" xr:uid="{00000000-0005-0000-0000-00004D260000}"/>
    <cellStyle name="Normal 2 2 2 16 5 4" xfId="9851" xr:uid="{00000000-0005-0000-0000-00004E260000}"/>
    <cellStyle name="Normal 2 2 2 16 5 5" xfId="9852" xr:uid="{00000000-0005-0000-0000-00004F260000}"/>
    <cellStyle name="Normal 2 2 2 16 5 6" xfId="9853" xr:uid="{00000000-0005-0000-0000-000050260000}"/>
    <cellStyle name="Normal 2 2 2 16 5 7" xfId="9854" xr:uid="{00000000-0005-0000-0000-000051260000}"/>
    <cellStyle name="Normal 2 2 2 16 5 8" xfId="9855" xr:uid="{00000000-0005-0000-0000-000052260000}"/>
    <cellStyle name="Normal 2 2 2 16 5 9" xfId="9856" xr:uid="{00000000-0005-0000-0000-000053260000}"/>
    <cellStyle name="Normal 2 2 2 16 6" xfId="9857" xr:uid="{00000000-0005-0000-0000-000054260000}"/>
    <cellStyle name="Normal 2 2 2 16 7" xfId="9858" xr:uid="{00000000-0005-0000-0000-000055260000}"/>
    <cellStyle name="Normal 2 2 2 16 8" xfId="9859" xr:uid="{00000000-0005-0000-0000-000056260000}"/>
    <cellStyle name="Normal 2 2 2 16 9" xfId="9860" xr:uid="{00000000-0005-0000-0000-000057260000}"/>
    <cellStyle name="Normal 2 2 2 17" xfId="9861" xr:uid="{00000000-0005-0000-0000-000058260000}"/>
    <cellStyle name="Normal 2 2 2 17 10" xfId="9862" xr:uid="{00000000-0005-0000-0000-000059260000}"/>
    <cellStyle name="Normal 2 2 2 17 11" xfId="9863" xr:uid="{00000000-0005-0000-0000-00005A260000}"/>
    <cellStyle name="Normal 2 2 2 17 12" xfId="9864" xr:uid="{00000000-0005-0000-0000-00005B260000}"/>
    <cellStyle name="Normal 2 2 2 17 13" xfId="9865" xr:uid="{00000000-0005-0000-0000-00005C260000}"/>
    <cellStyle name="Normal 2 2 2 17 14" xfId="9866" xr:uid="{00000000-0005-0000-0000-00005D260000}"/>
    <cellStyle name="Normal 2 2 2 17 2" xfId="9867" xr:uid="{00000000-0005-0000-0000-00005E260000}"/>
    <cellStyle name="Normal 2 2 2 17 2 10" xfId="9868" xr:uid="{00000000-0005-0000-0000-00005F260000}"/>
    <cellStyle name="Normal 2 2 2 17 2 2" xfId="9869" xr:uid="{00000000-0005-0000-0000-000060260000}"/>
    <cellStyle name="Normal 2 2 2 17 2 3" xfId="9870" xr:uid="{00000000-0005-0000-0000-000061260000}"/>
    <cellStyle name="Normal 2 2 2 17 2 4" xfId="9871" xr:uid="{00000000-0005-0000-0000-000062260000}"/>
    <cellStyle name="Normal 2 2 2 17 2 5" xfId="9872" xr:uid="{00000000-0005-0000-0000-000063260000}"/>
    <cellStyle name="Normal 2 2 2 17 2 6" xfId="9873" xr:uid="{00000000-0005-0000-0000-000064260000}"/>
    <cellStyle name="Normal 2 2 2 17 2 7" xfId="9874" xr:uid="{00000000-0005-0000-0000-000065260000}"/>
    <cellStyle name="Normal 2 2 2 17 2 8" xfId="9875" xr:uid="{00000000-0005-0000-0000-000066260000}"/>
    <cellStyle name="Normal 2 2 2 17 2 9" xfId="9876" xr:uid="{00000000-0005-0000-0000-000067260000}"/>
    <cellStyle name="Normal 2 2 2 17 3" xfId="9877" xr:uid="{00000000-0005-0000-0000-000068260000}"/>
    <cellStyle name="Normal 2 2 2 17 3 10" xfId="9878" xr:uid="{00000000-0005-0000-0000-000069260000}"/>
    <cellStyle name="Normal 2 2 2 17 3 2" xfId="9879" xr:uid="{00000000-0005-0000-0000-00006A260000}"/>
    <cellStyle name="Normal 2 2 2 17 3 3" xfId="9880" xr:uid="{00000000-0005-0000-0000-00006B260000}"/>
    <cellStyle name="Normal 2 2 2 17 3 4" xfId="9881" xr:uid="{00000000-0005-0000-0000-00006C260000}"/>
    <cellStyle name="Normal 2 2 2 17 3 5" xfId="9882" xr:uid="{00000000-0005-0000-0000-00006D260000}"/>
    <cellStyle name="Normal 2 2 2 17 3 6" xfId="9883" xr:uid="{00000000-0005-0000-0000-00006E260000}"/>
    <cellStyle name="Normal 2 2 2 17 3 7" xfId="9884" xr:uid="{00000000-0005-0000-0000-00006F260000}"/>
    <cellStyle name="Normal 2 2 2 17 3 8" xfId="9885" xr:uid="{00000000-0005-0000-0000-000070260000}"/>
    <cellStyle name="Normal 2 2 2 17 3 9" xfId="9886" xr:uid="{00000000-0005-0000-0000-000071260000}"/>
    <cellStyle name="Normal 2 2 2 17 4" xfId="9887" xr:uid="{00000000-0005-0000-0000-000072260000}"/>
    <cellStyle name="Normal 2 2 2 17 4 10" xfId="9888" xr:uid="{00000000-0005-0000-0000-000073260000}"/>
    <cellStyle name="Normal 2 2 2 17 4 2" xfId="9889" xr:uid="{00000000-0005-0000-0000-000074260000}"/>
    <cellStyle name="Normal 2 2 2 17 4 3" xfId="9890" xr:uid="{00000000-0005-0000-0000-000075260000}"/>
    <cellStyle name="Normal 2 2 2 17 4 4" xfId="9891" xr:uid="{00000000-0005-0000-0000-000076260000}"/>
    <cellStyle name="Normal 2 2 2 17 4 5" xfId="9892" xr:uid="{00000000-0005-0000-0000-000077260000}"/>
    <cellStyle name="Normal 2 2 2 17 4 6" xfId="9893" xr:uid="{00000000-0005-0000-0000-000078260000}"/>
    <cellStyle name="Normal 2 2 2 17 4 7" xfId="9894" xr:uid="{00000000-0005-0000-0000-000079260000}"/>
    <cellStyle name="Normal 2 2 2 17 4 8" xfId="9895" xr:uid="{00000000-0005-0000-0000-00007A260000}"/>
    <cellStyle name="Normal 2 2 2 17 4 9" xfId="9896" xr:uid="{00000000-0005-0000-0000-00007B260000}"/>
    <cellStyle name="Normal 2 2 2 17 5" xfId="9897" xr:uid="{00000000-0005-0000-0000-00007C260000}"/>
    <cellStyle name="Normal 2 2 2 17 5 10" xfId="9898" xr:uid="{00000000-0005-0000-0000-00007D260000}"/>
    <cellStyle name="Normal 2 2 2 17 5 2" xfId="9899" xr:uid="{00000000-0005-0000-0000-00007E260000}"/>
    <cellStyle name="Normal 2 2 2 17 5 3" xfId="9900" xr:uid="{00000000-0005-0000-0000-00007F260000}"/>
    <cellStyle name="Normal 2 2 2 17 5 4" xfId="9901" xr:uid="{00000000-0005-0000-0000-000080260000}"/>
    <cellStyle name="Normal 2 2 2 17 5 5" xfId="9902" xr:uid="{00000000-0005-0000-0000-000081260000}"/>
    <cellStyle name="Normal 2 2 2 17 5 6" xfId="9903" xr:uid="{00000000-0005-0000-0000-000082260000}"/>
    <cellStyle name="Normal 2 2 2 17 5 7" xfId="9904" xr:uid="{00000000-0005-0000-0000-000083260000}"/>
    <cellStyle name="Normal 2 2 2 17 5 8" xfId="9905" xr:uid="{00000000-0005-0000-0000-000084260000}"/>
    <cellStyle name="Normal 2 2 2 17 5 9" xfId="9906" xr:uid="{00000000-0005-0000-0000-000085260000}"/>
    <cellStyle name="Normal 2 2 2 17 6" xfId="9907" xr:uid="{00000000-0005-0000-0000-000086260000}"/>
    <cellStyle name="Normal 2 2 2 17 7" xfId="9908" xr:uid="{00000000-0005-0000-0000-000087260000}"/>
    <cellStyle name="Normal 2 2 2 17 8" xfId="9909" xr:uid="{00000000-0005-0000-0000-000088260000}"/>
    <cellStyle name="Normal 2 2 2 17 9" xfId="9910" xr:uid="{00000000-0005-0000-0000-000089260000}"/>
    <cellStyle name="Normal 2 2 2 18" xfId="9911" xr:uid="{00000000-0005-0000-0000-00008A260000}"/>
    <cellStyle name="Normal 2 2 2 18 10" xfId="9912" xr:uid="{00000000-0005-0000-0000-00008B260000}"/>
    <cellStyle name="Normal 2 2 2 18 11" xfId="9913" xr:uid="{00000000-0005-0000-0000-00008C260000}"/>
    <cellStyle name="Normal 2 2 2 18 12" xfId="9914" xr:uid="{00000000-0005-0000-0000-00008D260000}"/>
    <cellStyle name="Normal 2 2 2 18 13" xfId="9915" xr:uid="{00000000-0005-0000-0000-00008E260000}"/>
    <cellStyle name="Normal 2 2 2 18 14" xfId="9916" xr:uid="{00000000-0005-0000-0000-00008F260000}"/>
    <cellStyle name="Normal 2 2 2 18 2" xfId="9917" xr:uid="{00000000-0005-0000-0000-000090260000}"/>
    <cellStyle name="Normal 2 2 2 18 2 10" xfId="9918" xr:uid="{00000000-0005-0000-0000-000091260000}"/>
    <cellStyle name="Normal 2 2 2 18 2 2" xfId="9919" xr:uid="{00000000-0005-0000-0000-000092260000}"/>
    <cellStyle name="Normal 2 2 2 18 2 3" xfId="9920" xr:uid="{00000000-0005-0000-0000-000093260000}"/>
    <cellStyle name="Normal 2 2 2 18 2 4" xfId="9921" xr:uid="{00000000-0005-0000-0000-000094260000}"/>
    <cellStyle name="Normal 2 2 2 18 2 5" xfId="9922" xr:uid="{00000000-0005-0000-0000-000095260000}"/>
    <cellStyle name="Normal 2 2 2 18 2 6" xfId="9923" xr:uid="{00000000-0005-0000-0000-000096260000}"/>
    <cellStyle name="Normal 2 2 2 18 2 7" xfId="9924" xr:uid="{00000000-0005-0000-0000-000097260000}"/>
    <cellStyle name="Normal 2 2 2 18 2 8" xfId="9925" xr:uid="{00000000-0005-0000-0000-000098260000}"/>
    <cellStyle name="Normal 2 2 2 18 2 9" xfId="9926" xr:uid="{00000000-0005-0000-0000-000099260000}"/>
    <cellStyle name="Normal 2 2 2 18 3" xfId="9927" xr:uid="{00000000-0005-0000-0000-00009A260000}"/>
    <cellStyle name="Normal 2 2 2 18 3 10" xfId="9928" xr:uid="{00000000-0005-0000-0000-00009B260000}"/>
    <cellStyle name="Normal 2 2 2 18 3 2" xfId="9929" xr:uid="{00000000-0005-0000-0000-00009C260000}"/>
    <cellStyle name="Normal 2 2 2 18 3 3" xfId="9930" xr:uid="{00000000-0005-0000-0000-00009D260000}"/>
    <cellStyle name="Normal 2 2 2 18 3 4" xfId="9931" xr:uid="{00000000-0005-0000-0000-00009E260000}"/>
    <cellStyle name="Normal 2 2 2 18 3 5" xfId="9932" xr:uid="{00000000-0005-0000-0000-00009F260000}"/>
    <cellStyle name="Normal 2 2 2 18 3 6" xfId="9933" xr:uid="{00000000-0005-0000-0000-0000A0260000}"/>
    <cellStyle name="Normal 2 2 2 18 3 7" xfId="9934" xr:uid="{00000000-0005-0000-0000-0000A1260000}"/>
    <cellStyle name="Normal 2 2 2 18 3 8" xfId="9935" xr:uid="{00000000-0005-0000-0000-0000A2260000}"/>
    <cellStyle name="Normal 2 2 2 18 3 9" xfId="9936" xr:uid="{00000000-0005-0000-0000-0000A3260000}"/>
    <cellStyle name="Normal 2 2 2 18 4" xfId="9937" xr:uid="{00000000-0005-0000-0000-0000A4260000}"/>
    <cellStyle name="Normal 2 2 2 18 4 10" xfId="9938" xr:uid="{00000000-0005-0000-0000-0000A5260000}"/>
    <cellStyle name="Normal 2 2 2 18 4 2" xfId="9939" xr:uid="{00000000-0005-0000-0000-0000A6260000}"/>
    <cellStyle name="Normal 2 2 2 18 4 3" xfId="9940" xr:uid="{00000000-0005-0000-0000-0000A7260000}"/>
    <cellStyle name="Normal 2 2 2 18 4 4" xfId="9941" xr:uid="{00000000-0005-0000-0000-0000A8260000}"/>
    <cellStyle name="Normal 2 2 2 18 4 5" xfId="9942" xr:uid="{00000000-0005-0000-0000-0000A9260000}"/>
    <cellStyle name="Normal 2 2 2 18 4 6" xfId="9943" xr:uid="{00000000-0005-0000-0000-0000AA260000}"/>
    <cellStyle name="Normal 2 2 2 18 4 7" xfId="9944" xr:uid="{00000000-0005-0000-0000-0000AB260000}"/>
    <cellStyle name="Normal 2 2 2 18 4 8" xfId="9945" xr:uid="{00000000-0005-0000-0000-0000AC260000}"/>
    <cellStyle name="Normal 2 2 2 18 4 9" xfId="9946" xr:uid="{00000000-0005-0000-0000-0000AD260000}"/>
    <cellStyle name="Normal 2 2 2 18 5" xfId="9947" xr:uid="{00000000-0005-0000-0000-0000AE260000}"/>
    <cellStyle name="Normal 2 2 2 18 5 10" xfId="9948" xr:uid="{00000000-0005-0000-0000-0000AF260000}"/>
    <cellStyle name="Normal 2 2 2 18 5 2" xfId="9949" xr:uid="{00000000-0005-0000-0000-0000B0260000}"/>
    <cellStyle name="Normal 2 2 2 18 5 3" xfId="9950" xr:uid="{00000000-0005-0000-0000-0000B1260000}"/>
    <cellStyle name="Normal 2 2 2 18 5 4" xfId="9951" xr:uid="{00000000-0005-0000-0000-0000B2260000}"/>
    <cellStyle name="Normal 2 2 2 18 5 5" xfId="9952" xr:uid="{00000000-0005-0000-0000-0000B3260000}"/>
    <cellStyle name="Normal 2 2 2 18 5 6" xfId="9953" xr:uid="{00000000-0005-0000-0000-0000B4260000}"/>
    <cellStyle name="Normal 2 2 2 18 5 7" xfId="9954" xr:uid="{00000000-0005-0000-0000-0000B5260000}"/>
    <cellStyle name="Normal 2 2 2 18 5 8" xfId="9955" xr:uid="{00000000-0005-0000-0000-0000B6260000}"/>
    <cellStyle name="Normal 2 2 2 18 5 9" xfId="9956" xr:uid="{00000000-0005-0000-0000-0000B7260000}"/>
    <cellStyle name="Normal 2 2 2 18 6" xfId="9957" xr:uid="{00000000-0005-0000-0000-0000B8260000}"/>
    <cellStyle name="Normal 2 2 2 18 7" xfId="9958" xr:uid="{00000000-0005-0000-0000-0000B9260000}"/>
    <cellStyle name="Normal 2 2 2 18 8" xfId="9959" xr:uid="{00000000-0005-0000-0000-0000BA260000}"/>
    <cellStyle name="Normal 2 2 2 18 9" xfId="9960" xr:uid="{00000000-0005-0000-0000-0000BB260000}"/>
    <cellStyle name="Normal 2 2 2 19" xfId="9961" xr:uid="{00000000-0005-0000-0000-0000BC260000}"/>
    <cellStyle name="Normal 2 2 2 19 10" xfId="9962" xr:uid="{00000000-0005-0000-0000-0000BD260000}"/>
    <cellStyle name="Normal 2 2 2 19 11" xfId="9963" xr:uid="{00000000-0005-0000-0000-0000BE260000}"/>
    <cellStyle name="Normal 2 2 2 19 12" xfId="9964" xr:uid="{00000000-0005-0000-0000-0000BF260000}"/>
    <cellStyle name="Normal 2 2 2 19 13" xfId="9965" xr:uid="{00000000-0005-0000-0000-0000C0260000}"/>
    <cellStyle name="Normal 2 2 2 19 14" xfId="9966" xr:uid="{00000000-0005-0000-0000-0000C1260000}"/>
    <cellStyle name="Normal 2 2 2 19 2" xfId="9967" xr:uid="{00000000-0005-0000-0000-0000C2260000}"/>
    <cellStyle name="Normal 2 2 2 19 2 10" xfId="9968" xr:uid="{00000000-0005-0000-0000-0000C3260000}"/>
    <cellStyle name="Normal 2 2 2 19 2 2" xfId="9969" xr:uid="{00000000-0005-0000-0000-0000C4260000}"/>
    <cellStyle name="Normal 2 2 2 19 2 3" xfId="9970" xr:uid="{00000000-0005-0000-0000-0000C5260000}"/>
    <cellStyle name="Normal 2 2 2 19 2 4" xfId="9971" xr:uid="{00000000-0005-0000-0000-0000C6260000}"/>
    <cellStyle name="Normal 2 2 2 19 2 5" xfId="9972" xr:uid="{00000000-0005-0000-0000-0000C7260000}"/>
    <cellStyle name="Normal 2 2 2 19 2 6" xfId="9973" xr:uid="{00000000-0005-0000-0000-0000C8260000}"/>
    <cellStyle name="Normal 2 2 2 19 2 7" xfId="9974" xr:uid="{00000000-0005-0000-0000-0000C9260000}"/>
    <cellStyle name="Normal 2 2 2 19 2 8" xfId="9975" xr:uid="{00000000-0005-0000-0000-0000CA260000}"/>
    <cellStyle name="Normal 2 2 2 19 2 9" xfId="9976" xr:uid="{00000000-0005-0000-0000-0000CB260000}"/>
    <cellStyle name="Normal 2 2 2 19 3" xfId="9977" xr:uid="{00000000-0005-0000-0000-0000CC260000}"/>
    <cellStyle name="Normal 2 2 2 19 3 10" xfId="9978" xr:uid="{00000000-0005-0000-0000-0000CD260000}"/>
    <cellStyle name="Normal 2 2 2 19 3 2" xfId="9979" xr:uid="{00000000-0005-0000-0000-0000CE260000}"/>
    <cellStyle name="Normal 2 2 2 19 3 3" xfId="9980" xr:uid="{00000000-0005-0000-0000-0000CF260000}"/>
    <cellStyle name="Normal 2 2 2 19 3 4" xfId="9981" xr:uid="{00000000-0005-0000-0000-0000D0260000}"/>
    <cellStyle name="Normal 2 2 2 19 3 5" xfId="9982" xr:uid="{00000000-0005-0000-0000-0000D1260000}"/>
    <cellStyle name="Normal 2 2 2 19 3 6" xfId="9983" xr:uid="{00000000-0005-0000-0000-0000D2260000}"/>
    <cellStyle name="Normal 2 2 2 19 3 7" xfId="9984" xr:uid="{00000000-0005-0000-0000-0000D3260000}"/>
    <cellStyle name="Normal 2 2 2 19 3 8" xfId="9985" xr:uid="{00000000-0005-0000-0000-0000D4260000}"/>
    <cellStyle name="Normal 2 2 2 19 3 9" xfId="9986" xr:uid="{00000000-0005-0000-0000-0000D5260000}"/>
    <cellStyle name="Normal 2 2 2 19 4" xfId="9987" xr:uid="{00000000-0005-0000-0000-0000D6260000}"/>
    <cellStyle name="Normal 2 2 2 19 4 10" xfId="9988" xr:uid="{00000000-0005-0000-0000-0000D7260000}"/>
    <cellStyle name="Normal 2 2 2 19 4 2" xfId="9989" xr:uid="{00000000-0005-0000-0000-0000D8260000}"/>
    <cellStyle name="Normal 2 2 2 19 4 3" xfId="9990" xr:uid="{00000000-0005-0000-0000-0000D9260000}"/>
    <cellStyle name="Normal 2 2 2 19 4 4" xfId="9991" xr:uid="{00000000-0005-0000-0000-0000DA260000}"/>
    <cellStyle name="Normal 2 2 2 19 4 5" xfId="9992" xr:uid="{00000000-0005-0000-0000-0000DB260000}"/>
    <cellStyle name="Normal 2 2 2 19 4 6" xfId="9993" xr:uid="{00000000-0005-0000-0000-0000DC260000}"/>
    <cellStyle name="Normal 2 2 2 19 4 7" xfId="9994" xr:uid="{00000000-0005-0000-0000-0000DD260000}"/>
    <cellStyle name="Normal 2 2 2 19 4 8" xfId="9995" xr:uid="{00000000-0005-0000-0000-0000DE260000}"/>
    <cellStyle name="Normal 2 2 2 19 4 9" xfId="9996" xr:uid="{00000000-0005-0000-0000-0000DF260000}"/>
    <cellStyle name="Normal 2 2 2 19 5" xfId="9997" xr:uid="{00000000-0005-0000-0000-0000E0260000}"/>
    <cellStyle name="Normal 2 2 2 19 5 10" xfId="9998" xr:uid="{00000000-0005-0000-0000-0000E1260000}"/>
    <cellStyle name="Normal 2 2 2 19 5 2" xfId="9999" xr:uid="{00000000-0005-0000-0000-0000E2260000}"/>
    <cellStyle name="Normal 2 2 2 19 5 3" xfId="10000" xr:uid="{00000000-0005-0000-0000-0000E3260000}"/>
    <cellStyle name="Normal 2 2 2 19 5 4" xfId="10001" xr:uid="{00000000-0005-0000-0000-0000E4260000}"/>
    <cellStyle name="Normal 2 2 2 19 5 5" xfId="10002" xr:uid="{00000000-0005-0000-0000-0000E5260000}"/>
    <cellStyle name="Normal 2 2 2 19 5 6" xfId="10003" xr:uid="{00000000-0005-0000-0000-0000E6260000}"/>
    <cellStyle name="Normal 2 2 2 19 5 7" xfId="10004" xr:uid="{00000000-0005-0000-0000-0000E7260000}"/>
    <cellStyle name="Normal 2 2 2 19 5 8" xfId="10005" xr:uid="{00000000-0005-0000-0000-0000E8260000}"/>
    <cellStyle name="Normal 2 2 2 19 5 9" xfId="10006" xr:uid="{00000000-0005-0000-0000-0000E9260000}"/>
    <cellStyle name="Normal 2 2 2 19 6" xfId="10007" xr:uid="{00000000-0005-0000-0000-0000EA260000}"/>
    <cellStyle name="Normal 2 2 2 19 7" xfId="10008" xr:uid="{00000000-0005-0000-0000-0000EB260000}"/>
    <cellStyle name="Normal 2 2 2 19 8" xfId="10009" xr:uid="{00000000-0005-0000-0000-0000EC260000}"/>
    <cellStyle name="Normal 2 2 2 19 9" xfId="10010" xr:uid="{00000000-0005-0000-0000-0000ED260000}"/>
    <cellStyle name="Normal 2 2 2 2" xfId="25" xr:uid="{00000000-0005-0000-0000-0000EE260000}"/>
    <cellStyle name="Normal 2 2 2 2 10" xfId="10011" xr:uid="{00000000-0005-0000-0000-0000EF260000}"/>
    <cellStyle name="Normal 2 2 2 2 11" xfId="10012" xr:uid="{00000000-0005-0000-0000-0000F0260000}"/>
    <cellStyle name="Normal 2 2 2 2 12" xfId="10013" xr:uid="{00000000-0005-0000-0000-0000F1260000}"/>
    <cellStyle name="Normal 2 2 2 2 13" xfId="10014" xr:uid="{00000000-0005-0000-0000-0000F2260000}"/>
    <cellStyle name="Normal 2 2 2 2 14" xfId="10015" xr:uid="{00000000-0005-0000-0000-0000F3260000}"/>
    <cellStyle name="Normal 2 2 2 2 15" xfId="10016" xr:uid="{00000000-0005-0000-0000-0000F4260000}"/>
    <cellStyle name="Normal 2 2 2 2 16" xfId="10017" xr:uid="{00000000-0005-0000-0000-0000F5260000}"/>
    <cellStyle name="Normal 2 2 2 2 17" xfId="10018" xr:uid="{00000000-0005-0000-0000-0000F6260000}"/>
    <cellStyle name="Normal 2 2 2 2 18" xfId="10019" xr:uid="{00000000-0005-0000-0000-0000F7260000}"/>
    <cellStyle name="Normal 2 2 2 2 19" xfId="10020" xr:uid="{00000000-0005-0000-0000-0000F8260000}"/>
    <cellStyle name="Normal 2 2 2 2 2" xfId="23" xr:uid="{00000000-0005-0000-0000-0000F9260000}"/>
    <cellStyle name="Normal 2 2 2 2 2 10" xfId="10021" xr:uid="{00000000-0005-0000-0000-0000FA260000}"/>
    <cellStyle name="Normal 2 2 2 2 2 10 10" xfId="10022" xr:uid="{00000000-0005-0000-0000-0000FB260000}"/>
    <cellStyle name="Normal 2 2 2 2 2 10 11" xfId="10023" xr:uid="{00000000-0005-0000-0000-0000FC260000}"/>
    <cellStyle name="Normal 2 2 2 2 2 10 12" xfId="10024" xr:uid="{00000000-0005-0000-0000-0000FD260000}"/>
    <cellStyle name="Normal 2 2 2 2 2 10 13" xfId="10025" xr:uid="{00000000-0005-0000-0000-0000FE260000}"/>
    <cellStyle name="Normal 2 2 2 2 2 10 14" xfId="10026" xr:uid="{00000000-0005-0000-0000-0000FF260000}"/>
    <cellStyle name="Normal 2 2 2 2 2 10 2" xfId="10027" xr:uid="{00000000-0005-0000-0000-000000270000}"/>
    <cellStyle name="Normal 2 2 2 2 2 10 2 10" xfId="10028" xr:uid="{00000000-0005-0000-0000-000001270000}"/>
    <cellStyle name="Normal 2 2 2 2 2 10 2 2" xfId="10029" xr:uid="{00000000-0005-0000-0000-000002270000}"/>
    <cellStyle name="Normal 2 2 2 2 2 10 2 3" xfId="10030" xr:uid="{00000000-0005-0000-0000-000003270000}"/>
    <cellStyle name="Normal 2 2 2 2 2 10 2 4" xfId="10031" xr:uid="{00000000-0005-0000-0000-000004270000}"/>
    <cellStyle name="Normal 2 2 2 2 2 10 2 5" xfId="10032" xr:uid="{00000000-0005-0000-0000-000005270000}"/>
    <cellStyle name="Normal 2 2 2 2 2 10 2 6" xfId="10033" xr:uid="{00000000-0005-0000-0000-000006270000}"/>
    <cellStyle name="Normal 2 2 2 2 2 10 2 7" xfId="10034" xr:uid="{00000000-0005-0000-0000-000007270000}"/>
    <cellStyle name="Normal 2 2 2 2 2 10 2 8" xfId="10035" xr:uid="{00000000-0005-0000-0000-000008270000}"/>
    <cellStyle name="Normal 2 2 2 2 2 10 2 9" xfId="10036" xr:uid="{00000000-0005-0000-0000-000009270000}"/>
    <cellStyle name="Normal 2 2 2 2 2 10 3" xfId="10037" xr:uid="{00000000-0005-0000-0000-00000A270000}"/>
    <cellStyle name="Normal 2 2 2 2 2 10 3 10" xfId="10038" xr:uid="{00000000-0005-0000-0000-00000B270000}"/>
    <cellStyle name="Normal 2 2 2 2 2 10 3 2" xfId="10039" xr:uid="{00000000-0005-0000-0000-00000C270000}"/>
    <cellStyle name="Normal 2 2 2 2 2 10 3 3" xfId="10040" xr:uid="{00000000-0005-0000-0000-00000D270000}"/>
    <cellStyle name="Normal 2 2 2 2 2 10 3 4" xfId="10041" xr:uid="{00000000-0005-0000-0000-00000E270000}"/>
    <cellStyle name="Normal 2 2 2 2 2 10 3 5" xfId="10042" xr:uid="{00000000-0005-0000-0000-00000F270000}"/>
    <cellStyle name="Normal 2 2 2 2 2 10 3 6" xfId="10043" xr:uid="{00000000-0005-0000-0000-000010270000}"/>
    <cellStyle name="Normal 2 2 2 2 2 10 3 7" xfId="10044" xr:uid="{00000000-0005-0000-0000-000011270000}"/>
    <cellStyle name="Normal 2 2 2 2 2 10 3 8" xfId="10045" xr:uid="{00000000-0005-0000-0000-000012270000}"/>
    <cellStyle name="Normal 2 2 2 2 2 10 3 9" xfId="10046" xr:uid="{00000000-0005-0000-0000-000013270000}"/>
    <cellStyle name="Normal 2 2 2 2 2 10 4" xfId="10047" xr:uid="{00000000-0005-0000-0000-000014270000}"/>
    <cellStyle name="Normal 2 2 2 2 2 10 4 10" xfId="10048" xr:uid="{00000000-0005-0000-0000-000015270000}"/>
    <cellStyle name="Normal 2 2 2 2 2 10 4 2" xfId="10049" xr:uid="{00000000-0005-0000-0000-000016270000}"/>
    <cellStyle name="Normal 2 2 2 2 2 10 4 3" xfId="10050" xr:uid="{00000000-0005-0000-0000-000017270000}"/>
    <cellStyle name="Normal 2 2 2 2 2 10 4 4" xfId="10051" xr:uid="{00000000-0005-0000-0000-000018270000}"/>
    <cellStyle name="Normal 2 2 2 2 2 10 4 5" xfId="10052" xr:uid="{00000000-0005-0000-0000-000019270000}"/>
    <cellStyle name="Normal 2 2 2 2 2 10 4 6" xfId="10053" xr:uid="{00000000-0005-0000-0000-00001A270000}"/>
    <cellStyle name="Normal 2 2 2 2 2 10 4 7" xfId="10054" xr:uid="{00000000-0005-0000-0000-00001B270000}"/>
    <cellStyle name="Normal 2 2 2 2 2 10 4 8" xfId="10055" xr:uid="{00000000-0005-0000-0000-00001C270000}"/>
    <cellStyle name="Normal 2 2 2 2 2 10 4 9" xfId="10056" xr:uid="{00000000-0005-0000-0000-00001D270000}"/>
    <cellStyle name="Normal 2 2 2 2 2 10 5" xfId="10057" xr:uid="{00000000-0005-0000-0000-00001E270000}"/>
    <cellStyle name="Normal 2 2 2 2 2 10 5 10" xfId="10058" xr:uid="{00000000-0005-0000-0000-00001F270000}"/>
    <cellStyle name="Normal 2 2 2 2 2 10 5 2" xfId="10059" xr:uid="{00000000-0005-0000-0000-000020270000}"/>
    <cellStyle name="Normal 2 2 2 2 2 10 5 3" xfId="10060" xr:uid="{00000000-0005-0000-0000-000021270000}"/>
    <cellStyle name="Normal 2 2 2 2 2 10 5 4" xfId="10061" xr:uid="{00000000-0005-0000-0000-000022270000}"/>
    <cellStyle name="Normal 2 2 2 2 2 10 5 5" xfId="10062" xr:uid="{00000000-0005-0000-0000-000023270000}"/>
    <cellStyle name="Normal 2 2 2 2 2 10 5 6" xfId="10063" xr:uid="{00000000-0005-0000-0000-000024270000}"/>
    <cellStyle name="Normal 2 2 2 2 2 10 5 7" xfId="10064" xr:uid="{00000000-0005-0000-0000-000025270000}"/>
    <cellStyle name="Normal 2 2 2 2 2 10 5 8" xfId="10065" xr:uid="{00000000-0005-0000-0000-000026270000}"/>
    <cellStyle name="Normal 2 2 2 2 2 10 5 9" xfId="10066" xr:uid="{00000000-0005-0000-0000-000027270000}"/>
    <cellStyle name="Normal 2 2 2 2 2 10 6" xfId="10067" xr:uid="{00000000-0005-0000-0000-000028270000}"/>
    <cellStyle name="Normal 2 2 2 2 2 10 7" xfId="10068" xr:uid="{00000000-0005-0000-0000-000029270000}"/>
    <cellStyle name="Normal 2 2 2 2 2 10 8" xfId="10069" xr:uid="{00000000-0005-0000-0000-00002A270000}"/>
    <cellStyle name="Normal 2 2 2 2 2 10 9" xfId="10070" xr:uid="{00000000-0005-0000-0000-00002B270000}"/>
    <cellStyle name="Normal 2 2 2 2 2 11" xfId="10071" xr:uid="{00000000-0005-0000-0000-00002C270000}"/>
    <cellStyle name="Normal 2 2 2 2 2 11 10" xfId="10072" xr:uid="{00000000-0005-0000-0000-00002D270000}"/>
    <cellStyle name="Normal 2 2 2 2 2 11 11" xfId="10073" xr:uid="{00000000-0005-0000-0000-00002E270000}"/>
    <cellStyle name="Normal 2 2 2 2 2 11 12" xfId="10074" xr:uid="{00000000-0005-0000-0000-00002F270000}"/>
    <cellStyle name="Normal 2 2 2 2 2 11 13" xfId="10075" xr:uid="{00000000-0005-0000-0000-000030270000}"/>
    <cellStyle name="Normal 2 2 2 2 2 11 14" xfId="10076" xr:uid="{00000000-0005-0000-0000-000031270000}"/>
    <cellStyle name="Normal 2 2 2 2 2 11 2" xfId="10077" xr:uid="{00000000-0005-0000-0000-000032270000}"/>
    <cellStyle name="Normal 2 2 2 2 2 11 2 10" xfId="10078" xr:uid="{00000000-0005-0000-0000-000033270000}"/>
    <cellStyle name="Normal 2 2 2 2 2 11 2 2" xfId="10079" xr:uid="{00000000-0005-0000-0000-000034270000}"/>
    <cellStyle name="Normal 2 2 2 2 2 11 2 3" xfId="10080" xr:uid="{00000000-0005-0000-0000-000035270000}"/>
    <cellStyle name="Normal 2 2 2 2 2 11 2 4" xfId="10081" xr:uid="{00000000-0005-0000-0000-000036270000}"/>
    <cellStyle name="Normal 2 2 2 2 2 11 2 5" xfId="10082" xr:uid="{00000000-0005-0000-0000-000037270000}"/>
    <cellStyle name="Normal 2 2 2 2 2 11 2 6" xfId="10083" xr:uid="{00000000-0005-0000-0000-000038270000}"/>
    <cellStyle name="Normal 2 2 2 2 2 11 2 7" xfId="10084" xr:uid="{00000000-0005-0000-0000-000039270000}"/>
    <cellStyle name="Normal 2 2 2 2 2 11 2 8" xfId="10085" xr:uid="{00000000-0005-0000-0000-00003A270000}"/>
    <cellStyle name="Normal 2 2 2 2 2 11 2 9" xfId="10086" xr:uid="{00000000-0005-0000-0000-00003B270000}"/>
    <cellStyle name="Normal 2 2 2 2 2 11 3" xfId="10087" xr:uid="{00000000-0005-0000-0000-00003C270000}"/>
    <cellStyle name="Normal 2 2 2 2 2 11 3 10" xfId="10088" xr:uid="{00000000-0005-0000-0000-00003D270000}"/>
    <cellStyle name="Normal 2 2 2 2 2 11 3 2" xfId="10089" xr:uid="{00000000-0005-0000-0000-00003E270000}"/>
    <cellStyle name="Normal 2 2 2 2 2 11 3 3" xfId="10090" xr:uid="{00000000-0005-0000-0000-00003F270000}"/>
    <cellStyle name="Normal 2 2 2 2 2 11 3 4" xfId="10091" xr:uid="{00000000-0005-0000-0000-000040270000}"/>
    <cellStyle name="Normal 2 2 2 2 2 11 3 5" xfId="10092" xr:uid="{00000000-0005-0000-0000-000041270000}"/>
    <cellStyle name="Normal 2 2 2 2 2 11 3 6" xfId="10093" xr:uid="{00000000-0005-0000-0000-000042270000}"/>
    <cellStyle name="Normal 2 2 2 2 2 11 3 7" xfId="10094" xr:uid="{00000000-0005-0000-0000-000043270000}"/>
    <cellStyle name="Normal 2 2 2 2 2 11 3 8" xfId="10095" xr:uid="{00000000-0005-0000-0000-000044270000}"/>
    <cellStyle name="Normal 2 2 2 2 2 11 3 9" xfId="10096" xr:uid="{00000000-0005-0000-0000-000045270000}"/>
    <cellStyle name="Normal 2 2 2 2 2 11 4" xfId="10097" xr:uid="{00000000-0005-0000-0000-000046270000}"/>
    <cellStyle name="Normal 2 2 2 2 2 11 4 10" xfId="10098" xr:uid="{00000000-0005-0000-0000-000047270000}"/>
    <cellStyle name="Normal 2 2 2 2 2 11 4 2" xfId="10099" xr:uid="{00000000-0005-0000-0000-000048270000}"/>
    <cellStyle name="Normal 2 2 2 2 2 11 4 3" xfId="10100" xr:uid="{00000000-0005-0000-0000-000049270000}"/>
    <cellStyle name="Normal 2 2 2 2 2 11 4 4" xfId="10101" xr:uid="{00000000-0005-0000-0000-00004A270000}"/>
    <cellStyle name="Normal 2 2 2 2 2 11 4 5" xfId="10102" xr:uid="{00000000-0005-0000-0000-00004B270000}"/>
    <cellStyle name="Normal 2 2 2 2 2 11 4 6" xfId="10103" xr:uid="{00000000-0005-0000-0000-00004C270000}"/>
    <cellStyle name="Normal 2 2 2 2 2 11 4 7" xfId="10104" xr:uid="{00000000-0005-0000-0000-00004D270000}"/>
    <cellStyle name="Normal 2 2 2 2 2 11 4 8" xfId="10105" xr:uid="{00000000-0005-0000-0000-00004E270000}"/>
    <cellStyle name="Normal 2 2 2 2 2 11 4 9" xfId="10106" xr:uid="{00000000-0005-0000-0000-00004F270000}"/>
    <cellStyle name="Normal 2 2 2 2 2 11 5" xfId="10107" xr:uid="{00000000-0005-0000-0000-000050270000}"/>
    <cellStyle name="Normal 2 2 2 2 2 11 5 10" xfId="10108" xr:uid="{00000000-0005-0000-0000-000051270000}"/>
    <cellStyle name="Normal 2 2 2 2 2 11 5 2" xfId="10109" xr:uid="{00000000-0005-0000-0000-000052270000}"/>
    <cellStyle name="Normal 2 2 2 2 2 11 5 3" xfId="10110" xr:uid="{00000000-0005-0000-0000-000053270000}"/>
    <cellStyle name="Normal 2 2 2 2 2 11 5 4" xfId="10111" xr:uid="{00000000-0005-0000-0000-000054270000}"/>
    <cellStyle name="Normal 2 2 2 2 2 11 5 5" xfId="10112" xr:uid="{00000000-0005-0000-0000-000055270000}"/>
    <cellStyle name="Normal 2 2 2 2 2 11 5 6" xfId="10113" xr:uid="{00000000-0005-0000-0000-000056270000}"/>
    <cellStyle name="Normal 2 2 2 2 2 11 5 7" xfId="10114" xr:uid="{00000000-0005-0000-0000-000057270000}"/>
    <cellStyle name="Normal 2 2 2 2 2 11 5 8" xfId="10115" xr:uid="{00000000-0005-0000-0000-000058270000}"/>
    <cellStyle name="Normal 2 2 2 2 2 11 5 9" xfId="10116" xr:uid="{00000000-0005-0000-0000-000059270000}"/>
    <cellStyle name="Normal 2 2 2 2 2 11 6" xfId="10117" xr:uid="{00000000-0005-0000-0000-00005A270000}"/>
    <cellStyle name="Normal 2 2 2 2 2 11 7" xfId="10118" xr:uid="{00000000-0005-0000-0000-00005B270000}"/>
    <cellStyle name="Normal 2 2 2 2 2 11 8" xfId="10119" xr:uid="{00000000-0005-0000-0000-00005C270000}"/>
    <cellStyle name="Normal 2 2 2 2 2 11 9" xfId="10120" xr:uid="{00000000-0005-0000-0000-00005D270000}"/>
    <cellStyle name="Normal 2 2 2 2 2 12" xfId="10121" xr:uid="{00000000-0005-0000-0000-00005E270000}"/>
    <cellStyle name="Normal 2 2 2 2 2 12 10" xfId="10122" xr:uid="{00000000-0005-0000-0000-00005F270000}"/>
    <cellStyle name="Normal 2 2 2 2 2 12 11" xfId="10123" xr:uid="{00000000-0005-0000-0000-000060270000}"/>
    <cellStyle name="Normal 2 2 2 2 2 12 12" xfId="10124" xr:uid="{00000000-0005-0000-0000-000061270000}"/>
    <cellStyle name="Normal 2 2 2 2 2 12 13" xfId="10125" xr:uid="{00000000-0005-0000-0000-000062270000}"/>
    <cellStyle name="Normal 2 2 2 2 2 12 14" xfId="10126" xr:uid="{00000000-0005-0000-0000-000063270000}"/>
    <cellStyle name="Normal 2 2 2 2 2 12 2" xfId="10127" xr:uid="{00000000-0005-0000-0000-000064270000}"/>
    <cellStyle name="Normal 2 2 2 2 2 12 2 10" xfId="10128" xr:uid="{00000000-0005-0000-0000-000065270000}"/>
    <cellStyle name="Normal 2 2 2 2 2 12 2 2" xfId="10129" xr:uid="{00000000-0005-0000-0000-000066270000}"/>
    <cellStyle name="Normal 2 2 2 2 2 12 2 3" xfId="10130" xr:uid="{00000000-0005-0000-0000-000067270000}"/>
    <cellStyle name="Normal 2 2 2 2 2 12 2 4" xfId="10131" xr:uid="{00000000-0005-0000-0000-000068270000}"/>
    <cellStyle name="Normal 2 2 2 2 2 12 2 5" xfId="10132" xr:uid="{00000000-0005-0000-0000-000069270000}"/>
    <cellStyle name="Normal 2 2 2 2 2 12 2 6" xfId="10133" xr:uid="{00000000-0005-0000-0000-00006A270000}"/>
    <cellStyle name="Normal 2 2 2 2 2 12 2 7" xfId="10134" xr:uid="{00000000-0005-0000-0000-00006B270000}"/>
    <cellStyle name="Normal 2 2 2 2 2 12 2 8" xfId="10135" xr:uid="{00000000-0005-0000-0000-00006C270000}"/>
    <cellStyle name="Normal 2 2 2 2 2 12 2 9" xfId="10136" xr:uid="{00000000-0005-0000-0000-00006D270000}"/>
    <cellStyle name="Normal 2 2 2 2 2 12 3" xfId="10137" xr:uid="{00000000-0005-0000-0000-00006E270000}"/>
    <cellStyle name="Normal 2 2 2 2 2 12 3 10" xfId="10138" xr:uid="{00000000-0005-0000-0000-00006F270000}"/>
    <cellStyle name="Normal 2 2 2 2 2 12 3 2" xfId="10139" xr:uid="{00000000-0005-0000-0000-000070270000}"/>
    <cellStyle name="Normal 2 2 2 2 2 12 3 3" xfId="10140" xr:uid="{00000000-0005-0000-0000-000071270000}"/>
    <cellStyle name="Normal 2 2 2 2 2 12 3 4" xfId="10141" xr:uid="{00000000-0005-0000-0000-000072270000}"/>
    <cellStyle name="Normal 2 2 2 2 2 12 3 5" xfId="10142" xr:uid="{00000000-0005-0000-0000-000073270000}"/>
    <cellStyle name="Normal 2 2 2 2 2 12 3 6" xfId="10143" xr:uid="{00000000-0005-0000-0000-000074270000}"/>
    <cellStyle name="Normal 2 2 2 2 2 12 3 7" xfId="10144" xr:uid="{00000000-0005-0000-0000-000075270000}"/>
    <cellStyle name="Normal 2 2 2 2 2 12 3 8" xfId="10145" xr:uid="{00000000-0005-0000-0000-000076270000}"/>
    <cellStyle name="Normal 2 2 2 2 2 12 3 9" xfId="10146" xr:uid="{00000000-0005-0000-0000-000077270000}"/>
    <cellStyle name="Normal 2 2 2 2 2 12 4" xfId="10147" xr:uid="{00000000-0005-0000-0000-000078270000}"/>
    <cellStyle name="Normal 2 2 2 2 2 12 4 10" xfId="10148" xr:uid="{00000000-0005-0000-0000-000079270000}"/>
    <cellStyle name="Normal 2 2 2 2 2 12 4 2" xfId="10149" xr:uid="{00000000-0005-0000-0000-00007A270000}"/>
    <cellStyle name="Normal 2 2 2 2 2 12 4 3" xfId="10150" xr:uid="{00000000-0005-0000-0000-00007B270000}"/>
    <cellStyle name="Normal 2 2 2 2 2 12 4 4" xfId="10151" xr:uid="{00000000-0005-0000-0000-00007C270000}"/>
    <cellStyle name="Normal 2 2 2 2 2 12 4 5" xfId="10152" xr:uid="{00000000-0005-0000-0000-00007D270000}"/>
    <cellStyle name="Normal 2 2 2 2 2 12 4 6" xfId="10153" xr:uid="{00000000-0005-0000-0000-00007E270000}"/>
    <cellStyle name="Normal 2 2 2 2 2 12 4 7" xfId="10154" xr:uid="{00000000-0005-0000-0000-00007F270000}"/>
    <cellStyle name="Normal 2 2 2 2 2 12 4 8" xfId="10155" xr:uid="{00000000-0005-0000-0000-000080270000}"/>
    <cellStyle name="Normal 2 2 2 2 2 12 4 9" xfId="10156" xr:uid="{00000000-0005-0000-0000-000081270000}"/>
    <cellStyle name="Normal 2 2 2 2 2 12 5" xfId="10157" xr:uid="{00000000-0005-0000-0000-000082270000}"/>
    <cellStyle name="Normal 2 2 2 2 2 12 5 10" xfId="10158" xr:uid="{00000000-0005-0000-0000-000083270000}"/>
    <cellStyle name="Normal 2 2 2 2 2 12 5 2" xfId="10159" xr:uid="{00000000-0005-0000-0000-000084270000}"/>
    <cellStyle name="Normal 2 2 2 2 2 12 5 3" xfId="10160" xr:uid="{00000000-0005-0000-0000-000085270000}"/>
    <cellStyle name="Normal 2 2 2 2 2 12 5 4" xfId="10161" xr:uid="{00000000-0005-0000-0000-000086270000}"/>
    <cellStyle name="Normal 2 2 2 2 2 12 5 5" xfId="10162" xr:uid="{00000000-0005-0000-0000-000087270000}"/>
    <cellStyle name="Normal 2 2 2 2 2 12 5 6" xfId="10163" xr:uid="{00000000-0005-0000-0000-000088270000}"/>
    <cellStyle name="Normal 2 2 2 2 2 12 5 7" xfId="10164" xr:uid="{00000000-0005-0000-0000-000089270000}"/>
    <cellStyle name="Normal 2 2 2 2 2 12 5 8" xfId="10165" xr:uid="{00000000-0005-0000-0000-00008A270000}"/>
    <cellStyle name="Normal 2 2 2 2 2 12 5 9" xfId="10166" xr:uid="{00000000-0005-0000-0000-00008B270000}"/>
    <cellStyle name="Normal 2 2 2 2 2 12 6" xfId="10167" xr:uid="{00000000-0005-0000-0000-00008C270000}"/>
    <cellStyle name="Normal 2 2 2 2 2 12 7" xfId="10168" xr:uid="{00000000-0005-0000-0000-00008D270000}"/>
    <cellStyle name="Normal 2 2 2 2 2 12 8" xfId="10169" xr:uid="{00000000-0005-0000-0000-00008E270000}"/>
    <cellStyle name="Normal 2 2 2 2 2 12 9" xfId="10170" xr:uid="{00000000-0005-0000-0000-00008F270000}"/>
    <cellStyle name="Normal 2 2 2 2 2 13" xfId="10171" xr:uid="{00000000-0005-0000-0000-000090270000}"/>
    <cellStyle name="Normal 2 2 2 2 2 13 10" xfId="10172" xr:uid="{00000000-0005-0000-0000-000091270000}"/>
    <cellStyle name="Normal 2 2 2 2 2 13 11" xfId="10173" xr:uid="{00000000-0005-0000-0000-000092270000}"/>
    <cellStyle name="Normal 2 2 2 2 2 13 12" xfId="10174" xr:uid="{00000000-0005-0000-0000-000093270000}"/>
    <cellStyle name="Normal 2 2 2 2 2 13 13" xfId="10175" xr:uid="{00000000-0005-0000-0000-000094270000}"/>
    <cellStyle name="Normal 2 2 2 2 2 13 14" xfId="10176" xr:uid="{00000000-0005-0000-0000-000095270000}"/>
    <cellStyle name="Normal 2 2 2 2 2 13 2" xfId="10177" xr:uid="{00000000-0005-0000-0000-000096270000}"/>
    <cellStyle name="Normal 2 2 2 2 2 13 2 10" xfId="10178" xr:uid="{00000000-0005-0000-0000-000097270000}"/>
    <cellStyle name="Normal 2 2 2 2 2 13 2 2" xfId="10179" xr:uid="{00000000-0005-0000-0000-000098270000}"/>
    <cellStyle name="Normal 2 2 2 2 2 13 2 3" xfId="10180" xr:uid="{00000000-0005-0000-0000-000099270000}"/>
    <cellStyle name="Normal 2 2 2 2 2 13 2 4" xfId="10181" xr:uid="{00000000-0005-0000-0000-00009A270000}"/>
    <cellStyle name="Normal 2 2 2 2 2 13 2 5" xfId="10182" xr:uid="{00000000-0005-0000-0000-00009B270000}"/>
    <cellStyle name="Normal 2 2 2 2 2 13 2 6" xfId="10183" xr:uid="{00000000-0005-0000-0000-00009C270000}"/>
    <cellStyle name="Normal 2 2 2 2 2 13 2 7" xfId="10184" xr:uid="{00000000-0005-0000-0000-00009D270000}"/>
    <cellStyle name="Normal 2 2 2 2 2 13 2 8" xfId="10185" xr:uid="{00000000-0005-0000-0000-00009E270000}"/>
    <cellStyle name="Normal 2 2 2 2 2 13 2 9" xfId="10186" xr:uid="{00000000-0005-0000-0000-00009F270000}"/>
    <cellStyle name="Normal 2 2 2 2 2 13 3" xfId="10187" xr:uid="{00000000-0005-0000-0000-0000A0270000}"/>
    <cellStyle name="Normal 2 2 2 2 2 13 3 10" xfId="10188" xr:uid="{00000000-0005-0000-0000-0000A1270000}"/>
    <cellStyle name="Normal 2 2 2 2 2 13 3 2" xfId="10189" xr:uid="{00000000-0005-0000-0000-0000A2270000}"/>
    <cellStyle name="Normal 2 2 2 2 2 13 3 3" xfId="10190" xr:uid="{00000000-0005-0000-0000-0000A3270000}"/>
    <cellStyle name="Normal 2 2 2 2 2 13 3 4" xfId="10191" xr:uid="{00000000-0005-0000-0000-0000A4270000}"/>
    <cellStyle name="Normal 2 2 2 2 2 13 3 5" xfId="10192" xr:uid="{00000000-0005-0000-0000-0000A5270000}"/>
    <cellStyle name="Normal 2 2 2 2 2 13 3 6" xfId="10193" xr:uid="{00000000-0005-0000-0000-0000A6270000}"/>
    <cellStyle name="Normal 2 2 2 2 2 13 3 7" xfId="10194" xr:uid="{00000000-0005-0000-0000-0000A7270000}"/>
    <cellStyle name="Normal 2 2 2 2 2 13 3 8" xfId="10195" xr:uid="{00000000-0005-0000-0000-0000A8270000}"/>
    <cellStyle name="Normal 2 2 2 2 2 13 3 9" xfId="10196" xr:uid="{00000000-0005-0000-0000-0000A9270000}"/>
    <cellStyle name="Normal 2 2 2 2 2 13 4" xfId="10197" xr:uid="{00000000-0005-0000-0000-0000AA270000}"/>
    <cellStyle name="Normal 2 2 2 2 2 13 4 10" xfId="10198" xr:uid="{00000000-0005-0000-0000-0000AB270000}"/>
    <cellStyle name="Normal 2 2 2 2 2 13 4 2" xfId="10199" xr:uid="{00000000-0005-0000-0000-0000AC270000}"/>
    <cellStyle name="Normal 2 2 2 2 2 13 4 3" xfId="10200" xr:uid="{00000000-0005-0000-0000-0000AD270000}"/>
    <cellStyle name="Normal 2 2 2 2 2 13 4 4" xfId="10201" xr:uid="{00000000-0005-0000-0000-0000AE270000}"/>
    <cellStyle name="Normal 2 2 2 2 2 13 4 5" xfId="10202" xr:uid="{00000000-0005-0000-0000-0000AF270000}"/>
    <cellStyle name="Normal 2 2 2 2 2 13 4 6" xfId="10203" xr:uid="{00000000-0005-0000-0000-0000B0270000}"/>
    <cellStyle name="Normal 2 2 2 2 2 13 4 7" xfId="10204" xr:uid="{00000000-0005-0000-0000-0000B1270000}"/>
    <cellStyle name="Normal 2 2 2 2 2 13 4 8" xfId="10205" xr:uid="{00000000-0005-0000-0000-0000B2270000}"/>
    <cellStyle name="Normal 2 2 2 2 2 13 4 9" xfId="10206" xr:uid="{00000000-0005-0000-0000-0000B3270000}"/>
    <cellStyle name="Normal 2 2 2 2 2 13 5" xfId="10207" xr:uid="{00000000-0005-0000-0000-0000B4270000}"/>
    <cellStyle name="Normal 2 2 2 2 2 13 5 10" xfId="10208" xr:uid="{00000000-0005-0000-0000-0000B5270000}"/>
    <cellStyle name="Normal 2 2 2 2 2 13 5 2" xfId="10209" xr:uid="{00000000-0005-0000-0000-0000B6270000}"/>
    <cellStyle name="Normal 2 2 2 2 2 13 5 3" xfId="10210" xr:uid="{00000000-0005-0000-0000-0000B7270000}"/>
    <cellStyle name="Normal 2 2 2 2 2 13 5 4" xfId="10211" xr:uid="{00000000-0005-0000-0000-0000B8270000}"/>
    <cellStyle name="Normal 2 2 2 2 2 13 5 5" xfId="10212" xr:uid="{00000000-0005-0000-0000-0000B9270000}"/>
    <cellStyle name="Normal 2 2 2 2 2 13 5 6" xfId="10213" xr:uid="{00000000-0005-0000-0000-0000BA270000}"/>
    <cellStyle name="Normal 2 2 2 2 2 13 5 7" xfId="10214" xr:uid="{00000000-0005-0000-0000-0000BB270000}"/>
    <cellStyle name="Normal 2 2 2 2 2 13 5 8" xfId="10215" xr:uid="{00000000-0005-0000-0000-0000BC270000}"/>
    <cellStyle name="Normal 2 2 2 2 2 13 5 9" xfId="10216" xr:uid="{00000000-0005-0000-0000-0000BD270000}"/>
    <cellStyle name="Normal 2 2 2 2 2 13 6" xfId="10217" xr:uid="{00000000-0005-0000-0000-0000BE270000}"/>
    <cellStyle name="Normal 2 2 2 2 2 13 7" xfId="10218" xr:uid="{00000000-0005-0000-0000-0000BF270000}"/>
    <cellStyle name="Normal 2 2 2 2 2 13 8" xfId="10219" xr:uid="{00000000-0005-0000-0000-0000C0270000}"/>
    <cellStyle name="Normal 2 2 2 2 2 13 9" xfId="10220" xr:uid="{00000000-0005-0000-0000-0000C1270000}"/>
    <cellStyle name="Normal 2 2 2 2 2 14" xfId="10221" xr:uid="{00000000-0005-0000-0000-0000C2270000}"/>
    <cellStyle name="Normal 2 2 2 2 2 14 10" xfId="10222" xr:uid="{00000000-0005-0000-0000-0000C3270000}"/>
    <cellStyle name="Normal 2 2 2 2 2 14 11" xfId="10223" xr:uid="{00000000-0005-0000-0000-0000C4270000}"/>
    <cellStyle name="Normal 2 2 2 2 2 14 12" xfId="10224" xr:uid="{00000000-0005-0000-0000-0000C5270000}"/>
    <cellStyle name="Normal 2 2 2 2 2 14 13" xfId="10225" xr:uid="{00000000-0005-0000-0000-0000C6270000}"/>
    <cellStyle name="Normal 2 2 2 2 2 14 14" xfId="10226" xr:uid="{00000000-0005-0000-0000-0000C7270000}"/>
    <cellStyle name="Normal 2 2 2 2 2 14 2" xfId="10227" xr:uid="{00000000-0005-0000-0000-0000C8270000}"/>
    <cellStyle name="Normal 2 2 2 2 2 14 2 10" xfId="10228" xr:uid="{00000000-0005-0000-0000-0000C9270000}"/>
    <cellStyle name="Normal 2 2 2 2 2 14 2 2" xfId="10229" xr:uid="{00000000-0005-0000-0000-0000CA270000}"/>
    <cellStyle name="Normal 2 2 2 2 2 14 2 3" xfId="10230" xr:uid="{00000000-0005-0000-0000-0000CB270000}"/>
    <cellStyle name="Normal 2 2 2 2 2 14 2 4" xfId="10231" xr:uid="{00000000-0005-0000-0000-0000CC270000}"/>
    <cellStyle name="Normal 2 2 2 2 2 14 2 5" xfId="10232" xr:uid="{00000000-0005-0000-0000-0000CD270000}"/>
    <cellStyle name="Normal 2 2 2 2 2 14 2 6" xfId="10233" xr:uid="{00000000-0005-0000-0000-0000CE270000}"/>
    <cellStyle name="Normal 2 2 2 2 2 14 2 7" xfId="10234" xr:uid="{00000000-0005-0000-0000-0000CF270000}"/>
    <cellStyle name="Normal 2 2 2 2 2 14 2 8" xfId="10235" xr:uid="{00000000-0005-0000-0000-0000D0270000}"/>
    <cellStyle name="Normal 2 2 2 2 2 14 2 9" xfId="10236" xr:uid="{00000000-0005-0000-0000-0000D1270000}"/>
    <cellStyle name="Normal 2 2 2 2 2 14 3" xfId="10237" xr:uid="{00000000-0005-0000-0000-0000D2270000}"/>
    <cellStyle name="Normal 2 2 2 2 2 14 3 10" xfId="10238" xr:uid="{00000000-0005-0000-0000-0000D3270000}"/>
    <cellStyle name="Normal 2 2 2 2 2 14 3 2" xfId="10239" xr:uid="{00000000-0005-0000-0000-0000D4270000}"/>
    <cellStyle name="Normal 2 2 2 2 2 14 3 3" xfId="10240" xr:uid="{00000000-0005-0000-0000-0000D5270000}"/>
    <cellStyle name="Normal 2 2 2 2 2 14 3 4" xfId="10241" xr:uid="{00000000-0005-0000-0000-0000D6270000}"/>
    <cellStyle name="Normal 2 2 2 2 2 14 3 5" xfId="10242" xr:uid="{00000000-0005-0000-0000-0000D7270000}"/>
    <cellStyle name="Normal 2 2 2 2 2 14 3 6" xfId="10243" xr:uid="{00000000-0005-0000-0000-0000D8270000}"/>
    <cellStyle name="Normal 2 2 2 2 2 14 3 7" xfId="10244" xr:uid="{00000000-0005-0000-0000-0000D9270000}"/>
    <cellStyle name="Normal 2 2 2 2 2 14 3 8" xfId="10245" xr:uid="{00000000-0005-0000-0000-0000DA270000}"/>
    <cellStyle name="Normal 2 2 2 2 2 14 3 9" xfId="10246" xr:uid="{00000000-0005-0000-0000-0000DB270000}"/>
    <cellStyle name="Normal 2 2 2 2 2 14 4" xfId="10247" xr:uid="{00000000-0005-0000-0000-0000DC270000}"/>
    <cellStyle name="Normal 2 2 2 2 2 14 4 10" xfId="10248" xr:uid="{00000000-0005-0000-0000-0000DD270000}"/>
    <cellStyle name="Normal 2 2 2 2 2 14 4 2" xfId="10249" xr:uid="{00000000-0005-0000-0000-0000DE270000}"/>
    <cellStyle name="Normal 2 2 2 2 2 14 4 3" xfId="10250" xr:uid="{00000000-0005-0000-0000-0000DF270000}"/>
    <cellStyle name="Normal 2 2 2 2 2 14 4 4" xfId="10251" xr:uid="{00000000-0005-0000-0000-0000E0270000}"/>
    <cellStyle name="Normal 2 2 2 2 2 14 4 5" xfId="10252" xr:uid="{00000000-0005-0000-0000-0000E1270000}"/>
    <cellStyle name="Normal 2 2 2 2 2 14 4 6" xfId="10253" xr:uid="{00000000-0005-0000-0000-0000E2270000}"/>
    <cellStyle name="Normal 2 2 2 2 2 14 4 7" xfId="10254" xr:uid="{00000000-0005-0000-0000-0000E3270000}"/>
    <cellStyle name="Normal 2 2 2 2 2 14 4 8" xfId="10255" xr:uid="{00000000-0005-0000-0000-0000E4270000}"/>
    <cellStyle name="Normal 2 2 2 2 2 14 4 9" xfId="10256" xr:uid="{00000000-0005-0000-0000-0000E5270000}"/>
    <cellStyle name="Normal 2 2 2 2 2 14 5" xfId="10257" xr:uid="{00000000-0005-0000-0000-0000E6270000}"/>
    <cellStyle name="Normal 2 2 2 2 2 14 5 10" xfId="10258" xr:uid="{00000000-0005-0000-0000-0000E7270000}"/>
    <cellStyle name="Normal 2 2 2 2 2 14 5 2" xfId="10259" xr:uid="{00000000-0005-0000-0000-0000E8270000}"/>
    <cellStyle name="Normal 2 2 2 2 2 14 5 3" xfId="10260" xr:uid="{00000000-0005-0000-0000-0000E9270000}"/>
    <cellStyle name="Normal 2 2 2 2 2 14 5 4" xfId="10261" xr:uid="{00000000-0005-0000-0000-0000EA270000}"/>
    <cellStyle name="Normal 2 2 2 2 2 14 5 5" xfId="10262" xr:uid="{00000000-0005-0000-0000-0000EB270000}"/>
    <cellStyle name="Normal 2 2 2 2 2 14 5 6" xfId="10263" xr:uid="{00000000-0005-0000-0000-0000EC270000}"/>
    <cellStyle name="Normal 2 2 2 2 2 14 5 7" xfId="10264" xr:uid="{00000000-0005-0000-0000-0000ED270000}"/>
    <cellStyle name="Normal 2 2 2 2 2 14 5 8" xfId="10265" xr:uid="{00000000-0005-0000-0000-0000EE270000}"/>
    <cellStyle name="Normal 2 2 2 2 2 14 5 9" xfId="10266" xr:uid="{00000000-0005-0000-0000-0000EF270000}"/>
    <cellStyle name="Normal 2 2 2 2 2 14 6" xfId="10267" xr:uid="{00000000-0005-0000-0000-0000F0270000}"/>
    <cellStyle name="Normal 2 2 2 2 2 14 7" xfId="10268" xr:uid="{00000000-0005-0000-0000-0000F1270000}"/>
    <cellStyle name="Normal 2 2 2 2 2 14 8" xfId="10269" xr:uid="{00000000-0005-0000-0000-0000F2270000}"/>
    <cellStyle name="Normal 2 2 2 2 2 14 9" xfId="10270" xr:uid="{00000000-0005-0000-0000-0000F3270000}"/>
    <cellStyle name="Normal 2 2 2 2 2 15" xfId="10271" xr:uid="{00000000-0005-0000-0000-0000F4270000}"/>
    <cellStyle name="Normal 2 2 2 2 2 15 10" xfId="10272" xr:uid="{00000000-0005-0000-0000-0000F5270000}"/>
    <cellStyle name="Normal 2 2 2 2 2 15 11" xfId="10273" xr:uid="{00000000-0005-0000-0000-0000F6270000}"/>
    <cellStyle name="Normal 2 2 2 2 2 15 12" xfId="10274" xr:uid="{00000000-0005-0000-0000-0000F7270000}"/>
    <cellStyle name="Normal 2 2 2 2 2 15 13" xfId="10275" xr:uid="{00000000-0005-0000-0000-0000F8270000}"/>
    <cellStyle name="Normal 2 2 2 2 2 15 14" xfId="10276" xr:uid="{00000000-0005-0000-0000-0000F9270000}"/>
    <cellStyle name="Normal 2 2 2 2 2 15 2" xfId="10277" xr:uid="{00000000-0005-0000-0000-0000FA270000}"/>
    <cellStyle name="Normal 2 2 2 2 2 15 2 10" xfId="10278" xr:uid="{00000000-0005-0000-0000-0000FB270000}"/>
    <cellStyle name="Normal 2 2 2 2 2 15 2 2" xfId="10279" xr:uid="{00000000-0005-0000-0000-0000FC270000}"/>
    <cellStyle name="Normal 2 2 2 2 2 15 2 3" xfId="10280" xr:uid="{00000000-0005-0000-0000-0000FD270000}"/>
    <cellStyle name="Normal 2 2 2 2 2 15 2 4" xfId="10281" xr:uid="{00000000-0005-0000-0000-0000FE270000}"/>
    <cellStyle name="Normal 2 2 2 2 2 15 2 5" xfId="10282" xr:uid="{00000000-0005-0000-0000-0000FF270000}"/>
    <cellStyle name="Normal 2 2 2 2 2 15 2 6" xfId="10283" xr:uid="{00000000-0005-0000-0000-000000280000}"/>
    <cellStyle name="Normal 2 2 2 2 2 15 2 7" xfId="10284" xr:uid="{00000000-0005-0000-0000-000001280000}"/>
    <cellStyle name="Normal 2 2 2 2 2 15 2 8" xfId="10285" xr:uid="{00000000-0005-0000-0000-000002280000}"/>
    <cellStyle name="Normal 2 2 2 2 2 15 2 9" xfId="10286" xr:uid="{00000000-0005-0000-0000-000003280000}"/>
    <cellStyle name="Normal 2 2 2 2 2 15 3" xfId="10287" xr:uid="{00000000-0005-0000-0000-000004280000}"/>
    <cellStyle name="Normal 2 2 2 2 2 15 3 10" xfId="10288" xr:uid="{00000000-0005-0000-0000-000005280000}"/>
    <cellStyle name="Normal 2 2 2 2 2 15 3 2" xfId="10289" xr:uid="{00000000-0005-0000-0000-000006280000}"/>
    <cellStyle name="Normal 2 2 2 2 2 15 3 3" xfId="10290" xr:uid="{00000000-0005-0000-0000-000007280000}"/>
    <cellStyle name="Normal 2 2 2 2 2 15 3 4" xfId="10291" xr:uid="{00000000-0005-0000-0000-000008280000}"/>
    <cellStyle name="Normal 2 2 2 2 2 15 3 5" xfId="10292" xr:uid="{00000000-0005-0000-0000-000009280000}"/>
    <cellStyle name="Normal 2 2 2 2 2 15 3 6" xfId="10293" xr:uid="{00000000-0005-0000-0000-00000A280000}"/>
    <cellStyle name="Normal 2 2 2 2 2 15 3 7" xfId="10294" xr:uid="{00000000-0005-0000-0000-00000B280000}"/>
    <cellStyle name="Normal 2 2 2 2 2 15 3 8" xfId="10295" xr:uid="{00000000-0005-0000-0000-00000C280000}"/>
    <cellStyle name="Normal 2 2 2 2 2 15 3 9" xfId="10296" xr:uid="{00000000-0005-0000-0000-00000D280000}"/>
    <cellStyle name="Normal 2 2 2 2 2 15 4" xfId="10297" xr:uid="{00000000-0005-0000-0000-00000E280000}"/>
    <cellStyle name="Normal 2 2 2 2 2 15 4 10" xfId="10298" xr:uid="{00000000-0005-0000-0000-00000F280000}"/>
    <cellStyle name="Normal 2 2 2 2 2 15 4 2" xfId="10299" xr:uid="{00000000-0005-0000-0000-000010280000}"/>
    <cellStyle name="Normal 2 2 2 2 2 15 4 3" xfId="10300" xr:uid="{00000000-0005-0000-0000-000011280000}"/>
    <cellStyle name="Normal 2 2 2 2 2 15 4 4" xfId="10301" xr:uid="{00000000-0005-0000-0000-000012280000}"/>
    <cellStyle name="Normal 2 2 2 2 2 15 4 5" xfId="10302" xr:uid="{00000000-0005-0000-0000-000013280000}"/>
    <cellStyle name="Normal 2 2 2 2 2 15 4 6" xfId="10303" xr:uid="{00000000-0005-0000-0000-000014280000}"/>
    <cellStyle name="Normal 2 2 2 2 2 15 4 7" xfId="10304" xr:uid="{00000000-0005-0000-0000-000015280000}"/>
    <cellStyle name="Normal 2 2 2 2 2 15 4 8" xfId="10305" xr:uid="{00000000-0005-0000-0000-000016280000}"/>
    <cellStyle name="Normal 2 2 2 2 2 15 4 9" xfId="10306" xr:uid="{00000000-0005-0000-0000-000017280000}"/>
    <cellStyle name="Normal 2 2 2 2 2 15 5" xfId="10307" xr:uid="{00000000-0005-0000-0000-000018280000}"/>
    <cellStyle name="Normal 2 2 2 2 2 15 5 10" xfId="10308" xr:uid="{00000000-0005-0000-0000-000019280000}"/>
    <cellStyle name="Normal 2 2 2 2 2 15 5 2" xfId="10309" xr:uid="{00000000-0005-0000-0000-00001A280000}"/>
    <cellStyle name="Normal 2 2 2 2 2 15 5 3" xfId="10310" xr:uid="{00000000-0005-0000-0000-00001B280000}"/>
    <cellStyle name="Normal 2 2 2 2 2 15 5 4" xfId="10311" xr:uid="{00000000-0005-0000-0000-00001C280000}"/>
    <cellStyle name="Normal 2 2 2 2 2 15 5 5" xfId="10312" xr:uid="{00000000-0005-0000-0000-00001D280000}"/>
    <cellStyle name="Normal 2 2 2 2 2 15 5 6" xfId="10313" xr:uid="{00000000-0005-0000-0000-00001E280000}"/>
    <cellStyle name="Normal 2 2 2 2 2 15 5 7" xfId="10314" xr:uid="{00000000-0005-0000-0000-00001F280000}"/>
    <cellStyle name="Normal 2 2 2 2 2 15 5 8" xfId="10315" xr:uid="{00000000-0005-0000-0000-000020280000}"/>
    <cellStyle name="Normal 2 2 2 2 2 15 5 9" xfId="10316" xr:uid="{00000000-0005-0000-0000-000021280000}"/>
    <cellStyle name="Normal 2 2 2 2 2 15 6" xfId="10317" xr:uid="{00000000-0005-0000-0000-000022280000}"/>
    <cellStyle name="Normal 2 2 2 2 2 15 7" xfId="10318" xr:uid="{00000000-0005-0000-0000-000023280000}"/>
    <cellStyle name="Normal 2 2 2 2 2 15 8" xfId="10319" xr:uid="{00000000-0005-0000-0000-000024280000}"/>
    <cellStyle name="Normal 2 2 2 2 2 15 9" xfId="10320" xr:uid="{00000000-0005-0000-0000-000025280000}"/>
    <cellStyle name="Normal 2 2 2 2 2 16" xfId="10321" xr:uid="{00000000-0005-0000-0000-000026280000}"/>
    <cellStyle name="Normal 2 2 2 2 2 16 10" xfId="10322" xr:uid="{00000000-0005-0000-0000-000027280000}"/>
    <cellStyle name="Normal 2 2 2 2 2 16 11" xfId="10323" xr:uid="{00000000-0005-0000-0000-000028280000}"/>
    <cellStyle name="Normal 2 2 2 2 2 16 12" xfId="10324" xr:uid="{00000000-0005-0000-0000-000029280000}"/>
    <cellStyle name="Normal 2 2 2 2 2 16 13" xfId="10325" xr:uid="{00000000-0005-0000-0000-00002A280000}"/>
    <cellStyle name="Normal 2 2 2 2 2 16 14" xfId="10326" xr:uid="{00000000-0005-0000-0000-00002B280000}"/>
    <cellStyle name="Normal 2 2 2 2 2 16 2" xfId="10327" xr:uid="{00000000-0005-0000-0000-00002C280000}"/>
    <cellStyle name="Normal 2 2 2 2 2 16 2 10" xfId="10328" xr:uid="{00000000-0005-0000-0000-00002D280000}"/>
    <cellStyle name="Normal 2 2 2 2 2 16 2 2" xfId="10329" xr:uid="{00000000-0005-0000-0000-00002E280000}"/>
    <cellStyle name="Normal 2 2 2 2 2 16 2 3" xfId="10330" xr:uid="{00000000-0005-0000-0000-00002F280000}"/>
    <cellStyle name="Normal 2 2 2 2 2 16 2 4" xfId="10331" xr:uid="{00000000-0005-0000-0000-000030280000}"/>
    <cellStyle name="Normal 2 2 2 2 2 16 2 5" xfId="10332" xr:uid="{00000000-0005-0000-0000-000031280000}"/>
    <cellStyle name="Normal 2 2 2 2 2 16 2 6" xfId="10333" xr:uid="{00000000-0005-0000-0000-000032280000}"/>
    <cellStyle name="Normal 2 2 2 2 2 16 2 7" xfId="10334" xr:uid="{00000000-0005-0000-0000-000033280000}"/>
    <cellStyle name="Normal 2 2 2 2 2 16 2 8" xfId="10335" xr:uid="{00000000-0005-0000-0000-000034280000}"/>
    <cellStyle name="Normal 2 2 2 2 2 16 2 9" xfId="10336" xr:uid="{00000000-0005-0000-0000-000035280000}"/>
    <cellStyle name="Normal 2 2 2 2 2 16 3" xfId="10337" xr:uid="{00000000-0005-0000-0000-000036280000}"/>
    <cellStyle name="Normal 2 2 2 2 2 16 3 10" xfId="10338" xr:uid="{00000000-0005-0000-0000-000037280000}"/>
    <cellStyle name="Normal 2 2 2 2 2 16 3 2" xfId="10339" xr:uid="{00000000-0005-0000-0000-000038280000}"/>
    <cellStyle name="Normal 2 2 2 2 2 16 3 3" xfId="10340" xr:uid="{00000000-0005-0000-0000-000039280000}"/>
    <cellStyle name="Normal 2 2 2 2 2 16 3 4" xfId="10341" xr:uid="{00000000-0005-0000-0000-00003A280000}"/>
    <cellStyle name="Normal 2 2 2 2 2 16 3 5" xfId="10342" xr:uid="{00000000-0005-0000-0000-00003B280000}"/>
    <cellStyle name="Normal 2 2 2 2 2 16 3 6" xfId="10343" xr:uid="{00000000-0005-0000-0000-00003C280000}"/>
    <cellStyle name="Normal 2 2 2 2 2 16 3 7" xfId="10344" xr:uid="{00000000-0005-0000-0000-00003D280000}"/>
    <cellStyle name="Normal 2 2 2 2 2 16 3 8" xfId="10345" xr:uid="{00000000-0005-0000-0000-00003E280000}"/>
    <cellStyle name="Normal 2 2 2 2 2 16 3 9" xfId="10346" xr:uid="{00000000-0005-0000-0000-00003F280000}"/>
    <cellStyle name="Normal 2 2 2 2 2 16 4" xfId="10347" xr:uid="{00000000-0005-0000-0000-000040280000}"/>
    <cellStyle name="Normal 2 2 2 2 2 16 4 10" xfId="10348" xr:uid="{00000000-0005-0000-0000-000041280000}"/>
    <cellStyle name="Normal 2 2 2 2 2 16 4 2" xfId="10349" xr:uid="{00000000-0005-0000-0000-000042280000}"/>
    <cellStyle name="Normal 2 2 2 2 2 16 4 3" xfId="10350" xr:uid="{00000000-0005-0000-0000-000043280000}"/>
    <cellStyle name="Normal 2 2 2 2 2 16 4 4" xfId="10351" xr:uid="{00000000-0005-0000-0000-000044280000}"/>
    <cellStyle name="Normal 2 2 2 2 2 16 4 5" xfId="10352" xr:uid="{00000000-0005-0000-0000-000045280000}"/>
    <cellStyle name="Normal 2 2 2 2 2 16 4 6" xfId="10353" xr:uid="{00000000-0005-0000-0000-000046280000}"/>
    <cellStyle name="Normal 2 2 2 2 2 16 4 7" xfId="10354" xr:uid="{00000000-0005-0000-0000-000047280000}"/>
    <cellStyle name="Normal 2 2 2 2 2 16 4 8" xfId="10355" xr:uid="{00000000-0005-0000-0000-000048280000}"/>
    <cellStyle name="Normal 2 2 2 2 2 16 4 9" xfId="10356" xr:uid="{00000000-0005-0000-0000-000049280000}"/>
    <cellStyle name="Normal 2 2 2 2 2 16 5" xfId="10357" xr:uid="{00000000-0005-0000-0000-00004A280000}"/>
    <cellStyle name="Normal 2 2 2 2 2 16 5 10" xfId="10358" xr:uid="{00000000-0005-0000-0000-00004B280000}"/>
    <cellStyle name="Normal 2 2 2 2 2 16 5 2" xfId="10359" xr:uid="{00000000-0005-0000-0000-00004C280000}"/>
    <cellStyle name="Normal 2 2 2 2 2 16 5 3" xfId="10360" xr:uid="{00000000-0005-0000-0000-00004D280000}"/>
    <cellStyle name="Normal 2 2 2 2 2 16 5 4" xfId="10361" xr:uid="{00000000-0005-0000-0000-00004E280000}"/>
    <cellStyle name="Normal 2 2 2 2 2 16 5 5" xfId="10362" xr:uid="{00000000-0005-0000-0000-00004F280000}"/>
    <cellStyle name="Normal 2 2 2 2 2 16 5 6" xfId="10363" xr:uid="{00000000-0005-0000-0000-000050280000}"/>
    <cellStyle name="Normal 2 2 2 2 2 16 5 7" xfId="10364" xr:uid="{00000000-0005-0000-0000-000051280000}"/>
    <cellStyle name="Normal 2 2 2 2 2 16 5 8" xfId="10365" xr:uid="{00000000-0005-0000-0000-000052280000}"/>
    <cellStyle name="Normal 2 2 2 2 2 16 5 9" xfId="10366" xr:uid="{00000000-0005-0000-0000-000053280000}"/>
    <cellStyle name="Normal 2 2 2 2 2 16 6" xfId="10367" xr:uid="{00000000-0005-0000-0000-000054280000}"/>
    <cellStyle name="Normal 2 2 2 2 2 16 7" xfId="10368" xr:uid="{00000000-0005-0000-0000-000055280000}"/>
    <cellStyle name="Normal 2 2 2 2 2 16 8" xfId="10369" xr:uid="{00000000-0005-0000-0000-000056280000}"/>
    <cellStyle name="Normal 2 2 2 2 2 16 9" xfId="10370" xr:uid="{00000000-0005-0000-0000-000057280000}"/>
    <cellStyle name="Normal 2 2 2 2 2 17" xfId="10371" xr:uid="{00000000-0005-0000-0000-000058280000}"/>
    <cellStyle name="Normal 2 2 2 2 2 17 10" xfId="10372" xr:uid="{00000000-0005-0000-0000-000059280000}"/>
    <cellStyle name="Normal 2 2 2 2 2 17 11" xfId="10373" xr:uid="{00000000-0005-0000-0000-00005A280000}"/>
    <cellStyle name="Normal 2 2 2 2 2 17 12" xfId="10374" xr:uid="{00000000-0005-0000-0000-00005B280000}"/>
    <cellStyle name="Normal 2 2 2 2 2 17 13" xfId="10375" xr:uid="{00000000-0005-0000-0000-00005C280000}"/>
    <cellStyle name="Normal 2 2 2 2 2 17 14" xfId="10376" xr:uid="{00000000-0005-0000-0000-00005D280000}"/>
    <cellStyle name="Normal 2 2 2 2 2 17 2" xfId="10377" xr:uid="{00000000-0005-0000-0000-00005E280000}"/>
    <cellStyle name="Normal 2 2 2 2 2 17 2 10" xfId="10378" xr:uid="{00000000-0005-0000-0000-00005F280000}"/>
    <cellStyle name="Normal 2 2 2 2 2 17 2 2" xfId="10379" xr:uid="{00000000-0005-0000-0000-000060280000}"/>
    <cellStyle name="Normal 2 2 2 2 2 17 2 3" xfId="10380" xr:uid="{00000000-0005-0000-0000-000061280000}"/>
    <cellStyle name="Normal 2 2 2 2 2 17 2 4" xfId="10381" xr:uid="{00000000-0005-0000-0000-000062280000}"/>
    <cellStyle name="Normal 2 2 2 2 2 17 2 5" xfId="10382" xr:uid="{00000000-0005-0000-0000-000063280000}"/>
    <cellStyle name="Normal 2 2 2 2 2 17 2 6" xfId="10383" xr:uid="{00000000-0005-0000-0000-000064280000}"/>
    <cellStyle name="Normal 2 2 2 2 2 17 2 7" xfId="10384" xr:uid="{00000000-0005-0000-0000-000065280000}"/>
    <cellStyle name="Normal 2 2 2 2 2 17 2 8" xfId="10385" xr:uid="{00000000-0005-0000-0000-000066280000}"/>
    <cellStyle name="Normal 2 2 2 2 2 17 2 9" xfId="10386" xr:uid="{00000000-0005-0000-0000-000067280000}"/>
    <cellStyle name="Normal 2 2 2 2 2 17 3" xfId="10387" xr:uid="{00000000-0005-0000-0000-000068280000}"/>
    <cellStyle name="Normal 2 2 2 2 2 17 3 10" xfId="10388" xr:uid="{00000000-0005-0000-0000-000069280000}"/>
    <cellStyle name="Normal 2 2 2 2 2 17 3 2" xfId="10389" xr:uid="{00000000-0005-0000-0000-00006A280000}"/>
    <cellStyle name="Normal 2 2 2 2 2 17 3 3" xfId="10390" xr:uid="{00000000-0005-0000-0000-00006B280000}"/>
    <cellStyle name="Normal 2 2 2 2 2 17 3 4" xfId="10391" xr:uid="{00000000-0005-0000-0000-00006C280000}"/>
    <cellStyle name="Normal 2 2 2 2 2 17 3 5" xfId="10392" xr:uid="{00000000-0005-0000-0000-00006D280000}"/>
    <cellStyle name="Normal 2 2 2 2 2 17 3 6" xfId="10393" xr:uid="{00000000-0005-0000-0000-00006E280000}"/>
    <cellStyle name="Normal 2 2 2 2 2 17 3 7" xfId="10394" xr:uid="{00000000-0005-0000-0000-00006F280000}"/>
    <cellStyle name="Normal 2 2 2 2 2 17 3 8" xfId="10395" xr:uid="{00000000-0005-0000-0000-000070280000}"/>
    <cellStyle name="Normal 2 2 2 2 2 17 3 9" xfId="10396" xr:uid="{00000000-0005-0000-0000-000071280000}"/>
    <cellStyle name="Normal 2 2 2 2 2 17 4" xfId="10397" xr:uid="{00000000-0005-0000-0000-000072280000}"/>
    <cellStyle name="Normal 2 2 2 2 2 17 4 10" xfId="10398" xr:uid="{00000000-0005-0000-0000-000073280000}"/>
    <cellStyle name="Normal 2 2 2 2 2 17 4 2" xfId="10399" xr:uid="{00000000-0005-0000-0000-000074280000}"/>
    <cellStyle name="Normal 2 2 2 2 2 17 4 3" xfId="10400" xr:uid="{00000000-0005-0000-0000-000075280000}"/>
    <cellStyle name="Normal 2 2 2 2 2 17 4 4" xfId="10401" xr:uid="{00000000-0005-0000-0000-000076280000}"/>
    <cellStyle name="Normal 2 2 2 2 2 17 4 5" xfId="10402" xr:uid="{00000000-0005-0000-0000-000077280000}"/>
    <cellStyle name="Normal 2 2 2 2 2 17 4 6" xfId="10403" xr:uid="{00000000-0005-0000-0000-000078280000}"/>
    <cellStyle name="Normal 2 2 2 2 2 17 4 7" xfId="10404" xr:uid="{00000000-0005-0000-0000-000079280000}"/>
    <cellStyle name="Normal 2 2 2 2 2 17 4 8" xfId="10405" xr:uid="{00000000-0005-0000-0000-00007A280000}"/>
    <cellStyle name="Normal 2 2 2 2 2 17 4 9" xfId="10406" xr:uid="{00000000-0005-0000-0000-00007B280000}"/>
    <cellStyle name="Normal 2 2 2 2 2 17 5" xfId="10407" xr:uid="{00000000-0005-0000-0000-00007C280000}"/>
    <cellStyle name="Normal 2 2 2 2 2 17 5 10" xfId="10408" xr:uid="{00000000-0005-0000-0000-00007D280000}"/>
    <cellStyle name="Normal 2 2 2 2 2 17 5 2" xfId="10409" xr:uid="{00000000-0005-0000-0000-00007E280000}"/>
    <cellStyle name="Normal 2 2 2 2 2 17 5 3" xfId="10410" xr:uid="{00000000-0005-0000-0000-00007F280000}"/>
    <cellStyle name="Normal 2 2 2 2 2 17 5 4" xfId="10411" xr:uid="{00000000-0005-0000-0000-000080280000}"/>
    <cellStyle name="Normal 2 2 2 2 2 17 5 5" xfId="10412" xr:uid="{00000000-0005-0000-0000-000081280000}"/>
    <cellStyle name="Normal 2 2 2 2 2 17 5 6" xfId="10413" xr:uid="{00000000-0005-0000-0000-000082280000}"/>
    <cellStyle name="Normal 2 2 2 2 2 17 5 7" xfId="10414" xr:uid="{00000000-0005-0000-0000-000083280000}"/>
    <cellStyle name="Normal 2 2 2 2 2 17 5 8" xfId="10415" xr:uid="{00000000-0005-0000-0000-000084280000}"/>
    <cellStyle name="Normal 2 2 2 2 2 17 5 9" xfId="10416" xr:uid="{00000000-0005-0000-0000-000085280000}"/>
    <cellStyle name="Normal 2 2 2 2 2 17 6" xfId="10417" xr:uid="{00000000-0005-0000-0000-000086280000}"/>
    <cellStyle name="Normal 2 2 2 2 2 17 7" xfId="10418" xr:uid="{00000000-0005-0000-0000-000087280000}"/>
    <cellStyle name="Normal 2 2 2 2 2 17 8" xfId="10419" xr:uid="{00000000-0005-0000-0000-000088280000}"/>
    <cellStyle name="Normal 2 2 2 2 2 17 9" xfId="10420" xr:uid="{00000000-0005-0000-0000-000089280000}"/>
    <cellStyle name="Normal 2 2 2 2 2 18" xfId="10421" xr:uid="{00000000-0005-0000-0000-00008A280000}"/>
    <cellStyle name="Normal 2 2 2 2 2 18 10" xfId="10422" xr:uid="{00000000-0005-0000-0000-00008B280000}"/>
    <cellStyle name="Normal 2 2 2 2 2 18 11" xfId="10423" xr:uid="{00000000-0005-0000-0000-00008C280000}"/>
    <cellStyle name="Normal 2 2 2 2 2 18 12" xfId="10424" xr:uid="{00000000-0005-0000-0000-00008D280000}"/>
    <cellStyle name="Normal 2 2 2 2 2 18 13" xfId="10425" xr:uid="{00000000-0005-0000-0000-00008E280000}"/>
    <cellStyle name="Normal 2 2 2 2 2 18 14" xfId="10426" xr:uid="{00000000-0005-0000-0000-00008F280000}"/>
    <cellStyle name="Normal 2 2 2 2 2 18 2" xfId="10427" xr:uid="{00000000-0005-0000-0000-000090280000}"/>
    <cellStyle name="Normal 2 2 2 2 2 18 2 10" xfId="10428" xr:uid="{00000000-0005-0000-0000-000091280000}"/>
    <cellStyle name="Normal 2 2 2 2 2 18 2 2" xfId="10429" xr:uid="{00000000-0005-0000-0000-000092280000}"/>
    <cellStyle name="Normal 2 2 2 2 2 18 2 3" xfId="10430" xr:uid="{00000000-0005-0000-0000-000093280000}"/>
    <cellStyle name="Normal 2 2 2 2 2 18 2 4" xfId="10431" xr:uid="{00000000-0005-0000-0000-000094280000}"/>
    <cellStyle name="Normal 2 2 2 2 2 18 2 5" xfId="10432" xr:uid="{00000000-0005-0000-0000-000095280000}"/>
    <cellStyle name="Normal 2 2 2 2 2 18 2 6" xfId="10433" xr:uid="{00000000-0005-0000-0000-000096280000}"/>
    <cellStyle name="Normal 2 2 2 2 2 18 2 7" xfId="10434" xr:uid="{00000000-0005-0000-0000-000097280000}"/>
    <cellStyle name="Normal 2 2 2 2 2 18 2 8" xfId="10435" xr:uid="{00000000-0005-0000-0000-000098280000}"/>
    <cellStyle name="Normal 2 2 2 2 2 18 2 9" xfId="10436" xr:uid="{00000000-0005-0000-0000-000099280000}"/>
    <cellStyle name="Normal 2 2 2 2 2 18 3" xfId="10437" xr:uid="{00000000-0005-0000-0000-00009A280000}"/>
    <cellStyle name="Normal 2 2 2 2 2 18 3 10" xfId="10438" xr:uid="{00000000-0005-0000-0000-00009B280000}"/>
    <cellStyle name="Normal 2 2 2 2 2 18 3 2" xfId="10439" xr:uid="{00000000-0005-0000-0000-00009C280000}"/>
    <cellStyle name="Normal 2 2 2 2 2 18 3 3" xfId="10440" xr:uid="{00000000-0005-0000-0000-00009D280000}"/>
    <cellStyle name="Normal 2 2 2 2 2 18 3 4" xfId="10441" xr:uid="{00000000-0005-0000-0000-00009E280000}"/>
    <cellStyle name="Normal 2 2 2 2 2 18 3 5" xfId="10442" xr:uid="{00000000-0005-0000-0000-00009F280000}"/>
    <cellStyle name="Normal 2 2 2 2 2 18 3 6" xfId="10443" xr:uid="{00000000-0005-0000-0000-0000A0280000}"/>
    <cellStyle name="Normal 2 2 2 2 2 18 3 7" xfId="10444" xr:uid="{00000000-0005-0000-0000-0000A1280000}"/>
    <cellStyle name="Normal 2 2 2 2 2 18 3 8" xfId="10445" xr:uid="{00000000-0005-0000-0000-0000A2280000}"/>
    <cellStyle name="Normal 2 2 2 2 2 18 3 9" xfId="10446" xr:uid="{00000000-0005-0000-0000-0000A3280000}"/>
    <cellStyle name="Normal 2 2 2 2 2 18 4" xfId="10447" xr:uid="{00000000-0005-0000-0000-0000A4280000}"/>
    <cellStyle name="Normal 2 2 2 2 2 18 4 10" xfId="10448" xr:uid="{00000000-0005-0000-0000-0000A5280000}"/>
    <cellStyle name="Normal 2 2 2 2 2 18 4 2" xfId="10449" xr:uid="{00000000-0005-0000-0000-0000A6280000}"/>
    <cellStyle name="Normal 2 2 2 2 2 18 4 3" xfId="10450" xr:uid="{00000000-0005-0000-0000-0000A7280000}"/>
    <cellStyle name="Normal 2 2 2 2 2 18 4 4" xfId="10451" xr:uid="{00000000-0005-0000-0000-0000A8280000}"/>
    <cellStyle name="Normal 2 2 2 2 2 18 4 5" xfId="10452" xr:uid="{00000000-0005-0000-0000-0000A9280000}"/>
    <cellStyle name="Normal 2 2 2 2 2 18 4 6" xfId="10453" xr:uid="{00000000-0005-0000-0000-0000AA280000}"/>
    <cellStyle name="Normal 2 2 2 2 2 18 4 7" xfId="10454" xr:uid="{00000000-0005-0000-0000-0000AB280000}"/>
    <cellStyle name="Normal 2 2 2 2 2 18 4 8" xfId="10455" xr:uid="{00000000-0005-0000-0000-0000AC280000}"/>
    <cellStyle name="Normal 2 2 2 2 2 18 4 9" xfId="10456" xr:uid="{00000000-0005-0000-0000-0000AD280000}"/>
    <cellStyle name="Normal 2 2 2 2 2 18 5" xfId="10457" xr:uid="{00000000-0005-0000-0000-0000AE280000}"/>
    <cellStyle name="Normal 2 2 2 2 2 18 5 10" xfId="10458" xr:uid="{00000000-0005-0000-0000-0000AF280000}"/>
    <cellStyle name="Normal 2 2 2 2 2 18 5 2" xfId="10459" xr:uid="{00000000-0005-0000-0000-0000B0280000}"/>
    <cellStyle name="Normal 2 2 2 2 2 18 5 3" xfId="10460" xr:uid="{00000000-0005-0000-0000-0000B1280000}"/>
    <cellStyle name="Normal 2 2 2 2 2 18 5 4" xfId="10461" xr:uid="{00000000-0005-0000-0000-0000B2280000}"/>
    <cellStyle name="Normal 2 2 2 2 2 18 5 5" xfId="10462" xr:uid="{00000000-0005-0000-0000-0000B3280000}"/>
    <cellStyle name="Normal 2 2 2 2 2 18 5 6" xfId="10463" xr:uid="{00000000-0005-0000-0000-0000B4280000}"/>
    <cellStyle name="Normal 2 2 2 2 2 18 5 7" xfId="10464" xr:uid="{00000000-0005-0000-0000-0000B5280000}"/>
    <cellStyle name="Normal 2 2 2 2 2 18 5 8" xfId="10465" xr:uid="{00000000-0005-0000-0000-0000B6280000}"/>
    <cellStyle name="Normal 2 2 2 2 2 18 5 9" xfId="10466" xr:uid="{00000000-0005-0000-0000-0000B7280000}"/>
    <cellStyle name="Normal 2 2 2 2 2 18 6" xfId="10467" xr:uid="{00000000-0005-0000-0000-0000B8280000}"/>
    <cellStyle name="Normal 2 2 2 2 2 18 7" xfId="10468" xr:uid="{00000000-0005-0000-0000-0000B9280000}"/>
    <cellStyle name="Normal 2 2 2 2 2 18 8" xfId="10469" xr:uid="{00000000-0005-0000-0000-0000BA280000}"/>
    <cellStyle name="Normal 2 2 2 2 2 18 9" xfId="10470" xr:uid="{00000000-0005-0000-0000-0000BB280000}"/>
    <cellStyle name="Normal 2 2 2 2 2 19" xfId="10471" xr:uid="{00000000-0005-0000-0000-0000BC280000}"/>
    <cellStyle name="Normal 2 2 2 2 2 19 10" xfId="10472" xr:uid="{00000000-0005-0000-0000-0000BD280000}"/>
    <cellStyle name="Normal 2 2 2 2 2 19 11" xfId="10473" xr:uid="{00000000-0005-0000-0000-0000BE280000}"/>
    <cellStyle name="Normal 2 2 2 2 2 19 12" xfId="10474" xr:uid="{00000000-0005-0000-0000-0000BF280000}"/>
    <cellStyle name="Normal 2 2 2 2 2 19 13" xfId="10475" xr:uid="{00000000-0005-0000-0000-0000C0280000}"/>
    <cellStyle name="Normal 2 2 2 2 2 19 14" xfId="10476" xr:uid="{00000000-0005-0000-0000-0000C1280000}"/>
    <cellStyle name="Normal 2 2 2 2 2 19 2" xfId="10477" xr:uid="{00000000-0005-0000-0000-0000C2280000}"/>
    <cellStyle name="Normal 2 2 2 2 2 19 2 10" xfId="10478" xr:uid="{00000000-0005-0000-0000-0000C3280000}"/>
    <cellStyle name="Normal 2 2 2 2 2 19 2 2" xfId="10479" xr:uid="{00000000-0005-0000-0000-0000C4280000}"/>
    <cellStyle name="Normal 2 2 2 2 2 19 2 3" xfId="10480" xr:uid="{00000000-0005-0000-0000-0000C5280000}"/>
    <cellStyle name="Normal 2 2 2 2 2 19 2 4" xfId="10481" xr:uid="{00000000-0005-0000-0000-0000C6280000}"/>
    <cellStyle name="Normal 2 2 2 2 2 19 2 5" xfId="10482" xr:uid="{00000000-0005-0000-0000-0000C7280000}"/>
    <cellStyle name="Normal 2 2 2 2 2 19 2 6" xfId="10483" xr:uid="{00000000-0005-0000-0000-0000C8280000}"/>
    <cellStyle name="Normal 2 2 2 2 2 19 2 7" xfId="10484" xr:uid="{00000000-0005-0000-0000-0000C9280000}"/>
    <cellStyle name="Normal 2 2 2 2 2 19 2 8" xfId="10485" xr:uid="{00000000-0005-0000-0000-0000CA280000}"/>
    <cellStyle name="Normal 2 2 2 2 2 19 2 9" xfId="10486" xr:uid="{00000000-0005-0000-0000-0000CB280000}"/>
    <cellStyle name="Normal 2 2 2 2 2 19 3" xfId="10487" xr:uid="{00000000-0005-0000-0000-0000CC280000}"/>
    <cellStyle name="Normal 2 2 2 2 2 19 3 10" xfId="10488" xr:uid="{00000000-0005-0000-0000-0000CD280000}"/>
    <cellStyle name="Normal 2 2 2 2 2 19 3 2" xfId="10489" xr:uid="{00000000-0005-0000-0000-0000CE280000}"/>
    <cellStyle name="Normal 2 2 2 2 2 19 3 3" xfId="10490" xr:uid="{00000000-0005-0000-0000-0000CF280000}"/>
    <cellStyle name="Normal 2 2 2 2 2 19 3 4" xfId="10491" xr:uid="{00000000-0005-0000-0000-0000D0280000}"/>
    <cellStyle name="Normal 2 2 2 2 2 19 3 5" xfId="10492" xr:uid="{00000000-0005-0000-0000-0000D1280000}"/>
    <cellStyle name="Normal 2 2 2 2 2 19 3 6" xfId="10493" xr:uid="{00000000-0005-0000-0000-0000D2280000}"/>
    <cellStyle name="Normal 2 2 2 2 2 19 3 7" xfId="10494" xr:uid="{00000000-0005-0000-0000-0000D3280000}"/>
    <cellStyle name="Normal 2 2 2 2 2 19 3 8" xfId="10495" xr:uid="{00000000-0005-0000-0000-0000D4280000}"/>
    <cellStyle name="Normal 2 2 2 2 2 19 3 9" xfId="10496" xr:uid="{00000000-0005-0000-0000-0000D5280000}"/>
    <cellStyle name="Normal 2 2 2 2 2 19 4" xfId="10497" xr:uid="{00000000-0005-0000-0000-0000D6280000}"/>
    <cellStyle name="Normal 2 2 2 2 2 19 4 10" xfId="10498" xr:uid="{00000000-0005-0000-0000-0000D7280000}"/>
    <cellStyle name="Normal 2 2 2 2 2 19 4 2" xfId="10499" xr:uid="{00000000-0005-0000-0000-0000D8280000}"/>
    <cellStyle name="Normal 2 2 2 2 2 19 4 3" xfId="10500" xr:uid="{00000000-0005-0000-0000-0000D9280000}"/>
    <cellStyle name="Normal 2 2 2 2 2 19 4 4" xfId="10501" xr:uid="{00000000-0005-0000-0000-0000DA280000}"/>
    <cellStyle name="Normal 2 2 2 2 2 19 4 5" xfId="10502" xr:uid="{00000000-0005-0000-0000-0000DB280000}"/>
    <cellStyle name="Normal 2 2 2 2 2 19 4 6" xfId="10503" xr:uid="{00000000-0005-0000-0000-0000DC280000}"/>
    <cellStyle name="Normal 2 2 2 2 2 19 4 7" xfId="10504" xr:uid="{00000000-0005-0000-0000-0000DD280000}"/>
    <cellStyle name="Normal 2 2 2 2 2 19 4 8" xfId="10505" xr:uid="{00000000-0005-0000-0000-0000DE280000}"/>
    <cellStyle name="Normal 2 2 2 2 2 19 4 9" xfId="10506" xr:uid="{00000000-0005-0000-0000-0000DF280000}"/>
    <cellStyle name="Normal 2 2 2 2 2 19 5" xfId="10507" xr:uid="{00000000-0005-0000-0000-0000E0280000}"/>
    <cellStyle name="Normal 2 2 2 2 2 19 5 10" xfId="10508" xr:uid="{00000000-0005-0000-0000-0000E1280000}"/>
    <cellStyle name="Normal 2 2 2 2 2 19 5 2" xfId="10509" xr:uid="{00000000-0005-0000-0000-0000E2280000}"/>
    <cellStyle name="Normal 2 2 2 2 2 19 5 3" xfId="10510" xr:uid="{00000000-0005-0000-0000-0000E3280000}"/>
    <cellStyle name="Normal 2 2 2 2 2 19 5 4" xfId="10511" xr:uid="{00000000-0005-0000-0000-0000E4280000}"/>
    <cellStyle name="Normal 2 2 2 2 2 19 5 5" xfId="10512" xr:uid="{00000000-0005-0000-0000-0000E5280000}"/>
    <cellStyle name="Normal 2 2 2 2 2 19 5 6" xfId="10513" xr:uid="{00000000-0005-0000-0000-0000E6280000}"/>
    <cellStyle name="Normal 2 2 2 2 2 19 5 7" xfId="10514" xr:uid="{00000000-0005-0000-0000-0000E7280000}"/>
    <cellStyle name="Normal 2 2 2 2 2 19 5 8" xfId="10515" xr:uid="{00000000-0005-0000-0000-0000E8280000}"/>
    <cellStyle name="Normal 2 2 2 2 2 19 5 9" xfId="10516" xr:uid="{00000000-0005-0000-0000-0000E9280000}"/>
    <cellStyle name="Normal 2 2 2 2 2 19 6" xfId="10517" xr:uid="{00000000-0005-0000-0000-0000EA280000}"/>
    <cellStyle name="Normal 2 2 2 2 2 19 7" xfId="10518" xr:uid="{00000000-0005-0000-0000-0000EB280000}"/>
    <cellStyle name="Normal 2 2 2 2 2 19 8" xfId="10519" xr:uid="{00000000-0005-0000-0000-0000EC280000}"/>
    <cellStyle name="Normal 2 2 2 2 2 19 9" xfId="10520" xr:uid="{00000000-0005-0000-0000-0000ED280000}"/>
    <cellStyle name="Normal 2 2 2 2 2 2" xfId="10521" xr:uid="{00000000-0005-0000-0000-0000EE280000}"/>
    <cellStyle name="Normal 2 2 2 2 2 2 10" xfId="10522" xr:uid="{00000000-0005-0000-0000-0000EF280000}"/>
    <cellStyle name="Normal 2 2 2 2 2 2 10 10" xfId="10523" xr:uid="{00000000-0005-0000-0000-0000F0280000}"/>
    <cellStyle name="Normal 2 2 2 2 2 2 10 11" xfId="10524" xr:uid="{00000000-0005-0000-0000-0000F1280000}"/>
    <cellStyle name="Normal 2 2 2 2 2 2 10 12" xfId="10525" xr:uid="{00000000-0005-0000-0000-0000F2280000}"/>
    <cellStyle name="Normal 2 2 2 2 2 2 10 13" xfId="10526" xr:uid="{00000000-0005-0000-0000-0000F3280000}"/>
    <cellStyle name="Normal 2 2 2 2 2 2 10 14" xfId="10527" xr:uid="{00000000-0005-0000-0000-0000F4280000}"/>
    <cellStyle name="Normal 2 2 2 2 2 2 10 2" xfId="10528" xr:uid="{00000000-0005-0000-0000-0000F5280000}"/>
    <cellStyle name="Normal 2 2 2 2 2 2 10 2 10" xfId="10529" xr:uid="{00000000-0005-0000-0000-0000F6280000}"/>
    <cellStyle name="Normal 2 2 2 2 2 2 10 2 2" xfId="10530" xr:uid="{00000000-0005-0000-0000-0000F7280000}"/>
    <cellStyle name="Normal 2 2 2 2 2 2 10 2 3" xfId="10531" xr:uid="{00000000-0005-0000-0000-0000F8280000}"/>
    <cellStyle name="Normal 2 2 2 2 2 2 10 2 4" xfId="10532" xr:uid="{00000000-0005-0000-0000-0000F9280000}"/>
    <cellStyle name="Normal 2 2 2 2 2 2 10 2 5" xfId="10533" xr:uid="{00000000-0005-0000-0000-0000FA280000}"/>
    <cellStyle name="Normal 2 2 2 2 2 2 10 2 6" xfId="10534" xr:uid="{00000000-0005-0000-0000-0000FB280000}"/>
    <cellStyle name="Normal 2 2 2 2 2 2 10 2 7" xfId="10535" xr:uid="{00000000-0005-0000-0000-0000FC280000}"/>
    <cellStyle name="Normal 2 2 2 2 2 2 10 2 8" xfId="10536" xr:uid="{00000000-0005-0000-0000-0000FD280000}"/>
    <cellStyle name="Normal 2 2 2 2 2 2 10 2 9" xfId="10537" xr:uid="{00000000-0005-0000-0000-0000FE280000}"/>
    <cellStyle name="Normal 2 2 2 2 2 2 10 3" xfId="10538" xr:uid="{00000000-0005-0000-0000-0000FF280000}"/>
    <cellStyle name="Normal 2 2 2 2 2 2 10 3 10" xfId="10539" xr:uid="{00000000-0005-0000-0000-000000290000}"/>
    <cellStyle name="Normal 2 2 2 2 2 2 10 3 2" xfId="10540" xr:uid="{00000000-0005-0000-0000-000001290000}"/>
    <cellStyle name="Normal 2 2 2 2 2 2 10 3 3" xfId="10541" xr:uid="{00000000-0005-0000-0000-000002290000}"/>
    <cellStyle name="Normal 2 2 2 2 2 2 10 3 4" xfId="10542" xr:uid="{00000000-0005-0000-0000-000003290000}"/>
    <cellStyle name="Normal 2 2 2 2 2 2 10 3 5" xfId="10543" xr:uid="{00000000-0005-0000-0000-000004290000}"/>
    <cellStyle name="Normal 2 2 2 2 2 2 10 3 6" xfId="10544" xr:uid="{00000000-0005-0000-0000-000005290000}"/>
    <cellStyle name="Normal 2 2 2 2 2 2 10 3 7" xfId="10545" xr:uid="{00000000-0005-0000-0000-000006290000}"/>
    <cellStyle name="Normal 2 2 2 2 2 2 10 3 8" xfId="10546" xr:uid="{00000000-0005-0000-0000-000007290000}"/>
    <cellStyle name="Normal 2 2 2 2 2 2 10 3 9" xfId="10547" xr:uid="{00000000-0005-0000-0000-000008290000}"/>
    <cellStyle name="Normal 2 2 2 2 2 2 10 4" xfId="10548" xr:uid="{00000000-0005-0000-0000-000009290000}"/>
    <cellStyle name="Normal 2 2 2 2 2 2 10 4 10" xfId="10549" xr:uid="{00000000-0005-0000-0000-00000A290000}"/>
    <cellStyle name="Normal 2 2 2 2 2 2 10 4 2" xfId="10550" xr:uid="{00000000-0005-0000-0000-00000B290000}"/>
    <cellStyle name="Normal 2 2 2 2 2 2 10 4 3" xfId="10551" xr:uid="{00000000-0005-0000-0000-00000C290000}"/>
    <cellStyle name="Normal 2 2 2 2 2 2 10 4 4" xfId="10552" xr:uid="{00000000-0005-0000-0000-00000D290000}"/>
    <cellStyle name="Normal 2 2 2 2 2 2 10 4 5" xfId="10553" xr:uid="{00000000-0005-0000-0000-00000E290000}"/>
    <cellStyle name="Normal 2 2 2 2 2 2 10 4 6" xfId="10554" xr:uid="{00000000-0005-0000-0000-00000F290000}"/>
    <cellStyle name="Normal 2 2 2 2 2 2 10 4 7" xfId="10555" xr:uid="{00000000-0005-0000-0000-000010290000}"/>
    <cellStyle name="Normal 2 2 2 2 2 2 10 4 8" xfId="10556" xr:uid="{00000000-0005-0000-0000-000011290000}"/>
    <cellStyle name="Normal 2 2 2 2 2 2 10 4 9" xfId="10557" xr:uid="{00000000-0005-0000-0000-000012290000}"/>
    <cellStyle name="Normal 2 2 2 2 2 2 10 5" xfId="10558" xr:uid="{00000000-0005-0000-0000-000013290000}"/>
    <cellStyle name="Normal 2 2 2 2 2 2 10 5 10" xfId="10559" xr:uid="{00000000-0005-0000-0000-000014290000}"/>
    <cellStyle name="Normal 2 2 2 2 2 2 10 5 2" xfId="10560" xr:uid="{00000000-0005-0000-0000-000015290000}"/>
    <cellStyle name="Normal 2 2 2 2 2 2 10 5 3" xfId="10561" xr:uid="{00000000-0005-0000-0000-000016290000}"/>
    <cellStyle name="Normal 2 2 2 2 2 2 10 5 4" xfId="10562" xr:uid="{00000000-0005-0000-0000-000017290000}"/>
    <cellStyle name="Normal 2 2 2 2 2 2 10 5 5" xfId="10563" xr:uid="{00000000-0005-0000-0000-000018290000}"/>
    <cellStyle name="Normal 2 2 2 2 2 2 10 5 6" xfId="10564" xr:uid="{00000000-0005-0000-0000-000019290000}"/>
    <cellStyle name="Normal 2 2 2 2 2 2 10 5 7" xfId="10565" xr:uid="{00000000-0005-0000-0000-00001A290000}"/>
    <cellStyle name="Normal 2 2 2 2 2 2 10 5 8" xfId="10566" xr:uid="{00000000-0005-0000-0000-00001B290000}"/>
    <cellStyle name="Normal 2 2 2 2 2 2 10 5 9" xfId="10567" xr:uid="{00000000-0005-0000-0000-00001C290000}"/>
    <cellStyle name="Normal 2 2 2 2 2 2 10 6" xfId="10568" xr:uid="{00000000-0005-0000-0000-00001D290000}"/>
    <cellStyle name="Normal 2 2 2 2 2 2 10 7" xfId="10569" xr:uid="{00000000-0005-0000-0000-00001E290000}"/>
    <cellStyle name="Normal 2 2 2 2 2 2 10 8" xfId="10570" xr:uid="{00000000-0005-0000-0000-00001F290000}"/>
    <cellStyle name="Normal 2 2 2 2 2 2 10 9" xfId="10571" xr:uid="{00000000-0005-0000-0000-000020290000}"/>
    <cellStyle name="Normal 2 2 2 2 2 2 11" xfId="10572" xr:uid="{00000000-0005-0000-0000-000021290000}"/>
    <cellStyle name="Normal 2 2 2 2 2 2 11 10" xfId="10573" xr:uid="{00000000-0005-0000-0000-000022290000}"/>
    <cellStyle name="Normal 2 2 2 2 2 2 11 11" xfId="10574" xr:uid="{00000000-0005-0000-0000-000023290000}"/>
    <cellStyle name="Normal 2 2 2 2 2 2 11 12" xfId="10575" xr:uid="{00000000-0005-0000-0000-000024290000}"/>
    <cellStyle name="Normal 2 2 2 2 2 2 11 13" xfId="10576" xr:uid="{00000000-0005-0000-0000-000025290000}"/>
    <cellStyle name="Normal 2 2 2 2 2 2 11 14" xfId="10577" xr:uid="{00000000-0005-0000-0000-000026290000}"/>
    <cellStyle name="Normal 2 2 2 2 2 2 11 2" xfId="10578" xr:uid="{00000000-0005-0000-0000-000027290000}"/>
    <cellStyle name="Normal 2 2 2 2 2 2 11 2 10" xfId="10579" xr:uid="{00000000-0005-0000-0000-000028290000}"/>
    <cellStyle name="Normal 2 2 2 2 2 2 11 2 2" xfId="10580" xr:uid="{00000000-0005-0000-0000-000029290000}"/>
    <cellStyle name="Normal 2 2 2 2 2 2 11 2 3" xfId="10581" xr:uid="{00000000-0005-0000-0000-00002A290000}"/>
    <cellStyle name="Normal 2 2 2 2 2 2 11 2 4" xfId="10582" xr:uid="{00000000-0005-0000-0000-00002B290000}"/>
    <cellStyle name="Normal 2 2 2 2 2 2 11 2 5" xfId="10583" xr:uid="{00000000-0005-0000-0000-00002C290000}"/>
    <cellStyle name="Normal 2 2 2 2 2 2 11 2 6" xfId="10584" xr:uid="{00000000-0005-0000-0000-00002D290000}"/>
    <cellStyle name="Normal 2 2 2 2 2 2 11 2 7" xfId="10585" xr:uid="{00000000-0005-0000-0000-00002E290000}"/>
    <cellStyle name="Normal 2 2 2 2 2 2 11 2 8" xfId="10586" xr:uid="{00000000-0005-0000-0000-00002F290000}"/>
    <cellStyle name="Normal 2 2 2 2 2 2 11 2 9" xfId="10587" xr:uid="{00000000-0005-0000-0000-000030290000}"/>
    <cellStyle name="Normal 2 2 2 2 2 2 11 3" xfId="10588" xr:uid="{00000000-0005-0000-0000-000031290000}"/>
    <cellStyle name="Normal 2 2 2 2 2 2 11 3 10" xfId="10589" xr:uid="{00000000-0005-0000-0000-000032290000}"/>
    <cellStyle name="Normal 2 2 2 2 2 2 11 3 2" xfId="10590" xr:uid="{00000000-0005-0000-0000-000033290000}"/>
    <cellStyle name="Normal 2 2 2 2 2 2 11 3 3" xfId="10591" xr:uid="{00000000-0005-0000-0000-000034290000}"/>
    <cellStyle name="Normal 2 2 2 2 2 2 11 3 4" xfId="10592" xr:uid="{00000000-0005-0000-0000-000035290000}"/>
    <cellStyle name="Normal 2 2 2 2 2 2 11 3 5" xfId="10593" xr:uid="{00000000-0005-0000-0000-000036290000}"/>
    <cellStyle name="Normal 2 2 2 2 2 2 11 3 6" xfId="10594" xr:uid="{00000000-0005-0000-0000-000037290000}"/>
    <cellStyle name="Normal 2 2 2 2 2 2 11 3 7" xfId="10595" xr:uid="{00000000-0005-0000-0000-000038290000}"/>
    <cellStyle name="Normal 2 2 2 2 2 2 11 3 8" xfId="10596" xr:uid="{00000000-0005-0000-0000-000039290000}"/>
    <cellStyle name="Normal 2 2 2 2 2 2 11 3 9" xfId="10597" xr:uid="{00000000-0005-0000-0000-00003A290000}"/>
    <cellStyle name="Normal 2 2 2 2 2 2 11 4" xfId="10598" xr:uid="{00000000-0005-0000-0000-00003B290000}"/>
    <cellStyle name="Normal 2 2 2 2 2 2 11 4 10" xfId="10599" xr:uid="{00000000-0005-0000-0000-00003C290000}"/>
    <cellStyle name="Normal 2 2 2 2 2 2 11 4 2" xfId="10600" xr:uid="{00000000-0005-0000-0000-00003D290000}"/>
    <cellStyle name="Normal 2 2 2 2 2 2 11 4 3" xfId="10601" xr:uid="{00000000-0005-0000-0000-00003E290000}"/>
    <cellStyle name="Normal 2 2 2 2 2 2 11 4 4" xfId="10602" xr:uid="{00000000-0005-0000-0000-00003F290000}"/>
    <cellStyle name="Normal 2 2 2 2 2 2 11 4 5" xfId="10603" xr:uid="{00000000-0005-0000-0000-000040290000}"/>
    <cellStyle name="Normal 2 2 2 2 2 2 11 4 6" xfId="10604" xr:uid="{00000000-0005-0000-0000-000041290000}"/>
    <cellStyle name="Normal 2 2 2 2 2 2 11 4 7" xfId="10605" xr:uid="{00000000-0005-0000-0000-000042290000}"/>
    <cellStyle name="Normal 2 2 2 2 2 2 11 4 8" xfId="10606" xr:uid="{00000000-0005-0000-0000-000043290000}"/>
    <cellStyle name="Normal 2 2 2 2 2 2 11 4 9" xfId="10607" xr:uid="{00000000-0005-0000-0000-000044290000}"/>
    <cellStyle name="Normal 2 2 2 2 2 2 11 5" xfId="10608" xr:uid="{00000000-0005-0000-0000-000045290000}"/>
    <cellStyle name="Normal 2 2 2 2 2 2 11 5 10" xfId="10609" xr:uid="{00000000-0005-0000-0000-000046290000}"/>
    <cellStyle name="Normal 2 2 2 2 2 2 11 5 2" xfId="10610" xr:uid="{00000000-0005-0000-0000-000047290000}"/>
    <cellStyle name="Normal 2 2 2 2 2 2 11 5 3" xfId="10611" xr:uid="{00000000-0005-0000-0000-000048290000}"/>
    <cellStyle name="Normal 2 2 2 2 2 2 11 5 4" xfId="10612" xr:uid="{00000000-0005-0000-0000-000049290000}"/>
    <cellStyle name="Normal 2 2 2 2 2 2 11 5 5" xfId="10613" xr:uid="{00000000-0005-0000-0000-00004A290000}"/>
    <cellStyle name="Normal 2 2 2 2 2 2 11 5 6" xfId="10614" xr:uid="{00000000-0005-0000-0000-00004B290000}"/>
    <cellStyle name="Normal 2 2 2 2 2 2 11 5 7" xfId="10615" xr:uid="{00000000-0005-0000-0000-00004C290000}"/>
    <cellStyle name="Normal 2 2 2 2 2 2 11 5 8" xfId="10616" xr:uid="{00000000-0005-0000-0000-00004D290000}"/>
    <cellStyle name="Normal 2 2 2 2 2 2 11 5 9" xfId="10617" xr:uid="{00000000-0005-0000-0000-00004E290000}"/>
    <cellStyle name="Normal 2 2 2 2 2 2 11 6" xfId="10618" xr:uid="{00000000-0005-0000-0000-00004F290000}"/>
    <cellStyle name="Normal 2 2 2 2 2 2 11 7" xfId="10619" xr:uid="{00000000-0005-0000-0000-000050290000}"/>
    <cellStyle name="Normal 2 2 2 2 2 2 11 8" xfId="10620" xr:uid="{00000000-0005-0000-0000-000051290000}"/>
    <cellStyle name="Normal 2 2 2 2 2 2 11 9" xfId="10621" xr:uid="{00000000-0005-0000-0000-000052290000}"/>
    <cellStyle name="Normal 2 2 2 2 2 2 12" xfId="10622" xr:uid="{00000000-0005-0000-0000-000053290000}"/>
    <cellStyle name="Normal 2 2 2 2 2 2 12 10" xfId="10623" xr:uid="{00000000-0005-0000-0000-000054290000}"/>
    <cellStyle name="Normal 2 2 2 2 2 2 12 11" xfId="10624" xr:uid="{00000000-0005-0000-0000-000055290000}"/>
    <cellStyle name="Normal 2 2 2 2 2 2 12 12" xfId="10625" xr:uid="{00000000-0005-0000-0000-000056290000}"/>
    <cellStyle name="Normal 2 2 2 2 2 2 12 13" xfId="10626" xr:uid="{00000000-0005-0000-0000-000057290000}"/>
    <cellStyle name="Normal 2 2 2 2 2 2 12 14" xfId="10627" xr:uid="{00000000-0005-0000-0000-000058290000}"/>
    <cellStyle name="Normal 2 2 2 2 2 2 12 2" xfId="10628" xr:uid="{00000000-0005-0000-0000-000059290000}"/>
    <cellStyle name="Normal 2 2 2 2 2 2 12 2 10" xfId="10629" xr:uid="{00000000-0005-0000-0000-00005A290000}"/>
    <cellStyle name="Normal 2 2 2 2 2 2 12 2 2" xfId="10630" xr:uid="{00000000-0005-0000-0000-00005B290000}"/>
    <cellStyle name="Normal 2 2 2 2 2 2 12 2 3" xfId="10631" xr:uid="{00000000-0005-0000-0000-00005C290000}"/>
    <cellStyle name="Normal 2 2 2 2 2 2 12 2 4" xfId="10632" xr:uid="{00000000-0005-0000-0000-00005D290000}"/>
    <cellStyle name="Normal 2 2 2 2 2 2 12 2 5" xfId="10633" xr:uid="{00000000-0005-0000-0000-00005E290000}"/>
    <cellStyle name="Normal 2 2 2 2 2 2 12 2 6" xfId="10634" xr:uid="{00000000-0005-0000-0000-00005F290000}"/>
    <cellStyle name="Normal 2 2 2 2 2 2 12 2 7" xfId="10635" xr:uid="{00000000-0005-0000-0000-000060290000}"/>
    <cellStyle name="Normal 2 2 2 2 2 2 12 2 8" xfId="10636" xr:uid="{00000000-0005-0000-0000-000061290000}"/>
    <cellStyle name="Normal 2 2 2 2 2 2 12 2 9" xfId="10637" xr:uid="{00000000-0005-0000-0000-000062290000}"/>
    <cellStyle name="Normal 2 2 2 2 2 2 12 3" xfId="10638" xr:uid="{00000000-0005-0000-0000-000063290000}"/>
    <cellStyle name="Normal 2 2 2 2 2 2 12 3 10" xfId="10639" xr:uid="{00000000-0005-0000-0000-000064290000}"/>
    <cellStyle name="Normal 2 2 2 2 2 2 12 3 2" xfId="10640" xr:uid="{00000000-0005-0000-0000-000065290000}"/>
    <cellStyle name="Normal 2 2 2 2 2 2 12 3 3" xfId="10641" xr:uid="{00000000-0005-0000-0000-000066290000}"/>
    <cellStyle name="Normal 2 2 2 2 2 2 12 3 4" xfId="10642" xr:uid="{00000000-0005-0000-0000-000067290000}"/>
    <cellStyle name="Normal 2 2 2 2 2 2 12 3 5" xfId="10643" xr:uid="{00000000-0005-0000-0000-000068290000}"/>
    <cellStyle name="Normal 2 2 2 2 2 2 12 3 6" xfId="10644" xr:uid="{00000000-0005-0000-0000-000069290000}"/>
    <cellStyle name="Normal 2 2 2 2 2 2 12 3 7" xfId="10645" xr:uid="{00000000-0005-0000-0000-00006A290000}"/>
    <cellStyle name="Normal 2 2 2 2 2 2 12 3 8" xfId="10646" xr:uid="{00000000-0005-0000-0000-00006B290000}"/>
    <cellStyle name="Normal 2 2 2 2 2 2 12 3 9" xfId="10647" xr:uid="{00000000-0005-0000-0000-00006C290000}"/>
    <cellStyle name="Normal 2 2 2 2 2 2 12 4" xfId="10648" xr:uid="{00000000-0005-0000-0000-00006D290000}"/>
    <cellStyle name="Normal 2 2 2 2 2 2 12 4 10" xfId="10649" xr:uid="{00000000-0005-0000-0000-00006E290000}"/>
    <cellStyle name="Normal 2 2 2 2 2 2 12 4 2" xfId="10650" xr:uid="{00000000-0005-0000-0000-00006F290000}"/>
    <cellStyle name="Normal 2 2 2 2 2 2 12 4 3" xfId="10651" xr:uid="{00000000-0005-0000-0000-000070290000}"/>
    <cellStyle name="Normal 2 2 2 2 2 2 12 4 4" xfId="10652" xr:uid="{00000000-0005-0000-0000-000071290000}"/>
    <cellStyle name="Normal 2 2 2 2 2 2 12 4 5" xfId="10653" xr:uid="{00000000-0005-0000-0000-000072290000}"/>
    <cellStyle name="Normal 2 2 2 2 2 2 12 4 6" xfId="10654" xr:uid="{00000000-0005-0000-0000-000073290000}"/>
    <cellStyle name="Normal 2 2 2 2 2 2 12 4 7" xfId="10655" xr:uid="{00000000-0005-0000-0000-000074290000}"/>
    <cellStyle name="Normal 2 2 2 2 2 2 12 4 8" xfId="10656" xr:uid="{00000000-0005-0000-0000-000075290000}"/>
    <cellStyle name="Normal 2 2 2 2 2 2 12 4 9" xfId="10657" xr:uid="{00000000-0005-0000-0000-000076290000}"/>
    <cellStyle name="Normal 2 2 2 2 2 2 12 5" xfId="10658" xr:uid="{00000000-0005-0000-0000-000077290000}"/>
    <cellStyle name="Normal 2 2 2 2 2 2 12 5 10" xfId="10659" xr:uid="{00000000-0005-0000-0000-000078290000}"/>
    <cellStyle name="Normal 2 2 2 2 2 2 12 5 2" xfId="10660" xr:uid="{00000000-0005-0000-0000-000079290000}"/>
    <cellStyle name="Normal 2 2 2 2 2 2 12 5 3" xfId="10661" xr:uid="{00000000-0005-0000-0000-00007A290000}"/>
    <cellStyle name="Normal 2 2 2 2 2 2 12 5 4" xfId="10662" xr:uid="{00000000-0005-0000-0000-00007B290000}"/>
    <cellStyle name="Normal 2 2 2 2 2 2 12 5 5" xfId="10663" xr:uid="{00000000-0005-0000-0000-00007C290000}"/>
    <cellStyle name="Normal 2 2 2 2 2 2 12 5 6" xfId="10664" xr:uid="{00000000-0005-0000-0000-00007D290000}"/>
    <cellStyle name="Normal 2 2 2 2 2 2 12 5 7" xfId="10665" xr:uid="{00000000-0005-0000-0000-00007E290000}"/>
    <cellStyle name="Normal 2 2 2 2 2 2 12 5 8" xfId="10666" xr:uid="{00000000-0005-0000-0000-00007F290000}"/>
    <cellStyle name="Normal 2 2 2 2 2 2 12 5 9" xfId="10667" xr:uid="{00000000-0005-0000-0000-000080290000}"/>
    <cellStyle name="Normal 2 2 2 2 2 2 12 6" xfId="10668" xr:uid="{00000000-0005-0000-0000-000081290000}"/>
    <cellStyle name="Normal 2 2 2 2 2 2 12 7" xfId="10669" xr:uid="{00000000-0005-0000-0000-000082290000}"/>
    <cellStyle name="Normal 2 2 2 2 2 2 12 8" xfId="10670" xr:uid="{00000000-0005-0000-0000-000083290000}"/>
    <cellStyle name="Normal 2 2 2 2 2 2 12 9" xfId="10671" xr:uid="{00000000-0005-0000-0000-000084290000}"/>
    <cellStyle name="Normal 2 2 2 2 2 2 13" xfId="10672" xr:uid="{00000000-0005-0000-0000-000085290000}"/>
    <cellStyle name="Normal 2 2 2 2 2 2 13 10" xfId="10673" xr:uid="{00000000-0005-0000-0000-000086290000}"/>
    <cellStyle name="Normal 2 2 2 2 2 2 13 11" xfId="10674" xr:uid="{00000000-0005-0000-0000-000087290000}"/>
    <cellStyle name="Normal 2 2 2 2 2 2 13 12" xfId="10675" xr:uid="{00000000-0005-0000-0000-000088290000}"/>
    <cellStyle name="Normal 2 2 2 2 2 2 13 13" xfId="10676" xr:uid="{00000000-0005-0000-0000-000089290000}"/>
    <cellStyle name="Normal 2 2 2 2 2 2 13 14" xfId="10677" xr:uid="{00000000-0005-0000-0000-00008A290000}"/>
    <cellStyle name="Normal 2 2 2 2 2 2 13 2" xfId="10678" xr:uid="{00000000-0005-0000-0000-00008B290000}"/>
    <cellStyle name="Normal 2 2 2 2 2 2 13 2 10" xfId="10679" xr:uid="{00000000-0005-0000-0000-00008C290000}"/>
    <cellStyle name="Normal 2 2 2 2 2 2 13 2 2" xfId="10680" xr:uid="{00000000-0005-0000-0000-00008D290000}"/>
    <cellStyle name="Normal 2 2 2 2 2 2 13 2 3" xfId="10681" xr:uid="{00000000-0005-0000-0000-00008E290000}"/>
    <cellStyle name="Normal 2 2 2 2 2 2 13 2 4" xfId="10682" xr:uid="{00000000-0005-0000-0000-00008F290000}"/>
    <cellStyle name="Normal 2 2 2 2 2 2 13 2 5" xfId="10683" xr:uid="{00000000-0005-0000-0000-000090290000}"/>
    <cellStyle name="Normal 2 2 2 2 2 2 13 2 6" xfId="10684" xr:uid="{00000000-0005-0000-0000-000091290000}"/>
    <cellStyle name="Normal 2 2 2 2 2 2 13 2 7" xfId="10685" xr:uid="{00000000-0005-0000-0000-000092290000}"/>
    <cellStyle name="Normal 2 2 2 2 2 2 13 2 8" xfId="10686" xr:uid="{00000000-0005-0000-0000-000093290000}"/>
    <cellStyle name="Normal 2 2 2 2 2 2 13 2 9" xfId="10687" xr:uid="{00000000-0005-0000-0000-000094290000}"/>
    <cellStyle name="Normal 2 2 2 2 2 2 13 3" xfId="10688" xr:uid="{00000000-0005-0000-0000-000095290000}"/>
    <cellStyle name="Normal 2 2 2 2 2 2 13 3 10" xfId="10689" xr:uid="{00000000-0005-0000-0000-000096290000}"/>
    <cellStyle name="Normal 2 2 2 2 2 2 13 3 2" xfId="10690" xr:uid="{00000000-0005-0000-0000-000097290000}"/>
    <cellStyle name="Normal 2 2 2 2 2 2 13 3 3" xfId="10691" xr:uid="{00000000-0005-0000-0000-000098290000}"/>
    <cellStyle name="Normal 2 2 2 2 2 2 13 3 4" xfId="10692" xr:uid="{00000000-0005-0000-0000-000099290000}"/>
    <cellStyle name="Normal 2 2 2 2 2 2 13 3 5" xfId="10693" xr:uid="{00000000-0005-0000-0000-00009A290000}"/>
    <cellStyle name="Normal 2 2 2 2 2 2 13 3 6" xfId="10694" xr:uid="{00000000-0005-0000-0000-00009B290000}"/>
    <cellStyle name="Normal 2 2 2 2 2 2 13 3 7" xfId="10695" xr:uid="{00000000-0005-0000-0000-00009C290000}"/>
    <cellStyle name="Normal 2 2 2 2 2 2 13 3 8" xfId="10696" xr:uid="{00000000-0005-0000-0000-00009D290000}"/>
    <cellStyle name="Normal 2 2 2 2 2 2 13 3 9" xfId="10697" xr:uid="{00000000-0005-0000-0000-00009E290000}"/>
    <cellStyle name="Normal 2 2 2 2 2 2 13 4" xfId="10698" xr:uid="{00000000-0005-0000-0000-00009F290000}"/>
    <cellStyle name="Normal 2 2 2 2 2 2 13 4 10" xfId="10699" xr:uid="{00000000-0005-0000-0000-0000A0290000}"/>
    <cellStyle name="Normal 2 2 2 2 2 2 13 4 2" xfId="10700" xr:uid="{00000000-0005-0000-0000-0000A1290000}"/>
    <cellStyle name="Normal 2 2 2 2 2 2 13 4 3" xfId="10701" xr:uid="{00000000-0005-0000-0000-0000A2290000}"/>
    <cellStyle name="Normal 2 2 2 2 2 2 13 4 4" xfId="10702" xr:uid="{00000000-0005-0000-0000-0000A3290000}"/>
    <cellStyle name="Normal 2 2 2 2 2 2 13 4 5" xfId="10703" xr:uid="{00000000-0005-0000-0000-0000A4290000}"/>
    <cellStyle name="Normal 2 2 2 2 2 2 13 4 6" xfId="10704" xr:uid="{00000000-0005-0000-0000-0000A5290000}"/>
    <cellStyle name="Normal 2 2 2 2 2 2 13 4 7" xfId="10705" xr:uid="{00000000-0005-0000-0000-0000A6290000}"/>
    <cellStyle name="Normal 2 2 2 2 2 2 13 4 8" xfId="10706" xr:uid="{00000000-0005-0000-0000-0000A7290000}"/>
    <cellStyle name="Normal 2 2 2 2 2 2 13 4 9" xfId="10707" xr:uid="{00000000-0005-0000-0000-0000A8290000}"/>
    <cellStyle name="Normal 2 2 2 2 2 2 13 5" xfId="10708" xr:uid="{00000000-0005-0000-0000-0000A9290000}"/>
    <cellStyle name="Normal 2 2 2 2 2 2 13 5 10" xfId="10709" xr:uid="{00000000-0005-0000-0000-0000AA290000}"/>
    <cellStyle name="Normal 2 2 2 2 2 2 13 5 2" xfId="10710" xr:uid="{00000000-0005-0000-0000-0000AB290000}"/>
    <cellStyle name="Normal 2 2 2 2 2 2 13 5 3" xfId="10711" xr:uid="{00000000-0005-0000-0000-0000AC290000}"/>
    <cellStyle name="Normal 2 2 2 2 2 2 13 5 4" xfId="10712" xr:uid="{00000000-0005-0000-0000-0000AD290000}"/>
    <cellStyle name="Normal 2 2 2 2 2 2 13 5 5" xfId="10713" xr:uid="{00000000-0005-0000-0000-0000AE290000}"/>
    <cellStyle name="Normal 2 2 2 2 2 2 13 5 6" xfId="10714" xr:uid="{00000000-0005-0000-0000-0000AF290000}"/>
    <cellStyle name="Normal 2 2 2 2 2 2 13 5 7" xfId="10715" xr:uid="{00000000-0005-0000-0000-0000B0290000}"/>
    <cellStyle name="Normal 2 2 2 2 2 2 13 5 8" xfId="10716" xr:uid="{00000000-0005-0000-0000-0000B1290000}"/>
    <cellStyle name="Normal 2 2 2 2 2 2 13 5 9" xfId="10717" xr:uid="{00000000-0005-0000-0000-0000B2290000}"/>
    <cellStyle name="Normal 2 2 2 2 2 2 13 6" xfId="10718" xr:uid="{00000000-0005-0000-0000-0000B3290000}"/>
    <cellStyle name="Normal 2 2 2 2 2 2 13 7" xfId="10719" xr:uid="{00000000-0005-0000-0000-0000B4290000}"/>
    <cellStyle name="Normal 2 2 2 2 2 2 13 8" xfId="10720" xr:uid="{00000000-0005-0000-0000-0000B5290000}"/>
    <cellStyle name="Normal 2 2 2 2 2 2 13 9" xfId="10721" xr:uid="{00000000-0005-0000-0000-0000B6290000}"/>
    <cellStyle name="Normal 2 2 2 2 2 2 14" xfId="10722" xr:uid="{00000000-0005-0000-0000-0000B7290000}"/>
    <cellStyle name="Normal 2 2 2 2 2 2 14 10" xfId="10723" xr:uid="{00000000-0005-0000-0000-0000B8290000}"/>
    <cellStyle name="Normal 2 2 2 2 2 2 14 11" xfId="10724" xr:uid="{00000000-0005-0000-0000-0000B9290000}"/>
    <cellStyle name="Normal 2 2 2 2 2 2 14 12" xfId="10725" xr:uid="{00000000-0005-0000-0000-0000BA290000}"/>
    <cellStyle name="Normal 2 2 2 2 2 2 14 13" xfId="10726" xr:uid="{00000000-0005-0000-0000-0000BB290000}"/>
    <cellStyle name="Normal 2 2 2 2 2 2 14 14" xfId="10727" xr:uid="{00000000-0005-0000-0000-0000BC290000}"/>
    <cellStyle name="Normal 2 2 2 2 2 2 14 2" xfId="10728" xr:uid="{00000000-0005-0000-0000-0000BD290000}"/>
    <cellStyle name="Normal 2 2 2 2 2 2 14 2 10" xfId="10729" xr:uid="{00000000-0005-0000-0000-0000BE290000}"/>
    <cellStyle name="Normal 2 2 2 2 2 2 14 2 2" xfId="10730" xr:uid="{00000000-0005-0000-0000-0000BF290000}"/>
    <cellStyle name="Normal 2 2 2 2 2 2 14 2 3" xfId="10731" xr:uid="{00000000-0005-0000-0000-0000C0290000}"/>
    <cellStyle name="Normal 2 2 2 2 2 2 14 2 4" xfId="10732" xr:uid="{00000000-0005-0000-0000-0000C1290000}"/>
    <cellStyle name="Normal 2 2 2 2 2 2 14 2 5" xfId="10733" xr:uid="{00000000-0005-0000-0000-0000C2290000}"/>
    <cellStyle name="Normal 2 2 2 2 2 2 14 2 6" xfId="10734" xr:uid="{00000000-0005-0000-0000-0000C3290000}"/>
    <cellStyle name="Normal 2 2 2 2 2 2 14 2 7" xfId="10735" xr:uid="{00000000-0005-0000-0000-0000C4290000}"/>
    <cellStyle name="Normal 2 2 2 2 2 2 14 2 8" xfId="10736" xr:uid="{00000000-0005-0000-0000-0000C5290000}"/>
    <cellStyle name="Normal 2 2 2 2 2 2 14 2 9" xfId="10737" xr:uid="{00000000-0005-0000-0000-0000C6290000}"/>
    <cellStyle name="Normal 2 2 2 2 2 2 14 3" xfId="10738" xr:uid="{00000000-0005-0000-0000-0000C7290000}"/>
    <cellStyle name="Normal 2 2 2 2 2 2 14 3 10" xfId="10739" xr:uid="{00000000-0005-0000-0000-0000C8290000}"/>
    <cellStyle name="Normal 2 2 2 2 2 2 14 3 2" xfId="10740" xr:uid="{00000000-0005-0000-0000-0000C9290000}"/>
    <cellStyle name="Normal 2 2 2 2 2 2 14 3 3" xfId="10741" xr:uid="{00000000-0005-0000-0000-0000CA290000}"/>
    <cellStyle name="Normal 2 2 2 2 2 2 14 3 4" xfId="10742" xr:uid="{00000000-0005-0000-0000-0000CB290000}"/>
    <cellStyle name="Normal 2 2 2 2 2 2 14 3 5" xfId="10743" xr:uid="{00000000-0005-0000-0000-0000CC290000}"/>
    <cellStyle name="Normal 2 2 2 2 2 2 14 3 6" xfId="10744" xr:uid="{00000000-0005-0000-0000-0000CD290000}"/>
    <cellStyle name="Normal 2 2 2 2 2 2 14 3 7" xfId="10745" xr:uid="{00000000-0005-0000-0000-0000CE290000}"/>
    <cellStyle name="Normal 2 2 2 2 2 2 14 3 8" xfId="10746" xr:uid="{00000000-0005-0000-0000-0000CF290000}"/>
    <cellStyle name="Normal 2 2 2 2 2 2 14 3 9" xfId="10747" xr:uid="{00000000-0005-0000-0000-0000D0290000}"/>
    <cellStyle name="Normal 2 2 2 2 2 2 14 4" xfId="10748" xr:uid="{00000000-0005-0000-0000-0000D1290000}"/>
    <cellStyle name="Normal 2 2 2 2 2 2 14 4 10" xfId="10749" xr:uid="{00000000-0005-0000-0000-0000D2290000}"/>
    <cellStyle name="Normal 2 2 2 2 2 2 14 4 2" xfId="10750" xr:uid="{00000000-0005-0000-0000-0000D3290000}"/>
    <cellStyle name="Normal 2 2 2 2 2 2 14 4 3" xfId="10751" xr:uid="{00000000-0005-0000-0000-0000D4290000}"/>
    <cellStyle name="Normal 2 2 2 2 2 2 14 4 4" xfId="10752" xr:uid="{00000000-0005-0000-0000-0000D5290000}"/>
    <cellStyle name="Normal 2 2 2 2 2 2 14 4 5" xfId="10753" xr:uid="{00000000-0005-0000-0000-0000D6290000}"/>
    <cellStyle name="Normal 2 2 2 2 2 2 14 4 6" xfId="10754" xr:uid="{00000000-0005-0000-0000-0000D7290000}"/>
    <cellStyle name="Normal 2 2 2 2 2 2 14 4 7" xfId="10755" xr:uid="{00000000-0005-0000-0000-0000D8290000}"/>
    <cellStyle name="Normal 2 2 2 2 2 2 14 4 8" xfId="10756" xr:uid="{00000000-0005-0000-0000-0000D9290000}"/>
    <cellStyle name="Normal 2 2 2 2 2 2 14 4 9" xfId="10757" xr:uid="{00000000-0005-0000-0000-0000DA290000}"/>
    <cellStyle name="Normal 2 2 2 2 2 2 14 5" xfId="10758" xr:uid="{00000000-0005-0000-0000-0000DB290000}"/>
    <cellStyle name="Normal 2 2 2 2 2 2 14 5 10" xfId="10759" xr:uid="{00000000-0005-0000-0000-0000DC290000}"/>
    <cellStyle name="Normal 2 2 2 2 2 2 14 5 2" xfId="10760" xr:uid="{00000000-0005-0000-0000-0000DD290000}"/>
    <cellStyle name="Normal 2 2 2 2 2 2 14 5 3" xfId="10761" xr:uid="{00000000-0005-0000-0000-0000DE290000}"/>
    <cellStyle name="Normal 2 2 2 2 2 2 14 5 4" xfId="10762" xr:uid="{00000000-0005-0000-0000-0000DF290000}"/>
    <cellStyle name="Normal 2 2 2 2 2 2 14 5 5" xfId="10763" xr:uid="{00000000-0005-0000-0000-0000E0290000}"/>
    <cellStyle name="Normal 2 2 2 2 2 2 14 5 6" xfId="10764" xr:uid="{00000000-0005-0000-0000-0000E1290000}"/>
    <cellStyle name="Normal 2 2 2 2 2 2 14 5 7" xfId="10765" xr:uid="{00000000-0005-0000-0000-0000E2290000}"/>
    <cellStyle name="Normal 2 2 2 2 2 2 14 5 8" xfId="10766" xr:uid="{00000000-0005-0000-0000-0000E3290000}"/>
    <cellStyle name="Normal 2 2 2 2 2 2 14 5 9" xfId="10767" xr:uid="{00000000-0005-0000-0000-0000E4290000}"/>
    <cellStyle name="Normal 2 2 2 2 2 2 14 6" xfId="10768" xr:uid="{00000000-0005-0000-0000-0000E5290000}"/>
    <cellStyle name="Normal 2 2 2 2 2 2 14 7" xfId="10769" xr:uid="{00000000-0005-0000-0000-0000E6290000}"/>
    <cellStyle name="Normal 2 2 2 2 2 2 14 8" xfId="10770" xr:uid="{00000000-0005-0000-0000-0000E7290000}"/>
    <cellStyle name="Normal 2 2 2 2 2 2 14 9" xfId="10771" xr:uid="{00000000-0005-0000-0000-0000E8290000}"/>
    <cellStyle name="Normal 2 2 2 2 2 2 15" xfId="10772" xr:uid="{00000000-0005-0000-0000-0000E9290000}"/>
    <cellStyle name="Normal 2 2 2 2 2 2 15 10" xfId="10773" xr:uid="{00000000-0005-0000-0000-0000EA290000}"/>
    <cellStyle name="Normal 2 2 2 2 2 2 15 11" xfId="10774" xr:uid="{00000000-0005-0000-0000-0000EB290000}"/>
    <cellStyle name="Normal 2 2 2 2 2 2 15 12" xfId="10775" xr:uid="{00000000-0005-0000-0000-0000EC290000}"/>
    <cellStyle name="Normal 2 2 2 2 2 2 15 13" xfId="10776" xr:uid="{00000000-0005-0000-0000-0000ED290000}"/>
    <cellStyle name="Normal 2 2 2 2 2 2 15 14" xfId="10777" xr:uid="{00000000-0005-0000-0000-0000EE290000}"/>
    <cellStyle name="Normal 2 2 2 2 2 2 15 2" xfId="10778" xr:uid="{00000000-0005-0000-0000-0000EF290000}"/>
    <cellStyle name="Normal 2 2 2 2 2 2 15 2 10" xfId="10779" xr:uid="{00000000-0005-0000-0000-0000F0290000}"/>
    <cellStyle name="Normal 2 2 2 2 2 2 15 2 2" xfId="10780" xr:uid="{00000000-0005-0000-0000-0000F1290000}"/>
    <cellStyle name="Normal 2 2 2 2 2 2 15 2 3" xfId="10781" xr:uid="{00000000-0005-0000-0000-0000F2290000}"/>
    <cellStyle name="Normal 2 2 2 2 2 2 15 2 4" xfId="10782" xr:uid="{00000000-0005-0000-0000-0000F3290000}"/>
    <cellStyle name="Normal 2 2 2 2 2 2 15 2 5" xfId="10783" xr:uid="{00000000-0005-0000-0000-0000F4290000}"/>
    <cellStyle name="Normal 2 2 2 2 2 2 15 2 6" xfId="10784" xr:uid="{00000000-0005-0000-0000-0000F5290000}"/>
    <cellStyle name="Normal 2 2 2 2 2 2 15 2 7" xfId="10785" xr:uid="{00000000-0005-0000-0000-0000F6290000}"/>
    <cellStyle name="Normal 2 2 2 2 2 2 15 2 8" xfId="10786" xr:uid="{00000000-0005-0000-0000-0000F7290000}"/>
    <cellStyle name="Normal 2 2 2 2 2 2 15 2 9" xfId="10787" xr:uid="{00000000-0005-0000-0000-0000F8290000}"/>
    <cellStyle name="Normal 2 2 2 2 2 2 15 3" xfId="10788" xr:uid="{00000000-0005-0000-0000-0000F9290000}"/>
    <cellStyle name="Normal 2 2 2 2 2 2 15 3 10" xfId="10789" xr:uid="{00000000-0005-0000-0000-0000FA290000}"/>
    <cellStyle name="Normal 2 2 2 2 2 2 15 3 2" xfId="10790" xr:uid="{00000000-0005-0000-0000-0000FB290000}"/>
    <cellStyle name="Normal 2 2 2 2 2 2 15 3 3" xfId="10791" xr:uid="{00000000-0005-0000-0000-0000FC290000}"/>
    <cellStyle name="Normal 2 2 2 2 2 2 15 3 4" xfId="10792" xr:uid="{00000000-0005-0000-0000-0000FD290000}"/>
    <cellStyle name="Normal 2 2 2 2 2 2 15 3 5" xfId="10793" xr:uid="{00000000-0005-0000-0000-0000FE290000}"/>
    <cellStyle name="Normal 2 2 2 2 2 2 15 3 6" xfId="10794" xr:uid="{00000000-0005-0000-0000-0000FF290000}"/>
    <cellStyle name="Normal 2 2 2 2 2 2 15 3 7" xfId="10795" xr:uid="{00000000-0005-0000-0000-0000002A0000}"/>
    <cellStyle name="Normal 2 2 2 2 2 2 15 3 8" xfId="10796" xr:uid="{00000000-0005-0000-0000-0000012A0000}"/>
    <cellStyle name="Normal 2 2 2 2 2 2 15 3 9" xfId="10797" xr:uid="{00000000-0005-0000-0000-0000022A0000}"/>
    <cellStyle name="Normal 2 2 2 2 2 2 15 4" xfId="10798" xr:uid="{00000000-0005-0000-0000-0000032A0000}"/>
    <cellStyle name="Normal 2 2 2 2 2 2 15 4 10" xfId="10799" xr:uid="{00000000-0005-0000-0000-0000042A0000}"/>
    <cellStyle name="Normal 2 2 2 2 2 2 15 4 2" xfId="10800" xr:uid="{00000000-0005-0000-0000-0000052A0000}"/>
    <cellStyle name="Normal 2 2 2 2 2 2 15 4 3" xfId="10801" xr:uid="{00000000-0005-0000-0000-0000062A0000}"/>
    <cellStyle name="Normal 2 2 2 2 2 2 15 4 4" xfId="10802" xr:uid="{00000000-0005-0000-0000-0000072A0000}"/>
    <cellStyle name="Normal 2 2 2 2 2 2 15 4 5" xfId="10803" xr:uid="{00000000-0005-0000-0000-0000082A0000}"/>
    <cellStyle name="Normal 2 2 2 2 2 2 15 4 6" xfId="10804" xr:uid="{00000000-0005-0000-0000-0000092A0000}"/>
    <cellStyle name="Normal 2 2 2 2 2 2 15 4 7" xfId="10805" xr:uid="{00000000-0005-0000-0000-00000A2A0000}"/>
    <cellStyle name="Normal 2 2 2 2 2 2 15 4 8" xfId="10806" xr:uid="{00000000-0005-0000-0000-00000B2A0000}"/>
    <cellStyle name="Normal 2 2 2 2 2 2 15 4 9" xfId="10807" xr:uid="{00000000-0005-0000-0000-00000C2A0000}"/>
    <cellStyle name="Normal 2 2 2 2 2 2 15 5" xfId="10808" xr:uid="{00000000-0005-0000-0000-00000D2A0000}"/>
    <cellStyle name="Normal 2 2 2 2 2 2 15 5 10" xfId="10809" xr:uid="{00000000-0005-0000-0000-00000E2A0000}"/>
    <cellStyle name="Normal 2 2 2 2 2 2 15 5 2" xfId="10810" xr:uid="{00000000-0005-0000-0000-00000F2A0000}"/>
    <cellStyle name="Normal 2 2 2 2 2 2 15 5 3" xfId="10811" xr:uid="{00000000-0005-0000-0000-0000102A0000}"/>
    <cellStyle name="Normal 2 2 2 2 2 2 15 5 4" xfId="10812" xr:uid="{00000000-0005-0000-0000-0000112A0000}"/>
    <cellStyle name="Normal 2 2 2 2 2 2 15 5 5" xfId="10813" xr:uid="{00000000-0005-0000-0000-0000122A0000}"/>
    <cellStyle name="Normal 2 2 2 2 2 2 15 5 6" xfId="10814" xr:uid="{00000000-0005-0000-0000-0000132A0000}"/>
    <cellStyle name="Normal 2 2 2 2 2 2 15 5 7" xfId="10815" xr:uid="{00000000-0005-0000-0000-0000142A0000}"/>
    <cellStyle name="Normal 2 2 2 2 2 2 15 5 8" xfId="10816" xr:uid="{00000000-0005-0000-0000-0000152A0000}"/>
    <cellStyle name="Normal 2 2 2 2 2 2 15 5 9" xfId="10817" xr:uid="{00000000-0005-0000-0000-0000162A0000}"/>
    <cellStyle name="Normal 2 2 2 2 2 2 15 6" xfId="10818" xr:uid="{00000000-0005-0000-0000-0000172A0000}"/>
    <cellStyle name="Normal 2 2 2 2 2 2 15 7" xfId="10819" xr:uid="{00000000-0005-0000-0000-0000182A0000}"/>
    <cellStyle name="Normal 2 2 2 2 2 2 15 8" xfId="10820" xr:uid="{00000000-0005-0000-0000-0000192A0000}"/>
    <cellStyle name="Normal 2 2 2 2 2 2 15 9" xfId="10821" xr:uid="{00000000-0005-0000-0000-00001A2A0000}"/>
    <cellStyle name="Normal 2 2 2 2 2 2 16" xfId="10822" xr:uid="{00000000-0005-0000-0000-00001B2A0000}"/>
    <cellStyle name="Normal 2 2 2 2 2 2 16 10" xfId="10823" xr:uid="{00000000-0005-0000-0000-00001C2A0000}"/>
    <cellStyle name="Normal 2 2 2 2 2 2 16 11" xfId="10824" xr:uid="{00000000-0005-0000-0000-00001D2A0000}"/>
    <cellStyle name="Normal 2 2 2 2 2 2 16 12" xfId="10825" xr:uid="{00000000-0005-0000-0000-00001E2A0000}"/>
    <cellStyle name="Normal 2 2 2 2 2 2 16 13" xfId="10826" xr:uid="{00000000-0005-0000-0000-00001F2A0000}"/>
    <cellStyle name="Normal 2 2 2 2 2 2 16 14" xfId="10827" xr:uid="{00000000-0005-0000-0000-0000202A0000}"/>
    <cellStyle name="Normal 2 2 2 2 2 2 16 2" xfId="10828" xr:uid="{00000000-0005-0000-0000-0000212A0000}"/>
    <cellStyle name="Normal 2 2 2 2 2 2 16 2 10" xfId="10829" xr:uid="{00000000-0005-0000-0000-0000222A0000}"/>
    <cellStyle name="Normal 2 2 2 2 2 2 16 2 2" xfId="10830" xr:uid="{00000000-0005-0000-0000-0000232A0000}"/>
    <cellStyle name="Normal 2 2 2 2 2 2 16 2 3" xfId="10831" xr:uid="{00000000-0005-0000-0000-0000242A0000}"/>
    <cellStyle name="Normal 2 2 2 2 2 2 16 2 4" xfId="10832" xr:uid="{00000000-0005-0000-0000-0000252A0000}"/>
    <cellStyle name="Normal 2 2 2 2 2 2 16 2 5" xfId="10833" xr:uid="{00000000-0005-0000-0000-0000262A0000}"/>
    <cellStyle name="Normal 2 2 2 2 2 2 16 2 6" xfId="10834" xr:uid="{00000000-0005-0000-0000-0000272A0000}"/>
    <cellStyle name="Normal 2 2 2 2 2 2 16 2 7" xfId="10835" xr:uid="{00000000-0005-0000-0000-0000282A0000}"/>
    <cellStyle name="Normal 2 2 2 2 2 2 16 2 8" xfId="10836" xr:uid="{00000000-0005-0000-0000-0000292A0000}"/>
    <cellStyle name="Normal 2 2 2 2 2 2 16 2 9" xfId="10837" xr:uid="{00000000-0005-0000-0000-00002A2A0000}"/>
    <cellStyle name="Normal 2 2 2 2 2 2 16 3" xfId="10838" xr:uid="{00000000-0005-0000-0000-00002B2A0000}"/>
    <cellStyle name="Normal 2 2 2 2 2 2 16 3 10" xfId="10839" xr:uid="{00000000-0005-0000-0000-00002C2A0000}"/>
    <cellStyle name="Normal 2 2 2 2 2 2 16 3 2" xfId="10840" xr:uid="{00000000-0005-0000-0000-00002D2A0000}"/>
    <cellStyle name="Normal 2 2 2 2 2 2 16 3 3" xfId="10841" xr:uid="{00000000-0005-0000-0000-00002E2A0000}"/>
    <cellStyle name="Normal 2 2 2 2 2 2 16 3 4" xfId="10842" xr:uid="{00000000-0005-0000-0000-00002F2A0000}"/>
    <cellStyle name="Normal 2 2 2 2 2 2 16 3 5" xfId="10843" xr:uid="{00000000-0005-0000-0000-0000302A0000}"/>
    <cellStyle name="Normal 2 2 2 2 2 2 16 3 6" xfId="10844" xr:uid="{00000000-0005-0000-0000-0000312A0000}"/>
    <cellStyle name="Normal 2 2 2 2 2 2 16 3 7" xfId="10845" xr:uid="{00000000-0005-0000-0000-0000322A0000}"/>
    <cellStyle name="Normal 2 2 2 2 2 2 16 3 8" xfId="10846" xr:uid="{00000000-0005-0000-0000-0000332A0000}"/>
    <cellStyle name="Normal 2 2 2 2 2 2 16 3 9" xfId="10847" xr:uid="{00000000-0005-0000-0000-0000342A0000}"/>
    <cellStyle name="Normal 2 2 2 2 2 2 16 4" xfId="10848" xr:uid="{00000000-0005-0000-0000-0000352A0000}"/>
    <cellStyle name="Normal 2 2 2 2 2 2 16 4 10" xfId="10849" xr:uid="{00000000-0005-0000-0000-0000362A0000}"/>
    <cellStyle name="Normal 2 2 2 2 2 2 16 4 2" xfId="10850" xr:uid="{00000000-0005-0000-0000-0000372A0000}"/>
    <cellStyle name="Normal 2 2 2 2 2 2 16 4 3" xfId="10851" xr:uid="{00000000-0005-0000-0000-0000382A0000}"/>
    <cellStyle name="Normal 2 2 2 2 2 2 16 4 4" xfId="10852" xr:uid="{00000000-0005-0000-0000-0000392A0000}"/>
    <cellStyle name="Normal 2 2 2 2 2 2 16 4 5" xfId="10853" xr:uid="{00000000-0005-0000-0000-00003A2A0000}"/>
    <cellStyle name="Normal 2 2 2 2 2 2 16 4 6" xfId="10854" xr:uid="{00000000-0005-0000-0000-00003B2A0000}"/>
    <cellStyle name="Normal 2 2 2 2 2 2 16 4 7" xfId="10855" xr:uid="{00000000-0005-0000-0000-00003C2A0000}"/>
    <cellStyle name="Normal 2 2 2 2 2 2 16 4 8" xfId="10856" xr:uid="{00000000-0005-0000-0000-00003D2A0000}"/>
    <cellStyle name="Normal 2 2 2 2 2 2 16 4 9" xfId="10857" xr:uid="{00000000-0005-0000-0000-00003E2A0000}"/>
    <cellStyle name="Normal 2 2 2 2 2 2 16 5" xfId="10858" xr:uid="{00000000-0005-0000-0000-00003F2A0000}"/>
    <cellStyle name="Normal 2 2 2 2 2 2 16 5 10" xfId="10859" xr:uid="{00000000-0005-0000-0000-0000402A0000}"/>
    <cellStyle name="Normal 2 2 2 2 2 2 16 5 2" xfId="10860" xr:uid="{00000000-0005-0000-0000-0000412A0000}"/>
    <cellStyle name="Normal 2 2 2 2 2 2 16 5 3" xfId="10861" xr:uid="{00000000-0005-0000-0000-0000422A0000}"/>
    <cellStyle name="Normal 2 2 2 2 2 2 16 5 4" xfId="10862" xr:uid="{00000000-0005-0000-0000-0000432A0000}"/>
    <cellStyle name="Normal 2 2 2 2 2 2 16 5 5" xfId="10863" xr:uid="{00000000-0005-0000-0000-0000442A0000}"/>
    <cellStyle name="Normal 2 2 2 2 2 2 16 5 6" xfId="10864" xr:uid="{00000000-0005-0000-0000-0000452A0000}"/>
    <cellStyle name="Normal 2 2 2 2 2 2 16 5 7" xfId="10865" xr:uid="{00000000-0005-0000-0000-0000462A0000}"/>
    <cellStyle name="Normal 2 2 2 2 2 2 16 5 8" xfId="10866" xr:uid="{00000000-0005-0000-0000-0000472A0000}"/>
    <cellStyle name="Normal 2 2 2 2 2 2 16 5 9" xfId="10867" xr:uid="{00000000-0005-0000-0000-0000482A0000}"/>
    <cellStyle name="Normal 2 2 2 2 2 2 16 6" xfId="10868" xr:uid="{00000000-0005-0000-0000-0000492A0000}"/>
    <cellStyle name="Normal 2 2 2 2 2 2 16 7" xfId="10869" xr:uid="{00000000-0005-0000-0000-00004A2A0000}"/>
    <cellStyle name="Normal 2 2 2 2 2 2 16 8" xfId="10870" xr:uid="{00000000-0005-0000-0000-00004B2A0000}"/>
    <cellStyle name="Normal 2 2 2 2 2 2 16 9" xfId="10871" xr:uid="{00000000-0005-0000-0000-00004C2A0000}"/>
    <cellStyle name="Normal 2 2 2 2 2 2 17" xfId="10872" xr:uid="{00000000-0005-0000-0000-00004D2A0000}"/>
    <cellStyle name="Normal 2 2 2 2 2 2 17 10" xfId="10873" xr:uid="{00000000-0005-0000-0000-00004E2A0000}"/>
    <cellStyle name="Normal 2 2 2 2 2 2 17 11" xfId="10874" xr:uid="{00000000-0005-0000-0000-00004F2A0000}"/>
    <cellStyle name="Normal 2 2 2 2 2 2 17 12" xfId="10875" xr:uid="{00000000-0005-0000-0000-0000502A0000}"/>
    <cellStyle name="Normal 2 2 2 2 2 2 17 13" xfId="10876" xr:uid="{00000000-0005-0000-0000-0000512A0000}"/>
    <cellStyle name="Normal 2 2 2 2 2 2 17 14" xfId="10877" xr:uid="{00000000-0005-0000-0000-0000522A0000}"/>
    <cellStyle name="Normal 2 2 2 2 2 2 17 2" xfId="10878" xr:uid="{00000000-0005-0000-0000-0000532A0000}"/>
    <cellStyle name="Normal 2 2 2 2 2 2 17 2 10" xfId="10879" xr:uid="{00000000-0005-0000-0000-0000542A0000}"/>
    <cellStyle name="Normal 2 2 2 2 2 2 17 2 2" xfId="10880" xr:uid="{00000000-0005-0000-0000-0000552A0000}"/>
    <cellStyle name="Normal 2 2 2 2 2 2 17 2 3" xfId="10881" xr:uid="{00000000-0005-0000-0000-0000562A0000}"/>
    <cellStyle name="Normal 2 2 2 2 2 2 17 2 4" xfId="10882" xr:uid="{00000000-0005-0000-0000-0000572A0000}"/>
    <cellStyle name="Normal 2 2 2 2 2 2 17 2 5" xfId="10883" xr:uid="{00000000-0005-0000-0000-0000582A0000}"/>
    <cellStyle name="Normal 2 2 2 2 2 2 17 2 6" xfId="10884" xr:uid="{00000000-0005-0000-0000-0000592A0000}"/>
    <cellStyle name="Normal 2 2 2 2 2 2 17 2 7" xfId="10885" xr:uid="{00000000-0005-0000-0000-00005A2A0000}"/>
    <cellStyle name="Normal 2 2 2 2 2 2 17 2 8" xfId="10886" xr:uid="{00000000-0005-0000-0000-00005B2A0000}"/>
    <cellStyle name="Normal 2 2 2 2 2 2 17 2 9" xfId="10887" xr:uid="{00000000-0005-0000-0000-00005C2A0000}"/>
    <cellStyle name="Normal 2 2 2 2 2 2 17 3" xfId="10888" xr:uid="{00000000-0005-0000-0000-00005D2A0000}"/>
    <cellStyle name="Normal 2 2 2 2 2 2 17 3 10" xfId="10889" xr:uid="{00000000-0005-0000-0000-00005E2A0000}"/>
    <cellStyle name="Normal 2 2 2 2 2 2 17 3 2" xfId="10890" xr:uid="{00000000-0005-0000-0000-00005F2A0000}"/>
    <cellStyle name="Normal 2 2 2 2 2 2 17 3 3" xfId="10891" xr:uid="{00000000-0005-0000-0000-0000602A0000}"/>
    <cellStyle name="Normal 2 2 2 2 2 2 17 3 4" xfId="10892" xr:uid="{00000000-0005-0000-0000-0000612A0000}"/>
    <cellStyle name="Normal 2 2 2 2 2 2 17 3 5" xfId="10893" xr:uid="{00000000-0005-0000-0000-0000622A0000}"/>
    <cellStyle name="Normal 2 2 2 2 2 2 17 3 6" xfId="10894" xr:uid="{00000000-0005-0000-0000-0000632A0000}"/>
    <cellStyle name="Normal 2 2 2 2 2 2 17 3 7" xfId="10895" xr:uid="{00000000-0005-0000-0000-0000642A0000}"/>
    <cellStyle name="Normal 2 2 2 2 2 2 17 3 8" xfId="10896" xr:uid="{00000000-0005-0000-0000-0000652A0000}"/>
    <cellStyle name="Normal 2 2 2 2 2 2 17 3 9" xfId="10897" xr:uid="{00000000-0005-0000-0000-0000662A0000}"/>
    <cellStyle name="Normal 2 2 2 2 2 2 17 4" xfId="10898" xr:uid="{00000000-0005-0000-0000-0000672A0000}"/>
    <cellStyle name="Normal 2 2 2 2 2 2 17 4 10" xfId="10899" xr:uid="{00000000-0005-0000-0000-0000682A0000}"/>
    <cellStyle name="Normal 2 2 2 2 2 2 17 4 2" xfId="10900" xr:uid="{00000000-0005-0000-0000-0000692A0000}"/>
    <cellStyle name="Normal 2 2 2 2 2 2 17 4 3" xfId="10901" xr:uid="{00000000-0005-0000-0000-00006A2A0000}"/>
    <cellStyle name="Normal 2 2 2 2 2 2 17 4 4" xfId="10902" xr:uid="{00000000-0005-0000-0000-00006B2A0000}"/>
    <cellStyle name="Normal 2 2 2 2 2 2 17 4 5" xfId="10903" xr:uid="{00000000-0005-0000-0000-00006C2A0000}"/>
    <cellStyle name="Normal 2 2 2 2 2 2 17 4 6" xfId="10904" xr:uid="{00000000-0005-0000-0000-00006D2A0000}"/>
    <cellStyle name="Normal 2 2 2 2 2 2 17 4 7" xfId="10905" xr:uid="{00000000-0005-0000-0000-00006E2A0000}"/>
    <cellStyle name="Normal 2 2 2 2 2 2 17 4 8" xfId="10906" xr:uid="{00000000-0005-0000-0000-00006F2A0000}"/>
    <cellStyle name="Normal 2 2 2 2 2 2 17 4 9" xfId="10907" xr:uid="{00000000-0005-0000-0000-0000702A0000}"/>
    <cellStyle name="Normal 2 2 2 2 2 2 17 5" xfId="10908" xr:uid="{00000000-0005-0000-0000-0000712A0000}"/>
    <cellStyle name="Normal 2 2 2 2 2 2 17 5 10" xfId="10909" xr:uid="{00000000-0005-0000-0000-0000722A0000}"/>
    <cellStyle name="Normal 2 2 2 2 2 2 17 5 2" xfId="10910" xr:uid="{00000000-0005-0000-0000-0000732A0000}"/>
    <cellStyle name="Normal 2 2 2 2 2 2 17 5 3" xfId="10911" xr:uid="{00000000-0005-0000-0000-0000742A0000}"/>
    <cellStyle name="Normal 2 2 2 2 2 2 17 5 4" xfId="10912" xr:uid="{00000000-0005-0000-0000-0000752A0000}"/>
    <cellStyle name="Normal 2 2 2 2 2 2 17 5 5" xfId="10913" xr:uid="{00000000-0005-0000-0000-0000762A0000}"/>
    <cellStyle name="Normal 2 2 2 2 2 2 17 5 6" xfId="10914" xr:uid="{00000000-0005-0000-0000-0000772A0000}"/>
    <cellStyle name="Normal 2 2 2 2 2 2 17 5 7" xfId="10915" xr:uid="{00000000-0005-0000-0000-0000782A0000}"/>
    <cellStyle name="Normal 2 2 2 2 2 2 17 5 8" xfId="10916" xr:uid="{00000000-0005-0000-0000-0000792A0000}"/>
    <cellStyle name="Normal 2 2 2 2 2 2 17 5 9" xfId="10917" xr:uid="{00000000-0005-0000-0000-00007A2A0000}"/>
    <cellStyle name="Normal 2 2 2 2 2 2 17 6" xfId="10918" xr:uid="{00000000-0005-0000-0000-00007B2A0000}"/>
    <cellStyle name="Normal 2 2 2 2 2 2 17 7" xfId="10919" xr:uid="{00000000-0005-0000-0000-00007C2A0000}"/>
    <cellStyle name="Normal 2 2 2 2 2 2 17 8" xfId="10920" xr:uid="{00000000-0005-0000-0000-00007D2A0000}"/>
    <cellStyle name="Normal 2 2 2 2 2 2 17 9" xfId="10921" xr:uid="{00000000-0005-0000-0000-00007E2A0000}"/>
    <cellStyle name="Normal 2 2 2 2 2 2 18" xfId="10922" xr:uid="{00000000-0005-0000-0000-00007F2A0000}"/>
    <cellStyle name="Normal 2 2 2 2 2 2 18 10" xfId="10923" xr:uid="{00000000-0005-0000-0000-0000802A0000}"/>
    <cellStyle name="Normal 2 2 2 2 2 2 18 11" xfId="10924" xr:uid="{00000000-0005-0000-0000-0000812A0000}"/>
    <cellStyle name="Normal 2 2 2 2 2 2 18 12" xfId="10925" xr:uid="{00000000-0005-0000-0000-0000822A0000}"/>
    <cellStyle name="Normal 2 2 2 2 2 2 18 13" xfId="10926" xr:uid="{00000000-0005-0000-0000-0000832A0000}"/>
    <cellStyle name="Normal 2 2 2 2 2 2 18 14" xfId="10927" xr:uid="{00000000-0005-0000-0000-0000842A0000}"/>
    <cellStyle name="Normal 2 2 2 2 2 2 18 2" xfId="10928" xr:uid="{00000000-0005-0000-0000-0000852A0000}"/>
    <cellStyle name="Normal 2 2 2 2 2 2 18 2 10" xfId="10929" xr:uid="{00000000-0005-0000-0000-0000862A0000}"/>
    <cellStyle name="Normal 2 2 2 2 2 2 18 2 2" xfId="10930" xr:uid="{00000000-0005-0000-0000-0000872A0000}"/>
    <cellStyle name="Normal 2 2 2 2 2 2 18 2 3" xfId="10931" xr:uid="{00000000-0005-0000-0000-0000882A0000}"/>
    <cellStyle name="Normal 2 2 2 2 2 2 18 2 4" xfId="10932" xr:uid="{00000000-0005-0000-0000-0000892A0000}"/>
    <cellStyle name="Normal 2 2 2 2 2 2 18 2 5" xfId="10933" xr:uid="{00000000-0005-0000-0000-00008A2A0000}"/>
    <cellStyle name="Normal 2 2 2 2 2 2 18 2 6" xfId="10934" xr:uid="{00000000-0005-0000-0000-00008B2A0000}"/>
    <cellStyle name="Normal 2 2 2 2 2 2 18 2 7" xfId="10935" xr:uid="{00000000-0005-0000-0000-00008C2A0000}"/>
    <cellStyle name="Normal 2 2 2 2 2 2 18 2 8" xfId="10936" xr:uid="{00000000-0005-0000-0000-00008D2A0000}"/>
    <cellStyle name="Normal 2 2 2 2 2 2 18 2 9" xfId="10937" xr:uid="{00000000-0005-0000-0000-00008E2A0000}"/>
    <cellStyle name="Normal 2 2 2 2 2 2 18 3" xfId="10938" xr:uid="{00000000-0005-0000-0000-00008F2A0000}"/>
    <cellStyle name="Normal 2 2 2 2 2 2 18 3 10" xfId="10939" xr:uid="{00000000-0005-0000-0000-0000902A0000}"/>
    <cellStyle name="Normal 2 2 2 2 2 2 18 3 2" xfId="10940" xr:uid="{00000000-0005-0000-0000-0000912A0000}"/>
    <cellStyle name="Normal 2 2 2 2 2 2 18 3 3" xfId="10941" xr:uid="{00000000-0005-0000-0000-0000922A0000}"/>
    <cellStyle name="Normal 2 2 2 2 2 2 18 3 4" xfId="10942" xr:uid="{00000000-0005-0000-0000-0000932A0000}"/>
    <cellStyle name="Normal 2 2 2 2 2 2 18 3 5" xfId="10943" xr:uid="{00000000-0005-0000-0000-0000942A0000}"/>
    <cellStyle name="Normal 2 2 2 2 2 2 18 3 6" xfId="10944" xr:uid="{00000000-0005-0000-0000-0000952A0000}"/>
    <cellStyle name="Normal 2 2 2 2 2 2 18 3 7" xfId="10945" xr:uid="{00000000-0005-0000-0000-0000962A0000}"/>
    <cellStyle name="Normal 2 2 2 2 2 2 18 3 8" xfId="10946" xr:uid="{00000000-0005-0000-0000-0000972A0000}"/>
    <cellStyle name="Normal 2 2 2 2 2 2 18 3 9" xfId="10947" xr:uid="{00000000-0005-0000-0000-0000982A0000}"/>
    <cellStyle name="Normal 2 2 2 2 2 2 18 4" xfId="10948" xr:uid="{00000000-0005-0000-0000-0000992A0000}"/>
    <cellStyle name="Normal 2 2 2 2 2 2 18 4 10" xfId="10949" xr:uid="{00000000-0005-0000-0000-00009A2A0000}"/>
    <cellStyle name="Normal 2 2 2 2 2 2 18 4 2" xfId="10950" xr:uid="{00000000-0005-0000-0000-00009B2A0000}"/>
    <cellStyle name="Normal 2 2 2 2 2 2 18 4 3" xfId="10951" xr:uid="{00000000-0005-0000-0000-00009C2A0000}"/>
    <cellStyle name="Normal 2 2 2 2 2 2 18 4 4" xfId="10952" xr:uid="{00000000-0005-0000-0000-00009D2A0000}"/>
    <cellStyle name="Normal 2 2 2 2 2 2 18 4 5" xfId="10953" xr:uid="{00000000-0005-0000-0000-00009E2A0000}"/>
    <cellStyle name="Normal 2 2 2 2 2 2 18 4 6" xfId="10954" xr:uid="{00000000-0005-0000-0000-00009F2A0000}"/>
    <cellStyle name="Normal 2 2 2 2 2 2 18 4 7" xfId="10955" xr:uid="{00000000-0005-0000-0000-0000A02A0000}"/>
    <cellStyle name="Normal 2 2 2 2 2 2 18 4 8" xfId="10956" xr:uid="{00000000-0005-0000-0000-0000A12A0000}"/>
    <cellStyle name="Normal 2 2 2 2 2 2 18 4 9" xfId="10957" xr:uid="{00000000-0005-0000-0000-0000A22A0000}"/>
    <cellStyle name="Normal 2 2 2 2 2 2 18 5" xfId="10958" xr:uid="{00000000-0005-0000-0000-0000A32A0000}"/>
    <cellStyle name="Normal 2 2 2 2 2 2 18 5 10" xfId="10959" xr:uid="{00000000-0005-0000-0000-0000A42A0000}"/>
    <cellStyle name="Normal 2 2 2 2 2 2 18 5 2" xfId="10960" xr:uid="{00000000-0005-0000-0000-0000A52A0000}"/>
    <cellStyle name="Normal 2 2 2 2 2 2 18 5 3" xfId="10961" xr:uid="{00000000-0005-0000-0000-0000A62A0000}"/>
    <cellStyle name="Normal 2 2 2 2 2 2 18 5 4" xfId="10962" xr:uid="{00000000-0005-0000-0000-0000A72A0000}"/>
    <cellStyle name="Normal 2 2 2 2 2 2 18 5 5" xfId="10963" xr:uid="{00000000-0005-0000-0000-0000A82A0000}"/>
    <cellStyle name="Normal 2 2 2 2 2 2 18 5 6" xfId="10964" xr:uid="{00000000-0005-0000-0000-0000A92A0000}"/>
    <cellStyle name="Normal 2 2 2 2 2 2 18 5 7" xfId="10965" xr:uid="{00000000-0005-0000-0000-0000AA2A0000}"/>
    <cellStyle name="Normal 2 2 2 2 2 2 18 5 8" xfId="10966" xr:uid="{00000000-0005-0000-0000-0000AB2A0000}"/>
    <cellStyle name="Normal 2 2 2 2 2 2 18 5 9" xfId="10967" xr:uid="{00000000-0005-0000-0000-0000AC2A0000}"/>
    <cellStyle name="Normal 2 2 2 2 2 2 18 6" xfId="10968" xr:uid="{00000000-0005-0000-0000-0000AD2A0000}"/>
    <cellStyle name="Normal 2 2 2 2 2 2 18 7" xfId="10969" xr:uid="{00000000-0005-0000-0000-0000AE2A0000}"/>
    <cellStyle name="Normal 2 2 2 2 2 2 18 8" xfId="10970" xr:uid="{00000000-0005-0000-0000-0000AF2A0000}"/>
    <cellStyle name="Normal 2 2 2 2 2 2 18 9" xfId="10971" xr:uid="{00000000-0005-0000-0000-0000B02A0000}"/>
    <cellStyle name="Normal 2 2 2 2 2 2 19" xfId="10972" xr:uid="{00000000-0005-0000-0000-0000B12A0000}"/>
    <cellStyle name="Normal 2 2 2 2 2 2 19 10" xfId="10973" xr:uid="{00000000-0005-0000-0000-0000B22A0000}"/>
    <cellStyle name="Normal 2 2 2 2 2 2 19 11" xfId="10974" xr:uid="{00000000-0005-0000-0000-0000B32A0000}"/>
    <cellStyle name="Normal 2 2 2 2 2 2 19 12" xfId="10975" xr:uid="{00000000-0005-0000-0000-0000B42A0000}"/>
    <cellStyle name="Normal 2 2 2 2 2 2 19 13" xfId="10976" xr:uid="{00000000-0005-0000-0000-0000B52A0000}"/>
    <cellStyle name="Normal 2 2 2 2 2 2 19 14" xfId="10977" xr:uid="{00000000-0005-0000-0000-0000B62A0000}"/>
    <cellStyle name="Normal 2 2 2 2 2 2 19 2" xfId="10978" xr:uid="{00000000-0005-0000-0000-0000B72A0000}"/>
    <cellStyle name="Normal 2 2 2 2 2 2 19 2 10" xfId="10979" xr:uid="{00000000-0005-0000-0000-0000B82A0000}"/>
    <cellStyle name="Normal 2 2 2 2 2 2 19 2 2" xfId="10980" xr:uid="{00000000-0005-0000-0000-0000B92A0000}"/>
    <cellStyle name="Normal 2 2 2 2 2 2 19 2 3" xfId="10981" xr:uid="{00000000-0005-0000-0000-0000BA2A0000}"/>
    <cellStyle name="Normal 2 2 2 2 2 2 19 2 4" xfId="10982" xr:uid="{00000000-0005-0000-0000-0000BB2A0000}"/>
    <cellStyle name="Normal 2 2 2 2 2 2 19 2 5" xfId="10983" xr:uid="{00000000-0005-0000-0000-0000BC2A0000}"/>
    <cellStyle name="Normal 2 2 2 2 2 2 19 2 6" xfId="10984" xr:uid="{00000000-0005-0000-0000-0000BD2A0000}"/>
    <cellStyle name="Normal 2 2 2 2 2 2 19 2 7" xfId="10985" xr:uid="{00000000-0005-0000-0000-0000BE2A0000}"/>
    <cellStyle name="Normal 2 2 2 2 2 2 19 2 8" xfId="10986" xr:uid="{00000000-0005-0000-0000-0000BF2A0000}"/>
    <cellStyle name="Normal 2 2 2 2 2 2 19 2 9" xfId="10987" xr:uid="{00000000-0005-0000-0000-0000C02A0000}"/>
    <cellStyle name="Normal 2 2 2 2 2 2 19 3" xfId="10988" xr:uid="{00000000-0005-0000-0000-0000C12A0000}"/>
    <cellStyle name="Normal 2 2 2 2 2 2 19 3 10" xfId="10989" xr:uid="{00000000-0005-0000-0000-0000C22A0000}"/>
    <cellStyle name="Normal 2 2 2 2 2 2 19 3 2" xfId="10990" xr:uid="{00000000-0005-0000-0000-0000C32A0000}"/>
    <cellStyle name="Normal 2 2 2 2 2 2 19 3 3" xfId="10991" xr:uid="{00000000-0005-0000-0000-0000C42A0000}"/>
    <cellStyle name="Normal 2 2 2 2 2 2 19 3 4" xfId="10992" xr:uid="{00000000-0005-0000-0000-0000C52A0000}"/>
    <cellStyle name="Normal 2 2 2 2 2 2 19 3 5" xfId="10993" xr:uid="{00000000-0005-0000-0000-0000C62A0000}"/>
    <cellStyle name="Normal 2 2 2 2 2 2 19 3 6" xfId="10994" xr:uid="{00000000-0005-0000-0000-0000C72A0000}"/>
    <cellStyle name="Normal 2 2 2 2 2 2 19 3 7" xfId="10995" xr:uid="{00000000-0005-0000-0000-0000C82A0000}"/>
    <cellStyle name="Normal 2 2 2 2 2 2 19 3 8" xfId="10996" xr:uid="{00000000-0005-0000-0000-0000C92A0000}"/>
    <cellStyle name="Normal 2 2 2 2 2 2 19 3 9" xfId="10997" xr:uid="{00000000-0005-0000-0000-0000CA2A0000}"/>
    <cellStyle name="Normal 2 2 2 2 2 2 19 4" xfId="10998" xr:uid="{00000000-0005-0000-0000-0000CB2A0000}"/>
    <cellStyle name="Normal 2 2 2 2 2 2 19 4 10" xfId="10999" xr:uid="{00000000-0005-0000-0000-0000CC2A0000}"/>
    <cellStyle name="Normal 2 2 2 2 2 2 19 4 2" xfId="11000" xr:uid="{00000000-0005-0000-0000-0000CD2A0000}"/>
    <cellStyle name="Normal 2 2 2 2 2 2 19 4 3" xfId="11001" xr:uid="{00000000-0005-0000-0000-0000CE2A0000}"/>
    <cellStyle name="Normal 2 2 2 2 2 2 19 4 4" xfId="11002" xr:uid="{00000000-0005-0000-0000-0000CF2A0000}"/>
    <cellStyle name="Normal 2 2 2 2 2 2 19 4 5" xfId="11003" xr:uid="{00000000-0005-0000-0000-0000D02A0000}"/>
    <cellStyle name="Normal 2 2 2 2 2 2 19 4 6" xfId="11004" xr:uid="{00000000-0005-0000-0000-0000D12A0000}"/>
    <cellStyle name="Normal 2 2 2 2 2 2 19 4 7" xfId="11005" xr:uid="{00000000-0005-0000-0000-0000D22A0000}"/>
    <cellStyle name="Normal 2 2 2 2 2 2 19 4 8" xfId="11006" xr:uid="{00000000-0005-0000-0000-0000D32A0000}"/>
    <cellStyle name="Normal 2 2 2 2 2 2 19 4 9" xfId="11007" xr:uid="{00000000-0005-0000-0000-0000D42A0000}"/>
    <cellStyle name="Normal 2 2 2 2 2 2 19 5" xfId="11008" xr:uid="{00000000-0005-0000-0000-0000D52A0000}"/>
    <cellStyle name="Normal 2 2 2 2 2 2 19 5 10" xfId="11009" xr:uid="{00000000-0005-0000-0000-0000D62A0000}"/>
    <cellStyle name="Normal 2 2 2 2 2 2 19 5 2" xfId="11010" xr:uid="{00000000-0005-0000-0000-0000D72A0000}"/>
    <cellStyle name="Normal 2 2 2 2 2 2 19 5 3" xfId="11011" xr:uid="{00000000-0005-0000-0000-0000D82A0000}"/>
    <cellStyle name="Normal 2 2 2 2 2 2 19 5 4" xfId="11012" xr:uid="{00000000-0005-0000-0000-0000D92A0000}"/>
    <cellStyle name="Normal 2 2 2 2 2 2 19 5 5" xfId="11013" xr:uid="{00000000-0005-0000-0000-0000DA2A0000}"/>
    <cellStyle name="Normal 2 2 2 2 2 2 19 5 6" xfId="11014" xr:uid="{00000000-0005-0000-0000-0000DB2A0000}"/>
    <cellStyle name="Normal 2 2 2 2 2 2 19 5 7" xfId="11015" xr:uid="{00000000-0005-0000-0000-0000DC2A0000}"/>
    <cellStyle name="Normal 2 2 2 2 2 2 19 5 8" xfId="11016" xr:uid="{00000000-0005-0000-0000-0000DD2A0000}"/>
    <cellStyle name="Normal 2 2 2 2 2 2 19 5 9" xfId="11017" xr:uid="{00000000-0005-0000-0000-0000DE2A0000}"/>
    <cellStyle name="Normal 2 2 2 2 2 2 19 6" xfId="11018" xr:uid="{00000000-0005-0000-0000-0000DF2A0000}"/>
    <cellStyle name="Normal 2 2 2 2 2 2 19 7" xfId="11019" xr:uid="{00000000-0005-0000-0000-0000E02A0000}"/>
    <cellStyle name="Normal 2 2 2 2 2 2 19 8" xfId="11020" xr:uid="{00000000-0005-0000-0000-0000E12A0000}"/>
    <cellStyle name="Normal 2 2 2 2 2 2 19 9" xfId="11021" xr:uid="{00000000-0005-0000-0000-0000E22A0000}"/>
    <cellStyle name="Normal 2 2 2 2 2 2 2" xfId="11022" xr:uid="{00000000-0005-0000-0000-0000E32A0000}"/>
    <cellStyle name="Normal 2 2 2 2 2 2 2 10" xfId="11023" xr:uid="{00000000-0005-0000-0000-0000E42A0000}"/>
    <cellStyle name="Normal 2 2 2 2 2 2 2 11" xfId="11024" xr:uid="{00000000-0005-0000-0000-0000E52A0000}"/>
    <cellStyle name="Normal 2 2 2 2 2 2 2 12" xfId="11025" xr:uid="{00000000-0005-0000-0000-0000E62A0000}"/>
    <cellStyle name="Normal 2 2 2 2 2 2 2 13" xfId="11026" xr:uid="{00000000-0005-0000-0000-0000E72A0000}"/>
    <cellStyle name="Normal 2 2 2 2 2 2 2 14" xfId="11027" xr:uid="{00000000-0005-0000-0000-0000E82A0000}"/>
    <cellStyle name="Normal 2 2 2 2 2 2 2 15" xfId="11028" xr:uid="{00000000-0005-0000-0000-0000E92A0000}"/>
    <cellStyle name="Normal 2 2 2 2 2 2 2 16" xfId="11029" xr:uid="{00000000-0005-0000-0000-0000EA2A0000}"/>
    <cellStyle name="Normal 2 2 2 2 2 2 2 2" xfId="11030" xr:uid="{00000000-0005-0000-0000-0000EB2A0000}"/>
    <cellStyle name="Normal 2 2 2 2 2 2 2 2 10" xfId="11031" xr:uid="{00000000-0005-0000-0000-0000EC2A0000}"/>
    <cellStyle name="Normal 2 2 2 2 2 2 2 2 11" xfId="11032" xr:uid="{00000000-0005-0000-0000-0000ED2A0000}"/>
    <cellStyle name="Normal 2 2 2 2 2 2 2 2 12" xfId="11033" xr:uid="{00000000-0005-0000-0000-0000EE2A0000}"/>
    <cellStyle name="Normal 2 2 2 2 2 2 2 2 2" xfId="11034" xr:uid="{00000000-0005-0000-0000-0000EF2A0000}"/>
    <cellStyle name="Normal 2 2 2 2 2 2 2 2 3" xfId="11035" xr:uid="{00000000-0005-0000-0000-0000F02A0000}"/>
    <cellStyle name="Normal 2 2 2 2 2 2 2 2 4" xfId="11036" xr:uid="{00000000-0005-0000-0000-0000F12A0000}"/>
    <cellStyle name="Normal 2 2 2 2 2 2 2 2 5" xfId="11037" xr:uid="{00000000-0005-0000-0000-0000F22A0000}"/>
    <cellStyle name="Normal 2 2 2 2 2 2 2 2 6" xfId="11038" xr:uid="{00000000-0005-0000-0000-0000F32A0000}"/>
    <cellStyle name="Normal 2 2 2 2 2 2 2 2 7" xfId="11039" xr:uid="{00000000-0005-0000-0000-0000F42A0000}"/>
    <cellStyle name="Normal 2 2 2 2 2 2 2 2 8" xfId="11040" xr:uid="{00000000-0005-0000-0000-0000F52A0000}"/>
    <cellStyle name="Normal 2 2 2 2 2 2 2 2 9" xfId="11041" xr:uid="{00000000-0005-0000-0000-0000F62A0000}"/>
    <cellStyle name="Normal 2 2 2 2 2 2 2 3" xfId="11042" xr:uid="{00000000-0005-0000-0000-0000F72A0000}"/>
    <cellStyle name="Normal 2 2 2 2 2 2 2 3 10" xfId="11043" xr:uid="{00000000-0005-0000-0000-0000F82A0000}"/>
    <cellStyle name="Normal 2 2 2 2 2 2 2 3 2" xfId="11044" xr:uid="{00000000-0005-0000-0000-0000F92A0000}"/>
    <cellStyle name="Normal 2 2 2 2 2 2 2 3 3" xfId="11045" xr:uid="{00000000-0005-0000-0000-0000FA2A0000}"/>
    <cellStyle name="Normal 2 2 2 2 2 2 2 3 4" xfId="11046" xr:uid="{00000000-0005-0000-0000-0000FB2A0000}"/>
    <cellStyle name="Normal 2 2 2 2 2 2 2 3 5" xfId="11047" xr:uid="{00000000-0005-0000-0000-0000FC2A0000}"/>
    <cellStyle name="Normal 2 2 2 2 2 2 2 3 6" xfId="11048" xr:uid="{00000000-0005-0000-0000-0000FD2A0000}"/>
    <cellStyle name="Normal 2 2 2 2 2 2 2 3 7" xfId="11049" xr:uid="{00000000-0005-0000-0000-0000FE2A0000}"/>
    <cellStyle name="Normal 2 2 2 2 2 2 2 3 8" xfId="11050" xr:uid="{00000000-0005-0000-0000-0000FF2A0000}"/>
    <cellStyle name="Normal 2 2 2 2 2 2 2 3 9" xfId="11051" xr:uid="{00000000-0005-0000-0000-0000002B0000}"/>
    <cellStyle name="Normal 2 2 2 2 2 2 2 4" xfId="11052" xr:uid="{00000000-0005-0000-0000-0000012B0000}"/>
    <cellStyle name="Normal 2 2 2 2 2 2 2 4 10" xfId="11053" xr:uid="{00000000-0005-0000-0000-0000022B0000}"/>
    <cellStyle name="Normal 2 2 2 2 2 2 2 4 2" xfId="11054" xr:uid="{00000000-0005-0000-0000-0000032B0000}"/>
    <cellStyle name="Normal 2 2 2 2 2 2 2 4 3" xfId="11055" xr:uid="{00000000-0005-0000-0000-0000042B0000}"/>
    <cellStyle name="Normal 2 2 2 2 2 2 2 4 4" xfId="11056" xr:uid="{00000000-0005-0000-0000-0000052B0000}"/>
    <cellStyle name="Normal 2 2 2 2 2 2 2 4 5" xfId="11057" xr:uid="{00000000-0005-0000-0000-0000062B0000}"/>
    <cellStyle name="Normal 2 2 2 2 2 2 2 4 6" xfId="11058" xr:uid="{00000000-0005-0000-0000-0000072B0000}"/>
    <cellStyle name="Normal 2 2 2 2 2 2 2 4 7" xfId="11059" xr:uid="{00000000-0005-0000-0000-0000082B0000}"/>
    <cellStyle name="Normal 2 2 2 2 2 2 2 4 8" xfId="11060" xr:uid="{00000000-0005-0000-0000-0000092B0000}"/>
    <cellStyle name="Normal 2 2 2 2 2 2 2 4 9" xfId="11061" xr:uid="{00000000-0005-0000-0000-00000A2B0000}"/>
    <cellStyle name="Normal 2 2 2 2 2 2 2 5" xfId="11062" xr:uid="{00000000-0005-0000-0000-00000B2B0000}"/>
    <cellStyle name="Normal 2 2 2 2 2 2 2 5 10" xfId="11063" xr:uid="{00000000-0005-0000-0000-00000C2B0000}"/>
    <cellStyle name="Normal 2 2 2 2 2 2 2 5 2" xfId="11064" xr:uid="{00000000-0005-0000-0000-00000D2B0000}"/>
    <cellStyle name="Normal 2 2 2 2 2 2 2 5 3" xfId="11065" xr:uid="{00000000-0005-0000-0000-00000E2B0000}"/>
    <cellStyle name="Normal 2 2 2 2 2 2 2 5 4" xfId="11066" xr:uid="{00000000-0005-0000-0000-00000F2B0000}"/>
    <cellStyle name="Normal 2 2 2 2 2 2 2 5 5" xfId="11067" xr:uid="{00000000-0005-0000-0000-0000102B0000}"/>
    <cellStyle name="Normal 2 2 2 2 2 2 2 5 6" xfId="11068" xr:uid="{00000000-0005-0000-0000-0000112B0000}"/>
    <cellStyle name="Normal 2 2 2 2 2 2 2 5 7" xfId="11069" xr:uid="{00000000-0005-0000-0000-0000122B0000}"/>
    <cellStyle name="Normal 2 2 2 2 2 2 2 5 8" xfId="11070" xr:uid="{00000000-0005-0000-0000-0000132B0000}"/>
    <cellStyle name="Normal 2 2 2 2 2 2 2 5 9" xfId="11071" xr:uid="{00000000-0005-0000-0000-0000142B0000}"/>
    <cellStyle name="Normal 2 2 2 2 2 2 2 6" xfId="11072" xr:uid="{00000000-0005-0000-0000-0000152B0000}"/>
    <cellStyle name="Normal 2 2 2 2 2 2 2 7" xfId="11073" xr:uid="{00000000-0005-0000-0000-0000162B0000}"/>
    <cellStyle name="Normal 2 2 2 2 2 2 2 8" xfId="11074" xr:uid="{00000000-0005-0000-0000-0000172B0000}"/>
    <cellStyle name="Normal 2 2 2 2 2 2 2 9" xfId="11075" xr:uid="{00000000-0005-0000-0000-0000182B0000}"/>
    <cellStyle name="Normal 2 2 2 2 2 2 20" xfId="11076" xr:uid="{00000000-0005-0000-0000-0000192B0000}"/>
    <cellStyle name="Normal 2 2 2 2 2 2 20 10" xfId="11077" xr:uid="{00000000-0005-0000-0000-00001A2B0000}"/>
    <cellStyle name="Normal 2 2 2 2 2 2 20 11" xfId="11078" xr:uid="{00000000-0005-0000-0000-00001B2B0000}"/>
    <cellStyle name="Normal 2 2 2 2 2 2 20 12" xfId="11079" xr:uid="{00000000-0005-0000-0000-00001C2B0000}"/>
    <cellStyle name="Normal 2 2 2 2 2 2 20 13" xfId="11080" xr:uid="{00000000-0005-0000-0000-00001D2B0000}"/>
    <cellStyle name="Normal 2 2 2 2 2 2 20 14" xfId="11081" xr:uid="{00000000-0005-0000-0000-00001E2B0000}"/>
    <cellStyle name="Normal 2 2 2 2 2 2 20 2" xfId="11082" xr:uid="{00000000-0005-0000-0000-00001F2B0000}"/>
    <cellStyle name="Normal 2 2 2 2 2 2 20 2 10" xfId="11083" xr:uid="{00000000-0005-0000-0000-0000202B0000}"/>
    <cellStyle name="Normal 2 2 2 2 2 2 20 2 2" xfId="11084" xr:uid="{00000000-0005-0000-0000-0000212B0000}"/>
    <cellStyle name="Normal 2 2 2 2 2 2 20 2 3" xfId="11085" xr:uid="{00000000-0005-0000-0000-0000222B0000}"/>
    <cellStyle name="Normal 2 2 2 2 2 2 20 2 4" xfId="11086" xr:uid="{00000000-0005-0000-0000-0000232B0000}"/>
    <cellStyle name="Normal 2 2 2 2 2 2 20 2 5" xfId="11087" xr:uid="{00000000-0005-0000-0000-0000242B0000}"/>
    <cellStyle name="Normal 2 2 2 2 2 2 20 2 6" xfId="11088" xr:uid="{00000000-0005-0000-0000-0000252B0000}"/>
    <cellStyle name="Normal 2 2 2 2 2 2 20 2 7" xfId="11089" xr:uid="{00000000-0005-0000-0000-0000262B0000}"/>
    <cellStyle name="Normal 2 2 2 2 2 2 20 2 8" xfId="11090" xr:uid="{00000000-0005-0000-0000-0000272B0000}"/>
    <cellStyle name="Normal 2 2 2 2 2 2 20 2 9" xfId="11091" xr:uid="{00000000-0005-0000-0000-0000282B0000}"/>
    <cellStyle name="Normal 2 2 2 2 2 2 20 3" xfId="11092" xr:uid="{00000000-0005-0000-0000-0000292B0000}"/>
    <cellStyle name="Normal 2 2 2 2 2 2 20 3 10" xfId="11093" xr:uid="{00000000-0005-0000-0000-00002A2B0000}"/>
    <cellStyle name="Normal 2 2 2 2 2 2 20 3 2" xfId="11094" xr:uid="{00000000-0005-0000-0000-00002B2B0000}"/>
    <cellStyle name="Normal 2 2 2 2 2 2 20 3 3" xfId="11095" xr:uid="{00000000-0005-0000-0000-00002C2B0000}"/>
    <cellStyle name="Normal 2 2 2 2 2 2 20 3 4" xfId="11096" xr:uid="{00000000-0005-0000-0000-00002D2B0000}"/>
    <cellStyle name="Normal 2 2 2 2 2 2 20 3 5" xfId="11097" xr:uid="{00000000-0005-0000-0000-00002E2B0000}"/>
    <cellStyle name="Normal 2 2 2 2 2 2 20 3 6" xfId="11098" xr:uid="{00000000-0005-0000-0000-00002F2B0000}"/>
    <cellStyle name="Normal 2 2 2 2 2 2 20 3 7" xfId="11099" xr:uid="{00000000-0005-0000-0000-0000302B0000}"/>
    <cellStyle name="Normal 2 2 2 2 2 2 20 3 8" xfId="11100" xr:uid="{00000000-0005-0000-0000-0000312B0000}"/>
    <cellStyle name="Normal 2 2 2 2 2 2 20 3 9" xfId="11101" xr:uid="{00000000-0005-0000-0000-0000322B0000}"/>
    <cellStyle name="Normal 2 2 2 2 2 2 20 4" xfId="11102" xr:uid="{00000000-0005-0000-0000-0000332B0000}"/>
    <cellStyle name="Normal 2 2 2 2 2 2 20 4 10" xfId="11103" xr:uid="{00000000-0005-0000-0000-0000342B0000}"/>
    <cellStyle name="Normal 2 2 2 2 2 2 20 4 2" xfId="11104" xr:uid="{00000000-0005-0000-0000-0000352B0000}"/>
    <cellStyle name="Normal 2 2 2 2 2 2 20 4 3" xfId="11105" xr:uid="{00000000-0005-0000-0000-0000362B0000}"/>
    <cellStyle name="Normal 2 2 2 2 2 2 20 4 4" xfId="11106" xr:uid="{00000000-0005-0000-0000-0000372B0000}"/>
    <cellStyle name="Normal 2 2 2 2 2 2 20 4 5" xfId="11107" xr:uid="{00000000-0005-0000-0000-0000382B0000}"/>
    <cellStyle name="Normal 2 2 2 2 2 2 20 4 6" xfId="11108" xr:uid="{00000000-0005-0000-0000-0000392B0000}"/>
    <cellStyle name="Normal 2 2 2 2 2 2 20 4 7" xfId="11109" xr:uid="{00000000-0005-0000-0000-00003A2B0000}"/>
    <cellStyle name="Normal 2 2 2 2 2 2 20 4 8" xfId="11110" xr:uid="{00000000-0005-0000-0000-00003B2B0000}"/>
    <cellStyle name="Normal 2 2 2 2 2 2 20 4 9" xfId="11111" xr:uid="{00000000-0005-0000-0000-00003C2B0000}"/>
    <cellStyle name="Normal 2 2 2 2 2 2 20 5" xfId="11112" xr:uid="{00000000-0005-0000-0000-00003D2B0000}"/>
    <cellStyle name="Normal 2 2 2 2 2 2 20 5 10" xfId="11113" xr:uid="{00000000-0005-0000-0000-00003E2B0000}"/>
    <cellStyle name="Normal 2 2 2 2 2 2 20 5 2" xfId="11114" xr:uid="{00000000-0005-0000-0000-00003F2B0000}"/>
    <cellStyle name="Normal 2 2 2 2 2 2 20 5 3" xfId="11115" xr:uid="{00000000-0005-0000-0000-0000402B0000}"/>
    <cellStyle name="Normal 2 2 2 2 2 2 20 5 4" xfId="11116" xr:uid="{00000000-0005-0000-0000-0000412B0000}"/>
    <cellStyle name="Normal 2 2 2 2 2 2 20 5 5" xfId="11117" xr:uid="{00000000-0005-0000-0000-0000422B0000}"/>
    <cellStyle name="Normal 2 2 2 2 2 2 20 5 6" xfId="11118" xr:uid="{00000000-0005-0000-0000-0000432B0000}"/>
    <cellStyle name="Normal 2 2 2 2 2 2 20 5 7" xfId="11119" xr:uid="{00000000-0005-0000-0000-0000442B0000}"/>
    <cellStyle name="Normal 2 2 2 2 2 2 20 5 8" xfId="11120" xr:uid="{00000000-0005-0000-0000-0000452B0000}"/>
    <cellStyle name="Normal 2 2 2 2 2 2 20 5 9" xfId="11121" xr:uid="{00000000-0005-0000-0000-0000462B0000}"/>
    <cellStyle name="Normal 2 2 2 2 2 2 20 6" xfId="11122" xr:uid="{00000000-0005-0000-0000-0000472B0000}"/>
    <cellStyle name="Normal 2 2 2 2 2 2 20 7" xfId="11123" xr:uid="{00000000-0005-0000-0000-0000482B0000}"/>
    <cellStyle name="Normal 2 2 2 2 2 2 20 8" xfId="11124" xr:uid="{00000000-0005-0000-0000-0000492B0000}"/>
    <cellStyle name="Normal 2 2 2 2 2 2 20 9" xfId="11125" xr:uid="{00000000-0005-0000-0000-00004A2B0000}"/>
    <cellStyle name="Normal 2 2 2 2 2 2 21" xfId="11126" xr:uid="{00000000-0005-0000-0000-00004B2B0000}"/>
    <cellStyle name="Normal 2 2 2 2 2 2 21 10" xfId="11127" xr:uid="{00000000-0005-0000-0000-00004C2B0000}"/>
    <cellStyle name="Normal 2 2 2 2 2 2 21 11" xfId="11128" xr:uid="{00000000-0005-0000-0000-00004D2B0000}"/>
    <cellStyle name="Normal 2 2 2 2 2 2 21 12" xfId="11129" xr:uid="{00000000-0005-0000-0000-00004E2B0000}"/>
    <cellStyle name="Normal 2 2 2 2 2 2 21 13" xfId="11130" xr:uid="{00000000-0005-0000-0000-00004F2B0000}"/>
    <cellStyle name="Normal 2 2 2 2 2 2 21 14" xfId="11131" xr:uid="{00000000-0005-0000-0000-0000502B0000}"/>
    <cellStyle name="Normal 2 2 2 2 2 2 21 2" xfId="11132" xr:uid="{00000000-0005-0000-0000-0000512B0000}"/>
    <cellStyle name="Normal 2 2 2 2 2 2 21 2 10" xfId="11133" xr:uid="{00000000-0005-0000-0000-0000522B0000}"/>
    <cellStyle name="Normal 2 2 2 2 2 2 21 2 2" xfId="11134" xr:uid="{00000000-0005-0000-0000-0000532B0000}"/>
    <cellStyle name="Normal 2 2 2 2 2 2 21 2 3" xfId="11135" xr:uid="{00000000-0005-0000-0000-0000542B0000}"/>
    <cellStyle name="Normal 2 2 2 2 2 2 21 2 4" xfId="11136" xr:uid="{00000000-0005-0000-0000-0000552B0000}"/>
    <cellStyle name="Normal 2 2 2 2 2 2 21 2 5" xfId="11137" xr:uid="{00000000-0005-0000-0000-0000562B0000}"/>
    <cellStyle name="Normal 2 2 2 2 2 2 21 2 6" xfId="11138" xr:uid="{00000000-0005-0000-0000-0000572B0000}"/>
    <cellStyle name="Normal 2 2 2 2 2 2 21 2 7" xfId="11139" xr:uid="{00000000-0005-0000-0000-0000582B0000}"/>
    <cellStyle name="Normal 2 2 2 2 2 2 21 2 8" xfId="11140" xr:uid="{00000000-0005-0000-0000-0000592B0000}"/>
    <cellStyle name="Normal 2 2 2 2 2 2 21 2 9" xfId="11141" xr:uid="{00000000-0005-0000-0000-00005A2B0000}"/>
    <cellStyle name="Normal 2 2 2 2 2 2 21 3" xfId="11142" xr:uid="{00000000-0005-0000-0000-00005B2B0000}"/>
    <cellStyle name="Normal 2 2 2 2 2 2 21 3 10" xfId="11143" xr:uid="{00000000-0005-0000-0000-00005C2B0000}"/>
    <cellStyle name="Normal 2 2 2 2 2 2 21 3 2" xfId="11144" xr:uid="{00000000-0005-0000-0000-00005D2B0000}"/>
    <cellStyle name="Normal 2 2 2 2 2 2 21 3 3" xfId="11145" xr:uid="{00000000-0005-0000-0000-00005E2B0000}"/>
    <cellStyle name="Normal 2 2 2 2 2 2 21 3 4" xfId="11146" xr:uid="{00000000-0005-0000-0000-00005F2B0000}"/>
    <cellStyle name="Normal 2 2 2 2 2 2 21 3 5" xfId="11147" xr:uid="{00000000-0005-0000-0000-0000602B0000}"/>
    <cellStyle name="Normal 2 2 2 2 2 2 21 3 6" xfId="11148" xr:uid="{00000000-0005-0000-0000-0000612B0000}"/>
    <cellStyle name="Normal 2 2 2 2 2 2 21 3 7" xfId="11149" xr:uid="{00000000-0005-0000-0000-0000622B0000}"/>
    <cellStyle name="Normal 2 2 2 2 2 2 21 3 8" xfId="11150" xr:uid="{00000000-0005-0000-0000-0000632B0000}"/>
    <cellStyle name="Normal 2 2 2 2 2 2 21 3 9" xfId="11151" xr:uid="{00000000-0005-0000-0000-0000642B0000}"/>
    <cellStyle name="Normal 2 2 2 2 2 2 21 4" xfId="11152" xr:uid="{00000000-0005-0000-0000-0000652B0000}"/>
    <cellStyle name="Normal 2 2 2 2 2 2 21 4 10" xfId="11153" xr:uid="{00000000-0005-0000-0000-0000662B0000}"/>
    <cellStyle name="Normal 2 2 2 2 2 2 21 4 2" xfId="11154" xr:uid="{00000000-0005-0000-0000-0000672B0000}"/>
    <cellStyle name="Normal 2 2 2 2 2 2 21 4 3" xfId="11155" xr:uid="{00000000-0005-0000-0000-0000682B0000}"/>
    <cellStyle name="Normal 2 2 2 2 2 2 21 4 4" xfId="11156" xr:uid="{00000000-0005-0000-0000-0000692B0000}"/>
    <cellStyle name="Normal 2 2 2 2 2 2 21 4 5" xfId="11157" xr:uid="{00000000-0005-0000-0000-00006A2B0000}"/>
    <cellStyle name="Normal 2 2 2 2 2 2 21 4 6" xfId="11158" xr:uid="{00000000-0005-0000-0000-00006B2B0000}"/>
    <cellStyle name="Normal 2 2 2 2 2 2 21 4 7" xfId="11159" xr:uid="{00000000-0005-0000-0000-00006C2B0000}"/>
    <cellStyle name="Normal 2 2 2 2 2 2 21 4 8" xfId="11160" xr:uid="{00000000-0005-0000-0000-00006D2B0000}"/>
    <cellStyle name="Normal 2 2 2 2 2 2 21 4 9" xfId="11161" xr:uid="{00000000-0005-0000-0000-00006E2B0000}"/>
    <cellStyle name="Normal 2 2 2 2 2 2 21 5" xfId="11162" xr:uid="{00000000-0005-0000-0000-00006F2B0000}"/>
    <cellStyle name="Normal 2 2 2 2 2 2 21 5 10" xfId="11163" xr:uid="{00000000-0005-0000-0000-0000702B0000}"/>
    <cellStyle name="Normal 2 2 2 2 2 2 21 5 2" xfId="11164" xr:uid="{00000000-0005-0000-0000-0000712B0000}"/>
    <cellStyle name="Normal 2 2 2 2 2 2 21 5 3" xfId="11165" xr:uid="{00000000-0005-0000-0000-0000722B0000}"/>
    <cellStyle name="Normal 2 2 2 2 2 2 21 5 4" xfId="11166" xr:uid="{00000000-0005-0000-0000-0000732B0000}"/>
    <cellStyle name="Normal 2 2 2 2 2 2 21 5 5" xfId="11167" xr:uid="{00000000-0005-0000-0000-0000742B0000}"/>
    <cellStyle name="Normal 2 2 2 2 2 2 21 5 6" xfId="11168" xr:uid="{00000000-0005-0000-0000-0000752B0000}"/>
    <cellStyle name="Normal 2 2 2 2 2 2 21 5 7" xfId="11169" xr:uid="{00000000-0005-0000-0000-0000762B0000}"/>
    <cellStyle name="Normal 2 2 2 2 2 2 21 5 8" xfId="11170" xr:uid="{00000000-0005-0000-0000-0000772B0000}"/>
    <cellStyle name="Normal 2 2 2 2 2 2 21 5 9" xfId="11171" xr:uid="{00000000-0005-0000-0000-0000782B0000}"/>
    <cellStyle name="Normal 2 2 2 2 2 2 21 6" xfId="11172" xr:uid="{00000000-0005-0000-0000-0000792B0000}"/>
    <cellStyle name="Normal 2 2 2 2 2 2 21 7" xfId="11173" xr:uid="{00000000-0005-0000-0000-00007A2B0000}"/>
    <cellStyle name="Normal 2 2 2 2 2 2 21 8" xfId="11174" xr:uid="{00000000-0005-0000-0000-00007B2B0000}"/>
    <cellStyle name="Normal 2 2 2 2 2 2 21 9" xfId="11175" xr:uid="{00000000-0005-0000-0000-00007C2B0000}"/>
    <cellStyle name="Normal 2 2 2 2 2 2 22" xfId="11176" xr:uid="{00000000-0005-0000-0000-00007D2B0000}"/>
    <cellStyle name="Normal 2 2 2 2 2 2 22 10" xfId="11177" xr:uid="{00000000-0005-0000-0000-00007E2B0000}"/>
    <cellStyle name="Normal 2 2 2 2 2 2 22 11" xfId="11178" xr:uid="{00000000-0005-0000-0000-00007F2B0000}"/>
    <cellStyle name="Normal 2 2 2 2 2 2 22 12" xfId="11179" xr:uid="{00000000-0005-0000-0000-0000802B0000}"/>
    <cellStyle name="Normal 2 2 2 2 2 2 22 13" xfId="11180" xr:uid="{00000000-0005-0000-0000-0000812B0000}"/>
    <cellStyle name="Normal 2 2 2 2 2 2 22 14" xfId="11181" xr:uid="{00000000-0005-0000-0000-0000822B0000}"/>
    <cellStyle name="Normal 2 2 2 2 2 2 22 2" xfId="11182" xr:uid="{00000000-0005-0000-0000-0000832B0000}"/>
    <cellStyle name="Normal 2 2 2 2 2 2 22 2 10" xfId="11183" xr:uid="{00000000-0005-0000-0000-0000842B0000}"/>
    <cellStyle name="Normal 2 2 2 2 2 2 22 2 2" xfId="11184" xr:uid="{00000000-0005-0000-0000-0000852B0000}"/>
    <cellStyle name="Normal 2 2 2 2 2 2 22 2 3" xfId="11185" xr:uid="{00000000-0005-0000-0000-0000862B0000}"/>
    <cellStyle name="Normal 2 2 2 2 2 2 22 2 4" xfId="11186" xr:uid="{00000000-0005-0000-0000-0000872B0000}"/>
    <cellStyle name="Normal 2 2 2 2 2 2 22 2 5" xfId="11187" xr:uid="{00000000-0005-0000-0000-0000882B0000}"/>
    <cellStyle name="Normal 2 2 2 2 2 2 22 2 6" xfId="11188" xr:uid="{00000000-0005-0000-0000-0000892B0000}"/>
    <cellStyle name="Normal 2 2 2 2 2 2 22 2 7" xfId="11189" xr:uid="{00000000-0005-0000-0000-00008A2B0000}"/>
    <cellStyle name="Normal 2 2 2 2 2 2 22 2 8" xfId="11190" xr:uid="{00000000-0005-0000-0000-00008B2B0000}"/>
    <cellStyle name="Normal 2 2 2 2 2 2 22 2 9" xfId="11191" xr:uid="{00000000-0005-0000-0000-00008C2B0000}"/>
    <cellStyle name="Normal 2 2 2 2 2 2 22 3" xfId="11192" xr:uid="{00000000-0005-0000-0000-00008D2B0000}"/>
    <cellStyle name="Normal 2 2 2 2 2 2 22 3 10" xfId="11193" xr:uid="{00000000-0005-0000-0000-00008E2B0000}"/>
    <cellStyle name="Normal 2 2 2 2 2 2 22 3 2" xfId="11194" xr:uid="{00000000-0005-0000-0000-00008F2B0000}"/>
    <cellStyle name="Normal 2 2 2 2 2 2 22 3 3" xfId="11195" xr:uid="{00000000-0005-0000-0000-0000902B0000}"/>
    <cellStyle name="Normal 2 2 2 2 2 2 22 3 4" xfId="11196" xr:uid="{00000000-0005-0000-0000-0000912B0000}"/>
    <cellStyle name="Normal 2 2 2 2 2 2 22 3 5" xfId="11197" xr:uid="{00000000-0005-0000-0000-0000922B0000}"/>
    <cellStyle name="Normal 2 2 2 2 2 2 22 3 6" xfId="11198" xr:uid="{00000000-0005-0000-0000-0000932B0000}"/>
    <cellStyle name="Normal 2 2 2 2 2 2 22 3 7" xfId="11199" xr:uid="{00000000-0005-0000-0000-0000942B0000}"/>
    <cellStyle name="Normal 2 2 2 2 2 2 22 3 8" xfId="11200" xr:uid="{00000000-0005-0000-0000-0000952B0000}"/>
    <cellStyle name="Normal 2 2 2 2 2 2 22 3 9" xfId="11201" xr:uid="{00000000-0005-0000-0000-0000962B0000}"/>
    <cellStyle name="Normal 2 2 2 2 2 2 22 4" xfId="11202" xr:uid="{00000000-0005-0000-0000-0000972B0000}"/>
    <cellStyle name="Normal 2 2 2 2 2 2 22 4 10" xfId="11203" xr:uid="{00000000-0005-0000-0000-0000982B0000}"/>
    <cellStyle name="Normal 2 2 2 2 2 2 22 4 2" xfId="11204" xr:uid="{00000000-0005-0000-0000-0000992B0000}"/>
    <cellStyle name="Normal 2 2 2 2 2 2 22 4 3" xfId="11205" xr:uid="{00000000-0005-0000-0000-00009A2B0000}"/>
    <cellStyle name="Normal 2 2 2 2 2 2 22 4 4" xfId="11206" xr:uid="{00000000-0005-0000-0000-00009B2B0000}"/>
    <cellStyle name="Normal 2 2 2 2 2 2 22 4 5" xfId="11207" xr:uid="{00000000-0005-0000-0000-00009C2B0000}"/>
    <cellStyle name="Normal 2 2 2 2 2 2 22 4 6" xfId="11208" xr:uid="{00000000-0005-0000-0000-00009D2B0000}"/>
    <cellStyle name="Normal 2 2 2 2 2 2 22 4 7" xfId="11209" xr:uid="{00000000-0005-0000-0000-00009E2B0000}"/>
    <cellStyle name="Normal 2 2 2 2 2 2 22 4 8" xfId="11210" xr:uid="{00000000-0005-0000-0000-00009F2B0000}"/>
    <cellStyle name="Normal 2 2 2 2 2 2 22 4 9" xfId="11211" xr:uid="{00000000-0005-0000-0000-0000A02B0000}"/>
    <cellStyle name="Normal 2 2 2 2 2 2 22 5" xfId="11212" xr:uid="{00000000-0005-0000-0000-0000A12B0000}"/>
    <cellStyle name="Normal 2 2 2 2 2 2 22 5 10" xfId="11213" xr:uid="{00000000-0005-0000-0000-0000A22B0000}"/>
    <cellStyle name="Normal 2 2 2 2 2 2 22 5 2" xfId="11214" xr:uid="{00000000-0005-0000-0000-0000A32B0000}"/>
    <cellStyle name="Normal 2 2 2 2 2 2 22 5 3" xfId="11215" xr:uid="{00000000-0005-0000-0000-0000A42B0000}"/>
    <cellStyle name="Normal 2 2 2 2 2 2 22 5 4" xfId="11216" xr:uid="{00000000-0005-0000-0000-0000A52B0000}"/>
    <cellStyle name="Normal 2 2 2 2 2 2 22 5 5" xfId="11217" xr:uid="{00000000-0005-0000-0000-0000A62B0000}"/>
    <cellStyle name="Normal 2 2 2 2 2 2 22 5 6" xfId="11218" xr:uid="{00000000-0005-0000-0000-0000A72B0000}"/>
    <cellStyle name="Normal 2 2 2 2 2 2 22 5 7" xfId="11219" xr:uid="{00000000-0005-0000-0000-0000A82B0000}"/>
    <cellStyle name="Normal 2 2 2 2 2 2 22 5 8" xfId="11220" xr:uid="{00000000-0005-0000-0000-0000A92B0000}"/>
    <cellStyle name="Normal 2 2 2 2 2 2 22 5 9" xfId="11221" xr:uid="{00000000-0005-0000-0000-0000AA2B0000}"/>
    <cellStyle name="Normal 2 2 2 2 2 2 22 6" xfId="11222" xr:uid="{00000000-0005-0000-0000-0000AB2B0000}"/>
    <cellStyle name="Normal 2 2 2 2 2 2 22 7" xfId="11223" xr:uid="{00000000-0005-0000-0000-0000AC2B0000}"/>
    <cellStyle name="Normal 2 2 2 2 2 2 22 8" xfId="11224" xr:uid="{00000000-0005-0000-0000-0000AD2B0000}"/>
    <cellStyle name="Normal 2 2 2 2 2 2 22 9" xfId="11225" xr:uid="{00000000-0005-0000-0000-0000AE2B0000}"/>
    <cellStyle name="Normal 2 2 2 2 2 2 23" xfId="11226" xr:uid="{00000000-0005-0000-0000-0000AF2B0000}"/>
    <cellStyle name="Normal 2 2 2 2 2 2 23 10" xfId="11227" xr:uid="{00000000-0005-0000-0000-0000B02B0000}"/>
    <cellStyle name="Normal 2 2 2 2 2 2 23 11" xfId="11228" xr:uid="{00000000-0005-0000-0000-0000B12B0000}"/>
    <cellStyle name="Normal 2 2 2 2 2 2 23 12" xfId="11229" xr:uid="{00000000-0005-0000-0000-0000B22B0000}"/>
    <cellStyle name="Normal 2 2 2 2 2 2 23 13" xfId="11230" xr:uid="{00000000-0005-0000-0000-0000B32B0000}"/>
    <cellStyle name="Normal 2 2 2 2 2 2 23 14" xfId="11231" xr:uid="{00000000-0005-0000-0000-0000B42B0000}"/>
    <cellStyle name="Normal 2 2 2 2 2 2 23 2" xfId="11232" xr:uid="{00000000-0005-0000-0000-0000B52B0000}"/>
    <cellStyle name="Normal 2 2 2 2 2 2 23 2 10" xfId="11233" xr:uid="{00000000-0005-0000-0000-0000B62B0000}"/>
    <cellStyle name="Normal 2 2 2 2 2 2 23 2 2" xfId="11234" xr:uid="{00000000-0005-0000-0000-0000B72B0000}"/>
    <cellStyle name="Normal 2 2 2 2 2 2 23 2 3" xfId="11235" xr:uid="{00000000-0005-0000-0000-0000B82B0000}"/>
    <cellStyle name="Normal 2 2 2 2 2 2 23 2 4" xfId="11236" xr:uid="{00000000-0005-0000-0000-0000B92B0000}"/>
    <cellStyle name="Normal 2 2 2 2 2 2 23 2 5" xfId="11237" xr:uid="{00000000-0005-0000-0000-0000BA2B0000}"/>
    <cellStyle name="Normal 2 2 2 2 2 2 23 2 6" xfId="11238" xr:uid="{00000000-0005-0000-0000-0000BB2B0000}"/>
    <cellStyle name="Normal 2 2 2 2 2 2 23 2 7" xfId="11239" xr:uid="{00000000-0005-0000-0000-0000BC2B0000}"/>
    <cellStyle name="Normal 2 2 2 2 2 2 23 2 8" xfId="11240" xr:uid="{00000000-0005-0000-0000-0000BD2B0000}"/>
    <cellStyle name="Normal 2 2 2 2 2 2 23 2 9" xfId="11241" xr:uid="{00000000-0005-0000-0000-0000BE2B0000}"/>
    <cellStyle name="Normal 2 2 2 2 2 2 23 3" xfId="11242" xr:uid="{00000000-0005-0000-0000-0000BF2B0000}"/>
    <cellStyle name="Normal 2 2 2 2 2 2 23 3 10" xfId="11243" xr:uid="{00000000-0005-0000-0000-0000C02B0000}"/>
    <cellStyle name="Normal 2 2 2 2 2 2 23 3 2" xfId="11244" xr:uid="{00000000-0005-0000-0000-0000C12B0000}"/>
    <cellStyle name="Normal 2 2 2 2 2 2 23 3 3" xfId="11245" xr:uid="{00000000-0005-0000-0000-0000C22B0000}"/>
    <cellStyle name="Normal 2 2 2 2 2 2 23 3 4" xfId="11246" xr:uid="{00000000-0005-0000-0000-0000C32B0000}"/>
    <cellStyle name="Normal 2 2 2 2 2 2 23 3 5" xfId="11247" xr:uid="{00000000-0005-0000-0000-0000C42B0000}"/>
    <cellStyle name="Normal 2 2 2 2 2 2 23 3 6" xfId="11248" xr:uid="{00000000-0005-0000-0000-0000C52B0000}"/>
    <cellStyle name="Normal 2 2 2 2 2 2 23 3 7" xfId="11249" xr:uid="{00000000-0005-0000-0000-0000C62B0000}"/>
    <cellStyle name="Normal 2 2 2 2 2 2 23 3 8" xfId="11250" xr:uid="{00000000-0005-0000-0000-0000C72B0000}"/>
    <cellStyle name="Normal 2 2 2 2 2 2 23 3 9" xfId="11251" xr:uid="{00000000-0005-0000-0000-0000C82B0000}"/>
    <cellStyle name="Normal 2 2 2 2 2 2 23 4" xfId="11252" xr:uid="{00000000-0005-0000-0000-0000C92B0000}"/>
    <cellStyle name="Normal 2 2 2 2 2 2 23 4 10" xfId="11253" xr:uid="{00000000-0005-0000-0000-0000CA2B0000}"/>
    <cellStyle name="Normal 2 2 2 2 2 2 23 4 2" xfId="11254" xr:uid="{00000000-0005-0000-0000-0000CB2B0000}"/>
    <cellStyle name="Normal 2 2 2 2 2 2 23 4 3" xfId="11255" xr:uid="{00000000-0005-0000-0000-0000CC2B0000}"/>
    <cellStyle name="Normal 2 2 2 2 2 2 23 4 4" xfId="11256" xr:uid="{00000000-0005-0000-0000-0000CD2B0000}"/>
    <cellStyle name="Normal 2 2 2 2 2 2 23 4 5" xfId="11257" xr:uid="{00000000-0005-0000-0000-0000CE2B0000}"/>
    <cellStyle name="Normal 2 2 2 2 2 2 23 4 6" xfId="11258" xr:uid="{00000000-0005-0000-0000-0000CF2B0000}"/>
    <cellStyle name="Normal 2 2 2 2 2 2 23 4 7" xfId="11259" xr:uid="{00000000-0005-0000-0000-0000D02B0000}"/>
    <cellStyle name="Normal 2 2 2 2 2 2 23 4 8" xfId="11260" xr:uid="{00000000-0005-0000-0000-0000D12B0000}"/>
    <cellStyle name="Normal 2 2 2 2 2 2 23 4 9" xfId="11261" xr:uid="{00000000-0005-0000-0000-0000D22B0000}"/>
    <cellStyle name="Normal 2 2 2 2 2 2 23 5" xfId="11262" xr:uid="{00000000-0005-0000-0000-0000D32B0000}"/>
    <cellStyle name="Normal 2 2 2 2 2 2 23 5 10" xfId="11263" xr:uid="{00000000-0005-0000-0000-0000D42B0000}"/>
    <cellStyle name="Normal 2 2 2 2 2 2 23 5 2" xfId="11264" xr:uid="{00000000-0005-0000-0000-0000D52B0000}"/>
    <cellStyle name="Normal 2 2 2 2 2 2 23 5 3" xfId="11265" xr:uid="{00000000-0005-0000-0000-0000D62B0000}"/>
    <cellStyle name="Normal 2 2 2 2 2 2 23 5 4" xfId="11266" xr:uid="{00000000-0005-0000-0000-0000D72B0000}"/>
    <cellStyle name="Normal 2 2 2 2 2 2 23 5 5" xfId="11267" xr:uid="{00000000-0005-0000-0000-0000D82B0000}"/>
    <cellStyle name="Normal 2 2 2 2 2 2 23 5 6" xfId="11268" xr:uid="{00000000-0005-0000-0000-0000D92B0000}"/>
    <cellStyle name="Normal 2 2 2 2 2 2 23 5 7" xfId="11269" xr:uid="{00000000-0005-0000-0000-0000DA2B0000}"/>
    <cellStyle name="Normal 2 2 2 2 2 2 23 5 8" xfId="11270" xr:uid="{00000000-0005-0000-0000-0000DB2B0000}"/>
    <cellStyle name="Normal 2 2 2 2 2 2 23 5 9" xfId="11271" xr:uid="{00000000-0005-0000-0000-0000DC2B0000}"/>
    <cellStyle name="Normal 2 2 2 2 2 2 23 6" xfId="11272" xr:uid="{00000000-0005-0000-0000-0000DD2B0000}"/>
    <cellStyle name="Normal 2 2 2 2 2 2 23 7" xfId="11273" xr:uid="{00000000-0005-0000-0000-0000DE2B0000}"/>
    <cellStyle name="Normal 2 2 2 2 2 2 23 8" xfId="11274" xr:uid="{00000000-0005-0000-0000-0000DF2B0000}"/>
    <cellStyle name="Normal 2 2 2 2 2 2 23 9" xfId="11275" xr:uid="{00000000-0005-0000-0000-0000E02B0000}"/>
    <cellStyle name="Normal 2 2 2 2 2 2 24" xfId="11276" xr:uid="{00000000-0005-0000-0000-0000E12B0000}"/>
    <cellStyle name="Normal 2 2 2 2 2 2 24 10" xfId="11277" xr:uid="{00000000-0005-0000-0000-0000E22B0000}"/>
    <cellStyle name="Normal 2 2 2 2 2 2 24 11" xfId="11278" xr:uid="{00000000-0005-0000-0000-0000E32B0000}"/>
    <cellStyle name="Normal 2 2 2 2 2 2 24 12" xfId="11279" xr:uid="{00000000-0005-0000-0000-0000E42B0000}"/>
    <cellStyle name="Normal 2 2 2 2 2 2 24 13" xfId="11280" xr:uid="{00000000-0005-0000-0000-0000E52B0000}"/>
    <cellStyle name="Normal 2 2 2 2 2 2 24 14" xfId="11281" xr:uid="{00000000-0005-0000-0000-0000E62B0000}"/>
    <cellStyle name="Normal 2 2 2 2 2 2 24 2" xfId="11282" xr:uid="{00000000-0005-0000-0000-0000E72B0000}"/>
    <cellStyle name="Normal 2 2 2 2 2 2 24 2 10" xfId="11283" xr:uid="{00000000-0005-0000-0000-0000E82B0000}"/>
    <cellStyle name="Normal 2 2 2 2 2 2 24 2 2" xfId="11284" xr:uid="{00000000-0005-0000-0000-0000E92B0000}"/>
    <cellStyle name="Normal 2 2 2 2 2 2 24 2 3" xfId="11285" xr:uid="{00000000-0005-0000-0000-0000EA2B0000}"/>
    <cellStyle name="Normal 2 2 2 2 2 2 24 2 4" xfId="11286" xr:uid="{00000000-0005-0000-0000-0000EB2B0000}"/>
    <cellStyle name="Normal 2 2 2 2 2 2 24 2 5" xfId="11287" xr:uid="{00000000-0005-0000-0000-0000EC2B0000}"/>
    <cellStyle name="Normal 2 2 2 2 2 2 24 2 6" xfId="11288" xr:uid="{00000000-0005-0000-0000-0000ED2B0000}"/>
    <cellStyle name="Normal 2 2 2 2 2 2 24 2 7" xfId="11289" xr:uid="{00000000-0005-0000-0000-0000EE2B0000}"/>
    <cellStyle name="Normal 2 2 2 2 2 2 24 2 8" xfId="11290" xr:uid="{00000000-0005-0000-0000-0000EF2B0000}"/>
    <cellStyle name="Normal 2 2 2 2 2 2 24 2 9" xfId="11291" xr:uid="{00000000-0005-0000-0000-0000F02B0000}"/>
    <cellStyle name="Normal 2 2 2 2 2 2 24 3" xfId="11292" xr:uid="{00000000-0005-0000-0000-0000F12B0000}"/>
    <cellStyle name="Normal 2 2 2 2 2 2 24 3 10" xfId="11293" xr:uid="{00000000-0005-0000-0000-0000F22B0000}"/>
    <cellStyle name="Normal 2 2 2 2 2 2 24 3 2" xfId="11294" xr:uid="{00000000-0005-0000-0000-0000F32B0000}"/>
    <cellStyle name="Normal 2 2 2 2 2 2 24 3 3" xfId="11295" xr:uid="{00000000-0005-0000-0000-0000F42B0000}"/>
    <cellStyle name="Normal 2 2 2 2 2 2 24 3 4" xfId="11296" xr:uid="{00000000-0005-0000-0000-0000F52B0000}"/>
    <cellStyle name="Normal 2 2 2 2 2 2 24 3 5" xfId="11297" xr:uid="{00000000-0005-0000-0000-0000F62B0000}"/>
    <cellStyle name="Normal 2 2 2 2 2 2 24 3 6" xfId="11298" xr:uid="{00000000-0005-0000-0000-0000F72B0000}"/>
    <cellStyle name="Normal 2 2 2 2 2 2 24 3 7" xfId="11299" xr:uid="{00000000-0005-0000-0000-0000F82B0000}"/>
    <cellStyle name="Normal 2 2 2 2 2 2 24 3 8" xfId="11300" xr:uid="{00000000-0005-0000-0000-0000F92B0000}"/>
    <cellStyle name="Normal 2 2 2 2 2 2 24 3 9" xfId="11301" xr:uid="{00000000-0005-0000-0000-0000FA2B0000}"/>
    <cellStyle name="Normal 2 2 2 2 2 2 24 4" xfId="11302" xr:uid="{00000000-0005-0000-0000-0000FB2B0000}"/>
    <cellStyle name="Normal 2 2 2 2 2 2 24 4 10" xfId="11303" xr:uid="{00000000-0005-0000-0000-0000FC2B0000}"/>
    <cellStyle name="Normal 2 2 2 2 2 2 24 4 2" xfId="11304" xr:uid="{00000000-0005-0000-0000-0000FD2B0000}"/>
    <cellStyle name="Normal 2 2 2 2 2 2 24 4 3" xfId="11305" xr:uid="{00000000-0005-0000-0000-0000FE2B0000}"/>
    <cellStyle name="Normal 2 2 2 2 2 2 24 4 4" xfId="11306" xr:uid="{00000000-0005-0000-0000-0000FF2B0000}"/>
    <cellStyle name="Normal 2 2 2 2 2 2 24 4 5" xfId="11307" xr:uid="{00000000-0005-0000-0000-0000002C0000}"/>
    <cellStyle name="Normal 2 2 2 2 2 2 24 4 6" xfId="11308" xr:uid="{00000000-0005-0000-0000-0000012C0000}"/>
    <cellStyle name="Normal 2 2 2 2 2 2 24 4 7" xfId="11309" xr:uid="{00000000-0005-0000-0000-0000022C0000}"/>
    <cellStyle name="Normal 2 2 2 2 2 2 24 4 8" xfId="11310" xr:uid="{00000000-0005-0000-0000-0000032C0000}"/>
    <cellStyle name="Normal 2 2 2 2 2 2 24 4 9" xfId="11311" xr:uid="{00000000-0005-0000-0000-0000042C0000}"/>
    <cellStyle name="Normal 2 2 2 2 2 2 24 5" xfId="11312" xr:uid="{00000000-0005-0000-0000-0000052C0000}"/>
    <cellStyle name="Normal 2 2 2 2 2 2 24 5 10" xfId="11313" xr:uid="{00000000-0005-0000-0000-0000062C0000}"/>
    <cellStyle name="Normal 2 2 2 2 2 2 24 5 2" xfId="11314" xr:uid="{00000000-0005-0000-0000-0000072C0000}"/>
    <cellStyle name="Normal 2 2 2 2 2 2 24 5 3" xfId="11315" xr:uid="{00000000-0005-0000-0000-0000082C0000}"/>
    <cellStyle name="Normal 2 2 2 2 2 2 24 5 4" xfId="11316" xr:uid="{00000000-0005-0000-0000-0000092C0000}"/>
    <cellStyle name="Normal 2 2 2 2 2 2 24 5 5" xfId="11317" xr:uid="{00000000-0005-0000-0000-00000A2C0000}"/>
    <cellStyle name="Normal 2 2 2 2 2 2 24 5 6" xfId="11318" xr:uid="{00000000-0005-0000-0000-00000B2C0000}"/>
    <cellStyle name="Normal 2 2 2 2 2 2 24 5 7" xfId="11319" xr:uid="{00000000-0005-0000-0000-00000C2C0000}"/>
    <cellStyle name="Normal 2 2 2 2 2 2 24 5 8" xfId="11320" xr:uid="{00000000-0005-0000-0000-00000D2C0000}"/>
    <cellStyle name="Normal 2 2 2 2 2 2 24 5 9" xfId="11321" xr:uid="{00000000-0005-0000-0000-00000E2C0000}"/>
    <cellStyle name="Normal 2 2 2 2 2 2 24 6" xfId="11322" xr:uid="{00000000-0005-0000-0000-00000F2C0000}"/>
    <cellStyle name="Normal 2 2 2 2 2 2 24 7" xfId="11323" xr:uid="{00000000-0005-0000-0000-0000102C0000}"/>
    <cellStyle name="Normal 2 2 2 2 2 2 24 8" xfId="11324" xr:uid="{00000000-0005-0000-0000-0000112C0000}"/>
    <cellStyle name="Normal 2 2 2 2 2 2 24 9" xfId="11325" xr:uid="{00000000-0005-0000-0000-0000122C0000}"/>
    <cellStyle name="Normal 2 2 2 2 2 2 25" xfId="11326" xr:uid="{00000000-0005-0000-0000-0000132C0000}"/>
    <cellStyle name="Normal 2 2 2 2 2 2 25 10" xfId="11327" xr:uid="{00000000-0005-0000-0000-0000142C0000}"/>
    <cellStyle name="Normal 2 2 2 2 2 2 25 11" xfId="11328" xr:uid="{00000000-0005-0000-0000-0000152C0000}"/>
    <cellStyle name="Normal 2 2 2 2 2 2 25 12" xfId="11329" xr:uid="{00000000-0005-0000-0000-0000162C0000}"/>
    <cellStyle name="Normal 2 2 2 2 2 2 25 13" xfId="11330" xr:uid="{00000000-0005-0000-0000-0000172C0000}"/>
    <cellStyle name="Normal 2 2 2 2 2 2 25 14" xfId="11331" xr:uid="{00000000-0005-0000-0000-0000182C0000}"/>
    <cellStyle name="Normal 2 2 2 2 2 2 25 2" xfId="11332" xr:uid="{00000000-0005-0000-0000-0000192C0000}"/>
    <cellStyle name="Normal 2 2 2 2 2 2 25 2 10" xfId="11333" xr:uid="{00000000-0005-0000-0000-00001A2C0000}"/>
    <cellStyle name="Normal 2 2 2 2 2 2 25 2 2" xfId="11334" xr:uid="{00000000-0005-0000-0000-00001B2C0000}"/>
    <cellStyle name="Normal 2 2 2 2 2 2 25 2 3" xfId="11335" xr:uid="{00000000-0005-0000-0000-00001C2C0000}"/>
    <cellStyle name="Normal 2 2 2 2 2 2 25 2 4" xfId="11336" xr:uid="{00000000-0005-0000-0000-00001D2C0000}"/>
    <cellStyle name="Normal 2 2 2 2 2 2 25 2 5" xfId="11337" xr:uid="{00000000-0005-0000-0000-00001E2C0000}"/>
    <cellStyle name="Normal 2 2 2 2 2 2 25 2 6" xfId="11338" xr:uid="{00000000-0005-0000-0000-00001F2C0000}"/>
    <cellStyle name="Normal 2 2 2 2 2 2 25 2 7" xfId="11339" xr:uid="{00000000-0005-0000-0000-0000202C0000}"/>
    <cellStyle name="Normal 2 2 2 2 2 2 25 2 8" xfId="11340" xr:uid="{00000000-0005-0000-0000-0000212C0000}"/>
    <cellStyle name="Normal 2 2 2 2 2 2 25 2 9" xfId="11341" xr:uid="{00000000-0005-0000-0000-0000222C0000}"/>
    <cellStyle name="Normal 2 2 2 2 2 2 25 3" xfId="11342" xr:uid="{00000000-0005-0000-0000-0000232C0000}"/>
    <cellStyle name="Normal 2 2 2 2 2 2 25 3 10" xfId="11343" xr:uid="{00000000-0005-0000-0000-0000242C0000}"/>
    <cellStyle name="Normal 2 2 2 2 2 2 25 3 2" xfId="11344" xr:uid="{00000000-0005-0000-0000-0000252C0000}"/>
    <cellStyle name="Normal 2 2 2 2 2 2 25 3 3" xfId="11345" xr:uid="{00000000-0005-0000-0000-0000262C0000}"/>
    <cellStyle name="Normal 2 2 2 2 2 2 25 3 4" xfId="11346" xr:uid="{00000000-0005-0000-0000-0000272C0000}"/>
    <cellStyle name="Normal 2 2 2 2 2 2 25 3 5" xfId="11347" xr:uid="{00000000-0005-0000-0000-0000282C0000}"/>
    <cellStyle name="Normal 2 2 2 2 2 2 25 3 6" xfId="11348" xr:uid="{00000000-0005-0000-0000-0000292C0000}"/>
    <cellStyle name="Normal 2 2 2 2 2 2 25 3 7" xfId="11349" xr:uid="{00000000-0005-0000-0000-00002A2C0000}"/>
    <cellStyle name="Normal 2 2 2 2 2 2 25 3 8" xfId="11350" xr:uid="{00000000-0005-0000-0000-00002B2C0000}"/>
    <cellStyle name="Normal 2 2 2 2 2 2 25 3 9" xfId="11351" xr:uid="{00000000-0005-0000-0000-00002C2C0000}"/>
    <cellStyle name="Normal 2 2 2 2 2 2 25 4" xfId="11352" xr:uid="{00000000-0005-0000-0000-00002D2C0000}"/>
    <cellStyle name="Normal 2 2 2 2 2 2 25 4 10" xfId="11353" xr:uid="{00000000-0005-0000-0000-00002E2C0000}"/>
    <cellStyle name="Normal 2 2 2 2 2 2 25 4 2" xfId="11354" xr:uid="{00000000-0005-0000-0000-00002F2C0000}"/>
    <cellStyle name="Normal 2 2 2 2 2 2 25 4 3" xfId="11355" xr:uid="{00000000-0005-0000-0000-0000302C0000}"/>
    <cellStyle name="Normal 2 2 2 2 2 2 25 4 4" xfId="11356" xr:uid="{00000000-0005-0000-0000-0000312C0000}"/>
    <cellStyle name="Normal 2 2 2 2 2 2 25 4 5" xfId="11357" xr:uid="{00000000-0005-0000-0000-0000322C0000}"/>
    <cellStyle name="Normal 2 2 2 2 2 2 25 4 6" xfId="11358" xr:uid="{00000000-0005-0000-0000-0000332C0000}"/>
    <cellStyle name="Normal 2 2 2 2 2 2 25 4 7" xfId="11359" xr:uid="{00000000-0005-0000-0000-0000342C0000}"/>
    <cellStyle name="Normal 2 2 2 2 2 2 25 4 8" xfId="11360" xr:uid="{00000000-0005-0000-0000-0000352C0000}"/>
    <cellStyle name="Normal 2 2 2 2 2 2 25 4 9" xfId="11361" xr:uid="{00000000-0005-0000-0000-0000362C0000}"/>
    <cellStyle name="Normal 2 2 2 2 2 2 25 5" xfId="11362" xr:uid="{00000000-0005-0000-0000-0000372C0000}"/>
    <cellStyle name="Normal 2 2 2 2 2 2 25 5 10" xfId="11363" xr:uid="{00000000-0005-0000-0000-0000382C0000}"/>
    <cellStyle name="Normal 2 2 2 2 2 2 25 5 2" xfId="11364" xr:uid="{00000000-0005-0000-0000-0000392C0000}"/>
    <cellStyle name="Normal 2 2 2 2 2 2 25 5 3" xfId="11365" xr:uid="{00000000-0005-0000-0000-00003A2C0000}"/>
    <cellStyle name="Normal 2 2 2 2 2 2 25 5 4" xfId="11366" xr:uid="{00000000-0005-0000-0000-00003B2C0000}"/>
    <cellStyle name="Normal 2 2 2 2 2 2 25 5 5" xfId="11367" xr:uid="{00000000-0005-0000-0000-00003C2C0000}"/>
    <cellStyle name="Normal 2 2 2 2 2 2 25 5 6" xfId="11368" xr:uid="{00000000-0005-0000-0000-00003D2C0000}"/>
    <cellStyle name="Normal 2 2 2 2 2 2 25 5 7" xfId="11369" xr:uid="{00000000-0005-0000-0000-00003E2C0000}"/>
    <cellStyle name="Normal 2 2 2 2 2 2 25 5 8" xfId="11370" xr:uid="{00000000-0005-0000-0000-00003F2C0000}"/>
    <cellStyle name="Normal 2 2 2 2 2 2 25 5 9" xfId="11371" xr:uid="{00000000-0005-0000-0000-0000402C0000}"/>
    <cellStyle name="Normal 2 2 2 2 2 2 25 6" xfId="11372" xr:uid="{00000000-0005-0000-0000-0000412C0000}"/>
    <cellStyle name="Normal 2 2 2 2 2 2 25 7" xfId="11373" xr:uid="{00000000-0005-0000-0000-0000422C0000}"/>
    <cellStyle name="Normal 2 2 2 2 2 2 25 8" xfId="11374" xr:uid="{00000000-0005-0000-0000-0000432C0000}"/>
    <cellStyle name="Normal 2 2 2 2 2 2 25 9" xfId="11375" xr:uid="{00000000-0005-0000-0000-0000442C0000}"/>
    <cellStyle name="Normal 2 2 2 2 2 2 26" xfId="11376" xr:uid="{00000000-0005-0000-0000-0000452C0000}"/>
    <cellStyle name="Normal 2 2 2 2 2 2 26 10" xfId="11377" xr:uid="{00000000-0005-0000-0000-0000462C0000}"/>
    <cellStyle name="Normal 2 2 2 2 2 2 26 11" xfId="11378" xr:uid="{00000000-0005-0000-0000-0000472C0000}"/>
    <cellStyle name="Normal 2 2 2 2 2 2 26 12" xfId="11379" xr:uid="{00000000-0005-0000-0000-0000482C0000}"/>
    <cellStyle name="Normal 2 2 2 2 2 2 26 13" xfId="11380" xr:uid="{00000000-0005-0000-0000-0000492C0000}"/>
    <cellStyle name="Normal 2 2 2 2 2 2 26 14" xfId="11381" xr:uid="{00000000-0005-0000-0000-00004A2C0000}"/>
    <cellStyle name="Normal 2 2 2 2 2 2 26 2" xfId="11382" xr:uid="{00000000-0005-0000-0000-00004B2C0000}"/>
    <cellStyle name="Normal 2 2 2 2 2 2 26 2 10" xfId="11383" xr:uid="{00000000-0005-0000-0000-00004C2C0000}"/>
    <cellStyle name="Normal 2 2 2 2 2 2 26 2 2" xfId="11384" xr:uid="{00000000-0005-0000-0000-00004D2C0000}"/>
    <cellStyle name="Normal 2 2 2 2 2 2 26 2 3" xfId="11385" xr:uid="{00000000-0005-0000-0000-00004E2C0000}"/>
    <cellStyle name="Normal 2 2 2 2 2 2 26 2 4" xfId="11386" xr:uid="{00000000-0005-0000-0000-00004F2C0000}"/>
    <cellStyle name="Normal 2 2 2 2 2 2 26 2 5" xfId="11387" xr:uid="{00000000-0005-0000-0000-0000502C0000}"/>
    <cellStyle name="Normal 2 2 2 2 2 2 26 2 6" xfId="11388" xr:uid="{00000000-0005-0000-0000-0000512C0000}"/>
    <cellStyle name="Normal 2 2 2 2 2 2 26 2 7" xfId="11389" xr:uid="{00000000-0005-0000-0000-0000522C0000}"/>
    <cellStyle name="Normal 2 2 2 2 2 2 26 2 8" xfId="11390" xr:uid="{00000000-0005-0000-0000-0000532C0000}"/>
    <cellStyle name="Normal 2 2 2 2 2 2 26 2 9" xfId="11391" xr:uid="{00000000-0005-0000-0000-0000542C0000}"/>
    <cellStyle name="Normal 2 2 2 2 2 2 26 3" xfId="11392" xr:uid="{00000000-0005-0000-0000-0000552C0000}"/>
    <cellStyle name="Normal 2 2 2 2 2 2 26 3 10" xfId="11393" xr:uid="{00000000-0005-0000-0000-0000562C0000}"/>
    <cellStyle name="Normal 2 2 2 2 2 2 26 3 2" xfId="11394" xr:uid="{00000000-0005-0000-0000-0000572C0000}"/>
    <cellStyle name="Normal 2 2 2 2 2 2 26 3 3" xfId="11395" xr:uid="{00000000-0005-0000-0000-0000582C0000}"/>
    <cellStyle name="Normal 2 2 2 2 2 2 26 3 4" xfId="11396" xr:uid="{00000000-0005-0000-0000-0000592C0000}"/>
    <cellStyle name="Normal 2 2 2 2 2 2 26 3 5" xfId="11397" xr:uid="{00000000-0005-0000-0000-00005A2C0000}"/>
    <cellStyle name="Normal 2 2 2 2 2 2 26 3 6" xfId="11398" xr:uid="{00000000-0005-0000-0000-00005B2C0000}"/>
    <cellStyle name="Normal 2 2 2 2 2 2 26 3 7" xfId="11399" xr:uid="{00000000-0005-0000-0000-00005C2C0000}"/>
    <cellStyle name="Normal 2 2 2 2 2 2 26 3 8" xfId="11400" xr:uid="{00000000-0005-0000-0000-00005D2C0000}"/>
    <cellStyle name="Normal 2 2 2 2 2 2 26 3 9" xfId="11401" xr:uid="{00000000-0005-0000-0000-00005E2C0000}"/>
    <cellStyle name="Normal 2 2 2 2 2 2 26 4" xfId="11402" xr:uid="{00000000-0005-0000-0000-00005F2C0000}"/>
    <cellStyle name="Normal 2 2 2 2 2 2 26 4 10" xfId="11403" xr:uid="{00000000-0005-0000-0000-0000602C0000}"/>
    <cellStyle name="Normal 2 2 2 2 2 2 26 4 2" xfId="11404" xr:uid="{00000000-0005-0000-0000-0000612C0000}"/>
    <cellStyle name="Normal 2 2 2 2 2 2 26 4 3" xfId="11405" xr:uid="{00000000-0005-0000-0000-0000622C0000}"/>
    <cellStyle name="Normal 2 2 2 2 2 2 26 4 4" xfId="11406" xr:uid="{00000000-0005-0000-0000-0000632C0000}"/>
    <cellStyle name="Normal 2 2 2 2 2 2 26 4 5" xfId="11407" xr:uid="{00000000-0005-0000-0000-0000642C0000}"/>
    <cellStyle name="Normal 2 2 2 2 2 2 26 4 6" xfId="11408" xr:uid="{00000000-0005-0000-0000-0000652C0000}"/>
    <cellStyle name="Normal 2 2 2 2 2 2 26 4 7" xfId="11409" xr:uid="{00000000-0005-0000-0000-0000662C0000}"/>
    <cellStyle name="Normal 2 2 2 2 2 2 26 4 8" xfId="11410" xr:uid="{00000000-0005-0000-0000-0000672C0000}"/>
    <cellStyle name="Normal 2 2 2 2 2 2 26 4 9" xfId="11411" xr:uid="{00000000-0005-0000-0000-0000682C0000}"/>
    <cellStyle name="Normal 2 2 2 2 2 2 26 5" xfId="11412" xr:uid="{00000000-0005-0000-0000-0000692C0000}"/>
    <cellStyle name="Normal 2 2 2 2 2 2 26 5 10" xfId="11413" xr:uid="{00000000-0005-0000-0000-00006A2C0000}"/>
    <cellStyle name="Normal 2 2 2 2 2 2 26 5 2" xfId="11414" xr:uid="{00000000-0005-0000-0000-00006B2C0000}"/>
    <cellStyle name="Normal 2 2 2 2 2 2 26 5 3" xfId="11415" xr:uid="{00000000-0005-0000-0000-00006C2C0000}"/>
    <cellStyle name="Normal 2 2 2 2 2 2 26 5 4" xfId="11416" xr:uid="{00000000-0005-0000-0000-00006D2C0000}"/>
    <cellStyle name="Normal 2 2 2 2 2 2 26 5 5" xfId="11417" xr:uid="{00000000-0005-0000-0000-00006E2C0000}"/>
    <cellStyle name="Normal 2 2 2 2 2 2 26 5 6" xfId="11418" xr:uid="{00000000-0005-0000-0000-00006F2C0000}"/>
    <cellStyle name="Normal 2 2 2 2 2 2 26 5 7" xfId="11419" xr:uid="{00000000-0005-0000-0000-0000702C0000}"/>
    <cellStyle name="Normal 2 2 2 2 2 2 26 5 8" xfId="11420" xr:uid="{00000000-0005-0000-0000-0000712C0000}"/>
    <cellStyle name="Normal 2 2 2 2 2 2 26 5 9" xfId="11421" xr:uid="{00000000-0005-0000-0000-0000722C0000}"/>
    <cellStyle name="Normal 2 2 2 2 2 2 26 6" xfId="11422" xr:uid="{00000000-0005-0000-0000-0000732C0000}"/>
    <cellStyle name="Normal 2 2 2 2 2 2 26 7" xfId="11423" xr:uid="{00000000-0005-0000-0000-0000742C0000}"/>
    <cellStyle name="Normal 2 2 2 2 2 2 26 8" xfId="11424" xr:uid="{00000000-0005-0000-0000-0000752C0000}"/>
    <cellStyle name="Normal 2 2 2 2 2 2 26 9" xfId="11425" xr:uid="{00000000-0005-0000-0000-0000762C0000}"/>
    <cellStyle name="Normal 2 2 2 2 2 2 27" xfId="11426" xr:uid="{00000000-0005-0000-0000-0000772C0000}"/>
    <cellStyle name="Normal 2 2 2 2 2 2 27 10" xfId="11427" xr:uid="{00000000-0005-0000-0000-0000782C0000}"/>
    <cellStyle name="Normal 2 2 2 2 2 2 27 11" xfId="11428" xr:uid="{00000000-0005-0000-0000-0000792C0000}"/>
    <cellStyle name="Normal 2 2 2 2 2 2 27 12" xfId="11429" xr:uid="{00000000-0005-0000-0000-00007A2C0000}"/>
    <cellStyle name="Normal 2 2 2 2 2 2 27 13" xfId="11430" xr:uid="{00000000-0005-0000-0000-00007B2C0000}"/>
    <cellStyle name="Normal 2 2 2 2 2 2 27 14" xfId="11431" xr:uid="{00000000-0005-0000-0000-00007C2C0000}"/>
    <cellStyle name="Normal 2 2 2 2 2 2 27 2" xfId="11432" xr:uid="{00000000-0005-0000-0000-00007D2C0000}"/>
    <cellStyle name="Normal 2 2 2 2 2 2 27 2 10" xfId="11433" xr:uid="{00000000-0005-0000-0000-00007E2C0000}"/>
    <cellStyle name="Normal 2 2 2 2 2 2 27 2 2" xfId="11434" xr:uid="{00000000-0005-0000-0000-00007F2C0000}"/>
    <cellStyle name="Normal 2 2 2 2 2 2 27 2 3" xfId="11435" xr:uid="{00000000-0005-0000-0000-0000802C0000}"/>
    <cellStyle name="Normal 2 2 2 2 2 2 27 2 4" xfId="11436" xr:uid="{00000000-0005-0000-0000-0000812C0000}"/>
    <cellStyle name="Normal 2 2 2 2 2 2 27 2 5" xfId="11437" xr:uid="{00000000-0005-0000-0000-0000822C0000}"/>
    <cellStyle name="Normal 2 2 2 2 2 2 27 2 6" xfId="11438" xr:uid="{00000000-0005-0000-0000-0000832C0000}"/>
    <cellStyle name="Normal 2 2 2 2 2 2 27 2 7" xfId="11439" xr:uid="{00000000-0005-0000-0000-0000842C0000}"/>
    <cellStyle name="Normal 2 2 2 2 2 2 27 2 8" xfId="11440" xr:uid="{00000000-0005-0000-0000-0000852C0000}"/>
    <cellStyle name="Normal 2 2 2 2 2 2 27 2 9" xfId="11441" xr:uid="{00000000-0005-0000-0000-0000862C0000}"/>
    <cellStyle name="Normal 2 2 2 2 2 2 27 3" xfId="11442" xr:uid="{00000000-0005-0000-0000-0000872C0000}"/>
    <cellStyle name="Normal 2 2 2 2 2 2 27 3 10" xfId="11443" xr:uid="{00000000-0005-0000-0000-0000882C0000}"/>
    <cellStyle name="Normal 2 2 2 2 2 2 27 3 2" xfId="11444" xr:uid="{00000000-0005-0000-0000-0000892C0000}"/>
    <cellStyle name="Normal 2 2 2 2 2 2 27 3 3" xfId="11445" xr:uid="{00000000-0005-0000-0000-00008A2C0000}"/>
    <cellStyle name="Normal 2 2 2 2 2 2 27 3 4" xfId="11446" xr:uid="{00000000-0005-0000-0000-00008B2C0000}"/>
    <cellStyle name="Normal 2 2 2 2 2 2 27 3 5" xfId="11447" xr:uid="{00000000-0005-0000-0000-00008C2C0000}"/>
    <cellStyle name="Normal 2 2 2 2 2 2 27 3 6" xfId="11448" xr:uid="{00000000-0005-0000-0000-00008D2C0000}"/>
    <cellStyle name="Normal 2 2 2 2 2 2 27 3 7" xfId="11449" xr:uid="{00000000-0005-0000-0000-00008E2C0000}"/>
    <cellStyle name="Normal 2 2 2 2 2 2 27 3 8" xfId="11450" xr:uid="{00000000-0005-0000-0000-00008F2C0000}"/>
    <cellStyle name="Normal 2 2 2 2 2 2 27 3 9" xfId="11451" xr:uid="{00000000-0005-0000-0000-0000902C0000}"/>
    <cellStyle name="Normal 2 2 2 2 2 2 27 4" xfId="11452" xr:uid="{00000000-0005-0000-0000-0000912C0000}"/>
    <cellStyle name="Normal 2 2 2 2 2 2 27 4 10" xfId="11453" xr:uid="{00000000-0005-0000-0000-0000922C0000}"/>
    <cellStyle name="Normal 2 2 2 2 2 2 27 4 2" xfId="11454" xr:uid="{00000000-0005-0000-0000-0000932C0000}"/>
    <cellStyle name="Normal 2 2 2 2 2 2 27 4 3" xfId="11455" xr:uid="{00000000-0005-0000-0000-0000942C0000}"/>
    <cellStyle name="Normal 2 2 2 2 2 2 27 4 4" xfId="11456" xr:uid="{00000000-0005-0000-0000-0000952C0000}"/>
    <cellStyle name="Normal 2 2 2 2 2 2 27 4 5" xfId="11457" xr:uid="{00000000-0005-0000-0000-0000962C0000}"/>
    <cellStyle name="Normal 2 2 2 2 2 2 27 4 6" xfId="11458" xr:uid="{00000000-0005-0000-0000-0000972C0000}"/>
    <cellStyle name="Normal 2 2 2 2 2 2 27 4 7" xfId="11459" xr:uid="{00000000-0005-0000-0000-0000982C0000}"/>
    <cellStyle name="Normal 2 2 2 2 2 2 27 4 8" xfId="11460" xr:uid="{00000000-0005-0000-0000-0000992C0000}"/>
    <cellStyle name="Normal 2 2 2 2 2 2 27 4 9" xfId="11461" xr:uid="{00000000-0005-0000-0000-00009A2C0000}"/>
    <cellStyle name="Normal 2 2 2 2 2 2 27 5" xfId="11462" xr:uid="{00000000-0005-0000-0000-00009B2C0000}"/>
    <cellStyle name="Normal 2 2 2 2 2 2 27 5 10" xfId="11463" xr:uid="{00000000-0005-0000-0000-00009C2C0000}"/>
    <cellStyle name="Normal 2 2 2 2 2 2 27 5 2" xfId="11464" xr:uid="{00000000-0005-0000-0000-00009D2C0000}"/>
    <cellStyle name="Normal 2 2 2 2 2 2 27 5 3" xfId="11465" xr:uid="{00000000-0005-0000-0000-00009E2C0000}"/>
    <cellStyle name="Normal 2 2 2 2 2 2 27 5 4" xfId="11466" xr:uid="{00000000-0005-0000-0000-00009F2C0000}"/>
    <cellStyle name="Normal 2 2 2 2 2 2 27 5 5" xfId="11467" xr:uid="{00000000-0005-0000-0000-0000A02C0000}"/>
    <cellStyle name="Normal 2 2 2 2 2 2 27 5 6" xfId="11468" xr:uid="{00000000-0005-0000-0000-0000A12C0000}"/>
    <cellStyle name="Normal 2 2 2 2 2 2 27 5 7" xfId="11469" xr:uid="{00000000-0005-0000-0000-0000A22C0000}"/>
    <cellStyle name="Normal 2 2 2 2 2 2 27 5 8" xfId="11470" xr:uid="{00000000-0005-0000-0000-0000A32C0000}"/>
    <cellStyle name="Normal 2 2 2 2 2 2 27 5 9" xfId="11471" xr:uid="{00000000-0005-0000-0000-0000A42C0000}"/>
    <cellStyle name="Normal 2 2 2 2 2 2 27 6" xfId="11472" xr:uid="{00000000-0005-0000-0000-0000A52C0000}"/>
    <cellStyle name="Normal 2 2 2 2 2 2 27 7" xfId="11473" xr:uid="{00000000-0005-0000-0000-0000A62C0000}"/>
    <cellStyle name="Normal 2 2 2 2 2 2 27 8" xfId="11474" xr:uid="{00000000-0005-0000-0000-0000A72C0000}"/>
    <cellStyle name="Normal 2 2 2 2 2 2 27 9" xfId="11475" xr:uid="{00000000-0005-0000-0000-0000A82C0000}"/>
    <cellStyle name="Normal 2 2 2 2 2 2 28" xfId="11476" xr:uid="{00000000-0005-0000-0000-0000A92C0000}"/>
    <cellStyle name="Normal 2 2 2 2 2 2 28 10" xfId="11477" xr:uid="{00000000-0005-0000-0000-0000AA2C0000}"/>
    <cellStyle name="Normal 2 2 2 2 2 2 28 11" xfId="11478" xr:uid="{00000000-0005-0000-0000-0000AB2C0000}"/>
    <cellStyle name="Normal 2 2 2 2 2 2 28 12" xfId="11479" xr:uid="{00000000-0005-0000-0000-0000AC2C0000}"/>
    <cellStyle name="Normal 2 2 2 2 2 2 28 13" xfId="11480" xr:uid="{00000000-0005-0000-0000-0000AD2C0000}"/>
    <cellStyle name="Normal 2 2 2 2 2 2 28 14" xfId="11481" xr:uid="{00000000-0005-0000-0000-0000AE2C0000}"/>
    <cellStyle name="Normal 2 2 2 2 2 2 28 2" xfId="11482" xr:uid="{00000000-0005-0000-0000-0000AF2C0000}"/>
    <cellStyle name="Normal 2 2 2 2 2 2 28 2 10" xfId="11483" xr:uid="{00000000-0005-0000-0000-0000B02C0000}"/>
    <cellStyle name="Normal 2 2 2 2 2 2 28 2 2" xfId="11484" xr:uid="{00000000-0005-0000-0000-0000B12C0000}"/>
    <cellStyle name="Normal 2 2 2 2 2 2 28 2 3" xfId="11485" xr:uid="{00000000-0005-0000-0000-0000B22C0000}"/>
    <cellStyle name="Normal 2 2 2 2 2 2 28 2 4" xfId="11486" xr:uid="{00000000-0005-0000-0000-0000B32C0000}"/>
    <cellStyle name="Normal 2 2 2 2 2 2 28 2 5" xfId="11487" xr:uid="{00000000-0005-0000-0000-0000B42C0000}"/>
    <cellStyle name="Normal 2 2 2 2 2 2 28 2 6" xfId="11488" xr:uid="{00000000-0005-0000-0000-0000B52C0000}"/>
    <cellStyle name="Normal 2 2 2 2 2 2 28 2 7" xfId="11489" xr:uid="{00000000-0005-0000-0000-0000B62C0000}"/>
    <cellStyle name="Normal 2 2 2 2 2 2 28 2 8" xfId="11490" xr:uid="{00000000-0005-0000-0000-0000B72C0000}"/>
    <cellStyle name="Normal 2 2 2 2 2 2 28 2 9" xfId="11491" xr:uid="{00000000-0005-0000-0000-0000B82C0000}"/>
    <cellStyle name="Normal 2 2 2 2 2 2 28 3" xfId="11492" xr:uid="{00000000-0005-0000-0000-0000B92C0000}"/>
    <cellStyle name="Normal 2 2 2 2 2 2 28 3 10" xfId="11493" xr:uid="{00000000-0005-0000-0000-0000BA2C0000}"/>
    <cellStyle name="Normal 2 2 2 2 2 2 28 3 2" xfId="11494" xr:uid="{00000000-0005-0000-0000-0000BB2C0000}"/>
    <cellStyle name="Normal 2 2 2 2 2 2 28 3 3" xfId="11495" xr:uid="{00000000-0005-0000-0000-0000BC2C0000}"/>
    <cellStyle name="Normal 2 2 2 2 2 2 28 3 4" xfId="11496" xr:uid="{00000000-0005-0000-0000-0000BD2C0000}"/>
    <cellStyle name="Normal 2 2 2 2 2 2 28 3 5" xfId="11497" xr:uid="{00000000-0005-0000-0000-0000BE2C0000}"/>
    <cellStyle name="Normal 2 2 2 2 2 2 28 3 6" xfId="11498" xr:uid="{00000000-0005-0000-0000-0000BF2C0000}"/>
    <cellStyle name="Normal 2 2 2 2 2 2 28 3 7" xfId="11499" xr:uid="{00000000-0005-0000-0000-0000C02C0000}"/>
    <cellStyle name="Normal 2 2 2 2 2 2 28 3 8" xfId="11500" xr:uid="{00000000-0005-0000-0000-0000C12C0000}"/>
    <cellStyle name="Normal 2 2 2 2 2 2 28 3 9" xfId="11501" xr:uid="{00000000-0005-0000-0000-0000C22C0000}"/>
    <cellStyle name="Normal 2 2 2 2 2 2 28 4" xfId="11502" xr:uid="{00000000-0005-0000-0000-0000C32C0000}"/>
    <cellStyle name="Normal 2 2 2 2 2 2 28 4 10" xfId="11503" xr:uid="{00000000-0005-0000-0000-0000C42C0000}"/>
    <cellStyle name="Normal 2 2 2 2 2 2 28 4 2" xfId="11504" xr:uid="{00000000-0005-0000-0000-0000C52C0000}"/>
    <cellStyle name="Normal 2 2 2 2 2 2 28 4 3" xfId="11505" xr:uid="{00000000-0005-0000-0000-0000C62C0000}"/>
    <cellStyle name="Normal 2 2 2 2 2 2 28 4 4" xfId="11506" xr:uid="{00000000-0005-0000-0000-0000C72C0000}"/>
    <cellStyle name="Normal 2 2 2 2 2 2 28 4 5" xfId="11507" xr:uid="{00000000-0005-0000-0000-0000C82C0000}"/>
    <cellStyle name="Normal 2 2 2 2 2 2 28 4 6" xfId="11508" xr:uid="{00000000-0005-0000-0000-0000C92C0000}"/>
    <cellStyle name="Normal 2 2 2 2 2 2 28 4 7" xfId="11509" xr:uid="{00000000-0005-0000-0000-0000CA2C0000}"/>
    <cellStyle name="Normal 2 2 2 2 2 2 28 4 8" xfId="11510" xr:uid="{00000000-0005-0000-0000-0000CB2C0000}"/>
    <cellStyle name="Normal 2 2 2 2 2 2 28 4 9" xfId="11511" xr:uid="{00000000-0005-0000-0000-0000CC2C0000}"/>
    <cellStyle name="Normal 2 2 2 2 2 2 28 5" xfId="11512" xr:uid="{00000000-0005-0000-0000-0000CD2C0000}"/>
    <cellStyle name="Normal 2 2 2 2 2 2 28 5 10" xfId="11513" xr:uid="{00000000-0005-0000-0000-0000CE2C0000}"/>
    <cellStyle name="Normal 2 2 2 2 2 2 28 5 2" xfId="11514" xr:uid="{00000000-0005-0000-0000-0000CF2C0000}"/>
    <cellStyle name="Normal 2 2 2 2 2 2 28 5 3" xfId="11515" xr:uid="{00000000-0005-0000-0000-0000D02C0000}"/>
    <cellStyle name="Normal 2 2 2 2 2 2 28 5 4" xfId="11516" xr:uid="{00000000-0005-0000-0000-0000D12C0000}"/>
    <cellStyle name="Normal 2 2 2 2 2 2 28 5 5" xfId="11517" xr:uid="{00000000-0005-0000-0000-0000D22C0000}"/>
    <cellStyle name="Normal 2 2 2 2 2 2 28 5 6" xfId="11518" xr:uid="{00000000-0005-0000-0000-0000D32C0000}"/>
    <cellStyle name="Normal 2 2 2 2 2 2 28 5 7" xfId="11519" xr:uid="{00000000-0005-0000-0000-0000D42C0000}"/>
    <cellStyle name="Normal 2 2 2 2 2 2 28 5 8" xfId="11520" xr:uid="{00000000-0005-0000-0000-0000D52C0000}"/>
    <cellStyle name="Normal 2 2 2 2 2 2 28 5 9" xfId="11521" xr:uid="{00000000-0005-0000-0000-0000D62C0000}"/>
    <cellStyle name="Normal 2 2 2 2 2 2 28 6" xfId="11522" xr:uid="{00000000-0005-0000-0000-0000D72C0000}"/>
    <cellStyle name="Normal 2 2 2 2 2 2 28 7" xfId="11523" xr:uid="{00000000-0005-0000-0000-0000D82C0000}"/>
    <cellStyle name="Normal 2 2 2 2 2 2 28 8" xfId="11524" xr:uid="{00000000-0005-0000-0000-0000D92C0000}"/>
    <cellStyle name="Normal 2 2 2 2 2 2 28 9" xfId="11525" xr:uid="{00000000-0005-0000-0000-0000DA2C0000}"/>
    <cellStyle name="Normal 2 2 2 2 2 2 29" xfId="11526" xr:uid="{00000000-0005-0000-0000-0000DB2C0000}"/>
    <cellStyle name="Normal 2 2 2 2 2 2 29 10" xfId="11527" xr:uid="{00000000-0005-0000-0000-0000DC2C0000}"/>
    <cellStyle name="Normal 2 2 2 2 2 2 29 11" xfId="11528" xr:uid="{00000000-0005-0000-0000-0000DD2C0000}"/>
    <cellStyle name="Normal 2 2 2 2 2 2 29 12" xfId="11529" xr:uid="{00000000-0005-0000-0000-0000DE2C0000}"/>
    <cellStyle name="Normal 2 2 2 2 2 2 29 13" xfId="11530" xr:uid="{00000000-0005-0000-0000-0000DF2C0000}"/>
    <cellStyle name="Normal 2 2 2 2 2 2 29 14" xfId="11531" xr:uid="{00000000-0005-0000-0000-0000E02C0000}"/>
    <cellStyle name="Normal 2 2 2 2 2 2 29 2" xfId="11532" xr:uid="{00000000-0005-0000-0000-0000E12C0000}"/>
    <cellStyle name="Normal 2 2 2 2 2 2 29 2 10" xfId="11533" xr:uid="{00000000-0005-0000-0000-0000E22C0000}"/>
    <cellStyle name="Normal 2 2 2 2 2 2 29 2 2" xfId="11534" xr:uid="{00000000-0005-0000-0000-0000E32C0000}"/>
    <cellStyle name="Normal 2 2 2 2 2 2 29 2 3" xfId="11535" xr:uid="{00000000-0005-0000-0000-0000E42C0000}"/>
    <cellStyle name="Normal 2 2 2 2 2 2 29 2 4" xfId="11536" xr:uid="{00000000-0005-0000-0000-0000E52C0000}"/>
    <cellStyle name="Normal 2 2 2 2 2 2 29 2 5" xfId="11537" xr:uid="{00000000-0005-0000-0000-0000E62C0000}"/>
    <cellStyle name="Normal 2 2 2 2 2 2 29 2 6" xfId="11538" xr:uid="{00000000-0005-0000-0000-0000E72C0000}"/>
    <cellStyle name="Normal 2 2 2 2 2 2 29 2 7" xfId="11539" xr:uid="{00000000-0005-0000-0000-0000E82C0000}"/>
    <cellStyle name="Normal 2 2 2 2 2 2 29 2 8" xfId="11540" xr:uid="{00000000-0005-0000-0000-0000E92C0000}"/>
    <cellStyle name="Normal 2 2 2 2 2 2 29 2 9" xfId="11541" xr:uid="{00000000-0005-0000-0000-0000EA2C0000}"/>
    <cellStyle name="Normal 2 2 2 2 2 2 29 3" xfId="11542" xr:uid="{00000000-0005-0000-0000-0000EB2C0000}"/>
    <cellStyle name="Normal 2 2 2 2 2 2 29 3 10" xfId="11543" xr:uid="{00000000-0005-0000-0000-0000EC2C0000}"/>
    <cellStyle name="Normal 2 2 2 2 2 2 29 3 2" xfId="11544" xr:uid="{00000000-0005-0000-0000-0000ED2C0000}"/>
    <cellStyle name="Normal 2 2 2 2 2 2 29 3 3" xfId="11545" xr:uid="{00000000-0005-0000-0000-0000EE2C0000}"/>
    <cellStyle name="Normal 2 2 2 2 2 2 29 3 4" xfId="11546" xr:uid="{00000000-0005-0000-0000-0000EF2C0000}"/>
    <cellStyle name="Normal 2 2 2 2 2 2 29 3 5" xfId="11547" xr:uid="{00000000-0005-0000-0000-0000F02C0000}"/>
    <cellStyle name="Normal 2 2 2 2 2 2 29 3 6" xfId="11548" xr:uid="{00000000-0005-0000-0000-0000F12C0000}"/>
    <cellStyle name="Normal 2 2 2 2 2 2 29 3 7" xfId="11549" xr:uid="{00000000-0005-0000-0000-0000F22C0000}"/>
    <cellStyle name="Normal 2 2 2 2 2 2 29 3 8" xfId="11550" xr:uid="{00000000-0005-0000-0000-0000F32C0000}"/>
    <cellStyle name="Normal 2 2 2 2 2 2 29 3 9" xfId="11551" xr:uid="{00000000-0005-0000-0000-0000F42C0000}"/>
    <cellStyle name="Normal 2 2 2 2 2 2 29 4" xfId="11552" xr:uid="{00000000-0005-0000-0000-0000F52C0000}"/>
    <cellStyle name="Normal 2 2 2 2 2 2 29 4 10" xfId="11553" xr:uid="{00000000-0005-0000-0000-0000F62C0000}"/>
    <cellStyle name="Normal 2 2 2 2 2 2 29 4 2" xfId="11554" xr:uid="{00000000-0005-0000-0000-0000F72C0000}"/>
    <cellStyle name="Normal 2 2 2 2 2 2 29 4 3" xfId="11555" xr:uid="{00000000-0005-0000-0000-0000F82C0000}"/>
    <cellStyle name="Normal 2 2 2 2 2 2 29 4 4" xfId="11556" xr:uid="{00000000-0005-0000-0000-0000F92C0000}"/>
    <cellStyle name="Normal 2 2 2 2 2 2 29 4 5" xfId="11557" xr:uid="{00000000-0005-0000-0000-0000FA2C0000}"/>
    <cellStyle name="Normal 2 2 2 2 2 2 29 4 6" xfId="11558" xr:uid="{00000000-0005-0000-0000-0000FB2C0000}"/>
    <cellStyle name="Normal 2 2 2 2 2 2 29 4 7" xfId="11559" xr:uid="{00000000-0005-0000-0000-0000FC2C0000}"/>
    <cellStyle name="Normal 2 2 2 2 2 2 29 4 8" xfId="11560" xr:uid="{00000000-0005-0000-0000-0000FD2C0000}"/>
    <cellStyle name="Normal 2 2 2 2 2 2 29 4 9" xfId="11561" xr:uid="{00000000-0005-0000-0000-0000FE2C0000}"/>
    <cellStyle name="Normal 2 2 2 2 2 2 29 5" xfId="11562" xr:uid="{00000000-0005-0000-0000-0000FF2C0000}"/>
    <cellStyle name="Normal 2 2 2 2 2 2 29 5 10" xfId="11563" xr:uid="{00000000-0005-0000-0000-0000002D0000}"/>
    <cellStyle name="Normal 2 2 2 2 2 2 29 5 2" xfId="11564" xr:uid="{00000000-0005-0000-0000-0000012D0000}"/>
    <cellStyle name="Normal 2 2 2 2 2 2 29 5 3" xfId="11565" xr:uid="{00000000-0005-0000-0000-0000022D0000}"/>
    <cellStyle name="Normal 2 2 2 2 2 2 29 5 4" xfId="11566" xr:uid="{00000000-0005-0000-0000-0000032D0000}"/>
    <cellStyle name="Normal 2 2 2 2 2 2 29 5 5" xfId="11567" xr:uid="{00000000-0005-0000-0000-0000042D0000}"/>
    <cellStyle name="Normal 2 2 2 2 2 2 29 5 6" xfId="11568" xr:uid="{00000000-0005-0000-0000-0000052D0000}"/>
    <cellStyle name="Normal 2 2 2 2 2 2 29 5 7" xfId="11569" xr:uid="{00000000-0005-0000-0000-0000062D0000}"/>
    <cellStyle name="Normal 2 2 2 2 2 2 29 5 8" xfId="11570" xr:uid="{00000000-0005-0000-0000-0000072D0000}"/>
    <cellStyle name="Normal 2 2 2 2 2 2 29 5 9" xfId="11571" xr:uid="{00000000-0005-0000-0000-0000082D0000}"/>
    <cellStyle name="Normal 2 2 2 2 2 2 29 6" xfId="11572" xr:uid="{00000000-0005-0000-0000-0000092D0000}"/>
    <cellStyle name="Normal 2 2 2 2 2 2 29 7" xfId="11573" xr:uid="{00000000-0005-0000-0000-00000A2D0000}"/>
    <cellStyle name="Normal 2 2 2 2 2 2 29 8" xfId="11574" xr:uid="{00000000-0005-0000-0000-00000B2D0000}"/>
    <cellStyle name="Normal 2 2 2 2 2 2 29 9" xfId="11575" xr:uid="{00000000-0005-0000-0000-00000C2D0000}"/>
    <cellStyle name="Normal 2 2 2 2 2 2 3" xfId="11576" xr:uid="{00000000-0005-0000-0000-00000D2D0000}"/>
    <cellStyle name="Normal 2 2 2 2 2 2 3 10" xfId="11577" xr:uid="{00000000-0005-0000-0000-00000E2D0000}"/>
    <cellStyle name="Normal 2 2 2 2 2 2 3 11" xfId="11578" xr:uid="{00000000-0005-0000-0000-00000F2D0000}"/>
    <cellStyle name="Normal 2 2 2 2 2 2 3 12" xfId="11579" xr:uid="{00000000-0005-0000-0000-0000102D0000}"/>
    <cellStyle name="Normal 2 2 2 2 2 2 3 13" xfId="11580" xr:uid="{00000000-0005-0000-0000-0000112D0000}"/>
    <cellStyle name="Normal 2 2 2 2 2 2 3 14" xfId="11581" xr:uid="{00000000-0005-0000-0000-0000122D0000}"/>
    <cellStyle name="Normal 2 2 2 2 2 2 3 15" xfId="11582" xr:uid="{00000000-0005-0000-0000-0000132D0000}"/>
    <cellStyle name="Normal 2 2 2 2 2 2 3 16" xfId="11583" xr:uid="{00000000-0005-0000-0000-0000142D0000}"/>
    <cellStyle name="Normal 2 2 2 2 2 2 3 2" xfId="11584" xr:uid="{00000000-0005-0000-0000-0000152D0000}"/>
    <cellStyle name="Normal 2 2 2 2 2 2 3 2 10" xfId="11585" xr:uid="{00000000-0005-0000-0000-0000162D0000}"/>
    <cellStyle name="Normal 2 2 2 2 2 2 3 2 2" xfId="11586" xr:uid="{00000000-0005-0000-0000-0000172D0000}"/>
    <cellStyle name="Normal 2 2 2 2 2 2 3 2 3" xfId="11587" xr:uid="{00000000-0005-0000-0000-0000182D0000}"/>
    <cellStyle name="Normal 2 2 2 2 2 2 3 2 4" xfId="11588" xr:uid="{00000000-0005-0000-0000-0000192D0000}"/>
    <cellStyle name="Normal 2 2 2 2 2 2 3 2 5" xfId="11589" xr:uid="{00000000-0005-0000-0000-00001A2D0000}"/>
    <cellStyle name="Normal 2 2 2 2 2 2 3 2 6" xfId="11590" xr:uid="{00000000-0005-0000-0000-00001B2D0000}"/>
    <cellStyle name="Normal 2 2 2 2 2 2 3 2 7" xfId="11591" xr:uid="{00000000-0005-0000-0000-00001C2D0000}"/>
    <cellStyle name="Normal 2 2 2 2 2 2 3 2 8" xfId="11592" xr:uid="{00000000-0005-0000-0000-00001D2D0000}"/>
    <cellStyle name="Normal 2 2 2 2 2 2 3 2 9" xfId="11593" xr:uid="{00000000-0005-0000-0000-00001E2D0000}"/>
    <cellStyle name="Normal 2 2 2 2 2 2 3 3" xfId="11594" xr:uid="{00000000-0005-0000-0000-00001F2D0000}"/>
    <cellStyle name="Normal 2 2 2 2 2 2 3 3 10" xfId="11595" xr:uid="{00000000-0005-0000-0000-0000202D0000}"/>
    <cellStyle name="Normal 2 2 2 2 2 2 3 3 2" xfId="11596" xr:uid="{00000000-0005-0000-0000-0000212D0000}"/>
    <cellStyle name="Normal 2 2 2 2 2 2 3 3 3" xfId="11597" xr:uid="{00000000-0005-0000-0000-0000222D0000}"/>
    <cellStyle name="Normal 2 2 2 2 2 2 3 3 4" xfId="11598" xr:uid="{00000000-0005-0000-0000-0000232D0000}"/>
    <cellStyle name="Normal 2 2 2 2 2 2 3 3 5" xfId="11599" xr:uid="{00000000-0005-0000-0000-0000242D0000}"/>
    <cellStyle name="Normal 2 2 2 2 2 2 3 3 6" xfId="11600" xr:uid="{00000000-0005-0000-0000-0000252D0000}"/>
    <cellStyle name="Normal 2 2 2 2 2 2 3 3 7" xfId="11601" xr:uid="{00000000-0005-0000-0000-0000262D0000}"/>
    <cellStyle name="Normal 2 2 2 2 2 2 3 3 8" xfId="11602" xr:uid="{00000000-0005-0000-0000-0000272D0000}"/>
    <cellStyle name="Normal 2 2 2 2 2 2 3 3 9" xfId="11603" xr:uid="{00000000-0005-0000-0000-0000282D0000}"/>
    <cellStyle name="Normal 2 2 2 2 2 2 3 4" xfId="11604" xr:uid="{00000000-0005-0000-0000-0000292D0000}"/>
    <cellStyle name="Normal 2 2 2 2 2 2 3 4 10" xfId="11605" xr:uid="{00000000-0005-0000-0000-00002A2D0000}"/>
    <cellStyle name="Normal 2 2 2 2 2 2 3 4 2" xfId="11606" xr:uid="{00000000-0005-0000-0000-00002B2D0000}"/>
    <cellStyle name="Normal 2 2 2 2 2 2 3 4 3" xfId="11607" xr:uid="{00000000-0005-0000-0000-00002C2D0000}"/>
    <cellStyle name="Normal 2 2 2 2 2 2 3 4 4" xfId="11608" xr:uid="{00000000-0005-0000-0000-00002D2D0000}"/>
    <cellStyle name="Normal 2 2 2 2 2 2 3 4 5" xfId="11609" xr:uid="{00000000-0005-0000-0000-00002E2D0000}"/>
    <cellStyle name="Normal 2 2 2 2 2 2 3 4 6" xfId="11610" xr:uid="{00000000-0005-0000-0000-00002F2D0000}"/>
    <cellStyle name="Normal 2 2 2 2 2 2 3 4 7" xfId="11611" xr:uid="{00000000-0005-0000-0000-0000302D0000}"/>
    <cellStyle name="Normal 2 2 2 2 2 2 3 4 8" xfId="11612" xr:uid="{00000000-0005-0000-0000-0000312D0000}"/>
    <cellStyle name="Normal 2 2 2 2 2 2 3 4 9" xfId="11613" xr:uid="{00000000-0005-0000-0000-0000322D0000}"/>
    <cellStyle name="Normal 2 2 2 2 2 2 3 5" xfId="11614" xr:uid="{00000000-0005-0000-0000-0000332D0000}"/>
    <cellStyle name="Normal 2 2 2 2 2 2 3 5 10" xfId="11615" xr:uid="{00000000-0005-0000-0000-0000342D0000}"/>
    <cellStyle name="Normal 2 2 2 2 2 2 3 5 2" xfId="11616" xr:uid="{00000000-0005-0000-0000-0000352D0000}"/>
    <cellStyle name="Normal 2 2 2 2 2 2 3 5 3" xfId="11617" xr:uid="{00000000-0005-0000-0000-0000362D0000}"/>
    <cellStyle name="Normal 2 2 2 2 2 2 3 5 4" xfId="11618" xr:uid="{00000000-0005-0000-0000-0000372D0000}"/>
    <cellStyle name="Normal 2 2 2 2 2 2 3 5 5" xfId="11619" xr:uid="{00000000-0005-0000-0000-0000382D0000}"/>
    <cellStyle name="Normal 2 2 2 2 2 2 3 5 6" xfId="11620" xr:uid="{00000000-0005-0000-0000-0000392D0000}"/>
    <cellStyle name="Normal 2 2 2 2 2 2 3 5 7" xfId="11621" xr:uid="{00000000-0005-0000-0000-00003A2D0000}"/>
    <cellStyle name="Normal 2 2 2 2 2 2 3 5 8" xfId="11622" xr:uid="{00000000-0005-0000-0000-00003B2D0000}"/>
    <cellStyle name="Normal 2 2 2 2 2 2 3 5 9" xfId="11623" xr:uid="{00000000-0005-0000-0000-00003C2D0000}"/>
    <cellStyle name="Normal 2 2 2 2 2 2 3 6" xfId="11624" xr:uid="{00000000-0005-0000-0000-00003D2D0000}"/>
    <cellStyle name="Normal 2 2 2 2 2 2 3 7" xfId="11625" xr:uid="{00000000-0005-0000-0000-00003E2D0000}"/>
    <cellStyle name="Normal 2 2 2 2 2 2 3 8" xfId="11626" xr:uid="{00000000-0005-0000-0000-00003F2D0000}"/>
    <cellStyle name="Normal 2 2 2 2 2 2 3 9" xfId="11627" xr:uid="{00000000-0005-0000-0000-0000402D0000}"/>
    <cellStyle name="Normal 2 2 2 2 2 2 30" xfId="11628" xr:uid="{00000000-0005-0000-0000-0000412D0000}"/>
    <cellStyle name="Normal 2 2 2 2 2 2 30 10" xfId="11629" xr:uid="{00000000-0005-0000-0000-0000422D0000}"/>
    <cellStyle name="Normal 2 2 2 2 2 2 30 11" xfId="11630" xr:uid="{00000000-0005-0000-0000-0000432D0000}"/>
    <cellStyle name="Normal 2 2 2 2 2 2 30 12" xfId="11631" xr:uid="{00000000-0005-0000-0000-0000442D0000}"/>
    <cellStyle name="Normal 2 2 2 2 2 2 30 13" xfId="11632" xr:uid="{00000000-0005-0000-0000-0000452D0000}"/>
    <cellStyle name="Normal 2 2 2 2 2 2 30 14" xfId="11633" xr:uid="{00000000-0005-0000-0000-0000462D0000}"/>
    <cellStyle name="Normal 2 2 2 2 2 2 30 2" xfId="11634" xr:uid="{00000000-0005-0000-0000-0000472D0000}"/>
    <cellStyle name="Normal 2 2 2 2 2 2 30 2 10" xfId="11635" xr:uid="{00000000-0005-0000-0000-0000482D0000}"/>
    <cellStyle name="Normal 2 2 2 2 2 2 30 2 2" xfId="11636" xr:uid="{00000000-0005-0000-0000-0000492D0000}"/>
    <cellStyle name="Normal 2 2 2 2 2 2 30 2 3" xfId="11637" xr:uid="{00000000-0005-0000-0000-00004A2D0000}"/>
    <cellStyle name="Normal 2 2 2 2 2 2 30 2 4" xfId="11638" xr:uid="{00000000-0005-0000-0000-00004B2D0000}"/>
    <cellStyle name="Normal 2 2 2 2 2 2 30 2 5" xfId="11639" xr:uid="{00000000-0005-0000-0000-00004C2D0000}"/>
    <cellStyle name="Normal 2 2 2 2 2 2 30 2 6" xfId="11640" xr:uid="{00000000-0005-0000-0000-00004D2D0000}"/>
    <cellStyle name="Normal 2 2 2 2 2 2 30 2 7" xfId="11641" xr:uid="{00000000-0005-0000-0000-00004E2D0000}"/>
    <cellStyle name="Normal 2 2 2 2 2 2 30 2 8" xfId="11642" xr:uid="{00000000-0005-0000-0000-00004F2D0000}"/>
    <cellStyle name="Normal 2 2 2 2 2 2 30 2 9" xfId="11643" xr:uid="{00000000-0005-0000-0000-0000502D0000}"/>
    <cellStyle name="Normal 2 2 2 2 2 2 30 3" xfId="11644" xr:uid="{00000000-0005-0000-0000-0000512D0000}"/>
    <cellStyle name="Normal 2 2 2 2 2 2 30 3 10" xfId="11645" xr:uid="{00000000-0005-0000-0000-0000522D0000}"/>
    <cellStyle name="Normal 2 2 2 2 2 2 30 3 2" xfId="11646" xr:uid="{00000000-0005-0000-0000-0000532D0000}"/>
    <cellStyle name="Normal 2 2 2 2 2 2 30 3 3" xfId="11647" xr:uid="{00000000-0005-0000-0000-0000542D0000}"/>
    <cellStyle name="Normal 2 2 2 2 2 2 30 3 4" xfId="11648" xr:uid="{00000000-0005-0000-0000-0000552D0000}"/>
    <cellStyle name="Normal 2 2 2 2 2 2 30 3 5" xfId="11649" xr:uid="{00000000-0005-0000-0000-0000562D0000}"/>
    <cellStyle name="Normal 2 2 2 2 2 2 30 3 6" xfId="11650" xr:uid="{00000000-0005-0000-0000-0000572D0000}"/>
    <cellStyle name="Normal 2 2 2 2 2 2 30 3 7" xfId="11651" xr:uid="{00000000-0005-0000-0000-0000582D0000}"/>
    <cellStyle name="Normal 2 2 2 2 2 2 30 3 8" xfId="11652" xr:uid="{00000000-0005-0000-0000-0000592D0000}"/>
    <cellStyle name="Normal 2 2 2 2 2 2 30 3 9" xfId="11653" xr:uid="{00000000-0005-0000-0000-00005A2D0000}"/>
    <cellStyle name="Normal 2 2 2 2 2 2 30 4" xfId="11654" xr:uid="{00000000-0005-0000-0000-00005B2D0000}"/>
    <cellStyle name="Normal 2 2 2 2 2 2 30 4 10" xfId="11655" xr:uid="{00000000-0005-0000-0000-00005C2D0000}"/>
    <cellStyle name="Normal 2 2 2 2 2 2 30 4 2" xfId="11656" xr:uid="{00000000-0005-0000-0000-00005D2D0000}"/>
    <cellStyle name="Normal 2 2 2 2 2 2 30 4 3" xfId="11657" xr:uid="{00000000-0005-0000-0000-00005E2D0000}"/>
    <cellStyle name="Normal 2 2 2 2 2 2 30 4 4" xfId="11658" xr:uid="{00000000-0005-0000-0000-00005F2D0000}"/>
    <cellStyle name="Normal 2 2 2 2 2 2 30 4 5" xfId="11659" xr:uid="{00000000-0005-0000-0000-0000602D0000}"/>
    <cellStyle name="Normal 2 2 2 2 2 2 30 4 6" xfId="11660" xr:uid="{00000000-0005-0000-0000-0000612D0000}"/>
    <cellStyle name="Normal 2 2 2 2 2 2 30 4 7" xfId="11661" xr:uid="{00000000-0005-0000-0000-0000622D0000}"/>
    <cellStyle name="Normal 2 2 2 2 2 2 30 4 8" xfId="11662" xr:uid="{00000000-0005-0000-0000-0000632D0000}"/>
    <cellStyle name="Normal 2 2 2 2 2 2 30 4 9" xfId="11663" xr:uid="{00000000-0005-0000-0000-0000642D0000}"/>
    <cellStyle name="Normal 2 2 2 2 2 2 30 5" xfId="11664" xr:uid="{00000000-0005-0000-0000-0000652D0000}"/>
    <cellStyle name="Normal 2 2 2 2 2 2 30 5 10" xfId="11665" xr:uid="{00000000-0005-0000-0000-0000662D0000}"/>
    <cellStyle name="Normal 2 2 2 2 2 2 30 5 2" xfId="11666" xr:uid="{00000000-0005-0000-0000-0000672D0000}"/>
    <cellStyle name="Normal 2 2 2 2 2 2 30 5 3" xfId="11667" xr:uid="{00000000-0005-0000-0000-0000682D0000}"/>
    <cellStyle name="Normal 2 2 2 2 2 2 30 5 4" xfId="11668" xr:uid="{00000000-0005-0000-0000-0000692D0000}"/>
    <cellStyle name="Normal 2 2 2 2 2 2 30 5 5" xfId="11669" xr:uid="{00000000-0005-0000-0000-00006A2D0000}"/>
    <cellStyle name="Normal 2 2 2 2 2 2 30 5 6" xfId="11670" xr:uid="{00000000-0005-0000-0000-00006B2D0000}"/>
    <cellStyle name="Normal 2 2 2 2 2 2 30 5 7" xfId="11671" xr:uid="{00000000-0005-0000-0000-00006C2D0000}"/>
    <cellStyle name="Normal 2 2 2 2 2 2 30 5 8" xfId="11672" xr:uid="{00000000-0005-0000-0000-00006D2D0000}"/>
    <cellStyle name="Normal 2 2 2 2 2 2 30 5 9" xfId="11673" xr:uid="{00000000-0005-0000-0000-00006E2D0000}"/>
    <cellStyle name="Normal 2 2 2 2 2 2 30 6" xfId="11674" xr:uid="{00000000-0005-0000-0000-00006F2D0000}"/>
    <cellStyle name="Normal 2 2 2 2 2 2 30 7" xfId="11675" xr:uid="{00000000-0005-0000-0000-0000702D0000}"/>
    <cellStyle name="Normal 2 2 2 2 2 2 30 8" xfId="11676" xr:uid="{00000000-0005-0000-0000-0000712D0000}"/>
    <cellStyle name="Normal 2 2 2 2 2 2 30 9" xfId="11677" xr:uid="{00000000-0005-0000-0000-0000722D0000}"/>
    <cellStyle name="Normal 2 2 2 2 2 2 31" xfId="11678" xr:uid="{00000000-0005-0000-0000-0000732D0000}"/>
    <cellStyle name="Normal 2 2 2 2 2 2 31 10" xfId="11679" xr:uid="{00000000-0005-0000-0000-0000742D0000}"/>
    <cellStyle name="Normal 2 2 2 2 2 2 31 11" xfId="11680" xr:uid="{00000000-0005-0000-0000-0000752D0000}"/>
    <cellStyle name="Normal 2 2 2 2 2 2 31 12" xfId="11681" xr:uid="{00000000-0005-0000-0000-0000762D0000}"/>
    <cellStyle name="Normal 2 2 2 2 2 2 31 13" xfId="11682" xr:uid="{00000000-0005-0000-0000-0000772D0000}"/>
    <cellStyle name="Normal 2 2 2 2 2 2 31 14" xfId="11683" xr:uid="{00000000-0005-0000-0000-0000782D0000}"/>
    <cellStyle name="Normal 2 2 2 2 2 2 31 2" xfId="11684" xr:uid="{00000000-0005-0000-0000-0000792D0000}"/>
    <cellStyle name="Normal 2 2 2 2 2 2 31 2 10" xfId="11685" xr:uid="{00000000-0005-0000-0000-00007A2D0000}"/>
    <cellStyle name="Normal 2 2 2 2 2 2 31 2 2" xfId="11686" xr:uid="{00000000-0005-0000-0000-00007B2D0000}"/>
    <cellStyle name="Normal 2 2 2 2 2 2 31 2 3" xfId="11687" xr:uid="{00000000-0005-0000-0000-00007C2D0000}"/>
    <cellStyle name="Normal 2 2 2 2 2 2 31 2 4" xfId="11688" xr:uid="{00000000-0005-0000-0000-00007D2D0000}"/>
    <cellStyle name="Normal 2 2 2 2 2 2 31 2 5" xfId="11689" xr:uid="{00000000-0005-0000-0000-00007E2D0000}"/>
    <cellStyle name="Normal 2 2 2 2 2 2 31 2 6" xfId="11690" xr:uid="{00000000-0005-0000-0000-00007F2D0000}"/>
    <cellStyle name="Normal 2 2 2 2 2 2 31 2 7" xfId="11691" xr:uid="{00000000-0005-0000-0000-0000802D0000}"/>
    <cellStyle name="Normal 2 2 2 2 2 2 31 2 8" xfId="11692" xr:uid="{00000000-0005-0000-0000-0000812D0000}"/>
    <cellStyle name="Normal 2 2 2 2 2 2 31 2 9" xfId="11693" xr:uid="{00000000-0005-0000-0000-0000822D0000}"/>
    <cellStyle name="Normal 2 2 2 2 2 2 31 3" xfId="11694" xr:uid="{00000000-0005-0000-0000-0000832D0000}"/>
    <cellStyle name="Normal 2 2 2 2 2 2 31 3 10" xfId="11695" xr:uid="{00000000-0005-0000-0000-0000842D0000}"/>
    <cellStyle name="Normal 2 2 2 2 2 2 31 3 2" xfId="11696" xr:uid="{00000000-0005-0000-0000-0000852D0000}"/>
    <cellStyle name="Normal 2 2 2 2 2 2 31 3 3" xfId="11697" xr:uid="{00000000-0005-0000-0000-0000862D0000}"/>
    <cellStyle name="Normal 2 2 2 2 2 2 31 3 4" xfId="11698" xr:uid="{00000000-0005-0000-0000-0000872D0000}"/>
    <cellStyle name="Normal 2 2 2 2 2 2 31 3 5" xfId="11699" xr:uid="{00000000-0005-0000-0000-0000882D0000}"/>
    <cellStyle name="Normal 2 2 2 2 2 2 31 3 6" xfId="11700" xr:uid="{00000000-0005-0000-0000-0000892D0000}"/>
    <cellStyle name="Normal 2 2 2 2 2 2 31 3 7" xfId="11701" xr:uid="{00000000-0005-0000-0000-00008A2D0000}"/>
    <cellStyle name="Normal 2 2 2 2 2 2 31 3 8" xfId="11702" xr:uid="{00000000-0005-0000-0000-00008B2D0000}"/>
    <cellStyle name="Normal 2 2 2 2 2 2 31 3 9" xfId="11703" xr:uid="{00000000-0005-0000-0000-00008C2D0000}"/>
    <cellStyle name="Normal 2 2 2 2 2 2 31 4" xfId="11704" xr:uid="{00000000-0005-0000-0000-00008D2D0000}"/>
    <cellStyle name="Normal 2 2 2 2 2 2 31 4 10" xfId="11705" xr:uid="{00000000-0005-0000-0000-00008E2D0000}"/>
    <cellStyle name="Normal 2 2 2 2 2 2 31 4 2" xfId="11706" xr:uid="{00000000-0005-0000-0000-00008F2D0000}"/>
    <cellStyle name="Normal 2 2 2 2 2 2 31 4 3" xfId="11707" xr:uid="{00000000-0005-0000-0000-0000902D0000}"/>
    <cellStyle name="Normal 2 2 2 2 2 2 31 4 4" xfId="11708" xr:uid="{00000000-0005-0000-0000-0000912D0000}"/>
    <cellStyle name="Normal 2 2 2 2 2 2 31 4 5" xfId="11709" xr:uid="{00000000-0005-0000-0000-0000922D0000}"/>
    <cellStyle name="Normal 2 2 2 2 2 2 31 4 6" xfId="11710" xr:uid="{00000000-0005-0000-0000-0000932D0000}"/>
    <cellStyle name="Normal 2 2 2 2 2 2 31 4 7" xfId="11711" xr:uid="{00000000-0005-0000-0000-0000942D0000}"/>
    <cellStyle name="Normal 2 2 2 2 2 2 31 4 8" xfId="11712" xr:uid="{00000000-0005-0000-0000-0000952D0000}"/>
    <cellStyle name="Normal 2 2 2 2 2 2 31 4 9" xfId="11713" xr:uid="{00000000-0005-0000-0000-0000962D0000}"/>
    <cellStyle name="Normal 2 2 2 2 2 2 31 5" xfId="11714" xr:uid="{00000000-0005-0000-0000-0000972D0000}"/>
    <cellStyle name="Normal 2 2 2 2 2 2 31 5 10" xfId="11715" xr:uid="{00000000-0005-0000-0000-0000982D0000}"/>
    <cellStyle name="Normal 2 2 2 2 2 2 31 5 2" xfId="11716" xr:uid="{00000000-0005-0000-0000-0000992D0000}"/>
    <cellStyle name="Normal 2 2 2 2 2 2 31 5 3" xfId="11717" xr:uid="{00000000-0005-0000-0000-00009A2D0000}"/>
    <cellStyle name="Normal 2 2 2 2 2 2 31 5 4" xfId="11718" xr:uid="{00000000-0005-0000-0000-00009B2D0000}"/>
    <cellStyle name="Normal 2 2 2 2 2 2 31 5 5" xfId="11719" xr:uid="{00000000-0005-0000-0000-00009C2D0000}"/>
    <cellStyle name="Normal 2 2 2 2 2 2 31 5 6" xfId="11720" xr:uid="{00000000-0005-0000-0000-00009D2D0000}"/>
    <cellStyle name="Normal 2 2 2 2 2 2 31 5 7" xfId="11721" xr:uid="{00000000-0005-0000-0000-00009E2D0000}"/>
    <cellStyle name="Normal 2 2 2 2 2 2 31 5 8" xfId="11722" xr:uid="{00000000-0005-0000-0000-00009F2D0000}"/>
    <cellStyle name="Normal 2 2 2 2 2 2 31 5 9" xfId="11723" xr:uid="{00000000-0005-0000-0000-0000A02D0000}"/>
    <cellStyle name="Normal 2 2 2 2 2 2 31 6" xfId="11724" xr:uid="{00000000-0005-0000-0000-0000A12D0000}"/>
    <cellStyle name="Normal 2 2 2 2 2 2 31 7" xfId="11725" xr:uid="{00000000-0005-0000-0000-0000A22D0000}"/>
    <cellStyle name="Normal 2 2 2 2 2 2 31 8" xfId="11726" xr:uid="{00000000-0005-0000-0000-0000A32D0000}"/>
    <cellStyle name="Normal 2 2 2 2 2 2 31 9" xfId="11727" xr:uid="{00000000-0005-0000-0000-0000A42D0000}"/>
    <cellStyle name="Normal 2 2 2 2 2 2 32" xfId="11728" xr:uid="{00000000-0005-0000-0000-0000A52D0000}"/>
    <cellStyle name="Normal 2 2 2 2 2 2 32 10" xfId="11729" xr:uid="{00000000-0005-0000-0000-0000A62D0000}"/>
    <cellStyle name="Normal 2 2 2 2 2 2 32 11" xfId="11730" xr:uid="{00000000-0005-0000-0000-0000A72D0000}"/>
    <cellStyle name="Normal 2 2 2 2 2 2 32 12" xfId="11731" xr:uid="{00000000-0005-0000-0000-0000A82D0000}"/>
    <cellStyle name="Normal 2 2 2 2 2 2 32 13" xfId="11732" xr:uid="{00000000-0005-0000-0000-0000A92D0000}"/>
    <cellStyle name="Normal 2 2 2 2 2 2 32 14" xfId="11733" xr:uid="{00000000-0005-0000-0000-0000AA2D0000}"/>
    <cellStyle name="Normal 2 2 2 2 2 2 32 2" xfId="11734" xr:uid="{00000000-0005-0000-0000-0000AB2D0000}"/>
    <cellStyle name="Normal 2 2 2 2 2 2 32 2 10" xfId="11735" xr:uid="{00000000-0005-0000-0000-0000AC2D0000}"/>
    <cellStyle name="Normal 2 2 2 2 2 2 32 2 2" xfId="11736" xr:uid="{00000000-0005-0000-0000-0000AD2D0000}"/>
    <cellStyle name="Normal 2 2 2 2 2 2 32 2 3" xfId="11737" xr:uid="{00000000-0005-0000-0000-0000AE2D0000}"/>
    <cellStyle name="Normal 2 2 2 2 2 2 32 2 4" xfId="11738" xr:uid="{00000000-0005-0000-0000-0000AF2D0000}"/>
    <cellStyle name="Normal 2 2 2 2 2 2 32 2 5" xfId="11739" xr:uid="{00000000-0005-0000-0000-0000B02D0000}"/>
    <cellStyle name="Normal 2 2 2 2 2 2 32 2 6" xfId="11740" xr:uid="{00000000-0005-0000-0000-0000B12D0000}"/>
    <cellStyle name="Normal 2 2 2 2 2 2 32 2 7" xfId="11741" xr:uid="{00000000-0005-0000-0000-0000B22D0000}"/>
    <cellStyle name="Normal 2 2 2 2 2 2 32 2 8" xfId="11742" xr:uid="{00000000-0005-0000-0000-0000B32D0000}"/>
    <cellStyle name="Normal 2 2 2 2 2 2 32 2 9" xfId="11743" xr:uid="{00000000-0005-0000-0000-0000B42D0000}"/>
    <cellStyle name="Normal 2 2 2 2 2 2 32 3" xfId="11744" xr:uid="{00000000-0005-0000-0000-0000B52D0000}"/>
    <cellStyle name="Normal 2 2 2 2 2 2 32 3 10" xfId="11745" xr:uid="{00000000-0005-0000-0000-0000B62D0000}"/>
    <cellStyle name="Normal 2 2 2 2 2 2 32 3 2" xfId="11746" xr:uid="{00000000-0005-0000-0000-0000B72D0000}"/>
    <cellStyle name="Normal 2 2 2 2 2 2 32 3 3" xfId="11747" xr:uid="{00000000-0005-0000-0000-0000B82D0000}"/>
    <cellStyle name="Normal 2 2 2 2 2 2 32 3 4" xfId="11748" xr:uid="{00000000-0005-0000-0000-0000B92D0000}"/>
    <cellStyle name="Normal 2 2 2 2 2 2 32 3 5" xfId="11749" xr:uid="{00000000-0005-0000-0000-0000BA2D0000}"/>
    <cellStyle name="Normal 2 2 2 2 2 2 32 3 6" xfId="11750" xr:uid="{00000000-0005-0000-0000-0000BB2D0000}"/>
    <cellStyle name="Normal 2 2 2 2 2 2 32 3 7" xfId="11751" xr:uid="{00000000-0005-0000-0000-0000BC2D0000}"/>
    <cellStyle name="Normal 2 2 2 2 2 2 32 3 8" xfId="11752" xr:uid="{00000000-0005-0000-0000-0000BD2D0000}"/>
    <cellStyle name="Normal 2 2 2 2 2 2 32 3 9" xfId="11753" xr:uid="{00000000-0005-0000-0000-0000BE2D0000}"/>
    <cellStyle name="Normal 2 2 2 2 2 2 32 4" xfId="11754" xr:uid="{00000000-0005-0000-0000-0000BF2D0000}"/>
    <cellStyle name="Normal 2 2 2 2 2 2 32 4 10" xfId="11755" xr:uid="{00000000-0005-0000-0000-0000C02D0000}"/>
    <cellStyle name="Normal 2 2 2 2 2 2 32 4 2" xfId="11756" xr:uid="{00000000-0005-0000-0000-0000C12D0000}"/>
    <cellStyle name="Normal 2 2 2 2 2 2 32 4 3" xfId="11757" xr:uid="{00000000-0005-0000-0000-0000C22D0000}"/>
    <cellStyle name="Normal 2 2 2 2 2 2 32 4 4" xfId="11758" xr:uid="{00000000-0005-0000-0000-0000C32D0000}"/>
    <cellStyle name="Normal 2 2 2 2 2 2 32 4 5" xfId="11759" xr:uid="{00000000-0005-0000-0000-0000C42D0000}"/>
    <cellStyle name="Normal 2 2 2 2 2 2 32 4 6" xfId="11760" xr:uid="{00000000-0005-0000-0000-0000C52D0000}"/>
    <cellStyle name="Normal 2 2 2 2 2 2 32 4 7" xfId="11761" xr:uid="{00000000-0005-0000-0000-0000C62D0000}"/>
    <cellStyle name="Normal 2 2 2 2 2 2 32 4 8" xfId="11762" xr:uid="{00000000-0005-0000-0000-0000C72D0000}"/>
    <cellStyle name="Normal 2 2 2 2 2 2 32 4 9" xfId="11763" xr:uid="{00000000-0005-0000-0000-0000C82D0000}"/>
    <cellStyle name="Normal 2 2 2 2 2 2 32 5" xfId="11764" xr:uid="{00000000-0005-0000-0000-0000C92D0000}"/>
    <cellStyle name="Normal 2 2 2 2 2 2 32 5 10" xfId="11765" xr:uid="{00000000-0005-0000-0000-0000CA2D0000}"/>
    <cellStyle name="Normal 2 2 2 2 2 2 32 5 2" xfId="11766" xr:uid="{00000000-0005-0000-0000-0000CB2D0000}"/>
    <cellStyle name="Normal 2 2 2 2 2 2 32 5 3" xfId="11767" xr:uid="{00000000-0005-0000-0000-0000CC2D0000}"/>
    <cellStyle name="Normal 2 2 2 2 2 2 32 5 4" xfId="11768" xr:uid="{00000000-0005-0000-0000-0000CD2D0000}"/>
    <cellStyle name="Normal 2 2 2 2 2 2 32 5 5" xfId="11769" xr:uid="{00000000-0005-0000-0000-0000CE2D0000}"/>
    <cellStyle name="Normal 2 2 2 2 2 2 32 5 6" xfId="11770" xr:uid="{00000000-0005-0000-0000-0000CF2D0000}"/>
    <cellStyle name="Normal 2 2 2 2 2 2 32 5 7" xfId="11771" xr:uid="{00000000-0005-0000-0000-0000D02D0000}"/>
    <cellStyle name="Normal 2 2 2 2 2 2 32 5 8" xfId="11772" xr:uid="{00000000-0005-0000-0000-0000D12D0000}"/>
    <cellStyle name="Normal 2 2 2 2 2 2 32 5 9" xfId="11773" xr:uid="{00000000-0005-0000-0000-0000D22D0000}"/>
    <cellStyle name="Normal 2 2 2 2 2 2 32 6" xfId="11774" xr:uid="{00000000-0005-0000-0000-0000D32D0000}"/>
    <cellStyle name="Normal 2 2 2 2 2 2 32 7" xfId="11775" xr:uid="{00000000-0005-0000-0000-0000D42D0000}"/>
    <cellStyle name="Normal 2 2 2 2 2 2 32 8" xfId="11776" xr:uid="{00000000-0005-0000-0000-0000D52D0000}"/>
    <cellStyle name="Normal 2 2 2 2 2 2 32 9" xfId="11777" xr:uid="{00000000-0005-0000-0000-0000D62D0000}"/>
    <cellStyle name="Normal 2 2 2 2 2 2 33" xfId="11778" xr:uid="{00000000-0005-0000-0000-0000D72D0000}"/>
    <cellStyle name="Normal 2 2 2 2 2 2 33 10" xfId="11779" xr:uid="{00000000-0005-0000-0000-0000D82D0000}"/>
    <cellStyle name="Normal 2 2 2 2 2 2 33 11" xfId="11780" xr:uid="{00000000-0005-0000-0000-0000D92D0000}"/>
    <cellStyle name="Normal 2 2 2 2 2 2 33 12" xfId="11781" xr:uid="{00000000-0005-0000-0000-0000DA2D0000}"/>
    <cellStyle name="Normal 2 2 2 2 2 2 33 13" xfId="11782" xr:uid="{00000000-0005-0000-0000-0000DB2D0000}"/>
    <cellStyle name="Normal 2 2 2 2 2 2 33 14" xfId="11783" xr:uid="{00000000-0005-0000-0000-0000DC2D0000}"/>
    <cellStyle name="Normal 2 2 2 2 2 2 33 2" xfId="11784" xr:uid="{00000000-0005-0000-0000-0000DD2D0000}"/>
    <cellStyle name="Normal 2 2 2 2 2 2 33 2 10" xfId="11785" xr:uid="{00000000-0005-0000-0000-0000DE2D0000}"/>
    <cellStyle name="Normal 2 2 2 2 2 2 33 2 2" xfId="11786" xr:uid="{00000000-0005-0000-0000-0000DF2D0000}"/>
    <cellStyle name="Normal 2 2 2 2 2 2 33 2 3" xfId="11787" xr:uid="{00000000-0005-0000-0000-0000E02D0000}"/>
    <cellStyle name="Normal 2 2 2 2 2 2 33 2 4" xfId="11788" xr:uid="{00000000-0005-0000-0000-0000E12D0000}"/>
    <cellStyle name="Normal 2 2 2 2 2 2 33 2 5" xfId="11789" xr:uid="{00000000-0005-0000-0000-0000E22D0000}"/>
    <cellStyle name="Normal 2 2 2 2 2 2 33 2 6" xfId="11790" xr:uid="{00000000-0005-0000-0000-0000E32D0000}"/>
    <cellStyle name="Normal 2 2 2 2 2 2 33 2 7" xfId="11791" xr:uid="{00000000-0005-0000-0000-0000E42D0000}"/>
    <cellStyle name="Normal 2 2 2 2 2 2 33 2 8" xfId="11792" xr:uid="{00000000-0005-0000-0000-0000E52D0000}"/>
    <cellStyle name="Normal 2 2 2 2 2 2 33 2 9" xfId="11793" xr:uid="{00000000-0005-0000-0000-0000E62D0000}"/>
    <cellStyle name="Normal 2 2 2 2 2 2 33 3" xfId="11794" xr:uid="{00000000-0005-0000-0000-0000E72D0000}"/>
    <cellStyle name="Normal 2 2 2 2 2 2 33 3 10" xfId="11795" xr:uid="{00000000-0005-0000-0000-0000E82D0000}"/>
    <cellStyle name="Normal 2 2 2 2 2 2 33 3 2" xfId="11796" xr:uid="{00000000-0005-0000-0000-0000E92D0000}"/>
    <cellStyle name="Normal 2 2 2 2 2 2 33 3 3" xfId="11797" xr:uid="{00000000-0005-0000-0000-0000EA2D0000}"/>
    <cellStyle name="Normal 2 2 2 2 2 2 33 3 4" xfId="11798" xr:uid="{00000000-0005-0000-0000-0000EB2D0000}"/>
    <cellStyle name="Normal 2 2 2 2 2 2 33 3 5" xfId="11799" xr:uid="{00000000-0005-0000-0000-0000EC2D0000}"/>
    <cellStyle name="Normal 2 2 2 2 2 2 33 3 6" xfId="11800" xr:uid="{00000000-0005-0000-0000-0000ED2D0000}"/>
    <cellStyle name="Normal 2 2 2 2 2 2 33 3 7" xfId="11801" xr:uid="{00000000-0005-0000-0000-0000EE2D0000}"/>
    <cellStyle name="Normal 2 2 2 2 2 2 33 3 8" xfId="11802" xr:uid="{00000000-0005-0000-0000-0000EF2D0000}"/>
    <cellStyle name="Normal 2 2 2 2 2 2 33 3 9" xfId="11803" xr:uid="{00000000-0005-0000-0000-0000F02D0000}"/>
    <cellStyle name="Normal 2 2 2 2 2 2 33 4" xfId="11804" xr:uid="{00000000-0005-0000-0000-0000F12D0000}"/>
    <cellStyle name="Normal 2 2 2 2 2 2 33 4 10" xfId="11805" xr:uid="{00000000-0005-0000-0000-0000F22D0000}"/>
    <cellStyle name="Normal 2 2 2 2 2 2 33 4 2" xfId="11806" xr:uid="{00000000-0005-0000-0000-0000F32D0000}"/>
    <cellStyle name="Normal 2 2 2 2 2 2 33 4 3" xfId="11807" xr:uid="{00000000-0005-0000-0000-0000F42D0000}"/>
    <cellStyle name="Normal 2 2 2 2 2 2 33 4 4" xfId="11808" xr:uid="{00000000-0005-0000-0000-0000F52D0000}"/>
    <cellStyle name="Normal 2 2 2 2 2 2 33 4 5" xfId="11809" xr:uid="{00000000-0005-0000-0000-0000F62D0000}"/>
    <cellStyle name="Normal 2 2 2 2 2 2 33 4 6" xfId="11810" xr:uid="{00000000-0005-0000-0000-0000F72D0000}"/>
    <cellStyle name="Normal 2 2 2 2 2 2 33 4 7" xfId="11811" xr:uid="{00000000-0005-0000-0000-0000F82D0000}"/>
    <cellStyle name="Normal 2 2 2 2 2 2 33 4 8" xfId="11812" xr:uid="{00000000-0005-0000-0000-0000F92D0000}"/>
    <cellStyle name="Normal 2 2 2 2 2 2 33 4 9" xfId="11813" xr:uid="{00000000-0005-0000-0000-0000FA2D0000}"/>
    <cellStyle name="Normal 2 2 2 2 2 2 33 5" xfId="11814" xr:uid="{00000000-0005-0000-0000-0000FB2D0000}"/>
    <cellStyle name="Normal 2 2 2 2 2 2 33 5 10" xfId="11815" xr:uid="{00000000-0005-0000-0000-0000FC2D0000}"/>
    <cellStyle name="Normal 2 2 2 2 2 2 33 5 2" xfId="11816" xr:uid="{00000000-0005-0000-0000-0000FD2D0000}"/>
    <cellStyle name="Normal 2 2 2 2 2 2 33 5 3" xfId="11817" xr:uid="{00000000-0005-0000-0000-0000FE2D0000}"/>
    <cellStyle name="Normal 2 2 2 2 2 2 33 5 4" xfId="11818" xr:uid="{00000000-0005-0000-0000-0000FF2D0000}"/>
    <cellStyle name="Normal 2 2 2 2 2 2 33 5 5" xfId="11819" xr:uid="{00000000-0005-0000-0000-0000002E0000}"/>
    <cellStyle name="Normal 2 2 2 2 2 2 33 5 6" xfId="11820" xr:uid="{00000000-0005-0000-0000-0000012E0000}"/>
    <cellStyle name="Normal 2 2 2 2 2 2 33 5 7" xfId="11821" xr:uid="{00000000-0005-0000-0000-0000022E0000}"/>
    <cellStyle name="Normal 2 2 2 2 2 2 33 5 8" xfId="11822" xr:uid="{00000000-0005-0000-0000-0000032E0000}"/>
    <cellStyle name="Normal 2 2 2 2 2 2 33 5 9" xfId="11823" xr:uid="{00000000-0005-0000-0000-0000042E0000}"/>
    <cellStyle name="Normal 2 2 2 2 2 2 33 6" xfId="11824" xr:uid="{00000000-0005-0000-0000-0000052E0000}"/>
    <cellStyle name="Normal 2 2 2 2 2 2 33 7" xfId="11825" xr:uid="{00000000-0005-0000-0000-0000062E0000}"/>
    <cellStyle name="Normal 2 2 2 2 2 2 33 8" xfId="11826" xr:uid="{00000000-0005-0000-0000-0000072E0000}"/>
    <cellStyle name="Normal 2 2 2 2 2 2 33 9" xfId="11827" xr:uid="{00000000-0005-0000-0000-0000082E0000}"/>
    <cellStyle name="Normal 2 2 2 2 2 2 34" xfId="11828" xr:uid="{00000000-0005-0000-0000-0000092E0000}"/>
    <cellStyle name="Normal 2 2 2 2 2 2 34 10" xfId="11829" xr:uid="{00000000-0005-0000-0000-00000A2E0000}"/>
    <cellStyle name="Normal 2 2 2 2 2 2 34 2" xfId="11830" xr:uid="{00000000-0005-0000-0000-00000B2E0000}"/>
    <cellStyle name="Normal 2 2 2 2 2 2 34 3" xfId="11831" xr:uid="{00000000-0005-0000-0000-00000C2E0000}"/>
    <cellStyle name="Normal 2 2 2 2 2 2 34 4" xfId="11832" xr:uid="{00000000-0005-0000-0000-00000D2E0000}"/>
    <cellStyle name="Normal 2 2 2 2 2 2 34 5" xfId="11833" xr:uid="{00000000-0005-0000-0000-00000E2E0000}"/>
    <cellStyle name="Normal 2 2 2 2 2 2 34 6" xfId="11834" xr:uid="{00000000-0005-0000-0000-00000F2E0000}"/>
    <cellStyle name="Normal 2 2 2 2 2 2 34 7" xfId="11835" xr:uid="{00000000-0005-0000-0000-0000102E0000}"/>
    <cellStyle name="Normal 2 2 2 2 2 2 34 8" xfId="11836" xr:uid="{00000000-0005-0000-0000-0000112E0000}"/>
    <cellStyle name="Normal 2 2 2 2 2 2 34 9" xfId="11837" xr:uid="{00000000-0005-0000-0000-0000122E0000}"/>
    <cellStyle name="Normal 2 2 2 2 2 2 35" xfId="11838" xr:uid="{00000000-0005-0000-0000-0000132E0000}"/>
    <cellStyle name="Normal 2 2 2 2 2 2 35 10" xfId="11839" xr:uid="{00000000-0005-0000-0000-0000142E0000}"/>
    <cellStyle name="Normal 2 2 2 2 2 2 35 2" xfId="11840" xr:uid="{00000000-0005-0000-0000-0000152E0000}"/>
    <cellStyle name="Normal 2 2 2 2 2 2 35 3" xfId="11841" xr:uid="{00000000-0005-0000-0000-0000162E0000}"/>
    <cellStyle name="Normal 2 2 2 2 2 2 35 4" xfId="11842" xr:uid="{00000000-0005-0000-0000-0000172E0000}"/>
    <cellStyle name="Normal 2 2 2 2 2 2 35 5" xfId="11843" xr:uid="{00000000-0005-0000-0000-0000182E0000}"/>
    <cellStyle name="Normal 2 2 2 2 2 2 35 6" xfId="11844" xr:uid="{00000000-0005-0000-0000-0000192E0000}"/>
    <cellStyle name="Normal 2 2 2 2 2 2 35 7" xfId="11845" xr:uid="{00000000-0005-0000-0000-00001A2E0000}"/>
    <cellStyle name="Normal 2 2 2 2 2 2 35 8" xfId="11846" xr:uid="{00000000-0005-0000-0000-00001B2E0000}"/>
    <cellStyle name="Normal 2 2 2 2 2 2 35 9" xfId="11847" xr:uid="{00000000-0005-0000-0000-00001C2E0000}"/>
    <cellStyle name="Normal 2 2 2 2 2 2 36" xfId="11848" xr:uid="{00000000-0005-0000-0000-00001D2E0000}"/>
    <cellStyle name="Normal 2 2 2 2 2 2 36 10" xfId="11849" xr:uid="{00000000-0005-0000-0000-00001E2E0000}"/>
    <cellStyle name="Normal 2 2 2 2 2 2 36 2" xfId="11850" xr:uid="{00000000-0005-0000-0000-00001F2E0000}"/>
    <cellStyle name="Normal 2 2 2 2 2 2 36 3" xfId="11851" xr:uid="{00000000-0005-0000-0000-0000202E0000}"/>
    <cellStyle name="Normal 2 2 2 2 2 2 36 4" xfId="11852" xr:uid="{00000000-0005-0000-0000-0000212E0000}"/>
    <cellStyle name="Normal 2 2 2 2 2 2 36 5" xfId="11853" xr:uid="{00000000-0005-0000-0000-0000222E0000}"/>
    <cellStyle name="Normal 2 2 2 2 2 2 36 6" xfId="11854" xr:uid="{00000000-0005-0000-0000-0000232E0000}"/>
    <cellStyle name="Normal 2 2 2 2 2 2 36 7" xfId="11855" xr:uid="{00000000-0005-0000-0000-0000242E0000}"/>
    <cellStyle name="Normal 2 2 2 2 2 2 36 8" xfId="11856" xr:uid="{00000000-0005-0000-0000-0000252E0000}"/>
    <cellStyle name="Normal 2 2 2 2 2 2 36 9" xfId="11857" xr:uid="{00000000-0005-0000-0000-0000262E0000}"/>
    <cellStyle name="Normal 2 2 2 2 2 2 37" xfId="11858" xr:uid="{00000000-0005-0000-0000-0000272E0000}"/>
    <cellStyle name="Normal 2 2 2 2 2 2 37 10" xfId="11859" xr:uid="{00000000-0005-0000-0000-0000282E0000}"/>
    <cellStyle name="Normal 2 2 2 2 2 2 37 2" xfId="11860" xr:uid="{00000000-0005-0000-0000-0000292E0000}"/>
    <cellStyle name="Normal 2 2 2 2 2 2 37 3" xfId="11861" xr:uid="{00000000-0005-0000-0000-00002A2E0000}"/>
    <cellStyle name="Normal 2 2 2 2 2 2 37 4" xfId="11862" xr:uid="{00000000-0005-0000-0000-00002B2E0000}"/>
    <cellStyle name="Normal 2 2 2 2 2 2 37 5" xfId="11863" xr:uid="{00000000-0005-0000-0000-00002C2E0000}"/>
    <cellStyle name="Normal 2 2 2 2 2 2 37 6" xfId="11864" xr:uid="{00000000-0005-0000-0000-00002D2E0000}"/>
    <cellStyle name="Normal 2 2 2 2 2 2 37 7" xfId="11865" xr:uid="{00000000-0005-0000-0000-00002E2E0000}"/>
    <cellStyle name="Normal 2 2 2 2 2 2 37 8" xfId="11866" xr:uid="{00000000-0005-0000-0000-00002F2E0000}"/>
    <cellStyle name="Normal 2 2 2 2 2 2 37 9" xfId="11867" xr:uid="{00000000-0005-0000-0000-0000302E0000}"/>
    <cellStyle name="Normal 2 2 2 2 2 2 38" xfId="11868" xr:uid="{00000000-0005-0000-0000-0000312E0000}"/>
    <cellStyle name="Normal 2 2 2 2 2 2 39" xfId="11869" xr:uid="{00000000-0005-0000-0000-0000322E0000}"/>
    <cellStyle name="Normal 2 2 2 2 2 2 4" xfId="11870" xr:uid="{00000000-0005-0000-0000-0000332E0000}"/>
    <cellStyle name="Normal 2 2 2 2 2 2 4 10" xfId="11871" xr:uid="{00000000-0005-0000-0000-0000342E0000}"/>
    <cellStyle name="Normal 2 2 2 2 2 2 4 11" xfId="11872" xr:uid="{00000000-0005-0000-0000-0000352E0000}"/>
    <cellStyle name="Normal 2 2 2 2 2 2 4 12" xfId="11873" xr:uid="{00000000-0005-0000-0000-0000362E0000}"/>
    <cellStyle name="Normal 2 2 2 2 2 2 4 13" xfId="11874" xr:uid="{00000000-0005-0000-0000-0000372E0000}"/>
    <cellStyle name="Normal 2 2 2 2 2 2 4 14" xfId="11875" xr:uid="{00000000-0005-0000-0000-0000382E0000}"/>
    <cellStyle name="Normal 2 2 2 2 2 2 4 2" xfId="11876" xr:uid="{00000000-0005-0000-0000-0000392E0000}"/>
    <cellStyle name="Normal 2 2 2 2 2 2 4 2 10" xfId="11877" xr:uid="{00000000-0005-0000-0000-00003A2E0000}"/>
    <cellStyle name="Normal 2 2 2 2 2 2 4 2 2" xfId="11878" xr:uid="{00000000-0005-0000-0000-00003B2E0000}"/>
    <cellStyle name="Normal 2 2 2 2 2 2 4 2 3" xfId="11879" xr:uid="{00000000-0005-0000-0000-00003C2E0000}"/>
    <cellStyle name="Normal 2 2 2 2 2 2 4 2 4" xfId="11880" xr:uid="{00000000-0005-0000-0000-00003D2E0000}"/>
    <cellStyle name="Normal 2 2 2 2 2 2 4 2 5" xfId="11881" xr:uid="{00000000-0005-0000-0000-00003E2E0000}"/>
    <cellStyle name="Normal 2 2 2 2 2 2 4 2 6" xfId="11882" xr:uid="{00000000-0005-0000-0000-00003F2E0000}"/>
    <cellStyle name="Normal 2 2 2 2 2 2 4 2 7" xfId="11883" xr:uid="{00000000-0005-0000-0000-0000402E0000}"/>
    <cellStyle name="Normal 2 2 2 2 2 2 4 2 8" xfId="11884" xr:uid="{00000000-0005-0000-0000-0000412E0000}"/>
    <cellStyle name="Normal 2 2 2 2 2 2 4 2 9" xfId="11885" xr:uid="{00000000-0005-0000-0000-0000422E0000}"/>
    <cellStyle name="Normal 2 2 2 2 2 2 4 3" xfId="11886" xr:uid="{00000000-0005-0000-0000-0000432E0000}"/>
    <cellStyle name="Normal 2 2 2 2 2 2 4 3 10" xfId="11887" xr:uid="{00000000-0005-0000-0000-0000442E0000}"/>
    <cellStyle name="Normal 2 2 2 2 2 2 4 3 2" xfId="11888" xr:uid="{00000000-0005-0000-0000-0000452E0000}"/>
    <cellStyle name="Normal 2 2 2 2 2 2 4 3 3" xfId="11889" xr:uid="{00000000-0005-0000-0000-0000462E0000}"/>
    <cellStyle name="Normal 2 2 2 2 2 2 4 3 4" xfId="11890" xr:uid="{00000000-0005-0000-0000-0000472E0000}"/>
    <cellStyle name="Normal 2 2 2 2 2 2 4 3 5" xfId="11891" xr:uid="{00000000-0005-0000-0000-0000482E0000}"/>
    <cellStyle name="Normal 2 2 2 2 2 2 4 3 6" xfId="11892" xr:uid="{00000000-0005-0000-0000-0000492E0000}"/>
    <cellStyle name="Normal 2 2 2 2 2 2 4 3 7" xfId="11893" xr:uid="{00000000-0005-0000-0000-00004A2E0000}"/>
    <cellStyle name="Normal 2 2 2 2 2 2 4 3 8" xfId="11894" xr:uid="{00000000-0005-0000-0000-00004B2E0000}"/>
    <cellStyle name="Normal 2 2 2 2 2 2 4 3 9" xfId="11895" xr:uid="{00000000-0005-0000-0000-00004C2E0000}"/>
    <cellStyle name="Normal 2 2 2 2 2 2 4 4" xfId="11896" xr:uid="{00000000-0005-0000-0000-00004D2E0000}"/>
    <cellStyle name="Normal 2 2 2 2 2 2 4 4 10" xfId="11897" xr:uid="{00000000-0005-0000-0000-00004E2E0000}"/>
    <cellStyle name="Normal 2 2 2 2 2 2 4 4 2" xfId="11898" xr:uid="{00000000-0005-0000-0000-00004F2E0000}"/>
    <cellStyle name="Normal 2 2 2 2 2 2 4 4 3" xfId="11899" xr:uid="{00000000-0005-0000-0000-0000502E0000}"/>
    <cellStyle name="Normal 2 2 2 2 2 2 4 4 4" xfId="11900" xr:uid="{00000000-0005-0000-0000-0000512E0000}"/>
    <cellStyle name="Normal 2 2 2 2 2 2 4 4 5" xfId="11901" xr:uid="{00000000-0005-0000-0000-0000522E0000}"/>
    <cellStyle name="Normal 2 2 2 2 2 2 4 4 6" xfId="11902" xr:uid="{00000000-0005-0000-0000-0000532E0000}"/>
    <cellStyle name="Normal 2 2 2 2 2 2 4 4 7" xfId="11903" xr:uid="{00000000-0005-0000-0000-0000542E0000}"/>
    <cellStyle name="Normal 2 2 2 2 2 2 4 4 8" xfId="11904" xr:uid="{00000000-0005-0000-0000-0000552E0000}"/>
    <cellStyle name="Normal 2 2 2 2 2 2 4 4 9" xfId="11905" xr:uid="{00000000-0005-0000-0000-0000562E0000}"/>
    <cellStyle name="Normal 2 2 2 2 2 2 4 5" xfId="11906" xr:uid="{00000000-0005-0000-0000-0000572E0000}"/>
    <cellStyle name="Normal 2 2 2 2 2 2 4 5 10" xfId="11907" xr:uid="{00000000-0005-0000-0000-0000582E0000}"/>
    <cellStyle name="Normal 2 2 2 2 2 2 4 5 2" xfId="11908" xr:uid="{00000000-0005-0000-0000-0000592E0000}"/>
    <cellStyle name="Normal 2 2 2 2 2 2 4 5 3" xfId="11909" xr:uid="{00000000-0005-0000-0000-00005A2E0000}"/>
    <cellStyle name="Normal 2 2 2 2 2 2 4 5 4" xfId="11910" xr:uid="{00000000-0005-0000-0000-00005B2E0000}"/>
    <cellStyle name="Normal 2 2 2 2 2 2 4 5 5" xfId="11911" xr:uid="{00000000-0005-0000-0000-00005C2E0000}"/>
    <cellStyle name="Normal 2 2 2 2 2 2 4 5 6" xfId="11912" xr:uid="{00000000-0005-0000-0000-00005D2E0000}"/>
    <cellStyle name="Normal 2 2 2 2 2 2 4 5 7" xfId="11913" xr:uid="{00000000-0005-0000-0000-00005E2E0000}"/>
    <cellStyle name="Normal 2 2 2 2 2 2 4 5 8" xfId="11914" xr:uid="{00000000-0005-0000-0000-00005F2E0000}"/>
    <cellStyle name="Normal 2 2 2 2 2 2 4 5 9" xfId="11915" xr:uid="{00000000-0005-0000-0000-0000602E0000}"/>
    <cellStyle name="Normal 2 2 2 2 2 2 4 6" xfId="11916" xr:uid="{00000000-0005-0000-0000-0000612E0000}"/>
    <cellStyle name="Normal 2 2 2 2 2 2 4 7" xfId="11917" xr:uid="{00000000-0005-0000-0000-0000622E0000}"/>
    <cellStyle name="Normal 2 2 2 2 2 2 4 8" xfId="11918" xr:uid="{00000000-0005-0000-0000-0000632E0000}"/>
    <cellStyle name="Normal 2 2 2 2 2 2 4 9" xfId="11919" xr:uid="{00000000-0005-0000-0000-0000642E0000}"/>
    <cellStyle name="Normal 2 2 2 2 2 2 40" xfId="11920" xr:uid="{00000000-0005-0000-0000-0000652E0000}"/>
    <cellStyle name="Normal 2 2 2 2 2 2 41" xfId="11921" xr:uid="{00000000-0005-0000-0000-0000662E0000}"/>
    <cellStyle name="Normal 2 2 2 2 2 2 42" xfId="11922" xr:uid="{00000000-0005-0000-0000-0000672E0000}"/>
    <cellStyle name="Normal 2 2 2 2 2 2 43" xfId="11923" xr:uid="{00000000-0005-0000-0000-0000682E0000}"/>
    <cellStyle name="Normal 2 2 2 2 2 2 44" xfId="11924" xr:uid="{00000000-0005-0000-0000-0000692E0000}"/>
    <cellStyle name="Normal 2 2 2 2 2 2 45" xfId="11925" xr:uid="{00000000-0005-0000-0000-00006A2E0000}"/>
    <cellStyle name="Normal 2 2 2 2 2 2 46" xfId="11926" xr:uid="{00000000-0005-0000-0000-00006B2E0000}"/>
    <cellStyle name="Normal 2 2 2 2 2 2 47" xfId="11927" xr:uid="{00000000-0005-0000-0000-00006C2E0000}"/>
    <cellStyle name="Normal 2 2 2 2 2 2 48" xfId="11928" xr:uid="{00000000-0005-0000-0000-00006D2E0000}"/>
    <cellStyle name="Normal 2 2 2 2 2 2 5" xfId="11929" xr:uid="{00000000-0005-0000-0000-00006E2E0000}"/>
    <cellStyle name="Normal 2 2 2 2 2 2 5 10" xfId="11930" xr:uid="{00000000-0005-0000-0000-00006F2E0000}"/>
    <cellStyle name="Normal 2 2 2 2 2 2 5 11" xfId="11931" xr:uid="{00000000-0005-0000-0000-0000702E0000}"/>
    <cellStyle name="Normal 2 2 2 2 2 2 5 12" xfId="11932" xr:uid="{00000000-0005-0000-0000-0000712E0000}"/>
    <cellStyle name="Normal 2 2 2 2 2 2 5 13" xfId="11933" xr:uid="{00000000-0005-0000-0000-0000722E0000}"/>
    <cellStyle name="Normal 2 2 2 2 2 2 5 14" xfId="11934" xr:uid="{00000000-0005-0000-0000-0000732E0000}"/>
    <cellStyle name="Normal 2 2 2 2 2 2 5 2" xfId="11935" xr:uid="{00000000-0005-0000-0000-0000742E0000}"/>
    <cellStyle name="Normal 2 2 2 2 2 2 5 2 10" xfId="11936" xr:uid="{00000000-0005-0000-0000-0000752E0000}"/>
    <cellStyle name="Normal 2 2 2 2 2 2 5 2 2" xfId="11937" xr:uid="{00000000-0005-0000-0000-0000762E0000}"/>
    <cellStyle name="Normal 2 2 2 2 2 2 5 2 3" xfId="11938" xr:uid="{00000000-0005-0000-0000-0000772E0000}"/>
    <cellStyle name="Normal 2 2 2 2 2 2 5 2 4" xfId="11939" xr:uid="{00000000-0005-0000-0000-0000782E0000}"/>
    <cellStyle name="Normal 2 2 2 2 2 2 5 2 5" xfId="11940" xr:uid="{00000000-0005-0000-0000-0000792E0000}"/>
    <cellStyle name="Normal 2 2 2 2 2 2 5 2 6" xfId="11941" xr:uid="{00000000-0005-0000-0000-00007A2E0000}"/>
    <cellStyle name="Normal 2 2 2 2 2 2 5 2 7" xfId="11942" xr:uid="{00000000-0005-0000-0000-00007B2E0000}"/>
    <cellStyle name="Normal 2 2 2 2 2 2 5 2 8" xfId="11943" xr:uid="{00000000-0005-0000-0000-00007C2E0000}"/>
    <cellStyle name="Normal 2 2 2 2 2 2 5 2 9" xfId="11944" xr:uid="{00000000-0005-0000-0000-00007D2E0000}"/>
    <cellStyle name="Normal 2 2 2 2 2 2 5 3" xfId="11945" xr:uid="{00000000-0005-0000-0000-00007E2E0000}"/>
    <cellStyle name="Normal 2 2 2 2 2 2 5 3 10" xfId="11946" xr:uid="{00000000-0005-0000-0000-00007F2E0000}"/>
    <cellStyle name="Normal 2 2 2 2 2 2 5 3 2" xfId="11947" xr:uid="{00000000-0005-0000-0000-0000802E0000}"/>
    <cellStyle name="Normal 2 2 2 2 2 2 5 3 3" xfId="11948" xr:uid="{00000000-0005-0000-0000-0000812E0000}"/>
    <cellStyle name="Normal 2 2 2 2 2 2 5 3 4" xfId="11949" xr:uid="{00000000-0005-0000-0000-0000822E0000}"/>
    <cellStyle name="Normal 2 2 2 2 2 2 5 3 5" xfId="11950" xr:uid="{00000000-0005-0000-0000-0000832E0000}"/>
    <cellStyle name="Normal 2 2 2 2 2 2 5 3 6" xfId="11951" xr:uid="{00000000-0005-0000-0000-0000842E0000}"/>
    <cellStyle name="Normal 2 2 2 2 2 2 5 3 7" xfId="11952" xr:uid="{00000000-0005-0000-0000-0000852E0000}"/>
    <cellStyle name="Normal 2 2 2 2 2 2 5 3 8" xfId="11953" xr:uid="{00000000-0005-0000-0000-0000862E0000}"/>
    <cellStyle name="Normal 2 2 2 2 2 2 5 3 9" xfId="11954" xr:uid="{00000000-0005-0000-0000-0000872E0000}"/>
    <cellStyle name="Normal 2 2 2 2 2 2 5 4" xfId="11955" xr:uid="{00000000-0005-0000-0000-0000882E0000}"/>
    <cellStyle name="Normal 2 2 2 2 2 2 5 4 10" xfId="11956" xr:uid="{00000000-0005-0000-0000-0000892E0000}"/>
    <cellStyle name="Normal 2 2 2 2 2 2 5 4 2" xfId="11957" xr:uid="{00000000-0005-0000-0000-00008A2E0000}"/>
    <cellStyle name="Normal 2 2 2 2 2 2 5 4 3" xfId="11958" xr:uid="{00000000-0005-0000-0000-00008B2E0000}"/>
    <cellStyle name="Normal 2 2 2 2 2 2 5 4 4" xfId="11959" xr:uid="{00000000-0005-0000-0000-00008C2E0000}"/>
    <cellStyle name="Normal 2 2 2 2 2 2 5 4 5" xfId="11960" xr:uid="{00000000-0005-0000-0000-00008D2E0000}"/>
    <cellStyle name="Normal 2 2 2 2 2 2 5 4 6" xfId="11961" xr:uid="{00000000-0005-0000-0000-00008E2E0000}"/>
    <cellStyle name="Normal 2 2 2 2 2 2 5 4 7" xfId="11962" xr:uid="{00000000-0005-0000-0000-00008F2E0000}"/>
    <cellStyle name="Normal 2 2 2 2 2 2 5 4 8" xfId="11963" xr:uid="{00000000-0005-0000-0000-0000902E0000}"/>
    <cellStyle name="Normal 2 2 2 2 2 2 5 4 9" xfId="11964" xr:uid="{00000000-0005-0000-0000-0000912E0000}"/>
    <cellStyle name="Normal 2 2 2 2 2 2 5 5" xfId="11965" xr:uid="{00000000-0005-0000-0000-0000922E0000}"/>
    <cellStyle name="Normal 2 2 2 2 2 2 5 5 10" xfId="11966" xr:uid="{00000000-0005-0000-0000-0000932E0000}"/>
    <cellStyle name="Normal 2 2 2 2 2 2 5 5 2" xfId="11967" xr:uid="{00000000-0005-0000-0000-0000942E0000}"/>
    <cellStyle name="Normal 2 2 2 2 2 2 5 5 3" xfId="11968" xr:uid="{00000000-0005-0000-0000-0000952E0000}"/>
    <cellStyle name="Normal 2 2 2 2 2 2 5 5 4" xfId="11969" xr:uid="{00000000-0005-0000-0000-0000962E0000}"/>
    <cellStyle name="Normal 2 2 2 2 2 2 5 5 5" xfId="11970" xr:uid="{00000000-0005-0000-0000-0000972E0000}"/>
    <cellStyle name="Normal 2 2 2 2 2 2 5 5 6" xfId="11971" xr:uid="{00000000-0005-0000-0000-0000982E0000}"/>
    <cellStyle name="Normal 2 2 2 2 2 2 5 5 7" xfId="11972" xr:uid="{00000000-0005-0000-0000-0000992E0000}"/>
    <cellStyle name="Normal 2 2 2 2 2 2 5 5 8" xfId="11973" xr:uid="{00000000-0005-0000-0000-00009A2E0000}"/>
    <cellStyle name="Normal 2 2 2 2 2 2 5 5 9" xfId="11974" xr:uid="{00000000-0005-0000-0000-00009B2E0000}"/>
    <cellStyle name="Normal 2 2 2 2 2 2 5 6" xfId="11975" xr:uid="{00000000-0005-0000-0000-00009C2E0000}"/>
    <cellStyle name="Normal 2 2 2 2 2 2 5 7" xfId="11976" xr:uid="{00000000-0005-0000-0000-00009D2E0000}"/>
    <cellStyle name="Normal 2 2 2 2 2 2 5 8" xfId="11977" xr:uid="{00000000-0005-0000-0000-00009E2E0000}"/>
    <cellStyle name="Normal 2 2 2 2 2 2 5 9" xfId="11978" xr:uid="{00000000-0005-0000-0000-00009F2E0000}"/>
    <cellStyle name="Normal 2 2 2 2 2 2 6" xfId="11979" xr:uid="{00000000-0005-0000-0000-0000A02E0000}"/>
    <cellStyle name="Normal 2 2 2 2 2 2 6 10" xfId="11980" xr:uid="{00000000-0005-0000-0000-0000A12E0000}"/>
    <cellStyle name="Normal 2 2 2 2 2 2 6 11" xfId="11981" xr:uid="{00000000-0005-0000-0000-0000A22E0000}"/>
    <cellStyle name="Normal 2 2 2 2 2 2 6 12" xfId="11982" xr:uid="{00000000-0005-0000-0000-0000A32E0000}"/>
    <cellStyle name="Normal 2 2 2 2 2 2 6 13" xfId="11983" xr:uid="{00000000-0005-0000-0000-0000A42E0000}"/>
    <cellStyle name="Normal 2 2 2 2 2 2 6 14" xfId="11984" xr:uid="{00000000-0005-0000-0000-0000A52E0000}"/>
    <cellStyle name="Normal 2 2 2 2 2 2 6 2" xfId="11985" xr:uid="{00000000-0005-0000-0000-0000A62E0000}"/>
    <cellStyle name="Normal 2 2 2 2 2 2 6 2 10" xfId="11986" xr:uid="{00000000-0005-0000-0000-0000A72E0000}"/>
    <cellStyle name="Normal 2 2 2 2 2 2 6 2 2" xfId="11987" xr:uid="{00000000-0005-0000-0000-0000A82E0000}"/>
    <cellStyle name="Normal 2 2 2 2 2 2 6 2 3" xfId="11988" xr:uid="{00000000-0005-0000-0000-0000A92E0000}"/>
    <cellStyle name="Normal 2 2 2 2 2 2 6 2 4" xfId="11989" xr:uid="{00000000-0005-0000-0000-0000AA2E0000}"/>
    <cellStyle name="Normal 2 2 2 2 2 2 6 2 5" xfId="11990" xr:uid="{00000000-0005-0000-0000-0000AB2E0000}"/>
    <cellStyle name="Normal 2 2 2 2 2 2 6 2 6" xfId="11991" xr:uid="{00000000-0005-0000-0000-0000AC2E0000}"/>
    <cellStyle name="Normal 2 2 2 2 2 2 6 2 7" xfId="11992" xr:uid="{00000000-0005-0000-0000-0000AD2E0000}"/>
    <cellStyle name="Normal 2 2 2 2 2 2 6 2 8" xfId="11993" xr:uid="{00000000-0005-0000-0000-0000AE2E0000}"/>
    <cellStyle name="Normal 2 2 2 2 2 2 6 2 9" xfId="11994" xr:uid="{00000000-0005-0000-0000-0000AF2E0000}"/>
    <cellStyle name="Normal 2 2 2 2 2 2 6 3" xfId="11995" xr:uid="{00000000-0005-0000-0000-0000B02E0000}"/>
    <cellStyle name="Normal 2 2 2 2 2 2 6 3 10" xfId="11996" xr:uid="{00000000-0005-0000-0000-0000B12E0000}"/>
    <cellStyle name="Normal 2 2 2 2 2 2 6 3 2" xfId="11997" xr:uid="{00000000-0005-0000-0000-0000B22E0000}"/>
    <cellStyle name="Normal 2 2 2 2 2 2 6 3 3" xfId="11998" xr:uid="{00000000-0005-0000-0000-0000B32E0000}"/>
    <cellStyle name="Normal 2 2 2 2 2 2 6 3 4" xfId="11999" xr:uid="{00000000-0005-0000-0000-0000B42E0000}"/>
    <cellStyle name="Normal 2 2 2 2 2 2 6 3 5" xfId="12000" xr:uid="{00000000-0005-0000-0000-0000B52E0000}"/>
    <cellStyle name="Normal 2 2 2 2 2 2 6 3 6" xfId="12001" xr:uid="{00000000-0005-0000-0000-0000B62E0000}"/>
    <cellStyle name="Normal 2 2 2 2 2 2 6 3 7" xfId="12002" xr:uid="{00000000-0005-0000-0000-0000B72E0000}"/>
    <cellStyle name="Normal 2 2 2 2 2 2 6 3 8" xfId="12003" xr:uid="{00000000-0005-0000-0000-0000B82E0000}"/>
    <cellStyle name="Normal 2 2 2 2 2 2 6 3 9" xfId="12004" xr:uid="{00000000-0005-0000-0000-0000B92E0000}"/>
    <cellStyle name="Normal 2 2 2 2 2 2 6 4" xfId="12005" xr:uid="{00000000-0005-0000-0000-0000BA2E0000}"/>
    <cellStyle name="Normal 2 2 2 2 2 2 6 4 10" xfId="12006" xr:uid="{00000000-0005-0000-0000-0000BB2E0000}"/>
    <cellStyle name="Normal 2 2 2 2 2 2 6 4 2" xfId="12007" xr:uid="{00000000-0005-0000-0000-0000BC2E0000}"/>
    <cellStyle name="Normal 2 2 2 2 2 2 6 4 3" xfId="12008" xr:uid="{00000000-0005-0000-0000-0000BD2E0000}"/>
    <cellStyle name="Normal 2 2 2 2 2 2 6 4 4" xfId="12009" xr:uid="{00000000-0005-0000-0000-0000BE2E0000}"/>
    <cellStyle name="Normal 2 2 2 2 2 2 6 4 5" xfId="12010" xr:uid="{00000000-0005-0000-0000-0000BF2E0000}"/>
    <cellStyle name="Normal 2 2 2 2 2 2 6 4 6" xfId="12011" xr:uid="{00000000-0005-0000-0000-0000C02E0000}"/>
    <cellStyle name="Normal 2 2 2 2 2 2 6 4 7" xfId="12012" xr:uid="{00000000-0005-0000-0000-0000C12E0000}"/>
    <cellStyle name="Normal 2 2 2 2 2 2 6 4 8" xfId="12013" xr:uid="{00000000-0005-0000-0000-0000C22E0000}"/>
    <cellStyle name="Normal 2 2 2 2 2 2 6 4 9" xfId="12014" xr:uid="{00000000-0005-0000-0000-0000C32E0000}"/>
    <cellStyle name="Normal 2 2 2 2 2 2 6 5" xfId="12015" xr:uid="{00000000-0005-0000-0000-0000C42E0000}"/>
    <cellStyle name="Normal 2 2 2 2 2 2 6 5 10" xfId="12016" xr:uid="{00000000-0005-0000-0000-0000C52E0000}"/>
    <cellStyle name="Normal 2 2 2 2 2 2 6 5 2" xfId="12017" xr:uid="{00000000-0005-0000-0000-0000C62E0000}"/>
    <cellStyle name="Normal 2 2 2 2 2 2 6 5 3" xfId="12018" xr:uid="{00000000-0005-0000-0000-0000C72E0000}"/>
    <cellStyle name="Normal 2 2 2 2 2 2 6 5 4" xfId="12019" xr:uid="{00000000-0005-0000-0000-0000C82E0000}"/>
    <cellStyle name="Normal 2 2 2 2 2 2 6 5 5" xfId="12020" xr:uid="{00000000-0005-0000-0000-0000C92E0000}"/>
    <cellStyle name="Normal 2 2 2 2 2 2 6 5 6" xfId="12021" xr:uid="{00000000-0005-0000-0000-0000CA2E0000}"/>
    <cellStyle name="Normal 2 2 2 2 2 2 6 5 7" xfId="12022" xr:uid="{00000000-0005-0000-0000-0000CB2E0000}"/>
    <cellStyle name="Normal 2 2 2 2 2 2 6 5 8" xfId="12023" xr:uid="{00000000-0005-0000-0000-0000CC2E0000}"/>
    <cellStyle name="Normal 2 2 2 2 2 2 6 5 9" xfId="12024" xr:uid="{00000000-0005-0000-0000-0000CD2E0000}"/>
    <cellStyle name="Normal 2 2 2 2 2 2 6 6" xfId="12025" xr:uid="{00000000-0005-0000-0000-0000CE2E0000}"/>
    <cellStyle name="Normal 2 2 2 2 2 2 6 7" xfId="12026" xr:uid="{00000000-0005-0000-0000-0000CF2E0000}"/>
    <cellStyle name="Normal 2 2 2 2 2 2 6 8" xfId="12027" xr:uid="{00000000-0005-0000-0000-0000D02E0000}"/>
    <cellStyle name="Normal 2 2 2 2 2 2 6 9" xfId="12028" xr:uid="{00000000-0005-0000-0000-0000D12E0000}"/>
    <cellStyle name="Normal 2 2 2 2 2 2 7" xfId="12029" xr:uid="{00000000-0005-0000-0000-0000D22E0000}"/>
    <cellStyle name="Normal 2 2 2 2 2 2 7 10" xfId="12030" xr:uid="{00000000-0005-0000-0000-0000D32E0000}"/>
    <cellStyle name="Normal 2 2 2 2 2 2 7 11" xfId="12031" xr:uid="{00000000-0005-0000-0000-0000D42E0000}"/>
    <cellStyle name="Normal 2 2 2 2 2 2 7 12" xfId="12032" xr:uid="{00000000-0005-0000-0000-0000D52E0000}"/>
    <cellStyle name="Normal 2 2 2 2 2 2 7 13" xfId="12033" xr:uid="{00000000-0005-0000-0000-0000D62E0000}"/>
    <cellStyle name="Normal 2 2 2 2 2 2 7 14" xfId="12034" xr:uid="{00000000-0005-0000-0000-0000D72E0000}"/>
    <cellStyle name="Normal 2 2 2 2 2 2 7 2" xfId="12035" xr:uid="{00000000-0005-0000-0000-0000D82E0000}"/>
    <cellStyle name="Normal 2 2 2 2 2 2 7 2 10" xfId="12036" xr:uid="{00000000-0005-0000-0000-0000D92E0000}"/>
    <cellStyle name="Normal 2 2 2 2 2 2 7 2 2" xfId="12037" xr:uid="{00000000-0005-0000-0000-0000DA2E0000}"/>
    <cellStyle name="Normal 2 2 2 2 2 2 7 2 3" xfId="12038" xr:uid="{00000000-0005-0000-0000-0000DB2E0000}"/>
    <cellStyle name="Normal 2 2 2 2 2 2 7 2 4" xfId="12039" xr:uid="{00000000-0005-0000-0000-0000DC2E0000}"/>
    <cellStyle name="Normal 2 2 2 2 2 2 7 2 5" xfId="12040" xr:uid="{00000000-0005-0000-0000-0000DD2E0000}"/>
    <cellStyle name="Normal 2 2 2 2 2 2 7 2 6" xfId="12041" xr:uid="{00000000-0005-0000-0000-0000DE2E0000}"/>
    <cellStyle name="Normal 2 2 2 2 2 2 7 2 7" xfId="12042" xr:uid="{00000000-0005-0000-0000-0000DF2E0000}"/>
    <cellStyle name="Normal 2 2 2 2 2 2 7 2 8" xfId="12043" xr:uid="{00000000-0005-0000-0000-0000E02E0000}"/>
    <cellStyle name="Normal 2 2 2 2 2 2 7 2 9" xfId="12044" xr:uid="{00000000-0005-0000-0000-0000E12E0000}"/>
    <cellStyle name="Normal 2 2 2 2 2 2 7 3" xfId="12045" xr:uid="{00000000-0005-0000-0000-0000E22E0000}"/>
    <cellStyle name="Normal 2 2 2 2 2 2 7 3 10" xfId="12046" xr:uid="{00000000-0005-0000-0000-0000E32E0000}"/>
    <cellStyle name="Normal 2 2 2 2 2 2 7 3 2" xfId="12047" xr:uid="{00000000-0005-0000-0000-0000E42E0000}"/>
    <cellStyle name="Normal 2 2 2 2 2 2 7 3 3" xfId="12048" xr:uid="{00000000-0005-0000-0000-0000E52E0000}"/>
    <cellStyle name="Normal 2 2 2 2 2 2 7 3 4" xfId="12049" xr:uid="{00000000-0005-0000-0000-0000E62E0000}"/>
    <cellStyle name="Normal 2 2 2 2 2 2 7 3 5" xfId="12050" xr:uid="{00000000-0005-0000-0000-0000E72E0000}"/>
    <cellStyle name="Normal 2 2 2 2 2 2 7 3 6" xfId="12051" xr:uid="{00000000-0005-0000-0000-0000E82E0000}"/>
    <cellStyle name="Normal 2 2 2 2 2 2 7 3 7" xfId="12052" xr:uid="{00000000-0005-0000-0000-0000E92E0000}"/>
    <cellStyle name="Normal 2 2 2 2 2 2 7 3 8" xfId="12053" xr:uid="{00000000-0005-0000-0000-0000EA2E0000}"/>
    <cellStyle name="Normal 2 2 2 2 2 2 7 3 9" xfId="12054" xr:uid="{00000000-0005-0000-0000-0000EB2E0000}"/>
    <cellStyle name="Normal 2 2 2 2 2 2 7 4" xfId="12055" xr:uid="{00000000-0005-0000-0000-0000EC2E0000}"/>
    <cellStyle name="Normal 2 2 2 2 2 2 7 4 10" xfId="12056" xr:uid="{00000000-0005-0000-0000-0000ED2E0000}"/>
    <cellStyle name="Normal 2 2 2 2 2 2 7 4 2" xfId="12057" xr:uid="{00000000-0005-0000-0000-0000EE2E0000}"/>
    <cellStyle name="Normal 2 2 2 2 2 2 7 4 3" xfId="12058" xr:uid="{00000000-0005-0000-0000-0000EF2E0000}"/>
    <cellStyle name="Normal 2 2 2 2 2 2 7 4 4" xfId="12059" xr:uid="{00000000-0005-0000-0000-0000F02E0000}"/>
    <cellStyle name="Normal 2 2 2 2 2 2 7 4 5" xfId="12060" xr:uid="{00000000-0005-0000-0000-0000F12E0000}"/>
    <cellStyle name="Normal 2 2 2 2 2 2 7 4 6" xfId="12061" xr:uid="{00000000-0005-0000-0000-0000F22E0000}"/>
    <cellStyle name="Normal 2 2 2 2 2 2 7 4 7" xfId="12062" xr:uid="{00000000-0005-0000-0000-0000F32E0000}"/>
    <cellStyle name="Normal 2 2 2 2 2 2 7 4 8" xfId="12063" xr:uid="{00000000-0005-0000-0000-0000F42E0000}"/>
    <cellStyle name="Normal 2 2 2 2 2 2 7 4 9" xfId="12064" xr:uid="{00000000-0005-0000-0000-0000F52E0000}"/>
    <cellStyle name="Normal 2 2 2 2 2 2 7 5" xfId="12065" xr:uid="{00000000-0005-0000-0000-0000F62E0000}"/>
    <cellStyle name="Normal 2 2 2 2 2 2 7 5 10" xfId="12066" xr:uid="{00000000-0005-0000-0000-0000F72E0000}"/>
    <cellStyle name="Normal 2 2 2 2 2 2 7 5 2" xfId="12067" xr:uid="{00000000-0005-0000-0000-0000F82E0000}"/>
    <cellStyle name="Normal 2 2 2 2 2 2 7 5 3" xfId="12068" xr:uid="{00000000-0005-0000-0000-0000F92E0000}"/>
    <cellStyle name="Normal 2 2 2 2 2 2 7 5 4" xfId="12069" xr:uid="{00000000-0005-0000-0000-0000FA2E0000}"/>
    <cellStyle name="Normal 2 2 2 2 2 2 7 5 5" xfId="12070" xr:uid="{00000000-0005-0000-0000-0000FB2E0000}"/>
    <cellStyle name="Normal 2 2 2 2 2 2 7 5 6" xfId="12071" xr:uid="{00000000-0005-0000-0000-0000FC2E0000}"/>
    <cellStyle name="Normal 2 2 2 2 2 2 7 5 7" xfId="12072" xr:uid="{00000000-0005-0000-0000-0000FD2E0000}"/>
    <cellStyle name="Normal 2 2 2 2 2 2 7 5 8" xfId="12073" xr:uid="{00000000-0005-0000-0000-0000FE2E0000}"/>
    <cellStyle name="Normal 2 2 2 2 2 2 7 5 9" xfId="12074" xr:uid="{00000000-0005-0000-0000-0000FF2E0000}"/>
    <cellStyle name="Normal 2 2 2 2 2 2 7 6" xfId="12075" xr:uid="{00000000-0005-0000-0000-0000002F0000}"/>
    <cellStyle name="Normal 2 2 2 2 2 2 7 7" xfId="12076" xr:uid="{00000000-0005-0000-0000-0000012F0000}"/>
    <cellStyle name="Normal 2 2 2 2 2 2 7 8" xfId="12077" xr:uid="{00000000-0005-0000-0000-0000022F0000}"/>
    <cellStyle name="Normal 2 2 2 2 2 2 7 9" xfId="12078" xr:uid="{00000000-0005-0000-0000-0000032F0000}"/>
    <cellStyle name="Normal 2 2 2 2 2 2 8" xfId="12079" xr:uid="{00000000-0005-0000-0000-0000042F0000}"/>
    <cellStyle name="Normal 2 2 2 2 2 2 8 10" xfId="12080" xr:uid="{00000000-0005-0000-0000-0000052F0000}"/>
    <cellStyle name="Normal 2 2 2 2 2 2 8 11" xfId="12081" xr:uid="{00000000-0005-0000-0000-0000062F0000}"/>
    <cellStyle name="Normal 2 2 2 2 2 2 8 12" xfId="12082" xr:uid="{00000000-0005-0000-0000-0000072F0000}"/>
    <cellStyle name="Normal 2 2 2 2 2 2 8 13" xfId="12083" xr:uid="{00000000-0005-0000-0000-0000082F0000}"/>
    <cellStyle name="Normal 2 2 2 2 2 2 8 14" xfId="12084" xr:uid="{00000000-0005-0000-0000-0000092F0000}"/>
    <cellStyle name="Normal 2 2 2 2 2 2 8 2" xfId="12085" xr:uid="{00000000-0005-0000-0000-00000A2F0000}"/>
    <cellStyle name="Normal 2 2 2 2 2 2 8 2 10" xfId="12086" xr:uid="{00000000-0005-0000-0000-00000B2F0000}"/>
    <cellStyle name="Normal 2 2 2 2 2 2 8 2 2" xfId="12087" xr:uid="{00000000-0005-0000-0000-00000C2F0000}"/>
    <cellStyle name="Normal 2 2 2 2 2 2 8 2 3" xfId="12088" xr:uid="{00000000-0005-0000-0000-00000D2F0000}"/>
    <cellStyle name="Normal 2 2 2 2 2 2 8 2 4" xfId="12089" xr:uid="{00000000-0005-0000-0000-00000E2F0000}"/>
    <cellStyle name="Normal 2 2 2 2 2 2 8 2 5" xfId="12090" xr:uid="{00000000-0005-0000-0000-00000F2F0000}"/>
    <cellStyle name="Normal 2 2 2 2 2 2 8 2 6" xfId="12091" xr:uid="{00000000-0005-0000-0000-0000102F0000}"/>
    <cellStyle name="Normal 2 2 2 2 2 2 8 2 7" xfId="12092" xr:uid="{00000000-0005-0000-0000-0000112F0000}"/>
    <cellStyle name="Normal 2 2 2 2 2 2 8 2 8" xfId="12093" xr:uid="{00000000-0005-0000-0000-0000122F0000}"/>
    <cellStyle name="Normal 2 2 2 2 2 2 8 2 9" xfId="12094" xr:uid="{00000000-0005-0000-0000-0000132F0000}"/>
    <cellStyle name="Normal 2 2 2 2 2 2 8 3" xfId="12095" xr:uid="{00000000-0005-0000-0000-0000142F0000}"/>
    <cellStyle name="Normal 2 2 2 2 2 2 8 3 10" xfId="12096" xr:uid="{00000000-0005-0000-0000-0000152F0000}"/>
    <cellStyle name="Normal 2 2 2 2 2 2 8 3 2" xfId="12097" xr:uid="{00000000-0005-0000-0000-0000162F0000}"/>
    <cellStyle name="Normal 2 2 2 2 2 2 8 3 3" xfId="12098" xr:uid="{00000000-0005-0000-0000-0000172F0000}"/>
    <cellStyle name="Normal 2 2 2 2 2 2 8 3 4" xfId="12099" xr:uid="{00000000-0005-0000-0000-0000182F0000}"/>
    <cellStyle name="Normal 2 2 2 2 2 2 8 3 5" xfId="12100" xr:uid="{00000000-0005-0000-0000-0000192F0000}"/>
    <cellStyle name="Normal 2 2 2 2 2 2 8 3 6" xfId="12101" xr:uid="{00000000-0005-0000-0000-00001A2F0000}"/>
    <cellStyle name="Normal 2 2 2 2 2 2 8 3 7" xfId="12102" xr:uid="{00000000-0005-0000-0000-00001B2F0000}"/>
    <cellStyle name="Normal 2 2 2 2 2 2 8 3 8" xfId="12103" xr:uid="{00000000-0005-0000-0000-00001C2F0000}"/>
    <cellStyle name="Normal 2 2 2 2 2 2 8 3 9" xfId="12104" xr:uid="{00000000-0005-0000-0000-00001D2F0000}"/>
    <cellStyle name="Normal 2 2 2 2 2 2 8 4" xfId="12105" xr:uid="{00000000-0005-0000-0000-00001E2F0000}"/>
    <cellStyle name="Normal 2 2 2 2 2 2 8 4 10" xfId="12106" xr:uid="{00000000-0005-0000-0000-00001F2F0000}"/>
    <cellStyle name="Normal 2 2 2 2 2 2 8 4 2" xfId="12107" xr:uid="{00000000-0005-0000-0000-0000202F0000}"/>
    <cellStyle name="Normal 2 2 2 2 2 2 8 4 3" xfId="12108" xr:uid="{00000000-0005-0000-0000-0000212F0000}"/>
    <cellStyle name="Normal 2 2 2 2 2 2 8 4 4" xfId="12109" xr:uid="{00000000-0005-0000-0000-0000222F0000}"/>
    <cellStyle name="Normal 2 2 2 2 2 2 8 4 5" xfId="12110" xr:uid="{00000000-0005-0000-0000-0000232F0000}"/>
    <cellStyle name="Normal 2 2 2 2 2 2 8 4 6" xfId="12111" xr:uid="{00000000-0005-0000-0000-0000242F0000}"/>
    <cellStyle name="Normal 2 2 2 2 2 2 8 4 7" xfId="12112" xr:uid="{00000000-0005-0000-0000-0000252F0000}"/>
    <cellStyle name="Normal 2 2 2 2 2 2 8 4 8" xfId="12113" xr:uid="{00000000-0005-0000-0000-0000262F0000}"/>
    <cellStyle name="Normal 2 2 2 2 2 2 8 4 9" xfId="12114" xr:uid="{00000000-0005-0000-0000-0000272F0000}"/>
    <cellStyle name="Normal 2 2 2 2 2 2 8 5" xfId="12115" xr:uid="{00000000-0005-0000-0000-0000282F0000}"/>
    <cellStyle name="Normal 2 2 2 2 2 2 8 5 10" xfId="12116" xr:uid="{00000000-0005-0000-0000-0000292F0000}"/>
    <cellStyle name="Normal 2 2 2 2 2 2 8 5 2" xfId="12117" xr:uid="{00000000-0005-0000-0000-00002A2F0000}"/>
    <cellStyle name="Normal 2 2 2 2 2 2 8 5 3" xfId="12118" xr:uid="{00000000-0005-0000-0000-00002B2F0000}"/>
    <cellStyle name="Normal 2 2 2 2 2 2 8 5 4" xfId="12119" xr:uid="{00000000-0005-0000-0000-00002C2F0000}"/>
    <cellStyle name="Normal 2 2 2 2 2 2 8 5 5" xfId="12120" xr:uid="{00000000-0005-0000-0000-00002D2F0000}"/>
    <cellStyle name="Normal 2 2 2 2 2 2 8 5 6" xfId="12121" xr:uid="{00000000-0005-0000-0000-00002E2F0000}"/>
    <cellStyle name="Normal 2 2 2 2 2 2 8 5 7" xfId="12122" xr:uid="{00000000-0005-0000-0000-00002F2F0000}"/>
    <cellStyle name="Normal 2 2 2 2 2 2 8 5 8" xfId="12123" xr:uid="{00000000-0005-0000-0000-0000302F0000}"/>
    <cellStyle name="Normal 2 2 2 2 2 2 8 5 9" xfId="12124" xr:uid="{00000000-0005-0000-0000-0000312F0000}"/>
    <cellStyle name="Normal 2 2 2 2 2 2 8 6" xfId="12125" xr:uid="{00000000-0005-0000-0000-0000322F0000}"/>
    <cellStyle name="Normal 2 2 2 2 2 2 8 7" xfId="12126" xr:uid="{00000000-0005-0000-0000-0000332F0000}"/>
    <cellStyle name="Normal 2 2 2 2 2 2 8 8" xfId="12127" xr:uid="{00000000-0005-0000-0000-0000342F0000}"/>
    <cellStyle name="Normal 2 2 2 2 2 2 8 9" xfId="12128" xr:uid="{00000000-0005-0000-0000-0000352F0000}"/>
    <cellStyle name="Normal 2 2 2 2 2 2 9" xfId="12129" xr:uid="{00000000-0005-0000-0000-0000362F0000}"/>
    <cellStyle name="Normal 2 2 2 2 2 2 9 10" xfId="12130" xr:uid="{00000000-0005-0000-0000-0000372F0000}"/>
    <cellStyle name="Normal 2 2 2 2 2 2 9 11" xfId="12131" xr:uid="{00000000-0005-0000-0000-0000382F0000}"/>
    <cellStyle name="Normal 2 2 2 2 2 2 9 12" xfId="12132" xr:uid="{00000000-0005-0000-0000-0000392F0000}"/>
    <cellStyle name="Normal 2 2 2 2 2 2 9 13" xfId="12133" xr:uid="{00000000-0005-0000-0000-00003A2F0000}"/>
    <cellStyle name="Normal 2 2 2 2 2 2 9 14" xfId="12134" xr:uid="{00000000-0005-0000-0000-00003B2F0000}"/>
    <cellStyle name="Normal 2 2 2 2 2 2 9 2" xfId="12135" xr:uid="{00000000-0005-0000-0000-00003C2F0000}"/>
    <cellStyle name="Normal 2 2 2 2 2 2 9 2 10" xfId="12136" xr:uid="{00000000-0005-0000-0000-00003D2F0000}"/>
    <cellStyle name="Normal 2 2 2 2 2 2 9 2 2" xfId="12137" xr:uid="{00000000-0005-0000-0000-00003E2F0000}"/>
    <cellStyle name="Normal 2 2 2 2 2 2 9 2 3" xfId="12138" xr:uid="{00000000-0005-0000-0000-00003F2F0000}"/>
    <cellStyle name="Normal 2 2 2 2 2 2 9 2 4" xfId="12139" xr:uid="{00000000-0005-0000-0000-0000402F0000}"/>
    <cellStyle name="Normal 2 2 2 2 2 2 9 2 5" xfId="12140" xr:uid="{00000000-0005-0000-0000-0000412F0000}"/>
    <cellStyle name="Normal 2 2 2 2 2 2 9 2 6" xfId="12141" xr:uid="{00000000-0005-0000-0000-0000422F0000}"/>
    <cellStyle name="Normal 2 2 2 2 2 2 9 2 7" xfId="12142" xr:uid="{00000000-0005-0000-0000-0000432F0000}"/>
    <cellStyle name="Normal 2 2 2 2 2 2 9 2 8" xfId="12143" xr:uid="{00000000-0005-0000-0000-0000442F0000}"/>
    <cellStyle name="Normal 2 2 2 2 2 2 9 2 9" xfId="12144" xr:uid="{00000000-0005-0000-0000-0000452F0000}"/>
    <cellStyle name="Normal 2 2 2 2 2 2 9 3" xfId="12145" xr:uid="{00000000-0005-0000-0000-0000462F0000}"/>
    <cellStyle name="Normal 2 2 2 2 2 2 9 3 10" xfId="12146" xr:uid="{00000000-0005-0000-0000-0000472F0000}"/>
    <cellStyle name="Normal 2 2 2 2 2 2 9 3 2" xfId="12147" xr:uid="{00000000-0005-0000-0000-0000482F0000}"/>
    <cellStyle name="Normal 2 2 2 2 2 2 9 3 3" xfId="12148" xr:uid="{00000000-0005-0000-0000-0000492F0000}"/>
    <cellStyle name="Normal 2 2 2 2 2 2 9 3 4" xfId="12149" xr:uid="{00000000-0005-0000-0000-00004A2F0000}"/>
    <cellStyle name="Normal 2 2 2 2 2 2 9 3 5" xfId="12150" xr:uid="{00000000-0005-0000-0000-00004B2F0000}"/>
    <cellStyle name="Normal 2 2 2 2 2 2 9 3 6" xfId="12151" xr:uid="{00000000-0005-0000-0000-00004C2F0000}"/>
    <cellStyle name="Normal 2 2 2 2 2 2 9 3 7" xfId="12152" xr:uid="{00000000-0005-0000-0000-00004D2F0000}"/>
    <cellStyle name="Normal 2 2 2 2 2 2 9 3 8" xfId="12153" xr:uid="{00000000-0005-0000-0000-00004E2F0000}"/>
    <cellStyle name="Normal 2 2 2 2 2 2 9 3 9" xfId="12154" xr:uid="{00000000-0005-0000-0000-00004F2F0000}"/>
    <cellStyle name="Normal 2 2 2 2 2 2 9 4" xfId="12155" xr:uid="{00000000-0005-0000-0000-0000502F0000}"/>
    <cellStyle name="Normal 2 2 2 2 2 2 9 4 10" xfId="12156" xr:uid="{00000000-0005-0000-0000-0000512F0000}"/>
    <cellStyle name="Normal 2 2 2 2 2 2 9 4 2" xfId="12157" xr:uid="{00000000-0005-0000-0000-0000522F0000}"/>
    <cellStyle name="Normal 2 2 2 2 2 2 9 4 3" xfId="12158" xr:uid="{00000000-0005-0000-0000-0000532F0000}"/>
    <cellStyle name="Normal 2 2 2 2 2 2 9 4 4" xfId="12159" xr:uid="{00000000-0005-0000-0000-0000542F0000}"/>
    <cellStyle name="Normal 2 2 2 2 2 2 9 4 5" xfId="12160" xr:uid="{00000000-0005-0000-0000-0000552F0000}"/>
    <cellStyle name="Normal 2 2 2 2 2 2 9 4 6" xfId="12161" xr:uid="{00000000-0005-0000-0000-0000562F0000}"/>
    <cellStyle name="Normal 2 2 2 2 2 2 9 4 7" xfId="12162" xr:uid="{00000000-0005-0000-0000-0000572F0000}"/>
    <cellStyle name="Normal 2 2 2 2 2 2 9 4 8" xfId="12163" xr:uid="{00000000-0005-0000-0000-0000582F0000}"/>
    <cellStyle name="Normal 2 2 2 2 2 2 9 4 9" xfId="12164" xr:uid="{00000000-0005-0000-0000-0000592F0000}"/>
    <cellStyle name="Normal 2 2 2 2 2 2 9 5" xfId="12165" xr:uid="{00000000-0005-0000-0000-00005A2F0000}"/>
    <cellStyle name="Normal 2 2 2 2 2 2 9 5 10" xfId="12166" xr:uid="{00000000-0005-0000-0000-00005B2F0000}"/>
    <cellStyle name="Normal 2 2 2 2 2 2 9 5 2" xfId="12167" xr:uid="{00000000-0005-0000-0000-00005C2F0000}"/>
    <cellStyle name="Normal 2 2 2 2 2 2 9 5 3" xfId="12168" xr:uid="{00000000-0005-0000-0000-00005D2F0000}"/>
    <cellStyle name="Normal 2 2 2 2 2 2 9 5 4" xfId="12169" xr:uid="{00000000-0005-0000-0000-00005E2F0000}"/>
    <cellStyle name="Normal 2 2 2 2 2 2 9 5 5" xfId="12170" xr:uid="{00000000-0005-0000-0000-00005F2F0000}"/>
    <cellStyle name="Normal 2 2 2 2 2 2 9 5 6" xfId="12171" xr:uid="{00000000-0005-0000-0000-0000602F0000}"/>
    <cellStyle name="Normal 2 2 2 2 2 2 9 5 7" xfId="12172" xr:uid="{00000000-0005-0000-0000-0000612F0000}"/>
    <cellStyle name="Normal 2 2 2 2 2 2 9 5 8" xfId="12173" xr:uid="{00000000-0005-0000-0000-0000622F0000}"/>
    <cellStyle name="Normal 2 2 2 2 2 2 9 5 9" xfId="12174" xr:uid="{00000000-0005-0000-0000-0000632F0000}"/>
    <cellStyle name="Normal 2 2 2 2 2 2 9 6" xfId="12175" xr:uid="{00000000-0005-0000-0000-0000642F0000}"/>
    <cellStyle name="Normal 2 2 2 2 2 2 9 7" xfId="12176" xr:uid="{00000000-0005-0000-0000-0000652F0000}"/>
    <cellStyle name="Normal 2 2 2 2 2 2 9 8" xfId="12177" xr:uid="{00000000-0005-0000-0000-0000662F0000}"/>
    <cellStyle name="Normal 2 2 2 2 2 2 9 9" xfId="12178" xr:uid="{00000000-0005-0000-0000-0000672F0000}"/>
    <cellStyle name="Normal 2 2 2 2 2 20" xfId="12179" xr:uid="{00000000-0005-0000-0000-0000682F0000}"/>
    <cellStyle name="Normal 2 2 2 2 2 20 10" xfId="12180" xr:uid="{00000000-0005-0000-0000-0000692F0000}"/>
    <cellStyle name="Normal 2 2 2 2 2 20 11" xfId="12181" xr:uid="{00000000-0005-0000-0000-00006A2F0000}"/>
    <cellStyle name="Normal 2 2 2 2 2 20 12" xfId="12182" xr:uid="{00000000-0005-0000-0000-00006B2F0000}"/>
    <cellStyle name="Normal 2 2 2 2 2 20 13" xfId="12183" xr:uid="{00000000-0005-0000-0000-00006C2F0000}"/>
    <cellStyle name="Normal 2 2 2 2 2 20 14" xfId="12184" xr:uid="{00000000-0005-0000-0000-00006D2F0000}"/>
    <cellStyle name="Normal 2 2 2 2 2 20 2" xfId="12185" xr:uid="{00000000-0005-0000-0000-00006E2F0000}"/>
    <cellStyle name="Normal 2 2 2 2 2 20 2 10" xfId="12186" xr:uid="{00000000-0005-0000-0000-00006F2F0000}"/>
    <cellStyle name="Normal 2 2 2 2 2 20 2 2" xfId="12187" xr:uid="{00000000-0005-0000-0000-0000702F0000}"/>
    <cellStyle name="Normal 2 2 2 2 2 20 2 3" xfId="12188" xr:uid="{00000000-0005-0000-0000-0000712F0000}"/>
    <cellStyle name="Normal 2 2 2 2 2 20 2 4" xfId="12189" xr:uid="{00000000-0005-0000-0000-0000722F0000}"/>
    <cellStyle name="Normal 2 2 2 2 2 20 2 5" xfId="12190" xr:uid="{00000000-0005-0000-0000-0000732F0000}"/>
    <cellStyle name="Normal 2 2 2 2 2 20 2 6" xfId="12191" xr:uid="{00000000-0005-0000-0000-0000742F0000}"/>
    <cellStyle name="Normal 2 2 2 2 2 20 2 7" xfId="12192" xr:uid="{00000000-0005-0000-0000-0000752F0000}"/>
    <cellStyle name="Normal 2 2 2 2 2 20 2 8" xfId="12193" xr:uid="{00000000-0005-0000-0000-0000762F0000}"/>
    <cellStyle name="Normal 2 2 2 2 2 20 2 9" xfId="12194" xr:uid="{00000000-0005-0000-0000-0000772F0000}"/>
    <cellStyle name="Normal 2 2 2 2 2 20 3" xfId="12195" xr:uid="{00000000-0005-0000-0000-0000782F0000}"/>
    <cellStyle name="Normal 2 2 2 2 2 20 3 10" xfId="12196" xr:uid="{00000000-0005-0000-0000-0000792F0000}"/>
    <cellStyle name="Normal 2 2 2 2 2 20 3 2" xfId="12197" xr:uid="{00000000-0005-0000-0000-00007A2F0000}"/>
    <cellStyle name="Normal 2 2 2 2 2 20 3 3" xfId="12198" xr:uid="{00000000-0005-0000-0000-00007B2F0000}"/>
    <cellStyle name="Normal 2 2 2 2 2 20 3 4" xfId="12199" xr:uid="{00000000-0005-0000-0000-00007C2F0000}"/>
    <cellStyle name="Normal 2 2 2 2 2 20 3 5" xfId="12200" xr:uid="{00000000-0005-0000-0000-00007D2F0000}"/>
    <cellStyle name="Normal 2 2 2 2 2 20 3 6" xfId="12201" xr:uid="{00000000-0005-0000-0000-00007E2F0000}"/>
    <cellStyle name="Normal 2 2 2 2 2 20 3 7" xfId="12202" xr:uid="{00000000-0005-0000-0000-00007F2F0000}"/>
    <cellStyle name="Normal 2 2 2 2 2 20 3 8" xfId="12203" xr:uid="{00000000-0005-0000-0000-0000802F0000}"/>
    <cellStyle name="Normal 2 2 2 2 2 20 3 9" xfId="12204" xr:uid="{00000000-0005-0000-0000-0000812F0000}"/>
    <cellStyle name="Normal 2 2 2 2 2 20 4" xfId="12205" xr:uid="{00000000-0005-0000-0000-0000822F0000}"/>
    <cellStyle name="Normal 2 2 2 2 2 20 4 10" xfId="12206" xr:uid="{00000000-0005-0000-0000-0000832F0000}"/>
    <cellStyle name="Normal 2 2 2 2 2 20 4 2" xfId="12207" xr:uid="{00000000-0005-0000-0000-0000842F0000}"/>
    <cellStyle name="Normal 2 2 2 2 2 20 4 3" xfId="12208" xr:uid="{00000000-0005-0000-0000-0000852F0000}"/>
    <cellStyle name="Normal 2 2 2 2 2 20 4 4" xfId="12209" xr:uid="{00000000-0005-0000-0000-0000862F0000}"/>
    <cellStyle name="Normal 2 2 2 2 2 20 4 5" xfId="12210" xr:uid="{00000000-0005-0000-0000-0000872F0000}"/>
    <cellStyle name="Normal 2 2 2 2 2 20 4 6" xfId="12211" xr:uid="{00000000-0005-0000-0000-0000882F0000}"/>
    <cellStyle name="Normal 2 2 2 2 2 20 4 7" xfId="12212" xr:uid="{00000000-0005-0000-0000-0000892F0000}"/>
    <cellStyle name="Normal 2 2 2 2 2 20 4 8" xfId="12213" xr:uid="{00000000-0005-0000-0000-00008A2F0000}"/>
    <cellStyle name="Normal 2 2 2 2 2 20 4 9" xfId="12214" xr:uid="{00000000-0005-0000-0000-00008B2F0000}"/>
    <cellStyle name="Normal 2 2 2 2 2 20 5" xfId="12215" xr:uid="{00000000-0005-0000-0000-00008C2F0000}"/>
    <cellStyle name="Normal 2 2 2 2 2 20 5 10" xfId="12216" xr:uid="{00000000-0005-0000-0000-00008D2F0000}"/>
    <cellStyle name="Normal 2 2 2 2 2 20 5 2" xfId="12217" xr:uid="{00000000-0005-0000-0000-00008E2F0000}"/>
    <cellStyle name="Normal 2 2 2 2 2 20 5 3" xfId="12218" xr:uid="{00000000-0005-0000-0000-00008F2F0000}"/>
    <cellStyle name="Normal 2 2 2 2 2 20 5 4" xfId="12219" xr:uid="{00000000-0005-0000-0000-0000902F0000}"/>
    <cellStyle name="Normal 2 2 2 2 2 20 5 5" xfId="12220" xr:uid="{00000000-0005-0000-0000-0000912F0000}"/>
    <cellStyle name="Normal 2 2 2 2 2 20 5 6" xfId="12221" xr:uid="{00000000-0005-0000-0000-0000922F0000}"/>
    <cellStyle name="Normal 2 2 2 2 2 20 5 7" xfId="12222" xr:uid="{00000000-0005-0000-0000-0000932F0000}"/>
    <cellStyle name="Normal 2 2 2 2 2 20 5 8" xfId="12223" xr:uid="{00000000-0005-0000-0000-0000942F0000}"/>
    <cellStyle name="Normal 2 2 2 2 2 20 5 9" xfId="12224" xr:uid="{00000000-0005-0000-0000-0000952F0000}"/>
    <cellStyle name="Normal 2 2 2 2 2 20 6" xfId="12225" xr:uid="{00000000-0005-0000-0000-0000962F0000}"/>
    <cellStyle name="Normal 2 2 2 2 2 20 7" xfId="12226" xr:uid="{00000000-0005-0000-0000-0000972F0000}"/>
    <cellStyle name="Normal 2 2 2 2 2 20 8" xfId="12227" xr:uid="{00000000-0005-0000-0000-0000982F0000}"/>
    <cellStyle name="Normal 2 2 2 2 2 20 9" xfId="12228" xr:uid="{00000000-0005-0000-0000-0000992F0000}"/>
    <cellStyle name="Normal 2 2 2 2 2 21" xfId="12229" xr:uid="{00000000-0005-0000-0000-00009A2F0000}"/>
    <cellStyle name="Normal 2 2 2 2 2 21 10" xfId="12230" xr:uid="{00000000-0005-0000-0000-00009B2F0000}"/>
    <cellStyle name="Normal 2 2 2 2 2 21 11" xfId="12231" xr:uid="{00000000-0005-0000-0000-00009C2F0000}"/>
    <cellStyle name="Normal 2 2 2 2 2 21 12" xfId="12232" xr:uid="{00000000-0005-0000-0000-00009D2F0000}"/>
    <cellStyle name="Normal 2 2 2 2 2 21 13" xfId="12233" xr:uid="{00000000-0005-0000-0000-00009E2F0000}"/>
    <cellStyle name="Normal 2 2 2 2 2 21 14" xfId="12234" xr:uid="{00000000-0005-0000-0000-00009F2F0000}"/>
    <cellStyle name="Normal 2 2 2 2 2 21 2" xfId="12235" xr:uid="{00000000-0005-0000-0000-0000A02F0000}"/>
    <cellStyle name="Normal 2 2 2 2 2 21 2 10" xfId="12236" xr:uid="{00000000-0005-0000-0000-0000A12F0000}"/>
    <cellStyle name="Normal 2 2 2 2 2 21 2 2" xfId="12237" xr:uid="{00000000-0005-0000-0000-0000A22F0000}"/>
    <cellStyle name="Normal 2 2 2 2 2 21 2 3" xfId="12238" xr:uid="{00000000-0005-0000-0000-0000A32F0000}"/>
    <cellStyle name="Normal 2 2 2 2 2 21 2 4" xfId="12239" xr:uid="{00000000-0005-0000-0000-0000A42F0000}"/>
    <cellStyle name="Normal 2 2 2 2 2 21 2 5" xfId="12240" xr:uid="{00000000-0005-0000-0000-0000A52F0000}"/>
    <cellStyle name="Normal 2 2 2 2 2 21 2 6" xfId="12241" xr:uid="{00000000-0005-0000-0000-0000A62F0000}"/>
    <cellStyle name="Normal 2 2 2 2 2 21 2 7" xfId="12242" xr:uid="{00000000-0005-0000-0000-0000A72F0000}"/>
    <cellStyle name="Normal 2 2 2 2 2 21 2 8" xfId="12243" xr:uid="{00000000-0005-0000-0000-0000A82F0000}"/>
    <cellStyle name="Normal 2 2 2 2 2 21 2 9" xfId="12244" xr:uid="{00000000-0005-0000-0000-0000A92F0000}"/>
    <cellStyle name="Normal 2 2 2 2 2 21 3" xfId="12245" xr:uid="{00000000-0005-0000-0000-0000AA2F0000}"/>
    <cellStyle name="Normal 2 2 2 2 2 21 3 10" xfId="12246" xr:uid="{00000000-0005-0000-0000-0000AB2F0000}"/>
    <cellStyle name="Normal 2 2 2 2 2 21 3 2" xfId="12247" xr:uid="{00000000-0005-0000-0000-0000AC2F0000}"/>
    <cellStyle name="Normal 2 2 2 2 2 21 3 3" xfId="12248" xr:uid="{00000000-0005-0000-0000-0000AD2F0000}"/>
    <cellStyle name="Normal 2 2 2 2 2 21 3 4" xfId="12249" xr:uid="{00000000-0005-0000-0000-0000AE2F0000}"/>
    <cellStyle name="Normal 2 2 2 2 2 21 3 5" xfId="12250" xr:uid="{00000000-0005-0000-0000-0000AF2F0000}"/>
    <cellStyle name="Normal 2 2 2 2 2 21 3 6" xfId="12251" xr:uid="{00000000-0005-0000-0000-0000B02F0000}"/>
    <cellStyle name="Normal 2 2 2 2 2 21 3 7" xfId="12252" xr:uid="{00000000-0005-0000-0000-0000B12F0000}"/>
    <cellStyle name="Normal 2 2 2 2 2 21 3 8" xfId="12253" xr:uid="{00000000-0005-0000-0000-0000B22F0000}"/>
    <cellStyle name="Normal 2 2 2 2 2 21 3 9" xfId="12254" xr:uid="{00000000-0005-0000-0000-0000B32F0000}"/>
    <cellStyle name="Normal 2 2 2 2 2 21 4" xfId="12255" xr:uid="{00000000-0005-0000-0000-0000B42F0000}"/>
    <cellStyle name="Normal 2 2 2 2 2 21 4 10" xfId="12256" xr:uid="{00000000-0005-0000-0000-0000B52F0000}"/>
    <cellStyle name="Normal 2 2 2 2 2 21 4 2" xfId="12257" xr:uid="{00000000-0005-0000-0000-0000B62F0000}"/>
    <cellStyle name="Normal 2 2 2 2 2 21 4 3" xfId="12258" xr:uid="{00000000-0005-0000-0000-0000B72F0000}"/>
    <cellStyle name="Normal 2 2 2 2 2 21 4 4" xfId="12259" xr:uid="{00000000-0005-0000-0000-0000B82F0000}"/>
    <cellStyle name="Normal 2 2 2 2 2 21 4 5" xfId="12260" xr:uid="{00000000-0005-0000-0000-0000B92F0000}"/>
    <cellStyle name="Normal 2 2 2 2 2 21 4 6" xfId="12261" xr:uid="{00000000-0005-0000-0000-0000BA2F0000}"/>
    <cellStyle name="Normal 2 2 2 2 2 21 4 7" xfId="12262" xr:uid="{00000000-0005-0000-0000-0000BB2F0000}"/>
    <cellStyle name="Normal 2 2 2 2 2 21 4 8" xfId="12263" xr:uid="{00000000-0005-0000-0000-0000BC2F0000}"/>
    <cellStyle name="Normal 2 2 2 2 2 21 4 9" xfId="12264" xr:uid="{00000000-0005-0000-0000-0000BD2F0000}"/>
    <cellStyle name="Normal 2 2 2 2 2 21 5" xfId="12265" xr:uid="{00000000-0005-0000-0000-0000BE2F0000}"/>
    <cellStyle name="Normal 2 2 2 2 2 21 5 10" xfId="12266" xr:uid="{00000000-0005-0000-0000-0000BF2F0000}"/>
    <cellStyle name="Normal 2 2 2 2 2 21 5 2" xfId="12267" xr:uid="{00000000-0005-0000-0000-0000C02F0000}"/>
    <cellStyle name="Normal 2 2 2 2 2 21 5 3" xfId="12268" xr:uid="{00000000-0005-0000-0000-0000C12F0000}"/>
    <cellStyle name="Normal 2 2 2 2 2 21 5 4" xfId="12269" xr:uid="{00000000-0005-0000-0000-0000C22F0000}"/>
    <cellStyle name="Normal 2 2 2 2 2 21 5 5" xfId="12270" xr:uid="{00000000-0005-0000-0000-0000C32F0000}"/>
    <cellStyle name="Normal 2 2 2 2 2 21 5 6" xfId="12271" xr:uid="{00000000-0005-0000-0000-0000C42F0000}"/>
    <cellStyle name="Normal 2 2 2 2 2 21 5 7" xfId="12272" xr:uid="{00000000-0005-0000-0000-0000C52F0000}"/>
    <cellStyle name="Normal 2 2 2 2 2 21 5 8" xfId="12273" xr:uid="{00000000-0005-0000-0000-0000C62F0000}"/>
    <cellStyle name="Normal 2 2 2 2 2 21 5 9" xfId="12274" xr:uid="{00000000-0005-0000-0000-0000C72F0000}"/>
    <cellStyle name="Normal 2 2 2 2 2 21 6" xfId="12275" xr:uid="{00000000-0005-0000-0000-0000C82F0000}"/>
    <cellStyle name="Normal 2 2 2 2 2 21 7" xfId="12276" xr:uid="{00000000-0005-0000-0000-0000C92F0000}"/>
    <cellStyle name="Normal 2 2 2 2 2 21 8" xfId="12277" xr:uid="{00000000-0005-0000-0000-0000CA2F0000}"/>
    <cellStyle name="Normal 2 2 2 2 2 21 9" xfId="12278" xr:uid="{00000000-0005-0000-0000-0000CB2F0000}"/>
    <cellStyle name="Normal 2 2 2 2 2 22" xfId="12279" xr:uid="{00000000-0005-0000-0000-0000CC2F0000}"/>
    <cellStyle name="Normal 2 2 2 2 2 22 10" xfId="12280" xr:uid="{00000000-0005-0000-0000-0000CD2F0000}"/>
    <cellStyle name="Normal 2 2 2 2 2 22 11" xfId="12281" xr:uid="{00000000-0005-0000-0000-0000CE2F0000}"/>
    <cellStyle name="Normal 2 2 2 2 2 22 12" xfId="12282" xr:uid="{00000000-0005-0000-0000-0000CF2F0000}"/>
    <cellStyle name="Normal 2 2 2 2 2 22 13" xfId="12283" xr:uid="{00000000-0005-0000-0000-0000D02F0000}"/>
    <cellStyle name="Normal 2 2 2 2 2 22 14" xfId="12284" xr:uid="{00000000-0005-0000-0000-0000D12F0000}"/>
    <cellStyle name="Normal 2 2 2 2 2 22 2" xfId="12285" xr:uid="{00000000-0005-0000-0000-0000D22F0000}"/>
    <cellStyle name="Normal 2 2 2 2 2 22 2 10" xfId="12286" xr:uid="{00000000-0005-0000-0000-0000D32F0000}"/>
    <cellStyle name="Normal 2 2 2 2 2 22 2 2" xfId="12287" xr:uid="{00000000-0005-0000-0000-0000D42F0000}"/>
    <cellStyle name="Normal 2 2 2 2 2 22 2 3" xfId="12288" xr:uid="{00000000-0005-0000-0000-0000D52F0000}"/>
    <cellStyle name="Normal 2 2 2 2 2 22 2 4" xfId="12289" xr:uid="{00000000-0005-0000-0000-0000D62F0000}"/>
    <cellStyle name="Normal 2 2 2 2 2 22 2 5" xfId="12290" xr:uid="{00000000-0005-0000-0000-0000D72F0000}"/>
    <cellStyle name="Normal 2 2 2 2 2 22 2 6" xfId="12291" xr:uid="{00000000-0005-0000-0000-0000D82F0000}"/>
    <cellStyle name="Normal 2 2 2 2 2 22 2 7" xfId="12292" xr:uid="{00000000-0005-0000-0000-0000D92F0000}"/>
    <cellStyle name="Normal 2 2 2 2 2 22 2 8" xfId="12293" xr:uid="{00000000-0005-0000-0000-0000DA2F0000}"/>
    <cellStyle name="Normal 2 2 2 2 2 22 2 9" xfId="12294" xr:uid="{00000000-0005-0000-0000-0000DB2F0000}"/>
    <cellStyle name="Normal 2 2 2 2 2 22 3" xfId="12295" xr:uid="{00000000-0005-0000-0000-0000DC2F0000}"/>
    <cellStyle name="Normal 2 2 2 2 2 22 3 10" xfId="12296" xr:uid="{00000000-0005-0000-0000-0000DD2F0000}"/>
    <cellStyle name="Normal 2 2 2 2 2 22 3 2" xfId="12297" xr:uid="{00000000-0005-0000-0000-0000DE2F0000}"/>
    <cellStyle name="Normal 2 2 2 2 2 22 3 3" xfId="12298" xr:uid="{00000000-0005-0000-0000-0000DF2F0000}"/>
    <cellStyle name="Normal 2 2 2 2 2 22 3 4" xfId="12299" xr:uid="{00000000-0005-0000-0000-0000E02F0000}"/>
    <cellStyle name="Normal 2 2 2 2 2 22 3 5" xfId="12300" xr:uid="{00000000-0005-0000-0000-0000E12F0000}"/>
    <cellStyle name="Normal 2 2 2 2 2 22 3 6" xfId="12301" xr:uid="{00000000-0005-0000-0000-0000E22F0000}"/>
    <cellStyle name="Normal 2 2 2 2 2 22 3 7" xfId="12302" xr:uid="{00000000-0005-0000-0000-0000E32F0000}"/>
    <cellStyle name="Normal 2 2 2 2 2 22 3 8" xfId="12303" xr:uid="{00000000-0005-0000-0000-0000E42F0000}"/>
    <cellStyle name="Normal 2 2 2 2 2 22 3 9" xfId="12304" xr:uid="{00000000-0005-0000-0000-0000E52F0000}"/>
    <cellStyle name="Normal 2 2 2 2 2 22 4" xfId="12305" xr:uid="{00000000-0005-0000-0000-0000E62F0000}"/>
    <cellStyle name="Normal 2 2 2 2 2 22 4 10" xfId="12306" xr:uid="{00000000-0005-0000-0000-0000E72F0000}"/>
    <cellStyle name="Normal 2 2 2 2 2 22 4 2" xfId="12307" xr:uid="{00000000-0005-0000-0000-0000E82F0000}"/>
    <cellStyle name="Normal 2 2 2 2 2 22 4 3" xfId="12308" xr:uid="{00000000-0005-0000-0000-0000E92F0000}"/>
    <cellStyle name="Normal 2 2 2 2 2 22 4 4" xfId="12309" xr:uid="{00000000-0005-0000-0000-0000EA2F0000}"/>
    <cellStyle name="Normal 2 2 2 2 2 22 4 5" xfId="12310" xr:uid="{00000000-0005-0000-0000-0000EB2F0000}"/>
    <cellStyle name="Normal 2 2 2 2 2 22 4 6" xfId="12311" xr:uid="{00000000-0005-0000-0000-0000EC2F0000}"/>
    <cellStyle name="Normal 2 2 2 2 2 22 4 7" xfId="12312" xr:uid="{00000000-0005-0000-0000-0000ED2F0000}"/>
    <cellStyle name="Normal 2 2 2 2 2 22 4 8" xfId="12313" xr:uid="{00000000-0005-0000-0000-0000EE2F0000}"/>
    <cellStyle name="Normal 2 2 2 2 2 22 4 9" xfId="12314" xr:uid="{00000000-0005-0000-0000-0000EF2F0000}"/>
    <cellStyle name="Normal 2 2 2 2 2 22 5" xfId="12315" xr:uid="{00000000-0005-0000-0000-0000F02F0000}"/>
    <cellStyle name="Normal 2 2 2 2 2 22 5 10" xfId="12316" xr:uid="{00000000-0005-0000-0000-0000F12F0000}"/>
    <cellStyle name="Normal 2 2 2 2 2 22 5 2" xfId="12317" xr:uid="{00000000-0005-0000-0000-0000F22F0000}"/>
    <cellStyle name="Normal 2 2 2 2 2 22 5 3" xfId="12318" xr:uid="{00000000-0005-0000-0000-0000F32F0000}"/>
    <cellStyle name="Normal 2 2 2 2 2 22 5 4" xfId="12319" xr:uid="{00000000-0005-0000-0000-0000F42F0000}"/>
    <cellStyle name="Normal 2 2 2 2 2 22 5 5" xfId="12320" xr:uid="{00000000-0005-0000-0000-0000F52F0000}"/>
    <cellStyle name="Normal 2 2 2 2 2 22 5 6" xfId="12321" xr:uid="{00000000-0005-0000-0000-0000F62F0000}"/>
    <cellStyle name="Normal 2 2 2 2 2 22 5 7" xfId="12322" xr:uid="{00000000-0005-0000-0000-0000F72F0000}"/>
    <cellStyle name="Normal 2 2 2 2 2 22 5 8" xfId="12323" xr:uid="{00000000-0005-0000-0000-0000F82F0000}"/>
    <cellStyle name="Normal 2 2 2 2 2 22 5 9" xfId="12324" xr:uid="{00000000-0005-0000-0000-0000F92F0000}"/>
    <cellStyle name="Normal 2 2 2 2 2 22 6" xfId="12325" xr:uid="{00000000-0005-0000-0000-0000FA2F0000}"/>
    <cellStyle name="Normal 2 2 2 2 2 22 7" xfId="12326" xr:uid="{00000000-0005-0000-0000-0000FB2F0000}"/>
    <cellStyle name="Normal 2 2 2 2 2 22 8" xfId="12327" xr:uid="{00000000-0005-0000-0000-0000FC2F0000}"/>
    <cellStyle name="Normal 2 2 2 2 2 22 9" xfId="12328" xr:uid="{00000000-0005-0000-0000-0000FD2F0000}"/>
    <cellStyle name="Normal 2 2 2 2 2 23" xfId="12329" xr:uid="{00000000-0005-0000-0000-0000FE2F0000}"/>
    <cellStyle name="Normal 2 2 2 2 2 23 10" xfId="12330" xr:uid="{00000000-0005-0000-0000-0000FF2F0000}"/>
    <cellStyle name="Normal 2 2 2 2 2 23 11" xfId="12331" xr:uid="{00000000-0005-0000-0000-000000300000}"/>
    <cellStyle name="Normal 2 2 2 2 2 23 12" xfId="12332" xr:uid="{00000000-0005-0000-0000-000001300000}"/>
    <cellStyle name="Normal 2 2 2 2 2 23 13" xfId="12333" xr:uid="{00000000-0005-0000-0000-000002300000}"/>
    <cellStyle name="Normal 2 2 2 2 2 23 14" xfId="12334" xr:uid="{00000000-0005-0000-0000-000003300000}"/>
    <cellStyle name="Normal 2 2 2 2 2 23 2" xfId="12335" xr:uid="{00000000-0005-0000-0000-000004300000}"/>
    <cellStyle name="Normal 2 2 2 2 2 23 2 10" xfId="12336" xr:uid="{00000000-0005-0000-0000-000005300000}"/>
    <cellStyle name="Normal 2 2 2 2 2 23 2 2" xfId="12337" xr:uid="{00000000-0005-0000-0000-000006300000}"/>
    <cellStyle name="Normal 2 2 2 2 2 23 2 3" xfId="12338" xr:uid="{00000000-0005-0000-0000-000007300000}"/>
    <cellStyle name="Normal 2 2 2 2 2 23 2 4" xfId="12339" xr:uid="{00000000-0005-0000-0000-000008300000}"/>
    <cellStyle name="Normal 2 2 2 2 2 23 2 5" xfId="12340" xr:uid="{00000000-0005-0000-0000-000009300000}"/>
    <cellStyle name="Normal 2 2 2 2 2 23 2 6" xfId="12341" xr:uid="{00000000-0005-0000-0000-00000A300000}"/>
    <cellStyle name="Normal 2 2 2 2 2 23 2 7" xfId="12342" xr:uid="{00000000-0005-0000-0000-00000B300000}"/>
    <cellStyle name="Normal 2 2 2 2 2 23 2 8" xfId="12343" xr:uid="{00000000-0005-0000-0000-00000C300000}"/>
    <cellStyle name="Normal 2 2 2 2 2 23 2 9" xfId="12344" xr:uid="{00000000-0005-0000-0000-00000D300000}"/>
    <cellStyle name="Normal 2 2 2 2 2 23 3" xfId="12345" xr:uid="{00000000-0005-0000-0000-00000E300000}"/>
    <cellStyle name="Normal 2 2 2 2 2 23 3 10" xfId="12346" xr:uid="{00000000-0005-0000-0000-00000F300000}"/>
    <cellStyle name="Normal 2 2 2 2 2 23 3 2" xfId="12347" xr:uid="{00000000-0005-0000-0000-000010300000}"/>
    <cellStyle name="Normal 2 2 2 2 2 23 3 3" xfId="12348" xr:uid="{00000000-0005-0000-0000-000011300000}"/>
    <cellStyle name="Normal 2 2 2 2 2 23 3 4" xfId="12349" xr:uid="{00000000-0005-0000-0000-000012300000}"/>
    <cellStyle name="Normal 2 2 2 2 2 23 3 5" xfId="12350" xr:uid="{00000000-0005-0000-0000-000013300000}"/>
    <cellStyle name="Normal 2 2 2 2 2 23 3 6" xfId="12351" xr:uid="{00000000-0005-0000-0000-000014300000}"/>
    <cellStyle name="Normal 2 2 2 2 2 23 3 7" xfId="12352" xr:uid="{00000000-0005-0000-0000-000015300000}"/>
    <cellStyle name="Normal 2 2 2 2 2 23 3 8" xfId="12353" xr:uid="{00000000-0005-0000-0000-000016300000}"/>
    <cellStyle name="Normal 2 2 2 2 2 23 3 9" xfId="12354" xr:uid="{00000000-0005-0000-0000-000017300000}"/>
    <cellStyle name="Normal 2 2 2 2 2 23 4" xfId="12355" xr:uid="{00000000-0005-0000-0000-000018300000}"/>
    <cellStyle name="Normal 2 2 2 2 2 23 4 10" xfId="12356" xr:uid="{00000000-0005-0000-0000-000019300000}"/>
    <cellStyle name="Normal 2 2 2 2 2 23 4 2" xfId="12357" xr:uid="{00000000-0005-0000-0000-00001A300000}"/>
    <cellStyle name="Normal 2 2 2 2 2 23 4 3" xfId="12358" xr:uid="{00000000-0005-0000-0000-00001B300000}"/>
    <cellStyle name="Normal 2 2 2 2 2 23 4 4" xfId="12359" xr:uid="{00000000-0005-0000-0000-00001C300000}"/>
    <cellStyle name="Normal 2 2 2 2 2 23 4 5" xfId="12360" xr:uid="{00000000-0005-0000-0000-00001D300000}"/>
    <cellStyle name="Normal 2 2 2 2 2 23 4 6" xfId="12361" xr:uid="{00000000-0005-0000-0000-00001E300000}"/>
    <cellStyle name="Normal 2 2 2 2 2 23 4 7" xfId="12362" xr:uid="{00000000-0005-0000-0000-00001F300000}"/>
    <cellStyle name="Normal 2 2 2 2 2 23 4 8" xfId="12363" xr:uid="{00000000-0005-0000-0000-000020300000}"/>
    <cellStyle name="Normal 2 2 2 2 2 23 4 9" xfId="12364" xr:uid="{00000000-0005-0000-0000-000021300000}"/>
    <cellStyle name="Normal 2 2 2 2 2 23 5" xfId="12365" xr:uid="{00000000-0005-0000-0000-000022300000}"/>
    <cellStyle name="Normal 2 2 2 2 2 23 5 10" xfId="12366" xr:uid="{00000000-0005-0000-0000-000023300000}"/>
    <cellStyle name="Normal 2 2 2 2 2 23 5 2" xfId="12367" xr:uid="{00000000-0005-0000-0000-000024300000}"/>
    <cellStyle name="Normal 2 2 2 2 2 23 5 3" xfId="12368" xr:uid="{00000000-0005-0000-0000-000025300000}"/>
    <cellStyle name="Normal 2 2 2 2 2 23 5 4" xfId="12369" xr:uid="{00000000-0005-0000-0000-000026300000}"/>
    <cellStyle name="Normal 2 2 2 2 2 23 5 5" xfId="12370" xr:uid="{00000000-0005-0000-0000-000027300000}"/>
    <cellStyle name="Normal 2 2 2 2 2 23 5 6" xfId="12371" xr:uid="{00000000-0005-0000-0000-000028300000}"/>
    <cellStyle name="Normal 2 2 2 2 2 23 5 7" xfId="12372" xr:uid="{00000000-0005-0000-0000-000029300000}"/>
    <cellStyle name="Normal 2 2 2 2 2 23 5 8" xfId="12373" xr:uid="{00000000-0005-0000-0000-00002A300000}"/>
    <cellStyle name="Normal 2 2 2 2 2 23 5 9" xfId="12374" xr:uid="{00000000-0005-0000-0000-00002B300000}"/>
    <cellStyle name="Normal 2 2 2 2 2 23 6" xfId="12375" xr:uid="{00000000-0005-0000-0000-00002C300000}"/>
    <cellStyle name="Normal 2 2 2 2 2 23 7" xfId="12376" xr:uid="{00000000-0005-0000-0000-00002D300000}"/>
    <cellStyle name="Normal 2 2 2 2 2 23 8" xfId="12377" xr:uid="{00000000-0005-0000-0000-00002E300000}"/>
    <cellStyle name="Normal 2 2 2 2 2 23 9" xfId="12378" xr:uid="{00000000-0005-0000-0000-00002F300000}"/>
    <cellStyle name="Normal 2 2 2 2 2 24" xfId="12379" xr:uid="{00000000-0005-0000-0000-000030300000}"/>
    <cellStyle name="Normal 2 2 2 2 2 24 10" xfId="12380" xr:uid="{00000000-0005-0000-0000-000031300000}"/>
    <cellStyle name="Normal 2 2 2 2 2 24 11" xfId="12381" xr:uid="{00000000-0005-0000-0000-000032300000}"/>
    <cellStyle name="Normal 2 2 2 2 2 24 12" xfId="12382" xr:uid="{00000000-0005-0000-0000-000033300000}"/>
    <cellStyle name="Normal 2 2 2 2 2 24 13" xfId="12383" xr:uid="{00000000-0005-0000-0000-000034300000}"/>
    <cellStyle name="Normal 2 2 2 2 2 24 14" xfId="12384" xr:uid="{00000000-0005-0000-0000-000035300000}"/>
    <cellStyle name="Normal 2 2 2 2 2 24 2" xfId="12385" xr:uid="{00000000-0005-0000-0000-000036300000}"/>
    <cellStyle name="Normal 2 2 2 2 2 24 2 10" xfId="12386" xr:uid="{00000000-0005-0000-0000-000037300000}"/>
    <cellStyle name="Normal 2 2 2 2 2 24 2 2" xfId="12387" xr:uid="{00000000-0005-0000-0000-000038300000}"/>
    <cellStyle name="Normal 2 2 2 2 2 24 2 3" xfId="12388" xr:uid="{00000000-0005-0000-0000-000039300000}"/>
    <cellStyle name="Normal 2 2 2 2 2 24 2 4" xfId="12389" xr:uid="{00000000-0005-0000-0000-00003A300000}"/>
    <cellStyle name="Normal 2 2 2 2 2 24 2 5" xfId="12390" xr:uid="{00000000-0005-0000-0000-00003B300000}"/>
    <cellStyle name="Normal 2 2 2 2 2 24 2 6" xfId="12391" xr:uid="{00000000-0005-0000-0000-00003C300000}"/>
    <cellStyle name="Normal 2 2 2 2 2 24 2 7" xfId="12392" xr:uid="{00000000-0005-0000-0000-00003D300000}"/>
    <cellStyle name="Normal 2 2 2 2 2 24 2 8" xfId="12393" xr:uid="{00000000-0005-0000-0000-00003E300000}"/>
    <cellStyle name="Normal 2 2 2 2 2 24 2 9" xfId="12394" xr:uid="{00000000-0005-0000-0000-00003F300000}"/>
    <cellStyle name="Normal 2 2 2 2 2 24 3" xfId="12395" xr:uid="{00000000-0005-0000-0000-000040300000}"/>
    <cellStyle name="Normal 2 2 2 2 2 24 3 10" xfId="12396" xr:uid="{00000000-0005-0000-0000-000041300000}"/>
    <cellStyle name="Normal 2 2 2 2 2 24 3 2" xfId="12397" xr:uid="{00000000-0005-0000-0000-000042300000}"/>
    <cellStyle name="Normal 2 2 2 2 2 24 3 3" xfId="12398" xr:uid="{00000000-0005-0000-0000-000043300000}"/>
    <cellStyle name="Normal 2 2 2 2 2 24 3 4" xfId="12399" xr:uid="{00000000-0005-0000-0000-000044300000}"/>
    <cellStyle name="Normal 2 2 2 2 2 24 3 5" xfId="12400" xr:uid="{00000000-0005-0000-0000-000045300000}"/>
    <cellStyle name="Normal 2 2 2 2 2 24 3 6" xfId="12401" xr:uid="{00000000-0005-0000-0000-000046300000}"/>
    <cellStyle name="Normal 2 2 2 2 2 24 3 7" xfId="12402" xr:uid="{00000000-0005-0000-0000-000047300000}"/>
    <cellStyle name="Normal 2 2 2 2 2 24 3 8" xfId="12403" xr:uid="{00000000-0005-0000-0000-000048300000}"/>
    <cellStyle name="Normal 2 2 2 2 2 24 3 9" xfId="12404" xr:uid="{00000000-0005-0000-0000-000049300000}"/>
    <cellStyle name="Normal 2 2 2 2 2 24 4" xfId="12405" xr:uid="{00000000-0005-0000-0000-00004A300000}"/>
    <cellStyle name="Normal 2 2 2 2 2 24 4 10" xfId="12406" xr:uid="{00000000-0005-0000-0000-00004B300000}"/>
    <cellStyle name="Normal 2 2 2 2 2 24 4 2" xfId="12407" xr:uid="{00000000-0005-0000-0000-00004C300000}"/>
    <cellStyle name="Normal 2 2 2 2 2 24 4 3" xfId="12408" xr:uid="{00000000-0005-0000-0000-00004D300000}"/>
    <cellStyle name="Normal 2 2 2 2 2 24 4 4" xfId="12409" xr:uid="{00000000-0005-0000-0000-00004E300000}"/>
    <cellStyle name="Normal 2 2 2 2 2 24 4 5" xfId="12410" xr:uid="{00000000-0005-0000-0000-00004F300000}"/>
    <cellStyle name="Normal 2 2 2 2 2 24 4 6" xfId="12411" xr:uid="{00000000-0005-0000-0000-000050300000}"/>
    <cellStyle name="Normal 2 2 2 2 2 24 4 7" xfId="12412" xr:uid="{00000000-0005-0000-0000-000051300000}"/>
    <cellStyle name="Normal 2 2 2 2 2 24 4 8" xfId="12413" xr:uid="{00000000-0005-0000-0000-000052300000}"/>
    <cellStyle name="Normal 2 2 2 2 2 24 4 9" xfId="12414" xr:uid="{00000000-0005-0000-0000-000053300000}"/>
    <cellStyle name="Normal 2 2 2 2 2 24 5" xfId="12415" xr:uid="{00000000-0005-0000-0000-000054300000}"/>
    <cellStyle name="Normal 2 2 2 2 2 24 5 10" xfId="12416" xr:uid="{00000000-0005-0000-0000-000055300000}"/>
    <cellStyle name="Normal 2 2 2 2 2 24 5 2" xfId="12417" xr:uid="{00000000-0005-0000-0000-000056300000}"/>
    <cellStyle name="Normal 2 2 2 2 2 24 5 3" xfId="12418" xr:uid="{00000000-0005-0000-0000-000057300000}"/>
    <cellStyle name="Normal 2 2 2 2 2 24 5 4" xfId="12419" xr:uid="{00000000-0005-0000-0000-000058300000}"/>
    <cellStyle name="Normal 2 2 2 2 2 24 5 5" xfId="12420" xr:uid="{00000000-0005-0000-0000-000059300000}"/>
    <cellStyle name="Normal 2 2 2 2 2 24 5 6" xfId="12421" xr:uid="{00000000-0005-0000-0000-00005A300000}"/>
    <cellStyle name="Normal 2 2 2 2 2 24 5 7" xfId="12422" xr:uid="{00000000-0005-0000-0000-00005B300000}"/>
    <cellStyle name="Normal 2 2 2 2 2 24 5 8" xfId="12423" xr:uid="{00000000-0005-0000-0000-00005C300000}"/>
    <cellStyle name="Normal 2 2 2 2 2 24 5 9" xfId="12424" xr:uid="{00000000-0005-0000-0000-00005D300000}"/>
    <cellStyle name="Normal 2 2 2 2 2 24 6" xfId="12425" xr:uid="{00000000-0005-0000-0000-00005E300000}"/>
    <cellStyle name="Normal 2 2 2 2 2 24 7" xfId="12426" xr:uid="{00000000-0005-0000-0000-00005F300000}"/>
    <cellStyle name="Normal 2 2 2 2 2 24 8" xfId="12427" xr:uid="{00000000-0005-0000-0000-000060300000}"/>
    <cellStyle name="Normal 2 2 2 2 2 24 9" xfId="12428" xr:uid="{00000000-0005-0000-0000-000061300000}"/>
    <cellStyle name="Normal 2 2 2 2 2 25" xfId="12429" xr:uid="{00000000-0005-0000-0000-000062300000}"/>
    <cellStyle name="Normal 2 2 2 2 2 25 10" xfId="12430" xr:uid="{00000000-0005-0000-0000-000063300000}"/>
    <cellStyle name="Normal 2 2 2 2 2 25 11" xfId="12431" xr:uid="{00000000-0005-0000-0000-000064300000}"/>
    <cellStyle name="Normal 2 2 2 2 2 25 12" xfId="12432" xr:uid="{00000000-0005-0000-0000-000065300000}"/>
    <cellStyle name="Normal 2 2 2 2 2 25 13" xfId="12433" xr:uid="{00000000-0005-0000-0000-000066300000}"/>
    <cellStyle name="Normal 2 2 2 2 2 25 14" xfId="12434" xr:uid="{00000000-0005-0000-0000-000067300000}"/>
    <cellStyle name="Normal 2 2 2 2 2 25 2" xfId="12435" xr:uid="{00000000-0005-0000-0000-000068300000}"/>
    <cellStyle name="Normal 2 2 2 2 2 25 2 10" xfId="12436" xr:uid="{00000000-0005-0000-0000-000069300000}"/>
    <cellStyle name="Normal 2 2 2 2 2 25 2 2" xfId="12437" xr:uid="{00000000-0005-0000-0000-00006A300000}"/>
    <cellStyle name="Normal 2 2 2 2 2 25 2 3" xfId="12438" xr:uid="{00000000-0005-0000-0000-00006B300000}"/>
    <cellStyle name="Normal 2 2 2 2 2 25 2 4" xfId="12439" xr:uid="{00000000-0005-0000-0000-00006C300000}"/>
    <cellStyle name="Normal 2 2 2 2 2 25 2 5" xfId="12440" xr:uid="{00000000-0005-0000-0000-00006D300000}"/>
    <cellStyle name="Normal 2 2 2 2 2 25 2 6" xfId="12441" xr:uid="{00000000-0005-0000-0000-00006E300000}"/>
    <cellStyle name="Normal 2 2 2 2 2 25 2 7" xfId="12442" xr:uid="{00000000-0005-0000-0000-00006F300000}"/>
    <cellStyle name="Normal 2 2 2 2 2 25 2 8" xfId="12443" xr:uid="{00000000-0005-0000-0000-000070300000}"/>
    <cellStyle name="Normal 2 2 2 2 2 25 2 9" xfId="12444" xr:uid="{00000000-0005-0000-0000-000071300000}"/>
    <cellStyle name="Normal 2 2 2 2 2 25 3" xfId="12445" xr:uid="{00000000-0005-0000-0000-000072300000}"/>
    <cellStyle name="Normal 2 2 2 2 2 25 3 10" xfId="12446" xr:uid="{00000000-0005-0000-0000-000073300000}"/>
    <cellStyle name="Normal 2 2 2 2 2 25 3 2" xfId="12447" xr:uid="{00000000-0005-0000-0000-000074300000}"/>
    <cellStyle name="Normal 2 2 2 2 2 25 3 3" xfId="12448" xr:uid="{00000000-0005-0000-0000-000075300000}"/>
    <cellStyle name="Normal 2 2 2 2 2 25 3 4" xfId="12449" xr:uid="{00000000-0005-0000-0000-000076300000}"/>
    <cellStyle name="Normal 2 2 2 2 2 25 3 5" xfId="12450" xr:uid="{00000000-0005-0000-0000-000077300000}"/>
    <cellStyle name="Normal 2 2 2 2 2 25 3 6" xfId="12451" xr:uid="{00000000-0005-0000-0000-000078300000}"/>
    <cellStyle name="Normal 2 2 2 2 2 25 3 7" xfId="12452" xr:uid="{00000000-0005-0000-0000-000079300000}"/>
    <cellStyle name="Normal 2 2 2 2 2 25 3 8" xfId="12453" xr:uid="{00000000-0005-0000-0000-00007A300000}"/>
    <cellStyle name="Normal 2 2 2 2 2 25 3 9" xfId="12454" xr:uid="{00000000-0005-0000-0000-00007B300000}"/>
    <cellStyle name="Normal 2 2 2 2 2 25 4" xfId="12455" xr:uid="{00000000-0005-0000-0000-00007C300000}"/>
    <cellStyle name="Normal 2 2 2 2 2 25 4 10" xfId="12456" xr:uid="{00000000-0005-0000-0000-00007D300000}"/>
    <cellStyle name="Normal 2 2 2 2 2 25 4 2" xfId="12457" xr:uid="{00000000-0005-0000-0000-00007E300000}"/>
    <cellStyle name="Normal 2 2 2 2 2 25 4 3" xfId="12458" xr:uid="{00000000-0005-0000-0000-00007F300000}"/>
    <cellStyle name="Normal 2 2 2 2 2 25 4 4" xfId="12459" xr:uid="{00000000-0005-0000-0000-000080300000}"/>
    <cellStyle name="Normal 2 2 2 2 2 25 4 5" xfId="12460" xr:uid="{00000000-0005-0000-0000-000081300000}"/>
    <cellStyle name="Normal 2 2 2 2 2 25 4 6" xfId="12461" xr:uid="{00000000-0005-0000-0000-000082300000}"/>
    <cellStyle name="Normal 2 2 2 2 2 25 4 7" xfId="12462" xr:uid="{00000000-0005-0000-0000-000083300000}"/>
    <cellStyle name="Normal 2 2 2 2 2 25 4 8" xfId="12463" xr:uid="{00000000-0005-0000-0000-000084300000}"/>
    <cellStyle name="Normal 2 2 2 2 2 25 4 9" xfId="12464" xr:uid="{00000000-0005-0000-0000-000085300000}"/>
    <cellStyle name="Normal 2 2 2 2 2 25 5" xfId="12465" xr:uid="{00000000-0005-0000-0000-000086300000}"/>
    <cellStyle name="Normal 2 2 2 2 2 25 5 10" xfId="12466" xr:uid="{00000000-0005-0000-0000-000087300000}"/>
    <cellStyle name="Normal 2 2 2 2 2 25 5 2" xfId="12467" xr:uid="{00000000-0005-0000-0000-000088300000}"/>
    <cellStyle name="Normal 2 2 2 2 2 25 5 3" xfId="12468" xr:uid="{00000000-0005-0000-0000-000089300000}"/>
    <cellStyle name="Normal 2 2 2 2 2 25 5 4" xfId="12469" xr:uid="{00000000-0005-0000-0000-00008A300000}"/>
    <cellStyle name="Normal 2 2 2 2 2 25 5 5" xfId="12470" xr:uid="{00000000-0005-0000-0000-00008B300000}"/>
    <cellStyle name="Normal 2 2 2 2 2 25 5 6" xfId="12471" xr:uid="{00000000-0005-0000-0000-00008C300000}"/>
    <cellStyle name="Normal 2 2 2 2 2 25 5 7" xfId="12472" xr:uid="{00000000-0005-0000-0000-00008D300000}"/>
    <cellStyle name="Normal 2 2 2 2 2 25 5 8" xfId="12473" xr:uid="{00000000-0005-0000-0000-00008E300000}"/>
    <cellStyle name="Normal 2 2 2 2 2 25 5 9" xfId="12474" xr:uid="{00000000-0005-0000-0000-00008F300000}"/>
    <cellStyle name="Normal 2 2 2 2 2 25 6" xfId="12475" xr:uid="{00000000-0005-0000-0000-000090300000}"/>
    <cellStyle name="Normal 2 2 2 2 2 25 7" xfId="12476" xr:uid="{00000000-0005-0000-0000-000091300000}"/>
    <cellStyle name="Normal 2 2 2 2 2 25 8" xfId="12477" xr:uid="{00000000-0005-0000-0000-000092300000}"/>
    <cellStyle name="Normal 2 2 2 2 2 25 9" xfId="12478" xr:uid="{00000000-0005-0000-0000-000093300000}"/>
    <cellStyle name="Normal 2 2 2 2 2 26" xfId="12479" xr:uid="{00000000-0005-0000-0000-000094300000}"/>
    <cellStyle name="Normal 2 2 2 2 2 26 10" xfId="12480" xr:uid="{00000000-0005-0000-0000-000095300000}"/>
    <cellStyle name="Normal 2 2 2 2 2 26 11" xfId="12481" xr:uid="{00000000-0005-0000-0000-000096300000}"/>
    <cellStyle name="Normal 2 2 2 2 2 26 12" xfId="12482" xr:uid="{00000000-0005-0000-0000-000097300000}"/>
    <cellStyle name="Normal 2 2 2 2 2 26 13" xfId="12483" xr:uid="{00000000-0005-0000-0000-000098300000}"/>
    <cellStyle name="Normal 2 2 2 2 2 26 14" xfId="12484" xr:uid="{00000000-0005-0000-0000-000099300000}"/>
    <cellStyle name="Normal 2 2 2 2 2 26 2" xfId="12485" xr:uid="{00000000-0005-0000-0000-00009A300000}"/>
    <cellStyle name="Normal 2 2 2 2 2 26 2 10" xfId="12486" xr:uid="{00000000-0005-0000-0000-00009B300000}"/>
    <cellStyle name="Normal 2 2 2 2 2 26 2 2" xfId="12487" xr:uid="{00000000-0005-0000-0000-00009C300000}"/>
    <cellStyle name="Normal 2 2 2 2 2 26 2 3" xfId="12488" xr:uid="{00000000-0005-0000-0000-00009D300000}"/>
    <cellStyle name="Normal 2 2 2 2 2 26 2 4" xfId="12489" xr:uid="{00000000-0005-0000-0000-00009E300000}"/>
    <cellStyle name="Normal 2 2 2 2 2 26 2 5" xfId="12490" xr:uid="{00000000-0005-0000-0000-00009F300000}"/>
    <cellStyle name="Normal 2 2 2 2 2 26 2 6" xfId="12491" xr:uid="{00000000-0005-0000-0000-0000A0300000}"/>
    <cellStyle name="Normal 2 2 2 2 2 26 2 7" xfId="12492" xr:uid="{00000000-0005-0000-0000-0000A1300000}"/>
    <cellStyle name="Normal 2 2 2 2 2 26 2 8" xfId="12493" xr:uid="{00000000-0005-0000-0000-0000A2300000}"/>
    <cellStyle name="Normal 2 2 2 2 2 26 2 9" xfId="12494" xr:uid="{00000000-0005-0000-0000-0000A3300000}"/>
    <cellStyle name="Normal 2 2 2 2 2 26 3" xfId="12495" xr:uid="{00000000-0005-0000-0000-0000A4300000}"/>
    <cellStyle name="Normal 2 2 2 2 2 26 3 10" xfId="12496" xr:uid="{00000000-0005-0000-0000-0000A5300000}"/>
    <cellStyle name="Normal 2 2 2 2 2 26 3 2" xfId="12497" xr:uid="{00000000-0005-0000-0000-0000A6300000}"/>
    <cellStyle name="Normal 2 2 2 2 2 26 3 3" xfId="12498" xr:uid="{00000000-0005-0000-0000-0000A7300000}"/>
    <cellStyle name="Normal 2 2 2 2 2 26 3 4" xfId="12499" xr:uid="{00000000-0005-0000-0000-0000A8300000}"/>
    <cellStyle name="Normal 2 2 2 2 2 26 3 5" xfId="12500" xr:uid="{00000000-0005-0000-0000-0000A9300000}"/>
    <cellStyle name="Normal 2 2 2 2 2 26 3 6" xfId="12501" xr:uid="{00000000-0005-0000-0000-0000AA300000}"/>
    <cellStyle name="Normal 2 2 2 2 2 26 3 7" xfId="12502" xr:uid="{00000000-0005-0000-0000-0000AB300000}"/>
    <cellStyle name="Normal 2 2 2 2 2 26 3 8" xfId="12503" xr:uid="{00000000-0005-0000-0000-0000AC300000}"/>
    <cellStyle name="Normal 2 2 2 2 2 26 3 9" xfId="12504" xr:uid="{00000000-0005-0000-0000-0000AD300000}"/>
    <cellStyle name="Normal 2 2 2 2 2 26 4" xfId="12505" xr:uid="{00000000-0005-0000-0000-0000AE300000}"/>
    <cellStyle name="Normal 2 2 2 2 2 26 4 10" xfId="12506" xr:uid="{00000000-0005-0000-0000-0000AF300000}"/>
    <cellStyle name="Normal 2 2 2 2 2 26 4 2" xfId="12507" xr:uid="{00000000-0005-0000-0000-0000B0300000}"/>
    <cellStyle name="Normal 2 2 2 2 2 26 4 3" xfId="12508" xr:uid="{00000000-0005-0000-0000-0000B1300000}"/>
    <cellStyle name="Normal 2 2 2 2 2 26 4 4" xfId="12509" xr:uid="{00000000-0005-0000-0000-0000B2300000}"/>
    <cellStyle name="Normal 2 2 2 2 2 26 4 5" xfId="12510" xr:uid="{00000000-0005-0000-0000-0000B3300000}"/>
    <cellStyle name="Normal 2 2 2 2 2 26 4 6" xfId="12511" xr:uid="{00000000-0005-0000-0000-0000B4300000}"/>
    <cellStyle name="Normal 2 2 2 2 2 26 4 7" xfId="12512" xr:uid="{00000000-0005-0000-0000-0000B5300000}"/>
    <cellStyle name="Normal 2 2 2 2 2 26 4 8" xfId="12513" xr:uid="{00000000-0005-0000-0000-0000B6300000}"/>
    <cellStyle name="Normal 2 2 2 2 2 26 4 9" xfId="12514" xr:uid="{00000000-0005-0000-0000-0000B7300000}"/>
    <cellStyle name="Normal 2 2 2 2 2 26 5" xfId="12515" xr:uid="{00000000-0005-0000-0000-0000B8300000}"/>
    <cellStyle name="Normal 2 2 2 2 2 26 5 10" xfId="12516" xr:uid="{00000000-0005-0000-0000-0000B9300000}"/>
    <cellStyle name="Normal 2 2 2 2 2 26 5 2" xfId="12517" xr:uid="{00000000-0005-0000-0000-0000BA300000}"/>
    <cellStyle name="Normal 2 2 2 2 2 26 5 3" xfId="12518" xr:uid="{00000000-0005-0000-0000-0000BB300000}"/>
    <cellStyle name="Normal 2 2 2 2 2 26 5 4" xfId="12519" xr:uid="{00000000-0005-0000-0000-0000BC300000}"/>
    <cellStyle name="Normal 2 2 2 2 2 26 5 5" xfId="12520" xr:uid="{00000000-0005-0000-0000-0000BD300000}"/>
    <cellStyle name="Normal 2 2 2 2 2 26 5 6" xfId="12521" xr:uid="{00000000-0005-0000-0000-0000BE300000}"/>
    <cellStyle name="Normal 2 2 2 2 2 26 5 7" xfId="12522" xr:uid="{00000000-0005-0000-0000-0000BF300000}"/>
    <cellStyle name="Normal 2 2 2 2 2 26 5 8" xfId="12523" xr:uid="{00000000-0005-0000-0000-0000C0300000}"/>
    <cellStyle name="Normal 2 2 2 2 2 26 5 9" xfId="12524" xr:uid="{00000000-0005-0000-0000-0000C1300000}"/>
    <cellStyle name="Normal 2 2 2 2 2 26 6" xfId="12525" xr:uid="{00000000-0005-0000-0000-0000C2300000}"/>
    <cellStyle name="Normal 2 2 2 2 2 26 7" xfId="12526" xr:uid="{00000000-0005-0000-0000-0000C3300000}"/>
    <cellStyle name="Normal 2 2 2 2 2 26 8" xfId="12527" xr:uid="{00000000-0005-0000-0000-0000C4300000}"/>
    <cellStyle name="Normal 2 2 2 2 2 26 9" xfId="12528" xr:uid="{00000000-0005-0000-0000-0000C5300000}"/>
    <cellStyle name="Normal 2 2 2 2 2 27" xfId="12529" xr:uid="{00000000-0005-0000-0000-0000C6300000}"/>
    <cellStyle name="Normal 2 2 2 2 2 27 10" xfId="12530" xr:uid="{00000000-0005-0000-0000-0000C7300000}"/>
    <cellStyle name="Normal 2 2 2 2 2 27 11" xfId="12531" xr:uid="{00000000-0005-0000-0000-0000C8300000}"/>
    <cellStyle name="Normal 2 2 2 2 2 27 12" xfId="12532" xr:uid="{00000000-0005-0000-0000-0000C9300000}"/>
    <cellStyle name="Normal 2 2 2 2 2 27 13" xfId="12533" xr:uid="{00000000-0005-0000-0000-0000CA300000}"/>
    <cellStyle name="Normal 2 2 2 2 2 27 14" xfId="12534" xr:uid="{00000000-0005-0000-0000-0000CB300000}"/>
    <cellStyle name="Normal 2 2 2 2 2 27 2" xfId="12535" xr:uid="{00000000-0005-0000-0000-0000CC300000}"/>
    <cellStyle name="Normal 2 2 2 2 2 27 2 10" xfId="12536" xr:uid="{00000000-0005-0000-0000-0000CD300000}"/>
    <cellStyle name="Normal 2 2 2 2 2 27 2 2" xfId="12537" xr:uid="{00000000-0005-0000-0000-0000CE300000}"/>
    <cellStyle name="Normal 2 2 2 2 2 27 2 3" xfId="12538" xr:uid="{00000000-0005-0000-0000-0000CF300000}"/>
    <cellStyle name="Normal 2 2 2 2 2 27 2 4" xfId="12539" xr:uid="{00000000-0005-0000-0000-0000D0300000}"/>
    <cellStyle name="Normal 2 2 2 2 2 27 2 5" xfId="12540" xr:uid="{00000000-0005-0000-0000-0000D1300000}"/>
    <cellStyle name="Normal 2 2 2 2 2 27 2 6" xfId="12541" xr:uid="{00000000-0005-0000-0000-0000D2300000}"/>
    <cellStyle name="Normal 2 2 2 2 2 27 2 7" xfId="12542" xr:uid="{00000000-0005-0000-0000-0000D3300000}"/>
    <cellStyle name="Normal 2 2 2 2 2 27 2 8" xfId="12543" xr:uid="{00000000-0005-0000-0000-0000D4300000}"/>
    <cellStyle name="Normal 2 2 2 2 2 27 2 9" xfId="12544" xr:uid="{00000000-0005-0000-0000-0000D5300000}"/>
    <cellStyle name="Normal 2 2 2 2 2 27 3" xfId="12545" xr:uid="{00000000-0005-0000-0000-0000D6300000}"/>
    <cellStyle name="Normal 2 2 2 2 2 27 3 10" xfId="12546" xr:uid="{00000000-0005-0000-0000-0000D7300000}"/>
    <cellStyle name="Normal 2 2 2 2 2 27 3 2" xfId="12547" xr:uid="{00000000-0005-0000-0000-0000D8300000}"/>
    <cellStyle name="Normal 2 2 2 2 2 27 3 3" xfId="12548" xr:uid="{00000000-0005-0000-0000-0000D9300000}"/>
    <cellStyle name="Normal 2 2 2 2 2 27 3 4" xfId="12549" xr:uid="{00000000-0005-0000-0000-0000DA300000}"/>
    <cellStyle name="Normal 2 2 2 2 2 27 3 5" xfId="12550" xr:uid="{00000000-0005-0000-0000-0000DB300000}"/>
    <cellStyle name="Normal 2 2 2 2 2 27 3 6" xfId="12551" xr:uid="{00000000-0005-0000-0000-0000DC300000}"/>
    <cellStyle name="Normal 2 2 2 2 2 27 3 7" xfId="12552" xr:uid="{00000000-0005-0000-0000-0000DD300000}"/>
    <cellStyle name="Normal 2 2 2 2 2 27 3 8" xfId="12553" xr:uid="{00000000-0005-0000-0000-0000DE300000}"/>
    <cellStyle name="Normal 2 2 2 2 2 27 3 9" xfId="12554" xr:uid="{00000000-0005-0000-0000-0000DF300000}"/>
    <cellStyle name="Normal 2 2 2 2 2 27 4" xfId="12555" xr:uid="{00000000-0005-0000-0000-0000E0300000}"/>
    <cellStyle name="Normal 2 2 2 2 2 27 4 10" xfId="12556" xr:uid="{00000000-0005-0000-0000-0000E1300000}"/>
    <cellStyle name="Normal 2 2 2 2 2 27 4 2" xfId="12557" xr:uid="{00000000-0005-0000-0000-0000E2300000}"/>
    <cellStyle name="Normal 2 2 2 2 2 27 4 3" xfId="12558" xr:uid="{00000000-0005-0000-0000-0000E3300000}"/>
    <cellStyle name="Normal 2 2 2 2 2 27 4 4" xfId="12559" xr:uid="{00000000-0005-0000-0000-0000E4300000}"/>
    <cellStyle name="Normal 2 2 2 2 2 27 4 5" xfId="12560" xr:uid="{00000000-0005-0000-0000-0000E5300000}"/>
    <cellStyle name="Normal 2 2 2 2 2 27 4 6" xfId="12561" xr:uid="{00000000-0005-0000-0000-0000E6300000}"/>
    <cellStyle name="Normal 2 2 2 2 2 27 4 7" xfId="12562" xr:uid="{00000000-0005-0000-0000-0000E7300000}"/>
    <cellStyle name="Normal 2 2 2 2 2 27 4 8" xfId="12563" xr:uid="{00000000-0005-0000-0000-0000E8300000}"/>
    <cellStyle name="Normal 2 2 2 2 2 27 4 9" xfId="12564" xr:uid="{00000000-0005-0000-0000-0000E9300000}"/>
    <cellStyle name="Normal 2 2 2 2 2 27 5" xfId="12565" xr:uid="{00000000-0005-0000-0000-0000EA300000}"/>
    <cellStyle name="Normal 2 2 2 2 2 27 5 10" xfId="12566" xr:uid="{00000000-0005-0000-0000-0000EB300000}"/>
    <cellStyle name="Normal 2 2 2 2 2 27 5 2" xfId="12567" xr:uid="{00000000-0005-0000-0000-0000EC300000}"/>
    <cellStyle name="Normal 2 2 2 2 2 27 5 3" xfId="12568" xr:uid="{00000000-0005-0000-0000-0000ED300000}"/>
    <cellStyle name="Normal 2 2 2 2 2 27 5 4" xfId="12569" xr:uid="{00000000-0005-0000-0000-0000EE300000}"/>
    <cellStyle name="Normal 2 2 2 2 2 27 5 5" xfId="12570" xr:uid="{00000000-0005-0000-0000-0000EF300000}"/>
    <cellStyle name="Normal 2 2 2 2 2 27 5 6" xfId="12571" xr:uid="{00000000-0005-0000-0000-0000F0300000}"/>
    <cellStyle name="Normal 2 2 2 2 2 27 5 7" xfId="12572" xr:uid="{00000000-0005-0000-0000-0000F1300000}"/>
    <cellStyle name="Normal 2 2 2 2 2 27 5 8" xfId="12573" xr:uid="{00000000-0005-0000-0000-0000F2300000}"/>
    <cellStyle name="Normal 2 2 2 2 2 27 5 9" xfId="12574" xr:uid="{00000000-0005-0000-0000-0000F3300000}"/>
    <cellStyle name="Normal 2 2 2 2 2 27 6" xfId="12575" xr:uid="{00000000-0005-0000-0000-0000F4300000}"/>
    <cellStyle name="Normal 2 2 2 2 2 27 7" xfId="12576" xr:uid="{00000000-0005-0000-0000-0000F5300000}"/>
    <cellStyle name="Normal 2 2 2 2 2 27 8" xfId="12577" xr:uid="{00000000-0005-0000-0000-0000F6300000}"/>
    <cellStyle name="Normal 2 2 2 2 2 27 9" xfId="12578" xr:uid="{00000000-0005-0000-0000-0000F7300000}"/>
    <cellStyle name="Normal 2 2 2 2 2 28" xfId="12579" xr:uid="{00000000-0005-0000-0000-0000F8300000}"/>
    <cellStyle name="Normal 2 2 2 2 2 28 10" xfId="12580" xr:uid="{00000000-0005-0000-0000-0000F9300000}"/>
    <cellStyle name="Normal 2 2 2 2 2 28 11" xfId="12581" xr:uid="{00000000-0005-0000-0000-0000FA300000}"/>
    <cellStyle name="Normal 2 2 2 2 2 28 12" xfId="12582" xr:uid="{00000000-0005-0000-0000-0000FB300000}"/>
    <cellStyle name="Normal 2 2 2 2 2 28 13" xfId="12583" xr:uid="{00000000-0005-0000-0000-0000FC300000}"/>
    <cellStyle name="Normal 2 2 2 2 2 28 14" xfId="12584" xr:uid="{00000000-0005-0000-0000-0000FD300000}"/>
    <cellStyle name="Normal 2 2 2 2 2 28 2" xfId="12585" xr:uid="{00000000-0005-0000-0000-0000FE300000}"/>
    <cellStyle name="Normal 2 2 2 2 2 28 2 10" xfId="12586" xr:uid="{00000000-0005-0000-0000-0000FF300000}"/>
    <cellStyle name="Normal 2 2 2 2 2 28 2 2" xfId="12587" xr:uid="{00000000-0005-0000-0000-000000310000}"/>
    <cellStyle name="Normal 2 2 2 2 2 28 2 3" xfId="12588" xr:uid="{00000000-0005-0000-0000-000001310000}"/>
    <cellStyle name="Normal 2 2 2 2 2 28 2 4" xfId="12589" xr:uid="{00000000-0005-0000-0000-000002310000}"/>
    <cellStyle name="Normal 2 2 2 2 2 28 2 5" xfId="12590" xr:uid="{00000000-0005-0000-0000-000003310000}"/>
    <cellStyle name="Normal 2 2 2 2 2 28 2 6" xfId="12591" xr:uid="{00000000-0005-0000-0000-000004310000}"/>
    <cellStyle name="Normal 2 2 2 2 2 28 2 7" xfId="12592" xr:uid="{00000000-0005-0000-0000-000005310000}"/>
    <cellStyle name="Normal 2 2 2 2 2 28 2 8" xfId="12593" xr:uid="{00000000-0005-0000-0000-000006310000}"/>
    <cellStyle name="Normal 2 2 2 2 2 28 2 9" xfId="12594" xr:uid="{00000000-0005-0000-0000-000007310000}"/>
    <cellStyle name="Normal 2 2 2 2 2 28 3" xfId="12595" xr:uid="{00000000-0005-0000-0000-000008310000}"/>
    <cellStyle name="Normal 2 2 2 2 2 28 3 10" xfId="12596" xr:uid="{00000000-0005-0000-0000-000009310000}"/>
    <cellStyle name="Normal 2 2 2 2 2 28 3 2" xfId="12597" xr:uid="{00000000-0005-0000-0000-00000A310000}"/>
    <cellStyle name="Normal 2 2 2 2 2 28 3 3" xfId="12598" xr:uid="{00000000-0005-0000-0000-00000B310000}"/>
    <cellStyle name="Normal 2 2 2 2 2 28 3 4" xfId="12599" xr:uid="{00000000-0005-0000-0000-00000C310000}"/>
    <cellStyle name="Normal 2 2 2 2 2 28 3 5" xfId="12600" xr:uid="{00000000-0005-0000-0000-00000D310000}"/>
    <cellStyle name="Normal 2 2 2 2 2 28 3 6" xfId="12601" xr:uid="{00000000-0005-0000-0000-00000E310000}"/>
    <cellStyle name="Normal 2 2 2 2 2 28 3 7" xfId="12602" xr:uid="{00000000-0005-0000-0000-00000F310000}"/>
    <cellStyle name="Normal 2 2 2 2 2 28 3 8" xfId="12603" xr:uid="{00000000-0005-0000-0000-000010310000}"/>
    <cellStyle name="Normal 2 2 2 2 2 28 3 9" xfId="12604" xr:uid="{00000000-0005-0000-0000-000011310000}"/>
    <cellStyle name="Normal 2 2 2 2 2 28 4" xfId="12605" xr:uid="{00000000-0005-0000-0000-000012310000}"/>
    <cellStyle name="Normal 2 2 2 2 2 28 4 10" xfId="12606" xr:uid="{00000000-0005-0000-0000-000013310000}"/>
    <cellStyle name="Normal 2 2 2 2 2 28 4 2" xfId="12607" xr:uid="{00000000-0005-0000-0000-000014310000}"/>
    <cellStyle name="Normal 2 2 2 2 2 28 4 3" xfId="12608" xr:uid="{00000000-0005-0000-0000-000015310000}"/>
    <cellStyle name="Normal 2 2 2 2 2 28 4 4" xfId="12609" xr:uid="{00000000-0005-0000-0000-000016310000}"/>
    <cellStyle name="Normal 2 2 2 2 2 28 4 5" xfId="12610" xr:uid="{00000000-0005-0000-0000-000017310000}"/>
    <cellStyle name="Normal 2 2 2 2 2 28 4 6" xfId="12611" xr:uid="{00000000-0005-0000-0000-000018310000}"/>
    <cellStyle name="Normal 2 2 2 2 2 28 4 7" xfId="12612" xr:uid="{00000000-0005-0000-0000-000019310000}"/>
    <cellStyle name="Normal 2 2 2 2 2 28 4 8" xfId="12613" xr:uid="{00000000-0005-0000-0000-00001A310000}"/>
    <cellStyle name="Normal 2 2 2 2 2 28 4 9" xfId="12614" xr:uid="{00000000-0005-0000-0000-00001B310000}"/>
    <cellStyle name="Normal 2 2 2 2 2 28 5" xfId="12615" xr:uid="{00000000-0005-0000-0000-00001C310000}"/>
    <cellStyle name="Normal 2 2 2 2 2 28 5 10" xfId="12616" xr:uid="{00000000-0005-0000-0000-00001D310000}"/>
    <cellStyle name="Normal 2 2 2 2 2 28 5 2" xfId="12617" xr:uid="{00000000-0005-0000-0000-00001E310000}"/>
    <cellStyle name="Normal 2 2 2 2 2 28 5 3" xfId="12618" xr:uid="{00000000-0005-0000-0000-00001F310000}"/>
    <cellStyle name="Normal 2 2 2 2 2 28 5 4" xfId="12619" xr:uid="{00000000-0005-0000-0000-000020310000}"/>
    <cellStyle name="Normal 2 2 2 2 2 28 5 5" xfId="12620" xr:uid="{00000000-0005-0000-0000-000021310000}"/>
    <cellStyle name="Normal 2 2 2 2 2 28 5 6" xfId="12621" xr:uid="{00000000-0005-0000-0000-000022310000}"/>
    <cellStyle name="Normal 2 2 2 2 2 28 5 7" xfId="12622" xr:uid="{00000000-0005-0000-0000-000023310000}"/>
    <cellStyle name="Normal 2 2 2 2 2 28 5 8" xfId="12623" xr:uid="{00000000-0005-0000-0000-000024310000}"/>
    <cellStyle name="Normal 2 2 2 2 2 28 5 9" xfId="12624" xr:uid="{00000000-0005-0000-0000-000025310000}"/>
    <cellStyle name="Normal 2 2 2 2 2 28 6" xfId="12625" xr:uid="{00000000-0005-0000-0000-000026310000}"/>
    <cellStyle name="Normal 2 2 2 2 2 28 7" xfId="12626" xr:uid="{00000000-0005-0000-0000-000027310000}"/>
    <cellStyle name="Normal 2 2 2 2 2 28 8" xfId="12627" xr:uid="{00000000-0005-0000-0000-000028310000}"/>
    <cellStyle name="Normal 2 2 2 2 2 28 9" xfId="12628" xr:uid="{00000000-0005-0000-0000-000029310000}"/>
    <cellStyle name="Normal 2 2 2 2 2 29" xfId="12629" xr:uid="{00000000-0005-0000-0000-00002A310000}"/>
    <cellStyle name="Normal 2 2 2 2 2 29 10" xfId="12630" xr:uid="{00000000-0005-0000-0000-00002B310000}"/>
    <cellStyle name="Normal 2 2 2 2 2 29 11" xfId="12631" xr:uid="{00000000-0005-0000-0000-00002C310000}"/>
    <cellStyle name="Normal 2 2 2 2 2 29 12" xfId="12632" xr:uid="{00000000-0005-0000-0000-00002D310000}"/>
    <cellStyle name="Normal 2 2 2 2 2 29 13" xfId="12633" xr:uid="{00000000-0005-0000-0000-00002E310000}"/>
    <cellStyle name="Normal 2 2 2 2 2 29 14" xfId="12634" xr:uid="{00000000-0005-0000-0000-00002F310000}"/>
    <cellStyle name="Normal 2 2 2 2 2 29 2" xfId="12635" xr:uid="{00000000-0005-0000-0000-000030310000}"/>
    <cellStyle name="Normal 2 2 2 2 2 29 2 10" xfId="12636" xr:uid="{00000000-0005-0000-0000-000031310000}"/>
    <cellStyle name="Normal 2 2 2 2 2 29 2 2" xfId="12637" xr:uid="{00000000-0005-0000-0000-000032310000}"/>
    <cellStyle name="Normal 2 2 2 2 2 29 2 3" xfId="12638" xr:uid="{00000000-0005-0000-0000-000033310000}"/>
    <cellStyle name="Normal 2 2 2 2 2 29 2 4" xfId="12639" xr:uid="{00000000-0005-0000-0000-000034310000}"/>
    <cellStyle name="Normal 2 2 2 2 2 29 2 5" xfId="12640" xr:uid="{00000000-0005-0000-0000-000035310000}"/>
    <cellStyle name="Normal 2 2 2 2 2 29 2 6" xfId="12641" xr:uid="{00000000-0005-0000-0000-000036310000}"/>
    <cellStyle name="Normal 2 2 2 2 2 29 2 7" xfId="12642" xr:uid="{00000000-0005-0000-0000-000037310000}"/>
    <cellStyle name="Normal 2 2 2 2 2 29 2 8" xfId="12643" xr:uid="{00000000-0005-0000-0000-000038310000}"/>
    <cellStyle name="Normal 2 2 2 2 2 29 2 9" xfId="12644" xr:uid="{00000000-0005-0000-0000-000039310000}"/>
    <cellStyle name="Normal 2 2 2 2 2 29 3" xfId="12645" xr:uid="{00000000-0005-0000-0000-00003A310000}"/>
    <cellStyle name="Normal 2 2 2 2 2 29 3 10" xfId="12646" xr:uid="{00000000-0005-0000-0000-00003B310000}"/>
    <cellStyle name="Normal 2 2 2 2 2 29 3 2" xfId="12647" xr:uid="{00000000-0005-0000-0000-00003C310000}"/>
    <cellStyle name="Normal 2 2 2 2 2 29 3 3" xfId="12648" xr:uid="{00000000-0005-0000-0000-00003D310000}"/>
    <cellStyle name="Normal 2 2 2 2 2 29 3 4" xfId="12649" xr:uid="{00000000-0005-0000-0000-00003E310000}"/>
    <cellStyle name="Normal 2 2 2 2 2 29 3 5" xfId="12650" xr:uid="{00000000-0005-0000-0000-00003F310000}"/>
    <cellStyle name="Normal 2 2 2 2 2 29 3 6" xfId="12651" xr:uid="{00000000-0005-0000-0000-000040310000}"/>
    <cellStyle name="Normal 2 2 2 2 2 29 3 7" xfId="12652" xr:uid="{00000000-0005-0000-0000-000041310000}"/>
    <cellStyle name="Normal 2 2 2 2 2 29 3 8" xfId="12653" xr:uid="{00000000-0005-0000-0000-000042310000}"/>
    <cellStyle name="Normal 2 2 2 2 2 29 3 9" xfId="12654" xr:uid="{00000000-0005-0000-0000-000043310000}"/>
    <cellStyle name="Normal 2 2 2 2 2 29 4" xfId="12655" xr:uid="{00000000-0005-0000-0000-000044310000}"/>
    <cellStyle name="Normal 2 2 2 2 2 29 4 10" xfId="12656" xr:uid="{00000000-0005-0000-0000-000045310000}"/>
    <cellStyle name="Normal 2 2 2 2 2 29 4 2" xfId="12657" xr:uid="{00000000-0005-0000-0000-000046310000}"/>
    <cellStyle name="Normal 2 2 2 2 2 29 4 3" xfId="12658" xr:uid="{00000000-0005-0000-0000-000047310000}"/>
    <cellStyle name="Normal 2 2 2 2 2 29 4 4" xfId="12659" xr:uid="{00000000-0005-0000-0000-000048310000}"/>
    <cellStyle name="Normal 2 2 2 2 2 29 4 5" xfId="12660" xr:uid="{00000000-0005-0000-0000-000049310000}"/>
    <cellStyle name="Normal 2 2 2 2 2 29 4 6" xfId="12661" xr:uid="{00000000-0005-0000-0000-00004A310000}"/>
    <cellStyle name="Normal 2 2 2 2 2 29 4 7" xfId="12662" xr:uid="{00000000-0005-0000-0000-00004B310000}"/>
    <cellStyle name="Normal 2 2 2 2 2 29 4 8" xfId="12663" xr:uid="{00000000-0005-0000-0000-00004C310000}"/>
    <cellStyle name="Normal 2 2 2 2 2 29 4 9" xfId="12664" xr:uid="{00000000-0005-0000-0000-00004D310000}"/>
    <cellStyle name="Normal 2 2 2 2 2 29 5" xfId="12665" xr:uid="{00000000-0005-0000-0000-00004E310000}"/>
    <cellStyle name="Normal 2 2 2 2 2 29 5 10" xfId="12666" xr:uid="{00000000-0005-0000-0000-00004F310000}"/>
    <cellStyle name="Normal 2 2 2 2 2 29 5 2" xfId="12667" xr:uid="{00000000-0005-0000-0000-000050310000}"/>
    <cellStyle name="Normal 2 2 2 2 2 29 5 3" xfId="12668" xr:uid="{00000000-0005-0000-0000-000051310000}"/>
    <cellStyle name="Normal 2 2 2 2 2 29 5 4" xfId="12669" xr:uid="{00000000-0005-0000-0000-000052310000}"/>
    <cellStyle name="Normal 2 2 2 2 2 29 5 5" xfId="12670" xr:uid="{00000000-0005-0000-0000-000053310000}"/>
    <cellStyle name="Normal 2 2 2 2 2 29 5 6" xfId="12671" xr:uid="{00000000-0005-0000-0000-000054310000}"/>
    <cellStyle name="Normal 2 2 2 2 2 29 5 7" xfId="12672" xr:uid="{00000000-0005-0000-0000-000055310000}"/>
    <cellStyle name="Normal 2 2 2 2 2 29 5 8" xfId="12673" xr:uid="{00000000-0005-0000-0000-000056310000}"/>
    <cellStyle name="Normal 2 2 2 2 2 29 5 9" xfId="12674" xr:uid="{00000000-0005-0000-0000-000057310000}"/>
    <cellStyle name="Normal 2 2 2 2 2 29 6" xfId="12675" xr:uid="{00000000-0005-0000-0000-000058310000}"/>
    <cellStyle name="Normal 2 2 2 2 2 29 7" xfId="12676" xr:uid="{00000000-0005-0000-0000-000059310000}"/>
    <cellStyle name="Normal 2 2 2 2 2 29 8" xfId="12677" xr:uid="{00000000-0005-0000-0000-00005A310000}"/>
    <cellStyle name="Normal 2 2 2 2 2 29 9" xfId="12678" xr:uid="{00000000-0005-0000-0000-00005B310000}"/>
    <cellStyle name="Normal 2 2 2 2 2 3" xfId="12679" xr:uid="{00000000-0005-0000-0000-00005C310000}"/>
    <cellStyle name="Normal 2 2 2 2 2 3 10" xfId="12680" xr:uid="{00000000-0005-0000-0000-00005D310000}"/>
    <cellStyle name="Normal 2 2 2 2 2 3 11" xfId="12681" xr:uid="{00000000-0005-0000-0000-00005E310000}"/>
    <cellStyle name="Normal 2 2 2 2 2 3 12" xfId="12682" xr:uid="{00000000-0005-0000-0000-00005F310000}"/>
    <cellStyle name="Normal 2 2 2 2 2 3 13" xfId="12683" xr:uid="{00000000-0005-0000-0000-000060310000}"/>
    <cellStyle name="Normal 2 2 2 2 2 3 14" xfId="12684" xr:uid="{00000000-0005-0000-0000-000061310000}"/>
    <cellStyle name="Normal 2 2 2 2 2 3 15" xfId="12685" xr:uid="{00000000-0005-0000-0000-000062310000}"/>
    <cellStyle name="Normal 2 2 2 2 2 3 16" xfId="12686" xr:uid="{00000000-0005-0000-0000-000063310000}"/>
    <cellStyle name="Normal 2 2 2 2 2 3 2" xfId="12687" xr:uid="{00000000-0005-0000-0000-000064310000}"/>
    <cellStyle name="Normal 2 2 2 2 2 3 2 10" xfId="12688" xr:uid="{00000000-0005-0000-0000-000065310000}"/>
    <cellStyle name="Normal 2 2 2 2 2 3 2 11" xfId="12689" xr:uid="{00000000-0005-0000-0000-000066310000}"/>
    <cellStyle name="Normal 2 2 2 2 2 3 2 12" xfId="12690" xr:uid="{00000000-0005-0000-0000-000067310000}"/>
    <cellStyle name="Normal 2 2 2 2 2 3 2 2" xfId="12691" xr:uid="{00000000-0005-0000-0000-000068310000}"/>
    <cellStyle name="Normal 2 2 2 2 2 3 2 3" xfId="12692" xr:uid="{00000000-0005-0000-0000-000069310000}"/>
    <cellStyle name="Normal 2 2 2 2 2 3 2 4" xfId="12693" xr:uid="{00000000-0005-0000-0000-00006A310000}"/>
    <cellStyle name="Normal 2 2 2 2 2 3 2 5" xfId="12694" xr:uid="{00000000-0005-0000-0000-00006B310000}"/>
    <cellStyle name="Normal 2 2 2 2 2 3 2 6" xfId="12695" xr:uid="{00000000-0005-0000-0000-00006C310000}"/>
    <cellStyle name="Normal 2 2 2 2 2 3 2 7" xfId="12696" xr:uid="{00000000-0005-0000-0000-00006D310000}"/>
    <cellStyle name="Normal 2 2 2 2 2 3 2 8" xfId="12697" xr:uid="{00000000-0005-0000-0000-00006E310000}"/>
    <cellStyle name="Normal 2 2 2 2 2 3 2 9" xfId="12698" xr:uid="{00000000-0005-0000-0000-00006F310000}"/>
    <cellStyle name="Normal 2 2 2 2 2 3 3" xfId="12699" xr:uid="{00000000-0005-0000-0000-000070310000}"/>
    <cellStyle name="Normal 2 2 2 2 2 3 3 10" xfId="12700" xr:uid="{00000000-0005-0000-0000-000071310000}"/>
    <cellStyle name="Normal 2 2 2 2 2 3 3 2" xfId="12701" xr:uid="{00000000-0005-0000-0000-000072310000}"/>
    <cellStyle name="Normal 2 2 2 2 2 3 3 3" xfId="12702" xr:uid="{00000000-0005-0000-0000-000073310000}"/>
    <cellStyle name="Normal 2 2 2 2 2 3 3 4" xfId="12703" xr:uid="{00000000-0005-0000-0000-000074310000}"/>
    <cellStyle name="Normal 2 2 2 2 2 3 3 5" xfId="12704" xr:uid="{00000000-0005-0000-0000-000075310000}"/>
    <cellStyle name="Normal 2 2 2 2 2 3 3 6" xfId="12705" xr:uid="{00000000-0005-0000-0000-000076310000}"/>
    <cellStyle name="Normal 2 2 2 2 2 3 3 7" xfId="12706" xr:uid="{00000000-0005-0000-0000-000077310000}"/>
    <cellStyle name="Normal 2 2 2 2 2 3 3 8" xfId="12707" xr:uid="{00000000-0005-0000-0000-000078310000}"/>
    <cellStyle name="Normal 2 2 2 2 2 3 3 9" xfId="12708" xr:uid="{00000000-0005-0000-0000-000079310000}"/>
    <cellStyle name="Normal 2 2 2 2 2 3 4" xfId="12709" xr:uid="{00000000-0005-0000-0000-00007A310000}"/>
    <cellStyle name="Normal 2 2 2 2 2 3 4 10" xfId="12710" xr:uid="{00000000-0005-0000-0000-00007B310000}"/>
    <cellStyle name="Normal 2 2 2 2 2 3 4 2" xfId="12711" xr:uid="{00000000-0005-0000-0000-00007C310000}"/>
    <cellStyle name="Normal 2 2 2 2 2 3 4 3" xfId="12712" xr:uid="{00000000-0005-0000-0000-00007D310000}"/>
    <cellStyle name="Normal 2 2 2 2 2 3 4 4" xfId="12713" xr:uid="{00000000-0005-0000-0000-00007E310000}"/>
    <cellStyle name="Normal 2 2 2 2 2 3 4 5" xfId="12714" xr:uid="{00000000-0005-0000-0000-00007F310000}"/>
    <cellStyle name="Normal 2 2 2 2 2 3 4 6" xfId="12715" xr:uid="{00000000-0005-0000-0000-000080310000}"/>
    <cellStyle name="Normal 2 2 2 2 2 3 4 7" xfId="12716" xr:uid="{00000000-0005-0000-0000-000081310000}"/>
    <cellStyle name="Normal 2 2 2 2 2 3 4 8" xfId="12717" xr:uid="{00000000-0005-0000-0000-000082310000}"/>
    <cellStyle name="Normal 2 2 2 2 2 3 4 9" xfId="12718" xr:uid="{00000000-0005-0000-0000-000083310000}"/>
    <cellStyle name="Normal 2 2 2 2 2 3 5" xfId="12719" xr:uid="{00000000-0005-0000-0000-000084310000}"/>
    <cellStyle name="Normal 2 2 2 2 2 3 5 10" xfId="12720" xr:uid="{00000000-0005-0000-0000-000085310000}"/>
    <cellStyle name="Normal 2 2 2 2 2 3 5 2" xfId="12721" xr:uid="{00000000-0005-0000-0000-000086310000}"/>
    <cellStyle name="Normal 2 2 2 2 2 3 5 3" xfId="12722" xr:uid="{00000000-0005-0000-0000-000087310000}"/>
    <cellStyle name="Normal 2 2 2 2 2 3 5 4" xfId="12723" xr:uid="{00000000-0005-0000-0000-000088310000}"/>
    <cellStyle name="Normal 2 2 2 2 2 3 5 5" xfId="12724" xr:uid="{00000000-0005-0000-0000-000089310000}"/>
    <cellStyle name="Normal 2 2 2 2 2 3 5 6" xfId="12725" xr:uid="{00000000-0005-0000-0000-00008A310000}"/>
    <cellStyle name="Normal 2 2 2 2 2 3 5 7" xfId="12726" xr:uid="{00000000-0005-0000-0000-00008B310000}"/>
    <cellStyle name="Normal 2 2 2 2 2 3 5 8" xfId="12727" xr:uid="{00000000-0005-0000-0000-00008C310000}"/>
    <cellStyle name="Normal 2 2 2 2 2 3 5 9" xfId="12728" xr:uid="{00000000-0005-0000-0000-00008D310000}"/>
    <cellStyle name="Normal 2 2 2 2 2 3 6" xfId="12729" xr:uid="{00000000-0005-0000-0000-00008E310000}"/>
    <cellStyle name="Normal 2 2 2 2 2 3 7" xfId="12730" xr:uid="{00000000-0005-0000-0000-00008F310000}"/>
    <cellStyle name="Normal 2 2 2 2 2 3 8" xfId="12731" xr:uid="{00000000-0005-0000-0000-000090310000}"/>
    <cellStyle name="Normal 2 2 2 2 2 3 9" xfId="12732" xr:uid="{00000000-0005-0000-0000-000091310000}"/>
    <cellStyle name="Normal 2 2 2 2 2 30" xfId="12733" xr:uid="{00000000-0005-0000-0000-000092310000}"/>
    <cellStyle name="Normal 2 2 2 2 2 30 10" xfId="12734" xr:uid="{00000000-0005-0000-0000-000093310000}"/>
    <cellStyle name="Normal 2 2 2 2 2 30 11" xfId="12735" xr:uid="{00000000-0005-0000-0000-000094310000}"/>
    <cellStyle name="Normal 2 2 2 2 2 30 12" xfId="12736" xr:uid="{00000000-0005-0000-0000-000095310000}"/>
    <cellStyle name="Normal 2 2 2 2 2 30 13" xfId="12737" xr:uid="{00000000-0005-0000-0000-000096310000}"/>
    <cellStyle name="Normal 2 2 2 2 2 30 14" xfId="12738" xr:uid="{00000000-0005-0000-0000-000097310000}"/>
    <cellStyle name="Normal 2 2 2 2 2 30 2" xfId="12739" xr:uid="{00000000-0005-0000-0000-000098310000}"/>
    <cellStyle name="Normal 2 2 2 2 2 30 2 10" xfId="12740" xr:uid="{00000000-0005-0000-0000-000099310000}"/>
    <cellStyle name="Normal 2 2 2 2 2 30 2 2" xfId="12741" xr:uid="{00000000-0005-0000-0000-00009A310000}"/>
    <cellStyle name="Normal 2 2 2 2 2 30 2 3" xfId="12742" xr:uid="{00000000-0005-0000-0000-00009B310000}"/>
    <cellStyle name="Normal 2 2 2 2 2 30 2 4" xfId="12743" xr:uid="{00000000-0005-0000-0000-00009C310000}"/>
    <cellStyle name="Normal 2 2 2 2 2 30 2 5" xfId="12744" xr:uid="{00000000-0005-0000-0000-00009D310000}"/>
    <cellStyle name="Normal 2 2 2 2 2 30 2 6" xfId="12745" xr:uid="{00000000-0005-0000-0000-00009E310000}"/>
    <cellStyle name="Normal 2 2 2 2 2 30 2 7" xfId="12746" xr:uid="{00000000-0005-0000-0000-00009F310000}"/>
    <cellStyle name="Normal 2 2 2 2 2 30 2 8" xfId="12747" xr:uid="{00000000-0005-0000-0000-0000A0310000}"/>
    <cellStyle name="Normal 2 2 2 2 2 30 2 9" xfId="12748" xr:uid="{00000000-0005-0000-0000-0000A1310000}"/>
    <cellStyle name="Normal 2 2 2 2 2 30 3" xfId="12749" xr:uid="{00000000-0005-0000-0000-0000A2310000}"/>
    <cellStyle name="Normal 2 2 2 2 2 30 3 10" xfId="12750" xr:uid="{00000000-0005-0000-0000-0000A3310000}"/>
    <cellStyle name="Normal 2 2 2 2 2 30 3 2" xfId="12751" xr:uid="{00000000-0005-0000-0000-0000A4310000}"/>
    <cellStyle name="Normal 2 2 2 2 2 30 3 3" xfId="12752" xr:uid="{00000000-0005-0000-0000-0000A5310000}"/>
    <cellStyle name="Normal 2 2 2 2 2 30 3 4" xfId="12753" xr:uid="{00000000-0005-0000-0000-0000A6310000}"/>
    <cellStyle name="Normal 2 2 2 2 2 30 3 5" xfId="12754" xr:uid="{00000000-0005-0000-0000-0000A7310000}"/>
    <cellStyle name="Normal 2 2 2 2 2 30 3 6" xfId="12755" xr:uid="{00000000-0005-0000-0000-0000A8310000}"/>
    <cellStyle name="Normal 2 2 2 2 2 30 3 7" xfId="12756" xr:uid="{00000000-0005-0000-0000-0000A9310000}"/>
    <cellStyle name="Normal 2 2 2 2 2 30 3 8" xfId="12757" xr:uid="{00000000-0005-0000-0000-0000AA310000}"/>
    <cellStyle name="Normal 2 2 2 2 2 30 3 9" xfId="12758" xr:uid="{00000000-0005-0000-0000-0000AB310000}"/>
    <cellStyle name="Normal 2 2 2 2 2 30 4" xfId="12759" xr:uid="{00000000-0005-0000-0000-0000AC310000}"/>
    <cellStyle name="Normal 2 2 2 2 2 30 4 10" xfId="12760" xr:uid="{00000000-0005-0000-0000-0000AD310000}"/>
    <cellStyle name="Normal 2 2 2 2 2 30 4 2" xfId="12761" xr:uid="{00000000-0005-0000-0000-0000AE310000}"/>
    <cellStyle name="Normal 2 2 2 2 2 30 4 3" xfId="12762" xr:uid="{00000000-0005-0000-0000-0000AF310000}"/>
    <cellStyle name="Normal 2 2 2 2 2 30 4 4" xfId="12763" xr:uid="{00000000-0005-0000-0000-0000B0310000}"/>
    <cellStyle name="Normal 2 2 2 2 2 30 4 5" xfId="12764" xr:uid="{00000000-0005-0000-0000-0000B1310000}"/>
    <cellStyle name="Normal 2 2 2 2 2 30 4 6" xfId="12765" xr:uid="{00000000-0005-0000-0000-0000B2310000}"/>
    <cellStyle name="Normal 2 2 2 2 2 30 4 7" xfId="12766" xr:uid="{00000000-0005-0000-0000-0000B3310000}"/>
    <cellStyle name="Normal 2 2 2 2 2 30 4 8" xfId="12767" xr:uid="{00000000-0005-0000-0000-0000B4310000}"/>
    <cellStyle name="Normal 2 2 2 2 2 30 4 9" xfId="12768" xr:uid="{00000000-0005-0000-0000-0000B5310000}"/>
    <cellStyle name="Normal 2 2 2 2 2 30 5" xfId="12769" xr:uid="{00000000-0005-0000-0000-0000B6310000}"/>
    <cellStyle name="Normal 2 2 2 2 2 30 5 10" xfId="12770" xr:uid="{00000000-0005-0000-0000-0000B7310000}"/>
    <cellStyle name="Normal 2 2 2 2 2 30 5 2" xfId="12771" xr:uid="{00000000-0005-0000-0000-0000B8310000}"/>
    <cellStyle name="Normal 2 2 2 2 2 30 5 3" xfId="12772" xr:uid="{00000000-0005-0000-0000-0000B9310000}"/>
    <cellStyle name="Normal 2 2 2 2 2 30 5 4" xfId="12773" xr:uid="{00000000-0005-0000-0000-0000BA310000}"/>
    <cellStyle name="Normal 2 2 2 2 2 30 5 5" xfId="12774" xr:uid="{00000000-0005-0000-0000-0000BB310000}"/>
    <cellStyle name="Normal 2 2 2 2 2 30 5 6" xfId="12775" xr:uid="{00000000-0005-0000-0000-0000BC310000}"/>
    <cellStyle name="Normal 2 2 2 2 2 30 5 7" xfId="12776" xr:uid="{00000000-0005-0000-0000-0000BD310000}"/>
    <cellStyle name="Normal 2 2 2 2 2 30 5 8" xfId="12777" xr:uid="{00000000-0005-0000-0000-0000BE310000}"/>
    <cellStyle name="Normal 2 2 2 2 2 30 5 9" xfId="12778" xr:uid="{00000000-0005-0000-0000-0000BF310000}"/>
    <cellStyle name="Normal 2 2 2 2 2 30 6" xfId="12779" xr:uid="{00000000-0005-0000-0000-0000C0310000}"/>
    <cellStyle name="Normal 2 2 2 2 2 30 7" xfId="12780" xr:uid="{00000000-0005-0000-0000-0000C1310000}"/>
    <cellStyle name="Normal 2 2 2 2 2 30 8" xfId="12781" xr:uid="{00000000-0005-0000-0000-0000C2310000}"/>
    <cellStyle name="Normal 2 2 2 2 2 30 9" xfId="12782" xr:uid="{00000000-0005-0000-0000-0000C3310000}"/>
    <cellStyle name="Normal 2 2 2 2 2 31" xfId="12783" xr:uid="{00000000-0005-0000-0000-0000C4310000}"/>
    <cellStyle name="Normal 2 2 2 2 2 31 10" xfId="12784" xr:uid="{00000000-0005-0000-0000-0000C5310000}"/>
    <cellStyle name="Normal 2 2 2 2 2 31 11" xfId="12785" xr:uid="{00000000-0005-0000-0000-0000C6310000}"/>
    <cellStyle name="Normal 2 2 2 2 2 31 12" xfId="12786" xr:uid="{00000000-0005-0000-0000-0000C7310000}"/>
    <cellStyle name="Normal 2 2 2 2 2 31 13" xfId="12787" xr:uid="{00000000-0005-0000-0000-0000C8310000}"/>
    <cellStyle name="Normal 2 2 2 2 2 31 14" xfId="12788" xr:uid="{00000000-0005-0000-0000-0000C9310000}"/>
    <cellStyle name="Normal 2 2 2 2 2 31 2" xfId="12789" xr:uid="{00000000-0005-0000-0000-0000CA310000}"/>
    <cellStyle name="Normal 2 2 2 2 2 31 2 10" xfId="12790" xr:uid="{00000000-0005-0000-0000-0000CB310000}"/>
    <cellStyle name="Normal 2 2 2 2 2 31 2 2" xfId="12791" xr:uid="{00000000-0005-0000-0000-0000CC310000}"/>
    <cellStyle name="Normal 2 2 2 2 2 31 2 3" xfId="12792" xr:uid="{00000000-0005-0000-0000-0000CD310000}"/>
    <cellStyle name="Normal 2 2 2 2 2 31 2 4" xfId="12793" xr:uid="{00000000-0005-0000-0000-0000CE310000}"/>
    <cellStyle name="Normal 2 2 2 2 2 31 2 5" xfId="12794" xr:uid="{00000000-0005-0000-0000-0000CF310000}"/>
    <cellStyle name="Normal 2 2 2 2 2 31 2 6" xfId="12795" xr:uid="{00000000-0005-0000-0000-0000D0310000}"/>
    <cellStyle name="Normal 2 2 2 2 2 31 2 7" xfId="12796" xr:uid="{00000000-0005-0000-0000-0000D1310000}"/>
    <cellStyle name="Normal 2 2 2 2 2 31 2 8" xfId="12797" xr:uid="{00000000-0005-0000-0000-0000D2310000}"/>
    <cellStyle name="Normal 2 2 2 2 2 31 2 9" xfId="12798" xr:uid="{00000000-0005-0000-0000-0000D3310000}"/>
    <cellStyle name="Normal 2 2 2 2 2 31 3" xfId="12799" xr:uid="{00000000-0005-0000-0000-0000D4310000}"/>
    <cellStyle name="Normal 2 2 2 2 2 31 3 10" xfId="12800" xr:uid="{00000000-0005-0000-0000-0000D5310000}"/>
    <cellStyle name="Normal 2 2 2 2 2 31 3 2" xfId="12801" xr:uid="{00000000-0005-0000-0000-0000D6310000}"/>
    <cellStyle name="Normal 2 2 2 2 2 31 3 3" xfId="12802" xr:uid="{00000000-0005-0000-0000-0000D7310000}"/>
    <cellStyle name="Normal 2 2 2 2 2 31 3 4" xfId="12803" xr:uid="{00000000-0005-0000-0000-0000D8310000}"/>
    <cellStyle name="Normal 2 2 2 2 2 31 3 5" xfId="12804" xr:uid="{00000000-0005-0000-0000-0000D9310000}"/>
    <cellStyle name="Normal 2 2 2 2 2 31 3 6" xfId="12805" xr:uid="{00000000-0005-0000-0000-0000DA310000}"/>
    <cellStyle name="Normal 2 2 2 2 2 31 3 7" xfId="12806" xr:uid="{00000000-0005-0000-0000-0000DB310000}"/>
    <cellStyle name="Normal 2 2 2 2 2 31 3 8" xfId="12807" xr:uid="{00000000-0005-0000-0000-0000DC310000}"/>
    <cellStyle name="Normal 2 2 2 2 2 31 3 9" xfId="12808" xr:uid="{00000000-0005-0000-0000-0000DD310000}"/>
    <cellStyle name="Normal 2 2 2 2 2 31 4" xfId="12809" xr:uid="{00000000-0005-0000-0000-0000DE310000}"/>
    <cellStyle name="Normal 2 2 2 2 2 31 4 10" xfId="12810" xr:uid="{00000000-0005-0000-0000-0000DF310000}"/>
    <cellStyle name="Normal 2 2 2 2 2 31 4 2" xfId="12811" xr:uid="{00000000-0005-0000-0000-0000E0310000}"/>
    <cellStyle name="Normal 2 2 2 2 2 31 4 3" xfId="12812" xr:uid="{00000000-0005-0000-0000-0000E1310000}"/>
    <cellStyle name="Normal 2 2 2 2 2 31 4 4" xfId="12813" xr:uid="{00000000-0005-0000-0000-0000E2310000}"/>
    <cellStyle name="Normal 2 2 2 2 2 31 4 5" xfId="12814" xr:uid="{00000000-0005-0000-0000-0000E3310000}"/>
    <cellStyle name="Normal 2 2 2 2 2 31 4 6" xfId="12815" xr:uid="{00000000-0005-0000-0000-0000E4310000}"/>
    <cellStyle name="Normal 2 2 2 2 2 31 4 7" xfId="12816" xr:uid="{00000000-0005-0000-0000-0000E5310000}"/>
    <cellStyle name="Normal 2 2 2 2 2 31 4 8" xfId="12817" xr:uid="{00000000-0005-0000-0000-0000E6310000}"/>
    <cellStyle name="Normal 2 2 2 2 2 31 4 9" xfId="12818" xr:uid="{00000000-0005-0000-0000-0000E7310000}"/>
    <cellStyle name="Normal 2 2 2 2 2 31 5" xfId="12819" xr:uid="{00000000-0005-0000-0000-0000E8310000}"/>
    <cellStyle name="Normal 2 2 2 2 2 31 5 10" xfId="12820" xr:uid="{00000000-0005-0000-0000-0000E9310000}"/>
    <cellStyle name="Normal 2 2 2 2 2 31 5 2" xfId="12821" xr:uid="{00000000-0005-0000-0000-0000EA310000}"/>
    <cellStyle name="Normal 2 2 2 2 2 31 5 3" xfId="12822" xr:uid="{00000000-0005-0000-0000-0000EB310000}"/>
    <cellStyle name="Normal 2 2 2 2 2 31 5 4" xfId="12823" xr:uid="{00000000-0005-0000-0000-0000EC310000}"/>
    <cellStyle name="Normal 2 2 2 2 2 31 5 5" xfId="12824" xr:uid="{00000000-0005-0000-0000-0000ED310000}"/>
    <cellStyle name="Normal 2 2 2 2 2 31 5 6" xfId="12825" xr:uid="{00000000-0005-0000-0000-0000EE310000}"/>
    <cellStyle name="Normal 2 2 2 2 2 31 5 7" xfId="12826" xr:uid="{00000000-0005-0000-0000-0000EF310000}"/>
    <cellStyle name="Normal 2 2 2 2 2 31 5 8" xfId="12827" xr:uid="{00000000-0005-0000-0000-0000F0310000}"/>
    <cellStyle name="Normal 2 2 2 2 2 31 5 9" xfId="12828" xr:uid="{00000000-0005-0000-0000-0000F1310000}"/>
    <cellStyle name="Normal 2 2 2 2 2 31 6" xfId="12829" xr:uid="{00000000-0005-0000-0000-0000F2310000}"/>
    <cellStyle name="Normal 2 2 2 2 2 31 7" xfId="12830" xr:uid="{00000000-0005-0000-0000-0000F3310000}"/>
    <cellStyle name="Normal 2 2 2 2 2 31 8" xfId="12831" xr:uid="{00000000-0005-0000-0000-0000F4310000}"/>
    <cellStyle name="Normal 2 2 2 2 2 31 9" xfId="12832" xr:uid="{00000000-0005-0000-0000-0000F5310000}"/>
    <cellStyle name="Normal 2 2 2 2 2 32" xfId="12833" xr:uid="{00000000-0005-0000-0000-0000F6310000}"/>
    <cellStyle name="Normal 2 2 2 2 2 32 10" xfId="12834" xr:uid="{00000000-0005-0000-0000-0000F7310000}"/>
    <cellStyle name="Normal 2 2 2 2 2 32 11" xfId="12835" xr:uid="{00000000-0005-0000-0000-0000F8310000}"/>
    <cellStyle name="Normal 2 2 2 2 2 32 12" xfId="12836" xr:uid="{00000000-0005-0000-0000-0000F9310000}"/>
    <cellStyle name="Normal 2 2 2 2 2 32 13" xfId="12837" xr:uid="{00000000-0005-0000-0000-0000FA310000}"/>
    <cellStyle name="Normal 2 2 2 2 2 32 14" xfId="12838" xr:uid="{00000000-0005-0000-0000-0000FB310000}"/>
    <cellStyle name="Normal 2 2 2 2 2 32 2" xfId="12839" xr:uid="{00000000-0005-0000-0000-0000FC310000}"/>
    <cellStyle name="Normal 2 2 2 2 2 32 2 10" xfId="12840" xr:uid="{00000000-0005-0000-0000-0000FD310000}"/>
    <cellStyle name="Normal 2 2 2 2 2 32 2 2" xfId="12841" xr:uid="{00000000-0005-0000-0000-0000FE310000}"/>
    <cellStyle name="Normal 2 2 2 2 2 32 2 3" xfId="12842" xr:uid="{00000000-0005-0000-0000-0000FF310000}"/>
    <cellStyle name="Normal 2 2 2 2 2 32 2 4" xfId="12843" xr:uid="{00000000-0005-0000-0000-000000320000}"/>
    <cellStyle name="Normal 2 2 2 2 2 32 2 5" xfId="12844" xr:uid="{00000000-0005-0000-0000-000001320000}"/>
    <cellStyle name="Normal 2 2 2 2 2 32 2 6" xfId="12845" xr:uid="{00000000-0005-0000-0000-000002320000}"/>
    <cellStyle name="Normal 2 2 2 2 2 32 2 7" xfId="12846" xr:uid="{00000000-0005-0000-0000-000003320000}"/>
    <cellStyle name="Normal 2 2 2 2 2 32 2 8" xfId="12847" xr:uid="{00000000-0005-0000-0000-000004320000}"/>
    <cellStyle name="Normal 2 2 2 2 2 32 2 9" xfId="12848" xr:uid="{00000000-0005-0000-0000-000005320000}"/>
    <cellStyle name="Normal 2 2 2 2 2 32 3" xfId="12849" xr:uid="{00000000-0005-0000-0000-000006320000}"/>
    <cellStyle name="Normal 2 2 2 2 2 32 3 10" xfId="12850" xr:uid="{00000000-0005-0000-0000-000007320000}"/>
    <cellStyle name="Normal 2 2 2 2 2 32 3 2" xfId="12851" xr:uid="{00000000-0005-0000-0000-000008320000}"/>
    <cellStyle name="Normal 2 2 2 2 2 32 3 3" xfId="12852" xr:uid="{00000000-0005-0000-0000-000009320000}"/>
    <cellStyle name="Normal 2 2 2 2 2 32 3 4" xfId="12853" xr:uid="{00000000-0005-0000-0000-00000A320000}"/>
    <cellStyle name="Normal 2 2 2 2 2 32 3 5" xfId="12854" xr:uid="{00000000-0005-0000-0000-00000B320000}"/>
    <cellStyle name="Normal 2 2 2 2 2 32 3 6" xfId="12855" xr:uid="{00000000-0005-0000-0000-00000C320000}"/>
    <cellStyle name="Normal 2 2 2 2 2 32 3 7" xfId="12856" xr:uid="{00000000-0005-0000-0000-00000D320000}"/>
    <cellStyle name="Normal 2 2 2 2 2 32 3 8" xfId="12857" xr:uid="{00000000-0005-0000-0000-00000E320000}"/>
    <cellStyle name="Normal 2 2 2 2 2 32 3 9" xfId="12858" xr:uid="{00000000-0005-0000-0000-00000F320000}"/>
    <cellStyle name="Normal 2 2 2 2 2 32 4" xfId="12859" xr:uid="{00000000-0005-0000-0000-000010320000}"/>
    <cellStyle name="Normal 2 2 2 2 2 32 4 10" xfId="12860" xr:uid="{00000000-0005-0000-0000-000011320000}"/>
    <cellStyle name="Normal 2 2 2 2 2 32 4 2" xfId="12861" xr:uid="{00000000-0005-0000-0000-000012320000}"/>
    <cellStyle name="Normal 2 2 2 2 2 32 4 3" xfId="12862" xr:uid="{00000000-0005-0000-0000-000013320000}"/>
    <cellStyle name="Normal 2 2 2 2 2 32 4 4" xfId="12863" xr:uid="{00000000-0005-0000-0000-000014320000}"/>
    <cellStyle name="Normal 2 2 2 2 2 32 4 5" xfId="12864" xr:uid="{00000000-0005-0000-0000-000015320000}"/>
    <cellStyle name="Normal 2 2 2 2 2 32 4 6" xfId="12865" xr:uid="{00000000-0005-0000-0000-000016320000}"/>
    <cellStyle name="Normal 2 2 2 2 2 32 4 7" xfId="12866" xr:uid="{00000000-0005-0000-0000-000017320000}"/>
    <cellStyle name="Normal 2 2 2 2 2 32 4 8" xfId="12867" xr:uid="{00000000-0005-0000-0000-000018320000}"/>
    <cellStyle name="Normal 2 2 2 2 2 32 4 9" xfId="12868" xr:uid="{00000000-0005-0000-0000-000019320000}"/>
    <cellStyle name="Normal 2 2 2 2 2 32 5" xfId="12869" xr:uid="{00000000-0005-0000-0000-00001A320000}"/>
    <cellStyle name="Normal 2 2 2 2 2 32 5 10" xfId="12870" xr:uid="{00000000-0005-0000-0000-00001B320000}"/>
    <cellStyle name="Normal 2 2 2 2 2 32 5 2" xfId="12871" xr:uid="{00000000-0005-0000-0000-00001C320000}"/>
    <cellStyle name="Normal 2 2 2 2 2 32 5 3" xfId="12872" xr:uid="{00000000-0005-0000-0000-00001D320000}"/>
    <cellStyle name="Normal 2 2 2 2 2 32 5 4" xfId="12873" xr:uid="{00000000-0005-0000-0000-00001E320000}"/>
    <cellStyle name="Normal 2 2 2 2 2 32 5 5" xfId="12874" xr:uid="{00000000-0005-0000-0000-00001F320000}"/>
    <cellStyle name="Normal 2 2 2 2 2 32 5 6" xfId="12875" xr:uid="{00000000-0005-0000-0000-000020320000}"/>
    <cellStyle name="Normal 2 2 2 2 2 32 5 7" xfId="12876" xr:uid="{00000000-0005-0000-0000-000021320000}"/>
    <cellStyle name="Normal 2 2 2 2 2 32 5 8" xfId="12877" xr:uid="{00000000-0005-0000-0000-000022320000}"/>
    <cellStyle name="Normal 2 2 2 2 2 32 5 9" xfId="12878" xr:uid="{00000000-0005-0000-0000-000023320000}"/>
    <cellStyle name="Normal 2 2 2 2 2 32 6" xfId="12879" xr:uid="{00000000-0005-0000-0000-000024320000}"/>
    <cellStyle name="Normal 2 2 2 2 2 32 7" xfId="12880" xr:uid="{00000000-0005-0000-0000-000025320000}"/>
    <cellStyle name="Normal 2 2 2 2 2 32 8" xfId="12881" xr:uid="{00000000-0005-0000-0000-000026320000}"/>
    <cellStyle name="Normal 2 2 2 2 2 32 9" xfId="12882" xr:uid="{00000000-0005-0000-0000-000027320000}"/>
    <cellStyle name="Normal 2 2 2 2 2 33" xfId="12883" xr:uid="{00000000-0005-0000-0000-000028320000}"/>
    <cellStyle name="Normal 2 2 2 2 2 33 10" xfId="12884" xr:uid="{00000000-0005-0000-0000-000029320000}"/>
    <cellStyle name="Normal 2 2 2 2 2 33 11" xfId="12885" xr:uid="{00000000-0005-0000-0000-00002A320000}"/>
    <cellStyle name="Normal 2 2 2 2 2 33 12" xfId="12886" xr:uid="{00000000-0005-0000-0000-00002B320000}"/>
    <cellStyle name="Normal 2 2 2 2 2 33 13" xfId="12887" xr:uid="{00000000-0005-0000-0000-00002C320000}"/>
    <cellStyle name="Normal 2 2 2 2 2 33 14" xfId="12888" xr:uid="{00000000-0005-0000-0000-00002D320000}"/>
    <cellStyle name="Normal 2 2 2 2 2 33 2" xfId="12889" xr:uid="{00000000-0005-0000-0000-00002E320000}"/>
    <cellStyle name="Normal 2 2 2 2 2 33 2 10" xfId="12890" xr:uid="{00000000-0005-0000-0000-00002F320000}"/>
    <cellStyle name="Normal 2 2 2 2 2 33 2 2" xfId="12891" xr:uid="{00000000-0005-0000-0000-000030320000}"/>
    <cellStyle name="Normal 2 2 2 2 2 33 2 3" xfId="12892" xr:uid="{00000000-0005-0000-0000-000031320000}"/>
    <cellStyle name="Normal 2 2 2 2 2 33 2 4" xfId="12893" xr:uid="{00000000-0005-0000-0000-000032320000}"/>
    <cellStyle name="Normal 2 2 2 2 2 33 2 5" xfId="12894" xr:uid="{00000000-0005-0000-0000-000033320000}"/>
    <cellStyle name="Normal 2 2 2 2 2 33 2 6" xfId="12895" xr:uid="{00000000-0005-0000-0000-000034320000}"/>
    <cellStyle name="Normal 2 2 2 2 2 33 2 7" xfId="12896" xr:uid="{00000000-0005-0000-0000-000035320000}"/>
    <cellStyle name="Normal 2 2 2 2 2 33 2 8" xfId="12897" xr:uid="{00000000-0005-0000-0000-000036320000}"/>
    <cellStyle name="Normal 2 2 2 2 2 33 2 9" xfId="12898" xr:uid="{00000000-0005-0000-0000-000037320000}"/>
    <cellStyle name="Normal 2 2 2 2 2 33 3" xfId="12899" xr:uid="{00000000-0005-0000-0000-000038320000}"/>
    <cellStyle name="Normal 2 2 2 2 2 33 3 10" xfId="12900" xr:uid="{00000000-0005-0000-0000-000039320000}"/>
    <cellStyle name="Normal 2 2 2 2 2 33 3 2" xfId="12901" xr:uid="{00000000-0005-0000-0000-00003A320000}"/>
    <cellStyle name="Normal 2 2 2 2 2 33 3 3" xfId="12902" xr:uid="{00000000-0005-0000-0000-00003B320000}"/>
    <cellStyle name="Normal 2 2 2 2 2 33 3 4" xfId="12903" xr:uid="{00000000-0005-0000-0000-00003C320000}"/>
    <cellStyle name="Normal 2 2 2 2 2 33 3 5" xfId="12904" xr:uid="{00000000-0005-0000-0000-00003D320000}"/>
    <cellStyle name="Normal 2 2 2 2 2 33 3 6" xfId="12905" xr:uid="{00000000-0005-0000-0000-00003E320000}"/>
    <cellStyle name="Normal 2 2 2 2 2 33 3 7" xfId="12906" xr:uid="{00000000-0005-0000-0000-00003F320000}"/>
    <cellStyle name="Normal 2 2 2 2 2 33 3 8" xfId="12907" xr:uid="{00000000-0005-0000-0000-000040320000}"/>
    <cellStyle name="Normal 2 2 2 2 2 33 3 9" xfId="12908" xr:uid="{00000000-0005-0000-0000-000041320000}"/>
    <cellStyle name="Normal 2 2 2 2 2 33 4" xfId="12909" xr:uid="{00000000-0005-0000-0000-000042320000}"/>
    <cellStyle name="Normal 2 2 2 2 2 33 4 10" xfId="12910" xr:uid="{00000000-0005-0000-0000-000043320000}"/>
    <cellStyle name="Normal 2 2 2 2 2 33 4 2" xfId="12911" xr:uid="{00000000-0005-0000-0000-000044320000}"/>
    <cellStyle name="Normal 2 2 2 2 2 33 4 3" xfId="12912" xr:uid="{00000000-0005-0000-0000-000045320000}"/>
    <cellStyle name="Normal 2 2 2 2 2 33 4 4" xfId="12913" xr:uid="{00000000-0005-0000-0000-000046320000}"/>
    <cellStyle name="Normal 2 2 2 2 2 33 4 5" xfId="12914" xr:uid="{00000000-0005-0000-0000-000047320000}"/>
    <cellStyle name="Normal 2 2 2 2 2 33 4 6" xfId="12915" xr:uid="{00000000-0005-0000-0000-000048320000}"/>
    <cellStyle name="Normal 2 2 2 2 2 33 4 7" xfId="12916" xr:uid="{00000000-0005-0000-0000-000049320000}"/>
    <cellStyle name="Normal 2 2 2 2 2 33 4 8" xfId="12917" xr:uid="{00000000-0005-0000-0000-00004A320000}"/>
    <cellStyle name="Normal 2 2 2 2 2 33 4 9" xfId="12918" xr:uid="{00000000-0005-0000-0000-00004B320000}"/>
    <cellStyle name="Normal 2 2 2 2 2 33 5" xfId="12919" xr:uid="{00000000-0005-0000-0000-00004C320000}"/>
    <cellStyle name="Normal 2 2 2 2 2 33 5 10" xfId="12920" xr:uid="{00000000-0005-0000-0000-00004D320000}"/>
    <cellStyle name="Normal 2 2 2 2 2 33 5 2" xfId="12921" xr:uid="{00000000-0005-0000-0000-00004E320000}"/>
    <cellStyle name="Normal 2 2 2 2 2 33 5 3" xfId="12922" xr:uid="{00000000-0005-0000-0000-00004F320000}"/>
    <cellStyle name="Normal 2 2 2 2 2 33 5 4" xfId="12923" xr:uid="{00000000-0005-0000-0000-000050320000}"/>
    <cellStyle name="Normal 2 2 2 2 2 33 5 5" xfId="12924" xr:uid="{00000000-0005-0000-0000-000051320000}"/>
    <cellStyle name="Normal 2 2 2 2 2 33 5 6" xfId="12925" xr:uid="{00000000-0005-0000-0000-000052320000}"/>
    <cellStyle name="Normal 2 2 2 2 2 33 5 7" xfId="12926" xr:uid="{00000000-0005-0000-0000-000053320000}"/>
    <cellStyle name="Normal 2 2 2 2 2 33 5 8" xfId="12927" xr:uid="{00000000-0005-0000-0000-000054320000}"/>
    <cellStyle name="Normal 2 2 2 2 2 33 5 9" xfId="12928" xr:uid="{00000000-0005-0000-0000-000055320000}"/>
    <cellStyle name="Normal 2 2 2 2 2 33 6" xfId="12929" xr:uid="{00000000-0005-0000-0000-000056320000}"/>
    <cellStyle name="Normal 2 2 2 2 2 33 7" xfId="12930" xr:uid="{00000000-0005-0000-0000-000057320000}"/>
    <cellStyle name="Normal 2 2 2 2 2 33 8" xfId="12931" xr:uid="{00000000-0005-0000-0000-000058320000}"/>
    <cellStyle name="Normal 2 2 2 2 2 33 9" xfId="12932" xr:uid="{00000000-0005-0000-0000-000059320000}"/>
    <cellStyle name="Normal 2 2 2 2 2 34" xfId="12933" xr:uid="{00000000-0005-0000-0000-00005A320000}"/>
    <cellStyle name="Normal 2 2 2 2 2 34 10" xfId="12934" xr:uid="{00000000-0005-0000-0000-00005B320000}"/>
    <cellStyle name="Normal 2 2 2 2 2 34 11" xfId="12935" xr:uid="{00000000-0005-0000-0000-00005C320000}"/>
    <cellStyle name="Normal 2 2 2 2 2 34 12" xfId="12936" xr:uid="{00000000-0005-0000-0000-00005D320000}"/>
    <cellStyle name="Normal 2 2 2 2 2 34 13" xfId="12937" xr:uid="{00000000-0005-0000-0000-00005E320000}"/>
    <cellStyle name="Normal 2 2 2 2 2 34 14" xfId="12938" xr:uid="{00000000-0005-0000-0000-00005F320000}"/>
    <cellStyle name="Normal 2 2 2 2 2 34 2" xfId="12939" xr:uid="{00000000-0005-0000-0000-000060320000}"/>
    <cellStyle name="Normal 2 2 2 2 2 34 2 10" xfId="12940" xr:uid="{00000000-0005-0000-0000-000061320000}"/>
    <cellStyle name="Normal 2 2 2 2 2 34 2 2" xfId="12941" xr:uid="{00000000-0005-0000-0000-000062320000}"/>
    <cellStyle name="Normal 2 2 2 2 2 34 2 3" xfId="12942" xr:uid="{00000000-0005-0000-0000-000063320000}"/>
    <cellStyle name="Normal 2 2 2 2 2 34 2 4" xfId="12943" xr:uid="{00000000-0005-0000-0000-000064320000}"/>
    <cellStyle name="Normal 2 2 2 2 2 34 2 5" xfId="12944" xr:uid="{00000000-0005-0000-0000-000065320000}"/>
    <cellStyle name="Normal 2 2 2 2 2 34 2 6" xfId="12945" xr:uid="{00000000-0005-0000-0000-000066320000}"/>
    <cellStyle name="Normal 2 2 2 2 2 34 2 7" xfId="12946" xr:uid="{00000000-0005-0000-0000-000067320000}"/>
    <cellStyle name="Normal 2 2 2 2 2 34 2 8" xfId="12947" xr:uid="{00000000-0005-0000-0000-000068320000}"/>
    <cellStyle name="Normal 2 2 2 2 2 34 2 9" xfId="12948" xr:uid="{00000000-0005-0000-0000-000069320000}"/>
    <cellStyle name="Normal 2 2 2 2 2 34 3" xfId="12949" xr:uid="{00000000-0005-0000-0000-00006A320000}"/>
    <cellStyle name="Normal 2 2 2 2 2 34 3 10" xfId="12950" xr:uid="{00000000-0005-0000-0000-00006B320000}"/>
    <cellStyle name="Normal 2 2 2 2 2 34 3 2" xfId="12951" xr:uid="{00000000-0005-0000-0000-00006C320000}"/>
    <cellStyle name="Normal 2 2 2 2 2 34 3 3" xfId="12952" xr:uid="{00000000-0005-0000-0000-00006D320000}"/>
    <cellStyle name="Normal 2 2 2 2 2 34 3 4" xfId="12953" xr:uid="{00000000-0005-0000-0000-00006E320000}"/>
    <cellStyle name="Normal 2 2 2 2 2 34 3 5" xfId="12954" xr:uid="{00000000-0005-0000-0000-00006F320000}"/>
    <cellStyle name="Normal 2 2 2 2 2 34 3 6" xfId="12955" xr:uid="{00000000-0005-0000-0000-000070320000}"/>
    <cellStyle name="Normal 2 2 2 2 2 34 3 7" xfId="12956" xr:uid="{00000000-0005-0000-0000-000071320000}"/>
    <cellStyle name="Normal 2 2 2 2 2 34 3 8" xfId="12957" xr:uid="{00000000-0005-0000-0000-000072320000}"/>
    <cellStyle name="Normal 2 2 2 2 2 34 3 9" xfId="12958" xr:uid="{00000000-0005-0000-0000-000073320000}"/>
    <cellStyle name="Normal 2 2 2 2 2 34 4" xfId="12959" xr:uid="{00000000-0005-0000-0000-000074320000}"/>
    <cellStyle name="Normal 2 2 2 2 2 34 4 10" xfId="12960" xr:uid="{00000000-0005-0000-0000-000075320000}"/>
    <cellStyle name="Normal 2 2 2 2 2 34 4 2" xfId="12961" xr:uid="{00000000-0005-0000-0000-000076320000}"/>
    <cellStyle name="Normal 2 2 2 2 2 34 4 3" xfId="12962" xr:uid="{00000000-0005-0000-0000-000077320000}"/>
    <cellStyle name="Normal 2 2 2 2 2 34 4 4" xfId="12963" xr:uid="{00000000-0005-0000-0000-000078320000}"/>
    <cellStyle name="Normal 2 2 2 2 2 34 4 5" xfId="12964" xr:uid="{00000000-0005-0000-0000-000079320000}"/>
    <cellStyle name="Normal 2 2 2 2 2 34 4 6" xfId="12965" xr:uid="{00000000-0005-0000-0000-00007A320000}"/>
    <cellStyle name="Normal 2 2 2 2 2 34 4 7" xfId="12966" xr:uid="{00000000-0005-0000-0000-00007B320000}"/>
    <cellStyle name="Normal 2 2 2 2 2 34 4 8" xfId="12967" xr:uid="{00000000-0005-0000-0000-00007C320000}"/>
    <cellStyle name="Normal 2 2 2 2 2 34 4 9" xfId="12968" xr:uid="{00000000-0005-0000-0000-00007D320000}"/>
    <cellStyle name="Normal 2 2 2 2 2 34 5" xfId="12969" xr:uid="{00000000-0005-0000-0000-00007E320000}"/>
    <cellStyle name="Normal 2 2 2 2 2 34 5 10" xfId="12970" xr:uid="{00000000-0005-0000-0000-00007F320000}"/>
    <cellStyle name="Normal 2 2 2 2 2 34 5 2" xfId="12971" xr:uid="{00000000-0005-0000-0000-000080320000}"/>
    <cellStyle name="Normal 2 2 2 2 2 34 5 3" xfId="12972" xr:uid="{00000000-0005-0000-0000-000081320000}"/>
    <cellStyle name="Normal 2 2 2 2 2 34 5 4" xfId="12973" xr:uid="{00000000-0005-0000-0000-000082320000}"/>
    <cellStyle name="Normal 2 2 2 2 2 34 5 5" xfId="12974" xr:uid="{00000000-0005-0000-0000-000083320000}"/>
    <cellStyle name="Normal 2 2 2 2 2 34 5 6" xfId="12975" xr:uid="{00000000-0005-0000-0000-000084320000}"/>
    <cellStyle name="Normal 2 2 2 2 2 34 5 7" xfId="12976" xr:uid="{00000000-0005-0000-0000-000085320000}"/>
    <cellStyle name="Normal 2 2 2 2 2 34 5 8" xfId="12977" xr:uid="{00000000-0005-0000-0000-000086320000}"/>
    <cellStyle name="Normal 2 2 2 2 2 34 5 9" xfId="12978" xr:uid="{00000000-0005-0000-0000-000087320000}"/>
    <cellStyle name="Normal 2 2 2 2 2 34 6" xfId="12979" xr:uid="{00000000-0005-0000-0000-000088320000}"/>
    <cellStyle name="Normal 2 2 2 2 2 34 7" xfId="12980" xr:uid="{00000000-0005-0000-0000-000089320000}"/>
    <cellStyle name="Normal 2 2 2 2 2 34 8" xfId="12981" xr:uid="{00000000-0005-0000-0000-00008A320000}"/>
    <cellStyle name="Normal 2 2 2 2 2 34 9" xfId="12982" xr:uid="{00000000-0005-0000-0000-00008B320000}"/>
    <cellStyle name="Normal 2 2 2 2 2 35" xfId="12983" xr:uid="{00000000-0005-0000-0000-00008C320000}"/>
    <cellStyle name="Normal 2 2 2 2 2 35 10" xfId="12984" xr:uid="{00000000-0005-0000-0000-00008D320000}"/>
    <cellStyle name="Normal 2 2 2 2 2 35 2" xfId="12985" xr:uid="{00000000-0005-0000-0000-00008E320000}"/>
    <cellStyle name="Normal 2 2 2 2 2 35 3" xfId="12986" xr:uid="{00000000-0005-0000-0000-00008F320000}"/>
    <cellStyle name="Normal 2 2 2 2 2 35 4" xfId="12987" xr:uid="{00000000-0005-0000-0000-000090320000}"/>
    <cellStyle name="Normal 2 2 2 2 2 35 5" xfId="12988" xr:uid="{00000000-0005-0000-0000-000091320000}"/>
    <cellStyle name="Normal 2 2 2 2 2 35 6" xfId="12989" xr:uid="{00000000-0005-0000-0000-000092320000}"/>
    <cellStyle name="Normal 2 2 2 2 2 35 7" xfId="12990" xr:uid="{00000000-0005-0000-0000-000093320000}"/>
    <cellStyle name="Normal 2 2 2 2 2 35 8" xfId="12991" xr:uid="{00000000-0005-0000-0000-000094320000}"/>
    <cellStyle name="Normal 2 2 2 2 2 35 9" xfId="12992" xr:uid="{00000000-0005-0000-0000-000095320000}"/>
    <cellStyle name="Normal 2 2 2 2 2 36" xfId="12993" xr:uid="{00000000-0005-0000-0000-000096320000}"/>
    <cellStyle name="Normal 2 2 2 2 2 36 10" xfId="12994" xr:uid="{00000000-0005-0000-0000-000097320000}"/>
    <cellStyle name="Normal 2 2 2 2 2 36 2" xfId="12995" xr:uid="{00000000-0005-0000-0000-000098320000}"/>
    <cellStyle name="Normal 2 2 2 2 2 36 3" xfId="12996" xr:uid="{00000000-0005-0000-0000-000099320000}"/>
    <cellStyle name="Normal 2 2 2 2 2 36 4" xfId="12997" xr:uid="{00000000-0005-0000-0000-00009A320000}"/>
    <cellStyle name="Normal 2 2 2 2 2 36 5" xfId="12998" xr:uid="{00000000-0005-0000-0000-00009B320000}"/>
    <cellStyle name="Normal 2 2 2 2 2 36 6" xfId="12999" xr:uid="{00000000-0005-0000-0000-00009C320000}"/>
    <cellStyle name="Normal 2 2 2 2 2 36 7" xfId="13000" xr:uid="{00000000-0005-0000-0000-00009D320000}"/>
    <cellStyle name="Normal 2 2 2 2 2 36 8" xfId="13001" xr:uid="{00000000-0005-0000-0000-00009E320000}"/>
    <cellStyle name="Normal 2 2 2 2 2 36 9" xfId="13002" xr:uid="{00000000-0005-0000-0000-00009F320000}"/>
    <cellStyle name="Normal 2 2 2 2 2 37" xfId="13003" xr:uid="{00000000-0005-0000-0000-0000A0320000}"/>
    <cellStyle name="Normal 2 2 2 2 2 37 10" xfId="13004" xr:uid="{00000000-0005-0000-0000-0000A1320000}"/>
    <cellStyle name="Normal 2 2 2 2 2 37 2" xfId="13005" xr:uid="{00000000-0005-0000-0000-0000A2320000}"/>
    <cellStyle name="Normal 2 2 2 2 2 37 3" xfId="13006" xr:uid="{00000000-0005-0000-0000-0000A3320000}"/>
    <cellStyle name="Normal 2 2 2 2 2 37 4" xfId="13007" xr:uid="{00000000-0005-0000-0000-0000A4320000}"/>
    <cellStyle name="Normal 2 2 2 2 2 37 5" xfId="13008" xr:uid="{00000000-0005-0000-0000-0000A5320000}"/>
    <cellStyle name="Normal 2 2 2 2 2 37 6" xfId="13009" xr:uid="{00000000-0005-0000-0000-0000A6320000}"/>
    <cellStyle name="Normal 2 2 2 2 2 37 7" xfId="13010" xr:uid="{00000000-0005-0000-0000-0000A7320000}"/>
    <cellStyle name="Normal 2 2 2 2 2 37 8" xfId="13011" xr:uid="{00000000-0005-0000-0000-0000A8320000}"/>
    <cellStyle name="Normal 2 2 2 2 2 37 9" xfId="13012" xr:uid="{00000000-0005-0000-0000-0000A9320000}"/>
    <cellStyle name="Normal 2 2 2 2 2 38" xfId="13013" xr:uid="{00000000-0005-0000-0000-0000AA320000}"/>
    <cellStyle name="Normal 2 2 2 2 2 38 10" xfId="13014" xr:uid="{00000000-0005-0000-0000-0000AB320000}"/>
    <cellStyle name="Normal 2 2 2 2 2 38 2" xfId="13015" xr:uid="{00000000-0005-0000-0000-0000AC320000}"/>
    <cellStyle name="Normal 2 2 2 2 2 38 3" xfId="13016" xr:uid="{00000000-0005-0000-0000-0000AD320000}"/>
    <cellStyle name="Normal 2 2 2 2 2 38 4" xfId="13017" xr:uid="{00000000-0005-0000-0000-0000AE320000}"/>
    <cellStyle name="Normal 2 2 2 2 2 38 5" xfId="13018" xr:uid="{00000000-0005-0000-0000-0000AF320000}"/>
    <cellStyle name="Normal 2 2 2 2 2 38 6" xfId="13019" xr:uid="{00000000-0005-0000-0000-0000B0320000}"/>
    <cellStyle name="Normal 2 2 2 2 2 38 7" xfId="13020" xr:uid="{00000000-0005-0000-0000-0000B1320000}"/>
    <cellStyle name="Normal 2 2 2 2 2 38 8" xfId="13021" xr:uid="{00000000-0005-0000-0000-0000B2320000}"/>
    <cellStyle name="Normal 2 2 2 2 2 38 9" xfId="13022" xr:uid="{00000000-0005-0000-0000-0000B3320000}"/>
    <cellStyle name="Normal 2 2 2 2 2 39" xfId="13023" xr:uid="{00000000-0005-0000-0000-0000B4320000}"/>
    <cellStyle name="Normal 2 2 2 2 2 4" xfId="13024" xr:uid="{00000000-0005-0000-0000-0000B5320000}"/>
    <cellStyle name="Normal 2 2 2 2 2 4 10" xfId="13025" xr:uid="{00000000-0005-0000-0000-0000B6320000}"/>
    <cellStyle name="Normal 2 2 2 2 2 4 11" xfId="13026" xr:uid="{00000000-0005-0000-0000-0000B7320000}"/>
    <cellStyle name="Normal 2 2 2 2 2 4 12" xfId="13027" xr:uid="{00000000-0005-0000-0000-0000B8320000}"/>
    <cellStyle name="Normal 2 2 2 2 2 4 13" xfId="13028" xr:uid="{00000000-0005-0000-0000-0000B9320000}"/>
    <cellStyle name="Normal 2 2 2 2 2 4 14" xfId="13029" xr:uid="{00000000-0005-0000-0000-0000BA320000}"/>
    <cellStyle name="Normal 2 2 2 2 2 4 15" xfId="13030" xr:uid="{00000000-0005-0000-0000-0000BB320000}"/>
    <cellStyle name="Normal 2 2 2 2 2 4 16" xfId="13031" xr:uid="{00000000-0005-0000-0000-0000BC320000}"/>
    <cellStyle name="Normal 2 2 2 2 2 4 2" xfId="13032" xr:uid="{00000000-0005-0000-0000-0000BD320000}"/>
    <cellStyle name="Normal 2 2 2 2 2 4 2 10" xfId="13033" xr:uid="{00000000-0005-0000-0000-0000BE320000}"/>
    <cellStyle name="Normal 2 2 2 2 2 4 2 2" xfId="13034" xr:uid="{00000000-0005-0000-0000-0000BF320000}"/>
    <cellStyle name="Normal 2 2 2 2 2 4 2 3" xfId="13035" xr:uid="{00000000-0005-0000-0000-0000C0320000}"/>
    <cellStyle name="Normal 2 2 2 2 2 4 2 4" xfId="13036" xr:uid="{00000000-0005-0000-0000-0000C1320000}"/>
    <cellStyle name="Normal 2 2 2 2 2 4 2 5" xfId="13037" xr:uid="{00000000-0005-0000-0000-0000C2320000}"/>
    <cellStyle name="Normal 2 2 2 2 2 4 2 6" xfId="13038" xr:uid="{00000000-0005-0000-0000-0000C3320000}"/>
    <cellStyle name="Normal 2 2 2 2 2 4 2 7" xfId="13039" xr:uid="{00000000-0005-0000-0000-0000C4320000}"/>
    <cellStyle name="Normal 2 2 2 2 2 4 2 8" xfId="13040" xr:uid="{00000000-0005-0000-0000-0000C5320000}"/>
    <cellStyle name="Normal 2 2 2 2 2 4 2 9" xfId="13041" xr:uid="{00000000-0005-0000-0000-0000C6320000}"/>
    <cellStyle name="Normal 2 2 2 2 2 4 3" xfId="13042" xr:uid="{00000000-0005-0000-0000-0000C7320000}"/>
    <cellStyle name="Normal 2 2 2 2 2 4 3 10" xfId="13043" xr:uid="{00000000-0005-0000-0000-0000C8320000}"/>
    <cellStyle name="Normal 2 2 2 2 2 4 3 2" xfId="13044" xr:uid="{00000000-0005-0000-0000-0000C9320000}"/>
    <cellStyle name="Normal 2 2 2 2 2 4 3 3" xfId="13045" xr:uid="{00000000-0005-0000-0000-0000CA320000}"/>
    <cellStyle name="Normal 2 2 2 2 2 4 3 4" xfId="13046" xr:uid="{00000000-0005-0000-0000-0000CB320000}"/>
    <cellStyle name="Normal 2 2 2 2 2 4 3 5" xfId="13047" xr:uid="{00000000-0005-0000-0000-0000CC320000}"/>
    <cellStyle name="Normal 2 2 2 2 2 4 3 6" xfId="13048" xr:uid="{00000000-0005-0000-0000-0000CD320000}"/>
    <cellStyle name="Normal 2 2 2 2 2 4 3 7" xfId="13049" xr:uid="{00000000-0005-0000-0000-0000CE320000}"/>
    <cellStyle name="Normal 2 2 2 2 2 4 3 8" xfId="13050" xr:uid="{00000000-0005-0000-0000-0000CF320000}"/>
    <cellStyle name="Normal 2 2 2 2 2 4 3 9" xfId="13051" xr:uid="{00000000-0005-0000-0000-0000D0320000}"/>
    <cellStyle name="Normal 2 2 2 2 2 4 4" xfId="13052" xr:uid="{00000000-0005-0000-0000-0000D1320000}"/>
    <cellStyle name="Normal 2 2 2 2 2 4 4 10" xfId="13053" xr:uid="{00000000-0005-0000-0000-0000D2320000}"/>
    <cellStyle name="Normal 2 2 2 2 2 4 4 2" xfId="13054" xr:uid="{00000000-0005-0000-0000-0000D3320000}"/>
    <cellStyle name="Normal 2 2 2 2 2 4 4 3" xfId="13055" xr:uid="{00000000-0005-0000-0000-0000D4320000}"/>
    <cellStyle name="Normal 2 2 2 2 2 4 4 4" xfId="13056" xr:uid="{00000000-0005-0000-0000-0000D5320000}"/>
    <cellStyle name="Normal 2 2 2 2 2 4 4 5" xfId="13057" xr:uid="{00000000-0005-0000-0000-0000D6320000}"/>
    <cellStyle name="Normal 2 2 2 2 2 4 4 6" xfId="13058" xr:uid="{00000000-0005-0000-0000-0000D7320000}"/>
    <cellStyle name="Normal 2 2 2 2 2 4 4 7" xfId="13059" xr:uid="{00000000-0005-0000-0000-0000D8320000}"/>
    <cellStyle name="Normal 2 2 2 2 2 4 4 8" xfId="13060" xr:uid="{00000000-0005-0000-0000-0000D9320000}"/>
    <cellStyle name="Normal 2 2 2 2 2 4 4 9" xfId="13061" xr:uid="{00000000-0005-0000-0000-0000DA320000}"/>
    <cellStyle name="Normal 2 2 2 2 2 4 5" xfId="13062" xr:uid="{00000000-0005-0000-0000-0000DB320000}"/>
    <cellStyle name="Normal 2 2 2 2 2 4 5 10" xfId="13063" xr:uid="{00000000-0005-0000-0000-0000DC320000}"/>
    <cellStyle name="Normal 2 2 2 2 2 4 5 2" xfId="13064" xr:uid="{00000000-0005-0000-0000-0000DD320000}"/>
    <cellStyle name="Normal 2 2 2 2 2 4 5 3" xfId="13065" xr:uid="{00000000-0005-0000-0000-0000DE320000}"/>
    <cellStyle name="Normal 2 2 2 2 2 4 5 4" xfId="13066" xr:uid="{00000000-0005-0000-0000-0000DF320000}"/>
    <cellStyle name="Normal 2 2 2 2 2 4 5 5" xfId="13067" xr:uid="{00000000-0005-0000-0000-0000E0320000}"/>
    <cellStyle name="Normal 2 2 2 2 2 4 5 6" xfId="13068" xr:uid="{00000000-0005-0000-0000-0000E1320000}"/>
    <cellStyle name="Normal 2 2 2 2 2 4 5 7" xfId="13069" xr:uid="{00000000-0005-0000-0000-0000E2320000}"/>
    <cellStyle name="Normal 2 2 2 2 2 4 5 8" xfId="13070" xr:uid="{00000000-0005-0000-0000-0000E3320000}"/>
    <cellStyle name="Normal 2 2 2 2 2 4 5 9" xfId="13071" xr:uid="{00000000-0005-0000-0000-0000E4320000}"/>
    <cellStyle name="Normal 2 2 2 2 2 4 6" xfId="13072" xr:uid="{00000000-0005-0000-0000-0000E5320000}"/>
    <cellStyle name="Normal 2 2 2 2 2 4 7" xfId="13073" xr:uid="{00000000-0005-0000-0000-0000E6320000}"/>
    <cellStyle name="Normal 2 2 2 2 2 4 8" xfId="13074" xr:uid="{00000000-0005-0000-0000-0000E7320000}"/>
    <cellStyle name="Normal 2 2 2 2 2 4 9" xfId="13075" xr:uid="{00000000-0005-0000-0000-0000E8320000}"/>
    <cellStyle name="Normal 2 2 2 2 2 40" xfId="13076" xr:uid="{00000000-0005-0000-0000-0000E9320000}"/>
    <cellStyle name="Normal 2 2 2 2 2 41" xfId="13077" xr:uid="{00000000-0005-0000-0000-0000EA320000}"/>
    <cellStyle name="Normal 2 2 2 2 2 42" xfId="13078" xr:uid="{00000000-0005-0000-0000-0000EB320000}"/>
    <cellStyle name="Normal 2 2 2 2 2 43" xfId="13079" xr:uid="{00000000-0005-0000-0000-0000EC320000}"/>
    <cellStyle name="Normal 2 2 2 2 2 44" xfId="13080" xr:uid="{00000000-0005-0000-0000-0000ED320000}"/>
    <cellStyle name="Normal 2 2 2 2 2 45" xfId="13081" xr:uid="{00000000-0005-0000-0000-0000EE320000}"/>
    <cellStyle name="Normal 2 2 2 2 2 46" xfId="13082" xr:uid="{00000000-0005-0000-0000-0000EF320000}"/>
    <cellStyle name="Normal 2 2 2 2 2 47" xfId="13083" xr:uid="{00000000-0005-0000-0000-0000F0320000}"/>
    <cellStyle name="Normal 2 2 2 2 2 48" xfId="13084" xr:uid="{00000000-0005-0000-0000-0000F1320000}"/>
    <cellStyle name="Normal 2 2 2 2 2 49" xfId="13085" xr:uid="{00000000-0005-0000-0000-0000F2320000}"/>
    <cellStyle name="Normal 2 2 2 2 2 5" xfId="13086" xr:uid="{00000000-0005-0000-0000-0000F3320000}"/>
    <cellStyle name="Normal 2 2 2 2 2 5 10" xfId="13087" xr:uid="{00000000-0005-0000-0000-0000F4320000}"/>
    <cellStyle name="Normal 2 2 2 2 2 5 11" xfId="13088" xr:uid="{00000000-0005-0000-0000-0000F5320000}"/>
    <cellStyle name="Normal 2 2 2 2 2 5 12" xfId="13089" xr:uid="{00000000-0005-0000-0000-0000F6320000}"/>
    <cellStyle name="Normal 2 2 2 2 2 5 13" xfId="13090" xr:uid="{00000000-0005-0000-0000-0000F7320000}"/>
    <cellStyle name="Normal 2 2 2 2 2 5 14" xfId="13091" xr:uid="{00000000-0005-0000-0000-0000F8320000}"/>
    <cellStyle name="Normal 2 2 2 2 2 5 2" xfId="13092" xr:uid="{00000000-0005-0000-0000-0000F9320000}"/>
    <cellStyle name="Normal 2 2 2 2 2 5 2 10" xfId="13093" xr:uid="{00000000-0005-0000-0000-0000FA320000}"/>
    <cellStyle name="Normal 2 2 2 2 2 5 2 2" xfId="13094" xr:uid="{00000000-0005-0000-0000-0000FB320000}"/>
    <cellStyle name="Normal 2 2 2 2 2 5 2 3" xfId="13095" xr:uid="{00000000-0005-0000-0000-0000FC320000}"/>
    <cellStyle name="Normal 2 2 2 2 2 5 2 4" xfId="13096" xr:uid="{00000000-0005-0000-0000-0000FD320000}"/>
    <cellStyle name="Normal 2 2 2 2 2 5 2 5" xfId="13097" xr:uid="{00000000-0005-0000-0000-0000FE320000}"/>
    <cellStyle name="Normal 2 2 2 2 2 5 2 6" xfId="13098" xr:uid="{00000000-0005-0000-0000-0000FF320000}"/>
    <cellStyle name="Normal 2 2 2 2 2 5 2 7" xfId="13099" xr:uid="{00000000-0005-0000-0000-000000330000}"/>
    <cellStyle name="Normal 2 2 2 2 2 5 2 8" xfId="13100" xr:uid="{00000000-0005-0000-0000-000001330000}"/>
    <cellStyle name="Normal 2 2 2 2 2 5 2 9" xfId="13101" xr:uid="{00000000-0005-0000-0000-000002330000}"/>
    <cellStyle name="Normal 2 2 2 2 2 5 3" xfId="13102" xr:uid="{00000000-0005-0000-0000-000003330000}"/>
    <cellStyle name="Normal 2 2 2 2 2 5 3 10" xfId="13103" xr:uid="{00000000-0005-0000-0000-000004330000}"/>
    <cellStyle name="Normal 2 2 2 2 2 5 3 2" xfId="13104" xr:uid="{00000000-0005-0000-0000-000005330000}"/>
    <cellStyle name="Normal 2 2 2 2 2 5 3 3" xfId="13105" xr:uid="{00000000-0005-0000-0000-000006330000}"/>
    <cellStyle name="Normal 2 2 2 2 2 5 3 4" xfId="13106" xr:uid="{00000000-0005-0000-0000-000007330000}"/>
    <cellStyle name="Normal 2 2 2 2 2 5 3 5" xfId="13107" xr:uid="{00000000-0005-0000-0000-000008330000}"/>
    <cellStyle name="Normal 2 2 2 2 2 5 3 6" xfId="13108" xr:uid="{00000000-0005-0000-0000-000009330000}"/>
    <cellStyle name="Normal 2 2 2 2 2 5 3 7" xfId="13109" xr:uid="{00000000-0005-0000-0000-00000A330000}"/>
    <cellStyle name="Normal 2 2 2 2 2 5 3 8" xfId="13110" xr:uid="{00000000-0005-0000-0000-00000B330000}"/>
    <cellStyle name="Normal 2 2 2 2 2 5 3 9" xfId="13111" xr:uid="{00000000-0005-0000-0000-00000C330000}"/>
    <cellStyle name="Normal 2 2 2 2 2 5 4" xfId="13112" xr:uid="{00000000-0005-0000-0000-00000D330000}"/>
    <cellStyle name="Normal 2 2 2 2 2 5 4 10" xfId="13113" xr:uid="{00000000-0005-0000-0000-00000E330000}"/>
    <cellStyle name="Normal 2 2 2 2 2 5 4 2" xfId="13114" xr:uid="{00000000-0005-0000-0000-00000F330000}"/>
    <cellStyle name="Normal 2 2 2 2 2 5 4 3" xfId="13115" xr:uid="{00000000-0005-0000-0000-000010330000}"/>
    <cellStyle name="Normal 2 2 2 2 2 5 4 4" xfId="13116" xr:uid="{00000000-0005-0000-0000-000011330000}"/>
    <cellStyle name="Normal 2 2 2 2 2 5 4 5" xfId="13117" xr:uid="{00000000-0005-0000-0000-000012330000}"/>
    <cellStyle name="Normal 2 2 2 2 2 5 4 6" xfId="13118" xr:uid="{00000000-0005-0000-0000-000013330000}"/>
    <cellStyle name="Normal 2 2 2 2 2 5 4 7" xfId="13119" xr:uid="{00000000-0005-0000-0000-000014330000}"/>
    <cellStyle name="Normal 2 2 2 2 2 5 4 8" xfId="13120" xr:uid="{00000000-0005-0000-0000-000015330000}"/>
    <cellStyle name="Normal 2 2 2 2 2 5 4 9" xfId="13121" xr:uid="{00000000-0005-0000-0000-000016330000}"/>
    <cellStyle name="Normal 2 2 2 2 2 5 5" xfId="13122" xr:uid="{00000000-0005-0000-0000-000017330000}"/>
    <cellStyle name="Normal 2 2 2 2 2 5 5 10" xfId="13123" xr:uid="{00000000-0005-0000-0000-000018330000}"/>
    <cellStyle name="Normal 2 2 2 2 2 5 5 2" xfId="13124" xr:uid="{00000000-0005-0000-0000-000019330000}"/>
    <cellStyle name="Normal 2 2 2 2 2 5 5 3" xfId="13125" xr:uid="{00000000-0005-0000-0000-00001A330000}"/>
    <cellStyle name="Normal 2 2 2 2 2 5 5 4" xfId="13126" xr:uid="{00000000-0005-0000-0000-00001B330000}"/>
    <cellStyle name="Normal 2 2 2 2 2 5 5 5" xfId="13127" xr:uid="{00000000-0005-0000-0000-00001C330000}"/>
    <cellStyle name="Normal 2 2 2 2 2 5 5 6" xfId="13128" xr:uid="{00000000-0005-0000-0000-00001D330000}"/>
    <cellStyle name="Normal 2 2 2 2 2 5 5 7" xfId="13129" xr:uid="{00000000-0005-0000-0000-00001E330000}"/>
    <cellStyle name="Normal 2 2 2 2 2 5 5 8" xfId="13130" xr:uid="{00000000-0005-0000-0000-00001F330000}"/>
    <cellStyle name="Normal 2 2 2 2 2 5 5 9" xfId="13131" xr:uid="{00000000-0005-0000-0000-000020330000}"/>
    <cellStyle name="Normal 2 2 2 2 2 5 6" xfId="13132" xr:uid="{00000000-0005-0000-0000-000021330000}"/>
    <cellStyle name="Normal 2 2 2 2 2 5 7" xfId="13133" xr:uid="{00000000-0005-0000-0000-000022330000}"/>
    <cellStyle name="Normal 2 2 2 2 2 5 8" xfId="13134" xr:uid="{00000000-0005-0000-0000-000023330000}"/>
    <cellStyle name="Normal 2 2 2 2 2 5 9" xfId="13135" xr:uid="{00000000-0005-0000-0000-000024330000}"/>
    <cellStyle name="Normal 2 2 2 2 2 6" xfId="13136" xr:uid="{00000000-0005-0000-0000-000025330000}"/>
    <cellStyle name="Normal 2 2 2 2 2 6 10" xfId="13137" xr:uid="{00000000-0005-0000-0000-000026330000}"/>
    <cellStyle name="Normal 2 2 2 2 2 6 11" xfId="13138" xr:uid="{00000000-0005-0000-0000-000027330000}"/>
    <cellStyle name="Normal 2 2 2 2 2 6 12" xfId="13139" xr:uid="{00000000-0005-0000-0000-000028330000}"/>
    <cellStyle name="Normal 2 2 2 2 2 6 13" xfId="13140" xr:uid="{00000000-0005-0000-0000-000029330000}"/>
    <cellStyle name="Normal 2 2 2 2 2 6 14" xfId="13141" xr:uid="{00000000-0005-0000-0000-00002A330000}"/>
    <cellStyle name="Normal 2 2 2 2 2 6 2" xfId="13142" xr:uid="{00000000-0005-0000-0000-00002B330000}"/>
    <cellStyle name="Normal 2 2 2 2 2 6 2 10" xfId="13143" xr:uid="{00000000-0005-0000-0000-00002C330000}"/>
    <cellStyle name="Normal 2 2 2 2 2 6 2 2" xfId="13144" xr:uid="{00000000-0005-0000-0000-00002D330000}"/>
    <cellStyle name="Normal 2 2 2 2 2 6 2 3" xfId="13145" xr:uid="{00000000-0005-0000-0000-00002E330000}"/>
    <cellStyle name="Normal 2 2 2 2 2 6 2 4" xfId="13146" xr:uid="{00000000-0005-0000-0000-00002F330000}"/>
    <cellStyle name="Normal 2 2 2 2 2 6 2 5" xfId="13147" xr:uid="{00000000-0005-0000-0000-000030330000}"/>
    <cellStyle name="Normal 2 2 2 2 2 6 2 6" xfId="13148" xr:uid="{00000000-0005-0000-0000-000031330000}"/>
    <cellStyle name="Normal 2 2 2 2 2 6 2 7" xfId="13149" xr:uid="{00000000-0005-0000-0000-000032330000}"/>
    <cellStyle name="Normal 2 2 2 2 2 6 2 8" xfId="13150" xr:uid="{00000000-0005-0000-0000-000033330000}"/>
    <cellStyle name="Normal 2 2 2 2 2 6 2 9" xfId="13151" xr:uid="{00000000-0005-0000-0000-000034330000}"/>
    <cellStyle name="Normal 2 2 2 2 2 6 3" xfId="13152" xr:uid="{00000000-0005-0000-0000-000035330000}"/>
    <cellStyle name="Normal 2 2 2 2 2 6 3 10" xfId="13153" xr:uid="{00000000-0005-0000-0000-000036330000}"/>
    <cellStyle name="Normal 2 2 2 2 2 6 3 2" xfId="13154" xr:uid="{00000000-0005-0000-0000-000037330000}"/>
    <cellStyle name="Normal 2 2 2 2 2 6 3 3" xfId="13155" xr:uid="{00000000-0005-0000-0000-000038330000}"/>
    <cellStyle name="Normal 2 2 2 2 2 6 3 4" xfId="13156" xr:uid="{00000000-0005-0000-0000-000039330000}"/>
    <cellStyle name="Normal 2 2 2 2 2 6 3 5" xfId="13157" xr:uid="{00000000-0005-0000-0000-00003A330000}"/>
    <cellStyle name="Normal 2 2 2 2 2 6 3 6" xfId="13158" xr:uid="{00000000-0005-0000-0000-00003B330000}"/>
    <cellStyle name="Normal 2 2 2 2 2 6 3 7" xfId="13159" xr:uid="{00000000-0005-0000-0000-00003C330000}"/>
    <cellStyle name="Normal 2 2 2 2 2 6 3 8" xfId="13160" xr:uid="{00000000-0005-0000-0000-00003D330000}"/>
    <cellStyle name="Normal 2 2 2 2 2 6 3 9" xfId="13161" xr:uid="{00000000-0005-0000-0000-00003E330000}"/>
    <cellStyle name="Normal 2 2 2 2 2 6 4" xfId="13162" xr:uid="{00000000-0005-0000-0000-00003F330000}"/>
    <cellStyle name="Normal 2 2 2 2 2 6 4 10" xfId="13163" xr:uid="{00000000-0005-0000-0000-000040330000}"/>
    <cellStyle name="Normal 2 2 2 2 2 6 4 2" xfId="13164" xr:uid="{00000000-0005-0000-0000-000041330000}"/>
    <cellStyle name="Normal 2 2 2 2 2 6 4 3" xfId="13165" xr:uid="{00000000-0005-0000-0000-000042330000}"/>
    <cellStyle name="Normal 2 2 2 2 2 6 4 4" xfId="13166" xr:uid="{00000000-0005-0000-0000-000043330000}"/>
    <cellStyle name="Normal 2 2 2 2 2 6 4 5" xfId="13167" xr:uid="{00000000-0005-0000-0000-000044330000}"/>
    <cellStyle name="Normal 2 2 2 2 2 6 4 6" xfId="13168" xr:uid="{00000000-0005-0000-0000-000045330000}"/>
    <cellStyle name="Normal 2 2 2 2 2 6 4 7" xfId="13169" xr:uid="{00000000-0005-0000-0000-000046330000}"/>
    <cellStyle name="Normal 2 2 2 2 2 6 4 8" xfId="13170" xr:uid="{00000000-0005-0000-0000-000047330000}"/>
    <cellStyle name="Normal 2 2 2 2 2 6 4 9" xfId="13171" xr:uid="{00000000-0005-0000-0000-000048330000}"/>
    <cellStyle name="Normal 2 2 2 2 2 6 5" xfId="13172" xr:uid="{00000000-0005-0000-0000-000049330000}"/>
    <cellStyle name="Normal 2 2 2 2 2 6 5 10" xfId="13173" xr:uid="{00000000-0005-0000-0000-00004A330000}"/>
    <cellStyle name="Normal 2 2 2 2 2 6 5 2" xfId="13174" xr:uid="{00000000-0005-0000-0000-00004B330000}"/>
    <cellStyle name="Normal 2 2 2 2 2 6 5 3" xfId="13175" xr:uid="{00000000-0005-0000-0000-00004C330000}"/>
    <cellStyle name="Normal 2 2 2 2 2 6 5 4" xfId="13176" xr:uid="{00000000-0005-0000-0000-00004D330000}"/>
    <cellStyle name="Normal 2 2 2 2 2 6 5 5" xfId="13177" xr:uid="{00000000-0005-0000-0000-00004E330000}"/>
    <cellStyle name="Normal 2 2 2 2 2 6 5 6" xfId="13178" xr:uid="{00000000-0005-0000-0000-00004F330000}"/>
    <cellStyle name="Normal 2 2 2 2 2 6 5 7" xfId="13179" xr:uid="{00000000-0005-0000-0000-000050330000}"/>
    <cellStyle name="Normal 2 2 2 2 2 6 5 8" xfId="13180" xr:uid="{00000000-0005-0000-0000-000051330000}"/>
    <cellStyle name="Normal 2 2 2 2 2 6 5 9" xfId="13181" xr:uid="{00000000-0005-0000-0000-000052330000}"/>
    <cellStyle name="Normal 2 2 2 2 2 6 6" xfId="13182" xr:uid="{00000000-0005-0000-0000-000053330000}"/>
    <cellStyle name="Normal 2 2 2 2 2 6 7" xfId="13183" xr:uid="{00000000-0005-0000-0000-000054330000}"/>
    <cellStyle name="Normal 2 2 2 2 2 6 8" xfId="13184" xr:uid="{00000000-0005-0000-0000-000055330000}"/>
    <cellStyle name="Normal 2 2 2 2 2 6 9" xfId="13185" xr:uid="{00000000-0005-0000-0000-000056330000}"/>
    <cellStyle name="Normal 2 2 2 2 2 7" xfId="13186" xr:uid="{00000000-0005-0000-0000-000057330000}"/>
    <cellStyle name="Normal 2 2 2 2 2 7 10" xfId="13187" xr:uid="{00000000-0005-0000-0000-000058330000}"/>
    <cellStyle name="Normal 2 2 2 2 2 7 11" xfId="13188" xr:uid="{00000000-0005-0000-0000-000059330000}"/>
    <cellStyle name="Normal 2 2 2 2 2 7 12" xfId="13189" xr:uid="{00000000-0005-0000-0000-00005A330000}"/>
    <cellStyle name="Normal 2 2 2 2 2 7 13" xfId="13190" xr:uid="{00000000-0005-0000-0000-00005B330000}"/>
    <cellStyle name="Normal 2 2 2 2 2 7 14" xfId="13191" xr:uid="{00000000-0005-0000-0000-00005C330000}"/>
    <cellStyle name="Normal 2 2 2 2 2 7 2" xfId="13192" xr:uid="{00000000-0005-0000-0000-00005D330000}"/>
    <cellStyle name="Normal 2 2 2 2 2 7 2 10" xfId="13193" xr:uid="{00000000-0005-0000-0000-00005E330000}"/>
    <cellStyle name="Normal 2 2 2 2 2 7 2 2" xfId="13194" xr:uid="{00000000-0005-0000-0000-00005F330000}"/>
    <cellStyle name="Normal 2 2 2 2 2 7 2 3" xfId="13195" xr:uid="{00000000-0005-0000-0000-000060330000}"/>
    <cellStyle name="Normal 2 2 2 2 2 7 2 4" xfId="13196" xr:uid="{00000000-0005-0000-0000-000061330000}"/>
    <cellStyle name="Normal 2 2 2 2 2 7 2 5" xfId="13197" xr:uid="{00000000-0005-0000-0000-000062330000}"/>
    <cellStyle name="Normal 2 2 2 2 2 7 2 6" xfId="13198" xr:uid="{00000000-0005-0000-0000-000063330000}"/>
    <cellStyle name="Normal 2 2 2 2 2 7 2 7" xfId="13199" xr:uid="{00000000-0005-0000-0000-000064330000}"/>
    <cellStyle name="Normal 2 2 2 2 2 7 2 8" xfId="13200" xr:uid="{00000000-0005-0000-0000-000065330000}"/>
    <cellStyle name="Normal 2 2 2 2 2 7 2 9" xfId="13201" xr:uid="{00000000-0005-0000-0000-000066330000}"/>
    <cellStyle name="Normal 2 2 2 2 2 7 3" xfId="13202" xr:uid="{00000000-0005-0000-0000-000067330000}"/>
    <cellStyle name="Normal 2 2 2 2 2 7 3 10" xfId="13203" xr:uid="{00000000-0005-0000-0000-000068330000}"/>
    <cellStyle name="Normal 2 2 2 2 2 7 3 2" xfId="13204" xr:uid="{00000000-0005-0000-0000-000069330000}"/>
    <cellStyle name="Normal 2 2 2 2 2 7 3 3" xfId="13205" xr:uid="{00000000-0005-0000-0000-00006A330000}"/>
    <cellStyle name="Normal 2 2 2 2 2 7 3 4" xfId="13206" xr:uid="{00000000-0005-0000-0000-00006B330000}"/>
    <cellStyle name="Normal 2 2 2 2 2 7 3 5" xfId="13207" xr:uid="{00000000-0005-0000-0000-00006C330000}"/>
    <cellStyle name="Normal 2 2 2 2 2 7 3 6" xfId="13208" xr:uid="{00000000-0005-0000-0000-00006D330000}"/>
    <cellStyle name="Normal 2 2 2 2 2 7 3 7" xfId="13209" xr:uid="{00000000-0005-0000-0000-00006E330000}"/>
    <cellStyle name="Normal 2 2 2 2 2 7 3 8" xfId="13210" xr:uid="{00000000-0005-0000-0000-00006F330000}"/>
    <cellStyle name="Normal 2 2 2 2 2 7 3 9" xfId="13211" xr:uid="{00000000-0005-0000-0000-000070330000}"/>
    <cellStyle name="Normal 2 2 2 2 2 7 4" xfId="13212" xr:uid="{00000000-0005-0000-0000-000071330000}"/>
    <cellStyle name="Normal 2 2 2 2 2 7 4 10" xfId="13213" xr:uid="{00000000-0005-0000-0000-000072330000}"/>
    <cellStyle name="Normal 2 2 2 2 2 7 4 2" xfId="13214" xr:uid="{00000000-0005-0000-0000-000073330000}"/>
    <cellStyle name="Normal 2 2 2 2 2 7 4 3" xfId="13215" xr:uid="{00000000-0005-0000-0000-000074330000}"/>
    <cellStyle name="Normal 2 2 2 2 2 7 4 4" xfId="13216" xr:uid="{00000000-0005-0000-0000-000075330000}"/>
    <cellStyle name="Normal 2 2 2 2 2 7 4 5" xfId="13217" xr:uid="{00000000-0005-0000-0000-000076330000}"/>
    <cellStyle name="Normal 2 2 2 2 2 7 4 6" xfId="13218" xr:uid="{00000000-0005-0000-0000-000077330000}"/>
    <cellStyle name="Normal 2 2 2 2 2 7 4 7" xfId="13219" xr:uid="{00000000-0005-0000-0000-000078330000}"/>
    <cellStyle name="Normal 2 2 2 2 2 7 4 8" xfId="13220" xr:uid="{00000000-0005-0000-0000-000079330000}"/>
    <cellStyle name="Normal 2 2 2 2 2 7 4 9" xfId="13221" xr:uid="{00000000-0005-0000-0000-00007A330000}"/>
    <cellStyle name="Normal 2 2 2 2 2 7 5" xfId="13222" xr:uid="{00000000-0005-0000-0000-00007B330000}"/>
    <cellStyle name="Normal 2 2 2 2 2 7 5 10" xfId="13223" xr:uid="{00000000-0005-0000-0000-00007C330000}"/>
    <cellStyle name="Normal 2 2 2 2 2 7 5 2" xfId="13224" xr:uid="{00000000-0005-0000-0000-00007D330000}"/>
    <cellStyle name="Normal 2 2 2 2 2 7 5 3" xfId="13225" xr:uid="{00000000-0005-0000-0000-00007E330000}"/>
    <cellStyle name="Normal 2 2 2 2 2 7 5 4" xfId="13226" xr:uid="{00000000-0005-0000-0000-00007F330000}"/>
    <cellStyle name="Normal 2 2 2 2 2 7 5 5" xfId="13227" xr:uid="{00000000-0005-0000-0000-000080330000}"/>
    <cellStyle name="Normal 2 2 2 2 2 7 5 6" xfId="13228" xr:uid="{00000000-0005-0000-0000-000081330000}"/>
    <cellStyle name="Normal 2 2 2 2 2 7 5 7" xfId="13229" xr:uid="{00000000-0005-0000-0000-000082330000}"/>
    <cellStyle name="Normal 2 2 2 2 2 7 5 8" xfId="13230" xr:uid="{00000000-0005-0000-0000-000083330000}"/>
    <cellStyle name="Normal 2 2 2 2 2 7 5 9" xfId="13231" xr:uid="{00000000-0005-0000-0000-000084330000}"/>
    <cellStyle name="Normal 2 2 2 2 2 7 6" xfId="13232" xr:uid="{00000000-0005-0000-0000-000085330000}"/>
    <cellStyle name="Normal 2 2 2 2 2 7 7" xfId="13233" xr:uid="{00000000-0005-0000-0000-000086330000}"/>
    <cellStyle name="Normal 2 2 2 2 2 7 8" xfId="13234" xr:uid="{00000000-0005-0000-0000-000087330000}"/>
    <cellStyle name="Normal 2 2 2 2 2 7 9" xfId="13235" xr:uid="{00000000-0005-0000-0000-000088330000}"/>
    <cellStyle name="Normal 2 2 2 2 2 8" xfId="13236" xr:uid="{00000000-0005-0000-0000-000089330000}"/>
    <cellStyle name="Normal 2 2 2 2 2 8 10" xfId="13237" xr:uid="{00000000-0005-0000-0000-00008A330000}"/>
    <cellStyle name="Normal 2 2 2 2 2 8 11" xfId="13238" xr:uid="{00000000-0005-0000-0000-00008B330000}"/>
    <cellStyle name="Normal 2 2 2 2 2 8 12" xfId="13239" xr:uid="{00000000-0005-0000-0000-00008C330000}"/>
    <cellStyle name="Normal 2 2 2 2 2 8 13" xfId="13240" xr:uid="{00000000-0005-0000-0000-00008D330000}"/>
    <cellStyle name="Normal 2 2 2 2 2 8 14" xfId="13241" xr:uid="{00000000-0005-0000-0000-00008E330000}"/>
    <cellStyle name="Normal 2 2 2 2 2 8 2" xfId="13242" xr:uid="{00000000-0005-0000-0000-00008F330000}"/>
    <cellStyle name="Normal 2 2 2 2 2 8 2 10" xfId="13243" xr:uid="{00000000-0005-0000-0000-000090330000}"/>
    <cellStyle name="Normal 2 2 2 2 2 8 2 2" xfId="13244" xr:uid="{00000000-0005-0000-0000-000091330000}"/>
    <cellStyle name="Normal 2 2 2 2 2 8 2 3" xfId="13245" xr:uid="{00000000-0005-0000-0000-000092330000}"/>
    <cellStyle name="Normal 2 2 2 2 2 8 2 4" xfId="13246" xr:uid="{00000000-0005-0000-0000-000093330000}"/>
    <cellStyle name="Normal 2 2 2 2 2 8 2 5" xfId="13247" xr:uid="{00000000-0005-0000-0000-000094330000}"/>
    <cellStyle name="Normal 2 2 2 2 2 8 2 6" xfId="13248" xr:uid="{00000000-0005-0000-0000-000095330000}"/>
    <cellStyle name="Normal 2 2 2 2 2 8 2 7" xfId="13249" xr:uid="{00000000-0005-0000-0000-000096330000}"/>
    <cellStyle name="Normal 2 2 2 2 2 8 2 8" xfId="13250" xr:uid="{00000000-0005-0000-0000-000097330000}"/>
    <cellStyle name="Normal 2 2 2 2 2 8 2 9" xfId="13251" xr:uid="{00000000-0005-0000-0000-000098330000}"/>
    <cellStyle name="Normal 2 2 2 2 2 8 3" xfId="13252" xr:uid="{00000000-0005-0000-0000-000099330000}"/>
    <cellStyle name="Normal 2 2 2 2 2 8 3 10" xfId="13253" xr:uid="{00000000-0005-0000-0000-00009A330000}"/>
    <cellStyle name="Normal 2 2 2 2 2 8 3 2" xfId="13254" xr:uid="{00000000-0005-0000-0000-00009B330000}"/>
    <cellStyle name="Normal 2 2 2 2 2 8 3 3" xfId="13255" xr:uid="{00000000-0005-0000-0000-00009C330000}"/>
    <cellStyle name="Normal 2 2 2 2 2 8 3 4" xfId="13256" xr:uid="{00000000-0005-0000-0000-00009D330000}"/>
    <cellStyle name="Normal 2 2 2 2 2 8 3 5" xfId="13257" xr:uid="{00000000-0005-0000-0000-00009E330000}"/>
    <cellStyle name="Normal 2 2 2 2 2 8 3 6" xfId="13258" xr:uid="{00000000-0005-0000-0000-00009F330000}"/>
    <cellStyle name="Normal 2 2 2 2 2 8 3 7" xfId="13259" xr:uid="{00000000-0005-0000-0000-0000A0330000}"/>
    <cellStyle name="Normal 2 2 2 2 2 8 3 8" xfId="13260" xr:uid="{00000000-0005-0000-0000-0000A1330000}"/>
    <cellStyle name="Normal 2 2 2 2 2 8 3 9" xfId="13261" xr:uid="{00000000-0005-0000-0000-0000A2330000}"/>
    <cellStyle name="Normal 2 2 2 2 2 8 4" xfId="13262" xr:uid="{00000000-0005-0000-0000-0000A3330000}"/>
    <cellStyle name="Normal 2 2 2 2 2 8 4 10" xfId="13263" xr:uid="{00000000-0005-0000-0000-0000A4330000}"/>
    <cellStyle name="Normal 2 2 2 2 2 8 4 2" xfId="13264" xr:uid="{00000000-0005-0000-0000-0000A5330000}"/>
    <cellStyle name="Normal 2 2 2 2 2 8 4 3" xfId="13265" xr:uid="{00000000-0005-0000-0000-0000A6330000}"/>
    <cellStyle name="Normal 2 2 2 2 2 8 4 4" xfId="13266" xr:uid="{00000000-0005-0000-0000-0000A7330000}"/>
    <cellStyle name="Normal 2 2 2 2 2 8 4 5" xfId="13267" xr:uid="{00000000-0005-0000-0000-0000A8330000}"/>
    <cellStyle name="Normal 2 2 2 2 2 8 4 6" xfId="13268" xr:uid="{00000000-0005-0000-0000-0000A9330000}"/>
    <cellStyle name="Normal 2 2 2 2 2 8 4 7" xfId="13269" xr:uid="{00000000-0005-0000-0000-0000AA330000}"/>
    <cellStyle name="Normal 2 2 2 2 2 8 4 8" xfId="13270" xr:uid="{00000000-0005-0000-0000-0000AB330000}"/>
    <cellStyle name="Normal 2 2 2 2 2 8 4 9" xfId="13271" xr:uid="{00000000-0005-0000-0000-0000AC330000}"/>
    <cellStyle name="Normal 2 2 2 2 2 8 5" xfId="13272" xr:uid="{00000000-0005-0000-0000-0000AD330000}"/>
    <cellStyle name="Normal 2 2 2 2 2 8 5 10" xfId="13273" xr:uid="{00000000-0005-0000-0000-0000AE330000}"/>
    <cellStyle name="Normal 2 2 2 2 2 8 5 2" xfId="13274" xr:uid="{00000000-0005-0000-0000-0000AF330000}"/>
    <cellStyle name="Normal 2 2 2 2 2 8 5 3" xfId="13275" xr:uid="{00000000-0005-0000-0000-0000B0330000}"/>
    <cellStyle name="Normal 2 2 2 2 2 8 5 4" xfId="13276" xr:uid="{00000000-0005-0000-0000-0000B1330000}"/>
    <cellStyle name="Normal 2 2 2 2 2 8 5 5" xfId="13277" xr:uid="{00000000-0005-0000-0000-0000B2330000}"/>
    <cellStyle name="Normal 2 2 2 2 2 8 5 6" xfId="13278" xr:uid="{00000000-0005-0000-0000-0000B3330000}"/>
    <cellStyle name="Normal 2 2 2 2 2 8 5 7" xfId="13279" xr:uid="{00000000-0005-0000-0000-0000B4330000}"/>
    <cellStyle name="Normal 2 2 2 2 2 8 5 8" xfId="13280" xr:uid="{00000000-0005-0000-0000-0000B5330000}"/>
    <cellStyle name="Normal 2 2 2 2 2 8 5 9" xfId="13281" xr:uid="{00000000-0005-0000-0000-0000B6330000}"/>
    <cellStyle name="Normal 2 2 2 2 2 8 6" xfId="13282" xr:uid="{00000000-0005-0000-0000-0000B7330000}"/>
    <cellStyle name="Normal 2 2 2 2 2 8 7" xfId="13283" xr:uid="{00000000-0005-0000-0000-0000B8330000}"/>
    <cellStyle name="Normal 2 2 2 2 2 8 8" xfId="13284" xr:uid="{00000000-0005-0000-0000-0000B9330000}"/>
    <cellStyle name="Normal 2 2 2 2 2 8 9" xfId="13285" xr:uid="{00000000-0005-0000-0000-0000BA330000}"/>
    <cellStyle name="Normal 2 2 2 2 2 9" xfId="13286" xr:uid="{00000000-0005-0000-0000-0000BB330000}"/>
    <cellStyle name="Normal 2 2 2 2 2 9 10" xfId="13287" xr:uid="{00000000-0005-0000-0000-0000BC330000}"/>
    <cellStyle name="Normal 2 2 2 2 2 9 11" xfId="13288" xr:uid="{00000000-0005-0000-0000-0000BD330000}"/>
    <cellStyle name="Normal 2 2 2 2 2 9 12" xfId="13289" xr:uid="{00000000-0005-0000-0000-0000BE330000}"/>
    <cellStyle name="Normal 2 2 2 2 2 9 13" xfId="13290" xr:uid="{00000000-0005-0000-0000-0000BF330000}"/>
    <cellStyle name="Normal 2 2 2 2 2 9 14" xfId="13291" xr:uid="{00000000-0005-0000-0000-0000C0330000}"/>
    <cellStyle name="Normal 2 2 2 2 2 9 2" xfId="13292" xr:uid="{00000000-0005-0000-0000-0000C1330000}"/>
    <cellStyle name="Normal 2 2 2 2 2 9 2 10" xfId="13293" xr:uid="{00000000-0005-0000-0000-0000C2330000}"/>
    <cellStyle name="Normal 2 2 2 2 2 9 2 2" xfId="13294" xr:uid="{00000000-0005-0000-0000-0000C3330000}"/>
    <cellStyle name="Normal 2 2 2 2 2 9 2 3" xfId="13295" xr:uid="{00000000-0005-0000-0000-0000C4330000}"/>
    <cellStyle name="Normal 2 2 2 2 2 9 2 4" xfId="13296" xr:uid="{00000000-0005-0000-0000-0000C5330000}"/>
    <cellStyle name="Normal 2 2 2 2 2 9 2 5" xfId="13297" xr:uid="{00000000-0005-0000-0000-0000C6330000}"/>
    <cellStyle name="Normal 2 2 2 2 2 9 2 6" xfId="13298" xr:uid="{00000000-0005-0000-0000-0000C7330000}"/>
    <cellStyle name="Normal 2 2 2 2 2 9 2 7" xfId="13299" xr:uid="{00000000-0005-0000-0000-0000C8330000}"/>
    <cellStyle name="Normal 2 2 2 2 2 9 2 8" xfId="13300" xr:uid="{00000000-0005-0000-0000-0000C9330000}"/>
    <cellStyle name="Normal 2 2 2 2 2 9 2 9" xfId="13301" xr:uid="{00000000-0005-0000-0000-0000CA330000}"/>
    <cellStyle name="Normal 2 2 2 2 2 9 3" xfId="13302" xr:uid="{00000000-0005-0000-0000-0000CB330000}"/>
    <cellStyle name="Normal 2 2 2 2 2 9 3 10" xfId="13303" xr:uid="{00000000-0005-0000-0000-0000CC330000}"/>
    <cellStyle name="Normal 2 2 2 2 2 9 3 2" xfId="13304" xr:uid="{00000000-0005-0000-0000-0000CD330000}"/>
    <cellStyle name="Normal 2 2 2 2 2 9 3 3" xfId="13305" xr:uid="{00000000-0005-0000-0000-0000CE330000}"/>
    <cellStyle name="Normal 2 2 2 2 2 9 3 4" xfId="13306" xr:uid="{00000000-0005-0000-0000-0000CF330000}"/>
    <cellStyle name="Normal 2 2 2 2 2 9 3 5" xfId="13307" xr:uid="{00000000-0005-0000-0000-0000D0330000}"/>
    <cellStyle name="Normal 2 2 2 2 2 9 3 6" xfId="13308" xr:uid="{00000000-0005-0000-0000-0000D1330000}"/>
    <cellStyle name="Normal 2 2 2 2 2 9 3 7" xfId="13309" xr:uid="{00000000-0005-0000-0000-0000D2330000}"/>
    <cellStyle name="Normal 2 2 2 2 2 9 3 8" xfId="13310" xr:uid="{00000000-0005-0000-0000-0000D3330000}"/>
    <cellStyle name="Normal 2 2 2 2 2 9 3 9" xfId="13311" xr:uid="{00000000-0005-0000-0000-0000D4330000}"/>
    <cellStyle name="Normal 2 2 2 2 2 9 4" xfId="13312" xr:uid="{00000000-0005-0000-0000-0000D5330000}"/>
    <cellStyle name="Normal 2 2 2 2 2 9 4 10" xfId="13313" xr:uid="{00000000-0005-0000-0000-0000D6330000}"/>
    <cellStyle name="Normal 2 2 2 2 2 9 4 2" xfId="13314" xr:uid="{00000000-0005-0000-0000-0000D7330000}"/>
    <cellStyle name="Normal 2 2 2 2 2 9 4 3" xfId="13315" xr:uid="{00000000-0005-0000-0000-0000D8330000}"/>
    <cellStyle name="Normal 2 2 2 2 2 9 4 4" xfId="13316" xr:uid="{00000000-0005-0000-0000-0000D9330000}"/>
    <cellStyle name="Normal 2 2 2 2 2 9 4 5" xfId="13317" xr:uid="{00000000-0005-0000-0000-0000DA330000}"/>
    <cellStyle name="Normal 2 2 2 2 2 9 4 6" xfId="13318" xr:uid="{00000000-0005-0000-0000-0000DB330000}"/>
    <cellStyle name="Normal 2 2 2 2 2 9 4 7" xfId="13319" xr:uid="{00000000-0005-0000-0000-0000DC330000}"/>
    <cellStyle name="Normal 2 2 2 2 2 9 4 8" xfId="13320" xr:uid="{00000000-0005-0000-0000-0000DD330000}"/>
    <cellStyle name="Normal 2 2 2 2 2 9 4 9" xfId="13321" xr:uid="{00000000-0005-0000-0000-0000DE330000}"/>
    <cellStyle name="Normal 2 2 2 2 2 9 5" xfId="13322" xr:uid="{00000000-0005-0000-0000-0000DF330000}"/>
    <cellStyle name="Normal 2 2 2 2 2 9 5 10" xfId="13323" xr:uid="{00000000-0005-0000-0000-0000E0330000}"/>
    <cellStyle name="Normal 2 2 2 2 2 9 5 2" xfId="13324" xr:uid="{00000000-0005-0000-0000-0000E1330000}"/>
    <cellStyle name="Normal 2 2 2 2 2 9 5 3" xfId="13325" xr:uid="{00000000-0005-0000-0000-0000E2330000}"/>
    <cellStyle name="Normal 2 2 2 2 2 9 5 4" xfId="13326" xr:uid="{00000000-0005-0000-0000-0000E3330000}"/>
    <cellStyle name="Normal 2 2 2 2 2 9 5 5" xfId="13327" xr:uid="{00000000-0005-0000-0000-0000E4330000}"/>
    <cellStyle name="Normal 2 2 2 2 2 9 5 6" xfId="13328" xr:uid="{00000000-0005-0000-0000-0000E5330000}"/>
    <cellStyle name="Normal 2 2 2 2 2 9 5 7" xfId="13329" xr:uid="{00000000-0005-0000-0000-0000E6330000}"/>
    <cellStyle name="Normal 2 2 2 2 2 9 5 8" xfId="13330" xr:uid="{00000000-0005-0000-0000-0000E7330000}"/>
    <cellStyle name="Normal 2 2 2 2 2 9 5 9" xfId="13331" xr:uid="{00000000-0005-0000-0000-0000E8330000}"/>
    <cellStyle name="Normal 2 2 2 2 2 9 6" xfId="13332" xr:uid="{00000000-0005-0000-0000-0000E9330000}"/>
    <cellStyle name="Normal 2 2 2 2 2 9 7" xfId="13333" xr:uid="{00000000-0005-0000-0000-0000EA330000}"/>
    <cellStyle name="Normal 2 2 2 2 2 9 8" xfId="13334" xr:uid="{00000000-0005-0000-0000-0000EB330000}"/>
    <cellStyle name="Normal 2 2 2 2 2 9 9" xfId="13335" xr:uid="{00000000-0005-0000-0000-0000EC330000}"/>
    <cellStyle name="Normal 2 2 2 2 20" xfId="13336" xr:uid="{00000000-0005-0000-0000-0000ED330000}"/>
    <cellStyle name="Normal 2 2 2 2 21" xfId="13337" xr:uid="{00000000-0005-0000-0000-0000EE330000}"/>
    <cellStyle name="Normal 2 2 2 2 22" xfId="13338" xr:uid="{00000000-0005-0000-0000-0000EF330000}"/>
    <cellStyle name="Normal 2 2 2 2 23" xfId="13339" xr:uid="{00000000-0005-0000-0000-0000F0330000}"/>
    <cellStyle name="Normal 2 2 2 2 24" xfId="13340" xr:uid="{00000000-0005-0000-0000-0000F1330000}"/>
    <cellStyle name="Normal 2 2 2 2 25" xfId="13341" xr:uid="{00000000-0005-0000-0000-0000F2330000}"/>
    <cellStyle name="Normal 2 2 2 2 26" xfId="13342" xr:uid="{00000000-0005-0000-0000-0000F3330000}"/>
    <cellStyle name="Normal 2 2 2 2 27" xfId="13343" xr:uid="{00000000-0005-0000-0000-0000F4330000}"/>
    <cellStyle name="Normal 2 2 2 2 28" xfId="13344" xr:uid="{00000000-0005-0000-0000-0000F5330000}"/>
    <cellStyle name="Normal 2 2 2 2 29" xfId="13345" xr:uid="{00000000-0005-0000-0000-0000F6330000}"/>
    <cellStyle name="Normal 2 2 2 2 3" xfId="52" xr:uid="{00000000-0005-0000-0000-0000F7330000}"/>
    <cellStyle name="Normal 2 2 2 2 3 2" xfId="13347" xr:uid="{00000000-0005-0000-0000-0000F8330000}"/>
    <cellStyle name="Normal 2 2 2 2 3 2 2" xfId="13348" xr:uid="{00000000-0005-0000-0000-0000F9330000}"/>
    <cellStyle name="Normal 2 2 2 2 3 3" xfId="13349" xr:uid="{00000000-0005-0000-0000-0000FA330000}"/>
    <cellStyle name="Normal 2 2 2 2 3 4" xfId="13350" xr:uid="{00000000-0005-0000-0000-0000FB330000}"/>
    <cellStyle name="Normal 2 2 2 2 3 5" xfId="13351" xr:uid="{00000000-0005-0000-0000-0000FC330000}"/>
    <cellStyle name="Normal 2 2 2 2 3 6" xfId="13346" xr:uid="{00000000-0005-0000-0000-0000FD330000}"/>
    <cellStyle name="Normal 2 2 2 2 30" xfId="13352" xr:uid="{00000000-0005-0000-0000-0000FE330000}"/>
    <cellStyle name="Normal 2 2 2 2 31" xfId="13353" xr:uid="{00000000-0005-0000-0000-0000FF330000}"/>
    <cellStyle name="Normal 2 2 2 2 32" xfId="13354" xr:uid="{00000000-0005-0000-0000-000000340000}"/>
    <cellStyle name="Normal 2 2 2 2 33" xfId="13355" xr:uid="{00000000-0005-0000-0000-000001340000}"/>
    <cellStyle name="Normal 2 2 2 2 34" xfId="13356" xr:uid="{00000000-0005-0000-0000-000002340000}"/>
    <cellStyle name="Normal 2 2 2 2 35" xfId="13357" xr:uid="{00000000-0005-0000-0000-000003340000}"/>
    <cellStyle name="Normal 2 2 2 2 36" xfId="13358" xr:uid="{00000000-0005-0000-0000-000004340000}"/>
    <cellStyle name="Normal 2 2 2 2 37" xfId="13359" xr:uid="{00000000-0005-0000-0000-000005340000}"/>
    <cellStyle name="Normal 2 2 2 2 38" xfId="13360" xr:uid="{00000000-0005-0000-0000-000006340000}"/>
    <cellStyle name="Normal 2 2 2 2 39" xfId="13361" xr:uid="{00000000-0005-0000-0000-000007340000}"/>
    <cellStyle name="Normal 2 2 2 2 4" xfId="13362" xr:uid="{00000000-0005-0000-0000-000008340000}"/>
    <cellStyle name="Normal 2 2 2 2 4 10" xfId="13363" xr:uid="{00000000-0005-0000-0000-000009340000}"/>
    <cellStyle name="Normal 2 2 2 2 4 10 10" xfId="13364" xr:uid="{00000000-0005-0000-0000-00000A340000}"/>
    <cellStyle name="Normal 2 2 2 2 4 10 11" xfId="13365" xr:uid="{00000000-0005-0000-0000-00000B340000}"/>
    <cellStyle name="Normal 2 2 2 2 4 10 12" xfId="13366" xr:uid="{00000000-0005-0000-0000-00000C340000}"/>
    <cellStyle name="Normal 2 2 2 2 4 10 13" xfId="13367" xr:uid="{00000000-0005-0000-0000-00000D340000}"/>
    <cellStyle name="Normal 2 2 2 2 4 10 14" xfId="13368" xr:uid="{00000000-0005-0000-0000-00000E340000}"/>
    <cellStyle name="Normal 2 2 2 2 4 10 2" xfId="13369" xr:uid="{00000000-0005-0000-0000-00000F340000}"/>
    <cellStyle name="Normal 2 2 2 2 4 10 2 10" xfId="13370" xr:uid="{00000000-0005-0000-0000-000010340000}"/>
    <cellStyle name="Normal 2 2 2 2 4 10 2 2" xfId="13371" xr:uid="{00000000-0005-0000-0000-000011340000}"/>
    <cellStyle name="Normal 2 2 2 2 4 10 2 3" xfId="13372" xr:uid="{00000000-0005-0000-0000-000012340000}"/>
    <cellStyle name="Normal 2 2 2 2 4 10 2 4" xfId="13373" xr:uid="{00000000-0005-0000-0000-000013340000}"/>
    <cellStyle name="Normal 2 2 2 2 4 10 2 5" xfId="13374" xr:uid="{00000000-0005-0000-0000-000014340000}"/>
    <cellStyle name="Normal 2 2 2 2 4 10 2 6" xfId="13375" xr:uid="{00000000-0005-0000-0000-000015340000}"/>
    <cellStyle name="Normal 2 2 2 2 4 10 2 7" xfId="13376" xr:uid="{00000000-0005-0000-0000-000016340000}"/>
    <cellStyle name="Normal 2 2 2 2 4 10 2 8" xfId="13377" xr:uid="{00000000-0005-0000-0000-000017340000}"/>
    <cellStyle name="Normal 2 2 2 2 4 10 2 9" xfId="13378" xr:uid="{00000000-0005-0000-0000-000018340000}"/>
    <cellStyle name="Normal 2 2 2 2 4 10 3" xfId="13379" xr:uid="{00000000-0005-0000-0000-000019340000}"/>
    <cellStyle name="Normal 2 2 2 2 4 10 3 10" xfId="13380" xr:uid="{00000000-0005-0000-0000-00001A340000}"/>
    <cellStyle name="Normal 2 2 2 2 4 10 3 2" xfId="13381" xr:uid="{00000000-0005-0000-0000-00001B340000}"/>
    <cellStyle name="Normal 2 2 2 2 4 10 3 3" xfId="13382" xr:uid="{00000000-0005-0000-0000-00001C340000}"/>
    <cellStyle name="Normal 2 2 2 2 4 10 3 4" xfId="13383" xr:uid="{00000000-0005-0000-0000-00001D340000}"/>
    <cellStyle name="Normal 2 2 2 2 4 10 3 5" xfId="13384" xr:uid="{00000000-0005-0000-0000-00001E340000}"/>
    <cellStyle name="Normal 2 2 2 2 4 10 3 6" xfId="13385" xr:uid="{00000000-0005-0000-0000-00001F340000}"/>
    <cellStyle name="Normal 2 2 2 2 4 10 3 7" xfId="13386" xr:uid="{00000000-0005-0000-0000-000020340000}"/>
    <cellStyle name="Normal 2 2 2 2 4 10 3 8" xfId="13387" xr:uid="{00000000-0005-0000-0000-000021340000}"/>
    <cellStyle name="Normal 2 2 2 2 4 10 3 9" xfId="13388" xr:uid="{00000000-0005-0000-0000-000022340000}"/>
    <cellStyle name="Normal 2 2 2 2 4 10 4" xfId="13389" xr:uid="{00000000-0005-0000-0000-000023340000}"/>
    <cellStyle name="Normal 2 2 2 2 4 10 4 10" xfId="13390" xr:uid="{00000000-0005-0000-0000-000024340000}"/>
    <cellStyle name="Normal 2 2 2 2 4 10 4 2" xfId="13391" xr:uid="{00000000-0005-0000-0000-000025340000}"/>
    <cellStyle name="Normal 2 2 2 2 4 10 4 3" xfId="13392" xr:uid="{00000000-0005-0000-0000-000026340000}"/>
    <cellStyle name="Normal 2 2 2 2 4 10 4 4" xfId="13393" xr:uid="{00000000-0005-0000-0000-000027340000}"/>
    <cellStyle name="Normal 2 2 2 2 4 10 4 5" xfId="13394" xr:uid="{00000000-0005-0000-0000-000028340000}"/>
    <cellStyle name="Normal 2 2 2 2 4 10 4 6" xfId="13395" xr:uid="{00000000-0005-0000-0000-000029340000}"/>
    <cellStyle name="Normal 2 2 2 2 4 10 4 7" xfId="13396" xr:uid="{00000000-0005-0000-0000-00002A340000}"/>
    <cellStyle name="Normal 2 2 2 2 4 10 4 8" xfId="13397" xr:uid="{00000000-0005-0000-0000-00002B340000}"/>
    <cellStyle name="Normal 2 2 2 2 4 10 4 9" xfId="13398" xr:uid="{00000000-0005-0000-0000-00002C340000}"/>
    <cellStyle name="Normal 2 2 2 2 4 10 5" xfId="13399" xr:uid="{00000000-0005-0000-0000-00002D340000}"/>
    <cellStyle name="Normal 2 2 2 2 4 10 5 10" xfId="13400" xr:uid="{00000000-0005-0000-0000-00002E340000}"/>
    <cellStyle name="Normal 2 2 2 2 4 10 5 2" xfId="13401" xr:uid="{00000000-0005-0000-0000-00002F340000}"/>
    <cellStyle name="Normal 2 2 2 2 4 10 5 3" xfId="13402" xr:uid="{00000000-0005-0000-0000-000030340000}"/>
    <cellStyle name="Normal 2 2 2 2 4 10 5 4" xfId="13403" xr:uid="{00000000-0005-0000-0000-000031340000}"/>
    <cellStyle name="Normal 2 2 2 2 4 10 5 5" xfId="13404" xr:uid="{00000000-0005-0000-0000-000032340000}"/>
    <cellStyle name="Normal 2 2 2 2 4 10 5 6" xfId="13405" xr:uid="{00000000-0005-0000-0000-000033340000}"/>
    <cellStyle name="Normal 2 2 2 2 4 10 5 7" xfId="13406" xr:uid="{00000000-0005-0000-0000-000034340000}"/>
    <cellStyle name="Normal 2 2 2 2 4 10 5 8" xfId="13407" xr:uid="{00000000-0005-0000-0000-000035340000}"/>
    <cellStyle name="Normal 2 2 2 2 4 10 5 9" xfId="13408" xr:uid="{00000000-0005-0000-0000-000036340000}"/>
    <cellStyle name="Normal 2 2 2 2 4 10 6" xfId="13409" xr:uid="{00000000-0005-0000-0000-000037340000}"/>
    <cellStyle name="Normal 2 2 2 2 4 10 7" xfId="13410" xr:uid="{00000000-0005-0000-0000-000038340000}"/>
    <cellStyle name="Normal 2 2 2 2 4 10 8" xfId="13411" xr:uid="{00000000-0005-0000-0000-000039340000}"/>
    <cellStyle name="Normal 2 2 2 2 4 10 9" xfId="13412" xr:uid="{00000000-0005-0000-0000-00003A340000}"/>
    <cellStyle name="Normal 2 2 2 2 4 11" xfId="13413" xr:uid="{00000000-0005-0000-0000-00003B340000}"/>
    <cellStyle name="Normal 2 2 2 2 4 11 10" xfId="13414" xr:uid="{00000000-0005-0000-0000-00003C340000}"/>
    <cellStyle name="Normal 2 2 2 2 4 11 11" xfId="13415" xr:uid="{00000000-0005-0000-0000-00003D340000}"/>
    <cellStyle name="Normal 2 2 2 2 4 11 12" xfId="13416" xr:uid="{00000000-0005-0000-0000-00003E340000}"/>
    <cellStyle name="Normal 2 2 2 2 4 11 13" xfId="13417" xr:uid="{00000000-0005-0000-0000-00003F340000}"/>
    <cellStyle name="Normal 2 2 2 2 4 11 14" xfId="13418" xr:uid="{00000000-0005-0000-0000-000040340000}"/>
    <cellStyle name="Normal 2 2 2 2 4 11 2" xfId="13419" xr:uid="{00000000-0005-0000-0000-000041340000}"/>
    <cellStyle name="Normal 2 2 2 2 4 11 2 10" xfId="13420" xr:uid="{00000000-0005-0000-0000-000042340000}"/>
    <cellStyle name="Normal 2 2 2 2 4 11 2 2" xfId="13421" xr:uid="{00000000-0005-0000-0000-000043340000}"/>
    <cellStyle name="Normal 2 2 2 2 4 11 2 3" xfId="13422" xr:uid="{00000000-0005-0000-0000-000044340000}"/>
    <cellStyle name="Normal 2 2 2 2 4 11 2 4" xfId="13423" xr:uid="{00000000-0005-0000-0000-000045340000}"/>
    <cellStyle name="Normal 2 2 2 2 4 11 2 5" xfId="13424" xr:uid="{00000000-0005-0000-0000-000046340000}"/>
    <cellStyle name="Normal 2 2 2 2 4 11 2 6" xfId="13425" xr:uid="{00000000-0005-0000-0000-000047340000}"/>
    <cellStyle name="Normal 2 2 2 2 4 11 2 7" xfId="13426" xr:uid="{00000000-0005-0000-0000-000048340000}"/>
    <cellStyle name="Normal 2 2 2 2 4 11 2 8" xfId="13427" xr:uid="{00000000-0005-0000-0000-000049340000}"/>
    <cellStyle name="Normal 2 2 2 2 4 11 2 9" xfId="13428" xr:uid="{00000000-0005-0000-0000-00004A340000}"/>
    <cellStyle name="Normal 2 2 2 2 4 11 3" xfId="13429" xr:uid="{00000000-0005-0000-0000-00004B340000}"/>
    <cellStyle name="Normal 2 2 2 2 4 11 3 10" xfId="13430" xr:uid="{00000000-0005-0000-0000-00004C340000}"/>
    <cellStyle name="Normal 2 2 2 2 4 11 3 2" xfId="13431" xr:uid="{00000000-0005-0000-0000-00004D340000}"/>
    <cellStyle name="Normal 2 2 2 2 4 11 3 3" xfId="13432" xr:uid="{00000000-0005-0000-0000-00004E340000}"/>
    <cellStyle name="Normal 2 2 2 2 4 11 3 4" xfId="13433" xr:uid="{00000000-0005-0000-0000-00004F340000}"/>
    <cellStyle name="Normal 2 2 2 2 4 11 3 5" xfId="13434" xr:uid="{00000000-0005-0000-0000-000050340000}"/>
    <cellStyle name="Normal 2 2 2 2 4 11 3 6" xfId="13435" xr:uid="{00000000-0005-0000-0000-000051340000}"/>
    <cellStyle name="Normal 2 2 2 2 4 11 3 7" xfId="13436" xr:uid="{00000000-0005-0000-0000-000052340000}"/>
    <cellStyle name="Normal 2 2 2 2 4 11 3 8" xfId="13437" xr:uid="{00000000-0005-0000-0000-000053340000}"/>
    <cellStyle name="Normal 2 2 2 2 4 11 3 9" xfId="13438" xr:uid="{00000000-0005-0000-0000-000054340000}"/>
    <cellStyle name="Normal 2 2 2 2 4 11 4" xfId="13439" xr:uid="{00000000-0005-0000-0000-000055340000}"/>
    <cellStyle name="Normal 2 2 2 2 4 11 4 10" xfId="13440" xr:uid="{00000000-0005-0000-0000-000056340000}"/>
    <cellStyle name="Normal 2 2 2 2 4 11 4 2" xfId="13441" xr:uid="{00000000-0005-0000-0000-000057340000}"/>
    <cellStyle name="Normal 2 2 2 2 4 11 4 3" xfId="13442" xr:uid="{00000000-0005-0000-0000-000058340000}"/>
    <cellStyle name="Normal 2 2 2 2 4 11 4 4" xfId="13443" xr:uid="{00000000-0005-0000-0000-000059340000}"/>
    <cellStyle name="Normal 2 2 2 2 4 11 4 5" xfId="13444" xr:uid="{00000000-0005-0000-0000-00005A340000}"/>
    <cellStyle name="Normal 2 2 2 2 4 11 4 6" xfId="13445" xr:uid="{00000000-0005-0000-0000-00005B340000}"/>
    <cellStyle name="Normal 2 2 2 2 4 11 4 7" xfId="13446" xr:uid="{00000000-0005-0000-0000-00005C340000}"/>
    <cellStyle name="Normal 2 2 2 2 4 11 4 8" xfId="13447" xr:uid="{00000000-0005-0000-0000-00005D340000}"/>
    <cellStyle name="Normal 2 2 2 2 4 11 4 9" xfId="13448" xr:uid="{00000000-0005-0000-0000-00005E340000}"/>
    <cellStyle name="Normal 2 2 2 2 4 11 5" xfId="13449" xr:uid="{00000000-0005-0000-0000-00005F340000}"/>
    <cellStyle name="Normal 2 2 2 2 4 11 5 10" xfId="13450" xr:uid="{00000000-0005-0000-0000-000060340000}"/>
    <cellStyle name="Normal 2 2 2 2 4 11 5 2" xfId="13451" xr:uid="{00000000-0005-0000-0000-000061340000}"/>
    <cellStyle name="Normal 2 2 2 2 4 11 5 3" xfId="13452" xr:uid="{00000000-0005-0000-0000-000062340000}"/>
    <cellStyle name="Normal 2 2 2 2 4 11 5 4" xfId="13453" xr:uid="{00000000-0005-0000-0000-000063340000}"/>
    <cellStyle name="Normal 2 2 2 2 4 11 5 5" xfId="13454" xr:uid="{00000000-0005-0000-0000-000064340000}"/>
    <cellStyle name="Normal 2 2 2 2 4 11 5 6" xfId="13455" xr:uid="{00000000-0005-0000-0000-000065340000}"/>
    <cellStyle name="Normal 2 2 2 2 4 11 5 7" xfId="13456" xr:uid="{00000000-0005-0000-0000-000066340000}"/>
    <cellStyle name="Normal 2 2 2 2 4 11 5 8" xfId="13457" xr:uid="{00000000-0005-0000-0000-000067340000}"/>
    <cellStyle name="Normal 2 2 2 2 4 11 5 9" xfId="13458" xr:uid="{00000000-0005-0000-0000-000068340000}"/>
    <cellStyle name="Normal 2 2 2 2 4 11 6" xfId="13459" xr:uid="{00000000-0005-0000-0000-000069340000}"/>
    <cellStyle name="Normal 2 2 2 2 4 11 7" xfId="13460" xr:uid="{00000000-0005-0000-0000-00006A340000}"/>
    <cellStyle name="Normal 2 2 2 2 4 11 8" xfId="13461" xr:uid="{00000000-0005-0000-0000-00006B340000}"/>
    <cellStyle name="Normal 2 2 2 2 4 11 9" xfId="13462" xr:uid="{00000000-0005-0000-0000-00006C340000}"/>
    <cellStyle name="Normal 2 2 2 2 4 12" xfId="13463" xr:uid="{00000000-0005-0000-0000-00006D340000}"/>
    <cellStyle name="Normal 2 2 2 2 4 12 10" xfId="13464" xr:uid="{00000000-0005-0000-0000-00006E340000}"/>
    <cellStyle name="Normal 2 2 2 2 4 12 11" xfId="13465" xr:uid="{00000000-0005-0000-0000-00006F340000}"/>
    <cellStyle name="Normal 2 2 2 2 4 12 12" xfId="13466" xr:uid="{00000000-0005-0000-0000-000070340000}"/>
    <cellStyle name="Normal 2 2 2 2 4 12 13" xfId="13467" xr:uid="{00000000-0005-0000-0000-000071340000}"/>
    <cellStyle name="Normal 2 2 2 2 4 12 14" xfId="13468" xr:uid="{00000000-0005-0000-0000-000072340000}"/>
    <cellStyle name="Normal 2 2 2 2 4 12 2" xfId="13469" xr:uid="{00000000-0005-0000-0000-000073340000}"/>
    <cellStyle name="Normal 2 2 2 2 4 12 2 10" xfId="13470" xr:uid="{00000000-0005-0000-0000-000074340000}"/>
    <cellStyle name="Normal 2 2 2 2 4 12 2 2" xfId="13471" xr:uid="{00000000-0005-0000-0000-000075340000}"/>
    <cellStyle name="Normal 2 2 2 2 4 12 2 3" xfId="13472" xr:uid="{00000000-0005-0000-0000-000076340000}"/>
    <cellStyle name="Normal 2 2 2 2 4 12 2 4" xfId="13473" xr:uid="{00000000-0005-0000-0000-000077340000}"/>
    <cellStyle name="Normal 2 2 2 2 4 12 2 5" xfId="13474" xr:uid="{00000000-0005-0000-0000-000078340000}"/>
    <cellStyle name="Normal 2 2 2 2 4 12 2 6" xfId="13475" xr:uid="{00000000-0005-0000-0000-000079340000}"/>
    <cellStyle name="Normal 2 2 2 2 4 12 2 7" xfId="13476" xr:uid="{00000000-0005-0000-0000-00007A340000}"/>
    <cellStyle name="Normal 2 2 2 2 4 12 2 8" xfId="13477" xr:uid="{00000000-0005-0000-0000-00007B340000}"/>
    <cellStyle name="Normal 2 2 2 2 4 12 2 9" xfId="13478" xr:uid="{00000000-0005-0000-0000-00007C340000}"/>
    <cellStyle name="Normal 2 2 2 2 4 12 3" xfId="13479" xr:uid="{00000000-0005-0000-0000-00007D340000}"/>
    <cellStyle name="Normal 2 2 2 2 4 12 3 10" xfId="13480" xr:uid="{00000000-0005-0000-0000-00007E340000}"/>
    <cellStyle name="Normal 2 2 2 2 4 12 3 2" xfId="13481" xr:uid="{00000000-0005-0000-0000-00007F340000}"/>
    <cellStyle name="Normal 2 2 2 2 4 12 3 3" xfId="13482" xr:uid="{00000000-0005-0000-0000-000080340000}"/>
    <cellStyle name="Normal 2 2 2 2 4 12 3 4" xfId="13483" xr:uid="{00000000-0005-0000-0000-000081340000}"/>
    <cellStyle name="Normal 2 2 2 2 4 12 3 5" xfId="13484" xr:uid="{00000000-0005-0000-0000-000082340000}"/>
    <cellStyle name="Normal 2 2 2 2 4 12 3 6" xfId="13485" xr:uid="{00000000-0005-0000-0000-000083340000}"/>
    <cellStyle name="Normal 2 2 2 2 4 12 3 7" xfId="13486" xr:uid="{00000000-0005-0000-0000-000084340000}"/>
    <cellStyle name="Normal 2 2 2 2 4 12 3 8" xfId="13487" xr:uid="{00000000-0005-0000-0000-000085340000}"/>
    <cellStyle name="Normal 2 2 2 2 4 12 3 9" xfId="13488" xr:uid="{00000000-0005-0000-0000-000086340000}"/>
    <cellStyle name="Normal 2 2 2 2 4 12 4" xfId="13489" xr:uid="{00000000-0005-0000-0000-000087340000}"/>
    <cellStyle name="Normal 2 2 2 2 4 12 4 10" xfId="13490" xr:uid="{00000000-0005-0000-0000-000088340000}"/>
    <cellStyle name="Normal 2 2 2 2 4 12 4 2" xfId="13491" xr:uid="{00000000-0005-0000-0000-000089340000}"/>
    <cellStyle name="Normal 2 2 2 2 4 12 4 3" xfId="13492" xr:uid="{00000000-0005-0000-0000-00008A340000}"/>
    <cellStyle name="Normal 2 2 2 2 4 12 4 4" xfId="13493" xr:uid="{00000000-0005-0000-0000-00008B340000}"/>
    <cellStyle name="Normal 2 2 2 2 4 12 4 5" xfId="13494" xr:uid="{00000000-0005-0000-0000-00008C340000}"/>
    <cellStyle name="Normal 2 2 2 2 4 12 4 6" xfId="13495" xr:uid="{00000000-0005-0000-0000-00008D340000}"/>
    <cellStyle name="Normal 2 2 2 2 4 12 4 7" xfId="13496" xr:uid="{00000000-0005-0000-0000-00008E340000}"/>
    <cellStyle name="Normal 2 2 2 2 4 12 4 8" xfId="13497" xr:uid="{00000000-0005-0000-0000-00008F340000}"/>
    <cellStyle name="Normal 2 2 2 2 4 12 4 9" xfId="13498" xr:uid="{00000000-0005-0000-0000-000090340000}"/>
    <cellStyle name="Normal 2 2 2 2 4 12 5" xfId="13499" xr:uid="{00000000-0005-0000-0000-000091340000}"/>
    <cellStyle name="Normal 2 2 2 2 4 12 5 10" xfId="13500" xr:uid="{00000000-0005-0000-0000-000092340000}"/>
    <cellStyle name="Normal 2 2 2 2 4 12 5 2" xfId="13501" xr:uid="{00000000-0005-0000-0000-000093340000}"/>
    <cellStyle name="Normal 2 2 2 2 4 12 5 3" xfId="13502" xr:uid="{00000000-0005-0000-0000-000094340000}"/>
    <cellStyle name="Normal 2 2 2 2 4 12 5 4" xfId="13503" xr:uid="{00000000-0005-0000-0000-000095340000}"/>
    <cellStyle name="Normal 2 2 2 2 4 12 5 5" xfId="13504" xr:uid="{00000000-0005-0000-0000-000096340000}"/>
    <cellStyle name="Normal 2 2 2 2 4 12 5 6" xfId="13505" xr:uid="{00000000-0005-0000-0000-000097340000}"/>
    <cellStyle name="Normal 2 2 2 2 4 12 5 7" xfId="13506" xr:uid="{00000000-0005-0000-0000-000098340000}"/>
    <cellStyle name="Normal 2 2 2 2 4 12 5 8" xfId="13507" xr:uid="{00000000-0005-0000-0000-000099340000}"/>
    <cellStyle name="Normal 2 2 2 2 4 12 5 9" xfId="13508" xr:uid="{00000000-0005-0000-0000-00009A340000}"/>
    <cellStyle name="Normal 2 2 2 2 4 12 6" xfId="13509" xr:uid="{00000000-0005-0000-0000-00009B340000}"/>
    <cellStyle name="Normal 2 2 2 2 4 12 7" xfId="13510" xr:uid="{00000000-0005-0000-0000-00009C340000}"/>
    <cellStyle name="Normal 2 2 2 2 4 12 8" xfId="13511" xr:uid="{00000000-0005-0000-0000-00009D340000}"/>
    <cellStyle name="Normal 2 2 2 2 4 12 9" xfId="13512" xr:uid="{00000000-0005-0000-0000-00009E340000}"/>
    <cellStyle name="Normal 2 2 2 2 4 13" xfId="13513" xr:uid="{00000000-0005-0000-0000-00009F340000}"/>
    <cellStyle name="Normal 2 2 2 2 4 13 10" xfId="13514" xr:uid="{00000000-0005-0000-0000-0000A0340000}"/>
    <cellStyle name="Normal 2 2 2 2 4 13 11" xfId="13515" xr:uid="{00000000-0005-0000-0000-0000A1340000}"/>
    <cellStyle name="Normal 2 2 2 2 4 13 12" xfId="13516" xr:uid="{00000000-0005-0000-0000-0000A2340000}"/>
    <cellStyle name="Normal 2 2 2 2 4 13 13" xfId="13517" xr:uid="{00000000-0005-0000-0000-0000A3340000}"/>
    <cellStyle name="Normal 2 2 2 2 4 13 14" xfId="13518" xr:uid="{00000000-0005-0000-0000-0000A4340000}"/>
    <cellStyle name="Normal 2 2 2 2 4 13 2" xfId="13519" xr:uid="{00000000-0005-0000-0000-0000A5340000}"/>
    <cellStyle name="Normal 2 2 2 2 4 13 2 10" xfId="13520" xr:uid="{00000000-0005-0000-0000-0000A6340000}"/>
    <cellStyle name="Normal 2 2 2 2 4 13 2 2" xfId="13521" xr:uid="{00000000-0005-0000-0000-0000A7340000}"/>
    <cellStyle name="Normal 2 2 2 2 4 13 2 3" xfId="13522" xr:uid="{00000000-0005-0000-0000-0000A8340000}"/>
    <cellStyle name="Normal 2 2 2 2 4 13 2 4" xfId="13523" xr:uid="{00000000-0005-0000-0000-0000A9340000}"/>
    <cellStyle name="Normal 2 2 2 2 4 13 2 5" xfId="13524" xr:uid="{00000000-0005-0000-0000-0000AA340000}"/>
    <cellStyle name="Normal 2 2 2 2 4 13 2 6" xfId="13525" xr:uid="{00000000-0005-0000-0000-0000AB340000}"/>
    <cellStyle name="Normal 2 2 2 2 4 13 2 7" xfId="13526" xr:uid="{00000000-0005-0000-0000-0000AC340000}"/>
    <cellStyle name="Normal 2 2 2 2 4 13 2 8" xfId="13527" xr:uid="{00000000-0005-0000-0000-0000AD340000}"/>
    <cellStyle name="Normal 2 2 2 2 4 13 2 9" xfId="13528" xr:uid="{00000000-0005-0000-0000-0000AE340000}"/>
    <cellStyle name="Normal 2 2 2 2 4 13 3" xfId="13529" xr:uid="{00000000-0005-0000-0000-0000AF340000}"/>
    <cellStyle name="Normal 2 2 2 2 4 13 3 10" xfId="13530" xr:uid="{00000000-0005-0000-0000-0000B0340000}"/>
    <cellStyle name="Normal 2 2 2 2 4 13 3 2" xfId="13531" xr:uid="{00000000-0005-0000-0000-0000B1340000}"/>
    <cellStyle name="Normal 2 2 2 2 4 13 3 3" xfId="13532" xr:uid="{00000000-0005-0000-0000-0000B2340000}"/>
    <cellStyle name="Normal 2 2 2 2 4 13 3 4" xfId="13533" xr:uid="{00000000-0005-0000-0000-0000B3340000}"/>
    <cellStyle name="Normal 2 2 2 2 4 13 3 5" xfId="13534" xr:uid="{00000000-0005-0000-0000-0000B4340000}"/>
    <cellStyle name="Normal 2 2 2 2 4 13 3 6" xfId="13535" xr:uid="{00000000-0005-0000-0000-0000B5340000}"/>
    <cellStyle name="Normal 2 2 2 2 4 13 3 7" xfId="13536" xr:uid="{00000000-0005-0000-0000-0000B6340000}"/>
    <cellStyle name="Normal 2 2 2 2 4 13 3 8" xfId="13537" xr:uid="{00000000-0005-0000-0000-0000B7340000}"/>
    <cellStyle name="Normal 2 2 2 2 4 13 3 9" xfId="13538" xr:uid="{00000000-0005-0000-0000-0000B8340000}"/>
    <cellStyle name="Normal 2 2 2 2 4 13 4" xfId="13539" xr:uid="{00000000-0005-0000-0000-0000B9340000}"/>
    <cellStyle name="Normal 2 2 2 2 4 13 4 10" xfId="13540" xr:uid="{00000000-0005-0000-0000-0000BA340000}"/>
    <cellStyle name="Normal 2 2 2 2 4 13 4 2" xfId="13541" xr:uid="{00000000-0005-0000-0000-0000BB340000}"/>
    <cellStyle name="Normal 2 2 2 2 4 13 4 3" xfId="13542" xr:uid="{00000000-0005-0000-0000-0000BC340000}"/>
    <cellStyle name="Normal 2 2 2 2 4 13 4 4" xfId="13543" xr:uid="{00000000-0005-0000-0000-0000BD340000}"/>
    <cellStyle name="Normal 2 2 2 2 4 13 4 5" xfId="13544" xr:uid="{00000000-0005-0000-0000-0000BE340000}"/>
    <cellStyle name="Normal 2 2 2 2 4 13 4 6" xfId="13545" xr:uid="{00000000-0005-0000-0000-0000BF340000}"/>
    <cellStyle name="Normal 2 2 2 2 4 13 4 7" xfId="13546" xr:uid="{00000000-0005-0000-0000-0000C0340000}"/>
    <cellStyle name="Normal 2 2 2 2 4 13 4 8" xfId="13547" xr:uid="{00000000-0005-0000-0000-0000C1340000}"/>
    <cellStyle name="Normal 2 2 2 2 4 13 4 9" xfId="13548" xr:uid="{00000000-0005-0000-0000-0000C2340000}"/>
    <cellStyle name="Normal 2 2 2 2 4 13 5" xfId="13549" xr:uid="{00000000-0005-0000-0000-0000C3340000}"/>
    <cellStyle name="Normal 2 2 2 2 4 13 5 10" xfId="13550" xr:uid="{00000000-0005-0000-0000-0000C4340000}"/>
    <cellStyle name="Normal 2 2 2 2 4 13 5 2" xfId="13551" xr:uid="{00000000-0005-0000-0000-0000C5340000}"/>
    <cellStyle name="Normal 2 2 2 2 4 13 5 3" xfId="13552" xr:uid="{00000000-0005-0000-0000-0000C6340000}"/>
    <cellStyle name="Normal 2 2 2 2 4 13 5 4" xfId="13553" xr:uid="{00000000-0005-0000-0000-0000C7340000}"/>
    <cellStyle name="Normal 2 2 2 2 4 13 5 5" xfId="13554" xr:uid="{00000000-0005-0000-0000-0000C8340000}"/>
    <cellStyle name="Normal 2 2 2 2 4 13 5 6" xfId="13555" xr:uid="{00000000-0005-0000-0000-0000C9340000}"/>
    <cellStyle name="Normal 2 2 2 2 4 13 5 7" xfId="13556" xr:uid="{00000000-0005-0000-0000-0000CA340000}"/>
    <cellStyle name="Normal 2 2 2 2 4 13 5 8" xfId="13557" xr:uid="{00000000-0005-0000-0000-0000CB340000}"/>
    <cellStyle name="Normal 2 2 2 2 4 13 5 9" xfId="13558" xr:uid="{00000000-0005-0000-0000-0000CC340000}"/>
    <cellStyle name="Normal 2 2 2 2 4 13 6" xfId="13559" xr:uid="{00000000-0005-0000-0000-0000CD340000}"/>
    <cellStyle name="Normal 2 2 2 2 4 13 7" xfId="13560" xr:uid="{00000000-0005-0000-0000-0000CE340000}"/>
    <cellStyle name="Normal 2 2 2 2 4 13 8" xfId="13561" xr:uid="{00000000-0005-0000-0000-0000CF340000}"/>
    <cellStyle name="Normal 2 2 2 2 4 13 9" xfId="13562" xr:uid="{00000000-0005-0000-0000-0000D0340000}"/>
    <cellStyle name="Normal 2 2 2 2 4 14" xfId="13563" xr:uid="{00000000-0005-0000-0000-0000D1340000}"/>
    <cellStyle name="Normal 2 2 2 2 4 14 10" xfId="13564" xr:uid="{00000000-0005-0000-0000-0000D2340000}"/>
    <cellStyle name="Normal 2 2 2 2 4 14 11" xfId="13565" xr:uid="{00000000-0005-0000-0000-0000D3340000}"/>
    <cellStyle name="Normal 2 2 2 2 4 14 12" xfId="13566" xr:uid="{00000000-0005-0000-0000-0000D4340000}"/>
    <cellStyle name="Normal 2 2 2 2 4 14 13" xfId="13567" xr:uid="{00000000-0005-0000-0000-0000D5340000}"/>
    <cellStyle name="Normal 2 2 2 2 4 14 14" xfId="13568" xr:uid="{00000000-0005-0000-0000-0000D6340000}"/>
    <cellStyle name="Normal 2 2 2 2 4 14 2" xfId="13569" xr:uid="{00000000-0005-0000-0000-0000D7340000}"/>
    <cellStyle name="Normal 2 2 2 2 4 14 2 10" xfId="13570" xr:uid="{00000000-0005-0000-0000-0000D8340000}"/>
    <cellStyle name="Normal 2 2 2 2 4 14 2 2" xfId="13571" xr:uid="{00000000-0005-0000-0000-0000D9340000}"/>
    <cellStyle name="Normal 2 2 2 2 4 14 2 3" xfId="13572" xr:uid="{00000000-0005-0000-0000-0000DA340000}"/>
    <cellStyle name="Normal 2 2 2 2 4 14 2 4" xfId="13573" xr:uid="{00000000-0005-0000-0000-0000DB340000}"/>
    <cellStyle name="Normal 2 2 2 2 4 14 2 5" xfId="13574" xr:uid="{00000000-0005-0000-0000-0000DC340000}"/>
    <cellStyle name="Normal 2 2 2 2 4 14 2 6" xfId="13575" xr:uid="{00000000-0005-0000-0000-0000DD340000}"/>
    <cellStyle name="Normal 2 2 2 2 4 14 2 7" xfId="13576" xr:uid="{00000000-0005-0000-0000-0000DE340000}"/>
    <cellStyle name="Normal 2 2 2 2 4 14 2 8" xfId="13577" xr:uid="{00000000-0005-0000-0000-0000DF340000}"/>
    <cellStyle name="Normal 2 2 2 2 4 14 2 9" xfId="13578" xr:uid="{00000000-0005-0000-0000-0000E0340000}"/>
    <cellStyle name="Normal 2 2 2 2 4 14 3" xfId="13579" xr:uid="{00000000-0005-0000-0000-0000E1340000}"/>
    <cellStyle name="Normal 2 2 2 2 4 14 3 10" xfId="13580" xr:uid="{00000000-0005-0000-0000-0000E2340000}"/>
    <cellStyle name="Normal 2 2 2 2 4 14 3 2" xfId="13581" xr:uid="{00000000-0005-0000-0000-0000E3340000}"/>
    <cellStyle name="Normal 2 2 2 2 4 14 3 3" xfId="13582" xr:uid="{00000000-0005-0000-0000-0000E4340000}"/>
    <cellStyle name="Normal 2 2 2 2 4 14 3 4" xfId="13583" xr:uid="{00000000-0005-0000-0000-0000E5340000}"/>
    <cellStyle name="Normal 2 2 2 2 4 14 3 5" xfId="13584" xr:uid="{00000000-0005-0000-0000-0000E6340000}"/>
    <cellStyle name="Normal 2 2 2 2 4 14 3 6" xfId="13585" xr:uid="{00000000-0005-0000-0000-0000E7340000}"/>
    <cellStyle name="Normal 2 2 2 2 4 14 3 7" xfId="13586" xr:uid="{00000000-0005-0000-0000-0000E8340000}"/>
    <cellStyle name="Normal 2 2 2 2 4 14 3 8" xfId="13587" xr:uid="{00000000-0005-0000-0000-0000E9340000}"/>
    <cellStyle name="Normal 2 2 2 2 4 14 3 9" xfId="13588" xr:uid="{00000000-0005-0000-0000-0000EA340000}"/>
    <cellStyle name="Normal 2 2 2 2 4 14 4" xfId="13589" xr:uid="{00000000-0005-0000-0000-0000EB340000}"/>
    <cellStyle name="Normal 2 2 2 2 4 14 4 10" xfId="13590" xr:uid="{00000000-0005-0000-0000-0000EC340000}"/>
    <cellStyle name="Normal 2 2 2 2 4 14 4 2" xfId="13591" xr:uid="{00000000-0005-0000-0000-0000ED340000}"/>
    <cellStyle name="Normal 2 2 2 2 4 14 4 3" xfId="13592" xr:uid="{00000000-0005-0000-0000-0000EE340000}"/>
    <cellStyle name="Normal 2 2 2 2 4 14 4 4" xfId="13593" xr:uid="{00000000-0005-0000-0000-0000EF340000}"/>
    <cellStyle name="Normal 2 2 2 2 4 14 4 5" xfId="13594" xr:uid="{00000000-0005-0000-0000-0000F0340000}"/>
    <cellStyle name="Normal 2 2 2 2 4 14 4 6" xfId="13595" xr:uid="{00000000-0005-0000-0000-0000F1340000}"/>
    <cellStyle name="Normal 2 2 2 2 4 14 4 7" xfId="13596" xr:uid="{00000000-0005-0000-0000-0000F2340000}"/>
    <cellStyle name="Normal 2 2 2 2 4 14 4 8" xfId="13597" xr:uid="{00000000-0005-0000-0000-0000F3340000}"/>
    <cellStyle name="Normal 2 2 2 2 4 14 4 9" xfId="13598" xr:uid="{00000000-0005-0000-0000-0000F4340000}"/>
    <cellStyle name="Normal 2 2 2 2 4 14 5" xfId="13599" xr:uid="{00000000-0005-0000-0000-0000F5340000}"/>
    <cellStyle name="Normal 2 2 2 2 4 14 5 10" xfId="13600" xr:uid="{00000000-0005-0000-0000-0000F6340000}"/>
    <cellStyle name="Normal 2 2 2 2 4 14 5 2" xfId="13601" xr:uid="{00000000-0005-0000-0000-0000F7340000}"/>
    <cellStyle name="Normal 2 2 2 2 4 14 5 3" xfId="13602" xr:uid="{00000000-0005-0000-0000-0000F8340000}"/>
    <cellStyle name="Normal 2 2 2 2 4 14 5 4" xfId="13603" xr:uid="{00000000-0005-0000-0000-0000F9340000}"/>
    <cellStyle name="Normal 2 2 2 2 4 14 5 5" xfId="13604" xr:uid="{00000000-0005-0000-0000-0000FA340000}"/>
    <cellStyle name="Normal 2 2 2 2 4 14 5 6" xfId="13605" xr:uid="{00000000-0005-0000-0000-0000FB340000}"/>
    <cellStyle name="Normal 2 2 2 2 4 14 5 7" xfId="13606" xr:uid="{00000000-0005-0000-0000-0000FC340000}"/>
    <cellStyle name="Normal 2 2 2 2 4 14 5 8" xfId="13607" xr:uid="{00000000-0005-0000-0000-0000FD340000}"/>
    <cellStyle name="Normal 2 2 2 2 4 14 5 9" xfId="13608" xr:uid="{00000000-0005-0000-0000-0000FE340000}"/>
    <cellStyle name="Normal 2 2 2 2 4 14 6" xfId="13609" xr:uid="{00000000-0005-0000-0000-0000FF340000}"/>
    <cellStyle name="Normal 2 2 2 2 4 14 7" xfId="13610" xr:uid="{00000000-0005-0000-0000-000000350000}"/>
    <cellStyle name="Normal 2 2 2 2 4 14 8" xfId="13611" xr:uid="{00000000-0005-0000-0000-000001350000}"/>
    <cellStyle name="Normal 2 2 2 2 4 14 9" xfId="13612" xr:uid="{00000000-0005-0000-0000-000002350000}"/>
    <cellStyle name="Normal 2 2 2 2 4 15" xfId="13613" xr:uid="{00000000-0005-0000-0000-000003350000}"/>
    <cellStyle name="Normal 2 2 2 2 4 15 10" xfId="13614" xr:uid="{00000000-0005-0000-0000-000004350000}"/>
    <cellStyle name="Normal 2 2 2 2 4 15 11" xfId="13615" xr:uid="{00000000-0005-0000-0000-000005350000}"/>
    <cellStyle name="Normal 2 2 2 2 4 15 12" xfId="13616" xr:uid="{00000000-0005-0000-0000-000006350000}"/>
    <cellStyle name="Normal 2 2 2 2 4 15 13" xfId="13617" xr:uid="{00000000-0005-0000-0000-000007350000}"/>
    <cellStyle name="Normal 2 2 2 2 4 15 14" xfId="13618" xr:uid="{00000000-0005-0000-0000-000008350000}"/>
    <cellStyle name="Normal 2 2 2 2 4 15 2" xfId="13619" xr:uid="{00000000-0005-0000-0000-000009350000}"/>
    <cellStyle name="Normal 2 2 2 2 4 15 2 10" xfId="13620" xr:uid="{00000000-0005-0000-0000-00000A350000}"/>
    <cellStyle name="Normal 2 2 2 2 4 15 2 2" xfId="13621" xr:uid="{00000000-0005-0000-0000-00000B350000}"/>
    <cellStyle name="Normal 2 2 2 2 4 15 2 3" xfId="13622" xr:uid="{00000000-0005-0000-0000-00000C350000}"/>
    <cellStyle name="Normal 2 2 2 2 4 15 2 4" xfId="13623" xr:uid="{00000000-0005-0000-0000-00000D350000}"/>
    <cellStyle name="Normal 2 2 2 2 4 15 2 5" xfId="13624" xr:uid="{00000000-0005-0000-0000-00000E350000}"/>
    <cellStyle name="Normal 2 2 2 2 4 15 2 6" xfId="13625" xr:uid="{00000000-0005-0000-0000-00000F350000}"/>
    <cellStyle name="Normal 2 2 2 2 4 15 2 7" xfId="13626" xr:uid="{00000000-0005-0000-0000-000010350000}"/>
    <cellStyle name="Normal 2 2 2 2 4 15 2 8" xfId="13627" xr:uid="{00000000-0005-0000-0000-000011350000}"/>
    <cellStyle name="Normal 2 2 2 2 4 15 2 9" xfId="13628" xr:uid="{00000000-0005-0000-0000-000012350000}"/>
    <cellStyle name="Normal 2 2 2 2 4 15 3" xfId="13629" xr:uid="{00000000-0005-0000-0000-000013350000}"/>
    <cellStyle name="Normal 2 2 2 2 4 15 3 10" xfId="13630" xr:uid="{00000000-0005-0000-0000-000014350000}"/>
    <cellStyle name="Normal 2 2 2 2 4 15 3 2" xfId="13631" xr:uid="{00000000-0005-0000-0000-000015350000}"/>
    <cellStyle name="Normal 2 2 2 2 4 15 3 3" xfId="13632" xr:uid="{00000000-0005-0000-0000-000016350000}"/>
    <cellStyle name="Normal 2 2 2 2 4 15 3 4" xfId="13633" xr:uid="{00000000-0005-0000-0000-000017350000}"/>
    <cellStyle name="Normal 2 2 2 2 4 15 3 5" xfId="13634" xr:uid="{00000000-0005-0000-0000-000018350000}"/>
    <cellStyle name="Normal 2 2 2 2 4 15 3 6" xfId="13635" xr:uid="{00000000-0005-0000-0000-000019350000}"/>
    <cellStyle name="Normal 2 2 2 2 4 15 3 7" xfId="13636" xr:uid="{00000000-0005-0000-0000-00001A350000}"/>
    <cellStyle name="Normal 2 2 2 2 4 15 3 8" xfId="13637" xr:uid="{00000000-0005-0000-0000-00001B350000}"/>
    <cellStyle name="Normal 2 2 2 2 4 15 3 9" xfId="13638" xr:uid="{00000000-0005-0000-0000-00001C350000}"/>
    <cellStyle name="Normal 2 2 2 2 4 15 4" xfId="13639" xr:uid="{00000000-0005-0000-0000-00001D350000}"/>
    <cellStyle name="Normal 2 2 2 2 4 15 4 10" xfId="13640" xr:uid="{00000000-0005-0000-0000-00001E350000}"/>
    <cellStyle name="Normal 2 2 2 2 4 15 4 2" xfId="13641" xr:uid="{00000000-0005-0000-0000-00001F350000}"/>
    <cellStyle name="Normal 2 2 2 2 4 15 4 3" xfId="13642" xr:uid="{00000000-0005-0000-0000-000020350000}"/>
    <cellStyle name="Normal 2 2 2 2 4 15 4 4" xfId="13643" xr:uid="{00000000-0005-0000-0000-000021350000}"/>
    <cellStyle name="Normal 2 2 2 2 4 15 4 5" xfId="13644" xr:uid="{00000000-0005-0000-0000-000022350000}"/>
    <cellStyle name="Normal 2 2 2 2 4 15 4 6" xfId="13645" xr:uid="{00000000-0005-0000-0000-000023350000}"/>
    <cellStyle name="Normal 2 2 2 2 4 15 4 7" xfId="13646" xr:uid="{00000000-0005-0000-0000-000024350000}"/>
    <cellStyle name="Normal 2 2 2 2 4 15 4 8" xfId="13647" xr:uid="{00000000-0005-0000-0000-000025350000}"/>
    <cellStyle name="Normal 2 2 2 2 4 15 4 9" xfId="13648" xr:uid="{00000000-0005-0000-0000-000026350000}"/>
    <cellStyle name="Normal 2 2 2 2 4 15 5" xfId="13649" xr:uid="{00000000-0005-0000-0000-000027350000}"/>
    <cellStyle name="Normal 2 2 2 2 4 15 5 10" xfId="13650" xr:uid="{00000000-0005-0000-0000-000028350000}"/>
    <cellStyle name="Normal 2 2 2 2 4 15 5 2" xfId="13651" xr:uid="{00000000-0005-0000-0000-000029350000}"/>
    <cellStyle name="Normal 2 2 2 2 4 15 5 3" xfId="13652" xr:uid="{00000000-0005-0000-0000-00002A350000}"/>
    <cellStyle name="Normal 2 2 2 2 4 15 5 4" xfId="13653" xr:uid="{00000000-0005-0000-0000-00002B350000}"/>
    <cellStyle name="Normal 2 2 2 2 4 15 5 5" xfId="13654" xr:uid="{00000000-0005-0000-0000-00002C350000}"/>
    <cellStyle name="Normal 2 2 2 2 4 15 5 6" xfId="13655" xr:uid="{00000000-0005-0000-0000-00002D350000}"/>
    <cellStyle name="Normal 2 2 2 2 4 15 5 7" xfId="13656" xr:uid="{00000000-0005-0000-0000-00002E350000}"/>
    <cellStyle name="Normal 2 2 2 2 4 15 5 8" xfId="13657" xr:uid="{00000000-0005-0000-0000-00002F350000}"/>
    <cellStyle name="Normal 2 2 2 2 4 15 5 9" xfId="13658" xr:uid="{00000000-0005-0000-0000-000030350000}"/>
    <cellStyle name="Normal 2 2 2 2 4 15 6" xfId="13659" xr:uid="{00000000-0005-0000-0000-000031350000}"/>
    <cellStyle name="Normal 2 2 2 2 4 15 7" xfId="13660" xr:uid="{00000000-0005-0000-0000-000032350000}"/>
    <cellStyle name="Normal 2 2 2 2 4 15 8" xfId="13661" xr:uid="{00000000-0005-0000-0000-000033350000}"/>
    <cellStyle name="Normal 2 2 2 2 4 15 9" xfId="13662" xr:uid="{00000000-0005-0000-0000-000034350000}"/>
    <cellStyle name="Normal 2 2 2 2 4 16" xfId="13663" xr:uid="{00000000-0005-0000-0000-000035350000}"/>
    <cellStyle name="Normal 2 2 2 2 4 16 10" xfId="13664" xr:uid="{00000000-0005-0000-0000-000036350000}"/>
    <cellStyle name="Normal 2 2 2 2 4 16 11" xfId="13665" xr:uid="{00000000-0005-0000-0000-000037350000}"/>
    <cellStyle name="Normal 2 2 2 2 4 16 12" xfId="13666" xr:uid="{00000000-0005-0000-0000-000038350000}"/>
    <cellStyle name="Normal 2 2 2 2 4 16 13" xfId="13667" xr:uid="{00000000-0005-0000-0000-000039350000}"/>
    <cellStyle name="Normal 2 2 2 2 4 16 14" xfId="13668" xr:uid="{00000000-0005-0000-0000-00003A350000}"/>
    <cellStyle name="Normal 2 2 2 2 4 16 2" xfId="13669" xr:uid="{00000000-0005-0000-0000-00003B350000}"/>
    <cellStyle name="Normal 2 2 2 2 4 16 2 10" xfId="13670" xr:uid="{00000000-0005-0000-0000-00003C350000}"/>
    <cellStyle name="Normal 2 2 2 2 4 16 2 2" xfId="13671" xr:uid="{00000000-0005-0000-0000-00003D350000}"/>
    <cellStyle name="Normal 2 2 2 2 4 16 2 3" xfId="13672" xr:uid="{00000000-0005-0000-0000-00003E350000}"/>
    <cellStyle name="Normal 2 2 2 2 4 16 2 4" xfId="13673" xr:uid="{00000000-0005-0000-0000-00003F350000}"/>
    <cellStyle name="Normal 2 2 2 2 4 16 2 5" xfId="13674" xr:uid="{00000000-0005-0000-0000-000040350000}"/>
    <cellStyle name="Normal 2 2 2 2 4 16 2 6" xfId="13675" xr:uid="{00000000-0005-0000-0000-000041350000}"/>
    <cellStyle name="Normal 2 2 2 2 4 16 2 7" xfId="13676" xr:uid="{00000000-0005-0000-0000-000042350000}"/>
    <cellStyle name="Normal 2 2 2 2 4 16 2 8" xfId="13677" xr:uid="{00000000-0005-0000-0000-000043350000}"/>
    <cellStyle name="Normal 2 2 2 2 4 16 2 9" xfId="13678" xr:uid="{00000000-0005-0000-0000-000044350000}"/>
    <cellStyle name="Normal 2 2 2 2 4 16 3" xfId="13679" xr:uid="{00000000-0005-0000-0000-000045350000}"/>
    <cellStyle name="Normal 2 2 2 2 4 16 3 10" xfId="13680" xr:uid="{00000000-0005-0000-0000-000046350000}"/>
    <cellStyle name="Normal 2 2 2 2 4 16 3 2" xfId="13681" xr:uid="{00000000-0005-0000-0000-000047350000}"/>
    <cellStyle name="Normal 2 2 2 2 4 16 3 3" xfId="13682" xr:uid="{00000000-0005-0000-0000-000048350000}"/>
    <cellStyle name="Normal 2 2 2 2 4 16 3 4" xfId="13683" xr:uid="{00000000-0005-0000-0000-000049350000}"/>
    <cellStyle name="Normal 2 2 2 2 4 16 3 5" xfId="13684" xr:uid="{00000000-0005-0000-0000-00004A350000}"/>
    <cellStyle name="Normal 2 2 2 2 4 16 3 6" xfId="13685" xr:uid="{00000000-0005-0000-0000-00004B350000}"/>
    <cellStyle name="Normal 2 2 2 2 4 16 3 7" xfId="13686" xr:uid="{00000000-0005-0000-0000-00004C350000}"/>
    <cellStyle name="Normal 2 2 2 2 4 16 3 8" xfId="13687" xr:uid="{00000000-0005-0000-0000-00004D350000}"/>
    <cellStyle name="Normal 2 2 2 2 4 16 3 9" xfId="13688" xr:uid="{00000000-0005-0000-0000-00004E350000}"/>
    <cellStyle name="Normal 2 2 2 2 4 16 4" xfId="13689" xr:uid="{00000000-0005-0000-0000-00004F350000}"/>
    <cellStyle name="Normal 2 2 2 2 4 16 4 10" xfId="13690" xr:uid="{00000000-0005-0000-0000-000050350000}"/>
    <cellStyle name="Normal 2 2 2 2 4 16 4 2" xfId="13691" xr:uid="{00000000-0005-0000-0000-000051350000}"/>
    <cellStyle name="Normal 2 2 2 2 4 16 4 3" xfId="13692" xr:uid="{00000000-0005-0000-0000-000052350000}"/>
    <cellStyle name="Normal 2 2 2 2 4 16 4 4" xfId="13693" xr:uid="{00000000-0005-0000-0000-000053350000}"/>
    <cellStyle name="Normal 2 2 2 2 4 16 4 5" xfId="13694" xr:uid="{00000000-0005-0000-0000-000054350000}"/>
    <cellStyle name="Normal 2 2 2 2 4 16 4 6" xfId="13695" xr:uid="{00000000-0005-0000-0000-000055350000}"/>
    <cellStyle name="Normal 2 2 2 2 4 16 4 7" xfId="13696" xr:uid="{00000000-0005-0000-0000-000056350000}"/>
    <cellStyle name="Normal 2 2 2 2 4 16 4 8" xfId="13697" xr:uid="{00000000-0005-0000-0000-000057350000}"/>
    <cellStyle name="Normal 2 2 2 2 4 16 4 9" xfId="13698" xr:uid="{00000000-0005-0000-0000-000058350000}"/>
    <cellStyle name="Normal 2 2 2 2 4 16 5" xfId="13699" xr:uid="{00000000-0005-0000-0000-000059350000}"/>
    <cellStyle name="Normal 2 2 2 2 4 16 5 10" xfId="13700" xr:uid="{00000000-0005-0000-0000-00005A350000}"/>
    <cellStyle name="Normal 2 2 2 2 4 16 5 2" xfId="13701" xr:uid="{00000000-0005-0000-0000-00005B350000}"/>
    <cellStyle name="Normal 2 2 2 2 4 16 5 3" xfId="13702" xr:uid="{00000000-0005-0000-0000-00005C350000}"/>
    <cellStyle name="Normal 2 2 2 2 4 16 5 4" xfId="13703" xr:uid="{00000000-0005-0000-0000-00005D350000}"/>
    <cellStyle name="Normal 2 2 2 2 4 16 5 5" xfId="13704" xr:uid="{00000000-0005-0000-0000-00005E350000}"/>
    <cellStyle name="Normal 2 2 2 2 4 16 5 6" xfId="13705" xr:uid="{00000000-0005-0000-0000-00005F350000}"/>
    <cellStyle name="Normal 2 2 2 2 4 16 5 7" xfId="13706" xr:uid="{00000000-0005-0000-0000-000060350000}"/>
    <cellStyle name="Normal 2 2 2 2 4 16 5 8" xfId="13707" xr:uid="{00000000-0005-0000-0000-000061350000}"/>
    <cellStyle name="Normal 2 2 2 2 4 16 5 9" xfId="13708" xr:uid="{00000000-0005-0000-0000-000062350000}"/>
    <cellStyle name="Normal 2 2 2 2 4 16 6" xfId="13709" xr:uid="{00000000-0005-0000-0000-000063350000}"/>
    <cellStyle name="Normal 2 2 2 2 4 16 7" xfId="13710" xr:uid="{00000000-0005-0000-0000-000064350000}"/>
    <cellStyle name="Normal 2 2 2 2 4 16 8" xfId="13711" xr:uid="{00000000-0005-0000-0000-000065350000}"/>
    <cellStyle name="Normal 2 2 2 2 4 16 9" xfId="13712" xr:uid="{00000000-0005-0000-0000-000066350000}"/>
    <cellStyle name="Normal 2 2 2 2 4 17" xfId="13713" xr:uid="{00000000-0005-0000-0000-000067350000}"/>
    <cellStyle name="Normal 2 2 2 2 4 17 10" xfId="13714" xr:uid="{00000000-0005-0000-0000-000068350000}"/>
    <cellStyle name="Normal 2 2 2 2 4 17 11" xfId="13715" xr:uid="{00000000-0005-0000-0000-000069350000}"/>
    <cellStyle name="Normal 2 2 2 2 4 17 12" xfId="13716" xr:uid="{00000000-0005-0000-0000-00006A350000}"/>
    <cellStyle name="Normal 2 2 2 2 4 17 13" xfId="13717" xr:uid="{00000000-0005-0000-0000-00006B350000}"/>
    <cellStyle name="Normal 2 2 2 2 4 17 14" xfId="13718" xr:uid="{00000000-0005-0000-0000-00006C350000}"/>
    <cellStyle name="Normal 2 2 2 2 4 17 2" xfId="13719" xr:uid="{00000000-0005-0000-0000-00006D350000}"/>
    <cellStyle name="Normal 2 2 2 2 4 17 2 10" xfId="13720" xr:uid="{00000000-0005-0000-0000-00006E350000}"/>
    <cellStyle name="Normal 2 2 2 2 4 17 2 2" xfId="13721" xr:uid="{00000000-0005-0000-0000-00006F350000}"/>
    <cellStyle name="Normal 2 2 2 2 4 17 2 3" xfId="13722" xr:uid="{00000000-0005-0000-0000-000070350000}"/>
    <cellStyle name="Normal 2 2 2 2 4 17 2 4" xfId="13723" xr:uid="{00000000-0005-0000-0000-000071350000}"/>
    <cellStyle name="Normal 2 2 2 2 4 17 2 5" xfId="13724" xr:uid="{00000000-0005-0000-0000-000072350000}"/>
    <cellStyle name="Normal 2 2 2 2 4 17 2 6" xfId="13725" xr:uid="{00000000-0005-0000-0000-000073350000}"/>
    <cellStyle name="Normal 2 2 2 2 4 17 2 7" xfId="13726" xr:uid="{00000000-0005-0000-0000-000074350000}"/>
    <cellStyle name="Normal 2 2 2 2 4 17 2 8" xfId="13727" xr:uid="{00000000-0005-0000-0000-000075350000}"/>
    <cellStyle name="Normal 2 2 2 2 4 17 2 9" xfId="13728" xr:uid="{00000000-0005-0000-0000-000076350000}"/>
    <cellStyle name="Normal 2 2 2 2 4 17 3" xfId="13729" xr:uid="{00000000-0005-0000-0000-000077350000}"/>
    <cellStyle name="Normal 2 2 2 2 4 17 3 10" xfId="13730" xr:uid="{00000000-0005-0000-0000-000078350000}"/>
    <cellStyle name="Normal 2 2 2 2 4 17 3 2" xfId="13731" xr:uid="{00000000-0005-0000-0000-000079350000}"/>
    <cellStyle name="Normal 2 2 2 2 4 17 3 3" xfId="13732" xr:uid="{00000000-0005-0000-0000-00007A350000}"/>
    <cellStyle name="Normal 2 2 2 2 4 17 3 4" xfId="13733" xr:uid="{00000000-0005-0000-0000-00007B350000}"/>
    <cellStyle name="Normal 2 2 2 2 4 17 3 5" xfId="13734" xr:uid="{00000000-0005-0000-0000-00007C350000}"/>
    <cellStyle name="Normal 2 2 2 2 4 17 3 6" xfId="13735" xr:uid="{00000000-0005-0000-0000-00007D350000}"/>
    <cellStyle name="Normal 2 2 2 2 4 17 3 7" xfId="13736" xr:uid="{00000000-0005-0000-0000-00007E350000}"/>
    <cellStyle name="Normal 2 2 2 2 4 17 3 8" xfId="13737" xr:uid="{00000000-0005-0000-0000-00007F350000}"/>
    <cellStyle name="Normal 2 2 2 2 4 17 3 9" xfId="13738" xr:uid="{00000000-0005-0000-0000-000080350000}"/>
    <cellStyle name="Normal 2 2 2 2 4 17 4" xfId="13739" xr:uid="{00000000-0005-0000-0000-000081350000}"/>
    <cellStyle name="Normal 2 2 2 2 4 17 4 10" xfId="13740" xr:uid="{00000000-0005-0000-0000-000082350000}"/>
    <cellStyle name="Normal 2 2 2 2 4 17 4 2" xfId="13741" xr:uid="{00000000-0005-0000-0000-000083350000}"/>
    <cellStyle name="Normal 2 2 2 2 4 17 4 3" xfId="13742" xr:uid="{00000000-0005-0000-0000-000084350000}"/>
    <cellStyle name="Normal 2 2 2 2 4 17 4 4" xfId="13743" xr:uid="{00000000-0005-0000-0000-000085350000}"/>
    <cellStyle name="Normal 2 2 2 2 4 17 4 5" xfId="13744" xr:uid="{00000000-0005-0000-0000-000086350000}"/>
    <cellStyle name="Normal 2 2 2 2 4 17 4 6" xfId="13745" xr:uid="{00000000-0005-0000-0000-000087350000}"/>
    <cellStyle name="Normal 2 2 2 2 4 17 4 7" xfId="13746" xr:uid="{00000000-0005-0000-0000-000088350000}"/>
    <cellStyle name="Normal 2 2 2 2 4 17 4 8" xfId="13747" xr:uid="{00000000-0005-0000-0000-000089350000}"/>
    <cellStyle name="Normal 2 2 2 2 4 17 4 9" xfId="13748" xr:uid="{00000000-0005-0000-0000-00008A350000}"/>
    <cellStyle name="Normal 2 2 2 2 4 17 5" xfId="13749" xr:uid="{00000000-0005-0000-0000-00008B350000}"/>
    <cellStyle name="Normal 2 2 2 2 4 17 5 10" xfId="13750" xr:uid="{00000000-0005-0000-0000-00008C350000}"/>
    <cellStyle name="Normal 2 2 2 2 4 17 5 2" xfId="13751" xr:uid="{00000000-0005-0000-0000-00008D350000}"/>
    <cellStyle name="Normal 2 2 2 2 4 17 5 3" xfId="13752" xr:uid="{00000000-0005-0000-0000-00008E350000}"/>
    <cellStyle name="Normal 2 2 2 2 4 17 5 4" xfId="13753" xr:uid="{00000000-0005-0000-0000-00008F350000}"/>
    <cellStyle name="Normal 2 2 2 2 4 17 5 5" xfId="13754" xr:uid="{00000000-0005-0000-0000-000090350000}"/>
    <cellStyle name="Normal 2 2 2 2 4 17 5 6" xfId="13755" xr:uid="{00000000-0005-0000-0000-000091350000}"/>
    <cellStyle name="Normal 2 2 2 2 4 17 5 7" xfId="13756" xr:uid="{00000000-0005-0000-0000-000092350000}"/>
    <cellStyle name="Normal 2 2 2 2 4 17 5 8" xfId="13757" xr:uid="{00000000-0005-0000-0000-000093350000}"/>
    <cellStyle name="Normal 2 2 2 2 4 17 5 9" xfId="13758" xr:uid="{00000000-0005-0000-0000-000094350000}"/>
    <cellStyle name="Normal 2 2 2 2 4 17 6" xfId="13759" xr:uid="{00000000-0005-0000-0000-000095350000}"/>
    <cellStyle name="Normal 2 2 2 2 4 17 7" xfId="13760" xr:uid="{00000000-0005-0000-0000-000096350000}"/>
    <cellStyle name="Normal 2 2 2 2 4 17 8" xfId="13761" xr:uid="{00000000-0005-0000-0000-000097350000}"/>
    <cellStyle name="Normal 2 2 2 2 4 17 9" xfId="13762" xr:uid="{00000000-0005-0000-0000-000098350000}"/>
    <cellStyle name="Normal 2 2 2 2 4 18" xfId="13763" xr:uid="{00000000-0005-0000-0000-000099350000}"/>
    <cellStyle name="Normal 2 2 2 2 4 18 10" xfId="13764" xr:uid="{00000000-0005-0000-0000-00009A350000}"/>
    <cellStyle name="Normal 2 2 2 2 4 18 11" xfId="13765" xr:uid="{00000000-0005-0000-0000-00009B350000}"/>
    <cellStyle name="Normal 2 2 2 2 4 18 12" xfId="13766" xr:uid="{00000000-0005-0000-0000-00009C350000}"/>
    <cellStyle name="Normal 2 2 2 2 4 18 13" xfId="13767" xr:uid="{00000000-0005-0000-0000-00009D350000}"/>
    <cellStyle name="Normal 2 2 2 2 4 18 14" xfId="13768" xr:uid="{00000000-0005-0000-0000-00009E350000}"/>
    <cellStyle name="Normal 2 2 2 2 4 18 2" xfId="13769" xr:uid="{00000000-0005-0000-0000-00009F350000}"/>
    <cellStyle name="Normal 2 2 2 2 4 18 2 10" xfId="13770" xr:uid="{00000000-0005-0000-0000-0000A0350000}"/>
    <cellStyle name="Normal 2 2 2 2 4 18 2 2" xfId="13771" xr:uid="{00000000-0005-0000-0000-0000A1350000}"/>
    <cellStyle name="Normal 2 2 2 2 4 18 2 3" xfId="13772" xr:uid="{00000000-0005-0000-0000-0000A2350000}"/>
    <cellStyle name="Normal 2 2 2 2 4 18 2 4" xfId="13773" xr:uid="{00000000-0005-0000-0000-0000A3350000}"/>
    <cellStyle name="Normal 2 2 2 2 4 18 2 5" xfId="13774" xr:uid="{00000000-0005-0000-0000-0000A4350000}"/>
    <cellStyle name="Normal 2 2 2 2 4 18 2 6" xfId="13775" xr:uid="{00000000-0005-0000-0000-0000A5350000}"/>
    <cellStyle name="Normal 2 2 2 2 4 18 2 7" xfId="13776" xr:uid="{00000000-0005-0000-0000-0000A6350000}"/>
    <cellStyle name="Normal 2 2 2 2 4 18 2 8" xfId="13777" xr:uid="{00000000-0005-0000-0000-0000A7350000}"/>
    <cellStyle name="Normal 2 2 2 2 4 18 2 9" xfId="13778" xr:uid="{00000000-0005-0000-0000-0000A8350000}"/>
    <cellStyle name="Normal 2 2 2 2 4 18 3" xfId="13779" xr:uid="{00000000-0005-0000-0000-0000A9350000}"/>
    <cellStyle name="Normal 2 2 2 2 4 18 3 10" xfId="13780" xr:uid="{00000000-0005-0000-0000-0000AA350000}"/>
    <cellStyle name="Normal 2 2 2 2 4 18 3 2" xfId="13781" xr:uid="{00000000-0005-0000-0000-0000AB350000}"/>
    <cellStyle name="Normal 2 2 2 2 4 18 3 3" xfId="13782" xr:uid="{00000000-0005-0000-0000-0000AC350000}"/>
    <cellStyle name="Normal 2 2 2 2 4 18 3 4" xfId="13783" xr:uid="{00000000-0005-0000-0000-0000AD350000}"/>
    <cellStyle name="Normal 2 2 2 2 4 18 3 5" xfId="13784" xr:uid="{00000000-0005-0000-0000-0000AE350000}"/>
    <cellStyle name="Normal 2 2 2 2 4 18 3 6" xfId="13785" xr:uid="{00000000-0005-0000-0000-0000AF350000}"/>
    <cellStyle name="Normal 2 2 2 2 4 18 3 7" xfId="13786" xr:uid="{00000000-0005-0000-0000-0000B0350000}"/>
    <cellStyle name="Normal 2 2 2 2 4 18 3 8" xfId="13787" xr:uid="{00000000-0005-0000-0000-0000B1350000}"/>
    <cellStyle name="Normal 2 2 2 2 4 18 3 9" xfId="13788" xr:uid="{00000000-0005-0000-0000-0000B2350000}"/>
    <cellStyle name="Normal 2 2 2 2 4 18 4" xfId="13789" xr:uid="{00000000-0005-0000-0000-0000B3350000}"/>
    <cellStyle name="Normal 2 2 2 2 4 18 4 10" xfId="13790" xr:uid="{00000000-0005-0000-0000-0000B4350000}"/>
    <cellStyle name="Normal 2 2 2 2 4 18 4 2" xfId="13791" xr:uid="{00000000-0005-0000-0000-0000B5350000}"/>
    <cellStyle name="Normal 2 2 2 2 4 18 4 3" xfId="13792" xr:uid="{00000000-0005-0000-0000-0000B6350000}"/>
    <cellStyle name="Normal 2 2 2 2 4 18 4 4" xfId="13793" xr:uid="{00000000-0005-0000-0000-0000B7350000}"/>
    <cellStyle name="Normal 2 2 2 2 4 18 4 5" xfId="13794" xr:uid="{00000000-0005-0000-0000-0000B8350000}"/>
    <cellStyle name="Normal 2 2 2 2 4 18 4 6" xfId="13795" xr:uid="{00000000-0005-0000-0000-0000B9350000}"/>
    <cellStyle name="Normal 2 2 2 2 4 18 4 7" xfId="13796" xr:uid="{00000000-0005-0000-0000-0000BA350000}"/>
    <cellStyle name="Normal 2 2 2 2 4 18 4 8" xfId="13797" xr:uid="{00000000-0005-0000-0000-0000BB350000}"/>
    <cellStyle name="Normal 2 2 2 2 4 18 4 9" xfId="13798" xr:uid="{00000000-0005-0000-0000-0000BC350000}"/>
    <cellStyle name="Normal 2 2 2 2 4 18 5" xfId="13799" xr:uid="{00000000-0005-0000-0000-0000BD350000}"/>
    <cellStyle name="Normal 2 2 2 2 4 18 5 10" xfId="13800" xr:uid="{00000000-0005-0000-0000-0000BE350000}"/>
    <cellStyle name="Normal 2 2 2 2 4 18 5 2" xfId="13801" xr:uid="{00000000-0005-0000-0000-0000BF350000}"/>
    <cellStyle name="Normal 2 2 2 2 4 18 5 3" xfId="13802" xr:uid="{00000000-0005-0000-0000-0000C0350000}"/>
    <cellStyle name="Normal 2 2 2 2 4 18 5 4" xfId="13803" xr:uid="{00000000-0005-0000-0000-0000C1350000}"/>
    <cellStyle name="Normal 2 2 2 2 4 18 5 5" xfId="13804" xr:uid="{00000000-0005-0000-0000-0000C2350000}"/>
    <cellStyle name="Normal 2 2 2 2 4 18 5 6" xfId="13805" xr:uid="{00000000-0005-0000-0000-0000C3350000}"/>
    <cellStyle name="Normal 2 2 2 2 4 18 5 7" xfId="13806" xr:uid="{00000000-0005-0000-0000-0000C4350000}"/>
    <cellStyle name="Normal 2 2 2 2 4 18 5 8" xfId="13807" xr:uid="{00000000-0005-0000-0000-0000C5350000}"/>
    <cellStyle name="Normal 2 2 2 2 4 18 5 9" xfId="13808" xr:uid="{00000000-0005-0000-0000-0000C6350000}"/>
    <cellStyle name="Normal 2 2 2 2 4 18 6" xfId="13809" xr:uid="{00000000-0005-0000-0000-0000C7350000}"/>
    <cellStyle name="Normal 2 2 2 2 4 18 7" xfId="13810" xr:uid="{00000000-0005-0000-0000-0000C8350000}"/>
    <cellStyle name="Normal 2 2 2 2 4 18 8" xfId="13811" xr:uid="{00000000-0005-0000-0000-0000C9350000}"/>
    <cellStyle name="Normal 2 2 2 2 4 18 9" xfId="13812" xr:uid="{00000000-0005-0000-0000-0000CA350000}"/>
    <cellStyle name="Normal 2 2 2 2 4 19" xfId="13813" xr:uid="{00000000-0005-0000-0000-0000CB350000}"/>
    <cellStyle name="Normal 2 2 2 2 4 19 10" xfId="13814" xr:uid="{00000000-0005-0000-0000-0000CC350000}"/>
    <cellStyle name="Normal 2 2 2 2 4 19 11" xfId="13815" xr:uid="{00000000-0005-0000-0000-0000CD350000}"/>
    <cellStyle name="Normal 2 2 2 2 4 19 12" xfId="13816" xr:uid="{00000000-0005-0000-0000-0000CE350000}"/>
    <cellStyle name="Normal 2 2 2 2 4 19 13" xfId="13817" xr:uid="{00000000-0005-0000-0000-0000CF350000}"/>
    <cellStyle name="Normal 2 2 2 2 4 19 14" xfId="13818" xr:uid="{00000000-0005-0000-0000-0000D0350000}"/>
    <cellStyle name="Normal 2 2 2 2 4 19 2" xfId="13819" xr:uid="{00000000-0005-0000-0000-0000D1350000}"/>
    <cellStyle name="Normal 2 2 2 2 4 19 2 10" xfId="13820" xr:uid="{00000000-0005-0000-0000-0000D2350000}"/>
    <cellStyle name="Normal 2 2 2 2 4 19 2 2" xfId="13821" xr:uid="{00000000-0005-0000-0000-0000D3350000}"/>
    <cellStyle name="Normal 2 2 2 2 4 19 2 3" xfId="13822" xr:uid="{00000000-0005-0000-0000-0000D4350000}"/>
    <cellStyle name="Normal 2 2 2 2 4 19 2 4" xfId="13823" xr:uid="{00000000-0005-0000-0000-0000D5350000}"/>
    <cellStyle name="Normal 2 2 2 2 4 19 2 5" xfId="13824" xr:uid="{00000000-0005-0000-0000-0000D6350000}"/>
    <cellStyle name="Normal 2 2 2 2 4 19 2 6" xfId="13825" xr:uid="{00000000-0005-0000-0000-0000D7350000}"/>
    <cellStyle name="Normal 2 2 2 2 4 19 2 7" xfId="13826" xr:uid="{00000000-0005-0000-0000-0000D8350000}"/>
    <cellStyle name="Normal 2 2 2 2 4 19 2 8" xfId="13827" xr:uid="{00000000-0005-0000-0000-0000D9350000}"/>
    <cellStyle name="Normal 2 2 2 2 4 19 2 9" xfId="13828" xr:uid="{00000000-0005-0000-0000-0000DA350000}"/>
    <cellStyle name="Normal 2 2 2 2 4 19 3" xfId="13829" xr:uid="{00000000-0005-0000-0000-0000DB350000}"/>
    <cellStyle name="Normal 2 2 2 2 4 19 3 10" xfId="13830" xr:uid="{00000000-0005-0000-0000-0000DC350000}"/>
    <cellStyle name="Normal 2 2 2 2 4 19 3 2" xfId="13831" xr:uid="{00000000-0005-0000-0000-0000DD350000}"/>
    <cellStyle name="Normal 2 2 2 2 4 19 3 3" xfId="13832" xr:uid="{00000000-0005-0000-0000-0000DE350000}"/>
    <cellStyle name="Normal 2 2 2 2 4 19 3 4" xfId="13833" xr:uid="{00000000-0005-0000-0000-0000DF350000}"/>
    <cellStyle name="Normal 2 2 2 2 4 19 3 5" xfId="13834" xr:uid="{00000000-0005-0000-0000-0000E0350000}"/>
    <cellStyle name="Normal 2 2 2 2 4 19 3 6" xfId="13835" xr:uid="{00000000-0005-0000-0000-0000E1350000}"/>
    <cellStyle name="Normal 2 2 2 2 4 19 3 7" xfId="13836" xr:uid="{00000000-0005-0000-0000-0000E2350000}"/>
    <cellStyle name="Normal 2 2 2 2 4 19 3 8" xfId="13837" xr:uid="{00000000-0005-0000-0000-0000E3350000}"/>
    <cellStyle name="Normal 2 2 2 2 4 19 3 9" xfId="13838" xr:uid="{00000000-0005-0000-0000-0000E4350000}"/>
    <cellStyle name="Normal 2 2 2 2 4 19 4" xfId="13839" xr:uid="{00000000-0005-0000-0000-0000E5350000}"/>
    <cellStyle name="Normal 2 2 2 2 4 19 4 10" xfId="13840" xr:uid="{00000000-0005-0000-0000-0000E6350000}"/>
    <cellStyle name="Normal 2 2 2 2 4 19 4 2" xfId="13841" xr:uid="{00000000-0005-0000-0000-0000E7350000}"/>
    <cellStyle name="Normal 2 2 2 2 4 19 4 3" xfId="13842" xr:uid="{00000000-0005-0000-0000-0000E8350000}"/>
    <cellStyle name="Normal 2 2 2 2 4 19 4 4" xfId="13843" xr:uid="{00000000-0005-0000-0000-0000E9350000}"/>
    <cellStyle name="Normal 2 2 2 2 4 19 4 5" xfId="13844" xr:uid="{00000000-0005-0000-0000-0000EA350000}"/>
    <cellStyle name="Normal 2 2 2 2 4 19 4 6" xfId="13845" xr:uid="{00000000-0005-0000-0000-0000EB350000}"/>
    <cellStyle name="Normal 2 2 2 2 4 19 4 7" xfId="13846" xr:uid="{00000000-0005-0000-0000-0000EC350000}"/>
    <cellStyle name="Normal 2 2 2 2 4 19 4 8" xfId="13847" xr:uid="{00000000-0005-0000-0000-0000ED350000}"/>
    <cellStyle name="Normal 2 2 2 2 4 19 4 9" xfId="13848" xr:uid="{00000000-0005-0000-0000-0000EE350000}"/>
    <cellStyle name="Normal 2 2 2 2 4 19 5" xfId="13849" xr:uid="{00000000-0005-0000-0000-0000EF350000}"/>
    <cellStyle name="Normal 2 2 2 2 4 19 5 10" xfId="13850" xr:uid="{00000000-0005-0000-0000-0000F0350000}"/>
    <cellStyle name="Normal 2 2 2 2 4 19 5 2" xfId="13851" xr:uid="{00000000-0005-0000-0000-0000F1350000}"/>
    <cellStyle name="Normal 2 2 2 2 4 19 5 3" xfId="13852" xr:uid="{00000000-0005-0000-0000-0000F2350000}"/>
    <cellStyle name="Normal 2 2 2 2 4 19 5 4" xfId="13853" xr:uid="{00000000-0005-0000-0000-0000F3350000}"/>
    <cellStyle name="Normal 2 2 2 2 4 19 5 5" xfId="13854" xr:uid="{00000000-0005-0000-0000-0000F4350000}"/>
    <cellStyle name="Normal 2 2 2 2 4 19 5 6" xfId="13855" xr:uid="{00000000-0005-0000-0000-0000F5350000}"/>
    <cellStyle name="Normal 2 2 2 2 4 19 5 7" xfId="13856" xr:uid="{00000000-0005-0000-0000-0000F6350000}"/>
    <cellStyle name="Normal 2 2 2 2 4 19 5 8" xfId="13857" xr:uid="{00000000-0005-0000-0000-0000F7350000}"/>
    <cellStyle name="Normal 2 2 2 2 4 19 5 9" xfId="13858" xr:uid="{00000000-0005-0000-0000-0000F8350000}"/>
    <cellStyle name="Normal 2 2 2 2 4 19 6" xfId="13859" xr:uid="{00000000-0005-0000-0000-0000F9350000}"/>
    <cellStyle name="Normal 2 2 2 2 4 19 7" xfId="13860" xr:uid="{00000000-0005-0000-0000-0000FA350000}"/>
    <cellStyle name="Normal 2 2 2 2 4 19 8" xfId="13861" xr:uid="{00000000-0005-0000-0000-0000FB350000}"/>
    <cellStyle name="Normal 2 2 2 2 4 19 9" xfId="13862" xr:uid="{00000000-0005-0000-0000-0000FC350000}"/>
    <cellStyle name="Normal 2 2 2 2 4 2" xfId="13863" xr:uid="{00000000-0005-0000-0000-0000FD350000}"/>
    <cellStyle name="Normal 2 2 2 2 4 2 10" xfId="13864" xr:uid="{00000000-0005-0000-0000-0000FE350000}"/>
    <cellStyle name="Normal 2 2 2 2 4 2 11" xfId="13865" xr:uid="{00000000-0005-0000-0000-0000FF350000}"/>
    <cellStyle name="Normal 2 2 2 2 4 2 12" xfId="13866" xr:uid="{00000000-0005-0000-0000-000000360000}"/>
    <cellStyle name="Normal 2 2 2 2 4 2 13" xfId="13867" xr:uid="{00000000-0005-0000-0000-000001360000}"/>
    <cellStyle name="Normal 2 2 2 2 4 2 14" xfId="13868" xr:uid="{00000000-0005-0000-0000-000002360000}"/>
    <cellStyle name="Normal 2 2 2 2 4 2 15" xfId="13869" xr:uid="{00000000-0005-0000-0000-000003360000}"/>
    <cellStyle name="Normal 2 2 2 2 4 2 16" xfId="13870" xr:uid="{00000000-0005-0000-0000-000004360000}"/>
    <cellStyle name="Normal 2 2 2 2 4 2 17" xfId="13871" xr:uid="{00000000-0005-0000-0000-000005360000}"/>
    <cellStyle name="Normal 2 2 2 2 4 2 18" xfId="13872" xr:uid="{00000000-0005-0000-0000-000006360000}"/>
    <cellStyle name="Normal 2 2 2 2 4 2 19" xfId="13873" xr:uid="{00000000-0005-0000-0000-000007360000}"/>
    <cellStyle name="Normal 2 2 2 2 4 2 2" xfId="13874" xr:uid="{00000000-0005-0000-0000-000008360000}"/>
    <cellStyle name="Normal 2 2 2 2 4 2 2 10" xfId="13875" xr:uid="{00000000-0005-0000-0000-000009360000}"/>
    <cellStyle name="Normal 2 2 2 2 4 2 2 10 10" xfId="13876" xr:uid="{00000000-0005-0000-0000-00000A360000}"/>
    <cellStyle name="Normal 2 2 2 2 4 2 2 10 11" xfId="13877" xr:uid="{00000000-0005-0000-0000-00000B360000}"/>
    <cellStyle name="Normal 2 2 2 2 4 2 2 10 12" xfId="13878" xr:uid="{00000000-0005-0000-0000-00000C360000}"/>
    <cellStyle name="Normal 2 2 2 2 4 2 2 10 13" xfId="13879" xr:uid="{00000000-0005-0000-0000-00000D360000}"/>
    <cellStyle name="Normal 2 2 2 2 4 2 2 10 14" xfId="13880" xr:uid="{00000000-0005-0000-0000-00000E360000}"/>
    <cellStyle name="Normal 2 2 2 2 4 2 2 10 2" xfId="13881" xr:uid="{00000000-0005-0000-0000-00000F360000}"/>
    <cellStyle name="Normal 2 2 2 2 4 2 2 10 2 10" xfId="13882" xr:uid="{00000000-0005-0000-0000-000010360000}"/>
    <cellStyle name="Normal 2 2 2 2 4 2 2 10 2 2" xfId="13883" xr:uid="{00000000-0005-0000-0000-000011360000}"/>
    <cellStyle name="Normal 2 2 2 2 4 2 2 10 2 3" xfId="13884" xr:uid="{00000000-0005-0000-0000-000012360000}"/>
    <cellStyle name="Normal 2 2 2 2 4 2 2 10 2 4" xfId="13885" xr:uid="{00000000-0005-0000-0000-000013360000}"/>
    <cellStyle name="Normal 2 2 2 2 4 2 2 10 2 5" xfId="13886" xr:uid="{00000000-0005-0000-0000-000014360000}"/>
    <cellStyle name="Normal 2 2 2 2 4 2 2 10 2 6" xfId="13887" xr:uid="{00000000-0005-0000-0000-000015360000}"/>
    <cellStyle name="Normal 2 2 2 2 4 2 2 10 2 7" xfId="13888" xr:uid="{00000000-0005-0000-0000-000016360000}"/>
    <cellStyle name="Normal 2 2 2 2 4 2 2 10 2 8" xfId="13889" xr:uid="{00000000-0005-0000-0000-000017360000}"/>
    <cellStyle name="Normal 2 2 2 2 4 2 2 10 2 9" xfId="13890" xr:uid="{00000000-0005-0000-0000-000018360000}"/>
    <cellStyle name="Normal 2 2 2 2 4 2 2 10 3" xfId="13891" xr:uid="{00000000-0005-0000-0000-000019360000}"/>
    <cellStyle name="Normal 2 2 2 2 4 2 2 10 3 10" xfId="13892" xr:uid="{00000000-0005-0000-0000-00001A360000}"/>
    <cellStyle name="Normal 2 2 2 2 4 2 2 10 3 2" xfId="13893" xr:uid="{00000000-0005-0000-0000-00001B360000}"/>
    <cellStyle name="Normal 2 2 2 2 4 2 2 10 3 3" xfId="13894" xr:uid="{00000000-0005-0000-0000-00001C360000}"/>
    <cellStyle name="Normal 2 2 2 2 4 2 2 10 3 4" xfId="13895" xr:uid="{00000000-0005-0000-0000-00001D360000}"/>
    <cellStyle name="Normal 2 2 2 2 4 2 2 10 3 5" xfId="13896" xr:uid="{00000000-0005-0000-0000-00001E360000}"/>
    <cellStyle name="Normal 2 2 2 2 4 2 2 10 3 6" xfId="13897" xr:uid="{00000000-0005-0000-0000-00001F360000}"/>
    <cellStyle name="Normal 2 2 2 2 4 2 2 10 3 7" xfId="13898" xr:uid="{00000000-0005-0000-0000-000020360000}"/>
    <cellStyle name="Normal 2 2 2 2 4 2 2 10 3 8" xfId="13899" xr:uid="{00000000-0005-0000-0000-000021360000}"/>
    <cellStyle name="Normal 2 2 2 2 4 2 2 10 3 9" xfId="13900" xr:uid="{00000000-0005-0000-0000-000022360000}"/>
    <cellStyle name="Normal 2 2 2 2 4 2 2 10 4" xfId="13901" xr:uid="{00000000-0005-0000-0000-000023360000}"/>
    <cellStyle name="Normal 2 2 2 2 4 2 2 10 4 10" xfId="13902" xr:uid="{00000000-0005-0000-0000-000024360000}"/>
    <cellStyle name="Normal 2 2 2 2 4 2 2 10 4 2" xfId="13903" xr:uid="{00000000-0005-0000-0000-000025360000}"/>
    <cellStyle name="Normal 2 2 2 2 4 2 2 10 4 3" xfId="13904" xr:uid="{00000000-0005-0000-0000-000026360000}"/>
    <cellStyle name="Normal 2 2 2 2 4 2 2 10 4 4" xfId="13905" xr:uid="{00000000-0005-0000-0000-000027360000}"/>
    <cellStyle name="Normal 2 2 2 2 4 2 2 10 4 5" xfId="13906" xr:uid="{00000000-0005-0000-0000-000028360000}"/>
    <cellStyle name="Normal 2 2 2 2 4 2 2 10 4 6" xfId="13907" xr:uid="{00000000-0005-0000-0000-000029360000}"/>
    <cellStyle name="Normal 2 2 2 2 4 2 2 10 4 7" xfId="13908" xr:uid="{00000000-0005-0000-0000-00002A360000}"/>
    <cellStyle name="Normal 2 2 2 2 4 2 2 10 4 8" xfId="13909" xr:uid="{00000000-0005-0000-0000-00002B360000}"/>
    <cellStyle name="Normal 2 2 2 2 4 2 2 10 4 9" xfId="13910" xr:uid="{00000000-0005-0000-0000-00002C360000}"/>
    <cellStyle name="Normal 2 2 2 2 4 2 2 10 5" xfId="13911" xr:uid="{00000000-0005-0000-0000-00002D360000}"/>
    <cellStyle name="Normal 2 2 2 2 4 2 2 10 5 10" xfId="13912" xr:uid="{00000000-0005-0000-0000-00002E360000}"/>
    <cellStyle name="Normal 2 2 2 2 4 2 2 10 5 2" xfId="13913" xr:uid="{00000000-0005-0000-0000-00002F360000}"/>
    <cellStyle name="Normal 2 2 2 2 4 2 2 10 5 3" xfId="13914" xr:uid="{00000000-0005-0000-0000-000030360000}"/>
    <cellStyle name="Normal 2 2 2 2 4 2 2 10 5 4" xfId="13915" xr:uid="{00000000-0005-0000-0000-000031360000}"/>
    <cellStyle name="Normal 2 2 2 2 4 2 2 10 5 5" xfId="13916" xr:uid="{00000000-0005-0000-0000-000032360000}"/>
    <cellStyle name="Normal 2 2 2 2 4 2 2 10 5 6" xfId="13917" xr:uid="{00000000-0005-0000-0000-000033360000}"/>
    <cellStyle name="Normal 2 2 2 2 4 2 2 10 5 7" xfId="13918" xr:uid="{00000000-0005-0000-0000-000034360000}"/>
    <cellStyle name="Normal 2 2 2 2 4 2 2 10 5 8" xfId="13919" xr:uid="{00000000-0005-0000-0000-000035360000}"/>
    <cellStyle name="Normal 2 2 2 2 4 2 2 10 5 9" xfId="13920" xr:uid="{00000000-0005-0000-0000-000036360000}"/>
    <cellStyle name="Normal 2 2 2 2 4 2 2 10 6" xfId="13921" xr:uid="{00000000-0005-0000-0000-000037360000}"/>
    <cellStyle name="Normal 2 2 2 2 4 2 2 10 7" xfId="13922" xr:uid="{00000000-0005-0000-0000-000038360000}"/>
    <cellStyle name="Normal 2 2 2 2 4 2 2 10 8" xfId="13923" xr:uid="{00000000-0005-0000-0000-000039360000}"/>
    <cellStyle name="Normal 2 2 2 2 4 2 2 10 9" xfId="13924" xr:uid="{00000000-0005-0000-0000-00003A360000}"/>
    <cellStyle name="Normal 2 2 2 2 4 2 2 11" xfId="13925" xr:uid="{00000000-0005-0000-0000-00003B360000}"/>
    <cellStyle name="Normal 2 2 2 2 4 2 2 11 10" xfId="13926" xr:uid="{00000000-0005-0000-0000-00003C360000}"/>
    <cellStyle name="Normal 2 2 2 2 4 2 2 11 11" xfId="13927" xr:uid="{00000000-0005-0000-0000-00003D360000}"/>
    <cellStyle name="Normal 2 2 2 2 4 2 2 11 12" xfId="13928" xr:uid="{00000000-0005-0000-0000-00003E360000}"/>
    <cellStyle name="Normal 2 2 2 2 4 2 2 11 13" xfId="13929" xr:uid="{00000000-0005-0000-0000-00003F360000}"/>
    <cellStyle name="Normal 2 2 2 2 4 2 2 11 14" xfId="13930" xr:uid="{00000000-0005-0000-0000-000040360000}"/>
    <cellStyle name="Normal 2 2 2 2 4 2 2 11 2" xfId="13931" xr:uid="{00000000-0005-0000-0000-000041360000}"/>
    <cellStyle name="Normal 2 2 2 2 4 2 2 11 2 10" xfId="13932" xr:uid="{00000000-0005-0000-0000-000042360000}"/>
    <cellStyle name="Normal 2 2 2 2 4 2 2 11 2 2" xfId="13933" xr:uid="{00000000-0005-0000-0000-000043360000}"/>
    <cellStyle name="Normal 2 2 2 2 4 2 2 11 2 3" xfId="13934" xr:uid="{00000000-0005-0000-0000-000044360000}"/>
    <cellStyle name="Normal 2 2 2 2 4 2 2 11 2 4" xfId="13935" xr:uid="{00000000-0005-0000-0000-000045360000}"/>
    <cellStyle name="Normal 2 2 2 2 4 2 2 11 2 5" xfId="13936" xr:uid="{00000000-0005-0000-0000-000046360000}"/>
    <cellStyle name="Normal 2 2 2 2 4 2 2 11 2 6" xfId="13937" xr:uid="{00000000-0005-0000-0000-000047360000}"/>
    <cellStyle name="Normal 2 2 2 2 4 2 2 11 2 7" xfId="13938" xr:uid="{00000000-0005-0000-0000-000048360000}"/>
    <cellStyle name="Normal 2 2 2 2 4 2 2 11 2 8" xfId="13939" xr:uid="{00000000-0005-0000-0000-000049360000}"/>
    <cellStyle name="Normal 2 2 2 2 4 2 2 11 2 9" xfId="13940" xr:uid="{00000000-0005-0000-0000-00004A360000}"/>
    <cellStyle name="Normal 2 2 2 2 4 2 2 11 3" xfId="13941" xr:uid="{00000000-0005-0000-0000-00004B360000}"/>
    <cellStyle name="Normal 2 2 2 2 4 2 2 11 3 10" xfId="13942" xr:uid="{00000000-0005-0000-0000-00004C360000}"/>
    <cellStyle name="Normal 2 2 2 2 4 2 2 11 3 2" xfId="13943" xr:uid="{00000000-0005-0000-0000-00004D360000}"/>
    <cellStyle name="Normal 2 2 2 2 4 2 2 11 3 3" xfId="13944" xr:uid="{00000000-0005-0000-0000-00004E360000}"/>
    <cellStyle name="Normal 2 2 2 2 4 2 2 11 3 4" xfId="13945" xr:uid="{00000000-0005-0000-0000-00004F360000}"/>
    <cellStyle name="Normal 2 2 2 2 4 2 2 11 3 5" xfId="13946" xr:uid="{00000000-0005-0000-0000-000050360000}"/>
    <cellStyle name="Normal 2 2 2 2 4 2 2 11 3 6" xfId="13947" xr:uid="{00000000-0005-0000-0000-000051360000}"/>
    <cellStyle name="Normal 2 2 2 2 4 2 2 11 3 7" xfId="13948" xr:uid="{00000000-0005-0000-0000-000052360000}"/>
    <cellStyle name="Normal 2 2 2 2 4 2 2 11 3 8" xfId="13949" xr:uid="{00000000-0005-0000-0000-000053360000}"/>
    <cellStyle name="Normal 2 2 2 2 4 2 2 11 3 9" xfId="13950" xr:uid="{00000000-0005-0000-0000-000054360000}"/>
    <cellStyle name="Normal 2 2 2 2 4 2 2 11 4" xfId="13951" xr:uid="{00000000-0005-0000-0000-000055360000}"/>
    <cellStyle name="Normal 2 2 2 2 4 2 2 11 4 10" xfId="13952" xr:uid="{00000000-0005-0000-0000-000056360000}"/>
    <cellStyle name="Normal 2 2 2 2 4 2 2 11 4 2" xfId="13953" xr:uid="{00000000-0005-0000-0000-000057360000}"/>
    <cellStyle name="Normal 2 2 2 2 4 2 2 11 4 3" xfId="13954" xr:uid="{00000000-0005-0000-0000-000058360000}"/>
    <cellStyle name="Normal 2 2 2 2 4 2 2 11 4 4" xfId="13955" xr:uid="{00000000-0005-0000-0000-000059360000}"/>
    <cellStyle name="Normal 2 2 2 2 4 2 2 11 4 5" xfId="13956" xr:uid="{00000000-0005-0000-0000-00005A360000}"/>
    <cellStyle name="Normal 2 2 2 2 4 2 2 11 4 6" xfId="13957" xr:uid="{00000000-0005-0000-0000-00005B360000}"/>
    <cellStyle name="Normal 2 2 2 2 4 2 2 11 4 7" xfId="13958" xr:uid="{00000000-0005-0000-0000-00005C360000}"/>
    <cellStyle name="Normal 2 2 2 2 4 2 2 11 4 8" xfId="13959" xr:uid="{00000000-0005-0000-0000-00005D360000}"/>
    <cellStyle name="Normal 2 2 2 2 4 2 2 11 4 9" xfId="13960" xr:uid="{00000000-0005-0000-0000-00005E360000}"/>
    <cellStyle name="Normal 2 2 2 2 4 2 2 11 5" xfId="13961" xr:uid="{00000000-0005-0000-0000-00005F360000}"/>
    <cellStyle name="Normal 2 2 2 2 4 2 2 11 5 10" xfId="13962" xr:uid="{00000000-0005-0000-0000-000060360000}"/>
    <cellStyle name="Normal 2 2 2 2 4 2 2 11 5 2" xfId="13963" xr:uid="{00000000-0005-0000-0000-000061360000}"/>
    <cellStyle name="Normal 2 2 2 2 4 2 2 11 5 3" xfId="13964" xr:uid="{00000000-0005-0000-0000-000062360000}"/>
    <cellStyle name="Normal 2 2 2 2 4 2 2 11 5 4" xfId="13965" xr:uid="{00000000-0005-0000-0000-000063360000}"/>
    <cellStyle name="Normal 2 2 2 2 4 2 2 11 5 5" xfId="13966" xr:uid="{00000000-0005-0000-0000-000064360000}"/>
    <cellStyle name="Normal 2 2 2 2 4 2 2 11 5 6" xfId="13967" xr:uid="{00000000-0005-0000-0000-000065360000}"/>
    <cellStyle name="Normal 2 2 2 2 4 2 2 11 5 7" xfId="13968" xr:uid="{00000000-0005-0000-0000-000066360000}"/>
    <cellStyle name="Normal 2 2 2 2 4 2 2 11 5 8" xfId="13969" xr:uid="{00000000-0005-0000-0000-000067360000}"/>
    <cellStyle name="Normal 2 2 2 2 4 2 2 11 5 9" xfId="13970" xr:uid="{00000000-0005-0000-0000-000068360000}"/>
    <cellStyle name="Normal 2 2 2 2 4 2 2 11 6" xfId="13971" xr:uid="{00000000-0005-0000-0000-000069360000}"/>
    <cellStyle name="Normal 2 2 2 2 4 2 2 11 7" xfId="13972" xr:uid="{00000000-0005-0000-0000-00006A360000}"/>
    <cellStyle name="Normal 2 2 2 2 4 2 2 11 8" xfId="13973" xr:uid="{00000000-0005-0000-0000-00006B360000}"/>
    <cellStyle name="Normal 2 2 2 2 4 2 2 11 9" xfId="13974" xr:uid="{00000000-0005-0000-0000-00006C360000}"/>
    <cellStyle name="Normal 2 2 2 2 4 2 2 12" xfId="13975" xr:uid="{00000000-0005-0000-0000-00006D360000}"/>
    <cellStyle name="Normal 2 2 2 2 4 2 2 12 10" xfId="13976" xr:uid="{00000000-0005-0000-0000-00006E360000}"/>
    <cellStyle name="Normal 2 2 2 2 4 2 2 12 11" xfId="13977" xr:uid="{00000000-0005-0000-0000-00006F360000}"/>
    <cellStyle name="Normal 2 2 2 2 4 2 2 12 12" xfId="13978" xr:uid="{00000000-0005-0000-0000-000070360000}"/>
    <cellStyle name="Normal 2 2 2 2 4 2 2 12 13" xfId="13979" xr:uid="{00000000-0005-0000-0000-000071360000}"/>
    <cellStyle name="Normal 2 2 2 2 4 2 2 12 14" xfId="13980" xr:uid="{00000000-0005-0000-0000-000072360000}"/>
    <cellStyle name="Normal 2 2 2 2 4 2 2 12 2" xfId="13981" xr:uid="{00000000-0005-0000-0000-000073360000}"/>
    <cellStyle name="Normal 2 2 2 2 4 2 2 12 2 10" xfId="13982" xr:uid="{00000000-0005-0000-0000-000074360000}"/>
    <cellStyle name="Normal 2 2 2 2 4 2 2 12 2 2" xfId="13983" xr:uid="{00000000-0005-0000-0000-000075360000}"/>
    <cellStyle name="Normal 2 2 2 2 4 2 2 12 2 3" xfId="13984" xr:uid="{00000000-0005-0000-0000-000076360000}"/>
    <cellStyle name="Normal 2 2 2 2 4 2 2 12 2 4" xfId="13985" xr:uid="{00000000-0005-0000-0000-000077360000}"/>
    <cellStyle name="Normal 2 2 2 2 4 2 2 12 2 5" xfId="13986" xr:uid="{00000000-0005-0000-0000-000078360000}"/>
    <cellStyle name="Normal 2 2 2 2 4 2 2 12 2 6" xfId="13987" xr:uid="{00000000-0005-0000-0000-000079360000}"/>
    <cellStyle name="Normal 2 2 2 2 4 2 2 12 2 7" xfId="13988" xr:uid="{00000000-0005-0000-0000-00007A360000}"/>
    <cellStyle name="Normal 2 2 2 2 4 2 2 12 2 8" xfId="13989" xr:uid="{00000000-0005-0000-0000-00007B360000}"/>
    <cellStyle name="Normal 2 2 2 2 4 2 2 12 2 9" xfId="13990" xr:uid="{00000000-0005-0000-0000-00007C360000}"/>
    <cellStyle name="Normal 2 2 2 2 4 2 2 12 3" xfId="13991" xr:uid="{00000000-0005-0000-0000-00007D360000}"/>
    <cellStyle name="Normal 2 2 2 2 4 2 2 12 3 10" xfId="13992" xr:uid="{00000000-0005-0000-0000-00007E360000}"/>
    <cellStyle name="Normal 2 2 2 2 4 2 2 12 3 2" xfId="13993" xr:uid="{00000000-0005-0000-0000-00007F360000}"/>
    <cellStyle name="Normal 2 2 2 2 4 2 2 12 3 3" xfId="13994" xr:uid="{00000000-0005-0000-0000-000080360000}"/>
    <cellStyle name="Normal 2 2 2 2 4 2 2 12 3 4" xfId="13995" xr:uid="{00000000-0005-0000-0000-000081360000}"/>
    <cellStyle name="Normal 2 2 2 2 4 2 2 12 3 5" xfId="13996" xr:uid="{00000000-0005-0000-0000-000082360000}"/>
    <cellStyle name="Normal 2 2 2 2 4 2 2 12 3 6" xfId="13997" xr:uid="{00000000-0005-0000-0000-000083360000}"/>
    <cellStyle name="Normal 2 2 2 2 4 2 2 12 3 7" xfId="13998" xr:uid="{00000000-0005-0000-0000-000084360000}"/>
    <cellStyle name="Normal 2 2 2 2 4 2 2 12 3 8" xfId="13999" xr:uid="{00000000-0005-0000-0000-000085360000}"/>
    <cellStyle name="Normal 2 2 2 2 4 2 2 12 3 9" xfId="14000" xr:uid="{00000000-0005-0000-0000-000086360000}"/>
    <cellStyle name="Normal 2 2 2 2 4 2 2 12 4" xfId="14001" xr:uid="{00000000-0005-0000-0000-000087360000}"/>
    <cellStyle name="Normal 2 2 2 2 4 2 2 12 4 10" xfId="14002" xr:uid="{00000000-0005-0000-0000-000088360000}"/>
    <cellStyle name="Normal 2 2 2 2 4 2 2 12 4 2" xfId="14003" xr:uid="{00000000-0005-0000-0000-000089360000}"/>
    <cellStyle name="Normal 2 2 2 2 4 2 2 12 4 3" xfId="14004" xr:uid="{00000000-0005-0000-0000-00008A360000}"/>
    <cellStyle name="Normal 2 2 2 2 4 2 2 12 4 4" xfId="14005" xr:uid="{00000000-0005-0000-0000-00008B360000}"/>
    <cellStyle name="Normal 2 2 2 2 4 2 2 12 4 5" xfId="14006" xr:uid="{00000000-0005-0000-0000-00008C360000}"/>
    <cellStyle name="Normal 2 2 2 2 4 2 2 12 4 6" xfId="14007" xr:uid="{00000000-0005-0000-0000-00008D360000}"/>
    <cellStyle name="Normal 2 2 2 2 4 2 2 12 4 7" xfId="14008" xr:uid="{00000000-0005-0000-0000-00008E360000}"/>
    <cellStyle name="Normal 2 2 2 2 4 2 2 12 4 8" xfId="14009" xr:uid="{00000000-0005-0000-0000-00008F360000}"/>
    <cellStyle name="Normal 2 2 2 2 4 2 2 12 4 9" xfId="14010" xr:uid="{00000000-0005-0000-0000-000090360000}"/>
    <cellStyle name="Normal 2 2 2 2 4 2 2 12 5" xfId="14011" xr:uid="{00000000-0005-0000-0000-000091360000}"/>
    <cellStyle name="Normal 2 2 2 2 4 2 2 12 5 10" xfId="14012" xr:uid="{00000000-0005-0000-0000-000092360000}"/>
    <cellStyle name="Normal 2 2 2 2 4 2 2 12 5 2" xfId="14013" xr:uid="{00000000-0005-0000-0000-000093360000}"/>
    <cellStyle name="Normal 2 2 2 2 4 2 2 12 5 3" xfId="14014" xr:uid="{00000000-0005-0000-0000-000094360000}"/>
    <cellStyle name="Normal 2 2 2 2 4 2 2 12 5 4" xfId="14015" xr:uid="{00000000-0005-0000-0000-000095360000}"/>
    <cellStyle name="Normal 2 2 2 2 4 2 2 12 5 5" xfId="14016" xr:uid="{00000000-0005-0000-0000-000096360000}"/>
    <cellStyle name="Normal 2 2 2 2 4 2 2 12 5 6" xfId="14017" xr:uid="{00000000-0005-0000-0000-000097360000}"/>
    <cellStyle name="Normal 2 2 2 2 4 2 2 12 5 7" xfId="14018" xr:uid="{00000000-0005-0000-0000-000098360000}"/>
    <cellStyle name="Normal 2 2 2 2 4 2 2 12 5 8" xfId="14019" xr:uid="{00000000-0005-0000-0000-000099360000}"/>
    <cellStyle name="Normal 2 2 2 2 4 2 2 12 5 9" xfId="14020" xr:uid="{00000000-0005-0000-0000-00009A360000}"/>
    <cellStyle name="Normal 2 2 2 2 4 2 2 12 6" xfId="14021" xr:uid="{00000000-0005-0000-0000-00009B360000}"/>
    <cellStyle name="Normal 2 2 2 2 4 2 2 12 7" xfId="14022" xr:uid="{00000000-0005-0000-0000-00009C360000}"/>
    <cellStyle name="Normal 2 2 2 2 4 2 2 12 8" xfId="14023" xr:uid="{00000000-0005-0000-0000-00009D360000}"/>
    <cellStyle name="Normal 2 2 2 2 4 2 2 12 9" xfId="14024" xr:uid="{00000000-0005-0000-0000-00009E360000}"/>
    <cellStyle name="Normal 2 2 2 2 4 2 2 13" xfId="14025" xr:uid="{00000000-0005-0000-0000-00009F360000}"/>
    <cellStyle name="Normal 2 2 2 2 4 2 2 13 10" xfId="14026" xr:uid="{00000000-0005-0000-0000-0000A0360000}"/>
    <cellStyle name="Normal 2 2 2 2 4 2 2 13 11" xfId="14027" xr:uid="{00000000-0005-0000-0000-0000A1360000}"/>
    <cellStyle name="Normal 2 2 2 2 4 2 2 13 12" xfId="14028" xr:uid="{00000000-0005-0000-0000-0000A2360000}"/>
    <cellStyle name="Normal 2 2 2 2 4 2 2 13 13" xfId="14029" xr:uid="{00000000-0005-0000-0000-0000A3360000}"/>
    <cellStyle name="Normal 2 2 2 2 4 2 2 13 14" xfId="14030" xr:uid="{00000000-0005-0000-0000-0000A4360000}"/>
    <cellStyle name="Normal 2 2 2 2 4 2 2 13 2" xfId="14031" xr:uid="{00000000-0005-0000-0000-0000A5360000}"/>
    <cellStyle name="Normal 2 2 2 2 4 2 2 13 2 10" xfId="14032" xr:uid="{00000000-0005-0000-0000-0000A6360000}"/>
    <cellStyle name="Normal 2 2 2 2 4 2 2 13 2 2" xfId="14033" xr:uid="{00000000-0005-0000-0000-0000A7360000}"/>
    <cellStyle name="Normal 2 2 2 2 4 2 2 13 2 3" xfId="14034" xr:uid="{00000000-0005-0000-0000-0000A8360000}"/>
    <cellStyle name="Normal 2 2 2 2 4 2 2 13 2 4" xfId="14035" xr:uid="{00000000-0005-0000-0000-0000A9360000}"/>
    <cellStyle name="Normal 2 2 2 2 4 2 2 13 2 5" xfId="14036" xr:uid="{00000000-0005-0000-0000-0000AA360000}"/>
    <cellStyle name="Normal 2 2 2 2 4 2 2 13 2 6" xfId="14037" xr:uid="{00000000-0005-0000-0000-0000AB360000}"/>
    <cellStyle name="Normal 2 2 2 2 4 2 2 13 2 7" xfId="14038" xr:uid="{00000000-0005-0000-0000-0000AC360000}"/>
    <cellStyle name="Normal 2 2 2 2 4 2 2 13 2 8" xfId="14039" xr:uid="{00000000-0005-0000-0000-0000AD360000}"/>
    <cellStyle name="Normal 2 2 2 2 4 2 2 13 2 9" xfId="14040" xr:uid="{00000000-0005-0000-0000-0000AE360000}"/>
    <cellStyle name="Normal 2 2 2 2 4 2 2 13 3" xfId="14041" xr:uid="{00000000-0005-0000-0000-0000AF360000}"/>
    <cellStyle name="Normal 2 2 2 2 4 2 2 13 3 10" xfId="14042" xr:uid="{00000000-0005-0000-0000-0000B0360000}"/>
    <cellStyle name="Normal 2 2 2 2 4 2 2 13 3 2" xfId="14043" xr:uid="{00000000-0005-0000-0000-0000B1360000}"/>
    <cellStyle name="Normal 2 2 2 2 4 2 2 13 3 3" xfId="14044" xr:uid="{00000000-0005-0000-0000-0000B2360000}"/>
    <cellStyle name="Normal 2 2 2 2 4 2 2 13 3 4" xfId="14045" xr:uid="{00000000-0005-0000-0000-0000B3360000}"/>
    <cellStyle name="Normal 2 2 2 2 4 2 2 13 3 5" xfId="14046" xr:uid="{00000000-0005-0000-0000-0000B4360000}"/>
    <cellStyle name="Normal 2 2 2 2 4 2 2 13 3 6" xfId="14047" xr:uid="{00000000-0005-0000-0000-0000B5360000}"/>
    <cellStyle name="Normal 2 2 2 2 4 2 2 13 3 7" xfId="14048" xr:uid="{00000000-0005-0000-0000-0000B6360000}"/>
    <cellStyle name="Normal 2 2 2 2 4 2 2 13 3 8" xfId="14049" xr:uid="{00000000-0005-0000-0000-0000B7360000}"/>
    <cellStyle name="Normal 2 2 2 2 4 2 2 13 3 9" xfId="14050" xr:uid="{00000000-0005-0000-0000-0000B8360000}"/>
    <cellStyle name="Normal 2 2 2 2 4 2 2 13 4" xfId="14051" xr:uid="{00000000-0005-0000-0000-0000B9360000}"/>
    <cellStyle name="Normal 2 2 2 2 4 2 2 13 4 10" xfId="14052" xr:uid="{00000000-0005-0000-0000-0000BA360000}"/>
    <cellStyle name="Normal 2 2 2 2 4 2 2 13 4 2" xfId="14053" xr:uid="{00000000-0005-0000-0000-0000BB360000}"/>
    <cellStyle name="Normal 2 2 2 2 4 2 2 13 4 3" xfId="14054" xr:uid="{00000000-0005-0000-0000-0000BC360000}"/>
    <cellStyle name="Normal 2 2 2 2 4 2 2 13 4 4" xfId="14055" xr:uid="{00000000-0005-0000-0000-0000BD360000}"/>
    <cellStyle name="Normal 2 2 2 2 4 2 2 13 4 5" xfId="14056" xr:uid="{00000000-0005-0000-0000-0000BE360000}"/>
    <cellStyle name="Normal 2 2 2 2 4 2 2 13 4 6" xfId="14057" xr:uid="{00000000-0005-0000-0000-0000BF360000}"/>
    <cellStyle name="Normal 2 2 2 2 4 2 2 13 4 7" xfId="14058" xr:uid="{00000000-0005-0000-0000-0000C0360000}"/>
    <cellStyle name="Normal 2 2 2 2 4 2 2 13 4 8" xfId="14059" xr:uid="{00000000-0005-0000-0000-0000C1360000}"/>
    <cellStyle name="Normal 2 2 2 2 4 2 2 13 4 9" xfId="14060" xr:uid="{00000000-0005-0000-0000-0000C2360000}"/>
    <cellStyle name="Normal 2 2 2 2 4 2 2 13 5" xfId="14061" xr:uid="{00000000-0005-0000-0000-0000C3360000}"/>
    <cellStyle name="Normal 2 2 2 2 4 2 2 13 5 10" xfId="14062" xr:uid="{00000000-0005-0000-0000-0000C4360000}"/>
    <cellStyle name="Normal 2 2 2 2 4 2 2 13 5 2" xfId="14063" xr:uid="{00000000-0005-0000-0000-0000C5360000}"/>
    <cellStyle name="Normal 2 2 2 2 4 2 2 13 5 3" xfId="14064" xr:uid="{00000000-0005-0000-0000-0000C6360000}"/>
    <cellStyle name="Normal 2 2 2 2 4 2 2 13 5 4" xfId="14065" xr:uid="{00000000-0005-0000-0000-0000C7360000}"/>
    <cellStyle name="Normal 2 2 2 2 4 2 2 13 5 5" xfId="14066" xr:uid="{00000000-0005-0000-0000-0000C8360000}"/>
    <cellStyle name="Normal 2 2 2 2 4 2 2 13 5 6" xfId="14067" xr:uid="{00000000-0005-0000-0000-0000C9360000}"/>
    <cellStyle name="Normal 2 2 2 2 4 2 2 13 5 7" xfId="14068" xr:uid="{00000000-0005-0000-0000-0000CA360000}"/>
    <cellStyle name="Normal 2 2 2 2 4 2 2 13 5 8" xfId="14069" xr:uid="{00000000-0005-0000-0000-0000CB360000}"/>
    <cellStyle name="Normal 2 2 2 2 4 2 2 13 5 9" xfId="14070" xr:uid="{00000000-0005-0000-0000-0000CC360000}"/>
    <cellStyle name="Normal 2 2 2 2 4 2 2 13 6" xfId="14071" xr:uid="{00000000-0005-0000-0000-0000CD360000}"/>
    <cellStyle name="Normal 2 2 2 2 4 2 2 13 7" xfId="14072" xr:uid="{00000000-0005-0000-0000-0000CE360000}"/>
    <cellStyle name="Normal 2 2 2 2 4 2 2 13 8" xfId="14073" xr:uid="{00000000-0005-0000-0000-0000CF360000}"/>
    <cellStyle name="Normal 2 2 2 2 4 2 2 13 9" xfId="14074" xr:uid="{00000000-0005-0000-0000-0000D0360000}"/>
    <cellStyle name="Normal 2 2 2 2 4 2 2 14" xfId="14075" xr:uid="{00000000-0005-0000-0000-0000D1360000}"/>
    <cellStyle name="Normal 2 2 2 2 4 2 2 14 10" xfId="14076" xr:uid="{00000000-0005-0000-0000-0000D2360000}"/>
    <cellStyle name="Normal 2 2 2 2 4 2 2 14 11" xfId="14077" xr:uid="{00000000-0005-0000-0000-0000D3360000}"/>
    <cellStyle name="Normal 2 2 2 2 4 2 2 14 12" xfId="14078" xr:uid="{00000000-0005-0000-0000-0000D4360000}"/>
    <cellStyle name="Normal 2 2 2 2 4 2 2 14 13" xfId="14079" xr:uid="{00000000-0005-0000-0000-0000D5360000}"/>
    <cellStyle name="Normal 2 2 2 2 4 2 2 14 14" xfId="14080" xr:uid="{00000000-0005-0000-0000-0000D6360000}"/>
    <cellStyle name="Normal 2 2 2 2 4 2 2 14 2" xfId="14081" xr:uid="{00000000-0005-0000-0000-0000D7360000}"/>
    <cellStyle name="Normal 2 2 2 2 4 2 2 14 2 10" xfId="14082" xr:uid="{00000000-0005-0000-0000-0000D8360000}"/>
    <cellStyle name="Normal 2 2 2 2 4 2 2 14 2 2" xfId="14083" xr:uid="{00000000-0005-0000-0000-0000D9360000}"/>
    <cellStyle name="Normal 2 2 2 2 4 2 2 14 2 3" xfId="14084" xr:uid="{00000000-0005-0000-0000-0000DA360000}"/>
    <cellStyle name="Normal 2 2 2 2 4 2 2 14 2 4" xfId="14085" xr:uid="{00000000-0005-0000-0000-0000DB360000}"/>
    <cellStyle name="Normal 2 2 2 2 4 2 2 14 2 5" xfId="14086" xr:uid="{00000000-0005-0000-0000-0000DC360000}"/>
    <cellStyle name="Normal 2 2 2 2 4 2 2 14 2 6" xfId="14087" xr:uid="{00000000-0005-0000-0000-0000DD360000}"/>
    <cellStyle name="Normal 2 2 2 2 4 2 2 14 2 7" xfId="14088" xr:uid="{00000000-0005-0000-0000-0000DE360000}"/>
    <cellStyle name="Normal 2 2 2 2 4 2 2 14 2 8" xfId="14089" xr:uid="{00000000-0005-0000-0000-0000DF360000}"/>
    <cellStyle name="Normal 2 2 2 2 4 2 2 14 2 9" xfId="14090" xr:uid="{00000000-0005-0000-0000-0000E0360000}"/>
    <cellStyle name="Normal 2 2 2 2 4 2 2 14 3" xfId="14091" xr:uid="{00000000-0005-0000-0000-0000E1360000}"/>
    <cellStyle name="Normal 2 2 2 2 4 2 2 14 3 10" xfId="14092" xr:uid="{00000000-0005-0000-0000-0000E2360000}"/>
    <cellStyle name="Normal 2 2 2 2 4 2 2 14 3 2" xfId="14093" xr:uid="{00000000-0005-0000-0000-0000E3360000}"/>
    <cellStyle name="Normal 2 2 2 2 4 2 2 14 3 3" xfId="14094" xr:uid="{00000000-0005-0000-0000-0000E4360000}"/>
    <cellStyle name="Normal 2 2 2 2 4 2 2 14 3 4" xfId="14095" xr:uid="{00000000-0005-0000-0000-0000E5360000}"/>
    <cellStyle name="Normal 2 2 2 2 4 2 2 14 3 5" xfId="14096" xr:uid="{00000000-0005-0000-0000-0000E6360000}"/>
    <cellStyle name="Normal 2 2 2 2 4 2 2 14 3 6" xfId="14097" xr:uid="{00000000-0005-0000-0000-0000E7360000}"/>
    <cellStyle name="Normal 2 2 2 2 4 2 2 14 3 7" xfId="14098" xr:uid="{00000000-0005-0000-0000-0000E8360000}"/>
    <cellStyle name="Normal 2 2 2 2 4 2 2 14 3 8" xfId="14099" xr:uid="{00000000-0005-0000-0000-0000E9360000}"/>
    <cellStyle name="Normal 2 2 2 2 4 2 2 14 3 9" xfId="14100" xr:uid="{00000000-0005-0000-0000-0000EA360000}"/>
    <cellStyle name="Normal 2 2 2 2 4 2 2 14 4" xfId="14101" xr:uid="{00000000-0005-0000-0000-0000EB360000}"/>
    <cellStyle name="Normal 2 2 2 2 4 2 2 14 4 10" xfId="14102" xr:uid="{00000000-0005-0000-0000-0000EC360000}"/>
    <cellStyle name="Normal 2 2 2 2 4 2 2 14 4 2" xfId="14103" xr:uid="{00000000-0005-0000-0000-0000ED360000}"/>
    <cellStyle name="Normal 2 2 2 2 4 2 2 14 4 3" xfId="14104" xr:uid="{00000000-0005-0000-0000-0000EE360000}"/>
    <cellStyle name="Normal 2 2 2 2 4 2 2 14 4 4" xfId="14105" xr:uid="{00000000-0005-0000-0000-0000EF360000}"/>
    <cellStyle name="Normal 2 2 2 2 4 2 2 14 4 5" xfId="14106" xr:uid="{00000000-0005-0000-0000-0000F0360000}"/>
    <cellStyle name="Normal 2 2 2 2 4 2 2 14 4 6" xfId="14107" xr:uid="{00000000-0005-0000-0000-0000F1360000}"/>
    <cellStyle name="Normal 2 2 2 2 4 2 2 14 4 7" xfId="14108" xr:uid="{00000000-0005-0000-0000-0000F2360000}"/>
    <cellStyle name="Normal 2 2 2 2 4 2 2 14 4 8" xfId="14109" xr:uid="{00000000-0005-0000-0000-0000F3360000}"/>
    <cellStyle name="Normal 2 2 2 2 4 2 2 14 4 9" xfId="14110" xr:uid="{00000000-0005-0000-0000-0000F4360000}"/>
    <cellStyle name="Normal 2 2 2 2 4 2 2 14 5" xfId="14111" xr:uid="{00000000-0005-0000-0000-0000F5360000}"/>
    <cellStyle name="Normal 2 2 2 2 4 2 2 14 5 10" xfId="14112" xr:uid="{00000000-0005-0000-0000-0000F6360000}"/>
    <cellStyle name="Normal 2 2 2 2 4 2 2 14 5 2" xfId="14113" xr:uid="{00000000-0005-0000-0000-0000F7360000}"/>
    <cellStyle name="Normal 2 2 2 2 4 2 2 14 5 3" xfId="14114" xr:uid="{00000000-0005-0000-0000-0000F8360000}"/>
    <cellStyle name="Normal 2 2 2 2 4 2 2 14 5 4" xfId="14115" xr:uid="{00000000-0005-0000-0000-0000F9360000}"/>
    <cellStyle name="Normal 2 2 2 2 4 2 2 14 5 5" xfId="14116" xr:uid="{00000000-0005-0000-0000-0000FA360000}"/>
    <cellStyle name="Normal 2 2 2 2 4 2 2 14 5 6" xfId="14117" xr:uid="{00000000-0005-0000-0000-0000FB360000}"/>
    <cellStyle name="Normal 2 2 2 2 4 2 2 14 5 7" xfId="14118" xr:uid="{00000000-0005-0000-0000-0000FC360000}"/>
    <cellStyle name="Normal 2 2 2 2 4 2 2 14 5 8" xfId="14119" xr:uid="{00000000-0005-0000-0000-0000FD360000}"/>
    <cellStyle name="Normal 2 2 2 2 4 2 2 14 5 9" xfId="14120" xr:uid="{00000000-0005-0000-0000-0000FE360000}"/>
    <cellStyle name="Normal 2 2 2 2 4 2 2 14 6" xfId="14121" xr:uid="{00000000-0005-0000-0000-0000FF360000}"/>
    <cellStyle name="Normal 2 2 2 2 4 2 2 14 7" xfId="14122" xr:uid="{00000000-0005-0000-0000-000000370000}"/>
    <cellStyle name="Normal 2 2 2 2 4 2 2 14 8" xfId="14123" xr:uid="{00000000-0005-0000-0000-000001370000}"/>
    <cellStyle name="Normal 2 2 2 2 4 2 2 14 9" xfId="14124" xr:uid="{00000000-0005-0000-0000-000002370000}"/>
    <cellStyle name="Normal 2 2 2 2 4 2 2 15" xfId="14125" xr:uid="{00000000-0005-0000-0000-000003370000}"/>
    <cellStyle name="Normal 2 2 2 2 4 2 2 15 10" xfId="14126" xr:uid="{00000000-0005-0000-0000-000004370000}"/>
    <cellStyle name="Normal 2 2 2 2 4 2 2 15 11" xfId="14127" xr:uid="{00000000-0005-0000-0000-000005370000}"/>
    <cellStyle name="Normal 2 2 2 2 4 2 2 15 12" xfId="14128" xr:uid="{00000000-0005-0000-0000-000006370000}"/>
    <cellStyle name="Normal 2 2 2 2 4 2 2 15 13" xfId="14129" xr:uid="{00000000-0005-0000-0000-000007370000}"/>
    <cellStyle name="Normal 2 2 2 2 4 2 2 15 14" xfId="14130" xr:uid="{00000000-0005-0000-0000-000008370000}"/>
    <cellStyle name="Normal 2 2 2 2 4 2 2 15 2" xfId="14131" xr:uid="{00000000-0005-0000-0000-000009370000}"/>
    <cellStyle name="Normal 2 2 2 2 4 2 2 15 2 10" xfId="14132" xr:uid="{00000000-0005-0000-0000-00000A370000}"/>
    <cellStyle name="Normal 2 2 2 2 4 2 2 15 2 2" xfId="14133" xr:uid="{00000000-0005-0000-0000-00000B370000}"/>
    <cellStyle name="Normal 2 2 2 2 4 2 2 15 2 3" xfId="14134" xr:uid="{00000000-0005-0000-0000-00000C370000}"/>
    <cellStyle name="Normal 2 2 2 2 4 2 2 15 2 4" xfId="14135" xr:uid="{00000000-0005-0000-0000-00000D370000}"/>
    <cellStyle name="Normal 2 2 2 2 4 2 2 15 2 5" xfId="14136" xr:uid="{00000000-0005-0000-0000-00000E370000}"/>
    <cellStyle name="Normal 2 2 2 2 4 2 2 15 2 6" xfId="14137" xr:uid="{00000000-0005-0000-0000-00000F370000}"/>
    <cellStyle name="Normal 2 2 2 2 4 2 2 15 2 7" xfId="14138" xr:uid="{00000000-0005-0000-0000-000010370000}"/>
    <cellStyle name="Normal 2 2 2 2 4 2 2 15 2 8" xfId="14139" xr:uid="{00000000-0005-0000-0000-000011370000}"/>
    <cellStyle name="Normal 2 2 2 2 4 2 2 15 2 9" xfId="14140" xr:uid="{00000000-0005-0000-0000-000012370000}"/>
    <cellStyle name="Normal 2 2 2 2 4 2 2 15 3" xfId="14141" xr:uid="{00000000-0005-0000-0000-000013370000}"/>
    <cellStyle name="Normal 2 2 2 2 4 2 2 15 3 10" xfId="14142" xr:uid="{00000000-0005-0000-0000-000014370000}"/>
    <cellStyle name="Normal 2 2 2 2 4 2 2 15 3 2" xfId="14143" xr:uid="{00000000-0005-0000-0000-000015370000}"/>
    <cellStyle name="Normal 2 2 2 2 4 2 2 15 3 3" xfId="14144" xr:uid="{00000000-0005-0000-0000-000016370000}"/>
    <cellStyle name="Normal 2 2 2 2 4 2 2 15 3 4" xfId="14145" xr:uid="{00000000-0005-0000-0000-000017370000}"/>
    <cellStyle name="Normal 2 2 2 2 4 2 2 15 3 5" xfId="14146" xr:uid="{00000000-0005-0000-0000-000018370000}"/>
    <cellStyle name="Normal 2 2 2 2 4 2 2 15 3 6" xfId="14147" xr:uid="{00000000-0005-0000-0000-000019370000}"/>
    <cellStyle name="Normal 2 2 2 2 4 2 2 15 3 7" xfId="14148" xr:uid="{00000000-0005-0000-0000-00001A370000}"/>
    <cellStyle name="Normal 2 2 2 2 4 2 2 15 3 8" xfId="14149" xr:uid="{00000000-0005-0000-0000-00001B370000}"/>
    <cellStyle name="Normal 2 2 2 2 4 2 2 15 3 9" xfId="14150" xr:uid="{00000000-0005-0000-0000-00001C370000}"/>
    <cellStyle name="Normal 2 2 2 2 4 2 2 15 4" xfId="14151" xr:uid="{00000000-0005-0000-0000-00001D370000}"/>
    <cellStyle name="Normal 2 2 2 2 4 2 2 15 4 10" xfId="14152" xr:uid="{00000000-0005-0000-0000-00001E370000}"/>
    <cellStyle name="Normal 2 2 2 2 4 2 2 15 4 2" xfId="14153" xr:uid="{00000000-0005-0000-0000-00001F370000}"/>
    <cellStyle name="Normal 2 2 2 2 4 2 2 15 4 3" xfId="14154" xr:uid="{00000000-0005-0000-0000-000020370000}"/>
    <cellStyle name="Normal 2 2 2 2 4 2 2 15 4 4" xfId="14155" xr:uid="{00000000-0005-0000-0000-000021370000}"/>
    <cellStyle name="Normal 2 2 2 2 4 2 2 15 4 5" xfId="14156" xr:uid="{00000000-0005-0000-0000-000022370000}"/>
    <cellStyle name="Normal 2 2 2 2 4 2 2 15 4 6" xfId="14157" xr:uid="{00000000-0005-0000-0000-000023370000}"/>
    <cellStyle name="Normal 2 2 2 2 4 2 2 15 4 7" xfId="14158" xr:uid="{00000000-0005-0000-0000-000024370000}"/>
    <cellStyle name="Normal 2 2 2 2 4 2 2 15 4 8" xfId="14159" xr:uid="{00000000-0005-0000-0000-000025370000}"/>
    <cellStyle name="Normal 2 2 2 2 4 2 2 15 4 9" xfId="14160" xr:uid="{00000000-0005-0000-0000-000026370000}"/>
    <cellStyle name="Normal 2 2 2 2 4 2 2 15 5" xfId="14161" xr:uid="{00000000-0005-0000-0000-000027370000}"/>
    <cellStyle name="Normal 2 2 2 2 4 2 2 15 5 10" xfId="14162" xr:uid="{00000000-0005-0000-0000-000028370000}"/>
    <cellStyle name="Normal 2 2 2 2 4 2 2 15 5 2" xfId="14163" xr:uid="{00000000-0005-0000-0000-000029370000}"/>
    <cellStyle name="Normal 2 2 2 2 4 2 2 15 5 3" xfId="14164" xr:uid="{00000000-0005-0000-0000-00002A370000}"/>
    <cellStyle name="Normal 2 2 2 2 4 2 2 15 5 4" xfId="14165" xr:uid="{00000000-0005-0000-0000-00002B370000}"/>
    <cellStyle name="Normal 2 2 2 2 4 2 2 15 5 5" xfId="14166" xr:uid="{00000000-0005-0000-0000-00002C370000}"/>
    <cellStyle name="Normal 2 2 2 2 4 2 2 15 5 6" xfId="14167" xr:uid="{00000000-0005-0000-0000-00002D370000}"/>
    <cellStyle name="Normal 2 2 2 2 4 2 2 15 5 7" xfId="14168" xr:uid="{00000000-0005-0000-0000-00002E370000}"/>
    <cellStyle name="Normal 2 2 2 2 4 2 2 15 5 8" xfId="14169" xr:uid="{00000000-0005-0000-0000-00002F370000}"/>
    <cellStyle name="Normal 2 2 2 2 4 2 2 15 5 9" xfId="14170" xr:uid="{00000000-0005-0000-0000-000030370000}"/>
    <cellStyle name="Normal 2 2 2 2 4 2 2 15 6" xfId="14171" xr:uid="{00000000-0005-0000-0000-000031370000}"/>
    <cellStyle name="Normal 2 2 2 2 4 2 2 15 7" xfId="14172" xr:uid="{00000000-0005-0000-0000-000032370000}"/>
    <cellStyle name="Normal 2 2 2 2 4 2 2 15 8" xfId="14173" xr:uid="{00000000-0005-0000-0000-000033370000}"/>
    <cellStyle name="Normal 2 2 2 2 4 2 2 15 9" xfId="14174" xr:uid="{00000000-0005-0000-0000-000034370000}"/>
    <cellStyle name="Normal 2 2 2 2 4 2 2 16" xfId="14175" xr:uid="{00000000-0005-0000-0000-000035370000}"/>
    <cellStyle name="Normal 2 2 2 2 4 2 2 16 10" xfId="14176" xr:uid="{00000000-0005-0000-0000-000036370000}"/>
    <cellStyle name="Normal 2 2 2 2 4 2 2 16 11" xfId="14177" xr:uid="{00000000-0005-0000-0000-000037370000}"/>
    <cellStyle name="Normal 2 2 2 2 4 2 2 16 12" xfId="14178" xr:uid="{00000000-0005-0000-0000-000038370000}"/>
    <cellStyle name="Normal 2 2 2 2 4 2 2 16 13" xfId="14179" xr:uid="{00000000-0005-0000-0000-000039370000}"/>
    <cellStyle name="Normal 2 2 2 2 4 2 2 16 14" xfId="14180" xr:uid="{00000000-0005-0000-0000-00003A370000}"/>
    <cellStyle name="Normal 2 2 2 2 4 2 2 16 2" xfId="14181" xr:uid="{00000000-0005-0000-0000-00003B370000}"/>
    <cellStyle name="Normal 2 2 2 2 4 2 2 16 2 10" xfId="14182" xr:uid="{00000000-0005-0000-0000-00003C370000}"/>
    <cellStyle name="Normal 2 2 2 2 4 2 2 16 2 2" xfId="14183" xr:uid="{00000000-0005-0000-0000-00003D370000}"/>
    <cellStyle name="Normal 2 2 2 2 4 2 2 16 2 3" xfId="14184" xr:uid="{00000000-0005-0000-0000-00003E370000}"/>
    <cellStyle name="Normal 2 2 2 2 4 2 2 16 2 4" xfId="14185" xr:uid="{00000000-0005-0000-0000-00003F370000}"/>
    <cellStyle name="Normal 2 2 2 2 4 2 2 16 2 5" xfId="14186" xr:uid="{00000000-0005-0000-0000-000040370000}"/>
    <cellStyle name="Normal 2 2 2 2 4 2 2 16 2 6" xfId="14187" xr:uid="{00000000-0005-0000-0000-000041370000}"/>
    <cellStyle name="Normal 2 2 2 2 4 2 2 16 2 7" xfId="14188" xr:uid="{00000000-0005-0000-0000-000042370000}"/>
    <cellStyle name="Normal 2 2 2 2 4 2 2 16 2 8" xfId="14189" xr:uid="{00000000-0005-0000-0000-000043370000}"/>
    <cellStyle name="Normal 2 2 2 2 4 2 2 16 2 9" xfId="14190" xr:uid="{00000000-0005-0000-0000-000044370000}"/>
    <cellStyle name="Normal 2 2 2 2 4 2 2 16 3" xfId="14191" xr:uid="{00000000-0005-0000-0000-000045370000}"/>
    <cellStyle name="Normal 2 2 2 2 4 2 2 16 3 10" xfId="14192" xr:uid="{00000000-0005-0000-0000-000046370000}"/>
    <cellStyle name="Normal 2 2 2 2 4 2 2 16 3 2" xfId="14193" xr:uid="{00000000-0005-0000-0000-000047370000}"/>
    <cellStyle name="Normal 2 2 2 2 4 2 2 16 3 3" xfId="14194" xr:uid="{00000000-0005-0000-0000-000048370000}"/>
    <cellStyle name="Normal 2 2 2 2 4 2 2 16 3 4" xfId="14195" xr:uid="{00000000-0005-0000-0000-000049370000}"/>
    <cellStyle name="Normal 2 2 2 2 4 2 2 16 3 5" xfId="14196" xr:uid="{00000000-0005-0000-0000-00004A370000}"/>
    <cellStyle name="Normal 2 2 2 2 4 2 2 16 3 6" xfId="14197" xr:uid="{00000000-0005-0000-0000-00004B370000}"/>
    <cellStyle name="Normal 2 2 2 2 4 2 2 16 3 7" xfId="14198" xr:uid="{00000000-0005-0000-0000-00004C370000}"/>
    <cellStyle name="Normal 2 2 2 2 4 2 2 16 3 8" xfId="14199" xr:uid="{00000000-0005-0000-0000-00004D370000}"/>
    <cellStyle name="Normal 2 2 2 2 4 2 2 16 3 9" xfId="14200" xr:uid="{00000000-0005-0000-0000-00004E370000}"/>
    <cellStyle name="Normal 2 2 2 2 4 2 2 16 4" xfId="14201" xr:uid="{00000000-0005-0000-0000-00004F370000}"/>
    <cellStyle name="Normal 2 2 2 2 4 2 2 16 4 10" xfId="14202" xr:uid="{00000000-0005-0000-0000-000050370000}"/>
    <cellStyle name="Normal 2 2 2 2 4 2 2 16 4 2" xfId="14203" xr:uid="{00000000-0005-0000-0000-000051370000}"/>
    <cellStyle name="Normal 2 2 2 2 4 2 2 16 4 3" xfId="14204" xr:uid="{00000000-0005-0000-0000-000052370000}"/>
    <cellStyle name="Normal 2 2 2 2 4 2 2 16 4 4" xfId="14205" xr:uid="{00000000-0005-0000-0000-000053370000}"/>
    <cellStyle name="Normal 2 2 2 2 4 2 2 16 4 5" xfId="14206" xr:uid="{00000000-0005-0000-0000-000054370000}"/>
    <cellStyle name="Normal 2 2 2 2 4 2 2 16 4 6" xfId="14207" xr:uid="{00000000-0005-0000-0000-000055370000}"/>
    <cellStyle name="Normal 2 2 2 2 4 2 2 16 4 7" xfId="14208" xr:uid="{00000000-0005-0000-0000-000056370000}"/>
    <cellStyle name="Normal 2 2 2 2 4 2 2 16 4 8" xfId="14209" xr:uid="{00000000-0005-0000-0000-000057370000}"/>
    <cellStyle name="Normal 2 2 2 2 4 2 2 16 4 9" xfId="14210" xr:uid="{00000000-0005-0000-0000-000058370000}"/>
    <cellStyle name="Normal 2 2 2 2 4 2 2 16 5" xfId="14211" xr:uid="{00000000-0005-0000-0000-000059370000}"/>
    <cellStyle name="Normal 2 2 2 2 4 2 2 16 5 10" xfId="14212" xr:uid="{00000000-0005-0000-0000-00005A370000}"/>
    <cellStyle name="Normal 2 2 2 2 4 2 2 16 5 2" xfId="14213" xr:uid="{00000000-0005-0000-0000-00005B370000}"/>
    <cellStyle name="Normal 2 2 2 2 4 2 2 16 5 3" xfId="14214" xr:uid="{00000000-0005-0000-0000-00005C370000}"/>
    <cellStyle name="Normal 2 2 2 2 4 2 2 16 5 4" xfId="14215" xr:uid="{00000000-0005-0000-0000-00005D370000}"/>
    <cellStyle name="Normal 2 2 2 2 4 2 2 16 5 5" xfId="14216" xr:uid="{00000000-0005-0000-0000-00005E370000}"/>
    <cellStyle name="Normal 2 2 2 2 4 2 2 16 5 6" xfId="14217" xr:uid="{00000000-0005-0000-0000-00005F370000}"/>
    <cellStyle name="Normal 2 2 2 2 4 2 2 16 5 7" xfId="14218" xr:uid="{00000000-0005-0000-0000-000060370000}"/>
    <cellStyle name="Normal 2 2 2 2 4 2 2 16 5 8" xfId="14219" xr:uid="{00000000-0005-0000-0000-000061370000}"/>
    <cellStyle name="Normal 2 2 2 2 4 2 2 16 5 9" xfId="14220" xr:uid="{00000000-0005-0000-0000-000062370000}"/>
    <cellStyle name="Normal 2 2 2 2 4 2 2 16 6" xfId="14221" xr:uid="{00000000-0005-0000-0000-000063370000}"/>
    <cellStyle name="Normal 2 2 2 2 4 2 2 16 7" xfId="14222" xr:uid="{00000000-0005-0000-0000-000064370000}"/>
    <cellStyle name="Normal 2 2 2 2 4 2 2 16 8" xfId="14223" xr:uid="{00000000-0005-0000-0000-000065370000}"/>
    <cellStyle name="Normal 2 2 2 2 4 2 2 16 9" xfId="14224" xr:uid="{00000000-0005-0000-0000-000066370000}"/>
    <cellStyle name="Normal 2 2 2 2 4 2 2 17" xfId="14225" xr:uid="{00000000-0005-0000-0000-000067370000}"/>
    <cellStyle name="Normal 2 2 2 2 4 2 2 17 10" xfId="14226" xr:uid="{00000000-0005-0000-0000-000068370000}"/>
    <cellStyle name="Normal 2 2 2 2 4 2 2 17 11" xfId="14227" xr:uid="{00000000-0005-0000-0000-000069370000}"/>
    <cellStyle name="Normal 2 2 2 2 4 2 2 17 12" xfId="14228" xr:uid="{00000000-0005-0000-0000-00006A370000}"/>
    <cellStyle name="Normal 2 2 2 2 4 2 2 17 13" xfId="14229" xr:uid="{00000000-0005-0000-0000-00006B370000}"/>
    <cellStyle name="Normal 2 2 2 2 4 2 2 17 14" xfId="14230" xr:uid="{00000000-0005-0000-0000-00006C370000}"/>
    <cellStyle name="Normal 2 2 2 2 4 2 2 17 2" xfId="14231" xr:uid="{00000000-0005-0000-0000-00006D370000}"/>
    <cellStyle name="Normal 2 2 2 2 4 2 2 17 2 10" xfId="14232" xr:uid="{00000000-0005-0000-0000-00006E370000}"/>
    <cellStyle name="Normal 2 2 2 2 4 2 2 17 2 2" xfId="14233" xr:uid="{00000000-0005-0000-0000-00006F370000}"/>
    <cellStyle name="Normal 2 2 2 2 4 2 2 17 2 3" xfId="14234" xr:uid="{00000000-0005-0000-0000-000070370000}"/>
    <cellStyle name="Normal 2 2 2 2 4 2 2 17 2 4" xfId="14235" xr:uid="{00000000-0005-0000-0000-000071370000}"/>
    <cellStyle name="Normal 2 2 2 2 4 2 2 17 2 5" xfId="14236" xr:uid="{00000000-0005-0000-0000-000072370000}"/>
    <cellStyle name="Normal 2 2 2 2 4 2 2 17 2 6" xfId="14237" xr:uid="{00000000-0005-0000-0000-000073370000}"/>
    <cellStyle name="Normal 2 2 2 2 4 2 2 17 2 7" xfId="14238" xr:uid="{00000000-0005-0000-0000-000074370000}"/>
    <cellStyle name="Normal 2 2 2 2 4 2 2 17 2 8" xfId="14239" xr:uid="{00000000-0005-0000-0000-000075370000}"/>
    <cellStyle name="Normal 2 2 2 2 4 2 2 17 2 9" xfId="14240" xr:uid="{00000000-0005-0000-0000-000076370000}"/>
    <cellStyle name="Normal 2 2 2 2 4 2 2 17 3" xfId="14241" xr:uid="{00000000-0005-0000-0000-000077370000}"/>
    <cellStyle name="Normal 2 2 2 2 4 2 2 17 3 10" xfId="14242" xr:uid="{00000000-0005-0000-0000-000078370000}"/>
    <cellStyle name="Normal 2 2 2 2 4 2 2 17 3 2" xfId="14243" xr:uid="{00000000-0005-0000-0000-000079370000}"/>
    <cellStyle name="Normal 2 2 2 2 4 2 2 17 3 3" xfId="14244" xr:uid="{00000000-0005-0000-0000-00007A370000}"/>
    <cellStyle name="Normal 2 2 2 2 4 2 2 17 3 4" xfId="14245" xr:uid="{00000000-0005-0000-0000-00007B370000}"/>
    <cellStyle name="Normal 2 2 2 2 4 2 2 17 3 5" xfId="14246" xr:uid="{00000000-0005-0000-0000-00007C370000}"/>
    <cellStyle name="Normal 2 2 2 2 4 2 2 17 3 6" xfId="14247" xr:uid="{00000000-0005-0000-0000-00007D370000}"/>
    <cellStyle name="Normal 2 2 2 2 4 2 2 17 3 7" xfId="14248" xr:uid="{00000000-0005-0000-0000-00007E370000}"/>
    <cellStyle name="Normal 2 2 2 2 4 2 2 17 3 8" xfId="14249" xr:uid="{00000000-0005-0000-0000-00007F370000}"/>
    <cellStyle name="Normal 2 2 2 2 4 2 2 17 3 9" xfId="14250" xr:uid="{00000000-0005-0000-0000-000080370000}"/>
    <cellStyle name="Normal 2 2 2 2 4 2 2 17 4" xfId="14251" xr:uid="{00000000-0005-0000-0000-000081370000}"/>
    <cellStyle name="Normal 2 2 2 2 4 2 2 17 4 10" xfId="14252" xr:uid="{00000000-0005-0000-0000-000082370000}"/>
    <cellStyle name="Normal 2 2 2 2 4 2 2 17 4 2" xfId="14253" xr:uid="{00000000-0005-0000-0000-000083370000}"/>
    <cellStyle name="Normal 2 2 2 2 4 2 2 17 4 3" xfId="14254" xr:uid="{00000000-0005-0000-0000-000084370000}"/>
    <cellStyle name="Normal 2 2 2 2 4 2 2 17 4 4" xfId="14255" xr:uid="{00000000-0005-0000-0000-000085370000}"/>
    <cellStyle name="Normal 2 2 2 2 4 2 2 17 4 5" xfId="14256" xr:uid="{00000000-0005-0000-0000-000086370000}"/>
    <cellStyle name="Normal 2 2 2 2 4 2 2 17 4 6" xfId="14257" xr:uid="{00000000-0005-0000-0000-000087370000}"/>
    <cellStyle name="Normal 2 2 2 2 4 2 2 17 4 7" xfId="14258" xr:uid="{00000000-0005-0000-0000-000088370000}"/>
    <cellStyle name="Normal 2 2 2 2 4 2 2 17 4 8" xfId="14259" xr:uid="{00000000-0005-0000-0000-000089370000}"/>
    <cellStyle name="Normal 2 2 2 2 4 2 2 17 4 9" xfId="14260" xr:uid="{00000000-0005-0000-0000-00008A370000}"/>
    <cellStyle name="Normal 2 2 2 2 4 2 2 17 5" xfId="14261" xr:uid="{00000000-0005-0000-0000-00008B370000}"/>
    <cellStyle name="Normal 2 2 2 2 4 2 2 17 5 10" xfId="14262" xr:uid="{00000000-0005-0000-0000-00008C370000}"/>
    <cellStyle name="Normal 2 2 2 2 4 2 2 17 5 2" xfId="14263" xr:uid="{00000000-0005-0000-0000-00008D370000}"/>
    <cellStyle name="Normal 2 2 2 2 4 2 2 17 5 3" xfId="14264" xr:uid="{00000000-0005-0000-0000-00008E370000}"/>
    <cellStyle name="Normal 2 2 2 2 4 2 2 17 5 4" xfId="14265" xr:uid="{00000000-0005-0000-0000-00008F370000}"/>
    <cellStyle name="Normal 2 2 2 2 4 2 2 17 5 5" xfId="14266" xr:uid="{00000000-0005-0000-0000-000090370000}"/>
    <cellStyle name="Normal 2 2 2 2 4 2 2 17 5 6" xfId="14267" xr:uid="{00000000-0005-0000-0000-000091370000}"/>
    <cellStyle name="Normal 2 2 2 2 4 2 2 17 5 7" xfId="14268" xr:uid="{00000000-0005-0000-0000-000092370000}"/>
    <cellStyle name="Normal 2 2 2 2 4 2 2 17 5 8" xfId="14269" xr:uid="{00000000-0005-0000-0000-000093370000}"/>
    <cellStyle name="Normal 2 2 2 2 4 2 2 17 5 9" xfId="14270" xr:uid="{00000000-0005-0000-0000-000094370000}"/>
    <cellStyle name="Normal 2 2 2 2 4 2 2 17 6" xfId="14271" xr:uid="{00000000-0005-0000-0000-000095370000}"/>
    <cellStyle name="Normal 2 2 2 2 4 2 2 17 7" xfId="14272" xr:uid="{00000000-0005-0000-0000-000096370000}"/>
    <cellStyle name="Normal 2 2 2 2 4 2 2 17 8" xfId="14273" xr:uid="{00000000-0005-0000-0000-000097370000}"/>
    <cellStyle name="Normal 2 2 2 2 4 2 2 17 9" xfId="14274" xr:uid="{00000000-0005-0000-0000-000098370000}"/>
    <cellStyle name="Normal 2 2 2 2 4 2 2 18" xfId="14275" xr:uid="{00000000-0005-0000-0000-000099370000}"/>
    <cellStyle name="Normal 2 2 2 2 4 2 2 18 10" xfId="14276" xr:uid="{00000000-0005-0000-0000-00009A370000}"/>
    <cellStyle name="Normal 2 2 2 2 4 2 2 18 11" xfId="14277" xr:uid="{00000000-0005-0000-0000-00009B370000}"/>
    <cellStyle name="Normal 2 2 2 2 4 2 2 18 12" xfId="14278" xr:uid="{00000000-0005-0000-0000-00009C370000}"/>
    <cellStyle name="Normal 2 2 2 2 4 2 2 18 13" xfId="14279" xr:uid="{00000000-0005-0000-0000-00009D370000}"/>
    <cellStyle name="Normal 2 2 2 2 4 2 2 18 14" xfId="14280" xr:uid="{00000000-0005-0000-0000-00009E370000}"/>
    <cellStyle name="Normal 2 2 2 2 4 2 2 18 2" xfId="14281" xr:uid="{00000000-0005-0000-0000-00009F370000}"/>
    <cellStyle name="Normal 2 2 2 2 4 2 2 18 2 10" xfId="14282" xr:uid="{00000000-0005-0000-0000-0000A0370000}"/>
    <cellStyle name="Normal 2 2 2 2 4 2 2 18 2 2" xfId="14283" xr:uid="{00000000-0005-0000-0000-0000A1370000}"/>
    <cellStyle name="Normal 2 2 2 2 4 2 2 18 2 3" xfId="14284" xr:uid="{00000000-0005-0000-0000-0000A2370000}"/>
    <cellStyle name="Normal 2 2 2 2 4 2 2 18 2 4" xfId="14285" xr:uid="{00000000-0005-0000-0000-0000A3370000}"/>
    <cellStyle name="Normal 2 2 2 2 4 2 2 18 2 5" xfId="14286" xr:uid="{00000000-0005-0000-0000-0000A4370000}"/>
    <cellStyle name="Normal 2 2 2 2 4 2 2 18 2 6" xfId="14287" xr:uid="{00000000-0005-0000-0000-0000A5370000}"/>
    <cellStyle name="Normal 2 2 2 2 4 2 2 18 2 7" xfId="14288" xr:uid="{00000000-0005-0000-0000-0000A6370000}"/>
    <cellStyle name="Normal 2 2 2 2 4 2 2 18 2 8" xfId="14289" xr:uid="{00000000-0005-0000-0000-0000A7370000}"/>
    <cellStyle name="Normal 2 2 2 2 4 2 2 18 2 9" xfId="14290" xr:uid="{00000000-0005-0000-0000-0000A8370000}"/>
    <cellStyle name="Normal 2 2 2 2 4 2 2 18 3" xfId="14291" xr:uid="{00000000-0005-0000-0000-0000A9370000}"/>
    <cellStyle name="Normal 2 2 2 2 4 2 2 18 3 10" xfId="14292" xr:uid="{00000000-0005-0000-0000-0000AA370000}"/>
    <cellStyle name="Normal 2 2 2 2 4 2 2 18 3 2" xfId="14293" xr:uid="{00000000-0005-0000-0000-0000AB370000}"/>
    <cellStyle name="Normal 2 2 2 2 4 2 2 18 3 3" xfId="14294" xr:uid="{00000000-0005-0000-0000-0000AC370000}"/>
    <cellStyle name="Normal 2 2 2 2 4 2 2 18 3 4" xfId="14295" xr:uid="{00000000-0005-0000-0000-0000AD370000}"/>
    <cellStyle name="Normal 2 2 2 2 4 2 2 18 3 5" xfId="14296" xr:uid="{00000000-0005-0000-0000-0000AE370000}"/>
    <cellStyle name="Normal 2 2 2 2 4 2 2 18 3 6" xfId="14297" xr:uid="{00000000-0005-0000-0000-0000AF370000}"/>
    <cellStyle name="Normal 2 2 2 2 4 2 2 18 3 7" xfId="14298" xr:uid="{00000000-0005-0000-0000-0000B0370000}"/>
    <cellStyle name="Normal 2 2 2 2 4 2 2 18 3 8" xfId="14299" xr:uid="{00000000-0005-0000-0000-0000B1370000}"/>
    <cellStyle name="Normal 2 2 2 2 4 2 2 18 3 9" xfId="14300" xr:uid="{00000000-0005-0000-0000-0000B2370000}"/>
    <cellStyle name="Normal 2 2 2 2 4 2 2 18 4" xfId="14301" xr:uid="{00000000-0005-0000-0000-0000B3370000}"/>
    <cellStyle name="Normal 2 2 2 2 4 2 2 18 4 10" xfId="14302" xr:uid="{00000000-0005-0000-0000-0000B4370000}"/>
    <cellStyle name="Normal 2 2 2 2 4 2 2 18 4 2" xfId="14303" xr:uid="{00000000-0005-0000-0000-0000B5370000}"/>
    <cellStyle name="Normal 2 2 2 2 4 2 2 18 4 3" xfId="14304" xr:uid="{00000000-0005-0000-0000-0000B6370000}"/>
    <cellStyle name="Normal 2 2 2 2 4 2 2 18 4 4" xfId="14305" xr:uid="{00000000-0005-0000-0000-0000B7370000}"/>
    <cellStyle name="Normal 2 2 2 2 4 2 2 18 4 5" xfId="14306" xr:uid="{00000000-0005-0000-0000-0000B8370000}"/>
    <cellStyle name="Normal 2 2 2 2 4 2 2 18 4 6" xfId="14307" xr:uid="{00000000-0005-0000-0000-0000B9370000}"/>
    <cellStyle name="Normal 2 2 2 2 4 2 2 18 4 7" xfId="14308" xr:uid="{00000000-0005-0000-0000-0000BA370000}"/>
    <cellStyle name="Normal 2 2 2 2 4 2 2 18 4 8" xfId="14309" xr:uid="{00000000-0005-0000-0000-0000BB370000}"/>
    <cellStyle name="Normal 2 2 2 2 4 2 2 18 4 9" xfId="14310" xr:uid="{00000000-0005-0000-0000-0000BC370000}"/>
    <cellStyle name="Normal 2 2 2 2 4 2 2 18 5" xfId="14311" xr:uid="{00000000-0005-0000-0000-0000BD370000}"/>
    <cellStyle name="Normal 2 2 2 2 4 2 2 18 5 10" xfId="14312" xr:uid="{00000000-0005-0000-0000-0000BE370000}"/>
    <cellStyle name="Normal 2 2 2 2 4 2 2 18 5 2" xfId="14313" xr:uid="{00000000-0005-0000-0000-0000BF370000}"/>
    <cellStyle name="Normal 2 2 2 2 4 2 2 18 5 3" xfId="14314" xr:uid="{00000000-0005-0000-0000-0000C0370000}"/>
    <cellStyle name="Normal 2 2 2 2 4 2 2 18 5 4" xfId="14315" xr:uid="{00000000-0005-0000-0000-0000C1370000}"/>
    <cellStyle name="Normal 2 2 2 2 4 2 2 18 5 5" xfId="14316" xr:uid="{00000000-0005-0000-0000-0000C2370000}"/>
    <cellStyle name="Normal 2 2 2 2 4 2 2 18 5 6" xfId="14317" xr:uid="{00000000-0005-0000-0000-0000C3370000}"/>
    <cellStyle name="Normal 2 2 2 2 4 2 2 18 5 7" xfId="14318" xr:uid="{00000000-0005-0000-0000-0000C4370000}"/>
    <cellStyle name="Normal 2 2 2 2 4 2 2 18 5 8" xfId="14319" xr:uid="{00000000-0005-0000-0000-0000C5370000}"/>
    <cellStyle name="Normal 2 2 2 2 4 2 2 18 5 9" xfId="14320" xr:uid="{00000000-0005-0000-0000-0000C6370000}"/>
    <cellStyle name="Normal 2 2 2 2 4 2 2 18 6" xfId="14321" xr:uid="{00000000-0005-0000-0000-0000C7370000}"/>
    <cellStyle name="Normal 2 2 2 2 4 2 2 18 7" xfId="14322" xr:uid="{00000000-0005-0000-0000-0000C8370000}"/>
    <cellStyle name="Normal 2 2 2 2 4 2 2 18 8" xfId="14323" xr:uid="{00000000-0005-0000-0000-0000C9370000}"/>
    <cellStyle name="Normal 2 2 2 2 4 2 2 18 9" xfId="14324" xr:uid="{00000000-0005-0000-0000-0000CA370000}"/>
    <cellStyle name="Normal 2 2 2 2 4 2 2 19" xfId="14325" xr:uid="{00000000-0005-0000-0000-0000CB370000}"/>
    <cellStyle name="Normal 2 2 2 2 4 2 2 19 10" xfId="14326" xr:uid="{00000000-0005-0000-0000-0000CC370000}"/>
    <cellStyle name="Normal 2 2 2 2 4 2 2 19 11" xfId="14327" xr:uid="{00000000-0005-0000-0000-0000CD370000}"/>
    <cellStyle name="Normal 2 2 2 2 4 2 2 19 12" xfId="14328" xr:uid="{00000000-0005-0000-0000-0000CE370000}"/>
    <cellStyle name="Normal 2 2 2 2 4 2 2 19 13" xfId="14329" xr:uid="{00000000-0005-0000-0000-0000CF370000}"/>
    <cellStyle name="Normal 2 2 2 2 4 2 2 19 14" xfId="14330" xr:uid="{00000000-0005-0000-0000-0000D0370000}"/>
    <cellStyle name="Normal 2 2 2 2 4 2 2 19 2" xfId="14331" xr:uid="{00000000-0005-0000-0000-0000D1370000}"/>
    <cellStyle name="Normal 2 2 2 2 4 2 2 19 2 10" xfId="14332" xr:uid="{00000000-0005-0000-0000-0000D2370000}"/>
    <cellStyle name="Normal 2 2 2 2 4 2 2 19 2 2" xfId="14333" xr:uid="{00000000-0005-0000-0000-0000D3370000}"/>
    <cellStyle name="Normal 2 2 2 2 4 2 2 19 2 3" xfId="14334" xr:uid="{00000000-0005-0000-0000-0000D4370000}"/>
    <cellStyle name="Normal 2 2 2 2 4 2 2 19 2 4" xfId="14335" xr:uid="{00000000-0005-0000-0000-0000D5370000}"/>
    <cellStyle name="Normal 2 2 2 2 4 2 2 19 2 5" xfId="14336" xr:uid="{00000000-0005-0000-0000-0000D6370000}"/>
    <cellStyle name="Normal 2 2 2 2 4 2 2 19 2 6" xfId="14337" xr:uid="{00000000-0005-0000-0000-0000D7370000}"/>
    <cellStyle name="Normal 2 2 2 2 4 2 2 19 2 7" xfId="14338" xr:uid="{00000000-0005-0000-0000-0000D8370000}"/>
    <cellStyle name="Normal 2 2 2 2 4 2 2 19 2 8" xfId="14339" xr:uid="{00000000-0005-0000-0000-0000D9370000}"/>
    <cellStyle name="Normal 2 2 2 2 4 2 2 19 2 9" xfId="14340" xr:uid="{00000000-0005-0000-0000-0000DA370000}"/>
    <cellStyle name="Normal 2 2 2 2 4 2 2 19 3" xfId="14341" xr:uid="{00000000-0005-0000-0000-0000DB370000}"/>
    <cellStyle name="Normal 2 2 2 2 4 2 2 19 3 10" xfId="14342" xr:uid="{00000000-0005-0000-0000-0000DC370000}"/>
    <cellStyle name="Normal 2 2 2 2 4 2 2 19 3 2" xfId="14343" xr:uid="{00000000-0005-0000-0000-0000DD370000}"/>
    <cellStyle name="Normal 2 2 2 2 4 2 2 19 3 3" xfId="14344" xr:uid="{00000000-0005-0000-0000-0000DE370000}"/>
    <cellStyle name="Normal 2 2 2 2 4 2 2 19 3 4" xfId="14345" xr:uid="{00000000-0005-0000-0000-0000DF370000}"/>
    <cellStyle name="Normal 2 2 2 2 4 2 2 19 3 5" xfId="14346" xr:uid="{00000000-0005-0000-0000-0000E0370000}"/>
    <cellStyle name="Normal 2 2 2 2 4 2 2 19 3 6" xfId="14347" xr:uid="{00000000-0005-0000-0000-0000E1370000}"/>
    <cellStyle name="Normal 2 2 2 2 4 2 2 19 3 7" xfId="14348" xr:uid="{00000000-0005-0000-0000-0000E2370000}"/>
    <cellStyle name="Normal 2 2 2 2 4 2 2 19 3 8" xfId="14349" xr:uid="{00000000-0005-0000-0000-0000E3370000}"/>
    <cellStyle name="Normal 2 2 2 2 4 2 2 19 3 9" xfId="14350" xr:uid="{00000000-0005-0000-0000-0000E4370000}"/>
    <cellStyle name="Normal 2 2 2 2 4 2 2 19 4" xfId="14351" xr:uid="{00000000-0005-0000-0000-0000E5370000}"/>
    <cellStyle name="Normal 2 2 2 2 4 2 2 19 4 10" xfId="14352" xr:uid="{00000000-0005-0000-0000-0000E6370000}"/>
    <cellStyle name="Normal 2 2 2 2 4 2 2 19 4 2" xfId="14353" xr:uid="{00000000-0005-0000-0000-0000E7370000}"/>
    <cellStyle name="Normal 2 2 2 2 4 2 2 19 4 3" xfId="14354" xr:uid="{00000000-0005-0000-0000-0000E8370000}"/>
    <cellStyle name="Normal 2 2 2 2 4 2 2 19 4 4" xfId="14355" xr:uid="{00000000-0005-0000-0000-0000E9370000}"/>
    <cellStyle name="Normal 2 2 2 2 4 2 2 19 4 5" xfId="14356" xr:uid="{00000000-0005-0000-0000-0000EA370000}"/>
    <cellStyle name="Normal 2 2 2 2 4 2 2 19 4 6" xfId="14357" xr:uid="{00000000-0005-0000-0000-0000EB370000}"/>
    <cellStyle name="Normal 2 2 2 2 4 2 2 19 4 7" xfId="14358" xr:uid="{00000000-0005-0000-0000-0000EC370000}"/>
    <cellStyle name="Normal 2 2 2 2 4 2 2 19 4 8" xfId="14359" xr:uid="{00000000-0005-0000-0000-0000ED370000}"/>
    <cellStyle name="Normal 2 2 2 2 4 2 2 19 4 9" xfId="14360" xr:uid="{00000000-0005-0000-0000-0000EE370000}"/>
    <cellStyle name="Normal 2 2 2 2 4 2 2 19 5" xfId="14361" xr:uid="{00000000-0005-0000-0000-0000EF370000}"/>
    <cellStyle name="Normal 2 2 2 2 4 2 2 19 5 10" xfId="14362" xr:uid="{00000000-0005-0000-0000-0000F0370000}"/>
    <cellStyle name="Normal 2 2 2 2 4 2 2 19 5 2" xfId="14363" xr:uid="{00000000-0005-0000-0000-0000F1370000}"/>
    <cellStyle name="Normal 2 2 2 2 4 2 2 19 5 3" xfId="14364" xr:uid="{00000000-0005-0000-0000-0000F2370000}"/>
    <cellStyle name="Normal 2 2 2 2 4 2 2 19 5 4" xfId="14365" xr:uid="{00000000-0005-0000-0000-0000F3370000}"/>
    <cellStyle name="Normal 2 2 2 2 4 2 2 19 5 5" xfId="14366" xr:uid="{00000000-0005-0000-0000-0000F4370000}"/>
    <cellStyle name="Normal 2 2 2 2 4 2 2 19 5 6" xfId="14367" xr:uid="{00000000-0005-0000-0000-0000F5370000}"/>
    <cellStyle name="Normal 2 2 2 2 4 2 2 19 5 7" xfId="14368" xr:uid="{00000000-0005-0000-0000-0000F6370000}"/>
    <cellStyle name="Normal 2 2 2 2 4 2 2 19 5 8" xfId="14369" xr:uid="{00000000-0005-0000-0000-0000F7370000}"/>
    <cellStyle name="Normal 2 2 2 2 4 2 2 19 5 9" xfId="14370" xr:uid="{00000000-0005-0000-0000-0000F8370000}"/>
    <cellStyle name="Normal 2 2 2 2 4 2 2 19 6" xfId="14371" xr:uid="{00000000-0005-0000-0000-0000F9370000}"/>
    <cellStyle name="Normal 2 2 2 2 4 2 2 19 7" xfId="14372" xr:uid="{00000000-0005-0000-0000-0000FA370000}"/>
    <cellStyle name="Normal 2 2 2 2 4 2 2 19 8" xfId="14373" xr:uid="{00000000-0005-0000-0000-0000FB370000}"/>
    <cellStyle name="Normal 2 2 2 2 4 2 2 19 9" xfId="14374" xr:uid="{00000000-0005-0000-0000-0000FC370000}"/>
    <cellStyle name="Normal 2 2 2 2 4 2 2 2" xfId="14375" xr:uid="{00000000-0005-0000-0000-0000FD370000}"/>
    <cellStyle name="Normal 2 2 2 2 4 2 2 2 10" xfId="14376" xr:uid="{00000000-0005-0000-0000-0000FE370000}"/>
    <cellStyle name="Normal 2 2 2 2 4 2 2 2 11" xfId="14377" xr:uid="{00000000-0005-0000-0000-0000FF370000}"/>
    <cellStyle name="Normal 2 2 2 2 4 2 2 2 12" xfId="14378" xr:uid="{00000000-0005-0000-0000-000000380000}"/>
    <cellStyle name="Normal 2 2 2 2 4 2 2 2 13" xfId="14379" xr:uid="{00000000-0005-0000-0000-000001380000}"/>
    <cellStyle name="Normal 2 2 2 2 4 2 2 2 14" xfId="14380" xr:uid="{00000000-0005-0000-0000-000002380000}"/>
    <cellStyle name="Normal 2 2 2 2 4 2 2 2 2" xfId="14381" xr:uid="{00000000-0005-0000-0000-000003380000}"/>
    <cellStyle name="Normal 2 2 2 2 4 2 2 2 2 10" xfId="14382" xr:uid="{00000000-0005-0000-0000-000004380000}"/>
    <cellStyle name="Normal 2 2 2 2 4 2 2 2 2 2" xfId="14383" xr:uid="{00000000-0005-0000-0000-000005380000}"/>
    <cellStyle name="Normal 2 2 2 2 4 2 2 2 2 3" xfId="14384" xr:uid="{00000000-0005-0000-0000-000006380000}"/>
    <cellStyle name="Normal 2 2 2 2 4 2 2 2 2 4" xfId="14385" xr:uid="{00000000-0005-0000-0000-000007380000}"/>
    <cellStyle name="Normal 2 2 2 2 4 2 2 2 2 5" xfId="14386" xr:uid="{00000000-0005-0000-0000-000008380000}"/>
    <cellStyle name="Normal 2 2 2 2 4 2 2 2 2 6" xfId="14387" xr:uid="{00000000-0005-0000-0000-000009380000}"/>
    <cellStyle name="Normal 2 2 2 2 4 2 2 2 2 7" xfId="14388" xr:uid="{00000000-0005-0000-0000-00000A380000}"/>
    <cellStyle name="Normal 2 2 2 2 4 2 2 2 2 8" xfId="14389" xr:uid="{00000000-0005-0000-0000-00000B380000}"/>
    <cellStyle name="Normal 2 2 2 2 4 2 2 2 2 9" xfId="14390" xr:uid="{00000000-0005-0000-0000-00000C380000}"/>
    <cellStyle name="Normal 2 2 2 2 4 2 2 2 3" xfId="14391" xr:uid="{00000000-0005-0000-0000-00000D380000}"/>
    <cellStyle name="Normal 2 2 2 2 4 2 2 2 3 10" xfId="14392" xr:uid="{00000000-0005-0000-0000-00000E380000}"/>
    <cellStyle name="Normal 2 2 2 2 4 2 2 2 3 2" xfId="14393" xr:uid="{00000000-0005-0000-0000-00000F380000}"/>
    <cellStyle name="Normal 2 2 2 2 4 2 2 2 3 3" xfId="14394" xr:uid="{00000000-0005-0000-0000-000010380000}"/>
    <cellStyle name="Normal 2 2 2 2 4 2 2 2 3 4" xfId="14395" xr:uid="{00000000-0005-0000-0000-000011380000}"/>
    <cellStyle name="Normal 2 2 2 2 4 2 2 2 3 5" xfId="14396" xr:uid="{00000000-0005-0000-0000-000012380000}"/>
    <cellStyle name="Normal 2 2 2 2 4 2 2 2 3 6" xfId="14397" xr:uid="{00000000-0005-0000-0000-000013380000}"/>
    <cellStyle name="Normal 2 2 2 2 4 2 2 2 3 7" xfId="14398" xr:uid="{00000000-0005-0000-0000-000014380000}"/>
    <cellStyle name="Normal 2 2 2 2 4 2 2 2 3 8" xfId="14399" xr:uid="{00000000-0005-0000-0000-000015380000}"/>
    <cellStyle name="Normal 2 2 2 2 4 2 2 2 3 9" xfId="14400" xr:uid="{00000000-0005-0000-0000-000016380000}"/>
    <cellStyle name="Normal 2 2 2 2 4 2 2 2 4" xfId="14401" xr:uid="{00000000-0005-0000-0000-000017380000}"/>
    <cellStyle name="Normal 2 2 2 2 4 2 2 2 4 10" xfId="14402" xr:uid="{00000000-0005-0000-0000-000018380000}"/>
    <cellStyle name="Normal 2 2 2 2 4 2 2 2 4 2" xfId="14403" xr:uid="{00000000-0005-0000-0000-000019380000}"/>
    <cellStyle name="Normal 2 2 2 2 4 2 2 2 4 3" xfId="14404" xr:uid="{00000000-0005-0000-0000-00001A380000}"/>
    <cellStyle name="Normal 2 2 2 2 4 2 2 2 4 4" xfId="14405" xr:uid="{00000000-0005-0000-0000-00001B380000}"/>
    <cellStyle name="Normal 2 2 2 2 4 2 2 2 4 5" xfId="14406" xr:uid="{00000000-0005-0000-0000-00001C380000}"/>
    <cellStyle name="Normal 2 2 2 2 4 2 2 2 4 6" xfId="14407" xr:uid="{00000000-0005-0000-0000-00001D380000}"/>
    <cellStyle name="Normal 2 2 2 2 4 2 2 2 4 7" xfId="14408" xr:uid="{00000000-0005-0000-0000-00001E380000}"/>
    <cellStyle name="Normal 2 2 2 2 4 2 2 2 4 8" xfId="14409" xr:uid="{00000000-0005-0000-0000-00001F380000}"/>
    <cellStyle name="Normal 2 2 2 2 4 2 2 2 4 9" xfId="14410" xr:uid="{00000000-0005-0000-0000-000020380000}"/>
    <cellStyle name="Normal 2 2 2 2 4 2 2 2 5" xfId="14411" xr:uid="{00000000-0005-0000-0000-000021380000}"/>
    <cellStyle name="Normal 2 2 2 2 4 2 2 2 5 10" xfId="14412" xr:uid="{00000000-0005-0000-0000-000022380000}"/>
    <cellStyle name="Normal 2 2 2 2 4 2 2 2 5 2" xfId="14413" xr:uid="{00000000-0005-0000-0000-000023380000}"/>
    <cellStyle name="Normal 2 2 2 2 4 2 2 2 5 3" xfId="14414" xr:uid="{00000000-0005-0000-0000-000024380000}"/>
    <cellStyle name="Normal 2 2 2 2 4 2 2 2 5 4" xfId="14415" xr:uid="{00000000-0005-0000-0000-000025380000}"/>
    <cellStyle name="Normal 2 2 2 2 4 2 2 2 5 5" xfId="14416" xr:uid="{00000000-0005-0000-0000-000026380000}"/>
    <cellStyle name="Normal 2 2 2 2 4 2 2 2 5 6" xfId="14417" xr:uid="{00000000-0005-0000-0000-000027380000}"/>
    <cellStyle name="Normal 2 2 2 2 4 2 2 2 5 7" xfId="14418" xr:uid="{00000000-0005-0000-0000-000028380000}"/>
    <cellStyle name="Normal 2 2 2 2 4 2 2 2 5 8" xfId="14419" xr:uid="{00000000-0005-0000-0000-000029380000}"/>
    <cellStyle name="Normal 2 2 2 2 4 2 2 2 5 9" xfId="14420" xr:uid="{00000000-0005-0000-0000-00002A380000}"/>
    <cellStyle name="Normal 2 2 2 2 4 2 2 2 6" xfId="14421" xr:uid="{00000000-0005-0000-0000-00002B380000}"/>
    <cellStyle name="Normal 2 2 2 2 4 2 2 2 7" xfId="14422" xr:uid="{00000000-0005-0000-0000-00002C380000}"/>
    <cellStyle name="Normal 2 2 2 2 4 2 2 2 8" xfId="14423" xr:uid="{00000000-0005-0000-0000-00002D380000}"/>
    <cellStyle name="Normal 2 2 2 2 4 2 2 2 9" xfId="14424" xr:uid="{00000000-0005-0000-0000-00002E380000}"/>
    <cellStyle name="Normal 2 2 2 2 4 2 2 20" xfId="14425" xr:uid="{00000000-0005-0000-0000-00002F380000}"/>
    <cellStyle name="Normal 2 2 2 2 4 2 2 20 10" xfId="14426" xr:uid="{00000000-0005-0000-0000-000030380000}"/>
    <cellStyle name="Normal 2 2 2 2 4 2 2 20 11" xfId="14427" xr:uid="{00000000-0005-0000-0000-000031380000}"/>
    <cellStyle name="Normal 2 2 2 2 4 2 2 20 12" xfId="14428" xr:uid="{00000000-0005-0000-0000-000032380000}"/>
    <cellStyle name="Normal 2 2 2 2 4 2 2 20 13" xfId="14429" xr:uid="{00000000-0005-0000-0000-000033380000}"/>
    <cellStyle name="Normal 2 2 2 2 4 2 2 20 14" xfId="14430" xr:uid="{00000000-0005-0000-0000-000034380000}"/>
    <cellStyle name="Normal 2 2 2 2 4 2 2 20 2" xfId="14431" xr:uid="{00000000-0005-0000-0000-000035380000}"/>
    <cellStyle name="Normal 2 2 2 2 4 2 2 20 2 10" xfId="14432" xr:uid="{00000000-0005-0000-0000-000036380000}"/>
    <cellStyle name="Normal 2 2 2 2 4 2 2 20 2 2" xfId="14433" xr:uid="{00000000-0005-0000-0000-000037380000}"/>
    <cellStyle name="Normal 2 2 2 2 4 2 2 20 2 3" xfId="14434" xr:uid="{00000000-0005-0000-0000-000038380000}"/>
    <cellStyle name="Normal 2 2 2 2 4 2 2 20 2 4" xfId="14435" xr:uid="{00000000-0005-0000-0000-000039380000}"/>
    <cellStyle name="Normal 2 2 2 2 4 2 2 20 2 5" xfId="14436" xr:uid="{00000000-0005-0000-0000-00003A380000}"/>
    <cellStyle name="Normal 2 2 2 2 4 2 2 20 2 6" xfId="14437" xr:uid="{00000000-0005-0000-0000-00003B380000}"/>
    <cellStyle name="Normal 2 2 2 2 4 2 2 20 2 7" xfId="14438" xr:uid="{00000000-0005-0000-0000-00003C380000}"/>
    <cellStyle name="Normal 2 2 2 2 4 2 2 20 2 8" xfId="14439" xr:uid="{00000000-0005-0000-0000-00003D380000}"/>
    <cellStyle name="Normal 2 2 2 2 4 2 2 20 2 9" xfId="14440" xr:uid="{00000000-0005-0000-0000-00003E380000}"/>
    <cellStyle name="Normal 2 2 2 2 4 2 2 20 3" xfId="14441" xr:uid="{00000000-0005-0000-0000-00003F380000}"/>
    <cellStyle name="Normal 2 2 2 2 4 2 2 20 3 10" xfId="14442" xr:uid="{00000000-0005-0000-0000-000040380000}"/>
    <cellStyle name="Normal 2 2 2 2 4 2 2 20 3 2" xfId="14443" xr:uid="{00000000-0005-0000-0000-000041380000}"/>
    <cellStyle name="Normal 2 2 2 2 4 2 2 20 3 3" xfId="14444" xr:uid="{00000000-0005-0000-0000-000042380000}"/>
    <cellStyle name="Normal 2 2 2 2 4 2 2 20 3 4" xfId="14445" xr:uid="{00000000-0005-0000-0000-000043380000}"/>
    <cellStyle name="Normal 2 2 2 2 4 2 2 20 3 5" xfId="14446" xr:uid="{00000000-0005-0000-0000-000044380000}"/>
    <cellStyle name="Normal 2 2 2 2 4 2 2 20 3 6" xfId="14447" xr:uid="{00000000-0005-0000-0000-000045380000}"/>
    <cellStyle name="Normal 2 2 2 2 4 2 2 20 3 7" xfId="14448" xr:uid="{00000000-0005-0000-0000-000046380000}"/>
    <cellStyle name="Normal 2 2 2 2 4 2 2 20 3 8" xfId="14449" xr:uid="{00000000-0005-0000-0000-000047380000}"/>
    <cellStyle name="Normal 2 2 2 2 4 2 2 20 3 9" xfId="14450" xr:uid="{00000000-0005-0000-0000-000048380000}"/>
    <cellStyle name="Normal 2 2 2 2 4 2 2 20 4" xfId="14451" xr:uid="{00000000-0005-0000-0000-000049380000}"/>
    <cellStyle name="Normal 2 2 2 2 4 2 2 20 4 10" xfId="14452" xr:uid="{00000000-0005-0000-0000-00004A380000}"/>
    <cellStyle name="Normal 2 2 2 2 4 2 2 20 4 2" xfId="14453" xr:uid="{00000000-0005-0000-0000-00004B380000}"/>
    <cellStyle name="Normal 2 2 2 2 4 2 2 20 4 3" xfId="14454" xr:uid="{00000000-0005-0000-0000-00004C380000}"/>
    <cellStyle name="Normal 2 2 2 2 4 2 2 20 4 4" xfId="14455" xr:uid="{00000000-0005-0000-0000-00004D380000}"/>
    <cellStyle name="Normal 2 2 2 2 4 2 2 20 4 5" xfId="14456" xr:uid="{00000000-0005-0000-0000-00004E380000}"/>
    <cellStyle name="Normal 2 2 2 2 4 2 2 20 4 6" xfId="14457" xr:uid="{00000000-0005-0000-0000-00004F380000}"/>
    <cellStyle name="Normal 2 2 2 2 4 2 2 20 4 7" xfId="14458" xr:uid="{00000000-0005-0000-0000-000050380000}"/>
    <cellStyle name="Normal 2 2 2 2 4 2 2 20 4 8" xfId="14459" xr:uid="{00000000-0005-0000-0000-000051380000}"/>
    <cellStyle name="Normal 2 2 2 2 4 2 2 20 4 9" xfId="14460" xr:uid="{00000000-0005-0000-0000-000052380000}"/>
    <cellStyle name="Normal 2 2 2 2 4 2 2 20 5" xfId="14461" xr:uid="{00000000-0005-0000-0000-000053380000}"/>
    <cellStyle name="Normal 2 2 2 2 4 2 2 20 5 10" xfId="14462" xr:uid="{00000000-0005-0000-0000-000054380000}"/>
    <cellStyle name="Normal 2 2 2 2 4 2 2 20 5 2" xfId="14463" xr:uid="{00000000-0005-0000-0000-000055380000}"/>
    <cellStyle name="Normal 2 2 2 2 4 2 2 20 5 3" xfId="14464" xr:uid="{00000000-0005-0000-0000-000056380000}"/>
    <cellStyle name="Normal 2 2 2 2 4 2 2 20 5 4" xfId="14465" xr:uid="{00000000-0005-0000-0000-000057380000}"/>
    <cellStyle name="Normal 2 2 2 2 4 2 2 20 5 5" xfId="14466" xr:uid="{00000000-0005-0000-0000-000058380000}"/>
    <cellStyle name="Normal 2 2 2 2 4 2 2 20 5 6" xfId="14467" xr:uid="{00000000-0005-0000-0000-000059380000}"/>
    <cellStyle name="Normal 2 2 2 2 4 2 2 20 5 7" xfId="14468" xr:uid="{00000000-0005-0000-0000-00005A380000}"/>
    <cellStyle name="Normal 2 2 2 2 4 2 2 20 5 8" xfId="14469" xr:uid="{00000000-0005-0000-0000-00005B380000}"/>
    <cellStyle name="Normal 2 2 2 2 4 2 2 20 5 9" xfId="14470" xr:uid="{00000000-0005-0000-0000-00005C380000}"/>
    <cellStyle name="Normal 2 2 2 2 4 2 2 20 6" xfId="14471" xr:uid="{00000000-0005-0000-0000-00005D380000}"/>
    <cellStyle name="Normal 2 2 2 2 4 2 2 20 7" xfId="14472" xr:uid="{00000000-0005-0000-0000-00005E380000}"/>
    <cellStyle name="Normal 2 2 2 2 4 2 2 20 8" xfId="14473" xr:uid="{00000000-0005-0000-0000-00005F380000}"/>
    <cellStyle name="Normal 2 2 2 2 4 2 2 20 9" xfId="14474" xr:uid="{00000000-0005-0000-0000-000060380000}"/>
    <cellStyle name="Normal 2 2 2 2 4 2 2 3" xfId="14475" xr:uid="{00000000-0005-0000-0000-000061380000}"/>
    <cellStyle name="Normal 2 2 2 2 4 2 2 3 10" xfId="14476" xr:uid="{00000000-0005-0000-0000-000062380000}"/>
    <cellStyle name="Normal 2 2 2 2 4 2 2 3 11" xfId="14477" xr:uid="{00000000-0005-0000-0000-000063380000}"/>
    <cellStyle name="Normal 2 2 2 2 4 2 2 3 12" xfId="14478" xr:uid="{00000000-0005-0000-0000-000064380000}"/>
    <cellStyle name="Normal 2 2 2 2 4 2 2 3 13" xfId="14479" xr:uid="{00000000-0005-0000-0000-000065380000}"/>
    <cellStyle name="Normal 2 2 2 2 4 2 2 3 14" xfId="14480" xr:uid="{00000000-0005-0000-0000-000066380000}"/>
    <cellStyle name="Normal 2 2 2 2 4 2 2 3 2" xfId="14481" xr:uid="{00000000-0005-0000-0000-000067380000}"/>
    <cellStyle name="Normal 2 2 2 2 4 2 2 3 2 10" xfId="14482" xr:uid="{00000000-0005-0000-0000-000068380000}"/>
    <cellStyle name="Normal 2 2 2 2 4 2 2 3 2 2" xfId="14483" xr:uid="{00000000-0005-0000-0000-000069380000}"/>
    <cellStyle name="Normal 2 2 2 2 4 2 2 3 2 3" xfId="14484" xr:uid="{00000000-0005-0000-0000-00006A380000}"/>
    <cellStyle name="Normal 2 2 2 2 4 2 2 3 2 4" xfId="14485" xr:uid="{00000000-0005-0000-0000-00006B380000}"/>
    <cellStyle name="Normal 2 2 2 2 4 2 2 3 2 5" xfId="14486" xr:uid="{00000000-0005-0000-0000-00006C380000}"/>
    <cellStyle name="Normal 2 2 2 2 4 2 2 3 2 6" xfId="14487" xr:uid="{00000000-0005-0000-0000-00006D380000}"/>
    <cellStyle name="Normal 2 2 2 2 4 2 2 3 2 7" xfId="14488" xr:uid="{00000000-0005-0000-0000-00006E380000}"/>
    <cellStyle name="Normal 2 2 2 2 4 2 2 3 2 8" xfId="14489" xr:uid="{00000000-0005-0000-0000-00006F380000}"/>
    <cellStyle name="Normal 2 2 2 2 4 2 2 3 2 9" xfId="14490" xr:uid="{00000000-0005-0000-0000-000070380000}"/>
    <cellStyle name="Normal 2 2 2 2 4 2 2 3 3" xfId="14491" xr:uid="{00000000-0005-0000-0000-000071380000}"/>
    <cellStyle name="Normal 2 2 2 2 4 2 2 3 3 10" xfId="14492" xr:uid="{00000000-0005-0000-0000-000072380000}"/>
    <cellStyle name="Normal 2 2 2 2 4 2 2 3 3 2" xfId="14493" xr:uid="{00000000-0005-0000-0000-000073380000}"/>
    <cellStyle name="Normal 2 2 2 2 4 2 2 3 3 3" xfId="14494" xr:uid="{00000000-0005-0000-0000-000074380000}"/>
    <cellStyle name="Normal 2 2 2 2 4 2 2 3 3 4" xfId="14495" xr:uid="{00000000-0005-0000-0000-000075380000}"/>
    <cellStyle name="Normal 2 2 2 2 4 2 2 3 3 5" xfId="14496" xr:uid="{00000000-0005-0000-0000-000076380000}"/>
    <cellStyle name="Normal 2 2 2 2 4 2 2 3 3 6" xfId="14497" xr:uid="{00000000-0005-0000-0000-000077380000}"/>
    <cellStyle name="Normal 2 2 2 2 4 2 2 3 3 7" xfId="14498" xr:uid="{00000000-0005-0000-0000-000078380000}"/>
    <cellStyle name="Normal 2 2 2 2 4 2 2 3 3 8" xfId="14499" xr:uid="{00000000-0005-0000-0000-000079380000}"/>
    <cellStyle name="Normal 2 2 2 2 4 2 2 3 3 9" xfId="14500" xr:uid="{00000000-0005-0000-0000-00007A380000}"/>
    <cellStyle name="Normal 2 2 2 2 4 2 2 3 4" xfId="14501" xr:uid="{00000000-0005-0000-0000-00007B380000}"/>
    <cellStyle name="Normal 2 2 2 2 4 2 2 3 4 10" xfId="14502" xr:uid="{00000000-0005-0000-0000-00007C380000}"/>
    <cellStyle name="Normal 2 2 2 2 4 2 2 3 4 2" xfId="14503" xr:uid="{00000000-0005-0000-0000-00007D380000}"/>
    <cellStyle name="Normal 2 2 2 2 4 2 2 3 4 3" xfId="14504" xr:uid="{00000000-0005-0000-0000-00007E380000}"/>
    <cellStyle name="Normal 2 2 2 2 4 2 2 3 4 4" xfId="14505" xr:uid="{00000000-0005-0000-0000-00007F380000}"/>
    <cellStyle name="Normal 2 2 2 2 4 2 2 3 4 5" xfId="14506" xr:uid="{00000000-0005-0000-0000-000080380000}"/>
    <cellStyle name="Normal 2 2 2 2 4 2 2 3 4 6" xfId="14507" xr:uid="{00000000-0005-0000-0000-000081380000}"/>
    <cellStyle name="Normal 2 2 2 2 4 2 2 3 4 7" xfId="14508" xr:uid="{00000000-0005-0000-0000-000082380000}"/>
    <cellStyle name="Normal 2 2 2 2 4 2 2 3 4 8" xfId="14509" xr:uid="{00000000-0005-0000-0000-000083380000}"/>
    <cellStyle name="Normal 2 2 2 2 4 2 2 3 4 9" xfId="14510" xr:uid="{00000000-0005-0000-0000-000084380000}"/>
    <cellStyle name="Normal 2 2 2 2 4 2 2 3 5" xfId="14511" xr:uid="{00000000-0005-0000-0000-000085380000}"/>
    <cellStyle name="Normal 2 2 2 2 4 2 2 3 5 10" xfId="14512" xr:uid="{00000000-0005-0000-0000-000086380000}"/>
    <cellStyle name="Normal 2 2 2 2 4 2 2 3 5 2" xfId="14513" xr:uid="{00000000-0005-0000-0000-000087380000}"/>
    <cellStyle name="Normal 2 2 2 2 4 2 2 3 5 3" xfId="14514" xr:uid="{00000000-0005-0000-0000-000088380000}"/>
    <cellStyle name="Normal 2 2 2 2 4 2 2 3 5 4" xfId="14515" xr:uid="{00000000-0005-0000-0000-000089380000}"/>
    <cellStyle name="Normal 2 2 2 2 4 2 2 3 5 5" xfId="14516" xr:uid="{00000000-0005-0000-0000-00008A380000}"/>
    <cellStyle name="Normal 2 2 2 2 4 2 2 3 5 6" xfId="14517" xr:uid="{00000000-0005-0000-0000-00008B380000}"/>
    <cellStyle name="Normal 2 2 2 2 4 2 2 3 5 7" xfId="14518" xr:uid="{00000000-0005-0000-0000-00008C380000}"/>
    <cellStyle name="Normal 2 2 2 2 4 2 2 3 5 8" xfId="14519" xr:uid="{00000000-0005-0000-0000-00008D380000}"/>
    <cellStyle name="Normal 2 2 2 2 4 2 2 3 5 9" xfId="14520" xr:uid="{00000000-0005-0000-0000-00008E380000}"/>
    <cellStyle name="Normal 2 2 2 2 4 2 2 3 6" xfId="14521" xr:uid="{00000000-0005-0000-0000-00008F380000}"/>
    <cellStyle name="Normal 2 2 2 2 4 2 2 3 7" xfId="14522" xr:uid="{00000000-0005-0000-0000-000090380000}"/>
    <cellStyle name="Normal 2 2 2 2 4 2 2 3 8" xfId="14523" xr:uid="{00000000-0005-0000-0000-000091380000}"/>
    <cellStyle name="Normal 2 2 2 2 4 2 2 3 9" xfId="14524" xr:uid="{00000000-0005-0000-0000-000092380000}"/>
    <cellStyle name="Normal 2 2 2 2 4 2 2 4" xfId="14525" xr:uid="{00000000-0005-0000-0000-000093380000}"/>
    <cellStyle name="Normal 2 2 2 2 4 2 2 4 10" xfId="14526" xr:uid="{00000000-0005-0000-0000-000094380000}"/>
    <cellStyle name="Normal 2 2 2 2 4 2 2 4 11" xfId="14527" xr:uid="{00000000-0005-0000-0000-000095380000}"/>
    <cellStyle name="Normal 2 2 2 2 4 2 2 4 12" xfId="14528" xr:uid="{00000000-0005-0000-0000-000096380000}"/>
    <cellStyle name="Normal 2 2 2 2 4 2 2 4 13" xfId="14529" xr:uid="{00000000-0005-0000-0000-000097380000}"/>
    <cellStyle name="Normal 2 2 2 2 4 2 2 4 14" xfId="14530" xr:uid="{00000000-0005-0000-0000-000098380000}"/>
    <cellStyle name="Normal 2 2 2 2 4 2 2 4 2" xfId="14531" xr:uid="{00000000-0005-0000-0000-000099380000}"/>
    <cellStyle name="Normal 2 2 2 2 4 2 2 4 2 10" xfId="14532" xr:uid="{00000000-0005-0000-0000-00009A380000}"/>
    <cellStyle name="Normal 2 2 2 2 4 2 2 4 2 2" xfId="14533" xr:uid="{00000000-0005-0000-0000-00009B380000}"/>
    <cellStyle name="Normal 2 2 2 2 4 2 2 4 2 3" xfId="14534" xr:uid="{00000000-0005-0000-0000-00009C380000}"/>
    <cellStyle name="Normal 2 2 2 2 4 2 2 4 2 4" xfId="14535" xr:uid="{00000000-0005-0000-0000-00009D380000}"/>
    <cellStyle name="Normal 2 2 2 2 4 2 2 4 2 5" xfId="14536" xr:uid="{00000000-0005-0000-0000-00009E380000}"/>
    <cellStyle name="Normal 2 2 2 2 4 2 2 4 2 6" xfId="14537" xr:uid="{00000000-0005-0000-0000-00009F380000}"/>
    <cellStyle name="Normal 2 2 2 2 4 2 2 4 2 7" xfId="14538" xr:uid="{00000000-0005-0000-0000-0000A0380000}"/>
    <cellStyle name="Normal 2 2 2 2 4 2 2 4 2 8" xfId="14539" xr:uid="{00000000-0005-0000-0000-0000A1380000}"/>
    <cellStyle name="Normal 2 2 2 2 4 2 2 4 2 9" xfId="14540" xr:uid="{00000000-0005-0000-0000-0000A2380000}"/>
    <cellStyle name="Normal 2 2 2 2 4 2 2 4 3" xfId="14541" xr:uid="{00000000-0005-0000-0000-0000A3380000}"/>
    <cellStyle name="Normal 2 2 2 2 4 2 2 4 3 10" xfId="14542" xr:uid="{00000000-0005-0000-0000-0000A4380000}"/>
    <cellStyle name="Normal 2 2 2 2 4 2 2 4 3 2" xfId="14543" xr:uid="{00000000-0005-0000-0000-0000A5380000}"/>
    <cellStyle name="Normal 2 2 2 2 4 2 2 4 3 3" xfId="14544" xr:uid="{00000000-0005-0000-0000-0000A6380000}"/>
    <cellStyle name="Normal 2 2 2 2 4 2 2 4 3 4" xfId="14545" xr:uid="{00000000-0005-0000-0000-0000A7380000}"/>
    <cellStyle name="Normal 2 2 2 2 4 2 2 4 3 5" xfId="14546" xr:uid="{00000000-0005-0000-0000-0000A8380000}"/>
    <cellStyle name="Normal 2 2 2 2 4 2 2 4 3 6" xfId="14547" xr:uid="{00000000-0005-0000-0000-0000A9380000}"/>
    <cellStyle name="Normal 2 2 2 2 4 2 2 4 3 7" xfId="14548" xr:uid="{00000000-0005-0000-0000-0000AA380000}"/>
    <cellStyle name="Normal 2 2 2 2 4 2 2 4 3 8" xfId="14549" xr:uid="{00000000-0005-0000-0000-0000AB380000}"/>
    <cellStyle name="Normal 2 2 2 2 4 2 2 4 3 9" xfId="14550" xr:uid="{00000000-0005-0000-0000-0000AC380000}"/>
    <cellStyle name="Normal 2 2 2 2 4 2 2 4 4" xfId="14551" xr:uid="{00000000-0005-0000-0000-0000AD380000}"/>
    <cellStyle name="Normal 2 2 2 2 4 2 2 4 4 10" xfId="14552" xr:uid="{00000000-0005-0000-0000-0000AE380000}"/>
    <cellStyle name="Normal 2 2 2 2 4 2 2 4 4 2" xfId="14553" xr:uid="{00000000-0005-0000-0000-0000AF380000}"/>
    <cellStyle name="Normal 2 2 2 2 4 2 2 4 4 3" xfId="14554" xr:uid="{00000000-0005-0000-0000-0000B0380000}"/>
    <cellStyle name="Normal 2 2 2 2 4 2 2 4 4 4" xfId="14555" xr:uid="{00000000-0005-0000-0000-0000B1380000}"/>
    <cellStyle name="Normal 2 2 2 2 4 2 2 4 4 5" xfId="14556" xr:uid="{00000000-0005-0000-0000-0000B2380000}"/>
    <cellStyle name="Normal 2 2 2 2 4 2 2 4 4 6" xfId="14557" xr:uid="{00000000-0005-0000-0000-0000B3380000}"/>
    <cellStyle name="Normal 2 2 2 2 4 2 2 4 4 7" xfId="14558" xr:uid="{00000000-0005-0000-0000-0000B4380000}"/>
    <cellStyle name="Normal 2 2 2 2 4 2 2 4 4 8" xfId="14559" xr:uid="{00000000-0005-0000-0000-0000B5380000}"/>
    <cellStyle name="Normal 2 2 2 2 4 2 2 4 4 9" xfId="14560" xr:uid="{00000000-0005-0000-0000-0000B6380000}"/>
    <cellStyle name="Normal 2 2 2 2 4 2 2 4 5" xfId="14561" xr:uid="{00000000-0005-0000-0000-0000B7380000}"/>
    <cellStyle name="Normal 2 2 2 2 4 2 2 4 5 10" xfId="14562" xr:uid="{00000000-0005-0000-0000-0000B8380000}"/>
    <cellStyle name="Normal 2 2 2 2 4 2 2 4 5 2" xfId="14563" xr:uid="{00000000-0005-0000-0000-0000B9380000}"/>
    <cellStyle name="Normal 2 2 2 2 4 2 2 4 5 3" xfId="14564" xr:uid="{00000000-0005-0000-0000-0000BA380000}"/>
    <cellStyle name="Normal 2 2 2 2 4 2 2 4 5 4" xfId="14565" xr:uid="{00000000-0005-0000-0000-0000BB380000}"/>
    <cellStyle name="Normal 2 2 2 2 4 2 2 4 5 5" xfId="14566" xr:uid="{00000000-0005-0000-0000-0000BC380000}"/>
    <cellStyle name="Normal 2 2 2 2 4 2 2 4 5 6" xfId="14567" xr:uid="{00000000-0005-0000-0000-0000BD380000}"/>
    <cellStyle name="Normal 2 2 2 2 4 2 2 4 5 7" xfId="14568" xr:uid="{00000000-0005-0000-0000-0000BE380000}"/>
    <cellStyle name="Normal 2 2 2 2 4 2 2 4 5 8" xfId="14569" xr:uid="{00000000-0005-0000-0000-0000BF380000}"/>
    <cellStyle name="Normal 2 2 2 2 4 2 2 4 5 9" xfId="14570" xr:uid="{00000000-0005-0000-0000-0000C0380000}"/>
    <cellStyle name="Normal 2 2 2 2 4 2 2 4 6" xfId="14571" xr:uid="{00000000-0005-0000-0000-0000C1380000}"/>
    <cellStyle name="Normal 2 2 2 2 4 2 2 4 7" xfId="14572" xr:uid="{00000000-0005-0000-0000-0000C2380000}"/>
    <cellStyle name="Normal 2 2 2 2 4 2 2 4 8" xfId="14573" xr:uid="{00000000-0005-0000-0000-0000C3380000}"/>
    <cellStyle name="Normal 2 2 2 2 4 2 2 4 9" xfId="14574" xr:uid="{00000000-0005-0000-0000-0000C4380000}"/>
    <cellStyle name="Normal 2 2 2 2 4 2 2 5" xfId="14575" xr:uid="{00000000-0005-0000-0000-0000C5380000}"/>
    <cellStyle name="Normal 2 2 2 2 4 2 2 5 10" xfId="14576" xr:uid="{00000000-0005-0000-0000-0000C6380000}"/>
    <cellStyle name="Normal 2 2 2 2 4 2 2 5 11" xfId="14577" xr:uid="{00000000-0005-0000-0000-0000C7380000}"/>
    <cellStyle name="Normal 2 2 2 2 4 2 2 5 12" xfId="14578" xr:uid="{00000000-0005-0000-0000-0000C8380000}"/>
    <cellStyle name="Normal 2 2 2 2 4 2 2 5 13" xfId="14579" xr:uid="{00000000-0005-0000-0000-0000C9380000}"/>
    <cellStyle name="Normal 2 2 2 2 4 2 2 5 14" xfId="14580" xr:uid="{00000000-0005-0000-0000-0000CA380000}"/>
    <cellStyle name="Normal 2 2 2 2 4 2 2 5 2" xfId="14581" xr:uid="{00000000-0005-0000-0000-0000CB380000}"/>
    <cellStyle name="Normal 2 2 2 2 4 2 2 5 2 10" xfId="14582" xr:uid="{00000000-0005-0000-0000-0000CC380000}"/>
    <cellStyle name="Normal 2 2 2 2 4 2 2 5 2 2" xfId="14583" xr:uid="{00000000-0005-0000-0000-0000CD380000}"/>
    <cellStyle name="Normal 2 2 2 2 4 2 2 5 2 3" xfId="14584" xr:uid="{00000000-0005-0000-0000-0000CE380000}"/>
    <cellStyle name="Normal 2 2 2 2 4 2 2 5 2 4" xfId="14585" xr:uid="{00000000-0005-0000-0000-0000CF380000}"/>
    <cellStyle name="Normal 2 2 2 2 4 2 2 5 2 5" xfId="14586" xr:uid="{00000000-0005-0000-0000-0000D0380000}"/>
    <cellStyle name="Normal 2 2 2 2 4 2 2 5 2 6" xfId="14587" xr:uid="{00000000-0005-0000-0000-0000D1380000}"/>
    <cellStyle name="Normal 2 2 2 2 4 2 2 5 2 7" xfId="14588" xr:uid="{00000000-0005-0000-0000-0000D2380000}"/>
    <cellStyle name="Normal 2 2 2 2 4 2 2 5 2 8" xfId="14589" xr:uid="{00000000-0005-0000-0000-0000D3380000}"/>
    <cellStyle name="Normal 2 2 2 2 4 2 2 5 2 9" xfId="14590" xr:uid="{00000000-0005-0000-0000-0000D4380000}"/>
    <cellStyle name="Normal 2 2 2 2 4 2 2 5 3" xfId="14591" xr:uid="{00000000-0005-0000-0000-0000D5380000}"/>
    <cellStyle name="Normal 2 2 2 2 4 2 2 5 3 10" xfId="14592" xr:uid="{00000000-0005-0000-0000-0000D6380000}"/>
    <cellStyle name="Normal 2 2 2 2 4 2 2 5 3 2" xfId="14593" xr:uid="{00000000-0005-0000-0000-0000D7380000}"/>
    <cellStyle name="Normal 2 2 2 2 4 2 2 5 3 3" xfId="14594" xr:uid="{00000000-0005-0000-0000-0000D8380000}"/>
    <cellStyle name="Normal 2 2 2 2 4 2 2 5 3 4" xfId="14595" xr:uid="{00000000-0005-0000-0000-0000D9380000}"/>
    <cellStyle name="Normal 2 2 2 2 4 2 2 5 3 5" xfId="14596" xr:uid="{00000000-0005-0000-0000-0000DA380000}"/>
    <cellStyle name="Normal 2 2 2 2 4 2 2 5 3 6" xfId="14597" xr:uid="{00000000-0005-0000-0000-0000DB380000}"/>
    <cellStyle name="Normal 2 2 2 2 4 2 2 5 3 7" xfId="14598" xr:uid="{00000000-0005-0000-0000-0000DC380000}"/>
    <cellStyle name="Normal 2 2 2 2 4 2 2 5 3 8" xfId="14599" xr:uid="{00000000-0005-0000-0000-0000DD380000}"/>
    <cellStyle name="Normal 2 2 2 2 4 2 2 5 3 9" xfId="14600" xr:uid="{00000000-0005-0000-0000-0000DE380000}"/>
    <cellStyle name="Normal 2 2 2 2 4 2 2 5 4" xfId="14601" xr:uid="{00000000-0005-0000-0000-0000DF380000}"/>
    <cellStyle name="Normal 2 2 2 2 4 2 2 5 4 10" xfId="14602" xr:uid="{00000000-0005-0000-0000-0000E0380000}"/>
    <cellStyle name="Normal 2 2 2 2 4 2 2 5 4 2" xfId="14603" xr:uid="{00000000-0005-0000-0000-0000E1380000}"/>
    <cellStyle name="Normal 2 2 2 2 4 2 2 5 4 3" xfId="14604" xr:uid="{00000000-0005-0000-0000-0000E2380000}"/>
    <cellStyle name="Normal 2 2 2 2 4 2 2 5 4 4" xfId="14605" xr:uid="{00000000-0005-0000-0000-0000E3380000}"/>
    <cellStyle name="Normal 2 2 2 2 4 2 2 5 4 5" xfId="14606" xr:uid="{00000000-0005-0000-0000-0000E4380000}"/>
    <cellStyle name="Normal 2 2 2 2 4 2 2 5 4 6" xfId="14607" xr:uid="{00000000-0005-0000-0000-0000E5380000}"/>
    <cellStyle name="Normal 2 2 2 2 4 2 2 5 4 7" xfId="14608" xr:uid="{00000000-0005-0000-0000-0000E6380000}"/>
    <cellStyle name="Normal 2 2 2 2 4 2 2 5 4 8" xfId="14609" xr:uid="{00000000-0005-0000-0000-0000E7380000}"/>
    <cellStyle name="Normal 2 2 2 2 4 2 2 5 4 9" xfId="14610" xr:uid="{00000000-0005-0000-0000-0000E8380000}"/>
    <cellStyle name="Normal 2 2 2 2 4 2 2 5 5" xfId="14611" xr:uid="{00000000-0005-0000-0000-0000E9380000}"/>
    <cellStyle name="Normal 2 2 2 2 4 2 2 5 5 10" xfId="14612" xr:uid="{00000000-0005-0000-0000-0000EA380000}"/>
    <cellStyle name="Normal 2 2 2 2 4 2 2 5 5 2" xfId="14613" xr:uid="{00000000-0005-0000-0000-0000EB380000}"/>
    <cellStyle name="Normal 2 2 2 2 4 2 2 5 5 3" xfId="14614" xr:uid="{00000000-0005-0000-0000-0000EC380000}"/>
    <cellStyle name="Normal 2 2 2 2 4 2 2 5 5 4" xfId="14615" xr:uid="{00000000-0005-0000-0000-0000ED380000}"/>
    <cellStyle name="Normal 2 2 2 2 4 2 2 5 5 5" xfId="14616" xr:uid="{00000000-0005-0000-0000-0000EE380000}"/>
    <cellStyle name="Normal 2 2 2 2 4 2 2 5 5 6" xfId="14617" xr:uid="{00000000-0005-0000-0000-0000EF380000}"/>
    <cellStyle name="Normal 2 2 2 2 4 2 2 5 5 7" xfId="14618" xr:uid="{00000000-0005-0000-0000-0000F0380000}"/>
    <cellStyle name="Normal 2 2 2 2 4 2 2 5 5 8" xfId="14619" xr:uid="{00000000-0005-0000-0000-0000F1380000}"/>
    <cellStyle name="Normal 2 2 2 2 4 2 2 5 5 9" xfId="14620" xr:uid="{00000000-0005-0000-0000-0000F2380000}"/>
    <cellStyle name="Normal 2 2 2 2 4 2 2 5 6" xfId="14621" xr:uid="{00000000-0005-0000-0000-0000F3380000}"/>
    <cellStyle name="Normal 2 2 2 2 4 2 2 5 7" xfId="14622" xr:uid="{00000000-0005-0000-0000-0000F4380000}"/>
    <cellStyle name="Normal 2 2 2 2 4 2 2 5 8" xfId="14623" xr:uid="{00000000-0005-0000-0000-0000F5380000}"/>
    <cellStyle name="Normal 2 2 2 2 4 2 2 5 9" xfId="14624" xr:uid="{00000000-0005-0000-0000-0000F6380000}"/>
    <cellStyle name="Normal 2 2 2 2 4 2 2 6" xfId="14625" xr:uid="{00000000-0005-0000-0000-0000F7380000}"/>
    <cellStyle name="Normal 2 2 2 2 4 2 2 6 10" xfId="14626" xr:uid="{00000000-0005-0000-0000-0000F8380000}"/>
    <cellStyle name="Normal 2 2 2 2 4 2 2 6 11" xfId="14627" xr:uid="{00000000-0005-0000-0000-0000F9380000}"/>
    <cellStyle name="Normal 2 2 2 2 4 2 2 6 12" xfId="14628" xr:uid="{00000000-0005-0000-0000-0000FA380000}"/>
    <cellStyle name="Normal 2 2 2 2 4 2 2 6 13" xfId="14629" xr:uid="{00000000-0005-0000-0000-0000FB380000}"/>
    <cellStyle name="Normal 2 2 2 2 4 2 2 6 14" xfId="14630" xr:uid="{00000000-0005-0000-0000-0000FC380000}"/>
    <cellStyle name="Normal 2 2 2 2 4 2 2 6 2" xfId="14631" xr:uid="{00000000-0005-0000-0000-0000FD380000}"/>
    <cellStyle name="Normal 2 2 2 2 4 2 2 6 2 10" xfId="14632" xr:uid="{00000000-0005-0000-0000-0000FE380000}"/>
    <cellStyle name="Normal 2 2 2 2 4 2 2 6 2 2" xfId="14633" xr:uid="{00000000-0005-0000-0000-0000FF380000}"/>
    <cellStyle name="Normal 2 2 2 2 4 2 2 6 2 3" xfId="14634" xr:uid="{00000000-0005-0000-0000-000000390000}"/>
    <cellStyle name="Normal 2 2 2 2 4 2 2 6 2 4" xfId="14635" xr:uid="{00000000-0005-0000-0000-000001390000}"/>
    <cellStyle name="Normal 2 2 2 2 4 2 2 6 2 5" xfId="14636" xr:uid="{00000000-0005-0000-0000-000002390000}"/>
    <cellStyle name="Normal 2 2 2 2 4 2 2 6 2 6" xfId="14637" xr:uid="{00000000-0005-0000-0000-000003390000}"/>
    <cellStyle name="Normal 2 2 2 2 4 2 2 6 2 7" xfId="14638" xr:uid="{00000000-0005-0000-0000-000004390000}"/>
    <cellStyle name="Normal 2 2 2 2 4 2 2 6 2 8" xfId="14639" xr:uid="{00000000-0005-0000-0000-000005390000}"/>
    <cellStyle name="Normal 2 2 2 2 4 2 2 6 2 9" xfId="14640" xr:uid="{00000000-0005-0000-0000-000006390000}"/>
    <cellStyle name="Normal 2 2 2 2 4 2 2 6 3" xfId="14641" xr:uid="{00000000-0005-0000-0000-000007390000}"/>
    <cellStyle name="Normal 2 2 2 2 4 2 2 6 3 10" xfId="14642" xr:uid="{00000000-0005-0000-0000-000008390000}"/>
    <cellStyle name="Normal 2 2 2 2 4 2 2 6 3 2" xfId="14643" xr:uid="{00000000-0005-0000-0000-000009390000}"/>
    <cellStyle name="Normal 2 2 2 2 4 2 2 6 3 3" xfId="14644" xr:uid="{00000000-0005-0000-0000-00000A390000}"/>
    <cellStyle name="Normal 2 2 2 2 4 2 2 6 3 4" xfId="14645" xr:uid="{00000000-0005-0000-0000-00000B390000}"/>
    <cellStyle name="Normal 2 2 2 2 4 2 2 6 3 5" xfId="14646" xr:uid="{00000000-0005-0000-0000-00000C390000}"/>
    <cellStyle name="Normal 2 2 2 2 4 2 2 6 3 6" xfId="14647" xr:uid="{00000000-0005-0000-0000-00000D390000}"/>
    <cellStyle name="Normal 2 2 2 2 4 2 2 6 3 7" xfId="14648" xr:uid="{00000000-0005-0000-0000-00000E390000}"/>
    <cellStyle name="Normal 2 2 2 2 4 2 2 6 3 8" xfId="14649" xr:uid="{00000000-0005-0000-0000-00000F390000}"/>
    <cellStyle name="Normal 2 2 2 2 4 2 2 6 3 9" xfId="14650" xr:uid="{00000000-0005-0000-0000-000010390000}"/>
    <cellStyle name="Normal 2 2 2 2 4 2 2 6 4" xfId="14651" xr:uid="{00000000-0005-0000-0000-000011390000}"/>
    <cellStyle name="Normal 2 2 2 2 4 2 2 6 4 10" xfId="14652" xr:uid="{00000000-0005-0000-0000-000012390000}"/>
    <cellStyle name="Normal 2 2 2 2 4 2 2 6 4 2" xfId="14653" xr:uid="{00000000-0005-0000-0000-000013390000}"/>
    <cellStyle name="Normal 2 2 2 2 4 2 2 6 4 3" xfId="14654" xr:uid="{00000000-0005-0000-0000-000014390000}"/>
    <cellStyle name="Normal 2 2 2 2 4 2 2 6 4 4" xfId="14655" xr:uid="{00000000-0005-0000-0000-000015390000}"/>
    <cellStyle name="Normal 2 2 2 2 4 2 2 6 4 5" xfId="14656" xr:uid="{00000000-0005-0000-0000-000016390000}"/>
    <cellStyle name="Normal 2 2 2 2 4 2 2 6 4 6" xfId="14657" xr:uid="{00000000-0005-0000-0000-000017390000}"/>
    <cellStyle name="Normal 2 2 2 2 4 2 2 6 4 7" xfId="14658" xr:uid="{00000000-0005-0000-0000-000018390000}"/>
    <cellStyle name="Normal 2 2 2 2 4 2 2 6 4 8" xfId="14659" xr:uid="{00000000-0005-0000-0000-000019390000}"/>
    <cellStyle name="Normal 2 2 2 2 4 2 2 6 4 9" xfId="14660" xr:uid="{00000000-0005-0000-0000-00001A390000}"/>
    <cellStyle name="Normal 2 2 2 2 4 2 2 6 5" xfId="14661" xr:uid="{00000000-0005-0000-0000-00001B390000}"/>
    <cellStyle name="Normal 2 2 2 2 4 2 2 6 5 10" xfId="14662" xr:uid="{00000000-0005-0000-0000-00001C390000}"/>
    <cellStyle name="Normal 2 2 2 2 4 2 2 6 5 2" xfId="14663" xr:uid="{00000000-0005-0000-0000-00001D390000}"/>
    <cellStyle name="Normal 2 2 2 2 4 2 2 6 5 3" xfId="14664" xr:uid="{00000000-0005-0000-0000-00001E390000}"/>
    <cellStyle name="Normal 2 2 2 2 4 2 2 6 5 4" xfId="14665" xr:uid="{00000000-0005-0000-0000-00001F390000}"/>
    <cellStyle name="Normal 2 2 2 2 4 2 2 6 5 5" xfId="14666" xr:uid="{00000000-0005-0000-0000-000020390000}"/>
    <cellStyle name="Normal 2 2 2 2 4 2 2 6 5 6" xfId="14667" xr:uid="{00000000-0005-0000-0000-000021390000}"/>
    <cellStyle name="Normal 2 2 2 2 4 2 2 6 5 7" xfId="14668" xr:uid="{00000000-0005-0000-0000-000022390000}"/>
    <cellStyle name="Normal 2 2 2 2 4 2 2 6 5 8" xfId="14669" xr:uid="{00000000-0005-0000-0000-000023390000}"/>
    <cellStyle name="Normal 2 2 2 2 4 2 2 6 5 9" xfId="14670" xr:uid="{00000000-0005-0000-0000-000024390000}"/>
    <cellStyle name="Normal 2 2 2 2 4 2 2 6 6" xfId="14671" xr:uid="{00000000-0005-0000-0000-000025390000}"/>
    <cellStyle name="Normal 2 2 2 2 4 2 2 6 7" xfId="14672" xr:uid="{00000000-0005-0000-0000-000026390000}"/>
    <cellStyle name="Normal 2 2 2 2 4 2 2 6 8" xfId="14673" xr:uid="{00000000-0005-0000-0000-000027390000}"/>
    <cellStyle name="Normal 2 2 2 2 4 2 2 6 9" xfId="14674" xr:uid="{00000000-0005-0000-0000-000028390000}"/>
    <cellStyle name="Normal 2 2 2 2 4 2 2 7" xfId="14675" xr:uid="{00000000-0005-0000-0000-000029390000}"/>
    <cellStyle name="Normal 2 2 2 2 4 2 2 7 10" xfId="14676" xr:uid="{00000000-0005-0000-0000-00002A390000}"/>
    <cellStyle name="Normal 2 2 2 2 4 2 2 7 11" xfId="14677" xr:uid="{00000000-0005-0000-0000-00002B390000}"/>
    <cellStyle name="Normal 2 2 2 2 4 2 2 7 12" xfId="14678" xr:uid="{00000000-0005-0000-0000-00002C390000}"/>
    <cellStyle name="Normal 2 2 2 2 4 2 2 7 13" xfId="14679" xr:uid="{00000000-0005-0000-0000-00002D390000}"/>
    <cellStyle name="Normal 2 2 2 2 4 2 2 7 14" xfId="14680" xr:uid="{00000000-0005-0000-0000-00002E390000}"/>
    <cellStyle name="Normal 2 2 2 2 4 2 2 7 2" xfId="14681" xr:uid="{00000000-0005-0000-0000-00002F390000}"/>
    <cellStyle name="Normal 2 2 2 2 4 2 2 7 2 10" xfId="14682" xr:uid="{00000000-0005-0000-0000-000030390000}"/>
    <cellStyle name="Normal 2 2 2 2 4 2 2 7 2 2" xfId="14683" xr:uid="{00000000-0005-0000-0000-000031390000}"/>
    <cellStyle name="Normal 2 2 2 2 4 2 2 7 2 3" xfId="14684" xr:uid="{00000000-0005-0000-0000-000032390000}"/>
    <cellStyle name="Normal 2 2 2 2 4 2 2 7 2 4" xfId="14685" xr:uid="{00000000-0005-0000-0000-000033390000}"/>
    <cellStyle name="Normal 2 2 2 2 4 2 2 7 2 5" xfId="14686" xr:uid="{00000000-0005-0000-0000-000034390000}"/>
    <cellStyle name="Normal 2 2 2 2 4 2 2 7 2 6" xfId="14687" xr:uid="{00000000-0005-0000-0000-000035390000}"/>
    <cellStyle name="Normal 2 2 2 2 4 2 2 7 2 7" xfId="14688" xr:uid="{00000000-0005-0000-0000-000036390000}"/>
    <cellStyle name="Normal 2 2 2 2 4 2 2 7 2 8" xfId="14689" xr:uid="{00000000-0005-0000-0000-000037390000}"/>
    <cellStyle name="Normal 2 2 2 2 4 2 2 7 2 9" xfId="14690" xr:uid="{00000000-0005-0000-0000-000038390000}"/>
    <cellStyle name="Normal 2 2 2 2 4 2 2 7 3" xfId="14691" xr:uid="{00000000-0005-0000-0000-000039390000}"/>
    <cellStyle name="Normal 2 2 2 2 4 2 2 7 3 10" xfId="14692" xr:uid="{00000000-0005-0000-0000-00003A390000}"/>
    <cellStyle name="Normal 2 2 2 2 4 2 2 7 3 2" xfId="14693" xr:uid="{00000000-0005-0000-0000-00003B390000}"/>
    <cellStyle name="Normal 2 2 2 2 4 2 2 7 3 3" xfId="14694" xr:uid="{00000000-0005-0000-0000-00003C390000}"/>
    <cellStyle name="Normal 2 2 2 2 4 2 2 7 3 4" xfId="14695" xr:uid="{00000000-0005-0000-0000-00003D390000}"/>
    <cellStyle name="Normal 2 2 2 2 4 2 2 7 3 5" xfId="14696" xr:uid="{00000000-0005-0000-0000-00003E390000}"/>
    <cellStyle name="Normal 2 2 2 2 4 2 2 7 3 6" xfId="14697" xr:uid="{00000000-0005-0000-0000-00003F390000}"/>
    <cellStyle name="Normal 2 2 2 2 4 2 2 7 3 7" xfId="14698" xr:uid="{00000000-0005-0000-0000-000040390000}"/>
    <cellStyle name="Normal 2 2 2 2 4 2 2 7 3 8" xfId="14699" xr:uid="{00000000-0005-0000-0000-000041390000}"/>
    <cellStyle name="Normal 2 2 2 2 4 2 2 7 3 9" xfId="14700" xr:uid="{00000000-0005-0000-0000-000042390000}"/>
    <cellStyle name="Normal 2 2 2 2 4 2 2 7 4" xfId="14701" xr:uid="{00000000-0005-0000-0000-000043390000}"/>
    <cellStyle name="Normal 2 2 2 2 4 2 2 7 4 10" xfId="14702" xr:uid="{00000000-0005-0000-0000-000044390000}"/>
    <cellStyle name="Normal 2 2 2 2 4 2 2 7 4 2" xfId="14703" xr:uid="{00000000-0005-0000-0000-000045390000}"/>
    <cellStyle name="Normal 2 2 2 2 4 2 2 7 4 3" xfId="14704" xr:uid="{00000000-0005-0000-0000-000046390000}"/>
    <cellStyle name="Normal 2 2 2 2 4 2 2 7 4 4" xfId="14705" xr:uid="{00000000-0005-0000-0000-000047390000}"/>
    <cellStyle name="Normal 2 2 2 2 4 2 2 7 4 5" xfId="14706" xr:uid="{00000000-0005-0000-0000-000048390000}"/>
    <cellStyle name="Normal 2 2 2 2 4 2 2 7 4 6" xfId="14707" xr:uid="{00000000-0005-0000-0000-000049390000}"/>
    <cellStyle name="Normal 2 2 2 2 4 2 2 7 4 7" xfId="14708" xr:uid="{00000000-0005-0000-0000-00004A390000}"/>
    <cellStyle name="Normal 2 2 2 2 4 2 2 7 4 8" xfId="14709" xr:uid="{00000000-0005-0000-0000-00004B390000}"/>
    <cellStyle name="Normal 2 2 2 2 4 2 2 7 4 9" xfId="14710" xr:uid="{00000000-0005-0000-0000-00004C390000}"/>
    <cellStyle name="Normal 2 2 2 2 4 2 2 7 5" xfId="14711" xr:uid="{00000000-0005-0000-0000-00004D390000}"/>
    <cellStyle name="Normal 2 2 2 2 4 2 2 7 5 10" xfId="14712" xr:uid="{00000000-0005-0000-0000-00004E390000}"/>
    <cellStyle name="Normal 2 2 2 2 4 2 2 7 5 2" xfId="14713" xr:uid="{00000000-0005-0000-0000-00004F390000}"/>
    <cellStyle name="Normal 2 2 2 2 4 2 2 7 5 3" xfId="14714" xr:uid="{00000000-0005-0000-0000-000050390000}"/>
    <cellStyle name="Normal 2 2 2 2 4 2 2 7 5 4" xfId="14715" xr:uid="{00000000-0005-0000-0000-000051390000}"/>
    <cellStyle name="Normal 2 2 2 2 4 2 2 7 5 5" xfId="14716" xr:uid="{00000000-0005-0000-0000-000052390000}"/>
    <cellStyle name="Normal 2 2 2 2 4 2 2 7 5 6" xfId="14717" xr:uid="{00000000-0005-0000-0000-000053390000}"/>
    <cellStyle name="Normal 2 2 2 2 4 2 2 7 5 7" xfId="14718" xr:uid="{00000000-0005-0000-0000-000054390000}"/>
    <cellStyle name="Normal 2 2 2 2 4 2 2 7 5 8" xfId="14719" xr:uid="{00000000-0005-0000-0000-000055390000}"/>
    <cellStyle name="Normal 2 2 2 2 4 2 2 7 5 9" xfId="14720" xr:uid="{00000000-0005-0000-0000-000056390000}"/>
    <cellStyle name="Normal 2 2 2 2 4 2 2 7 6" xfId="14721" xr:uid="{00000000-0005-0000-0000-000057390000}"/>
    <cellStyle name="Normal 2 2 2 2 4 2 2 7 7" xfId="14722" xr:uid="{00000000-0005-0000-0000-000058390000}"/>
    <cellStyle name="Normal 2 2 2 2 4 2 2 7 8" xfId="14723" xr:uid="{00000000-0005-0000-0000-000059390000}"/>
    <cellStyle name="Normal 2 2 2 2 4 2 2 7 9" xfId="14724" xr:uid="{00000000-0005-0000-0000-00005A390000}"/>
    <cellStyle name="Normal 2 2 2 2 4 2 2 8" xfId="14725" xr:uid="{00000000-0005-0000-0000-00005B390000}"/>
    <cellStyle name="Normal 2 2 2 2 4 2 2 8 10" xfId="14726" xr:uid="{00000000-0005-0000-0000-00005C390000}"/>
    <cellStyle name="Normal 2 2 2 2 4 2 2 8 11" xfId="14727" xr:uid="{00000000-0005-0000-0000-00005D390000}"/>
    <cellStyle name="Normal 2 2 2 2 4 2 2 8 12" xfId="14728" xr:uid="{00000000-0005-0000-0000-00005E390000}"/>
    <cellStyle name="Normal 2 2 2 2 4 2 2 8 13" xfId="14729" xr:uid="{00000000-0005-0000-0000-00005F390000}"/>
    <cellStyle name="Normal 2 2 2 2 4 2 2 8 14" xfId="14730" xr:uid="{00000000-0005-0000-0000-000060390000}"/>
    <cellStyle name="Normal 2 2 2 2 4 2 2 8 2" xfId="14731" xr:uid="{00000000-0005-0000-0000-000061390000}"/>
    <cellStyle name="Normal 2 2 2 2 4 2 2 8 2 10" xfId="14732" xr:uid="{00000000-0005-0000-0000-000062390000}"/>
    <cellStyle name="Normal 2 2 2 2 4 2 2 8 2 2" xfId="14733" xr:uid="{00000000-0005-0000-0000-000063390000}"/>
    <cellStyle name="Normal 2 2 2 2 4 2 2 8 2 3" xfId="14734" xr:uid="{00000000-0005-0000-0000-000064390000}"/>
    <cellStyle name="Normal 2 2 2 2 4 2 2 8 2 4" xfId="14735" xr:uid="{00000000-0005-0000-0000-000065390000}"/>
    <cellStyle name="Normal 2 2 2 2 4 2 2 8 2 5" xfId="14736" xr:uid="{00000000-0005-0000-0000-000066390000}"/>
    <cellStyle name="Normal 2 2 2 2 4 2 2 8 2 6" xfId="14737" xr:uid="{00000000-0005-0000-0000-000067390000}"/>
    <cellStyle name="Normal 2 2 2 2 4 2 2 8 2 7" xfId="14738" xr:uid="{00000000-0005-0000-0000-000068390000}"/>
    <cellStyle name="Normal 2 2 2 2 4 2 2 8 2 8" xfId="14739" xr:uid="{00000000-0005-0000-0000-000069390000}"/>
    <cellStyle name="Normal 2 2 2 2 4 2 2 8 2 9" xfId="14740" xr:uid="{00000000-0005-0000-0000-00006A390000}"/>
    <cellStyle name="Normal 2 2 2 2 4 2 2 8 3" xfId="14741" xr:uid="{00000000-0005-0000-0000-00006B390000}"/>
    <cellStyle name="Normal 2 2 2 2 4 2 2 8 3 10" xfId="14742" xr:uid="{00000000-0005-0000-0000-00006C390000}"/>
    <cellStyle name="Normal 2 2 2 2 4 2 2 8 3 2" xfId="14743" xr:uid="{00000000-0005-0000-0000-00006D390000}"/>
    <cellStyle name="Normal 2 2 2 2 4 2 2 8 3 3" xfId="14744" xr:uid="{00000000-0005-0000-0000-00006E390000}"/>
    <cellStyle name="Normal 2 2 2 2 4 2 2 8 3 4" xfId="14745" xr:uid="{00000000-0005-0000-0000-00006F390000}"/>
    <cellStyle name="Normal 2 2 2 2 4 2 2 8 3 5" xfId="14746" xr:uid="{00000000-0005-0000-0000-000070390000}"/>
    <cellStyle name="Normal 2 2 2 2 4 2 2 8 3 6" xfId="14747" xr:uid="{00000000-0005-0000-0000-000071390000}"/>
    <cellStyle name="Normal 2 2 2 2 4 2 2 8 3 7" xfId="14748" xr:uid="{00000000-0005-0000-0000-000072390000}"/>
    <cellStyle name="Normal 2 2 2 2 4 2 2 8 3 8" xfId="14749" xr:uid="{00000000-0005-0000-0000-000073390000}"/>
    <cellStyle name="Normal 2 2 2 2 4 2 2 8 3 9" xfId="14750" xr:uid="{00000000-0005-0000-0000-000074390000}"/>
    <cellStyle name="Normal 2 2 2 2 4 2 2 8 4" xfId="14751" xr:uid="{00000000-0005-0000-0000-000075390000}"/>
    <cellStyle name="Normal 2 2 2 2 4 2 2 8 4 10" xfId="14752" xr:uid="{00000000-0005-0000-0000-000076390000}"/>
    <cellStyle name="Normal 2 2 2 2 4 2 2 8 4 2" xfId="14753" xr:uid="{00000000-0005-0000-0000-000077390000}"/>
    <cellStyle name="Normal 2 2 2 2 4 2 2 8 4 3" xfId="14754" xr:uid="{00000000-0005-0000-0000-000078390000}"/>
    <cellStyle name="Normal 2 2 2 2 4 2 2 8 4 4" xfId="14755" xr:uid="{00000000-0005-0000-0000-000079390000}"/>
    <cellStyle name="Normal 2 2 2 2 4 2 2 8 4 5" xfId="14756" xr:uid="{00000000-0005-0000-0000-00007A390000}"/>
    <cellStyle name="Normal 2 2 2 2 4 2 2 8 4 6" xfId="14757" xr:uid="{00000000-0005-0000-0000-00007B390000}"/>
    <cellStyle name="Normal 2 2 2 2 4 2 2 8 4 7" xfId="14758" xr:uid="{00000000-0005-0000-0000-00007C390000}"/>
    <cellStyle name="Normal 2 2 2 2 4 2 2 8 4 8" xfId="14759" xr:uid="{00000000-0005-0000-0000-00007D390000}"/>
    <cellStyle name="Normal 2 2 2 2 4 2 2 8 4 9" xfId="14760" xr:uid="{00000000-0005-0000-0000-00007E390000}"/>
    <cellStyle name="Normal 2 2 2 2 4 2 2 8 5" xfId="14761" xr:uid="{00000000-0005-0000-0000-00007F390000}"/>
    <cellStyle name="Normal 2 2 2 2 4 2 2 8 5 10" xfId="14762" xr:uid="{00000000-0005-0000-0000-000080390000}"/>
    <cellStyle name="Normal 2 2 2 2 4 2 2 8 5 2" xfId="14763" xr:uid="{00000000-0005-0000-0000-000081390000}"/>
    <cellStyle name="Normal 2 2 2 2 4 2 2 8 5 3" xfId="14764" xr:uid="{00000000-0005-0000-0000-000082390000}"/>
    <cellStyle name="Normal 2 2 2 2 4 2 2 8 5 4" xfId="14765" xr:uid="{00000000-0005-0000-0000-000083390000}"/>
    <cellStyle name="Normal 2 2 2 2 4 2 2 8 5 5" xfId="14766" xr:uid="{00000000-0005-0000-0000-000084390000}"/>
    <cellStyle name="Normal 2 2 2 2 4 2 2 8 5 6" xfId="14767" xr:uid="{00000000-0005-0000-0000-000085390000}"/>
    <cellStyle name="Normal 2 2 2 2 4 2 2 8 5 7" xfId="14768" xr:uid="{00000000-0005-0000-0000-000086390000}"/>
    <cellStyle name="Normal 2 2 2 2 4 2 2 8 5 8" xfId="14769" xr:uid="{00000000-0005-0000-0000-000087390000}"/>
    <cellStyle name="Normal 2 2 2 2 4 2 2 8 5 9" xfId="14770" xr:uid="{00000000-0005-0000-0000-000088390000}"/>
    <cellStyle name="Normal 2 2 2 2 4 2 2 8 6" xfId="14771" xr:uid="{00000000-0005-0000-0000-000089390000}"/>
    <cellStyle name="Normal 2 2 2 2 4 2 2 8 7" xfId="14772" xr:uid="{00000000-0005-0000-0000-00008A390000}"/>
    <cellStyle name="Normal 2 2 2 2 4 2 2 8 8" xfId="14773" xr:uid="{00000000-0005-0000-0000-00008B390000}"/>
    <cellStyle name="Normal 2 2 2 2 4 2 2 8 9" xfId="14774" xr:uid="{00000000-0005-0000-0000-00008C390000}"/>
    <cellStyle name="Normal 2 2 2 2 4 2 2 9" xfId="14775" xr:uid="{00000000-0005-0000-0000-00008D390000}"/>
    <cellStyle name="Normal 2 2 2 2 4 2 2 9 10" xfId="14776" xr:uid="{00000000-0005-0000-0000-00008E390000}"/>
    <cellStyle name="Normal 2 2 2 2 4 2 2 9 11" xfId="14777" xr:uid="{00000000-0005-0000-0000-00008F390000}"/>
    <cellStyle name="Normal 2 2 2 2 4 2 2 9 12" xfId="14778" xr:uid="{00000000-0005-0000-0000-000090390000}"/>
    <cellStyle name="Normal 2 2 2 2 4 2 2 9 13" xfId="14779" xr:uid="{00000000-0005-0000-0000-000091390000}"/>
    <cellStyle name="Normal 2 2 2 2 4 2 2 9 14" xfId="14780" xr:uid="{00000000-0005-0000-0000-000092390000}"/>
    <cellStyle name="Normal 2 2 2 2 4 2 2 9 2" xfId="14781" xr:uid="{00000000-0005-0000-0000-000093390000}"/>
    <cellStyle name="Normal 2 2 2 2 4 2 2 9 2 10" xfId="14782" xr:uid="{00000000-0005-0000-0000-000094390000}"/>
    <cellStyle name="Normal 2 2 2 2 4 2 2 9 2 2" xfId="14783" xr:uid="{00000000-0005-0000-0000-000095390000}"/>
    <cellStyle name="Normal 2 2 2 2 4 2 2 9 2 3" xfId="14784" xr:uid="{00000000-0005-0000-0000-000096390000}"/>
    <cellStyle name="Normal 2 2 2 2 4 2 2 9 2 4" xfId="14785" xr:uid="{00000000-0005-0000-0000-000097390000}"/>
    <cellStyle name="Normal 2 2 2 2 4 2 2 9 2 5" xfId="14786" xr:uid="{00000000-0005-0000-0000-000098390000}"/>
    <cellStyle name="Normal 2 2 2 2 4 2 2 9 2 6" xfId="14787" xr:uid="{00000000-0005-0000-0000-000099390000}"/>
    <cellStyle name="Normal 2 2 2 2 4 2 2 9 2 7" xfId="14788" xr:uid="{00000000-0005-0000-0000-00009A390000}"/>
    <cellStyle name="Normal 2 2 2 2 4 2 2 9 2 8" xfId="14789" xr:uid="{00000000-0005-0000-0000-00009B390000}"/>
    <cellStyle name="Normal 2 2 2 2 4 2 2 9 2 9" xfId="14790" xr:uid="{00000000-0005-0000-0000-00009C390000}"/>
    <cellStyle name="Normal 2 2 2 2 4 2 2 9 3" xfId="14791" xr:uid="{00000000-0005-0000-0000-00009D390000}"/>
    <cellStyle name="Normal 2 2 2 2 4 2 2 9 3 10" xfId="14792" xr:uid="{00000000-0005-0000-0000-00009E390000}"/>
    <cellStyle name="Normal 2 2 2 2 4 2 2 9 3 2" xfId="14793" xr:uid="{00000000-0005-0000-0000-00009F390000}"/>
    <cellStyle name="Normal 2 2 2 2 4 2 2 9 3 3" xfId="14794" xr:uid="{00000000-0005-0000-0000-0000A0390000}"/>
    <cellStyle name="Normal 2 2 2 2 4 2 2 9 3 4" xfId="14795" xr:uid="{00000000-0005-0000-0000-0000A1390000}"/>
    <cellStyle name="Normal 2 2 2 2 4 2 2 9 3 5" xfId="14796" xr:uid="{00000000-0005-0000-0000-0000A2390000}"/>
    <cellStyle name="Normal 2 2 2 2 4 2 2 9 3 6" xfId="14797" xr:uid="{00000000-0005-0000-0000-0000A3390000}"/>
    <cellStyle name="Normal 2 2 2 2 4 2 2 9 3 7" xfId="14798" xr:uid="{00000000-0005-0000-0000-0000A4390000}"/>
    <cellStyle name="Normal 2 2 2 2 4 2 2 9 3 8" xfId="14799" xr:uid="{00000000-0005-0000-0000-0000A5390000}"/>
    <cellStyle name="Normal 2 2 2 2 4 2 2 9 3 9" xfId="14800" xr:uid="{00000000-0005-0000-0000-0000A6390000}"/>
    <cellStyle name="Normal 2 2 2 2 4 2 2 9 4" xfId="14801" xr:uid="{00000000-0005-0000-0000-0000A7390000}"/>
    <cellStyle name="Normal 2 2 2 2 4 2 2 9 4 10" xfId="14802" xr:uid="{00000000-0005-0000-0000-0000A8390000}"/>
    <cellStyle name="Normal 2 2 2 2 4 2 2 9 4 2" xfId="14803" xr:uid="{00000000-0005-0000-0000-0000A9390000}"/>
    <cellStyle name="Normal 2 2 2 2 4 2 2 9 4 3" xfId="14804" xr:uid="{00000000-0005-0000-0000-0000AA390000}"/>
    <cellStyle name="Normal 2 2 2 2 4 2 2 9 4 4" xfId="14805" xr:uid="{00000000-0005-0000-0000-0000AB390000}"/>
    <cellStyle name="Normal 2 2 2 2 4 2 2 9 4 5" xfId="14806" xr:uid="{00000000-0005-0000-0000-0000AC390000}"/>
    <cellStyle name="Normal 2 2 2 2 4 2 2 9 4 6" xfId="14807" xr:uid="{00000000-0005-0000-0000-0000AD390000}"/>
    <cellStyle name="Normal 2 2 2 2 4 2 2 9 4 7" xfId="14808" xr:uid="{00000000-0005-0000-0000-0000AE390000}"/>
    <cellStyle name="Normal 2 2 2 2 4 2 2 9 4 8" xfId="14809" xr:uid="{00000000-0005-0000-0000-0000AF390000}"/>
    <cellStyle name="Normal 2 2 2 2 4 2 2 9 4 9" xfId="14810" xr:uid="{00000000-0005-0000-0000-0000B0390000}"/>
    <cellStyle name="Normal 2 2 2 2 4 2 2 9 5" xfId="14811" xr:uid="{00000000-0005-0000-0000-0000B1390000}"/>
    <cellStyle name="Normal 2 2 2 2 4 2 2 9 5 10" xfId="14812" xr:uid="{00000000-0005-0000-0000-0000B2390000}"/>
    <cellStyle name="Normal 2 2 2 2 4 2 2 9 5 2" xfId="14813" xr:uid="{00000000-0005-0000-0000-0000B3390000}"/>
    <cellStyle name="Normal 2 2 2 2 4 2 2 9 5 3" xfId="14814" xr:uid="{00000000-0005-0000-0000-0000B4390000}"/>
    <cellStyle name="Normal 2 2 2 2 4 2 2 9 5 4" xfId="14815" xr:uid="{00000000-0005-0000-0000-0000B5390000}"/>
    <cellStyle name="Normal 2 2 2 2 4 2 2 9 5 5" xfId="14816" xr:uid="{00000000-0005-0000-0000-0000B6390000}"/>
    <cellStyle name="Normal 2 2 2 2 4 2 2 9 5 6" xfId="14817" xr:uid="{00000000-0005-0000-0000-0000B7390000}"/>
    <cellStyle name="Normal 2 2 2 2 4 2 2 9 5 7" xfId="14818" xr:uid="{00000000-0005-0000-0000-0000B8390000}"/>
    <cellStyle name="Normal 2 2 2 2 4 2 2 9 5 8" xfId="14819" xr:uid="{00000000-0005-0000-0000-0000B9390000}"/>
    <cellStyle name="Normal 2 2 2 2 4 2 2 9 5 9" xfId="14820" xr:uid="{00000000-0005-0000-0000-0000BA390000}"/>
    <cellStyle name="Normal 2 2 2 2 4 2 2 9 6" xfId="14821" xr:uid="{00000000-0005-0000-0000-0000BB390000}"/>
    <cellStyle name="Normal 2 2 2 2 4 2 2 9 7" xfId="14822" xr:uid="{00000000-0005-0000-0000-0000BC390000}"/>
    <cellStyle name="Normal 2 2 2 2 4 2 2 9 8" xfId="14823" xr:uid="{00000000-0005-0000-0000-0000BD390000}"/>
    <cellStyle name="Normal 2 2 2 2 4 2 2 9 9" xfId="14824" xr:uid="{00000000-0005-0000-0000-0000BE390000}"/>
    <cellStyle name="Normal 2 2 2 2 4 2 20" xfId="14825" xr:uid="{00000000-0005-0000-0000-0000BF390000}"/>
    <cellStyle name="Normal 2 2 2 2 4 2 21" xfId="14826" xr:uid="{00000000-0005-0000-0000-0000C0390000}"/>
    <cellStyle name="Normal 2 2 2 2 4 2 21 10" xfId="14827" xr:uid="{00000000-0005-0000-0000-0000C1390000}"/>
    <cellStyle name="Normal 2 2 2 2 4 2 21 2" xfId="14828" xr:uid="{00000000-0005-0000-0000-0000C2390000}"/>
    <cellStyle name="Normal 2 2 2 2 4 2 21 3" xfId="14829" xr:uid="{00000000-0005-0000-0000-0000C3390000}"/>
    <cellStyle name="Normal 2 2 2 2 4 2 21 4" xfId="14830" xr:uid="{00000000-0005-0000-0000-0000C4390000}"/>
    <cellStyle name="Normal 2 2 2 2 4 2 21 5" xfId="14831" xr:uid="{00000000-0005-0000-0000-0000C5390000}"/>
    <cellStyle name="Normal 2 2 2 2 4 2 21 6" xfId="14832" xr:uid="{00000000-0005-0000-0000-0000C6390000}"/>
    <cellStyle name="Normal 2 2 2 2 4 2 21 7" xfId="14833" xr:uid="{00000000-0005-0000-0000-0000C7390000}"/>
    <cellStyle name="Normal 2 2 2 2 4 2 21 8" xfId="14834" xr:uid="{00000000-0005-0000-0000-0000C8390000}"/>
    <cellStyle name="Normal 2 2 2 2 4 2 21 9" xfId="14835" xr:uid="{00000000-0005-0000-0000-0000C9390000}"/>
    <cellStyle name="Normal 2 2 2 2 4 2 22" xfId="14836" xr:uid="{00000000-0005-0000-0000-0000CA390000}"/>
    <cellStyle name="Normal 2 2 2 2 4 2 22 10" xfId="14837" xr:uid="{00000000-0005-0000-0000-0000CB390000}"/>
    <cellStyle name="Normal 2 2 2 2 4 2 22 2" xfId="14838" xr:uid="{00000000-0005-0000-0000-0000CC390000}"/>
    <cellStyle name="Normal 2 2 2 2 4 2 22 3" xfId="14839" xr:uid="{00000000-0005-0000-0000-0000CD390000}"/>
    <cellStyle name="Normal 2 2 2 2 4 2 22 4" xfId="14840" xr:uid="{00000000-0005-0000-0000-0000CE390000}"/>
    <cellStyle name="Normal 2 2 2 2 4 2 22 5" xfId="14841" xr:uid="{00000000-0005-0000-0000-0000CF390000}"/>
    <cellStyle name="Normal 2 2 2 2 4 2 22 6" xfId="14842" xr:uid="{00000000-0005-0000-0000-0000D0390000}"/>
    <cellStyle name="Normal 2 2 2 2 4 2 22 7" xfId="14843" xr:uid="{00000000-0005-0000-0000-0000D1390000}"/>
    <cellStyle name="Normal 2 2 2 2 4 2 22 8" xfId="14844" xr:uid="{00000000-0005-0000-0000-0000D2390000}"/>
    <cellStyle name="Normal 2 2 2 2 4 2 22 9" xfId="14845" xr:uid="{00000000-0005-0000-0000-0000D3390000}"/>
    <cellStyle name="Normal 2 2 2 2 4 2 23" xfId="14846" xr:uid="{00000000-0005-0000-0000-0000D4390000}"/>
    <cellStyle name="Normal 2 2 2 2 4 2 23 10" xfId="14847" xr:uid="{00000000-0005-0000-0000-0000D5390000}"/>
    <cellStyle name="Normal 2 2 2 2 4 2 23 2" xfId="14848" xr:uid="{00000000-0005-0000-0000-0000D6390000}"/>
    <cellStyle name="Normal 2 2 2 2 4 2 23 3" xfId="14849" xr:uid="{00000000-0005-0000-0000-0000D7390000}"/>
    <cellStyle name="Normal 2 2 2 2 4 2 23 4" xfId="14850" xr:uid="{00000000-0005-0000-0000-0000D8390000}"/>
    <cellStyle name="Normal 2 2 2 2 4 2 23 5" xfId="14851" xr:uid="{00000000-0005-0000-0000-0000D9390000}"/>
    <cellStyle name="Normal 2 2 2 2 4 2 23 6" xfId="14852" xr:uid="{00000000-0005-0000-0000-0000DA390000}"/>
    <cellStyle name="Normal 2 2 2 2 4 2 23 7" xfId="14853" xr:uid="{00000000-0005-0000-0000-0000DB390000}"/>
    <cellStyle name="Normal 2 2 2 2 4 2 23 8" xfId="14854" xr:uid="{00000000-0005-0000-0000-0000DC390000}"/>
    <cellStyle name="Normal 2 2 2 2 4 2 23 9" xfId="14855" xr:uid="{00000000-0005-0000-0000-0000DD390000}"/>
    <cellStyle name="Normal 2 2 2 2 4 2 24" xfId="14856" xr:uid="{00000000-0005-0000-0000-0000DE390000}"/>
    <cellStyle name="Normal 2 2 2 2 4 2 24 10" xfId="14857" xr:uid="{00000000-0005-0000-0000-0000DF390000}"/>
    <cellStyle name="Normal 2 2 2 2 4 2 24 2" xfId="14858" xr:uid="{00000000-0005-0000-0000-0000E0390000}"/>
    <cellStyle name="Normal 2 2 2 2 4 2 24 3" xfId="14859" xr:uid="{00000000-0005-0000-0000-0000E1390000}"/>
    <cellStyle name="Normal 2 2 2 2 4 2 24 4" xfId="14860" xr:uid="{00000000-0005-0000-0000-0000E2390000}"/>
    <cellStyle name="Normal 2 2 2 2 4 2 24 5" xfId="14861" xr:uid="{00000000-0005-0000-0000-0000E3390000}"/>
    <cellStyle name="Normal 2 2 2 2 4 2 24 6" xfId="14862" xr:uid="{00000000-0005-0000-0000-0000E4390000}"/>
    <cellStyle name="Normal 2 2 2 2 4 2 24 7" xfId="14863" xr:uid="{00000000-0005-0000-0000-0000E5390000}"/>
    <cellStyle name="Normal 2 2 2 2 4 2 24 8" xfId="14864" xr:uid="{00000000-0005-0000-0000-0000E6390000}"/>
    <cellStyle name="Normal 2 2 2 2 4 2 24 9" xfId="14865" xr:uid="{00000000-0005-0000-0000-0000E7390000}"/>
    <cellStyle name="Normal 2 2 2 2 4 2 25" xfId="14866" xr:uid="{00000000-0005-0000-0000-0000E8390000}"/>
    <cellStyle name="Normal 2 2 2 2 4 2 26" xfId="14867" xr:uid="{00000000-0005-0000-0000-0000E9390000}"/>
    <cellStyle name="Normal 2 2 2 2 4 2 27" xfId="14868" xr:uid="{00000000-0005-0000-0000-0000EA390000}"/>
    <cellStyle name="Normal 2 2 2 2 4 2 28" xfId="14869" xr:uid="{00000000-0005-0000-0000-0000EB390000}"/>
    <cellStyle name="Normal 2 2 2 2 4 2 29" xfId="14870" xr:uid="{00000000-0005-0000-0000-0000EC390000}"/>
    <cellStyle name="Normal 2 2 2 2 4 2 3" xfId="14871" xr:uid="{00000000-0005-0000-0000-0000ED390000}"/>
    <cellStyle name="Normal 2 2 2 2 4 2 30" xfId="14872" xr:uid="{00000000-0005-0000-0000-0000EE390000}"/>
    <cellStyle name="Normal 2 2 2 2 4 2 31" xfId="14873" xr:uid="{00000000-0005-0000-0000-0000EF390000}"/>
    <cellStyle name="Normal 2 2 2 2 4 2 32" xfId="14874" xr:uid="{00000000-0005-0000-0000-0000F0390000}"/>
    <cellStyle name="Normal 2 2 2 2 4 2 33" xfId="14875" xr:uid="{00000000-0005-0000-0000-0000F1390000}"/>
    <cellStyle name="Normal 2 2 2 2 4 2 34" xfId="14876" xr:uid="{00000000-0005-0000-0000-0000F2390000}"/>
    <cellStyle name="Normal 2 2 2 2 4 2 35" xfId="14877" xr:uid="{00000000-0005-0000-0000-0000F3390000}"/>
    <cellStyle name="Normal 2 2 2 2 4 2 4" xfId="14878" xr:uid="{00000000-0005-0000-0000-0000F4390000}"/>
    <cellStyle name="Normal 2 2 2 2 4 2 5" xfId="14879" xr:uid="{00000000-0005-0000-0000-0000F5390000}"/>
    <cellStyle name="Normal 2 2 2 2 4 2 6" xfId="14880" xr:uid="{00000000-0005-0000-0000-0000F6390000}"/>
    <cellStyle name="Normal 2 2 2 2 4 2 7" xfId="14881" xr:uid="{00000000-0005-0000-0000-0000F7390000}"/>
    <cellStyle name="Normal 2 2 2 2 4 2 8" xfId="14882" xr:uid="{00000000-0005-0000-0000-0000F8390000}"/>
    <cellStyle name="Normal 2 2 2 2 4 2 9" xfId="14883" xr:uid="{00000000-0005-0000-0000-0000F9390000}"/>
    <cellStyle name="Normal 2 2 2 2 4 20" xfId="14884" xr:uid="{00000000-0005-0000-0000-0000FA390000}"/>
    <cellStyle name="Normal 2 2 2 2 4 20 10" xfId="14885" xr:uid="{00000000-0005-0000-0000-0000FB390000}"/>
    <cellStyle name="Normal 2 2 2 2 4 20 11" xfId="14886" xr:uid="{00000000-0005-0000-0000-0000FC390000}"/>
    <cellStyle name="Normal 2 2 2 2 4 20 12" xfId="14887" xr:uid="{00000000-0005-0000-0000-0000FD390000}"/>
    <cellStyle name="Normal 2 2 2 2 4 20 13" xfId="14888" xr:uid="{00000000-0005-0000-0000-0000FE390000}"/>
    <cellStyle name="Normal 2 2 2 2 4 20 14" xfId="14889" xr:uid="{00000000-0005-0000-0000-0000FF390000}"/>
    <cellStyle name="Normal 2 2 2 2 4 20 2" xfId="14890" xr:uid="{00000000-0005-0000-0000-0000003A0000}"/>
    <cellStyle name="Normal 2 2 2 2 4 20 2 10" xfId="14891" xr:uid="{00000000-0005-0000-0000-0000013A0000}"/>
    <cellStyle name="Normal 2 2 2 2 4 20 2 2" xfId="14892" xr:uid="{00000000-0005-0000-0000-0000023A0000}"/>
    <cellStyle name="Normal 2 2 2 2 4 20 2 3" xfId="14893" xr:uid="{00000000-0005-0000-0000-0000033A0000}"/>
    <cellStyle name="Normal 2 2 2 2 4 20 2 4" xfId="14894" xr:uid="{00000000-0005-0000-0000-0000043A0000}"/>
    <cellStyle name="Normal 2 2 2 2 4 20 2 5" xfId="14895" xr:uid="{00000000-0005-0000-0000-0000053A0000}"/>
    <cellStyle name="Normal 2 2 2 2 4 20 2 6" xfId="14896" xr:uid="{00000000-0005-0000-0000-0000063A0000}"/>
    <cellStyle name="Normal 2 2 2 2 4 20 2 7" xfId="14897" xr:uid="{00000000-0005-0000-0000-0000073A0000}"/>
    <cellStyle name="Normal 2 2 2 2 4 20 2 8" xfId="14898" xr:uid="{00000000-0005-0000-0000-0000083A0000}"/>
    <cellStyle name="Normal 2 2 2 2 4 20 2 9" xfId="14899" xr:uid="{00000000-0005-0000-0000-0000093A0000}"/>
    <cellStyle name="Normal 2 2 2 2 4 20 3" xfId="14900" xr:uid="{00000000-0005-0000-0000-00000A3A0000}"/>
    <cellStyle name="Normal 2 2 2 2 4 20 3 10" xfId="14901" xr:uid="{00000000-0005-0000-0000-00000B3A0000}"/>
    <cellStyle name="Normal 2 2 2 2 4 20 3 2" xfId="14902" xr:uid="{00000000-0005-0000-0000-00000C3A0000}"/>
    <cellStyle name="Normal 2 2 2 2 4 20 3 3" xfId="14903" xr:uid="{00000000-0005-0000-0000-00000D3A0000}"/>
    <cellStyle name="Normal 2 2 2 2 4 20 3 4" xfId="14904" xr:uid="{00000000-0005-0000-0000-00000E3A0000}"/>
    <cellStyle name="Normal 2 2 2 2 4 20 3 5" xfId="14905" xr:uid="{00000000-0005-0000-0000-00000F3A0000}"/>
    <cellStyle name="Normal 2 2 2 2 4 20 3 6" xfId="14906" xr:uid="{00000000-0005-0000-0000-0000103A0000}"/>
    <cellStyle name="Normal 2 2 2 2 4 20 3 7" xfId="14907" xr:uid="{00000000-0005-0000-0000-0000113A0000}"/>
    <cellStyle name="Normal 2 2 2 2 4 20 3 8" xfId="14908" xr:uid="{00000000-0005-0000-0000-0000123A0000}"/>
    <cellStyle name="Normal 2 2 2 2 4 20 3 9" xfId="14909" xr:uid="{00000000-0005-0000-0000-0000133A0000}"/>
    <cellStyle name="Normal 2 2 2 2 4 20 4" xfId="14910" xr:uid="{00000000-0005-0000-0000-0000143A0000}"/>
    <cellStyle name="Normal 2 2 2 2 4 20 4 10" xfId="14911" xr:uid="{00000000-0005-0000-0000-0000153A0000}"/>
    <cellStyle name="Normal 2 2 2 2 4 20 4 2" xfId="14912" xr:uid="{00000000-0005-0000-0000-0000163A0000}"/>
    <cellStyle name="Normal 2 2 2 2 4 20 4 3" xfId="14913" xr:uid="{00000000-0005-0000-0000-0000173A0000}"/>
    <cellStyle name="Normal 2 2 2 2 4 20 4 4" xfId="14914" xr:uid="{00000000-0005-0000-0000-0000183A0000}"/>
    <cellStyle name="Normal 2 2 2 2 4 20 4 5" xfId="14915" xr:uid="{00000000-0005-0000-0000-0000193A0000}"/>
    <cellStyle name="Normal 2 2 2 2 4 20 4 6" xfId="14916" xr:uid="{00000000-0005-0000-0000-00001A3A0000}"/>
    <cellStyle name="Normal 2 2 2 2 4 20 4 7" xfId="14917" xr:uid="{00000000-0005-0000-0000-00001B3A0000}"/>
    <cellStyle name="Normal 2 2 2 2 4 20 4 8" xfId="14918" xr:uid="{00000000-0005-0000-0000-00001C3A0000}"/>
    <cellStyle name="Normal 2 2 2 2 4 20 4 9" xfId="14919" xr:uid="{00000000-0005-0000-0000-00001D3A0000}"/>
    <cellStyle name="Normal 2 2 2 2 4 20 5" xfId="14920" xr:uid="{00000000-0005-0000-0000-00001E3A0000}"/>
    <cellStyle name="Normal 2 2 2 2 4 20 5 10" xfId="14921" xr:uid="{00000000-0005-0000-0000-00001F3A0000}"/>
    <cellStyle name="Normal 2 2 2 2 4 20 5 2" xfId="14922" xr:uid="{00000000-0005-0000-0000-0000203A0000}"/>
    <cellStyle name="Normal 2 2 2 2 4 20 5 3" xfId="14923" xr:uid="{00000000-0005-0000-0000-0000213A0000}"/>
    <cellStyle name="Normal 2 2 2 2 4 20 5 4" xfId="14924" xr:uid="{00000000-0005-0000-0000-0000223A0000}"/>
    <cellStyle name="Normal 2 2 2 2 4 20 5 5" xfId="14925" xr:uid="{00000000-0005-0000-0000-0000233A0000}"/>
    <cellStyle name="Normal 2 2 2 2 4 20 5 6" xfId="14926" xr:uid="{00000000-0005-0000-0000-0000243A0000}"/>
    <cellStyle name="Normal 2 2 2 2 4 20 5 7" xfId="14927" xr:uid="{00000000-0005-0000-0000-0000253A0000}"/>
    <cellStyle name="Normal 2 2 2 2 4 20 5 8" xfId="14928" xr:uid="{00000000-0005-0000-0000-0000263A0000}"/>
    <cellStyle name="Normal 2 2 2 2 4 20 5 9" xfId="14929" xr:uid="{00000000-0005-0000-0000-0000273A0000}"/>
    <cellStyle name="Normal 2 2 2 2 4 20 6" xfId="14930" xr:uid="{00000000-0005-0000-0000-0000283A0000}"/>
    <cellStyle name="Normal 2 2 2 2 4 20 7" xfId="14931" xr:uid="{00000000-0005-0000-0000-0000293A0000}"/>
    <cellStyle name="Normal 2 2 2 2 4 20 8" xfId="14932" xr:uid="{00000000-0005-0000-0000-00002A3A0000}"/>
    <cellStyle name="Normal 2 2 2 2 4 20 9" xfId="14933" xr:uid="{00000000-0005-0000-0000-00002B3A0000}"/>
    <cellStyle name="Normal 2 2 2 2 4 21" xfId="14934" xr:uid="{00000000-0005-0000-0000-00002C3A0000}"/>
    <cellStyle name="Normal 2 2 2 2 4 21 10" xfId="14935" xr:uid="{00000000-0005-0000-0000-00002D3A0000}"/>
    <cellStyle name="Normal 2 2 2 2 4 21 11" xfId="14936" xr:uid="{00000000-0005-0000-0000-00002E3A0000}"/>
    <cellStyle name="Normal 2 2 2 2 4 21 12" xfId="14937" xr:uid="{00000000-0005-0000-0000-00002F3A0000}"/>
    <cellStyle name="Normal 2 2 2 2 4 21 13" xfId="14938" xr:uid="{00000000-0005-0000-0000-0000303A0000}"/>
    <cellStyle name="Normal 2 2 2 2 4 21 14" xfId="14939" xr:uid="{00000000-0005-0000-0000-0000313A0000}"/>
    <cellStyle name="Normal 2 2 2 2 4 21 2" xfId="14940" xr:uid="{00000000-0005-0000-0000-0000323A0000}"/>
    <cellStyle name="Normal 2 2 2 2 4 21 2 10" xfId="14941" xr:uid="{00000000-0005-0000-0000-0000333A0000}"/>
    <cellStyle name="Normal 2 2 2 2 4 21 2 2" xfId="14942" xr:uid="{00000000-0005-0000-0000-0000343A0000}"/>
    <cellStyle name="Normal 2 2 2 2 4 21 2 3" xfId="14943" xr:uid="{00000000-0005-0000-0000-0000353A0000}"/>
    <cellStyle name="Normal 2 2 2 2 4 21 2 4" xfId="14944" xr:uid="{00000000-0005-0000-0000-0000363A0000}"/>
    <cellStyle name="Normal 2 2 2 2 4 21 2 5" xfId="14945" xr:uid="{00000000-0005-0000-0000-0000373A0000}"/>
    <cellStyle name="Normal 2 2 2 2 4 21 2 6" xfId="14946" xr:uid="{00000000-0005-0000-0000-0000383A0000}"/>
    <cellStyle name="Normal 2 2 2 2 4 21 2 7" xfId="14947" xr:uid="{00000000-0005-0000-0000-0000393A0000}"/>
    <cellStyle name="Normal 2 2 2 2 4 21 2 8" xfId="14948" xr:uid="{00000000-0005-0000-0000-00003A3A0000}"/>
    <cellStyle name="Normal 2 2 2 2 4 21 2 9" xfId="14949" xr:uid="{00000000-0005-0000-0000-00003B3A0000}"/>
    <cellStyle name="Normal 2 2 2 2 4 21 3" xfId="14950" xr:uid="{00000000-0005-0000-0000-00003C3A0000}"/>
    <cellStyle name="Normal 2 2 2 2 4 21 3 10" xfId="14951" xr:uid="{00000000-0005-0000-0000-00003D3A0000}"/>
    <cellStyle name="Normal 2 2 2 2 4 21 3 2" xfId="14952" xr:uid="{00000000-0005-0000-0000-00003E3A0000}"/>
    <cellStyle name="Normal 2 2 2 2 4 21 3 3" xfId="14953" xr:uid="{00000000-0005-0000-0000-00003F3A0000}"/>
    <cellStyle name="Normal 2 2 2 2 4 21 3 4" xfId="14954" xr:uid="{00000000-0005-0000-0000-0000403A0000}"/>
    <cellStyle name="Normal 2 2 2 2 4 21 3 5" xfId="14955" xr:uid="{00000000-0005-0000-0000-0000413A0000}"/>
    <cellStyle name="Normal 2 2 2 2 4 21 3 6" xfId="14956" xr:uid="{00000000-0005-0000-0000-0000423A0000}"/>
    <cellStyle name="Normal 2 2 2 2 4 21 3 7" xfId="14957" xr:uid="{00000000-0005-0000-0000-0000433A0000}"/>
    <cellStyle name="Normal 2 2 2 2 4 21 3 8" xfId="14958" xr:uid="{00000000-0005-0000-0000-0000443A0000}"/>
    <cellStyle name="Normal 2 2 2 2 4 21 3 9" xfId="14959" xr:uid="{00000000-0005-0000-0000-0000453A0000}"/>
    <cellStyle name="Normal 2 2 2 2 4 21 4" xfId="14960" xr:uid="{00000000-0005-0000-0000-0000463A0000}"/>
    <cellStyle name="Normal 2 2 2 2 4 21 4 10" xfId="14961" xr:uid="{00000000-0005-0000-0000-0000473A0000}"/>
    <cellStyle name="Normal 2 2 2 2 4 21 4 2" xfId="14962" xr:uid="{00000000-0005-0000-0000-0000483A0000}"/>
    <cellStyle name="Normal 2 2 2 2 4 21 4 3" xfId="14963" xr:uid="{00000000-0005-0000-0000-0000493A0000}"/>
    <cellStyle name="Normal 2 2 2 2 4 21 4 4" xfId="14964" xr:uid="{00000000-0005-0000-0000-00004A3A0000}"/>
    <cellStyle name="Normal 2 2 2 2 4 21 4 5" xfId="14965" xr:uid="{00000000-0005-0000-0000-00004B3A0000}"/>
    <cellStyle name="Normal 2 2 2 2 4 21 4 6" xfId="14966" xr:uid="{00000000-0005-0000-0000-00004C3A0000}"/>
    <cellStyle name="Normal 2 2 2 2 4 21 4 7" xfId="14967" xr:uid="{00000000-0005-0000-0000-00004D3A0000}"/>
    <cellStyle name="Normal 2 2 2 2 4 21 4 8" xfId="14968" xr:uid="{00000000-0005-0000-0000-00004E3A0000}"/>
    <cellStyle name="Normal 2 2 2 2 4 21 4 9" xfId="14969" xr:uid="{00000000-0005-0000-0000-00004F3A0000}"/>
    <cellStyle name="Normal 2 2 2 2 4 21 5" xfId="14970" xr:uid="{00000000-0005-0000-0000-0000503A0000}"/>
    <cellStyle name="Normal 2 2 2 2 4 21 5 10" xfId="14971" xr:uid="{00000000-0005-0000-0000-0000513A0000}"/>
    <cellStyle name="Normal 2 2 2 2 4 21 5 2" xfId="14972" xr:uid="{00000000-0005-0000-0000-0000523A0000}"/>
    <cellStyle name="Normal 2 2 2 2 4 21 5 3" xfId="14973" xr:uid="{00000000-0005-0000-0000-0000533A0000}"/>
    <cellStyle name="Normal 2 2 2 2 4 21 5 4" xfId="14974" xr:uid="{00000000-0005-0000-0000-0000543A0000}"/>
    <cellStyle name="Normal 2 2 2 2 4 21 5 5" xfId="14975" xr:uid="{00000000-0005-0000-0000-0000553A0000}"/>
    <cellStyle name="Normal 2 2 2 2 4 21 5 6" xfId="14976" xr:uid="{00000000-0005-0000-0000-0000563A0000}"/>
    <cellStyle name="Normal 2 2 2 2 4 21 5 7" xfId="14977" xr:uid="{00000000-0005-0000-0000-0000573A0000}"/>
    <cellStyle name="Normal 2 2 2 2 4 21 5 8" xfId="14978" xr:uid="{00000000-0005-0000-0000-0000583A0000}"/>
    <cellStyle name="Normal 2 2 2 2 4 21 5 9" xfId="14979" xr:uid="{00000000-0005-0000-0000-0000593A0000}"/>
    <cellStyle name="Normal 2 2 2 2 4 21 6" xfId="14980" xr:uid="{00000000-0005-0000-0000-00005A3A0000}"/>
    <cellStyle name="Normal 2 2 2 2 4 21 7" xfId="14981" xr:uid="{00000000-0005-0000-0000-00005B3A0000}"/>
    <cellStyle name="Normal 2 2 2 2 4 21 8" xfId="14982" xr:uid="{00000000-0005-0000-0000-00005C3A0000}"/>
    <cellStyle name="Normal 2 2 2 2 4 21 9" xfId="14983" xr:uid="{00000000-0005-0000-0000-00005D3A0000}"/>
    <cellStyle name="Normal 2 2 2 2 4 22" xfId="14984" xr:uid="{00000000-0005-0000-0000-00005E3A0000}"/>
    <cellStyle name="Normal 2 2 2 2 4 22 10" xfId="14985" xr:uid="{00000000-0005-0000-0000-00005F3A0000}"/>
    <cellStyle name="Normal 2 2 2 2 4 22 11" xfId="14986" xr:uid="{00000000-0005-0000-0000-0000603A0000}"/>
    <cellStyle name="Normal 2 2 2 2 4 22 12" xfId="14987" xr:uid="{00000000-0005-0000-0000-0000613A0000}"/>
    <cellStyle name="Normal 2 2 2 2 4 22 13" xfId="14988" xr:uid="{00000000-0005-0000-0000-0000623A0000}"/>
    <cellStyle name="Normal 2 2 2 2 4 22 14" xfId="14989" xr:uid="{00000000-0005-0000-0000-0000633A0000}"/>
    <cellStyle name="Normal 2 2 2 2 4 22 2" xfId="14990" xr:uid="{00000000-0005-0000-0000-0000643A0000}"/>
    <cellStyle name="Normal 2 2 2 2 4 22 2 10" xfId="14991" xr:uid="{00000000-0005-0000-0000-0000653A0000}"/>
    <cellStyle name="Normal 2 2 2 2 4 22 2 2" xfId="14992" xr:uid="{00000000-0005-0000-0000-0000663A0000}"/>
    <cellStyle name="Normal 2 2 2 2 4 22 2 3" xfId="14993" xr:uid="{00000000-0005-0000-0000-0000673A0000}"/>
    <cellStyle name="Normal 2 2 2 2 4 22 2 4" xfId="14994" xr:uid="{00000000-0005-0000-0000-0000683A0000}"/>
    <cellStyle name="Normal 2 2 2 2 4 22 2 5" xfId="14995" xr:uid="{00000000-0005-0000-0000-0000693A0000}"/>
    <cellStyle name="Normal 2 2 2 2 4 22 2 6" xfId="14996" xr:uid="{00000000-0005-0000-0000-00006A3A0000}"/>
    <cellStyle name="Normal 2 2 2 2 4 22 2 7" xfId="14997" xr:uid="{00000000-0005-0000-0000-00006B3A0000}"/>
    <cellStyle name="Normal 2 2 2 2 4 22 2 8" xfId="14998" xr:uid="{00000000-0005-0000-0000-00006C3A0000}"/>
    <cellStyle name="Normal 2 2 2 2 4 22 2 9" xfId="14999" xr:uid="{00000000-0005-0000-0000-00006D3A0000}"/>
    <cellStyle name="Normal 2 2 2 2 4 22 3" xfId="15000" xr:uid="{00000000-0005-0000-0000-00006E3A0000}"/>
    <cellStyle name="Normal 2 2 2 2 4 22 3 10" xfId="15001" xr:uid="{00000000-0005-0000-0000-00006F3A0000}"/>
    <cellStyle name="Normal 2 2 2 2 4 22 3 2" xfId="15002" xr:uid="{00000000-0005-0000-0000-0000703A0000}"/>
    <cellStyle name="Normal 2 2 2 2 4 22 3 3" xfId="15003" xr:uid="{00000000-0005-0000-0000-0000713A0000}"/>
    <cellStyle name="Normal 2 2 2 2 4 22 3 4" xfId="15004" xr:uid="{00000000-0005-0000-0000-0000723A0000}"/>
    <cellStyle name="Normal 2 2 2 2 4 22 3 5" xfId="15005" xr:uid="{00000000-0005-0000-0000-0000733A0000}"/>
    <cellStyle name="Normal 2 2 2 2 4 22 3 6" xfId="15006" xr:uid="{00000000-0005-0000-0000-0000743A0000}"/>
    <cellStyle name="Normal 2 2 2 2 4 22 3 7" xfId="15007" xr:uid="{00000000-0005-0000-0000-0000753A0000}"/>
    <cellStyle name="Normal 2 2 2 2 4 22 3 8" xfId="15008" xr:uid="{00000000-0005-0000-0000-0000763A0000}"/>
    <cellStyle name="Normal 2 2 2 2 4 22 3 9" xfId="15009" xr:uid="{00000000-0005-0000-0000-0000773A0000}"/>
    <cellStyle name="Normal 2 2 2 2 4 22 4" xfId="15010" xr:uid="{00000000-0005-0000-0000-0000783A0000}"/>
    <cellStyle name="Normal 2 2 2 2 4 22 4 10" xfId="15011" xr:uid="{00000000-0005-0000-0000-0000793A0000}"/>
    <cellStyle name="Normal 2 2 2 2 4 22 4 2" xfId="15012" xr:uid="{00000000-0005-0000-0000-00007A3A0000}"/>
    <cellStyle name="Normal 2 2 2 2 4 22 4 3" xfId="15013" xr:uid="{00000000-0005-0000-0000-00007B3A0000}"/>
    <cellStyle name="Normal 2 2 2 2 4 22 4 4" xfId="15014" xr:uid="{00000000-0005-0000-0000-00007C3A0000}"/>
    <cellStyle name="Normal 2 2 2 2 4 22 4 5" xfId="15015" xr:uid="{00000000-0005-0000-0000-00007D3A0000}"/>
    <cellStyle name="Normal 2 2 2 2 4 22 4 6" xfId="15016" xr:uid="{00000000-0005-0000-0000-00007E3A0000}"/>
    <cellStyle name="Normal 2 2 2 2 4 22 4 7" xfId="15017" xr:uid="{00000000-0005-0000-0000-00007F3A0000}"/>
    <cellStyle name="Normal 2 2 2 2 4 22 4 8" xfId="15018" xr:uid="{00000000-0005-0000-0000-0000803A0000}"/>
    <cellStyle name="Normal 2 2 2 2 4 22 4 9" xfId="15019" xr:uid="{00000000-0005-0000-0000-0000813A0000}"/>
    <cellStyle name="Normal 2 2 2 2 4 22 5" xfId="15020" xr:uid="{00000000-0005-0000-0000-0000823A0000}"/>
    <cellStyle name="Normal 2 2 2 2 4 22 5 10" xfId="15021" xr:uid="{00000000-0005-0000-0000-0000833A0000}"/>
    <cellStyle name="Normal 2 2 2 2 4 22 5 2" xfId="15022" xr:uid="{00000000-0005-0000-0000-0000843A0000}"/>
    <cellStyle name="Normal 2 2 2 2 4 22 5 3" xfId="15023" xr:uid="{00000000-0005-0000-0000-0000853A0000}"/>
    <cellStyle name="Normal 2 2 2 2 4 22 5 4" xfId="15024" xr:uid="{00000000-0005-0000-0000-0000863A0000}"/>
    <cellStyle name="Normal 2 2 2 2 4 22 5 5" xfId="15025" xr:uid="{00000000-0005-0000-0000-0000873A0000}"/>
    <cellStyle name="Normal 2 2 2 2 4 22 5 6" xfId="15026" xr:uid="{00000000-0005-0000-0000-0000883A0000}"/>
    <cellStyle name="Normal 2 2 2 2 4 22 5 7" xfId="15027" xr:uid="{00000000-0005-0000-0000-0000893A0000}"/>
    <cellStyle name="Normal 2 2 2 2 4 22 5 8" xfId="15028" xr:uid="{00000000-0005-0000-0000-00008A3A0000}"/>
    <cellStyle name="Normal 2 2 2 2 4 22 5 9" xfId="15029" xr:uid="{00000000-0005-0000-0000-00008B3A0000}"/>
    <cellStyle name="Normal 2 2 2 2 4 22 6" xfId="15030" xr:uid="{00000000-0005-0000-0000-00008C3A0000}"/>
    <cellStyle name="Normal 2 2 2 2 4 22 7" xfId="15031" xr:uid="{00000000-0005-0000-0000-00008D3A0000}"/>
    <cellStyle name="Normal 2 2 2 2 4 22 8" xfId="15032" xr:uid="{00000000-0005-0000-0000-00008E3A0000}"/>
    <cellStyle name="Normal 2 2 2 2 4 22 9" xfId="15033" xr:uid="{00000000-0005-0000-0000-00008F3A0000}"/>
    <cellStyle name="Normal 2 2 2 2 4 23" xfId="15034" xr:uid="{00000000-0005-0000-0000-0000903A0000}"/>
    <cellStyle name="Normal 2 2 2 2 4 23 10" xfId="15035" xr:uid="{00000000-0005-0000-0000-0000913A0000}"/>
    <cellStyle name="Normal 2 2 2 2 4 23 11" xfId="15036" xr:uid="{00000000-0005-0000-0000-0000923A0000}"/>
    <cellStyle name="Normal 2 2 2 2 4 23 12" xfId="15037" xr:uid="{00000000-0005-0000-0000-0000933A0000}"/>
    <cellStyle name="Normal 2 2 2 2 4 23 13" xfId="15038" xr:uid="{00000000-0005-0000-0000-0000943A0000}"/>
    <cellStyle name="Normal 2 2 2 2 4 23 14" xfId="15039" xr:uid="{00000000-0005-0000-0000-0000953A0000}"/>
    <cellStyle name="Normal 2 2 2 2 4 23 2" xfId="15040" xr:uid="{00000000-0005-0000-0000-0000963A0000}"/>
    <cellStyle name="Normal 2 2 2 2 4 23 2 10" xfId="15041" xr:uid="{00000000-0005-0000-0000-0000973A0000}"/>
    <cellStyle name="Normal 2 2 2 2 4 23 2 2" xfId="15042" xr:uid="{00000000-0005-0000-0000-0000983A0000}"/>
    <cellStyle name="Normal 2 2 2 2 4 23 2 3" xfId="15043" xr:uid="{00000000-0005-0000-0000-0000993A0000}"/>
    <cellStyle name="Normal 2 2 2 2 4 23 2 4" xfId="15044" xr:uid="{00000000-0005-0000-0000-00009A3A0000}"/>
    <cellStyle name="Normal 2 2 2 2 4 23 2 5" xfId="15045" xr:uid="{00000000-0005-0000-0000-00009B3A0000}"/>
    <cellStyle name="Normal 2 2 2 2 4 23 2 6" xfId="15046" xr:uid="{00000000-0005-0000-0000-00009C3A0000}"/>
    <cellStyle name="Normal 2 2 2 2 4 23 2 7" xfId="15047" xr:uid="{00000000-0005-0000-0000-00009D3A0000}"/>
    <cellStyle name="Normal 2 2 2 2 4 23 2 8" xfId="15048" xr:uid="{00000000-0005-0000-0000-00009E3A0000}"/>
    <cellStyle name="Normal 2 2 2 2 4 23 2 9" xfId="15049" xr:uid="{00000000-0005-0000-0000-00009F3A0000}"/>
    <cellStyle name="Normal 2 2 2 2 4 23 3" xfId="15050" xr:uid="{00000000-0005-0000-0000-0000A03A0000}"/>
    <cellStyle name="Normal 2 2 2 2 4 23 3 10" xfId="15051" xr:uid="{00000000-0005-0000-0000-0000A13A0000}"/>
    <cellStyle name="Normal 2 2 2 2 4 23 3 2" xfId="15052" xr:uid="{00000000-0005-0000-0000-0000A23A0000}"/>
    <cellStyle name="Normal 2 2 2 2 4 23 3 3" xfId="15053" xr:uid="{00000000-0005-0000-0000-0000A33A0000}"/>
    <cellStyle name="Normal 2 2 2 2 4 23 3 4" xfId="15054" xr:uid="{00000000-0005-0000-0000-0000A43A0000}"/>
    <cellStyle name="Normal 2 2 2 2 4 23 3 5" xfId="15055" xr:uid="{00000000-0005-0000-0000-0000A53A0000}"/>
    <cellStyle name="Normal 2 2 2 2 4 23 3 6" xfId="15056" xr:uid="{00000000-0005-0000-0000-0000A63A0000}"/>
    <cellStyle name="Normal 2 2 2 2 4 23 3 7" xfId="15057" xr:uid="{00000000-0005-0000-0000-0000A73A0000}"/>
    <cellStyle name="Normal 2 2 2 2 4 23 3 8" xfId="15058" xr:uid="{00000000-0005-0000-0000-0000A83A0000}"/>
    <cellStyle name="Normal 2 2 2 2 4 23 3 9" xfId="15059" xr:uid="{00000000-0005-0000-0000-0000A93A0000}"/>
    <cellStyle name="Normal 2 2 2 2 4 23 4" xfId="15060" xr:uid="{00000000-0005-0000-0000-0000AA3A0000}"/>
    <cellStyle name="Normal 2 2 2 2 4 23 4 10" xfId="15061" xr:uid="{00000000-0005-0000-0000-0000AB3A0000}"/>
    <cellStyle name="Normal 2 2 2 2 4 23 4 2" xfId="15062" xr:uid="{00000000-0005-0000-0000-0000AC3A0000}"/>
    <cellStyle name="Normal 2 2 2 2 4 23 4 3" xfId="15063" xr:uid="{00000000-0005-0000-0000-0000AD3A0000}"/>
    <cellStyle name="Normal 2 2 2 2 4 23 4 4" xfId="15064" xr:uid="{00000000-0005-0000-0000-0000AE3A0000}"/>
    <cellStyle name="Normal 2 2 2 2 4 23 4 5" xfId="15065" xr:uid="{00000000-0005-0000-0000-0000AF3A0000}"/>
    <cellStyle name="Normal 2 2 2 2 4 23 4 6" xfId="15066" xr:uid="{00000000-0005-0000-0000-0000B03A0000}"/>
    <cellStyle name="Normal 2 2 2 2 4 23 4 7" xfId="15067" xr:uid="{00000000-0005-0000-0000-0000B13A0000}"/>
    <cellStyle name="Normal 2 2 2 2 4 23 4 8" xfId="15068" xr:uid="{00000000-0005-0000-0000-0000B23A0000}"/>
    <cellStyle name="Normal 2 2 2 2 4 23 4 9" xfId="15069" xr:uid="{00000000-0005-0000-0000-0000B33A0000}"/>
    <cellStyle name="Normal 2 2 2 2 4 23 5" xfId="15070" xr:uid="{00000000-0005-0000-0000-0000B43A0000}"/>
    <cellStyle name="Normal 2 2 2 2 4 23 5 10" xfId="15071" xr:uid="{00000000-0005-0000-0000-0000B53A0000}"/>
    <cellStyle name="Normal 2 2 2 2 4 23 5 2" xfId="15072" xr:uid="{00000000-0005-0000-0000-0000B63A0000}"/>
    <cellStyle name="Normal 2 2 2 2 4 23 5 3" xfId="15073" xr:uid="{00000000-0005-0000-0000-0000B73A0000}"/>
    <cellStyle name="Normal 2 2 2 2 4 23 5 4" xfId="15074" xr:uid="{00000000-0005-0000-0000-0000B83A0000}"/>
    <cellStyle name="Normal 2 2 2 2 4 23 5 5" xfId="15075" xr:uid="{00000000-0005-0000-0000-0000B93A0000}"/>
    <cellStyle name="Normal 2 2 2 2 4 23 5 6" xfId="15076" xr:uid="{00000000-0005-0000-0000-0000BA3A0000}"/>
    <cellStyle name="Normal 2 2 2 2 4 23 5 7" xfId="15077" xr:uid="{00000000-0005-0000-0000-0000BB3A0000}"/>
    <cellStyle name="Normal 2 2 2 2 4 23 5 8" xfId="15078" xr:uid="{00000000-0005-0000-0000-0000BC3A0000}"/>
    <cellStyle name="Normal 2 2 2 2 4 23 5 9" xfId="15079" xr:uid="{00000000-0005-0000-0000-0000BD3A0000}"/>
    <cellStyle name="Normal 2 2 2 2 4 23 6" xfId="15080" xr:uid="{00000000-0005-0000-0000-0000BE3A0000}"/>
    <cellStyle name="Normal 2 2 2 2 4 23 7" xfId="15081" xr:uid="{00000000-0005-0000-0000-0000BF3A0000}"/>
    <cellStyle name="Normal 2 2 2 2 4 23 8" xfId="15082" xr:uid="{00000000-0005-0000-0000-0000C03A0000}"/>
    <cellStyle name="Normal 2 2 2 2 4 23 9" xfId="15083" xr:uid="{00000000-0005-0000-0000-0000C13A0000}"/>
    <cellStyle name="Normal 2 2 2 2 4 24" xfId="15084" xr:uid="{00000000-0005-0000-0000-0000C23A0000}"/>
    <cellStyle name="Normal 2 2 2 2 4 24 10" xfId="15085" xr:uid="{00000000-0005-0000-0000-0000C33A0000}"/>
    <cellStyle name="Normal 2 2 2 2 4 24 11" xfId="15086" xr:uid="{00000000-0005-0000-0000-0000C43A0000}"/>
    <cellStyle name="Normal 2 2 2 2 4 24 12" xfId="15087" xr:uid="{00000000-0005-0000-0000-0000C53A0000}"/>
    <cellStyle name="Normal 2 2 2 2 4 24 13" xfId="15088" xr:uid="{00000000-0005-0000-0000-0000C63A0000}"/>
    <cellStyle name="Normal 2 2 2 2 4 24 14" xfId="15089" xr:uid="{00000000-0005-0000-0000-0000C73A0000}"/>
    <cellStyle name="Normal 2 2 2 2 4 24 2" xfId="15090" xr:uid="{00000000-0005-0000-0000-0000C83A0000}"/>
    <cellStyle name="Normal 2 2 2 2 4 24 2 10" xfId="15091" xr:uid="{00000000-0005-0000-0000-0000C93A0000}"/>
    <cellStyle name="Normal 2 2 2 2 4 24 2 2" xfId="15092" xr:uid="{00000000-0005-0000-0000-0000CA3A0000}"/>
    <cellStyle name="Normal 2 2 2 2 4 24 2 3" xfId="15093" xr:uid="{00000000-0005-0000-0000-0000CB3A0000}"/>
    <cellStyle name="Normal 2 2 2 2 4 24 2 4" xfId="15094" xr:uid="{00000000-0005-0000-0000-0000CC3A0000}"/>
    <cellStyle name="Normal 2 2 2 2 4 24 2 5" xfId="15095" xr:uid="{00000000-0005-0000-0000-0000CD3A0000}"/>
    <cellStyle name="Normal 2 2 2 2 4 24 2 6" xfId="15096" xr:uid="{00000000-0005-0000-0000-0000CE3A0000}"/>
    <cellStyle name="Normal 2 2 2 2 4 24 2 7" xfId="15097" xr:uid="{00000000-0005-0000-0000-0000CF3A0000}"/>
    <cellStyle name="Normal 2 2 2 2 4 24 2 8" xfId="15098" xr:uid="{00000000-0005-0000-0000-0000D03A0000}"/>
    <cellStyle name="Normal 2 2 2 2 4 24 2 9" xfId="15099" xr:uid="{00000000-0005-0000-0000-0000D13A0000}"/>
    <cellStyle name="Normal 2 2 2 2 4 24 3" xfId="15100" xr:uid="{00000000-0005-0000-0000-0000D23A0000}"/>
    <cellStyle name="Normal 2 2 2 2 4 24 3 10" xfId="15101" xr:uid="{00000000-0005-0000-0000-0000D33A0000}"/>
    <cellStyle name="Normal 2 2 2 2 4 24 3 2" xfId="15102" xr:uid="{00000000-0005-0000-0000-0000D43A0000}"/>
    <cellStyle name="Normal 2 2 2 2 4 24 3 3" xfId="15103" xr:uid="{00000000-0005-0000-0000-0000D53A0000}"/>
    <cellStyle name="Normal 2 2 2 2 4 24 3 4" xfId="15104" xr:uid="{00000000-0005-0000-0000-0000D63A0000}"/>
    <cellStyle name="Normal 2 2 2 2 4 24 3 5" xfId="15105" xr:uid="{00000000-0005-0000-0000-0000D73A0000}"/>
    <cellStyle name="Normal 2 2 2 2 4 24 3 6" xfId="15106" xr:uid="{00000000-0005-0000-0000-0000D83A0000}"/>
    <cellStyle name="Normal 2 2 2 2 4 24 3 7" xfId="15107" xr:uid="{00000000-0005-0000-0000-0000D93A0000}"/>
    <cellStyle name="Normal 2 2 2 2 4 24 3 8" xfId="15108" xr:uid="{00000000-0005-0000-0000-0000DA3A0000}"/>
    <cellStyle name="Normal 2 2 2 2 4 24 3 9" xfId="15109" xr:uid="{00000000-0005-0000-0000-0000DB3A0000}"/>
    <cellStyle name="Normal 2 2 2 2 4 24 4" xfId="15110" xr:uid="{00000000-0005-0000-0000-0000DC3A0000}"/>
    <cellStyle name="Normal 2 2 2 2 4 24 4 10" xfId="15111" xr:uid="{00000000-0005-0000-0000-0000DD3A0000}"/>
    <cellStyle name="Normal 2 2 2 2 4 24 4 2" xfId="15112" xr:uid="{00000000-0005-0000-0000-0000DE3A0000}"/>
    <cellStyle name="Normal 2 2 2 2 4 24 4 3" xfId="15113" xr:uid="{00000000-0005-0000-0000-0000DF3A0000}"/>
    <cellStyle name="Normal 2 2 2 2 4 24 4 4" xfId="15114" xr:uid="{00000000-0005-0000-0000-0000E03A0000}"/>
    <cellStyle name="Normal 2 2 2 2 4 24 4 5" xfId="15115" xr:uid="{00000000-0005-0000-0000-0000E13A0000}"/>
    <cellStyle name="Normal 2 2 2 2 4 24 4 6" xfId="15116" xr:uid="{00000000-0005-0000-0000-0000E23A0000}"/>
    <cellStyle name="Normal 2 2 2 2 4 24 4 7" xfId="15117" xr:uid="{00000000-0005-0000-0000-0000E33A0000}"/>
    <cellStyle name="Normal 2 2 2 2 4 24 4 8" xfId="15118" xr:uid="{00000000-0005-0000-0000-0000E43A0000}"/>
    <cellStyle name="Normal 2 2 2 2 4 24 4 9" xfId="15119" xr:uid="{00000000-0005-0000-0000-0000E53A0000}"/>
    <cellStyle name="Normal 2 2 2 2 4 24 5" xfId="15120" xr:uid="{00000000-0005-0000-0000-0000E63A0000}"/>
    <cellStyle name="Normal 2 2 2 2 4 24 5 10" xfId="15121" xr:uid="{00000000-0005-0000-0000-0000E73A0000}"/>
    <cellStyle name="Normal 2 2 2 2 4 24 5 2" xfId="15122" xr:uid="{00000000-0005-0000-0000-0000E83A0000}"/>
    <cellStyle name="Normal 2 2 2 2 4 24 5 3" xfId="15123" xr:uid="{00000000-0005-0000-0000-0000E93A0000}"/>
    <cellStyle name="Normal 2 2 2 2 4 24 5 4" xfId="15124" xr:uid="{00000000-0005-0000-0000-0000EA3A0000}"/>
    <cellStyle name="Normal 2 2 2 2 4 24 5 5" xfId="15125" xr:uid="{00000000-0005-0000-0000-0000EB3A0000}"/>
    <cellStyle name="Normal 2 2 2 2 4 24 5 6" xfId="15126" xr:uid="{00000000-0005-0000-0000-0000EC3A0000}"/>
    <cellStyle name="Normal 2 2 2 2 4 24 5 7" xfId="15127" xr:uid="{00000000-0005-0000-0000-0000ED3A0000}"/>
    <cellStyle name="Normal 2 2 2 2 4 24 5 8" xfId="15128" xr:uid="{00000000-0005-0000-0000-0000EE3A0000}"/>
    <cellStyle name="Normal 2 2 2 2 4 24 5 9" xfId="15129" xr:uid="{00000000-0005-0000-0000-0000EF3A0000}"/>
    <cellStyle name="Normal 2 2 2 2 4 24 6" xfId="15130" xr:uid="{00000000-0005-0000-0000-0000F03A0000}"/>
    <cellStyle name="Normal 2 2 2 2 4 24 7" xfId="15131" xr:uid="{00000000-0005-0000-0000-0000F13A0000}"/>
    <cellStyle name="Normal 2 2 2 2 4 24 8" xfId="15132" xr:uid="{00000000-0005-0000-0000-0000F23A0000}"/>
    <cellStyle name="Normal 2 2 2 2 4 24 9" xfId="15133" xr:uid="{00000000-0005-0000-0000-0000F33A0000}"/>
    <cellStyle name="Normal 2 2 2 2 4 25" xfId="15134" xr:uid="{00000000-0005-0000-0000-0000F43A0000}"/>
    <cellStyle name="Normal 2 2 2 2 4 25 10" xfId="15135" xr:uid="{00000000-0005-0000-0000-0000F53A0000}"/>
    <cellStyle name="Normal 2 2 2 2 4 25 11" xfId="15136" xr:uid="{00000000-0005-0000-0000-0000F63A0000}"/>
    <cellStyle name="Normal 2 2 2 2 4 25 12" xfId="15137" xr:uid="{00000000-0005-0000-0000-0000F73A0000}"/>
    <cellStyle name="Normal 2 2 2 2 4 25 13" xfId="15138" xr:uid="{00000000-0005-0000-0000-0000F83A0000}"/>
    <cellStyle name="Normal 2 2 2 2 4 25 14" xfId="15139" xr:uid="{00000000-0005-0000-0000-0000F93A0000}"/>
    <cellStyle name="Normal 2 2 2 2 4 25 2" xfId="15140" xr:uid="{00000000-0005-0000-0000-0000FA3A0000}"/>
    <cellStyle name="Normal 2 2 2 2 4 25 2 10" xfId="15141" xr:uid="{00000000-0005-0000-0000-0000FB3A0000}"/>
    <cellStyle name="Normal 2 2 2 2 4 25 2 2" xfId="15142" xr:uid="{00000000-0005-0000-0000-0000FC3A0000}"/>
    <cellStyle name="Normal 2 2 2 2 4 25 2 3" xfId="15143" xr:uid="{00000000-0005-0000-0000-0000FD3A0000}"/>
    <cellStyle name="Normal 2 2 2 2 4 25 2 4" xfId="15144" xr:uid="{00000000-0005-0000-0000-0000FE3A0000}"/>
    <cellStyle name="Normal 2 2 2 2 4 25 2 5" xfId="15145" xr:uid="{00000000-0005-0000-0000-0000FF3A0000}"/>
    <cellStyle name="Normal 2 2 2 2 4 25 2 6" xfId="15146" xr:uid="{00000000-0005-0000-0000-0000003B0000}"/>
    <cellStyle name="Normal 2 2 2 2 4 25 2 7" xfId="15147" xr:uid="{00000000-0005-0000-0000-0000013B0000}"/>
    <cellStyle name="Normal 2 2 2 2 4 25 2 8" xfId="15148" xr:uid="{00000000-0005-0000-0000-0000023B0000}"/>
    <cellStyle name="Normal 2 2 2 2 4 25 2 9" xfId="15149" xr:uid="{00000000-0005-0000-0000-0000033B0000}"/>
    <cellStyle name="Normal 2 2 2 2 4 25 3" xfId="15150" xr:uid="{00000000-0005-0000-0000-0000043B0000}"/>
    <cellStyle name="Normal 2 2 2 2 4 25 3 10" xfId="15151" xr:uid="{00000000-0005-0000-0000-0000053B0000}"/>
    <cellStyle name="Normal 2 2 2 2 4 25 3 2" xfId="15152" xr:uid="{00000000-0005-0000-0000-0000063B0000}"/>
    <cellStyle name="Normal 2 2 2 2 4 25 3 3" xfId="15153" xr:uid="{00000000-0005-0000-0000-0000073B0000}"/>
    <cellStyle name="Normal 2 2 2 2 4 25 3 4" xfId="15154" xr:uid="{00000000-0005-0000-0000-0000083B0000}"/>
    <cellStyle name="Normal 2 2 2 2 4 25 3 5" xfId="15155" xr:uid="{00000000-0005-0000-0000-0000093B0000}"/>
    <cellStyle name="Normal 2 2 2 2 4 25 3 6" xfId="15156" xr:uid="{00000000-0005-0000-0000-00000A3B0000}"/>
    <cellStyle name="Normal 2 2 2 2 4 25 3 7" xfId="15157" xr:uid="{00000000-0005-0000-0000-00000B3B0000}"/>
    <cellStyle name="Normal 2 2 2 2 4 25 3 8" xfId="15158" xr:uid="{00000000-0005-0000-0000-00000C3B0000}"/>
    <cellStyle name="Normal 2 2 2 2 4 25 3 9" xfId="15159" xr:uid="{00000000-0005-0000-0000-00000D3B0000}"/>
    <cellStyle name="Normal 2 2 2 2 4 25 4" xfId="15160" xr:uid="{00000000-0005-0000-0000-00000E3B0000}"/>
    <cellStyle name="Normal 2 2 2 2 4 25 4 10" xfId="15161" xr:uid="{00000000-0005-0000-0000-00000F3B0000}"/>
    <cellStyle name="Normal 2 2 2 2 4 25 4 2" xfId="15162" xr:uid="{00000000-0005-0000-0000-0000103B0000}"/>
    <cellStyle name="Normal 2 2 2 2 4 25 4 3" xfId="15163" xr:uid="{00000000-0005-0000-0000-0000113B0000}"/>
    <cellStyle name="Normal 2 2 2 2 4 25 4 4" xfId="15164" xr:uid="{00000000-0005-0000-0000-0000123B0000}"/>
    <cellStyle name="Normal 2 2 2 2 4 25 4 5" xfId="15165" xr:uid="{00000000-0005-0000-0000-0000133B0000}"/>
    <cellStyle name="Normal 2 2 2 2 4 25 4 6" xfId="15166" xr:uid="{00000000-0005-0000-0000-0000143B0000}"/>
    <cellStyle name="Normal 2 2 2 2 4 25 4 7" xfId="15167" xr:uid="{00000000-0005-0000-0000-0000153B0000}"/>
    <cellStyle name="Normal 2 2 2 2 4 25 4 8" xfId="15168" xr:uid="{00000000-0005-0000-0000-0000163B0000}"/>
    <cellStyle name="Normal 2 2 2 2 4 25 4 9" xfId="15169" xr:uid="{00000000-0005-0000-0000-0000173B0000}"/>
    <cellStyle name="Normal 2 2 2 2 4 25 5" xfId="15170" xr:uid="{00000000-0005-0000-0000-0000183B0000}"/>
    <cellStyle name="Normal 2 2 2 2 4 25 5 10" xfId="15171" xr:uid="{00000000-0005-0000-0000-0000193B0000}"/>
    <cellStyle name="Normal 2 2 2 2 4 25 5 2" xfId="15172" xr:uid="{00000000-0005-0000-0000-00001A3B0000}"/>
    <cellStyle name="Normal 2 2 2 2 4 25 5 3" xfId="15173" xr:uid="{00000000-0005-0000-0000-00001B3B0000}"/>
    <cellStyle name="Normal 2 2 2 2 4 25 5 4" xfId="15174" xr:uid="{00000000-0005-0000-0000-00001C3B0000}"/>
    <cellStyle name="Normal 2 2 2 2 4 25 5 5" xfId="15175" xr:uid="{00000000-0005-0000-0000-00001D3B0000}"/>
    <cellStyle name="Normal 2 2 2 2 4 25 5 6" xfId="15176" xr:uid="{00000000-0005-0000-0000-00001E3B0000}"/>
    <cellStyle name="Normal 2 2 2 2 4 25 5 7" xfId="15177" xr:uid="{00000000-0005-0000-0000-00001F3B0000}"/>
    <cellStyle name="Normal 2 2 2 2 4 25 5 8" xfId="15178" xr:uid="{00000000-0005-0000-0000-0000203B0000}"/>
    <cellStyle name="Normal 2 2 2 2 4 25 5 9" xfId="15179" xr:uid="{00000000-0005-0000-0000-0000213B0000}"/>
    <cellStyle name="Normal 2 2 2 2 4 25 6" xfId="15180" xr:uid="{00000000-0005-0000-0000-0000223B0000}"/>
    <cellStyle name="Normal 2 2 2 2 4 25 7" xfId="15181" xr:uid="{00000000-0005-0000-0000-0000233B0000}"/>
    <cellStyle name="Normal 2 2 2 2 4 25 8" xfId="15182" xr:uid="{00000000-0005-0000-0000-0000243B0000}"/>
    <cellStyle name="Normal 2 2 2 2 4 25 9" xfId="15183" xr:uid="{00000000-0005-0000-0000-0000253B0000}"/>
    <cellStyle name="Normal 2 2 2 2 4 26" xfId="15184" xr:uid="{00000000-0005-0000-0000-0000263B0000}"/>
    <cellStyle name="Normal 2 2 2 2 4 26 10" xfId="15185" xr:uid="{00000000-0005-0000-0000-0000273B0000}"/>
    <cellStyle name="Normal 2 2 2 2 4 26 11" xfId="15186" xr:uid="{00000000-0005-0000-0000-0000283B0000}"/>
    <cellStyle name="Normal 2 2 2 2 4 26 12" xfId="15187" xr:uid="{00000000-0005-0000-0000-0000293B0000}"/>
    <cellStyle name="Normal 2 2 2 2 4 26 13" xfId="15188" xr:uid="{00000000-0005-0000-0000-00002A3B0000}"/>
    <cellStyle name="Normal 2 2 2 2 4 26 14" xfId="15189" xr:uid="{00000000-0005-0000-0000-00002B3B0000}"/>
    <cellStyle name="Normal 2 2 2 2 4 26 2" xfId="15190" xr:uid="{00000000-0005-0000-0000-00002C3B0000}"/>
    <cellStyle name="Normal 2 2 2 2 4 26 2 10" xfId="15191" xr:uid="{00000000-0005-0000-0000-00002D3B0000}"/>
    <cellStyle name="Normal 2 2 2 2 4 26 2 2" xfId="15192" xr:uid="{00000000-0005-0000-0000-00002E3B0000}"/>
    <cellStyle name="Normal 2 2 2 2 4 26 2 3" xfId="15193" xr:uid="{00000000-0005-0000-0000-00002F3B0000}"/>
    <cellStyle name="Normal 2 2 2 2 4 26 2 4" xfId="15194" xr:uid="{00000000-0005-0000-0000-0000303B0000}"/>
    <cellStyle name="Normal 2 2 2 2 4 26 2 5" xfId="15195" xr:uid="{00000000-0005-0000-0000-0000313B0000}"/>
    <cellStyle name="Normal 2 2 2 2 4 26 2 6" xfId="15196" xr:uid="{00000000-0005-0000-0000-0000323B0000}"/>
    <cellStyle name="Normal 2 2 2 2 4 26 2 7" xfId="15197" xr:uid="{00000000-0005-0000-0000-0000333B0000}"/>
    <cellStyle name="Normal 2 2 2 2 4 26 2 8" xfId="15198" xr:uid="{00000000-0005-0000-0000-0000343B0000}"/>
    <cellStyle name="Normal 2 2 2 2 4 26 2 9" xfId="15199" xr:uid="{00000000-0005-0000-0000-0000353B0000}"/>
    <cellStyle name="Normal 2 2 2 2 4 26 3" xfId="15200" xr:uid="{00000000-0005-0000-0000-0000363B0000}"/>
    <cellStyle name="Normal 2 2 2 2 4 26 3 10" xfId="15201" xr:uid="{00000000-0005-0000-0000-0000373B0000}"/>
    <cellStyle name="Normal 2 2 2 2 4 26 3 2" xfId="15202" xr:uid="{00000000-0005-0000-0000-0000383B0000}"/>
    <cellStyle name="Normal 2 2 2 2 4 26 3 3" xfId="15203" xr:uid="{00000000-0005-0000-0000-0000393B0000}"/>
    <cellStyle name="Normal 2 2 2 2 4 26 3 4" xfId="15204" xr:uid="{00000000-0005-0000-0000-00003A3B0000}"/>
    <cellStyle name="Normal 2 2 2 2 4 26 3 5" xfId="15205" xr:uid="{00000000-0005-0000-0000-00003B3B0000}"/>
    <cellStyle name="Normal 2 2 2 2 4 26 3 6" xfId="15206" xr:uid="{00000000-0005-0000-0000-00003C3B0000}"/>
    <cellStyle name="Normal 2 2 2 2 4 26 3 7" xfId="15207" xr:uid="{00000000-0005-0000-0000-00003D3B0000}"/>
    <cellStyle name="Normal 2 2 2 2 4 26 3 8" xfId="15208" xr:uid="{00000000-0005-0000-0000-00003E3B0000}"/>
    <cellStyle name="Normal 2 2 2 2 4 26 3 9" xfId="15209" xr:uid="{00000000-0005-0000-0000-00003F3B0000}"/>
    <cellStyle name="Normal 2 2 2 2 4 26 4" xfId="15210" xr:uid="{00000000-0005-0000-0000-0000403B0000}"/>
    <cellStyle name="Normal 2 2 2 2 4 26 4 10" xfId="15211" xr:uid="{00000000-0005-0000-0000-0000413B0000}"/>
    <cellStyle name="Normal 2 2 2 2 4 26 4 2" xfId="15212" xr:uid="{00000000-0005-0000-0000-0000423B0000}"/>
    <cellStyle name="Normal 2 2 2 2 4 26 4 3" xfId="15213" xr:uid="{00000000-0005-0000-0000-0000433B0000}"/>
    <cellStyle name="Normal 2 2 2 2 4 26 4 4" xfId="15214" xr:uid="{00000000-0005-0000-0000-0000443B0000}"/>
    <cellStyle name="Normal 2 2 2 2 4 26 4 5" xfId="15215" xr:uid="{00000000-0005-0000-0000-0000453B0000}"/>
    <cellStyle name="Normal 2 2 2 2 4 26 4 6" xfId="15216" xr:uid="{00000000-0005-0000-0000-0000463B0000}"/>
    <cellStyle name="Normal 2 2 2 2 4 26 4 7" xfId="15217" xr:uid="{00000000-0005-0000-0000-0000473B0000}"/>
    <cellStyle name="Normal 2 2 2 2 4 26 4 8" xfId="15218" xr:uid="{00000000-0005-0000-0000-0000483B0000}"/>
    <cellStyle name="Normal 2 2 2 2 4 26 4 9" xfId="15219" xr:uid="{00000000-0005-0000-0000-0000493B0000}"/>
    <cellStyle name="Normal 2 2 2 2 4 26 5" xfId="15220" xr:uid="{00000000-0005-0000-0000-00004A3B0000}"/>
    <cellStyle name="Normal 2 2 2 2 4 26 5 10" xfId="15221" xr:uid="{00000000-0005-0000-0000-00004B3B0000}"/>
    <cellStyle name="Normal 2 2 2 2 4 26 5 2" xfId="15222" xr:uid="{00000000-0005-0000-0000-00004C3B0000}"/>
    <cellStyle name="Normal 2 2 2 2 4 26 5 3" xfId="15223" xr:uid="{00000000-0005-0000-0000-00004D3B0000}"/>
    <cellStyle name="Normal 2 2 2 2 4 26 5 4" xfId="15224" xr:uid="{00000000-0005-0000-0000-00004E3B0000}"/>
    <cellStyle name="Normal 2 2 2 2 4 26 5 5" xfId="15225" xr:uid="{00000000-0005-0000-0000-00004F3B0000}"/>
    <cellStyle name="Normal 2 2 2 2 4 26 5 6" xfId="15226" xr:uid="{00000000-0005-0000-0000-0000503B0000}"/>
    <cellStyle name="Normal 2 2 2 2 4 26 5 7" xfId="15227" xr:uid="{00000000-0005-0000-0000-0000513B0000}"/>
    <cellStyle name="Normal 2 2 2 2 4 26 5 8" xfId="15228" xr:uid="{00000000-0005-0000-0000-0000523B0000}"/>
    <cellStyle name="Normal 2 2 2 2 4 26 5 9" xfId="15229" xr:uid="{00000000-0005-0000-0000-0000533B0000}"/>
    <cellStyle name="Normal 2 2 2 2 4 26 6" xfId="15230" xr:uid="{00000000-0005-0000-0000-0000543B0000}"/>
    <cellStyle name="Normal 2 2 2 2 4 26 7" xfId="15231" xr:uid="{00000000-0005-0000-0000-0000553B0000}"/>
    <cellStyle name="Normal 2 2 2 2 4 26 8" xfId="15232" xr:uid="{00000000-0005-0000-0000-0000563B0000}"/>
    <cellStyle name="Normal 2 2 2 2 4 26 9" xfId="15233" xr:uid="{00000000-0005-0000-0000-0000573B0000}"/>
    <cellStyle name="Normal 2 2 2 2 4 27" xfId="15234" xr:uid="{00000000-0005-0000-0000-0000583B0000}"/>
    <cellStyle name="Normal 2 2 2 2 4 27 10" xfId="15235" xr:uid="{00000000-0005-0000-0000-0000593B0000}"/>
    <cellStyle name="Normal 2 2 2 2 4 27 11" xfId="15236" xr:uid="{00000000-0005-0000-0000-00005A3B0000}"/>
    <cellStyle name="Normal 2 2 2 2 4 27 12" xfId="15237" xr:uid="{00000000-0005-0000-0000-00005B3B0000}"/>
    <cellStyle name="Normal 2 2 2 2 4 27 13" xfId="15238" xr:uid="{00000000-0005-0000-0000-00005C3B0000}"/>
    <cellStyle name="Normal 2 2 2 2 4 27 14" xfId="15239" xr:uid="{00000000-0005-0000-0000-00005D3B0000}"/>
    <cellStyle name="Normal 2 2 2 2 4 27 2" xfId="15240" xr:uid="{00000000-0005-0000-0000-00005E3B0000}"/>
    <cellStyle name="Normal 2 2 2 2 4 27 2 10" xfId="15241" xr:uid="{00000000-0005-0000-0000-00005F3B0000}"/>
    <cellStyle name="Normal 2 2 2 2 4 27 2 2" xfId="15242" xr:uid="{00000000-0005-0000-0000-0000603B0000}"/>
    <cellStyle name="Normal 2 2 2 2 4 27 2 3" xfId="15243" xr:uid="{00000000-0005-0000-0000-0000613B0000}"/>
    <cellStyle name="Normal 2 2 2 2 4 27 2 4" xfId="15244" xr:uid="{00000000-0005-0000-0000-0000623B0000}"/>
    <cellStyle name="Normal 2 2 2 2 4 27 2 5" xfId="15245" xr:uid="{00000000-0005-0000-0000-0000633B0000}"/>
    <cellStyle name="Normal 2 2 2 2 4 27 2 6" xfId="15246" xr:uid="{00000000-0005-0000-0000-0000643B0000}"/>
    <cellStyle name="Normal 2 2 2 2 4 27 2 7" xfId="15247" xr:uid="{00000000-0005-0000-0000-0000653B0000}"/>
    <cellStyle name="Normal 2 2 2 2 4 27 2 8" xfId="15248" xr:uid="{00000000-0005-0000-0000-0000663B0000}"/>
    <cellStyle name="Normal 2 2 2 2 4 27 2 9" xfId="15249" xr:uid="{00000000-0005-0000-0000-0000673B0000}"/>
    <cellStyle name="Normal 2 2 2 2 4 27 3" xfId="15250" xr:uid="{00000000-0005-0000-0000-0000683B0000}"/>
    <cellStyle name="Normal 2 2 2 2 4 27 3 10" xfId="15251" xr:uid="{00000000-0005-0000-0000-0000693B0000}"/>
    <cellStyle name="Normal 2 2 2 2 4 27 3 2" xfId="15252" xr:uid="{00000000-0005-0000-0000-00006A3B0000}"/>
    <cellStyle name="Normal 2 2 2 2 4 27 3 3" xfId="15253" xr:uid="{00000000-0005-0000-0000-00006B3B0000}"/>
    <cellStyle name="Normal 2 2 2 2 4 27 3 4" xfId="15254" xr:uid="{00000000-0005-0000-0000-00006C3B0000}"/>
    <cellStyle name="Normal 2 2 2 2 4 27 3 5" xfId="15255" xr:uid="{00000000-0005-0000-0000-00006D3B0000}"/>
    <cellStyle name="Normal 2 2 2 2 4 27 3 6" xfId="15256" xr:uid="{00000000-0005-0000-0000-00006E3B0000}"/>
    <cellStyle name="Normal 2 2 2 2 4 27 3 7" xfId="15257" xr:uid="{00000000-0005-0000-0000-00006F3B0000}"/>
    <cellStyle name="Normal 2 2 2 2 4 27 3 8" xfId="15258" xr:uid="{00000000-0005-0000-0000-0000703B0000}"/>
    <cellStyle name="Normal 2 2 2 2 4 27 3 9" xfId="15259" xr:uid="{00000000-0005-0000-0000-0000713B0000}"/>
    <cellStyle name="Normal 2 2 2 2 4 27 4" xfId="15260" xr:uid="{00000000-0005-0000-0000-0000723B0000}"/>
    <cellStyle name="Normal 2 2 2 2 4 27 4 10" xfId="15261" xr:uid="{00000000-0005-0000-0000-0000733B0000}"/>
    <cellStyle name="Normal 2 2 2 2 4 27 4 2" xfId="15262" xr:uid="{00000000-0005-0000-0000-0000743B0000}"/>
    <cellStyle name="Normal 2 2 2 2 4 27 4 3" xfId="15263" xr:uid="{00000000-0005-0000-0000-0000753B0000}"/>
    <cellStyle name="Normal 2 2 2 2 4 27 4 4" xfId="15264" xr:uid="{00000000-0005-0000-0000-0000763B0000}"/>
    <cellStyle name="Normal 2 2 2 2 4 27 4 5" xfId="15265" xr:uid="{00000000-0005-0000-0000-0000773B0000}"/>
    <cellStyle name="Normal 2 2 2 2 4 27 4 6" xfId="15266" xr:uid="{00000000-0005-0000-0000-0000783B0000}"/>
    <cellStyle name="Normal 2 2 2 2 4 27 4 7" xfId="15267" xr:uid="{00000000-0005-0000-0000-0000793B0000}"/>
    <cellStyle name="Normal 2 2 2 2 4 27 4 8" xfId="15268" xr:uid="{00000000-0005-0000-0000-00007A3B0000}"/>
    <cellStyle name="Normal 2 2 2 2 4 27 4 9" xfId="15269" xr:uid="{00000000-0005-0000-0000-00007B3B0000}"/>
    <cellStyle name="Normal 2 2 2 2 4 27 5" xfId="15270" xr:uid="{00000000-0005-0000-0000-00007C3B0000}"/>
    <cellStyle name="Normal 2 2 2 2 4 27 5 10" xfId="15271" xr:uid="{00000000-0005-0000-0000-00007D3B0000}"/>
    <cellStyle name="Normal 2 2 2 2 4 27 5 2" xfId="15272" xr:uid="{00000000-0005-0000-0000-00007E3B0000}"/>
    <cellStyle name="Normal 2 2 2 2 4 27 5 3" xfId="15273" xr:uid="{00000000-0005-0000-0000-00007F3B0000}"/>
    <cellStyle name="Normal 2 2 2 2 4 27 5 4" xfId="15274" xr:uid="{00000000-0005-0000-0000-0000803B0000}"/>
    <cellStyle name="Normal 2 2 2 2 4 27 5 5" xfId="15275" xr:uid="{00000000-0005-0000-0000-0000813B0000}"/>
    <cellStyle name="Normal 2 2 2 2 4 27 5 6" xfId="15276" xr:uid="{00000000-0005-0000-0000-0000823B0000}"/>
    <cellStyle name="Normal 2 2 2 2 4 27 5 7" xfId="15277" xr:uid="{00000000-0005-0000-0000-0000833B0000}"/>
    <cellStyle name="Normal 2 2 2 2 4 27 5 8" xfId="15278" xr:uid="{00000000-0005-0000-0000-0000843B0000}"/>
    <cellStyle name="Normal 2 2 2 2 4 27 5 9" xfId="15279" xr:uid="{00000000-0005-0000-0000-0000853B0000}"/>
    <cellStyle name="Normal 2 2 2 2 4 27 6" xfId="15280" xr:uid="{00000000-0005-0000-0000-0000863B0000}"/>
    <cellStyle name="Normal 2 2 2 2 4 27 7" xfId="15281" xr:uid="{00000000-0005-0000-0000-0000873B0000}"/>
    <cellStyle name="Normal 2 2 2 2 4 27 8" xfId="15282" xr:uid="{00000000-0005-0000-0000-0000883B0000}"/>
    <cellStyle name="Normal 2 2 2 2 4 27 9" xfId="15283" xr:uid="{00000000-0005-0000-0000-0000893B0000}"/>
    <cellStyle name="Normal 2 2 2 2 4 28" xfId="15284" xr:uid="{00000000-0005-0000-0000-00008A3B0000}"/>
    <cellStyle name="Normal 2 2 2 2 4 28 10" xfId="15285" xr:uid="{00000000-0005-0000-0000-00008B3B0000}"/>
    <cellStyle name="Normal 2 2 2 2 4 28 11" xfId="15286" xr:uid="{00000000-0005-0000-0000-00008C3B0000}"/>
    <cellStyle name="Normal 2 2 2 2 4 28 12" xfId="15287" xr:uid="{00000000-0005-0000-0000-00008D3B0000}"/>
    <cellStyle name="Normal 2 2 2 2 4 28 13" xfId="15288" xr:uid="{00000000-0005-0000-0000-00008E3B0000}"/>
    <cellStyle name="Normal 2 2 2 2 4 28 14" xfId="15289" xr:uid="{00000000-0005-0000-0000-00008F3B0000}"/>
    <cellStyle name="Normal 2 2 2 2 4 28 2" xfId="15290" xr:uid="{00000000-0005-0000-0000-0000903B0000}"/>
    <cellStyle name="Normal 2 2 2 2 4 28 2 10" xfId="15291" xr:uid="{00000000-0005-0000-0000-0000913B0000}"/>
    <cellStyle name="Normal 2 2 2 2 4 28 2 2" xfId="15292" xr:uid="{00000000-0005-0000-0000-0000923B0000}"/>
    <cellStyle name="Normal 2 2 2 2 4 28 2 3" xfId="15293" xr:uid="{00000000-0005-0000-0000-0000933B0000}"/>
    <cellStyle name="Normal 2 2 2 2 4 28 2 4" xfId="15294" xr:uid="{00000000-0005-0000-0000-0000943B0000}"/>
    <cellStyle name="Normal 2 2 2 2 4 28 2 5" xfId="15295" xr:uid="{00000000-0005-0000-0000-0000953B0000}"/>
    <cellStyle name="Normal 2 2 2 2 4 28 2 6" xfId="15296" xr:uid="{00000000-0005-0000-0000-0000963B0000}"/>
    <cellStyle name="Normal 2 2 2 2 4 28 2 7" xfId="15297" xr:uid="{00000000-0005-0000-0000-0000973B0000}"/>
    <cellStyle name="Normal 2 2 2 2 4 28 2 8" xfId="15298" xr:uid="{00000000-0005-0000-0000-0000983B0000}"/>
    <cellStyle name="Normal 2 2 2 2 4 28 2 9" xfId="15299" xr:uid="{00000000-0005-0000-0000-0000993B0000}"/>
    <cellStyle name="Normal 2 2 2 2 4 28 3" xfId="15300" xr:uid="{00000000-0005-0000-0000-00009A3B0000}"/>
    <cellStyle name="Normal 2 2 2 2 4 28 3 10" xfId="15301" xr:uid="{00000000-0005-0000-0000-00009B3B0000}"/>
    <cellStyle name="Normal 2 2 2 2 4 28 3 2" xfId="15302" xr:uid="{00000000-0005-0000-0000-00009C3B0000}"/>
    <cellStyle name="Normal 2 2 2 2 4 28 3 3" xfId="15303" xr:uid="{00000000-0005-0000-0000-00009D3B0000}"/>
    <cellStyle name="Normal 2 2 2 2 4 28 3 4" xfId="15304" xr:uid="{00000000-0005-0000-0000-00009E3B0000}"/>
    <cellStyle name="Normal 2 2 2 2 4 28 3 5" xfId="15305" xr:uid="{00000000-0005-0000-0000-00009F3B0000}"/>
    <cellStyle name="Normal 2 2 2 2 4 28 3 6" xfId="15306" xr:uid="{00000000-0005-0000-0000-0000A03B0000}"/>
    <cellStyle name="Normal 2 2 2 2 4 28 3 7" xfId="15307" xr:uid="{00000000-0005-0000-0000-0000A13B0000}"/>
    <cellStyle name="Normal 2 2 2 2 4 28 3 8" xfId="15308" xr:uid="{00000000-0005-0000-0000-0000A23B0000}"/>
    <cellStyle name="Normal 2 2 2 2 4 28 3 9" xfId="15309" xr:uid="{00000000-0005-0000-0000-0000A33B0000}"/>
    <cellStyle name="Normal 2 2 2 2 4 28 4" xfId="15310" xr:uid="{00000000-0005-0000-0000-0000A43B0000}"/>
    <cellStyle name="Normal 2 2 2 2 4 28 4 10" xfId="15311" xr:uid="{00000000-0005-0000-0000-0000A53B0000}"/>
    <cellStyle name="Normal 2 2 2 2 4 28 4 2" xfId="15312" xr:uid="{00000000-0005-0000-0000-0000A63B0000}"/>
    <cellStyle name="Normal 2 2 2 2 4 28 4 3" xfId="15313" xr:uid="{00000000-0005-0000-0000-0000A73B0000}"/>
    <cellStyle name="Normal 2 2 2 2 4 28 4 4" xfId="15314" xr:uid="{00000000-0005-0000-0000-0000A83B0000}"/>
    <cellStyle name="Normal 2 2 2 2 4 28 4 5" xfId="15315" xr:uid="{00000000-0005-0000-0000-0000A93B0000}"/>
    <cellStyle name="Normal 2 2 2 2 4 28 4 6" xfId="15316" xr:uid="{00000000-0005-0000-0000-0000AA3B0000}"/>
    <cellStyle name="Normal 2 2 2 2 4 28 4 7" xfId="15317" xr:uid="{00000000-0005-0000-0000-0000AB3B0000}"/>
    <cellStyle name="Normal 2 2 2 2 4 28 4 8" xfId="15318" xr:uid="{00000000-0005-0000-0000-0000AC3B0000}"/>
    <cellStyle name="Normal 2 2 2 2 4 28 4 9" xfId="15319" xr:uid="{00000000-0005-0000-0000-0000AD3B0000}"/>
    <cellStyle name="Normal 2 2 2 2 4 28 5" xfId="15320" xr:uid="{00000000-0005-0000-0000-0000AE3B0000}"/>
    <cellStyle name="Normal 2 2 2 2 4 28 5 10" xfId="15321" xr:uid="{00000000-0005-0000-0000-0000AF3B0000}"/>
    <cellStyle name="Normal 2 2 2 2 4 28 5 2" xfId="15322" xr:uid="{00000000-0005-0000-0000-0000B03B0000}"/>
    <cellStyle name="Normal 2 2 2 2 4 28 5 3" xfId="15323" xr:uid="{00000000-0005-0000-0000-0000B13B0000}"/>
    <cellStyle name="Normal 2 2 2 2 4 28 5 4" xfId="15324" xr:uid="{00000000-0005-0000-0000-0000B23B0000}"/>
    <cellStyle name="Normal 2 2 2 2 4 28 5 5" xfId="15325" xr:uid="{00000000-0005-0000-0000-0000B33B0000}"/>
    <cellStyle name="Normal 2 2 2 2 4 28 5 6" xfId="15326" xr:uid="{00000000-0005-0000-0000-0000B43B0000}"/>
    <cellStyle name="Normal 2 2 2 2 4 28 5 7" xfId="15327" xr:uid="{00000000-0005-0000-0000-0000B53B0000}"/>
    <cellStyle name="Normal 2 2 2 2 4 28 5 8" xfId="15328" xr:uid="{00000000-0005-0000-0000-0000B63B0000}"/>
    <cellStyle name="Normal 2 2 2 2 4 28 5 9" xfId="15329" xr:uid="{00000000-0005-0000-0000-0000B73B0000}"/>
    <cellStyle name="Normal 2 2 2 2 4 28 6" xfId="15330" xr:uid="{00000000-0005-0000-0000-0000B83B0000}"/>
    <cellStyle name="Normal 2 2 2 2 4 28 7" xfId="15331" xr:uid="{00000000-0005-0000-0000-0000B93B0000}"/>
    <cellStyle name="Normal 2 2 2 2 4 28 8" xfId="15332" xr:uid="{00000000-0005-0000-0000-0000BA3B0000}"/>
    <cellStyle name="Normal 2 2 2 2 4 28 9" xfId="15333" xr:uid="{00000000-0005-0000-0000-0000BB3B0000}"/>
    <cellStyle name="Normal 2 2 2 2 4 29" xfId="15334" xr:uid="{00000000-0005-0000-0000-0000BC3B0000}"/>
    <cellStyle name="Normal 2 2 2 2 4 29 10" xfId="15335" xr:uid="{00000000-0005-0000-0000-0000BD3B0000}"/>
    <cellStyle name="Normal 2 2 2 2 4 29 11" xfId="15336" xr:uid="{00000000-0005-0000-0000-0000BE3B0000}"/>
    <cellStyle name="Normal 2 2 2 2 4 29 12" xfId="15337" xr:uid="{00000000-0005-0000-0000-0000BF3B0000}"/>
    <cellStyle name="Normal 2 2 2 2 4 29 13" xfId="15338" xr:uid="{00000000-0005-0000-0000-0000C03B0000}"/>
    <cellStyle name="Normal 2 2 2 2 4 29 14" xfId="15339" xr:uid="{00000000-0005-0000-0000-0000C13B0000}"/>
    <cellStyle name="Normal 2 2 2 2 4 29 2" xfId="15340" xr:uid="{00000000-0005-0000-0000-0000C23B0000}"/>
    <cellStyle name="Normal 2 2 2 2 4 29 2 10" xfId="15341" xr:uid="{00000000-0005-0000-0000-0000C33B0000}"/>
    <cellStyle name="Normal 2 2 2 2 4 29 2 2" xfId="15342" xr:uid="{00000000-0005-0000-0000-0000C43B0000}"/>
    <cellStyle name="Normal 2 2 2 2 4 29 2 3" xfId="15343" xr:uid="{00000000-0005-0000-0000-0000C53B0000}"/>
    <cellStyle name="Normal 2 2 2 2 4 29 2 4" xfId="15344" xr:uid="{00000000-0005-0000-0000-0000C63B0000}"/>
    <cellStyle name="Normal 2 2 2 2 4 29 2 5" xfId="15345" xr:uid="{00000000-0005-0000-0000-0000C73B0000}"/>
    <cellStyle name="Normal 2 2 2 2 4 29 2 6" xfId="15346" xr:uid="{00000000-0005-0000-0000-0000C83B0000}"/>
    <cellStyle name="Normal 2 2 2 2 4 29 2 7" xfId="15347" xr:uid="{00000000-0005-0000-0000-0000C93B0000}"/>
    <cellStyle name="Normal 2 2 2 2 4 29 2 8" xfId="15348" xr:uid="{00000000-0005-0000-0000-0000CA3B0000}"/>
    <cellStyle name="Normal 2 2 2 2 4 29 2 9" xfId="15349" xr:uid="{00000000-0005-0000-0000-0000CB3B0000}"/>
    <cellStyle name="Normal 2 2 2 2 4 29 3" xfId="15350" xr:uid="{00000000-0005-0000-0000-0000CC3B0000}"/>
    <cellStyle name="Normal 2 2 2 2 4 29 3 10" xfId="15351" xr:uid="{00000000-0005-0000-0000-0000CD3B0000}"/>
    <cellStyle name="Normal 2 2 2 2 4 29 3 2" xfId="15352" xr:uid="{00000000-0005-0000-0000-0000CE3B0000}"/>
    <cellStyle name="Normal 2 2 2 2 4 29 3 3" xfId="15353" xr:uid="{00000000-0005-0000-0000-0000CF3B0000}"/>
    <cellStyle name="Normal 2 2 2 2 4 29 3 4" xfId="15354" xr:uid="{00000000-0005-0000-0000-0000D03B0000}"/>
    <cellStyle name="Normal 2 2 2 2 4 29 3 5" xfId="15355" xr:uid="{00000000-0005-0000-0000-0000D13B0000}"/>
    <cellStyle name="Normal 2 2 2 2 4 29 3 6" xfId="15356" xr:uid="{00000000-0005-0000-0000-0000D23B0000}"/>
    <cellStyle name="Normal 2 2 2 2 4 29 3 7" xfId="15357" xr:uid="{00000000-0005-0000-0000-0000D33B0000}"/>
    <cellStyle name="Normal 2 2 2 2 4 29 3 8" xfId="15358" xr:uid="{00000000-0005-0000-0000-0000D43B0000}"/>
    <cellStyle name="Normal 2 2 2 2 4 29 3 9" xfId="15359" xr:uid="{00000000-0005-0000-0000-0000D53B0000}"/>
    <cellStyle name="Normal 2 2 2 2 4 29 4" xfId="15360" xr:uid="{00000000-0005-0000-0000-0000D63B0000}"/>
    <cellStyle name="Normal 2 2 2 2 4 29 4 10" xfId="15361" xr:uid="{00000000-0005-0000-0000-0000D73B0000}"/>
    <cellStyle name="Normal 2 2 2 2 4 29 4 2" xfId="15362" xr:uid="{00000000-0005-0000-0000-0000D83B0000}"/>
    <cellStyle name="Normal 2 2 2 2 4 29 4 3" xfId="15363" xr:uid="{00000000-0005-0000-0000-0000D93B0000}"/>
    <cellStyle name="Normal 2 2 2 2 4 29 4 4" xfId="15364" xr:uid="{00000000-0005-0000-0000-0000DA3B0000}"/>
    <cellStyle name="Normal 2 2 2 2 4 29 4 5" xfId="15365" xr:uid="{00000000-0005-0000-0000-0000DB3B0000}"/>
    <cellStyle name="Normal 2 2 2 2 4 29 4 6" xfId="15366" xr:uid="{00000000-0005-0000-0000-0000DC3B0000}"/>
    <cellStyle name="Normal 2 2 2 2 4 29 4 7" xfId="15367" xr:uid="{00000000-0005-0000-0000-0000DD3B0000}"/>
    <cellStyle name="Normal 2 2 2 2 4 29 4 8" xfId="15368" xr:uid="{00000000-0005-0000-0000-0000DE3B0000}"/>
    <cellStyle name="Normal 2 2 2 2 4 29 4 9" xfId="15369" xr:uid="{00000000-0005-0000-0000-0000DF3B0000}"/>
    <cellStyle name="Normal 2 2 2 2 4 29 5" xfId="15370" xr:uid="{00000000-0005-0000-0000-0000E03B0000}"/>
    <cellStyle name="Normal 2 2 2 2 4 29 5 10" xfId="15371" xr:uid="{00000000-0005-0000-0000-0000E13B0000}"/>
    <cellStyle name="Normal 2 2 2 2 4 29 5 2" xfId="15372" xr:uid="{00000000-0005-0000-0000-0000E23B0000}"/>
    <cellStyle name="Normal 2 2 2 2 4 29 5 3" xfId="15373" xr:uid="{00000000-0005-0000-0000-0000E33B0000}"/>
    <cellStyle name="Normal 2 2 2 2 4 29 5 4" xfId="15374" xr:uid="{00000000-0005-0000-0000-0000E43B0000}"/>
    <cellStyle name="Normal 2 2 2 2 4 29 5 5" xfId="15375" xr:uid="{00000000-0005-0000-0000-0000E53B0000}"/>
    <cellStyle name="Normal 2 2 2 2 4 29 5 6" xfId="15376" xr:uid="{00000000-0005-0000-0000-0000E63B0000}"/>
    <cellStyle name="Normal 2 2 2 2 4 29 5 7" xfId="15377" xr:uid="{00000000-0005-0000-0000-0000E73B0000}"/>
    <cellStyle name="Normal 2 2 2 2 4 29 5 8" xfId="15378" xr:uid="{00000000-0005-0000-0000-0000E83B0000}"/>
    <cellStyle name="Normal 2 2 2 2 4 29 5 9" xfId="15379" xr:uid="{00000000-0005-0000-0000-0000E93B0000}"/>
    <cellStyle name="Normal 2 2 2 2 4 29 6" xfId="15380" xr:uid="{00000000-0005-0000-0000-0000EA3B0000}"/>
    <cellStyle name="Normal 2 2 2 2 4 29 7" xfId="15381" xr:uid="{00000000-0005-0000-0000-0000EB3B0000}"/>
    <cellStyle name="Normal 2 2 2 2 4 29 8" xfId="15382" xr:uid="{00000000-0005-0000-0000-0000EC3B0000}"/>
    <cellStyle name="Normal 2 2 2 2 4 29 9" xfId="15383" xr:uid="{00000000-0005-0000-0000-0000ED3B0000}"/>
    <cellStyle name="Normal 2 2 2 2 4 3" xfId="15384" xr:uid="{00000000-0005-0000-0000-0000EE3B0000}"/>
    <cellStyle name="Normal 2 2 2 2 4 3 10" xfId="15385" xr:uid="{00000000-0005-0000-0000-0000EF3B0000}"/>
    <cellStyle name="Normal 2 2 2 2 4 3 11" xfId="15386" xr:uid="{00000000-0005-0000-0000-0000F03B0000}"/>
    <cellStyle name="Normal 2 2 2 2 4 3 12" xfId="15387" xr:uid="{00000000-0005-0000-0000-0000F13B0000}"/>
    <cellStyle name="Normal 2 2 2 2 4 3 13" xfId="15388" xr:uid="{00000000-0005-0000-0000-0000F23B0000}"/>
    <cellStyle name="Normal 2 2 2 2 4 3 14" xfId="15389" xr:uid="{00000000-0005-0000-0000-0000F33B0000}"/>
    <cellStyle name="Normal 2 2 2 2 4 3 2" xfId="15390" xr:uid="{00000000-0005-0000-0000-0000F43B0000}"/>
    <cellStyle name="Normal 2 2 2 2 4 3 2 10" xfId="15391" xr:uid="{00000000-0005-0000-0000-0000F53B0000}"/>
    <cellStyle name="Normal 2 2 2 2 4 3 2 2" xfId="15392" xr:uid="{00000000-0005-0000-0000-0000F63B0000}"/>
    <cellStyle name="Normal 2 2 2 2 4 3 2 3" xfId="15393" xr:uid="{00000000-0005-0000-0000-0000F73B0000}"/>
    <cellStyle name="Normal 2 2 2 2 4 3 2 4" xfId="15394" xr:uid="{00000000-0005-0000-0000-0000F83B0000}"/>
    <cellStyle name="Normal 2 2 2 2 4 3 2 5" xfId="15395" xr:uid="{00000000-0005-0000-0000-0000F93B0000}"/>
    <cellStyle name="Normal 2 2 2 2 4 3 2 6" xfId="15396" xr:uid="{00000000-0005-0000-0000-0000FA3B0000}"/>
    <cellStyle name="Normal 2 2 2 2 4 3 2 7" xfId="15397" xr:uid="{00000000-0005-0000-0000-0000FB3B0000}"/>
    <cellStyle name="Normal 2 2 2 2 4 3 2 8" xfId="15398" xr:uid="{00000000-0005-0000-0000-0000FC3B0000}"/>
    <cellStyle name="Normal 2 2 2 2 4 3 2 9" xfId="15399" xr:uid="{00000000-0005-0000-0000-0000FD3B0000}"/>
    <cellStyle name="Normal 2 2 2 2 4 3 3" xfId="15400" xr:uid="{00000000-0005-0000-0000-0000FE3B0000}"/>
    <cellStyle name="Normal 2 2 2 2 4 3 3 10" xfId="15401" xr:uid="{00000000-0005-0000-0000-0000FF3B0000}"/>
    <cellStyle name="Normal 2 2 2 2 4 3 3 2" xfId="15402" xr:uid="{00000000-0005-0000-0000-0000003C0000}"/>
    <cellStyle name="Normal 2 2 2 2 4 3 3 3" xfId="15403" xr:uid="{00000000-0005-0000-0000-0000013C0000}"/>
    <cellStyle name="Normal 2 2 2 2 4 3 3 4" xfId="15404" xr:uid="{00000000-0005-0000-0000-0000023C0000}"/>
    <cellStyle name="Normal 2 2 2 2 4 3 3 5" xfId="15405" xr:uid="{00000000-0005-0000-0000-0000033C0000}"/>
    <cellStyle name="Normal 2 2 2 2 4 3 3 6" xfId="15406" xr:uid="{00000000-0005-0000-0000-0000043C0000}"/>
    <cellStyle name="Normal 2 2 2 2 4 3 3 7" xfId="15407" xr:uid="{00000000-0005-0000-0000-0000053C0000}"/>
    <cellStyle name="Normal 2 2 2 2 4 3 3 8" xfId="15408" xr:uid="{00000000-0005-0000-0000-0000063C0000}"/>
    <cellStyle name="Normal 2 2 2 2 4 3 3 9" xfId="15409" xr:uid="{00000000-0005-0000-0000-0000073C0000}"/>
    <cellStyle name="Normal 2 2 2 2 4 3 4" xfId="15410" xr:uid="{00000000-0005-0000-0000-0000083C0000}"/>
    <cellStyle name="Normal 2 2 2 2 4 3 4 10" xfId="15411" xr:uid="{00000000-0005-0000-0000-0000093C0000}"/>
    <cellStyle name="Normal 2 2 2 2 4 3 4 2" xfId="15412" xr:uid="{00000000-0005-0000-0000-00000A3C0000}"/>
    <cellStyle name="Normal 2 2 2 2 4 3 4 3" xfId="15413" xr:uid="{00000000-0005-0000-0000-00000B3C0000}"/>
    <cellStyle name="Normal 2 2 2 2 4 3 4 4" xfId="15414" xr:uid="{00000000-0005-0000-0000-00000C3C0000}"/>
    <cellStyle name="Normal 2 2 2 2 4 3 4 5" xfId="15415" xr:uid="{00000000-0005-0000-0000-00000D3C0000}"/>
    <cellStyle name="Normal 2 2 2 2 4 3 4 6" xfId="15416" xr:uid="{00000000-0005-0000-0000-00000E3C0000}"/>
    <cellStyle name="Normal 2 2 2 2 4 3 4 7" xfId="15417" xr:uid="{00000000-0005-0000-0000-00000F3C0000}"/>
    <cellStyle name="Normal 2 2 2 2 4 3 4 8" xfId="15418" xr:uid="{00000000-0005-0000-0000-0000103C0000}"/>
    <cellStyle name="Normal 2 2 2 2 4 3 4 9" xfId="15419" xr:uid="{00000000-0005-0000-0000-0000113C0000}"/>
    <cellStyle name="Normal 2 2 2 2 4 3 5" xfId="15420" xr:uid="{00000000-0005-0000-0000-0000123C0000}"/>
    <cellStyle name="Normal 2 2 2 2 4 3 5 10" xfId="15421" xr:uid="{00000000-0005-0000-0000-0000133C0000}"/>
    <cellStyle name="Normal 2 2 2 2 4 3 5 2" xfId="15422" xr:uid="{00000000-0005-0000-0000-0000143C0000}"/>
    <cellStyle name="Normal 2 2 2 2 4 3 5 3" xfId="15423" xr:uid="{00000000-0005-0000-0000-0000153C0000}"/>
    <cellStyle name="Normal 2 2 2 2 4 3 5 4" xfId="15424" xr:uid="{00000000-0005-0000-0000-0000163C0000}"/>
    <cellStyle name="Normal 2 2 2 2 4 3 5 5" xfId="15425" xr:uid="{00000000-0005-0000-0000-0000173C0000}"/>
    <cellStyle name="Normal 2 2 2 2 4 3 5 6" xfId="15426" xr:uid="{00000000-0005-0000-0000-0000183C0000}"/>
    <cellStyle name="Normal 2 2 2 2 4 3 5 7" xfId="15427" xr:uid="{00000000-0005-0000-0000-0000193C0000}"/>
    <cellStyle name="Normal 2 2 2 2 4 3 5 8" xfId="15428" xr:uid="{00000000-0005-0000-0000-00001A3C0000}"/>
    <cellStyle name="Normal 2 2 2 2 4 3 5 9" xfId="15429" xr:uid="{00000000-0005-0000-0000-00001B3C0000}"/>
    <cellStyle name="Normal 2 2 2 2 4 3 6" xfId="15430" xr:uid="{00000000-0005-0000-0000-00001C3C0000}"/>
    <cellStyle name="Normal 2 2 2 2 4 3 7" xfId="15431" xr:uid="{00000000-0005-0000-0000-00001D3C0000}"/>
    <cellStyle name="Normal 2 2 2 2 4 3 8" xfId="15432" xr:uid="{00000000-0005-0000-0000-00001E3C0000}"/>
    <cellStyle name="Normal 2 2 2 2 4 3 9" xfId="15433" xr:uid="{00000000-0005-0000-0000-00001F3C0000}"/>
    <cellStyle name="Normal 2 2 2 2 4 30" xfId="15434" xr:uid="{00000000-0005-0000-0000-0000203C0000}"/>
    <cellStyle name="Normal 2 2 2 2 4 30 10" xfId="15435" xr:uid="{00000000-0005-0000-0000-0000213C0000}"/>
    <cellStyle name="Normal 2 2 2 2 4 30 11" xfId="15436" xr:uid="{00000000-0005-0000-0000-0000223C0000}"/>
    <cellStyle name="Normal 2 2 2 2 4 30 12" xfId="15437" xr:uid="{00000000-0005-0000-0000-0000233C0000}"/>
    <cellStyle name="Normal 2 2 2 2 4 30 13" xfId="15438" xr:uid="{00000000-0005-0000-0000-0000243C0000}"/>
    <cellStyle name="Normal 2 2 2 2 4 30 14" xfId="15439" xr:uid="{00000000-0005-0000-0000-0000253C0000}"/>
    <cellStyle name="Normal 2 2 2 2 4 30 2" xfId="15440" xr:uid="{00000000-0005-0000-0000-0000263C0000}"/>
    <cellStyle name="Normal 2 2 2 2 4 30 2 10" xfId="15441" xr:uid="{00000000-0005-0000-0000-0000273C0000}"/>
    <cellStyle name="Normal 2 2 2 2 4 30 2 2" xfId="15442" xr:uid="{00000000-0005-0000-0000-0000283C0000}"/>
    <cellStyle name="Normal 2 2 2 2 4 30 2 3" xfId="15443" xr:uid="{00000000-0005-0000-0000-0000293C0000}"/>
    <cellStyle name="Normal 2 2 2 2 4 30 2 4" xfId="15444" xr:uid="{00000000-0005-0000-0000-00002A3C0000}"/>
    <cellStyle name="Normal 2 2 2 2 4 30 2 5" xfId="15445" xr:uid="{00000000-0005-0000-0000-00002B3C0000}"/>
    <cellStyle name="Normal 2 2 2 2 4 30 2 6" xfId="15446" xr:uid="{00000000-0005-0000-0000-00002C3C0000}"/>
    <cellStyle name="Normal 2 2 2 2 4 30 2 7" xfId="15447" xr:uid="{00000000-0005-0000-0000-00002D3C0000}"/>
    <cellStyle name="Normal 2 2 2 2 4 30 2 8" xfId="15448" xr:uid="{00000000-0005-0000-0000-00002E3C0000}"/>
    <cellStyle name="Normal 2 2 2 2 4 30 2 9" xfId="15449" xr:uid="{00000000-0005-0000-0000-00002F3C0000}"/>
    <cellStyle name="Normal 2 2 2 2 4 30 3" xfId="15450" xr:uid="{00000000-0005-0000-0000-0000303C0000}"/>
    <cellStyle name="Normal 2 2 2 2 4 30 3 10" xfId="15451" xr:uid="{00000000-0005-0000-0000-0000313C0000}"/>
    <cellStyle name="Normal 2 2 2 2 4 30 3 2" xfId="15452" xr:uid="{00000000-0005-0000-0000-0000323C0000}"/>
    <cellStyle name="Normal 2 2 2 2 4 30 3 3" xfId="15453" xr:uid="{00000000-0005-0000-0000-0000333C0000}"/>
    <cellStyle name="Normal 2 2 2 2 4 30 3 4" xfId="15454" xr:uid="{00000000-0005-0000-0000-0000343C0000}"/>
    <cellStyle name="Normal 2 2 2 2 4 30 3 5" xfId="15455" xr:uid="{00000000-0005-0000-0000-0000353C0000}"/>
    <cellStyle name="Normal 2 2 2 2 4 30 3 6" xfId="15456" xr:uid="{00000000-0005-0000-0000-0000363C0000}"/>
    <cellStyle name="Normal 2 2 2 2 4 30 3 7" xfId="15457" xr:uid="{00000000-0005-0000-0000-0000373C0000}"/>
    <cellStyle name="Normal 2 2 2 2 4 30 3 8" xfId="15458" xr:uid="{00000000-0005-0000-0000-0000383C0000}"/>
    <cellStyle name="Normal 2 2 2 2 4 30 3 9" xfId="15459" xr:uid="{00000000-0005-0000-0000-0000393C0000}"/>
    <cellStyle name="Normal 2 2 2 2 4 30 4" xfId="15460" xr:uid="{00000000-0005-0000-0000-00003A3C0000}"/>
    <cellStyle name="Normal 2 2 2 2 4 30 4 10" xfId="15461" xr:uid="{00000000-0005-0000-0000-00003B3C0000}"/>
    <cellStyle name="Normal 2 2 2 2 4 30 4 2" xfId="15462" xr:uid="{00000000-0005-0000-0000-00003C3C0000}"/>
    <cellStyle name="Normal 2 2 2 2 4 30 4 3" xfId="15463" xr:uid="{00000000-0005-0000-0000-00003D3C0000}"/>
    <cellStyle name="Normal 2 2 2 2 4 30 4 4" xfId="15464" xr:uid="{00000000-0005-0000-0000-00003E3C0000}"/>
    <cellStyle name="Normal 2 2 2 2 4 30 4 5" xfId="15465" xr:uid="{00000000-0005-0000-0000-00003F3C0000}"/>
    <cellStyle name="Normal 2 2 2 2 4 30 4 6" xfId="15466" xr:uid="{00000000-0005-0000-0000-0000403C0000}"/>
    <cellStyle name="Normal 2 2 2 2 4 30 4 7" xfId="15467" xr:uid="{00000000-0005-0000-0000-0000413C0000}"/>
    <cellStyle name="Normal 2 2 2 2 4 30 4 8" xfId="15468" xr:uid="{00000000-0005-0000-0000-0000423C0000}"/>
    <cellStyle name="Normal 2 2 2 2 4 30 4 9" xfId="15469" xr:uid="{00000000-0005-0000-0000-0000433C0000}"/>
    <cellStyle name="Normal 2 2 2 2 4 30 5" xfId="15470" xr:uid="{00000000-0005-0000-0000-0000443C0000}"/>
    <cellStyle name="Normal 2 2 2 2 4 30 5 10" xfId="15471" xr:uid="{00000000-0005-0000-0000-0000453C0000}"/>
    <cellStyle name="Normal 2 2 2 2 4 30 5 2" xfId="15472" xr:uid="{00000000-0005-0000-0000-0000463C0000}"/>
    <cellStyle name="Normal 2 2 2 2 4 30 5 3" xfId="15473" xr:uid="{00000000-0005-0000-0000-0000473C0000}"/>
    <cellStyle name="Normal 2 2 2 2 4 30 5 4" xfId="15474" xr:uid="{00000000-0005-0000-0000-0000483C0000}"/>
    <cellStyle name="Normal 2 2 2 2 4 30 5 5" xfId="15475" xr:uid="{00000000-0005-0000-0000-0000493C0000}"/>
    <cellStyle name="Normal 2 2 2 2 4 30 5 6" xfId="15476" xr:uid="{00000000-0005-0000-0000-00004A3C0000}"/>
    <cellStyle name="Normal 2 2 2 2 4 30 5 7" xfId="15477" xr:uid="{00000000-0005-0000-0000-00004B3C0000}"/>
    <cellStyle name="Normal 2 2 2 2 4 30 5 8" xfId="15478" xr:uid="{00000000-0005-0000-0000-00004C3C0000}"/>
    <cellStyle name="Normal 2 2 2 2 4 30 5 9" xfId="15479" xr:uid="{00000000-0005-0000-0000-00004D3C0000}"/>
    <cellStyle name="Normal 2 2 2 2 4 30 6" xfId="15480" xr:uid="{00000000-0005-0000-0000-00004E3C0000}"/>
    <cellStyle name="Normal 2 2 2 2 4 30 7" xfId="15481" xr:uid="{00000000-0005-0000-0000-00004F3C0000}"/>
    <cellStyle name="Normal 2 2 2 2 4 30 8" xfId="15482" xr:uid="{00000000-0005-0000-0000-0000503C0000}"/>
    <cellStyle name="Normal 2 2 2 2 4 30 9" xfId="15483" xr:uid="{00000000-0005-0000-0000-0000513C0000}"/>
    <cellStyle name="Normal 2 2 2 2 4 31" xfId="15484" xr:uid="{00000000-0005-0000-0000-0000523C0000}"/>
    <cellStyle name="Normal 2 2 2 2 4 31 10" xfId="15485" xr:uid="{00000000-0005-0000-0000-0000533C0000}"/>
    <cellStyle name="Normal 2 2 2 2 4 31 11" xfId="15486" xr:uid="{00000000-0005-0000-0000-0000543C0000}"/>
    <cellStyle name="Normal 2 2 2 2 4 31 12" xfId="15487" xr:uid="{00000000-0005-0000-0000-0000553C0000}"/>
    <cellStyle name="Normal 2 2 2 2 4 31 13" xfId="15488" xr:uid="{00000000-0005-0000-0000-0000563C0000}"/>
    <cellStyle name="Normal 2 2 2 2 4 31 14" xfId="15489" xr:uid="{00000000-0005-0000-0000-0000573C0000}"/>
    <cellStyle name="Normal 2 2 2 2 4 31 2" xfId="15490" xr:uid="{00000000-0005-0000-0000-0000583C0000}"/>
    <cellStyle name="Normal 2 2 2 2 4 31 2 10" xfId="15491" xr:uid="{00000000-0005-0000-0000-0000593C0000}"/>
    <cellStyle name="Normal 2 2 2 2 4 31 2 2" xfId="15492" xr:uid="{00000000-0005-0000-0000-00005A3C0000}"/>
    <cellStyle name="Normal 2 2 2 2 4 31 2 3" xfId="15493" xr:uid="{00000000-0005-0000-0000-00005B3C0000}"/>
    <cellStyle name="Normal 2 2 2 2 4 31 2 4" xfId="15494" xr:uid="{00000000-0005-0000-0000-00005C3C0000}"/>
    <cellStyle name="Normal 2 2 2 2 4 31 2 5" xfId="15495" xr:uid="{00000000-0005-0000-0000-00005D3C0000}"/>
    <cellStyle name="Normal 2 2 2 2 4 31 2 6" xfId="15496" xr:uid="{00000000-0005-0000-0000-00005E3C0000}"/>
    <cellStyle name="Normal 2 2 2 2 4 31 2 7" xfId="15497" xr:uid="{00000000-0005-0000-0000-00005F3C0000}"/>
    <cellStyle name="Normal 2 2 2 2 4 31 2 8" xfId="15498" xr:uid="{00000000-0005-0000-0000-0000603C0000}"/>
    <cellStyle name="Normal 2 2 2 2 4 31 2 9" xfId="15499" xr:uid="{00000000-0005-0000-0000-0000613C0000}"/>
    <cellStyle name="Normal 2 2 2 2 4 31 3" xfId="15500" xr:uid="{00000000-0005-0000-0000-0000623C0000}"/>
    <cellStyle name="Normal 2 2 2 2 4 31 3 10" xfId="15501" xr:uid="{00000000-0005-0000-0000-0000633C0000}"/>
    <cellStyle name="Normal 2 2 2 2 4 31 3 2" xfId="15502" xr:uid="{00000000-0005-0000-0000-0000643C0000}"/>
    <cellStyle name="Normal 2 2 2 2 4 31 3 3" xfId="15503" xr:uid="{00000000-0005-0000-0000-0000653C0000}"/>
    <cellStyle name="Normal 2 2 2 2 4 31 3 4" xfId="15504" xr:uid="{00000000-0005-0000-0000-0000663C0000}"/>
    <cellStyle name="Normal 2 2 2 2 4 31 3 5" xfId="15505" xr:uid="{00000000-0005-0000-0000-0000673C0000}"/>
    <cellStyle name="Normal 2 2 2 2 4 31 3 6" xfId="15506" xr:uid="{00000000-0005-0000-0000-0000683C0000}"/>
    <cellStyle name="Normal 2 2 2 2 4 31 3 7" xfId="15507" xr:uid="{00000000-0005-0000-0000-0000693C0000}"/>
    <cellStyle name="Normal 2 2 2 2 4 31 3 8" xfId="15508" xr:uid="{00000000-0005-0000-0000-00006A3C0000}"/>
    <cellStyle name="Normal 2 2 2 2 4 31 3 9" xfId="15509" xr:uid="{00000000-0005-0000-0000-00006B3C0000}"/>
    <cellStyle name="Normal 2 2 2 2 4 31 4" xfId="15510" xr:uid="{00000000-0005-0000-0000-00006C3C0000}"/>
    <cellStyle name="Normal 2 2 2 2 4 31 4 10" xfId="15511" xr:uid="{00000000-0005-0000-0000-00006D3C0000}"/>
    <cellStyle name="Normal 2 2 2 2 4 31 4 2" xfId="15512" xr:uid="{00000000-0005-0000-0000-00006E3C0000}"/>
    <cellStyle name="Normal 2 2 2 2 4 31 4 3" xfId="15513" xr:uid="{00000000-0005-0000-0000-00006F3C0000}"/>
    <cellStyle name="Normal 2 2 2 2 4 31 4 4" xfId="15514" xr:uid="{00000000-0005-0000-0000-0000703C0000}"/>
    <cellStyle name="Normal 2 2 2 2 4 31 4 5" xfId="15515" xr:uid="{00000000-0005-0000-0000-0000713C0000}"/>
    <cellStyle name="Normal 2 2 2 2 4 31 4 6" xfId="15516" xr:uid="{00000000-0005-0000-0000-0000723C0000}"/>
    <cellStyle name="Normal 2 2 2 2 4 31 4 7" xfId="15517" xr:uid="{00000000-0005-0000-0000-0000733C0000}"/>
    <cellStyle name="Normal 2 2 2 2 4 31 4 8" xfId="15518" xr:uid="{00000000-0005-0000-0000-0000743C0000}"/>
    <cellStyle name="Normal 2 2 2 2 4 31 4 9" xfId="15519" xr:uid="{00000000-0005-0000-0000-0000753C0000}"/>
    <cellStyle name="Normal 2 2 2 2 4 31 5" xfId="15520" xr:uid="{00000000-0005-0000-0000-0000763C0000}"/>
    <cellStyle name="Normal 2 2 2 2 4 31 5 10" xfId="15521" xr:uid="{00000000-0005-0000-0000-0000773C0000}"/>
    <cellStyle name="Normal 2 2 2 2 4 31 5 2" xfId="15522" xr:uid="{00000000-0005-0000-0000-0000783C0000}"/>
    <cellStyle name="Normal 2 2 2 2 4 31 5 3" xfId="15523" xr:uid="{00000000-0005-0000-0000-0000793C0000}"/>
    <cellStyle name="Normal 2 2 2 2 4 31 5 4" xfId="15524" xr:uid="{00000000-0005-0000-0000-00007A3C0000}"/>
    <cellStyle name="Normal 2 2 2 2 4 31 5 5" xfId="15525" xr:uid="{00000000-0005-0000-0000-00007B3C0000}"/>
    <cellStyle name="Normal 2 2 2 2 4 31 5 6" xfId="15526" xr:uid="{00000000-0005-0000-0000-00007C3C0000}"/>
    <cellStyle name="Normal 2 2 2 2 4 31 5 7" xfId="15527" xr:uid="{00000000-0005-0000-0000-00007D3C0000}"/>
    <cellStyle name="Normal 2 2 2 2 4 31 5 8" xfId="15528" xr:uid="{00000000-0005-0000-0000-00007E3C0000}"/>
    <cellStyle name="Normal 2 2 2 2 4 31 5 9" xfId="15529" xr:uid="{00000000-0005-0000-0000-00007F3C0000}"/>
    <cellStyle name="Normal 2 2 2 2 4 31 6" xfId="15530" xr:uid="{00000000-0005-0000-0000-0000803C0000}"/>
    <cellStyle name="Normal 2 2 2 2 4 31 7" xfId="15531" xr:uid="{00000000-0005-0000-0000-0000813C0000}"/>
    <cellStyle name="Normal 2 2 2 2 4 31 8" xfId="15532" xr:uid="{00000000-0005-0000-0000-0000823C0000}"/>
    <cellStyle name="Normal 2 2 2 2 4 31 9" xfId="15533" xr:uid="{00000000-0005-0000-0000-0000833C0000}"/>
    <cellStyle name="Normal 2 2 2 2 4 32" xfId="15534" xr:uid="{00000000-0005-0000-0000-0000843C0000}"/>
    <cellStyle name="Normal 2 2 2 2 4 32 10" xfId="15535" xr:uid="{00000000-0005-0000-0000-0000853C0000}"/>
    <cellStyle name="Normal 2 2 2 2 4 32 11" xfId="15536" xr:uid="{00000000-0005-0000-0000-0000863C0000}"/>
    <cellStyle name="Normal 2 2 2 2 4 32 12" xfId="15537" xr:uid="{00000000-0005-0000-0000-0000873C0000}"/>
    <cellStyle name="Normal 2 2 2 2 4 32 13" xfId="15538" xr:uid="{00000000-0005-0000-0000-0000883C0000}"/>
    <cellStyle name="Normal 2 2 2 2 4 32 14" xfId="15539" xr:uid="{00000000-0005-0000-0000-0000893C0000}"/>
    <cellStyle name="Normal 2 2 2 2 4 32 2" xfId="15540" xr:uid="{00000000-0005-0000-0000-00008A3C0000}"/>
    <cellStyle name="Normal 2 2 2 2 4 32 2 10" xfId="15541" xr:uid="{00000000-0005-0000-0000-00008B3C0000}"/>
    <cellStyle name="Normal 2 2 2 2 4 32 2 2" xfId="15542" xr:uid="{00000000-0005-0000-0000-00008C3C0000}"/>
    <cellStyle name="Normal 2 2 2 2 4 32 2 3" xfId="15543" xr:uid="{00000000-0005-0000-0000-00008D3C0000}"/>
    <cellStyle name="Normal 2 2 2 2 4 32 2 4" xfId="15544" xr:uid="{00000000-0005-0000-0000-00008E3C0000}"/>
    <cellStyle name="Normal 2 2 2 2 4 32 2 5" xfId="15545" xr:uid="{00000000-0005-0000-0000-00008F3C0000}"/>
    <cellStyle name="Normal 2 2 2 2 4 32 2 6" xfId="15546" xr:uid="{00000000-0005-0000-0000-0000903C0000}"/>
    <cellStyle name="Normal 2 2 2 2 4 32 2 7" xfId="15547" xr:uid="{00000000-0005-0000-0000-0000913C0000}"/>
    <cellStyle name="Normal 2 2 2 2 4 32 2 8" xfId="15548" xr:uid="{00000000-0005-0000-0000-0000923C0000}"/>
    <cellStyle name="Normal 2 2 2 2 4 32 2 9" xfId="15549" xr:uid="{00000000-0005-0000-0000-0000933C0000}"/>
    <cellStyle name="Normal 2 2 2 2 4 32 3" xfId="15550" xr:uid="{00000000-0005-0000-0000-0000943C0000}"/>
    <cellStyle name="Normal 2 2 2 2 4 32 3 10" xfId="15551" xr:uid="{00000000-0005-0000-0000-0000953C0000}"/>
    <cellStyle name="Normal 2 2 2 2 4 32 3 2" xfId="15552" xr:uid="{00000000-0005-0000-0000-0000963C0000}"/>
    <cellStyle name="Normal 2 2 2 2 4 32 3 3" xfId="15553" xr:uid="{00000000-0005-0000-0000-0000973C0000}"/>
    <cellStyle name="Normal 2 2 2 2 4 32 3 4" xfId="15554" xr:uid="{00000000-0005-0000-0000-0000983C0000}"/>
    <cellStyle name="Normal 2 2 2 2 4 32 3 5" xfId="15555" xr:uid="{00000000-0005-0000-0000-0000993C0000}"/>
    <cellStyle name="Normal 2 2 2 2 4 32 3 6" xfId="15556" xr:uid="{00000000-0005-0000-0000-00009A3C0000}"/>
    <cellStyle name="Normal 2 2 2 2 4 32 3 7" xfId="15557" xr:uid="{00000000-0005-0000-0000-00009B3C0000}"/>
    <cellStyle name="Normal 2 2 2 2 4 32 3 8" xfId="15558" xr:uid="{00000000-0005-0000-0000-00009C3C0000}"/>
    <cellStyle name="Normal 2 2 2 2 4 32 3 9" xfId="15559" xr:uid="{00000000-0005-0000-0000-00009D3C0000}"/>
    <cellStyle name="Normal 2 2 2 2 4 32 4" xfId="15560" xr:uid="{00000000-0005-0000-0000-00009E3C0000}"/>
    <cellStyle name="Normal 2 2 2 2 4 32 4 10" xfId="15561" xr:uid="{00000000-0005-0000-0000-00009F3C0000}"/>
    <cellStyle name="Normal 2 2 2 2 4 32 4 2" xfId="15562" xr:uid="{00000000-0005-0000-0000-0000A03C0000}"/>
    <cellStyle name="Normal 2 2 2 2 4 32 4 3" xfId="15563" xr:uid="{00000000-0005-0000-0000-0000A13C0000}"/>
    <cellStyle name="Normal 2 2 2 2 4 32 4 4" xfId="15564" xr:uid="{00000000-0005-0000-0000-0000A23C0000}"/>
    <cellStyle name="Normal 2 2 2 2 4 32 4 5" xfId="15565" xr:uid="{00000000-0005-0000-0000-0000A33C0000}"/>
    <cellStyle name="Normal 2 2 2 2 4 32 4 6" xfId="15566" xr:uid="{00000000-0005-0000-0000-0000A43C0000}"/>
    <cellStyle name="Normal 2 2 2 2 4 32 4 7" xfId="15567" xr:uid="{00000000-0005-0000-0000-0000A53C0000}"/>
    <cellStyle name="Normal 2 2 2 2 4 32 4 8" xfId="15568" xr:uid="{00000000-0005-0000-0000-0000A63C0000}"/>
    <cellStyle name="Normal 2 2 2 2 4 32 4 9" xfId="15569" xr:uid="{00000000-0005-0000-0000-0000A73C0000}"/>
    <cellStyle name="Normal 2 2 2 2 4 32 5" xfId="15570" xr:uid="{00000000-0005-0000-0000-0000A83C0000}"/>
    <cellStyle name="Normal 2 2 2 2 4 32 5 10" xfId="15571" xr:uid="{00000000-0005-0000-0000-0000A93C0000}"/>
    <cellStyle name="Normal 2 2 2 2 4 32 5 2" xfId="15572" xr:uid="{00000000-0005-0000-0000-0000AA3C0000}"/>
    <cellStyle name="Normal 2 2 2 2 4 32 5 3" xfId="15573" xr:uid="{00000000-0005-0000-0000-0000AB3C0000}"/>
    <cellStyle name="Normal 2 2 2 2 4 32 5 4" xfId="15574" xr:uid="{00000000-0005-0000-0000-0000AC3C0000}"/>
    <cellStyle name="Normal 2 2 2 2 4 32 5 5" xfId="15575" xr:uid="{00000000-0005-0000-0000-0000AD3C0000}"/>
    <cellStyle name="Normal 2 2 2 2 4 32 5 6" xfId="15576" xr:uid="{00000000-0005-0000-0000-0000AE3C0000}"/>
    <cellStyle name="Normal 2 2 2 2 4 32 5 7" xfId="15577" xr:uid="{00000000-0005-0000-0000-0000AF3C0000}"/>
    <cellStyle name="Normal 2 2 2 2 4 32 5 8" xfId="15578" xr:uid="{00000000-0005-0000-0000-0000B03C0000}"/>
    <cellStyle name="Normal 2 2 2 2 4 32 5 9" xfId="15579" xr:uid="{00000000-0005-0000-0000-0000B13C0000}"/>
    <cellStyle name="Normal 2 2 2 2 4 32 6" xfId="15580" xr:uid="{00000000-0005-0000-0000-0000B23C0000}"/>
    <cellStyle name="Normal 2 2 2 2 4 32 7" xfId="15581" xr:uid="{00000000-0005-0000-0000-0000B33C0000}"/>
    <cellStyle name="Normal 2 2 2 2 4 32 8" xfId="15582" xr:uid="{00000000-0005-0000-0000-0000B43C0000}"/>
    <cellStyle name="Normal 2 2 2 2 4 32 9" xfId="15583" xr:uid="{00000000-0005-0000-0000-0000B53C0000}"/>
    <cellStyle name="Normal 2 2 2 2 4 33" xfId="15584" xr:uid="{00000000-0005-0000-0000-0000B63C0000}"/>
    <cellStyle name="Normal 2 2 2 2 4 33 10" xfId="15585" xr:uid="{00000000-0005-0000-0000-0000B73C0000}"/>
    <cellStyle name="Normal 2 2 2 2 4 33 11" xfId="15586" xr:uid="{00000000-0005-0000-0000-0000B83C0000}"/>
    <cellStyle name="Normal 2 2 2 2 4 33 12" xfId="15587" xr:uid="{00000000-0005-0000-0000-0000B93C0000}"/>
    <cellStyle name="Normal 2 2 2 2 4 33 13" xfId="15588" xr:uid="{00000000-0005-0000-0000-0000BA3C0000}"/>
    <cellStyle name="Normal 2 2 2 2 4 33 14" xfId="15589" xr:uid="{00000000-0005-0000-0000-0000BB3C0000}"/>
    <cellStyle name="Normal 2 2 2 2 4 33 2" xfId="15590" xr:uid="{00000000-0005-0000-0000-0000BC3C0000}"/>
    <cellStyle name="Normal 2 2 2 2 4 33 2 10" xfId="15591" xr:uid="{00000000-0005-0000-0000-0000BD3C0000}"/>
    <cellStyle name="Normal 2 2 2 2 4 33 2 2" xfId="15592" xr:uid="{00000000-0005-0000-0000-0000BE3C0000}"/>
    <cellStyle name="Normal 2 2 2 2 4 33 2 3" xfId="15593" xr:uid="{00000000-0005-0000-0000-0000BF3C0000}"/>
    <cellStyle name="Normal 2 2 2 2 4 33 2 4" xfId="15594" xr:uid="{00000000-0005-0000-0000-0000C03C0000}"/>
    <cellStyle name="Normal 2 2 2 2 4 33 2 5" xfId="15595" xr:uid="{00000000-0005-0000-0000-0000C13C0000}"/>
    <cellStyle name="Normal 2 2 2 2 4 33 2 6" xfId="15596" xr:uid="{00000000-0005-0000-0000-0000C23C0000}"/>
    <cellStyle name="Normal 2 2 2 2 4 33 2 7" xfId="15597" xr:uid="{00000000-0005-0000-0000-0000C33C0000}"/>
    <cellStyle name="Normal 2 2 2 2 4 33 2 8" xfId="15598" xr:uid="{00000000-0005-0000-0000-0000C43C0000}"/>
    <cellStyle name="Normal 2 2 2 2 4 33 2 9" xfId="15599" xr:uid="{00000000-0005-0000-0000-0000C53C0000}"/>
    <cellStyle name="Normal 2 2 2 2 4 33 3" xfId="15600" xr:uid="{00000000-0005-0000-0000-0000C63C0000}"/>
    <cellStyle name="Normal 2 2 2 2 4 33 3 10" xfId="15601" xr:uid="{00000000-0005-0000-0000-0000C73C0000}"/>
    <cellStyle name="Normal 2 2 2 2 4 33 3 2" xfId="15602" xr:uid="{00000000-0005-0000-0000-0000C83C0000}"/>
    <cellStyle name="Normal 2 2 2 2 4 33 3 3" xfId="15603" xr:uid="{00000000-0005-0000-0000-0000C93C0000}"/>
    <cellStyle name="Normal 2 2 2 2 4 33 3 4" xfId="15604" xr:uid="{00000000-0005-0000-0000-0000CA3C0000}"/>
    <cellStyle name="Normal 2 2 2 2 4 33 3 5" xfId="15605" xr:uid="{00000000-0005-0000-0000-0000CB3C0000}"/>
    <cellStyle name="Normal 2 2 2 2 4 33 3 6" xfId="15606" xr:uid="{00000000-0005-0000-0000-0000CC3C0000}"/>
    <cellStyle name="Normal 2 2 2 2 4 33 3 7" xfId="15607" xr:uid="{00000000-0005-0000-0000-0000CD3C0000}"/>
    <cellStyle name="Normal 2 2 2 2 4 33 3 8" xfId="15608" xr:uid="{00000000-0005-0000-0000-0000CE3C0000}"/>
    <cellStyle name="Normal 2 2 2 2 4 33 3 9" xfId="15609" xr:uid="{00000000-0005-0000-0000-0000CF3C0000}"/>
    <cellStyle name="Normal 2 2 2 2 4 33 4" xfId="15610" xr:uid="{00000000-0005-0000-0000-0000D03C0000}"/>
    <cellStyle name="Normal 2 2 2 2 4 33 4 10" xfId="15611" xr:uid="{00000000-0005-0000-0000-0000D13C0000}"/>
    <cellStyle name="Normal 2 2 2 2 4 33 4 2" xfId="15612" xr:uid="{00000000-0005-0000-0000-0000D23C0000}"/>
    <cellStyle name="Normal 2 2 2 2 4 33 4 3" xfId="15613" xr:uid="{00000000-0005-0000-0000-0000D33C0000}"/>
    <cellStyle name="Normal 2 2 2 2 4 33 4 4" xfId="15614" xr:uid="{00000000-0005-0000-0000-0000D43C0000}"/>
    <cellStyle name="Normal 2 2 2 2 4 33 4 5" xfId="15615" xr:uid="{00000000-0005-0000-0000-0000D53C0000}"/>
    <cellStyle name="Normal 2 2 2 2 4 33 4 6" xfId="15616" xr:uid="{00000000-0005-0000-0000-0000D63C0000}"/>
    <cellStyle name="Normal 2 2 2 2 4 33 4 7" xfId="15617" xr:uid="{00000000-0005-0000-0000-0000D73C0000}"/>
    <cellStyle name="Normal 2 2 2 2 4 33 4 8" xfId="15618" xr:uid="{00000000-0005-0000-0000-0000D83C0000}"/>
    <cellStyle name="Normal 2 2 2 2 4 33 4 9" xfId="15619" xr:uid="{00000000-0005-0000-0000-0000D93C0000}"/>
    <cellStyle name="Normal 2 2 2 2 4 33 5" xfId="15620" xr:uid="{00000000-0005-0000-0000-0000DA3C0000}"/>
    <cellStyle name="Normal 2 2 2 2 4 33 5 10" xfId="15621" xr:uid="{00000000-0005-0000-0000-0000DB3C0000}"/>
    <cellStyle name="Normal 2 2 2 2 4 33 5 2" xfId="15622" xr:uid="{00000000-0005-0000-0000-0000DC3C0000}"/>
    <cellStyle name="Normal 2 2 2 2 4 33 5 3" xfId="15623" xr:uid="{00000000-0005-0000-0000-0000DD3C0000}"/>
    <cellStyle name="Normal 2 2 2 2 4 33 5 4" xfId="15624" xr:uid="{00000000-0005-0000-0000-0000DE3C0000}"/>
    <cellStyle name="Normal 2 2 2 2 4 33 5 5" xfId="15625" xr:uid="{00000000-0005-0000-0000-0000DF3C0000}"/>
    <cellStyle name="Normal 2 2 2 2 4 33 5 6" xfId="15626" xr:uid="{00000000-0005-0000-0000-0000E03C0000}"/>
    <cellStyle name="Normal 2 2 2 2 4 33 5 7" xfId="15627" xr:uid="{00000000-0005-0000-0000-0000E13C0000}"/>
    <cellStyle name="Normal 2 2 2 2 4 33 5 8" xfId="15628" xr:uid="{00000000-0005-0000-0000-0000E23C0000}"/>
    <cellStyle name="Normal 2 2 2 2 4 33 5 9" xfId="15629" xr:uid="{00000000-0005-0000-0000-0000E33C0000}"/>
    <cellStyle name="Normal 2 2 2 2 4 33 6" xfId="15630" xr:uid="{00000000-0005-0000-0000-0000E43C0000}"/>
    <cellStyle name="Normal 2 2 2 2 4 33 7" xfId="15631" xr:uid="{00000000-0005-0000-0000-0000E53C0000}"/>
    <cellStyle name="Normal 2 2 2 2 4 33 8" xfId="15632" xr:uid="{00000000-0005-0000-0000-0000E63C0000}"/>
    <cellStyle name="Normal 2 2 2 2 4 33 9" xfId="15633" xr:uid="{00000000-0005-0000-0000-0000E73C0000}"/>
    <cellStyle name="Normal 2 2 2 2 4 34" xfId="15634" xr:uid="{00000000-0005-0000-0000-0000E83C0000}"/>
    <cellStyle name="Normal 2 2 2 2 4 35" xfId="15635" xr:uid="{00000000-0005-0000-0000-0000E93C0000}"/>
    <cellStyle name="Normal 2 2 2 2 4 4" xfId="15636" xr:uid="{00000000-0005-0000-0000-0000EA3C0000}"/>
    <cellStyle name="Normal 2 2 2 2 4 4 10" xfId="15637" xr:uid="{00000000-0005-0000-0000-0000EB3C0000}"/>
    <cellStyle name="Normal 2 2 2 2 4 4 11" xfId="15638" xr:uid="{00000000-0005-0000-0000-0000EC3C0000}"/>
    <cellStyle name="Normal 2 2 2 2 4 4 12" xfId="15639" xr:uid="{00000000-0005-0000-0000-0000ED3C0000}"/>
    <cellStyle name="Normal 2 2 2 2 4 4 13" xfId="15640" xr:uid="{00000000-0005-0000-0000-0000EE3C0000}"/>
    <cellStyle name="Normal 2 2 2 2 4 4 14" xfId="15641" xr:uid="{00000000-0005-0000-0000-0000EF3C0000}"/>
    <cellStyle name="Normal 2 2 2 2 4 4 2" xfId="15642" xr:uid="{00000000-0005-0000-0000-0000F03C0000}"/>
    <cellStyle name="Normal 2 2 2 2 4 4 2 10" xfId="15643" xr:uid="{00000000-0005-0000-0000-0000F13C0000}"/>
    <cellStyle name="Normal 2 2 2 2 4 4 2 2" xfId="15644" xr:uid="{00000000-0005-0000-0000-0000F23C0000}"/>
    <cellStyle name="Normal 2 2 2 2 4 4 2 3" xfId="15645" xr:uid="{00000000-0005-0000-0000-0000F33C0000}"/>
    <cellStyle name="Normal 2 2 2 2 4 4 2 4" xfId="15646" xr:uid="{00000000-0005-0000-0000-0000F43C0000}"/>
    <cellStyle name="Normal 2 2 2 2 4 4 2 5" xfId="15647" xr:uid="{00000000-0005-0000-0000-0000F53C0000}"/>
    <cellStyle name="Normal 2 2 2 2 4 4 2 6" xfId="15648" xr:uid="{00000000-0005-0000-0000-0000F63C0000}"/>
    <cellStyle name="Normal 2 2 2 2 4 4 2 7" xfId="15649" xr:uid="{00000000-0005-0000-0000-0000F73C0000}"/>
    <cellStyle name="Normal 2 2 2 2 4 4 2 8" xfId="15650" xr:uid="{00000000-0005-0000-0000-0000F83C0000}"/>
    <cellStyle name="Normal 2 2 2 2 4 4 2 9" xfId="15651" xr:uid="{00000000-0005-0000-0000-0000F93C0000}"/>
    <cellStyle name="Normal 2 2 2 2 4 4 3" xfId="15652" xr:uid="{00000000-0005-0000-0000-0000FA3C0000}"/>
    <cellStyle name="Normal 2 2 2 2 4 4 3 10" xfId="15653" xr:uid="{00000000-0005-0000-0000-0000FB3C0000}"/>
    <cellStyle name="Normal 2 2 2 2 4 4 3 2" xfId="15654" xr:uid="{00000000-0005-0000-0000-0000FC3C0000}"/>
    <cellStyle name="Normal 2 2 2 2 4 4 3 3" xfId="15655" xr:uid="{00000000-0005-0000-0000-0000FD3C0000}"/>
    <cellStyle name="Normal 2 2 2 2 4 4 3 4" xfId="15656" xr:uid="{00000000-0005-0000-0000-0000FE3C0000}"/>
    <cellStyle name="Normal 2 2 2 2 4 4 3 5" xfId="15657" xr:uid="{00000000-0005-0000-0000-0000FF3C0000}"/>
    <cellStyle name="Normal 2 2 2 2 4 4 3 6" xfId="15658" xr:uid="{00000000-0005-0000-0000-0000003D0000}"/>
    <cellStyle name="Normal 2 2 2 2 4 4 3 7" xfId="15659" xr:uid="{00000000-0005-0000-0000-0000013D0000}"/>
    <cellStyle name="Normal 2 2 2 2 4 4 3 8" xfId="15660" xr:uid="{00000000-0005-0000-0000-0000023D0000}"/>
    <cellStyle name="Normal 2 2 2 2 4 4 3 9" xfId="15661" xr:uid="{00000000-0005-0000-0000-0000033D0000}"/>
    <cellStyle name="Normal 2 2 2 2 4 4 4" xfId="15662" xr:uid="{00000000-0005-0000-0000-0000043D0000}"/>
    <cellStyle name="Normal 2 2 2 2 4 4 4 10" xfId="15663" xr:uid="{00000000-0005-0000-0000-0000053D0000}"/>
    <cellStyle name="Normal 2 2 2 2 4 4 4 2" xfId="15664" xr:uid="{00000000-0005-0000-0000-0000063D0000}"/>
    <cellStyle name="Normal 2 2 2 2 4 4 4 3" xfId="15665" xr:uid="{00000000-0005-0000-0000-0000073D0000}"/>
    <cellStyle name="Normal 2 2 2 2 4 4 4 4" xfId="15666" xr:uid="{00000000-0005-0000-0000-0000083D0000}"/>
    <cellStyle name="Normal 2 2 2 2 4 4 4 5" xfId="15667" xr:uid="{00000000-0005-0000-0000-0000093D0000}"/>
    <cellStyle name="Normal 2 2 2 2 4 4 4 6" xfId="15668" xr:uid="{00000000-0005-0000-0000-00000A3D0000}"/>
    <cellStyle name="Normal 2 2 2 2 4 4 4 7" xfId="15669" xr:uid="{00000000-0005-0000-0000-00000B3D0000}"/>
    <cellStyle name="Normal 2 2 2 2 4 4 4 8" xfId="15670" xr:uid="{00000000-0005-0000-0000-00000C3D0000}"/>
    <cellStyle name="Normal 2 2 2 2 4 4 4 9" xfId="15671" xr:uid="{00000000-0005-0000-0000-00000D3D0000}"/>
    <cellStyle name="Normal 2 2 2 2 4 4 5" xfId="15672" xr:uid="{00000000-0005-0000-0000-00000E3D0000}"/>
    <cellStyle name="Normal 2 2 2 2 4 4 5 10" xfId="15673" xr:uid="{00000000-0005-0000-0000-00000F3D0000}"/>
    <cellStyle name="Normal 2 2 2 2 4 4 5 2" xfId="15674" xr:uid="{00000000-0005-0000-0000-0000103D0000}"/>
    <cellStyle name="Normal 2 2 2 2 4 4 5 3" xfId="15675" xr:uid="{00000000-0005-0000-0000-0000113D0000}"/>
    <cellStyle name="Normal 2 2 2 2 4 4 5 4" xfId="15676" xr:uid="{00000000-0005-0000-0000-0000123D0000}"/>
    <cellStyle name="Normal 2 2 2 2 4 4 5 5" xfId="15677" xr:uid="{00000000-0005-0000-0000-0000133D0000}"/>
    <cellStyle name="Normal 2 2 2 2 4 4 5 6" xfId="15678" xr:uid="{00000000-0005-0000-0000-0000143D0000}"/>
    <cellStyle name="Normal 2 2 2 2 4 4 5 7" xfId="15679" xr:uid="{00000000-0005-0000-0000-0000153D0000}"/>
    <cellStyle name="Normal 2 2 2 2 4 4 5 8" xfId="15680" xr:uid="{00000000-0005-0000-0000-0000163D0000}"/>
    <cellStyle name="Normal 2 2 2 2 4 4 5 9" xfId="15681" xr:uid="{00000000-0005-0000-0000-0000173D0000}"/>
    <cellStyle name="Normal 2 2 2 2 4 4 6" xfId="15682" xr:uid="{00000000-0005-0000-0000-0000183D0000}"/>
    <cellStyle name="Normal 2 2 2 2 4 4 7" xfId="15683" xr:uid="{00000000-0005-0000-0000-0000193D0000}"/>
    <cellStyle name="Normal 2 2 2 2 4 4 8" xfId="15684" xr:uid="{00000000-0005-0000-0000-00001A3D0000}"/>
    <cellStyle name="Normal 2 2 2 2 4 4 9" xfId="15685" xr:uid="{00000000-0005-0000-0000-00001B3D0000}"/>
    <cellStyle name="Normal 2 2 2 2 4 5" xfId="15686" xr:uid="{00000000-0005-0000-0000-00001C3D0000}"/>
    <cellStyle name="Normal 2 2 2 2 4 5 10" xfId="15687" xr:uid="{00000000-0005-0000-0000-00001D3D0000}"/>
    <cellStyle name="Normal 2 2 2 2 4 5 11" xfId="15688" xr:uid="{00000000-0005-0000-0000-00001E3D0000}"/>
    <cellStyle name="Normal 2 2 2 2 4 5 12" xfId="15689" xr:uid="{00000000-0005-0000-0000-00001F3D0000}"/>
    <cellStyle name="Normal 2 2 2 2 4 5 13" xfId="15690" xr:uid="{00000000-0005-0000-0000-0000203D0000}"/>
    <cellStyle name="Normal 2 2 2 2 4 5 14" xfId="15691" xr:uid="{00000000-0005-0000-0000-0000213D0000}"/>
    <cellStyle name="Normal 2 2 2 2 4 5 2" xfId="15692" xr:uid="{00000000-0005-0000-0000-0000223D0000}"/>
    <cellStyle name="Normal 2 2 2 2 4 5 2 10" xfId="15693" xr:uid="{00000000-0005-0000-0000-0000233D0000}"/>
    <cellStyle name="Normal 2 2 2 2 4 5 2 2" xfId="15694" xr:uid="{00000000-0005-0000-0000-0000243D0000}"/>
    <cellStyle name="Normal 2 2 2 2 4 5 2 3" xfId="15695" xr:uid="{00000000-0005-0000-0000-0000253D0000}"/>
    <cellStyle name="Normal 2 2 2 2 4 5 2 4" xfId="15696" xr:uid="{00000000-0005-0000-0000-0000263D0000}"/>
    <cellStyle name="Normal 2 2 2 2 4 5 2 5" xfId="15697" xr:uid="{00000000-0005-0000-0000-0000273D0000}"/>
    <cellStyle name="Normal 2 2 2 2 4 5 2 6" xfId="15698" xr:uid="{00000000-0005-0000-0000-0000283D0000}"/>
    <cellStyle name="Normal 2 2 2 2 4 5 2 7" xfId="15699" xr:uid="{00000000-0005-0000-0000-0000293D0000}"/>
    <cellStyle name="Normal 2 2 2 2 4 5 2 8" xfId="15700" xr:uid="{00000000-0005-0000-0000-00002A3D0000}"/>
    <cellStyle name="Normal 2 2 2 2 4 5 2 9" xfId="15701" xr:uid="{00000000-0005-0000-0000-00002B3D0000}"/>
    <cellStyle name="Normal 2 2 2 2 4 5 3" xfId="15702" xr:uid="{00000000-0005-0000-0000-00002C3D0000}"/>
    <cellStyle name="Normal 2 2 2 2 4 5 3 10" xfId="15703" xr:uid="{00000000-0005-0000-0000-00002D3D0000}"/>
    <cellStyle name="Normal 2 2 2 2 4 5 3 2" xfId="15704" xr:uid="{00000000-0005-0000-0000-00002E3D0000}"/>
    <cellStyle name="Normal 2 2 2 2 4 5 3 3" xfId="15705" xr:uid="{00000000-0005-0000-0000-00002F3D0000}"/>
    <cellStyle name="Normal 2 2 2 2 4 5 3 4" xfId="15706" xr:uid="{00000000-0005-0000-0000-0000303D0000}"/>
    <cellStyle name="Normal 2 2 2 2 4 5 3 5" xfId="15707" xr:uid="{00000000-0005-0000-0000-0000313D0000}"/>
    <cellStyle name="Normal 2 2 2 2 4 5 3 6" xfId="15708" xr:uid="{00000000-0005-0000-0000-0000323D0000}"/>
    <cellStyle name="Normal 2 2 2 2 4 5 3 7" xfId="15709" xr:uid="{00000000-0005-0000-0000-0000333D0000}"/>
    <cellStyle name="Normal 2 2 2 2 4 5 3 8" xfId="15710" xr:uid="{00000000-0005-0000-0000-0000343D0000}"/>
    <cellStyle name="Normal 2 2 2 2 4 5 3 9" xfId="15711" xr:uid="{00000000-0005-0000-0000-0000353D0000}"/>
    <cellStyle name="Normal 2 2 2 2 4 5 4" xfId="15712" xr:uid="{00000000-0005-0000-0000-0000363D0000}"/>
    <cellStyle name="Normal 2 2 2 2 4 5 4 10" xfId="15713" xr:uid="{00000000-0005-0000-0000-0000373D0000}"/>
    <cellStyle name="Normal 2 2 2 2 4 5 4 2" xfId="15714" xr:uid="{00000000-0005-0000-0000-0000383D0000}"/>
    <cellStyle name="Normal 2 2 2 2 4 5 4 3" xfId="15715" xr:uid="{00000000-0005-0000-0000-0000393D0000}"/>
    <cellStyle name="Normal 2 2 2 2 4 5 4 4" xfId="15716" xr:uid="{00000000-0005-0000-0000-00003A3D0000}"/>
    <cellStyle name="Normal 2 2 2 2 4 5 4 5" xfId="15717" xr:uid="{00000000-0005-0000-0000-00003B3D0000}"/>
    <cellStyle name="Normal 2 2 2 2 4 5 4 6" xfId="15718" xr:uid="{00000000-0005-0000-0000-00003C3D0000}"/>
    <cellStyle name="Normal 2 2 2 2 4 5 4 7" xfId="15719" xr:uid="{00000000-0005-0000-0000-00003D3D0000}"/>
    <cellStyle name="Normal 2 2 2 2 4 5 4 8" xfId="15720" xr:uid="{00000000-0005-0000-0000-00003E3D0000}"/>
    <cellStyle name="Normal 2 2 2 2 4 5 4 9" xfId="15721" xr:uid="{00000000-0005-0000-0000-00003F3D0000}"/>
    <cellStyle name="Normal 2 2 2 2 4 5 5" xfId="15722" xr:uid="{00000000-0005-0000-0000-0000403D0000}"/>
    <cellStyle name="Normal 2 2 2 2 4 5 5 10" xfId="15723" xr:uid="{00000000-0005-0000-0000-0000413D0000}"/>
    <cellStyle name="Normal 2 2 2 2 4 5 5 2" xfId="15724" xr:uid="{00000000-0005-0000-0000-0000423D0000}"/>
    <cellStyle name="Normal 2 2 2 2 4 5 5 3" xfId="15725" xr:uid="{00000000-0005-0000-0000-0000433D0000}"/>
    <cellStyle name="Normal 2 2 2 2 4 5 5 4" xfId="15726" xr:uid="{00000000-0005-0000-0000-0000443D0000}"/>
    <cellStyle name="Normal 2 2 2 2 4 5 5 5" xfId="15727" xr:uid="{00000000-0005-0000-0000-0000453D0000}"/>
    <cellStyle name="Normal 2 2 2 2 4 5 5 6" xfId="15728" xr:uid="{00000000-0005-0000-0000-0000463D0000}"/>
    <cellStyle name="Normal 2 2 2 2 4 5 5 7" xfId="15729" xr:uid="{00000000-0005-0000-0000-0000473D0000}"/>
    <cellStyle name="Normal 2 2 2 2 4 5 5 8" xfId="15730" xr:uid="{00000000-0005-0000-0000-0000483D0000}"/>
    <cellStyle name="Normal 2 2 2 2 4 5 5 9" xfId="15731" xr:uid="{00000000-0005-0000-0000-0000493D0000}"/>
    <cellStyle name="Normal 2 2 2 2 4 5 6" xfId="15732" xr:uid="{00000000-0005-0000-0000-00004A3D0000}"/>
    <cellStyle name="Normal 2 2 2 2 4 5 7" xfId="15733" xr:uid="{00000000-0005-0000-0000-00004B3D0000}"/>
    <cellStyle name="Normal 2 2 2 2 4 5 8" xfId="15734" xr:uid="{00000000-0005-0000-0000-00004C3D0000}"/>
    <cellStyle name="Normal 2 2 2 2 4 5 9" xfId="15735" xr:uid="{00000000-0005-0000-0000-00004D3D0000}"/>
    <cellStyle name="Normal 2 2 2 2 4 6" xfId="15736" xr:uid="{00000000-0005-0000-0000-00004E3D0000}"/>
    <cellStyle name="Normal 2 2 2 2 4 6 10" xfId="15737" xr:uid="{00000000-0005-0000-0000-00004F3D0000}"/>
    <cellStyle name="Normal 2 2 2 2 4 6 11" xfId="15738" xr:uid="{00000000-0005-0000-0000-0000503D0000}"/>
    <cellStyle name="Normal 2 2 2 2 4 6 12" xfId="15739" xr:uid="{00000000-0005-0000-0000-0000513D0000}"/>
    <cellStyle name="Normal 2 2 2 2 4 6 13" xfId="15740" xr:uid="{00000000-0005-0000-0000-0000523D0000}"/>
    <cellStyle name="Normal 2 2 2 2 4 6 14" xfId="15741" xr:uid="{00000000-0005-0000-0000-0000533D0000}"/>
    <cellStyle name="Normal 2 2 2 2 4 6 2" xfId="15742" xr:uid="{00000000-0005-0000-0000-0000543D0000}"/>
    <cellStyle name="Normal 2 2 2 2 4 6 2 10" xfId="15743" xr:uid="{00000000-0005-0000-0000-0000553D0000}"/>
    <cellStyle name="Normal 2 2 2 2 4 6 2 2" xfId="15744" xr:uid="{00000000-0005-0000-0000-0000563D0000}"/>
    <cellStyle name="Normal 2 2 2 2 4 6 2 3" xfId="15745" xr:uid="{00000000-0005-0000-0000-0000573D0000}"/>
    <cellStyle name="Normal 2 2 2 2 4 6 2 4" xfId="15746" xr:uid="{00000000-0005-0000-0000-0000583D0000}"/>
    <cellStyle name="Normal 2 2 2 2 4 6 2 5" xfId="15747" xr:uid="{00000000-0005-0000-0000-0000593D0000}"/>
    <cellStyle name="Normal 2 2 2 2 4 6 2 6" xfId="15748" xr:uid="{00000000-0005-0000-0000-00005A3D0000}"/>
    <cellStyle name="Normal 2 2 2 2 4 6 2 7" xfId="15749" xr:uid="{00000000-0005-0000-0000-00005B3D0000}"/>
    <cellStyle name="Normal 2 2 2 2 4 6 2 8" xfId="15750" xr:uid="{00000000-0005-0000-0000-00005C3D0000}"/>
    <cellStyle name="Normal 2 2 2 2 4 6 2 9" xfId="15751" xr:uid="{00000000-0005-0000-0000-00005D3D0000}"/>
    <cellStyle name="Normal 2 2 2 2 4 6 3" xfId="15752" xr:uid="{00000000-0005-0000-0000-00005E3D0000}"/>
    <cellStyle name="Normal 2 2 2 2 4 6 3 10" xfId="15753" xr:uid="{00000000-0005-0000-0000-00005F3D0000}"/>
    <cellStyle name="Normal 2 2 2 2 4 6 3 2" xfId="15754" xr:uid="{00000000-0005-0000-0000-0000603D0000}"/>
    <cellStyle name="Normal 2 2 2 2 4 6 3 3" xfId="15755" xr:uid="{00000000-0005-0000-0000-0000613D0000}"/>
    <cellStyle name="Normal 2 2 2 2 4 6 3 4" xfId="15756" xr:uid="{00000000-0005-0000-0000-0000623D0000}"/>
    <cellStyle name="Normal 2 2 2 2 4 6 3 5" xfId="15757" xr:uid="{00000000-0005-0000-0000-0000633D0000}"/>
    <cellStyle name="Normal 2 2 2 2 4 6 3 6" xfId="15758" xr:uid="{00000000-0005-0000-0000-0000643D0000}"/>
    <cellStyle name="Normal 2 2 2 2 4 6 3 7" xfId="15759" xr:uid="{00000000-0005-0000-0000-0000653D0000}"/>
    <cellStyle name="Normal 2 2 2 2 4 6 3 8" xfId="15760" xr:uid="{00000000-0005-0000-0000-0000663D0000}"/>
    <cellStyle name="Normal 2 2 2 2 4 6 3 9" xfId="15761" xr:uid="{00000000-0005-0000-0000-0000673D0000}"/>
    <cellStyle name="Normal 2 2 2 2 4 6 4" xfId="15762" xr:uid="{00000000-0005-0000-0000-0000683D0000}"/>
    <cellStyle name="Normal 2 2 2 2 4 6 4 10" xfId="15763" xr:uid="{00000000-0005-0000-0000-0000693D0000}"/>
    <cellStyle name="Normal 2 2 2 2 4 6 4 2" xfId="15764" xr:uid="{00000000-0005-0000-0000-00006A3D0000}"/>
    <cellStyle name="Normal 2 2 2 2 4 6 4 3" xfId="15765" xr:uid="{00000000-0005-0000-0000-00006B3D0000}"/>
    <cellStyle name="Normal 2 2 2 2 4 6 4 4" xfId="15766" xr:uid="{00000000-0005-0000-0000-00006C3D0000}"/>
    <cellStyle name="Normal 2 2 2 2 4 6 4 5" xfId="15767" xr:uid="{00000000-0005-0000-0000-00006D3D0000}"/>
    <cellStyle name="Normal 2 2 2 2 4 6 4 6" xfId="15768" xr:uid="{00000000-0005-0000-0000-00006E3D0000}"/>
    <cellStyle name="Normal 2 2 2 2 4 6 4 7" xfId="15769" xr:uid="{00000000-0005-0000-0000-00006F3D0000}"/>
    <cellStyle name="Normal 2 2 2 2 4 6 4 8" xfId="15770" xr:uid="{00000000-0005-0000-0000-0000703D0000}"/>
    <cellStyle name="Normal 2 2 2 2 4 6 4 9" xfId="15771" xr:uid="{00000000-0005-0000-0000-0000713D0000}"/>
    <cellStyle name="Normal 2 2 2 2 4 6 5" xfId="15772" xr:uid="{00000000-0005-0000-0000-0000723D0000}"/>
    <cellStyle name="Normal 2 2 2 2 4 6 5 10" xfId="15773" xr:uid="{00000000-0005-0000-0000-0000733D0000}"/>
    <cellStyle name="Normal 2 2 2 2 4 6 5 2" xfId="15774" xr:uid="{00000000-0005-0000-0000-0000743D0000}"/>
    <cellStyle name="Normal 2 2 2 2 4 6 5 3" xfId="15775" xr:uid="{00000000-0005-0000-0000-0000753D0000}"/>
    <cellStyle name="Normal 2 2 2 2 4 6 5 4" xfId="15776" xr:uid="{00000000-0005-0000-0000-0000763D0000}"/>
    <cellStyle name="Normal 2 2 2 2 4 6 5 5" xfId="15777" xr:uid="{00000000-0005-0000-0000-0000773D0000}"/>
    <cellStyle name="Normal 2 2 2 2 4 6 5 6" xfId="15778" xr:uid="{00000000-0005-0000-0000-0000783D0000}"/>
    <cellStyle name="Normal 2 2 2 2 4 6 5 7" xfId="15779" xr:uid="{00000000-0005-0000-0000-0000793D0000}"/>
    <cellStyle name="Normal 2 2 2 2 4 6 5 8" xfId="15780" xr:uid="{00000000-0005-0000-0000-00007A3D0000}"/>
    <cellStyle name="Normal 2 2 2 2 4 6 5 9" xfId="15781" xr:uid="{00000000-0005-0000-0000-00007B3D0000}"/>
    <cellStyle name="Normal 2 2 2 2 4 6 6" xfId="15782" xr:uid="{00000000-0005-0000-0000-00007C3D0000}"/>
    <cellStyle name="Normal 2 2 2 2 4 6 7" xfId="15783" xr:uid="{00000000-0005-0000-0000-00007D3D0000}"/>
    <cellStyle name="Normal 2 2 2 2 4 6 8" xfId="15784" xr:uid="{00000000-0005-0000-0000-00007E3D0000}"/>
    <cellStyle name="Normal 2 2 2 2 4 6 9" xfId="15785" xr:uid="{00000000-0005-0000-0000-00007F3D0000}"/>
    <cellStyle name="Normal 2 2 2 2 4 7" xfId="15786" xr:uid="{00000000-0005-0000-0000-0000803D0000}"/>
    <cellStyle name="Normal 2 2 2 2 4 7 10" xfId="15787" xr:uid="{00000000-0005-0000-0000-0000813D0000}"/>
    <cellStyle name="Normal 2 2 2 2 4 7 11" xfId="15788" xr:uid="{00000000-0005-0000-0000-0000823D0000}"/>
    <cellStyle name="Normal 2 2 2 2 4 7 12" xfId="15789" xr:uid="{00000000-0005-0000-0000-0000833D0000}"/>
    <cellStyle name="Normal 2 2 2 2 4 7 13" xfId="15790" xr:uid="{00000000-0005-0000-0000-0000843D0000}"/>
    <cellStyle name="Normal 2 2 2 2 4 7 14" xfId="15791" xr:uid="{00000000-0005-0000-0000-0000853D0000}"/>
    <cellStyle name="Normal 2 2 2 2 4 7 2" xfId="15792" xr:uid="{00000000-0005-0000-0000-0000863D0000}"/>
    <cellStyle name="Normal 2 2 2 2 4 7 2 10" xfId="15793" xr:uid="{00000000-0005-0000-0000-0000873D0000}"/>
    <cellStyle name="Normal 2 2 2 2 4 7 2 2" xfId="15794" xr:uid="{00000000-0005-0000-0000-0000883D0000}"/>
    <cellStyle name="Normal 2 2 2 2 4 7 2 3" xfId="15795" xr:uid="{00000000-0005-0000-0000-0000893D0000}"/>
    <cellStyle name="Normal 2 2 2 2 4 7 2 4" xfId="15796" xr:uid="{00000000-0005-0000-0000-00008A3D0000}"/>
    <cellStyle name="Normal 2 2 2 2 4 7 2 5" xfId="15797" xr:uid="{00000000-0005-0000-0000-00008B3D0000}"/>
    <cellStyle name="Normal 2 2 2 2 4 7 2 6" xfId="15798" xr:uid="{00000000-0005-0000-0000-00008C3D0000}"/>
    <cellStyle name="Normal 2 2 2 2 4 7 2 7" xfId="15799" xr:uid="{00000000-0005-0000-0000-00008D3D0000}"/>
    <cellStyle name="Normal 2 2 2 2 4 7 2 8" xfId="15800" xr:uid="{00000000-0005-0000-0000-00008E3D0000}"/>
    <cellStyle name="Normal 2 2 2 2 4 7 2 9" xfId="15801" xr:uid="{00000000-0005-0000-0000-00008F3D0000}"/>
    <cellStyle name="Normal 2 2 2 2 4 7 3" xfId="15802" xr:uid="{00000000-0005-0000-0000-0000903D0000}"/>
    <cellStyle name="Normal 2 2 2 2 4 7 3 10" xfId="15803" xr:uid="{00000000-0005-0000-0000-0000913D0000}"/>
    <cellStyle name="Normal 2 2 2 2 4 7 3 2" xfId="15804" xr:uid="{00000000-0005-0000-0000-0000923D0000}"/>
    <cellStyle name="Normal 2 2 2 2 4 7 3 3" xfId="15805" xr:uid="{00000000-0005-0000-0000-0000933D0000}"/>
    <cellStyle name="Normal 2 2 2 2 4 7 3 4" xfId="15806" xr:uid="{00000000-0005-0000-0000-0000943D0000}"/>
    <cellStyle name="Normal 2 2 2 2 4 7 3 5" xfId="15807" xr:uid="{00000000-0005-0000-0000-0000953D0000}"/>
    <cellStyle name="Normal 2 2 2 2 4 7 3 6" xfId="15808" xr:uid="{00000000-0005-0000-0000-0000963D0000}"/>
    <cellStyle name="Normal 2 2 2 2 4 7 3 7" xfId="15809" xr:uid="{00000000-0005-0000-0000-0000973D0000}"/>
    <cellStyle name="Normal 2 2 2 2 4 7 3 8" xfId="15810" xr:uid="{00000000-0005-0000-0000-0000983D0000}"/>
    <cellStyle name="Normal 2 2 2 2 4 7 3 9" xfId="15811" xr:uid="{00000000-0005-0000-0000-0000993D0000}"/>
    <cellStyle name="Normal 2 2 2 2 4 7 4" xfId="15812" xr:uid="{00000000-0005-0000-0000-00009A3D0000}"/>
    <cellStyle name="Normal 2 2 2 2 4 7 4 10" xfId="15813" xr:uid="{00000000-0005-0000-0000-00009B3D0000}"/>
    <cellStyle name="Normal 2 2 2 2 4 7 4 2" xfId="15814" xr:uid="{00000000-0005-0000-0000-00009C3D0000}"/>
    <cellStyle name="Normal 2 2 2 2 4 7 4 3" xfId="15815" xr:uid="{00000000-0005-0000-0000-00009D3D0000}"/>
    <cellStyle name="Normal 2 2 2 2 4 7 4 4" xfId="15816" xr:uid="{00000000-0005-0000-0000-00009E3D0000}"/>
    <cellStyle name="Normal 2 2 2 2 4 7 4 5" xfId="15817" xr:uid="{00000000-0005-0000-0000-00009F3D0000}"/>
    <cellStyle name="Normal 2 2 2 2 4 7 4 6" xfId="15818" xr:uid="{00000000-0005-0000-0000-0000A03D0000}"/>
    <cellStyle name="Normal 2 2 2 2 4 7 4 7" xfId="15819" xr:uid="{00000000-0005-0000-0000-0000A13D0000}"/>
    <cellStyle name="Normal 2 2 2 2 4 7 4 8" xfId="15820" xr:uid="{00000000-0005-0000-0000-0000A23D0000}"/>
    <cellStyle name="Normal 2 2 2 2 4 7 4 9" xfId="15821" xr:uid="{00000000-0005-0000-0000-0000A33D0000}"/>
    <cellStyle name="Normal 2 2 2 2 4 7 5" xfId="15822" xr:uid="{00000000-0005-0000-0000-0000A43D0000}"/>
    <cellStyle name="Normal 2 2 2 2 4 7 5 10" xfId="15823" xr:uid="{00000000-0005-0000-0000-0000A53D0000}"/>
    <cellStyle name="Normal 2 2 2 2 4 7 5 2" xfId="15824" xr:uid="{00000000-0005-0000-0000-0000A63D0000}"/>
    <cellStyle name="Normal 2 2 2 2 4 7 5 3" xfId="15825" xr:uid="{00000000-0005-0000-0000-0000A73D0000}"/>
    <cellStyle name="Normal 2 2 2 2 4 7 5 4" xfId="15826" xr:uid="{00000000-0005-0000-0000-0000A83D0000}"/>
    <cellStyle name="Normal 2 2 2 2 4 7 5 5" xfId="15827" xr:uid="{00000000-0005-0000-0000-0000A93D0000}"/>
    <cellStyle name="Normal 2 2 2 2 4 7 5 6" xfId="15828" xr:uid="{00000000-0005-0000-0000-0000AA3D0000}"/>
    <cellStyle name="Normal 2 2 2 2 4 7 5 7" xfId="15829" xr:uid="{00000000-0005-0000-0000-0000AB3D0000}"/>
    <cellStyle name="Normal 2 2 2 2 4 7 5 8" xfId="15830" xr:uid="{00000000-0005-0000-0000-0000AC3D0000}"/>
    <cellStyle name="Normal 2 2 2 2 4 7 5 9" xfId="15831" xr:uid="{00000000-0005-0000-0000-0000AD3D0000}"/>
    <cellStyle name="Normal 2 2 2 2 4 7 6" xfId="15832" xr:uid="{00000000-0005-0000-0000-0000AE3D0000}"/>
    <cellStyle name="Normal 2 2 2 2 4 7 7" xfId="15833" xr:uid="{00000000-0005-0000-0000-0000AF3D0000}"/>
    <cellStyle name="Normal 2 2 2 2 4 7 8" xfId="15834" xr:uid="{00000000-0005-0000-0000-0000B03D0000}"/>
    <cellStyle name="Normal 2 2 2 2 4 7 9" xfId="15835" xr:uid="{00000000-0005-0000-0000-0000B13D0000}"/>
    <cellStyle name="Normal 2 2 2 2 4 8" xfId="15836" xr:uid="{00000000-0005-0000-0000-0000B23D0000}"/>
    <cellStyle name="Normal 2 2 2 2 4 8 10" xfId="15837" xr:uid="{00000000-0005-0000-0000-0000B33D0000}"/>
    <cellStyle name="Normal 2 2 2 2 4 8 11" xfId="15838" xr:uid="{00000000-0005-0000-0000-0000B43D0000}"/>
    <cellStyle name="Normal 2 2 2 2 4 8 12" xfId="15839" xr:uid="{00000000-0005-0000-0000-0000B53D0000}"/>
    <cellStyle name="Normal 2 2 2 2 4 8 13" xfId="15840" xr:uid="{00000000-0005-0000-0000-0000B63D0000}"/>
    <cellStyle name="Normal 2 2 2 2 4 8 14" xfId="15841" xr:uid="{00000000-0005-0000-0000-0000B73D0000}"/>
    <cellStyle name="Normal 2 2 2 2 4 8 2" xfId="15842" xr:uid="{00000000-0005-0000-0000-0000B83D0000}"/>
    <cellStyle name="Normal 2 2 2 2 4 8 2 10" xfId="15843" xr:uid="{00000000-0005-0000-0000-0000B93D0000}"/>
    <cellStyle name="Normal 2 2 2 2 4 8 2 2" xfId="15844" xr:uid="{00000000-0005-0000-0000-0000BA3D0000}"/>
    <cellStyle name="Normal 2 2 2 2 4 8 2 3" xfId="15845" xr:uid="{00000000-0005-0000-0000-0000BB3D0000}"/>
    <cellStyle name="Normal 2 2 2 2 4 8 2 4" xfId="15846" xr:uid="{00000000-0005-0000-0000-0000BC3D0000}"/>
    <cellStyle name="Normal 2 2 2 2 4 8 2 5" xfId="15847" xr:uid="{00000000-0005-0000-0000-0000BD3D0000}"/>
    <cellStyle name="Normal 2 2 2 2 4 8 2 6" xfId="15848" xr:uid="{00000000-0005-0000-0000-0000BE3D0000}"/>
    <cellStyle name="Normal 2 2 2 2 4 8 2 7" xfId="15849" xr:uid="{00000000-0005-0000-0000-0000BF3D0000}"/>
    <cellStyle name="Normal 2 2 2 2 4 8 2 8" xfId="15850" xr:uid="{00000000-0005-0000-0000-0000C03D0000}"/>
    <cellStyle name="Normal 2 2 2 2 4 8 2 9" xfId="15851" xr:uid="{00000000-0005-0000-0000-0000C13D0000}"/>
    <cellStyle name="Normal 2 2 2 2 4 8 3" xfId="15852" xr:uid="{00000000-0005-0000-0000-0000C23D0000}"/>
    <cellStyle name="Normal 2 2 2 2 4 8 3 10" xfId="15853" xr:uid="{00000000-0005-0000-0000-0000C33D0000}"/>
    <cellStyle name="Normal 2 2 2 2 4 8 3 2" xfId="15854" xr:uid="{00000000-0005-0000-0000-0000C43D0000}"/>
    <cellStyle name="Normal 2 2 2 2 4 8 3 3" xfId="15855" xr:uid="{00000000-0005-0000-0000-0000C53D0000}"/>
    <cellStyle name="Normal 2 2 2 2 4 8 3 4" xfId="15856" xr:uid="{00000000-0005-0000-0000-0000C63D0000}"/>
    <cellStyle name="Normal 2 2 2 2 4 8 3 5" xfId="15857" xr:uid="{00000000-0005-0000-0000-0000C73D0000}"/>
    <cellStyle name="Normal 2 2 2 2 4 8 3 6" xfId="15858" xr:uid="{00000000-0005-0000-0000-0000C83D0000}"/>
    <cellStyle name="Normal 2 2 2 2 4 8 3 7" xfId="15859" xr:uid="{00000000-0005-0000-0000-0000C93D0000}"/>
    <cellStyle name="Normal 2 2 2 2 4 8 3 8" xfId="15860" xr:uid="{00000000-0005-0000-0000-0000CA3D0000}"/>
    <cellStyle name="Normal 2 2 2 2 4 8 3 9" xfId="15861" xr:uid="{00000000-0005-0000-0000-0000CB3D0000}"/>
    <cellStyle name="Normal 2 2 2 2 4 8 4" xfId="15862" xr:uid="{00000000-0005-0000-0000-0000CC3D0000}"/>
    <cellStyle name="Normal 2 2 2 2 4 8 4 10" xfId="15863" xr:uid="{00000000-0005-0000-0000-0000CD3D0000}"/>
    <cellStyle name="Normal 2 2 2 2 4 8 4 2" xfId="15864" xr:uid="{00000000-0005-0000-0000-0000CE3D0000}"/>
    <cellStyle name="Normal 2 2 2 2 4 8 4 3" xfId="15865" xr:uid="{00000000-0005-0000-0000-0000CF3D0000}"/>
    <cellStyle name="Normal 2 2 2 2 4 8 4 4" xfId="15866" xr:uid="{00000000-0005-0000-0000-0000D03D0000}"/>
    <cellStyle name="Normal 2 2 2 2 4 8 4 5" xfId="15867" xr:uid="{00000000-0005-0000-0000-0000D13D0000}"/>
    <cellStyle name="Normal 2 2 2 2 4 8 4 6" xfId="15868" xr:uid="{00000000-0005-0000-0000-0000D23D0000}"/>
    <cellStyle name="Normal 2 2 2 2 4 8 4 7" xfId="15869" xr:uid="{00000000-0005-0000-0000-0000D33D0000}"/>
    <cellStyle name="Normal 2 2 2 2 4 8 4 8" xfId="15870" xr:uid="{00000000-0005-0000-0000-0000D43D0000}"/>
    <cellStyle name="Normal 2 2 2 2 4 8 4 9" xfId="15871" xr:uid="{00000000-0005-0000-0000-0000D53D0000}"/>
    <cellStyle name="Normal 2 2 2 2 4 8 5" xfId="15872" xr:uid="{00000000-0005-0000-0000-0000D63D0000}"/>
    <cellStyle name="Normal 2 2 2 2 4 8 5 10" xfId="15873" xr:uid="{00000000-0005-0000-0000-0000D73D0000}"/>
    <cellStyle name="Normal 2 2 2 2 4 8 5 2" xfId="15874" xr:uid="{00000000-0005-0000-0000-0000D83D0000}"/>
    <cellStyle name="Normal 2 2 2 2 4 8 5 3" xfId="15875" xr:uid="{00000000-0005-0000-0000-0000D93D0000}"/>
    <cellStyle name="Normal 2 2 2 2 4 8 5 4" xfId="15876" xr:uid="{00000000-0005-0000-0000-0000DA3D0000}"/>
    <cellStyle name="Normal 2 2 2 2 4 8 5 5" xfId="15877" xr:uid="{00000000-0005-0000-0000-0000DB3D0000}"/>
    <cellStyle name="Normal 2 2 2 2 4 8 5 6" xfId="15878" xr:uid="{00000000-0005-0000-0000-0000DC3D0000}"/>
    <cellStyle name="Normal 2 2 2 2 4 8 5 7" xfId="15879" xr:uid="{00000000-0005-0000-0000-0000DD3D0000}"/>
    <cellStyle name="Normal 2 2 2 2 4 8 5 8" xfId="15880" xr:uid="{00000000-0005-0000-0000-0000DE3D0000}"/>
    <cellStyle name="Normal 2 2 2 2 4 8 5 9" xfId="15881" xr:uid="{00000000-0005-0000-0000-0000DF3D0000}"/>
    <cellStyle name="Normal 2 2 2 2 4 8 6" xfId="15882" xr:uid="{00000000-0005-0000-0000-0000E03D0000}"/>
    <cellStyle name="Normal 2 2 2 2 4 8 7" xfId="15883" xr:uid="{00000000-0005-0000-0000-0000E13D0000}"/>
    <cellStyle name="Normal 2 2 2 2 4 8 8" xfId="15884" xr:uid="{00000000-0005-0000-0000-0000E23D0000}"/>
    <cellStyle name="Normal 2 2 2 2 4 8 9" xfId="15885" xr:uid="{00000000-0005-0000-0000-0000E33D0000}"/>
    <cellStyle name="Normal 2 2 2 2 4 9" xfId="15886" xr:uid="{00000000-0005-0000-0000-0000E43D0000}"/>
    <cellStyle name="Normal 2 2 2 2 4 9 10" xfId="15887" xr:uid="{00000000-0005-0000-0000-0000E53D0000}"/>
    <cellStyle name="Normal 2 2 2 2 4 9 11" xfId="15888" xr:uid="{00000000-0005-0000-0000-0000E63D0000}"/>
    <cellStyle name="Normal 2 2 2 2 4 9 12" xfId="15889" xr:uid="{00000000-0005-0000-0000-0000E73D0000}"/>
    <cellStyle name="Normal 2 2 2 2 4 9 13" xfId="15890" xr:uid="{00000000-0005-0000-0000-0000E83D0000}"/>
    <cellStyle name="Normal 2 2 2 2 4 9 14" xfId="15891" xr:uid="{00000000-0005-0000-0000-0000E93D0000}"/>
    <cellStyle name="Normal 2 2 2 2 4 9 2" xfId="15892" xr:uid="{00000000-0005-0000-0000-0000EA3D0000}"/>
    <cellStyle name="Normal 2 2 2 2 4 9 2 10" xfId="15893" xr:uid="{00000000-0005-0000-0000-0000EB3D0000}"/>
    <cellStyle name="Normal 2 2 2 2 4 9 2 2" xfId="15894" xr:uid="{00000000-0005-0000-0000-0000EC3D0000}"/>
    <cellStyle name="Normal 2 2 2 2 4 9 2 3" xfId="15895" xr:uid="{00000000-0005-0000-0000-0000ED3D0000}"/>
    <cellStyle name="Normal 2 2 2 2 4 9 2 4" xfId="15896" xr:uid="{00000000-0005-0000-0000-0000EE3D0000}"/>
    <cellStyle name="Normal 2 2 2 2 4 9 2 5" xfId="15897" xr:uid="{00000000-0005-0000-0000-0000EF3D0000}"/>
    <cellStyle name="Normal 2 2 2 2 4 9 2 6" xfId="15898" xr:uid="{00000000-0005-0000-0000-0000F03D0000}"/>
    <cellStyle name="Normal 2 2 2 2 4 9 2 7" xfId="15899" xr:uid="{00000000-0005-0000-0000-0000F13D0000}"/>
    <cellStyle name="Normal 2 2 2 2 4 9 2 8" xfId="15900" xr:uid="{00000000-0005-0000-0000-0000F23D0000}"/>
    <cellStyle name="Normal 2 2 2 2 4 9 2 9" xfId="15901" xr:uid="{00000000-0005-0000-0000-0000F33D0000}"/>
    <cellStyle name="Normal 2 2 2 2 4 9 3" xfId="15902" xr:uid="{00000000-0005-0000-0000-0000F43D0000}"/>
    <cellStyle name="Normal 2 2 2 2 4 9 3 10" xfId="15903" xr:uid="{00000000-0005-0000-0000-0000F53D0000}"/>
    <cellStyle name="Normal 2 2 2 2 4 9 3 2" xfId="15904" xr:uid="{00000000-0005-0000-0000-0000F63D0000}"/>
    <cellStyle name="Normal 2 2 2 2 4 9 3 3" xfId="15905" xr:uid="{00000000-0005-0000-0000-0000F73D0000}"/>
    <cellStyle name="Normal 2 2 2 2 4 9 3 4" xfId="15906" xr:uid="{00000000-0005-0000-0000-0000F83D0000}"/>
    <cellStyle name="Normal 2 2 2 2 4 9 3 5" xfId="15907" xr:uid="{00000000-0005-0000-0000-0000F93D0000}"/>
    <cellStyle name="Normal 2 2 2 2 4 9 3 6" xfId="15908" xr:uid="{00000000-0005-0000-0000-0000FA3D0000}"/>
    <cellStyle name="Normal 2 2 2 2 4 9 3 7" xfId="15909" xr:uid="{00000000-0005-0000-0000-0000FB3D0000}"/>
    <cellStyle name="Normal 2 2 2 2 4 9 3 8" xfId="15910" xr:uid="{00000000-0005-0000-0000-0000FC3D0000}"/>
    <cellStyle name="Normal 2 2 2 2 4 9 3 9" xfId="15911" xr:uid="{00000000-0005-0000-0000-0000FD3D0000}"/>
    <cellStyle name="Normal 2 2 2 2 4 9 4" xfId="15912" xr:uid="{00000000-0005-0000-0000-0000FE3D0000}"/>
    <cellStyle name="Normal 2 2 2 2 4 9 4 10" xfId="15913" xr:uid="{00000000-0005-0000-0000-0000FF3D0000}"/>
    <cellStyle name="Normal 2 2 2 2 4 9 4 2" xfId="15914" xr:uid="{00000000-0005-0000-0000-0000003E0000}"/>
    <cellStyle name="Normal 2 2 2 2 4 9 4 3" xfId="15915" xr:uid="{00000000-0005-0000-0000-0000013E0000}"/>
    <cellStyle name="Normal 2 2 2 2 4 9 4 4" xfId="15916" xr:uid="{00000000-0005-0000-0000-0000023E0000}"/>
    <cellStyle name="Normal 2 2 2 2 4 9 4 5" xfId="15917" xr:uid="{00000000-0005-0000-0000-0000033E0000}"/>
    <cellStyle name="Normal 2 2 2 2 4 9 4 6" xfId="15918" xr:uid="{00000000-0005-0000-0000-0000043E0000}"/>
    <cellStyle name="Normal 2 2 2 2 4 9 4 7" xfId="15919" xr:uid="{00000000-0005-0000-0000-0000053E0000}"/>
    <cellStyle name="Normal 2 2 2 2 4 9 4 8" xfId="15920" xr:uid="{00000000-0005-0000-0000-0000063E0000}"/>
    <cellStyle name="Normal 2 2 2 2 4 9 4 9" xfId="15921" xr:uid="{00000000-0005-0000-0000-0000073E0000}"/>
    <cellStyle name="Normal 2 2 2 2 4 9 5" xfId="15922" xr:uid="{00000000-0005-0000-0000-0000083E0000}"/>
    <cellStyle name="Normal 2 2 2 2 4 9 5 10" xfId="15923" xr:uid="{00000000-0005-0000-0000-0000093E0000}"/>
    <cellStyle name="Normal 2 2 2 2 4 9 5 2" xfId="15924" xr:uid="{00000000-0005-0000-0000-00000A3E0000}"/>
    <cellStyle name="Normal 2 2 2 2 4 9 5 3" xfId="15925" xr:uid="{00000000-0005-0000-0000-00000B3E0000}"/>
    <cellStyle name="Normal 2 2 2 2 4 9 5 4" xfId="15926" xr:uid="{00000000-0005-0000-0000-00000C3E0000}"/>
    <cellStyle name="Normal 2 2 2 2 4 9 5 5" xfId="15927" xr:uid="{00000000-0005-0000-0000-00000D3E0000}"/>
    <cellStyle name="Normal 2 2 2 2 4 9 5 6" xfId="15928" xr:uid="{00000000-0005-0000-0000-00000E3E0000}"/>
    <cellStyle name="Normal 2 2 2 2 4 9 5 7" xfId="15929" xr:uid="{00000000-0005-0000-0000-00000F3E0000}"/>
    <cellStyle name="Normal 2 2 2 2 4 9 5 8" xfId="15930" xr:uid="{00000000-0005-0000-0000-0000103E0000}"/>
    <cellStyle name="Normal 2 2 2 2 4 9 5 9" xfId="15931" xr:uid="{00000000-0005-0000-0000-0000113E0000}"/>
    <cellStyle name="Normal 2 2 2 2 4 9 6" xfId="15932" xr:uid="{00000000-0005-0000-0000-0000123E0000}"/>
    <cellStyle name="Normal 2 2 2 2 4 9 7" xfId="15933" xr:uid="{00000000-0005-0000-0000-0000133E0000}"/>
    <cellStyle name="Normal 2 2 2 2 4 9 8" xfId="15934" xr:uid="{00000000-0005-0000-0000-0000143E0000}"/>
    <cellStyle name="Normal 2 2 2 2 4 9 9" xfId="15935" xr:uid="{00000000-0005-0000-0000-0000153E0000}"/>
    <cellStyle name="Normal 2 2 2 2 40" xfId="15936" xr:uid="{00000000-0005-0000-0000-0000163E0000}"/>
    <cellStyle name="Normal 2 2 2 2 40 10" xfId="15937" xr:uid="{00000000-0005-0000-0000-0000173E0000}"/>
    <cellStyle name="Normal 2 2 2 2 40 2" xfId="15938" xr:uid="{00000000-0005-0000-0000-0000183E0000}"/>
    <cellStyle name="Normal 2 2 2 2 40 3" xfId="15939" xr:uid="{00000000-0005-0000-0000-0000193E0000}"/>
    <cellStyle name="Normal 2 2 2 2 40 4" xfId="15940" xr:uid="{00000000-0005-0000-0000-00001A3E0000}"/>
    <cellStyle name="Normal 2 2 2 2 40 5" xfId="15941" xr:uid="{00000000-0005-0000-0000-00001B3E0000}"/>
    <cellStyle name="Normal 2 2 2 2 40 6" xfId="15942" xr:uid="{00000000-0005-0000-0000-00001C3E0000}"/>
    <cellStyle name="Normal 2 2 2 2 40 7" xfId="15943" xr:uid="{00000000-0005-0000-0000-00001D3E0000}"/>
    <cellStyle name="Normal 2 2 2 2 40 8" xfId="15944" xr:uid="{00000000-0005-0000-0000-00001E3E0000}"/>
    <cellStyle name="Normal 2 2 2 2 40 9" xfId="15945" xr:uid="{00000000-0005-0000-0000-00001F3E0000}"/>
    <cellStyle name="Normal 2 2 2 2 41" xfId="15946" xr:uid="{00000000-0005-0000-0000-0000203E0000}"/>
    <cellStyle name="Normal 2 2 2 2 42" xfId="15947" xr:uid="{00000000-0005-0000-0000-0000213E0000}"/>
    <cellStyle name="Normal 2 2 2 2 43" xfId="15948" xr:uid="{00000000-0005-0000-0000-0000223E0000}"/>
    <cellStyle name="Normal 2 2 2 2 44" xfId="15949" xr:uid="{00000000-0005-0000-0000-0000233E0000}"/>
    <cellStyle name="Normal 2 2 2 2 45" xfId="15950" xr:uid="{00000000-0005-0000-0000-0000243E0000}"/>
    <cellStyle name="Normal 2 2 2 2 46" xfId="15951" xr:uid="{00000000-0005-0000-0000-0000253E0000}"/>
    <cellStyle name="Normal 2 2 2 2 47" xfId="15952" xr:uid="{00000000-0005-0000-0000-0000263E0000}"/>
    <cellStyle name="Normal 2 2 2 2 48" xfId="15953" xr:uid="{00000000-0005-0000-0000-0000273E0000}"/>
    <cellStyle name="Normal 2 2 2 2 49" xfId="15954" xr:uid="{00000000-0005-0000-0000-0000283E0000}"/>
    <cellStyle name="Normal 2 2 2 2 5" xfId="15955" xr:uid="{00000000-0005-0000-0000-0000293E0000}"/>
    <cellStyle name="Normal 2 2 2 2 5 10" xfId="15956" xr:uid="{00000000-0005-0000-0000-00002A3E0000}"/>
    <cellStyle name="Normal 2 2 2 2 5 10 10" xfId="15957" xr:uid="{00000000-0005-0000-0000-00002B3E0000}"/>
    <cellStyle name="Normal 2 2 2 2 5 10 11" xfId="15958" xr:uid="{00000000-0005-0000-0000-00002C3E0000}"/>
    <cellStyle name="Normal 2 2 2 2 5 10 12" xfId="15959" xr:uid="{00000000-0005-0000-0000-00002D3E0000}"/>
    <cellStyle name="Normal 2 2 2 2 5 10 13" xfId="15960" xr:uid="{00000000-0005-0000-0000-00002E3E0000}"/>
    <cellStyle name="Normal 2 2 2 2 5 10 14" xfId="15961" xr:uid="{00000000-0005-0000-0000-00002F3E0000}"/>
    <cellStyle name="Normal 2 2 2 2 5 10 2" xfId="15962" xr:uid="{00000000-0005-0000-0000-0000303E0000}"/>
    <cellStyle name="Normal 2 2 2 2 5 10 2 10" xfId="15963" xr:uid="{00000000-0005-0000-0000-0000313E0000}"/>
    <cellStyle name="Normal 2 2 2 2 5 10 2 2" xfId="15964" xr:uid="{00000000-0005-0000-0000-0000323E0000}"/>
    <cellStyle name="Normal 2 2 2 2 5 10 2 3" xfId="15965" xr:uid="{00000000-0005-0000-0000-0000333E0000}"/>
    <cellStyle name="Normal 2 2 2 2 5 10 2 4" xfId="15966" xr:uid="{00000000-0005-0000-0000-0000343E0000}"/>
    <cellStyle name="Normal 2 2 2 2 5 10 2 5" xfId="15967" xr:uid="{00000000-0005-0000-0000-0000353E0000}"/>
    <cellStyle name="Normal 2 2 2 2 5 10 2 6" xfId="15968" xr:uid="{00000000-0005-0000-0000-0000363E0000}"/>
    <cellStyle name="Normal 2 2 2 2 5 10 2 7" xfId="15969" xr:uid="{00000000-0005-0000-0000-0000373E0000}"/>
    <cellStyle name="Normal 2 2 2 2 5 10 2 8" xfId="15970" xr:uid="{00000000-0005-0000-0000-0000383E0000}"/>
    <cellStyle name="Normal 2 2 2 2 5 10 2 9" xfId="15971" xr:uid="{00000000-0005-0000-0000-0000393E0000}"/>
    <cellStyle name="Normal 2 2 2 2 5 10 3" xfId="15972" xr:uid="{00000000-0005-0000-0000-00003A3E0000}"/>
    <cellStyle name="Normal 2 2 2 2 5 10 3 10" xfId="15973" xr:uid="{00000000-0005-0000-0000-00003B3E0000}"/>
    <cellStyle name="Normal 2 2 2 2 5 10 3 2" xfId="15974" xr:uid="{00000000-0005-0000-0000-00003C3E0000}"/>
    <cellStyle name="Normal 2 2 2 2 5 10 3 3" xfId="15975" xr:uid="{00000000-0005-0000-0000-00003D3E0000}"/>
    <cellStyle name="Normal 2 2 2 2 5 10 3 4" xfId="15976" xr:uid="{00000000-0005-0000-0000-00003E3E0000}"/>
    <cellStyle name="Normal 2 2 2 2 5 10 3 5" xfId="15977" xr:uid="{00000000-0005-0000-0000-00003F3E0000}"/>
    <cellStyle name="Normal 2 2 2 2 5 10 3 6" xfId="15978" xr:uid="{00000000-0005-0000-0000-0000403E0000}"/>
    <cellStyle name="Normal 2 2 2 2 5 10 3 7" xfId="15979" xr:uid="{00000000-0005-0000-0000-0000413E0000}"/>
    <cellStyle name="Normal 2 2 2 2 5 10 3 8" xfId="15980" xr:uid="{00000000-0005-0000-0000-0000423E0000}"/>
    <cellStyle name="Normal 2 2 2 2 5 10 3 9" xfId="15981" xr:uid="{00000000-0005-0000-0000-0000433E0000}"/>
    <cellStyle name="Normal 2 2 2 2 5 10 4" xfId="15982" xr:uid="{00000000-0005-0000-0000-0000443E0000}"/>
    <cellStyle name="Normal 2 2 2 2 5 10 4 10" xfId="15983" xr:uid="{00000000-0005-0000-0000-0000453E0000}"/>
    <cellStyle name="Normal 2 2 2 2 5 10 4 2" xfId="15984" xr:uid="{00000000-0005-0000-0000-0000463E0000}"/>
    <cellStyle name="Normal 2 2 2 2 5 10 4 3" xfId="15985" xr:uid="{00000000-0005-0000-0000-0000473E0000}"/>
    <cellStyle name="Normal 2 2 2 2 5 10 4 4" xfId="15986" xr:uid="{00000000-0005-0000-0000-0000483E0000}"/>
    <cellStyle name="Normal 2 2 2 2 5 10 4 5" xfId="15987" xr:uid="{00000000-0005-0000-0000-0000493E0000}"/>
    <cellStyle name="Normal 2 2 2 2 5 10 4 6" xfId="15988" xr:uid="{00000000-0005-0000-0000-00004A3E0000}"/>
    <cellStyle name="Normal 2 2 2 2 5 10 4 7" xfId="15989" xr:uid="{00000000-0005-0000-0000-00004B3E0000}"/>
    <cellStyle name="Normal 2 2 2 2 5 10 4 8" xfId="15990" xr:uid="{00000000-0005-0000-0000-00004C3E0000}"/>
    <cellStyle name="Normal 2 2 2 2 5 10 4 9" xfId="15991" xr:uid="{00000000-0005-0000-0000-00004D3E0000}"/>
    <cellStyle name="Normal 2 2 2 2 5 10 5" xfId="15992" xr:uid="{00000000-0005-0000-0000-00004E3E0000}"/>
    <cellStyle name="Normal 2 2 2 2 5 10 5 10" xfId="15993" xr:uid="{00000000-0005-0000-0000-00004F3E0000}"/>
    <cellStyle name="Normal 2 2 2 2 5 10 5 2" xfId="15994" xr:uid="{00000000-0005-0000-0000-0000503E0000}"/>
    <cellStyle name="Normal 2 2 2 2 5 10 5 3" xfId="15995" xr:uid="{00000000-0005-0000-0000-0000513E0000}"/>
    <cellStyle name="Normal 2 2 2 2 5 10 5 4" xfId="15996" xr:uid="{00000000-0005-0000-0000-0000523E0000}"/>
    <cellStyle name="Normal 2 2 2 2 5 10 5 5" xfId="15997" xr:uid="{00000000-0005-0000-0000-0000533E0000}"/>
    <cellStyle name="Normal 2 2 2 2 5 10 5 6" xfId="15998" xr:uid="{00000000-0005-0000-0000-0000543E0000}"/>
    <cellStyle name="Normal 2 2 2 2 5 10 5 7" xfId="15999" xr:uid="{00000000-0005-0000-0000-0000553E0000}"/>
    <cellStyle name="Normal 2 2 2 2 5 10 5 8" xfId="16000" xr:uid="{00000000-0005-0000-0000-0000563E0000}"/>
    <cellStyle name="Normal 2 2 2 2 5 10 5 9" xfId="16001" xr:uid="{00000000-0005-0000-0000-0000573E0000}"/>
    <cellStyle name="Normal 2 2 2 2 5 10 6" xfId="16002" xr:uid="{00000000-0005-0000-0000-0000583E0000}"/>
    <cellStyle name="Normal 2 2 2 2 5 10 7" xfId="16003" xr:uid="{00000000-0005-0000-0000-0000593E0000}"/>
    <cellStyle name="Normal 2 2 2 2 5 10 8" xfId="16004" xr:uid="{00000000-0005-0000-0000-00005A3E0000}"/>
    <cellStyle name="Normal 2 2 2 2 5 10 9" xfId="16005" xr:uid="{00000000-0005-0000-0000-00005B3E0000}"/>
    <cellStyle name="Normal 2 2 2 2 5 11" xfId="16006" xr:uid="{00000000-0005-0000-0000-00005C3E0000}"/>
    <cellStyle name="Normal 2 2 2 2 5 11 10" xfId="16007" xr:uid="{00000000-0005-0000-0000-00005D3E0000}"/>
    <cellStyle name="Normal 2 2 2 2 5 11 11" xfId="16008" xr:uid="{00000000-0005-0000-0000-00005E3E0000}"/>
    <cellStyle name="Normal 2 2 2 2 5 11 12" xfId="16009" xr:uid="{00000000-0005-0000-0000-00005F3E0000}"/>
    <cellStyle name="Normal 2 2 2 2 5 11 13" xfId="16010" xr:uid="{00000000-0005-0000-0000-0000603E0000}"/>
    <cellStyle name="Normal 2 2 2 2 5 11 14" xfId="16011" xr:uid="{00000000-0005-0000-0000-0000613E0000}"/>
    <cellStyle name="Normal 2 2 2 2 5 11 2" xfId="16012" xr:uid="{00000000-0005-0000-0000-0000623E0000}"/>
    <cellStyle name="Normal 2 2 2 2 5 11 2 10" xfId="16013" xr:uid="{00000000-0005-0000-0000-0000633E0000}"/>
    <cellStyle name="Normal 2 2 2 2 5 11 2 2" xfId="16014" xr:uid="{00000000-0005-0000-0000-0000643E0000}"/>
    <cellStyle name="Normal 2 2 2 2 5 11 2 3" xfId="16015" xr:uid="{00000000-0005-0000-0000-0000653E0000}"/>
    <cellStyle name="Normal 2 2 2 2 5 11 2 4" xfId="16016" xr:uid="{00000000-0005-0000-0000-0000663E0000}"/>
    <cellStyle name="Normal 2 2 2 2 5 11 2 5" xfId="16017" xr:uid="{00000000-0005-0000-0000-0000673E0000}"/>
    <cellStyle name="Normal 2 2 2 2 5 11 2 6" xfId="16018" xr:uid="{00000000-0005-0000-0000-0000683E0000}"/>
    <cellStyle name="Normal 2 2 2 2 5 11 2 7" xfId="16019" xr:uid="{00000000-0005-0000-0000-0000693E0000}"/>
    <cellStyle name="Normal 2 2 2 2 5 11 2 8" xfId="16020" xr:uid="{00000000-0005-0000-0000-00006A3E0000}"/>
    <cellStyle name="Normal 2 2 2 2 5 11 2 9" xfId="16021" xr:uid="{00000000-0005-0000-0000-00006B3E0000}"/>
    <cellStyle name="Normal 2 2 2 2 5 11 3" xfId="16022" xr:uid="{00000000-0005-0000-0000-00006C3E0000}"/>
    <cellStyle name="Normal 2 2 2 2 5 11 3 10" xfId="16023" xr:uid="{00000000-0005-0000-0000-00006D3E0000}"/>
    <cellStyle name="Normal 2 2 2 2 5 11 3 2" xfId="16024" xr:uid="{00000000-0005-0000-0000-00006E3E0000}"/>
    <cellStyle name="Normal 2 2 2 2 5 11 3 3" xfId="16025" xr:uid="{00000000-0005-0000-0000-00006F3E0000}"/>
    <cellStyle name="Normal 2 2 2 2 5 11 3 4" xfId="16026" xr:uid="{00000000-0005-0000-0000-0000703E0000}"/>
    <cellStyle name="Normal 2 2 2 2 5 11 3 5" xfId="16027" xr:uid="{00000000-0005-0000-0000-0000713E0000}"/>
    <cellStyle name="Normal 2 2 2 2 5 11 3 6" xfId="16028" xr:uid="{00000000-0005-0000-0000-0000723E0000}"/>
    <cellStyle name="Normal 2 2 2 2 5 11 3 7" xfId="16029" xr:uid="{00000000-0005-0000-0000-0000733E0000}"/>
    <cellStyle name="Normal 2 2 2 2 5 11 3 8" xfId="16030" xr:uid="{00000000-0005-0000-0000-0000743E0000}"/>
    <cellStyle name="Normal 2 2 2 2 5 11 3 9" xfId="16031" xr:uid="{00000000-0005-0000-0000-0000753E0000}"/>
    <cellStyle name="Normal 2 2 2 2 5 11 4" xfId="16032" xr:uid="{00000000-0005-0000-0000-0000763E0000}"/>
    <cellStyle name="Normal 2 2 2 2 5 11 4 10" xfId="16033" xr:uid="{00000000-0005-0000-0000-0000773E0000}"/>
    <cellStyle name="Normal 2 2 2 2 5 11 4 2" xfId="16034" xr:uid="{00000000-0005-0000-0000-0000783E0000}"/>
    <cellStyle name="Normal 2 2 2 2 5 11 4 3" xfId="16035" xr:uid="{00000000-0005-0000-0000-0000793E0000}"/>
    <cellStyle name="Normal 2 2 2 2 5 11 4 4" xfId="16036" xr:uid="{00000000-0005-0000-0000-00007A3E0000}"/>
    <cellStyle name="Normal 2 2 2 2 5 11 4 5" xfId="16037" xr:uid="{00000000-0005-0000-0000-00007B3E0000}"/>
    <cellStyle name="Normal 2 2 2 2 5 11 4 6" xfId="16038" xr:uid="{00000000-0005-0000-0000-00007C3E0000}"/>
    <cellStyle name="Normal 2 2 2 2 5 11 4 7" xfId="16039" xr:uid="{00000000-0005-0000-0000-00007D3E0000}"/>
    <cellStyle name="Normal 2 2 2 2 5 11 4 8" xfId="16040" xr:uid="{00000000-0005-0000-0000-00007E3E0000}"/>
    <cellStyle name="Normal 2 2 2 2 5 11 4 9" xfId="16041" xr:uid="{00000000-0005-0000-0000-00007F3E0000}"/>
    <cellStyle name="Normal 2 2 2 2 5 11 5" xfId="16042" xr:uid="{00000000-0005-0000-0000-0000803E0000}"/>
    <cellStyle name="Normal 2 2 2 2 5 11 5 10" xfId="16043" xr:uid="{00000000-0005-0000-0000-0000813E0000}"/>
    <cellStyle name="Normal 2 2 2 2 5 11 5 2" xfId="16044" xr:uid="{00000000-0005-0000-0000-0000823E0000}"/>
    <cellStyle name="Normal 2 2 2 2 5 11 5 3" xfId="16045" xr:uid="{00000000-0005-0000-0000-0000833E0000}"/>
    <cellStyle name="Normal 2 2 2 2 5 11 5 4" xfId="16046" xr:uid="{00000000-0005-0000-0000-0000843E0000}"/>
    <cellStyle name="Normal 2 2 2 2 5 11 5 5" xfId="16047" xr:uid="{00000000-0005-0000-0000-0000853E0000}"/>
    <cellStyle name="Normal 2 2 2 2 5 11 5 6" xfId="16048" xr:uid="{00000000-0005-0000-0000-0000863E0000}"/>
    <cellStyle name="Normal 2 2 2 2 5 11 5 7" xfId="16049" xr:uid="{00000000-0005-0000-0000-0000873E0000}"/>
    <cellStyle name="Normal 2 2 2 2 5 11 5 8" xfId="16050" xr:uid="{00000000-0005-0000-0000-0000883E0000}"/>
    <cellStyle name="Normal 2 2 2 2 5 11 5 9" xfId="16051" xr:uid="{00000000-0005-0000-0000-0000893E0000}"/>
    <cellStyle name="Normal 2 2 2 2 5 11 6" xfId="16052" xr:uid="{00000000-0005-0000-0000-00008A3E0000}"/>
    <cellStyle name="Normal 2 2 2 2 5 11 7" xfId="16053" xr:uid="{00000000-0005-0000-0000-00008B3E0000}"/>
    <cellStyle name="Normal 2 2 2 2 5 11 8" xfId="16054" xr:uid="{00000000-0005-0000-0000-00008C3E0000}"/>
    <cellStyle name="Normal 2 2 2 2 5 11 9" xfId="16055" xr:uid="{00000000-0005-0000-0000-00008D3E0000}"/>
    <cellStyle name="Normal 2 2 2 2 5 12" xfId="16056" xr:uid="{00000000-0005-0000-0000-00008E3E0000}"/>
    <cellStyle name="Normal 2 2 2 2 5 12 10" xfId="16057" xr:uid="{00000000-0005-0000-0000-00008F3E0000}"/>
    <cellStyle name="Normal 2 2 2 2 5 12 11" xfId="16058" xr:uid="{00000000-0005-0000-0000-0000903E0000}"/>
    <cellStyle name="Normal 2 2 2 2 5 12 12" xfId="16059" xr:uid="{00000000-0005-0000-0000-0000913E0000}"/>
    <cellStyle name="Normal 2 2 2 2 5 12 13" xfId="16060" xr:uid="{00000000-0005-0000-0000-0000923E0000}"/>
    <cellStyle name="Normal 2 2 2 2 5 12 14" xfId="16061" xr:uid="{00000000-0005-0000-0000-0000933E0000}"/>
    <cellStyle name="Normal 2 2 2 2 5 12 2" xfId="16062" xr:uid="{00000000-0005-0000-0000-0000943E0000}"/>
    <cellStyle name="Normal 2 2 2 2 5 12 2 10" xfId="16063" xr:uid="{00000000-0005-0000-0000-0000953E0000}"/>
    <cellStyle name="Normal 2 2 2 2 5 12 2 2" xfId="16064" xr:uid="{00000000-0005-0000-0000-0000963E0000}"/>
    <cellStyle name="Normal 2 2 2 2 5 12 2 3" xfId="16065" xr:uid="{00000000-0005-0000-0000-0000973E0000}"/>
    <cellStyle name="Normal 2 2 2 2 5 12 2 4" xfId="16066" xr:uid="{00000000-0005-0000-0000-0000983E0000}"/>
    <cellStyle name="Normal 2 2 2 2 5 12 2 5" xfId="16067" xr:uid="{00000000-0005-0000-0000-0000993E0000}"/>
    <cellStyle name="Normal 2 2 2 2 5 12 2 6" xfId="16068" xr:uid="{00000000-0005-0000-0000-00009A3E0000}"/>
    <cellStyle name="Normal 2 2 2 2 5 12 2 7" xfId="16069" xr:uid="{00000000-0005-0000-0000-00009B3E0000}"/>
    <cellStyle name="Normal 2 2 2 2 5 12 2 8" xfId="16070" xr:uid="{00000000-0005-0000-0000-00009C3E0000}"/>
    <cellStyle name="Normal 2 2 2 2 5 12 2 9" xfId="16071" xr:uid="{00000000-0005-0000-0000-00009D3E0000}"/>
    <cellStyle name="Normal 2 2 2 2 5 12 3" xfId="16072" xr:uid="{00000000-0005-0000-0000-00009E3E0000}"/>
    <cellStyle name="Normal 2 2 2 2 5 12 3 10" xfId="16073" xr:uid="{00000000-0005-0000-0000-00009F3E0000}"/>
    <cellStyle name="Normal 2 2 2 2 5 12 3 2" xfId="16074" xr:uid="{00000000-0005-0000-0000-0000A03E0000}"/>
    <cellStyle name="Normal 2 2 2 2 5 12 3 3" xfId="16075" xr:uid="{00000000-0005-0000-0000-0000A13E0000}"/>
    <cellStyle name="Normal 2 2 2 2 5 12 3 4" xfId="16076" xr:uid="{00000000-0005-0000-0000-0000A23E0000}"/>
    <cellStyle name="Normal 2 2 2 2 5 12 3 5" xfId="16077" xr:uid="{00000000-0005-0000-0000-0000A33E0000}"/>
    <cellStyle name="Normal 2 2 2 2 5 12 3 6" xfId="16078" xr:uid="{00000000-0005-0000-0000-0000A43E0000}"/>
    <cellStyle name="Normal 2 2 2 2 5 12 3 7" xfId="16079" xr:uid="{00000000-0005-0000-0000-0000A53E0000}"/>
    <cellStyle name="Normal 2 2 2 2 5 12 3 8" xfId="16080" xr:uid="{00000000-0005-0000-0000-0000A63E0000}"/>
    <cellStyle name="Normal 2 2 2 2 5 12 3 9" xfId="16081" xr:uid="{00000000-0005-0000-0000-0000A73E0000}"/>
    <cellStyle name="Normal 2 2 2 2 5 12 4" xfId="16082" xr:uid="{00000000-0005-0000-0000-0000A83E0000}"/>
    <cellStyle name="Normal 2 2 2 2 5 12 4 10" xfId="16083" xr:uid="{00000000-0005-0000-0000-0000A93E0000}"/>
    <cellStyle name="Normal 2 2 2 2 5 12 4 2" xfId="16084" xr:uid="{00000000-0005-0000-0000-0000AA3E0000}"/>
    <cellStyle name="Normal 2 2 2 2 5 12 4 3" xfId="16085" xr:uid="{00000000-0005-0000-0000-0000AB3E0000}"/>
    <cellStyle name="Normal 2 2 2 2 5 12 4 4" xfId="16086" xr:uid="{00000000-0005-0000-0000-0000AC3E0000}"/>
    <cellStyle name="Normal 2 2 2 2 5 12 4 5" xfId="16087" xr:uid="{00000000-0005-0000-0000-0000AD3E0000}"/>
    <cellStyle name="Normal 2 2 2 2 5 12 4 6" xfId="16088" xr:uid="{00000000-0005-0000-0000-0000AE3E0000}"/>
    <cellStyle name="Normal 2 2 2 2 5 12 4 7" xfId="16089" xr:uid="{00000000-0005-0000-0000-0000AF3E0000}"/>
    <cellStyle name="Normal 2 2 2 2 5 12 4 8" xfId="16090" xr:uid="{00000000-0005-0000-0000-0000B03E0000}"/>
    <cellStyle name="Normal 2 2 2 2 5 12 4 9" xfId="16091" xr:uid="{00000000-0005-0000-0000-0000B13E0000}"/>
    <cellStyle name="Normal 2 2 2 2 5 12 5" xfId="16092" xr:uid="{00000000-0005-0000-0000-0000B23E0000}"/>
    <cellStyle name="Normal 2 2 2 2 5 12 5 10" xfId="16093" xr:uid="{00000000-0005-0000-0000-0000B33E0000}"/>
    <cellStyle name="Normal 2 2 2 2 5 12 5 2" xfId="16094" xr:uid="{00000000-0005-0000-0000-0000B43E0000}"/>
    <cellStyle name="Normal 2 2 2 2 5 12 5 3" xfId="16095" xr:uid="{00000000-0005-0000-0000-0000B53E0000}"/>
    <cellStyle name="Normal 2 2 2 2 5 12 5 4" xfId="16096" xr:uid="{00000000-0005-0000-0000-0000B63E0000}"/>
    <cellStyle name="Normal 2 2 2 2 5 12 5 5" xfId="16097" xr:uid="{00000000-0005-0000-0000-0000B73E0000}"/>
    <cellStyle name="Normal 2 2 2 2 5 12 5 6" xfId="16098" xr:uid="{00000000-0005-0000-0000-0000B83E0000}"/>
    <cellStyle name="Normal 2 2 2 2 5 12 5 7" xfId="16099" xr:uid="{00000000-0005-0000-0000-0000B93E0000}"/>
    <cellStyle name="Normal 2 2 2 2 5 12 5 8" xfId="16100" xr:uid="{00000000-0005-0000-0000-0000BA3E0000}"/>
    <cellStyle name="Normal 2 2 2 2 5 12 5 9" xfId="16101" xr:uid="{00000000-0005-0000-0000-0000BB3E0000}"/>
    <cellStyle name="Normal 2 2 2 2 5 12 6" xfId="16102" xr:uid="{00000000-0005-0000-0000-0000BC3E0000}"/>
    <cellStyle name="Normal 2 2 2 2 5 12 7" xfId="16103" xr:uid="{00000000-0005-0000-0000-0000BD3E0000}"/>
    <cellStyle name="Normal 2 2 2 2 5 12 8" xfId="16104" xr:uid="{00000000-0005-0000-0000-0000BE3E0000}"/>
    <cellStyle name="Normal 2 2 2 2 5 12 9" xfId="16105" xr:uid="{00000000-0005-0000-0000-0000BF3E0000}"/>
    <cellStyle name="Normal 2 2 2 2 5 13" xfId="16106" xr:uid="{00000000-0005-0000-0000-0000C03E0000}"/>
    <cellStyle name="Normal 2 2 2 2 5 13 10" xfId="16107" xr:uid="{00000000-0005-0000-0000-0000C13E0000}"/>
    <cellStyle name="Normal 2 2 2 2 5 13 11" xfId="16108" xr:uid="{00000000-0005-0000-0000-0000C23E0000}"/>
    <cellStyle name="Normal 2 2 2 2 5 13 12" xfId="16109" xr:uid="{00000000-0005-0000-0000-0000C33E0000}"/>
    <cellStyle name="Normal 2 2 2 2 5 13 13" xfId="16110" xr:uid="{00000000-0005-0000-0000-0000C43E0000}"/>
    <cellStyle name="Normal 2 2 2 2 5 13 14" xfId="16111" xr:uid="{00000000-0005-0000-0000-0000C53E0000}"/>
    <cellStyle name="Normal 2 2 2 2 5 13 2" xfId="16112" xr:uid="{00000000-0005-0000-0000-0000C63E0000}"/>
    <cellStyle name="Normal 2 2 2 2 5 13 2 10" xfId="16113" xr:uid="{00000000-0005-0000-0000-0000C73E0000}"/>
    <cellStyle name="Normal 2 2 2 2 5 13 2 2" xfId="16114" xr:uid="{00000000-0005-0000-0000-0000C83E0000}"/>
    <cellStyle name="Normal 2 2 2 2 5 13 2 3" xfId="16115" xr:uid="{00000000-0005-0000-0000-0000C93E0000}"/>
    <cellStyle name="Normal 2 2 2 2 5 13 2 4" xfId="16116" xr:uid="{00000000-0005-0000-0000-0000CA3E0000}"/>
    <cellStyle name="Normal 2 2 2 2 5 13 2 5" xfId="16117" xr:uid="{00000000-0005-0000-0000-0000CB3E0000}"/>
    <cellStyle name="Normal 2 2 2 2 5 13 2 6" xfId="16118" xr:uid="{00000000-0005-0000-0000-0000CC3E0000}"/>
    <cellStyle name="Normal 2 2 2 2 5 13 2 7" xfId="16119" xr:uid="{00000000-0005-0000-0000-0000CD3E0000}"/>
    <cellStyle name="Normal 2 2 2 2 5 13 2 8" xfId="16120" xr:uid="{00000000-0005-0000-0000-0000CE3E0000}"/>
    <cellStyle name="Normal 2 2 2 2 5 13 2 9" xfId="16121" xr:uid="{00000000-0005-0000-0000-0000CF3E0000}"/>
    <cellStyle name="Normal 2 2 2 2 5 13 3" xfId="16122" xr:uid="{00000000-0005-0000-0000-0000D03E0000}"/>
    <cellStyle name="Normal 2 2 2 2 5 13 3 10" xfId="16123" xr:uid="{00000000-0005-0000-0000-0000D13E0000}"/>
    <cellStyle name="Normal 2 2 2 2 5 13 3 2" xfId="16124" xr:uid="{00000000-0005-0000-0000-0000D23E0000}"/>
    <cellStyle name="Normal 2 2 2 2 5 13 3 3" xfId="16125" xr:uid="{00000000-0005-0000-0000-0000D33E0000}"/>
    <cellStyle name="Normal 2 2 2 2 5 13 3 4" xfId="16126" xr:uid="{00000000-0005-0000-0000-0000D43E0000}"/>
    <cellStyle name="Normal 2 2 2 2 5 13 3 5" xfId="16127" xr:uid="{00000000-0005-0000-0000-0000D53E0000}"/>
    <cellStyle name="Normal 2 2 2 2 5 13 3 6" xfId="16128" xr:uid="{00000000-0005-0000-0000-0000D63E0000}"/>
    <cellStyle name="Normal 2 2 2 2 5 13 3 7" xfId="16129" xr:uid="{00000000-0005-0000-0000-0000D73E0000}"/>
    <cellStyle name="Normal 2 2 2 2 5 13 3 8" xfId="16130" xr:uid="{00000000-0005-0000-0000-0000D83E0000}"/>
    <cellStyle name="Normal 2 2 2 2 5 13 3 9" xfId="16131" xr:uid="{00000000-0005-0000-0000-0000D93E0000}"/>
    <cellStyle name="Normal 2 2 2 2 5 13 4" xfId="16132" xr:uid="{00000000-0005-0000-0000-0000DA3E0000}"/>
    <cellStyle name="Normal 2 2 2 2 5 13 4 10" xfId="16133" xr:uid="{00000000-0005-0000-0000-0000DB3E0000}"/>
    <cellStyle name="Normal 2 2 2 2 5 13 4 2" xfId="16134" xr:uid="{00000000-0005-0000-0000-0000DC3E0000}"/>
    <cellStyle name="Normal 2 2 2 2 5 13 4 3" xfId="16135" xr:uid="{00000000-0005-0000-0000-0000DD3E0000}"/>
    <cellStyle name="Normal 2 2 2 2 5 13 4 4" xfId="16136" xr:uid="{00000000-0005-0000-0000-0000DE3E0000}"/>
    <cellStyle name="Normal 2 2 2 2 5 13 4 5" xfId="16137" xr:uid="{00000000-0005-0000-0000-0000DF3E0000}"/>
    <cellStyle name="Normal 2 2 2 2 5 13 4 6" xfId="16138" xr:uid="{00000000-0005-0000-0000-0000E03E0000}"/>
    <cellStyle name="Normal 2 2 2 2 5 13 4 7" xfId="16139" xr:uid="{00000000-0005-0000-0000-0000E13E0000}"/>
    <cellStyle name="Normal 2 2 2 2 5 13 4 8" xfId="16140" xr:uid="{00000000-0005-0000-0000-0000E23E0000}"/>
    <cellStyle name="Normal 2 2 2 2 5 13 4 9" xfId="16141" xr:uid="{00000000-0005-0000-0000-0000E33E0000}"/>
    <cellStyle name="Normal 2 2 2 2 5 13 5" xfId="16142" xr:uid="{00000000-0005-0000-0000-0000E43E0000}"/>
    <cellStyle name="Normal 2 2 2 2 5 13 5 10" xfId="16143" xr:uid="{00000000-0005-0000-0000-0000E53E0000}"/>
    <cellStyle name="Normal 2 2 2 2 5 13 5 2" xfId="16144" xr:uid="{00000000-0005-0000-0000-0000E63E0000}"/>
    <cellStyle name="Normal 2 2 2 2 5 13 5 3" xfId="16145" xr:uid="{00000000-0005-0000-0000-0000E73E0000}"/>
    <cellStyle name="Normal 2 2 2 2 5 13 5 4" xfId="16146" xr:uid="{00000000-0005-0000-0000-0000E83E0000}"/>
    <cellStyle name="Normal 2 2 2 2 5 13 5 5" xfId="16147" xr:uid="{00000000-0005-0000-0000-0000E93E0000}"/>
    <cellStyle name="Normal 2 2 2 2 5 13 5 6" xfId="16148" xr:uid="{00000000-0005-0000-0000-0000EA3E0000}"/>
    <cellStyle name="Normal 2 2 2 2 5 13 5 7" xfId="16149" xr:uid="{00000000-0005-0000-0000-0000EB3E0000}"/>
    <cellStyle name="Normal 2 2 2 2 5 13 5 8" xfId="16150" xr:uid="{00000000-0005-0000-0000-0000EC3E0000}"/>
    <cellStyle name="Normal 2 2 2 2 5 13 5 9" xfId="16151" xr:uid="{00000000-0005-0000-0000-0000ED3E0000}"/>
    <cellStyle name="Normal 2 2 2 2 5 13 6" xfId="16152" xr:uid="{00000000-0005-0000-0000-0000EE3E0000}"/>
    <cellStyle name="Normal 2 2 2 2 5 13 7" xfId="16153" xr:uid="{00000000-0005-0000-0000-0000EF3E0000}"/>
    <cellStyle name="Normal 2 2 2 2 5 13 8" xfId="16154" xr:uid="{00000000-0005-0000-0000-0000F03E0000}"/>
    <cellStyle name="Normal 2 2 2 2 5 13 9" xfId="16155" xr:uid="{00000000-0005-0000-0000-0000F13E0000}"/>
    <cellStyle name="Normal 2 2 2 2 5 14" xfId="16156" xr:uid="{00000000-0005-0000-0000-0000F23E0000}"/>
    <cellStyle name="Normal 2 2 2 2 5 14 10" xfId="16157" xr:uid="{00000000-0005-0000-0000-0000F33E0000}"/>
    <cellStyle name="Normal 2 2 2 2 5 14 11" xfId="16158" xr:uid="{00000000-0005-0000-0000-0000F43E0000}"/>
    <cellStyle name="Normal 2 2 2 2 5 14 12" xfId="16159" xr:uid="{00000000-0005-0000-0000-0000F53E0000}"/>
    <cellStyle name="Normal 2 2 2 2 5 14 13" xfId="16160" xr:uid="{00000000-0005-0000-0000-0000F63E0000}"/>
    <cellStyle name="Normal 2 2 2 2 5 14 14" xfId="16161" xr:uid="{00000000-0005-0000-0000-0000F73E0000}"/>
    <cellStyle name="Normal 2 2 2 2 5 14 2" xfId="16162" xr:uid="{00000000-0005-0000-0000-0000F83E0000}"/>
    <cellStyle name="Normal 2 2 2 2 5 14 2 10" xfId="16163" xr:uid="{00000000-0005-0000-0000-0000F93E0000}"/>
    <cellStyle name="Normal 2 2 2 2 5 14 2 2" xfId="16164" xr:uid="{00000000-0005-0000-0000-0000FA3E0000}"/>
    <cellStyle name="Normal 2 2 2 2 5 14 2 3" xfId="16165" xr:uid="{00000000-0005-0000-0000-0000FB3E0000}"/>
    <cellStyle name="Normal 2 2 2 2 5 14 2 4" xfId="16166" xr:uid="{00000000-0005-0000-0000-0000FC3E0000}"/>
    <cellStyle name="Normal 2 2 2 2 5 14 2 5" xfId="16167" xr:uid="{00000000-0005-0000-0000-0000FD3E0000}"/>
    <cellStyle name="Normal 2 2 2 2 5 14 2 6" xfId="16168" xr:uid="{00000000-0005-0000-0000-0000FE3E0000}"/>
    <cellStyle name="Normal 2 2 2 2 5 14 2 7" xfId="16169" xr:uid="{00000000-0005-0000-0000-0000FF3E0000}"/>
    <cellStyle name="Normal 2 2 2 2 5 14 2 8" xfId="16170" xr:uid="{00000000-0005-0000-0000-0000003F0000}"/>
    <cellStyle name="Normal 2 2 2 2 5 14 2 9" xfId="16171" xr:uid="{00000000-0005-0000-0000-0000013F0000}"/>
    <cellStyle name="Normal 2 2 2 2 5 14 3" xfId="16172" xr:uid="{00000000-0005-0000-0000-0000023F0000}"/>
    <cellStyle name="Normal 2 2 2 2 5 14 3 10" xfId="16173" xr:uid="{00000000-0005-0000-0000-0000033F0000}"/>
    <cellStyle name="Normal 2 2 2 2 5 14 3 2" xfId="16174" xr:uid="{00000000-0005-0000-0000-0000043F0000}"/>
    <cellStyle name="Normal 2 2 2 2 5 14 3 3" xfId="16175" xr:uid="{00000000-0005-0000-0000-0000053F0000}"/>
    <cellStyle name="Normal 2 2 2 2 5 14 3 4" xfId="16176" xr:uid="{00000000-0005-0000-0000-0000063F0000}"/>
    <cellStyle name="Normal 2 2 2 2 5 14 3 5" xfId="16177" xr:uid="{00000000-0005-0000-0000-0000073F0000}"/>
    <cellStyle name="Normal 2 2 2 2 5 14 3 6" xfId="16178" xr:uid="{00000000-0005-0000-0000-0000083F0000}"/>
    <cellStyle name="Normal 2 2 2 2 5 14 3 7" xfId="16179" xr:uid="{00000000-0005-0000-0000-0000093F0000}"/>
    <cellStyle name="Normal 2 2 2 2 5 14 3 8" xfId="16180" xr:uid="{00000000-0005-0000-0000-00000A3F0000}"/>
    <cellStyle name="Normal 2 2 2 2 5 14 3 9" xfId="16181" xr:uid="{00000000-0005-0000-0000-00000B3F0000}"/>
    <cellStyle name="Normal 2 2 2 2 5 14 4" xfId="16182" xr:uid="{00000000-0005-0000-0000-00000C3F0000}"/>
    <cellStyle name="Normal 2 2 2 2 5 14 4 10" xfId="16183" xr:uid="{00000000-0005-0000-0000-00000D3F0000}"/>
    <cellStyle name="Normal 2 2 2 2 5 14 4 2" xfId="16184" xr:uid="{00000000-0005-0000-0000-00000E3F0000}"/>
    <cellStyle name="Normal 2 2 2 2 5 14 4 3" xfId="16185" xr:uid="{00000000-0005-0000-0000-00000F3F0000}"/>
    <cellStyle name="Normal 2 2 2 2 5 14 4 4" xfId="16186" xr:uid="{00000000-0005-0000-0000-0000103F0000}"/>
    <cellStyle name="Normal 2 2 2 2 5 14 4 5" xfId="16187" xr:uid="{00000000-0005-0000-0000-0000113F0000}"/>
    <cellStyle name="Normal 2 2 2 2 5 14 4 6" xfId="16188" xr:uid="{00000000-0005-0000-0000-0000123F0000}"/>
    <cellStyle name="Normal 2 2 2 2 5 14 4 7" xfId="16189" xr:uid="{00000000-0005-0000-0000-0000133F0000}"/>
    <cellStyle name="Normal 2 2 2 2 5 14 4 8" xfId="16190" xr:uid="{00000000-0005-0000-0000-0000143F0000}"/>
    <cellStyle name="Normal 2 2 2 2 5 14 4 9" xfId="16191" xr:uid="{00000000-0005-0000-0000-0000153F0000}"/>
    <cellStyle name="Normal 2 2 2 2 5 14 5" xfId="16192" xr:uid="{00000000-0005-0000-0000-0000163F0000}"/>
    <cellStyle name="Normal 2 2 2 2 5 14 5 10" xfId="16193" xr:uid="{00000000-0005-0000-0000-0000173F0000}"/>
    <cellStyle name="Normal 2 2 2 2 5 14 5 2" xfId="16194" xr:uid="{00000000-0005-0000-0000-0000183F0000}"/>
    <cellStyle name="Normal 2 2 2 2 5 14 5 3" xfId="16195" xr:uid="{00000000-0005-0000-0000-0000193F0000}"/>
    <cellStyle name="Normal 2 2 2 2 5 14 5 4" xfId="16196" xr:uid="{00000000-0005-0000-0000-00001A3F0000}"/>
    <cellStyle name="Normal 2 2 2 2 5 14 5 5" xfId="16197" xr:uid="{00000000-0005-0000-0000-00001B3F0000}"/>
    <cellStyle name="Normal 2 2 2 2 5 14 5 6" xfId="16198" xr:uid="{00000000-0005-0000-0000-00001C3F0000}"/>
    <cellStyle name="Normal 2 2 2 2 5 14 5 7" xfId="16199" xr:uid="{00000000-0005-0000-0000-00001D3F0000}"/>
    <cellStyle name="Normal 2 2 2 2 5 14 5 8" xfId="16200" xr:uid="{00000000-0005-0000-0000-00001E3F0000}"/>
    <cellStyle name="Normal 2 2 2 2 5 14 5 9" xfId="16201" xr:uid="{00000000-0005-0000-0000-00001F3F0000}"/>
    <cellStyle name="Normal 2 2 2 2 5 14 6" xfId="16202" xr:uid="{00000000-0005-0000-0000-0000203F0000}"/>
    <cellStyle name="Normal 2 2 2 2 5 14 7" xfId="16203" xr:uid="{00000000-0005-0000-0000-0000213F0000}"/>
    <cellStyle name="Normal 2 2 2 2 5 14 8" xfId="16204" xr:uid="{00000000-0005-0000-0000-0000223F0000}"/>
    <cellStyle name="Normal 2 2 2 2 5 14 9" xfId="16205" xr:uid="{00000000-0005-0000-0000-0000233F0000}"/>
    <cellStyle name="Normal 2 2 2 2 5 15" xfId="16206" xr:uid="{00000000-0005-0000-0000-0000243F0000}"/>
    <cellStyle name="Normal 2 2 2 2 5 15 10" xfId="16207" xr:uid="{00000000-0005-0000-0000-0000253F0000}"/>
    <cellStyle name="Normal 2 2 2 2 5 15 11" xfId="16208" xr:uid="{00000000-0005-0000-0000-0000263F0000}"/>
    <cellStyle name="Normal 2 2 2 2 5 15 12" xfId="16209" xr:uid="{00000000-0005-0000-0000-0000273F0000}"/>
    <cellStyle name="Normal 2 2 2 2 5 15 13" xfId="16210" xr:uid="{00000000-0005-0000-0000-0000283F0000}"/>
    <cellStyle name="Normal 2 2 2 2 5 15 14" xfId="16211" xr:uid="{00000000-0005-0000-0000-0000293F0000}"/>
    <cellStyle name="Normal 2 2 2 2 5 15 2" xfId="16212" xr:uid="{00000000-0005-0000-0000-00002A3F0000}"/>
    <cellStyle name="Normal 2 2 2 2 5 15 2 10" xfId="16213" xr:uid="{00000000-0005-0000-0000-00002B3F0000}"/>
    <cellStyle name="Normal 2 2 2 2 5 15 2 2" xfId="16214" xr:uid="{00000000-0005-0000-0000-00002C3F0000}"/>
    <cellStyle name="Normal 2 2 2 2 5 15 2 3" xfId="16215" xr:uid="{00000000-0005-0000-0000-00002D3F0000}"/>
    <cellStyle name="Normal 2 2 2 2 5 15 2 4" xfId="16216" xr:uid="{00000000-0005-0000-0000-00002E3F0000}"/>
    <cellStyle name="Normal 2 2 2 2 5 15 2 5" xfId="16217" xr:uid="{00000000-0005-0000-0000-00002F3F0000}"/>
    <cellStyle name="Normal 2 2 2 2 5 15 2 6" xfId="16218" xr:uid="{00000000-0005-0000-0000-0000303F0000}"/>
    <cellStyle name="Normal 2 2 2 2 5 15 2 7" xfId="16219" xr:uid="{00000000-0005-0000-0000-0000313F0000}"/>
    <cellStyle name="Normal 2 2 2 2 5 15 2 8" xfId="16220" xr:uid="{00000000-0005-0000-0000-0000323F0000}"/>
    <cellStyle name="Normal 2 2 2 2 5 15 2 9" xfId="16221" xr:uid="{00000000-0005-0000-0000-0000333F0000}"/>
    <cellStyle name="Normal 2 2 2 2 5 15 3" xfId="16222" xr:uid="{00000000-0005-0000-0000-0000343F0000}"/>
    <cellStyle name="Normal 2 2 2 2 5 15 3 10" xfId="16223" xr:uid="{00000000-0005-0000-0000-0000353F0000}"/>
    <cellStyle name="Normal 2 2 2 2 5 15 3 2" xfId="16224" xr:uid="{00000000-0005-0000-0000-0000363F0000}"/>
    <cellStyle name="Normal 2 2 2 2 5 15 3 3" xfId="16225" xr:uid="{00000000-0005-0000-0000-0000373F0000}"/>
    <cellStyle name="Normal 2 2 2 2 5 15 3 4" xfId="16226" xr:uid="{00000000-0005-0000-0000-0000383F0000}"/>
    <cellStyle name="Normal 2 2 2 2 5 15 3 5" xfId="16227" xr:uid="{00000000-0005-0000-0000-0000393F0000}"/>
    <cellStyle name="Normal 2 2 2 2 5 15 3 6" xfId="16228" xr:uid="{00000000-0005-0000-0000-00003A3F0000}"/>
    <cellStyle name="Normal 2 2 2 2 5 15 3 7" xfId="16229" xr:uid="{00000000-0005-0000-0000-00003B3F0000}"/>
    <cellStyle name="Normal 2 2 2 2 5 15 3 8" xfId="16230" xr:uid="{00000000-0005-0000-0000-00003C3F0000}"/>
    <cellStyle name="Normal 2 2 2 2 5 15 3 9" xfId="16231" xr:uid="{00000000-0005-0000-0000-00003D3F0000}"/>
    <cellStyle name="Normal 2 2 2 2 5 15 4" xfId="16232" xr:uid="{00000000-0005-0000-0000-00003E3F0000}"/>
    <cellStyle name="Normal 2 2 2 2 5 15 4 10" xfId="16233" xr:uid="{00000000-0005-0000-0000-00003F3F0000}"/>
    <cellStyle name="Normal 2 2 2 2 5 15 4 2" xfId="16234" xr:uid="{00000000-0005-0000-0000-0000403F0000}"/>
    <cellStyle name="Normal 2 2 2 2 5 15 4 3" xfId="16235" xr:uid="{00000000-0005-0000-0000-0000413F0000}"/>
    <cellStyle name="Normal 2 2 2 2 5 15 4 4" xfId="16236" xr:uid="{00000000-0005-0000-0000-0000423F0000}"/>
    <cellStyle name="Normal 2 2 2 2 5 15 4 5" xfId="16237" xr:uid="{00000000-0005-0000-0000-0000433F0000}"/>
    <cellStyle name="Normal 2 2 2 2 5 15 4 6" xfId="16238" xr:uid="{00000000-0005-0000-0000-0000443F0000}"/>
    <cellStyle name="Normal 2 2 2 2 5 15 4 7" xfId="16239" xr:uid="{00000000-0005-0000-0000-0000453F0000}"/>
    <cellStyle name="Normal 2 2 2 2 5 15 4 8" xfId="16240" xr:uid="{00000000-0005-0000-0000-0000463F0000}"/>
    <cellStyle name="Normal 2 2 2 2 5 15 4 9" xfId="16241" xr:uid="{00000000-0005-0000-0000-0000473F0000}"/>
    <cellStyle name="Normal 2 2 2 2 5 15 5" xfId="16242" xr:uid="{00000000-0005-0000-0000-0000483F0000}"/>
    <cellStyle name="Normal 2 2 2 2 5 15 5 10" xfId="16243" xr:uid="{00000000-0005-0000-0000-0000493F0000}"/>
    <cellStyle name="Normal 2 2 2 2 5 15 5 2" xfId="16244" xr:uid="{00000000-0005-0000-0000-00004A3F0000}"/>
    <cellStyle name="Normal 2 2 2 2 5 15 5 3" xfId="16245" xr:uid="{00000000-0005-0000-0000-00004B3F0000}"/>
    <cellStyle name="Normal 2 2 2 2 5 15 5 4" xfId="16246" xr:uid="{00000000-0005-0000-0000-00004C3F0000}"/>
    <cellStyle name="Normal 2 2 2 2 5 15 5 5" xfId="16247" xr:uid="{00000000-0005-0000-0000-00004D3F0000}"/>
    <cellStyle name="Normal 2 2 2 2 5 15 5 6" xfId="16248" xr:uid="{00000000-0005-0000-0000-00004E3F0000}"/>
    <cellStyle name="Normal 2 2 2 2 5 15 5 7" xfId="16249" xr:uid="{00000000-0005-0000-0000-00004F3F0000}"/>
    <cellStyle name="Normal 2 2 2 2 5 15 5 8" xfId="16250" xr:uid="{00000000-0005-0000-0000-0000503F0000}"/>
    <cellStyle name="Normal 2 2 2 2 5 15 5 9" xfId="16251" xr:uid="{00000000-0005-0000-0000-0000513F0000}"/>
    <cellStyle name="Normal 2 2 2 2 5 15 6" xfId="16252" xr:uid="{00000000-0005-0000-0000-0000523F0000}"/>
    <cellStyle name="Normal 2 2 2 2 5 15 7" xfId="16253" xr:uid="{00000000-0005-0000-0000-0000533F0000}"/>
    <cellStyle name="Normal 2 2 2 2 5 15 8" xfId="16254" xr:uid="{00000000-0005-0000-0000-0000543F0000}"/>
    <cellStyle name="Normal 2 2 2 2 5 15 9" xfId="16255" xr:uid="{00000000-0005-0000-0000-0000553F0000}"/>
    <cellStyle name="Normal 2 2 2 2 5 16" xfId="16256" xr:uid="{00000000-0005-0000-0000-0000563F0000}"/>
    <cellStyle name="Normal 2 2 2 2 5 16 10" xfId="16257" xr:uid="{00000000-0005-0000-0000-0000573F0000}"/>
    <cellStyle name="Normal 2 2 2 2 5 16 11" xfId="16258" xr:uid="{00000000-0005-0000-0000-0000583F0000}"/>
    <cellStyle name="Normal 2 2 2 2 5 16 12" xfId="16259" xr:uid="{00000000-0005-0000-0000-0000593F0000}"/>
    <cellStyle name="Normal 2 2 2 2 5 16 13" xfId="16260" xr:uid="{00000000-0005-0000-0000-00005A3F0000}"/>
    <cellStyle name="Normal 2 2 2 2 5 16 14" xfId="16261" xr:uid="{00000000-0005-0000-0000-00005B3F0000}"/>
    <cellStyle name="Normal 2 2 2 2 5 16 2" xfId="16262" xr:uid="{00000000-0005-0000-0000-00005C3F0000}"/>
    <cellStyle name="Normal 2 2 2 2 5 16 2 10" xfId="16263" xr:uid="{00000000-0005-0000-0000-00005D3F0000}"/>
    <cellStyle name="Normal 2 2 2 2 5 16 2 2" xfId="16264" xr:uid="{00000000-0005-0000-0000-00005E3F0000}"/>
    <cellStyle name="Normal 2 2 2 2 5 16 2 3" xfId="16265" xr:uid="{00000000-0005-0000-0000-00005F3F0000}"/>
    <cellStyle name="Normal 2 2 2 2 5 16 2 4" xfId="16266" xr:uid="{00000000-0005-0000-0000-0000603F0000}"/>
    <cellStyle name="Normal 2 2 2 2 5 16 2 5" xfId="16267" xr:uid="{00000000-0005-0000-0000-0000613F0000}"/>
    <cellStyle name="Normal 2 2 2 2 5 16 2 6" xfId="16268" xr:uid="{00000000-0005-0000-0000-0000623F0000}"/>
    <cellStyle name="Normal 2 2 2 2 5 16 2 7" xfId="16269" xr:uid="{00000000-0005-0000-0000-0000633F0000}"/>
    <cellStyle name="Normal 2 2 2 2 5 16 2 8" xfId="16270" xr:uid="{00000000-0005-0000-0000-0000643F0000}"/>
    <cellStyle name="Normal 2 2 2 2 5 16 2 9" xfId="16271" xr:uid="{00000000-0005-0000-0000-0000653F0000}"/>
    <cellStyle name="Normal 2 2 2 2 5 16 3" xfId="16272" xr:uid="{00000000-0005-0000-0000-0000663F0000}"/>
    <cellStyle name="Normal 2 2 2 2 5 16 3 10" xfId="16273" xr:uid="{00000000-0005-0000-0000-0000673F0000}"/>
    <cellStyle name="Normal 2 2 2 2 5 16 3 2" xfId="16274" xr:uid="{00000000-0005-0000-0000-0000683F0000}"/>
    <cellStyle name="Normal 2 2 2 2 5 16 3 3" xfId="16275" xr:uid="{00000000-0005-0000-0000-0000693F0000}"/>
    <cellStyle name="Normal 2 2 2 2 5 16 3 4" xfId="16276" xr:uid="{00000000-0005-0000-0000-00006A3F0000}"/>
    <cellStyle name="Normal 2 2 2 2 5 16 3 5" xfId="16277" xr:uid="{00000000-0005-0000-0000-00006B3F0000}"/>
    <cellStyle name="Normal 2 2 2 2 5 16 3 6" xfId="16278" xr:uid="{00000000-0005-0000-0000-00006C3F0000}"/>
    <cellStyle name="Normal 2 2 2 2 5 16 3 7" xfId="16279" xr:uid="{00000000-0005-0000-0000-00006D3F0000}"/>
    <cellStyle name="Normal 2 2 2 2 5 16 3 8" xfId="16280" xr:uid="{00000000-0005-0000-0000-00006E3F0000}"/>
    <cellStyle name="Normal 2 2 2 2 5 16 3 9" xfId="16281" xr:uid="{00000000-0005-0000-0000-00006F3F0000}"/>
    <cellStyle name="Normal 2 2 2 2 5 16 4" xfId="16282" xr:uid="{00000000-0005-0000-0000-0000703F0000}"/>
    <cellStyle name="Normal 2 2 2 2 5 16 4 10" xfId="16283" xr:uid="{00000000-0005-0000-0000-0000713F0000}"/>
    <cellStyle name="Normal 2 2 2 2 5 16 4 2" xfId="16284" xr:uid="{00000000-0005-0000-0000-0000723F0000}"/>
    <cellStyle name="Normal 2 2 2 2 5 16 4 3" xfId="16285" xr:uid="{00000000-0005-0000-0000-0000733F0000}"/>
    <cellStyle name="Normal 2 2 2 2 5 16 4 4" xfId="16286" xr:uid="{00000000-0005-0000-0000-0000743F0000}"/>
    <cellStyle name="Normal 2 2 2 2 5 16 4 5" xfId="16287" xr:uid="{00000000-0005-0000-0000-0000753F0000}"/>
    <cellStyle name="Normal 2 2 2 2 5 16 4 6" xfId="16288" xr:uid="{00000000-0005-0000-0000-0000763F0000}"/>
    <cellStyle name="Normal 2 2 2 2 5 16 4 7" xfId="16289" xr:uid="{00000000-0005-0000-0000-0000773F0000}"/>
    <cellStyle name="Normal 2 2 2 2 5 16 4 8" xfId="16290" xr:uid="{00000000-0005-0000-0000-0000783F0000}"/>
    <cellStyle name="Normal 2 2 2 2 5 16 4 9" xfId="16291" xr:uid="{00000000-0005-0000-0000-0000793F0000}"/>
    <cellStyle name="Normal 2 2 2 2 5 16 5" xfId="16292" xr:uid="{00000000-0005-0000-0000-00007A3F0000}"/>
    <cellStyle name="Normal 2 2 2 2 5 16 5 10" xfId="16293" xr:uid="{00000000-0005-0000-0000-00007B3F0000}"/>
    <cellStyle name="Normal 2 2 2 2 5 16 5 2" xfId="16294" xr:uid="{00000000-0005-0000-0000-00007C3F0000}"/>
    <cellStyle name="Normal 2 2 2 2 5 16 5 3" xfId="16295" xr:uid="{00000000-0005-0000-0000-00007D3F0000}"/>
    <cellStyle name="Normal 2 2 2 2 5 16 5 4" xfId="16296" xr:uid="{00000000-0005-0000-0000-00007E3F0000}"/>
    <cellStyle name="Normal 2 2 2 2 5 16 5 5" xfId="16297" xr:uid="{00000000-0005-0000-0000-00007F3F0000}"/>
    <cellStyle name="Normal 2 2 2 2 5 16 5 6" xfId="16298" xr:uid="{00000000-0005-0000-0000-0000803F0000}"/>
    <cellStyle name="Normal 2 2 2 2 5 16 5 7" xfId="16299" xr:uid="{00000000-0005-0000-0000-0000813F0000}"/>
    <cellStyle name="Normal 2 2 2 2 5 16 5 8" xfId="16300" xr:uid="{00000000-0005-0000-0000-0000823F0000}"/>
    <cellStyle name="Normal 2 2 2 2 5 16 5 9" xfId="16301" xr:uid="{00000000-0005-0000-0000-0000833F0000}"/>
    <cellStyle name="Normal 2 2 2 2 5 16 6" xfId="16302" xr:uid="{00000000-0005-0000-0000-0000843F0000}"/>
    <cellStyle name="Normal 2 2 2 2 5 16 7" xfId="16303" xr:uid="{00000000-0005-0000-0000-0000853F0000}"/>
    <cellStyle name="Normal 2 2 2 2 5 16 8" xfId="16304" xr:uid="{00000000-0005-0000-0000-0000863F0000}"/>
    <cellStyle name="Normal 2 2 2 2 5 16 9" xfId="16305" xr:uid="{00000000-0005-0000-0000-0000873F0000}"/>
    <cellStyle name="Normal 2 2 2 2 5 17" xfId="16306" xr:uid="{00000000-0005-0000-0000-0000883F0000}"/>
    <cellStyle name="Normal 2 2 2 2 5 17 10" xfId="16307" xr:uid="{00000000-0005-0000-0000-0000893F0000}"/>
    <cellStyle name="Normal 2 2 2 2 5 17 11" xfId="16308" xr:uid="{00000000-0005-0000-0000-00008A3F0000}"/>
    <cellStyle name="Normal 2 2 2 2 5 17 12" xfId="16309" xr:uid="{00000000-0005-0000-0000-00008B3F0000}"/>
    <cellStyle name="Normal 2 2 2 2 5 17 13" xfId="16310" xr:uid="{00000000-0005-0000-0000-00008C3F0000}"/>
    <cellStyle name="Normal 2 2 2 2 5 17 14" xfId="16311" xr:uid="{00000000-0005-0000-0000-00008D3F0000}"/>
    <cellStyle name="Normal 2 2 2 2 5 17 2" xfId="16312" xr:uid="{00000000-0005-0000-0000-00008E3F0000}"/>
    <cellStyle name="Normal 2 2 2 2 5 17 2 10" xfId="16313" xr:uid="{00000000-0005-0000-0000-00008F3F0000}"/>
    <cellStyle name="Normal 2 2 2 2 5 17 2 2" xfId="16314" xr:uid="{00000000-0005-0000-0000-0000903F0000}"/>
    <cellStyle name="Normal 2 2 2 2 5 17 2 3" xfId="16315" xr:uid="{00000000-0005-0000-0000-0000913F0000}"/>
    <cellStyle name="Normal 2 2 2 2 5 17 2 4" xfId="16316" xr:uid="{00000000-0005-0000-0000-0000923F0000}"/>
    <cellStyle name="Normal 2 2 2 2 5 17 2 5" xfId="16317" xr:uid="{00000000-0005-0000-0000-0000933F0000}"/>
    <cellStyle name="Normal 2 2 2 2 5 17 2 6" xfId="16318" xr:uid="{00000000-0005-0000-0000-0000943F0000}"/>
    <cellStyle name="Normal 2 2 2 2 5 17 2 7" xfId="16319" xr:uid="{00000000-0005-0000-0000-0000953F0000}"/>
    <cellStyle name="Normal 2 2 2 2 5 17 2 8" xfId="16320" xr:uid="{00000000-0005-0000-0000-0000963F0000}"/>
    <cellStyle name="Normal 2 2 2 2 5 17 2 9" xfId="16321" xr:uid="{00000000-0005-0000-0000-0000973F0000}"/>
    <cellStyle name="Normal 2 2 2 2 5 17 3" xfId="16322" xr:uid="{00000000-0005-0000-0000-0000983F0000}"/>
    <cellStyle name="Normal 2 2 2 2 5 17 3 10" xfId="16323" xr:uid="{00000000-0005-0000-0000-0000993F0000}"/>
    <cellStyle name="Normal 2 2 2 2 5 17 3 2" xfId="16324" xr:uid="{00000000-0005-0000-0000-00009A3F0000}"/>
    <cellStyle name="Normal 2 2 2 2 5 17 3 3" xfId="16325" xr:uid="{00000000-0005-0000-0000-00009B3F0000}"/>
    <cellStyle name="Normal 2 2 2 2 5 17 3 4" xfId="16326" xr:uid="{00000000-0005-0000-0000-00009C3F0000}"/>
    <cellStyle name="Normal 2 2 2 2 5 17 3 5" xfId="16327" xr:uid="{00000000-0005-0000-0000-00009D3F0000}"/>
    <cellStyle name="Normal 2 2 2 2 5 17 3 6" xfId="16328" xr:uid="{00000000-0005-0000-0000-00009E3F0000}"/>
    <cellStyle name="Normal 2 2 2 2 5 17 3 7" xfId="16329" xr:uid="{00000000-0005-0000-0000-00009F3F0000}"/>
    <cellStyle name="Normal 2 2 2 2 5 17 3 8" xfId="16330" xr:uid="{00000000-0005-0000-0000-0000A03F0000}"/>
    <cellStyle name="Normal 2 2 2 2 5 17 3 9" xfId="16331" xr:uid="{00000000-0005-0000-0000-0000A13F0000}"/>
    <cellStyle name="Normal 2 2 2 2 5 17 4" xfId="16332" xr:uid="{00000000-0005-0000-0000-0000A23F0000}"/>
    <cellStyle name="Normal 2 2 2 2 5 17 4 10" xfId="16333" xr:uid="{00000000-0005-0000-0000-0000A33F0000}"/>
    <cellStyle name="Normal 2 2 2 2 5 17 4 2" xfId="16334" xr:uid="{00000000-0005-0000-0000-0000A43F0000}"/>
    <cellStyle name="Normal 2 2 2 2 5 17 4 3" xfId="16335" xr:uid="{00000000-0005-0000-0000-0000A53F0000}"/>
    <cellStyle name="Normal 2 2 2 2 5 17 4 4" xfId="16336" xr:uid="{00000000-0005-0000-0000-0000A63F0000}"/>
    <cellStyle name="Normal 2 2 2 2 5 17 4 5" xfId="16337" xr:uid="{00000000-0005-0000-0000-0000A73F0000}"/>
    <cellStyle name="Normal 2 2 2 2 5 17 4 6" xfId="16338" xr:uid="{00000000-0005-0000-0000-0000A83F0000}"/>
    <cellStyle name="Normal 2 2 2 2 5 17 4 7" xfId="16339" xr:uid="{00000000-0005-0000-0000-0000A93F0000}"/>
    <cellStyle name="Normal 2 2 2 2 5 17 4 8" xfId="16340" xr:uid="{00000000-0005-0000-0000-0000AA3F0000}"/>
    <cellStyle name="Normal 2 2 2 2 5 17 4 9" xfId="16341" xr:uid="{00000000-0005-0000-0000-0000AB3F0000}"/>
    <cellStyle name="Normal 2 2 2 2 5 17 5" xfId="16342" xr:uid="{00000000-0005-0000-0000-0000AC3F0000}"/>
    <cellStyle name="Normal 2 2 2 2 5 17 5 10" xfId="16343" xr:uid="{00000000-0005-0000-0000-0000AD3F0000}"/>
    <cellStyle name="Normal 2 2 2 2 5 17 5 2" xfId="16344" xr:uid="{00000000-0005-0000-0000-0000AE3F0000}"/>
    <cellStyle name="Normal 2 2 2 2 5 17 5 3" xfId="16345" xr:uid="{00000000-0005-0000-0000-0000AF3F0000}"/>
    <cellStyle name="Normal 2 2 2 2 5 17 5 4" xfId="16346" xr:uid="{00000000-0005-0000-0000-0000B03F0000}"/>
    <cellStyle name="Normal 2 2 2 2 5 17 5 5" xfId="16347" xr:uid="{00000000-0005-0000-0000-0000B13F0000}"/>
    <cellStyle name="Normal 2 2 2 2 5 17 5 6" xfId="16348" xr:uid="{00000000-0005-0000-0000-0000B23F0000}"/>
    <cellStyle name="Normal 2 2 2 2 5 17 5 7" xfId="16349" xr:uid="{00000000-0005-0000-0000-0000B33F0000}"/>
    <cellStyle name="Normal 2 2 2 2 5 17 5 8" xfId="16350" xr:uid="{00000000-0005-0000-0000-0000B43F0000}"/>
    <cellStyle name="Normal 2 2 2 2 5 17 5 9" xfId="16351" xr:uid="{00000000-0005-0000-0000-0000B53F0000}"/>
    <cellStyle name="Normal 2 2 2 2 5 17 6" xfId="16352" xr:uid="{00000000-0005-0000-0000-0000B63F0000}"/>
    <cellStyle name="Normal 2 2 2 2 5 17 7" xfId="16353" xr:uid="{00000000-0005-0000-0000-0000B73F0000}"/>
    <cellStyle name="Normal 2 2 2 2 5 17 8" xfId="16354" xr:uid="{00000000-0005-0000-0000-0000B83F0000}"/>
    <cellStyle name="Normal 2 2 2 2 5 17 9" xfId="16355" xr:uid="{00000000-0005-0000-0000-0000B93F0000}"/>
    <cellStyle name="Normal 2 2 2 2 5 18" xfId="16356" xr:uid="{00000000-0005-0000-0000-0000BA3F0000}"/>
    <cellStyle name="Normal 2 2 2 2 5 18 10" xfId="16357" xr:uid="{00000000-0005-0000-0000-0000BB3F0000}"/>
    <cellStyle name="Normal 2 2 2 2 5 18 11" xfId="16358" xr:uid="{00000000-0005-0000-0000-0000BC3F0000}"/>
    <cellStyle name="Normal 2 2 2 2 5 18 12" xfId="16359" xr:uid="{00000000-0005-0000-0000-0000BD3F0000}"/>
    <cellStyle name="Normal 2 2 2 2 5 18 13" xfId="16360" xr:uid="{00000000-0005-0000-0000-0000BE3F0000}"/>
    <cellStyle name="Normal 2 2 2 2 5 18 14" xfId="16361" xr:uid="{00000000-0005-0000-0000-0000BF3F0000}"/>
    <cellStyle name="Normal 2 2 2 2 5 18 2" xfId="16362" xr:uid="{00000000-0005-0000-0000-0000C03F0000}"/>
    <cellStyle name="Normal 2 2 2 2 5 18 2 10" xfId="16363" xr:uid="{00000000-0005-0000-0000-0000C13F0000}"/>
    <cellStyle name="Normal 2 2 2 2 5 18 2 2" xfId="16364" xr:uid="{00000000-0005-0000-0000-0000C23F0000}"/>
    <cellStyle name="Normal 2 2 2 2 5 18 2 3" xfId="16365" xr:uid="{00000000-0005-0000-0000-0000C33F0000}"/>
    <cellStyle name="Normal 2 2 2 2 5 18 2 4" xfId="16366" xr:uid="{00000000-0005-0000-0000-0000C43F0000}"/>
    <cellStyle name="Normal 2 2 2 2 5 18 2 5" xfId="16367" xr:uid="{00000000-0005-0000-0000-0000C53F0000}"/>
    <cellStyle name="Normal 2 2 2 2 5 18 2 6" xfId="16368" xr:uid="{00000000-0005-0000-0000-0000C63F0000}"/>
    <cellStyle name="Normal 2 2 2 2 5 18 2 7" xfId="16369" xr:uid="{00000000-0005-0000-0000-0000C73F0000}"/>
    <cellStyle name="Normal 2 2 2 2 5 18 2 8" xfId="16370" xr:uid="{00000000-0005-0000-0000-0000C83F0000}"/>
    <cellStyle name="Normal 2 2 2 2 5 18 2 9" xfId="16371" xr:uid="{00000000-0005-0000-0000-0000C93F0000}"/>
    <cellStyle name="Normal 2 2 2 2 5 18 3" xfId="16372" xr:uid="{00000000-0005-0000-0000-0000CA3F0000}"/>
    <cellStyle name="Normal 2 2 2 2 5 18 3 10" xfId="16373" xr:uid="{00000000-0005-0000-0000-0000CB3F0000}"/>
    <cellStyle name="Normal 2 2 2 2 5 18 3 2" xfId="16374" xr:uid="{00000000-0005-0000-0000-0000CC3F0000}"/>
    <cellStyle name="Normal 2 2 2 2 5 18 3 3" xfId="16375" xr:uid="{00000000-0005-0000-0000-0000CD3F0000}"/>
    <cellStyle name="Normal 2 2 2 2 5 18 3 4" xfId="16376" xr:uid="{00000000-0005-0000-0000-0000CE3F0000}"/>
    <cellStyle name="Normal 2 2 2 2 5 18 3 5" xfId="16377" xr:uid="{00000000-0005-0000-0000-0000CF3F0000}"/>
    <cellStyle name="Normal 2 2 2 2 5 18 3 6" xfId="16378" xr:uid="{00000000-0005-0000-0000-0000D03F0000}"/>
    <cellStyle name="Normal 2 2 2 2 5 18 3 7" xfId="16379" xr:uid="{00000000-0005-0000-0000-0000D13F0000}"/>
    <cellStyle name="Normal 2 2 2 2 5 18 3 8" xfId="16380" xr:uid="{00000000-0005-0000-0000-0000D23F0000}"/>
    <cellStyle name="Normal 2 2 2 2 5 18 3 9" xfId="16381" xr:uid="{00000000-0005-0000-0000-0000D33F0000}"/>
    <cellStyle name="Normal 2 2 2 2 5 18 4" xfId="16382" xr:uid="{00000000-0005-0000-0000-0000D43F0000}"/>
    <cellStyle name="Normal 2 2 2 2 5 18 4 10" xfId="16383" xr:uid="{00000000-0005-0000-0000-0000D53F0000}"/>
    <cellStyle name="Normal 2 2 2 2 5 18 4 2" xfId="16384" xr:uid="{00000000-0005-0000-0000-0000D63F0000}"/>
    <cellStyle name="Normal 2 2 2 2 5 18 4 3" xfId="16385" xr:uid="{00000000-0005-0000-0000-0000D73F0000}"/>
    <cellStyle name="Normal 2 2 2 2 5 18 4 4" xfId="16386" xr:uid="{00000000-0005-0000-0000-0000D83F0000}"/>
    <cellStyle name="Normal 2 2 2 2 5 18 4 5" xfId="16387" xr:uid="{00000000-0005-0000-0000-0000D93F0000}"/>
    <cellStyle name="Normal 2 2 2 2 5 18 4 6" xfId="16388" xr:uid="{00000000-0005-0000-0000-0000DA3F0000}"/>
    <cellStyle name="Normal 2 2 2 2 5 18 4 7" xfId="16389" xr:uid="{00000000-0005-0000-0000-0000DB3F0000}"/>
    <cellStyle name="Normal 2 2 2 2 5 18 4 8" xfId="16390" xr:uid="{00000000-0005-0000-0000-0000DC3F0000}"/>
    <cellStyle name="Normal 2 2 2 2 5 18 4 9" xfId="16391" xr:uid="{00000000-0005-0000-0000-0000DD3F0000}"/>
    <cellStyle name="Normal 2 2 2 2 5 18 5" xfId="16392" xr:uid="{00000000-0005-0000-0000-0000DE3F0000}"/>
    <cellStyle name="Normal 2 2 2 2 5 18 5 10" xfId="16393" xr:uid="{00000000-0005-0000-0000-0000DF3F0000}"/>
    <cellStyle name="Normal 2 2 2 2 5 18 5 2" xfId="16394" xr:uid="{00000000-0005-0000-0000-0000E03F0000}"/>
    <cellStyle name="Normal 2 2 2 2 5 18 5 3" xfId="16395" xr:uid="{00000000-0005-0000-0000-0000E13F0000}"/>
    <cellStyle name="Normal 2 2 2 2 5 18 5 4" xfId="16396" xr:uid="{00000000-0005-0000-0000-0000E23F0000}"/>
    <cellStyle name="Normal 2 2 2 2 5 18 5 5" xfId="16397" xr:uid="{00000000-0005-0000-0000-0000E33F0000}"/>
    <cellStyle name="Normal 2 2 2 2 5 18 5 6" xfId="16398" xr:uid="{00000000-0005-0000-0000-0000E43F0000}"/>
    <cellStyle name="Normal 2 2 2 2 5 18 5 7" xfId="16399" xr:uid="{00000000-0005-0000-0000-0000E53F0000}"/>
    <cellStyle name="Normal 2 2 2 2 5 18 5 8" xfId="16400" xr:uid="{00000000-0005-0000-0000-0000E63F0000}"/>
    <cellStyle name="Normal 2 2 2 2 5 18 5 9" xfId="16401" xr:uid="{00000000-0005-0000-0000-0000E73F0000}"/>
    <cellStyle name="Normal 2 2 2 2 5 18 6" xfId="16402" xr:uid="{00000000-0005-0000-0000-0000E83F0000}"/>
    <cellStyle name="Normal 2 2 2 2 5 18 7" xfId="16403" xr:uid="{00000000-0005-0000-0000-0000E93F0000}"/>
    <cellStyle name="Normal 2 2 2 2 5 18 8" xfId="16404" xr:uid="{00000000-0005-0000-0000-0000EA3F0000}"/>
    <cellStyle name="Normal 2 2 2 2 5 18 9" xfId="16405" xr:uid="{00000000-0005-0000-0000-0000EB3F0000}"/>
    <cellStyle name="Normal 2 2 2 2 5 19" xfId="16406" xr:uid="{00000000-0005-0000-0000-0000EC3F0000}"/>
    <cellStyle name="Normal 2 2 2 2 5 19 10" xfId="16407" xr:uid="{00000000-0005-0000-0000-0000ED3F0000}"/>
    <cellStyle name="Normal 2 2 2 2 5 19 11" xfId="16408" xr:uid="{00000000-0005-0000-0000-0000EE3F0000}"/>
    <cellStyle name="Normal 2 2 2 2 5 19 12" xfId="16409" xr:uid="{00000000-0005-0000-0000-0000EF3F0000}"/>
    <cellStyle name="Normal 2 2 2 2 5 19 13" xfId="16410" xr:uid="{00000000-0005-0000-0000-0000F03F0000}"/>
    <cellStyle name="Normal 2 2 2 2 5 19 14" xfId="16411" xr:uid="{00000000-0005-0000-0000-0000F13F0000}"/>
    <cellStyle name="Normal 2 2 2 2 5 19 2" xfId="16412" xr:uid="{00000000-0005-0000-0000-0000F23F0000}"/>
    <cellStyle name="Normal 2 2 2 2 5 19 2 10" xfId="16413" xr:uid="{00000000-0005-0000-0000-0000F33F0000}"/>
    <cellStyle name="Normal 2 2 2 2 5 19 2 2" xfId="16414" xr:uid="{00000000-0005-0000-0000-0000F43F0000}"/>
    <cellStyle name="Normal 2 2 2 2 5 19 2 3" xfId="16415" xr:uid="{00000000-0005-0000-0000-0000F53F0000}"/>
    <cellStyle name="Normal 2 2 2 2 5 19 2 4" xfId="16416" xr:uid="{00000000-0005-0000-0000-0000F63F0000}"/>
    <cellStyle name="Normal 2 2 2 2 5 19 2 5" xfId="16417" xr:uid="{00000000-0005-0000-0000-0000F73F0000}"/>
    <cellStyle name="Normal 2 2 2 2 5 19 2 6" xfId="16418" xr:uid="{00000000-0005-0000-0000-0000F83F0000}"/>
    <cellStyle name="Normal 2 2 2 2 5 19 2 7" xfId="16419" xr:uid="{00000000-0005-0000-0000-0000F93F0000}"/>
    <cellStyle name="Normal 2 2 2 2 5 19 2 8" xfId="16420" xr:uid="{00000000-0005-0000-0000-0000FA3F0000}"/>
    <cellStyle name="Normal 2 2 2 2 5 19 2 9" xfId="16421" xr:uid="{00000000-0005-0000-0000-0000FB3F0000}"/>
    <cellStyle name="Normal 2 2 2 2 5 19 3" xfId="16422" xr:uid="{00000000-0005-0000-0000-0000FC3F0000}"/>
    <cellStyle name="Normal 2 2 2 2 5 19 3 10" xfId="16423" xr:uid="{00000000-0005-0000-0000-0000FD3F0000}"/>
    <cellStyle name="Normal 2 2 2 2 5 19 3 2" xfId="16424" xr:uid="{00000000-0005-0000-0000-0000FE3F0000}"/>
    <cellStyle name="Normal 2 2 2 2 5 19 3 3" xfId="16425" xr:uid="{00000000-0005-0000-0000-0000FF3F0000}"/>
    <cellStyle name="Normal 2 2 2 2 5 19 3 4" xfId="16426" xr:uid="{00000000-0005-0000-0000-000000400000}"/>
    <cellStyle name="Normal 2 2 2 2 5 19 3 5" xfId="16427" xr:uid="{00000000-0005-0000-0000-000001400000}"/>
    <cellStyle name="Normal 2 2 2 2 5 19 3 6" xfId="16428" xr:uid="{00000000-0005-0000-0000-000002400000}"/>
    <cellStyle name="Normal 2 2 2 2 5 19 3 7" xfId="16429" xr:uid="{00000000-0005-0000-0000-000003400000}"/>
    <cellStyle name="Normal 2 2 2 2 5 19 3 8" xfId="16430" xr:uid="{00000000-0005-0000-0000-000004400000}"/>
    <cellStyle name="Normal 2 2 2 2 5 19 3 9" xfId="16431" xr:uid="{00000000-0005-0000-0000-000005400000}"/>
    <cellStyle name="Normal 2 2 2 2 5 19 4" xfId="16432" xr:uid="{00000000-0005-0000-0000-000006400000}"/>
    <cellStyle name="Normal 2 2 2 2 5 19 4 10" xfId="16433" xr:uid="{00000000-0005-0000-0000-000007400000}"/>
    <cellStyle name="Normal 2 2 2 2 5 19 4 2" xfId="16434" xr:uid="{00000000-0005-0000-0000-000008400000}"/>
    <cellStyle name="Normal 2 2 2 2 5 19 4 3" xfId="16435" xr:uid="{00000000-0005-0000-0000-000009400000}"/>
    <cellStyle name="Normal 2 2 2 2 5 19 4 4" xfId="16436" xr:uid="{00000000-0005-0000-0000-00000A400000}"/>
    <cellStyle name="Normal 2 2 2 2 5 19 4 5" xfId="16437" xr:uid="{00000000-0005-0000-0000-00000B400000}"/>
    <cellStyle name="Normal 2 2 2 2 5 19 4 6" xfId="16438" xr:uid="{00000000-0005-0000-0000-00000C400000}"/>
    <cellStyle name="Normal 2 2 2 2 5 19 4 7" xfId="16439" xr:uid="{00000000-0005-0000-0000-00000D400000}"/>
    <cellStyle name="Normal 2 2 2 2 5 19 4 8" xfId="16440" xr:uid="{00000000-0005-0000-0000-00000E400000}"/>
    <cellStyle name="Normal 2 2 2 2 5 19 4 9" xfId="16441" xr:uid="{00000000-0005-0000-0000-00000F400000}"/>
    <cellStyle name="Normal 2 2 2 2 5 19 5" xfId="16442" xr:uid="{00000000-0005-0000-0000-000010400000}"/>
    <cellStyle name="Normal 2 2 2 2 5 19 5 10" xfId="16443" xr:uid="{00000000-0005-0000-0000-000011400000}"/>
    <cellStyle name="Normal 2 2 2 2 5 19 5 2" xfId="16444" xr:uid="{00000000-0005-0000-0000-000012400000}"/>
    <cellStyle name="Normal 2 2 2 2 5 19 5 3" xfId="16445" xr:uid="{00000000-0005-0000-0000-000013400000}"/>
    <cellStyle name="Normal 2 2 2 2 5 19 5 4" xfId="16446" xr:uid="{00000000-0005-0000-0000-000014400000}"/>
    <cellStyle name="Normal 2 2 2 2 5 19 5 5" xfId="16447" xr:uid="{00000000-0005-0000-0000-000015400000}"/>
    <cellStyle name="Normal 2 2 2 2 5 19 5 6" xfId="16448" xr:uid="{00000000-0005-0000-0000-000016400000}"/>
    <cellStyle name="Normal 2 2 2 2 5 19 5 7" xfId="16449" xr:uid="{00000000-0005-0000-0000-000017400000}"/>
    <cellStyle name="Normal 2 2 2 2 5 19 5 8" xfId="16450" xr:uid="{00000000-0005-0000-0000-000018400000}"/>
    <cellStyle name="Normal 2 2 2 2 5 19 5 9" xfId="16451" xr:uid="{00000000-0005-0000-0000-000019400000}"/>
    <cellStyle name="Normal 2 2 2 2 5 19 6" xfId="16452" xr:uid="{00000000-0005-0000-0000-00001A400000}"/>
    <cellStyle name="Normal 2 2 2 2 5 19 7" xfId="16453" xr:uid="{00000000-0005-0000-0000-00001B400000}"/>
    <cellStyle name="Normal 2 2 2 2 5 19 8" xfId="16454" xr:uid="{00000000-0005-0000-0000-00001C400000}"/>
    <cellStyle name="Normal 2 2 2 2 5 19 9" xfId="16455" xr:uid="{00000000-0005-0000-0000-00001D400000}"/>
    <cellStyle name="Normal 2 2 2 2 5 2" xfId="16456" xr:uid="{00000000-0005-0000-0000-00001E400000}"/>
    <cellStyle name="Normal 2 2 2 2 5 2 10" xfId="16457" xr:uid="{00000000-0005-0000-0000-00001F400000}"/>
    <cellStyle name="Normal 2 2 2 2 5 2 11" xfId="16458" xr:uid="{00000000-0005-0000-0000-000020400000}"/>
    <cellStyle name="Normal 2 2 2 2 5 2 12" xfId="16459" xr:uid="{00000000-0005-0000-0000-000021400000}"/>
    <cellStyle name="Normal 2 2 2 2 5 2 13" xfId="16460" xr:uid="{00000000-0005-0000-0000-000022400000}"/>
    <cellStyle name="Normal 2 2 2 2 5 2 14" xfId="16461" xr:uid="{00000000-0005-0000-0000-000023400000}"/>
    <cellStyle name="Normal 2 2 2 2 5 2 15" xfId="16462" xr:uid="{00000000-0005-0000-0000-000024400000}"/>
    <cellStyle name="Normal 2 2 2 2 5 2 16" xfId="16463" xr:uid="{00000000-0005-0000-0000-000025400000}"/>
    <cellStyle name="Normal 2 2 2 2 5 2 17" xfId="16464" xr:uid="{00000000-0005-0000-0000-000026400000}"/>
    <cellStyle name="Normal 2 2 2 2 5 2 18" xfId="16465" xr:uid="{00000000-0005-0000-0000-000027400000}"/>
    <cellStyle name="Normal 2 2 2 2 5 2 19" xfId="16466" xr:uid="{00000000-0005-0000-0000-000028400000}"/>
    <cellStyle name="Normal 2 2 2 2 5 2 2" xfId="16467" xr:uid="{00000000-0005-0000-0000-000029400000}"/>
    <cellStyle name="Normal 2 2 2 2 5 2 20" xfId="16468" xr:uid="{00000000-0005-0000-0000-00002A400000}"/>
    <cellStyle name="Normal 2 2 2 2 5 2 21" xfId="16469" xr:uid="{00000000-0005-0000-0000-00002B400000}"/>
    <cellStyle name="Normal 2 2 2 2 5 2 21 10" xfId="16470" xr:uid="{00000000-0005-0000-0000-00002C400000}"/>
    <cellStyle name="Normal 2 2 2 2 5 2 21 2" xfId="16471" xr:uid="{00000000-0005-0000-0000-00002D400000}"/>
    <cellStyle name="Normal 2 2 2 2 5 2 21 3" xfId="16472" xr:uid="{00000000-0005-0000-0000-00002E400000}"/>
    <cellStyle name="Normal 2 2 2 2 5 2 21 4" xfId="16473" xr:uid="{00000000-0005-0000-0000-00002F400000}"/>
    <cellStyle name="Normal 2 2 2 2 5 2 21 5" xfId="16474" xr:uid="{00000000-0005-0000-0000-000030400000}"/>
    <cellStyle name="Normal 2 2 2 2 5 2 21 6" xfId="16475" xr:uid="{00000000-0005-0000-0000-000031400000}"/>
    <cellStyle name="Normal 2 2 2 2 5 2 21 7" xfId="16476" xr:uid="{00000000-0005-0000-0000-000032400000}"/>
    <cellStyle name="Normal 2 2 2 2 5 2 21 8" xfId="16477" xr:uid="{00000000-0005-0000-0000-000033400000}"/>
    <cellStyle name="Normal 2 2 2 2 5 2 21 9" xfId="16478" xr:uid="{00000000-0005-0000-0000-000034400000}"/>
    <cellStyle name="Normal 2 2 2 2 5 2 22" xfId="16479" xr:uid="{00000000-0005-0000-0000-000035400000}"/>
    <cellStyle name="Normal 2 2 2 2 5 2 22 10" xfId="16480" xr:uid="{00000000-0005-0000-0000-000036400000}"/>
    <cellStyle name="Normal 2 2 2 2 5 2 22 2" xfId="16481" xr:uid="{00000000-0005-0000-0000-000037400000}"/>
    <cellStyle name="Normal 2 2 2 2 5 2 22 3" xfId="16482" xr:uid="{00000000-0005-0000-0000-000038400000}"/>
    <cellStyle name="Normal 2 2 2 2 5 2 22 4" xfId="16483" xr:uid="{00000000-0005-0000-0000-000039400000}"/>
    <cellStyle name="Normal 2 2 2 2 5 2 22 5" xfId="16484" xr:uid="{00000000-0005-0000-0000-00003A400000}"/>
    <cellStyle name="Normal 2 2 2 2 5 2 22 6" xfId="16485" xr:uid="{00000000-0005-0000-0000-00003B400000}"/>
    <cellStyle name="Normal 2 2 2 2 5 2 22 7" xfId="16486" xr:uid="{00000000-0005-0000-0000-00003C400000}"/>
    <cellStyle name="Normal 2 2 2 2 5 2 22 8" xfId="16487" xr:uid="{00000000-0005-0000-0000-00003D400000}"/>
    <cellStyle name="Normal 2 2 2 2 5 2 22 9" xfId="16488" xr:uid="{00000000-0005-0000-0000-00003E400000}"/>
    <cellStyle name="Normal 2 2 2 2 5 2 23" xfId="16489" xr:uid="{00000000-0005-0000-0000-00003F400000}"/>
    <cellStyle name="Normal 2 2 2 2 5 2 23 10" xfId="16490" xr:uid="{00000000-0005-0000-0000-000040400000}"/>
    <cellStyle name="Normal 2 2 2 2 5 2 23 2" xfId="16491" xr:uid="{00000000-0005-0000-0000-000041400000}"/>
    <cellStyle name="Normal 2 2 2 2 5 2 23 3" xfId="16492" xr:uid="{00000000-0005-0000-0000-000042400000}"/>
    <cellStyle name="Normal 2 2 2 2 5 2 23 4" xfId="16493" xr:uid="{00000000-0005-0000-0000-000043400000}"/>
    <cellStyle name="Normal 2 2 2 2 5 2 23 5" xfId="16494" xr:uid="{00000000-0005-0000-0000-000044400000}"/>
    <cellStyle name="Normal 2 2 2 2 5 2 23 6" xfId="16495" xr:uid="{00000000-0005-0000-0000-000045400000}"/>
    <cellStyle name="Normal 2 2 2 2 5 2 23 7" xfId="16496" xr:uid="{00000000-0005-0000-0000-000046400000}"/>
    <cellStyle name="Normal 2 2 2 2 5 2 23 8" xfId="16497" xr:uid="{00000000-0005-0000-0000-000047400000}"/>
    <cellStyle name="Normal 2 2 2 2 5 2 23 9" xfId="16498" xr:uid="{00000000-0005-0000-0000-000048400000}"/>
    <cellStyle name="Normal 2 2 2 2 5 2 24" xfId="16499" xr:uid="{00000000-0005-0000-0000-000049400000}"/>
    <cellStyle name="Normal 2 2 2 2 5 2 24 10" xfId="16500" xr:uid="{00000000-0005-0000-0000-00004A400000}"/>
    <cellStyle name="Normal 2 2 2 2 5 2 24 2" xfId="16501" xr:uid="{00000000-0005-0000-0000-00004B400000}"/>
    <cellStyle name="Normal 2 2 2 2 5 2 24 3" xfId="16502" xr:uid="{00000000-0005-0000-0000-00004C400000}"/>
    <cellStyle name="Normal 2 2 2 2 5 2 24 4" xfId="16503" xr:uid="{00000000-0005-0000-0000-00004D400000}"/>
    <cellStyle name="Normal 2 2 2 2 5 2 24 5" xfId="16504" xr:uid="{00000000-0005-0000-0000-00004E400000}"/>
    <cellStyle name="Normal 2 2 2 2 5 2 24 6" xfId="16505" xr:uid="{00000000-0005-0000-0000-00004F400000}"/>
    <cellStyle name="Normal 2 2 2 2 5 2 24 7" xfId="16506" xr:uid="{00000000-0005-0000-0000-000050400000}"/>
    <cellStyle name="Normal 2 2 2 2 5 2 24 8" xfId="16507" xr:uid="{00000000-0005-0000-0000-000051400000}"/>
    <cellStyle name="Normal 2 2 2 2 5 2 24 9" xfId="16508" xr:uid="{00000000-0005-0000-0000-000052400000}"/>
    <cellStyle name="Normal 2 2 2 2 5 2 25" xfId="16509" xr:uid="{00000000-0005-0000-0000-000053400000}"/>
    <cellStyle name="Normal 2 2 2 2 5 2 26" xfId="16510" xr:uid="{00000000-0005-0000-0000-000054400000}"/>
    <cellStyle name="Normal 2 2 2 2 5 2 27" xfId="16511" xr:uid="{00000000-0005-0000-0000-000055400000}"/>
    <cellStyle name="Normal 2 2 2 2 5 2 28" xfId="16512" xr:uid="{00000000-0005-0000-0000-000056400000}"/>
    <cellStyle name="Normal 2 2 2 2 5 2 29" xfId="16513" xr:uid="{00000000-0005-0000-0000-000057400000}"/>
    <cellStyle name="Normal 2 2 2 2 5 2 3" xfId="16514" xr:uid="{00000000-0005-0000-0000-000058400000}"/>
    <cellStyle name="Normal 2 2 2 2 5 2 30" xfId="16515" xr:uid="{00000000-0005-0000-0000-000059400000}"/>
    <cellStyle name="Normal 2 2 2 2 5 2 31" xfId="16516" xr:uid="{00000000-0005-0000-0000-00005A400000}"/>
    <cellStyle name="Normal 2 2 2 2 5 2 32" xfId="16517" xr:uid="{00000000-0005-0000-0000-00005B400000}"/>
    <cellStyle name="Normal 2 2 2 2 5 2 33" xfId="16518" xr:uid="{00000000-0005-0000-0000-00005C400000}"/>
    <cellStyle name="Normal 2 2 2 2 5 2 4" xfId="16519" xr:uid="{00000000-0005-0000-0000-00005D400000}"/>
    <cellStyle name="Normal 2 2 2 2 5 2 5" xfId="16520" xr:uid="{00000000-0005-0000-0000-00005E400000}"/>
    <cellStyle name="Normal 2 2 2 2 5 2 6" xfId="16521" xr:uid="{00000000-0005-0000-0000-00005F400000}"/>
    <cellStyle name="Normal 2 2 2 2 5 2 7" xfId="16522" xr:uid="{00000000-0005-0000-0000-000060400000}"/>
    <cellStyle name="Normal 2 2 2 2 5 2 8" xfId="16523" xr:uid="{00000000-0005-0000-0000-000061400000}"/>
    <cellStyle name="Normal 2 2 2 2 5 2 9" xfId="16524" xr:uid="{00000000-0005-0000-0000-000062400000}"/>
    <cellStyle name="Normal 2 2 2 2 5 20" xfId="16525" xr:uid="{00000000-0005-0000-0000-000063400000}"/>
    <cellStyle name="Normal 2 2 2 2 5 20 10" xfId="16526" xr:uid="{00000000-0005-0000-0000-000064400000}"/>
    <cellStyle name="Normal 2 2 2 2 5 20 11" xfId="16527" xr:uid="{00000000-0005-0000-0000-000065400000}"/>
    <cellStyle name="Normal 2 2 2 2 5 20 12" xfId="16528" xr:uid="{00000000-0005-0000-0000-000066400000}"/>
    <cellStyle name="Normal 2 2 2 2 5 20 13" xfId="16529" xr:uid="{00000000-0005-0000-0000-000067400000}"/>
    <cellStyle name="Normal 2 2 2 2 5 20 14" xfId="16530" xr:uid="{00000000-0005-0000-0000-000068400000}"/>
    <cellStyle name="Normal 2 2 2 2 5 20 2" xfId="16531" xr:uid="{00000000-0005-0000-0000-000069400000}"/>
    <cellStyle name="Normal 2 2 2 2 5 20 2 10" xfId="16532" xr:uid="{00000000-0005-0000-0000-00006A400000}"/>
    <cellStyle name="Normal 2 2 2 2 5 20 2 2" xfId="16533" xr:uid="{00000000-0005-0000-0000-00006B400000}"/>
    <cellStyle name="Normal 2 2 2 2 5 20 2 3" xfId="16534" xr:uid="{00000000-0005-0000-0000-00006C400000}"/>
    <cellStyle name="Normal 2 2 2 2 5 20 2 4" xfId="16535" xr:uid="{00000000-0005-0000-0000-00006D400000}"/>
    <cellStyle name="Normal 2 2 2 2 5 20 2 5" xfId="16536" xr:uid="{00000000-0005-0000-0000-00006E400000}"/>
    <cellStyle name="Normal 2 2 2 2 5 20 2 6" xfId="16537" xr:uid="{00000000-0005-0000-0000-00006F400000}"/>
    <cellStyle name="Normal 2 2 2 2 5 20 2 7" xfId="16538" xr:uid="{00000000-0005-0000-0000-000070400000}"/>
    <cellStyle name="Normal 2 2 2 2 5 20 2 8" xfId="16539" xr:uid="{00000000-0005-0000-0000-000071400000}"/>
    <cellStyle name="Normal 2 2 2 2 5 20 2 9" xfId="16540" xr:uid="{00000000-0005-0000-0000-000072400000}"/>
    <cellStyle name="Normal 2 2 2 2 5 20 3" xfId="16541" xr:uid="{00000000-0005-0000-0000-000073400000}"/>
    <cellStyle name="Normal 2 2 2 2 5 20 3 10" xfId="16542" xr:uid="{00000000-0005-0000-0000-000074400000}"/>
    <cellStyle name="Normal 2 2 2 2 5 20 3 2" xfId="16543" xr:uid="{00000000-0005-0000-0000-000075400000}"/>
    <cellStyle name="Normal 2 2 2 2 5 20 3 3" xfId="16544" xr:uid="{00000000-0005-0000-0000-000076400000}"/>
    <cellStyle name="Normal 2 2 2 2 5 20 3 4" xfId="16545" xr:uid="{00000000-0005-0000-0000-000077400000}"/>
    <cellStyle name="Normal 2 2 2 2 5 20 3 5" xfId="16546" xr:uid="{00000000-0005-0000-0000-000078400000}"/>
    <cellStyle name="Normal 2 2 2 2 5 20 3 6" xfId="16547" xr:uid="{00000000-0005-0000-0000-000079400000}"/>
    <cellStyle name="Normal 2 2 2 2 5 20 3 7" xfId="16548" xr:uid="{00000000-0005-0000-0000-00007A400000}"/>
    <cellStyle name="Normal 2 2 2 2 5 20 3 8" xfId="16549" xr:uid="{00000000-0005-0000-0000-00007B400000}"/>
    <cellStyle name="Normal 2 2 2 2 5 20 3 9" xfId="16550" xr:uid="{00000000-0005-0000-0000-00007C400000}"/>
    <cellStyle name="Normal 2 2 2 2 5 20 4" xfId="16551" xr:uid="{00000000-0005-0000-0000-00007D400000}"/>
    <cellStyle name="Normal 2 2 2 2 5 20 4 10" xfId="16552" xr:uid="{00000000-0005-0000-0000-00007E400000}"/>
    <cellStyle name="Normal 2 2 2 2 5 20 4 2" xfId="16553" xr:uid="{00000000-0005-0000-0000-00007F400000}"/>
    <cellStyle name="Normal 2 2 2 2 5 20 4 3" xfId="16554" xr:uid="{00000000-0005-0000-0000-000080400000}"/>
    <cellStyle name="Normal 2 2 2 2 5 20 4 4" xfId="16555" xr:uid="{00000000-0005-0000-0000-000081400000}"/>
    <cellStyle name="Normal 2 2 2 2 5 20 4 5" xfId="16556" xr:uid="{00000000-0005-0000-0000-000082400000}"/>
    <cellStyle name="Normal 2 2 2 2 5 20 4 6" xfId="16557" xr:uid="{00000000-0005-0000-0000-000083400000}"/>
    <cellStyle name="Normal 2 2 2 2 5 20 4 7" xfId="16558" xr:uid="{00000000-0005-0000-0000-000084400000}"/>
    <cellStyle name="Normal 2 2 2 2 5 20 4 8" xfId="16559" xr:uid="{00000000-0005-0000-0000-000085400000}"/>
    <cellStyle name="Normal 2 2 2 2 5 20 4 9" xfId="16560" xr:uid="{00000000-0005-0000-0000-000086400000}"/>
    <cellStyle name="Normal 2 2 2 2 5 20 5" xfId="16561" xr:uid="{00000000-0005-0000-0000-000087400000}"/>
    <cellStyle name="Normal 2 2 2 2 5 20 5 10" xfId="16562" xr:uid="{00000000-0005-0000-0000-000088400000}"/>
    <cellStyle name="Normal 2 2 2 2 5 20 5 2" xfId="16563" xr:uid="{00000000-0005-0000-0000-000089400000}"/>
    <cellStyle name="Normal 2 2 2 2 5 20 5 3" xfId="16564" xr:uid="{00000000-0005-0000-0000-00008A400000}"/>
    <cellStyle name="Normal 2 2 2 2 5 20 5 4" xfId="16565" xr:uid="{00000000-0005-0000-0000-00008B400000}"/>
    <cellStyle name="Normal 2 2 2 2 5 20 5 5" xfId="16566" xr:uid="{00000000-0005-0000-0000-00008C400000}"/>
    <cellStyle name="Normal 2 2 2 2 5 20 5 6" xfId="16567" xr:uid="{00000000-0005-0000-0000-00008D400000}"/>
    <cellStyle name="Normal 2 2 2 2 5 20 5 7" xfId="16568" xr:uid="{00000000-0005-0000-0000-00008E400000}"/>
    <cellStyle name="Normal 2 2 2 2 5 20 5 8" xfId="16569" xr:uid="{00000000-0005-0000-0000-00008F400000}"/>
    <cellStyle name="Normal 2 2 2 2 5 20 5 9" xfId="16570" xr:uid="{00000000-0005-0000-0000-000090400000}"/>
    <cellStyle name="Normal 2 2 2 2 5 20 6" xfId="16571" xr:uid="{00000000-0005-0000-0000-000091400000}"/>
    <cellStyle name="Normal 2 2 2 2 5 20 7" xfId="16572" xr:uid="{00000000-0005-0000-0000-000092400000}"/>
    <cellStyle name="Normal 2 2 2 2 5 20 8" xfId="16573" xr:uid="{00000000-0005-0000-0000-000093400000}"/>
    <cellStyle name="Normal 2 2 2 2 5 20 9" xfId="16574" xr:uid="{00000000-0005-0000-0000-000094400000}"/>
    <cellStyle name="Normal 2 2 2 2 5 21" xfId="16575" xr:uid="{00000000-0005-0000-0000-000095400000}"/>
    <cellStyle name="Normal 2 2 2 2 5 22" xfId="16576" xr:uid="{00000000-0005-0000-0000-000096400000}"/>
    <cellStyle name="Normal 2 2 2 2 5 3" xfId="16577" xr:uid="{00000000-0005-0000-0000-000097400000}"/>
    <cellStyle name="Normal 2 2 2 2 5 3 10" xfId="16578" xr:uid="{00000000-0005-0000-0000-000098400000}"/>
    <cellStyle name="Normal 2 2 2 2 5 3 11" xfId="16579" xr:uid="{00000000-0005-0000-0000-000099400000}"/>
    <cellStyle name="Normal 2 2 2 2 5 3 12" xfId="16580" xr:uid="{00000000-0005-0000-0000-00009A400000}"/>
    <cellStyle name="Normal 2 2 2 2 5 3 13" xfId="16581" xr:uid="{00000000-0005-0000-0000-00009B400000}"/>
    <cellStyle name="Normal 2 2 2 2 5 3 14" xfId="16582" xr:uid="{00000000-0005-0000-0000-00009C400000}"/>
    <cellStyle name="Normal 2 2 2 2 5 3 2" xfId="16583" xr:uid="{00000000-0005-0000-0000-00009D400000}"/>
    <cellStyle name="Normal 2 2 2 2 5 3 2 10" xfId="16584" xr:uid="{00000000-0005-0000-0000-00009E400000}"/>
    <cellStyle name="Normal 2 2 2 2 5 3 2 2" xfId="16585" xr:uid="{00000000-0005-0000-0000-00009F400000}"/>
    <cellStyle name="Normal 2 2 2 2 5 3 2 3" xfId="16586" xr:uid="{00000000-0005-0000-0000-0000A0400000}"/>
    <cellStyle name="Normal 2 2 2 2 5 3 2 4" xfId="16587" xr:uid="{00000000-0005-0000-0000-0000A1400000}"/>
    <cellStyle name="Normal 2 2 2 2 5 3 2 5" xfId="16588" xr:uid="{00000000-0005-0000-0000-0000A2400000}"/>
    <cellStyle name="Normal 2 2 2 2 5 3 2 6" xfId="16589" xr:uid="{00000000-0005-0000-0000-0000A3400000}"/>
    <cellStyle name="Normal 2 2 2 2 5 3 2 7" xfId="16590" xr:uid="{00000000-0005-0000-0000-0000A4400000}"/>
    <cellStyle name="Normal 2 2 2 2 5 3 2 8" xfId="16591" xr:uid="{00000000-0005-0000-0000-0000A5400000}"/>
    <cellStyle name="Normal 2 2 2 2 5 3 2 9" xfId="16592" xr:uid="{00000000-0005-0000-0000-0000A6400000}"/>
    <cellStyle name="Normal 2 2 2 2 5 3 3" xfId="16593" xr:uid="{00000000-0005-0000-0000-0000A7400000}"/>
    <cellStyle name="Normal 2 2 2 2 5 3 3 10" xfId="16594" xr:uid="{00000000-0005-0000-0000-0000A8400000}"/>
    <cellStyle name="Normal 2 2 2 2 5 3 3 2" xfId="16595" xr:uid="{00000000-0005-0000-0000-0000A9400000}"/>
    <cellStyle name="Normal 2 2 2 2 5 3 3 3" xfId="16596" xr:uid="{00000000-0005-0000-0000-0000AA400000}"/>
    <cellStyle name="Normal 2 2 2 2 5 3 3 4" xfId="16597" xr:uid="{00000000-0005-0000-0000-0000AB400000}"/>
    <cellStyle name="Normal 2 2 2 2 5 3 3 5" xfId="16598" xr:uid="{00000000-0005-0000-0000-0000AC400000}"/>
    <cellStyle name="Normal 2 2 2 2 5 3 3 6" xfId="16599" xr:uid="{00000000-0005-0000-0000-0000AD400000}"/>
    <cellStyle name="Normal 2 2 2 2 5 3 3 7" xfId="16600" xr:uid="{00000000-0005-0000-0000-0000AE400000}"/>
    <cellStyle name="Normal 2 2 2 2 5 3 3 8" xfId="16601" xr:uid="{00000000-0005-0000-0000-0000AF400000}"/>
    <cellStyle name="Normal 2 2 2 2 5 3 3 9" xfId="16602" xr:uid="{00000000-0005-0000-0000-0000B0400000}"/>
    <cellStyle name="Normal 2 2 2 2 5 3 4" xfId="16603" xr:uid="{00000000-0005-0000-0000-0000B1400000}"/>
    <cellStyle name="Normal 2 2 2 2 5 3 4 10" xfId="16604" xr:uid="{00000000-0005-0000-0000-0000B2400000}"/>
    <cellStyle name="Normal 2 2 2 2 5 3 4 2" xfId="16605" xr:uid="{00000000-0005-0000-0000-0000B3400000}"/>
    <cellStyle name="Normal 2 2 2 2 5 3 4 3" xfId="16606" xr:uid="{00000000-0005-0000-0000-0000B4400000}"/>
    <cellStyle name="Normal 2 2 2 2 5 3 4 4" xfId="16607" xr:uid="{00000000-0005-0000-0000-0000B5400000}"/>
    <cellStyle name="Normal 2 2 2 2 5 3 4 5" xfId="16608" xr:uid="{00000000-0005-0000-0000-0000B6400000}"/>
    <cellStyle name="Normal 2 2 2 2 5 3 4 6" xfId="16609" xr:uid="{00000000-0005-0000-0000-0000B7400000}"/>
    <cellStyle name="Normal 2 2 2 2 5 3 4 7" xfId="16610" xr:uid="{00000000-0005-0000-0000-0000B8400000}"/>
    <cellStyle name="Normal 2 2 2 2 5 3 4 8" xfId="16611" xr:uid="{00000000-0005-0000-0000-0000B9400000}"/>
    <cellStyle name="Normal 2 2 2 2 5 3 4 9" xfId="16612" xr:uid="{00000000-0005-0000-0000-0000BA400000}"/>
    <cellStyle name="Normal 2 2 2 2 5 3 5" xfId="16613" xr:uid="{00000000-0005-0000-0000-0000BB400000}"/>
    <cellStyle name="Normal 2 2 2 2 5 3 5 10" xfId="16614" xr:uid="{00000000-0005-0000-0000-0000BC400000}"/>
    <cellStyle name="Normal 2 2 2 2 5 3 5 2" xfId="16615" xr:uid="{00000000-0005-0000-0000-0000BD400000}"/>
    <cellStyle name="Normal 2 2 2 2 5 3 5 3" xfId="16616" xr:uid="{00000000-0005-0000-0000-0000BE400000}"/>
    <cellStyle name="Normal 2 2 2 2 5 3 5 4" xfId="16617" xr:uid="{00000000-0005-0000-0000-0000BF400000}"/>
    <cellStyle name="Normal 2 2 2 2 5 3 5 5" xfId="16618" xr:uid="{00000000-0005-0000-0000-0000C0400000}"/>
    <cellStyle name="Normal 2 2 2 2 5 3 5 6" xfId="16619" xr:uid="{00000000-0005-0000-0000-0000C1400000}"/>
    <cellStyle name="Normal 2 2 2 2 5 3 5 7" xfId="16620" xr:uid="{00000000-0005-0000-0000-0000C2400000}"/>
    <cellStyle name="Normal 2 2 2 2 5 3 5 8" xfId="16621" xr:uid="{00000000-0005-0000-0000-0000C3400000}"/>
    <cellStyle name="Normal 2 2 2 2 5 3 5 9" xfId="16622" xr:uid="{00000000-0005-0000-0000-0000C4400000}"/>
    <cellStyle name="Normal 2 2 2 2 5 3 6" xfId="16623" xr:uid="{00000000-0005-0000-0000-0000C5400000}"/>
    <cellStyle name="Normal 2 2 2 2 5 3 7" xfId="16624" xr:uid="{00000000-0005-0000-0000-0000C6400000}"/>
    <cellStyle name="Normal 2 2 2 2 5 3 8" xfId="16625" xr:uid="{00000000-0005-0000-0000-0000C7400000}"/>
    <cellStyle name="Normal 2 2 2 2 5 3 9" xfId="16626" xr:uid="{00000000-0005-0000-0000-0000C8400000}"/>
    <cellStyle name="Normal 2 2 2 2 5 4" xfId="16627" xr:uid="{00000000-0005-0000-0000-0000C9400000}"/>
    <cellStyle name="Normal 2 2 2 2 5 4 10" xfId="16628" xr:uid="{00000000-0005-0000-0000-0000CA400000}"/>
    <cellStyle name="Normal 2 2 2 2 5 4 11" xfId="16629" xr:uid="{00000000-0005-0000-0000-0000CB400000}"/>
    <cellStyle name="Normal 2 2 2 2 5 4 12" xfId="16630" xr:uid="{00000000-0005-0000-0000-0000CC400000}"/>
    <cellStyle name="Normal 2 2 2 2 5 4 13" xfId="16631" xr:uid="{00000000-0005-0000-0000-0000CD400000}"/>
    <cellStyle name="Normal 2 2 2 2 5 4 14" xfId="16632" xr:uid="{00000000-0005-0000-0000-0000CE400000}"/>
    <cellStyle name="Normal 2 2 2 2 5 4 2" xfId="16633" xr:uid="{00000000-0005-0000-0000-0000CF400000}"/>
    <cellStyle name="Normal 2 2 2 2 5 4 2 10" xfId="16634" xr:uid="{00000000-0005-0000-0000-0000D0400000}"/>
    <cellStyle name="Normal 2 2 2 2 5 4 2 2" xfId="16635" xr:uid="{00000000-0005-0000-0000-0000D1400000}"/>
    <cellStyle name="Normal 2 2 2 2 5 4 2 3" xfId="16636" xr:uid="{00000000-0005-0000-0000-0000D2400000}"/>
    <cellStyle name="Normal 2 2 2 2 5 4 2 4" xfId="16637" xr:uid="{00000000-0005-0000-0000-0000D3400000}"/>
    <cellStyle name="Normal 2 2 2 2 5 4 2 5" xfId="16638" xr:uid="{00000000-0005-0000-0000-0000D4400000}"/>
    <cellStyle name="Normal 2 2 2 2 5 4 2 6" xfId="16639" xr:uid="{00000000-0005-0000-0000-0000D5400000}"/>
    <cellStyle name="Normal 2 2 2 2 5 4 2 7" xfId="16640" xr:uid="{00000000-0005-0000-0000-0000D6400000}"/>
    <cellStyle name="Normal 2 2 2 2 5 4 2 8" xfId="16641" xr:uid="{00000000-0005-0000-0000-0000D7400000}"/>
    <cellStyle name="Normal 2 2 2 2 5 4 2 9" xfId="16642" xr:uid="{00000000-0005-0000-0000-0000D8400000}"/>
    <cellStyle name="Normal 2 2 2 2 5 4 3" xfId="16643" xr:uid="{00000000-0005-0000-0000-0000D9400000}"/>
    <cellStyle name="Normal 2 2 2 2 5 4 3 10" xfId="16644" xr:uid="{00000000-0005-0000-0000-0000DA400000}"/>
    <cellStyle name="Normal 2 2 2 2 5 4 3 2" xfId="16645" xr:uid="{00000000-0005-0000-0000-0000DB400000}"/>
    <cellStyle name="Normal 2 2 2 2 5 4 3 3" xfId="16646" xr:uid="{00000000-0005-0000-0000-0000DC400000}"/>
    <cellStyle name="Normal 2 2 2 2 5 4 3 4" xfId="16647" xr:uid="{00000000-0005-0000-0000-0000DD400000}"/>
    <cellStyle name="Normal 2 2 2 2 5 4 3 5" xfId="16648" xr:uid="{00000000-0005-0000-0000-0000DE400000}"/>
    <cellStyle name="Normal 2 2 2 2 5 4 3 6" xfId="16649" xr:uid="{00000000-0005-0000-0000-0000DF400000}"/>
    <cellStyle name="Normal 2 2 2 2 5 4 3 7" xfId="16650" xr:uid="{00000000-0005-0000-0000-0000E0400000}"/>
    <cellStyle name="Normal 2 2 2 2 5 4 3 8" xfId="16651" xr:uid="{00000000-0005-0000-0000-0000E1400000}"/>
    <cellStyle name="Normal 2 2 2 2 5 4 3 9" xfId="16652" xr:uid="{00000000-0005-0000-0000-0000E2400000}"/>
    <cellStyle name="Normal 2 2 2 2 5 4 4" xfId="16653" xr:uid="{00000000-0005-0000-0000-0000E3400000}"/>
    <cellStyle name="Normal 2 2 2 2 5 4 4 10" xfId="16654" xr:uid="{00000000-0005-0000-0000-0000E4400000}"/>
    <cellStyle name="Normal 2 2 2 2 5 4 4 2" xfId="16655" xr:uid="{00000000-0005-0000-0000-0000E5400000}"/>
    <cellStyle name="Normal 2 2 2 2 5 4 4 3" xfId="16656" xr:uid="{00000000-0005-0000-0000-0000E6400000}"/>
    <cellStyle name="Normal 2 2 2 2 5 4 4 4" xfId="16657" xr:uid="{00000000-0005-0000-0000-0000E7400000}"/>
    <cellStyle name="Normal 2 2 2 2 5 4 4 5" xfId="16658" xr:uid="{00000000-0005-0000-0000-0000E8400000}"/>
    <cellStyle name="Normal 2 2 2 2 5 4 4 6" xfId="16659" xr:uid="{00000000-0005-0000-0000-0000E9400000}"/>
    <cellStyle name="Normal 2 2 2 2 5 4 4 7" xfId="16660" xr:uid="{00000000-0005-0000-0000-0000EA400000}"/>
    <cellStyle name="Normal 2 2 2 2 5 4 4 8" xfId="16661" xr:uid="{00000000-0005-0000-0000-0000EB400000}"/>
    <cellStyle name="Normal 2 2 2 2 5 4 4 9" xfId="16662" xr:uid="{00000000-0005-0000-0000-0000EC400000}"/>
    <cellStyle name="Normal 2 2 2 2 5 4 5" xfId="16663" xr:uid="{00000000-0005-0000-0000-0000ED400000}"/>
    <cellStyle name="Normal 2 2 2 2 5 4 5 10" xfId="16664" xr:uid="{00000000-0005-0000-0000-0000EE400000}"/>
    <cellStyle name="Normal 2 2 2 2 5 4 5 2" xfId="16665" xr:uid="{00000000-0005-0000-0000-0000EF400000}"/>
    <cellStyle name="Normal 2 2 2 2 5 4 5 3" xfId="16666" xr:uid="{00000000-0005-0000-0000-0000F0400000}"/>
    <cellStyle name="Normal 2 2 2 2 5 4 5 4" xfId="16667" xr:uid="{00000000-0005-0000-0000-0000F1400000}"/>
    <cellStyle name="Normal 2 2 2 2 5 4 5 5" xfId="16668" xr:uid="{00000000-0005-0000-0000-0000F2400000}"/>
    <cellStyle name="Normal 2 2 2 2 5 4 5 6" xfId="16669" xr:uid="{00000000-0005-0000-0000-0000F3400000}"/>
    <cellStyle name="Normal 2 2 2 2 5 4 5 7" xfId="16670" xr:uid="{00000000-0005-0000-0000-0000F4400000}"/>
    <cellStyle name="Normal 2 2 2 2 5 4 5 8" xfId="16671" xr:uid="{00000000-0005-0000-0000-0000F5400000}"/>
    <cellStyle name="Normal 2 2 2 2 5 4 5 9" xfId="16672" xr:uid="{00000000-0005-0000-0000-0000F6400000}"/>
    <cellStyle name="Normal 2 2 2 2 5 4 6" xfId="16673" xr:uid="{00000000-0005-0000-0000-0000F7400000}"/>
    <cellStyle name="Normal 2 2 2 2 5 4 7" xfId="16674" xr:uid="{00000000-0005-0000-0000-0000F8400000}"/>
    <cellStyle name="Normal 2 2 2 2 5 4 8" xfId="16675" xr:uid="{00000000-0005-0000-0000-0000F9400000}"/>
    <cellStyle name="Normal 2 2 2 2 5 4 9" xfId="16676" xr:uid="{00000000-0005-0000-0000-0000FA400000}"/>
    <cellStyle name="Normal 2 2 2 2 5 5" xfId="16677" xr:uid="{00000000-0005-0000-0000-0000FB400000}"/>
    <cellStyle name="Normal 2 2 2 2 5 5 10" xfId="16678" xr:uid="{00000000-0005-0000-0000-0000FC400000}"/>
    <cellStyle name="Normal 2 2 2 2 5 5 11" xfId="16679" xr:uid="{00000000-0005-0000-0000-0000FD400000}"/>
    <cellStyle name="Normal 2 2 2 2 5 5 12" xfId="16680" xr:uid="{00000000-0005-0000-0000-0000FE400000}"/>
    <cellStyle name="Normal 2 2 2 2 5 5 13" xfId="16681" xr:uid="{00000000-0005-0000-0000-0000FF400000}"/>
    <cellStyle name="Normal 2 2 2 2 5 5 14" xfId="16682" xr:uid="{00000000-0005-0000-0000-000000410000}"/>
    <cellStyle name="Normal 2 2 2 2 5 5 2" xfId="16683" xr:uid="{00000000-0005-0000-0000-000001410000}"/>
    <cellStyle name="Normal 2 2 2 2 5 5 2 10" xfId="16684" xr:uid="{00000000-0005-0000-0000-000002410000}"/>
    <cellStyle name="Normal 2 2 2 2 5 5 2 2" xfId="16685" xr:uid="{00000000-0005-0000-0000-000003410000}"/>
    <cellStyle name="Normal 2 2 2 2 5 5 2 3" xfId="16686" xr:uid="{00000000-0005-0000-0000-000004410000}"/>
    <cellStyle name="Normal 2 2 2 2 5 5 2 4" xfId="16687" xr:uid="{00000000-0005-0000-0000-000005410000}"/>
    <cellStyle name="Normal 2 2 2 2 5 5 2 5" xfId="16688" xr:uid="{00000000-0005-0000-0000-000006410000}"/>
    <cellStyle name="Normal 2 2 2 2 5 5 2 6" xfId="16689" xr:uid="{00000000-0005-0000-0000-000007410000}"/>
    <cellStyle name="Normal 2 2 2 2 5 5 2 7" xfId="16690" xr:uid="{00000000-0005-0000-0000-000008410000}"/>
    <cellStyle name="Normal 2 2 2 2 5 5 2 8" xfId="16691" xr:uid="{00000000-0005-0000-0000-000009410000}"/>
    <cellStyle name="Normal 2 2 2 2 5 5 2 9" xfId="16692" xr:uid="{00000000-0005-0000-0000-00000A410000}"/>
    <cellStyle name="Normal 2 2 2 2 5 5 3" xfId="16693" xr:uid="{00000000-0005-0000-0000-00000B410000}"/>
    <cellStyle name="Normal 2 2 2 2 5 5 3 10" xfId="16694" xr:uid="{00000000-0005-0000-0000-00000C410000}"/>
    <cellStyle name="Normal 2 2 2 2 5 5 3 2" xfId="16695" xr:uid="{00000000-0005-0000-0000-00000D410000}"/>
    <cellStyle name="Normal 2 2 2 2 5 5 3 3" xfId="16696" xr:uid="{00000000-0005-0000-0000-00000E410000}"/>
    <cellStyle name="Normal 2 2 2 2 5 5 3 4" xfId="16697" xr:uid="{00000000-0005-0000-0000-00000F410000}"/>
    <cellStyle name="Normal 2 2 2 2 5 5 3 5" xfId="16698" xr:uid="{00000000-0005-0000-0000-000010410000}"/>
    <cellStyle name="Normal 2 2 2 2 5 5 3 6" xfId="16699" xr:uid="{00000000-0005-0000-0000-000011410000}"/>
    <cellStyle name="Normal 2 2 2 2 5 5 3 7" xfId="16700" xr:uid="{00000000-0005-0000-0000-000012410000}"/>
    <cellStyle name="Normal 2 2 2 2 5 5 3 8" xfId="16701" xr:uid="{00000000-0005-0000-0000-000013410000}"/>
    <cellStyle name="Normal 2 2 2 2 5 5 3 9" xfId="16702" xr:uid="{00000000-0005-0000-0000-000014410000}"/>
    <cellStyle name="Normal 2 2 2 2 5 5 4" xfId="16703" xr:uid="{00000000-0005-0000-0000-000015410000}"/>
    <cellStyle name="Normal 2 2 2 2 5 5 4 10" xfId="16704" xr:uid="{00000000-0005-0000-0000-000016410000}"/>
    <cellStyle name="Normal 2 2 2 2 5 5 4 2" xfId="16705" xr:uid="{00000000-0005-0000-0000-000017410000}"/>
    <cellStyle name="Normal 2 2 2 2 5 5 4 3" xfId="16706" xr:uid="{00000000-0005-0000-0000-000018410000}"/>
    <cellStyle name="Normal 2 2 2 2 5 5 4 4" xfId="16707" xr:uid="{00000000-0005-0000-0000-000019410000}"/>
    <cellStyle name="Normal 2 2 2 2 5 5 4 5" xfId="16708" xr:uid="{00000000-0005-0000-0000-00001A410000}"/>
    <cellStyle name="Normal 2 2 2 2 5 5 4 6" xfId="16709" xr:uid="{00000000-0005-0000-0000-00001B410000}"/>
    <cellStyle name="Normal 2 2 2 2 5 5 4 7" xfId="16710" xr:uid="{00000000-0005-0000-0000-00001C410000}"/>
    <cellStyle name="Normal 2 2 2 2 5 5 4 8" xfId="16711" xr:uid="{00000000-0005-0000-0000-00001D410000}"/>
    <cellStyle name="Normal 2 2 2 2 5 5 4 9" xfId="16712" xr:uid="{00000000-0005-0000-0000-00001E410000}"/>
    <cellStyle name="Normal 2 2 2 2 5 5 5" xfId="16713" xr:uid="{00000000-0005-0000-0000-00001F410000}"/>
    <cellStyle name="Normal 2 2 2 2 5 5 5 10" xfId="16714" xr:uid="{00000000-0005-0000-0000-000020410000}"/>
    <cellStyle name="Normal 2 2 2 2 5 5 5 2" xfId="16715" xr:uid="{00000000-0005-0000-0000-000021410000}"/>
    <cellStyle name="Normal 2 2 2 2 5 5 5 3" xfId="16716" xr:uid="{00000000-0005-0000-0000-000022410000}"/>
    <cellStyle name="Normal 2 2 2 2 5 5 5 4" xfId="16717" xr:uid="{00000000-0005-0000-0000-000023410000}"/>
    <cellStyle name="Normal 2 2 2 2 5 5 5 5" xfId="16718" xr:uid="{00000000-0005-0000-0000-000024410000}"/>
    <cellStyle name="Normal 2 2 2 2 5 5 5 6" xfId="16719" xr:uid="{00000000-0005-0000-0000-000025410000}"/>
    <cellStyle name="Normal 2 2 2 2 5 5 5 7" xfId="16720" xr:uid="{00000000-0005-0000-0000-000026410000}"/>
    <cellStyle name="Normal 2 2 2 2 5 5 5 8" xfId="16721" xr:uid="{00000000-0005-0000-0000-000027410000}"/>
    <cellStyle name="Normal 2 2 2 2 5 5 5 9" xfId="16722" xr:uid="{00000000-0005-0000-0000-000028410000}"/>
    <cellStyle name="Normal 2 2 2 2 5 5 6" xfId="16723" xr:uid="{00000000-0005-0000-0000-000029410000}"/>
    <cellStyle name="Normal 2 2 2 2 5 5 7" xfId="16724" xr:uid="{00000000-0005-0000-0000-00002A410000}"/>
    <cellStyle name="Normal 2 2 2 2 5 5 8" xfId="16725" xr:uid="{00000000-0005-0000-0000-00002B410000}"/>
    <cellStyle name="Normal 2 2 2 2 5 5 9" xfId="16726" xr:uid="{00000000-0005-0000-0000-00002C410000}"/>
    <cellStyle name="Normal 2 2 2 2 5 6" xfId="16727" xr:uid="{00000000-0005-0000-0000-00002D410000}"/>
    <cellStyle name="Normal 2 2 2 2 5 6 10" xfId="16728" xr:uid="{00000000-0005-0000-0000-00002E410000}"/>
    <cellStyle name="Normal 2 2 2 2 5 6 11" xfId="16729" xr:uid="{00000000-0005-0000-0000-00002F410000}"/>
    <cellStyle name="Normal 2 2 2 2 5 6 12" xfId="16730" xr:uid="{00000000-0005-0000-0000-000030410000}"/>
    <cellStyle name="Normal 2 2 2 2 5 6 13" xfId="16731" xr:uid="{00000000-0005-0000-0000-000031410000}"/>
    <cellStyle name="Normal 2 2 2 2 5 6 14" xfId="16732" xr:uid="{00000000-0005-0000-0000-000032410000}"/>
    <cellStyle name="Normal 2 2 2 2 5 6 2" xfId="16733" xr:uid="{00000000-0005-0000-0000-000033410000}"/>
    <cellStyle name="Normal 2 2 2 2 5 6 2 10" xfId="16734" xr:uid="{00000000-0005-0000-0000-000034410000}"/>
    <cellStyle name="Normal 2 2 2 2 5 6 2 2" xfId="16735" xr:uid="{00000000-0005-0000-0000-000035410000}"/>
    <cellStyle name="Normal 2 2 2 2 5 6 2 3" xfId="16736" xr:uid="{00000000-0005-0000-0000-000036410000}"/>
    <cellStyle name="Normal 2 2 2 2 5 6 2 4" xfId="16737" xr:uid="{00000000-0005-0000-0000-000037410000}"/>
    <cellStyle name="Normal 2 2 2 2 5 6 2 5" xfId="16738" xr:uid="{00000000-0005-0000-0000-000038410000}"/>
    <cellStyle name="Normal 2 2 2 2 5 6 2 6" xfId="16739" xr:uid="{00000000-0005-0000-0000-000039410000}"/>
    <cellStyle name="Normal 2 2 2 2 5 6 2 7" xfId="16740" xr:uid="{00000000-0005-0000-0000-00003A410000}"/>
    <cellStyle name="Normal 2 2 2 2 5 6 2 8" xfId="16741" xr:uid="{00000000-0005-0000-0000-00003B410000}"/>
    <cellStyle name="Normal 2 2 2 2 5 6 2 9" xfId="16742" xr:uid="{00000000-0005-0000-0000-00003C410000}"/>
    <cellStyle name="Normal 2 2 2 2 5 6 3" xfId="16743" xr:uid="{00000000-0005-0000-0000-00003D410000}"/>
    <cellStyle name="Normal 2 2 2 2 5 6 3 10" xfId="16744" xr:uid="{00000000-0005-0000-0000-00003E410000}"/>
    <cellStyle name="Normal 2 2 2 2 5 6 3 2" xfId="16745" xr:uid="{00000000-0005-0000-0000-00003F410000}"/>
    <cellStyle name="Normal 2 2 2 2 5 6 3 3" xfId="16746" xr:uid="{00000000-0005-0000-0000-000040410000}"/>
    <cellStyle name="Normal 2 2 2 2 5 6 3 4" xfId="16747" xr:uid="{00000000-0005-0000-0000-000041410000}"/>
    <cellStyle name="Normal 2 2 2 2 5 6 3 5" xfId="16748" xr:uid="{00000000-0005-0000-0000-000042410000}"/>
    <cellStyle name="Normal 2 2 2 2 5 6 3 6" xfId="16749" xr:uid="{00000000-0005-0000-0000-000043410000}"/>
    <cellStyle name="Normal 2 2 2 2 5 6 3 7" xfId="16750" xr:uid="{00000000-0005-0000-0000-000044410000}"/>
    <cellStyle name="Normal 2 2 2 2 5 6 3 8" xfId="16751" xr:uid="{00000000-0005-0000-0000-000045410000}"/>
    <cellStyle name="Normal 2 2 2 2 5 6 3 9" xfId="16752" xr:uid="{00000000-0005-0000-0000-000046410000}"/>
    <cellStyle name="Normal 2 2 2 2 5 6 4" xfId="16753" xr:uid="{00000000-0005-0000-0000-000047410000}"/>
    <cellStyle name="Normal 2 2 2 2 5 6 4 10" xfId="16754" xr:uid="{00000000-0005-0000-0000-000048410000}"/>
    <cellStyle name="Normal 2 2 2 2 5 6 4 2" xfId="16755" xr:uid="{00000000-0005-0000-0000-000049410000}"/>
    <cellStyle name="Normal 2 2 2 2 5 6 4 3" xfId="16756" xr:uid="{00000000-0005-0000-0000-00004A410000}"/>
    <cellStyle name="Normal 2 2 2 2 5 6 4 4" xfId="16757" xr:uid="{00000000-0005-0000-0000-00004B410000}"/>
    <cellStyle name="Normal 2 2 2 2 5 6 4 5" xfId="16758" xr:uid="{00000000-0005-0000-0000-00004C410000}"/>
    <cellStyle name="Normal 2 2 2 2 5 6 4 6" xfId="16759" xr:uid="{00000000-0005-0000-0000-00004D410000}"/>
    <cellStyle name="Normal 2 2 2 2 5 6 4 7" xfId="16760" xr:uid="{00000000-0005-0000-0000-00004E410000}"/>
    <cellStyle name="Normal 2 2 2 2 5 6 4 8" xfId="16761" xr:uid="{00000000-0005-0000-0000-00004F410000}"/>
    <cellStyle name="Normal 2 2 2 2 5 6 4 9" xfId="16762" xr:uid="{00000000-0005-0000-0000-000050410000}"/>
    <cellStyle name="Normal 2 2 2 2 5 6 5" xfId="16763" xr:uid="{00000000-0005-0000-0000-000051410000}"/>
    <cellStyle name="Normal 2 2 2 2 5 6 5 10" xfId="16764" xr:uid="{00000000-0005-0000-0000-000052410000}"/>
    <cellStyle name="Normal 2 2 2 2 5 6 5 2" xfId="16765" xr:uid="{00000000-0005-0000-0000-000053410000}"/>
    <cellStyle name="Normal 2 2 2 2 5 6 5 3" xfId="16766" xr:uid="{00000000-0005-0000-0000-000054410000}"/>
    <cellStyle name="Normal 2 2 2 2 5 6 5 4" xfId="16767" xr:uid="{00000000-0005-0000-0000-000055410000}"/>
    <cellStyle name="Normal 2 2 2 2 5 6 5 5" xfId="16768" xr:uid="{00000000-0005-0000-0000-000056410000}"/>
    <cellStyle name="Normal 2 2 2 2 5 6 5 6" xfId="16769" xr:uid="{00000000-0005-0000-0000-000057410000}"/>
    <cellStyle name="Normal 2 2 2 2 5 6 5 7" xfId="16770" xr:uid="{00000000-0005-0000-0000-000058410000}"/>
    <cellStyle name="Normal 2 2 2 2 5 6 5 8" xfId="16771" xr:uid="{00000000-0005-0000-0000-000059410000}"/>
    <cellStyle name="Normal 2 2 2 2 5 6 5 9" xfId="16772" xr:uid="{00000000-0005-0000-0000-00005A410000}"/>
    <cellStyle name="Normal 2 2 2 2 5 6 6" xfId="16773" xr:uid="{00000000-0005-0000-0000-00005B410000}"/>
    <cellStyle name="Normal 2 2 2 2 5 6 7" xfId="16774" xr:uid="{00000000-0005-0000-0000-00005C410000}"/>
    <cellStyle name="Normal 2 2 2 2 5 6 8" xfId="16775" xr:uid="{00000000-0005-0000-0000-00005D410000}"/>
    <cellStyle name="Normal 2 2 2 2 5 6 9" xfId="16776" xr:uid="{00000000-0005-0000-0000-00005E410000}"/>
    <cellStyle name="Normal 2 2 2 2 5 7" xfId="16777" xr:uid="{00000000-0005-0000-0000-00005F410000}"/>
    <cellStyle name="Normal 2 2 2 2 5 7 10" xfId="16778" xr:uid="{00000000-0005-0000-0000-000060410000}"/>
    <cellStyle name="Normal 2 2 2 2 5 7 11" xfId="16779" xr:uid="{00000000-0005-0000-0000-000061410000}"/>
    <cellStyle name="Normal 2 2 2 2 5 7 12" xfId="16780" xr:uid="{00000000-0005-0000-0000-000062410000}"/>
    <cellStyle name="Normal 2 2 2 2 5 7 13" xfId="16781" xr:uid="{00000000-0005-0000-0000-000063410000}"/>
    <cellStyle name="Normal 2 2 2 2 5 7 14" xfId="16782" xr:uid="{00000000-0005-0000-0000-000064410000}"/>
    <cellStyle name="Normal 2 2 2 2 5 7 2" xfId="16783" xr:uid="{00000000-0005-0000-0000-000065410000}"/>
    <cellStyle name="Normal 2 2 2 2 5 7 2 10" xfId="16784" xr:uid="{00000000-0005-0000-0000-000066410000}"/>
    <cellStyle name="Normal 2 2 2 2 5 7 2 2" xfId="16785" xr:uid="{00000000-0005-0000-0000-000067410000}"/>
    <cellStyle name="Normal 2 2 2 2 5 7 2 3" xfId="16786" xr:uid="{00000000-0005-0000-0000-000068410000}"/>
    <cellStyle name="Normal 2 2 2 2 5 7 2 4" xfId="16787" xr:uid="{00000000-0005-0000-0000-000069410000}"/>
    <cellStyle name="Normal 2 2 2 2 5 7 2 5" xfId="16788" xr:uid="{00000000-0005-0000-0000-00006A410000}"/>
    <cellStyle name="Normal 2 2 2 2 5 7 2 6" xfId="16789" xr:uid="{00000000-0005-0000-0000-00006B410000}"/>
    <cellStyle name="Normal 2 2 2 2 5 7 2 7" xfId="16790" xr:uid="{00000000-0005-0000-0000-00006C410000}"/>
    <cellStyle name="Normal 2 2 2 2 5 7 2 8" xfId="16791" xr:uid="{00000000-0005-0000-0000-00006D410000}"/>
    <cellStyle name="Normal 2 2 2 2 5 7 2 9" xfId="16792" xr:uid="{00000000-0005-0000-0000-00006E410000}"/>
    <cellStyle name="Normal 2 2 2 2 5 7 3" xfId="16793" xr:uid="{00000000-0005-0000-0000-00006F410000}"/>
    <cellStyle name="Normal 2 2 2 2 5 7 3 10" xfId="16794" xr:uid="{00000000-0005-0000-0000-000070410000}"/>
    <cellStyle name="Normal 2 2 2 2 5 7 3 2" xfId="16795" xr:uid="{00000000-0005-0000-0000-000071410000}"/>
    <cellStyle name="Normal 2 2 2 2 5 7 3 3" xfId="16796" xr:uid="{00000000-0005-0000-0000-000072410000}"/>
    <cellStyle name="Normal 2 2 2 2 5 7 3 4" xfId="16797" xr:uid="{00000000-0005-0000-0000-000073410000}"/>
    <cellStyle name="Normal 2 2 2 2 5 7 3 5" xfId="16798" xr:uid="{00000000-0005-0000-0000-000074410000}"/>
    <cellStyle name="Normal 2 2 2 2 5 7 3 6" xfId="16799" xr:uid="{00000000-0005-0000-0000-000075410000}"/>
    <cellStyle name="Normal 2 2 2 2 5 7 3 7" xfId="16800" xr:uid="{00000000-0005-0000-0000-000076410000}"/>
    <cellStyle name="Normal 2 2 2 2 5 7 3 8" xfId="16801" xr:uid="{00000000-0005-0000-0000-000077410000}"/>
    <cellStyle name="Normal 2 2 2 2 5 7 3 9" xfId="16802" xr:uid="{00000000-0005-0000-0000-000078410000}"/>
    <cellStyle name="Normal 2 2 2 2 5 7 4" xfId="16803" xr:uid="{00000000-0005-0000-0000-000079410000}"/>
    <cellStyle name="Normal 2 2 2 2 5 7 4 10" xfId="16804" xr:uid="{00000000-0005-0000-0000-00007A410000}"/>
    <cellStyle name="Normal 2 2 2 2 5 7 4 2" xfId="16805" xr:uid="{00000000-0005-0000-0000-00007B410000}"/>
    <cellStyle name="Normal 2 2 2 2 5 7 4 3" xfId="16806" xr:uid="{00000000-0005-0000-0000-00007C410000}"/>
    <cellStyle name="Normal 2 2 2 2 5 7 4 4" xfId="16807" xr:uid="{00000000-0005-0000-0000-00007D410000}"/>
    <cellStyle name="Normal 2 2 2 2 5 7 4 5" xfId="16808" xr:uid="{00000000-0005-0000-0000-00007E410000}"/>
    <cellStyle name="Normal 2 2 2 2 5 7 4 6" xfId="16809" xr:uid="{00000000-0005-0000-0000-00007F410000}"/>
    <cellStyle name="Normal 2 2 2 2 5 7 4 7" xfId="16810" xr:uid="{00000000-0005-0000-0000-000080410000}"/>
    <cellStyle name="Normal 2 2 2 2 5 7 4 8" xfId="16811" xr:uid="{00000000-0005-0000-0000-000081410000}"/>
    <cellStyle name="Normal 2 2 2 2 5 7 4 9" xfId="16812" xr:uid="{00000000-0005-0000-0000-000082410000}"/>
    <cellStyle name="Normal 2 2 2 2 5 7 5" xfId="16813" xr:uid="{00000000-0005-0000-0000-000083410000}"/>
    <cellStyle name="Normal 2 2 2 2 5 7 5 10" xfId="16814" xr:uid="{00000000-0005-0000-0000-000084410000}"/>
    <cellStyle name="Normal 2 2 2 2 5 7 5 2" xfId="16815" xr:uid="{00000000-0005-0000-0000-000085410000}"/>
    <cellStyle name="Normal 2 2 2 2 5 7 5 3" xfId="16816" xr:uid="{00000000-0005-0000-0000-000086410000}"/>
    <cellStyle name="Normal 2 2 2 2 5 7 5 4" xfId="16817" xr:uid="{00000000-0005-0000-0000-000087410000}"/>
    <cellStyle name="Normal 2 2 2 2 5 7 5 5" xfId="16818" xr:uid="{00000000-0005-0000-0000-000088410000}"/>
    <cellStyle name="Normal 2 2 2 2 5 7 5 6" xfId="16819" xr:uid="{00000000-0005-0000-0000-000089410000}"/>
    <cellStyle name="Normal 2 2 2 2 5 7 5 7" xfId="16820" xr:uid="{00000000-0005-0000-0000-00008A410000}"/>
    <cellStyle name="Normal 2 2 2 2 5 7 5 8" xfId="16821" xr:uid="{00000000-0005-0000-0000-00008B410000}"/>
    <cellStyle name="Normal 2 2 2 2 5 7 5 9" xfId="16822" xr:uid="{00000000-0005-0000-0000-00008C410000}"/>
    <cellStyle name="Normal 2 2 2 2 5 7 6" xfId="16823" xr:uid="{00000000-0005-0000-0000-00008D410000}"/>
    <cellStyle name="Normal 2 2 2 2 5 7 7" xfId="16824" xr:uid="{00000000-0005-0000-0000-00008E410000}"/>
    <cellStyle name="Normal 2 2 2 2 5 7 8" xfId="16825" xr:uid="{00000000-0005-0000-0000-00008F410000}"/>
    <cellStyle name="Normal 2 2 2 2 5 7 9" xfId="16826" xr:uid="{00000000-0005-0000-0000-000090410000}"/>
    <cellStyle name="Normal 2 2 2 2 5 8" xfId="16827" xr:uid="{00000000-0005-0000-0000-000091410000}"/>
    <cellStyle name="Normal 2 2 2 2 5 8 10" xfId="16828" xr:uid="{00000000-0005-0000-0000-000092410000}"/>
    <cellStyle name="Normal 2 2 2 2 5 8 11" xfId="16829" xr:uid="{00000000-0005-0000-0000-000093410000}"/>
    <cellStyle name="Normal 2 2 2 2 5 8 12" xfId="16830" xr:uid="{00000000-0005-0000-0000-000094410000}"/>
    <cellStyle name="Normal 2 2 2 2 5 8 13" xfId="16831" xr:uid="{00000000-0005-0000-0000-000095410000}"/>
    <cellStyle name="Normal 2 2 2 2 5 8 14" xfId="16832" xr:uid="{00000000-0005-0000-0000-000096410000}"/>
    <cellStyle name="Normal 2 2 2 2 5 8 2" xfId="16833" xr:uid="{00000000-0005-0000-0000-000097410000}"/>
    <cellStyle name="Normal 2 2 2 2 5 8 2 10" xfId="16834" xr:uid="{00000000-0005-0000-0000-000098410000}"/>
    <cellStyle name="Normal 2 2 2 2 5 8 2 2" xfId="16835" xr:uid="{00000000-0005-0000-0000-000099410000}"/>
    <cellStyle name="Normal 2 2 2 2 5 8 2 3" xfId="16836" xr:uid="{00000000-0005-0000-0000-00009A410000}"/>
    <cellStyle name="Normal 2 2 2 2 5 8 2 4" xfId="16837" xr:uid="{00000000-0005-0000-0000-00009B410000}"/>
    <cellStyle name="Normal 2 2 2 2 5 8 2 5" xfId="16838" xr:uid="{00000000-0005-0000-0000-00009C410000}"/>
    <cellStyle name="Normal 2 2 2 2 5 8 2 6" xfId="16839" xr:uid="{00000000-0005-0000-0000-00009D410000}"/>
    <cellStyle name="Normal 2 2 2 2 5 8 2 7" xfId="16840" xr:uid="{00000000-0005-0000-0000-00009E410000}"/>
    <cellStyle name="Normal 2 2 2 2 5 8 2 8" xfId="16841" xr:uid="{00000000-0005-0000-0000-00009F410000}"/>
    <cellStyle name="Normal 2 2 2 2 5 8 2 9" xfId="16842" xr:uid="{00000000-0005-0000-0000-0000A0410000}"/>
    <cellStyle name="Normal 2 2 2 2 5 8 3" xfId="16843" xr:uid="{00000000-0005-0000-0000-0000A1410000}"/>
    <cellStyle name="Normal 2 2 2 2 5 8 3 10" xfId="16844" xr:uid="{00000000-0005-0000-0000-0000A2410000}"/>
    <cellStyle name="Normal 2 2 2 2 5 8 3 2" xfId="16845" xr:uid="{00000000-0005-0000-0000-0000A3410000}"/>
    <cellStyle name="Normal 2 2 2 2 5 8 3 3" xfId="16846" xr:uid="{00000000-0005-0000-0000-0000A4410000}"/>
    <cellStyle name="Normal 2 2 2 2 5 8 3 4" xfId="16847" xr:uid="{00000000-0005-0000-0000-0000A5410000}"/>
    <cellStyle name="Normal 2 2 2 2 5 8 3 5" xfId="16848" xr:uid="{00000000-0005-0000-0000-0000A6410000}"/>
    <cellStyle name="Normal 2 2 2 2 5 8 3 6" xfId="16849" xr:uid="{00000000-0005-0000-0000-0000A7410000}"/>
    <cellStyle name="Normal 2 2 2 2 5 8 3 7" xfId="16850" xr:uid="{00000000-0005-0000-0000-0000A8410000}"/>
    <cellStyle name="Normal 2 2 2 2 5 8 3 8" xfId="16851" xr:uid="{00000000-0005-0000-0000-0000A9410000}"/>
    <cellStyle name="Normal 2 2 2 2 5 8 3 9" xfId="16852" xr:uid="{00000000-0005-0000-0000-0000AA410000}"/>
    <cellStyle name="Normal 2 2 2 2 5 8 4" xfId="16853" xr:uid="{00000000-0005-0000-0000-0000AB410000}"/>
    <cellStyle name="Normal 2 2 2 2 5 8 4 10" xfId="16854" xr:uid="{00000000-0005-0000-0000-0000AC410000}"/>
    <cellStyle name="Normal 2 2 2 2 5 8 4 2" xfId="16855" xr:uid="{00000000-0005-0000-0000-0000AD410000}"/>
    <cellStyle name="Normal 2 2 2 2 5 8 4 3" xfId="16856" xr:uid="{00000000-0005-0000-0000-0000AE410000}"/>
    <cellStyle name="Normal 2 2 2 2 5 8 4 4" xfId="16857" xr:uid="{00000000-0005-0000-0000-0000AF410000}"/>
    <cellStyle name="Normal 2 2 2 2 5 8 4 5" xfId="16858" xr:uid="{00000000-0005-0000-0000-0000B0410000}"/>
    <cellStyle name="Normal 2 2 2 2 5 8 4 6" xfId="16859" xr:uid="{00000000-0005-0000-0000-0000B1410000}"/>
    <cellStyle name="Normal 2 2 2 2 5 8 4 7" xfId="16860" xr:uid="{00000000-0005-0000-0000-0000B2410000}"/>
    <cellStyle name="Normal 2 2 2 2 5 8 4 8" xfId="16861" xr:uid="{00000000-0005-0000-0000-0000B3410000}"/>
    <cellStyle name="Normal 2 2 2 2 5 8 4 9" xfId="16862" xr:uid="{00000000-0005-0000-0000-0000B4410000}"/>
    <cellStyle name="Normal 2 2 2 2 5 8 5" xfId="16863" xr:uid="{00000000-0005-0000-0000-0000B5410000}"/>
    <cellStyle name="Normal 2 2 2 2 5 8 5 10" xfId="16864" xr:uid="{00000000-0005-0000-0000-0000B6410000}"/>
    <cellStyle name="Normal 2 2 2 2 5 8 5 2" xfId="16865" xr:uid="{00000000-0005-0000-0000-0000B7410000}"/>
    <cellStyle name="Normal 2 2 2 2 5 8 5 3" xfId="16866" xr:uid="{00000000-0005-0000-0000-0000B8410000}"/>
    <cellStyle name="Normal 2 2 2 2 5 8 5 4" xfId="16867" xr:uid="{00000000-0005-0000-0000-0000B9410000}"/>
    <cellStyle name="Normal 2 2 2 2 5 8 5 5" xfId="16868" xr:uid="{00000000-0005-0000-0000-0000BA410000}"/>
    <cellStyle name="Normal 2 2 2 2 5 8 5 6" xfId="16869" xr:uid="{00000000-0005-0000-0000-0000BB410000}"/>
    <cellStyle name="Normal 2 2 2 2 5 8 5 7" xfId="16870" xr:uid="{00000000-0005-0000-0000-0000BC410000}"/>
    <cellStyle name="Normal 2 2 2 2 5 8 5 8" xfId="16871" xr:uid="{00000000-0005-0000-0000-0000BD410000}"/>
    <cellStyle name="Normal 2 2 2 2 5 8 5 9" xfId="16872" xr:uid="{00000000-0005-0000-0000-0000BE410000}"/>
    <cellStyle name="Normal 2 2 2 2 5 8 6" xfId="16873" xr:uid="{00000000-0005-0000-0000-0000BF410000}"/>
    <cellStyle name="Normal 2 2 2 2 5 8 7" xfId="16874" xr:uid="{00000000-0005-0000-0000-0000C0410000}"/>
    <cellStyle name="Normal 2 2 2 2 5 8 8" xfId="16875" xr:uid="{00000000-0005-0000-0000-0000C1410000}"/>
    <cellStyle name="Normal 2 2 2 2 5 8 9" xfId="16876" xr:uid="{00000000-0005-0000-0000-0000C2410000}"/>
    <cellStyle name="Normal 2 2 2 2 5 9" xfId="16877" xr:uid="{00000000-0005-0000-0000-0000C3410000}"/>
    <cellStyle name="Normal 2 2 2 2 5 9 10" xfId="16878" xr:uid="{00000000-0005-0000-0000-0000C4410000}"/>
    <cellStyle name="Normal 2 2 2 2 5 9 11" xfId="16879" xr:uid="{00000000-0005-0000-0000-0000C5410000}"/>
    <cellStyle name="Normal 2 2 2 2 5 9 12" xfId="16880" xr:uid="{00000000-0005-0000-0000-0000C6410000}"/>
    <cellStyle name="Normal 2 2 2 2 5 9 13" xfId="16881" xr:uid="{00000000-0005-0000-0000-0000C7410000}"/>
    <cellStyle name="Normal 2 2 2 2 5 9 14" xfId="16882" xr:uid="{00000000-0005-0000-0000-0000C8410000}"/>
    <cellStyle name="Normal 2 2 2 2 5 9 2" xfId="16883" xr:uid="{00000000-0005-0000-0000-0000C9410000}"/>
    <cellStyle name="Normal 2 2 2 2 5 9 2 10" xfId="16884" xr:uid="{00000000-0005-0000-0000-0000CA410000}"/>
    <cellStyle name="Normal 2 2 2 2 5 9 2 2" xfId="16885" xr:uid="{00000000-0005-0000-0000-0000CB410000}"/>
    <cellStyle name="Normal 2 2 2 2 5 9 2 3" xfId="16886" xr:uid="{00000000-0005-0000-0000-0000CC410000}"/>
    <cellStyle name="Normal 2 2 2 2 5 9 2 4" xfId="16887" xr:uid="{00000000-0005-0000-0000-0000CD410000}"/>
    <cellStyle name="Normal 2 2 2 2 5 9 2 5" xfId="16888" xr:uid="{00000000-0005-0000-0000-0000CE410000}"/>
    <cellStyle name="Normal 2 2 2 2 5 9 2 6" xfId="16889" xr:uid="{00000000-0005-0000-0000-0000CF410000}"/>
    <cellStyle name="Normal 2 2 2 2 5 9 2 7" xfId="16890" xr:uid="{00000000-0005-0000-0000-0000D0410000}"/>
    <cellStyle name="Normal 2 2 2 2 5 9 2 8" xfId="16891" xr:uid="{00000000-0005-0000-0000-0000D1410000}"/>
    <cellStyle name="Normal 2 2 2 2 5 9 2 9" xfId="16892" xr:uid="{00000000-0005-0000-0000-0000D2410000}"/>
    <cellStyle name="Normal 2 2 2 2 5 9 3" xfId="16893" xr:uid="{00000000-0005-0000-0000-0000D3410000}"/>
    <cellStyle name="Normal 2 2 2 2 5 9 3 10" xfId="16894" xr:uid="{00000000-0005-0000-0000-0000D4410000}"/>
    <cellStyle name="Normal 2 2 2 2 5 9 3 2" xfId="16895" xr:uid="{00000000-0005-0000-0000-0000D5410000}"/>
    <cellStyle name="Normal 2 2 2 2 5 9 3 3" xfId="16896" xr:uid="{00000000-0005-0000-0000-0000D6410000}"/>
    <cellStyle name="Normal 2 2 2 2 5 9 3 4" xfId="16897" xr:uid="{00000000-0005-0000-0000-0000D7410000}"/>
    <cellStyle name="Normal 2 2 2 2 5 9 3 5" xfId="16898" xr:uid="{00000000-0005-0000-0000-0000D8410000}"/>
    <cellStyle name="Normal 2 2 2 2 5 9 3 6" xfId="16899" xr:uid="{00000000-0005-0000-0000-0000D9410000}"/>
    <cellStyle name="Normal 2 2 2 2 5 9 3 7" xfId="16900" xr:uid="{00000000-0005-0000-0000-0000DA410000}"/>
    <cellStyle name="Normal 2 2 2 2 5 9 3 8" xfId="16901" xr:uid="{00000000-0005-0000-0000-0000DB410000}"/>
    <cellStyle name="Normal 2 2 2 2 5 9 3 9" xfId="16902" xr:uid="{00000000-0005-0000-0000-0000DC410000}"/>
    <cellStyle name="Normal 2 2 2 2 5 9 4" xfId="16903" xr:uid="{00000000-0005-0000-0000-0000DD410000}"/>
    <cellStyle name="Normal 2 2 2 2 5 9 4 10" xfId="16904" xr:uid="{00000000-0005-0000-0000-0000DE410000}"/>
    <cellStyle name="Normal 2 2 2 2 5 9 4 2" xfId="16905" xr:uid="{00000000-0005-0000-0000-0000DF410000}"/>
    <cellStyle name="Normal 2 2 2 2 5 9 4 3" xfId="16906" xr:uid="{00000000-0005-0000-0000-0000E0410000}"/>
    <cellStyle name="Normal 2 2 2 2 5 9 4 4" xfId="16907" xr:uid="{00000000-0005-0000-0000-0000E1410000}"/>
    <cellStyle name="Normal 2 2 2 2 5 9 4 5" xfId="16908" xr:uid="{00000000-0005-0000-0000-0000E2410000}"/>
    <cellStyle name="Normal 2 2 2 2 5 9 4 6" xfId="16909" xr:uid="{00000000-0005-0000-0000-0000E3410000}"/>
    <cellStyle name="Normal 2 2 2 2 5 9 4 7" xfId="16910" xr:uid="{00000000-0005-0000-0000-0000E4410000}"/>
    <cellStyle name="Normal 2 2 2 2 5 9 4 8" xfId="16911" xr:uid="{00000000-0005-0000-0000-0000E5410000}"/>
    <cellStyle name="Normal 2 2 2 2 5 9 4 9" xfId="16912" xr:uid="{00000000-0005-0000-0000-0000E6410000}"/>
    <cellStyle name="Normal 2 2 2 2 5 9 5" xfId="16913" xr:uid="{00000000-0005-0000-0000-0000E7410000}"/>
    <cellStyle name="Normal 2 2 2 2 5 9 5 10" xfId="16914" xr:uid="{00000000-0005-0000-0000-0000E8410000}"/>
    <cellStyle name="Normal 2 2 2 2 5 9 5 2" xfId="16915" xr:uid="{00000000-0005-0000-0000-0000E9410000}"/>
    <cellStyle name="Normal 2 2 2 2 5 9 5 3" xfId="16916" xr:uid="{00000000-0005-0000-0000-0000EA410000}"/>
    <cellStyle name="Normal 2 2 2 2 5 9 5 4" xfId="16917" xr:uid="{00000000-0005-0000-0000-0000EB410000}"/>
    <cellStyle name="Normal 2 2 2 2 5 9 5 5" xfId="16918" xr:uid="{00000000-0005-0000-0000-0000EC410000}"/>
    <cellStyle name="Normal 2 2 2 2 5 9 5 6" xfId="16919" xr:uid="{00000000-0005-0000-0000-0000ED410000}"/>
    <cellStyle name="Normal 2 2 2 2 5 9 5 7" xfId="16920" xr:uid="{00000000-0005-0000-0000-0000EE410000}"/>
    <cellStyle name="Normal 2 2 2 2 5 9 5 8" xfId="16921" xr:uid="{00000000-0005-0000-0000-0000EF410000}"/>
    <cellStyle name="Normal 2 2 2 2 5 9 5 9" xfId="16922" xr:uid="{00000000-0005-0000-0000-0000F0410000}"/>
    <cellStyle name="Normal 2 2 2 2 5 9 6" xfId="16923" xr:uid="{00000000-0005-0000-0000-0000F1410000}"/>
    <cellStyle name="Normal 2 2 2 2 5 9 7" xfId="16924" xr:uid="{00000000-0005-0000-0000-0000F2410000}"/>
    <cellStyle name="Normal 2 2 2 2 5 9 8" xfId="16925" xr:uid="{00000000-0005-0000-0000-0000F3410000}"/>
    <cellStyle name="Normal 2 2 2 2 5 9 9" xfId="16926" xr:uid="{00000000-0005-0000-0000-0000F4410000}"/>
    <cellStyle name="Normal 2 2 2 2 50" xfId="16927" xr:uid="{00000000-0005-0000-0000-0000F5410000}"/>
    <cellStyle name="Normal 2 2 2 2 51" xfId="16928" xr:uid="{00000000-0005-0000-0000-0000F6410000}"/>
    <cellStyle name="Normal 2 2 2 2 6" xfId="16929" xr:uid="{00000000-0005-0000-0000-0000F7410000}"/>
    <cellStyle name="Normal 2 2 2 2 6 2" xfId="68" xr:uid="{00000000-0005-0000-0000-0000F8410000}"/>
    <cellStyle name="Normal 2 2 2 2 6 2 2" xfId="73" xr:uid="{00000000-0005-0000-0000-0000F9410000}"/>
    <cellStyle name="Normal 2 2 2 2 6 2 3" xfId="77" xr:uid="{00000000-0005-0000-0000-0000FA410000}"/>
    <cellStyle name="Normal 2 2 2 2 6 2 4" xfId="16930" xr:uid="{00000000-0005-0000-0000-0000FB410000}"/>
    <cellStyle name="Normal 2 2 2 2 7" xfId="16931" xr:uid="{00000000-0005-0000-0000-0000FC410000}"/>
    <cellStyle name="Normal 2 2 2 2 8" xfId="16932" xr:uid="{00000000-0005-0000-0000-0000FD410000}"/>
    <cellStyle name="Normal 2 2 2 2 9" xfId="16933" xr:uid="{00000000-0005-0000-0000-0000FE410000}"/>
    <cellStyle name="Normal 2 2 2 20" xfId="16934" xr:uid="{00000000-0005-0000-0000-0000FF410000}"/>
    <cellStyle name="Normal 2 2 2 20 10" xfId="16935" xr:uid="{00000000-0005-0000-0000-000000420000}"/>
    <cellStyle name="Normal 2 2 2 20 11" xfId="16936" xr:uid="{00000000-0005-0000-0000-000001420000}"/>
    <cellStyle name="Normal 2 2 2 20 12" xfId="16937" xr:uid="{00000000-0005-0000-0000-000002420000}"/>
    <cellStyle name="Normal 2 2 2 20 13" xfId="16938" xr:uid="{00000000-0005-0000-0000-000003420000}"/>
    <cellStyle name="Normal 2 2 2 20 14" xfId="16939" xr:uid="{00000000-0005-0000-0000-000004420000}"/>
    <cellStyle name="Normal 2 2 2 20 2" xfId="16940" xr:uid="{00000000-0005-0000-0000-000005420000}"/>
    <cellStyle name="Normal 2 2 2 20 2 10" xfId="16941" xr:uid="{00000000-0005-0000-0000-000006420000}"/>
    <cellStyle name="Normal 2 2 2 20 2 2" xfId="16942" xr:uid="{00000000-0005-0000-0000-000007420000}"/>
    <cellStyle name="Normal 2 2 2 20 2 3" xfId="16943" xr:uid="{00000000-0005-0000-0000-000008420000}"/>
    <cellStyle name="Normal 2 2 2 20 2 4" xfId="16944" xr:uid="{00000000-0005-0000-0000-000009420000}"/>
    <cellStyle name="Normal 2 2 2 20 2 5" xfId="16945" xr:uid="{00000000-0005-0000-0000-00000A420000}"/>
    <cellStyle name="Normal 2 2 2 20 2 6" xfId="16946" xr:uid="{00000000-0005-0000-0000-00000B420000}"/>
    <cellStyle name="Normal 2 2 2 20 2 7" xfId="16947" xr:uid="{00000000-0005-0000-0000-00000C420000}"/>
    <cellStyle name="Normal 2 2 2 20 2 8" xfId="16948" xr:uid="{00000000-0005-0000-0000-00000D420000}"/>
    <cellStyle name="Normal 2 2 2 20 2 9" xfId="16949" xr:uid="{00000000-0005-0000-0000-00000E420000}"/>
    <cellStyle name="Normal 2 2 2 20 3" xfId="16950" xr:uid="{00000000-0005-0000-0000-00000F420000}"/>
    <cellStyle name="Normal 2 2 2 20 3 10" xfId="16951" xr:uid="{00000000-0005-0000-0000-000010420000}"/>
    <cellStyle name="Normal 2 2 2 20 3 2" xfId="16952" xr:uid="{00000000-0005-0000-0000-000011420000}"/>
    <cellStyle name="Normal 2 2 2 20 3 3" xfId="16953" xr:uid="{00000000-0005-0000-0000-000012420000}"/>
    <cellStyle name="Normal 2 2 2 20 3 4" xfId="16954" xr:uid="{00000000-0005-0000-0000-000013420000}"/>
    <cellStyle name="Normal 2 2 2 20 3 5" xfId="16955" xr:uid="{00000000-0005-0000-0000-000014420000}"/>
    <cellStyle name="Normal 2 2 2 20 3 6" xfId="16956" xr:uid="{00000000-0005-0000-0000-000015420000}"/>
    <cellStyle name="Normal 2 2 2 20 3 7" xfId="16957" xr:uid="{00000000-0005-0000-0000-000016420000}"/>
    <cellStyle name="Normal 2 2 2 20 3 8" xfId="16958" xr:uid="{00000000-0005-0000-0000-000017420000}"/>
    <cellStyle name="Normal 2 2 2 20 3 9" xfId="16959" xr:uid="{00000000-0005-0000-0000-000018420000}"/>
    <cellStyle name="Normal 2 2 2 20 4" xfId="16960" xr:uid="{00000000-0005-0000-0000-000019420000}"/>
    <cellStyle name="Normal 2 2 2 20 4 10" xfId="16961" xr:uid="{00000000-0005-0000-0000-00001A420000}"/>
    <cellStyle name="Normal 2 2 2 20 4 2" xfId="16962" xr:uid="{00000000-0005-0000-0000-00001B420000}"/>
    <cellStyle name="Normal 2 2 2 20 4 3" xfId="16963" xr:uid="{00000000-0005-0000-0000-00001C420000}"/>
    <cellStyle name="Normal 2 2 2 20 4 4" xfId="16964" xr:uid="{00000000-0005-0000-0000-00001D420000}"/>
    <cellStyle name="Normal 2 2 2 20 4 5" xfId="16965" xr:uid="{00000000-0005-0000-0000-00001E420000}"/>
    <cellStyle name="Normal 2 2 2 20 4 6" xfId="16966" xr:uid="{00000000-0005-0000-0000-00001F420000}"/>
    <cellStyle name="Normal 2 2 2 20 4 7" xfId="16967" xr:uid="{00000000-0005-0000-0000-000020420000}"/>
    <cellStyle name="Normal 2 2 2 20 4 8" xfId="16968" xr:uid="{00000000-0005-0000-0000-000021420000}"/>
    <cellStyle name="Normal 2 2 2 20 4 9" xfId="16969" xr:uid="{00000000-0005-0000-0000-000022420000}"/>
    <cellStyle name="Normal 2 2 2 20 5" xfId="16970" xr:uid="{00000000-0005-0000-0000-000023420000}"/>
    <cellStyle name="Normal 2 2 2 20 5 10" xfId="16971" xr:uid="{00000000-0005-0000-0000-000024420000}"/>
    <cellStyle name="Normal 2 2 2 20 5 2" xfId="16972" xr:uid="{00000000-0005-0000-0000-000025420000}"/>
    <cellStyle name="Normal 2 2 2 20 5 3" xfId="16973" xr:uid="{00000000-0005-0000-0000-000026420000}"/>
    <cellStyle name="Normal 2 2 2 20 5 4" xfId="16974" xr:uid="{00000000-0005-0000-0000-000027420000}"/>
    <cellStyle name="Normal 2 2 2 20 5 5" xfId="16975" xr:uid="{00000000-0005-0000-0000-000028420000}"/>
    <cellStyle name="Normal 2 2 2 20 5 6" xfId="16976" xr:uid="{00000000-0005-0000-0000-000029420000}"/>
    <cellStyle name="Normal 2 2 2 20 5 7" xfId="16977" xr:uid="{00000000-0005-0000-0000-00002A420000}"/>
    <cellStyle name="Normal 2 2 2 20 5 8" xfId="16978" xr:uid="{00000000-0005-0000-0000-00002B420000}"/>
    <cellStyle name="Normal 2 2 2 20 5 9" xfId="16979" xr:uid="{00000000-0005-0000-0000-00002C420000}"/>
    <cellStyle name="Normal 2 2 2 20 6" xfId="16980" xr:uid="{00000000-0005-0000-0000-00002D420000}"/>
    <cellStyle name="Normal 2 2 2 20 7" xfId="16981" xr:uid="{00000000-0005-0000-0000-00002E420000}"/>
    <cellStyle name="Normal 2 2 2 20 8" xfId="16982" xr:uid="{00000000-0005-0000-0000-00002F420000}"/>
    <cellStyle name="Normal 2 2 2 20 9" xfId="16983" xr:uid="{00000000-0005-0000-0000-000030420000}"/>
    <cellStyle name="Normal 2 2 2 21" xfId="16984" xr:uid="{00000000-0005-0000-0000-000031420000}"/>
    <cellStyle name="Normal 2 2 2 21 10" xfId="16985" xr:uid="{00000000-0005-0000-0000-000032420000}"/>
    <cellStyle name="Normal 2 2 2 21 11" xfId="16986" xr:uid="{00000000-0005-0000-0000-000033420000}"/>
    <cellStyle name="Normal 2 2 2 21 12" xfId="16987" xr:uid="{00000000-0005-0000-0000-000034420000}"/>
    <cellStyle name="Normal 2 2 2 21 13" xfId="16988" xr:uid="{00000000-0005-0000-0000-000035420000}"/>
    <cellStyle name="Normal 2 2 2 21 14" xfId="16989" xr:uid="{00000000-0005-0000-0000-000036420000}"/>
    <cellStyle name="Normal 2 2 2 21 2" xfId="16990" xr:uid="{00000000-0005-0000-0000-000037420000}"/>
    <cellStyle name="Normal 2 2 2 21 2 10" xfId="16991" xr:uid="{00000000-0005-0000-0000-000038420000}"/>
    <cellStyle name="Normal 2 2 2 21 2 2" xfId="16992" xr:uid="{00000000-0005-0000-0000-000039420000}"/>
    <cellStyle name="Normal 2 2 2 21 2 3" xfId="16993" xr:uid="{00000000-0005-0000-0000-00003A420000}"/>
    <cellStyle name="Normal 2 2 2 21 2 4" xfId="16994" xr:uid="{00000000-0005-0000-0000-00003B420000}"/>
    <cellStyle name="Normal 2 2 2 21 2 5" xfId="16995" xr:uid="{00000000-0005-0000-0000-00003C420000}"/>
    <cellStyle name="Normal 2 2 2 21 2 6" xfId="16996" xr:uid="{00000000-0005-0000-0000-00003D420000}"/>
    <cellStyle name="Normal 2 2 2 21 2 7" xfId="16997" xr:uid="{00000000-0005-0000-0000-00003E420000}"/>
    <cellStyle name="Normal 2 2 2 21 2 8" xfId="16998" xr:uid="{00000000-0005-0000-0000-00003F420000}"/>
    <cellStyle name="Normal 2 2 2 21 2 9" xfId="16999" xr:uid="{00000000-0005-0000-0000-000040420000}"/>
    <cellStyle name="Normal 2 2 2 21 3" xfId="17000" xr:uid="{00000000-0005-0000-0000-000041420000}"/>
    <cellStyle name="Normal 2 2 2 21 3 10" xfId="17001" xr:uid="{00000000-0005-0000-0000-000042420000}"/>
    <cellStyle name="Normal 2 2 2 21 3 2" xfId="17002" xr:uid="{00000000-0005-0000-0000-000043420000}"/>
    <cellStyle name="Normal 2 2 2 21 3 3" xfId="17003" xr:uid="{00000000-0005-0000-0000-000044420000}"/>
    <cellStyle name="Normal 2 2 2 21 3 4" xfId="17004" xr:uid="{00000000-0005-0000-0000-000045420000}"/>
    <cellStyle name="Normal 2 2 2 21 3 5" xfId="17005" xr:uid="{00000000-0005-0000-0000-000046420000}"/>
    <cellStyle name="Normal 2 2 2 21 3 6" xfId="17006" xr:uid="{00000000-0005-0000-0000-000047420000}"/>
    <cellStyle name="Normal 2 2 2 21 3 7" xfId="17007" xr:uid="{00000000-0005-0000-0000-000048420000}"/>
    <cellStyle name="Normal 2 2 2 21 3 8" xfId="17008" xr:uid="{00000000-0005-0000-0000-000049420000}"/>
    <cellStyle name="Normal 2 2 2 21 3 9" xfId="17009" xr:uid="{00000000-0005-0000-0000-00004A420000}"/>
    <cellStyle name="Normal 2 2 2 21 4" xfId="17010" xr:uid="{00000000-0005-0000-0000-00004B420000}"/>
    <cellStyle name="Normal 2 2 2 21 4 10" xfId="17011" xr:uid="{00000000-0005-0000-0000-00004C420000}"/>
    <cellStyle name="Normal 2 2 2 21 4 2" xfId="17012" xr:uid="{00000000-0005-0000-0000-00004D420000}"/>
    <cellStyle name="Normal 2 2 2 21 4 3" xfId="17013" xr:uid="{00000000-0005-0000-0000-00004E420000}"/>
    <cellStyle name="Normal 2 2 2 21 4 4" xfId="17014" xr:uid="{00000000-0005-0000-0000-00004F420000}"/>
    <cellStyle name="Normal 2 2 2 21 4 5" xfId="17015" xr:uid="{00000000-0005-0000-0000-000050420000}"/>
    <cellStyle name="Normal 2 2 2 21 4 6" xfId="17016" xr:uid="{00000000-0005-0000-0000-000051420000}"/>
    <cellStyle name="Normal 2 2 2 21 4 7" xfId="17017" xr:uid="{00000000-0005-0000-0000-000052420000}"/>
    <cellStyle name="Normal 2 2 2 21 4 8" xfId="17018" xr:uid="{00000000-0005-0000-0000-000053420000}"/>
    <cellStyle name="Normal 2 2 2 21 4 9" xfId="17019" xr:uid="{00000000-0005-0000-0000-000054420000}"/>
    <cellStyle name="Normal 2 2 2 21 5" xfId="17020" xr:uid="{00000000-0005-0000-0000-000055420000}"/>
    <cellStyle name="Normal 2 2 2 21 5 10" xfId="17021" xr:uid="{00000000-0005-0000-0000-000056420000}"/>
    <cellStyle name="Normal 2 2 2 21 5 2" xfId="17022" xr:uid="{00000000-0005-0000-0000-000057420000}"/>
    <cellStyle name="Normal 2 2 2 21 5 3" xfId="17023" xr:uid="{00000000-0005-0000-0000-000058420000}"/>
    <cellStyle name="Normal 2 2 2 21 5 4" xfId="17024" xr:uid="{00000000-0005-0000-0000-000059420000}"/>
    <cellStyle name="Normal 2 2 2 21 5 5" xfId="17025" xr:uid="{00000000-0005-0000-0000-00005A420000}"/>
    <cellStyle name="Normal 2 2 2 21 5 6" xfId="17026" xr:uid="{00000000-0005-0000-0000-00005B420000}"/>
    <cellStyle name="Normal 2 2 2 21 5 7" xfId="17027" xr:uid="{00000000-0005-0000-0000-00005C420000}"/>
    <cellStyle name="Normal 2 2 2 21 5 8" xfId="17028" xr:uid="{00000000-0005-0000-0000-00005D420000}"/>
    <cellStyle name="Normal 2 2 2 21 5 9" xfId="17029" xr:uid="{00000000-0005-0000-0000-00005E420000}"/>
    <cellStyle name="Normal 2 2 2 21 6" xfId="17030" xr:uid="{00000000-0005-0000-0000-00005F420000}"/>
    <cellStyle name="Normal 2 2 2 21 7" xfId="17031" xr:uid="{00000000-0005-0000-0000-000060420000}"/>
    <cellStyle name="Normal 2 2 2 21 8" xfId="17032" xr:uid="{00000000-0005-0000-0000-000061420000}"/>
    <cellStyle name="Normal 2 2 2 21 9" xfId="17033" xr:uid="{00000000-0005-0000-0000-000062420000}"/>
    <cellStyle name="Normal 2 2 2 22" xfId="17034" xr:uid="{00000000-0005-0000-0000-000063420000}"/>
    <cellStyle name="Normal 2 2 2 22 10" xfId="17035" xr:uid="{00000000-0005-0000-0000-000064420000}"/>
    <cellStyle name="Normal 2 2 2 22 11" xfId="17036" xr:uid="{00000000-0005-0000-0000-000065420000}"/>
    <cellStyle name="Normal 2 2 2 22 12" xfId="17037" xr:uid="{00000000-0005-0000-0000-000066420000}"/>
    <cellStyle name="Normal 2 2 2 22 13" xfId="17038" xr:uid="{00000000-0005-0000-0000-000067420000}"/>
    <cellStyle name="Normal 2 2 2 22 14" xfId="17039" xr:uid="{00000000-0005-0000-0000-000068420000}"/>
    <cellStyle name="Normal 2 2 2 22 2" xfId="17040" xr:uid="{00000000-0005-0000-0000-000069420000}"/>
    <cellStyle name="Normal 2 2 2 22 2 10" xfId="17041" xr:uid="{00000000-0005-0000-0000-00006A420000}"/>
    <cellStyle name="Normal 2 2 2 22 2 2" xfId="17042" xr:uid="{00000000-0005-0000-0000-00006B420000}"/>
    <cellStyle name="Normal 2 2 2 22 2 3" xfId="17043" xr:uid="{00000000-0005-0000-0000-00006C420000}"/>
    <cellStyle name="Normal 2 2 2 22 2 4" xfId="17044" xr:uid="{00000000-0005-0000-0000-00006D420000}"/>
    <cellStyle name="Normal 2 2 2 22 2 5" xfId="17045" xr:uid="{00000000-0005-0000-0000-00006E420000}"/>
    <cellStyle name="Normal 2 2 2 22 2 6" xfId="17046" xr:uid="{00000000-0005-0000-0000-00006F420000}"/>
    <cellStyle name="Normal 2 2 2 22 2 7" xfId="17047" xr:uid="{00000000-0005-0000-0000-000070420000}"/>
    <cellStyle name="Normal 2 2 2 22 2 8" xfId="17048" xr:uid="{00000000-0005-0000-0000-000071420000}"/>
    <cellStyle name="Normal 2 2 2 22 2 9" xfId="17049" xr:uid="{00000000-0005-0000-0000-000072420000}"/>
    <cellStyle name="Normal 2 2 2 22 3" xfId="17050" xr:uid="{00000000-0005-0000-0000-000073420000}"/>
    <cellStyle name="Normal 2 2 2 22 3 10" xfId="17051" xr:uid="{00000000-0005-0000-0000-000074420000}"/>
    <cellStyle name="Normal 2 2 2 22 3 2" xfId="17052" xr:uid="{00000000-0005-0000-0000-000075420000}"/>
    <cellStyle name="Normal 2 2 2 22 3 3" xfId="17053" xr:uid="{00000000-0005-0000-0000-000076420000}"/>
    <cellStyle name="Normal 2 2 2 22 3 4" xfId="17054" xr:uid="{00000000-0005-0000-0000-000077420000}"/>
    <cellStyle name="Normal 2 2 2 22 3 5" xfId="17055" xr:uid="{00000000-0005-0000-0000-000078420000}"/>
    <cellStyle name="Normal 2 2 2 22 3 6" xfId="17056" xr:uid="{00000000-0005-0000-0000-000079420000}"/>
    <cellStyle name="Normal 2 2 2 22 3 7" xfId="17057" xr:uid="{00000000-0005-0000-0000-00007A420000}"/>
    <cellStyle name="Normal 2 2 2 22 3 8" xfId="17058" xr:uid="{00000000-0005-0000-0000-00007B420000}"/>
    <cellStyle name="Normal 2 2 2 22 3 9" xfId="17059" xr:uid="{00000000-0005-0000-0000-00007C420000}"/>
    <cellStyle name="Normal 2 2 2 22 4" xfId="17060" xr:uid="{00000000-0005-0000-0000-00007D420000}"/>
    <cellStyle name="Normal 2 2 2 22 4 10" xfId="17061" xr:uid="{00000000-0005-0000-0000-00007E420000}"/>
    <cellStyle name="Normal 2 2 2 22 4 2" xfId="17062" xr:uid="{00000000-0005-0000-0000-00007F420000}"/>
    <cellStyle name="Normal 2 2 2 22 4 3" xfId="17063" xr:uid="{00000000-0005-0000-0000-000080420000}"/>
    <cellStyle name="Normal 2 2 2 22 4 4" xfId="17064" xr:uid="{00000000-0005-0000-0000-000081420000}"/>
    <cellStyle name="Normal 2 2 2 22 4 5" xfId="17065" xr:uid="{00000000-0005-0000-0000-000082420000}"/>
    <cellStyle name="Normal 2 2 2 22 4 6" xfId="17066" xr:uid="{00000000-0005-0000-0000-000083420000}"/>
    <cellStyle name="Normal 2 2 2 22 4 7" xfId="17067" xr:uid="{00000000-0005-0000-0000-000084420000}"/>
    <cellStyle name="Normal 2 2 2 22 4 8" xfId="17068" xr:uid="{00000000-0005-0000-0000-000085420000}"/>
    <cellStyle name="Normal 2 2 2 22 4 9" xfId="17069" xr:uid="{00000000-0005-0000-0000-000086420000}"/>
    <cellStyle name="Normal 2 2 2 22 5" xfId="17070" xr:uid="{00000000-0005-0000-0000-000087420000}"/>
    <cellStyle name="Normal 2 2 2 22 5 10" xfId="17071" xr:uid="{00000000-0005-0000-0000-000088420000}"/>
    <cellStyle name="Normal 2 2 2 22 5 2" xfId="17072" xr:uid="{00000000-0005-0000-0000-000089420000}"/>
    <cellStyle name="Normal 2 2 2 22 5 3" xfId="17073" xr:uid="{00000000-0005-0000-0000-00008A420000}"/>
    <cellStyle name="Normal 2 2 2 22 5 4" xfId="17074" xr:uid="{00000000-0005-0000-0000-00008B420000}"/>
    <cellStyle name="Normal 2 2 2 22 5 5" xfId="17075" xr:uid="{00000000-0005-0000-0000-00008C420000}"/>
    <cellStyle name="Normal 2 2 2 22 5 6" xfId="17076" xr:uid="{00000000-0005-0000-0000-00008D420000}"/>
    <cellStyle name="Normal 2 2 2 22 5 7" xfId="17077" xr:uid="{00000000-0005-0000-0000-00008E420000}"/>
    <cellStyle name="Normal 2 2 2 22 5 8" xfId="17078" xr:uid="{00000000-0005-0000-0000-00008F420000}"/>
    <cellStyle name="Normal 2 2 2 22 5 9" xfId="17079" xr:uid="{00000000-0005-0000-0000-000090420000}"/>
    <cellStyle name="Normal 2 2 2 22 6" xfId="17080" xr:uid="{00000000-0005-0000-0000-000091420000}"/>
    <cellStyle name="Normal 2 2 2 22 7" xfId="17081" xr:uid="{00000000-0005-0000-0000-000092420000}"/>
    <cellStyle name="Normal 2 2 2 22 8" xfId="17082" xr:uid="{00000000-0005-0000-0000-000093420000}"/>
    <cellStyle name="Normal 2 2 2 22 9" xfId="17083" xr:uid="{00000000-0005-0000-0000-000094420000}"/>
    <cellStyle name="Normal 2 2 2 23" xfId="17084" xr:uid="{00000000-0005-0000-0000-000095420000}"/>
    <cellStyle name="Normal 2 2 2 23 10" xfId="17085" xr:uid="{00000000-0005-0000-0000-000096420000}"/>
    <cellStyle name="Normal 2 2 2 23 11" xfId="17086" xr:uid="{00000000-0005-0000-0000-000097420000}"/>
    <cellStyle name="Normal 2 2 2 23 12" xfId="17087" xr:uid="{00000000-0005-0000-0000-000098420000}"/>
    <cellStyle name="Normal 2 2 2 23 13" xfId="17088" xr:uid="{00000000-0005-0000-0000-000099420000}"/>
    <cellStyle name="Normal 2 2 2 23 14" xfId="17089" xr:uid="{00000000-0005-0000-0000-00009A420000}"/>
    <cellStyle name="Normal 2 2 2 23 2" xfId="17090" xr:uid="{00000000-0005-0000-0000-00009B420000}"/>
    <cellStyle name="Normal 2 2 2 23 2 10" xfId="17091" xr:uid="{00000000-0005-0000-0000-00009C420000}"/>
    <cellStyle name="Normal 2 2 2 23 2 2" xfId="17092" xr:uid="{00000000-0005-0000-0000-00009D420000}"/>
    <cellStyle name="Normal 2 2 2 23 2 3" xfId="17093" xr:uid="{00000000-0005-0000-0000-00009E420000}"/>
    <cellStyle name="Normal 2 2 2 23 2 4" xfId="17094" xr:uid="{00000000-0005-0000-0000-00009F420000}"/>
    <cellStyle name="Normal 2 2 2 23 2 5" xfId="17095" xr:uid="{00000000-0005-0000-0000-0000A0420000}"/>
    <cellStyle name="Normal 2 2 2 23 2 6" xfId="17096" xr:uid="{00000000-0005-0000-0000-0000A1420000}"/>
    <cellStyle name="Normal 2 2 2 23 2 7" xfId="17097" xr:uid="{00000000-0005-0000-0000-0000A2420000}"/>
    <cellStyle name="Normal 2 2 2 23 2 8" xfId="17098" xr:uid="{00000000-0005-0000-0000-0000A3420000}"/>
    <cellStyle name="Normal 2 2 2 23 2 9" xfId="17099" xr:uid="{00000000-0005-0000-0000-0000A4420000}"/>
    <cellStyle name="Normal 2 2 2 23 3" xfId="17100" xr:uid="{00000000-0005-0000-0000-0000A5420000}"/>
    <cellStyle name="Normal 2 2 2 23 3 10" xfId="17101" xr:uid="{00000000-0005-0000-0000-0000A6420000}"/>
    <cellStyle name="Normal 2 2 2 23 3 2" xfId="17102" xr:uid="{00000000-0005-0000-0000-0000A7420000}"/>
    <cellStyle name="Normal 2 2 2 23 3 3" xfId="17103" xr:uid="{00000000-0005-0000-0000-0000A8420000}"/>
    <cellStyle name="Normal 2 2 2 23 3 4" xfId="17104" xr:uid="{00000000-0005-0000-0000-0000A9420000}"/>
    <cellStyle name="Normal 2 2 2 23 3 5" xfId="17105" xr:uid="{00000000-0005-0000-0000-0000AA420000}"/>
    <cellStyle name="Normal 2 2 2 23 3 6" xfId="17106" xr:uid="{00000000-0005-0000-0000-0000AB420000}"/>
    <cellStyle name="Normal 2 2 2 23 3 7" xfId="17107" xr:uid="{00000000-0005-0000-0000-0000AC420000}"/>
    <cellStyle name="Normal 2 2 2 23 3 8" xfId="17108" xr:uid="{00000000-0005-0000-0000-0000AD420000}"/>
    <cellStyle name="Normal 2 2 2 23 3 9" xfId="17109" xr:uid="{00000000-0005-0000-0000-0000AE420000}"/>
    <cellStyle name="Normal 2 2 2 23 4" xfId="17110" xr:uid="{00000000-0005-0000-0000-0000AF420000}"/>
    <cellStyle name="Normal 2 2 2 23 4 10" xfId="17111" xr:uid="{00000000-0005-0000-0000-0000B0420000}"/>
    <cellStyle name="Normal 2 2 2 23 4 2" xfId="17112" xr:uid="{00000000-0005-0000-0000-0000B1420000}"/>
    <cellStyle name="Normal 2 2 2 23 4 3" xfId="17113" xr:uid="{00000000-0005-0000-0000-0000B2420000}"/>
    <cellStyle name="Normal 2 2 2 23 4 4" xfId="17114" xr:uid="{00000000-0005-0000-0000-0000B3420000}"/>
    <cellStyle name="Normal 2 2 2 23 4 5" xfId="17115" xr:uid="{00000000-0005-0000-0000-0000B4420000}"/>
    <cellStyle name="Normal 2 2 2 23 4 6" xfId="17116" xr:uid="{00000000-0005-0000-0000-0000B5420000}"/>
    <cellStyle name="Normal 2 2 2 23 4 7" xfId="17117" xr:uid="{00000000-0005-0000-0000-0000B6420000}"/>
    <cellStyle name="Normal 2 2 2 23 4 8" xfId="17118" xr:uid="{00000000-0005-0000-0000-0000B7420000}"/>
    <cellStyle name="Normal 2 2 2 23 4 9" xfId="17119" xr:uid="{00000000-0005-0000-0000-0000B8420000}"/>
    <cellStyle name="Normal 2 2 2 23 5" xfId="17120" xr:uid="{00000000-0005-0000-0000-0000B9420000}"/>
    <cellStyle name="Normal 2 2 2 23 5 10" xfId="17121" xr:uid="{00000000-0005-0000-0000-0000BA420000}"/>
    <cellStyle name="Normal 2 2 2 23 5 2" xfId="17122" xr:uid="{00000000-0005-0000-0000-0000BB420000}"/>
    <cellStyle name="Normal 2 2 2 23 5 3" xfId="17123" xr:uid="{00000000-0005-0000-0000-0000BC420000}"/>
    <cellStyle name="Normal 2 2 2 23 5 4" xfId="17124" xr:uid="{00000000-0005-0000-0000-0000BD420000}"/>
    <cellStyle name="Normal 2 2 2 23 5 5" xfId="17125" xr:uid="{00000000-0005-0000-0000-0000BE420000}"/>
    <cellStyle name="Normal 2 2 2 23 5 6" xfId="17126" xr:uid="{00000000-0005-0000-0000-0000BF420000}"/>
    <cellStyle name="Normal 2 2 2 23 5 7" xfId="17127" xr:uid="{00000000-0005-0000-0000-0000C0420000}"/>
    <cellStyle name="Normal 2 2 2 23 5 8" xfId="17128" xr:uid="{00000000-0005-0000-0000-0000C1420000}"/>
    <cellStyle name="Normal 2 2 2 23 5 9" xfId="17129" xr:uid="{00000000-0005-0000-0000-0000C2420000}"/>
    <cellStyle name="Normal 2 2 2 23 6" xfId="17130" xr:uid="{00000000-0005-0000-0000-0000C3420000}"/>
    <cellStyle name="Normal 2 2 2 23 7" xfId="17131" xr:uid="{00000000-0005-0000-0000-0000C4420000}"/>
    <cellStyle name="Normal 2 2 2 23 8" xfId="17132" xr:uid="{00000000-0005-0000-0000-0000C5420000}"/>
    <cellStyle name="Normal 2 2 2 23 9" xfId="17133" xr:uid="{00000000-0005-0000-0000-0000C6420000}"/>
    <cellStyle name="Normal 2 2 2 24" xfId="17134" xr:uid="{00000000-0005-0000-0000-0000C7420000}"/>
    <cellStyle name="Normal 2 2 2 24 10" xfId="17135" xr:uid="{00000000-0005-0000-0000-0000C8420000}"/>
    <cellStyle name="Normal 2 2 2 24 11" xfId="17136" xr:uid="{00000000-0005-0000-0000-0000C9420000}"/>
    <cellStyle name="Normal 2 2 2 24 12" xfId="17137" xr:uid="{00000000-0005-0000-0000-0000CA420000}"/>
    <cellStyle name="Normal 2 2 2 24 13" xfId="17138" xr:uid="{00000000-0005-0000-0000-0000CB420000}"/>
    <cellStyle name="Normal 2 2 2 24 14" xfId="17139" xr:uid="{00000000-0005-0000-0000-0000CC420000}"/>
    <cellStyle name="Normal 2 2 2 24 2" xfId="17140" xr:uid="{00000000-0005-0000-0000-0000CD420000}"/>
    <cellStyle name="Normal 2 2 2 24 2 10" xfId="17141" xr:uid="{00000000-0005-0000-0000-0000CE420000}"/>
    <cellStyle name="Normal 2 2 2 24 2 2" xfId="17142" xr:uid="{00000000-0005-0000-0000-0000CF420000}"/>
    <cellStyle name="Normal 2 2 2 24 2 3" xfId="17143" xr:uid="{00000000-0005-0000-0000-0000D0420000}"/>
    <cellStyle name="Normal 2 2 2 24 2 4" xfId="17144" xr:uid="{00000000-0005-0000-0000-0000D1420000}"/>
    <cellStyle name="Normal 2 2 2 24 2 5" xfId="17145" xr:uid="{00000000-0005-0000-0000-0000D2420000}"/>
    <cellStyle name="Normal 2 2 2 24 2 6" xfId="17146" xr:uid="{00000000-0005-0000-0000-0000D3420000}"/>
    <cellStyle name="Normal 2 2 2 24 2 7" xfId="17147" xr:uid="{00000000-0005-0000-0000-0000D4420000}"/>
    <cellStyle name="Normal 2 2 2 24 2 8" xfId="17148" xr:uid="{00000000-0005-0000-0000-0000D5420000}"/>
    <cellStyle name="Normal 2 2 2 24 2 9" xfId="17149" xr:uid="{00000000-0005-0000-0000-0000D6420000}"/>
    <cellStyle name="Normal 2 2 2 24 3" xfId="17150" xr:uid="{00000000-0005-0000-0000-0000D7420000}"/>
    <cellStyle name="Normal 2 2 2 24 3 10" xfId="17151" xr:uid="{00000000-0005-0000-0000-0000D8420000}"/>
    <cellStyle name="Normal 2 2 2 24 3 2" xfId="17152" xr:uid="{00000000-0005-0000-0000-0000D9420000}"/>
    <cellStyle name="Normal 2 2 2 24 3 3" xfId="17153" xr:uid="{00000000-0005-0000-0000-0000DA420000}"/>
    <cellStyle name="Normal 2 2 2 24 3 4" xfId="17154" xr:uid="{00000000-0005-0000-0000-0000DB420000}"/>
    <cellStyle name="Normal 2 2 2 24 3 5" xfId="17155" xr:uid="{00000000-0005-0000-0000-0000DC420000}"/>
    <cellStyle name="Normal 2 2 2 24 3 6" xfId="17156" xr:uid="{00000000-0005-0000-0000-0000DD420000}"/>
    <cellStyle name="Normal 2 2 2 24 3 7" xfId="17157" xr:uid="{00000000-0005-0000-0000-0000DE420000}"/>
    <cellStyle name="Normal 2 2 2 24 3 8" xfId="17158" xr:uid="{00000000-0005-0000-0000-0000DF420000}"/>
    <cellStyle name="Normal 2 2 2 24 3 9" xfId="17159" xr:uid="{00000000-0005-0000-0000-0000E0420000}"/>
    <cellStyle name="Normal 2 2 2 24 4" xfId="17160" xr:uid="{00000000-0005-0000-0000-0000E1420000}"/>
    <cellStyle name="Normal 2 2 2 24 4 10" xfId="17161" xr:uid="{00000000-0005-0000-0000-0000E2420000}"/>
    <cellStyle name="Normal 2 2 2 24 4 2" xfId="17162" xr:uid="{00000000-0005-0000-0000-0000E3420000}"/>
    <cellStyle name="Normal 2 2 2 24 4 3" xfId="17163" xr:uid="{00000000-0005-0000-0000-0000E4420000}"/>
    <cellStyle name="Normal 2 2 2 24 4 4" xfId="17164" xr:uid="{00000000-0005-0000-0000-0000E5420000}"/>
    <cellStyle name="Normal 2 2 2 24 4 5" xfId="17165" xr:uid="{00000000-0005-0000-0000-0000E6420000}"/>
    <cellStyle name="Normal 2 2 2 24 4 6" xfId="17166" xr:uid="{00000000-0005-0000-0000-0000E7420000}"/>
    <cellStyle name="Normal 2 2 2 24 4 7" xfId="17167" xr:uid="{00000000-0005-0000-0000-0000E8420000}"/>
    <cellStyle name="Normal 2 2 2 24 4 8" xfId="17168" xr:uid="{00000000-0005-0000-0000-0000E9420000}"/>
    <cellStyle name="Normal 2 2 2 24 4 9" xfId="17169" xr:uid="{00000000-0005-0000-0000-0000EA420000}"/>
    <cellStyle name="Normal 2 2 2 24 5" xfId="17170" xr:uid="{00000000-0005-0000-0000-0000EB420000}"/>
    <cellStyle name="Normal 2 2 2 24 5 10" xfId="17171" xr:uid="{00000000-0005-0000-0000-0000EC420000}"/>
    <cellStyle name="Normal 2 2 2 24 5 2" xfId="17172" xr:uid="{00000000-0005-0000-0000-0000ED420000}"/>
    <cellStyle name="Normal 2 2 2 24 5 3" xfId="17173" xr:uid="{00000000-0005-0000-0000-0000EE420000}"/>
    <cellStyle name="Normal 2 2 2 24 5 4" xfId="17174" xr:uid="{00000000-0005-0000-0000-0000EF420000}"/>
    <cellStyle name="Normal 2 2 2 24 5 5" xfId="17175" xr:uid="{00000000-0005-0000-0000-0000F0420000}"/>
    <cellStyle name="Normal 2 2 2 24 5 6" xfId="17176" xr:uid="{00000000-0005-0000-0000-0000F1420000}"/>
    <cellStyle name="Normal 2 2 2 24 5 7" xfId="17177" xr:uid="{00000000-0005-0000-0000-0000F2420000}"/>
    <cellStyle name="Normal 2 2 2 24 5 8" xfId="17178" xr:uid="{00000000-0005-0000-0000-0000F3420000}"/>
    <cellStyle name="Normal 2 2 2 24 5 9" xfId="17179" xr:uid="{00000000-0005-0000-0000-0000F4420000}"/>
    <cellStyle name="Normal 2 2 2 24 6" xfId="17180" xr:uid="{00000000-0005-0000-0000-0000F5420000}"/>
    <cellStyle name="Normal 2 2 2 24 7" xfId="17181" xr:uid="{00000000-0005-0000-0000-0000F6420000}"/>
    <cellStyle name="Normal 2 2 2 24 8" xfId="17182" xr:uid="{00000000-0005-0000-0000-0000F7420000}"/>
    <cellStyle name="Normal 2 2 2 24 9" xfId="17183" xr:uid="{00000000-0005-0000-0000-0000F8420000}"/>
    <cellStyle name="Normal 2 2 2 25" xfId="17184" xr:uid="{00000000-0005-0000-0000-0000F9420000}"/>
    <cellStyle name="Normal 2 2 2 25 10" xfId="17185" xr:uid="{00000000-0005-0000-0000-0000FA420000}"/>
    <cellStyle name="Normal 2 2 2 25 11" xfId="17186" xr:uid="{00000000-0005-0000-0000-0000FB420000}"/>
    <cellStyle name="Normal 2 2 2 25 12" xfId="17187" xr:uid="{00000000-0005-0000-0000-0000FC420000}"/>
    <cellStyle name="Normal 2 2 2 25 13" xfId="17188" xr:uid="{00000000-0005-0000-0000-0000FD420000}"/>
    <cellStyle name="Normal 2 2 2 25 14" xfId="17189" xr:uid="{00000000-0005-0000-0000-0000FE420000}"/>
    <cellStyle name="Normal 2 2 2 25 2" xfId="17190" xr:uid="{00000000-0005-0000-0000-0000FF420000}"/>
    <cellStyle name="Normal 2 2 2 25 2 10" xfId="17191" xr:uid="{00000000-0005-0000-0000-000000430000}"/>
    <cellStyle name="Normal 2 2 2 25 2 2" xfId="17192" xr:uid="{00000000-0005-0000-0000-000001430000}"/>
    <cellStyle name="Normal 2 2 2 25 2 3" xfId="17193" xr:uid="{00000000-0005-0000-0000-000002430000}"/>
    <cellStyle name="Normal 2 2 2 25 2 4" xfId="17194" xr:uid="{00000000-0005-0000-0000-000003430000}"/>
    <cellStyle name="Normal 2 2 2 25 2 5" xfId="17195" xr:uid="{00000000-0005-0000-0000-000004430000}"/>
    <cellStyle name="Normal 2 2 2 25 2 6" xfId="17196" xr:uid="{00000000-0005-0000-0000-000005430000}"/>
    <cellStyle name="Normal 2 2 2 25 2 7" xfId="17197" xr:uid="{00000000-0005-0000-0000-000006430000}"/>
    <cellStyle name="Normal 2 2 2 25 2 8" xfId="17198" xr:uid="{00000000-0005-0000-0000-000007430000}"/>
    <cellStyle name="Normal 2 2 2 25 2 9" xfId="17199" xr:uid="{00000000-0005-0000-0000-000008430000}"/>
    <cellStyle name="Normal 2 2 2 25 3" xfId="17200" xr:uid="{00000000-0005-0000-0000-000009430000}"/>
    <cellStyle name="Normal 2 2 2 25 3 10" xfId="17201" xr:uid="{00000000-0005-0000-0000-00000A430000}"/>
    <cellStyle name="Normal 2 2 2 25 3 2" xfId="17202" xr:uid="{00000000-0005-0000-0000-00000B430000}"/>
    <cellStyle name="Normal 2 2 2 25 3 3" xfId="17203" xr:uid="{00000000-0005-0000-0000-00000C430000}"/>
    <cellStyle name="Normal 2 2 2 25 3 4" xfId="17204" xr:uid="{00000000-0005-0000-0000-00000D430000}"/>
    <cellStyle name="Normal 2 2 2 25 3 5" xfId="17205" xr:uid="{00000000-0005-0000-0000-00000E430000}"/>
    <cellStyle name="Normal 2 2 2 25 3 6" xfId="17206" xr:uid="{00000000-0005-0000-0000-00000F430000}"/>
    <cellStyle name="Normal 2 2 2 25 3 7" xfId="17207" xr:uid="{00000000-0005-0000-0000-000010430000}"/>
    <cellStyle name="Normal 2 2 2 25 3 8" xfId="17208" xr:uid="{00000000-0005-0000-0000-000011430000}"/>
    <cellStyle name="Normal 2 2 2 25 3 9" xfId="17209" xr:uid="{00000000-0005-0000-0000-000012430000}"/>
    <cellStyle name="Normal 2 2 2 25 4" xfId="17210" xr:uid="{00000000-0005-0000-0000-000013430000}"/>
    <cellStyle name="Normal 2 2 2 25 4 10" xfId="17211" xr:uid="{00000000-0005-0000-0000-000014430000}"/>
    <cellStyle name="Normal 2 2 2 25 4 2" xfId="17212" xr:uid="{00000000-0005-0000-0000-000015430000}"/>
    <cellStyle name="Normal 2 2 2 25 4 3" xfId="17213" xr:uid="{00000000-0005-0000-0000-000016430000}"/>
    <cellStyle name="Normal 2 2 2 25 4 4" xfId="17214" xr:uid="{00000000-0005-0000-0000-000017430000}"/>
    <cellStyle name="Normal 2 2 2 25 4 5" xfId="17215" xr:uid="{00000000-0005-0000-0000-000018430000}"/>
    <cellStyle name="Normal 2 2 2 25 4 6" xfId="17216" xr:uid="{00000000-0005-0000-0000-000019430000}"/>
    <cellStyle name="Normal 2 2 2 25 4 7" xfId="17217" xr:uid="{00000000-0005-0000-0000-00001A430000}"/>
    <cellStyle name="Normal 2 2 2 25 4 8" xfId="17218" xr:uid="{00000000-0005-0000-0000-00001B430000}"/>
    <cellStyle name="Normal 2 2 2 25 4 9" xfId="17219" xr:uid="{00000000-0005-0000-0000-00001C430000}"/>
    <cellStyle name="Normal 2 2 2 25 5" xfId="17220" xr:uid="{00000000-0005-0000-0000-00001D430000}"/>
    <cellStyle name="Normal 2 2 2 25 5 10" xfId="17221" xr:uid="{00000000-0005-0000-0000-00001E430000}"/>
    <cellStyle name="Normal 2 2 2 25 5 2" xfId="17222" xr:uid="{00000000-0005-0000-0000-00001F430000}"/>
    <cellStyle name="Normal 2 2 2 25 5 3" xfId="17223" xr:uid="{00000000-0005-0000-0000-000020430000}"/>
    <cellStyle name="Normal 2 2 2 25 5 4" xfId="17224" xr:uid="{00000000-0005-0000-0000-000021430000}"/>
    <cellStyle name="Normal 2 2 2 25 5 5" xfId="17225" xr:uid="{00000000-0005-0000-0000-000022430000}"/>
    <cellStyle name="Normal 2 2 2 25 5 6" xfId="17226" xr:uid="{00000000-0005-0000-0000-000023430000}"/>
    <cellStyle name="Normal 2 2 2 25 5 7" xfId="17227" xr:uid="{00000000-0005-0000-0000-000024430000}"/>
    <cellStyle name="Normal 2 2 2 25 5 8" xfId="17228" xr:uid="{00000000-0005-0000-0000-000025430000}"/>
    <cellStyle name="Normal 2 2 2 25 5 9" xfId="17229" xr:uid="{00000000-0005-0000-0000-000026430000}"/>
    <cellStyle name="Normal 2 2 2 25 6" xfId="17230" xr:uid="{00000000-0005-0000-0000-000027430000}"/>
    <cellStyle name="Normal 2 2 2 25 7" xfId="17231" xr:uid="{00000000-0005-0000-0000-000028430000}"/>
    <cellStyle name="Normal 2 2 2 25 8" xfId="17232" xr:uid="{00000000-0005-0000-0000-000029430000}"/>
    <cellStyle name="Normal 2 2 2 25 9" xfId="17233" xr:uid="{00000000-0005-0000-0000-00002A430000}"/>
    <cellStyle name="Normal 2 2 2 26" xfId="17234" xr:uid="{00000000-0005-0000-0000-00002B430000}"/>
    <cellStyle name="Normal 2 2 2 26 10" xfId="17235" xr:uid="{00000000-0005-0000-0000-00002C430000}"/>
    <cellStyle name="Normal 2 2 2 26 11" xfId="17236" xr:uid="{00000000-0005-0000-0000-00002D430000}"/>
    <cellStyle name="Normal 2 2 2 26 12" xfId="17237" xr:uid="{00000000-0005-0000-0000-00002E430000}"/>
    <cellStyle name="Normal 2 2 2 26 13" xfId="17238" xr:uid="{00000000-0005-0000-0000-00002F430000}"/>
    <cellStyle name="Normal 2 2 2 26 14" xfId="17239" xr:uid="{00000000-0005-0000-0000-000030430000}"/>
    <cellStyle name="Normal 2 2 2 26 2" xfId="17240" xr:uid="{00000000-0005-0000-0000-000031430000}"/>
    <cellStyle name="Normal 2 2 2 26 2 10" xfId="17241" xr:uid="{00000000-0005-0000-0000-000032430000}"/>
    <cellStyle name="Normal 2 2 2 26 2 2" xfId="17242" xr:uid="{00000000-0005-0000-0000-000033430000}"/>
    <cellStyle name="Normal 2 2 2 26 2 3" xfId="17243" xr:uid="{00000000-0005-0000-0000-000034430000}"/>
    <cellStyle name="Normal 2 2 2 26 2 4" xfId="17244" xr:uid="{00000000-0005-0000-0000-000035430000}"/>
    <cellStyle name="Normal 2 2 2 26 2 5" xfId="17245" xr:uid="{00000000-0005-0000-0000-000036430000}"/>
    <cellStyle name="Normal 2 2 2 26 2 6" xfId="17246" xr:uid="{00000000-0005-0000-0000-000037430000}"/>
    <cellStyle name="Normal 2 2 2 26 2 7" xfId="17247" xr:uid="{00000000-0005-0000-0000-000038430000}"/>
    <cellStyle name="Normal 2 2 2 26 2 8" xfId="17248" xr:uid="{00000000-0005-0000-0000-000039430000}"/>
    <cellStyle name="Normal 2 2 2 26 2 9" xfId="17249" xr:uid="{00000000-0005-0000-0000-00003A430000}"/>
    <cellStyle name="Normal 2 2 2 26 3" xfId="17250" xr:uid="{00000000-0005-0000-0000-00003B430000}"/>
    <cellStyle name="Normal 2 2 2 26 3 10" xfId="17251" xr:uid="{00000000-0005-0000-0000-00003C430000}"/>
    <cellStyle name="Normal 2 2 2 26 3 2" xfId="17252" xr:uid="{00000000-0005-0000-0000-00003D430000}"/>
    <cellStyle name="Normal 2 2 2 26 3 3" xfId="17253" xr:uid="{00000000-0005-0000-0000-00003E430000}"/>
    <cellStyle name="Normal 2 2 2 26 3 4" xfId="17254" xr:uid="{00000000-0005-0000-0000-00003F430000}"/>
    <cellStyle name="Normal 2 2 2 26 3 5" xfId="17255" xr:uid="{00000000-0005-0000-0000-000040430000}"/>
    <cellStyle name="Normal 2 2 2 26 3 6" xfId="17256" xr:uid="{00000000-0005-0000-0000-000041430000}"/>
    <cellStyle name="Normal 2 2 2 26 3 7" xfId="17257" xr:uid="{00000000-0005-0000-0000-000042430000}"/>
    <cellStyle name="Normal 2 2 2 26 3 8" xfId="17258" xr:uid="{00000000-0005-0000-0000-000043430000}"/>
    <cellStyle name="Normal 2 2 2 26 3 9" xfId="17259" xr:uid="{00000000-0005-0000-0000-000044430000}"/>
    <cellStyle name="Normal 2 2 2 26 4" xfId="17260" xr:uid="{00000000-0005-0000-0000-000045430000}"/>
    <cellStyle name="Normal 2 2 2 26 4 10" xfId="17261" xr:uid="{00000000-0005-0000-0000-000046430000}"/>
    <cellStyle name="Normal 2 2 2 26 4 2" xfId="17262" xr:uid="{00000000-0005-0000-0000-000047430000}"/>
    <cellStyle name="Normal 2 2 2 26 4 3" xfId="17263" xr:uid="{00000000-0005-0000-0000-000048430000}"/>
    <cellStyle name="Normal 2 2 2 26 4 4" xfId="17264" xr:uid="{00000000-0005-0000-0000-000049430000}"/>
    <cellStyle name="Normal 2 2 2 26 4 5" xfId="17265" xr:uid="{00000000-0005-0000-0000-00004A430000}"/>
    <cellStyle name="Normal 2 2 2 26 4 6" xfId="17266" xr:uid="{00000000-0005-0000-0000-00004B430000}"/>
    <cellStyle name="Normal 2 2 2 26 4 7" xfId="17267" xr:uid="{00000000-0005-0000-0000-00004C430000}"/>
    <cellStyle name="Normal 2 2 2 26 4 8" xfId="17268" xr:uid="{00000000-0005-0000-0000-00004D430000}"/>
    <cellStyle name="Normal 2 2 2 26 4 9" xfId="17269" xr:uid="{00000000-0005-0000-0000-00004E430000}"/>
    <cellStyle name="Normal 2 2 2 26 5" xfId="17270" xr:uid="{00000000-0005-0000-0000-00004F430000}"/>
    <cellStyle name="Normal 2 2 2 26 5 10" xfId="17271" xr:uid="{00000000-0005-0000-0000-000050430000}"/>
    <cellStyle name="Normal 2 2 2 26 5 2" xfId="17272" xr:uid="{00000000-0005-0000-0000-000051430000}"/>
    <cellStyle name="Normal 2 2 2 26 5 3" xfId="17273" xr:uid="{00000000-0005-0000-0000-000052430000}"/>
    <cellStyle name="Normal 2 2 2 26 5 4" xfId="17274" xr:uid="{00000000-0005-0000-0000-000053430000}"/>
    <cellStyle name="Normal 2 2 2 26 5 5" xfId="17275" xr:uid="{00000000-0005-0000-0000-000054430000}"/>
    <cellStyle name="Normal 2 2 2 26 5 6" xfId="17276" xr:uid="{00000000-0005-0000-0000-000055430000}"/>
    <cellStyle name="Normal 2 2 2 26 5 7" xfId="17277" xr:uid="{00000000-0005-0000-0000-000056430000}"/>
    <cellStyle name="Normal 2 2 2 26 5 8" xfId="17278" xr:uid="{00000000-0005-0000-0000-000057430000}"/>
    <cellStyle name="Normal 2 2 2 26 5 9" xfId="17279" xr:uid="{00000000-0005-0000-0000-000058430000}"/>
    <cellStyle name="Normal 2 2 2 26 6" xfId="17280" xr:uid="{00000000-0005-0000-0000-000059430000}"/>
    <cellStyle name="Normal 2 2 2 26 7" xfId="17281" xr:uid="{00000000-0005-0000-0000-00005A430000}"/>
    <cellStyle name="Normal 2 2 2 26 8" xfId="17282" xr:uid="{00000000-0005-0000-0000-00005B430000}"/>
    <cellStyle name="Normal 2 2 2 26 9" xfId="17283" xr:uid="{00000000-0005-0000-0000-00005C430000}"/>
    <cellStyle name="Normal 2 2 2 27" xfId="17284" xr:uid="{00000000-0005-0000-0000-00005D430000}"/>
    <cellStyle name="Normal 2 2 2 27 10" xfId="17285" xr:uid="{00000000-0005-0000-0000-00005E430000}"/>
    <cellStyle name="Normal 2 2 2 27 11" xfId="17286" xr:uid="{00000000-0005-0000-0000-00005F430000}"/>
    <cellStyle name="Normal 2 2 2 27 12" xfId="17287" xr:uid="{00000000-0005-0000-0000-000060430000}"/>
    <cellStyle name="Normal 2 2 2 27 13" xfId="17288" xr:uid="{00000000-0005-0000-0000-000061430000}"/>
    <cellStyle name="Normal 2 2 2 27 14" xfId="17289" xr:uid="{00000000-0005-0000-0000-000062430000}"/>
    <cellStyle name="Normal 2 2 2 27 2" xfId="17290" xr:uid="{00000000-0005-0000-0000-000063430000}"/>
    <cellStyle name="Normal 2 2 2 27 2 10" xfId="17291" xr:uid="{00000000-0005-0000-0000-000064430000}"/>
    <cellStyle name="Normal 2 2 2 27 2 2" xfId="17292" xr:uid="{00000000-0005-0000-0000-000065430000}"/>
    <cellStyle name="Normal 2 2 2 27 2 3" xfId="17293" xr:uid="{00000000-0005-0000-0000-000066430000}"/>
    <cellStyle name="Normal 2 2 2 27 2 4" xfId="17294" xr:uid="{00000000-0005-0000-0000-000067430000}"/>
    <cellStyle name="Normal 2 2 2 27 2 5" xfId="17295" xr:uid="{00000000-0005-0000-0000-000068430000}"/>
    <cellStyle name="Normal 2 2 2 27 2 6" xfId="17296" xr:uid="{00000000-0005-0000-0000-000069430000}"/>
    <cellStyle name="Normal 2 2 2 27 2 7" xfId="17297" xr:uid="{00000000-0005-0000-0000-00006A430000}"/>
    <cellStyle name="Normal 2 2 2 27 2 8" xfId="17298" xr:uid="{00000000-0005-0000-0000-00006B430000}"/>
    <cellStyle name="Normal 2 2 2 27 2 9" xfId="17299" xr:uid="{00000000-0005-0000-0000-00006C430000}"/>
    <cellStyle name="Normal 2 2 2 27 3" xfId="17300" xr:uid="{00000000-0005-0000-0000-00006D430000}"/>
    <cellStyle name="Normal 2 2 2 27 3 10" xfId="17301" xr:uid="{00000000-0005-0000-0000-00006E430000}"/>
    <cellStyle name="Normal 2 2 2 27 3 2" xfId="17302" xr:uid="{00000000-0005-0000-0000-00006F430000}"/>
    <cellStyle name="Normal 2 2 2 27 3 3" xfId="17303" xr:uid="{00000000-0005-0000-0000-000070430000}"/>
    <cellStyle name="Normal 2 2 2 27 3 4" xfId="17304" xr:uid="{00000000-0005-0000-0000-000071430000}"/>
    <cellStyle name="Normal 2 2 2 27 3 5" xfId="17305" xr:uid="{00000000-0005-0000-0000-000072430000}"/>
    <cellStyle name="Normal 2 2 2 27 3 6" xfId="17306" xr:uid="{00000000-0005-0000-0000-000073430000}"/>
    <cellStyle name="Normal 2 2 2 27 3 7" xfId="17307" xr:uid="{00000000-0005-0000-0000-000074430000}"/>
    <cellStyle name="Normal 2 2 2 27 3 8" xfId="17308" xr:uid="{00000000-0005-0000-0000-000075430000}"/>
    <cellStyle name="Normal 2 2 2 27 3 9" xfId="17309" xr:uid="{00000000-0005-0000-0000-000076430000}"/>
    <cellStyle name="Normal 2 2 2 27 4" xfId="17310" xr:uid="{00000000-0005-0000-0000-000077430000}"/>
    <cellStyle name="Normal 2 2 2 27 4 10" xfId="17311" xr:uid="{00000000-0005-0000-0000-000078430000}"/>
    <cellStyle name="Normal 2 2 2 27 4 2" xfId="17312" xr:uid="{00000000-0005-0000-0000-000079430000}"/>
    <cellStyle name="Normal 2 2 2 27 4 3" xfId="17313" xr:uid="{00000000-0005-0000-0000-00007A430000}"/>
    <cellStyle name="Normal 2 2 2 27 4 4" xfId="17314" xr:uid="{00000000-0005-0000-0000-00007B430000}"/>
    <cellStyle name="Normal 2 2 2 27 4 5" xfId="17315" xr:uid="{00000000-0005-0000-0000-00007C430000}"/>
    <cellStyle name="Normal 2 2 2 27 4 6" xfId="17316" xr:uid="{00000000-0005-0000-0000-00007D430000}"/>
    <cellStyle name="Normal 2 2 2 27 4 7" xfId="17317" xr:uid="{00000000-0005-0000-0000-00007E430000}"/>
    <cellStyle name="Normal 2 2 2 27 4 8" xfId="17318" xr:uid="{00000000-0005-0000-0000-00007F430000}"/>
    <cellStyle name="Normal 2 2 2 27 4 9" xfId="17319" xr:uid="{00000000-0005-0000-0000-000080430000}"/>
    <cellStyle name="Normal 2 2 2 27 5" xfId="17320" xr:uid="{00000000-0005-0000-0000-000081430000}"/>
    <cellStyle name="Normal 2 2 2 27 5 10" xfId="17321" xr:uid="{00000000-0005-0000-0000-000082430000}"/>
    <cellStyle name="Normal 2 2 2 27 5 2" xfId="17322" xr:uid="{00000000-0005-0000-0000-000083430000}"/>
    <cellStyle name="Normal 2 2 2 27 5 3" xfId="17323" xr:uid="{00000000-0005-0000-0000-000084430000}"/>
    <cellStyle name="Normal 2 2 2 27 5 4" xfId="17324" xr:uid="{00000000-0005-0000-0000-000085430000}"/>
    <cellStyle name="Normal 2 2 2 27 5 5" xfId="17325" xr:uid="{00000000-0005-0000-0000-000086430000}"/>
    <cellStyle name="Normal 2 2 2 27 5 6" xfId="17326" xr:uid="{00000000-0005-0000-0000-000087430000}"/>
    <cellStyle name="Normal 2 2 2 27 5 7" xfId="17327" xr:uid="{00000000-0005-0000-0000-000088430000}"/>
    <cellStyle name="Normal 2 2 2 27 5 8" xfId="17328" xr:uid="{00000000-0005-0000-0000-000089430000}"/>
    <cellStyle name="Normal 2 2 2 27 5 9" xfId="17329" xr:uid="{00000000-0005-0000-0000-00008A430000}"/>
    <cellStyle name="Normal 2 2 2 27 6" xfId="17330" xr:uid="{00000000-0005-0000-0000-00008B430000}"/>
    <cellStyle name="Normal 2 2 2 27 7" xfId="17331" xr:uid="{00000000-0005-0000-0000-00008C430000}"/>
    <cellStyle name="Normal 2 2 2 27 8" xfId="17332" xr:uid="{00000000-0005-0000-0000-00008D430000}"/>
    <cellStyle name="Normal 2 2 2 27 9" xfId="17333" xr:uid="{00000000-0005-0000-0000-00008E430000}"/>
    <cellStyle name="Normal 2 2 2 28" xfId="17334" xr:uid="{00000000-0005-0000-0000-00008F430000}"/>
    <cellStyle name="Normal 2 2 2 28 10" xfId="17335" xr:uid="{00000000-0005-0000-0000-000090430000}"/>
    <cellStyle name="Normal 2 2 2 28 11" xfId="17336" xr:uid="{00000000-0005-0000-0000-000091430000}"/>
    <cellStyle name="Normal 2 2 2 28 12" xfId="17337" xr:uid="{00000000-0005-0000-0000-000092430000}"/>
    <cellStyle name="Normal 2 2 2 28 13" xfId="17338" xr:uid="{00000000-0005-0000-0000-000093430000}"/>
    <cellStyle name="Normal 2 2 2 28 14" xfId="17339" xr:uid="{00000000-0005-0000-0000-000094430000}"/>
    <cellStyle name="Normal 2 2 2 28 2" xfId="17340" xr:uid="{00000000-0005-0000-0000-000095430000}"/>
    <cellStyle name="Normal 2 2 2 28 2 10" xfId="17341" xr:uid="{00000000-0005-0000-0000-000096430000}"/>
    <cellStyle name="Normal 2 2 2 28 2 2" xfId="17342" xr:uid="{00000000-0005-0000-0000-000097430000}"/>
    <cellStyle name="Normal 2 2 2 28 2 3" xfId="17343" xr:uid="{00000000-0005-0000-0000-000098430000}"/>
    <cellStyle name="Normal 2 2 2 28 2 4" xfId="17344" xr:uid="{00000000-0005-0000-0000-000099430000}"/>
    <cellStyle name="Normal 2 2 2 28 2 5" xfId="17345" xr:uid="{00000000-0005-0000-0000-00009A430000}"/>
    <cellStyle name="Normal 2 2 2 28 2 6" xfId="17346" xr:uid="{00000000-0005-0000-0000-00009B430000}"/>
    <cellStyle name="Normal 2 2 2 28 2 7" xfId="17347" xr:uid="{00000000-0005-0000-0000-00009C430000}"/>
    <cellStyle name="Normal 2 2 2 28 2 8" xfId="17348" xr:uid="{00000000-0005-0000-0000-00009D430000}"/>
    <cellStyle name="Normal 2 2 2 28 2 9" xfId="17349" xr:uid="{00000000-0005-0000-0000-00009E430000}"/>
    <cellStyle name="Normal 2 2 2 28 3" xfId="17350" xr:uid="{00000000-0005-0000-0000-00009F430000}"/>
    <cellStyle name="Normal 2 2 2 28 3 10" xfId="17351" xr:uid="{00000000-0005-0000-0000-0000A0430000}"/>
    <cellStyle name="Normal 2 2 2 28 3 2" xfId="17352" xr:uid="{00000000-0005-0000-0000-0000A1430000}"/>
    <cellStyle name="Normal 2 2 2 28 3 3" xfId="17353" xr:uid="{00000000-0005-0000-0000-0000A2430000}"/>
    <cellStyle name="Normal 2 2 2 28 3 4" xfId="17354" xr:uid="{00000000-0005-0000-0000-0000A3430000}"/>
    <cellStyle name="Normal 2 2 2 28 3 5" xfId="17355" xr:uid="{00000000-0005-0000-0000-0000A4430000}"/>
    <cellStyle name="Normal 2 2 2 28 3 6" xfId="17356" xr:uid="{00000000-0005-0000-0000-0000A5430000}"/>
    <cellStyle name="Normal 2 2 2 28 3 7" xfId="17357" xr:uid="{00000000-0005-0000-0000-0000A6430000}"/>
    <cellStyle name="Normal 2 2 2 28 3 8" xfId="17358" xr:uid="{00000000-0005-0000-0000-0000A7430000}"/>
    <cellStyle name="Normal 2 2 2 28 3 9" xfId="17359" xr:uid="{00000000-0005-0000-0000-0000A8430000}"/>
    <cellStyle name="Normal 2 2 2 28 4" xfId="17360" xr:uid="{00000000-0005-0000-0000-0000A9430000}"/>
    <cellStyle name="Normal 2 2 2 28 4 10" xfId="17361" xr:uid="{00000000-0005-0000-0000-0000AA430000}"/>
    <cellStyle name="Normal 2 2 2 28 4 2" xfId="17362" xr:uid="{00000000-0005-0000-0000-0000AB430000}"/>
    <cellStyle name="Normal 2 2 2 28 4 3" xfId="17363" xr:uid="{00000000-0005-0000-0000-0000AC430000}"/>
    <cellStyle name="Normal 2 2 2 28 4 4" xfId="17364" xr:uid="{00000000-0005-0000-0000-0000AD430000}"/>
    <cellStyle name="Normal 2 2 2 28 4 5" xfId="17365" xr:uid="{00000000-0005-0000-0000-0000AE430000}"/>
    <cellStyle name="Normal 2 2 2 28 4 6" xfId="17366" xr:uid="{00000000-0005-0000-0000-0000AF430000}"/>
    <cellStyle name="Normal 2 2 2 28 4 7" xfId="17367" xr:uid="{00000000-0005-0000-0000-0000B0430000}"/>
    <cellStyle name="Normal 2 2 2 28 4 8" xfId="17368" xr:uid="{00000000-0005-0000-0000-0000B1430000}"/>
    <cellStyle name="Normal 2 2 2 28 4 9" xfId="17369" xr:uid="{00000000-0005-0000-0000-0000B2430000}"/>
    <cellStyle name="Normal 2 2 2 28 5" xfId="17370" xr:uid="{00000000-0005-0000-0000-0000B3430000}"/>
    <cellStyle name="Normal 2 2 2 28 5 10" xfId="17371" xr:uid="{00000000-0005-0000-0000-0000B4430000}"/>
    <cellStyle name="Normal 2 2 2 28 5 2" xfId="17372" xr:uid="{00000000-0005-0000-0000-0000B5430000}"/>
    <cellStyle name="Normal 2 2 2 28 5 3" xfId="17373" xr:uid="{00000000-0005-0000-0000-0000B6430000}"/>
    <cellStyle name="Normal 2 2 2 28 5 4" xfId="17374" xr:uid="{00000000-0005-0000-0000-0000B7430000}"/>
    <cellStyle name="Normal 2 2 2 28 5 5" xfId="17375" xr:uid="{00000000-0005-0000-0000-0000B8430000}"/>
    <cellStyle name="Normal 2 2 2 28 5 6" xfId="17376" xr:uid="{00000000-0005-0000-0000-0000B9430000}"/>
    <cellStyle name="Normal 2 2 2 28 5 7" xfId="17377" xr:uid="{00000000-0005-0000-0000-0000BA430000}"/>
    <cellStyle name="Normal 2 2 2 28 5 8" xfId="17378" xr:uid="{00000000-0005-0000-0000-0000BB430000}"/>
    <cellStyle name="Normal 2 2 2 28 5 9" xfId="17379" xr:uid="{00000000-0005-0000-0000-0000BC430000}"/>
    <cellStyle name="Normal 2 2 2 28 6" xfId="17380" xr:uid="{00000000-0005-0000-0000-0000BD430000}"/>
    <cellStyle name="Normal 2 2 2 28 7" xfId="17381" xr:uid="{00000000-0005-0000-0000-0000BE430000}"/>
    <cellStyle name="Normal 2 2 2 28 8" xfId="17382" xr:uid="{00000000-0005-0000-0000-0000BF430000}"/>
    <cellStyle name="Normal 2 2 2 28 9" xfId="17383" xr:uid="{00000000-0005-0000-0000-0000C0430000}"/>
    <cellStyle name="Normal 2 2 2 29" xfId="17384" xr:uid="{00000000-0005-0000-0000-0000C1430000}"/>
    <cellStyle name="Normal 2 2 2 29 10" xfId="17385" xr:uid="{00000000-0005-0000-0000-0000C2430000}"/>
    <cellStyle name="Normal 2 2 2 29 11" xfId="17386" xr:uid="{00000000-0005-0000-0000-0000C3430000}"/>
    <cellStyle name="Normal 2 2 2 29 12" xfId="17387" xr:uid="{00000000-0005-0000-0000-0000C4430000}"/>
    <cellStyle name="Normal 2 2 2 29 13" xfId="17388" xr:uid="{00000000-0005-0000-0000-0000C5430000}"/>
    <cellStyle name="Normal 2 2 2 29 14" xfId="17389" xr:uid="{00000000-0005-0000-0000-0000C6430000}"/>
    <cellStyle name="Normal 2 2 2 29 2" xfId="17390" xr:uid="{00000000-0005-0000-0000-0000C7430000}"/>
    <cellStyle name="Normal 2 2 2 29 2 10" xfId="17391" xr:uid="{00000000-0005-0000-0000-0000C8430000}"/>
    <cellStyle name="Normal 2 2 2 29 2 2" xfId="17392" xr:uid="{00000000-0005-0000-0000-0000C9430000}"/>
    <cellStyle name="Normal 2 2 2 29 2 3" xfId="17393" xr:uid="{00000000-0005-0000-0000-0000CA430000}"/>
    <cellStyle name="Normal 2 2 2 29 2 4" xfId="17394" xr:uid="{00000000-0005-0000-0000-0000CB430000}"/>
    <cellStyle name="Normal 2 2 2 29 2 5" xfId="17395" xr:uid="{00000000-0005-0000-0000-0000CC430000}"/>
    <cellStyle name="Normal 2 2 2 29 2 6" xfId="17396" xr:uid="{00000000-0005-0000-0000-0000CD430000}"/>
    <cellStyle name="Normal 2 2 2 29 2 7" xfId="17397" xr:uid="{00000000-0005-0000-0000-0000CE430000}"/>
    <cellStyle name="Normal 2 2 2 29 2 8" xfId="17398" xr:uid="{00000000-0005-0000-0000-0000CF430000}"/>
    <cellStyle name="Normal 2 2 2 29 2 9" xfId="17399" xr:uid="{00000000-0005-0000-0000-0000D0430000}"/>
    <cellStyle name="Normal 2 2 2 29 3" xfId="17400" xr:uid="{00000000-0005-0000-0000-0000D1430000}"/>
    <cellStyle name="Normal 2 2 2 29 3 10" xfId="17401" xr:uid="{00000000-0005-0000-0000-0000D2430000}"/>
    <cellStyle name="Normal 2 2 2 29 3 2" xfId="17402" xr:uid="{00000000-0005-0000-0000-0000D3430000}"/>
    <cellStyle name="Normal 2 2 2 29 3 3" xfId="17403" xr:uid="{00000000-0005-0000-0000-0000D4430000}"/>
    <cellStyle name="Normal 2 2 2 29 3 4" xfId="17404" xr:uid="{00000000-0005-0000-0000-0000D5430000}"/>
    <cellStyle name="Normal 2 2 2 29 3 5" xfId="17405" xr:uid="{00000000-0005-0000-0000-0000D6430000}"/>
    <cellStyle name="Normal 2 2 2 29 3 6" xfId="17406" xr:uid="{00000000-0005-0000-0000-0000D7430000}"/>
    <cellStyle name="Normal 2 2 2 29 3 7" xfId="17407" xr:uid="{00000000-0005-0000-0000-0000D8430000}"/>
    <cellStyle name="Normal 2 2 2 29 3 8" xfId="17408" xr:uid="{00000000-0005-0000-0000-0000D9430000}"/>
    <cellStyle name="Normal 2 2 2 29 3 9" xfId="17409" xr:uid="{00000000-0005-0000-0000-0000DA430000}"/>
    <cellStyle name="Normal 2 2 2 29 4" xfId="17410" xr:uid="{00000000-0005-0000-0000-0000DB430000}"/>
    <cellStyle name="Normal 2 2 2 29 4 10" xfId="17411" xr:uid="{00000000-0005-0000-0000-0000DC430000}"/>
    <cellStyle name="Normal 2 2 2 29 4 2" xfId="17412" xr:uid="{00000000-0005-0000-0000-0000DD430000}"/>
    <cellStyle name="Normal 2 2 2 29 4 3" xfId="17413" xr:uid="{00000000-0005-0000-0000-0000DE430000}"/>
    <cellStyle name="Normal 2 2 2 29 4 4" xfId="17414" xr:uid="{00000000-0005-0000-0000-0000DF430000}"/>
    <cellStyle name="Normal 2 2 2 29 4 5" xfId="17415" xr:uid="{00000000-0005-0000-0000-0000E0430000}"/>
    <cellStyle name="Normal 2 2 2 29 4 6" xfId="17416" xr:uid="{00000000-0005-0000-0000-0000E1430000}"/>
    <cellStyle name="Normal 2 2 2 29 4 7" xfId="17417" xr:uid="{00000000-0005-0000-0000-0000E2430000}"/>
    <cellStyle name="Normal 2 2 2 29 4 8" xfId="17418" xr:uid="{00000000-0005-0000-0000-0000E3430000}"/>
    <cellStyle name="Normal 2 2 2 29 4 9" xfId="17419" xr:uid="{00000000-0005-0000-0000-0000E4430000}"/>
    <cellStyle name="Normal 2 2 2 29 5" xfId="17420" xr:uid="{00000000-0005-0000-0000-0000E5430000}"/>
    <cellStyle name="Normal 2 2 2 29 5 10" xfId="17421" xr:uid="{00000000-0005-0000-0000-0000E6430000}"/>
    <cellStyle name="Normal 2 2 2 29 5 2" xfId="17422" xr:uid="{00000000-0005-0000-0000-0000E7430000}"/>
    <cellStyle name="Normal 2 2 2 29 5 3" xfId="17423" xr:uid="{00000000-0005-0000-0000-0000E8430000}"/>
    <cellStyle name="Normal 2 2 2 29 5 4" xfId="17424" xr:uid="{00000000-0005-0000-0000-0000E9430000}"/>
    <cellStyle name="Normal 2 2 2 29 5 5" xfId="17425" xr:uid="{00000000-0005-0000-0000-0000EA430000}"/>
    <cellStyle name="Normal 2 2 2 29 5 6" xfId="17426" xr:uid="{00000000-0005-0000-0000-0000EB430000}"/>
    <cellStyle name="Normal 2 2 2 29 5 7" xfId="17427" xr:uid="{00000000-0005-0000-0000-0000EC430000}"/>
    <cellStyle name="Normal 2 2 2 29 5 8" xfId="17428" xr:uid="{00000000-0005-0000-0000-0000ED430000}"/>
    <cellStyle name="Normal 2 2 2 29 5 9" xfId="17429" xr:uid="{00000000-0005-0000-0000-0000EE430000}"/>
    <cellStyle name="Normal 2 2 2 29 6" xfId="17430" xr:uid="{00000000-0005-0000-0000-0000EF430000}"/>
    <cellStyle name="Normal 2 2 2 29 7" xfId="17431" xr:uid="{00000000-0005-0000-0000-0000F0430000}"/>
    <cellStyle name="Normal 2 2 2 29 8" xfId="17432" xr:uid="{00000000-0005-0000-0000-0000F1430000}"/>
    <cellStyle name="Normal 2 2 2 29 9" xfId="17433" xr:uid="{00000000-0005-0000-0000-0000F2430000}"/>
    <cellStyle name="Normal 2 2 2 3" xfId="20" xr:uid="{00000000-0005-0000-0000-0000F3430000}"/>
    <cellStyle name="Normal 2 2 2 3 10" xfId="17434" xr:uid="{00000000-0005-0000-0000-0000F4430000}"/>
    <cellStyle name="Normal 2 2 2 3 10 10" xfId="17435" xr:uid="{00000000-0005-0000-0000-0000F5430000}"/>
    <cellStyle name="Normal 2 2 2 3 10 11" xfId="17436" xr:uid="{00000000-0005-0000-0000-0000F6430000}"/>
    <cellStyle name="Normal 2 2 2 3 10 12" xfId="17437" xr:uid="{00000000-0005-0000-0000-0000F7430000}"/>
    <cellStyle name="Normal 2 2 2 3 10 13" xfId="17438" xr:uid="{00000000-0005-0000-0000-0000F8430000}"/>
    <cellStyle name="Normal 2 2 2 3 10 14" xfId="17439" xr:uid="{00000000-0005-0000-0000-0000F9430000}"/>
    <cellStyle name="Normal 2 2 2 3 10 2" xfId="17440" xr:uid="{00000000-0005-0000-0000-0000FA430000}"/>
    <cellStyle name="Normal 2 2 2 3 10 2 10" xfId="17441" xr:uid="{00000000-0005-0000-0000-0000FB430000}"/>
    <cellStyle name="Normal 2 2 2 3 10 2 2" xfId="17442" xr:uid="{00000000-0005-0000-0000-0000FC430000}"/>
    <cellStyle name="Normal 2 2 2 3 10 2 3" xfId="17443" xr:uid="{00000000-0005-0000-0000-0000FD430000}"/>
    <cellStyle name="Normal 2 2 2 3 10 2 4" xfId="17444" xr:uid="{00000000-0005-0000-0000-0000FE430000}"/>
    <cellStyle name="Normal 2 2 2 3 10 2 5" xfId="17445" xr:uid="{00000000-0005-0000-0000-0000FF430000}"/>
    <cellStyle name="Normal 2 2 2 3 10 2 6" xfId="17446" xr:uid="{00000000-0005-0000-0000-000000440000}"/>
    <cellStyle name="Normal 2 2 2 3 10 2 7" xfId="17447" xr:uid="{00000000-0005-0000-0000-000001440000}"/>
    <cellStyle name="Normal 2 2 2 3 10 2 8" xfId="17448" xr:uid="{00000000-0005-0000-0000-000002440000}"/>
    <cellStyle name="Normal 2 2 2 3 10 2 9" xfId="17449" xr:uid="{00000000-0005-0000-0000-000003440000}"/>
    <cellStyle name="Normal 2 2 2 3 10 3" xfId="17450" xr:uid="{00000000-0005-0000-0000-000004440000}"/>
    <cellStyle name="Normal 2 2 2 3 10 3 10" xfId="17451" xr:uid="{00000000-0005-0000-0000-000005440000}"/>
    <cellStyle name="Normal 2 2 2 3 10 3 2" xfId="17452" xr:uid="{00000000-0005-0000-0000-000006440000}"/>
    <cellStyle name="Normal 2 2 2 3 10 3 3" xfId="17453" xr:uid="{00000000-0005-0000-0000-000007440000}"/>
    <cellStyle name="Normal 2 2 2 3 10 3 4" xfId="17454" xr:uid="{00000000-0005-0000-0000-000008440000}"/>
    <cellStyle name="Normal 2 2 2 3 10 3 5" xfId="17455" xr:uid="{00000000-0005-0000-0000-000009440000}"/>
    <cellStyle name="Normal 2 2 2 3 10 3 6" xfId="17456" xr:uid="{00000000-0005-0000-0000-00000A440000}"/>
    <cellStyle name="Normal 2 2 2 3 10 3 7" xfId="17457" xr:uid="{00000000-0005-0000-0000-00000B440000}"/>
    <cellStyle name="Normal 2 2 2 3 10 3 8" xfId="17458" xr:uid="{00000000-0005-0000-0000-00000C440000}"/>
    <cellStyle name="Normal 2 2 2 3 10 3 9" xfId="17459" xr:uid="{00000000-0005-0000-0000-00000D440000}"/>
    <cellStyle name="Normal 2 2 2 3 10 4" xfId="17460" xr:uid="{00000000-0005-0000-0000-00000E440000}"/>
    <cellStyle name="Normal 2 2 2 3 10 4 10" xfId="17461" xr:uid="{00000000-0005-0000-0000-00000F440000}"/>
    <cellStyle name="Normal 2 2 2 3 10 4 2" xfId="17462" xr:uid="{00000000-0005-0000-0000-000010440000}"/>
    <cellStyle name="Normal 2 2 2 3 10 4 3" xfId="17463" xr:uid="{00000000-0005-0000-0000-000011440000}"/>
    <cellStyle name="Normal 2 2 2 3 10 4 4" xfId="17464" xr:uid="{00000000-0005-0000-0000-000012440000}"/>
    <cellStyle name="Normal 2 2 2 3 10 4 5" xfId="17465" xr:uid="{00000000-0005-0000-0000-000013440000}"/>
    <cellStyle name="Normal 2 2 2 3 10 4 6" xfId="17466" xr:uid="{00000000-0005-0000-0000-000014440000}"/>
    <cellStyle name="Normal 2 2 2 3 10 4 7" xfId="17467" xr:uid="{00000000-0005-0000-0000-000015440000}"/>
    <cellStyle name="Normal 2 2 2 3 10 4 8" xfId="17468" xr:uid="{00000000-0005-0000-0000-000016440000}"/>
    <cellStyle name="Normal 2 2 2 3 10 4 9" xfId="17469" xr:uid="{00000000-0005-0000-0000-000017440000}"/>
    <cellStyle name="Normal 2 2 2 3 10 5" xfId="17470" xr:uid="{00000000-0005-0000-0000-000018440000}"/>
    <cellStyle name="Normal 2 2 2 3 10 5 10" xfId="17471" xr:uid="{00000000-0005-0000-0000-000019440000}"/>
    <cellStyle name="Normal 2 2 2 3 10 5 2" xfId="17472" xr:uid="{00000000-0005-0000-0000-00001A440000}"/>
    <cellStyle name="Normal 2 2 2 3 10 5 3" xfId="17473" xr:uid="{00000000-0005-0000-0000-00001B440000}"/>
    <cellStyle name="Normal 2 2 2 3 10 5 4" xfId="17474" xr:uid="{00000000-0005-0000-0000-00001C440000}"/>
    <cellStyle name="Normal 2 2 2 3 10 5 5" xfId="17475" xr:uid="{00000000-0005-0000-0000-00001D440000}"/>
    <cellStyle name="Normal 2 2 2 3 10 5 6" xfId="17476" xr:uid="{00000000-0005-0000-0000-00001E440000}"/>
    <cellStyle name="Normal 2 2 2 3 10 5 7" xfId="17477" xr:uid="{00000000-0005-0000-0000-00001F440000}"/>
    <cellStyle name="Normal 2 2 2 3 10 5 8" xfId="17478" xr:uid="{00000000-0005-0000-0000-000020440000}"/>
    <cellStyle name="Normal 2 2 2 3 10 5 9" xfId="17479" xr:uid="{00000000-0005-0000-0000-000021440000}"/>
    <cellStyle name="Normal 2 2 2 3 10 6" xfId="17480" xr:uid="{00000000-0005-0000-0000-000022440000}"/>
    <cellStyle name="Normal 2 2 2 3 10 7" xfId="17481" xr:uid="{00000000-0005-0000-0000-000023440000}"/>
    <cellStyle name="Normal 2 2 2 3 10 8" xfId="17482" xr:uid="{00000000-0005-0000-0000-000024440000}"/>
    <cellStyle name="Normal 2 2 2 3 10 9" xfId="17483" xr:uid="{00000000-0005-0000-0000-000025440000}"/>
    <cellStyle name="Normal 2 2 2 3 11" xfId="17484" xr:uid="{00000000-0005-0000-0000-000026440000}"/>
    <cellStyle name="Normal 2 2 2 3 11 10" xfId="17485" xr:uid="{00000000-0005-0000-0000-000027440000}"/>
    <cellStyle name="Normal 2 2 2 3 11 11" xfId="17486" xr:uid="{00000000-0005-0000-0000-000028440000}"/>
    <cellStyle name="Normal 2 2 2 3 11 12" xfId="17487" xr:uid="{00000000-0005-0000-0000-000029440000}"/>
    <cellStyle name="Normal 2 2 2 3 11 13" xfId="17488" xr:uid="{00000000-0005-0000-0000-00002A440000}"/>
    <cellStyle name="Normal 2 2 2 3 11 14" xfId="17489" xr:uid="{00000000-0005-0000-0000-00002B440000}"/>
    <cellStyle name="Normal 2 2 2 3 11 2" xfId="17490" xr:uid="{00000000-0005-0000-0000-00002C440000}"/>
    <cellStyle name="Normal 2 2 2 3 11 2 10" xfId="17491" xr:uid="{00000000-0005-0000-0000-00002D440000}"/>
    <cellStyle name="Normal 2 2 2 3 11 2 2" xfId="17492" xr:uid="{00000000-0005-0000-0000-00002E440000}"/>
    <cellStyle name="Normal 2 2 2 3 11 2 3" xfId="17493" xr:uid="{00000000-0005-0000-0000-00002F440000}"/>
    <cellStyle name="Normal 2 2 2 3 11 2 4" xfId="17494" xr:uid="{00000000-0005-0000-0000-000030440000}"/>
    <cellStyle name="Normal 2 2 2 3 11 2 5" xfId="17495" xr:uid="{00000000-0005-0000-0000-000031440000}"/>
    <cellStyle name="Normal 2 2 2 3 11 2 6" xfId="17496" xr:uid="{00000000-0005-0000-0000-000032440000}"/>
    <cellStyle name="Normal 2 2 2 3 11 2 7" xfId="17497" xr:uid="{00000000-0005-0000-0000-000033440000}"/>
    <cellStyle name="Normal 2 2 2 3 11 2 8" xfId="17498" xr:uid="{00000000-0005-0000-0000-000034440000}"/>
    <cellStyle name="Normal 2 2 2 3 11 2 9" xfId="17499" xr:uid="{00000000-0005-0000-0000-000035440000}"/>
    <cellStyle name="Normal 2 2 2 3 11 3" xfId="17500" xr:uid="{00000000-0005-0000-0000-000036440000}"/>
    <cellStyle name="Normal 2 2 2 3 11 3 10" xfId="17501" xr:uid="{00000000-0005-0000-0000-000037440000}"/>
    <cellStyle name="Normal 2 2 2 3 11 3 2" xfId="17502" xr:uid="{00000000-0005-0000-0000-000038440000}"/>
    <cellStyle name="Normal 2 2 2 3 11 3 3" xfId="17503" xr:uid="{00000000-0005-0000-0000-000039440000}"/>
    <cellStyle name="Normal 2 2 2 3 11 3 4" xfId="17504" xr:uid="{00000000-0005-0000-0000-00003A440000}"/>
    <cellStyle name="Normal 2 2 2 3 11 3 5" xfId="17505" xr:uid="{00000000-0005-0000-0000-00003B440000}"/>
    <cellStyle name="Normal 2 2 2 3 11 3 6" xfId="17506" xr:uid="{00000000-0005-0000-0000-00003C440000}"/>
    <cellStyle name="Normal 2 2 2 3 11 3 7" xfId="17507" xr:uid="{00000000-0005-0000-0000-00003D440000}"/>
    <cellStyle name="Normal 2 2 2 3 11 3 8" xfId="17508" xr:uid="{00000000-0005-0000-0000-00003E440000}"/>
    <cellStyle name="Normal 2 2 2 3 11 3 9" xfId="17509" xr:uid="{00000000-0005-0000-0000-00003F440000}"/>
    <cellStyle name="Normal 2 2 2 3 11 4" xfId="17510" xr:uid="{00000000-0005-0000-0000-000040440000}"/>
    <cellStyle name="Normal 2 2 2 3 11 4 10" xfId="17511" xr:uid="{00000000-0005-0000-0000-000041440000}"/>
    <cellStyle name="Normal 2 2 2 3 11 4 2" xfId="17512" xr:uid="{00000000-0005-0000-0000-000042440000}"/>
    <cellStyle name="Normal 2 2 2 3 11 4 3" xfId="17513" xr:uid="{00000000-0005-0000-0000-000043440000}"/>
    <cellStyle name="Normal 2 2 2 3 11 4 4" xfId="17514" xr:uid="{00000000-0005-0000-0000-000044440000}"/>
    <cellStyle name="Normal 2 2 2 3 11 4 5" xfId="17515" xr:uid="{00000000-0005-0000-0000-000045440000}"/>
    <cellStyle name="Normal 2 2 2 3 11 4 6" xfId="17516" xr:uid="{00000000-0005-0000-0000-000046440000}"/>
    <cellStyle name="Normal 2 2 2 3 11 4 7" xfId="17517" xr:uid="{00000000-0005-0000-0000-000047440000}"/>
    <cellStyle name="Normal 2 2 2 3 11 4 8" xfId="17518" xr:uid="{00000000-0005-0000-0000-000048440000}"/>
    <cellStyle name="Normal 2 2 2 3 11 4 9" xfId="17519" xr:uid="{00000000-0005-0000-0000-000049440000}"/>
    <cellStyle name="Normal 2 2 2 3 11 5" xfId="17520" xr:uid="{00000000-0005-0000-0000-00004A440000}"/>
    <cellStyle name="Normal 2 2 2 3 11 5 10" xfId="17521" xr:uid="{00000000-0005-0000-0000-00004B440000}"/>
    <cellStyle name="Normal 2 2 2 3 11 5 2" xfId="17522" xr:uid="{00000000-0005-0000-0000-00004C440000}"/>
    <cellStyle name="Normal 2 2 2 3 11 5 3" xfId="17523" xr:uid="{00000000-0005-0000-0000-00004D440000}"/>
    <cellStyle name="Normal 2 2 2 3 11 5 4" xfId="17524" xr:uid="{00000000-0005-0000-0000-00004E440000}"/>
    <cellStyle name="Normal 2 2 2 3 11 5 5" xfId="17525" xr:uid="{00000000-0005-0000-0000-00004F440000}"/>
    <cellStyle name="Normal 2 2 2 3 11 5 6" xfId="17526" xr:uid="{00000000-0005-0000-0000-000050440000}"/>
    <cellStyle name="Normal 2 2 2 3 11 5 7" xfId="17527" xr:uid="{00000000-0005-0000-0000-000051440000}"/>
    <cellStyle name="Normal 2 2 2 3 11 5 8" xfId="17528" xr:uid="{00000000-0005-0000-0000-000052440000}"/>
    <cellStyle name="Normal 2 2 2 3 11 5 9" xfId="17529" xr:uid="{00000000-0005-0000-0000-000053440000}"/>
    <cellStyle name="Normal 2 2 2 3 11 6" xfId="17530" xr:uid="{00000000-0005-0000-0000-000054440000}"/>
    <cellStyle name="Normal 2 2 2 3 11 7" xfId="17531" xr:uid="{00000000-0005-0000-0000-000055440000}"/>
    <cellStyle name="Normal 2 2 2 3 11 8" xfId="17532" xr:uid="{00000000-0005-0000-0000-000056440000}"/>
    <cellStyle name="Normal 2 2 2 3 11 9" xfId="17533" xr:uid="{00000000-0005-0000-0000-000057440000}"/>
    <cellStyle name="Normal 2 2 2 3 12" xfId="17534" xr:uid="{00000000-0005-0000-0000-000058440000}"/>
    <cellStyle name="Normal 2 2 2 3 12 10" xfId="17535" xr:uid="{00000000-0005-0000-0000-000059440000}"/>
    <cellStyle name="Normal 2 2 2 3 12 11" xfId="17536" xr:uid="{00000000-0005-0000-0000-00005A440000}"/>
    <cellStyle name="Normal 2 2 2 3 12 12" xfId="17537" xr:uid="{00000000-0005-0000-0000-00005B440000}"/>
    <cellStyle name="Normal 2 2 2 3 12 13" xfId="17538" xr:uid="{00000000-0005-0000-0000-00005C440000}"/>
    <cellStyle name="Normal 2 2 2 3 12 14" xfId="17539" xr:uid="{00000000-0005-0000-0000-00005D440000}"/>
    <cellStyle name="Normal 2 2 2 3 12 2" xfId="17540" xr:uid="{00000000-0005-0000-0000-00005E440000}"/>
    <cellStyle name="Normal 2 2 2 3 12 2 10" xfId="17541" xr:uid="{00000000-0005-0000-0000-00005F440000}"/>
    <cellStyle name="Normal 2 2 2 3 12 2 2" xfId="17542" xr:uid="{00000000-0005-0000-0000-000060440000}"/>
    <cellStyle name="Normal 2 2 2 3 12 2 3" xfId="17543" xr:uid="{00000000-0005-0000-0000-000061440000}"/>
    <cellStyle name="Normal 2 2 2 3 12 2 4" xfId="17544" xr:uid="{00000000-0005-0000-0000-000062440000}"/>
    <cellStyle name="Normal 2 2 2 3 12 2 5" xfId="17545" xr:uid="{00000000-0005-0000-0000-000063440000}"/>
    <cellStyle name="Normal 2 2 2 3 12 2 6" xfId="17546" xr:uid="{00000000-0005-0000-0000-000064440000}"/>
    <cellStyle name="Normal 2 2 2 3 12 2 7" xfId="17547" xr:uid="{00000000-0005-0000-0000-000065440000}"/>
    <cellStyle name="Normal 2 2 2 3 12 2 8" xfId="17548" xr:uid="{00000000-0005-0000-0000-000066440000}"/>
    <cellStyle name="Normal 2 2 2 3 12 2 9" xfId="17549" xr:uid="{00000000-0005-0000-0000-000067440000}"/>
    <cellStyle name="Normal 2 2 2 3 12 3" xfId="17550" xr:uid="{00000000-0005-0000-0000-000068440000}"/>
    <cellStyle name="Normal 2 2 2 3 12 3 10" xfId="17551" xr:uid="{00000000-0005-0000-0000-000069440000}"/>
    <cellStyle name="Normal 2 2 2 3 12 3 2" xfId="17552" xr:uid="{00000000-0005-0000-0000-00006A440000}"/>
    <cellStyle name="Normal 2 2 2 3 12 3 3" xfId="17553" xr:uid="{00000000-0005-0000-0000-00006B440000}"/>
    <cellStyle name="Normal 2 2 2 3 12 3 4" xfId="17554" xr:uid="{00000000-0005-0000-0000-00006C440000}"/>
    <cellStyle name="Normal 2 2 2 3 12 3 5" xfId="17555" xr:uid="{00000000-0005-0000-0000-00006D440000}"/>
    <cellStyle name="Normal 2 2 2 3 12 3 6" xfId="17556" xr:uid="{00000000-0005-0000-0000-00006E440000}"/>
    <cellStyle name="Normal 2 2 2 3 12 3 7" xfId="17557" xr:uid="{00000000-0005-0000-0000-00006F440000}"/>
    <cellStyle name="Normal 2 2 2 3 12 3 8" xfId="17558" xr:uid="{00000000-0005-0000-0000-000070440000}"/>
    <cellStyle name="Normal 2 2 2 3 12 3 9" xfId="17559" xr:uid="{00000000-0005-0000-0000-000071440000}"/>
    <cellStyle name="Normal 2 2 2 3 12 4" xfId="17560" xr:uid="{00000000-0005-0000-0000-000072440000}"/>
    <cellStyle name="Normal 2 2 2 3 12 4 10" xfId="17561" xr:uid="{00000000-0005-0000-0000-000073440000}"/>
    <cellStyle name="Normal 2 2 2 3 12 4 2" xfId="17562" xr:uid="{00000000-0005-0000-0000-000074440000}"/>
    <cellStyle name="Normal 2 2 2 3 12 4 3" xfId="17563" xr:uid="{00000000-0005-0000-0000-000075440000}"/>
    <cellStyle name="Normal 2 2 2 3 12 4 4" xfId="17564" xr:uid="{00000000-0005-0000-0000-000076440000}"/>
    <cellStyle name="Normal 2 2 2 3 12 4 5" xfId="17565" xr:uid="{00000000-0005-0000-0000-000077440000}"/>
    <cellStyle name="Normal 2 2 2 3 12 4 6" xfId="17566" xr:uid="{00000000-0005-0000-0000-000078440000}"/>
    <cellStyle name="Normal 2 2 2 3 12 4 7" xfId="17567" xr:uid="{00000000-0005-0000-0000-000079440000}"/>
    <cellStyle name="Normal 2 2 2 3 12 4 8" xfId="17568" xr:uid="{00000000-0005-0000-0000-00007A440000}"/>
    <cellStyle name="Normal 2 2 2 3 12 4 9" xfId="17569" xr:uid="{00000000-0005-0000-0000-00007B440000}"/>
    <cellStyle name="Normal 2 2 2 3 12 5" xfId="17570" xr:uid="{00000000-0005-0000-0000-00007C440000}"/>
    <cellStyle name="Normal 2 2 2 3 12 5 10" xfId="17571" xr:uid="{00000000-0005-0000-0000-00007D440000}"/>
    <cellStyle name="Normal 2 2 2 3 12 5 2" xfId="17572" xr:uid="{00000000-0005-0000-0000-00007E440000}"/>
    <cellStyle name="Normal 2 2 2 3 12 5 3" xfId="17573" xr:uid="{00000000-0005-0000-0000-00007F440000}"/>
    <cellStyle name="Normal 2 2 2 3 12 5 4" xfId="17574" xr:uid="{00000000-0005-0000-0000-000080440000}"/>
    <cellStyle name="Normal 2 2 2 3 12 5 5" xfId="17575" xr:uid="{00000000-0005-0000-0000-000081440000}"/>
    <cellStyle name="Normal 2 2 2 3 12 5 6" xfId="17576" xr:uid="{00000000-0005-0000-0000-000082440000}"/>
    <cellStyle name="Normal 2 2 2 3 12 5 7" xfId="17577" xr:uid="{00000000-0005-0000-0000-000083440000}"/>
    <cellStyle name="Normal 2 2 2 3 12 5 8" xfId="17578" xr:uid="{00000000-0005-0000-0000-000084440000}"/>
    <cellStyle name="Normal 2 2 2 3 12 5 9" xfId="17579" xr:uid="{00000000-0005-0000-0000-000085440000}"/>
    <cellStyle name="Normal 2 2 2 3 12 6" xfId="17580" xr:uid="{00000000-0005-0000-0000-000086440000}"/>
    <cellStyle name="Normal 2 2 2 3 12 7" xfId="17581" xr:uid="{00000000-0005-0000-0000-000087440000}"/>
    <cellStyle name="Normal 2 2 2 3 12 8" xfId="17582" xr:uid="{00000000-0005-0000-0000-000088440000}"/>
    <cellStyle name="Normal 2 2 2 3 12 9" xfId="17583" xr:uid="{00000000-0005-0000-0000-000089440000}"/>
    <cellStyle name="Normal 2 2 2 3 13" xfId="17584" xr:uid="{00000000-0005-0000-0000-00008A440000}"/>
    <cellStyle name="Normal 2 2 2 3 13 10" xfId="17585" xr:uid="{00000000-0005-0000-0000-00008B440000}"/>
    <cellStyle name="Normal 2 2 2 3 13 11" xfId="17586" xr:uid="{00000000-0005-0000-0000-00008C440000}"/>
    <cellStyle name="Normal 2 2 2 3 13 12" xfId="17587" xr:uid="{00000000-0005-0000-0000-00008D440000}"/>
    <cellStyle name="Normal 2 2 2 3 13 13" xfId="17588" xr:uid="{00000000-0005-0000-0000-00008E440000}"/>
    <cellStyle name="Normal 2 2 2 3 13 14" xfId="17589" xr:uid="{00000000-0005-0000-0000-00008F440000}"/>
    <cellStyle name="Normal 2 2 2 3 13 2" xfId="17590" xr:uid="{00000000-0005-0000-0000-000090440000}"/>
    <cellStyle name="Normal 2 2 2 3 13 2 10" xfId="17591" xr:uid="{00000000-0005-0000-0000-000091440000}"/>
    <cellStyle name="Normal 2 2 2 3 13 2 2" xfId="17592" xr:uid="{00000000-0005-0000-0000-000092440000}"/>
    <cellStyle name="Normal 2 2 2 3 13 2 3" xfId="17593" xr:uid="{00000000-0005-0000-0000-000093440000}"/>
    <cellStyle name="Normal 2 2 2 3 13 2 4" xfId="17594" xr:uid="{00000000-0005-0000-0000-000094440000}"/>
    <cellStyle name="Normal 2 2 2 3 13 2 5" xfId="17595" xr:uid="{00000000-0005-0000-0000-000095440000}"/>
    <cellStyle name="Normal 2 2 2 3 13 2 6" xfId="17596" xr:uid="{00000000-0005-0000-0000-000096440000}"/>
    <cellStyle name="Normal 2 2 2 3 13 2 7" xfId="17597" xr:uid="{00000000-0005-0000-0000-000097440000}"/>
    <cellStyle name="Normal 2 2 2 3 13 2 8" xfId="17598" xr:uid="{00000000-0005-0000-0000-000098440000}"/>
    <cellStyle name="Normal 2 2 2 3 13 2 9" xfId="17599" xr:uid="{00000000-0005-0000-0000-000099440000}"/>
    <cellStyle name="Normal 2 2 2 3 13 3" xfId="17600" xr:uid="{00000000-0005-0000-0000-00009A440000}"/>
    <cellStyle name="Normal 2 2 2 3 13 3 10" xfId="17601" xr:uid="{00000000-0005-0000-0000-00009B440000}"/>
    <cellStyle name="Normal 2 2 2 3 13 3 2" xfId="17602" xr:uid="{00000000-0005-0000-0000-00009C440000}"/>
    <cellStyle name="Normal 2 2 2 3 13 3 3" xfId="17603" xr:uid="{00000000-0005-0000-0000-00009D440000}"/>
    <cellStyle name="Normal 2 2 2 3 13 3 4" xfId="17604" xr:uid="{00000000-0005-0000-0000-00009E440000}"/>
    <cellStyle name="Normal 2 2 2 3 13 3 5" xfId="17605" xr:uid="{00000000-0005-0000-0000-00009F440000}"/>
    <cellStyle name="Normal 2 2 2 3 13 3 6" xfId="17606" xr:uid="{00000000-0005-0000-0000-0000A0440000}"/>
    <cellStyle name="Normal 2 2 2 3 13 3 7" xfId="17607" xr:uid="{00000000-0005-0000-0000-0000A1440000}"/>
    <cellStyle name="Normal 2 2 2 3 13 3 8" xfId="17608" xr:uid="{00000000-0005-0000-0000-0000A2440000}"/>
    <cellStyle name="Normal 2 2 2 3 13 3 9" xfId="17609" xr:uid="{00000000-0005-0000-0000-0000A3440000}"/>
    <cellStyle name="Normal 2 2 2 3 13 4" xfId="17610" xr:uid="{00000000-0005-0000-0000-0000A4440000}"/>
    <cellStyle name="Normal 2 2 2 3 13 4 10" xfId="17611" xr:uid="{00000000-0005-0000-0000-0000A5440000}"/>
    <cellStyle name="Normal 2 2 2 3 13 4 2" xfId="17612" xr:uid="{00000000-0005-0000-0000-0000A6440000}"/>
    <cellStyle name="Normal 2 2 2 3 13 4 3" xfId="17613" xr:uid="{00000000-0005-0000-0000-0000A7440000}"/>
    <cellStyle name="Normal 2 2 2 3 13 4 4" xfId="17614" xr:uid="{00000000-0005-0000-0000-0000A8440000}"/>
    <cellStyle name="Normal 2 2 2 3 13 4 5" xfId="17615" xr:uid="{00000000-0005-0000-0000-0000A9440000}"/>
    <cellStyle name="Normal 2 2 2 3 13 4 6" xfId="17616" xr:uid="{00000000-0005-0000-0000-0000AA440000}"/>
    <cellStyle name="Normal 2 2 2 3 13 4 7" xfId="17617" xr:uid="{00000000-0005-0000-0000-0000AB440000}"/>
    <cellStyle name="Normal 2 2 2 3 13 4 8" xfId="17618" xr:uid="{00000000-0005-0000-0000-0000AC440000}"/>
    <cellStyle name="Normal 2 2 2 3 13 4 9" xfId="17619" xr:uid="{00000000-0005-0000-0000-0000AD440000}"/>
    <cellStyle name="Normal 2 2 2 3 13 5" xfId="17620" xr:uid="{00000000-0005-0000-0000-0000AE440000}"/>
    <cellStyle name="Normal 2 2 2 3 13 5 10" xfId="17621" xr:uid="{00000000-0005-0000-0000-0000AF440000}"/>
    <cellStyle name="Normal 2 2 2 3 13 5 2" xfId="17622" xr:uid="{00000000-0005-0000-0000-0000B0440000}"/>
    <cellStyle name="Normal 2 2 2 3 13 5 3" xfId="17623" xr:uid="{00000000-0005-0000-0000-0000B1440000}"/>
    <cellStyle name="Normal 2 2 2 3 13 5 4" xfId="17624" xr:uid="{00000000-0005-0000-0000-0000B2440000}"/>
    <cellStyle name="Normal 2 2 2 3 13 5 5" xfId="17625" xr:uid="{00000000-0005-0000-0000-0000B3440000}"/>
    <cellStyle name="Normal 2 2 2 3 13 5 6" xfId="17626" xr:uid="{00000000-0005-0000-0000-0000B4440000}"/>
    <cellStyle name="Normal 2 2 2 3 13 5 7" xfId="17627" xr:uid="{00000000-0005-0000-0000-0000B5440000}"/>
    <cellStyle name="Normal 2 2 2 3 13 5 8" xfId="17628" xr:uid="{00000000-0005-0000-0000-0000B6440000}"/>
    <cellStyle name="Normal 2 2 2 3 13 5 9" xfId="17629" xr:uid="{00000000-0005-0000-0000-0000B7440000}"/>
    <cellStyle name="Normal 2 2 2 3 13 6" xfId="17630" xr:uid="{00000000-0005-0000-0000-0000B8440000}"/>
    <cellStyle name="Normal 2 2 2 3 13 7" xfId="17631" xr:uid="{00000000-0005-0000-0000-0000B9440000}"/>
    <cellStyle name="Normal 2 2 2 3 13 8" xfId="17632" xr:uid="{00000000-0005-0000-0000-0000BA440000}"/>
    <cellStyle name="Normal 2 2 2 3 13 9" xfId="17633" xr:uid="{00000000-0005-0000-0000-0000BB440000}"/>
    <cellStyle name="Normal 2 2 2 3 14" xfId="17634" xr:uid="{00000000-0005-0000-0000-0000BC440000}"/>
    <cellStyle name="Normal 2 2 2 3 14 10" xfId="17635" xr:uid="{00000000-0005-0000-0000-0000BD440000}"/>
    <cellStyle name="Normal 2 2 2 3 14 11" xfId="17636" xr:uid="{00000000-0005-0000-0000-0000BE440000}"/>
    <cellStyle name="Normal 2 2 2 3 14 12" xfId="17637" xr:uid="{00000000-0005-0000-0000-0000BF440000}"/>
    <cellStyle name="Normal 2 2 2 3 14 13" xfId="17638" xr:uid="{00000000-0005-0000-0000-0000C0440000}"/>
    <cellStyle name="Normal 2 2 2 3 14 14" xfId="17639" xr:uid="{00000000-0005-0000-0000-0000C1440000}"/>
    <cellStyle name="Normal 2 2 2 3 14 2" xfId="17640" xr:uid="{00000000-0005-0000-0000-0000C2440000}"/>
    <cellStyle name="Normal 2 2 2 3 14 2 10" xfId="17641" xr:uid="{00000000-0005-0000-0000-0000C3440000}"/>
    <cellStyle name="Normal 2 2 2 3 14 2 2" xfId="17642" xr:uid="{00000000-0005-0000-0000-0000C4440000}"/>
    <cellStyle name="Normal 2 2 2 3 14 2 3" xfId="17643" xr:uid="{00000000-0005-0000-0000-0000C5440000}"/>
    <cellStyle name="Normal 2 2 2 3 14 2 4" xfId="17644" xr:uid="{00000000-0005-0000-0000-0000C6440000}"/>
    <cellStyle name="Normal 2 2 2 3 14 2 5" xfId="17645" xr:uid="{00000000-0005-0000-0000-0000C7440000}"/>
    <cellStyle name="Normal 2 2 2 3 14 2 6" xfId="17646" xr:uid="{00000000-0005-0000-0000-0000C8440000}"/>
    <cellStyle name="Normal 2 2 2 3 14 2 7" xfId="17647" xr:uid="{00000000-0005-0000-0000-0000C9440000}"/>
    <cellStyle name="Normal 2 2 2 3 14 2 8" xfId="17648" xr:uid="{00000000-0005-0000-0000-0000CA440000}"/>
    <cellStyle name="Normal 2 2 2 3 14 2 9" xfId="17649" xr:uid="{00000000-0005-0000-0000-0000CB440000}"/>
    <cellStyle name="Normal 2 2 2 3 14 3" xfId="17650" xr:uid="{00000000-0005-0000-0000-0000CC440000}"/>
    <cellStyle name="Normal 2 2 2 3 14 3 10" xfId="17651" xr:uid="{00000000-0005-0000-0000-0000CD440000}"/>
    <cellStyle name="Normal 2 2 2 3 14 3 2" xfId="17652" xr:uid="{00000000-0005-0000-0000-0000CE440000}"/>
    <cellStyle name="Normal 2 2 2 3 14 3 3" xfId="17653" xr:uid="{00000000-0005-0000-0000-0000CF440000}"/>
    <cellStyle name="Normal 2 2 2 3 14 3 4" xfId="17654" xr:uid="{00000000-0005-0000-0000-0000D0440000}"/>
    <cellStyle name="Normal 2 2 2 3 14 3 5" xfId="17655" xr:uid="{00000000-0005-0000-0000-0000D1440000}"/>
    <cellStyle name="Normal 2 2 2 3 14 3 6" xfId="17656" xr:uid="{00000000-0005-0000-0000-0000D2440000}"/>
    <cellStyle name="Normal 2 2 2 3 14 3 7" xfId="17657" xr:uid="{00000000-0005-0000-0000-0000D3440000}"/>
    <cellStyle name="Normal 2 2 2 3 14 3 8" xfId="17658" xr:uid="{00000000-0005-0000-0000-0000D4440000}"/>
    <cellStyle name="Normal 2 2 2 3 14 3 9" xfId="17659" xr:uid="{00000000-0005-0000-0000-0000D5440000}"/>
    <cellStyle name="Normal 2 2 2 3 14 4" xfId="17660" xr:uid="{00000000-0005-0000-0000-0000D6440000}"/>
    <cellStyle name="Normal 2 2 2 3 14 4 10" xfId="17661" xr:uid="{00000000-0005-0000-0000-0000D7440000}"/>
    <cellStyle name="Normal 2 2 2 3 14 4 2" xfId="17662" xr:uid="{00000000-0005-0000-0000-0000D8440000}"/>
    <cellStyle name="Normal 2 2 2 3 14 4 3" xfId="17663" xr:uid="{00000000-0005-0000-0000-0000D9440000}"/>
    <cellStyle name="Normal 2 2 2 3 14 4 4" xfId="17664" xr:uid="{00000000-0005-0000-0000-0000DA440000}"/>
    <cellStyle name="Normal 2 2 2 3 14 4 5" xfId="17665" xr:uid="{00000000-0005-0000-0000-0000DB440000}"/>
    <cellStyle name="Normal 2 2 2 3 14 4 6" xfId="17666" xr:uid="{00000000-0005-0000-0000-0000DC440000}"/>
    <cellStyle name="Normal 2 2 2 3 14 4 7" xfId="17667" xr:uid="{00000000-0005-0000-0000-0000DD440000}"/>
    <cellStyle name="Normal 2 2 2 3 14 4 8" xfId="17668" xr:uid="{00000000-0005-0000-0000-0000DE440000}"/>
    <cellStyle name="Normal 2 2 2 3 14 4 9" xfId="17669" xr:uid="{00000000-0005-0000-0000-0000DF440000}"/>
    <cellStyle name="Normal 2 2 2 3 14 5" xfId="17670" xr:uid="{00000000-0005-0000-0000-0000E0440000}"/>
    <cellStyle name="Normal 2 2 2 3 14 5 10" xfId="17671" xr:uid="{00000000-0005-0000-0000-0000E1440000}"/>
    <cellStyle name="Normal 2 2 2 3 14 5 2" xfId="17672" xr:uid="{00000000-0005-0000-0000-0000E2440000}"/>
    <cellStyle name="Normal 2 2 2 3 14 5 3" xfId="17673" xr:uid="{00000000-0005-0000-0000-0000E3440000}"/>
    <cellStyle name="Normal 2 2 2 3 14 5 4" xfId="17674" xr:uid="{00000000-0005-0000-0000-0000E4440000}"/>
    <cellStyle name="Normal 2 2 2 3 14 5 5" xfId="17675" xr:uid="{00000000-0005-0000-0000-0000E5440000}"/>
    <cellStyle name="Normal 2 2 2 3 14 5 6" xfId="17676" xr:uid="{00000000-0005-0000-0000-0000E6440000}"/>
    <cellStyle name="Normal 2 2 2 3 14 5 7" xfId="17677" xr:uid="{00000000-0005-0000-0000-0000E7440000}"/>
    <cellStyle name="Normal 2 2 2 3 14 5 8" xfId="17678" xr:uid="{00000000-0005-0000-0000-0000E8440000}"/>
    <cellStyle name="Normal 2 2 2 3 14 5 9" xfId="17679" xr:uid="{00000000-0005-0000-0000-0000E9440000}"/>
    <cellStyle name="Normal 2 2 2 3 14 6" xfId="17680" xr:uid="{00000000-0005-0000-0000-0000EA440000}"/>
    <cellStyle name="Normal 2 2 2 3 14 7" xfId="17681" xr:uid="{00000000-0005-0000-0000-0000EB440000}"/>
    <cellStyle name="Normal 2 2 2 3 14 8" xfId="17682" xr:uid="{00000000-0005-0000-0000-0000EC440000}"/>
    <cellStyle name="Normal 2 2 2 3 14 9" xfId="17683" xr:uid="{00000000-0005-0000-0000-0000ED440000}"/>
    <cellStyle name="Normal 2 2 2 3 15" xfId="17684" xr:uid="{00000000-0005-0000-0000-0000EE440000}"/>
    <cellStyle name="Normal 2 2 2 3 15 10" xfId="17685" xr:uid="{00000000-0005-0000-0000-0000EF440000}"/>
    <cellStyle name="Normal 2 2 2 3 15 11" xfId="17686" xr:uid="{00000000-0005-0000-0000-0000F0440000}"/>
    <cellStyle name="Normal 2 2 2 3 15 12" xfId="17687" xr:uid="{00000000-0005-0000-0000-0000F1440000}"/>
    <cellStyle name="Normal 2 2 2 3 15 13" xfId="17688" xr:uid="{00000000-0005-0000-0000-0000F2440000}"/>
    <cellStyle name="Normal 2 2 2 3 15 14" xfId="17689" xr:uid="{00000000-0005-0000-0000-0000F3440000}"/>
    <cellStyle name="Normal 2 2 2 3 15 2" xfId="17690" xr:uid="{00000000-0005-0000-0000-0000F4440000}"/>
    <cellStyle name="Normal 2 2 2 3 15 2 10" xfId="17691" xr:uid="{00000000-0005-0000-0000-0000F5440000}"/>
    <cellStyle name="Normal 2 2 2 3 15 2 2" xfId="17692" xr:uid="{00000000-0005-0000-0000-0000F6440000}"/>
    <cellStyle name="Normal 2 2 2 3 15 2 3" xfId="17693" xr:uid="{00000000-0005-0000-0000-0000F7440000}"/>
    <cellStyle name="Normal 2 2 2 3 15 2 4" xfId="17694" xr:uid="{00000000-0005-0000-0000-0000F8440000}"/>
    <cellStyle name="Normal 2 2 2 3 15 2 5" xfId="17695" xr:uid="{00000000-0005-0000-0000-0000F9440000}"/>
    <cellStyle name="Normal 2 2 2 3 15 2 6" xfId="17696" xr:uid="{00000000-0005-0000-0000-0000FA440000}"/>
    <cellStyle name="Normal 2 2 2 3 15 2 7" xfId="17697" xr:uid="{00000000-0005-0000-0000-0000FB440000}"/>
    <cellStyle name="Normal 2 2 2 3 15 2 8" xfId="17698" xr:uid="{00000000-0005-0000-0000-0000FC440000}"/>
    <cellStyle name="Normal 2 2 2 3 15 2 9" xfId="17699" xr:uid="{00000000-0005-0000-0000-0000FD440000}"/>
    <cellStyle name="Normal 2 2 2 3 15 3" xfId="17700" xr:uid="{00000000-0005-0000-0000-0000FE440000}"/>
    <cellStyle name="Normal 2 2 2 3 15 3 10" xfId="17701" xr:uid="{00000000-0005-0000-0000-0000FF440000}"/>
    <cellStyle name="Normal 2 2 2 3 15 3 2" xfId="17702" xr:uid="{00000000-0005-0000-0000-000000450000}"/>
    <cellStyle name="Normal 2 2 2 3 15 3 3" xfId="17703" xr:uid="{00000000-0005-0000-0000-000001450000}"/>
    <cellStyle name="Normal 2 2 2 3 15 3 4" xfId="17704" xr:uid="{00000000-0005-0000-0000-000002450000}"/>
    <cellStyle name="Normal 2 2 2 3 15 3 5" xfId="17705" xr:uid="{00000000-0005-0000-0000-000003450000}"/>
    <cellStyle name="Normal 2 2 2 3 15 3 6" xfId="17706" xr:uid="{00000000-0005-0000-0000-000004450000}"/>
    <cellStyle name="Normal 2 2 2 3 15 3 7" xfId="17707" xr:uid="{00000000-0005-0000-0000-000005450000}"/>
    <cellStyle name="Normal 2 2 2 3 15 3 8" xfId="17708" xr:uid="{00000000-0005-0000-0000-000006450000}"/>
    <cellStyle name="Normal 2 2 2 3 15 3 9" xfId="17709" xr:uid="{00000000-0005-0000-0000-000007450000}"/>
    <cellStyle name="Normal 2 2 2 3 15 4" xfId="17710" xr:uid="{00000000-0005-0000-0000-000008450000}"/>
    <cellStyle name="Normal 2 2 2 3 15 4 10" xfId="17711" xr:uid="{00000000-0005-0000-0000-000009450000}"/>
    <cellStyle name="Normal 2 2 2 3 15 4 2" xfId="17712" xr:uid="{00000000-0005-0000-0000-00000A450000}"/>
    <cellStyle name="Normal 2 2 2 3 15 4 3" xfId="17713" xr:uid="{00000000-0005-0000-0000-00000B450000}"/>
    <cellStyle name="Normal 2 2 2 3 15 4 4" xfId="17714" xr:uid="{00000000-0005-0000-0000-00000C450000}"/>
    <cellStyle name="Normal 2 2 2 3 15 4 5" xfId="17715" xr:uid="{00000000-0005-0000-0000-00000D450000}"/>
    <cellStyle name="Normal 2 2 2 3 15 4 6" xfId="17716" xr:uid="{00000000-0005-0000-0000-00000E450000}"/>
    <cellStyle name="Normal 2 2 2 3 15 4 7" xfId="17717" xr:uid="{00000000-0005-0000-0000-00000F450000}"/>
    <cellStyle name="Normal 2 2 2 3 15 4 8" xfId="17718" xr:uid="{00000000-0005-0000-0000-000010450000}"/>
    <cellStyle name="Normal 2 2 2 3 15 4 9" xfId="17719" xr:uid="{00000000-0005-0000-0000-000011450000}"/>
    <cellStyle name="Normal 2 2 2 3 15 5" xfId="17720" xr:uid="{00000000-0005-0000-0000-000012450000}"/>
    <cellStyle name="Normal 2 2 2 3 15 5 10" xfId="17721" xr:uid="{00000000-0005-0000-0000-000013450000}"/>
    <cellStyle name="Normal 2 2 2 3 15 5 2" xfId="17722" xr:uid="{00000000-0005-0000-0000-000014450000}"/>
    <cellStyle name="Normal 2 2 2 3 15 5 3" xfId="17723" xr:uid="{00000000-0005-0000-0000-000015450000}"/>
    <cellStyle name="Normal 2 2 2 3 15 5 4" xfId="17724" xr:uid="{00000000-0005-0000-0000-000016450000}"/>
    <cellStyle name="Normal 2 2 2 3 15 5 5" xfId="17725" xr:uid="{00000000-0005-0000-0000-000017450000}"/>
    <cellStyle name="Normal 2 2 2 3 15 5 6" xfId="17726" xr:uid="{00000000-0005-0000-0000-000018450000}"/>
    <cellStyle name="Normal 2 2 2 3 15 5 7" xfId="17727" xr:uid="{00000000-0005-0000-0000-000019450000}"/>
    <cellStyle name="Normal 2 2 2 3 15 5 8" xfId="17728" xr:uid="{00000000-0005-0000-0000-00001A450000}"/>
    <cellStyle name="Normal 2 2 2 3 15 5 9" xfId="17729" xr:uid="{00000000-0005-0000-0000-00001B450000}"/>
    <cellStyle name="Normal 2 2 2 3 15 6" xfId="17730" xr:uid="{00000000-0005-0000-0000-00001C450000}"/>
    <cellStyle name="Normal 2 2 2 3 15 7" xfId="17731" xr:uid="{00000000-0005-0000-0000-00001D450000}"/>
    <cellStyle name="Normal 2 2 2 3 15 8" xfId="17732" xr:uid="{00000000-0005-0000-0000-00001E450000}"/>
    <cellStyle name="Normal 2 2 2 3 15 9" xfId="17733" xr:uid="{00000000-0005-0000-0000-00001F450000}"/>
    <cellStyle name="Normal 2 2 2 3 16" xfId="17734" xr:uid="{00000000-0005-0000-0000-000020450000}"/>
    <cellStyle name="Normal 2 2 2 3 16 10" xfId="17735" xr:uid="{00000000-0005-0000-0000-000021450000}"/>
    <cellStyle name="Normal 2 2 2 3 16 11" xfId="17736" xr:uid="{00000000-0005-0000-0000-000022450000}"/>
    <cellStyle name="Normal 2 2 2 3 16 12" xfId="17737" xr:uid="{00000000-0005-0000-0000-000023450000}"/>
    <cellStyle name="Normal 2 2 2 3 16 13" xfId="17738" xr:uid="{00000000-0005-0000-0000-000024450000}"/>
    <cellStyle name="Normal 2 2 2 3 16 14" xfId="17739" xr:uid="{00000000-0005-0000-0000-000025450000}"/>
    <cellStyle name="Normal 2 2 2 3 16 2" xfId="17740" xr:uid="{00000000-0005-0000-0000-000026450000}"/>
    <cellStyle name="Normal 2 2 2 3 16 2 10" xfId="17741" xr:uid="{00000000-0005-0000-0000-000027450000}"/>
    <cellStyle name="Normal 2 2 2 3 16 2 2" xfId="17742" xr:uid="{00000000-0005-0000-0000-000028450000}"/>
    <cellStyle name="Normal 2 2 2 3 16 2 3" xfId="17743" xr:uid="{00000000-0005-0000-0000-000029450000}"/>
    <cellStyle name="Normal 2 2 2 3 16 2 4" xfId="17744" xr:uid="{00000000-0005-0000-0000-00002A450000}"/>
    <cellStyle name="Normal 2 2 2 3 16 2 5" xfId="17745" xr:uid="{00000000-0005-0000-0000-00002B450000}"/>
    <cellStyle name="Normal 2 2 2 3 16 2 6" xfId="17746" xr:uid="{00000000-0005-0000-0000-00002C450000}"/>
    <cellStyle name="Normal 2 2 2 3 16 2 7" xfId="17747" xr:uid="{00000000-0005-0000-0000-00002D450000}"/>
    <cellStyle name="Normal 2 2 2 3 16 2 8" xfId="17748" xr:uid="{00000000-0005-0000-0000-00002E450000}"/>
    <cellStyle name="Normal 2 2 2 3 16 2 9" xfId="17749" xr:uid="{00000000-0005-0000-0000-00002F450000}"/>
    <cellStyle name="Normal 2 2 2 3 16 3" xfId="17750" xr:uid="{00000000-0005-0000-0000-000030450000}"/>
    <cellStyle name="Normal 2 2 2 3 16 3 10" xfId="17751" xr:uid="{00000000-0005-0000-0000-000031450000}"/>
    <cellStyle name="Normal 2 2 2 3 16 3 2" xfId="17752" xr:uid="{00000000-0005-0000-0000-000032450000}"/>
    <cellStyle name="Normal 2 2 2 3 16 3 3" xfId="17753" xr:uid="{00000000-0005-0000-0000-000033450000}"/>
    <cellStyle name="Normal 2 2 2 3 16 3 4" xfId="17754" xr:uid="{00000000-0005-0000-0000-000034450000}"/>
    <cellStyle name="Normal 2 2 2 3 16 3 5" xfId="17755" xr:uid="{00000000-0005-0000-0000-000035450000}"/>
    <cellStyle name="Normal 2 2 2 3 16 3 6" xfId="17756" xr:uid="{00000000-0005-0000-0000-000036450000}"/>
    <cellStyle name="Normal 2 2 2 3 16 3 7" xfId="17757" xr:uid="{00000000-0005-0000-0000-000037450000}"/>
    <cellStyle name="Normal 2 2 2 3 16 3 8" xfId="17758" xr:uid="{00000000-0005-0000-0000-000038450000}"/>
    <cellStyle name="Normal 2 2 2 3 16 3 9" xfId="17759" xr:uid="{00000000-0005-0000-0000-000039450000}"/>
    <cellStyle name="Normal 2 2 2 3 16 4" xfId="17760" xr:uid="{00000000-0005-0000-0000-00003A450000}"/>
    <cellStyle name="Normal 2 2 2 3 16 4 10" xfId="17761" xr:uid="{00000000-0005-0000-0000-00003B450000}"/>
    <cellStyle name="Normal 2 2 2 3 16 4 2" xfId="17762" xr:uid="{00000000-0005-0000-0000-00003C450000}"/>
    <cellStyle name="Normal 2 2 2 3 16 4 3" xfId="17763" xr:uid="{00000000-0005-0000-0000-00003D450000}"/>
    <cellStyle name="Normal 2 2 2 3 16 4 4" xfId="17764" xr:uid="{00000000-0005-0000-0000-00003E450000}"/>
    <cellStyle name="Normal 2 2 2 3 16 4 5" xfId="17765" xr:uid="{00000000-0005-0000-0000-00003F450000}"/>
    <cellStyle name="Normal 2 2 2 3 16 4 6" xfId="17766" xr:uid="{00000000-0005-0000-0000-000040450000}"/>
    <cellStyle name="Normal 2 2 2 3 16 4 7" xfId="17767" xr:uid="{00000000-0005-0000-0000-000041450000}"/>
    <cellStyle name="Normal 2 2 2 3 16 4 8" xfId="17768" xr:uid="{00000000-0005-0000-0000-000042450000}"/>
    <cellStyle name="Normal 2 2 2 3 16 4 9" xfId="17769" xr:uid="{00000000-0005-0000-0000-000043450000}"/>
    <cellStyle name="Normal 2 2 2 3 16 5" xfId="17770" xr:uid="{00000000-0005-0000-0000-000044450000}"/>
    <cellStyle name="Normal 2 2 2 3 16 5 10" xfId="17771" xr:uid="{00000000-0005-0000-0000-000045450000}"/>
    <cellStyle name="Normal 2 2 2 3 16 5 2" xfId="17772" xr:uid="{00000000-0005-0000-0000-000046450000}"/>
    <cellStyle name="Normal 2 2 2 3 16 5 3" xfId="17773" xr:uid="{00000000-0005-0000-0000-000047450000}"/>
    <cellStyle name="Normal 2 2 2 3 16 5 4" xfId="17774" xr:uid="{00000000-0005-0000-0000-000048450000}"/>
    <cellStyle name="Normal 2 2 2 3 16 5 5" xfId="17775" xr:uid="{00000000-0005-0000-0000-000049450000}"/>
    <cellStyle name="Normal 2 2 2 3 16 5 6" xfId="17776" xr:uid="{00000000-0005-0000-0000-00004A450000}"/>
    <cellStyle name="Normal 2 2 2 3 16 5 7" xfId="17777" xr:uid="{00000000-0005-0000-0000-00004B450000}"/>
    <cellStyle name="Normal 2 2 2 3 16 5 8" xfId="17778" xr:uid="{00000000-0005-0000-0000-00004C450000}"/>
    <cellStyle name="Normal 2 2 2 3 16 5 9" xfId="17779" xr:uid="{00000000-0005-0000-0000-00004D450000}"/>
    <cellStyle name="Normal 2 2 2 3 16 6" xfId="17780" xr:uid="{00000000-0005-0000-0000-00004E450000}"/>
    <cellStyle name="Normal 2 2 2 3 16 7" xfId="17781" xr:uid="{00000000-0005-0000-0000-00004F450000}"/>
    <cellStyle name="Normal 2 2 2 3 16 8" xfId="17782" xr:uid="{00000000-0005-0000-0000-000050450000}"/>
    <cellStyle name="Normal 2 2 2 3 16 9" xfId="17783" xr:uid="{00000000-0005-0000-0000-000051450000}"/>
    <cellStyle name="Normal 2 2 2 3 17" xfId="17784" xr:uid="{00000000-0005-0000-0000-000052450000}"/>
    <cellStyle name="Normal 2 2 2 3 17 10" xfId="17785" xr:uid="{00000000-0005-0000-0000-000053450000}"/>
    <cellStyle name="Normal 2 2 2 3 17 11" xfId="17786" xr:uid="{00000000-0005-0000-0000-000054450000}"/>
    <cellStyle name="Normal 2 2 2 3 17 12" xfId="17787" xr:uid="{00000000-0005-0000-0000-000055450000}"/>
    <cellStyle name="Normal 2 2 2 3 17 13" xfId="17788" xr:uid="{00000000-0005-0000-0000-000056450000}"/>
    <cellStyle name="Normal 2 2 2 3 17 14" xfId="17789" xr:uid="{00000000-0005-0000-0000-000057450000}"/>
    <cellStyle name="Normal 2 2 2 3 17 2" xfId="17790" xr:uid="{00000000-0005-0000-0000-000058450000}"/>
    <cellStyle name="Normal 2 2 2 3 17 2 10" xfId="17791" xr:uid="{00000000-0005-0000-0000-000059450000}"/>
    <cellStyle name="Normal 2 2 2 3 17 2 2" xfId="17792" xr:uid="{00000000-0005-0000-0000-00005A450000}"/>
    <cellStyle name="Normal 2 2 2 3 17 2 3" xfId="17793" xr:uid="{00000000-0005-0000-0000-00005B450000}"/>
    <cellStyle name="Normal 2 2 2 3 17 2 4" xfId="17794" xr:uid="{00000000-0005-0000-0000-00005C450000}"/>
    <cellStyle name="Normal 2 2 2 3 17 2 5" xfId="17795" xr:uid="{00000000-0005-0000-0000-00005D450000}"/>
    <cellStyle name="Normal 2 2 2 3 17 2 6" xfId="17796" xr:uid="{00000000-0005-0000-0000-00005E450000}"/>
    <cellStyle name="Normal 2 2 2 3 17 2 7" xfId="17797" xr:uid="{00000000-0005-0000-0000-00005F450000}"/>
    <cellStyle name="Normal 2 2 2 3 17 2 8" xfId="17798" xr:uid="{00000000-0005-0000-0000-000060450000}"/>
    <cellStyle name="Normal 2 2 2 3 17 2 9" xfId="17799" xr:uid="{00000000-0005-0000-0000-000061450000}"/>
    <cellStyle name="Normal 2 2 2 3 17 3" xfId="17800" xr:uid="{00000000-0005-0000-0000-000062450000}"/>
    <cellStyle name="Normal 2 2 2 3 17 3 10" xfId="17801" xr:uid="{00000000-0005-0000-0000-000063450000}"/>
    <cellStyle name="Normal 2 2 2 3 17 3 2" xfId="17802" xr:uid="{00000000-0005-0000-0000-000064450000}"/>
    <cellStyle name="Normal 2 2 2 3 17 3 3" xfId="17803" xr:uid="{00000000-0005-0000-0000-000065450000}"/>
    <cellStyle name="Normal 2 2 2 3 17 3 4" xfId="17804" xr:uid="{00000000-0005-0000-0000-000066450000}"/>
    <cellStyle name="Normal 2 2 2 3 17 3 5" xfId="17805" xr:uid="{00000000-0005-0000-0000-000067450000}"/>
    <cellStyle name="Normal 2 2 2 3 17 3 6" xfId="17806" xr:uid="{00000000-0005-0000-0000-000068450000}"/>
    <cellStyle name="Normal 2 2 2 3 17 3 7" xfId="17807" xr:uid="{00000000-0005-0000-0000-000069450000}"/>
    <cellStyle name="Normal 2 2 2 3 17 3 8" xfId="17808" xr:uid="{00000000-0005-0000-0000-00006A450000}"/>
    <cellStyle name="Normal 2 2 2 3 17 3 9" xfId="17809" xr:uid="{00000000-0005-0000-0000-00006B450000}"/>
    <cellStyle name="Normal 2 2 2 3 17 4" xfId="17810" xr:uid="{00000000-0005-0000-0000-00006C450000}"/>
    <cellStyle name="Normal 2 2 2 3 17 4 10" xfId="17811" xr:uid="{00000000-0005-0000-0000-00006D450000}"/>
    <cellStyle name="Normal 2 2 2 3 17 4 2" xfId="17812" xr:uid="{00000000-0005-0000-0000-00006E450000}"/>
    <cellStyle name="Normal 2 2 2 3 17 4 3" xfId="17813" xr:uid="{00000000-0005-0000-0000-00006F450000}"/>
    <cellStyle name="Normal 2 2 2 3 17 4 4" xfId="17814" xr:uid="{00000000-0005-0000-0000-000070450000}"/>
    <cellStyle name="Normal 2 2 2 3 17 4 5" xfId="17815" xr:uid="{00000000-0005-0000-0000-000071450000}"/>
    <cellStyle name="Normal 2 2 2 3 17 4 6" xfId="17816" xr:uid="{00000000-0005-0000-0000-000072450000}"/>
    <cellStyle name="Normal 2 2 2 3 17 4 7" xfId="17817" xr:uid="{00000000-0005-0000-0000-000073450000}"/>
    <cellStyle name="Normal 2 2 2 3 17 4 8" xfId="17818" xr:uid="{00000000-0005-0000-0000-000074450000}"/>
    <cellStyle name="Normal 2 2 2 3 17 4 9" xfId="17819" xr:uid="{00000000-0005-0000-0000-000075450000}"/>
    <cellStyle name="Normal 2 2 2 3 17 5" xfId="17820" xr:uid="{00000000-0005-0000-0000-000076450000}"/>
    <cellStyle name="Normal 2 2 2 3 17 5 10" xfId="17821" xr:uid="{00000000-0005-0000-0000-000077450000}"/>
    <cellStyle name="Normal 2 2 2 3 17 5 2" xfId="17822" xr:uid="{00000000-0005-0000-0000-000078450000}"/>
    <cellStyle name="Normal 2 2 2 3 17 5 3" xfId="17823" xr:uid="{00000000-0005-0000-0000-000079450000}"/>
    <cellStyle name="Normal 2 2 2 3 17 5 4" xfId="17824" xr:uid="{00000000-0005-0000-0000-00007A450000}"/>
    <cellStyle name="Normal 2 2 2 3 17 5 5" xfId="17825" xr:uid="{00000000-0005-0000-0000-00007B450000}"/>
    <cellStyle name="Normal 2 2 2 3 17 5 6" xfId="17826" xr:uid="{00000000-0005-0000-0000-00007C450000}"/>
    <cellStyle name="Normal 2 2 2 3 17 5 7" xfId="17827" xr:uid="{00000000-0005-0000-0000-00007D450000}"/>
    <cellStyle name="Normal 2 2 2 3 17 5 8" xfId="17828" xr:uid="{00000000-0005-0000-0000-00007E450000}"/>
    <cellStyle name="Normal 2 2 2 3 17 5 9" xfId="17829" xr:uid="{00000000-0005-0000-0000-00007F450000}"/>
    <cellStyle name="Normal 2 2 2 3 17 6" xfId="17830" xr:uid="{00000000-0005-0000-0000-000080450000}"/>
    <cellStyle name="Normal 2 2 2 3 17 7" xfId="17831" xr:uid="{00000000-0005-0000-0000-000081450000}"/>
    <cellStyle name="Normal 2 2 2 3 17 8" xfId="17832" xr:uid="{00000000-0005-0000-0000-000082450000}"/>
    <cellStyle name="Normal 2 2 2 3 17 9" xfId="17833" xr:uid="{00000000-0005-0000-0000-000083450000}"/>
    <cellStyle name="Normal 2 2 2 3 18" xfId="17834" xr:uid="{00000000-0005-0000-0000-000084450000}"/>
    <cellStyle name="Normal 2 2 2 3 18 10" xfId="17835" xr:uid="{00000000-0005-0000-0000-000085450000}"/>
    <cellStyle name="Normal 2 2 2 3 18 11" xfId="17836" xr:uid="{00000000-0005-0000-0000-000086450000}"/>
    <cellStyle name="Normal 2 2 2 3 18 12" xfId="17837" xr:uid="{00000000-0005-0000-0000-000087450000}"/>
    <cellStyle name="Normal 2 2 2 3 18 13" xfId="17838" xr:uid="{00000000-0005-0000-0000-000088450000}"/>
    <cellStyle name="Normal 2 2 2 3 18 14" xfId="17839" xr:uid="{00000000-0005-0000-0000-000089450000}"/>
    <cellStyle name="Normal 2 2 2 3 18 2" xfId="17840" xr:uid="{00000000-0005-0000-0000-00008A450000}"/>
    <cellStyle name="Normal 2 2 2 3 18 2 10" xfId="17841" xr:uid="{00000000-0005-0000-0000-00008B450000}"/>
    <cellStyle name="Normal 2 2 2 3 18 2 2" xfId="17842" xr:uid="{00000000-0005-0000-0000-00008C450000}"/>
    <cellStyle name="Normal 2 2 2 3 18 2 3" xfId="17843" xr:uid="{00000000-0005-0000-0000-00008D450000}"/>
    <cellStyle name="Normal 2 2 2 3 18 2 4" xfId="17844" xr:uid="{00000000-0005-0000-0000-00008E450000}"/>
    <cellStyle name="Normal 2 2 2 3 18 2 5" xfId="17845" xr:uid="{00000000-0005-0000-0000-00008F450000}"/>
    <cellStyle name="Normal 2 2 2 3 18 2 6" xfId="17846" xr:uid="{00000000-0005-0000-0000-000090450000}"/>
    <cellStyle name="Normal 2 2 2 3 18 2 7" xfId="17847" xr:uid="{00000000-0005-0000-0000-000091450000}"/>
    <cellStyle name="Normal 2 2 2 3 18 2 8" xfId="17848" xr:uid="{00000000-0005-0000-0000-000092450000}"/>
    <cellStyle name="Normal 2 2 2 3 18 2 9" xfId="17849" xr:uid="{00000000-0005-0000-0000-000093450000}"/>
    <cellStyle name="Normal 2 2 2 3 18 3" xfId="17850" xr:uid="{00000000-0005-0000-0000-000094450000}"/>
    <cellStyle name="Normal 2 2 2 3 18 3 10" xfId="17851" xr:uid="{00000000-0005-0000-0000-000095450000}"/>
    <cellStyle name="Normal 2 2 2 3 18 3 2" xfId="17852" xr:uid="{00000000-0005-0000-0000-000096450000}"/>
    <cellStyle name="Normal 2 2 2 3 18 3 3" xfId="17853" xr:uid="{00000000-0005-0000-0000-000097450000}"/>
    <cellStyle name="Normal 2 2 2 3 18 3 4" xfId="17854" xr:uid="{00000000-0005-0000-0000-000098450000}"/>
    <cellStyle name="Normal 2 2 2 3 18 3 5" xfId="17855" xr:uid="{00000000-0005-0000-0000-000099450000}"/>
    <cellStyle name="Normal 2 2 2 3 18 3 6" xfId="17856" xr:uid="{00000000-0005-0000-0000-00009A450000}"/>
    <cellStyle name="Normal 2 2 2 3 18 3 7" xfId="17857" xr:uid="{00000000-0005-0000-0000-00009B450000}"/>
    <cellStyle name="Normal 2 2 2 3 18 3 8" xfId="17858" xr:uid="{00000000-0005-0000-0000-00009C450000}"/>
    <cellStyle name="Normal 2 2 2 3 18 3 9" xfId="17859" xr:uid="{00000000-0005-0000-0000-00009D450000}"/>
    <cellStyle name="Normal 2 2 2 3 18 4" xfId="17860" xr:uid="{00000000-0005-0000-0000-00009E450000}"/>
    <cellStyle name="Normal 2 2 2 3 18 4 10" xfId="17861" xr:uid="{00000000-0005-0000-0000-00009F450000}"/>
    <cellStyle name="Normal 2 2 2 3 18 4 2" xfId="17862" xr:uid="{00000000-0005-0000-0000-0000A0450000}"/>
    <cellStyle name="Normal 2 2 2 3 18 4 3" xfId="17863" xr:uid="{00000000-0005-0000-0000-0000A1450000}"/>
    <cellStyle name="Normal 2 2 2 3 18 4 4" xfId="17864" xr:uid="{00000000-0005-0000-0000-0000A2450000}"/>
    <cellStyle name="Normal 2 2 2 3 18 4 5" xfId="17865" xr:uid="{00000000-0005-0000-0000-0000A3450000}"/>
    <cellStyle name="Normal 2 2 2 3 18 4 6" xfId="17866" xr:uid="{00000000-0005-0000-0000-0000A4450000}"/>
    <cellStyle name="Normal 2 2 2 3 18 4 7" xfId="17867" xr:uid="{00000000-0005-0000-0000-0000A5450000}"/>
    <cellStyle name="Normal 2 2 2 3 18 4 8" xfId="17868" xr:uid="{00000000-0005-0000-0000-0000A6450000}"/>
    <cellStyle name="Normal 2 2 2 3 18 4 9" xfId="17869" xr:uid="{00000000-0005-0000-0000-0000A7450000}"/>
    <cellStyle name="Normal 2 2 2 3 18 5" xfId="17870" xr:uid="{00000000-0005-0000-0000-0000A8450000}"/>
    <cellStyle name="Normal 2 2 2 3 18 5 10" xfId="17871" xr:uid="{00000000-0005-0000-0000-0000A9450000}"/>
    <cellStyle name="Normal 2 2 2 3 18 5 2" xfId="17872" xr:uid="{00000000-0005-0000-0000-0000AA450000}"/>
    <cellStyle name="Normal 2 2 2 3 18 5 3" xfId="17873" xr:uid="{00000000-0005-0000-0000-0000AB450000}"/>
    <cellStyle name="Normal 2 2 2 3 18 5 4" xfId="17874" xr:uid="{00000000-0005-0000-0000-0000AC450000}"/>
    <cellStyle name="Normal 2 2 2 3 18 5 5" xfId="17875" xr:uid="{00000000-0005-0000-0000-0000AD450000}"/>
    <cellStyle name="Normal 2 2 2 3 18 5 6" xfId="17876" xr:uid="{00000000-0005-0000-0000-0000AE450000}"/>
    <cellStyle name="Normal 2 2 2 3 18 5 7" xfId="17877" xr:uid="{00000000-0005-0000-0000-0000AF450000}"/>
    <cellStyle name="Normal 2 2 2 3 18 5 8" xfId="17878" xr:uid="{00000000-0005-0000-0000-0000B0450000}"/>
    <cellStyle name="Normal 2 2 2 3 18 5 9" xfId="17879" xr:uid="{00000000-0005-0000-0000-0000B1450000}"/>
    <cellStyle name="Normal 2 2 2 3 18 6" xfId="17880" xr:uid="{00000000-0005-0000-0000-0000B2450000}"/>
    <cellStyle name="Normal 2 2 2 3 18 7" xfId="17881" xr:uid="{00000000-0005-0000-0000-0000B3450000}"/>
    <cellStyle name="Normal 2 2 2 3 18 8" xfId="17882" xr:uid="{00000000-0005-0000-0000-0000B4450000}"/>
    <cellStyle name="Normal 2 2 2 3 18 9" xfId="17883" xr:uid="{00000000-0005-0000-0000-0000B5450000}"/>
    <cellStyle name="Normal 2 2 2 3 19" xfId="17884" xr:uid="{00000000-0005-0000-0000-0000B6450000}"/>
    <cellStyle name="Normal 2 2 2 3 19 10" xfId="17885" xr:uid="{00000000-0005-0000-0000-0000B7450000}"/>
    <cellStyle name="Normal 2 2 2 3 19 11" xfId="17886" xr:uid="{00000000-0005-0000-0000-0000B8450000}"/>
    <cellStyle name="Normal 2 2 2 3 19 12" xfId="17887" xr:uid="{00000000-0005-0000-0000-0000B9450000}"/>
    <cellStyle name="Normal 2 2 2 3 19 13" xfId="17888" xr:uid="{00000000-0005-0000-0000-0000BA450000}"/>
    <cellStyle name="Normal 2 2 2 3 19 14" xfId="17889" xr:uid="{00000000-0005-0000-0000-0000BB450000}"/>
    <cellStyle name="Normal 2 2 2 3 19 2" xfId="17890" xr:uid="{00000000-0005-0000-0000-0000BC450000}"/>
    <cellStyle name="Normal 2 2 2 3 19 2 10" xfId="17891" xr:uid="{00000000-0005-0000-0000-0000BD450000}"/>
    <cellStyle name="Normal 2 2 2 3 19 2 2" xfId="17892" xr:uid="{00000000-0005-0000-0000-0000BE450000}"/>
    <cellStyle name="Normal 2 2 2 3 19 2 3" xfId="17893" xr:uid="{00000000-0005-0000-0000-0000BF450000}"/>
    <cellStyle name="Normal 2 2 2 3 19 2 4" xfId="17894" xr:uid="{00000000-0005-0000-0000-0000C0450000}"/>
    <cellStyle name="Normal 2 2 2 3 19 2 5" xfId="17895" xr:uid="{00000000-0005-0000-0000-0000C1450000}"/>
    <cellStyle name="Normal 2 2 2 3 19 2 6" xfId="17896" xr:uid="{00000000-0005-0000-0000-0000C2450000}"/>
    <cellStyle name="Normal 2 2 2 3 19 2 7" xfId="17897" xr:uid="{00000000-0005-0000-0000-0000C3450000}"/>
    <cellStyle name="Normal 2 2 2 3 19 2 8" xfId="17898" xr:uid="{00000000-0005-0000-0000-0000C4450000}"/>
    <cellStyle name="Normal 2 2 2 3 19 2 9" xfId="17899" xr:uid="{00000000-0005-0000-0000-0000C5450000}"/>
    <cellStyle name="Normal 2 2 2 3 19 3" xfId="17900" xr:uid="{00000000-0005-0000-0000-0000C6450000}"/>
    <cellStyle name="Normal 2 2 2 3 19 3 10" xfId="17901" xr:uid="{00000000-0005-0000-0000-0000C7450000}"/>
    <cellStyle name="Normal 2 2 2 3 19 3 2" xfId="17902" xr:uid="{00000000-0005-0000-0000-0000C8450000}"/>
    <cellStyle name="Normal 2 2 2 3 19 3 3" xfId="17903" xr:uid="{00000000-0005-0000-0000-0000C9450000}"/>
    <cellStyle name="Normal 2 2 2 3 19 3 4" xfId="17904" xr:uid="{00000000-0005-0000-0000-0000CA450000}"/>
    <cellStyle name="Normal 2 2 2 3 19 3 5" xfId="17905" xr:uid="{00000000-0005-0000-0000-0000CB450000}"/>
    <cellStyle name="Normal 2 2 2 3 19 3 6" xfId="17906" xr:uid="{00000000-0005-0000-0000-0000CC450000}"/>
    <cellStyle name="Normal 2 2 2 3 19 3 7" xfId="17907" xr:uid="{00000000-0005-0000-0000-0000CD450000}"/>
    <cellStyle name="Normal 2 2 2 3 19 3 8" xfId="17908" xr:uid="{00000000-0005-0000-0000-0000CE450000}"/>
    <cellStyle name="Normal 2 2 2 3 19 3 9" xfId="17909" xr:uid="{00000000-0005-0000-0000-0000CF450000}"/>
    <cellStyle name="Normal 2 2 2 3 19 4" xfId="17910" xr:uid="{00000000-0005-0000-0000-0000D0450000}"/>
    <cellStyle name="Normal 2 2 2 3 19 4 10" xfId="17911" xr:uid="{00000000-0005-0000-0000-0000D1450000}"/>
    <cellStyle name="Normal 2 2 2 3 19 4 2" xfId="17912" xr:uid="{00000000-0005-0000-0000-0000D2450000}"/>
    <cellStyle name="Normal 2 2 2 3 19 4 3" xfId="17913" xr:uid="{00000000-0005-0000-0000-0000D3450000}"/>
    <cellStyle name="Normal 2 2 2 3 19 4 4" xfId="17914" xr:uid="{00000000-0005-0000-0000-0000D4450000}"/>
    <cellStyle name="Normal 2 2 2 3 19 4 5" xfId="17915" xr:uid="{00000000-0005-0000-0000-0000D5450000}"/>
    <cellStyle name="Normal 2 2 2 3 19 4 6" xfId="17916" xr:uid="{00000000-0005-0000-0000-0000D6450000}"/>
    <cellStyle name="Normal 2 2 2 3 19 4 7" xfId="17917" xr:uid="{00000000-0005-0000-0000-0000D7450000}"/>
    <cellStyle name="Normal 2 2 2 3 19 4 8" xfId="17918" xr:uid="{00000000-0005-0000-0000-0000D8450000}"/>
    <cellStyle name="Normal 2 2 2 3 19 4 9" xfId="17919" xr:uid="{00000000-0005-0000-0000-0000D9450000}"/>
    <cellStyle name="Normal 2 2 2 3 19 5" xfId="17920" xr:uid="{00000000-0005-0000-0000-0000DA450000}"/>
    <cellStyle name="Normal 2 2 2 3 19 5 10" xfId="17921" xr:uid="{00000000-0005-0000-0000-0000DB450000}"/>
    <cellStyle name="Normal 2 2 2 3 19 5 2" xfId="17922" xr:uid="{00000000-0005-0000-0000-0000DC450000}"/>
    <cellStyle name="Normal 2 2 2 3 19 5 3" xfId="17923" xr:uid="{00000000-0005-0000-0000-0000DD450000}"/>
    <cellStyle name="Normal 2 2 2 3 19 5 4" xfId="17924" xr:uid="{00000000-0005-0000-0000-0000DE450000}"/>
    <cellStyle name="Normal 2 2 2 3 19 5 5" xfId="17925" xr:uid="{00000000-0005-0000-0000-0000DF450000}"/>
    <cellStyle name="Normal 2 2 2 3 19 5 6" xfId="17926" xr:uid="{00000000-0005-0000-0000-0000E0450000}"/>
    <cellStyle name="Normal 2 2 2 3 19 5 7" xfId="17927" xr:uid="{00000000-0005-0000-0000-0000E1450000}"/>
    <cellStyle name="Normal 2 2 2 3 19 5 8" xfId="17928" xr:uid="{00000000-0005-0000-0000-0000E2450000}"/>
    <cellStyle name="Normal 2 2 2 3 19 5 9" xfId="17929" xr:uid="{00000000-0005-0000-0000-0000E3450000}"/>
    <cellStyle name="Normal 2 2 2 3 19 6" xfId="17930" xr:uid="{00000000-0005-0000-0000-0000E4450000}"/>
    <cellStyle name="Normal 2 2 2 3 19 7" xfId="17931" xr:uid="{00000000-0005-0000-0000-0000E5450000}"/>
    <cellStyle name="Normal 2 2 2 3 19 8" xfId="17932" xr:uid="{00000000-0005-0000-0000-0000E6450000}"/>
    <cellStyle name="Normal 2 2 2 3 19 9" xfId="17933" xr:uid="{00000000-0005-0000-0000-0000E7450000}"/>
    <cellStyle name="Normal 2 2 2 3 2" xfId="17934" xr:uid="{00000000-0005-0000-0000-0000E8450000}"/>
    <cellStyle name="Normal 2 2 2 3 2 10" xfId="17935" xr:uid="{00000000-0005-0000-0000-0000E9450000}"/>
    <cellStyle name="Normal 2 2 2 3 2 11" xfId="17936" xr:uid="{00000000-0005-0000-0000-0000EA450000}"/>
    <cellStyle name="Normal 2 2 2 3 2 12" xfId="17937" xr:uid="{00000000-0005-0000-0000-0000EB450000}"/>
    <cellStyle name="Normal 2 2 2 3 2 13" xfId="17938" xr:uid="{00000000-0005-0000-0000-0000EC450000}"/>
    <cellStyle name="Normal 2 2 2 3 2 14" xfId="17939" xr:uid="{00000000-0005-0000-0000-0000ED450000}"/>
    <cellStyle name="Normal 2 2 2 3 2 15" xfId="17940" xr:uid="{00000000-0005-0000-0000-0000EE450000}"/>
    <cellStyle name="Normal 2 2 2 3 2 16" xfId="17941" xr:uid="{00000000-0005-0000-0000-0000EF450000}"/>
    <cellStyle name="Normal 2 2 2 3 2 17" xfId="17942" xr:uid="{00000000-0005-0000-0000-0000F0450000}"/>
    <cellStyle name="Normal 2 2 2 3 2 2" xfId="17943" xr:uid="{00000000-0005-0000-0000-0000F1450000}"/>
    <cellStyle name="Normal 2 2 2 3 2 2 10" xfId="17944" xr:uid="{00000000-0005-0000-0000-0000F2450000}"/>
    <cellStyle name="Normal 2 2 2 3 2 2 11" xfId="17945" xr:uid="{00000000-0005-0000-0000-0000F3450000}"/>
    <cellStyle name="Normal 2 2 2 3 2 2 12" xfId="17946" xr:uid="{00000000-0005-0000-0000-0000F4450000}"/>
    <cellStyle name="Normal 2 2 2 3 2 2 2" xfId="17947" xr:uid="{00000000-0005-0000-0000-0000F5450000}"/>
    <cellStyle name="Normal 2 2 2 3 2 2 2 2" xfId="17948" xr:uid="{00000000-0005-0000-0000-0000F6450000}"/>
    <cellStyle name="Normal 2 2 2 3 2 2 2 3" xfId="17949" xr:uid="{00000000-0005-0000-0000-0000F7450000}"/>
    <cellStyle name="Normal 2 2 2 3 2 2 3" xfId="17950" xr:uid="{00000000-0005-0000-0000-0000F8450000}"/>
    <cellStyle name="Normal 2 2 2 3 2 2 4" xfId="17951" xr:uid="{00000000-0005-0000-0000-0000F9450000}"/>
    <cellStyle name="Normal 2 2 2 3 2 2 5" xfId="17952" xr:uid="{00000000-0005-0000-0000-0000FA450000}"/>
    <cellStyle name="Normal 2 2 2 3 2 2 6" xfId="17953" xr:uid="{00000000-0005-0000-0000-0000FB450000}"/>
    <cellStyle name="Normal 2 2 2 3 2 2 7" xfId="17954" xr:uid="{00000000-0005-0000-0000-0000FC450000}"/>
    <cellStyle name="Normal 2 2 2 3 2 2 8" xfId="17955" xr:uid="{00000000-0005-0000-0000-0000FD450000}"/>
    <cellStyle name="Normal 2 2 2 3 2 2 9" xfId="17956" xr:uid="{00000000-0005-0000-0000-0000FE450000}"/>
    <cellStyle name="Normal 2 2 2 3 2 3" xfId="17957" xr:uid="{00000000-0005-0000-0000-0000FF450000}"/>
    <cellStyle name="Normal 2 2 2 3 2 3 10" xfId="17958" xr:uid="{00000000-0005-0000-0000-000000460000}"/>
    <cellStyle name="Normal 2 2 2 3 2 3 11" xfId="17959" xr:uid="{00000000-0005-0000-0000-000001460000}"/>
    <cellStyle name="Normal 2 2 2 3 2 3 12" xfId="17960" xr:uid="{00000000-0005-0000-0000-000002460000}"/>
    <cellStyle name="Normal 2 2 2 3 2 3 2" xfId="17961" xr:uid="{00000000-0005-0000-0000-000003460000}"/>
    <cellStyle name="Normal 2 2 2 3 2 3 3" xfId="17962" xr:uid="{00000000-0005-0000-0000-000004460000}"/>
    <cellStyle name="Normal 2 2 2 3 2 3 4" xfId="17963" xr:uid="{00000000-0005-0000-0000-000005460000}"/>
    <cellStyle name="Normal 2 2 2 3 2 3 5" xfId="17964" xr:uid="{00000000-0005-0000-0000-000006460000}"/>
    <cellStyle name="Normal 2 2 2 3 2 3 6" xfId="17965" xr:uid="{00000000-0005-0000-0000-000007460000}"/>
    <cellStyle name="Normal 2 2 2 3 2 3 7" xfId="17966" xr:uid="{00000000-0005-0000-0000-000008460000}"/>
    <cellStyle name="Normal 2 2 2 3 2 3 8" xfId="17967" xr:uid="{00000000-0005-0000-0000-000009460000}"/>
    <cellStyle name="Normal 2 2 2 3 2 3 9" xfId="17968" xr:uid="{00000000-0005-0000-0000-00000A460000}"/>
    <cellStyle name="Normal 2 2 2 3 2 4" xfId="17969" xr:uid="{00000000-0005-0000-0000-00000B460000}"/>
    <cellStyle name="Normal 2 2 2 3 2 4 10" xfId="17970" xr:uid="{00000000-0005-0000-0000-00000C460000}"/>
    <cellStyle name="Normal 2 2 2 3 2 4 2" xfId="17971" xr:uid="{00000000-0005-0000-0000-00000D460000}"/>
    <cellStyle name="Normal 2 2 2 3 2 4 3" xfId="17972" xr:uid="{00000000-0005-0000-0000-00000E460000}"/>
    <cellStyle name="Normal 2 2 2 3 2 4 4" xfId="17973" xr:uid="{00000000-0005-0000-0000-00000F460000}"/>
    <cellStyle name="Normal 2 2 2 3 2 4 5" xfId="17974" xr:uid="{00000000-0005-0000-0000-000010460000}"/>
    <cellStyle name="Normal 2 2 2 3 2 4 6" xfId="17975" xr:uid="{00000000-0005-0000-0000-000011460000}"/>
    <cellStyle name="Normal 2 2 2 3 2 4 7" xfId="17976" xr:uid="{00000000-0005-0000-0000-000012460000}"/>
    <cellStyle name="Normal 2 2 2 3 2 4 8" xfId="17977" xr:uid="{00000000-0005-0000-0000-000013460000}"/>
    <cellStyle name="Normal 2 2 2 3 2 4 9" xfId="17978" xr:uid="{00000000-0005-0000-0000-000014460000}"/>
    <cellStyle name="Normal 2 2 2 3 2 5" xfId="17979" xr:uid="{00000000-0005-0000-0000-000015460000}"/>
    <cellStyle name="Normal 2 2 2 3 2 5 10" xfId="17980" xr:uid="{00000000-0005-0000-0000-000016460000}"/>
    <cellStyle name="Normal 2 2 2 3 2 5 2" xfId="17981" xr:uid="{00000000-0005-0000-0000-000017460000}"/>
    <cellStyle name="Normal 2 2 2 3 2 5 3" xfId="17982" xr:uid="{00000000-0005-0000-0000-000018460000}"/>
    <cellStyle name="Normal 2 2 2 3 2 5 4" xfId="17983" xr:uid="{00000000-0005-0000-0000-000019460000}"/>
    <cellStyle name="Normal 2 2 2 3 2 5 5" xfId="17984" xr:uid="{00000000-0005-0000-0000-00001A460000}"/>
    <cellStyle name="Normal 2 2 2 3 2 5 6" xfId="17985" xr:uid="{00000000-0005-0000-0000-00001B460000}"/>
    <cellStyle name="Normal 2 2 2 3 2 5 7" xfId="17986" xr:uid="{00000000-0005-0000-0000-00001C460000}"/>
    <cellStyle name="Normal 2 2 2 3 2 5 8" xfId="17987" xr:uid="{00000000-0005-0000-0000-00001D460000}"/>
    <cellStyle name="Normal 2 2 2 3 2 5 9" xfId="17988" xr:uid="{00000000-0005-0000-0000-00001E460000}"/>
    <cellStyle name="Normal 2 2 2 3 2 6" xfId="17989" xr:uid="{00000000-0005-0000-0000-00001F460000}"/>
    <cellStyle name="Normal 2 2 2 3 2 7" xfId="17990" xr:uid="{00000000-0005-0000-0000-000020460000}"/>
    <cellStyle name="Normal 2 2 2 3 2 8" xfId="17991" xr:uid="{00000000-0005-0000-0000-000021460000}"/>
    <cellStyle name="Normal 2 2 2 3 2 9" xfId="17992" xr:uid="{00000000-0005-0000-0000-000022460000}"/>
    <cellStyle name="Normal 2 2 2 3 20" xfId="17993" xr:uid="{00000000-0005-0000-0000-000023460000}"/>
    <cellStyle name="Normal 2 2 2 3 20 10" xfId="17994" xr:uid="{00000000-0005-0000-0000-000024460000}"/>
    <cellStyle name="Normal 2 2 2 3 20 11" xfId="17995" xr:uid="{00000000-0005-0000-0000-000025460000}"/>
    <cellStyle name="Normal 2 2 2 3 20 12" xfId="17996" xr:uid="{00000000-0005-0000-0000-000026460000}"/>
    <cellStyle name="Normal 2 2 2 3 20 13" xfId="17997" xr:uid="{00000000-0005-0000-0000-000027460000}"/>
    <cellStyle name="Normal 2 2 2 3 20 14" xfId="17998" xr:uid="{00000000-0005-0000-0000-000028460000}"/>
    <cellStyle name="Normal 2 2 2 3 20 2" xfId="17999" xr:uid="{00000000-0005-0000-0000-000029460000}"/>
    <cellStyle name="Normal 2 2 2 3 20 2 10" xfId="18000" xr:uid="{00000000-0005-0000-0000-00002A460000}"/>
    <cellStyle name="Normal 2 2 2 3 20 2 2" xfId="18001" xr:uid="{00000000-0005-0000-0000-00002B460000}"/>
    <cellStyle name="Normal 2 2 2 3 20 2 3" xfId="18002" xr:uid="{00000000-0005-0000-0000-00002C460000}"/>
    <cellStyle name="Normal 2 2 2 3 20 2 4" xfId="18003" xr:uid="{00000000-0005-0000-0000-00002D460000}"/>
    <cellStyle name="Normal 2 2 2 3 20 2 5" xfId="18004" xr:uid="{00000000-0005-0000-0000-00002E460000}"/>
    <cellStyle name="Normal 2 2 2 3 20 2 6" xfId="18005" xr:uid="{00000000-0005-0000-0000-00002F460000}"/>
    <cellStyle name="Normal 2 2 2 3 20 2 7" xfId="18006" xr:uid="{00000000-0005-0000-0000-000030460000}"/>
    <cellStyle name="Normal 2 2 2 3 20 2 8" xfId="18007" xr:uid="{00000000-0005-0000-0000-000031460000}"/>
    <cellStyle name="Normal 2 2 2 3 20 2 9" xfId="18008" xr:uid="{00000000-0005-0000-0000-000032460000}"/>
    <cellStyle name="Normal 2 2 2 3 20 3" xfId="18009" xr:uid="{00000000-0005-0000-0000-000033460000}"/>
    <cellStyle name="Normal 2 2 2 3 20 3 10" xfId="18010" xr:uid="{00000000-0005-0000-0000-000034460000}"/>
    <cellStyle name="Normal 2 2 2 3 20 3 2" xfId="18011" xr:uid="{00000000-0005-0000-0000-000035460000}"/>
    <cellStyle name="Normal 2 2 2 3 20 3 3" xfId="18012" xr:uid="{00000000-0005-0000-0000-000036460000}"/>
    <cellStyle name="Normal 2 2 2 3 20 3 4" xfId="18013" xr:uid="{00000000-0005-0000-0000-000037460000}"/>
    <cellStyle name="Normal 2 2 2 3 20 3 5" xfId="18014" xr:uid="{00000000-0005-0000-0000-000038460000}"/>
    <cellStyle name="Normal 2 2 2 3 20 3 6" xfId="18015" xr:uid="{00000000-0005-0000-0000-000039460000}"/>
    <cellStyle name="Normal 2 2 2 3 20 3 7" xfId="18016" xr:uid="{00000000-0005-0000-0000-00003A460000}"/>
    <cellStyle name="Normal 2 2 2 3 20 3 8" xfId="18017" xr:uid="{00000000-0005-0000-0000-00003B460000}"/>
    <cellStyle name="Normal 2 2 2 3 20 3 9" xfId="18018" xr:uid="{00000000-0005-0000-0000-00003C460000}"/>
    <cellStyle name="Normal 2 2 2 3 20 4" xfId="18019" xr:uid="{00000000-0005-0000-0000-00003D460000}"/>
    <cellStyle name="Normal 2 2 2 3 20 4 10" xfId="18020" xr:uid="{00000000-0005-0000-0000-00003E460000}"/>
    <cellStyle name="Normal 2 2 2 3 20 4 2" xfId="18021" xr:uid="{00000000-0005-0000-0000-00003F460000}"/>
    <cellStyle name="Normal 2 2 2 3 20 4 3" xfId="18022" xr:uid="{00000000-0005-0000-0000-000040460000}"/>
    <cellStyle name="Normal 2 2 2 3 20 4 4" xfId="18023" xr:uid="{00000000-0005-0000-0000-000041460000}"/>
    <cellStyle name="Normal 2 2 2 3 20 4 5" xfId="18024" xr:uid="{00000000-0005-0000-0000-000042460000}"/>
    <cellStyle name="Normal 2 2 2 3 20 4 6" xfId="18025" xr:uid="{00000000-0005-0000-0000-000043460000}"/>
    <cellStyle name="Normal 2 2 2 3 20 4 7" xfId="18026" xr:uid="{00000000-0005-0000-0000-000044460000}"/>
    <cellStyle name="Normal 2 2 2 3 20 4 8" xfId="18027" xr:uid="{00000000-0005-0000-0000-000045460000}"/>
    <cellStyle name="Normal 2 2 2 3 20 4 9" xfId="18028" xr:uid="{00000000-0005-0000-0000-000046460000}"/>
    <cellStyle name="Normal 2 2 2 3 20 5" xfId="18029" xr:uid="{00000000-0005-0000-0000-000047460000}"/>
    <cellStyle name="Normal 2 2 2 3 20 5 10" xfId="18030" xr:uid="{00000000-0005-0000-0000-000048460000}"/>
    <cellStyle name="Normal 2 2 2 3 20 5 2" xfId="18031" xr:uid="{00000000-0005-0000-0000-000049460000}"/>
    <cellStyle name="Normal 2 2 2 3 20 5 3" xfId="18032" xr:uid="{00000000-0005-0000-0000-00004A460000}"/>
    <cellStyle name="Normal 2 2 2 3 20 5 4" xfId="18033" xr:uid="{00000000-0005-0000-0000-00004B460000}"/>
    <cellStyle name="Normal 2 2 2 3 20 5 5" xfId="18034" xr:uid="{00000000-0005-0000-0000-00004C460000}"/>
    <cellStyle name="Normal 2 2 2 3 20 5 6" xfId="18035" xr:uid="{00000000-0005-0000-0000-00004D460000}"/>
    <cellStyle name="Normal 2 2 2 3 20 5 7" xfId="18036" xr:uid="{00000000-0005-0000-0000-00004E460000}"/>
    <cellStyle name="Normal 2 2 2 3 20 5 8" xfId="18037" xr:uid="{00000000-0005-0000-0000-00004F460000}"/>
    <cellStyle name="Normal 2 2 2 3 20 5 9" xfId="18038" xr:uid="{00000000-0005-0000-0000-000050460000}"/>
    <cellStyle name="Normal 2 2 2 3 20 6" xfId="18039" xr:uid="{00000000-0005-0000-0000-000051460000}"/>
    <cellStyle name="Normal 2 2 2 3 20 7" xfId="18040" xr:uid="{00000000-0005-0000-0000-000052460000}"/>
    <cellStyle name="Normal 2 2 2 3 20 8" xfId="18041" xr:uid="{00000000-0005-0000-0000-000053460000}"/>
    <cellStyle name="Normal 2 2 2 3 20 9" xfId="18042" xr:uid="{00000000-0005-0000-0000-000054460000}"/>
    <cellStyle name="Normal 2 2 2 3 21" xfId="18043" xr:uid="{00000000-0005-0000-0000-000055460000}"/>
    <cellStyle name="Normal 2 2 2 3 21 10" xfId="18044" xr:uid="{00000000-0005-0000-0000-000056460000}"/>
    <cellStyle name="Normal 2 2 2 3 21 11" xfId="18045" xr:uid="{00000000-0005-0000-0000-000057460000}"/>
    <cellStyle name="Normal 2 2 2 3 21 12" xfId="18046" xr:uid="{00000000-0005-0000-0000-000058460000}"/>
    <cellStyle name="Normal 2 2 2 3 21 13" xfId="18047" xr:uid="{00000000-0005-0000-0000-000059460000}"/>
    <cellStyle name="Normal 2 2 2 3 21 14" xfId="18048" xr:uid="{00000000-0005-0000-0000-00005A460000}"/>
    <cellStyle name="Normal 2 2 2 3 21 2" xfId="18049" xr:uid="{00000000-0005-0000-0000-00005B460000}"/>
    <cellStyle name="Normal 2 2 2 3 21 2 10" xfId="18050" xr:uid="{00000000-0005-0000-0000-00005C460000}"/>
    <cellStyle name="Normal 2 2 2 3 21 2 2" xfId="18051" xr:uid="{00000000-0005-0000-0000-00005D460000}"/>
    <cellStyle name="Normal 2 2 2 3 21 2 3" xfId="18052" xr:uid="{00000000-0005-0000-0000-00005E460000}"/>
    <cellStyle name="Normal 2 2 2 3 21 2 4" xfId="18053" xr:uid="{00000000-0005-0000-0000-00005F460000}"/>
    <cellStyle name="Normal 2 2 2 3 21 2 5" xfId="18054" xr:uid="{00000000-0005-0000-0000-000060460000}"/>
    <cellStyle name="Normal 2 2 2 3 21 2 6" xfId="18055" xr:uid="{00000000-0005-0000-0000-000061460000}"/>
    <cellStyle name="Normal 2 2 2 3 21 2 7" xfId="18056" xr:uid="{00000000-0005-0000-0000-000062460000}"/>
    <cellStyle name="Normal 2 2 2 3 21 2 8" xfId="18057" xr:uid="{00000000-0005-0000-0000-000063460000}"/>
    <cellStyle name="Normal 2 2 2 3 21 2 9" xfId="18058" xr:uid="{00000000-0005-0000-0000-000064460000}"/>
    <cellStyle name="Normal 2 2 2 3 21 3" xfId="18059" xr:uid="{00000000-0005-0000-0000-000065460000}"/>
    <cellStyle name="Normal 2 2 2 3 21 3 10" xfId="18060" xr:uid="{00000000-0005-0000-0000-000066460000}"/>
    <cellStyle name="Normal 2 2 2 3 21 3 2" xfId="18061" xr:uid="{00000000-0005-0000-0000-000067460000}"/>
    <cellStyle name="Normal 2 2 2 3 21 3 3" xfId="18062" xr:uid="{00000000-0005-0000-0000-000068460000}"/>
    <cellStyle name="Normal 2 2 2 3 21 3 4" xfId="18063" xr:uid="{00000000-0005-0000-0000-000069460000}"/>
    <cellStyle name="Normal 2 2 2 3 21 3 5" xfId="18064" xr:uid="{00000000-0005-0000-0000-00006A460000}"/>
    <cellStyle name="Normal 2 2 2 3 21 3 6" xfId="18065" xr:uid="{00000000-0005-0000-0000-00006B460000}"/>
    <cellStyle name="Normal 2 2 2 3 21 3 7" xfId="18066" xr:uid="{00000000-0005-0000-0000-00006C460000}"/>
    <cellStyle name="Normal 2 2 2 3 21 3 8" xfId="18067" xr:uid="{00000000-0005-0000-0000-00006D460000}"/>
    <cellStyle name="Normal 2 2 2 3 21 3 9" xfId="18068" xr:uid="{00000000-0005-0000-0000-00006E460000}"/>
    <cellStyle name="Normal 2 2 2 3 21 4" xfId="18069" xr:uid="{00000000-0005-0000-0000-00006F460000}"/>
    <cellStyle name="Normal 2 2 2 3 21 4 10" xfId="18070" xr:uid="{00000000-0005-0000-0000-000070460000}"/>
    <cellStyle name="Normal 2 2 2 3 21 4 2" xfId="18071" xr:uid="{00000000-0005-0000-0000-000071460000}"/>
    <cellStyle name="Normal 2 2 2 3 21 4 3" xfId="18072" xr:uid="{00000000-0005-0000-0000-000072460000}"/>
    <cellStyle name="Normal 2 2 2 3 21 4 4" xfId="18073" xr:uid="{00000000-0005-0000-0000-000073460000}"/>
    <cellStyle name="Normal 2 2 2 3 21 4 5" xfId="18074" xr:uid="{00000000-0005-0000-0000-000074460000}"/>
    <cellStyle name="Normal 2 2 2 3 21 4 6" xfId="18075" xr:uid="{00000000-0005-0000-0000-000075460000}"/>
    <cellStyle name="Normal 2 2 2 3 21 4 7" xfId="18076" xr:uid="{00000000-0005-0000-0000-000076460000}"/>
    <cellStyle name="Normal 2 2 2 3 21 4 8" xfId="18077" xr:uid="{00000000-0005-0000-0000-000077460000}"/>
    <cellStyle name="Normal 2 2 2 3 21 4 9" xfId="18078" xr:uid="{00000000-0005-0000-0000-000078460000}"/>
    <cellStyle name="Normal 2 2 2 3 21 5" xfId="18079" xr:uid="{00000000-0005-0000-0000-000079460000}"/>
    <cellStyle name="Normal 2 2 2 3 21 5 10" xfId="18080" xr:uid="{00000000-0005-0000-0000-00007A460000}"/>
    <cellStyle name="Normal 2 2 2 3 21 5 2" xfId="18081" xr:uid="{00000000-0005-0000-0000-00007B460000}"/>
    <cellStyle name="Normal 2 2 2 3 21 5 3" xfId="18082" xr:uid="{00000000-0005-0000-0000-00007C460000}"/>
    <cellStyle name="Normal 2 2 2 3 21 5 4" xfId="18083" xr:uid="{00000000-0005-0000-0000-00007D460000}"/>
    <cellStyle name="Normal 2 2 2 3 21 5 5" xfId="18084" xr:uid="{00000000-0005-0000-0000-00007E460000}"/>
    <cellStyle name="Normal 2 2 2 3 21 5 6" xfId="18085" xr:uid="{00000000-0005-0000-0000-00007F460000}"/>
    <cellStyle name="Normal 2 2 2 3 21 5 7" xfId="18086" xr:uid="{00000000-0005-0000-0000-000080460000}"/>
    <cellStyle name="Normal 2 2 2 3 21 5 8" xfId="18087" xr:uid="{00000000-0005-0000-0000-000081460000}"/>
    <cellStyle name="Normal 2 2 2 3 21 5 9" xfId="18088" xr:uid="{00000000-0005-0000-0000-000082460000}"/>
    <cellStyle name="Normal 2 2 2 3 21 6" xfId="18089" xr:uid="{00000000-0005-0000-0000-000083460000}"/>
    <cellStyle name="Normal 2 2 2 3 21 7" xfId="18090" xr:uid="{00000000-0005-0000-0000-000084460000}"/>
    <cellStyle name="Normal 2 2 2 3 21 8" xfId="18091" xr:uid="{00000000-0005-0000-0000-000085460000}"/>
    <cellStyle name="Normal 2 2 2 3 21 9" xfId="18092" xr:uid="{00000000-0005-0000-0000-000086460000}"/>
    <cellStyle name="Normal 2 2 2 3 22" xfId="18093" xr:uid="{00000000-0005-0000-0000-000087460000}"/>
    <cellStyle name="Normal 2 2 2 3 22 10" xfId="18094" xr:uid="{00000000-0005-0000-0000-000088460000}"/>
    <cellStyle name="Normal 2 2 2 3 22 11" xfId="18095" xr:uid="{00000000-0005-0000-0000-000089460000}"/>
    <cellStyle name="Normal 2 2 2 3 22 12" xfId="18096" xr:uid="{00000000-0005-0000-0000-00008A460000}"/>
    <cellStyle name="Normal 2 2 2 3 22 13" xfId="18097" xr:uid="{00000000-0005-0000-0000-00008B460000}"/>
    <cellStyle name="Normal 2 2 2 3 22 14" xfId="18098" xr:uid="{00000000-0005-0000-0000-00008C460000}"/>
    <cellStyle name="Normal 2 2 2 3 22 2" xfId="18099" xr:uid="{00000000-0005-0000-0000-00008D460000}"/>
    <cellStyle name="Normal 2 2 2 3 22 2 10" xfId="18100" xr:uid="{00000000-0005-0000-0000-00008E460000}"/>
    <cellStyle name="Normal 2 2 2 3 22 2 2" xfId="18101" xr:uid="{00000000-0005-0000-0000-00008F460000}"/>
    <cellStyle name="Normal 2 2 2 3 22 2 3" xfId="18102" xr:uid="{00000000-0005-0000-0000-000090460000}"/>
    <cellStyle name="Normal 2 2 2 3 22 2 4" xfId="18103" xr:uid="{00000000-0005-0000-0000-000091460000}"/>
    <cellStyle name="Normal 2 2 2 3 22 2 5" xfId="18104" xr:uid="{00000000-0005-0000-0000-000092460000}"/>
    <cellStyle name="Normal 2 2 2 3 22 2 6" xfId="18105" xr:uid="{00000000-0005-0000-0000-000093460000}"/>
    <cellStyle name="Normal 2 2 2 3 22 2 7" xfId="18106" xr:uid="{00000000-0005-0000-0000-000094460000}"/>
    <cellStyle name="Normal 2 2 2 3 22 2 8" xfId="18107" xr:uid="{00000000-0005-0000-0000-000095460000}"/>
    <cellStyle name="Normal 2 2 2 3 22 2 9" xfId="18108" xr:uid="{00000000-0005-0000-0000-000096460000}"/>
    <cellStyle name="Normal 2 2 2 3 22 3" xfId="18109" xr:uid="{00000000-0005-0000-0000-000097460000}"/>
    <cellStyle name="Normal 2 2 2 3 22 3 10" xfId="18110" xr:uid="{00000000-0005-0000-0000-000098460000}"/>
    <cellStyle name="Normal 2 2 2 3 22 3 2" xfId="18111" xr:uid="{00000000-0005-0000-0000-000099460000}"/>
    <cellStyle name="Normal 2 2 2 3 22 3 3" xfId="18112" xr:uid="{00000000-0005-0000-0000-00009A460000}"/>
    <cellStyle name="Normal 2 2 2 3 22 3 4" xfId="18113" xr:uid="{00000000-0005-0000-0000-00009B460000}"/>
    <cellStyle name="Normal 2 2 2 3 22 3 5" xfId="18114" xr:uid="{00000000-0005-0000-0000-00009C460000}"/>
    <cellStyle name="Normal 2 2 2 3 22 3 6" xfId="18115" xr:uid="{00000000-0005-0000-0000-00009D460000}"/>
    <cellStyle name="Normal 2 2 2 3 22 3 7" xfId="18116" xr:uid="{00000000-0005-0000-0000-00009E460000}"/>
    <cellStyle name="Normal 2 2 2 3 22 3 8" xfId="18117" xr:uid="{00000000-0005-0000-0000-00009F460000}"/>
    <cellStyle name="Normal 2 2 2 3 22 3 9" xfId="18118" xr:uid="{00000000-0005-0000-0000-0000A0460000}"/>
    <cellStyle name="Normal 2 2 2 3 22 4" xfId="18119" xr:uid="{00000000-0005-0000-0000-0000A1460000}"/>
    <cellStyle name="Normal 2 2 2 3 22 4 10" xfId="18120" xr:uid="{00000000-0005-0000-0000-0000A2460000}"/>
    <cellStyle name="Normal 2 2 2 3 22 4 2" xfId="18121" xr:uid="{00000000-0005-0000-0000-0000A3460000}"/>
    <cellStyle name="Normal 2 2 2 3 22 4 3" xfId="18122" xr:uid="{00000000-0005-0000-0000-0000A4460000}"/>
    <cellStyle name="Normal 2 2 2 3 22 4 4" xfId="18123" xr:uid="{00000000-0005-0000-0000-0000A5460000}"/>
    <cellStyle name="Normal 2 2 2 3 22 4 5" xfId="18124" xr:uid="{00000000-0005-0000-0000-0000A6460000}"/>
    <cellStyle name="Normal 2 2 2 3 22 4 6" xfId="18125" xr:uid="{00000000-0005-0000-0000-0000A7460000}"/>
    <cellStyle name="Normal 2 2 2 3 22 4 7" xfId="18126" xr:uid="{00000000-0005-0000-0000-0000A8460000}"/>
    <cellStyle name="Normal 2 2 2 3 22 4 8" xfId="18127" xr:uid="{00000000-0005-0000-0000-0000A9460000}"/>
    <cellStyle name="Normal 2 2 2 3 22 4 9" xfId="18128" xr:uid="{00000000-0005-0000-0000-0000AA460000}"/>
    <cellStyle name="Normal 2 2 2 3 22 5" xfId="18129" xr:uid="{00000000-0005-0000-0000-0000AB460000}"/>
    <cellStyle name="Normal 2 2 2 3 22 5 10" xfId="18130" xr:uid="{00000000-0005-0000-0000-0000AC460000}"/>
    <cellStyle name="Normal 2 2 2 3 22 5 2" xfId="18131" xr:uid="{00000000-0005-0000-0000-0000AD460000}"/>
    <cellStyle name="Normal 2 2 2 3 22 5 3" xfId="18132" xr:uid="{00000000-0005-0000-0000-0000AE460000}"/>
    <cellStyle name="Normal 2 2 2 3 22 5 4" xfId="18133" xr:uid="{00000000-0005-0000-0000-0000AF460000}"/>
    <cellStyle name="Normal 2 2 2 3 22 5 5" xfId="18134" xr:uid="{00000000-0005-0000-0000-0000B0460000}"/>
    <cellStyle name="Normal 2 2 2 3 22 5 6" xfId="18135" xr:uid="{00000000-0005-0000-0000-0000B1460000}"/>
    <cellStyle name="Normal 2 2 2 3 22 5 7" xfId="18136" xr:uid="{00000000-0005-0000-0000-0000B2460000}"/>
    <cellStyle name="Normal 2 2 2 3 22 5 8" xfId="18137" xr:uid="{00000000-0005-0000-0000-0000B3460000}"/>
    <cellStyle name="Normal 2 2 2 3 22 5 9" xfId="18138" xr:uid="{00000000-0005-0000-0000-0000B4460000}"/>
    <cellStyle name="Normal 2 2 2 3 22 6" xfId="18139" xr:uid="{00000000-0005-0000-0000-0000B5460000}"/>
    <cellStyle name="Normal 2 2 2 3 22 7" xfId="18140" xr:uid="{00000000-0005-0000-0000-0000B6460000}"/>
    <cellStyle name="Normal 2 2 2 3 22 8" xfId="18141" xr:uid="{00000000-0005-0000-0000-0000B7460000}"/>
    <cellStyle name="Normal 2 2 2 3 22 9" xfId="18142" xr:uid="{00000000-0005-0000-0000-0000B8460000}"/>
    <cellStyle name="Normal 2 2 2 3 23" xfId="18143" xr:uid="{00000000-0005-0000-0000-0000B9460000}"/>
    <cellStyle name="Normal 2 2 2 3 23 10" xfId="18144" xr:uid="{00000000-0005-0000-0000-0000BA460000}"/>
    <cellStyle name="Normal 2 2 2 3 23 11" xfId="18145" xr:uid="{00000000-0005-0000-0000-0000BB460000}"/>
    <cellStyle name="Normal 2 2 2 3 23 12" xfId="18146" xr:uid="{00000000-0005-0000-0000-0000BC460000}"/>
    <cellStyle name="Normal 2 2 2 3 23 13" xfId="18147" xr:uid="{00000000-0005-0000-0000-0000BD460000}"/>
    <cellStyle name="Normal 2 2 2 3 23 14" xfId="18148" xr:uid="{00000000-0005-0000-0000-0000BE460000}"/>
    <cellStyle name="Normal 2 2 2 3 23 2" xfId="18149" xr:uid="{00000000-0005-0000-0000-0000BF460000}"/>
    <cellStyle name="Normal 2 2 2 3 23 2 10" xfId="18150" xr:uid="{00000000-0005-0000-0000-0000C0460000}"/>
    <cellStyle name="Normal 2 2 2 3 23 2 2" xfId="18151" xr:uid="{00000000-0005-0000-0000-0000C1460000}"/>
    <cellStyle name="Normal 2 2 2 3 23 2 3" xfId="18152" xr:uid="{00000000-0005-0000-0000-0000C2460000}"/>
    <cellStyle name="Normal 2 2 2 3 23 2 4" xfId="18153" xr:uid="{00000000-0005-0000-0000-0000C3460000}"/>
    <cellStyle name="Normal 2 2 2 3 23 2 5" xfId="18154" xr:uid="{00000000-0005-0000-0000-0000C4460000}"/>
    <cellStyle name="Normal 2 2 2 3 23 2 6" xfId="18155" xr:uid="{00000000-0005-0000-0000-0000C5460000}"/>
    <cellStyle name="Normal 2 2 2 3 23 2 7" xfId="18156" xr:uid="{00000000-0005-0000-0000-0000C6460000}"/>
    <cellStyle name="Normal 2 2 2 3 23 2 8" xfId="18157" xr:uid="{00000000-0005-0000-0000-0000C7460000}"/>
    <cellStyle name="Normal 2 2 2 3 23 2 9" xfId="18158" xr:uid="{00000000-0005-0000-0000-0000C8460000}"/>
    <cellStyle name="Normal 2 2 2 3 23 3" xfId="18159" xr:uid="{00000000-0005-0000-0000-0000C9460000}"/>
    <cellStyle name="Normal 2 2 2 3 23 3 10" xfId="18160" xr:uid="{00000000-0005-0000-0000-0000CA460000}"/>
    <cellStyle name="Normal 2 2 2 3 23 3 2" xfId="18161" xr:uid="{00000000-0005-0000-0000-0000CB460000}"/>
    <cellStyle name="Normal 2 2 2 3 23 3 3" xfId="18162" xr:uid="{00000000-0005-0000-0000-0000CC460000}"/>
    <cellStyle name="Normal 2 2 2 3 23 3 4" xfId="18163" xr:uid="{00000000-0005-0000-0000-0000CD460000}"/>
    <cellStyle name="Normal 2 2 2 3 23 3 5" xfId="18164" xr:uid="{00000000-0005-0000-0000-0000CE460000}"/>
    <cellStyle name="Normal 2 2 2 3 23 3 6" xfId="18165" xr:uid="{00000000-0005-0000-0000-0000CF460000}"/>
    <cellStyle name="Normal 2 2 2 3 23 3 7" xfId="18166" xr:uid="{00000000-0005-0000-0000-0000D0460000}"/>
    <cellStyle name="Normal 2 2 2 3 23 3 8" xfId="18167" xr:uid="{00000000-0005-0000-0000-0000D1460000}"/>
    <cellStyle name="Normal 2 2 2 3 23 3 9" xfId="18168" xr:uid="{00000000-0005-0000-0000-0000D2460000}"/>
    <cellStyle name="Normal 2 2 2 3 23 4" xfId="18169" xr:uid="{00000000-0005-0000-0000-0000D3460000}"/>
    <cellStyle name="Normal 2 2 2 3 23 4 10" xfId="18170" xr:uid="{00000000-0005-0000-0000-0000D4460000}"/>
    <cellStyle name="Normal 2 2 2 3 23 4 2" xfId="18171" xr:uid="{00000000-0005-0000-0000-0000D5460000}"/>
    <cellStyle name="Normal 2 2 2 3 23 4 3" xfId="18172" xr:uid="{00000000-0005-0000-0000-0000D6460000}"/>
    <cellStyle name="Normal 2 2 2 3 23 4 4" xfId="18173" xr:uid="{00000000-0005-0000-0000-0000D7460000}"/>
    <cellStyle name="Normal 2 2 2 3 23 4 5" xfId="18174" xr:uid="{00000000-0005-0000-0000-0000D8460000}"/>
    <cellStyle name="Normal 2 2 2 3 23 4 6" xfId="18175" xr:uid="{00000000-0005-0000-0000-0000D9460000}"/>
    <cellStyle name="Normal 2 2 2 3 23 4 7" xfId="18176" xr:uid="{00000000-0005-0000-0000-0000DA460000}"/>
    <cellStyle name="Normal 2 2 2 3 23 4 8" xfId="18177" xr:uid="{00000000-0005-0000-0000-0000DB460000}"/>
    <cellStyle name="Normal 2 2 2 3 23 4 9" xfId="18178" xr:uid="{00000000-0005-0000-0000-0000DC460000}"/>
    <cellStyle name="Normal 2 2 2 3 23 5" xfId="18179" xr:uid="{00000000-0005-0000-0000-0000DD460000}"/>
    <cellStyle name="Normal 2 2 2 3 23 5 10" xfId="18180" xr:uid="{00000000-0005-0000-0000-0000DE460000}"/>
    <cellStyle name="Normal 2 2 2 3 23 5 2" xfId="18181" xr:uid="{00000000-0005-0000-0000-0000DF460000}"/>
    <cellStyle name="Normal 2 2 2 3 23 5 3" xfId="18182" xr:uid="{00000000-0005-0000-0000-0000E0460000}"/>
    <cellStyle name="Normal 2 2 2 3 23 5 4" xfId="18183" xr:uid="{00000000-0005-0000-0000-0000E1460000}"/>
    <cellStyle name="Normal 2 2 2 3 23 5 5" xfId="18184" xr:uid="{00000000-0005-0000-0000-0000E2460000}"/>
    <cellStyle name="Normal 2 2 2 3 23 5 6" xfId="18185" xr:uid="{00000000-0005-0000-0000-0000E3460000}"/>
    <cellStyle name="Normal 2 2 2 3 23 5 7" xfId="18186" xr:uid="{00000000-0005-0000-0000-0000E4460000}"/>
    <cellStyle name="Normal 2 2 2 3 23 5 8" xfId="18187" xr:uid="{00000000-0005-0000-0000-0000E5460000}"/>
    <cellStyle name="Normal 2 2 2 3 23 5 9" xfId="18188" xr:uid="{00000000-0005-0000-0000-0000E6460000}"/>
    <cellStyle name="Normal 2 2 2 3 23 6" xfId="18189" xr:uid="{00000000-0005-0000-0000-0000E7460000}"/>
    <cellStyle name="Normal 2 2 2 3 23 7" xfId="18190" xr:uid="{00000000-0005-0000-0000-0000E8460000}"/>
    <cellStyle name="Normal 2 2 2 3 23 8" xfId="18191" xr:uid="{00000000-0005-0000-0000-0000E9460000}"/>
    <cellStyle name="Normal 2 2 2 3 23 9" xfId="18192" xr:uid="{00000000-0005-0000-0000-0000EA460000}"/>
    <cellStyle name="Normal 2 2 2 3 24" xfId="18193" xr:uid="{00000000-0005-0000-0000-0000EB460000}"/>
    <cellStyle name="Normal 2 2 2 3 24 10" xfId="18194" xr:uid="{00000000-0005-0000-0000-0000EC460000}"/>
    <cellStyle name="Normal 2 2 2 3 24 11" xfId="18195" xr:uid="{00000000-0005-0000-0000-0000ED460000}"/>
    <cellStyle name="Normal 2 2 2 3 24 12" xfId="18196" xr:uid="{00000000-0005-0000-0000-0000EE460000}"/>
    <cellStyle name="Normal 2 2 2 3 24 13" xfId="18197" xr:uid="{00000000-0005-0000-0000-0000EF460000}"/>
    <cellStyle name="Normal 2 2 2 3 24 14" xfId="18198" xr:uid="{00000000-0005-0000-0000-0000F0460000}"/>
    <cellStyle name="Normal 2 2 2 3 24 2" xfId="18199" xr:uid="{00000000-0005-0000-0000-0000F1460000}"/>
    <cellStyle name="Normal 2 2 2 3 24 2 10" xfId="18200" xr:uid="{00000000-0005-0000-0000-0000F2460000}"/>
    <cellStyle name="Normal 2 2 2 3 24 2 2" xfId="18201" xr:uid="{00000000-0005-0000-0000-0000F3460000}"/>
    <cellStyle name="Normal 2 2 2 3 24 2 3" xfId="18202" xr:uid="{00000000-0005-0000-0000-0000F4460000}"/>
    <cellStyle name="Normal 2 2 2 3 24 2 4" xfId="18203" xr:uid="{00000000-0005-0000-0000-0000F5460000}"/>
    <cellStyle name="Normal 2 2 2 3 24 2 5" xfId="18204" xr:uid="{00000000-0005-0000-0000-0000F6460000}"/>
    <cellStyle name="Normal 2 2 2 3 24 2 6" xfId="18205" xr:uid="{00000000-0005-0000-0000-0000F7460000}"/>
    <cellStyle name="Normal 2 2 2 3 24 2 7" xfId="18206" xr:uid="{00000000-0005-0000-0000-0000F8460000}"/>
    <cellStyle name="Normal 2 2 2 3 24 2 8" xfId="18207" xr:uid="{00000000-0005-0000-0000-0000F9460000}"/>
    <cellStyle name="Normal 2 2 2 3 24 2 9" xfId="18208" xr:uid="{00000000-0005-0000-0000-0000FA460000}"/>
    <cellStyle name="Normal 2 2 2 3 24 3" xfId="18209" xr:uid="{00000000-0005-0000-0000-0000FB460000}"/>
    <cellStyle name="Normal 2 2 2 3 24 3 10" xfId="18210" xr:uid="{00000000-0005-0000-0000-0000FC460000}"/>
    <cellStyle name="Normal 2 2 2 3 24 3 2" xfId="18211" xr:uid="{00000000-0005-0000-0000-0000FD460000}"/>
    <cellStyle name="Normal 2 2 2 3 24 3 3" xfId="18212" xr:uid="{00000000-0005-0000-0000-0000FE460000}"/>
    <cellStyle name="Normal 2 2 2 3 24 3 4" xfId="18213" xr:uid="{00000000-0005-0000-0000-0000FF460000}"/>
    <cellStyle name="Normal 2 2 2 3 24 3 5" xfId="18214" xr:uid="{00000000-0005-0000-0000-000000470000}"/>
    <cellStyle name="Normal 2 2 2 3 24 3 6" xfId="18215" xr:uid="{00000000-0005-0000-0000-000001470000}"/>
    <cellStyle name="Normal 2 2 2 3 24 3 7" xfId="18216" xr:uid="{00000000-0005-0000-0000-000002470000}"/>
    <cellStyle name="Normal 2 2 2 3 24 3 8" xfId="18217" xr:uid="{00000000-0005-0000-0000-000003470000}"/>
    <cellStyle name="Normal 2 2 2 3 24 3 9" xfId="18218" xr:uid="{00000000-0005-0000-0000-000004470000}"/>
    <cellStyle name="Normal 2 2 2 3 24 4" xfId="18219" xr:uid="{00000000-0005-0000-0000-000005470000}"/>
    <cellStyle name="Normal 2 2 2 3 24 4 10" xfId="18220" xr:uid="{00000000-0005-0000-0000-000006470000}"/>
    <cellStyle name="Normal 2 2 2 3 24 4 2" xfId="18221" xr:uid="{00000000-0005-0000-0000-000007470000}"/>
    <cellStyle name="Normal 2 2 2 3 24 4 3" xfId="18222" xr:uid="{00000000-0005-0000-0000-000008470000}"/>
    <cellStyle name="Normal 2 2 2 3 24 4 4" xfId="18223" xr:uid="{00000000-0005-0000-0000-000009470000}"/>
    <cellStyle name="Normal 2 2 2 3 24 4 5" xfId="18224" xr:uid="{00000000-0005-0000-0000-00000A470000}"/>
    <cellStyle name="Normal 2 2 2 3 24 4 6" xfId="18225" xr:uid="{00000000-0005-0000-0000-00000B470000}"/>
    <cellStyle name="Normal 2 2 2 3 24 4 7" xfId="18226" xr:uid="{00000000-0005-0000-0000-00000C470000}"/>
    <cellStyle name="Normal 2 2 2 3 24 4 8" xfId="18227" xr:uid="{00000000-0005-0000-0000-00000D470000}"/>
    <cellStyle name="Normal 2 2 2 3 24 4 9" xfId="18228" xr:uid="{00000000-0005-0000-0000-00000E470000}"/>
    <cellStyle name="Normal 2 2 2 3 24 5" xfId="18229" xr:uid="{00000000-0005-0000-0000-00000F470000}"/>
    <cellStyle name="Normal 2 2 2 3 24 5 10" xfId="18230" xr:uid="{00000000-0005-0000-0000-000010470000}"/>
    <cellStyle name="Normal 2 2 2 3 24 5 2" xfId="18231" xr:uid="{00000000-0005-0000-0000-000011470000}"/>
    <cellStyle name="Normal 2 2 2 3 24 5 3" xfId="18232" xr:uid="{00000000-0005-0000-0000-000012470000}"/>
    <cellStyle name="Normal 2 2 2 3 24 5 4" xfId="18233" xr:uid="{00000000-0005-0000-0000-000013470000}"/>
    <cellStyle name="Normal 2 2 2 3 24 5 5" xfId="18234" xr:uid="{00000000-0005-0000-0000-000014470000}"/>
    <cellStyle name="Normal 2 2 2 3 24 5 6" xfId="18235" xr:uid="{00000000-0005-0000-0000-000015470000}"/>
    <cellStyle name="Normal 2 2 2 3 24 5 7" xfId="18236" xr:uid="{00000000-0005-0000-0000-000016470000}"/>
    <cellStyle name="Normal 2 2 2 3 24 5 8" xfId="18237" xr:uid="{00000000-0005-0000-0000-000017470000}"/>
    <cellStyle name="Normal 2 2 2 3 24 5 9" xfId="18238" xr:uid="{00000000-0005-0000-0000-000018470000}"/>
    <cellStyle name="Normal 2 2 2 3 24 6" xfId="18239" xr:uid="{00000000-0005-0000-0000-000019470000}"/>
    <cellStyle name="Normal 2 2 2 3 24 7" xfId="18240" xr:uid="{00000000-0005-0000-0000-00001A470000}"/>
    <cellStyle name="Normal 2 2 2 3 24 8" xfId="18241" xr:uid="{00000000-0005-0000-0000-00001B470000}"/>
    <cellStyle name="Normal 2 2 2 3 24 9" xfId="18242" xr:uid="{00000000-0005-0000-0000-00001C470000}"/>
    <cellStyle name="Normal 2 2 2 3 25" xfId="18243" xr:uid="{00000000-0005-0000-0000-00001D470000}"/>
    <cellStyle name="Normal 2 2 2 3 25 10" xfId="18244" xr:uid="{00000000-0005-0000-0000-00001E470000}"/>
    <cellStyle name="Normal 2 2 2 3 25 11" xfId="18245" xr:uid="{00000000-0005-0000-0000-00001F470000}"/>
    <cellStyle name="Normal 2 2 2 3 25 12" xfId="18246" xr:uid="{00000000-0005-0000-0000-000020470000}"/>
    <cellStyle name="Normal 2 2 2 3 25 13" xfId="18247" xr:uid="{00000000-0005-0000-0000-000021470000}"/>
    <cellStyle name="Normal 2 2 2 3 25 14" xfId="18248" xr:uid="{00000000-0005-0000-0000-000022470000}"/>
    <cellStyle name="Normal 2 2 2 3 25 2" xfId="18249" xr:uid="{00000000-0005-0000-0000-000023470000}"/>
    <cellStyle name="Normal 2 2 2 3 25 2 10" xfId="18250" xr:uid="{00000000-0005-0000-0000-000024470000}"/>
    <cellStyle name="Normal 2 2 2 3 25 2 2" xfId="18251" xr:uid="{00000000-0005-0000-0000-000025470000}"/>
    <cellStyle name="Normal 2 2 2 3 25 2 3" xfId="18252" xr:uid="{00000000-0005-0000-0000-000026470000}"/>
    <cellStyle name="Normal 2 2 2 3 25 2 4" xfId="18253" xr:uid="{00000000-0005-0000-0000-000027470000}"/>
    <cellStyle name="Normal 2 2 2 3 25 2 5" xfId="18254" xr:uid="{00000000-0005-0000-0000-000028470000}"/>
    <cellStyle name="Normal 2 2 2 3 25 2 6" xfId="18255" xr:uid="{00000000-0005-0000-0000-000029470000}"/>
    <cellStyle name="Normal 2 2 2 3 25 2 7" xfId="18256" xr:uid="{00000000-0005-0000-0000-00002A470000}"/>
    <cellStyle name="Normal 2 2 2 3 25 2 8" xfId="18257" xr:uid="{00000000-0005-0000-0000-00002B470000}"/>
    <cellStyle name="Normal 2 2 2 3 25 2 9" xfId="18258" xr:uid="{00000000-0005-0000-0000-00002C470000}"/>
    <cellStyle name="Normal 2 2 2 3 25 3" xfId="18259" xr:uid="{00000000-0005-0000-0000-00002D470000}"/>
    <cellStyle name="Normal 2 2 2 3 25 3 10" xfId="18260" xr:uid="{00000000-0005-0000-0000-00002E470000}"/>
    <cellStyle name="Normal 2 2 2 3 25 3 2" xfId="18261" xr:uid="{00000000-0005-0000-0000-00002F470000}"/>
    <cellStyle name="Normal 2 2 2 3 25 3 3" xfId="18262" xr:uid="{00000000-0005-0000-0000-000030470000}"/>
    <cellStyle name="Normal 2 2 2 3 25 3 4" xfId="18263" xr:uid="{00000000-0005-0000-0000-000031470000}"/>
    <cellStyle name="Normal 2 2 2 3 25 3 5" xfId="18264" xr:uid="{00000000-0005-0000-0000-000032470000}"/>
    <cellStyle name="Normal 2 2 2 3 25 3 6" xfId="18265" xr:uid="{00000000-0005-0000-0000-000033470000}"/>
    <cellStyle name="Normal 2 2 2 3 25 3 7" xfId="18266" xr:uid="{00000000-0005-0000-0000-000034470000}"/>
    <cellStyle name="Normal 2 2 2 3 25 3 8" xfId="18267" xr:uid="{00000000-0005-0000-0000-000035470000}"/>
    <cellStyle name="Normal 2 2 2 3 25 3 9" xfId="18268" xr:uid="{00000000-0005-0000-0000-000036470000}"/>
    <cellStyle name="Normal 2 2 2 3 25 4" xfId="18269" xr:uid="{00000000-0005-0000-0000-000037470000}"/>
    <cellStyle name="Normal 2 2 2 3 25 4 10" xfId="18270" xr:uid="{00000000-0005-0000-0000-000038470000}"/>
    <cellStyle name="Normal 2 2 2 3 25 4 2" xfId="18271" xr:uid="{00000000-0005-0000-0000-000039470000}"/>
    <cellStyle name="Normal 2 2 2 3 25 4 3" xfId="18272" xr:uid="{00000000-0005-0000-0000-00003A470000}"/>
    <cellStyle name="Normal 2 2 2 3 25 4 4" xfId="18273" xr:uid="{00000000-0005-0000-0000-00003B470000}"/>
    <cellStyle name="Normal 2 2 2 3 25 4 5" xfId="18274" xr:uid="{00000000-0005-0000-0000-00003C470000}"/>
    <cellStyle name="Normal 2 2 2 3 25 4 6" xfId="18275" xr:uid="{00000000-0005-0000-0000-00003D470000}"/>
    <cellStyle name="Normal 2 2 2 3 25 4 7" xfId="18276" xr:uid="{00000000-0005-0000-0000-00003E470000}"/>
    <cellStyle name="Normal 2 2 2 3 25 4 8" xfId="18277" xr:uid="{00000000-0005-0000-0000-00003F470000}"/>
    <cellStyle name="Normal 2 2 2 3 25 4 9" xfId="18278" xr:uid="{00000000-0005-0000-0000-000040470000}"/>
    <cellStyle name="Normal 2 2 2 3 25 5" xfId="18279" xr:uid="{00000000-0005-0000-0000-000041470000}"/>
    <cellStyle name="Normal 2 2 2 3 25 5 10" xfId="18280" xr:uid="{00000000-0005-0000-0000-000042470000}"/>
    <cellStyle name="Normal 2 2 2 3 25 5 2" xfId="18281" xr:uid="{00000000-0005-0000-0000-000043470000}"/>
    <cellStyle name="Normal 2 2 2 3 25 5 3" xfId="18282" xr:uid="{00000000-0005-0000-0000-000044470000}"/>
    <cellStyle name="Normal 2 2 2 3 25 5 4" xfId="18283" xr:uid="{00000000-0005-0000-0000-000045470000}"/>
    <cellStyle name="Normal 2 2 2 3 25 5 5" xfId="18284" xr:uid="{00000000-0005-0000-0000-000046470000}"/>
    <cellStyle name="Normal 2 2 2 3 25 5 6" xfId="18285" xr:uid="{00000000-0005-0000-0000-000047470000}"/>
    <cellStyle name="Normal 2 2 2 3 25 5 7" xfId="18286" xr:uid="{00000000-0005-0000-0000-000048470000}"/>
    <cellStyle name="Normal 2 2 2 3 25 5 8" xfId="18287" xr:uid="{00000000-0005-0000-0000-000049470000}"/>
    <cellStyle name="Normal 2 2 2 3 25 5 9" xfId="18288" xr:uid="{00000000-0005-0000-0000-00004A470000}"/>
    <cellStyle name="Normal 2 2 2 3 25 6" xfId="18289" xr:uid="{00000000-0005-0000-0000-00004B470000}"/>
    <cellStyle name="Normal 2 2 2 3 25 7" xfId="18290" xr:uid="{00000000-0005-0000-0000-00004C470000}"/>
    <cellStyle name="Normal 2 2 2 3 25 8" xfId="18291" xr:uid="{00000000-0005-0000-0000-00004D470000}"/>
    <cellStyle name="Normal 2 2 2 3 25 9" xfId="18292" xr:uid="{00000000-0005-0000-0000-00004E470000}"/>
    <cellStyle name="Normal 2 2 2 3 26" xfId="18293" xr:uid="{00000000-0005-0000-0000-00004F470000}"/>
    <cellStyle name="Normal 2 2 2 3 26 10" xfId="18294" xr:uid="{00000000-0005-0000-0000-000050470000}"/>
    <cellStyle name="Normal 2 2 2 3 26 11" xfId="18295" xr:uid="{00000000-0005-0000-0000-000051470000}"/>
    <cellStyle name="Normal 2 2 2 3 26 12" xfId="18296" xr:uid="{00000000-0005-0000-0000-000052470000}"/>
    <cellStyle name="Normal 2 2 2 3 26 13" xfId="18297" xr:uid="{00000000-0005-0000-0000-000053470000}"/>
    <cellStyle name="Normal 2 2 2 3 26 14" xfId="18298" xr:uid="{00000000-0005-0000-0000-000054470000}"/>
    <cellStyle name="Normal 2 2 2 3 26 2" xfId="18299" xr:uid="{00000000-0005-0000-0000-000055470000}"/>
    <cellStyle name="Normal 2 2 2 3 26 2 10" xfId="18300" xr:uid="{00000000-0005-0000-0000-000056470000}"/>
    <cellStyle name="Normal 2 2 2 3 26 2 2" xfId="18301" xr:uid="{00000000-0005-0000-0000-000057470000}"/>
    <cellStyle name="Normal 2 2 2 3 26 2 3" xfId="18302" xr:uid="{00000000-0005-0000-0000-000058470000}"/>
    <cellStyle name="Normal 2 2 2 3 26 2 4" xfId="18303" xr:uid="{00000000-0005-0000-0000-000059470000}"/>
    <cellStyle name="Normal 2 2 2 3 26 2 5" xfId="18304" xr:uid="{00000000-0005-0000-0000-00005A470000}"/>
    <cellStyle name="Normal 2 2 2 3 26 2 6" xfId="18305" xr:uid="{00000000-0005-0000-0000-00005B470000}"/>
    <cellStyle name="Normal 2 2 2 3 26 2 7" xfId="18306" xr:uid="{00000000-0005-0000-0000-00005C470000}"/>
    <cellStyle name="Normal 2 2 2 3 26 2 8" xfId="18307" xr:uid="{00000000-0005-0000-0000-00005D470000}"/>
    <cellStyle name="Normal 2 2 2 3 26 2 9" xfId="18308" xr:uid="{00000000-0005-0000-0000-00005E470000}"/>
    <cellStyle name="Normal 2 2 2 3 26 3" xfId="18309" xr:uid="{00000000-0005-0000-0000-00005F470000}"/>
    <cellStyle name="Normal 2 2 2 3 26 3 10" xfId="18310" xr:uid="{00000000-0005-0000-0000-000060470000}"/>
    <cellStyle name="Normal 2 2 2 3 26 3 2" xfId="18311" xr:uid="{00000000-0005-0000-0000-000061470000}"/>
    <cellStyle name="Normal 2 2 2 3 26 3 3" xfId="18312" xr:uid="{00000000-0005-0000-0000-000062470000}"/>
    <cellStyle name="Normal 2 2 2 3 26 3 4" xfId="18313" xr:uid="{00000000-0005-0000-0000-000063470000}"/>
    <cellStyle name="Normal 2 2 2 3 26 3 5" xfId="18314" xr:uid="{00000000-0005-0000-0000-000064470000}"/>
    <cellStyle name="Normal 2 2 2 3 26 3 6" xfId="18315" xr:uid="{00000000-0005-0000-0000-000065470000}"/>
    <cellStyle name="Normal 2 2 2 3 26 3 7" xfId="18316" xr:uid="{00000000-0005-0000-0000-000066470000}"/>
    <cellStyle name="Normal 2 2 2 3 26 3 8" xfId="18317" xr:uid="{00000000-0005-0000-0000-000067470000}"/>
    <cellStyle name="Normal 2 2 2 3 26 3 9" xfId="18318" xr:uid="{00000000-0005-0000-0000-000068470000}"/>
    <cellStyle name="Normal 2 2 2 3 26 4" xfId="18319" xr:uid="{00000000-0005-0000-0000-000069470000}"/>
    <cellStyle name="Normal 2 2 2 3 26 4 10" xfId="18320" xr:uid="{00000000-0005-0000-0000-00006A470000}"/>
    <cellStyle name="Normal 2 2 2 3 26 4 2" xfId="18321" xr:uid="{00000000-0005-0000-0000-00006B470000}"/>
    <cellStyle name="Normal 2 2 2 3 26 4 3" xfId="18322" xr:uid="{00000000-0005-0000-0000-00006C470000}"/>
    <cellStyle name="Normal 2 2 2 3 26 4 4" xfId="18323" xr:uid="{00000000-0005-0000-0000-00006D470000}"/>
    <cellStyle name="Normal 2 2 2 3 26 4 5" xfId="18324" xr:uid="{00000000-0005-0000-0000-00006E470000}"/>
    <cellStyle name="Normal 2 2 2 3 26 4 6" xfId="18325" xr:uid="{00000000-0005-0000-0000-00006F470000}"/>
    <cellStyle name="Normal 2 2 2 3 26 4 7" xfId="18326" xr:uid="{00000000-0005-0000-0000-000070470000}"/>
    <cellStyle name="Normal 2 2 2 3 26 4 8" xfId="18327" xr:uid="{00000000-0005-0000-0000-000071470000}"/>
    <cellStyle name="Normal 2 2 2 3 26 4 9" xfId="18328" xr:uid="{00000000-0005-0000-0000-000072470000}"/>
    <cellStyle name="Normal 2 2 2 3 26 5" xfId="18329" xr:uid="{00000000-0005-0000-0000-000073470000}"/>
    <cellStyle name="Normal 2 2 2 3 26 5 10" xfId="18330" xr:uid="{00000000-0005-0000-0000-000074470000}"/>
    <cellStyle name="Normal 2 2 2 3 26 5 2" xfId="18331" xr:uid="{00000000-0005-0000-0000-000075470000}"/>
    <cellStyle name="Normal 2 2 2 3 26 5 3" xfId="18332" xr:uid="{00000000-0005-0000-0000-000076470000}"/>
    <cellStyle name="Normal 2 2 2 3 26 5 4" xfId="18333" xr:uid="{00000000-0005-0000-0000-000077470000}"/>
    <cellStyle name="Normal 2 2 2 3 26 5 5" xfId="18334" xr:uid="{00000000-0005-0000-0000-000078470000}"/>
    <cellStyle name="Normal 2 2 2 3 26 5 6" xfId="18335" xr:uid="{00000000-0005-0000-0000-000079470000}"/>
    <cellStyle name="Normal 2 2 2 3 26 5 7" xfId="18336" xr:uid="{00000000-0005-0000-0000-00007A470000}"/>
    <cellStyle name="Normal 2 2 2 3 26 5 8" xfId="18337" xr:uid="{00000000-0005-0000-0000-00007B470000}"/>
    <cellStyle name="Normal 2 2 2 3 26 5 9" xfId="18338" xr:uid="{00000000-0005-0000-0000-00007C470000}"/>
    <cellStyle name="Normal 2 2 2 3 26 6" xfId="18339" xr:uid="{00000000-0005-0000-0000-00007D470000}"/>
    <cellStyle name="Normal 2 2 2 3 26 7" xfId="18340" xr:uid="{00000000-0005-0000-0000-00007E470000}"/>
    <cellStyle name="Normal 2 2 2 3 26 8" xfId="18341" xr:uid="{00000000-0005-0000-0000-00007F470000}"/>
    <cellStyle name="Normal 2 2 2 3 26 9" xfId="18342" xr:uid="{00000000-0005-0000-0000-000080470000}"/>
    <cellStyle name="Normal 2 2 2 3 27" xfId="18343" xr:uid="{00000000-0005-0000-0000-000081470000}"/>
    <cellStyle name="Normal 2 2 2 3 27 10" xfId="18344" xr:uid="{00000000-0005-0000-0000-000082470000}"/>
    <cellStyle name="Normal 2 2 2 3 27 11" xfId="18345" xr:uid="{00000000-0005-0000-0000-000083470000}"/>
    <cellStyle name="Normal 2 2 2 3 27 12" xfId="18346" xr:uid="{00000000-0005-0000-0000-000084470000}"/>
    <cellStyle name="Normal 2 2 2 3 27 13" xfId="18347" xr:uid="{00000000-0005-0000-0000-000085470000}"/>
    <cellStyle name="Normal 2 2 2 3 27 14" xfId="18348" xr:uid="{00000000-0005-0000-0000-000086470000}"/>
    <cellStyle name="Normal 2 2 2 3 27 2" xfId="18349" xr:uid="{00000000-0005-0000-0000-000087470000}"/>
    <cellStyle name="Normal 2 2 2 3 27 2 10" xfId="18350" xr:uid="{00000000-0005-0000-0000-000088470000}"/>
    <cellStyle name="Normal 2 2 2 3 27 2 2" xfId="18351" xr:uid="{00000000-0005-0000-0000-000089470000}"/>
    <cellStyle name="Normal 2 2 2 3 27 2 3" xfId="18352" xr:uid="{00000000-0005-0000-0000-00008A470000}"/>
    <cellStyle name="Normal 2 2 2 3 27 2 4" xfId="18353" xr:uid="{00000000-0005-0000-0000-00008B470000}"/>
    <cellStyle name="Normal 2 2 2 3 27 2 5" xfId="18354" xr:uid="{00000000-0005-0000-0000-00008C470000}"/>
    <cellStyle name="Normal 2 2 2 3 27 2 6" xfId="18355" xr:uid="{00000000-0005-0000-0000-00008D470000}"/>
    <cellStyle name="Normal 2 2 2 3 27 2 7" xfId="18356" xr:uid="{00000000-0005-0000-0000-00008E470000}"/>
    <cellStyle name="Normal 2 2 2 3 27 2 8" xfId="18357" xr:uid="{00000000-0005-0000-0000-00008F470000}"/>
    <cellStyle name="Normal 2 2 2 3 27 2 9" xfId="18358" xr:uid="{00000000-0005-0000-0000-000090470000}"/>
    <cellStyle name="Normal 2 2 2 3 27 3" xfId="18359" xr:uid="{00000000-0005-0000-0000-000091470000}"/>
    <cellStyle name="Normal 2 2 2 3 27 3 10" xfId="18360" xr:uid="{00000000-0005-0000-0000-000092470000}"/>
    <cellStyle name="Normal 2 2 2 3 27 3 2" xfId="18361" xr:uid="{00000000-0005-0000-0000-000093470000}"/>
    <cellStyle name="Normal 2 2 2 3 27 3 3" xfId="18362" xr:uid="{00000000-0005-0000-0000-000094470000}"/>
    <cellStyle name="Normal 2 2 2 3 27 3 4" xfId="18363" xr:uid="{00000000-0005-0000-0000-000095470000}"/>
    <cellStyle name="Normal 2 2 2 3 27 3 5" xfId="18364" xr:uid="{00000000-0005-0000-0000-000096470000}"/>
    <cellStyle name="Normal 2 2 2 3 27 3 6" xfId="18365" xr:uid="{00000000-0005-0000-0000-000097470000}"/>
    <cellStyle name="Normal 2 2 2 3 27 3 7" xfId="18366" xr:uid="{00000000-0005-0000-0000-000098470000}"/>
    <cellStyle name="Normal 2 2 2 3 27 3 8" xfId="18367" xr:uid="{00000000-0005-0000-0000-000099470000}"/>
    <cellStyle name="Normal 2 2 2 3 27 3 9" xfId="18368" xr:uid="{00000000-0005-0000-0000-00009A470000}"/>
    <cellStyle name="Normal 2 2 2 3 27 4" xfId="18369" xr:uid="{00000000-0005-0000-0000-00009B470000}"/>
    <cellStyle name="Normal 2 2 2 3 27 4 10" xfId="18370" xr:uid="{00000000-0005-0000-0000-00009C470000}"/>
    <cellStyle name="Normal 2 2 2 3 27 4 2" xfId="18371" xr:uid="{00000000-0005-0000-0000-00009D470000}"/>
    <cellStyle name="Normal 2 2 2 3 27 4 3" xfId="18372" xr:uid="{00000000-0005-0000-0000-00009E470000}"/>
    <cellStyle name="Normal 2 2 2 3 27 4 4" xfId="18373" xr:uid="{00000000-0005-0000-0000-00009F470000}"/>
    <cellStyle name="Normal 2 2 2 3 27 4 5" xfId="18374" xr:uid="{00000000-0005-0000-0000-0000A0470000}"/>
    <cellStyle name="Normal 2 2 2 3 27 4 6" xfId="18375" xr:uid="{00000000-0005-0000-0000-0000A1470000}"/>
    <cellStyle name="Normal 2 2 2 3 27 4 7" xfId="18376" xr:uid="{00000000-0005-0000-0000-0000A2470000}"/>
    <cellStyle name="Normal 2 2 2 3 27 4 8" xfId="18377" xr:uid="{00000000-0005-0000-0000-0000A3470000}"/>
    <cellStyle name="Normal 2 2 2 3 27 4 9" xfId="18378" xr:uid="{00000000-0005-0000-0000-0000A4470000}"/>
    <cellStyle name="Normal 2 2 2 3 27 5" xfId="18379" xr:uid="{00000000-0005-0000-0000-0000A5470000}"/>
    <cellStyle name="Normal 2 2 2 3 27 5 10" xfId="18380" xr:uid="{00000000-0005-0000-0000-0000A6470000}"/>
    <cellStyle name="Normal 2 2 2 3 27 5 2" xfId="18381" xr:uid="{00000000-0005-0000-0000-0000A7470000}"/>
    <cellStyle name="Normal 2 2 2 3 27 5 3" xfId="18382" xr:uid="{00000000-0005-0000-0000-0000A8470000}"/>
    <cellStyle name="Normal 2 2 2 3 27 5 4" xfId="18383" xr:uid="{00000000-0005-0000-0000-0000A9470000}"/>
    <cellStyle name="Normal 2 2 2 3 27 5 5" xfId="18384" xr:uid="{00000000-0005-0000-0000-0000AA470000}"/>
    <cellStyle name="Normal 2 2 2 3 27 5 6" xfId="18385" xr:uid="{00000000-0005-0000-0000-0000AB470000}"/>
    <cellStyle name="Normal 2 2 2 3 27 5 7" xfId="18386" xr:uid="{00000000-0005-0000-0000-0000AC470000}"/>
    <cellStyle name="Normal 2 2 2 3 27 5 8" xfId="18387" xr:uid="{00000000-0005-0000-0000-0000AD470000}"/>
    <cellStyle name="Normal 2 2 2 3 27 5 9" xfId="18388" xr:uid="{00000000-0005-0000-0000-0000AE470000}"/>
    <cellStyle name="Normal 2 2 2 3 27 6" xfId="18389" xr:uid="{00000000-0005-0000-0000-0000AF470000}"/>
    <cellStyle name="Normal 2 2 2 3 27 7" xfId="18390" xr:uid="{00000000-0005-0000-0000-0000B0470000}"/>
    <cellStyle name="Normal 2 2 2 3 27 8" xfId="18391" xr:uid="{00000000-0005-0000-0000-0000B1470000}"/>
    <cellStyle name="Normal 2 2 2 3 27 9" xfId="18392" xr:uid="{00000000-0005-0000-0000-0000B2470000}"/>
    <cellStyle name="Normal 2 2 2 3 28" xfId="18393" xr:uid="{00000000-0005-0000-0000-0000B3470000}"/>
    <cellStyle name="Normal 2 2 2 3 28 10" xfId="18394" xr:uid="{00000000-0005-0000-0000-0000B4470000}"/>
    <cellStyle name="Normal 2 2 2 3 28 11" xfId="18395" xr:uid="{00000000-0005-0000-0000-0000B5470000}"/>
    <cellStyle name="Normal 2 2 2 3 28 12" xfId="18396" xr:uid="{00000000-0005-0000-0000-0000B6470000}"/>
    <cellStyle name="Normal 2 2 2 3 28 13" xfId="18397" xr:uid="{00000000-0005-0000-0000-0000B7470000}"/>
    <cellStyle name="Normal 2 2 2 3 28 14" xfId="18398" xr:uid="{00000000-0005-0000-0000-0000B8470000}"/>
    <cellStyle name="Normal 2 2 2 3 28 2" xfId="18399" xr:uid="{00000000-0005-0000-0000-0000B9470000}"/>
    <cellStyle name="Normal 2 2 2 3 28 2 10" xfId="18400" xr:uid="{00000000-0005-0000-0000-0000BA470000}"/>
    <cellStyle name="Normal 2 2 2 3 28 2 2" xfId="18401" xr:uid="{00000000-0005-0000-0000-0000BB470000}"/>
    <cellStyle name="Normal 2 2 2 3 28 2 3" xfId="18402" xr:uid="{00000000-0005-0000-0000-0000BC470000}"/>
    <cellStyle name="Normal 2 2 2 3 28 2 4" xfId="18403" xr:uid="{00000000-0005-0000-0000-0000BD470000}"/>
    <cellStyle name="Normal 2 2 2 3 28 2 5" xfId="18404" xr:uid="{00000000-0005-0000-0000-0000BE470000}"/>
    <cellStyle name="Normal 2 2 2 3 28 2 6" xfId="18405" xr:uid="{00000000-0005-0000-0000-0000BF470000}"/>
    <cellStyle name="Normal 2 2 2 3 28 2 7" xfId="18406" xr:uid="{00000000-0005-0000-0000-0000C0470000}"/>
    <cellStyle name="Normal 2 2 2 3 28 2 8" xfId="18407" xr:uid="{00000000-0005-0000-0000-0000C1470000}"/>
    <cellStyle name="Normal 2 2 2 3 28 2 9" xfId="18408" xr:uid="{00000000-0005-0000-0000-0000C2470000}"/>
    <cellStyle name="Normal 2 2 2 3 28 3" xfId="18409" xr:uid="{00000000-0005-0000-0000-0000C3470000}"/>
    <cellStyle name="Normal 2 2 2 3 28 3 10" xfId="18410" xr:uid="{00000000-0005-0000-0000-0000C4470000}"/>
    <cellStyle name="Normal 2 2 2 3 28 3 2" xfId="18411" xr:uid="{00000000-0005-0000-0000-0000C5470000}"/>
    <cellStyle name="Normal 2 2 2 3 28 3 3" xfId="18412" xr:uid="{00000000-0005-0000-0000-0000C6470000}"/>
    <cellStyle name="Normal 2 2 2 3 28 3 4" xfId="18413" xr:uid="{00000000-0005-0000-0000-0000C7470000}"/>
    <cellStyle name="Normal 2 2 2 3 28 3 5" xfId="18414" xr:uid="{00000000-0005-0000-0000-0000C8470000}"/>
    <cellStyle name="Normal 2 2 2 3 28 3 6" xfId="18415" xr:uid="{00000000-0005-0000-0000-0000C9470000}"/>
    <cellStyle name="Normal 2 2 2 3 28 3 7" xfId="18416" xr:uid="{00000000-0005-0000-0000-0000CA470000}"/>
    <cellStyle name="Normal 2 2 2 3 28 3 8" xfId="18417" xr:uid="{00000000-0005-0000-0000-0000CB470000}"/>
    <cellStyle name="Normal 2 2 2 3 28 3 9" xfId="18418" xr:uid="{00000000-0005-0000-0000-0000CC470000}"/>
    <cellStyle name="Normal 2 2 2 3 28 4" xfId="18419" xr:uid="{00000000-0005-0000-0000-0000CD470000}"/>
    <cellStyle name="Normal 2 2 2 3 28 4 10" xfId="18420" xr:uid="{00000000-0005-0000-0000-0000CE470000}"/>
    <cellStyle name="Normal 2 2 2 3 28 4 2" xfId="18421" xr:uid="{00000000-0005-0000-0000-0000CF470000}"/>
    <cellStyle name="Normal 2 2 2 3 28 4 3" xfId="18422" xr:uid="{00000000-0005-0000-0000-0000D0470000}"/>
    <cellStyle name="Normal 2 2 2 3 28 4 4" xfId="18423" xr:uid="{00000000-0005-0000-0000-0000D1470000}"/>
    <cellStyle name="Normal 2 2 2 3 28 4 5" xfId="18424" xr:uid="{00000000-0005-0000-0000-0000D2470000}"/>
    <cellStyle name="Normal 2 2 2 3 28 4 6" xfId="18425" xr:uid="{00000000-0005-0000-0000-0000D3470000}"/>
    <cellStyle name="Normal 2 2 2 3 28 4 7" xfId="18426" xr:uid="{00000000-0005-0000-0000-0000D4470000}"/>
    <cellStyle name="Normal 2 2 2 3 28 4 8" xfId="18427" xr:uid="{00000000-0005-0000-0000-0000D5470000}"/>
    <cellStyle name="Normal 2 2 2 3 28 4 9" xfId="18428" xr:uid="{00000000-0005-0000-0000-0000D6470000}"/>
    <cellStyle name="Normal 2 2 2 3 28 5" xfId="18429" xr:uid="{00000000-0005-0000-0000-0000D7470000}"/>
    <cellStyle name="Normal 2 2 2 3 28 5 10" xfId="18430" xr:uid="{00000000-0005-0000-0000-0000D8470000}"/>
    <cellStyle name="Normal 2 2 2 3 28 5 2" xfId="18431" xr:uid="{00000000-0005-0000-0000-0000D9470000}"/>
    <cellStyle name="Normal 2 2 2 3 28 5 3" xfId="18432" xr:uid="{00000000-0005-0000-0000-0000DA470000}"/>
    <cellStyle name="Normal 2 2 2 3 28 5 4" xfId="18433" xr:uid="{00000000-0005-0000-0000-0000DB470000}"/>
    <cellStyle name="Normal 2 2 2 3 28 5 5" xfId="18434" xr:uid="{00000000-0005-0000-0000-0000DC470000}"/>
    <cellStyle name="Normal 2 2 2 3 28 5 6" xfId="18435" xr:uid="{00000000-0005-0000-0000-0000DD470000}"/>
    <cellStyle name="Normal 2 2 2 3 28 5 7" xfId="18436" xr:uid="{00000000-0005-0000-0000-0000DE470000}"/>
    <cellStyle name="Normal 2 2 2 3 28 5 8" xfId="18437" xr:uid="{00000000-0005-0000-0000-0000DF470000}"/>
    <cellStyle name="Normal 2 2 2 3 28 5 9" xfId="18438" xr:uid="{00000000-0005-0000-0000-0000E0470000}"/>
    <cellStyle name="Normal 2 2 2 3 28 6" xfId="18439" xr:uid="{00000000-0005-0000-0000-0000E1470000}"/>
    <cellStyle name="Normal 2 2 2 3 28 7" xfId="18440" xr:uid="{00000000-0005-0000-0000-0000E2470000}"/>
    <cellStyle name="Normal 2 2 2 3 28 8" xfId="18441" xr:uid="{00000000-0005-0000-0000-0000E3470000}"/>
    <cellStyle name="Normal 2 2 2 3 28 9" xfId="18442" xr:uid="{00000000-0005-0000-0000-0000E4470000}"/>
    <cellStyle name="Normal 2 2 2 3 29" xfId="18443" xr:uid="{00000000-0005-0000-0000-0000E5470000}"/>
    <cellStyle name="Normal 2 2 2 3 29 10" xfId="18444" xr:uid="{00000000-0005-0000-0000-0000E6470000}"/>
    <cellStyle name="Normal 2 2 2 3 29 11" xfId="18445" xr:uid="{00000000-0005-0000-0000-0000E7470000}"/>
    <cellStyle name="Normal 2 2 2 3 29 12" xfId="18446" xr:uid="{00000000-0005-0000-0000-0000E8470000}"/>
    <cellStyle name="Normal 2 2 2 3 29 13" xfId="18447" xr:uid="{00000000-0005-0000-0000-0000E9470000}"/>
    <cellStyle name="Normal 2 2 2 3 29 14" xfId="18448" xr:uid="{00000000-0005-0000-0000-0000EA470000}"/>
    <cellStyle name="Normal 2 2 2 3 29 2" xfId="18449" xr:uid="{00000000-0005-0000-0000-0000EB470000}"/>
    <cellStyle name="Normal 2 2 2 3 29 2 10" xfId="18450" xr:uid="{00000000-0005-0000-0000-0000EC470000}"/>
    <cellStyle name="Normal 2 2 2 3 29 2 2" xfId="18451" xr:uid="{00000000-0005-0000-0000-0000ED470000}"/>
    <cellStyle name="Normal 2 2 2 3 29 2 3" xfId="18452" xr:uid="{00000000-0005-0000-0000-0000EE470000}"/>
    <cellStyle name="Normal 2 2 2 3 29 2 4" xfId="18453" xr:uid="{00000000-0005-0000-0000-0000EF470000}"/>
    <cellStyle name="Normal 2 2 2 3 29 2 5" xfId="18454" xr:uid="{00000000-0005-0000-0000-0000F0470000}"/>
    <cellStyle name="Normal 2 2 2 3 29 2 6" xfId="18455" xr:uid="{00000000-0005-0000-0000-0000F1470000}"/>
    <cellStyle name="Normal 2 2 2 3 29 2 7" xfId="18456" xr:uid="{00000000-0005-0000-0000-0000F2470000}"/>
    <cellStyle name="Normal 2 2 2 3 29 2 8" xfId="18457" xr:uid="{00000000-0005-0000-0000-0000F3470000}"/>
    <cellStyle name="Normal 2 2 2 3 29 2 9" xfId="18458" xr:uid="{00000000-0005-0000-0000-0000F4470000}"/>
    <cellStyle name="Normal 2 2 2 3 29 3" xfId="18459" xr:uid="{00000000-0005-0000-0000-0000F5470000}"/>
    <cellStyle name="Normal 2 2 2 3 29 3 10" xfId="18460" xr:uid="{00000000-0005-0000-0000-0000F6470000}"/>
    <cellStyle name="Normal 2 2 2 3 29 3 2" xfId="18461" xr:uid="{00000000-0005-0000-0000-0000F7470000}"/>
    <cellStyle name="Normal 2 2 2 3 29 3 3" xfId="18462" xr:uid="{00000000-0005-0000-0000-0000F8470000}"/>
    <cellStyle name="Normal 2 2 2 3 29 3 4" xfId="18463" xr:uid="{00000000-0005-0000-0000-0000F9470000}"/>
    <cellStyle name="Normal 2 2 2 3 29 3 5" xfId="18464" xr:uid="{00000000-0005-0000-0000-0000FA470000}"/>
    <cellStyle name="Normal 2 2 2 3 29 3 6" xfId="18465" xr:uid="{00000000-0005-0000-0000-0000FB470000}"/>
    <cellStyle name="Normal 2 2 2 3 29 3 7" xfId="18466" xr:uid="{00000000-0005-0000-0000-0000FC470000}"/>
    <cellStyle name="Normal 2 2 2 3 29 3 8" xfId="18467" xr:uid="{00000000-0005-0000-0000-0000FD470000}"/>
    <cellStyle name="Normal 2 2 2 3 29 3 9" xfId="18468" xr:uid="{00000000-0005-0000-0000-0000FE470000}"/>
    <cellStyle name="Normal 2 2 2 3 29 4" xfId="18469" xr:uid="{00000000-0005-0000-0000-0000FF470000}"/>
    <cellStyle name="Normal 2 2 2 3 29 4 10" xfId="18470" xr:uid="{00000000-0005-0000-0000-000000480000}"/>
    <cellStyle name="Normal 2 2 2 3 29 4 2" xfId="18471" xr:uid="{00000000-0005-0000-0000-000001480000}"/>
    <cellStyle name="Normal 2 2 2 3 29 4 3" xfId="18472" xr:uid="{00000000-0005-0000-0000-000002480000}"/>
    <cellStyle name="Normal 2 2 2 3 29 4 4" xfId="18473" xr:uid="{00000000-0005-0000-0000-000003480000}"/>
    <cellStyle name="Normal 2 2 2 3 29 4 5" xfId="18474" xr:uid="{00000000-0005-0000-0000-000004480000}"/>
    <cellStyle name="Normal 2 2 2 3 29 4 6" xfId="18475" xr:uid="{00000000-0005-0000-0000-000005480000}"/>
    <cellStyle name="Normal 2 2 2 3 29 4 7" xfId="18476" xr:uid="{00000000-0005-0000-0000-000006480000}"/>
    <cellStyle name="Normal 2 2 2 3 29 4 8" xfId="18477" xr:uid="{00000000-0005-0000-0000-000007480000}"/>
    <cellStyle name="Normal 2 2 2 3 29 4 9" xfId="18478" xr:uid="{00000000-0005-0000-0000-000008480000}"/>
    <cellStyle name="Normal 2 2 2 3 29 5" xfId="18479" xr:uid="{00000000-0005-0000-0000-000009480000}"/>
    <cellStyle name="Normal 2 2 2 3 29 5 10" xfId="18480" xr:uid="{00000000-0005-0000-0000-00000A480000}"/>
    <cellStyle name="Normal 2 2 2 3 29 5 2" xfId="18481" xr:uid="{00000000-0005-0000-0000-00000B480000}"/>
    <cellStyle name="Normal 2 2 2 3 29 5 3" xfId="18482" xr:uid="{00000000-0005-0000-0000-00000C480000}"/>
    <cellStyle name="Normal 2 2 2 3 29 5 4" xfId="18483" xr:uid="{00000000-0005-0000-0000-00000D480000}"/>
    <cellStyle name="Normal 2 2 2 3 29 5 5" xfId="18484" xr:uid="{00000000-0005-0000-0000-00000E480000}"/>
    <cellStyle name="Normal 2 2 2 3 29 5 6" xfId="18485" xr:uid="{00000000-0005-0000-0000-00000F480000}"/>
    <cellStyle name="Normal 2 2 2 3 29 5 7" xfId="18486" xr:uid="{00000000-0005-0000-0000-000010480000}"/>
    <cellStyle name="Normal 2 2 2 3 29 5 8" xfId="18487" xr:uid="{00000000-0005-0000-0000-000011480000}"/>
    <cellStyle name="Normal 2 2 2 3 29 5 9" xfId="18488" xr:uid="{00000000-0005-0000-0000-000012480000}"/>
    <cellStyle name="Normal 2 2 2 3 29 6" xfId="18489" xr:uid="{00000000-0005-0000-0000-000013480000}"/>
    <cellStyle name="Normal 2 2 2 3 29 7" xfId="18490" xr:uid="{00000000-0005-0000-0000-000014480000}"/>
    <cellStyle name="Normal 2 2 2 3 29 8" xfId="18491" xr:uid="{00000000-0005-0000-0000-000015480000}"/>
    <cellStyle name="Normal 2 2 2 3 29 9" xfId="18492" xr:uid="{00000000-0005-0000-0000-000016480000}"/>
    <cellStyle name="Normal 2 2 2 3 3" xfId="18493" xr:uid="{00000000-0005-0000-0000-000017480000}"/>
    <cellStyle name="Normal 2 2 2 3 3 10" xfId="18494" xr:uid="{00000000-0005-0000-0000-000018480000}"/>
    <cellStyle name="Normal 2 2 2 3 3 11" xfId="18495" xr:uid="{00000000-0005-0000-0000-000019480000}"/>
    <cellStyle name="Normal 2 2 2 3 3 12" xfId="18496" xr:uid="{00000000-0005-0000-0000-00001A480000}"/>
    <cellStyle name="Normal 2 2 2 3 3 13" xfId="18497" xr:uid="{00000000-0005-0000-0000-00001B480000}"/>
    <cellStyle name="Normal 2 2 2 3 3 14" xfId="18498" xr:uid="{00000000-0005-0000-0000-00001C480000}"/>
    <cellStyle name="Normal 2 2 2 3 3 15" xfId="18499" xr:uid="{00000000-0005-0000-0000-00001D480000}"/>
    <cellStyle name="Normal 2 2 2 3 3 16" xfId="18500" xr:uid="{00000000-0005-0000-0000-00001E480000}"/>
    <cellStyle name="Normal 2 2 2 3 3 2" xfId="18501" xr:uid="{00000000-0005-0000-0000-00001F480000}"/>
    <cellStyle name="Normal 2 2 2 3 3 2 10" xfId="18502" xr:uid="{00000000-0005-0000-0000-000020480000}"/>
    <cellStyle name="Normal 2 2 2 3 3 2 11" xfId="18503" xr:uid="{00000000-0005-0000-0000-000021480000}"/>
    <cellStyle name="Normal 2 2 2 3 3 2 12" xfId="18504" xr:uid="{00000000-0005-0000-0000-000022480000}"/>
    <cellStyle name="Normal 2 2 2 3 3 2 2" xfId="18505" xr:uid="{00000000-0005-0000-0000-000023480000}"/>
    <cellStyle name="Normal 2 2 2 3 3 2 3" xfId="18506" xr:uid="{00000000-0005-0000-0000-000024480000}"/>
    <cellStyle name="Normal 2 2 2 3 3 2 4" xfId="18507" xr:uid="{00000000-0005-0000-0000-000025480000}"/>
    <cellStyle name="Normal 2 2 2 3 3 2 5" xfId="18508" xr:uid="{00000000-0005-0000-0000-000026480000}"/>
    <cellStyle name="Normal 2 2 2 3 3 2 6" xfId="18509" xr:uid="{00000000-0005-0000-0000-000027480000}"/>
    <cellStyle name="Normal 2 2 2 3 3 2 7" xfId="18510" xr:uid="{00000000-0005-0000-0000-000028480000}"/>
    <cellStyle name="Normal 2 2 2 3 3 2 8" xfId="18511" xr:uid="{00000000-0005-0000-0000-000029480000}"/>
    <cellStyle name="Normal 2 2 2 3 3 2 9" xfId="18512" xr:uid="{00000000-0005-0000-0000-00002A480000}"/>
    <cellStyle name="Normal 2 2 2 3 3 3" xfId="18513" xr:uid="{00000000-0005-0000-0000-00002B480000}"/>
    <cellStyle name="Normal 2 2 2 3 3 3 10" xfId="18514" xr:uid="{00000000-0005-0000-0000-00002C480000}"/>
    <cellStyle name="Normal 2 2 2 3 3 3 2" xfId="18515" xr:uid="{00000000-0005-0000-0000-00002D480000}"/>
    <cellStyle name="Normal 2 2 2 3 3 3 3" xfId="18516" xr:uid="{00000000-0005-0000-0000-00002E480000}"/>
    <cellStyle name="Normal 2 2 2 3 3 3 4" xfId="18517" xr:uid="{00000000-0005-0000-0000-00002F480000}"/>
    <cellStyle name="Normal 2 2 2 3 3 3 5" xfId="18518" xr:uid="{00000000-0005-0000-0000-000030480000}"/>
    <cellStyle name="Normal 2 2 2 3 3 3 6" xfId="18519" xr:uid="{00000000-0005-0000-0000-000031480000}"/>
    <cellStyle name="Normal 2 2 2 3 3 3 7" xfId="18520" xr:uid="{00000000-0005-0000-0000-000032480000}"/>
    <cellStyle name="Normal 2 2 2 3 3 3 8" xfId="18521" xr:uid="{00000000-0005-0000-0000-000033480000}"/>
    <cellStyle name="Normal 2 2 2 3 3 3 9" xfId="18522" xr:uid="{00000000-0005-0000-0000-000034480000}"/>
    <cellStyle name="Normal 2 2 2 3 3 4" xfId="18523" xr:uid="{00000000-0005-0000-0000-000035480000}"/>
    <cellStyle name="Normal 2 2 2 3 3 4 10" xfId="18524" xr:uid="{00000000-0005-0000-0000-000036480000}"/>
    <cellStyle name="Normal 2 2 2 3 3 4 2" xfId="18525" xr:uid="{00000000-0005-0000-0000-000037480000}"/>
    <cellStyle name="Normal 2 2 2 3 3 4 3" xfId="18526" xr:uid="{00000000-0005-0000-0000-000038480000}"/>
    <cellStyle name="Normal 2 2 2 3 3 4 4" xfId="18527" xr:uid="{00000000-0005-0000-0000-000039480000}"/>
    <cellStyle name="Normal 2 2 2 3 3 4 5" xfId="18528" xr:uid="{00000000-0005-0000-0000-00003A480000}"/>
    <cellStyle name="Normal 2 2 2 3 3 4 6" xfId="18529" xr:uid="{00000000-0005-0000-0000-00003B480000}"/>
    <cellStyle name="Normal 2 2 2 3 3 4 7" xfId="18530" xr:uid="{00000000-0005-0000-0000-00003C480000}"/>
    <cellStyle name="Normal 2 2 2 3 3 4 8" xfId="18531" xr:uid="{00000000-0005-0000-0000-00003D480000}"/>
    <cellStyle name="Normal 2 2 2 3 3 4 9" xfId="18532" xr:uid="{00000000-0005-0000-0000-00003E480000}"/>
    <cellStyle name="Normal 2 2 2 3 3 5" xfId="18533" xr:uid="{00000000-0005-0000-0000-00003F480000}"/>
    <cellStyle name="Normal 2 2 2 3 3 5 10" xfId="18534" xr:uid="{00000000-0005-0000-0000-000040480000}"/>
    <cellStyle name="Normal 2 2 2 3 3 5 2" xfId="18535" xr:uid="{00000000-0005-0000-0000-000041480000}"/>
    <cellStyle name="Normal 2 2 2 3 3 5 3" xfId="18536" xr:uid="{00000000-0005-0000-0000-000042480000}"/>
    <cellStyle name="Normal 2 2 2 3 3 5 4" xfId="18537" xr:uid="{00000000-0005-0000-0000-000043480000}"/>
    <cellStyle name="Normal 2 2 2 3 3 5 5" xfId="18538" xr:uid="{00000000-0005-0000-0000-000044480000}"/>
    <cellStyle name="Normal 2 2 2 3 3 5 6" xfId="18539" xr:uid="{00000000-0005-0000-0000-000045480000}"/>
    <cellStyle name="Normal 2 2 2 3 3 5 7" xfId="18540" xr:uid="{00000000-0005-0000-0000-000046480000}"/>
    <cellStyle name="Normal 2 2 2 3 3 5 8" xfId="18541" xr:uid="{00000000-0005-0000-0000-000047480000}"/>
    <cellStyle name="Normal 2 2 2 3 3 5 9" xfId="18542" xr:uid="{00000000-0005-0000-0000-000048480000}"/>
    <cellStyle name="Normal 2 2 2 3 3 6" xfId="18543" xr:uid="{00000000-0005-0000-0000-000049480000}"/>
    <cellStyle name="Normal 2 2 2 3 3 7" xfId="18544" xr:uid="{00000000-0005-0000-0000-00004A480000}"/>
    <cellStyle name="Normal 2 2 2 3 3 8" xfId="18545" xr:uid="{00000000-0005-0000-0000-00004B480000}"/>
    <cellStyle name="Normal 2 2 2 3 3 9" xfId="18546" xr:uid="{00000000-0005-0000-0000-00004C480000}"/>
    <cellStyle name="Normal 2 2 2 3 30" xfId="18547" xr:uid="{00000000-0005-0000-0000-00004D480000}"/>
    <cellStyle name="Normal 2 2 2 3 30 10" xfId="18548" xr:uid="{00000000-0005-0000-0000-00004E480000}"/>
    <cellStyle name="Normal 2 2 2 3 30 11" xfId="18549" xr:uid="{00000000-0005-0000-0000-00004F480000}"/>
    <cellStyle name="Normal 2 2 2 3 30 12" xfId="18550" xr:uid="{00000000-0005-0000-0000-000050480000}"/>
    <cellStyle name="Normal 2 2 2 3 30 13" xfId="18551" xr:uid="{00000000-0005-0000-0000-000051480000}"/>
    <cellStyle name="Normal 2 2 2 3 30 14" xfId="18552" xr:uid="{00000000-0005-0000-0000-000052480000}"/>
    <cellStyle name="Normal 2 2 2 3 30 2" xfId="18553" xr:uid="{00000000-0005-0000-0000-000053480000}"/>
    <cellStyle name="Normal 2 2 2 3 30 2 10" xfId="18554" xr:uid="{00000000-0005-0000-0000-000054480000}"/>
    <cellStyle name="Normal 2 2 2 3 30 2 2" xfId="18555" xr:uid="{00000000-0005-0000-0000-000055480000}"/>
    <cellStyle name="Normal 2 2 2 3 30 2 3" xfId="18556" xr:uid="{00000000-0005-0000-0000-000056480000}"/>
    <cellStyle name="Normal 2 2 2 3 30 2 4" xfId="18557" xr:uid="{00000000-0005-0000-0000-000057480000}"/>
    <cellStyle name="Normal 2 2 2 3 30 2 5" xfId="18558" xr:uid="{00000000-0005-0000-0000-000058480000}"/>
    <cellStyle name="Normal 2 2 2 3 30 2 6" xfId="18559" xr:uid="{00000000-0005-0000-0000-000059480000}"/>
    <cellStyle name="Normal 2 2 2 3 30 2 7" xfId="18560" xr:uid="{00000000-0005-0000-0000-00005A480000}"/>
    <cellStyle name="Normal 2 2 2 3 30 2 8" xfId="18561" xr:uid="{00000000-0005-0000-0000-00005B480000}"/>
    <cellStyle name="Normal 2 2 2 3 30 2 9" xfId="18562" xr:uid="{00000000-0005-0000-0000-00005C480000}"/>
    <cellStyle name="Normal 2 2 2 3 30 3" xfId="18563" xr:uid="{00000000-0005-0000-0000-00005D480000}"/>
    <cellStyle name="Normal 2 2 2 3 30 3 10" xfId="18564" xr:uid="{00000000-0005-0000-0000-00005E480000}"/>
    <cellStyle name="Normal 2 2 2 3 30 3 2" xfId="18565" xr:uid="{00000000-0005-0000-0000-00005F480000}"/>
    <cellStyle name="Normal 2 2 2 3 30 3 3" xfId="18566" xr:uid="{00000000-0005-0000-0000-000060480000}"/>
    <cellStyle name="Normal 2 2 2 3 30 3 4" xfId="18567" xr:uid="{00000000-0005-0000-0000-000061480000}"/>
    <cellStyle name="Normal 2 2 2 3 30 3 5" xfId="18568" xr:uid="{00000000-0005-0000-0000-000062480000}"/>
    <cellStyle name="Normal 2 2 2 3 30 3 6" xfId="18569" xr:uid="{00000000-0005-0000-0000-000063480000}"/>
    <cellStyle name="Normal 2 2 2 3 30 3 7" xfId="18570" xr:uid="{00000000-0005-0000-0000-000064480000}"/>
    <cellStyle name="Normal 2 2 2 3 30 3 8" xfId="18571" xr:uid="{00000000-0005-0000-0000-000065480000}"/>
    <cellStyle name="Normal 2 2 2 3 30 3 9" xfId="18572" xr:uid="{00000000-0005-0000-0000-000066480000}"/>
    <cellStyle name="Normal 2 2 2 3 30 4" xfId="18573" xr:uid="{00000000-0005-0000-0000-000067480000}"/>
    <cellStyle name="Normal 2 2 2 3 30 4 10" xfId="18574" xr:uid="{00000000-0005-0000-0000-000068480000}"/>
    <cellStyle name="Normal 2 2 2 3 30 4 2" xfId="18575" xr:uid="{00000000-0005-0000-0000-000069480000}"/>
    <cellStyle name="Normal 2 2 2 3 30 4 3" xfId="18576" xr:uid="{00000000-0005-0000-0000-00006A480000}"/>
    <cellStyle name="Normal 2 2 2 3 30 4 4" xfId="18577" xr:uid="{00000000-0005-0000-0000-00006B480000}"/>
    <cellStyle name="Normal 2 2 2 3 30 4 5" xfId="18578" xr:uid="{00000000-0005-0000-0000-00006C480000}"/>
    <cellStyle name="Normal 2 2 2 3 30 4 6" xfId="18579" xr:uid="{00000000-0005-0000-0000-00006D480000}"/>
    <cellStyle name="Normal 2 2 2 3 30 4 7" xfId="18580" xr:uid="{00000000-0005-0000-0000-00006E480000}"/>
    <cellStyle name="Normal 2 2 2 3 30 4 8" xfId="18581" xr:uid="{00000000-0005-0000-0000-00006F480000}"/>
    <cellStyle name="Normal 2 2 2 3 30 4 9" xfId="18582" xr:uid="{00000000-0005-0000-0000-000070480000}"/>
    <cellStyle name="Normal 2 2 2 3 30 5" xfId="18583" xr:uid="{00000000-0005-0000-0000-000071480000}"/>
    <cellStyle name="Normal 2 2 2 3 30 5 10" xfId="18584" xr:uid="{00000000-0005-0000-0000-000072480000}"/>
    <cellStyle name="Normal 2 2 2 3 30 5 2" xfId="18585" xr:uid="{00000000-0005-0000-0000-000073480000}"/>
    <cellStyle name="Normal 2 2 2 3 30 5 3" xfId="18586" xr:uid="{00000000-0005-0000-0000-000074480000}"/>
    <cellStyle name="Normal 2 2 2 3 30 5 4" xfId="18587" xr:uid="{00000000-0005-0000-0000-000075480000}"/>
    <cellStyle name="Normal 2 2 2 3 30 5 5" xfId="18588" xr:uid="{00000000-0005-0000-0000-000076480000}"/>
    <cellStyle name="Normal 2 2 2 3 30 5 6" xfId="18589" xr:uid="{00000000-0005-0000-0000-000077480000}"/>
    <cellStyle name="Normal 2 2 2 3 30 5 7" xfId="18590" xr:uid="{00000000-0005-0000-0000-000078480000}"/>
    <cellStyle name="Normal 2 2 2 3 30 5 8" xfId="18591" xr:uid="{00000000-0005-0000-0000-000079480000}"/>
    <cellStyle name="Normal 2 2 2 3 30 5 9" xfId="18592" xr:uid="{00000000-0005-0000-0000-00007A480000}"/>
    <cellStyle name="Normal 2 2 2 3 30 6" xfId="18593" xr:uid="{00000000-0005-0000-0000-00007B480000}"/>
    <cellStyle name="Normal 2 2 2 3 30 7" xfId="18594" xr:uid="{00000000-0005-0000-0000-00007C480000}"/>
    <cellStyle name="Normal 2 2 2 3 30 8" xfId="18595" xr:uid="{00000000-0005-0000-0000-00007D480000}"/>
    <cellStyle name="Normal 2 2 2 3 30 9" xfId="18596" xr:uid="{00000000-0005-0000-0000-00007E480000}"/>
    <cellStyle name="Normal 2 2 2 3 31" xfId="18597" xr:uid="{00000000-0005-0000-0000-00007F480000}"/>
    <cellStyle name="Normal 2 2 2 3 31 10" xfId="18598" xr:uid="{00000000-0005-0000-0000-000080480000}"/>
    <cellStyle name="Normal 2 2 2 3 31 11" xfId="18599" xr:uid="{00000000-0005-0000-0000-000081480000}"/>
    <cellStyle name="Normal 2 2 2 3 31 12" xfId="18600" xr:uid="{00000000-0005-0000-0000-000082480000}"/>
    <cellStyle name="Normal 2 2 2 3 31 13" xfId="18601" xr:uid="{00000000-0005-0000-0000-000083480000}"/>
    <cellStyle name="Normal 2 2 2 3 31 14" xfId="18602" xr:uid="{00000000-0005-0000-0000-000084480000}"/>
    <cellStyle name="Normal 2 2 2 3 31 2" xfId="18603" xr:uid="{00000000-0005-0000-0000-000085480000}"/>
    <cellStyle name="Normal 2 2 2 3 31 2 10" xfId="18604" xr:uid="{00000000-0005-0000-0000-000086480000}"/>
    <cellStyle name="Normal 2 2 2 3 31 2 2" xfId="18605" xr:uid="{00000000-0005-0000-0000-000087480000}"/>
    <cellStyle name="Normal 2 2 2 3 31 2 3" xfId="18606" xr:uid="{00000000-0005-0000-0000-000088480000}"/>
    <cellStyle name="Normal 2 2 2 3 31 2 4" xfId="18607" xr:uid="{00000000-0005-0000-0000-000089480000}"/>
    <cellStyle name="Normal 2 2 2 3 31 2 5" xfId="18608" xr:uid="{00000000-0005-0000-0000-00008A480000}"/>
    <cellStyle name="Normal 2 2 2 3 31 2 6" xfId="18609" xr:uid="{00000000-0005-0000-0000-00008B480000}"/>
    <cellStyle name="Normal 2 2 2 3 31 2 7" xfId="18610" xr:uid="{00000000-0005-0000-0000-00008C480000}"/>
    <cellStyle name="Normal 2 2 2 3 31 2 8" xfId="18611" xr:uid="{00000000-0005-0000-0000-00008D480000}"/>
    <cellStyle name="Normal 2 2 2 3 31 2 9" xfId="18612" xr:uid="{00000000-0005-0000-0000-00008E480000}"/>
    <cellStyle name="Normal 2 2 2 3 31 3" xfId="18613" xr:uid="{00000000-0005-0000-0000-00008F480000}"/>
    <cellStyle name="Normal 2 2 2 3 31 3 10" xfId="18614" xr:uid="{00000000-0005-0000-0000-000090480000}"/>
    <cellStyle name="Normal 2 2 2 3 31 3 2" xfId="18615" xr:uid="{00000000-0005-0000-0000-000091480000}"/>
    <cellStyle name="Normal 2 2 2 3 31 3 3" xfId="18616" xr:uid="{00000000-0005-0000-0000-000092480000}"/>
    <cellStyle name="Normal 2 2 2 3 31 3 4" xfId="18617" xr:uid="{00000000-0005-0000-0000-000093480000}"/>
    <cellStyle name="Normal 2 2 2 3 31 3 5" xfId="18618" xr:uid="{00000000-0005-0000-0000-000094480000}"/>
    <cellStyle name="Normal 2 2 2 3 31 3 6" xfId="18619" xr:uid="{00000000-0005-0000-0000-000095480000}"/>
    <cellStyle name="Normal 2 2 2 3 31 3 7" xfId="18620" xr:uid="{00000000-0005-0000-0000-000096480000}"/>
    <cellStyle name="Normal 2 2 2 3 31 3 8" xfId="18621" xr:uid="{00000000-0005-0000-0000-000097480000}"/>
    <cellStyle name="Normal 2 2 2 3 31 3 9" xfId="18622" xr:uid="{00000000-0005-0000-0000-000098480000}"/>
    <cellStyle name="Normal 2 2 2 3 31 4" xfId="18623" xr:uid="{00000000-0005-0000-0000-000099480000}"/>
    <cellStyle name="Normal 2 2 2 3 31 4 10" xfId="18624" xr:uid="{00000000-0005-0000-0000-00009A480000}"/>
    <cellStyle name="Normal 2 2 2 3 31 4 2" xfId="18625" xr:uid="{00000000-0005-0000-0000-00009B480000}"/>
    <cellStyle name="Normal 2 2 2 3 31 4 3" xfId="18626" xr:uid="{00000000-0005-0000-0000-00009C480000}"/>
    <cellStyle name="Normal 2 2 2 3 31 4 4" xfId="18627" xr:uid="{00000000-0005-0000-0000-00009D480000}"/>
    <cellStyle name="Normal 2 2 2 3 31 4 5" xfId="18628" xr:uid="{00000000-0005-0000-0000-00009E480000}"/>
    <cellStyle name="Normal 2 2 2 3 31 4 6" xfId="18629" xr:uid="{00000000-0005-0000-0000-00009F480000}"/>
    <cellStyle name="Normal 2 2 2 3 31 4 7" xfId="18630" xr:uid="{00000000-0005-0000-0000-0000A0480000}"/>
    <cellStyle name="Normal 2 2 2 3 31 4 8" xfId="18631" xr:uid="{00000000-0005-0000-0000-0000A1480000}"/>
    <cellStyle name="Normal 2 2 2 3 31 4 9" xfId="18632" xr:uid="{00000000-0005-0000-0000-0000A2480000}"/>
    <cellStyle name="Normal 2 2 2 3 31 5" xfId="18633" xr:uid="{00000000-0005-0000-0000-0000A3480000}"/>
    <cellStyle name="Normal 2 2 2 3 31 5 10" xfId="18634" xr:uid="{00000000-0005-0000-0000-0000A4480000}"/>
    <cellStyle name="Normal 2 2 2 3 31 5 2" xfId="18635" xr:uid="{00000000-0005-0000-0000-0000A5480000}"/>
    <cellStyle name="Normal 2 2 2 3 31 5 3" xfId="18636" xr:uid="{00000000-0005-0000-0000-0000A6480000}"/>
    <cellStyle name="Normal 2 2 2 3 31 5 4" xfId="18637" xr:uid="{00000000-0005-0000-0000-0000A7480000}"/>
    <cellStyle name="Normal 2 2 2 3 31 5 5" xfId="18638" xr:uid="{00000000-0005-0000-0000-0000A8480000}"/>
    <cellStyle name="Normal 2 2 2 3 31 5 6" xfId="18639" xr:uid="{00000000-0005-0000-0000-0000A9480000}"/>
    <cellStyle name="Normal 2 2 2 3 31 5 7" xfId="18640" xr:uid="{00000000-0005-0000-0000-0000AA480000}"/>
    <cellStyle name="Normal 2 2 2 3 31 5 8" xfId="18641" xr:uid="{00000000-0005-0000-0000-0000AB480000}"/>
    <cellStyle name="Normal 2 2 2 3 31 5 9" xfId="18642" xr:uid="{00000000-0005-0000-0000-0000AC480000}"/>
    <cellStyle name="Normal 2 2 2 3 31 6" xfId="18643" xr:uid="{00000000-0005-0000-0000-0000AD480000}"/>
    <cellStyle name="Normal 2 2 2 3 31 7" xfId="18644" xr:uid="{00000000-0005-0000-0000-0000AE480000}"/>
    <cellStyle name="Normal 2 2 2 3 31 8" xfId="18645" xr:uid="{00000000-0005-0000-0000-0000AF480000}"/>
    <cellStyle name="Normal 2 2 2 3 31 9" xfId="18646" xr:uid="{00000000-0005-0000-0000-0000B0480000}"/>
    <cellStyle name="Normal 2 2 2 3 32" xfId="18647" xr:uid="{00000000-0005-0000-0000-0000B1480000}"/>
    <cellStyle name="Normal 2 2 2 3 32 10" xfId="18648" xr:uid="{00000000-0005-0000-0000-0000B2480000}"/>
    <cellStyle name="Normal 2 2 2 3 32 11" xfId="18649" xr:uid="{00000000-0005-0000-0000-0000B3480000}"/>
    <cellStyle name="Normal 2 2 2 3 32 12" xfId="18650" xr:uid="{00000000-0005-0000-0000-0000B4480000}"/>
    <cellStyle name="Normal 2 2 2 3 32 13" xfId="18651" xr:uid="{00000000-0005-0000-0000-0000B5480000}"/>
    <cellStyle name="Normal 2 2 2 3 32 14" xfId="18652" xr:uid="{00000000-0005-0000-0000-0000B6480000}"/>
    <cellStyle name="Normal 2 2 2 3 32 2" xfId="18653" xr:uid="{00000000-0005-0000-0000-0000B7480000}"/>
    <cellStyle name="Normal 2 2 2 3 32 2 10" xfId="18654" xr:uid="{00000000-0005-0000-0000-0000B8480000}"/>
    <cellStyle name="Normal 2 2 2 3 32 2 2" xfId="18655" xr:uid="{00000000-0005-0000-0000-0000B9480000}"/>
    <cellStyle name="Normal 2 2 2 3 32 2 3" xfId="18656" xr:uid="{00000000-0005-0000-0000-0000BA480000}"/>
    <cellStyle name="Normal 2 2 2 3 32 2 4" xfId="18657" xr:uid="{00000000-0005-0000-0000-0000BB480000}"/>
    <cellStyle name="Normal 2 2 2 3 32 2 5" xfId="18658" xr:uid="{00000000-0005-0000-0000-0000BC480000}"/>
    <cellStyle name="Normal 2 2 2 3 32 2 6" xfId="18659" xr:uid="{00000000-0005-0000-0000-0000BD480000}"/>
    <cellStyle name="Normal 2 2 2 3 32 2 7" xfId="18660" xr:uid="{00000000-0005-0000-0000-0000BE480000}"/>
    <cellStyle name="Normal 2 2 2 3 32 2 8" xfId="18661" xr:uid="{00000000-0005-0000-0000-0000BF480000}"/>
    <cellStyle name="Normal 2 2 2 3 32 2 9" xfId="18662" xr:uid="{00000000-0005-0000-0000-0000C0480000}"/>
    <cellStyle name="Normal 2 2 2 3 32 3" xfId="18663" xr:uid="{00000000-0005-0000-0000-0000C1480000}"/>
    <cellStyle name="Normal 2 2 2 3 32 3 10" xfId="18664" xr:uid="{00000000-0005-0000-0000-0000C2480000}"/>
    <cellStyle name="Normal 2 2 2 3 32 3 2" xfId="18665" xr:uid="{00000000-0005-0000-0000-0000C3480000}"/>
    <cellStyle name="Normal 2 2 2 3 32 3 3" xfId="18666" xr:uid="{00000000-0005-0000-0000-0000C4480000}"/>
    <cellStyle name="Normal 2 2 2 3 32 3 4" xfId="18667" xr:uid="{00000000-0005-0000-0000-0000C5480000}"/>
    <cellStyle name="Normal 2 2 2 3 32 3 5" xfId="18668" xr:uid="{00000000-0005-0000-0000-0000C6480000}"/>
    <cellStyle name="Normal 2 2 2 3 32 3 6" xfId="18669" xr:uid="{00000000-0005-0000-0000-0000C7480000}"/>
    <cellStyle name="Normal 2 2 2 3 32 3 7" xfId="18670" xr:uid="{00000000-0005-0000-0000-0000C8480000}"/>
    <cellStyle name="Normal 2 2 2 3 32 3 8" xfId="18671" xr:uid="{00000000-0005-0000-0000-0000C9480000}"/>
    <cellStyle name="Normal 2 2 2 3 32 3 9" xfId="18672" xr:uid="{00000000-0005-0000-0000-0000CA480000}"/>
    <cellStyle name="Normal 2 2 2 3 32 4" xfId="18673" xr:uid="{00000000-0005-0000-0000-0000CB480000}"/>
    <cellStyle name="Normal 2 2 2 3 32 4 10" xfId="18674" xr:uid="{00000000-0005-0000-0000-0000CC480000}"/>
    <cellStyle name="Normal 2 2 2 3 32 4 2" xfId="18675" xr:uid="{00000000-0005-0000-0000-0000CD480000}"/>
    <cellStyle name="Normal 2 2 2 3 32 4 3" xfId="18676" xr:uid="{00000000-0005-0000-0000-0000CE480000}"/>
    <cellStyle name="Normal 2 2 2 3 32 4 4" xfId="18677" xr:uid="{00000000-0005-0000-0000-0000CF480000}"/>
    <cellStyle name="Normal 2 2 2 3 32 4 5" xfId="18678" xr:uid="{00000000-0005-0000-0000-0000D0480000}"/>
    <cellStyle name="Normal 2 2 2 3 32 4 6" xfId="18679" xr:uid="{00000000-0005-0000-0000-0000D1480000}"/>
    <cellStyle name="Normal 2 2 2 3 32 4 7" xfId="18680" xr:uid="{00000000-0005-0000-0000-0000D2480000}"/>
    <cellStyle name="Normal 2 2 2 3 32 4 8" xfId="18681" xr:uid="{00000000-0005-0000-0000-0000D3480000}"/>
    <cellStyle name="Normal 2 2 2 3 32 4 9" xfId="18682" xr:uid="{00000000-0005-0000-0000-0000D4480000}"/>
    <cellStyle name="Normal 2 2 2 3 32 5" xfId="18683" xr:uid="{00000000-0005-0000-0000-0000D5480000}"/>
    <cellStyle name="Normal 2 2 2 3 32 5 10" xfId="18684" xr:uid="{00000000-0005-0000-0000-0000D6480000}"/>
    <cellStyle name="Normal 2 2 2 3 32 5 2" xfId="18685" xr:uid="{00000000-0005-0000-0000-0000D7480000}"/>
    <cellStyle name="Normal 2 2 2 3 32 5 3" xfId="18686" xr:uid="{00000000-0005-0000-0000-0000D8480000}"/>
    <cellStyle name="Normal 2 2 2 3 32 5 4" xfId="18687" xr:uid="{00000000-0005-0000-0000-0000D9480000}"/>
    <cellStyle name="Normal 2 2 2 3 32 5 5" xfId="18688" xr:uid="{00000000-0005-0000-0000-0000DA480000}"/>
    <cellStyle name="Normal 2 2 2 3 32 5 6" xfId="18689" xr:uid="{00000000-0005-0000-0000-0000DB480000}"/>
    <cellStyle name="Normal 2 2 2 3 32 5 7" xfId="18690" xr:uid="{00000000-0005-0000-0000-0000DC480000}"/>
    <cellStyle name="Normal 2 2 2 3 32 5 8" xfId="18691" xr:uid="{00000000-0005-0000-0000-0000DD480000}"/>
    <cellStyle name="Normal 2 2 2 3 32 5 9" xfId="18692" xr:uid="{00000000-0005-0000-0000-0000DE480000}"/>
    <cellStyle name="Normal 2 2 2 3 32 6" xfId="18693" xr:uid="{00000000-0005-0000-0000-0000DF480000}"/>
    <cellStyle name="Normal 2 2 2 3 32 7" xfId="18694" xr:uid="{00000000-0005-0000-0000-0000E0480000}"/>
    <cellStyle name="Normal 2 2 2 3 32 8" xfId="18695" xr:uid="{00000000-0005-0000-0000-0000E1480000}"/>
    <cellStyle name="Normal 2 2 2 3 32 9" xfId="18696" xr:uid="{00000000-0005-0000-0000-0000E2480000}"/>
    <cellStyle name="Normal 2 2 2 3 33" xfId="18697" xr:uid="{00000000-0005-0000-0000-0000E3480000}"/>
    <cellStyle name="Normal 2 2 2 3 33 10" xfId="18698" xr:uid="{00000000-0005-0000-0000-0000E4480000}"/>
    <cellStyle name="Normal 2 2 2 3 33 11" xfId="18699" xr:uid="{00000000-0005-0000-0000-0000E5480000}"/>
    <cellStyle name="Normal 2 2 2 3 33 12" xfId="18700" xr:uid="{00000000-0005-0000-0000-0000E6480000}"/>
    <cellStyle name="Normal 2 2 2 3 33 13" xfId="18701" xr:uid="{00000000-0005-0000-0000-0000E7480000}"/>
    <cellStyle name="Normal 2 2 2 3 33 14" xfId="18702" xr:uid="{00000000-0005-0000-0000-0000E8480000}"/>
    <cellStyle name="Normal 2 2 2 3 33 2" xfId="18703" xr:uid="{00000000-0005-0000-0000-0000E9480000}"/>
    <cellStyle name="Normal 2 2 2 3 33 2 10" xfId="18704" xr:uid="{00000000-0005-0000-0000-0000EA480000}"/>
    <cellStyle name="Normal 2 2 2 3 33 2 2" xfId="18705" xr:uid="{00000000-0005-0000-0000-0000EB480000}"/>
    <cellStyle name="Normal 2 2 2 3 33 2 3" xfId="18706" xr:uid="{00000000-0005-0000-0000-0000EC480000}"/>
    <cellStyle name="Normal 2 2 2 3 33 2 4" xfId="18707" xr:uid="{00000000-0005-0000-0000-0000ED480000}"/>
    <cellStyle name="Normal 2 2 2 3 33 2 5" xfId="18708" xr:uid="{00000000-0005-0000-0000-0000EE480000}"/>
    <cellStyle name="Normal 2 2 2 3 33 2 6" xfId="18709" xr:uid="{00000000-0005-0000-0000-0000EF480000}"/>
    <cellStyle name="Normal 2 2 2 3 33 2 7" xfId="18710" xr:uid="{00000000-0005-0000-0000-0000F0480000}"/>
    <cellStyle name="Normal 2 2 2 3 33 2 8" xfId="18711" xr:uid="{00000000-0005-0000-0000-0000F1480000}"/>
    <cellStyle name="Normal 2 2 2 3 33 2 9" xfId="18712" xr:uid="{00000000-0005-0000-0000-0000F2480000}"/>
    <cellStyle name="Normal 2 2 2 3 33 3" xfId="18713" xr:uid="{00000000-0005-0000-0000-0000F3480000}"/>
    <cellStyle name="Normal 2 2 2 3 33 3 10" xfId="18714" xr:uid="{00000000-0005-0000-0000-0000F4480000}"/>
    <cellStyle name="Normal 2 2 2 3 33 3 2" xfId="18715" xr:uid="{00000000-0005-0000-0000-0000F5480000}"/>
    <cellStyle name="Normal 2 2 2 3 33 3 3" xfId="18716" xr:uid="{00000000-0005-0000-0000-0000F6480000}"/>
    <cellStyle name="Normal 2 2 2 3 33 3 4" xfId="18717" xr:uid="{00000000-0005-0000-0000-0000F7480000}"/>
    <cellStyle name="Normal 2 2 2 3 33 3 5" xfId="18718" xr:uid="{00000000-0005-0000-0000-0000F8480000}"/>
    <cellStyle name="Normal 2 2 2 3 33 3 6" xfId="18719" xr:uid="{00000000-0005-0000-0000-0000F9480000}"/>
    <cellStyle name="Normal 2 2 2 3 33 3 7" xfId="18720" xr:uid="{00000000-0005-0000-0000-0000FA480000}"/>
    <cellStyle name="Normal 2 2 2 3 33 3 8" xfId="18721" xr:uid="{00000000-0005-0000-0000-0000FB480000}"/>
    <cellStyle name="Normal 2 2 2 3 33 3 9" xfId="18722" xr:uid="{00000000-0005-0000-0000-0000FC480000}"/>
    <cellStyle name="Normal 2 2 2 3 33 4" xfId="18723" xr:uid="{00000000-0005-0000-0000-0000FD480000}"/>
    <cellStyle name="Normal 2 2 2 3 33 4 10" xfId="18724" xr:uid="{00000000-0005-0000-0000-0000FE480000}"/>
    <cellStyle name="Normal 2 2 2 3 33 4 2" xfId="18725" xr:uid="{00000000-0005-0000-0000-0000FF480000}"/>
    <cellStyle name="Normal 2 2 2 3 33 4 3" xfId="18726" xr:uid="{00000000-0005-0000-0000-000000490000}"/>
    <cellStyle name="Normal 2 2 2 3 33 4 4" xfId="18727" xr:uid="{00000000-0005-0000-0000-000001490000}"/>
    <cellStyle name="Normal 2 2 2 3 33 4 5" xfId="18728" xr:uid="{00000000-0005-0000-0000-000002490000}"/>
    <cellStyle name="Normal 2 2 2 3 33 4 6" xfId="18729" xr:uid="{00000000-0005-0000-0000-000003490000}"/>
    <cellStyle name="Normal 2 2 2 3 33 4 7" xfId="18730" xr:uid="{00000000-0005-0000-0000-000004490000}"/>
    <cellStyle name="Normal 2 2 2 3 33 4 8" xfId="18731" xr:uid="{00000000-0005-0000-0000-000005490000}"/>
    <cellStyle name="Normal 2 2 2 3 33 4 9" xfId="18732" xr:uid="{00000000-0005-0000-0000-000006490000}"/>
    <cellStyle name="Normal 2 2 2 3 33 5" xfId="18733" xr:uid="{00000000-0005-0000-0000-000007490000}"/>
    <cellStyle name="Normal 2 2 2 3 33 5 10" xfId="18734" xr:uid="{00000000-0005-0000-0000-000008490000}"/>
    <cellStyle name="Normal 2 2 2 3 33 5 2" xfId="18735" xr:uid="{00000000-0005-0000-0000-000009490000}"/>
    <cellStyle name="Normal 2 2 2 3 33 5 3" xfId="18736" xr:uid="{00000000-0005-0000-0000-00000A490000}"/>
    <cellStyle name="Normal 2 2 2 3 33 5 4" xfId="18737" xr:uid="{00000000-0005-0000-0000-00000B490000}"/>
    <cellStyle name="Normal 2 2 2 3 33 5 5" xfId="18738" xr:uid="{00000000-0005-0000-0000-00000C490000}"/>
    <cellStyle name="Normal 2 2 2 3 33 5 6" xfId="18739" xr:uid="{00000000-0005-0000-0000-00000D490000}"/>
    <cellStyle name="Normal 2 2 2 3 33 5 7" xfId="18740" xr:uid="{00000000-0005-0000-0000-00000E490000}"/>
    <cellStyle name="Normal 2 2 2 3 33 5 8" xfId="18741" xr:uid="{00000000-0005-0000-0000-00000F490000}"/>
    <cellStyle name="Normal 2 2 2 3 33 5 9" xfId="18742" xr:uid="{00000000-0005-0000-0000-000010490000}"/>
    <cellStyle name="Normal 2 2 2 3 33 6" xfId="18743" xr:uid="{00000000-0005-0000-0000-000011490000}"/>
    <cellStyle name="Normal 2 2 2 3 33 7" xfId="18744" xr:uid="{00000000-0005-0000-0000-000012490000}"/>
    <cellStyle name="Normal 2 2 2 3 33 8" xfId="18745" xr:uid="{00000000-0005-0000-0000-000013490000}"/>
    <cellStyle name="Normal 2 2 2 3 33 9" xfId="18746" xr:uid="{00000000-0005-0000-0000-000014490000}"/>
    <cellStyle name="Normal 2 2 2 3 34" xfId="18747" xr:uid="{00000000-0005-0000-0000-000015490000}"/>
    <cellStyle name="Normal 2 2 2 3 34 10" xfId="18748" xr:uid="{00000000-0005-0000-0000-000016490000}"/>
    <cellStyle name="Normal 2 2 2 3 34 2" xfId="18749" xr:uid="{00000000-0005-0000-0000-000017490000}"/>
    <cellStyle name="Normal 2 2 2 3 34 3" xfId="18750" xr:uid="{00000000-0005-0000-0000-000018490000}"/>
    <cellStyle name="Normal 2 2 2 3 34 4" xfId="18751" xr:uid="{00000000-0005-0000-0000-000019490000}"/>
    <cellStyle name="Normal 2 2 2 3 34 5" xfId="18752" xr:uid="{00000000-0005-0000-0000-00001A490000}"/>
    <cellStyle name="Normal 2 2 2 3 34 6" xfId="18753" xr:uid="{00000000-0005-0000-0000-00001B490000}"/>
    <cellStyle name="Normal 2 2 2 3 34 7" xfId="18754" xr:uid="{00000000-0005-0000-0000-00001C490000}"/>
    <cellStyle name="Normal 2 2 2 3 34 8" xfId="18755" xr:uid="{00000000-0005-0000-0000-00001D490000}"/>
    <cellStyle name="Normal 2 2 2 3 34 9" xfId="18756" xr:uid="{00000000-0005-0000-0000-00001E490000}"/>
    <cellStyle name="Normal 2 2 2 3 35" xfId="18757" xr:uid="{00000000-0005-0000-0000-00001F490000}"/>
    <cellStyle name="Normal 2 2 2 3 35 10" xfId="18758" xr:uid="{00000000-0005-0000-0000-000020490000}"/>
    <cellStyle name="Normal 2 2 2 3 35 2" xfId="18759" xr:uid="{00000000-0005-0000-0000-000021490000}"/>
    <cellStyle name="Normal 2 2 2 3 35 3" xfId="18760" xr:uid="{00000000-0005-0000-0000-000022490000}"/>
    <cellStyle name="Normal 2 2 2 3 35 4" xfId="18761" xr:uid="{00000000-0005-0000-0000-000023490000}"/>
    <cellStyle name="Normal 2 2 2 3 35 5" xfId="18762" xr:uid="{00000000-0005-0000-0000-000024490000}"/>
    <cellStyle name="Normal 2 2 2 3 35 6" xfId="18763" xr:uid="{00000000-0005-0000-0000-000025490000}"/>
    <cellStyle name="Normal 2 2 2 3 35 7" xfId="18764" xr:uid="{00000000-0005-0000-0000-000026490000}"/>
    <cellStyle name="Normal 2 2 2 3 35 8" xfId="18765" xr:uid="{00000000-0005-0000-0000-000027490000}"/>
    <cellStyle name="Normal 2 2 2 3 35 9" xfId="18766" xr:uid="{00000000-0005-0000-0000-000028490000}"/>
    <cellStyle name="Normal 2 2 2 3 36" xfId="18767" xr:uid="{00000000-0005-0000-0000-000029490000}"/>
    <cellStyle name="Normal 2 2 2 3 36 10" xfId="18768" xr:uid="{00000000-0005-0000-0000-00002A490000}"/>
    <cellStyle name="Normal 2 2 2 3 36 2" xfId="18769" xr:uid="{00000000-0005-0000-0000-00002B490000}"/>
    <cellStyle name="Normal 2 2 2 3 36 3" xfId="18770" xr:uid="{00000000-0005-0000-0000-00002C490000}"/>
    <cellStyle name="Normal 2 2 2 3 36 4" xfId="18771" xr:uid="{00000000-0005-0000-0000-00002D490000}"/>
    <cellStyle name="Normal 2 2 2 3 36 5" xfId="18772" xr:uid="{00000000-0005-0000-0000-00002E490000}"/>
    <cellStyle name="Normal 2 2 2 3 36 6" xfId="18773" xr:uid="{00000000-0005-0000-0000-00002F490000}"/>
    <cellStyle name="Normal 2 2 2 3 36 7" xfId="18774" xr:uid="{00000000-0005-0000-0000-000030490000}"/>
    <cellStyle name="Normal 2 2 2 3 36 8" xfId="18775" xr:uid="{00000000-0005-0000-0000-000031490000}"/>
    <cellStyle name="Normal 2 2 2 3 36 9" xfId="18776" xr:uid="{00000000-0005-0000-0000-000032490000}"/>
    <cellStyle name="Normal 2 2 2 3 37" xfId="18777" xr:uid="{00000000-0005-0000-0000-000033490000}"/>
    <cellStyle name="Normal 2 2 2 3 37 10" xfId="18778" xr:uid="{00000000-0005-0000-0000-000034490000}"/>
    <cellStyle name="Normal 2 2 2 3 37 2" xfId="18779" xr:uid="{00000000-0005-0000-0000-000035490000}"/>
    <cellStyle name="Normal 2 2 2 3 37 3" xfId="18780" xr:uid="{00000000-0005-0000-0000-000036490000}"/>
    <cellStyle name="Normal 2 2 2 3 37 4" xfId="18781" xr:uid="{00000000-0005-0000-0000-000037490000}"/>
    <cellStyle name="Normal 2 2 2 3 37 5" xfId="18782" xr:uid="{00000000-0005-0000-0000-000038490000}"/>
    <cellStyle name="Normal 2 2 2 3 37 6" xfId="18783" xr:uid="{00000000-0005-0000-0000-000039490000}"/>
    <cellStyle name="Normal 2 2 2 3 37 7" xfId="18784" xr:uid="{00000000-0005-0000-0000-00003A490000}"/>
    <cellStyle name="Normal 2 2 2 3 37 8" xfId="18785" xr:uid="{00000000-0005-0000-0000-00003B490000}"/>
    <cellStyle name="Normal 2 2 2 3 37 9" xfId="18786" xr:uid="{00000000-0005-0000-0000-00003C490000}"/>
    <cellStyle name="Normal 2 2 2 3 38" xfId="18787" xr:uid="{00000000-0005-0000-0000-00003D490000}"/>
    <cellStyle name="Normal 2 2 2 3 39" xfId="18788" xr:uid="{00000000-0005-0000-0000-00003E490000}"/>
    <cellStyle name="Normal 2 2 2 3 4" xfId="18789" xr:uid="{00000000-0005-0000-0000-00003F490000}"/>
    <cellStyle name="Normal 2 2 2 3 4 10" xfId="18790" xr:uid="{00000000-0005-0000-0000-000040490000}"/>
    <cellStyle name="Normal 2 2 2 3 4 11" xfId="18791" xr:uid="{00000000-0005-0000-0000-000041490000}"/>
    <cellStyle name="Normal 2 2 2 3 4 12" xfId="18792" xr:uid="{00000000-0005-0000-0000-000042490000}"/>
    <cellStyle name="Normal 2 2 2 3 4 13" xfId="18793" xr:uid="{00000000-0005-0000-0000-000043490000}"/>
    <cellStyle name="Normal 2 2 2 3 4 14" xfId="18794" xr:uid="{00000000-0005-0000-0000-000044490000}"/>
    <cellStyle name="Normal 2 2 2 3 4 15" xfId="18795" xr:uid="{00000000-0005-0000-0000-000045490000}"/>
    <cellStyle name="Normal 2 2 2 3 4 16" xfId="18796" xr:uid="{00000000-0005-0000-0000-000046490000}"/>
    <cellStyle name="Normal 2 2 2 3 4 2" xfId="18797" xr:uid="{00000000-0005-0000-0000-000047490000}"/>
    <cellStyle name="Normal 2 2 2 3 4 2 10" xfId="18798" xr:uid="{00000000-0005-0000-0000-000048490000}"/>
    <cellStyle name="Normal 2 2 2 3 4 2 2" xfId="18799" xr:uid="{00000000-0005-0000-0000-000049490000}"/>
    <cellStyle name="Normal 2 2 2 3 4 2 3" xfId="18800" xr:uid="{00000000-0005-0000-0000-00004A490000}"/>
    <cellStyle name="Normal 2 2 2 3 4 2 4" xfId="18801" xr:uid="{00000000-0005-0000-0000-00004B490000}"/>
    <cellStyle name="Normal 2 2 2 3 4 2 5" xfId="18802" xr:uid="{00000000-0005-0000-0000-00004C490000}"/>
    <cellStyle name="Normal 2 2 2 3 4 2 6" xfId="18803" xr:uid="{00000000-0005-0000-0000-00004D490000}"/>
    <cellStyle name="Normal 2 2 2 3 4 2 7" xfId="18804" xr:uid="{00000000-0005-0000-0000-00004E490000}"/>
    <cellStyle name="Normal 2 2 2 3 4 2 8" xfId="18805" xr:uid="{00000000-0005-0000-0000-00004F490000}"/>
    <cellStyle name="Normal 2 2 2 3 4 2 9" xfId="18806" xr:uid="{00000000-0005-0000-0000-000050490000}"/>
    <cellStyle name="Normal 2 2 2 3 4 3" xfId="18807" xr:uid="{00000000-0005-0000-0000-000051490000}"/>
    <cellStyle name="Normal 2 2 2 3 4 3 10" xfId="18808" xr:uid="{00000000-0005-0000-0000-000052490000}"/>
    <cellStyle name="Normal 2 2 2 3 4 3 2" xfId="18809" xr:uid="{00000000-0005-0000-0000-000053490000}"/>
    <cellStyle name="Normal 2 2 2 3 4 3 3" xfId="18810" xr:uid="{00000000-0005-0000-0000-000054490000}"/>
    <cellStyle name="Normal 2 2 2 3 4 3 4" xfId="18811" xr:uid="{00000000-0005-0000-0000-000055490000}"/>
    <cellStyle name="Normal 2 2 2 3 4 3 5" xfId="18812" xr:uid="{00000000-0005-0000-0000-000056490000}"/>
    <cellStyle name="Normal 2 2 2 3 4 3 6" xfId="18813" xr:uid="{00000000-0005-0000-0000-000057490000}"/>
    <cellStyle name="Normal 2 2 2 3 4 3 7" xfId="18814" xr:uid="{00000000-0005-0000-0000-000058490000}"/>
    <cellStyle name="Normal 2 2 2 3 4 3 8" xfId="18815" xr:uid="{00000000-0005-0000-0000-000059490000}"/>
    <cellStyle name="Normal 2 2 2 3 4 3 9" xfId="18816" xr:uid="{00000000-0005-0000-0000-00005A490000}"/>
    <cellStyle name="Normal 2 2 2 3 4 4" xfId="18817" xr:uid="{00000000-0005-0000-0000-00005B490000}"/>
    <cellStyle name="Normal 2 2 2 3 4 4 10" xfId="18818" xr:uid="{00000000-0005-0000-0000-00005C490000}"/>
    <cellStyle name="Normal 2 2 2 3 4 4 2" xfId="18819" xr:uid="{00000000-0005-0000-0000-00005D490000}"/>
    <cellStyle name="Normal 2 2 2 3 4 4 3" xfId="18820" xr:uid="{00000000-0005-0000-0000-00005E490000}"/>
    <cellStyle name="Normal 2 2 2 3 4 4 4" xfId="18821" xr:uid="{00000000-0005-0000-0000-00005F490000}"/>
    <cellStyle name="Normal 2 2 2 3 4 4 5" xfId="18822" xr:uid="{00000000-0005-0000-0000-000060490000}"/>
    <cellStyle name="Normal 2 2 2 3 4 4 6" xfId="18823" xr:uid="{00000000-0005-0000-0000-000061490000}"/>
    <cellStyle name="Normal 2 2 2 3 4 4 7" xfId="18824" xr:uid="{00000000-0005-0000-0000-000062490000}"/>
    <cellStyle name="Normal 2 2 2 3 4 4 8" xfId="18825" xr:uid="{00000000-0005-0000-0000-000063490000}"/>
    <cellStyle name="Normal 2 2 2 3 4 4 9" xfId="18826" xr:uid="{00000000-0005-0000-0000-000064490000}"/>
    <cellStyle name="Normal 2 2 2 3 4 5" xfId="18827" xr:uid="{00000000-0005-0000-0000-000065490000}"/>
    <cellStyle name="Normal 2 2 2 3 4 5 10" xfId="18828" xr:uid="{00000000-0005-0000-0000-000066490000}"/>
    <cellStyle name="Normal 2 2 2 3 4 5 2" xfId="18829" xr:uid="{00000000-0005-0000-0000-000067490000}"/>
    <cellStyle name="Normal 2 2 2 3 4 5 3" xfId="18830" xr:uid="{00000000-0005-0000-0000-000068490000}"/>
    <cellStyle name="Normal 2 2 2 3 4 5 4" xfId="18831" xr:uid="{00000000-0005-0000-0000-000069490000}"/>
    <cellStyle name="Normal 2 2 2 3 4 5 5" xfId="18832" xr:uid="{00000000-0005-0000-0000-00006A490000}"/>
    <cellStyle name="Normal 2 2 2 3 4 5 6" xfId="18833" xr:uid="{00000000-0005-0000-0000-00006B490000}"/>
    <cellStyle name="Normal 2 2 2 3 4 5 7" xfId="18834" xr:uid="{00000000-0005-0000-0000-00006C490000}"/>
    <cellStyle name="Normal 2 2 2 3 4 5 8" xfId="18835" xr:uid="{00000000-0005-0000-0000-00006D490000}"/>
    <cellStyle name="Normal 2 2 2 3 4 5 9" xfId="18836" xr:uid="{00000000-0005-0000-0000-00006E490000}"/>
    <cellStyle name="Normal 2 2 2 3 4 6" xfId="18837" xr:uid="{00000000-0005-0000-0000-00006F490000}"/>
    <cellStyle name="Normal 2 2 2 3 4 7" xfId="18838" xr:uid="{00000000-0005-0000-0000-000070490000}"/>
    <cellStyle name="Normal 2 2 2 3 4 8" xfId="18839" xr:uid="{00000000-0005-0000-0000-000071490000}"/>
    <cellStyle name="Normal 2 2 2 3 4 9" xfId="18840" xr:uid="{00000000-0005-0000-0000-000072490000}"/>
    <cellStyle name="Normal 2 2 2 3 40" xfId="18841" xr:uid="{00000000-0005-0000-0000-000073490000}"/>
    <cellStyle name="Normal 2 2 2 3 41" xfId="18842" xr:uid="{00000000-0005-0000-0000-000074490000}"/>
    <cellStyle name="Normal 2 2 2 3 42" xfId="18843" xr:uid="{00000000-0005-0000-0000-000075490000}"/>
    <cellStyle name="Normal 2 2 2 3 43" xfId="18844" xr:uid="{00000000-0005-0000-0000-000076490000}"/>
    <cellStyle name="Normal 2 2 2 3 44" xfId="18845" xr:uid="{00000000-0005-0000-0000-000077490000}"/>
    <cellStyle name="Normal 2 2 2 3 45" xfId="18846" xr:uid="{00000000-0005-0000-0000-000078490000}"/>
    <cellStyle name="Normal 2 2 2 3 46" xfId="18847" xr:uid="{00000000-0005-0000-0000-000079490000}"/>
    <cellStyle name="Normal 2 2 2 3 47" xfId="18848" xr:uid="{00000000-0005-0000-0000-00007A490000}"/>
    <cellStyle name="Normal 2 2 2 3 48" xfId="18849" xr:uid="{00000000-0005-0000-0000-00007B490000}"/>
    <cellStyle name="Normal 2 2 2 3 49" xfId="30" xr:uid="{00000000-0005-0000-0000-00007C490000}"/>
    <cellStyle name="Normal 2 2 2 3 5" xfId="18850" xr:uid="{00000000-0005-0000-0000-00007D490000}"/>
    <cellStyle name="Normal 2 2 2 3 5 10" xfId="18851" xr:uid="{00000000-0005-0000-0000-00007E490000}"/>
    <cellStyle name="Normal 2 2 2 3 5 11" xfId="18852" xr:uid="{00000000-0005-0000-0000-00007F490000}"/>
    <cellStyle name="Normal 2 2 2 3 5 12" xfId="18853" xr:uid="{00000000-0005-0000-0000-000080490000}"/>
    <cellStyle name="Normal 2 2 2 3 5 13" xfId="18854" xr:uid="{00000000-0005-0000-0000-000081490000}"/>
    <cellStyle name="Normal 2 2 2 3 5 14" xfId="18855" xr:uid="{00000000-0005-0000-0000-000082490000}"/>
    <cellStyle name="Normal 2 2 2 3 5 15" xfId="18856" xr:uid="{00000000-0005-0000-0000-000083490000}"/>
    <cellStyle name="Normal 2 2 2 3 5 2" xfId="18857" xr:uid="{00000000-0005-0000-0000-000084490000}"/>
    <cellStyle name="Normal 2 2 2 3 5 2 10" xfId="18858" xr:uid="{00000000-0005-0000-0000-000085490000}"/>
    <cellStyle name="Normal 2 2 2 3 5 2 2" xfId="18859" xr:uid="{00000000-0005-0000-0000-000086490000}"/>
    <cellStyle name="Normal 2 2 2 3 5 2 3" xfId="18860" xr:uid="{00000000-0005-0000-0000-000087490000}"/>
    <cellStyle name="Normal 2 2 2 3 5 2 4" xfId="18861" xr:uid="{00000000-0005-0000-0000-000088490000}"/>
    <cellStyle name="Normal 2 2 2 3 5 2 5" xfId="18862" xr:uid="{00000000-0005-0000-0000-000089490000}"/>
    <cellStyle name="Normal 2 2 2 3 5 2 6" xfId="18863" xr:uid="{00000000-0005-0000-0000-00008A490000}"/>
    <cellStyle name="Normal 2 2 2 3 5 2 7" xfId="18864" xr:uid="{00000000-0005-0000-0000-00008B490000}"/>
    <cellStyle name="Normal 2 2 2 3 5 2 8" xfId="18865" xr:uid="{00000000-0005-0000-0000-00008C490000}"/>
    <cellStyle name="Normal 2 2 2 3 5 2 9" xfId="18866" xr:uid="{00000000-0005-0000-0000-00008D490000}"/>
    <cellStyle name="Normal 2 2 2 3 5 3" xfId="18867" xr:uid="{00000000-0005-0000-0000-00008E490000}"/>
    <cellStyle name="Normal 2 2 2 3 5 3 10" xfId="18868" xr:uid="{00000000-0005-0000-0000-00008F490000}"/>
    <cellStyle name="Normal 2 2 2 3 5 3 2" xfId="18869" xr:uid="{00000000-0005-0000-0000-000090490000}"/>
    <cellStyle name="Normal 2 2 2 3 5 3 3" xfId="18870" xr:uid="{00000000-0005-0000-0000-000091490000}"/>
    <cellStyle name="Normal 2 2 2 3 5 3 4" xfId="18871" xr:uid="{00000000-0005-0000-0000-000092490000}"/>
    <cellStyle name="Normal 2 2 2 3 5 3 5" xfId="18872" xr:uid="{00000000-0005-0000-0000-000093490000}"/>
    <cellStyle name="Normal 2 2 2 3 5 3 6" xfId="18873" xr:uid="{00000000-0005-0000-0000-000094490000}"/>
    <cellStyle name="Normal 2 2 2 3 5 3 7" xfId="18874" xr:uid="{00000000-0005-0000-0000-000095490000}"/>
    <cellStyle name="Normal 2 2 2 3 5 3 8" xfId="18875" xr:uid="{00000000-0005-0000-0000-000096490000}"/>
    <cellStyle name="Normal 2 2 2 3 5 3 9" xfId="18876" xr:uid="{00000000-0005-0000-0000-000097490000}"/>
    <cellStyle name="Normal 2 2 2 3 5 4" xfId="18877" xr:uid="{00000000-0005-0000-0000-000098490000}"/>
    <cellStyle name="Normal 2 2 2 3 5 4 10" xfId="18878" xr:uid="{00000000-0005-0000-0000-000099490000}"/>
    <cellStyle name="Normal 2 2 2 3 5 4 2" xfId="18879" xr:uid="{00000000-0005-0000-0000-00009A490000}"/>
    <cellStyle name="Normal 2 2 2 3 5 4 3" xfId="18880" xr:uid="{00000000-0005-0000-0000-00009B490000}"/>
    <cellStyle name="Normal 2 2 2 3 5 4 4" xfId="18881" xr:uid="{00000000-0005-0000-0000-00009C490000}"/>
    <cellStyle name="Normal 2 2 2 3 5 4 5" xfId="18882" xr:uid="{00000000-0005-0000-0000-00009D490000}"/>
    <cellStyle name="Normal 2 2 2 3 5 4 6" xfId="18883" xr:uid="{00000000-0005-0000-0000-00009E490000}"/>
    <cellStyle name="Normal 2 2 2 3 5 4 7" xfId="18884" xr:uid="{00000000-0005-0000-0000-00009F490000}"/>
    <cellStyle name="Normal 2 2 2 3 5 4 8" xfId="18885" xr:uid="{00000000-0005-0000-0000-0000A0490000}"/>
    <cellStyle name="Normal 2 2 2 3 5 4 9" xfId="18886" xr:uid="{00000000-0005-0000-0000-0000A1490000}"/>
    <cellStyle name="Normal 2 2 2 3 5 5" xfId="18887" xr:uid="{00000000-0005-0000-0000-0000A2490000}"/>
    <cellStyle name="Normal 2 2 2 3 5 5 10" xfId="18888" xr:uid="{00000000-0005-0000-0000-0000A3490000}"/>
    <cellStyle name="Normal 2 2 2 3 5 5 2" xfId="18889" xr:uid="{00000000-0005-0000-0000-0000A4490000}"/>
    <cellStyle name="Normal 2 2 2 3 5 5 3" xfId="18890" xr:uid="{00000000-0005-0000-0000-0000A5490000}"/>
    <cellStyle name="Normal 2 2 2 3 5 5 4" xfId="18891" xr:uid="{00000000-0005-0000-0000-0000A6490000}"/>
    <cellStyle name="Normal 2 2 2 3 5 5 5" xfId="18892" xr:uid="{00000000-0005-0000-0000-0000A7490000}"/>
    <cellStyle name="Normal 2 2 2 3 5 5 6" xfId="18893" xr:uid="{00000000-0005-0000-0000-0000A8490000}"/>
    <cellStyle name="Normal 2 2 2 3 5 5 7" xfId="18894" xr:uid="{00000000-0005-0000-0000-0000A9490000}"/>
    <cellStyle name="Normal 2 2 2 3 5 5 8" xfId="18895" xr:uid="{00000000-0005-0000-0000-0000AA490000}"/>
    <cellStyle name="Normal 2 2 2 3 5 5 9" xfId="18896" xr:uid="{00000000-0005-0000-0000-0000AB490000}"/>
    <cellStyle name="Normal 2 2 2 3 5 6" xfId="18897" xr:uid="{00000000-0005-0000-0000-0000AC490000}"/>
    <cellStyle name="Normal 2 2 2 3 5 7" xfId="18898" xr:uid="{00000000-0005-0000-0000-0000AD490000}"/>
    <cellStyle name="Normal 2 2 2 3 5 8" xfId="18899" xr:uid="{00000000-0005-0000-0000-0000AE490000}"/>
    <cellStyle name="Normal 2 2 2 3 5 9" xfId="18900" xr:uid="{00000000-0005-0000-0000-0000AF490000}"/>
    <cellStyle name="Normal 2 2 2 3 6" xfId="18901" xr:uid="{00000000-0005-0000-0000-0000B0490000}"/>
    <cellStyle name="Normal 2 2 2 3 6 10" xfId="18902" xr:uid="{00000000-0005-0000-0000-0000B1490000}"/>
    <cellStyle name="Normal 2 2 2 3 6 11" xfId="18903" xr:uid="{00000000-0005-0000-0000-0000B2490000}"/>
    <cellStyle name="Normal 2 2 2 3 6 12" xfId="18904" xr:uid="{00000000-0005-0000-0000-0000B3490000}"/>
    <cellStyle name="Normal 2 2 2 3 6 13" xfId="18905" xr:uid="{00000000-0005-0000-0000-0000B4490000}"/>
    <cellStyle name="Normal 2 2 2 3 6 14" xfId="18906" xr:uid="{00000000-0005-0000-0000-0000B5490000}"/>
    <cellStyle name="Normal 2 2 2 3 6 15" xfId="18907" xr:uid="{00000000-0005-0000-0000-0000B6490000}"/>
    <cellStyle name="Normal 2 2 2 3 6 2" xfId="18908" xr:uid="{00000000-0005-0000-0000-0000B7490000}"/>
    <cellStyle name="Normal 2 2 2 3 6 2 10" xfId="18909" xr:uid="{00000000-0005-0000-0000-0000B8490000}"/>
    <cellStyle name="Normal 2 2 2 3 6 2 2" xfId="18910" xr:uid="{00000000-0005-0000-0000-0000B9490000}"/>
    <cellStyle name="Normal 2 2 2 3 6 2 3" xfId="18911" xr:uid="{00000000-0005-0000-0000-0000BA490000}"/>
    <cellStyle name="Normal 2 2 2 3 6 2 4" xfId="18912" xr:uid="{00000000-0005-0000-0000-0000BB490000}"/>
    <cellStyle name="Normal 2 2 2 3 6 2 5" xfId="18913" xr:uid="{00000000-0005-0000-0000-0000BC490000}"/>
    <cellStyle name="Normal 2 2 2 3 6 2 6" xfId="18914" xr:uid="{00000000-0005-0000-0000-0000BD490000}"/>
    <cellStyle name="Normal 2 2 2 3 6 2 7" xfId="18915" xr:uid="{00000000-0005-0000-0000-0000BE490000}"/>
    <cellStyle name="Normal 2 2 2 3 6 2 8" xfId="18916" xr:uid="{00000000-0005-0000-0000-0000BF490000}"/>
    <cellStyle name="Normal 2 2 2 3 6 2 9" xfId="18917" xr:uid="{00000000-0005-0000-0000-0000C0490000}"/>
    <cellStyle name="Normal 2 2 2 3 6 3" xfId="18918" xr:uid="{00000000-0005-0000-0000-0000C1490000}"/>
    <cellStyle name="Normal 2 2 2 3 6 3 10" xfId="18919" xr:uid="{00000000-0005-0000-0000-0000C2490000}"/>
    <cellStyle name="Normal 2 2 2 3 6 3 2" xfId="18920" xr:uid="{00000000-0005-0000-0000-0000C3490000}"/>
    <cellStyle name="Normal 2 2 2 3 6 3 3" xfId="18921" xr:uid="{00000000-0005-0000-0000-0000C4490000}"/>
    <cellStyle name="Normal 2 2 2 3 6 3 4" xfId="18922" xr:uid="{00000000-0005-0000-0000-0000C5490000}"/>
    <cellStyle name="Normal 2 2 2 3 6 3 5" xfId="18923" xr:uid="{00000000-0005-0000-0000-0000C6490000}"/>
    <cellStyle name="Normal 2 2 2 3 6 3 6" xfId="18924" xr:uid="{00000000-0005-0000-0000-0000C7490000}"/>
    <cellStyle name="Normal 2 2 2 3 6 3 7" xfId="18925" xr:uid="{00000000-0005-0000-0000-0000C8490000}"/>
    <cellStyle name="Normal 2 2 2 3 6 3 8" xfId="18926" xr:uid="{00000000-0005-0000-0000-0000C9490000}"/>
    <cellStyle name="Normal 2 2 2 3 6 3 9" xfId="18927" xr:uid="{00000000-0005-0000-0000-0000CA490000}"/>
    <cellStyle name="Normal 2 2 2 3 6 4" xfId="18928" xr:uid="{00000000-0005-0000-0000-0000CB490000}"/>
    <cellStyle name="Normal 2 2 2 3 6 4 10" xfId="18929" xr:uid="{00000000-0005-0000-0000-0000CC490000}"/>
    <cellStyle name="Normal 2 2 2 3 6 4 2" xfId="18930" xr:uid="{00000000-0005-0000-0000-0000CD490000}"/>
    <cellStyle name="Normal 2 2 2 3 6 4 3" xfId="18931" xr:uid="{00000000-0005-0000-0000-0000CE490000}"/>
    <cellStyle name="Normal 2 2 2 3 6 4 4" xfId="18932" xr:uid="{00000000-0005-0000-0000-0000CF490000}"/>
    <cellStyle name="Normal 2 2 2 3 6 4 5" xfId="18933" xr:uid="{00000000-0005-0000-0000-0000D0490000}"/>
    <cellStyle name="Normal 2 2 2 3 6 4 6" xfId="18934" xr:uid="{00000000-0005-0000-0000-0000D1490000}"/>
    <cellStyle name="Normal 2 2 2 3 6 4 7" xfId="18935" xr:uid="{00000000-0005-0000-0000-0000D2490000}"/>
    <cellStyle name="Normal 2 2 2 3 6 4 8" xfId="18936" xr:uid="{00000000-0005-0000-0000-0000D3490000}"/>
    <cellStyle name="Normal 2 2 2 3 6 4 9" xfId="18937" xr:uid="{00000000-0005-0000-0000-0000D4490000}"/>
    <cellStyle name="Normal 2 2 2 3 6 5" xfId="18938" xr:uid="{00000000-0005-0000-0000-0000D5490000}"/>
    <cellStyle name="Normal 2 2 2 3 6 5 10" xfId="18939" xr:uid="{00000000-0005-0000-0000-0000D6490000}"/>
    <cellStyle name="Normal 2 2 2 3 6 5 2" xfId="18940" xr:uid="{00000000-0005-0000-0000-0000D7490000}"/>
    <cellStyle name="Normal 2 2 2 3 6 5 3" xfId="18941" xr:uid="{00000000-0005-0000-0000-0000D8490000}"/>
    <cellStyle name="Normal 2 2 2 3 6 5 4" xfId="18942" xr:uid="{00000000-0005-0000-0000-0000D9490000}"/>
    <cellStyle name="Normal 2 2 2 3 6 5 5" xfId="18943" xr:uid="{00000000-0005-0000-0000-0000DA490000}"/>
    <cellStyle name="Normal 2 2 2 3 6 5 6" xfId="18944" xr:uid="{00000000-0005-0000-0000-0000DB490000}"/>
    <cellStyle name="Normal 2 2 2 3 6 5 7" xfId="18945" xr:uid="{00000000-0005-0000-0000-0000DC490000}"/>
    <cellStyle name="Normal 2 2 2 3 6 5 8" xfId="18946" xr:uid="{00000000-0005-0000-0000-0000DD490000}"/>
    <cellStyle name="Normal 2 2 2 3 6 5 9" xfId="18947" xr:uid="{00000000-0005-0000-0000-0000DE490000}"/>
    <cellStyle name="Normal 2 2 2 3 6 6" xfId="18948" xr:uid="{00000000-0005-0000-0000-0000DF490000}"/>
    <cellStyle name="Normal 2 2 2 3 6 7" xfId="18949" xr:uid="{00000000-0005-0000-0000-0000E0490000}"/>
    <cellStyle name="Normal 2 2 2 3 6 8" xfId="18950" xr:uid="{00000000-0005-0000-0000-0000E1490000}"/>
    <cellStyle name="Normal 2 2 2 3 6 9" xfId="18951" xr:uid="{00000000-0005-0000-0000-0000E2490000}"/>
    <cellStyle name="Normal 2 2 2 3 7" xfId="18952" xr:uid="{00000000-0005-0000-0000-0000E3490000}"/>
    <cellStyle name="Normal 2 2 2 3 7 10" xfId="18953" xr:uid="{00000000-0005-0000-0000-0000E4490000}"/>
    <cellStyle name="Normal 2 2 2 3 7 11" xfId="18954" xr:uid="{00000000-0005-0000-0000-0000E5490000}"/>
    <cellStyle name="Normal 2 2 2 3 7 12" xfId="18955" xr:uid="{00000000-0005-0000-0000-0000E6490000}"/>
    <cellStyle name="Normal 2 2 2 3 7 13" xfId="18956" xr:uid="{00000000-0005-0000-0000-0000E7490000}"/>
    <cellStyle name="Normal 2 2 2 3 7 14" xfId="18957" xr:uid="{00000000-0005-0000-0000-0000E8490000}"/>
    <cellStyle name="Normal 2 2 2 3 7 15" xfId="18958" xr:uid="{00000000-0005-0000-0000-0000E9490000}"/>
    <cellStyle name="Normal 2 2 2 3 7 2" xfId="18959" xr:uid="{00000000-0005-0000-0000-0000EA490000}"/>
    <cellStyle name="Normal 2 2 2 3 7 2 10" xfId="18960" xr:uid="{00000000-0005-0000-0000-0000EB490000}"/>
    <cellStyle name="Normal 2 2 2 3 7 2 2" xfId="18961" xr:uid="{00000000-0005-0000-0000-0000EC490000}"/>
    <cellStyle name="Normal 2 2 2 3 7 2 3" xfId="18962" xr:uid="{00000000-0005-0000-0000-0000ED490000}"/>
    <cellStyle name="Normal 2 2 2 3 7 2 4" xfId="18963" xr:uid="{00000000-0005-0000-0000-0000EE490000}"/>
    <cellStyle name="Normal 2 2 2 3 7 2 5" xfId="18964" xr:uid="{00000000-0005-0000-0000-0000EF490000}"/>
    <cellStyle name="Normal 2 2 2 3 7 2 6" xfId="18965" xr:uid="{00000000-0005-0000-0000-0000F0490000}"/>
    <cellStyle name="Normal 2 2 2 3 7 2 7" xfId="18966" xr:uid="{00000000-0005-0000-0000-0000F1490000}"/>
    <cellStyle name="Normal 2 2 2 3 7 2 8" xfId="18967" xr:uid="{00000000-0005-0000-0000-0000F2490000}"/>
    <cellStyle name="Normal 2 2 2 3 7 2 9" xfId="18968" xr:uid="{00000000-0005-0000-0000-0000F3490000}"/>
    <cellStyle name="Normal 2 2 2 3 7 3" xfId="18969" xr:uid="{00000000-0005-0000-0000-0000F4490000}"/>
    <cellStyle name="Normal 2 2 2 3 7 3 10" xfId="18970" xr:uid="{00000000-0005-0000-0000-0000F5490000}"/>
    <cellStyle name="Normal 2 2 2 3 7 3 2" xfId="18971" xr:uid="{00000000-0005-0000-0000-0000F6490000}"/>
    <cellStyle name="Normal 2 2 2 3 7 3 3" xfId="18972" xr:uid="{00000000-0005-0000-0000-0000F7490000}"/>
    <cellStyle name="Normal 2 2 2 3 7 3 4" xfId="18973" xr:uid="{00000000-0005-0000-0000-0000F8490000}"/>
    <cellStyle name="Normal 2 2 2 3 7 3 5" xfId="18974" xr:uid="{00000000-0005-0000-0000-0000F9490000}"/>
    <cellStyle name="Normal 2 2 2 3 7 3 6" xfId="18975" xr:uid="{00000000-0005-0000-0000-0000FA490000}"/>
    <cellStyle name="Normal 2 2 2 3 7 3 7" xfId="18976" xr:uid="{00000000-0005-0000-0000-0000FB490000}"/>
    <cellStyle name="Normal 2 2 2 3 7 3 8" xfId="18977" xr:uid="{00000000-0005-0000-0000-0000FC490000}"/>
    <cellStyle name="Normal 2 2 2 3 7 3 9" xfId="18978" xr:uid="{00000000-0005-0000-0000-0000FD490000}"/>
    <cellStyle name="Normal 2 2 2 3 7 4" xfId="18979" xr:uid="{00000000-0005-0000-0000-0000FE490000}"/>
    <cellStyle name="Normal 2 2 2 3 7 4 10" xfId="18980" xr:uid="{00000000-0005-0000-0000-0000FF490000}"/>
    <cellStyle name="Normal 2 2 2 3 7 4 2" xfId="18981" xr:uid="{00000000-0005-0000-0000-0000004A0000}"/>
    <cellStyle name="Normal 2 2 2 3 7 4 3" xfId="18982" xr:uid="{00000000-0005-0000-0000-0000014A0000}"/>
    <cellStyle name="Normal 2 2 2 3 7 4 4" xfId="18983" xr:uid="{00000000-0005-0000-0000-0000024A0000}"/>
    <cellStyle name="Normal 2 2 2 3 7 4 5" xfId="18984" xr:uid="{00000000-0005-0000-0000-0000034A0000}"/>
    <cellStyle name="Normal 2 2 2 3 7 4 6" xfId="18985" xr:uid="{00000000-0005-0000-0000-0000044A0000}"/>
    <cellStyle name="Normal 2 2 2 3 7 4 7" xfId="18986" xr:uid="{00000000-0005-0000-0000-0000054A0000}"/>
    <cellStyle name="Normal 2 2 2 3 7 4 8" xfId="18987" xr:uid="{00000000-0005-0000-0000-0000064A0000}"/>
    <cellStyle name="Normal 2 2 2 3 7 4 9" xfId="18988" xr:uid="{00000000-0005-0000-0000-0000074A0000}"/>
    <cellStyle name="Normal 2 2 2 3 7 5" xfId="18989" xr:uid="{00000000-0005-0000-0000-0000084A0000}"/>
    <cellStyle name="Normal 2 2 2 3 7 5 10" xfId="18990" xr:uid="{00000000-0005-0000-0000-0000094A0000}"/>
    <cellStyle name="Normal 2 2 2 3 7 5 2" xfId="18991" xr:uid="{00000000-0005-0000-0000-00000A4A0000}"/>
    <cellStyle name="Normal 2 2 2 3 7 5 3" xfId="18992" xr:uid="{00000000-0005-0000-0000-00000B4A0000}"/>
    <cellStyle name="Normal 2 2 2 3 7 5 4" xfId="18993" xr:uid="{00000000-0005-0000-0000-00000C4A0000}"/>
    <cellStyle name="Normal 2 2 2 3 7 5 5" xfId="18994" xr:uid="{00000000-0005-0000-0000-00000D4A0000}"/>
    <cellStyle name="Normal 2 2 2 3 7 5 6" xfId="18995" xr:uid="{00000000-0005-0000-0000-00000E4A0000}"/>
    <cellStyle name="Normal 2 2 2 3 7 5 7" xfId="18996" xr:uid="{00000000-0005-0000-0000-00000F4A0000}"/>
    <cellStyle name="Normal 2 2 2 3 7 5 8" xfId="18997" xr:uid="{00000000-0005-0000-0000-0000104A0000}"/>
    <cellStyle name="Normal 2 2 2 3 7 5 9" xfId="18998" xr:uid="{00000000-0005-0000-0000-0000114A0000}"/>
    <cellStyle name="Normal 2 2 2 3 7 6" xfId="18999" xr:uid="{00000000-0005-0000-0000-0000124A0000}"/>
    <cellStyle name="Normal 2 2 2 3 7 7" xfId="19000" xr:uid="{00000000-0005-0000-0000-0000134A0000}"/>
    <cellStyle name="Normal 2 2 2 3 7 8" xfId="19001" xr:uid="{00000000-0005-0000-0000-0000144A0000}"/>
    <cellStyle name="Normal 2 2 2 3 7 9" xfId="19002" xr:uid="{00000000-0005-0000-0000-0000154A0000}"/>
    <cellStyle name="Normal 2 2 2 3 8" xfId="19003" xr:uid="{00000000-0005-0000-0000-0000164A0000}"/>
    <cellStyle name="Normal 2 2 2 3 8 10" xfId="19004" xr:uid="{00000000-0005-0000-0000-0000174A0000}"/>
    <cellStyle name="Normal 2 2 2 3 8 11" xfId="19005" xr:uid="{00000000-0005-0000-0000-0000184A0000}"/>
    <cellStyle name="Normal 2 2 2 3 8 12" xfId="19006" xr:uid="{00000000-0005-0000-0000-0000194A0000}"/>
    <cellStyle name="Normal 2 2 2 3 8 13" xfId="19007" xr:uid="{00000000-0005-0000-0000-00001A4A0000}"/>
    <cellStyle name="Normal 2 2 2 3 8 14" xfId="19008" xr:uid="{00000000-0005-0000-0000-00001B4A0000}"/>
    <cellStyle name="Normal 2 2 2 3 8 2" xfId="19009" xr:uid="{00000000-0005-0000-0000-00001C4A0000}"/>
    <cellStyle name="Normal 2 2 2 3 8 2 10" xfId="19010" xr:uid="{00000000-0005-0000-0000-00001D4A0000}"/>
    <cellStyle name="Normal 2 2 2 3 8 2 2" xfId="19011" xr:uid="{00000000-0005-0000-0000-00001E4A0000}"/>
    <cellStyle name="Normal 2 2 2 3 8 2 3" xfId="19012" xr:uid="{00000000-0005-0000-0000-00001F4A0000}"/>
    <cellStyle name="Normal 2 2 2 3 8 2 4" xfId="19013" xr:uid="{00000000-0005-0000-0000-0000204A0000}"/>
    <cellStyle name="Normal 2 2 2 3 8 2 5" xfId="19014" xr:uid="{00000000-0005-0000-0000-0000214A0000}"/>
    <cellStyle name="Normal 2 2 2 3 8 2 6" xfId="19015" xr:uid="{00000000-0005-0000-0000-0000224A0000}"/>
    <cellStyle name="Normal 2 2 2 3 8 2 7" xfId="19016" xr:uid="{00000000-0005-0000-0000-0000234A0000}"/>
    <cellStyle name="Normal 2 2 2 3 8 2 8" xfId="19017" xr:uid="{00000000-0005-0000-0000-0000244A0000}"/>
    <cellStyle name="Normal 2 2 2 3 8 2 9" xfId="19018" xr:uid="{00000000-0005-0000-0000-0000254A0000}"/>
    <cellStyle name="Normal 2 2 2 3 8 3" xfId="19019" xr:uid="{00000000-0005-0000-0000-0000264A0000}"/>
    <cellStyle name="Normal 2 2 2 3 8 3 10" xfId="19020" xr:uid="{00000000-0005-0000-0000-0000274A0000}"/>
    <cellStyle name="Normal 2 2 2 3 8 3 2" xfId="19021" xr:uid="{00000000-0005-0000-0000-0000284A0000}"/>
    <cellStyle name="Normal 2 2 2 3 8 3 3" xfId="19022" xr:uid="{00000000-0005-0000-0000-0000294A0000}"/>
    <cellStyle name="Normal 2 2 2 3 8 3 4" xfId="19023" xr:uid="{00000000-0005-0000-0000-00002A4A0000}"/>
    <cellStyle name="Normal 2 2 2 3 8 3 5" xfId="19024" xr:uid="{00000000-0005-0000-0000-00002B4A0000}"/>
    <cellStyle name="Normal 2 2 2 3 8 3 6" xfId="19025" xr:uid="{00000000-0005-0000-0000-00002C4A0000}"/>
    <cellStyle name="Normal 2 2 2 3 8 3 7" xfId="19026" xr:uid="{00000000-0005-0000-0000-00002D4A0000}"/>
    <cellStyle name="Normal 2 2 2 3 8 3 8" xfId="19027" xr:uid="{00000000-0005-0000-0000-00002E4A0000}"/>
    <cellStyle name="Normal 2 2 2 3 8 3 9" xfId="19028" xr:uid="{00000000-0005-0000-0000-00002F4A0000}"/>
    <cellStyle name="Normal 2 2 2 3 8 4" xfId="19029" xr:uid="{00000000-0005-0000-0000-0000304A0000}"/>
    <cellStyle name="Normal 2 2 2 3 8 4 10" xfId="19030" xr:uid="{00000000-0005-0000-0000-0000314A0000}"/>
    <cellStyle name="Normal 2 2 2 3 8 4 2" xfId="19031" xr:uid="{00000000-0005-0000-0000-0000324A0000}"/>
    <cellStyle name="Normal 2 2 2 3 8 4 3" xfId="19032" xr:uid="{00000000-0005-0000-0000-0000334A0000}"/>
    <cellStyle name="Normal 2 2 2 3 8 4 4" xfId="19033" xr:uid="{00000000-0005-0000-0000-0000344A0000}"/>
    <cellStyle name="Normal 2 2 2 3 8 4 5" xfId="19034" xr:uid="{00000000-0005-0000-0000-0000354A0000}"/>
    <cellStyle name="Normal 2 2 2 3 8 4 6" xfId="19035" xr:uid="{00000000-0005-0000-0000-0000364A0000}"/>
    <cellStyle name="Normal 2 2 2 3 8 4 7" xfId="19036" xr:uid="{00000000-0005-0000-0000-0000374A0000}"/>
    <cellStyle name="Normal 2 2 2 3 8 4 8" xfId="19037" xr:uid="{00000000-0005-0000-0000-0000384A0000}"/>
    <cellStyle name="Normal 2 2 2 3 8 4 9" xfId="19038" xr:uid="{00000000-0005-0000-0000-0000394A0000}"/>
    <cellStyle name="Normal 2 2 2 3 8 5" xfId="19039" xr:uid="{00000000-0005-0000-0000-00003A4A0000}"/>
    <cellStyle name="Normal 2 2 2 3 8 5 10" xfId="19040" xr:uid="{00000000-0005-0000-0000-00003B4A0000}"/>
    <cellStyle name="Normal 2 2 2 3 8 5 2" xfId="19041" xr:uid="{00000000-0005-0000-0000-00003C4A0000}"/>
    <cellStyle name="Normal 2 2 2 3 8 5 3" xfId="19042" xr:uid="{00000000-0005-0000-0000-00003D4A0000}"/>
    <cellStyle name="Normal 2 2 2 3 8 5 4" xfId="19043" xr:uid="{00000000-0005-0000-0000-00003E4A0000}"/>
    <cellStyle name="Normal 2 2 2 3 8 5 5" xfId="19044" xr:uid="{00000000-0005-0000-0000-00003F4A0000}"/>
    <cellStyle name="Normal 2 2 2 3 8 5 6" xfId="19045" xr:uid="{00000000-0005-0000-0000-0000404A0000}"/>
    <cellStyle name="Normal 2 2 2 3 8 5 7" xfId="19046" xr:uid="{00000000-0005-0000-0000-0000414A0000}"/>
    <cellStyle name="Normal 2 2 2 3 8 5 8" xfId="19047" xr:uid="{00000000-0005-0000-0000-0000424A0000}"/>
    <cellStyle name="Normal 2 2 2 3 8 5 9" xfId="19048" xr:uid="{00000000-0005-0000-0000-0000434A0000}"/>
    <cellStyle name="Normal 2 2 2 3 8 6" xfId="19049" xr:uid="{00000000-0005-0000-0000-0000444A0000}"/>
    <cellStyle name="Normal 2 2 2 3 8 7" xfId="19050" xr:uid="{00000000-0005-0000-0000-0000454A0000}"/>
    <cellStyle name="Normal 2 2 2 3 8 8" xfId="19051" xr:uid="{00000000-0005-0000-0000-0000464A0000}"/>
    <cellStyle name="Normal 2 2 2 3 8 9" xfId="19052" xr:uid="{00000000-0005-0000-0000-0000474A0000}"/>
    <cellStyle name="Normal 2 2 2 3 9" xfId="19053" xr:uid="{00000000-0005-0000-0000-0000484A0000}"/>
    <cellStyle name="Normal 2 2 2 3 9 10" xfId="19054" xr:uid="{00000000-0005-0000-0000-0000494A0000}"/>
    <cellStyle name="Normal 2 2 2 3 9 11" xfId="19055" xr:uid="{00000000-0005-0000-0000-00004A4A0000}"/>
    <cellStyle name="Normal 2 2 2 3 9 12" xfId="19056" xr:uid="{00000000-0005-0000-0000-00004B4A0000}"/>
    <cellStyle name="Normal 2 2 2 3 9 13" xfId="19057" xr:uid="{00000000-0005-0000-0000-00004C4A0000}"/>
    <cellStyle name="Normal 2 2 2 3 9 14" xfId="19058" xr:uid="{00000000-0005-0000-0000-00004D4A0000}"/>
    <cellStyle name="Normal 2 2 2 3 9 2" xfId="19059" xr:uid="{00000000-0005-0000-0000-00004E4A0000}"/>
    <cellStyle name="Normal 2 2 2 3 9 2 10" xfId="19060" xr:uid="{00000000-0005-0000-0000-00004F4A0000}"/>
    <cellStyle name="Normal 2 2 2 3 9 2 2" xfId="19061" xr:uid="{00000000-0005-0000-0000-0000504A0000}"/>
    <cellStyle name="Normal 2 2 2 3 9 2 3" xfId="19062" xr:uid="{00000000-0005-0000-0000-0000514A0000}"/>
    <cellStyle name="Normal 2 2 2 3 9 2 4" xfId="19063" xr:uid="{00000000-0005-0000-0000-0000524A0000}"/>
    <cellStyle name="Normal 2 2 2 3 9 2 5" xfId="19064" xr:uid="{00000000-0005-0000-0000-0000534A0000}"/>
    <cellStyle name="Normal 2 2 2 3 9 2 6" xfId="19065" xr:uid="{00000000-0005-0000-0000-0000544A0000}"/>
    <cellStyle name="Normal 2 2 2 3 9 2 7" xfId="19066" xr:uid="{00000000-0005-0000-0000-0000554A0000}"/>
    <cellStyle name="Normal 2 2 2 3 9 2 8" xfId="19067" xr:uid="{00000000-0005-0000-0000-0000564A0000}"/>
    <cellStyle name="Normal 2 2 2 3 9 2 9" xfId="19068" xr:uid="{00000000-0005-0000-0000-0000574A0000}"/>
    <cellStyle name="Normal 2 2 2 3 9 3" xfId="19069" xr:uid="{00000000-0005-0000-0000-0000584A0000}"/>
    <cellStyle name="Normal 2 2 2 3 9 3 10" xfId="19070" xr:uid="{00000000-0005-0000-0000-0000594A0000}"/>
    <cellStyle name="Normal 2 2 2 3 9 3 2" xfId="19071" xr:uid="{00000000-0005-0000-0000-00005A4A0000}"/>
    <cellStyle name="Normal 2 2 2 3 9 3 3" xfId="19072" xr:uid="{00000000-0005-0000-0000-00005B4A0000}"/>
    <cellStyle name="Normal 2 2 2 3 9 3 4" xfId="19073" xr:uid="{00000000-0005-0000-0000-00005C4A0000}"/>
    <cellStyle name="Normal 2 2 2 3 9 3 5" xfId="19074" xr:uid="{00000000-0005-0000-0000-00005D4A0000}"/>
    <cellStyle name="Normal 2 2 2 3 9 3 6" xfId="19075" xr:uid="{00000000-0005-0000-0000-00005E4A0000}"/>
    <cellStyle name="Normal 2 2 2 3 9 3 7" xfId="19076" xr:uid="{00000000-0005-0000-0000-00005F4A0000}"/>
    <cellStyle name="Normal 2 2 2 3 9 3 8" xfId="19077" xr:uid="{00000000-0005-0000-0000-0000604A0000}"/>
    <cellStyle name="Normal 2 2 2 3 9 3 9" xfId="19078" xr:uid="{00000000-0005-0000-0000-0000614A0000}"/>
    <cellStyle name="Normal 2 2 2 3 9 4" xfId="19079" xr:uid="{00000000-0005-0000-0000-0000624A0000}"/>
    <cellStyle name="Normal 2 2 2 3 9 4 10" xfId="19080" xr:uid="{00000000-0005-0000-0000-0000634A0000}"/>
    <cellStyle name="Normal 2 2 2 3 9 4 2" xfId="19081" xr:uid="{00000000-0005-0000-0000-0000644A0000}"/>
    <cellStyle name="Normal 2 2 2 3 9 4 3" xfId="19082" xr:uid="{00000000-0005-0000-0000-0000654A0000}"/>
    <cellStyle name="Normal 2 2 2 3 9 4 4" xfId="19083" xr:uid="{00000000-0005-0000-0000-0000664A0000}"/>
    <cellStyle name="Normal 2 2 2 3 9 4 5" xfId="19084" xr:uid="{00000000-0005-0000-0000-0000674A0000}"/>
    <cellStyle name="Normal 2 2 2 3 9 4 6" xfId="19085" xr:uid="{00000000-0005-0000-0000-0000684A0000}"/>
    <cellStyle name="Normal 2 2 2 3 9 4 7" xfId="19086" xr:uid="{00000000-0005-0000-0000-0000694A0000}"/>
    <cellStyle name="Normal 2 2 2 3 9 4 8" xfId="19087" xr:uid="{00000000-0005-0000-0000-00006A4A0000}"/>
    <cellStyle name="Normal 2 2 2 3 9 4 9" xfId="19088" xr:uid="{00000000-0005-0000-0000-00006B4A0000}"/>
    <cellStyle name="Normal 2 2 2 3 9 5" xfId="19089" xr:uid="{00000000-0005-0000-0000-00006C4A0000}"/>
    <cellStyle name="Normal 2 2 2 3 9 5 10" xfId="19090" xr:uid="{00000000-0005-0000-0000-00006D4A0000}"/>
    <cellStyle name="Normal 2 2 2 3 9 5 2" xfId="19091" xr:uid="{00000000-0005-0000-0000-00006E4A0000}"/>
    <cellStyle name="Normal 2 2 2 3 9 5 3" xfId="19092" xr:uid="{00000000-0005-0000-0000-00006F4A0000}"/>
    <cellStyle name="Normal 2 2 2 3 9 5 4" xfId="19093" xr:uid="{00000000-0005-0000-0000-0000704A0000}"/>
    <cellStyle name="Normal 2 2 2 3 9 5 5" xfId="19094" xr:uid="{00000000-0005-0000-0000-0000714A0000}"/>
    <cellStyle name="Normal 2 2 2 3 9 5 6" xfId="19095" xr:uid="{00000000-0005-0000-0000-0000724A0000}"/>
    <cellStyle name="Normal 2 2 2 3 9 5 7" xfId="19096" xr:uid="{00000000-0005-0000-0000-0000734A0000}"/>
    <cellStyle name="Normal 2 2 2 3 9 5 8" xfId="19097" xr:uid="{00000000-0005-0000-0000-0000744A0000}"/>
    <cellStyle name="Normal 2 2 2 3 9 5 9" xfId="19098" xr:uid="{00000000-0005-0000-0000-0000754A0000}"/>
    <cellStyle name="Normal 2 2 2 3 9 6" xfId="19099" xr:uid="{00000000-0005-0000-0000-0000764A0000}"/>
    <cellStyle name="Normal 2 2 2 3 9 7" xfId="19100" xr:uid="{00000000-0005-0000-0000-0000774A0000}"/>
    <cellStyle name="Normal 2 2 2 3 9 8" xfId="19101" xr:uid="{00000000-0005-0000-0000-0000784A0000}"/>
    <cellStyle name="Normal 2 2 2 3 9 9" xfId="19102" xr:uid="{00000000-0005-0000-0000-0000794A0000}"/>
    <cellStyle name="Normal 2 2 2 30" xfId="19103" xr:uid="{00000000-0005-0000-0000-00007A4A0000}"/>
    <cellStyle name="Normal 2 2 2 30 10" xfId="19104" xr:uid="{00000000-0005-0000-0000-00007B4A0000}"/>
    <cellStyle name="Normal 2 2 2 30 11" xfId="19105" xr:uid="{00000000-0005-0000-0000-00007C4A0000}"/>
    <cellStyle name="Normal 2 2 2 30 12" xfId="19106" xr:uid="{00000000-0005-0000-0000-00007D4A0000}"/>
    <cellStyle name="Normal 2 2 2 30 13" xfId="19107" xr:uid="{00000000-0005-0000-0000-00007E4A0000}"/>
    <cellStyle name="Normal 2 2 2 30 14" xfId="19108" xr:uid="{00000000-0005-0000-0000-00007F4A0000}"/>
    <cellStyle name="Normal 2 2 2 30 2" xfId="19109" xr:uid="{00000000-0005-0000-0000-0000804A0000}"/>
    <cellStyle name="Normal 2 2 2 30 2 10" xfId="19110" xr:uid="{00000000-0005-0000-0000-0000814A0000}"/>
    <cellStyle name="Normal 2 2 2 30 2 2" xfId="19111" xr:uid="{00000000-0005-0000-0000-0000824A0000}"/>
    <cellStyle name="Normal 2 2 2 30 2 3" xfId="19112" xr:uid="{00000000-0005-0000-0000-0000834A0000}"/>
    <cellStyle name="Normal 2 2 2 30 2 4" xfId="19113" xr:uid="{00000000-0005-0000-0000-0000844A0000}"/>
    <cellStyle name="Normal 2 2 2 30 2 5" xfId="19114" xr:uid="{00000000-0005-0000-0000-0000854A0000}"/>
    <cellStyle name="Normal 2 2 2 30 2 6" xfId="19115" xr:uid="{00000000-0005-0000-0000-0000864A0000}"/>
    <cellStyle name="Normal 2 2 2 30 2 7" xfId="19116" xr:uid="{00000000-0005-0000-0000-0000874A0000}"/>
    <cellStyle name="Normal 2 2 2 30 2 8" xfId="19117" xr:uid="{00000000-0005-0000-0000-0000884A0000}"/>
    <cellStyle name="Normal 2 2 2 30 2 9" xfId="19118" xr:uid="{00000000-0005-0000-0000-0000894A0000}"/>
    <cellStyle name="Normal 2 2 2 30 3" xfId="19119" xr:uid="{00000000-0005-0000-0000-00008A4A0000}"/>
    <cellStyle name="Normal 2 2 2 30 3 10" xfId="19120" xr:uid="{00000000-0005-0000-0000-00008B4A0000}"/>
    <cellStyle name="Normal 2 2 2 30 3 2" xfId="19121" xr:uid="{00000000-0005-0000-0000-00008C4A0000}"/>
    <cellStyle name="Normal 2 2 2 30 3 3" xfId="19122" xr:uid="{00000000-0005-0000-0000-00008D4A0000}"/>
    <cellStyle name="Normal 2 2 2 30 3 4" xfId="19123" xr:uid="{00000000-0005-0000-0000-00008E4A0000}"/>
    <cellStyle name="Normal 2 2 2 30 3 5" xfId="19124" xr:uid="{00000000-0005-0000-0000-00008F4A0000}"/>
    <cellStyle name="Normal 2 2 2 30 3 6" xfId="19125" xr:uid="{00000000-0005-0000-0000-0000904A0000}"/>
    <cellStyle name="Normal 2 2 2 30 3 7" xfId="19126" xr:uid="{00000000-0005-0000-0000-0000914A0000}"/>
    <cellStyle name="Normal 2 2 2 30 3 8" xfId="19127" xr:uid="{00000000-0005-0000-0000-0000924A0000}"/>
    <cellStyle name="Normal 2 2 2 30 3 9" xfId="19128" xr:uid="{00000000-0005-0000-0000-0000934A0000}"/>
    <cellStyle name="Normal 2 2 2 30 4" xfId="19129" xr:uid="{00000000-0005-0000-0000-0000944A0000}"/>
    <cellStyle name="Normal 2 2 2 30 4 10" xfId="19130" xr:uid="{00000000-0005-0000-0000-0000954A0000}"/>
    <cellStyle name="Normal 2 2 2 30 4 2" xfId="19131" xr:uid="{00000000-0005-0000-0000-0000964A0000}"/>
    <cellStyle name="Normal 2 2 2 30 4 3" xfId="19132" xr:uid="{00000000-0005-0000-0000-0000974A0000}"/>
    <cellStyle name="Normal 2 2 2 30 4 4" xfId="19133" xr:uid="{00000000-0005-0000-0000-0000984A0000}"/>
    <cellStyle name="Normal 2 2 2 30 4 5" xfId="19134" xr:uid="{00000000-0005-0000-0000-0000994A0000}"/>
    <cellStyle name="Normal 2 2 2 30 4 6" xfId="19135" xr:uid="{00000000-0005-0000-0000-00009A4A0000}"/>
    <cellStyle name="Normal 2 2 2 30 4 7" xfId="19136" xr:uid="{00000000-0005-0000-0000-00009B4A0000}"/>
    <cellStyle name="Normal 2 2 2 30 4 8" xfId="19137" xr:uid="{00000000-0005-0000-0000-00009C4A0000}"/>
    <cellStyle name="Normal 2 2 2 30 4 9" xfId="19138" xr:uid="{00000000-0005-0000-0000-00009D4A0000}"/>
    <cellStyle name="Normal 2 2 2 30 5" xfId="19139" xr:uid="{00000000-0005-0000-0000-00009E4A0000}"/>
    <cellStyle name="Normal 2 2 2 30 5 10" xfId="19140" xr:uid="{00000000-0005-0000-0000-00009F4A0000}"/>
    <cellStyle name="Normal 2 2 2 30 5 2" xfId="19141" xr:uid="{00000000-0005-0000-0000-0000A04A0000}"/>
    <cellStyle name="Normal 2 2 2 30 5 3" xfId="19142" xr:uid="{00000000-0005-0000-0000-0000A14A0000}"/>
    <cellStyle name="Normal 2 2 2 30 5 4" xfId="19143" xr:uid="{00000000-0005-0000-0000-0000A24A0000}"/>
    <cellStyle name="Normal 2 2 2 30 5 5" xfId="19144" xr:uid="{00000000-0005-0000-0000-0000A34A0000}"/>
    <cellStyle name="Normal 2 2 2 30 5 6" xfId="19145" xr:uid="{00000000-0005-0000-0000-0000A44A0000}"/>
    <cellStyle name="Normal 2 2 2 30 5 7" xfId="19146" xr:uid="{00000000-0005-0000-0000-0000A54A0000}"/>
    <cellStyle name="Normal 2 2 2 30 5 8" xfId="19147" xr:uid="{00000000-0005-0000-0000-0000A64A0000}"/>
    <cellStyle name="Normal 2 2 2 30 5 9" xfId="19148" xr:uid="{00000000-0005-0000-0000-0000A74A0000}"/>
    <cellStyle name="Normal 2 2 2 30 6" xfId="19149" xr:uid="{00000000-0005-0000-0000-0000A84A0000}"/>
    <cellStyle name="Normal 2 2 2 30 7" xfId="19150" xr:uid="{00000000-0005-0000-0000-0000A94A0000}"/>
    <cellStyle name="Normal 2 2 2 30 8" xfId="19151" xr:uid="{00000000-0005-0000-0000-0000AA4A0000}"/>
    <cellStyle name="Normal 2 2 2 30 9" xfId="19152" xr:uid="{00000000-0005-0000-0000-0000AB4A0000}"/>
    <cellStyle name="Normal 2 2 2 31" xfId="19153" xr:uid="{00000000-0005-0000-0000-0000AC4A0000}"/>
    <cellStyle name="Normal 2 2 2 31 10" xfId="19154" xr:uid="{00000000-0005-0000-0000-0000AD4A0000}"/>
    <cellStyle name="Normal 2 2 2 31 11" xfId="19155" xr:uid="{00000000-0005-0000-0000-0000AE4A0000}"/>
    <cellStyle name="Normal 2 2 2 31 12" xfId="19156" xr:uid="{00000000-0005-0000-0000-0000AF4A0000}"/>
    <cellStyle name="Normal 2 2 2 31 13" xfId="19157" xr:uid="{00000000-0005-0000-0000-0000B04A0000}"/>
    <cellStyle name="Normal 2 2 2 31 14" xfId="19158" xr:uid="{00000000-0005-0000-0000-0000B14A0000}"/>
    <cellStyle name="Normal 2 2 2 31 2" xfId="19159" xr:uid="{00000000-0005-0000-0000-0000B24A0000}"/>
    <cellStyle name="Normal 2 2 2 31 2 10" xfId="19160" xr:uid="{00000000-0005-0000-0000-0000B34A0000}"/>
    <cellStyle name="Normal 2 2 2 31 2 2" xfId="19161" xr:uid="{00000000-0005-0000-0000-0000B44A0000}"/>
    <cellStyle name="Normal 2 2 2 31 2 3" xfId="19162" xr:uid="{00000000-0005-0000-0000-0000B54A0000}"/>
    <cellStyle name="Normal 2 2 2 31 2 4" xfId="19163" xr:uid="{00000000-0005-0000-0000-0000B64A0000}"/>
    <cellStyle name="Normal 2 2 2 31 2 5" xfId="19164" xr:uid="{00000000-0005-0000-0000-0000B74A0000}"/>
    <cellStyle name="Normal 2 2 2 31 2 6" xfId="19165" xr:uid="{00000000-0005-0000-0000-0000B84A0000}"/>
    <cellStyle name="Normal 2 2 2 31 2 7" xfId="19166" xr:uid="{00000000-0005-0000-0000-0000B94A0000}"/>
    <cellStyle name="Normal 2 2 2 31 2 8" xfId="19167" xr:uid="{00000000-0005-0000-0000-0000BA4A0000}"/>
    <cellStyle name="Normal 2 2 2 31 2 9" xfId="19168" xr:uid="{00000000-0005-0000-0000-0000BB4A0000}"/>
    <cellStyle name="Normal 2 2 2 31 3" xfId="19169" xr:uid="{00000000-0005-0000-0000-0000BC4A0000}"/>
    <cellStyle name="Normal 2 2 2 31 3 10" xfId="19170" xr:uid="{00000000-0005-0000-0000-0000BD4A0000}"/>
    <cellStyle name="Normal 2 2 2 31 3 2" xfId="19171" xr:uid="{00000000-0005-0000-0000-0000BE4A0000}"/>
    <cellStyle name="Normal 2 2 2 31 3 3" xfId="19172" xr:uid="{00000000-0005-0000-0000-0000BF4A0000}"/>
    <cellStyle name="Normal 2 2 2 31 3 4" xfId="19173" xr:uid="{00000000-0005-0000-0000-0000C04A0000}"/>
    <cellStyle name="Normal 2 2 2 31 3 5" xfId="19174" xr:uid="{00000000-0005-0000-0000-0000C14A0000}"/>
    <cellStyle name="Normal 2 2 2 31 3 6" xfId="19175" xr:uid="{00000000-0005-0000-0000-0000C24A0000}"/>
    <cellStyle name="Normal 2 2 2 31 3 7" xfId="19176" xr:uid="{00000000-0005-0000-0000-0000C34A0000}"/>
    <cellStyle name="Normal 2 2 2 31 3 8" xfId="19177" xr:uid="{00000000-0005-0000-0000-0000C44A0000}"/>
    <cellStyle name="Normal 2 2 2 31 3 9" xfId="19178" xr:uid="{00000000-0005-0000-0000-0000C54A0000}"/>
    <cellStyle name="Normal 2 2 2 31 4" xfId="19179" xr:uid="{00000000-0005-0000-0000-0000C64A0000}"/>
    <cellStyle name="Normal 2 2 2 31 4 10" xfId="19180" xr:uid="{00000000-0005-0000-0000-0000C74A0000}"/>
    <cellStyle name="Normal 2 2 2 31 4 2" xfId="19181" xr:uid="{00000000-0005-0000-0000-0000C84A0000}"/>
    <cellStyle name="Normal 2 2 2 31 4 3" xfId="19182" xr:uid="{00000000-0005-0000-0000-0000C94A0000}"/>
    <cellStyle name="Normal 2 2 2 31 4 4" xfId="19183" xr:uid="{00000000-0005-0000-0000-0000CA4A0000}"/>
    <cellStyle name="Normal 2 2 2 31 4 5" xfId="19184" xr:uid="{00000000-0005-0000-0000-0000CB4A0000}"/>
    <cellStyle name="Normal 2 2 2 31 4 6" xfId="19185" xr:uid="{00000000-0005-0000-0000-0000CC4A0000}"/>
    <cellStyle name="Normal 2 2 2 31 4 7" xfId="19186" xr:uid="{00000000-0005-0000-0000-0000CD4A0000}"/>
    <cellStyle name="Normal 2 2 2 31 4 8" xfId="19187" xr:uid="{00000000-0005-0000-0000-0000CE4A0000}"/>
    <cellStyle name="Normal 2 2 2 31 4 9" xfId="19188" xr:uid="{00000000-0005-0000-0000-0000CF4A0000}"/>
    <cellStyle name="Normal 2 2 2 31 5" xfId="19189" xr:uid="{00000000-0005-0000-0000-0000D04A0000}"/>
    <cellStyle name="Normal 2 2 2 31 5 10" xfId="19190" xr:uid="{00000000-0005-0000-0000-0000D14A0000}"/>
    <cellStyle name="Normal 2 2 2 31 5 2" xfId="19191" xr:uid="{00000000-0005-0000-0000-0000D24A0000}"/>
    <cellStyle name="Normal 2 2 2 31 5 3" xfId="19192" xr:uid="{00000000-0005-0000-0000-0000D34A0000}"/>
    <cellStyle name="Normal 2 2 2 31 5 4" xfId="19193" xr:uid="{00000000-0005-0000-0000-0000D44A0000}"/>
    <cellStyle name="Normal 2 2 2 31 5 5" xfId="19194" xr:uid="{00000000-0005-0000-0000-0000D54A0000}"/>
    <cellStyle name="Normal 2 2 2 31 5 6" xfId="19195" xr:uid="{00000000-0005-0000-0000-0000D64A0000}"/>
    <cellStyle name="Normal 2 2 2 31 5 7" xfId="19196" xr:uid="{00000000-0005-0000-0000-0000D74A0000}"/>
    <cellStyle name="Normal 2 2 2 31 5 8" xfId="19197" xr:uid="{00000000-0005-0000-0000-0000D84A0000}"/>
    <cellStyle name="Normal 2 2 2 31 5 9" xfId="19198" xr:uid="{00000000-0005-0000-0000-0000D94A0000}"/>
    <cellStyle name="Normal 2 2 2 31 6" xfId="19199" xr:uid="{00000000-0005-0000-0000-0000DA4A0000}"/>
    <cellStyle name="Normal 2 2 2 31 7" xfId="19200" xr:uid="{00000000-0005-0000-0000-0000DB4A0000}"/>
    <cellStyle name="Normal 2 2 2 31 8" xfId="19201" xr:uid="{00000000-0005-0000-0000-0000DC4A0000}"/>
    <cellStyle name="Normal 2 2 2 31 9" xfId="19202" xr:uid="{00000000-0005-0000-0000-0000DD4A0000}"/>
    <cellStyle name="Normal 2 2 2 32" xfId="19203" xr:uid="{00000000-0005-0000-0000-0000DE4A0000}"/>
    <cellStyle name="Normal 2 2 2 32 10" xfId="19204" xr:uid="{00000000-0005-0000-0000-0000DF4A0000}"/>
    <cellStyle name="Normal 2 2 2 32 11" xfId="19205" xr:uid="{00000000-0005-0000-0000-0000E04A0000}"/>
    <cellStyle name="Normal 2 2 2 32 12" xfId="19206" xr:uid="{00000000-0005-0000-0000-0000E14A0000}"/>
    <cellStyle name="Normal 2 2 2 32 13" xfId="19207" xr:uid="{00000000-0005-0000-0000-0000E24A0000}"/>
    <cellStyle name="Normal 2 2 2 32 14" xfId="19208" xr:uid="{00000000-0005-0000-0000-0000E34A0000}"/>
    <cellStyle name="Normal 2 2 2 32 2" xfId="19209" xr:uid="{00000000-0005-0000-0000-0000E44A0000}"/>
    <cellStyle name="Normal 2 2 2 32 2 10" xfId="19210" xr:uid="{00000000-0005-0000-0000-0000E54A0000}"/>
    <cellStyle name="Normal 2 2 2 32 2 2" xfId="19211" xr:uid="{00000000-0005-0000-0000-0000E64A0000}"/>
    <cellStyle name="Normal 2 2 2 32 2 3" xfId="19212" xr:uid="{00000000-0005-0000-0000-0000E74A0000}"/>
    <cellStyle name="Normal 2 2 2 32 2 4" xfId="19213" xr:uid="{00000000-0005-0000-0000-0000E84A0000}"/>
    <cellStyle name="Normal 2 2 2 32 2 5" xfId="19214" xr:uid="{00000000-0005-0000-0000-0000E94A0000}"/>
    <cellStyle name="Normal 2 2 2 32 2 6" xfId="19215" xr:uid="{00000000-0005-0000-0000-0000EA4A0000}"/>
    <cellStyle name="Normal 2 2 2 32 2 7" xfId="19216" xr:uid="{00000000-0005-0000-0000-0000EB4A0000}"/>
    <cellStyle name="Normal 2 2 2 32 2 8" xfId="19217" xr:uid="{00000000-0005-0000-0000-0000EC4A0000}"/>
    <cellStyle name="Normal 2 2 2 32 2 9" xfId="19218" xr:uid="{00000000-0005-0000-0000-0000ED4A0000}"/>
    <cellStyle name="Normal 2 2 2 32 3" xfId="19219" xr:uid="{00000000-0005-0000-0000-0000EE4A0000}"/>
    <cellStyle name="Normal 2 2 2 32 3 10" xfId="19220" xr:uid="{00000000-0005-0000-0000-0000EF4A0000}"/>
    <cellStyle name="Normal 2 2 2 32 3 2" xfId="19221" xr:uid="{00000000-0005-0000-0000-0000F04A0000}"/>
    <cellStyle name="Normal 2 2 2 32 3 3" xfId="19222" xr:uid="{00000000-0005-0000-0000-0000F14A0000}"/>
    <cellStyle name="Normal 2 2 2 32 3 4" xfId="19223" xr:uid="{00000000-0005-0000-0000-0000F24A0000}"/>
    <cellStyle name="Normal 2 2 2 32 3 5" xfId="19224" xr:uid="{00000000-0005-0000-0000-0000F34A0000}"/>
    <cellStyle name="Normal 2 2 2 32 3 6" xfId="19225" xr:uid="{00000000-0005-0000-0000-0000F44A0000}"/>
    <cellStyle name="Normal 2 2 2 32 3 7" xfId="19226" xr:uid="{00000000-0005-0000-0000-0000F54A0000}"/>
    <cellStyle name="Normal 2 2 2 32 3 8" xfId="19227" xr:uid="{00000000-0005-0000-0000-0000F64A0000}"/>
    <cellStyle name="Normal 2 2 2 32 3 9" xfId="19228" xr:uid="{00000000-0005-0000-0000-0000F74A0000}"/>
    <cellStyle name="Normal 2 2 2 32 4" xfId="19229" xr:uid="{00000000-0005-0000-0000-0000F84A0000}"/>
    <cellStyle name="Normal 2 2 2 32 4 10" xfId="19230" xr:uid="{00000000-0005-0000-0000-0000F94A0000}"/>
    <cellStyle name="Normal 2 2 2 32 4 2" xfId="19231" xr:uid="{00000000-0005-0000-0000-0000FA4A0000}"/>
    <cellStyle name="Normal 2 2 2 32 4 3" xfId="19232" xr:uid="{00000000-0005-0000-0000-0000FB4A0000}"/>
    <cellStyle name="Normal 2 2 2 32 4 4" xfId="19233" xr:uid="{00000000-0005-0000-0000-0000FC4A0000}"/>
    <cellStyle name="Normal 2 2 2 32 4 5" xfId="19234" xr:uid="{00000000-0005-0000-0000-0000FD4A0000}"/>
    <cellStyle name="Normal 2 2 2 32 4 6" xfId="19235" xr:uid="{00000000-0005-0000-0000-0000FE4A0000}"/>
    <cellStyle name="Normal 2 2 2 32 4 7" xfId="19236" xr:uid="{00000000-0005-0000-0000-0000FF4A0000}"/>
    <cellStyle name="Normal 2 2 2 32 4 8" xfId="19237" xr:uid="{00000000-0005-0000-0000-0000004B0000}"/>
    <cellStyle name="Normal 2 2 2 32 4 9" xfId="19238" xr:uid="{00000000-0005-0000-0000-0000014B0000}"/>
    <cellStyle name="Normal 2 2 2 32 5" xfId="19239" xr:uid="{00000000-0005-0000-0000-0000024B0000}"/>
    <cellStyle name="Normal 2 2 2 32 5 10" xfId="19240" xr:uid="{00000000-0005-0000-0000-0000034B0000}"/>
    <cellStyle name="Normal 2 2 2 32 5 2" xfId="19241" xr:uid="{00000000-0005-0000-0000-0000044B0000}"/>
    <cellStyle name="Normal 2 2 2 32 5 3" xfId="19242" xr:uid="{00000000-0005-0000-0000-0000054B0000}"/>
    <cellStyle name="Normal 2 2 2 32 5 4" xfId="19243" xr:uid="{00000000-0005-0000-0000-0000064B0000}"/>
    <cellStyle name="Normal 2 2 2 32 5 5" xfId="19244" xr:uid="{00000000-0005-0000-0000-0000074B0000}"/>
    <cellStyle name="Normal 2 2 2 32 5 6" xfId="19245" xr:uid="{00000000-0005-0000-0000-0000084B0000}"/>
    <cellStyle name="Normal 2 2 2 32 5 7" xfId="19246" xr:uid="{00000000-0005-0000-0000-0000094B0000}"/>
    <cellStyle name="Normal 2 2 2 32 5 8" xfId="19247" xr:uid="{00000000-0005-0000-0000-00000A4B0000}"/>
    <cellStyle name="Normal 2 2 2 32 5 9" xfId="19248" xr:uid="{00000000-0005-0000-0000-00000B4B0000}"/>
    <cellStyle name="Normal 2 2 2 32 6" xfId="19249" xr:uid="{00000000-0005-0000-0000-00000C4B0000}"/>
    <cellStyle name="Normal 2 2 2 32 7" xfId="19250" xr:uid="{00000000-0005-0000-0000-00000D4B0000}"/>
    <cellStyle name="Normal 2 2 2 32 8" xfId="19251" xr:uid="{00000000-0005-0000-0000-00000E4B0000}"/>
    <cellStyle name="Normal 2 2 2 32 9" xfId="19252" xr:uid="{00000000-0005-0000-0000-00000F4B0000}"/>
    <cellStyle name="Normal 2 2 2 33" xfId="19253" xr:uid="{00000000-0005-0000-0000-0000104B0000}"/>
    <cellStyle name="Normal 2 2 2 33 10" xfId="19254" xr:uid="{00000000-0005-0000-0000-0000114B0000}"/>
    <cellStyle name="Normal 2 2 2 33 11" xfId="19255" xr:uid="{00000000-0005-0000-0000-0000124B0000}"/>
    <cellStyle name="Normal 2 2 2 33 12" xfId="19256" xr:uid="{00000000-0005-0000-0000-0000134B0000}"/>
    <cellStyle name="Normal 2 2 2 33 13" xfId="19257" xr:uid="{00000000-0005-0000-0000-0000144B0000}"/>
    <cellStyle name="Normal 2 2 2 33 14" xfId="19258" xr:uid="{00000000-0005-0000-0000-0000154B0000}"/>
    <cellStyle name="Normal 2 2 2 33 2" xfId="19259" xr:uid="{00000000-0005-0000-0000-0000164B0000}"/>
    <cellStyle name="Normal 2 2 2 33 2 10" xfId="19260" xr:uid="{00000000-0005-0000-0000-0000174B0000}"/>
    <cellStyle name="Normal 2 2 2 33 2 2" xfId="19261" xr:uid="{00000000-0005-0000-0000-0000184B0000}"/>
    <cellStyle name="Normal 2 2 2 33 2 3" xfId="19262" xr:uid="{00000000-0005-0000-0000-0000194B0000}"/>
    <cellStyle name="Normal 2 2 2 33 2 4" xfId="19263" xr:uid="{00000000-0005-0000-0000-00001A4B0000}"/>
    <cellStyle name="Normal 2 2 2 33 2 5" xfId="19264" xr:uid="{00000000-0005-0000-0000-00001B4B0000}"/>
    <cellStyle name="Normal 2 2 2 33 2 6" xfId="19265" xr:uid="{00000000-0005-0000-0000-00001C4B0000}"/>
    <cellStyle name="Normal 2 2 2 33 2 7" xfId="19266" xr:uid="{00000000-0005-0000-0000-00001D4B0000}"/>
    <cellStyle name="Normal 2 2 2 33 2 8" xfId="19267" xr:uid="{00000000-0005-0000-0000-00001E4B0000}"/>
    <cellStyle name="Normal 2 2 2 33 2 9" xfId="19268" xr:uid="{00000000-0005-0000-0000-00001F4B0000}"/>
    <cellStyle name="Normal 2 2 2 33 3" xfId="19269" xr:uid="{00000000-0005-0000-0000-0000204B0000}"/>
    <cellStyle name="Normal 2 2 2 33 3 10" xfId="19270" xr:uid="{00000000-0005-0000-0000-0000214B0000}"/>
    <cellStyle name="Normal 2 2 2 33 3 2" xfId="19271" xr:uid="{00000000-0005-0000-0000-0000224B0000}"/>
    <cellStyle name="Normal 2 2 2 33 3 3" xfId="19272" xr:uid="{00000000-0005-0000-0000-0000234B0000}"/>
    <cellStyle name="Normal 2 2 2 33 3 4" xfId="19273" xr:uid="{00000000-0005-0000-0000-0000244B0000}"/>
    <cellStyle name="Normal 2 2 2 33 3 5" xfId="19274" xr:uid="{00000000-0005-0000-0000-0000254B0000}"/>
    <cellStyle name="Normal 2 2 2 33 3 6" xfId="19275" xr:uid="{00000000-0005-0000-0000-0000264B0000}"/>
    <cellStyle name="Normal 2 2 2 33 3 7" xfId="19276" xr:uid="{00000000-0005-0000-0000-0000274B0000}"/>
    <cellStyle name="Normal 2 2 2 33 3 8" xfId="19277" xr:uid="{00000000-0005-0000-0000-0000284B0000}"/>
    <cellStyle name="Normal 2 2 2 33 3 9" xfId="19278" xr:uid="{00000000-0005-0000-0000-0000294B0000}"/>
    <cellStyle name="Normal 2 2 2 33 4" xfId="19279" xr:uid="{00000000-0005-0000-0000-00002A4B0000}"/>
    <cellStyle name="Normal 2 2 2 33 4 10" xfId="19280" xr:uid="{00000000-0005-0000-0000-00002B4B0000}"/>
    <cellStyle name="Normal 2 2 2 33 4 2" xfId="19281" xr:uid="{00000000-0005-0000-0000-00002C4B0000}"/>
    <cellStyle name="Normal 2 2 2 33 4 3" xfId="19282" xr:uid="{00000000-0005-0000-0000-00002D4B0000}"/>
    <cellStyle name="Normal 2 2 2 33 4 4" xfId="19283" xr:uid="{00000000-0005-0000-0000-00002E4B0000}"/>
    <cellStyle name="Normal 2 2 2 33 4 5" xfId="19284" xr:uid="{00000000-0005-0000-0000-00002F4B0000}"/>
    <cellStyle name="Normal 2 2 2 33 4 6" xfId="19285" xr:uid="{00000000-0005-0000-0000-0000304B0000}"/>
    <cellStyle name="Normal 2 2 2 33 4 7" xfId="19286" xr:uid="{00000000-0005-0000-0000-0000314B0000}"/>
    <cellStyle name="Normal 2 2 2 33 4 8" xfId="19287" xr:uid="{00000000-0005-0000-0000-0000324B0000}"/>
    <cellStyle name="Normal 2 2 2 33 4 9" xfId="19288" xr:uid="{00000000-0005-0000-0000-0000334B0000}"/>
    <cellStyle name="Normal 2 2 2 33 5" xfId="19289" xr:uid="{00000000-0005-0000-0000-0000344B0000}"/>
    <cellStyle name="Normal 2 2 2 33 5 10" xfId="19290" xr:uid="{00000000-0005-0000-0000-0000354B0000}"/>
    <cellStyle name="Normal 2 2 2 33 5 2" xfId="19291" xr:uid="{00000000-0005-0000-0000-0000364B0000}"/>
    <cellStyle name="Normal 2 2 2 33 5 3" xfId="19292" xr:uid="{00000000-0005-0000-0000-0000374B0000}"/>
    <cellStyle name="Normal 2 2 2 33 5 4" xfId="19293" xr:uid="{00000000-0005-0000-0000-0000384B0000}"/>
    <cellStyle name="Normal 2 2 2 33 5 5" xfId="19294" xr:uid="{00000000-0005-0000-0000-0000394B0000}"/>
    <cellStyle name="Normal 2 2 2 33 5 6" xfId="19295" xr:uid="{00000000-0005-0000-0000-00003A4B0000}"/>
    <cellStyle name="Normal 2 2 2 33 5 7" xfId="19296" xr:uid="{00000000-0005-0000-0000-00003B4B0000}"/>
    <cellStyle name="Normal 2 2 2 33 5 8" xfId="19297" xr:uid="{00000000-0005-0000-0000-00003C4B0000}"/>
    <cellStyle name="Normal 2 2 2 33 5 9" xfId="19298" xr:uid="{00000000-0005-0000-0000-00003D4B0000}"/>
    <cellStyle name="Normal 2 2 2 33 6" xfId="19299" xr:uid="{00000000-0005-0000-0000-00003E4B0000}"/>
    <cellStyle name="Normal 2 2 2 33 7" xfId="19300" xr:uid="{00000000-0005-0000-0000-00003F4B0000}"/>
    <cellStyle name="Normal 2 2 2 33 8" xfId="19301" xr:uid="{00000000-0005-0000-0000-0000404B0000}"/>
    <cellStyle name="Normal 2 2 2 33 9" xfId="19302" xr:uid="{00000000-0005-0000-0000-0000414B0000}"/>
    <cellStyle name="Normal 2 2 2 34" xfId="19303" xr:uid="{00000000-0005-0000-0000-0000424B0000}"/>
    <cellStyle name="Normal 2 2 2 34 10" xfId="19304" xr:uid="{00000000-0005-0000-0000-0000434B0000}"/>
    <cellStyle name="Normal 2 2 2 34 11" xfId="19305" xr:uid="{00000000-0005-0000-0000-0000444B0000}"/>
    <cellStyle name="Normal 2 2 2 34 12" xfId="19306" xr:uid="{00000000-0005-0000-0000-0000454B0000}"/>
    <cellStyle name="Normal 2 2 2 34 13" xfId="19307" xr:uid="{00000000-0005-0000-0000-0000464B0000}"/>
    <cellStyle name="Normal 2 2 2 34 14" xfId="19308" xr:uid="{00000000-0005-0000-0000-0000474B0000}"/>
    <cellStyle name="Normal 2 2 2 34 2" xfId="19309" xr:uid="{00000000-0005-0000-0000-0000484B0000}"/>
    <cellStyle name="Normal 2 2 2 34 2 10" xfId="19310" xr:uid="{00000000-0005-0000-0000-0000494B0000}"/>
    <cellStyle name="Normal 2 2 2 34 2 2" xfId="19311" xr:uid="{00000000-0005-0000-0000-00004A4B0000}"/>
    <cellStyle name="Normal 2 2 2 34 2 3" xfId="19312" xr:uid="{00000000-0005-0000-0000-00004B4B0000}"/>
    <cellStyle name="Normal 2 2 2 34 2 4" xfId="19313" xr:uid="{00000000-0005-0000-0000-00004C4B0000}"/>
    <cellStyle name="Normal 2 2 2 34 2 5" xfId="19314" xr:uid="{00000000-0005-0000-0000-00004D4B0000}"/>
    <cellStyle name="Normal 2 2 2 34 2 6" xfId="19315" xr:uid="{00000000-0005-0000-0000-00004E4B0000}"/>
    <cellStyle name="Normal 2 2 2 34 2 7" xfId="19316" xr:uid="{00000000-0005-0000-0000-00004F4B0000}"/>
    <cellStyle name="Normal 2 2 2 34 2 8" xfId="19317" xr:uid="{00000000-0005-0000-0000-0000504B0000}"/>
    <cellStyle name="Normal 2 2 2 34 2 9" xfId="19318" xr:uid="{00000000-0005-0000-0000-0000514B0000}"/>
    <cellStyle name="Normal 2 2 2 34 3" xfId="19319" xr:uid="{00000000-0005-0000-0000-0000524B0000}"/>
    <cellStyle name="Normal 2 2 2 34 3 10" xfId="19320" xr:uid="{00000000-0005-0000-0000-0000534B0000}"/>
    <cellStyle name="Normal 2 2 2 34 3 2" xfId="19321" xr:uid="{00000000-0005-0000-0000-0000544B0000}"/>
    <cellStyle name="Normal 2 2 2 34 3 3" xfId="19322" xr:uid="{00000000-0005-0000-0000-0000554B0000}"/>
    <cellStyle name="Normal 2 2 2 34 3 4" xfId="19323" xr:uid="{00000000-0005-0000-0000-0000564B0000}"/>
    <cellStyle name="Normal 2 2 2 34 3 5" xfId="19324" xr:uid="{00000000-0005-0000-0000-0000574B0000}"/>
    <cellStyle name="Normal 2 2 2 34 3 6" xfId="19325" xr:uid="{00000000-0005-0000-0000-0000584B0000}"/>
    <cellStyle name="Normal 2 2 2 34 3 7" xfId="19326" xr:uid="{00000000-0005-0000-0000-0000594B0000}"/>
    <cellStyle name="Normal 2 2 2 34 3 8" xfId="19327" xr:uid="{00000000-0005-0000-0000-00005A4B0000}"/>
    <cellStyle name="Normal 2 2 2 34 3 9" xfId="19328" xr:uid="{00000000-0005-0000-0000-00005B4B0000}"/>
    <cellStyle name="Normal 2 2 2 34 4" xfId="19329" xr:uid="{00000000-0005-0000-0000-00005C4B0000}"/>
    <cellStyle name="Normal 2 2 2 34 4 10" xfId="19330" xr:uid="{00000000-0005-0000-0000-00005D4B0000}"/>
    <cellStyle name="Normal 2 2 2 34 4 2" xfId="19331" xr:uid="{00000000-0005-0000-0000-00005E4B0000}"/>
    <cellStyle name="Normal 2 2 2 34 4 3" xfId="19332" xr:uid="{00000000-0005-0000-0000-00005F4B0000}"/>
    <cellStyle name="Normal 2 2 2 34 4 4" xfId="19333" xr:uid="{00000000-0005-0000-0000-0000604B0000}"/>
    <cellStyle name="Normal 2 2 2 34 4 5" xfId="19334" xr:uid="{00000000-0005-0000-0000-0000614B0000}"/>
    <cellStyle name="Normal 2 2 2 34 4 6" xfId="19335" xr:uid="{00000000-0005-0000-0000-0000624B0000}"/>
    <cellStyle name="Normal 2 2 2 34 4 7" xfId="19336" xr:uid="{00000000-0005-0000-0000-0000634B0000}"/>
    <cellStyle name="Normal 2 2 2 34 4 8" xfId="19337" xr:uid="{00000000-0005-0000-0000-0000644B0000}"/>
    <cellStyle name="Normal 2 2 2 34 4 9" xfId="19338" xr:uid="{00000000-0005-0000-0000-0000654B0000}"/>
    <cellStyle name="Normal 2 2 2 34 5" xfId="19339" xr:uid="{00000000-0005-0000-0000-0000664B0000}"/>
    <cellStyle name="Normal 2 2 2 34 5 10" xfId="19340" xr:uid="{00000000-0005-0000-0000-0000674B0000}"/>
    <cellStyle name="Normal 2 2 2 34 5 2" xfId="19341" xr:uid="{00000000-0005-0000-0000-0000684B0000}"/>
    <cellStyle name="Normal 2 2 2 34 5 3" xfId="19342" xr:uid="{00000000-0005-0000-0000-0000694B0000}"/>
    <cellStyle name="Normal 2 2 2 34 5 4" xfId="19343" xr:uid="{00000000-0005-0000-0000-00006A4B0000}"/>
    <cellStyle name="Normal 2 2 2 34 5 5" xfId="19344" xr:uid="{00000000-0005-0000-0000-00006B4B0000}"/>
    <cellStyle name="Normal 2 2 2 34 5 6" xfId="19345" xr:uid="{00000000-0005-0000-0000-00006C4B0000}"/>
    <cellStyle name="Normal 2 2 2 34 5 7" xfId="19346" xr:uid="{00000000-0005-0000-0000-00006D4B0000}"/>
    <cellStyle name="Normal 2 2 2 34 5 8" xfId="19347" xr:uid="{00000000-0005-0000-0000-00006E4B0000}"/>
    <cellStyle name="Normal 2 2 2 34 5 9" xfId="19348" xr:uid="{00000000-0005-0000-0000-00006F4B0000}"/>
    <cellStyle name="Normal 2 2 2 34 6" xfId="19349" xr:uid="{00000000-0005-0000-0000-0000704B0000}"/>
    <cellStyle name="Normal 2 2 2 34 7" xfId="19350" xr:uid="{00000000-0005-0000-0000-0000714B0000}"/>
    <cellStyle name="Normal 2 2 2 34 8" xfId="19351" xr:uid="{00000000-0005-0000-0000-0000724B0000}"/>
    <cellStyle name="Normal 2 2 2 34 9" xfId="19352" xr:uid="{00000000-0005-0000-0000-0000734B0000}"/>
    <cellStyle name="Normal 2 2 2 35" xfId="19353" xr:uid="{00000000-0005-0000-0000-0000744B0000}"/>
    <cellStyle name="Normal 2 2 2 35 10" xfId="19354" xr:uid="{00000000-0005-0000-0000-0000754B0000}"/>
    <cellStyle name="Normal 2 2 2 35 11" xfId="19355" xr:uid="{00000000-0005-0000-0000-0000764B0000}"/>
    <cellStyle name="Normal 2 2 2 35 12" xfId="19356" xr:uid="{00000000-0005-0000-0000-0000774B0000}"/>
    <cellStyle name="Normal 2 2 2 35 13" xfId="19357" xr:uid="{00000000-0005-0000-0000-0000784B0000}"/>
    <cellStyle name="Normal 2 2 2 35 14" xfId="19358" xr:uid="{00000000-0005-0000-0000-0000794B0000}"/>
    <cellStyle name="Normal 2 2 2 35 2" xfId="19359" xr:uid="{00000000-0005-0000-0000-00007A4B0000}"/>
    <cellStyle name="Normal 2 2 2 35 2 10" xfId="19360" xr:uid="{00000000-0005-0000-0000-00007B4B0000}"/>
    <cellStyle name="Normal 2 2 2 35 2 2" xfId="19361" xr:uid="{00000000-0005-0000-0000-00007C4B0000}"/>
    <cellStyle name="Normal 2 2 2 35 2 3" xfId="19362" xr:uid="{00000000-0005-0000-0000-00007D4B0000}"/>
    <cellStyle name="Normal 2 2 2 35 2 4" xfId="19363" xr:uid="{00000000-0005-0000-0000-00007E4B0000}"/>
    <cellStyle name="Normal 2 2 2 35 2 5" xfId="19364" xr:uid="{00000000-0005-0000-0000-00007F4B0000}"/>
    <cellStyle name="Normal 2 2 2 35 2 6" xfId="19365" xr:uid="{00000000-0005-0000-0000-0000804B0000}"/>
    <cellStyle name="Normal 2 2 2 35 2 7" xfId="19366" xr:uid="{00000000-0005-0000-0000-0000814B0000}"/>
    <cellStyle name="Normal 2 2 2 35 2 8" xfId="19367" xr:uid="{00000000-0005-0000-0000-0000824B0000}"/>
    <cellStyle name="Normal 2 2 2 35 2 9" xfId="19368" xr:uid="{00000000-0005-0000-0000-0000834B0000}"/>
    <cellStyle name="Normal 2 2 2 35 3" xfId="19369" xr:uid="{00000000-0005-0000-0000-0000844B0000}"/>
    <cellStyle name="Normal 2 2 2 35 3 10" xfId="19370" xr:uid="{00000000-0005-0000-0000-0000854B0000}"/>
    <cellStyle name="Normal 2 2 2 35 3 2" xfId="19371" xr:uid="{00000000-0005-0000-0000-0000864B0000}"/>
    <cellStyle name="Normal 2 2 2 35 3 3" xfId="19372" xr:uid="{00000000-0005-0000-0000-0000874B0000}"/>
    <cellStyle name="Normal 2 2 2 35 3 4" xfId="19373" xr:uid="{00000000-0005-0000-0000-0000884B0000}"/>
    <cellStyle name="Normal 2 2 2 35 3 5" xfId="19374" xr:uid="{00000000-0005-0000-0000-0000894B0000}"/>
    <cellStyle name="Normal 2 2 2 35 3 6" xfId="19375" xr:uid="{00000000-0005-0000-0000-00008A4B0000}"/>
    <cellStyle name="Normal 2 2 2 35 3 7" xfId="19376" xr:uid="{00000000-0005-0000-0000-00008B4B0000}"/>
    <cellStyle name="Normal 2 2 2 35 3 8" xfId="19377" xr:uid="{00000000-0005-0000-0000-00008C4B0000}"/>
    <cellStyle name="Normal 2 2 2 35 3 9" xfId="19378" xr:uid="{00000000-0005-0000-0000-00008D4B0000}"/>
    <cellStyle name="Normal 2 2 2 35 4" xfId="19379" xr:uid="{00000000-0005-0000-0000-00008E4B0000}"/>
    <cellStyle name="Normal 2 2 2 35 4 10" xfId="19380" xr:uid="{00000000-0005-0000-0000-00008F4B0000}"/>
    <cellStyle name="Normal 2 2 2 35 4 2" xfId="19381" xr:uid="{00000000-0005-0000-0000-0000904B0000}"/>
    <cellStyle name="Normal 2 2 2 35 4 3" xfId="19382" xr:uid="{00000000-0005-0000-0000-0000914B0000}"/>
    <cellStyle name="Normal 2 2 2 35 4 4" xfId="19383" xr:uid="{00000000-0005-0000-0000-0000924B0000}"/>
    <cellStyle name="Normal 2 2 2 35 4 5" xfId="19384" xr:uid="{00000000-0005-0000-0000-0000934B0000}"/>
    <cellStyle name="Normal 2 2 2 35 4 6" xfId="19385" xr:uid="{00000000-0005-0000-0000-0000944B0000}"/>
    <cellStyle name="Normal 2 2 2 35 4 7" xfId="19386" xr:uid="{00000000-0005-0000-0000-0000954B0000}"/>
    <cellStyle name="Normal 2 2 2 35 4 8" xfId="19387" xr:uid="{00000000-0005-0000-0000-0000964B0000}"/>
    <cellStyle name="Normal 2 2 2 35 4 9" xfId="19388" xr:uid="{00000000-0005-0000-0000-0000974B0000}"/>
    <cellStyle name="Normal 2 2 2 35 5" xfId="19389" xr:uid="{00000000-0005-0000-0000-0000984B0000}"/>
    <cellStyle name="Normal 2 2 2 35 5 10" xfId="19390" xr:uid="{00000000-0005-0000-0000-0000994B0000}"/>
    <cellStyle name="Normal 2 2 2 35 5 2" xfId="19391" xr:uid="{00000000-0005-0000-0000-00009A4B0000}"/>
    <cellStyle name="Normal 2 2 2 35 5 3" xfId="19392" xr:uid="{00000000-0005-0000-0000-00009B4B0000}"/>
    <cellStyle name="Normal 2 2 2 35 5 4" xfId="19393" xr:uid="{00000000-0005-0000-0000-00009C4B0000}"/>
    <cellStyle name="Normal 2 2 2 35 5 5" xfId="19394" xr:uid="{00000000-0005-0000-0000-00009D4B0000}"/>
    <cellStyle name="Normal 2 2 2 35 5 6" xfId="19395" xr:uid="{00000000-0005-0000-0000-00009E4B0000}"/>
    <cellStyle name="Normal 2 2 2 35 5 7" xfId="19396" xr:uid="{00000000-0005-0000-0000-00009F4B0000}"/>
    <cellStyle name="Normal 2 2 2 35 5 8" xfId="19397" xr:uid="{00000000-0005-0000-0000-0000A04B0000}"/>
    <cellStyle name="Normal 2 2 2 35 5 9" xfId="19398" xr:uid="{00000000-0005-0000-0000-0000A14B0000}"/>
    <cellStyle name="Normal 2 2 2 35 6" xfId="19399" xr:uid="{00000000-0005-0000-0000-0000A24B0000}"/>
    <cellStyle name="Normal 2 2 2 35 7" xfId="19400" xr:uid="{00000000-0005-0000-0000-0000A34B0000}"/>
    <cellStyle name="Normal 2 2 2 35 8" xfId="19401" xr:uid="{00000000-0005-0000-0000-0000A44B0000}"/>
    <cellStyle name="Normal 2 2 2 35 9" xfId="19402" xr:uid="{00000000-0005-0000-0000-0000A54B0000}"/>
    <cellStyle name="Normal 2 2 2 36" xfId="19403" xr:uid="{00000000-0005-0000-0000-0000A64B0000}"/>
    <cellStyle name="Normal 2 2 2 36 10" xfId="19404" xr:uid="{00000000-0005-0000-0000-0000A74B0000}"/>
    <cellStyle name="Normal 2 2 2 36 2" xfId="19405" xr:uid="{00000000-0005-0000-0000-0000A84B0000}"/>
    <cellStyle name="Normal 2 2 2 36 3" xfId="19406" xr:uid="{00000000-0005-0000-0000-0000A94B0000}"/>
    <cellStyle name="Normal 2 2 2 36 4" xfId="19407" xr:uid="{00000000-0005-0000-0000-0000AA4B0000}"/>
    <cellStyle name="Normal 2 2 2 36 5" xfId="19408" xr:uid="{00000000-0005-0000-0000-0000AB4B0000}"/>
    <cellStyle name="Normal 2 2 2 36 6" xfId="19409" xr:uid="{00000000-0005-0000-0000-0000AC4B0000}"/>
    <cellStyle name="Normal 2 2 2 36 7" xfId="19410" xr:uid="{00000000-0005-0000-0000-0000AD4B0000}"/>
    <cellStyle name="Normal 2 2 2 36 8" xfId="19411" xr:uid="{00000000-0005-0000-0000-0000AE4B0000}"/>
    <cellStyle name="Normal 2 2 2 36 9" xfId="19412" xr:uid="{00000000-0005-0000-0000-0000AF4B0000}"/>
    <cellStyle name="Normal 2 2 2 37" xfId="19413" xr:uid="{00000000-0005-0000-0000-0000B04B0000}"/>
    <cellStyle name="Normal 2 2 2 37 10" xfId="19414" xr:uid="{00000000-0005-0000-0000-0000B14B0000}"/>
    <cellStyle name="Normal 2 2 2 37 2" xfId="19415" xr:uid="{00000000-0005-0000-0000-0000B24B0000}"/>
    <cellStyle name="Normal 2 2 2 37 3" xfId="19416" xr:uid="{00000000-0005-0000-0000-0000B34B0000}"/>
    <cellStyle name="Normal 2 2 2 37 4" xfId="19417" xr:uid="{00000000-0005-0000-0000-0000B44B0000}"/>
    <cellStyle name="Normal 2 2 2 37 5" xfId="19418" xr:uid="{00000000-0005-0000-0000-0000B54B0000}"/>
    <cellStyle name="Normal 2 2 2 37 6" xfId="19419" xr:uid="{00000000-0005-0000-0000-0000B64B0000}"/>
    <cellStyle name="Normal 2 2 2 37 7" xfId="19420" xr:uid="{00000000-0005-0000-0000-0000B74B0000}"/>
    <cellStyle name="Normal 2 2 2 37 8" xfId="19421" xr:uid="{00000000-0005-0000-0000-0000B84B0000}"/>
    <cellStyle name="Normal 2 2 2 37 9" xfId="19422" xr:uid="{00000000-0005-0000-0000-0000B94B0000}"/>
    <cellStyle name="Normal 2 2 2 38" xfId="19423" xr:uid="{00000000-0005-0000-0000-0000BA4B0000}"/>
    <cellStyle name="Normal 2 2 2 38 10" xfId="19424" xr:uid="{00000000-0005-0000-0000-0000BB4B0000}"/>
    <cellStyle name="Normal 2 2 2 38 2" xfId="19425" xr:uid="{00000000-0005-0000-0000-0000BC4B0000}"/>
    <cellStyle name="Normal 2 2 2 38 3" xfId="19426" xr:uid="{00000000-0005-0000-0000-0000BD4B0000}"/>
    <cellStyle name="Normal 2 2 2 38 4" xfId="19427" xr:uid="{00000000-0005-0000-0000-0000BE4B0000}"/>
    <cellStyle name="Normal 2 2 2 38 5" xfId="19428" xr:uid="{00000000-0005-0000-0000-0000BF4B0000}"/>
    <cellStyle name="Normal 2 2 2 38 6" xfId="19429" xr:uid="{00000000-0005-0000-0000-0000C04B0000}"/>
    <cellStyle name="Normal 2 2 2 38 7" xfId="19430" xr:uid="{00000000-0005-0000-0000-0000C14B0000}"/>
    <cellStyle name="Normal 2 2 2 38 8" xfId="19431" xr:uid="{00000000-0005-0000-0000-0000C24B0000}"/>
    <cellStyle name="Normal 2 2 2 38 9" xfId="19432" xr:uid="{00000000-0005-0000-0000-0000C34B0000}"/>
    <cellStyle name="Normal 2 2 2 39" xfId="19433" xr:uid="{00000000-0005-0000-0000-0000C44B0000}"/>
    <cellStyle name="Normal 2 2 2 39 10" xfId="19434" xr:uid="{00000000-0005-0000-0000-0000C54B0000}"/>
    <cellStyle name="Normal 2 2 2 39 2" xfId="19435" xr:uid="{00000000-0005-0000-0000-0000C64B0000}"/>
    <cellStyle name="Normal 2 2 2 39 3" xfId="19436" xr:uid="{00000000-0005-0000-0000-0000C74B0000}"/>
    <cellStyle name="Normal 2 2 2 39 4" xfId="19437" xr:uid="{00000000-0005-0000-0000-0000C84B0000}"/>
    <cellStyle name="Normal 2 2 2 39 5" xfId="19438" xr:uid="{00000000-0005-0000-0000-0000C94B0000}"/>
    <cellStyle name="Normal 2 2 2 39 6" xfId="19439" xr:uid="{00000000-0005-0000-0000-0000CA4B0000}"/>
    <cellStyle name="Normal 2 2 2 39 7" xfId="19440" xr:uid="{00000000-0005-0000-0000-0000CB4B0000}"/>
    <cellStyle name="Normal 2 2 2 39 8" xfId="19441" xr:uid="{00000000-0005-0000-0000-0000CC4B0000}"/>
    <cellStyle name="Normal 2 2 2 39 9" xfId="19442" xr:uid="{00000000-0005-0000-0000-0000CD4B0000}"/>
    <cellStyle name="Normal 2 2 2 4" xfId="19443" xr:uid="{00000000-0005-0000-0000-0000CE4B0000}"/>
    <cellStyle name="Normal 2 2 2 4 10" xfId="19444" xr:uid="{00000000-0005-0000-0000-0000CF4B0000}"/>
    <cellStyle name="Normal 2 2 2 4 11" xfId="19445" xr:uid="{00000000-0005-0000-0000-0000D04B0000}"/>
    <cellStyle name="Normal 2 2 2 4 12" xfId="19446" xr:uid="{00000000-0005-0000-0000-0000D14B0000}"/>
    <cellStyle name="Normal 2 2 2 4 13" xfId="19447" xr:uid="{00000000-0005-0000-0000-0000D24B0000}"/>
    <cellStyle name="Normal 2 2 2 4 14" xfId="19448" xr:uid="{00000000-0005-0000-0000-0000D34B0000}"/>
    <cellStyle name="Normal 2 2 2 4 15" xfId="19449" xr:uid="{00000000-0005-0000-0000-0000D44B0000}"/>
    <cellStyle name="Normal 2 2 2 4 16" xfId="19450" xr:uid="{00000000-0005-0000-0000-0000D54B0000}"/>
    <cellStyle name="Normal 2 2 2 4 17" xfId="19451" xr:uid="{00000000-0005-0000-0000-0000D64B0000}"/>
    <cellStyle name="Normal 2 2 2 4 18" xfId="19452" xr:uid="{00000000-0005-0000-0000-0000D74B0000}"/>
    <cellStyle name="Normal 2 2 2 4 19" xfId="19453" xr:uid="{00000000-0005-0000-0000-0000D84B0000}"/>
    <cellStyle name="Normal 2 2 2 4 2" xfId="19454" xr:uid="{00000000-0005-0000-0000-0000D94B0000}"/>
    <cellStyle name="Normal 2 2 2 4 2 10" xfId="19455" xr:uid="{00000000-0005-0000-0000-0000DA4B0000}"/>
    <cellStyle name="Normal 2 2 2 4 2 10 10" xfId="19456" xr:uid="{00000000-0005-0000-0000-0000DB4B0000}"/>
    <cellStyle name="Normal 2 2 2 4 2 10 11" xfId="19457" xr:uid="{00000000-0005-0000-0000-0000DC4B0000}"/>
    <cellStyle name="Normal 2 2 2 4 2 10 12" xfId="19458" xr:uid="{00000000-0005-0000-0000-0000DD4B0000}"/>
    <cellStyle name="Normal 2 2 2 4 2 10 13" xfId="19459" xr:uid="{00000000-0005-0000-0000-0000DE4B0000}"/>
    <cellStyle name="Normal 2 2 2 4 2 10 14" xfId="19460" xr:uid="{00000000-0005-0000-0000-0000DF4B0000}"/>
    <cellStyle name="Normal 2 2 2 4 2 10 2" xfId="19461" xr:uid="{00000000-0005-0000-0000-0000E04B0000}"/>
    <cellStyle name="Normal 2 2 2 4 2 10 2 10" xfId="19462" xr:uid="{00000000-0005-0000-0000-0000E14B0000}"/>
    <cellStyle name="Normal 2 2 2 4 2 10 2 2" xfId="19463" xr:uid="{00000000-0005-0000-0000-0000E24B0000}"/>
    <cellStyle name="Normal 2 2 2 4 2 10 2 3" xfId="19464" xr:uid="{00000000-0005-0000-0000-0000E34B0000}"/>
    <cellStyle name="Normal 2 2 2 4 2 10 2 4" xfId="19465" xr:uid="{00000000-0005-0000-0000-0000E44B0000}"/>
    <cellStyle name="Normal 2 2 2 4 2 10 2 5" xfId="19466" xr:uid="{00000000-0005-0000-0000-0000E54B0000}"/>
    <cellStyle name="Normal 2 2 2 4 2 10 2 6" xfId="19467" xr:uid="{00000000-0005-0000-0000-0000E64B0000}"/>
    <cellStyle name="Normal 2 2 2 4 2 10 2 7" xfId="19468" xr:uid="{00000000-0005-0000-0000-0000E74B0000}"/>
    <cellStyle name="Normal 2 2 2 4 2 10 2 8" xfId="19469" xr:uid="{00000000-0005-0000-0000-0000E84B0000}"/>
    <cellStyle name="Normal 2 2 2 4 2 10 2 9" xfId="19470" xr:uid="{00000000-0005-0000-0000-0000E94B0000}"/>
    <cellStyle name="Normal 2 2 2 4 2 10 3" xfId="19471" xr:uid="{00000000-0005-0000-0000-0000EA4B0000}"/>
    <cellStyle name="Normal 2 2 2 4 2 10 3 10" xfId="19472" xr:uid="{00000000-0005-0000-0000-0000EB4B0000}"/>
    <cellStyle name="Normal 2 2 2 4 2 10 3 2" xfId="19473" xr:uid="{00000000-0005-0000-0000-0000EC4B0000}"/>
    <cellStyle name="Normal 2 2 2 4 2 10 3 3" xfId="19474" xr:uid="{00000000-0005-0000-0000-0000ED4B0000}"/>
    <cellStyle name="Normal 2 2 2 4 2 10 3 4" xfId="19475" xr:uid="{00000000-0005-0000-0000-0000EE4B0000}"/>
    <cellStyle name="Normal 2 2 2 4 2 10 3 5" xfId="19476" xr:uid="{00000000-0005-0000-0000-0000EF4B0000}"/>
    <cellStyle name="Normal 2 2 2 4 2 10 3 6" xfId="19477" xr:uid="{00000000-0005-0000-0000-0000F04B0000}"/>
    <cellStyle name="Normal 2 2 2 4 2 10 3 7" xfId="19478" xr:uid="{00000000-0005-0000-0000-0000F14B0000}"/>
    <cellStyle name="Normal 2 2 2 4 2 10 3 8" xfId="19479" xr:uid="{00000000-0005-0000-0000-0000F24B0000}"/>
    <cellStyle name="Normal 2 2 2 4 2 10 3 9" xfId="19480" xr:uid="{00000000-0005-0000-0000-0000F34B0000}"/>
    <cellStyle name="Normal 2 2 2 4 2 10 4" xfId="19481" xr:uid="{00000000-0005-0000-0000-0000F44B0000}"/>
    <cellStyle name="Normal 2 2 2 4 2 10 4 10" xfId="19482" xr:uid="{00000000-0005-0000-0000-0000F54B0000}"/>
    <cellStyle name="Normal 2 2 2 4 2 10 4 2" xfId="19483" xr:uid="{00000000-0005-0000-0000-0000F64B0000}"/>
    <cellStyle name="Normal 2 2 2 4 2 10 4 3" xfId="19484" xr:uid="{00000000-0005-0000-0000-0000F74B0000}"/>
    <cellStyle name="Normal 2 2 2 4 2 10 4 4" xfId="19485" xr:uid="{00000000-0005-0000-0000-0000F84B0000}"/>
    <cellStyle name="Normal 2 2 2 4 2 10 4 5" xfId="19486" xr:uid="{00000000-0005-0000-0000-0000F94B0000}"/>
    <cellStyle name="Normal 2 2 2 4 2 10 4 6" xfId="19487" xr:uid="{00000000-0005-0000-0000-0000FA4B0000}"/>
    <cellStyle name="Normal 2 2 2 4 2 10 4 7" xfId="19488" xr:uid="{00000000-0005-0000-0000-0000FB4B0000}"/>
    <cellStyle name="Normal 2 2 2 4 2 10 4 8" xfId="19489" xr:uid="{00000000-0005-0000-0000-0000FC4B0000}"/>
    <cellStyle name="Normal 2 2 2 4 2 10 4 9" xfId="19490" xr:uid="{00000000-0005-0000-0000-0000FD4B0000}"/>
    <cellStyle name="Normal 2 2 2 4 2 10 5" xfId="19491" xr:uid="{00000000-0005-0000-0000-0000FE4B0000}"/>
    <cellStyle name="Normal 2 2 2 4 2 10 5 10" xfId="19492" xr:uid="{00000000-0005-0000-0000-0000FF4B0000}"/>
    <cellStyle name="Normal 2 2 2 4 2 10 5 2" xfId="19493" xr:uid="{00000000-0005-0000-0000-0000004C0000}"/>
    <cellStyle name="Normal 2 2 2 4 2 10 5 3" xfId="19494" xr:uid="{00000000-0005-0000-0000-0000014C0000}"/>
    <cellStyle name="Normal 2 2 2 4 2 10 5 4" xfId="19495" xr:uid="{00000000-0005-0000-0000-0000024C0000}"/>
    <cellStyle name="Normal 2 2 2 4 2 10 5 5" xfId="19496" xr:uid="{00000000-0005-0000-0000-0000034C0000}"/>
    <cellStyle name="Normal 2 2 2 4 2 10 5 6" xfId="19497" xr:uid="{00000000-0005-0000-0000-0000044C0000}"/>
    <cellStyle name="Normal 2 2 2 4 2 10 5 7" xfId="19498" xr:uid="{00000000-0005-0000-0000-0000054C0000}"/>
    <cellStyle name="Normal 2 2 2 4 2 10 5 8" xfId="19499" xr:uid="{00000000-0005-0000-0000-0000064C0000}"/>
    <cellStyle name="Normal 2 2 2 4 2 10 5 9" xfId="19500" xr:uid="{00000000-0005-0000-0000-0000074C0000}"/>
    <cellStyle name="Normal 2 2 2 4 2 10 6" xfId="19501" xr:uid="{00000000-0005-0000-0000-0000084C0000}"/>
    <cellStyle name="Normal 2 2 2 4 2 10 7" xfId="19502" xr:uid="{00000000-0005-0000-0000-0000094C0000}"/>
    <cellStyle name="Normal 2 2 2 4 2 10 8" xfId="19503" xr:uid="{00000000-0005-0000-0000-00000A4C0000}"/>
    <cellStyle name="Normal 2 2 2 4 2 10 9" xfId="19504" xr:uid="{00000000-0005-0000-0000-00000B4C0000}"/>
    <cellStyle name="Normal 2 2 2 4 2 11" xfId="19505" xr:uid="{00000000-0005-0000-0000-00000C4C0000}"/>
    <cellStyle name="Normal 2 2 2 4 2 11 10" xfId="19506" xr:uid="{00000000-0005-0000-0000-00000D4C0000}"/>
    <cellStyle name="Normal 2 2 2 4 2 11 11" xfId="19507" xr:uid="{00000000-0005-0000-0000-00000E4C0000}"/>
    <cellStyle name="Normal 2 2 2 4 2 11 12" xfId="19508" xr:uid="{00000000-0005-0000-0000-00000F4C0000}"/>
    <cellStyle name="Normal 2 2 2 4 2 11 13" xfId="19509" xr:uid="{00000000-0005-0000-0000-0000104C0000}"/>
    <cellStyle name="Normal 2 2 2 4 2 11 14" xfId="19510" xr:uid="{00000000-0005-0000-0000-0000114C0000}"/>
    <cellStyle name="Normal 2 2 2 4 2 11 2" xfId="19511" xr:uid="{00000000-0005-0000-0000-0000124C0000}"/>
    <cellStyle name="Normal 2 2 2 4 2 11 2 10" xfId="19512" xr:uid="{00000000-0005-0000-0000-0000134C0000}"/>
    <cellStyle name="Normal 2 2 2 4 2 11 2 2" xfId="19513" xr:uid="{00000000-0005-0000-0000-0000144C0000}"/>
    <cellStyle name="Normal 2 2 2 4 2 11 2 3" xfId="19514" xr:uid="{00000000-0005-0000-0000-0000154C0000}"/>
    <cellStyle name="Normal 2 2 2 4 2 11 2 4" xfId="19515" xr:uid="{00000000-0005-0000-0000-0000164C0000}"/>
    <cellStyle name="Normal 2 2 2 4 2 11 2 5" xfId="19516" xr:uid="{00000000-0005-0000-0000-0000174C0000}"/>
    <cellStyle name="Normal 2 2 2 4 2 11 2 6" xfId="19517" xr:uid="{00000000-0005-0000-0000-0000184C0000}"/>
    <cellStyle name="Normal 2 2 2 4 2 11 2 7" xfId="19518" xr:uid="{00000000-0005-0000-0000-0000194C0000}"/>
    <cellStyle name="Normal 2 2 2 4 2 11 2 8" xfId="19519" xr:uid="{00000000-0005-0000-0000-00001A4C0000}"/>
    <cellStyle name="Normal 2 2 2 4 2 11 2 9" xfId="19520" xr:uid="{00000000-0005-0000-0000-00001B4C0000}"/>
    <cellStyle name="Normal 2 2 2 4 2 11 3" xfId="19521" xr:uid="{00000000-0005-0000-0000-00001C4C0000}"/>
    <cellStyle name="Normal 2 2 2 4 2 11 3 10" xfId="19522" xr:uid="{00000000-0005-0000-0000-00001D4C0000}"/>
    <cellStyle name="Normal 2 2 2 4 2 11 3 2" xfId="19523" xr:uid="{00000000-0005-0000-0000-00001E4C0000}"/>
    <cellStyle name="Normal 2 2 2 4 2 11 3 3" xfId="19524" xr:uid="{00000000-0005-0000-0000-00001F4C0000}"/>
    <cellStyle name="Normal 2 2 2 4 2 11 3 4" xfId="19525" xr:uid="{00000000-0005-0000-0000-0000204C0000}"/>
    <cellStyle name="Normal 2 2 2 4 2 11 3 5" xfId="19526" xr:uid="{00000000-0005-0000-0000-0000214C0000}"/>
    <cellStyle name="Normal 2 2 2 4 2 11 3 6" xfId="19527" xr:uid="{00000000-0005-0000-0000-0000224C0000}"/>
    <cellStyle name="Normal 2 2 2 4 2 11 3 7" xfId="19528" xr:uid="{00000000-0005-0000-0000-0000234C0000}"/>
    <cellStyle name="Normal 2 2 2 4 2 11 3 8" xfId="19529" xr:uid="{00000000-0005-0000-0000-0000244C0000}"/>
    <cellStyle name="Normal 2 2 2 4 2 11 3 9" xfId="19530" xr:uid="{00000000-0005-0000-0000-0000254C0000}"/>
    <cellStyle name="Normal 2 2 2 4 2 11 4" xfId="19531" xr:uid="{00000000-0005-0000-0000-0000264C0000}"/>
    <cellStyle name="Normal 2 2 2 4 2 11 4 10" xfId="19532" xr:uid="{00000000-0005-0000-0000-0000274C0000}"/>
    <cellStyle name="Normal 2 2 2 4 2 11 4 2" xfId="19533" xr:uid="{00000000-0005-0000-0000-0000284C0000}"/>
    <cellStyle name="Normal 2 2 2 4 2 11 4 3" xfId="19534" xr:uid="{00000000-0005-0000-0000-0000294C0000}"/>
    <cellStyle name="Normal 2 2 2 4 2 11 4 4" xfId="19535" xr:uid="{00000000-0005-0000-0000-00002A4C0000}"/>
    <cellStyle name="Normal 2 2 2 4 2 11 4 5" xfId="19536" xr:uid="{00000000-0005-0000-0000-00002B4C0000}"/>
    <cellStyle name="Normal 2 2 2 4 2 11 4 6" xfId="19537" xr:uid="{00000000-0005-0000-0000-00002C4C0000}"/>
    <cellStyle name="Normal 2 2 2 4 2 11 4 7" xfId="19538" xr:uid="{00000000-0005-0000-0000-00002D4C0000}"/>
    <cellStyle name="Normal 2 2 2 4 2 11 4 8" xfId="19539" xr:uid="{00000000-0005-0000-0000-00002E4C0000}"/>
    <cellStyle name="Normal 2 2 2 4 2 11 4 9" xfId="19540" xr:uid="{00000000-0005-0000-0000-00002F4C0000}"/>
    <cellStyle name="Normal 2 2 2 4 2 11 5" xfId="19541" xr:uid="{00000000-0005-0000-0000-0000304C0000}"/>
    <cellStyle name="Normal 2 2 2 4 2 11 5 10" xfId="19542" xr:uid="{00000000-0005-0000-0000-0000314C0000}"/>
    <cellStyle name="Normal 2 2 2 4 2 11 5 2" xfId="19543" xr:uid="{00000000-0005-0000-0000-0000324C0000}"/>
    <cellStyle name="Normal 2 2 2 4 2 11 5 3" xfId="19544" xr:uid="{00000000-0005-0000-0000-0000334C0000}"/>
    <cellStyle name="Normal 2 2 2 4 2 11 5 4" xfId="19545" xr:uid="{00000000-0005-0000-0000-0000344C0000}"/>
    <cellStyle name="Normal 2 2 2 4 2 11 5 5" xfId="19546" xr:uid="{00000000-0005-0000-0000-0000354C0000}"/>
    <cellStyle name="Normal 2 2 2 4 2 11 5 6" xfId="19547" xr:uid="{00000000-0005-0000-0000-0000364C0000}"/>
    <cellStyle name="Normal 2 2 2 4 2 11 5 7" xfId="19548" xr:uid="{00000000-0005-0000-0000-0000374C0000}"/>
    <cellStyle name="Normal 2 2 2 4 2 11 5 8" xfId="19549" xr:uid="{00000000-0005-0000-0000-0000384C0000}"/>
    <cellStyle name="Normal 2 2 2 4 2 11 5 9" xfId="19550" xr:uid="{00000000-0005-0000-0000-0000394C0000}"/>
    <cellStyle name="Normal 2 2 2 4 2 11 6" xfId="19551" xr:uid="{00000000-0005-0000-0000-00003A4C0000}"/>
    <cellStyle name="Normal 2 2 2 4 2 11 7" xfId="19552" xr:uid="{00000000-0005-0000-0000-00003B4C0000}"/>
    <cellStyle name="Normal 2 2 2 4 2 11 8" xfId="19553" xr:uid="{00000000-0005-0000-0000-00003C4C0000}"/>
    <cellStyle name="Normal 2 2 2 4 2 11 9" xfId="19554" xr:uid="{00000000-0005-0000-0000-00003D4C0000}"/>
    <cellStyle name="Normal 2 2 2 4 2 12" xfId="19555" xr:uid="{00000000-0005-0000-0000-00003E4C0000}"/>
    <cellStyle name="Normal 2 2 2 4 2 12 10" xfId="19556" xr:uid="{00000000-0005-0000-0000-00003F4C0000}"/>
    <cellStyle name="Normal 2 2 2 4 2 12 11" xfId="19557" xr:uid="{00000000-0005-0000-0000-0000404C0000}"/>
    <cellStyle name="Normal 2 2 2 4 2 12 12" xfId="19558" xr:uid="{00000000-0005-0000-0000-0000414C0000}"/>
    <cellStyle name="Normal 2 2 2 4 2 12 13" xfId="19559" xr:uid="{00000000-0005-0000-0000-0000424C0000}"/>
    <cellStyle name="Normal 2 2 2 4 2 12 14" xfId="19560" xr:uid="{00000000-0005-0000-0000-0000434C0000}"/>
    <cellStyle name="Normal 2 2 2 4 2 12 2" xfId="19561" xr:uid="{00000000-0005-0000-0000-0000444C0000}"/>
    <cellStyle name="Normal 2 2 2 4 2 12 2 10" xfId="19562" xr:uid="{00000000-0005-0000-0000-0000454C0000}"/>
    <cellStyle name="Normal 2 2 2 4 2 12 2 2" xfId="19563" xr:uid="{00000000-0005-0000-0000-0000464C0000}"/>
    <cellStyle name="Normal 2 2 2 4 2 12 2 3" xfId="19564" xr:uid="{00000000-0005-0000-0000-0000474C0000}"/>
    <cellStyle name="Normal 2 2 2 4 2 12 2 4" xfId="19565" xr:uid="{00000000-0005-0000-0000-0000484C0000}"/>
    <cellStyle name="Normal 2 2 2 4 2 12 2 5" xfId="19566" xr:uid="{00000000-0005-0000-0000-0000494C0000}"/>
    <cellStyle name="Normal 2 2 2 4 2 12 2 6" xfId="19567" xr:uid="{00000000-0005-0000-0000-00004A4C0000}"/>
    <cellStyle name="Normal 2 2 2 4 2 12 2 7" xfId="19568" xr:uid="{00000000-0005-0000-0000-00004B4C0000}"/>
    <cellStyle name="Normal 2 2 2 4 2 12 2 8" xfId="19569" xr:uid="{00000000-0005-0000-0000-00004C4C0000}"/>
    <cellStyle name="Normal 2 2 2 4 2 12 2 9" xfId="19570" xr:uid="{00000000-0005-0000-0000-00004D4C0000}"/>
    <cellStyle name="Normal 2 2 2 4 2 12 3" xfId="19571" xr:uid="{00000000-0005-0000-0000-00004E4C0000}"/>
    <cellStyle name="Normal 2 2 2 4 2 12 3 10" xfId="19572" xr:uid="{00000000-0005-0000-0000-00004F4C0000}"/>
    <cellStyle name="Normal 2 2 2 4 2 12 3 2" xfId="19573" xr:uid="{00000000-0005-0000-0000-0000504C0000}"/>
    <cellStyle name="Normal 2 2 2 4 2 12 3 3" xfId="19574" xr:uid="{00000000-0005-0000-0000-0000514C0000}"/>
    <cellStyle name="Normal 2 2 2 4 2 12 3 4" xfId="19575" xr:uid="{00000000-0005-0000-0000-0000524C0000}"/>
    <cellStyle name="Normal 2 2 2 4 2 12 3 5" xfId="19576" xr:uid="{00000000-0005-0000-0000-0000534C0000}"/>
    <cellStyle name="Normal 2 2 2 4 2 12 3 6" xfId="19577" xr:uid="{00000000-0005-0000-0000-0000544C0000}"/>
    <cellStyle name="Normal 2 2 2 4 2 12 3 7" xfId="19578" xr:uid="{00000000-0005-0000-0000-0000554C0000}"/>
    <cellStyle name="Normal 2 2 2 4 2 12 3 8" xfId="19579" xr:uid="{00000000-0005-0000-0000-0000564C0000}"/>
    <cellStyle name="Normal 2 2 2 4 2 12 3 9" xfId="19580" xr:uid="{00000000-0005-0000-0000-0000574C0000}"/>
    <cellStyle name="Normal 2 2 2 4 2 12 4" xfId="19581" xr:uid="{00000000-0005-0000-0000-0000584C0000}"/>
    <cellStyle name="Normal 2 2 2 4 2 12 4 10" xfId="19582" xr:uid="{00000000-0005-0000-0000-0000594C0000}"/>
    <cellStyle name="Normal 2 2 2 4 2 12 4 2" xfId="19583" xr:uid="{00000000-0005-0000-0000-00005A4C0000}"/>
    <cellStyle name="Normal 2 2 2 4 2 12 4 3" xfId="19584" xr:uid="{00000000-0005-0000-0000-00005B4C0000}"/>
    <cellStyle name="Normal 2 2 2 4 2 12 4 4" xfId="19585" xr:uid="{00000000-0005-0000-0000-00005C4C0000}"/>
    <cellStyle name="Normal 2 2 2 4 2 12 4 5" xfId="19586" xr:uid="{00000000-0005-0000-0000-00005D4C0000}"/>
    <cellStyle name="Normal 2 2 2 4 2 12 4 6" xfId="19587" xr:uid="{00000000-0005-0000-0000-00005E4C0000}"/>
    <cellStyle name="Normal 2 2 2 4 2 12 4 7" xfId="19588" xr:uid="{00000000-0005-0000-0000-00005F4C0000}"/>
    <cellStyle name="Normal 2 2 2 4 2 12 4 8" xfId="19589" xr:uid="{00000000-0005-0000-0000-0000604C0000}"/>
    <cellStyle name="Normal 2 2 2 4 2 12 4 9" xfId="19590" xr:uid="{00000000-0005-0000-0000-0000614C0000}"/>
    <cellStyle name="Normal 2 2 2 4 2 12 5" xfId="19591" xr:uid="{00000000-0005-0000-0000-0000624C0000}"/>
    <cellStyle name="Normal 2 2 2 4 2 12 5 10" xfId="19592" xr:uid="{00000000-0005-0000-0000-0000634C0000}"/>
    <cellStyle name="Normal 2 2 2 4 2 12 5 2" xfId="19593" xr:uid="{00000000-0005-0000-0000-0000644C0000}"/>
    <cellStyle name="Normal 2 2 2 4 2 12 5 3" xfId="19594" xr:uid="{00000000-0005-0000-0000-0000654C0000}"/>
    <cellStyle name="Normal 2 2 2 4 2 12 5 4" xfId="19595" xr:uid="{00000000-0005-0000-0000-0000664C0000}"/>
    <cellStyle name="Normal 2 2 2 4 2 12 5 5" xfId="19596" xr:uid="{00000000-0005-0000-0000-0000674C0000}"/>
    <cellStyle name="Normal 2 2 2 4 2 12 5 6" xfId="19597" xr:uid="{00000000-0005-0000-0000-0000684C0000}"/>
    <cellStyle name="Normal 2 2 2 4 2 12 5 7" xfId="19598" xr:uid="{00000000-0005-0000-0000-0000694C0000}"/>
    <cellStyle name="Normal 2 2 2 4 2 12 5 8" xfId="19599" xr:uid="{00000000-0005-0000-0000-00006A4C0000}"/>
    <cellStyle name="Normal 2 2 2 4 2 12 5 9" xfId="19600" xr:uid="{00000000-0005-0000-0000-00006B4C0000}"/>
    <cellStyle name="Normal 2 2 2 4 2 12 6" xfId="19601" xr:uid="{00000000-0005-0000-0000-00006C4C0000}"/>
    <cellStyle name="Normal 2 2 2 4 2 12 7" xfId="19602" xr:uid="{00000000-0005-0000-0000-00006D4C0000}"/>
    <cellStyle name="Normal 2 2 2 4 2 12 8" xfId="19603" xr:uid="{00000000-0005-0000-0000-00006E4C0000}"/>
    <cellStyle name="Normal 2 2 2 4 2 12 9" xfId="19604" xr:uid="{00000000-0005-0000-0000-00006F4C0000}"/>
    <cellStyle name="Normal 2 2 2 4 2 13" xfId="19605" xr:uid="{00000000-0005-0000-0000-0000704C0000}"/>
    <cellStyle name="Normal 2 2 2 4 2 13 10" xfId="19606" xr:uid="{00000000-0005-0000-0000-0000714C0000}"/>
    <cellStyle name="Normal 2 2 2 4 2 13 11" xfId="19607" xr:uid="{00000000-0005-0000-0000-0000724C0000}"/>
    <cellStyle name="Normal 2 2 2 4 2 13 12" xfId="19608" xr:uid="{00000000-0005-0000-0000-0000734C0000}"/>
    <cellStyle name="Normal 2 2 2 4 2 13 13" xfId="19609" xr:uid="{00000000-0005-0000-0000-0000744C0000}"/>
    <cellStyle name="Normal 2 2 2 4 2 13 14" xfId="19610" xr:uid="{00000000-0005-0000-0000-0000754C0000}"/>
    <cellStyle name="Normal 2 2 2 4 2 13 2" xfId="19611" xr:uid="{00000000-0005-0000-0000-0000764C0000}"/>
    <cellStyle name="Normal 2 2 2 4 2 13 2 10" xfId="19612" xr:uid="{00000000-0005-0000-0000-0000774C0000}"/>
    <cellStyle name="Normal 2 2 2 4 2 13 2 2" xfId="19613" xr:uid="{00000000-0005-0000-0000-0000784C0000}"/>
    <cellStyle name="Normal 2 2 2 4 2 13 2 3" xfId="19614" xr:uid="{00000000-0005-0000-0000-0000794C0000}"/>
    <cellStyle name="Normal 2 2 2 4 2 13 2 4" xfId="19615" xr:uid="{00000000-0005-0000-0000-00007A4C0000}"/>
    <cellStyle name="Normal 2 2 2 4 2 13 2 5" xfId="19616" xr:uid="{00000000-0005-0000-0000-00007B4C0000}"/>
    <cellStyle name="Normal 2 2 2 4 2 13 2 6" xfId="19617" xr:uid="{00000000-0005-0000-0000-00007C4C0000}"/>
    <cellStyle name="Normal 2 2 2 4 2 13 2 7" xfId="19618" xr:uid="{00000000-0005-0000-0000-00007D4C0000}"/>
    <cellStyle name="Normal 2 2 2 4 2 13 2 8" xfId="19619" xr:uid="{00000000-0005-0000-0000-00007E4C0000}"/>
    <cellStyle name="Normal 2 2 2 4 2 13 2 9" xfId="19620" xr:uid="{00000000-0005-0000-0000-00007F4C0000}"/>
    <cellStyle name="Normal 2 2 2 4 2 13 3" xfId="19621" xr:uid="{00000000-0005-0000-0000-0000804C0000}"/>
    <cellStyle name="Normal 2 2 2 4 2 13 3 10" xfId="19622" xr:uid="{00000000-0005-0000-0000-0000814C0000}"/>
    <cellStyle name="Normal 2 2 2 4 2 13 3 2" xfId="19623" xr:uid="{00000000-0005-0000-0000-0000824C0000}"/>
    <cellStyle name="Normal 2 2 2 4 2 13 3 3" xfId="19624" xr:uid="{00000000-0005-0000-0000-0000834C0000}"/>
    <cellStyle name="Normal 2 2 2 4 2 13 3 4" xfId="19625" xr:uid="{00000000-0005-0000-0000-0000844C0000}"/>
    <cellStyle name="Normal 2 2 2 4 2 13 3 5" xfId="19626" xr:uid="{00000000-0005-0000-0000-0000854C0000}"/>
    <cellStyle name="Normal 2 2 2 4 2 13 3 6" xfId="19627" xr:uid="{00000000-0005-0000-0000-0000864C0000}"/>
    <cellStyle name="Normal 2 2 2 4 2 13 3 7" xfId="19628" xr:uid="{00000000-0005-0000-0000-0000874C0000}"/>
    <cellStyle name="Normal 2 2 2 4 2 13 3 8" xfId="19629" xr:uid="{00000000-0005-0000-0000-0000884C0000}"/>
    <cellStyle name="Normal 2 2 2 4 2 13 3 9" xfId="19630" xr:uid="{00000000-0005-0000-0000-0000894C0000}"/>
    <cellStyle name="Normal 2 2 2 4 2 13 4" xfId="19631" xr:uid="{00000000-0005-0000-0000-00008A4C0000}"/>
    <cellStyle name="Normal 2 2 2 4 2 13 4 10" xfId="19632" xr:uid="{00000000-0005-0000-0000-00008B4C0000}"/>
    <cellStyle name="Normal 2 2 2 4 2 13 4 2" xfId="19633" xr:uid="{00000000-0005-0000-0000-00008C4C0000}"/>
    <cellStyle name="Normal 2 2 2 4 2 13 4 3" xfId="19634" xr:uid="{00000000-0005-0000-0000-00008D4C0000}"/>
    <cellStyle name="Normal 2 2 2 4 2 13 4 4" xfId="19635" xr:uid="{00000000-0005-0000-0000-00008E4C0000}"/>
    <cellStyle name="Normal 2 2 2 4 2 13 4 5" xfId="19636" xr:uid="{00000000-0005-0000-0000-00008F4C0000}"/>
    <cellStyle name="Normal 2 2 2 4 2 13 4 6" xfId="19637" xr:uid="{00000000-0005-0000-0000-0000904C0000}"/>
    <cellStyle name="Normal 2 2 2 4 2 13 4 7" xfId="19638" xr:uid="{00000000-0005-0000-0000-0000914C0000}"/>
    <cellStyle name="Normal 2 2 2 4 2 13 4 8" xfId="19639" xr:uid="{00000000-0005-0000-0000-0000924C0000}"/>
    <cellStyle name="Normal 2 2 2 4 2 13 4 9" xfId="19640" xr:uid="{00000000-0005-0000-0000-0000934C0000}"/>
    <cellStyle name="Normal 2 2 2 4 2 13 5" xfId="19641" xr:uid="{00000000-0005-0000-0000-0000944C0000}"/>
    <cellStyle name="Normal 2 2 2 4 2 13 5 10" xfId="19642" xr:uid="{00000000-0005-0000-0000-0000954C0000}"/>
    <cellStyle name="Normal 2 2 2 4 2 13 5 2" xfId="19643" xr:uid="{00000000-0005-0000-0000-0000964C0000}"/>
    <cellStyle name="Normal 2 2 2 4 2 13 5 3" xfId="19644" xr:uid="{00000000-0005-0000-0000-0000974C0000}"/>
    <cellStyle name="Normal 2 2 2 4 2 13 5 4" xfId="19645" xr:uid="{00000000-0005-0000-0000-0000984C0000}"/>
    <cellStyle name="Normal 2 2 2 4 2 13 5 5" xfId="19646" xr:uid="{00000000-0005-0000-0000-0000994C0000}"/>
    <cellStyle name="Normal 2 2 2 4 2 13 5 6" xfId="19647" xr:uid="{00000000-0005-0000-0000-00009A4C0000}"/>
    <cellStyle name="Normal 2 2 2 4 2 13 5 7" xfId="19648" xr:uid="{00000000-0005-0000-0000-00009B4C0000}"/>
    <cellStyle name="Normal 2 2 2 4 2 13 5 8" xfId="19649" xr:uid="{00000000-0005-0000-0000-00009C4C0000}"/>
    <cellStyle name="Normal 2 2 2 4 2 13 5 9" xfId="19650" xr:uid="{00000000-0005-0000-0000-00009D4C0000}"/>
    <cellStyle name="Normal 2 2 2 4 2 13 6" xfId="19651" xr:uid="{00000000-0005-0000-0000-00009E4C0000}"/>
    <cellStyle name="Normal 2 2 2 4 2 13 7" xfId="19652" xr:uid="{00000000-0005-0000-0000-00009F4C0000}"/>
    <cellStyle name="Normal 2 2 2 4 2 13 8" xfId="19653" xr:uid="{00000000-0005-0000-0000-0000A04C0000}"/>
    <cellStyle name="Normal 2 2 2 4 2 13 9" xfId="19654" xr:uid="{00000000-0005-0000-0000-0000A14C0000}"/>
    <cellStyle name="Normal 2 2 2 4 2 14" xfId="19655" xr:uid="{00000000-0005-0000-0000-0000A24C0000}"/>
    <cellStyle name="Normal 2 2 2 4 2 14 10" xfId="19656" xr:uid="{00000000-0005-0000-0000-0000A34C0000}"/>
    <cellStyle name="Normal 2 2 2 4 2 14 11" xfId="19657" xr:uid="{00000000-0005-0000-0000-0000A44C0000}"/>
    <cellStyle name="Normal 2 2 2 4 2 14 12" xfId="19658" xr:uid="{00000000-0005-0000-0000-0000A54C0000}"/>
    <cellStyle name="Normal 2 2 2 4 2 14 13" xfId="19659" xr:uid="{00000000-0005-0000-0000-0000A64C0000}"/>
    <cellStyle name="Normal 2 2 2 4 2 14 14" xfId="19660" xr:uid="{00000000-0005-0000-0000-0000A74C0000}"/>
    <cellStyle name="Normal 2 2 2 4 2 14 2" xfId="19661" xr:uid="{00000000-0005-0000-0000-0000A84C0000}"/>
    <cellStyle name="Normal 2 2 2 4 2 14 2 10" xfId="19662" xr:uid="{00000000-0005-0000-0000-0000A94C0000}"/>
    <cellStyle name="Normal 2 2 2 4 2 14 2 2" xfId="19663" xr:uid="{00000000-0005-0000-0000-0000AA4C0000}"/>
    <cellStyle name="Normal 2 2 2 4 2 14 2 3" xfId="19664" xr:uid="{00000000-0005-0000-0000-0000AB4C0000}"/>
    <cellStyle name="Normal 2 2 2 4 2 14 2 4" xfId="19665" xr:uid="{00000000-0005-0000-0000-0000AC4C0000}"/>
    <cellStyle name="Normal 2 2 2 4 2 14 2 5" xfId="19666" xr:uid="{00000000-0005-0000-0000-0000AD4C0000}"/>
    <cellStyle name="Normal 2 2 2 4 2 14 2 6" xfId="19667" xr:uid="{00000000-0005-0000-0000-0000AE4C0000}"/>
    <cellStyle name="Normal 2 2 2 4 2 14 2 7" xfId="19668" xr:uid="{00000000-0005-0000-0000-0000AF4C0000}"/>
    <cellStyle name="Normal 2 2 2 4 2 14 2 8" xfId="19669" xr:uid="{00000000-0005-0000-0000-0000B04C0000}"/>
    <cellStyle name="Normal 2 2 2 4 2 14 2 9" xfId="19670" xr:uid="{00000000-0005-0000-0000-0000B14C0000}"/>
    <cellStyle name="Normal 2 2 2 4 2 14 3" xfId="19671" xr:uid="{00000000-0005-0000-0000-0000B24C0000}"/>
    <cellStyle name="Normal 2 2 2 4 2 14 3 10" xfId="19672" xr:uid="{00000000-0005-0000-0000-0000B34C0000}"/>
    <cellStyle name="Normal 2 2 2 4 2 14 3 2" xfId="19673" xr:uid="{00000000-0005-0000-0000-0000B44C0000}"/>
    <cellStyle name="Normal 2 2 2 4 2 14 3 3" xfId="19674" xr:uid="{00000000-0005-0000-0000-0000B54C0000}"/>
    <cellStyle name="Normal 2 2 2 4 2 14 3 4" xfId="19675" xr:uid="{00000000-0005-0000-0000-0000B64C0000}"/>
    <cellStyle name="Normal 2 2 2 4 2 14 3 5" xfId="19676" xr:uid="{00000000-0005-0000-0000-0000B74C0000}"/>
    <cellStyle name="Normal 2 2 2 4 2 14 3 6" xfId="19677" xr:uid="{00000000-0005-0000-0000-0000B84C0000}"/>
    <cellStyle name="Normal 2 2 2 4 2 14 3 7" xfId="19678" xr:uid="{00000000-0005-0000-0000-0000B94C0000}"/>
    <cellStyle name="Normal 2 2 2 4 2 14 3 8" xfId="19679" xr:uid="{00000000-0005-0000-0000-0000BA4C0000}"/>
    <cellStyle name="Normal 2 2 2 4 2 14 3 9" xfId="19680" xr:uid="{00000000-0005-0000-0000-0000BB4C0000}"/>
    <cellStyle name="Normal 2 2 2 4 2 14 4" xfId="19681" xr:uid="{00000000-0005-0000-0000-0000BC4C0000}"/>
    <cellStyle name="Normal 2 2 2 4 2 14 4 10" xfId="19682" xr:uid="{00000000-0005-0000-0000-0000BD4C0000}"/>
    <cellStyle name="Normal 2 2 2 4 2 14 4 2" xfId="19683" xr:uid="{00000000-0005-0000-0000-0000BE4C0000}"/>
    <cellStyle name="Normal 2 2 2 4 2 14 4 3" xfId="19684" xr:uid="{00000000-0005-0000-0000-0000BF4C0000}"/>
    <cellStyle name="Normal 2 2 2 4 2 14 4 4" xfId="19685" xr:uid="{00000000-0005-0000-0000-0000C04C0000}"/>
    <cellStyle name="Normal 2 2 2 4 2 14 4 5" xfId="19686" xr:uid="{00000000-0005-0000-0000-0000C14C0000}"/>
    <cellStyle name="Normal 2 2 2 4 2 14 4 6" xfId="19687" xr:uid="{00000000-0005-0000-0000-0000C24C0000}"/>
    <cellStyle name="Normal 2 2 2 4 2 14 4 7" xfId="19688" xr:uid="{00000000-0005-0000-0000-0000C34C0000}"/>
    <cellStyle name="Normal 2 2 2 4 2 14 4 8" xfId="19689" xr:uid="{00000000-0005-0000-0000-0000C44C0000}"/>
    <cellStyle name="Normal 2 2 2 4 2 14 4 9" xfId="19690" xr:uid="{00000000-0005-0000-0000-0000C54C0000}"/>
    <cellStyle name="Normal 2 2 2 4 2 14 5" xfId="19691" xr:uid="{00000000-0005-0000-0000-0000C64C0000}"/>
    <cellStyle name="Normal 2 2 2 4 2 14 5 10" xfId="19692" xr:uid="{00000000-0005-0000-0000-0000C74C0000}"/>
    <cellStyle name="Normal 2 2 2 4 2 14 5 2" xfId="19693" xr:uid="{00000000-0005-0000-0000-0000C84C0000}"/>
    <cellStyle name="Normal 2 2 2 4 2 14 5 3" xfId="19694" xr:uid="{00000000-0005-0000-0000-0000C94C0000}"/>
    <cellStyle name="Normal 2 2 2 4 2 14 5 4" xfId="19695" xr:uid="{00000000-0005-0000-0000-0000CA4C0000}"/>
    <cellStyle name="Normal 2 2 2 4 2 14 5 5" xfId="19696" xr:uid="{00000000-0005-0000-0000-0000CB4C0000}"/>
    <cellStyle name="Normal 2 2 2 4 2 14 5 6" xfId="19697" xr:uid="{00000000-0005-0000-0000-0000CC4C0000}"/>
    <cellStyle name="Normal 2 2 2 4 2 14 5 7" xfId="19698" xr:uid="{00000000-0005-0000-0000-0000CD4C0000}"/>
    <cellStyle name="Normal 2 2 2 4 2 14 5 8" xfId="19699" xr:uid="{00000000-0005-0000-0000-0000CE4C0000}"/>
    <cellStyle name="Normal 2 2 2 4 2 14 5 9" xfId="19700" xr:uid="{00000000-0005-0000-0000-0000CF4C0000}"/>
    <cellStyle name="Normal 2 2 2 4 2 14 6" xfId="19701" xr:uid="{00000000-0005-0000-0000-0000D04C0000}"/>
    <cellStyle name="Normal 2 2 2 4 2 14 7" xfId="19702" xr:uid="{00000000-0005-0000-0000-0000D14C0000}"/>
    <cellStyle name="Normal 2 2 2 4 2 14 8" xfId="19703" xr:uid="{00000000-0005-0000-0000-0000D24C0000}"/>
    <cellStyle name="Normal 2 2 2 4 2 14 9" xfId="19704" xr:uid="{00000000-0005-0000-0000-0000D34C0000}"/>
    <cellStyle name="Normal 2 2 2 4 2 15" xfId="19705" xr:uid="{00000000-0005-0000-0000-0000D44C0000}"/>
    <cellStyle name="Normal 2 2 2 4 2 15 10" xfId="19706" xr:uid="{00000000-0005-0000-0000-0000D54C0000}"/>
    <cellStyle name="Normal 2 2 2 4 2 15 11" xfId="19707" xr:uid="{00000000-0005-0000-0000-0000D64C0000}"/>
    <cellStyle name="Normal 2 2 2 4 2 15 12" xfId="19708" xr:uid="{00000000-0005-0000-0000-0000D74C0000}"/>
    <cellStyle name="Normal 2 2 2 4 2 15 13" xfId="19709" xr:uid="{00000000-0005-0000-0000-0000D84C0000}"/>
    <cellStyle name="Normal 2 2 2 4 2 15 14" xfId="19710" xr:uid="{00000000-0005-0000-0000-0000D94C0000}"/>
    <cellStyle name="Normal 2 2 2 4 2 15 2" xfId="19711" xr:uid="{00000000-0005-0000-0000-0000DA4C0000}"/>
    <cellStyle name="Normal 2 2 2 4 2 15 2 10" xfId="19712" xr:uid="{00000000-0005-0000-0000-0000DB4C0000}"/>
    <cellStyle name="Normal 2 2 2 4 2 15 2 2" xfId="19713" xr:uid="{00000000-0005-0000-0000-0000DC4C0000}"/>
    <cellStyle name="Normal 2 2 2 4 2 15 2 3" xfId="19714" xr:uid="{00000000-0005-0000-0000-0000DD4C0000}"/>
    <cellStyle name="Normal 2 2 2 4 2 15 2 4" xfId="19715" xr:uid="{00000000-0005-0000-0000-0000DE4C0000}"/>
    <cellStyle name="Normal 2 2 2 4 2 15 2 5" xfId="19716" xr:uid="{00000000-0005-0000-0000-0000DF4C0000}"/>
    <cellStyle name="Normal 2 2 2 4 2 15 2 6" xfId="19717" xr:uid="{00000000-0005-0000-0000-0000E04C0000}"/>
    <cellStyle name="Normal 2 2 2 4 2 15 2 7" xfId="19718" xr:uid="{00000000-0005-0000-0000-0000E14C0000}"/>
    <cellStyle name="Normal 2 2 2 4 2 15 2 8" xfId="19719" xr:uid="{00000000-0005-0000-0000-0000E24C0000}"/>
    <cellStyle name="Normal 2 2 2 4 2 15 2 9" xfId="19720" xr:uid="{00000000-0005-0000-0000-0000E34C0000}"/>
    <cellStyle name="Normal 2 2 2 4 2 15 3" xfId="19721" xr:uid="{00000000-0005-0000-0000-0000E44C0000}"/>
    <cellStyle name="Normal 2 2 2 4 2 15 3 10" xfId="19722" xr:uid="{00000000-0005-0000-0000-0000E54C0000}"/>
    <cellStyle name="Normal 2 2 2 4 2 15 3 2" xfId="19723" xr:uid="{00000000-0005-0000-0000-0000E64C0000}"/>
    <cellStyle name="Normal 2 2 2 4 2 15 3 3" xfId="19724" xr:uid="{00000000-0005-0000-0000-0000E74C0000}"/>
    <cellStyle name="Normal 2 2 2 4 2 15 3 4" xfId="19725" xr:uid="{00000000-0005-0000-0000-0000E84C0000}"/>
    <cellStyle name="Normal 2 2 2 4 2 15 3 5" xfId="19726" xr:uid="{00000000-0005-0000-0000-0000E94C0000}"/>
    <cellStyle name="Normal 2 2 2 4 2 15 3 6" xfId="19727" xr:uid="{00000000-0005-0000-0000-0000EA4C0000}"/>
    <cellStyle name="Normal 2 2 2 4 2 15 3 7" xfId="19728" xr:uid="{00000000-0005-0000-0000-0000EB4C0000}"/>
    <cellStyle name="Normal 2 2 2 4 2 15 3 8" xfId="19729" xr:uid="{00000000-0005-0000-0000-0000EC4C0000}"/>
    <cellStyle name="Normal 2 2 2 4 2 15 3 9" xfId="19730" xr:uid="{00000000-0005-0000-0000-0000ED4C0000}"/>
    <cellStyle name="Normal 2 2 2 4 2 15 4" xfId="19731" xr:uid="{00000000-0005-0000-0000-0000EE4C0000}"/>
    <cellStyle name="Normal 2 2 2 4 2 15 4 10" xfId="19732" xr:uid="{00000000-0005-0000-0000-0000EF4C0000}"/>
    <cellStyle name="Normal 2 2 2 4 2 15 4 2" xfId="19733" xr:uid="{00000000-0005-0000-0000-0000F04C0000}"/>
    <cellStyle name="Normal 2 2 2 4 2 15 4 3" xfId="19734" xr:uid="{00000000-0005-0000-0000-0000F14C0000}"/>
    <cellStyle name="Normal 2 2 2 4 2 15 4 4" xfId="19735" xr:uid="{00000000-0005-0000-0000-0000F24C0000}"/>
    <cellStyle name="Normal 2 2 2 4 2 15 4 5" xfId="19736" xr:uid="{00000000-0005-0000-0000-0000F34C0000}"/>
    <cellStyle name="Normal 2 2 2 4 2 15 4 6" xfId="19737" xr:uid="{00000000-0005-0000-0000-0000F44C0000}"/>
    <cellStyle name="Normal 2 2 2 4 2 15 4 7" xfId="19738" xr:uid="{00000000-0005-0000-0000-0000F54C0000}"/>
    <cellStyle name="Normal 2 2 2 4 2 15 4 8" xfId="19739" xr:uid="{00000000-0005-0000-0000-0000F64C0000}"/>
    <cellStyle name="Normal 2 2 2 4 2 15 4 9" xfId="19740" xr:uid="{00000000-0005-0000-0000-0000F74C0000}"/>
    <cellStyle name="Normal 2 2 2 4 2 15 5" xfId="19741" xr:uid="{00000000-0005-0000-0000-0000F84C0000}"/>
    <cellStyle name="Normal 2 2 2 4 2 15 5 10" xfId="19742" xr:uid="{00000000-0005-0000-0000-0000F94C0000}"/>
    <cellStyle name="Normal 2 2 2 4 2 15 5 2" xfId="19743" xr:uid="{00000000-0005-0000-0000-0000FA4C0000}"/>
    <cellStyle name="Normal 2 2 2 4 2 15 5 3" xfId="19744" xr:uid="{00000000-0005-0000-0000-0000FB4C0000}"/>
    <cellStyle name="Normal 2 2 2 4 2 15 5 4" xfId="19745" xr:uid="{00000000-0005-0000-0000-0000FC4C0000}"/>
    <cellStyle name="Normal 2 2 2 4 2 15 5 5" xfId="19746" xr:uid="{00000000-0005-0000-0000-0000FD4C0000}"/>
    <cellStyle name="Normal 2 2 2 4 2 15 5 6" xfId="19747" xr:uid="{00000000-0005-0000-0000-0000FE4C0000}"/>
    <cellStyle name="Normal 2 2 2 4 2 15 5 7" xfId="19748" xr:uid="{00000000-0005-0000-0000-0000FF4C0000}"/>
    <cellStyle name="Normal 2 2 2 4 2 15 5 8" xfId="19749" xr:uid="{00000000-0005-0000-0000-0000004D0000}"/>
    <cellStyle name="Normal 2 2 2 4 2 15 5 9" xfId="19750" xr:uid="{00000000-0005-0000-0000-0000014D0000}"/>
    <cellStyle name="Normal 2 2 2 4 2 15 6" xfId="19751" xr:uid="{00000000-0005-0000-0000-0000024D0000}"/>
    <cellStyle name="Normal 2 2 2 4 2 15 7" xfId="19752" xr:uid="{00000000-0005-0000-0000-0000034D0000}"/>
    <cellStyle name="Normal 2 2 2 4 2 15 8" xfId="19753" xr:uid="{00000000-0005-0000-0000-0000044D0000}"/>
    <cellStyle name="Normal 2 2 2 4 2 15 9" xfId="19754" xr:uid="{00000000-0005-0000-0000-0000054D0000}"/>
    <cellStyle name="Normal 2 2 2 4 2 16" xfId="19755" xr:uid="{00000000-0005-0000-0000-0000064D0000}"/>
    <cellStyle name="Normal 2 2 2 4 2 16 10" xfId="19756" xr:uid="{00000000-0005-0000-0000-0000074D0000}"/>
    <cellStyle name="Normal 2 2 2 4 2 16 11" xfId="19757" xr:uid="{00000000-0005-0000-0000-0000084D0000}"/>
    <cellStyle name="Normal 2 2 2 4 2 16 12" xfId="19758" xr:uid="{00000000-0005-0000-0000-0000094D0000}"/>
    <cellStyle name="Normal 2 2 2 4 2 16 13" xfId="19759" xr:uid="{00000000-0005-0000-0000-00000A4D0000}"/>
    <cellStyle name="Normal 2 2 2 4 2 16 14" xfId="19760" xr:uid="{00000000-0005-0000-0000-00000B4D0000}"/>
    <cellStyle name="Normal 2 2 2 4 2 16 2" xfId="19761" xr:uid="{00000000-0005-0000-0000-00000C4D0000}"/>
    <cellStyle name="Normal 2 2 2 4 2 16 2 10" xfId="19762" xr:uid="{00000000-0005-0000-0000-00000D4D0000}"/>
    <cellStyle name="Normal 2 2 2 4 2 16 2 2" xfId="19763" xr:uid="{00000000-0005-0000-0000-00000E4D0000}"/>
    <cellStyle name="Normal 2 2 2 4 2 16 2 3" xfId="19764" xr:uid="{00000000-0005-0000-0000-00000F4D0000}"/>
    <cellStyle name="Normal 2 2 2 4 2 16 2 4" xfId="19765" xr:uid="{00000000-0005-0000-0000-0000104D0000}"/>
    <cellStyle name="Normal 2 2 2 4 2 16 2 5" xfId="19766" xr:uid="{00000000-0005-0000-0000-0000114D0000}"/>
    <cellStyle name="Normal 2 2 2 4 2 16 2 6" xfId="19767" xr:uid="{00000000-0005-0000-0000-0000124D0000}"/>
    <cellStyle name="Normal 2 2 2 4 2 16 2 7" xfId="19768" xr:uid="{00000000-0005-0000-0000-0000134D0000}"/>
    <cellStyle name="Normal 2 2 2 4 2 16 2 8" xfId="19769" xr:uid="{00000000-0005-0000-0000-0000144D0000}"/>
    <cellStyle name="Normal 2 2 2 4 2 16 2 9" xfId="19770" xr:uid="{00000000-0005-0000-0000-0000154D0000}"/>
    <cellStyle name="Normal 2 2 2 4 2 16 3" xfId="19771" xr:uid="{00000000-0005-0000-0000-0000164D0000}"/>
    <cellStyle name="Normal 2 2 2 4 2 16 3 10" xfId="19772" xr:uid="{00000000-0005-0000-0000-0000174D0000}"/>
    <cellStyle name="Normal 2 2 2 4 2 16 3 2" xfId="19773" xr:uid="{00000000-0005-0000-0000-0000184D0000}"/>
    <cellStyle name="Normal 2 2 2 4 2 16 3 3" xfId="19774" xr:uid="{00000000-0005-0000-0000-0000194D0000}"/>
    <cellStyle name="Normal 2 2 2 4 2 16 3 4" xfId="19775" xr:uid="{00000000-0005-0000-0000-00001A4D0000}"/>
    <cellStyle name="Normal 2 2 2 4 2 16 3 5" xfId="19776" xr:uid="{00000000-0005-0000-0000-00001B4D0000}"/>
    <cellStyle name="Normal 2 2 2 4 2 16 3 6" xfId="19777" xr:uid="{00000000-0005-0000-0000-00001C4D0000}"/>
    <cellStyle name="Normal 2 2 2 4 2 16 3 7" xfId="19778" xr:uid="{00000000-0005-0000-0000-00001D4D0000}"/>
    <cellStyle name="Normal 2 2 2 4 2 16 3 8" xfId="19779" xr:uid="{00000000-0005-0000-0000-00001E4D0000}"/>
    <cellStyle name="Normal 2 2 2 4 2 16 3 9" xfId="19780" xr:uid="{00000000-0005-0000-0000-00001F4D0000}"/>
    <cellStyle name="Normal 2 2 2 4 2 16 4" xfId="19781" xr:uid="{00000000-0005-0000-0000-0000204D0000}"/>
    <cellStyle name="Normal 2 2 2 4 2 16 4 10" xfId="19782" xr:uid="{00000000-0005-0000-0000-0000214D0000}"/>
    <cellStyle name="Normal 2 2 2 4 2 16 4 2" xfId="19783" xr:uid="{00000000-0005-0000-0000-0000224D0000}"/>
    <cellStyle name="Normal 2 2 2 4 2 16 4 3" xfId="19784" xr:uid="{00000000-0005-0000-0000-0000234D0000}"/>
    <cellStyle name="Normal 2 2 2 4 2 16 4 4" xfId="19785" xr:uid="{00000000-0005-0000-0000-0000244D0000}"/>
    <cellStyle name="Normal 2 2 2 4 2 16 4 5" xfId="19786" xr:uid="{00000000-0005-0000-0000-0000254D0000}"/>
    <cellStyle name="Normal 2 2 2 4 2 16 4 6" xfId="19787" xr:uid="{00000000-0005-0000-0000-0000264D0000}"/>
    <cellStyle name="Normal 2 2 2 4 2 16 4 7" xfId="19788" xr:uid="{00000000-0005-0000-0000-0000274D0000}"/>
    <cellStyle name="Normal 2 2 2 4 2 16 4 8" xfId="19789" xr:uid="{00000000-0005-0000-0000-0000284D0000}"/>
    <cellStyle name="Normal 2 2 2 4 2 16 4 9" xfId="19790" xr:uid="{00000000-0005-0000-0000-0000294D0000}"/>
    <cellStyle name="Normal 2 2 2 4 2 16 5" xfId="19791" xr:uid="{00000000-0005-0000-0000-00002A4D0000}"/>
    <cellStyle name="Normal 2 2 2 4 2 16 5 10" xfId="19792" xr:uid="{00000000-0005-0000-0000-00002B4D0000}"/>
    <cellStyle name="Normal 2 2 2 4 2 16 5 2" xfId="19793" xr:uid="{00000000-0005-0000-0000-00002C4D0000}"/>
    <cellStyle name="Normal 2 2 2 4 2 16 5 3" xfId="19794" xr:uid="{00000000-0005-0000-0000-00002D4D0000}"/>
    <cellStyle name="Normal 2 2 2 4 2 16 5 4" xfId="19795" xr:uid="{00000000-0005-0000-0000-00002E4D0000}"/>
    <cellStyle name="Normal 2 2 2 4 2 16 5 5" xfId="19796" xr:uid="{00000000-0005-0000-0000-00002F4D0000}"/>
    <cellStyle name="Normal 2 2 2 4 2 16 5 6" xfId="19797" xr:uid="{00000000-0005-0000-0000-0000304D0000}"/>
    <cellStyle name="Normal 2 2 2 4 2 16 5 7" xfId="19798" xr:uid="{00000000-0005-0000-0000-0000314D0000}"/>
    <cellStyle name="Normal 2 2 2 4 2 16 5 8" xfId="19799" xr:uid="{00000000-0005-0000-0000-0000324D0000}"/>
    <cellStyle name="Normal 2 2 2 4 2 16 5 9" xfId="19800" xr:uid="{00000000-0005-0000-0000-0000334D0000}"/>
    <cellStyle name="Normal 2 2 2 4 2 16 6" xfId="19801" xr:uid="{00000000-0005-0000-0000-0000344D0000}"/>
    <cellStyle name="Normal 2 2 2 4 2 16 7" xfId="19802" xr:uid="{00000000-0005-0000-0000-0000354D0000}"/>
    <cellStyle name="Normal 2 2 2 4 2 16 8" xfId="19803" xr:uid="{00000000-0005-0000-0000-0000364D0000}"/>
    <cellStyle name="Normal 2 2 2 4 2 16 9" xfId="19804" xr:uid="{00000000-0005-0000-0000-0000374D0000}"/>
    <cellStyle name="Normal 2 2 2 4 2 17" xfId="19805" xr:uid="{00000000-0005-0000-0000-0000384D0000}"/>
    <cellStyle name="Normal 2 2 2 4 2 17 10" xfId="19806" xr:uid="{00000000-0005-0000-0000-0000394D0000}"/>
    <cellStyle name="Normal 2 2 2 4 2 17 11" xfId="19807" xr:uid="{00000000-0005-0000-0000-00003A4D0000}"/>
    <cellStyle name="Normal 2 2 2 4 2 17 12" xfId="19808" xr:uid="{00000000-0005-0000-0000-00003B4D0000}"/>
    <cellStyle name="Normal 2 2 2 4 2 17 13" xfId="19809" xr:uid="{00000000-0005-0000-0000-00003C4D0000}"/>
    <cellStyle name="Normal 2 2 2 4 2 17 14" xfId="19810" xr:uid="{00000000-0005-0000-0000-00003D4D0000}"/>
    <cellStyle name="Normal 2 2 2 4 2 17 2" xfId="19811" xr:uid="{00000000-0005-0000-0000-00003E4D0000}"/>
    <cellStyle name="Normal 2 2 2 4 2 17 2 10" xfId="19812" xr:uid="{00000000-0005-0000-0000-00003F4D0000}"/>
    <cellStyle name="Normal 2 2 2 4 2 17 2 2" xfId="19813" xr:uid="{00000000-0005-0000-0000-0000404D0000}"/>
    <cellStyle name="Normal 2 2 2 4 2 17 2 3" xfId="19814" xr:uid="{00000000-0005-0000-0000-0000414D0000}"/>
    <cellStyle name="Normal 2 2 2 4 2 17 2 4" xfId="19815" xr:uid="{00000000-0005-0000-0000-0000424D0000}"/>
    <cellStyle name="Normal 2 2 2 4 2 17 2 5" xfId="19816" xr:uid="{00000000-0005-0000-0000-0000434D0000}"/>
    <cellStyle name="Normal 2 2 2 4 2 17 2 6" xfId="19817" xr:uid="{00000000-0005-0000-0000-0000444D0000}"/>
    <cellStyle name="Normal 2 2 2 4 2 17 2 7" xfId="19818" xr:uid="{00000000-0005-0000-0000-0000454D0000}"/>
    <cellStyle name="Normal 2 2 2 4 2 17 2 8" xfId="19819" xr:uid="{00000000-0005-0000-0000-0000464D0000}"/>
    <cellStyle name="Normal 2 2 2 4 2 17 2 9" xfId="19820" xr:uid="{00000000-0005-0000-0000-0000474D0000}"/>
    <cellStyle name="Normal 2 2 2 4 2 17 3" xfId="19821" xr:uid="{00000000-0005-0000-0000-0000484D0000}"/>
    <cellStyle name="Normal 2 2 2 4 2 17 3 10" xfId="19822" xr:uid="{00000000-0005-0000-0000-0000494D0000}"/>
    <cellStyle name="Normal 2 2 2 4 2 17 3 2" xfId="19823" xr:uid="{00000000-0005-0000-0000-00004A4D0000}"/>
    <cellStyle name="Normal 2 2 2 4 2 17 3 3" xfId="19824" xr:uid="{00000000-0005-0000-0000-00004B4D0000}"/>
    <cellStyle name="Normal 2 2 2 4 2 17 3 4" xfId="19825" xr:uid="{00000000-0005-0000-0000-00004C4D0000}"/>
    <cellStyle name="Normal 2 2 2 4 2 17 3 5" xfId="19826" xr:uid="{00000000-0005-0000-0000-00004D4D0000}"/>
    <cellStyle name="Normal 2 2 2 4 2 17 3 6" xfId="19827" xr:uid="{00000000-0005-0000-0000-00004E4D0000}"/>
    <cellStyle name="Normal 2 2 2 4 2 17 3 7" xfId="19828" xr:uid="{00000000-0005-0000-0000-00004F4D0000}"/>
    <cellStyle name="Normal 2 2 2 4 2 17 3 8" xfId="19829" xr:uid="{00000000-0005-0000-0000-0000504D0000}"/>
    <cellStyle name="Normal 2 2 2 4 2 17 3 9" xfId="19830" xr:uid="{00000000-0005-0000-0000-0000514D0000}"/>
    <cellStyle name="Normal 2 2 2 4 2 17 4" xfId="19831" xr:uid="{00000000-0005-0000-0000-0000524D0000}"/>
    <cellStyle name="Normal 2 2 2 4 2 17 4 10" xfId="19832" xr:uid="{00000000-0005-0000-0000-0000534D0000}"/>
    <cellStyle name="Normal 2 2 2 4 2 17 4 2" xfId="19833" xr:uid="{00000000-0005-0000-0000-0000544D0000}"/>
    <cellStyle name="Normal 2 2 2 4 2 17 4 3" xfId="19834" xr:uid="{00000000-0005-0000-0000-0000554D0000}"/>
    <cellStyle name="Normal 2 2 2 4 2 17 4 4" xfId="19835" xr:uid="{00000000-0005-0000-0000-0000564D0000}"/>
    <cellStyle name="Normal 2 2 2 4 2 17 4 5" xfId="19836" xr:uid="{00000000-0005-0000-0000-0000574D0000}"/>
    <cellStyle name="Normal 2 2 2 4 2 17 4 6" xfId="19837" xr:uid="{00000000-0005-0000-0000-0000584D0000}"/>
    <cellStyle name="Normal 2 2 2 4 2 17 4 7" xfId="19838" xr:uid="{00000000-0005-0000-0000-0000594D0000}"/>
    <cellStyle name="Normal 2 2 2 4 2 17 4 8" xfId="19839" xr:uid="{00000000-0005-0000-0000-00005A4D0000}"/>
    <cellStyle name="Normal 2 2 2 4 2 17 4 9" xfId="19840" xr:uid="{00000000-0005-0000-0000-00005B4D0000}"/>
    <cellStyle name="Normal 2 2 2 4 2 17 5" xfId="19841" xr:uid="{00000000-0005-0000-0000-00005C4D0000}"/>
    <cellStyle name="Normal 2 2 2 4 2 17 5 10" xfId="19842" xr:uid="{00000000-0005-0000-0000-00005D4D0000}"/>
    <cellStyle name="Normal 2 2 2 4 2 17 5 2" xfId="19843" xr:uid="{00000000-0005-0000-0000-00005E4D0000}"/>
    <cellStyle name="Normal 2 2 2 4 2 17 5 3" xfId="19844" xr:uid="{00000000-0005-0000-0000-00005F4D0000}"/>
    <cellStyle name="Normal 2 2 2 4 2 17 5 4" xfId="19845" xr:uid="{00000000-0005-0000-0000-0000604D0000}"/>
    <cellStyle name="Normal 2 2 2 4 2 17 5 5" xfId="19846" xr:uid="{00000000-0005-0000-0000-0000614D0000}"/>
    <cellStyle name="Normal 2 2 2 4 2 17 5 6" xfId="19847" xr:uid="{00000000-0005-0000-0000-0000624D0000}"/>
    <cellStyle name="Normal 2 2 2 4 2 17 5 7" xfId="19848" xr:uid="{00000000-0005-0000-0000-0000634D0000}"/>
    <cellStyle name="Normal 2 2 2 4 2 17 5 8" xfId="19849" xr:uid="{00000000-0005-0000-0000-0000644D0000}"/>
    <cellStyle name="Normal 2 2 2 4 2 17 5 9" xfId="19850" xr:uid="{00000000-0005-0000-0000-0000654D0000}"/>
    <cellStyle name="Normal 2 2 2 4 2 17 6" xfId="19851" xr:uid="{00000000-0005-0000-0000-0000664D0000}"/>
    <cellStyle name="Normal 2 2 2 4 2 17 7" xfId="19852" xr:uid="{00000000-0005-0000-0000-0000674D0000}"/>
    <cellStyle name="Normal 2 2 2 4 2 17 8" xfId="19853" xr:uid="{00000000-0005-0000-0000-0000684D0000}"/>
    <cellStyle name="Normal 2 2 2 4 2 17 9" xfId="19854" xr:uid="{00000000-0005-0000-0000-0000694D0000}"/>
    <cellStyle name="Normal 2 2 2 4 2 18" xfId="19855" xr:uid="{00000000-0005-0000-0000-00006A4D0000}"/>
    <cellStyle name="Normal 2 2 2 4 2 18 10" xfId="19856" xr:uid="{00000000-0005-0000-0000-00006B4D0000}"/>
    <cellStyle name="Normal 2 2 2 4 2 18 11" xfId="19857" xr:uid="{00000000-0005-0000-0000-00006C4D0000}"/>
    <cellStyle name="Normal 2 2 2 4 2 18 12" xfId="19858" xr:uid="{00000000-0005-0000-0000-00006D4D0000}"/>
    <cellStyle name="Normal 2 2 2 4 2 18 13" xfId="19859" xr:uid="{00000000-0005-0000-0000-00006E4D0000}"/>
    <cellStyle name="Normal 2 2 2 4 2 18 14" xfId="19860" xr:uid="{00000000-0005-0000-0000-00006F4D0000}"/>
    <cellStyle name="Normal 2 2 2 4 2 18 2" xfId="19861" xr:uid="{00000000-0005-0000-0000-0000704D0000}"/>
    <cellStyle name="Normal 2 2 2 4 2 18 2 10" xfId="19862" xr:uid="{00000000-0005-0000-0000-0000714D0000}"/>
    <cellStyle name="Normal 2 2 2 4 2 18 2 2" xfId="19863" xr:uid="{00000000-0005-0000-0000-0000724D0000}"/>
    <cellStyle name="Normal 2 2 2 4 2 18 2 3" xfId="19864" xr:uid="{00000000-0005-0000-0000-0000734D0000}"/>
    <cellStyle name="Normal 2 2 2 4 2 18 2 4" xfId="19865" xr:uid="{00000000-0005-0000-0000-0000744D0000}"/>
    <cellStyle name="Normal 2 2 2 4 2 18 2 5" xfId="19866" xr:uid="{00000000-0005-0000-0000-0000754D0000}"/>
    <cellStyle name="Normal 2 2 2 4 2 18 2 6" xfId="19867" xr:uid="{00000000-0005-0000-0000-0000764D0000}"/>
    <cellStyle name="Normal 2 2 2 4 2 18 2 7" xfId="19868" xr:uid="{00000000-0005-0000-0000-0000774D0000}"/>
    <cellStyle name="Normal 2 2 2 4 2 18 2 8" xfId="19869" xr:uid="{00000000-0005-0000-0000-0000784D0000}"/>
    <cellStyle name="Normal 2 2 2 4 2 18 2 9" xfId="19870" xr:uid="{00000000-0005-0000-0000-0000794D0000}"/>
    <cellStyle name="Normal 2 2 2 4 2 18 3" xfId="19871" xr:uid="{00000000-0005-0000-0000-00007A4D0000}"/>
    <cellStyle name="Normal 2 2 2 4 2 18 3 10" xfId="19872" xr:uid="{00000000-0005-0000-0000-00007B4D0000}"/>
    <cellStyle name="Normal 2 2 2 4 2 18 3 2" xfId="19873" xr:uid="{00000000-0005-0000-0000-00007C4D0000}"/>
    <cellStyle name="Normal 2 2 2 4 2 18 3 3" xfId="19874" xr:uid="{00000000-0005-0000-0000-00007D4D0000}"/>
    <cellStyle name="Normal 2 2 2 4 2 18 3 4" xfId="19875" xr:uid="{00000000-0005-0000-0000-00007E4D0000}"/>
    <cellStyle name="Normal 2 2 2 4 2 18 3 5" xfId="19876" xr:uid="{00000000-0005-0000-0000-00007F4D0000}"/>
    <cellStyle name="Normal 2 2 2 4 2 18 3 6" xfId="19877" xr:uid="{00000000-0005-0000-0000-0000804D0000}"/>
    <cellStyle name="Normal 2 2 2 4 2 18 3 7" xfId="19878" xr:uid="{00000000-0005-0000-0000-0000814D0000}"/>
    <cellStyle name="Normal 2 2 2 4 2 18 3 8" xfId="19879" xr:uid="{00000000-0005-0000-0000-0000824D0000}"/>
    <cellStyle name="Normal 2 2 2 4 2 18 3 9" xfId="19880" xr:uid="{00000000-0005-0000-0000-0000834D0000}"/>
    <cellStyle name="Normal 2 2 2 4 2 18 4" xfId="19881" xr:uid="{00000000-0005-0000-0000-0000844D0000}"/>
    <cellStyle name="Normal 2 2 2 4 2 18 4 10" xfId="19882" xr:uid="{00000000-0005-0000-0000-0000854D0000}"/>
    <cellStyle name="Normal 2 2 2 4 2 18 4 2" xfId="19883" xr:uid="{00000000-0005-0000-0000-0000864D0000}"/>
    <cellStyle name="Normal 2 2 2 4 2 18 4 3" xfId="19884" xr:uid="{00000000-0005-0000-0000-0000874D0000}"/>
    <cellStyle name="Normal 2 2 2 4 2 18 4 4" xfId="19885" xr:uid="{00000000-0005-0000-0000-0000884D0000}"/>
    <cellStyle name="Normal 2 2 2 4 2 18 4 5" xfId="19886" xr:uid="{00000000-0005-0000-0000-0000894D0000}"/>
    <cellStyle name="Normal 2 2 2 4 2 18 4 6" xfId="19887" xr:uid="{00000000-0005-0000-0000-00008A4D0000}"/>
    <cellStyle name="Normal 2 2 2 4 2 18 4 7" xfId="19888" xr:uid="{00000000-0005-0000-0000-00008B4D0000}"/>
    <cellStyle name="Normal 2 2 2 4 2 18 4 8" xfId="19889" xr:uid="{00000000-0005-0000-0000-00008C4D0000}"/>
    <cellStyle name="Normal 2 2 2 4 2 18 4 9" xfId="19890" xr:uid="{00000000-0005-0000-0000-00008D4D0000}"/>
    <cellStyle name="Normal 2 2 2 4 2 18 5" xfId="19891" xr:uid="{00000000-0005-0000-0000-00008E4D0000}"/>
    <cellStyle name="Normal 2 2 2 4 2 18 5 10" xfId="19892" xr:uid="{00000000-0005-0000-0000-00008F4D0000}"/>
    <cellStyle name="Normal 2 2 2 4 2 18 5 2" xfId="19893" xr:uid="{00000000-0005-0000-0000-0000904D0000}"/>
    <cellStyle name="Normal 2 2 2 4 2 18 5 3" xfId="19894" xr:uid="{00000000-0005-0000-0000-0000914D0000}"/>
    <cellStyle name="Normal 2 2 2 4 2 18 5 4" xfId="19895" xr:uid="{00000000-0005-0000-0000-0000924D0000}"/>
    <cellStyle name="Normal 2 2 2 4 2 18 5 5" xfId="19896" xr:uid="{00000000-0005-0000-0000-0000934D0000}"/>
    <cellStyle name="Normal 2 2 2 4 2 18 5 6" xfId="19897" xr:uid="{00000000-0005-0000-0000-0000944D0000}"/>
    <cellStyle name="Normal 2 2 2 4 2 18 5 7" xfId="19898" xr:uid="{00000000-0005-0000-0000-0000954D0000}"/>
    <cellStyle name="Normal 2 2 2 4 2 18 5 8" xfId="19899" xr:uid="{00000000-0005-0000-0000-0000964D0000}"/>
    <cellStyle name="Normal 2 2 2 4 2 18 5 9" xfId="19900" xr:uid="{00000000-0005-0000-0000-0000974D0000}"/>
    <cellStyle name="Normal 2 2 2 4 2 18 6" xfId="19901" xr:uid="{00000000-0005-0000-0000-0000984D0000}"/>
    <cellStyle name="Normal 2 2 2 4 2 18 7" xfId="19902" xr:uid="{00000000-0005-0000-0000-0000994D0000}"/>
    <cellStyle name="Normal 2 2 2 4 2 18 8" xfId="19903" xr:uid="{00000000-0005-0000-0000-00009A4D0000}"/>
    <cellStyle name="Normal 2 2 2 4 2 18 9" xfId="19904" xr:uid="{00000000-0005-0000-0000-00009B4D0000}"/>
    <cellStyle name="Normal 2 2 2 4 2 19" xfId="19905" xr:uid="{00000000-0005-0000-0000-00009C4D0000}"/>
    <cellStyle name="Normal 2 2 2 4 2 19 10" xfId="19906" xr:uid="{00000000-0005-0000-0000-00009D4D0000}"/>
    <cellStyle name="Normal 2 2 2 4 2 19 11" xfId="19907" xr:uid="{00000000-0005-0000-0000-00009E4D0000}"/>
    <cellStyle name="Normal 2 2 2 4 2 19 12" xfId="19908" xr:uid="{00000000-0005-0000-0000-00009F4D0000}"/>
    <cellStyle name="Normal 2 2 2 4 2 19 13" xfId="19909" xr:uid="{00000000-0005-0000-0000-0000A04D0000}"/>
    <cellStyle name="Normal 2 2 2 4 2 19 14" xfId="19910" xr:uid="{00000000-0005-0000-0000-0000A14D0000}"/>
    <cellStyle name="Normal 2 2 2 4 2 19 2" xfId="19911" xr:uid="{00000000-0005-0000-0000-0000A24D0000}"/>
    <cellStyle name="Normal 2 2 2 4 2 19 2 10" xfId="19912" xr:uid="{00000000-0005-0000-0000-0000A34D0000}"/>
    <cellStyle name="Normal 2 2 2 4 2 19 2 2" xfId="19913" xr:uid="{00000000-0005-0000-0000-0000A44D0000}"/>
    <cellStyle name="Normal 2 2 2 4 2 19 2 3" xfId="19914" xr:uid="{00000000-0005-0000-0000-0000A54D0000}"/>
    <cellStyle name="Normal 2 2 2 4 2 19 2 4" xfId="19915" xr:uid="{00000000-0005-0000-0000-0000A64D0000}"/>
    <cellStyle name="Normal 2 2 2 4 2 19 2 5" xfId="19916" xr:uid="{00000000-0005-0000-0000-0000A74D0000}"/>
    <cellStyle name="Normal 2 2 2 4 2 19 2 6" xfId="19917" xr:uid="{00000000-0005-0000-0000-0000A84D0000}"/>
    <cellStyle name="Normal 2 2 2 4 2 19 2 7" xfId="19918" xr:uid="{00000000-0005-0000-0000-0000A94D0000}"/>
    <cellStyle name="Normal 2 2 2 4 2 19 2 8" xfId="19919" xr:uid="{00000000-0005-0000-0000-0000AA4D0000}"/>
    <cellStyle name="Normal 2 2 2 4 2 19 2 9" xfId="19920" xr:uid="{00000000-0005-0000-0000-0000AB4D0000}"/>
    <cellStyle name="Normal 2 2 2 4 2 19 3" xfId="19921" xr:uid="{00000000-0005-0000-0000-0000AC4D0000}"/>
    <cellStyle name="Normal 2 2 2 4 2 19 3 10" xfId="19922" xr:uid="{00000000-0005-0000-0000-0000AD4D0000}"/>
    <cellStyle name="Normal 2 2 2 4 2 19 3 2" xfId="19923" xr:uid="{00000000-0005-0000-0000-0000AE4D0000}"/>
    <cellStyle name="Normal 2 2 2 4 2 19 3 3" xfId="19924" xr:uid="{00000000-0005-0000-0000-0000AF4D0000}"/>
    <cellStyle name="Normal 2 2 2 4 2 19 3 4" xfId="19925" xr:uid="{00000000-0005-0000-0000-0000B04D0000}"/>
    <cellStyle name="Normal 2 2 2 4 2 19 3 5" xfId="19926" xr:uid="{00000000-0005-0000-0000-0000B14D0000}"/>
    <cellStyle name="Normal 2 2 2 4 2 19 3 6" xfId="19927" xr:uid="{00000000-0005-0000-0000-0000B24D0000}"/>
    <cellStyle name="Normal 2 2 2 4 2 19 3 7" xfId="19928" xr:uid="{00000000-0005-0000-0000-0000B34D0000}"/>
    <cellStyle name="Normal 2 2 2 4 2 19 3 8" xfId="19929" xr:uid="{00000000-0005-0000-0000-0000B44D0000}"/>
    <cellStyle name="Normal 2 2 2 4 2 19 3 9" xfId="19930" xr:uid="{00000000-0005-0000-0000-0000B54D0000}"/>
    <cellStyle name="Normal 2 2 2 4 2 19 4" xfId="19931" xr:uid="{00000000-0005-0000-0000-0000B64D0000}"/>
    <cellStyle name="Normal 2 2 2 4 2 19 4 10" xfId="19932" xr:uid="{00000000-0005-0000-0000-0000B74D0000}"/>
    <cellStyle name="Normal 2 2 2 4 2 19 4 2" xfId="19933" xr:uid="{00000000-0005-0000-0000-0000B84D0000}"/>
    <cellStyle name="Normal 2 2 2 4 2 19 4 3" xfId="19934" xr:uid="{00000000-0005-0000-0000-0000B94D0000}"/>
    <cellStyle name="Normal 2 2 2 4 2 19 4 4" xfId="19935" xr:uid="{00000000-0005-0000-0000-0000BA4D0000}"/>
    <cellStyle name="Normal 2 2 2 4 2 19 4 5" xfId="19936" xr:uid="{00000000-0005-0000-0000-0000BB4D0000}"/>
    <cellStyle name="Normal 2 2 2 4 2 19 4 6" xfId="19937" xr:uid="{00000000-0005-0000-0000-0000BC4D0000}"/>
    <cellStyle name="Normal 2 2 2 4 2 19 4 7" xfId="19938" xr:uid="{00000000-0005-0000-0000-0000BD4D0000}"/>
    <cellStyle name="Normal 2 2 2 4 2 19 4 8" xfId="19939" xr:uid="{00000000-0005-0000-0000-0000BE4D0000}"/>
    <cellStyle name="Normal 2 2 2 4 2 19 4 9" xfId="19940" xr:uid="{00000000-0005-0000-0000-0000BF4D0000}"/>
    <cellStyle name="Normal 2 2 2 4 2 19 5" xfId="19941" xr:uid="{00000000-0005-0000-0000-0000C04D0000}"/>
    <cellStyle name="Normal 2 2 2 4 2 19 5 10" xfId="19942" xr:uid="{00000000-0005-0000-0000-0000C14D0000}"/>
    <cellStyle name="Normal 2 2 2 4 2 19 5 2" xfId="19943" xr:uid="{00000000-0005-0000-0000-0000C24D0000}"/>
    <cellStyle name="Normal 2 2 2 4 2 19 5 3" xfId="19944" xr:uid="{00000000-0005-0000-0000-0000C34D0000}"/>
    <cellStyle name="Normal 2 2 2 4 2 19 5 4" xfId="19945" xr:uid="{00000000-0005-0000-0000-0000C44D0000}"/>
    <cellStyle name="Normal 2 2 2 4 2 19 5 5" xfId="19946" xr:uid="{00000000-0005-0000-0000-0000C54D0000}"/>
    <cellStyle name="Normal 2 2 2 4 2 19 5 6" xfId="19947" xr:uid="{00000000-0005-0000-0000-0000C64D0000}"/>
    <cellStyle name="Normal 2 2 2 4 2 19 5 7" xfId="19948" xr:uid="{00000000-0005-0000-0000-0000C74D0000}"/>
    <cellStyle name="Normal 2 2 2 4 2 19 5 8" xfId="19949" xr:uid="{00000000-0005-0000-0000-0000C84D0000}"/>
    <cellStyle name="Normal 2 2 2 4 2 19 5 9" xfId="19950" xr:uid="{00000000-0005-0000-0000-0000C94D0000}"/>
    <cellStyle name="Normal 2 2 2 4 2 19 6" xfId="19951" xr:uid="{00000000-0005-0000-0000-0000CA4D0000}"/>
    <cellStyle name="Normal 2 2 2 4 2 19 7" xfId="19952" xr:uid="{00000000-0005-0000-0000-0000CB4D0000}"/>
    <cellStyle name="Normal 2 2 2 4 2 19 8" xfId="19953" xr:uid="{00000000-0005-0000-0000-0000CC4D0000}"/>
    <cellStyle name="Normal 2 2 2 4 2 19 9" xfId="19954" xr:uid="{00000000-0005-0000-0000-0000CD4D0000}"/>
    <cellStyle name="Normal 2 2 2 4 2 2" xfId="19955" xr:uid="{00000000-0005-0000-0000-0000CE4D0000}"/>
    <cellStyle name="Normal 2 2 2 4 2 2 10" xfId="19956" xr:uid="{00000000-0005-0000-0000-0000CF4D0000}"/>
    <cellStyle name="Normal 2 2 2 4 2 2 11" xfId="19957" xr:uid="{00000000-0005-0000-0000-0000D04D0000}"/>
    <cellStyle name="Normal 2 2 2 4 2 2 12" xfId="19958" xr:uid="{00000000-0005-0000-0000-0000D14D0000}"/>
    <cellStyle name="Normal 2 2 2 4 2 2 13" xfId="19959" xr:uid="{00000000-0005-0000-0000-0000D24D0000}"/>
    <cellStyle name="Normal 2 2 2 4 2 2 14" xfId="19960" xr:uid="{00000000-0005-0000-0000-0000D34D0000}"/>
    <cellStyle name="Normal 2 2 2 4 2 2 15" xfId="19961" xr:uid="{00000000-0005-0000-0000-0000D44D0000}"/>
    <cellStyle name="Normal 2 2 2 4 2 2 16" xfId="19962" xr:uid="{00000000-0005-0000-0000-0000D54D0000}"/>
    <cellStyle name="Normal 2 2 2 4 2 2 17" xfId="19963" xr:uid="{00000000-0005-0000-0000-0000D64D0000}"/>
    <cellStyle name="Normal 2 2 2 4 2 2 18" xfId="19964" xr:uid="{00000000-0005-0000-0000-0000D74D0000}"/>
    <cellStyle name="Normal 2 2 2 4 2 2 19" xfId="19965" xr:uid="{00000000-0005-0000-0000-0000D84D0000}"/>
    <cellStyle name="Normal 2 2 2 4 2 2 2" xfId="19966" xr:uid="{00000000-0005-0000-0000-0000D94D0000}"/>
    <cellStyle name="Normal 2 2 2 4 2 2 20" xfId="19967" xr:uid="{00000000-0005-0000-0000-0000DA4D0000}"/>
    <cellStyle name="Normal 2 2 2 4 2 2 21" xfId="19968" xr:uid="{00000000-0005-0000-0000-0000DB4D0000}"/>
    <cellStyle name="Normal 2 2 2 4 2 2 21 10" xfId="19969" xr:uid="{00000000-0005-0000-0000-0000DC4D0000}"/>
    <cellStyle name="Normal 2 2 2 4 2 2 21 2" xfId="19970" xr:uid="{00000000-0005-0000-0000-0000DD4D0000}"/>
    <cellStyle name="Normal 2 2 2 4 2 2 21 3" xfId="19971" xr:uid="{00000000-0005-0000-0000-0000DE4D0000}"/>
    <cellStyle name="Normal 2 2 2 4 2 2 21 4" xfId="19972" xr:uid="{00000000-0005-0000-0000-0000DF4D0000}"/>
    <cellStyle name="Normal 2 2 2 4 2 2 21 5" xfId="19973" xr:uid="{00000000-0005-0000-0000-0000E04D0000}"/>
    <cellStyle name="Normal 2 2 2 4 2 2 21 6" xfId="19974" xr:uid="{00000000-0005-0000-0000-0000E14D0000}"/>
    <cellStyle name="Normal 2 2 2 4 2 2 21 7" xfId="19975" xr:uid="{00000000-0005-0000-0000-0000E24D0000}"/>
    <cellStyle name="Normal 2 2 2 4 2 2 21 8" xfId="19976" xr:uid="{00000000-0005-0000-0000-0000E34D0000}"/>
    <cellStyle name="Normal 2 2 2 4 2 2 21 9" xfId="19977" xr:uid="{00000000-0005-0000-0000-0000E44D0000}"/>
    <cellStyle name="Normal 2 2 2 4 2 2 22" xfId="19978" xr:uid="{00000000-0005-0000-0000-0000E54D0000}"/>
    <cellStyle name="Normal 2 2 2 4 2 2 22 10" xfId="19979" xr:uid="{00000000-0005-0000-0000-0000E64D0000}"/>
    <cellStyle name="Normal 2 2 2 4 2 2 22 2" xfId="19980" xr:uid="{00000000-0005-0000-0000-0000E74D0000}"/>
    <cellStyle name="Normal 2 2 2 4 2 2 22 3" xfId="19981" xr:uid="{00000000-0005-0000-0000-0000E84D0000}"/>
    <cellStyle name="Normal 2 2 2 4 2 2 22 4" xfId="19982" xr:uid="{00000000-0005-0000-0000-0000E94D0000}"/>
    <cellStyle name="Normal 2 2 2 4 2 2 22 5" xfId="19983" xr:uid="{00000000-0005-0000-0000-0000EA4D0000}"/>
    <cellStyle name="Normal 2 2 2 4 2 2 22 6" xfId="19984" xr:uid="{00000000-0005-0000-0000-0000EB4D0000}"/>
    <cellStyle name="Normal 2 2 2 4 2 2 22 7" xfId="19985" xr:uid="{00000000-0005-0000-0000-0000EC4D0000}"/>
    <cellStyle name="Normal 2 2 2 4 2 2 22 8" xfId="19986" xr:uid="{00000000-0005-0000-0000-0000ED4D0000}"/>
    <cellStyle name="Normal 2 2 2 4 2 2 22 9" xfId="19987" xr:uid="{00000000-0005-0000-0000-0000EE4D0000}"/>
    <cellStyle name="Normal 2 2 2 4 2 2 23" xfId="19988" xr:uid="{00000000-0005-0000-0000-0000EF4D0000}"/>
    <cellStyle name="Normal 2 2 2 4 2 2 23 10" xfId="19989" xr:uid="{00000000-0005-0000-0000-0000F04D0000}"/>
    <cellStyle name="Normal 2 2 2 4 2 2 23 2" xfId="19990" xr:uid="{00000000-0005-0000-0000-0000F14D0000}"/>
    <cellStyle name="Normal 2 2 2 4 2 2 23 3" xfId="19991" xr:uid="{00000000-0005-0000-0000-0000F24D0000}"/>
    <cellStyle name="Normal 2 2 2 4 2 2 23 4" xfId="19992" xr:uid="{00000000-0005-0000-0000-0000F34D0000}"/>
    <cellStyle name="Normal 2 2 2 4 2 2 23 5" xfId="19993" xr:uid="{00000000-0005-0000-0000-0000F44D0000}"/>
    <cellStyle name="Normal 2 2 2 4 2 2 23 6" xfId="19994" xr:uid="{00000000-0005-0000-0000-0000F54D0000}"/>
    <cellStyle name="Normal 2 2 2 4 2 2 23 7" xfId="19995" xr:uid="{00000000-0005-0000-0000-0000F64D0000}"/>
    <cellStyle name="Normal 2 2 2 4 2 2 23 8" xfId="19996" xr:uid="{00000000-0005-0000-0000-0000F74D0000}"/>
    <cellStyle name="Normal 2 2 2 4 2 2 23 9" xfId="19997" xr:uid="{00000000-0005-0000-0000-0000F84D0000}"/>
    <cellStyle name="Normal 2 2 2 4 2 2 24" xfId="19998" xr:uid="{00000000-0005-0000-0000-0000F94D0000}"/>
    <cellStyle name="Normal 2 2 2 4 2 2 24 10" xfId="19999" xr:uid="{00000000-0005-0000-0000-0000FA4D0000}"/>
    <cellStyle name="Normal 2 2 2 4 2 2 24 2" xfId="20000" xr:uid="{00000000-0005-0000-0000-0000FB4D0000}"/>
    <cellStyle name="Normal 2 2 2 4 2 2 24 3" xfId="20001" xr:uid="{00000000-0005-0000-0000-0000FC4D0000}"/>
    <cellStyle name="Normal 2 2 2 4 2 2 24 4" xfId="20002" xr:uid="{00000000-0005-0000-0000-0000FD4D0000}"/>
    <cellStyle name="Normal 2 2 2 4 2 2 24 5" xfId="20003" xr:uid="{00000000-0005-0000-0000-0000FE4D0000}"/>
    <cellStyle name="Normal 2 2 2 4 2 2 24 6" xfId="20004" xr:uid="{00000000-0005-0000-0000-0000FF4D0000}"/>
    <cellStyle name="Normal 2 2 2 4 2 2 24 7" xfId="20005" xr:uid="{00000000-0005-0000-0000-0000004E0000}"/>
    <cellStyle name="Normal 2 2 2 4 2 2 24 8" xfId="20006" xr:uid="{00000000-0005-0000-0000-0000014E0000}"/>
    <cellStyle name="Normal 2 2 2 4 2 2 24 9" xfId="20007" xr:uid="{00000000-0005-0000-0000-0000024E0000}"/>
    <cellStyle name="Normal 2 2 2 4 2 2 25" xfId="20008" xr:uid="{00000000-0005-0000-0000-0000034E0000}"/>
    <cellStyle name="Normal 2 2 2 4 2 2 26" xfId="20009" xr:uid="{00000000-0005-0000-0000-0000044E0000}"/>
    <cellStyle name="Normal 2 2 2 4 2 2 27" xfId="20010" xr:uid="{00000000-0005-0000-0000-0000054E0000}"/>
    <cellStyle name="Normal 2 2 2 4 2 2 28" xfId="20011" xr:uid="{00000000-0005-0000-0000-0000064E0000}"/>
    <cellStyle name="Normal 2 2 2 4 2 2 29" xfId="20012" xr:uid="{00000000-0005-0000-0000-0000074E0000}"/>
    <cellStyle name="Normal 2 2 2 4 2 2 3" xfId="20013" xr:uid="{00000000-0005-0000-0000-0000084E0000}"/>
    <cellStyle name="Normal 2 2 2 4 2 2 30" xfId="20014" xr:uid="{00000000-0005-0000-0000-0000094E0000}"/>
    <cellStyle name="Normal 2 2 2 4 2 2 31" xfId="20015" xr:uid="{00000000-0005-0000-0000-00000A4E0000}"/>
    <cellStyle name="Normal 2 2 2 4 2 2 32" xfId="20016" xr:uid="{00000000-0005-0000-0000-00000B4E0000}"/>
    <cellStyle name="Normal 2 2 2 4 2 2 33" xfId="20017" xr:uid="{00000000-0005-0000-0000-00000C4E0000}"/>
    <cellStyle name="Normal 2 2 2 4 2 2 34" xfId="20018" xr:uid="{00000000-0005-0000-0000-00000D4E0000}"/>
    <cellStyle name="Normal 2 2 2 4 2 2 35" xfId="20019" xr:uid="{00000000-0005-0000-0000-00000E4E0000}"/>
    <cellStyle name="Normal 2 2 2 4 2 2 4" xfId="20020" xr:uid="{00000000-0005-0000-0000-00000F4E0000}"/>
    <cellStyle name="Normal 2 2 2 4 2 2 5" xfId="20021" xr:uid="{00000000-0005-0000-0000-0000104E0000}"/>
    <cellStyle name="Normal 2 2 2 4 2 2 6" xfId="20022" xr:uid="{00000000-0005-0000-0000-0000114E0000}"/>
    <cellStyle name="Normal 2 2 2 4 2 2 7" xfId="20023" xr:uid="{00000000-0005-0000-0000-0000124E0000}"/>
    <cellStyle name="Normal 2 2 2 4 2 2 8" xfId="20024" xr:uid="{00000000-0005-0000-0000-0000134E0000}"/>
    <cellStyle name="Normal 2 2 2 4 2 2 9" xfId="20025" xr:uid="{00000000-0005-0000-0000-0000144E0000}"/>
    <cellStyle name="Normal 2 2 2 4 2 20" xfId="20026" xr:uid="{00000000-0005-0000-0000-0000154E0000}"/>
    <cellStyle name="Normal 2 2 2 4 2 20 10" xfId="20027" xr:uid="{00000000-0005-0000-0000-0000164E0000}"/>
    <cellStyle name="Normal 2 2 2 4 2 20 11" xfId="20028" xr:uid="{00000000-0005-0000-0000-0000174E0000}"/>
    <cellStyle name="Normal 2 2 2 4 2 20 12" xfId="20029" xr:uid="{00000000-0005-0000-0000-0000184E0000}"/>
    <cellStyle name="Normal 2 2 2 4 2 20 13" xfId="20030" xr:uid="{00000000-0005-0000-0000-0000194E0000}"/>
    <cellStyle name="Normal 2 2 2 4 2 20 14" xfId="20031" xr:uid="{00000000-0005-0000-0000-00001A4E0000}"/>
    <cellStyle name="Normal 2 2 2 4 2 20 2" xfId="20032" xr:uid="{00000000-0005-0000-0000-00001B4E0000}"/>
    <cellStyle name="Normal 2 2 2 4 2 20 2 10" xfId="20033" xr:uid="{00000000-0005-0000-0000-00001C4E0000}"/>
    <cellStyle name="Normal 2 2 2 4 2 20 2 2" xfId="20034" xr:uid="{00000000-0005-0000-0000-00001D4E0000}"/>
    <cellStyle name="Normal 2 2 2 4 2 20 2 3" xfId="20035" xr:uid="{00000000-0005-0000-0000-00001E4E0000}"/>
    <cellStyle name="Normal 2 2 2 4 2 20 2 4" xfId="20036" xr:uid="{00000000-0005-0000-0000-00001F4E0000}"/>
    <cellStyle name="Normal 2 2 2 4 2 20 2 5" xfId="20037" xr:uid="{00000000-0005-0000-0000-0000204E0000}"/>
    <cellStyle name="Normal 2 2 2 4 2 20 2 6" xfId="20038" xr:uid="{00000000-0005-0000-0000-0000214E0000}"/>
    <cellStyle name="Normal 2 2 2 4 2 20 2 7" xfId="20039" xr:uid="{00000000-0005-0000-0000-0000224E0000}"/>
    <cellStyle name="Normal 2 2 2 4 2 20 2 8" xfId="20040" xr:uid="{00000000-0005-0000-0000-0000234E0000}"/>
    <cellStyle name="Normal 2 2 2 4 2 20 2 9" xfId="20041" xr:uid="{00000000-0005-0000-0000-0000244E0000}"/>
    <cellStyle name="Normal 2 2 2 4 2 20 3" xfId="20042" xr:uid="{00000000-0005-0000-0000-0000254E0000}"/>
    <cellStyle name="Normal 2 2 2 4 2 20 3 10" xfId="20043" xr:uid="{00000000-0005-0000-0000-0000264E0000}"/>
    <cellStyle name="Normal 2 2 2 4 2 20 3 2" xfId="20044" xr:uid="{00000000-0005-0000-0000-0000274E0000}"/>
    <cellStyle name="Normal 2 2 2 4 2 20 3 3" xfId="20045" xr:uid="{00000000-0005-0000-0000-0000284E0000}"/>
    <cellStyle name="Normal 2 2 2 4 2 20 3 4" xfId="20046" xr:uid="{00000000-0005-0000-0000-0000294E0000}"/>
    <cellStyle name="Normal 2 2 2 4 2 20 3 5" xfId="20047" xr:uid="{00000000-0005-0000-0000-00002A4E0000}"/>
    <cellStyle name="Normal 2 2 2 4 2 20 3 6" xfId="20048" xr:uid="{00000000-0005-0000-0000-00002B4E0000}"/>
    <cellStyle name="Normal 2 2 2 4 2 20 3 7" xfId="20049" xr:uid="{00000000-0005-0000-0000-00002C4E0000}"/>
    <cellStyle name="Normal 2 2 2 4 2 20 3 8" xfId="20050" xr:uid="{00000000-0005-0000-0000-00002D4E0000}"/>
    <cellStyle name="Normal 2 2 2 4 2 20 3 9" xfId="20051" xr:uid="{00000000-0005-0000-0000-00002E4E0000}"/>
    <cellStyle name="Normal 2 2 2 4 2 20 4" xfId="20052" xr:uid="{00000000-0005-0000-0000-00002F4E0000}"/>
    <cellStyle name="Normal 2 2 2 4 2 20 4 10" xfId="20053" xr:uid="{00000000-0005-0000-0000-0000304E0000}"/>
    <cellStyle name="Normal 2 2 2 4 2 20 4 2" xfId="20054" xr:uid="{00000000-0005-0000-0000-0000314E0000}"/>
    <cellStyle name="Normal 2 2 2 4 2 20 4 3" xfId="20055" xr:uid="{00000000-0005-0000-0000-0000324E0000}"/>
    <cellStyle name="Normal 2 2 2 4 2 20 4 4" xfId="20056" xr:uid="{00000000-0005-0000-0000-0000334E0000}"/>
    <cellStyle name="Normal 2 2 2 4 2 20 4 5" xfId="20057" xr:uid="{00000000-0005-0000-0000-0000344E0000}"/>
    <cellStyle name="Normal 2 2 2 4 2 20 4 6" xfId="20058" xr:uid="{00000000-0005-0000-0000-0000354E0000}"/>
    <cellStyle name="Normal 2 2 2 4 2 20 4 7" xfId="20059" xr:uid="{00000000-0005-0000-0000-0000364E0000}"/>
    <cellStyle name="Normal 2 2 2 4 2 20 4 8" xfId="20060" xr:uid="{00000000-0005-0000-0000-0000374E0000}"/>
    <cellStyle name="Normal 2 2 2 4 2 20 4 9" xfId="20061" xr:uid="{00000000-0005-0000-0000-0000384E0000}"/>
    <cellStyle name="Normal 2 2 2 4 2 20 5" xfId="20062" xr:uid="{00000000-0005-0000-0000-0000394E0000}"/>
    <cellStyle name="Normal 2 2 2 4 2 20 5 10" xfId="20063" xr:uid="{00000000-0005-0000-0000-00003A4E0000}"/>
    <cellStyle name="Normal 2 2 2 4 2 20 5 2" xfId="20064" xr:uid="{00000000-0005-0000-0000-00003B4E0000}"/>
    <cellStyle name="Normal 2 2 2 4 2 20 5 3" xfId="20065" xr:uid="{00000000-0005-0000-0000-00003C4E0000}"/>
    <cellStyle name="Normal 2 2 2 4 2 20 5 4" xfId="20066" xr:uid="{00000000-0005-0000-0000-00003D4E0000}"/>
    <cellStyle name="Normal 2 2 2 4 2 20 5 5" xfId="20067" xr:uid="{00000000-0005-0000-0000-00003E4E0000}"/>
    <cellStyle name="Normal 2 2 2 4 2 20 5 6" xfId="20068" xr:uid="{00000000-0005-0000-0000-00003F4E0000}"/>
    <cellStyle name="Normal 2 2 2 4 2 20 5 7" xfId="20069" xr:uid="{00000000-0005-0000-0000-0000404E0000}"/>
    <cellStyle name="Normal 2 2 2 4 2 20 5 8" xfId="20070" xr:uid="{00000000-0005-0000-0000-0000414E0000}"/>
    <cellStyle name="Normal 2 2 2 4 2 20 5 9" xfId="20071" xr:uid="{00000000-0005-0000-0000-0000424E0000}"/>
    <cellStyle name="Normal 2 2 2 4 2 20 6" xfId="20072" xr:uid="{00000000-0005-0000-0000-0000434E0000}"/>
    <cellStyle name="Normal 2 2 2 4 2 20 7" xfId="20073" xr:uid="{00000000-0005-0000-0000-0000444E0000}"/>
    <cellStyle name="Normal 2 2 2 4 2 20 8" xfId="20074" xr:uid="{00000000-0005-0000-0000-0000454E0000}"/>
    <cellStyle name="Normal 2 2 2 4 2 20 9" xfId="20075" xr:uid="{00000000-0005-0000-0000-0000464E0000}"/>
    <cellStyle name="Normal 2 2 2 4 2 21" xfId="20076" xr:uid="{00000000-0005-0000-0000-0000474E0000}"/>
    <cellStyle name="Normal 2 2 2 4 2 22" xfId="20077" xr:uid="{00000000-0005-0000-0000-0000484E0000}"/>
    <cellStyle name="Normal 2 2 2 4 2 3" xfId="20078" xr:uid="{00000000-0005-0000-0000-0000494E0000}"/>
    <cellStyle name="Normal 2 2 2 4 2 3 10" xfId="20079" xr:uid="{00000000-0005-0000-0000-00004A4E0000}"/>
    <cellStyle name="Normal 2 2 2 4 2 3 11" xfId="20080" xr:uid="{00000000-0005-0000-0000-00004B4E0000}"/>
    <cellStyle name="Normal 2 2 2 4 2 3 12" xfId="20081" xr:uid="{00000000-0005-0000-0000-00004C4E0000}"/>
    <cellStyle name="Normal 2 2 2 4 2 3 13" xfId="20082" xr:uid="{00000000-0005-0000-0000-00004D4E0000}"/>
    <cellStyle name="Normal 2 2 2 4 2 3 14" xfId="20083" xr:uid="{00000000-0005-0000-0000-00004E4E0000}"/>
    <cellStyle name="Normal 2 2 2 4 2 3 2" xfId="20084" xr:uid="{00000000-0005-0000-0000-00004F4E0000}"/>
    <cellStyle name="Normal 2 2 2 4 2 3 2 10" xfId="20085" xr:uid="{00000000-0005-0000-0000-0000504E0000}"/>
    <cellStyle name="Normal 2 2 2 4 2 3 2 2" xfId="20086" xr:uid="{00000000-0005-0000-0000-0000514E0000}"/>
    <cellStyle name="Normal 2 2 2 4 2 3 2 3" xfId="20087" xr:uid="{00000000-0005-0000-0000-0000524E0000}"/>
    <cellStyle name="Normal 2 2 2 4 2 3 2 4" xfId="20088" xr:uid="{00000000-0005-0000-0000-0000534E0000}"/>
    <cellStyle name="Normal 2 2 2 4 2 3 2 5" xfId="20089" xr:uid="{00000000-0005-0000-0000-0000544E0000}"/>
    <cellStyle name="Normal 2 2 2 4 2 3 2 6" xfId="20090" xr:uid="{00000000-0005-0000-0000-0000554E0000}"/>
    <cellStyle name="Normal 2 2 2 4 2 3 2 7" xfId="20091" xr:uid="{00000000-0005-0000-0000-0000564E0000}"/>
    <cellStyle name="Normal 2 2 2 4 2 3 2 8" xfId="20092" xr:uid="{00000000-0005-0000-0000-0000574E0000}"/>
    <cellStyle name="Normal 2 2 2 4 2 3 2 9" xfId="20093" xr:uid="{00000000-0005-0000-0000-0000584E0000}"/>
    <cellStyle name="Normal 2 2 2 4 2 3 3" xfId="20094" xr:uid="{00000000-0005-0000-0000-0000594E0000}"/>
    <cellStyle name="Normal 2 2 2 4 2 3 3 10" xfId="20095" xr:uid="{00000000-0005-0000-0000-00005A4E0000}"/>
    <cellStyle name="Normal 2 2 2 4 2 3 3 2" xfId="20096" xr:uid="{00000000-0005-0000-0000-00005B4E0000}"/>
    <cellStyle name="Normal 2 2 2 4 2 3 3 3" xfId="20097" xr:uid="{00000000-0005-0000-0000-00005C4E0000}"/>
    <cellStyle name="Normal 2 2 2 4 2 3 3 4" xfId="20098" xr:uid="{00000000-0005-0000-0000-00005D4E0000}"/>
    <cellStyle name="Normal 2 2 2 4 2 3 3 5" xfId="20099" xr:uid="{00000000-0005-0000-0000-00005E4E0000}"/>
    <cellStyle name="Normal 2 2 2 4 2 3 3 6" xfId="20100" xr:uid="{00000000-0005-0000-0000-00005F4E0000}"/>
    <cellStyle name="Normal 2 2 2 4 2 3 3 7" xfId="20101" xr:uid="{00000000-0005-0000-0000-0000604E0000}"/>
    <cellStyle name="Normal 2 2 2 4 2 3 3 8" xfId="20102" xr:uid="{00000000-0005-0000-0000-0000614E0000}"/>
    <cellStyle name="Normal 2 2 2 4 2 3 3 9" xfId="20103" xr:uid="{00000000-0005-0000-0000-0000624E0000}"/>
    <cellStyle name="Normal 2 2 2 4 2 3 4" xfId="20104" xr:uid="{00000000-0005-0000-0000-0000634E0000}"/>
    <cellStyle name="Normal 2 2 2 4 2 3 4 10" xfId="20105" xr:uid="{00000000-0005-0000-0000-0000644E0000}"/>
    <cellStyle name="Normal 2 2 2 4 2 3 4 2" xfId="20106" xr:uid="{00000000-0005-0000-0000-0000654E0000}"/>
    <cellStyle name="Normal 2 2 2 4 2 3 4 3" xfId="20107" xr:uid="{00000000-0005-0000-0000-0000664E0000}"/>
    <cellStyle name="Normal 2 2 2 4 2 3 4 4" xfId="20108" xr:uid="{00000000-0005-0000-0000-0000674E0000}"/>
    <cellStyle name="Normal 2 2 2 4 2 3 4 5" xfId="20109" xr:uid="{00000000-0005-0000-0000-0000684E0000}"/>
    <cellStyle name="Normal 2 2 2 4 2 3 4 6" xfId="20110" xr:uid="{00000000-0005-0000-0000-0000694E0000}"/>
    <cellStyle name="Normal 2 2 2 4 2 3 4 7" xfId="20111" xr:uid="{00000000-0005-0000-0000-00006A4E0000}"/>
    <cellStyle name="Normal 2 2 2 4 2 3 4 8" xfId="20112" xr:uid="{00000000-0005-0000-0000-00006B4E0000}"/>
    <cellStyle name="Normal 2 2 2 4 2 3 4 9" xfId="20113" xr:uid="{00000000-0005-0000-0000-00006C4E0000}"/>
    <cellStyle name="Normal 2 2 2 4 2 3 5" xfId="20114" xr:uid="{00000000-0005-0000-0000-00006D4E0000}"/>
    <cellStyle name="Normal 2 2 2 4 2 3 5 10" xfId="20115" xr:uid="{00000000-0005-0000-0000-00006E4E0000}"/>
    <cellStyle name="Normal 2 2 2 4 2 3 5 2" xfId="20116" xr:uid="{00000000-0005-0000-0000-00006F4E0000}"/>
    <cellStyle name="Normal 2 2 2 4 2 3 5 3" xfId="20117" xr:uid="{00000000-0005-0000-0000-0000704E0000}"/>
    <cellStyle name="Normal 2 2 2 4 2 3 5 4" xfId="20118" xr:uid="{00000000-0005-0000-0000-0000714E0000}"/>
    <cellStyle name="Normal 2 2 2 4 2 3 5 5" xfId="20119" xr:uid="{00000000-0005-0000-0000-0000724E0000}"/>
    <cellStyle name="Normal 2 2 2 4 2 3 5 6" xfId="20120" xr:uid="{00000000-0005-0000-0000-0000734E0000}"/>
    <cellStyle name="Normal 2 2 2 4 2 3 5 7" xfId="20121" xr:uid="{00000000-0005-0000-0000-0000744E0000}"/>
    <cellStyle name="Normal 2 2 2 4 2 3 5 8" xfId="20122" xr:uid="{00000000-0005-0000-0000-0000754E0000}"/>
    <cellStyle name="Normal 2 2 2 4 2 3 5 9" xfId="20123" xr:uid="{00000000-0005-0000-0000-0000764E0000}"/>
    <cellStyle name="Normal 2 2 2 4 2 3 6" xfId="20124" xr:uid="{00000000-0005-0000-0000-0000774E0000}"/>
    <cellStyle name="Normal 2 2 2 4 2 3 7" xfId="20125" xr:uid="{00000000-0005-0000-0000-0000784E0000}"/>
    <cellStyle name="Normal 2 2 2 4 2 3 8" xfId="20126" xr:uid="{00000000-0005-0000-0000-0000794E0000}"/>
    <cellStyle name="Normal 2 2 2 4 2 3 9" xfId="20127" xr:uid="{00000000-0005-0000-0000-00007A4E0000}"/>
    <cellStyle name="Normal 2 2 2 4 2 4" xfId="20128" xr:uid="{00000000-0005-0000-0000-00007B4E0000}"/>
    <cellStyle name="Normal 2 2 2 4 2 4 10" xfId="20129" xr:uid="{00000000-0005-0000-0000-00007C4E0000}"/>
    <cellStyle name="Normal 2 2 2 4 2 4 11" xfId="20130" xr:uid="{00000000-0005-0000-0000-00007D4E0000}"/>
    <cellStyle name="Normal 2 2 2 4 2 4 12" xfId="20131" xr:uid="{00000000-0005-0000-0000-00007E4E0000}"/>
    <cellStyle name="Normal 2 2 2 4 2 4 13" xfId="20132" xr:uid="{00000000-0005-0000-0000-00007F4E0000}"/>
    <cellStyle name="Normal 2 2 2 4 2 4 14" xfId="20133" xr:uid="{00000000-0005-0000-0000-0000804E0000}"/>
    <cellStyle name="Normal 2 2 2 4 2 4 2" xfId="20134" xr:uid="{00000000-0005-0000-0000-0000814E0000}"/>
    <cellStyle name="Normal 2 2 2 4 2 4 2 10" xfId="20135" xr:uid="{00000000-0005-0000-0000-0000824E0000}"/>
    <cellStyle name="Normal 2 2 2 4 2 4 2 2" xfId="20136" xr:uid="{00000000-0005-0000-0000-0000834E0000}"/>
    <cellStyle name="Normal 2 2 2 4 2 4 2 3" xfId="20137" xr:uid="{00000000-0005-0000-0000-0000844E0000}"/>
    <cellStyle name="Normal 2 2 2 4 2 4 2 4" xfId="20138" xr:uid="{00000000-0005-0000-0000-0000854E0000}"/>
    <cellStyle name="Normal 2 2 2 4 2 4 2 5" xfId="20139" xr:uid="{00000000-0005-0000-0000-0000864E0000}"/>
    <cellStyle name="Normal 2 2 2 4 2 4 2 6" xfId="20140" xr:uid="{00000000-0005-0000-0000-0000874E0000}"/>
    <cellStyle name="Normal 2 2 2 4 2 4 2 7" xfId="20141" xr:uid="{00000000-0005-0000-0000-0000884E0000}"/>
    <cellStyle name="Normal 2 2 2 4 2 4 2 8" xfId="20142" xr:uid="{00000000-0005-0000-0000-0000894E0000}"/>
    <cellStyle name="Normal 2 2 2 4 2 4 2 9" xfId="20143" xr:uid="{00000000-0005-0000-0000-00008A4E0000}"/>
    <cellStyle name="Normal 2 2 2 4 2 4 3" xfId="20144" xr:uid="{00000000-0005-0000-0000-00008B4E0000}"/>
    <cellStyle name="Normal 2 2 2 4 2 4 3 10" xfId="20145" xr:uid="{00000000-0005-0000-0000-00008C4E0000}"/>
    <cellStyle name="Normal 2 2 2 4 2 4 3 2" xfId="20146" xr:uid="{00000000-0005-0000-0000-00008D4E0000}"/>
    <cellStyle name="Normal 2 2 2 4 2 4 3 3" xfId="20147" xr:uid="{00000000-0005-0000-0000-00008E4E0000}"/>
    <cellStyle name="Normal 2 2 2 4 2 4 3 4" xfId="20148" xr:uid="{00000000-0005-0000-0000-00008F4E0000}"/>
    <cellStyle name="Normal 2 2 2 4 2 4 3 5" xfId="20149" xr:uid="{00000000-0005-0000-0000-0000904E0000}"/>
    <cellStyle name="Normal 2 2 2 4 2 4 3 6" xfId="20150" xr:uid="{00000000-0005-0000-0000-0000914E0000}"/>
    <cellStyle name="Normal 2 2 2 4 2 4 3 7" xfId="20151" xr:uid="{00000000-0005-0000-0000-0000924E0000}"/>
    <cellStyle name="Normal 2 2 2 4 2 4 3 8" xfId="20152" xr:uid="{00000000-0005-0000-0000-0000934E0000}"/>
    <cellStyle name="Normal 2 2 2 4 2 4 3 9" xfId="20153" xr:uid="{00000000-0005-0000-0000-0000944E0000}"/>
    <cellStyle name="Normal 2 2 2 4 2 4 4" xfId="20154" xr:uid="{00000000-0005-0000-0000-0000954E0000}"/>
    <cellStyle name="Normal 2 2 2 4 2 4 4 10" xfId="20155" xr:uid="{00000000-0005-0000-0000-0000964E0000}"/>
    <cellStyle name="Normal 2 2 2 4 2 4 4 2" xfId="20156" xr:uid="{00000000-0005-0000-0000-0000974E0000}"/>
    <cellStyle name="Normal 2 2 2 4 2 4 4 3" xfId="20157" xr:uid="{00000000-0005-0000-0000-0000984E0000}"/>
    <cellStyle name="Normal 2 2 2 4 2 4 4 4" xfId="20158" xr:uid="{00000000-0005-0000-0000-0000994E0000}"/>
    <cellStyle name="Normal 2 2 2 4 2 4 4 5" xfId="20159" xr:uid="{00000000-0005-0000-0000-00009A4E0000}"/>
    <cellStyle name="Normal 2 2 2 4 2 4 4 6" xfId="20160" xr:uid="{00000000-0005-0000-0000-00009B4E0000}"/>
    <cellStyle name="Normal 2 2 2 4 2 4 4 7" xfId="20161" xr:uid="{00000000-0005-0000-0000-00009C4E0000}"/>
    <cellStyle name="Normal 2 2 2 4 2 4 4 8" xfId="20162" xr:uid="{00000000-0005-0000-0000-00009D4E0000}"/>
    <cellStyle name="Normal 2 2 2 4 2 4 4 9" xfId="20163" xr:uid="{00000000-0005-0000-0000-00009E4E0000}"/>
    <cellStyle name="Normal 2 2 2 4 2 4 5" xfId="20164" xr:uid="{00000000-0005-0000-0000-00009F4E0000}"/>
    <cellStyle name="Normal 2 2 2 4 2 4 5 10" xfId="20165" xr:uid="{00000000-0005-0000-0000-0000A04E0000}"/>
    <cellStyle name="Normal 2 2 2 4 2 4 5 2" xfId="20166" xr:uid="{00000000-0005-0000-0000-0000A14E0000}"/>
    <cellStyle name="Normal 2 2 2 4 2 4 5 3" xfId="20167" xr:uid="{00000000-0005-0000-0000-0000A24E0000}"/>
    <cellStyle name="Normal 2 2 2 4 2 4 5 4" xfId="20168" xr:uid="{00000000-0005-0000-0000-0000A34E0000}"/>
    <cellStyle name="Normal 2 2 2 4 2 4 5 5" xfId="20169" xr:uid="{00000000-0005-0000-0000-0000A44E0000}"/>
    <cellStyle name="Normal 2 2 2 4 2 4 5 6" xfId="20170" xr:uid="{00000000-0005-0000-0000-0000A54E0000}"/>
    <cellStyle name="Normal 2 2 2 4 2 4 5 7" xfId="20171" xr:uid="{00000000-0005-0000-0000-0000A64E0000}"/>
    <cellStyle name="Normal 2 2 2 4 2 4 5 8" xfId="20172" xr:uid="{00000000-0005-0000-0000-0000A74E0000}"/>
    <cellStyle name="Normal 2 2 2 4 2 4 5 9" xfId="20173" xr:uid="{00000000-0005-0000-0000-0000A84E0000}"/>
    <cellStyle name="Normal 2 2 2 4 2 4 6" xfId="20174" xr:uid="{00000000-0005-0000-0000-0000A94E0000}"/>
    <cellStyle name="Normal 2 2 2 4 2 4 7" xfId="20175" xr:uid="{00000000-0005-0000-0000-0000AA4E0000}"/>
    <cellStyle name="Normal 2 2 2 4 2 4 8" xfId="20176" xr:uid="{00000000-0005-0000-0000-0000AB4E0000}"/>
    <cellStyle name="Normal 2 2 2 4 2 4 9" xfId="20177" xr:uid="{00000000-0005-0000-0000-0000AC4E0000}"/>
    <cellStyle name="Normal 2 2 2 4 2 5" xfId="20178" xr:uid="{00000000-0005-0000-0000-0000AD4E0000}"/>
    <cellStyle name="Normal 2 2 2 4 2 5 10" xfId="20179" xr:uid="{00000000-0005-0000-0000-0000AE4E0000}"/>
    <cellStyle name="Normal 2 2 2 4 2 5 11" xfId="20180" xr:uid="{00000000-0005-0000-0000-0000AF4E0000}"/>
    <cellStyle name="Normal 2 2 2 4 2 5 12" xfId="20181" xr:uid="{00000000-0005-0000-0000-0000B04E0000}"/>
    <cellStyle name="Normal 2 2 2 4 2 5 13" xfId="20182" xr:uid="{00000000-0005-0000-0000-0000B14E0000}"/>
    <cellStyle name="Normal 2 2 2 4 2 5 14" xfId="20183" xr:uid="{00000000-0005-0000-0000-0000B24E0000}"/>
    <cellStyle name="Normal 2 2 2 4 2 5 2" xfId="20184" xr:uid="{00000000-0005-0000-0000-0000B34E0000}"/>
    <cellStyle name="Normal 2 2 2 4 2 5 2 10" xfId="20185" xr:uid="{00000000-0005-0000-0000-0000B44E0000}"/>
    <cellStyle name="Normal 2 2 2 4 2 5 2 2" xfId="20186" xr:uid="{00000000-0005-0000-0000-0000B54E0000}"/>
    <cellStyle name="Normal 2 2 2 4 2 5 2 3" xfId="20187" xr:uid="{00000000-0005-0000-0000-0000B64E0000}"/>
    <cellStyle name="Normal 2 2 2 4 2 5 2 4" xfId="20188" xr:uid="{00000000-0005-0000-0000-0000B74E0000}"/>
    <cellStyle name="Normal 2 2 2 4 2 5 2 5" xfId="20189" xr:uid="{00000000-0005-0000-0000-0000B84E0000}"/>
    <cellStyle name="Normal 2 2 2 4 2 5 2 6" xfId="20190" xr:uid="{00000000-0005-0000-0000-0000B94E0000}"/>
    <cellStyle name="Normal 2 2 2 4 2 5 2 7" xfId="20191" xr:uid="{00000000-0005-0000-0000-0000BA4E0000}"/>
    <cellStyle name="Normal 2 2 2 4 2 5 2 8" xfId="20192" xr:uid="{00000000-0005-0000-0000-0000BB4E0000}"/>
    <cellStyle name="Normal 2 2 2 4 2 5 2 9" xfId="20193" xr:uid="{00000000-0005-0000-0000-0000BC4E0000}"/>
    <cellStyle name="Normal 2 2 2 4 2 5 3" xfId="20194" xr:uid="{00000000-0005-0000-0000-0000BD4E0000}"/>
    <cellStyle name="Normal 2 2 2 4 2 5 3 10" xfId="20195" xr:uid="{00000000-0005-0000-0000-0000BE4E0000}"/>
    <cellStyle name="Normal 2 2 2 4 2 5 3 2" xfId="20196" xr:uid="{00000000-0005-0000-0000-0000BF4E0000}"/>
    <cellStyle name="Normal 2 2 2 4 2 5 3 3" xfId="20197" xr:uid="{00000000-0005-0000-0000-0000C04E0000}"/>
    <cellStyle name="Normal 2 2 2 4 2 5 3 4" xfId="20198" xr:uid="{00000000-0005-0000-0000-0000C14E0000}"/>
    <cellStyle name="Normal 2 2 2 4 2 5 3 5" xfId="20199" xr:uid="{00000000-0005-0000-0000-0000C24E0000}"/>
    <cellStyle name="Normal 2 2 2 4 2 5 3 6" xfId="20200" xr:uid="{00000000-0005-0000-0000-0000C34E0000}"/>
    <cellStyle name="Normal 2 2 2 4 2 5 3 7" xfId="20201" xr:uid="{00000000-0005-0000-0000-0000C44E0000}"/>
    <cellStyle name="Normal 2 2 2 4 2 5 3 8" xfId="20202" xr:uid="{00000000-0005-0000-0000-0000C54E0000}"/>
    <cellStyle name="Normal 2 2 2 4 2 5 3 9" xfId="20203" xr:uid="{00000000-0005-0000-0000-0000C64E0000}"/>
    <cellStyle name="Normal 2 2 2 4 2 5 4" xfId="20204" xr:uid="{00000000-0005-0000-0000-0000C74E0000}"/>
    <cellStyle name="Normal 2 2 2 4 2 5 4 10" xfId="20205" xr:uid="{00000000-0005-0000-0000-0000C84E0000}"/>
    <cellStyle name="Normal 2 2 2 4 2 5 4 2" xfId="20206" xr:uid="{00000000-0005-0000-0000-0000C94E0000}"/>
    <cellStyle name="Normal 2 2 2 4 2 5 4 3" xfId="20207" xr:uid="{00000000-0005-0000-0000-0000CA4E0000}"/>
    <cellStyle name="Normal 2 2 2 4 2 5 4 4" xfId="20208" xr:uid="{00000000-0005-0000-0000-0000CB4E0000}"/>
    <cellStyle name="Normal 2 2 2 4 2 5 4 5" xfId="20209" xr:uid="{00000000-0005-0000-0000-0000CC4E0000}"/>
    <cellStyle name="Normal 2 2 2 4 2 5 4 6" xfId="20210" xr:uid="{00000000-0005-0000-0000-0000CD4E0000}"/>
    <cellStyle name="Normal 2 2 2 4 2 5 4 7" xfId="20211" xr:uid="{00000000-0005-0000-0000-0000CE4E0000}"/>
    <cellStyle name="Normal 2 2 2 4 2 5 4 8" xfId="20212" xr:uid="{00000000-0005-0000-0000-0000CF4E0000}"/>
    <cellStyle name="Normal 2 2 2 4 2 5 4 9" xfId="20213" xr:uid="{00000000-0005-0000-0000-0000D04E0000}"/>
    <cellStyle name="Normal 2 2 2 4 2 5 5" xfId="20214" xr:uid="{00000000-0005-0000-0000-0000D14E0000}"/>
    <cellStyle name="Normal 2 2 2 4 2 5 5 10" xfId="20215" xr:uid="{00000000-0005-0000-0000-0000D24E0000}"/>
    <cellStyle name="Normal 2 2 2 4 2 5 5 2" xfId="20216" xr:uid="{00000000-0005-0000-0000-0000D34E0000}"/>
    <cellStyle name="Normal 2 2 2 4 2 5 5 3" xfId="20217" xr:uid="{00000000-0005-0000-0000-0000D44E0000}"/>
    <cellStyle name="Normal 2 2 2 4 2 5 5 4" xfId="20218" xr:uid="{00000000-0005-0000-0000-0000D54E0000}"/>
    <cellStyle name="Normal 2 2 2 4 2 5 5 5" xfId="20219" xr:uid="{00000000-0005-0000-0000-0000D64E0000}"/>
    <cellStyle name="Normal 2 2 2 4 2 5 5 6" xfId="20220" xr:uid="{00000000-0005-0000-0000-0000D74E0000}"/>
    <cellStyle name="Normal 2 2 2 4 2 5 5 7" xfId="20221" xr:uid="{00000000-0005-0000-0000-0000D84E0000}"/>
    <cellStyle name="Normal 2 2 2 4 2 5 5 8" xfId="20222" xr:uid="{00000000-0005-0000-0000-0000D94E0000}"/>
    <cellStyle name="Normal 2 2 2 4 2 5 5 9" xfId="20223" xr:uid="{00000000-0005-0000-0000-0000DA4E0000}"/>
    <cellStyle name="Normal 2 2 2 4 2 5 6" xfId="20224" xr:uid="{00000000-0005-0000-0000-0000DB4E0000}"/>
    <cellStyle name="Normal 2 2 2 4 2 5 7" xfId="20225" xr:uid="{00000000-0005-0000-0000-0000DC4E0000}"/>
    <cellStyle name="Normal 2 2 2 4 2 5 8" xfId="20226" xr:uid="{00000000-0005-0000-0000-0000DD4E0000}"/>
    <cellStyle name="Normal 2 2 2 4 2 5 9" xfId="20227" xr:uid="{00000000-0005-0000-0000-0000DE4E0000}"/>
    <cellStyle name="Normal 2 2 2 4 2 6" xfId="20228" xr:uid="{00000000-0005-0000-0000-0000DF4E0000}"/>
    <cellStyle name="Normal 2 2 2 4 2 6 10" xfId="20229" xr:uid="{00000000-0005-0000-0000-0000E04E0000}"/>
    <cellStyle name="Normal 2 2 2 4 2 6 11" xfId="20230" xr:uid="{00000000-0005-0000-0000-0000E14E0000}"/>
    <cellStyle name="Normal 2 2 2 4 2 6 12" xfId="20231" xr:uid="{00000000-0005-0000-0000-0000E24E0000}"/>
    <cellStyle name="Normal 2 2 2 4 2 6 13" xfId="20232" xr:uid="{00000000-0005-0000-0000-0000E34E0000}"/>
    <cellStyle name="Normal 2 2 2 4 2 6 14" xfId="20233" xr:uid="{00000000-0005-0000-0000-0000E44E0000}"/>
    <cellStyle name="Normal 2 2 2 4 2 6 2" xfId="20234" xr:uid="{00000000-0005-0000-0000-0000E54E0000}"/>
    <cellStyle name="Normal 2 2 2 4 2 6 2 10" xfId="20235" xr:uid="{00000000-0005-0000-0000-0000E64E0000}"/>
    <cellStyle name="Normal 2 2 2 4 2 6 2 2" xfId="20236" xr:uid="{00000000-0005-0000-0000-0000E74E0000}"/>
    <cellStyle name="Normal 2 2 2 4 2 6 2 3" xfId="20237" xr:uid="{00000000-0005-0000-0000-0000E84E0000}"/>
    <cellStyle name="Normal 2 2 2 4 2 6 2 4" xfId="20238" xr:uid="{00000000-0005-0000-0000-0000E94E0000}"/>
    <cellStyle name="Normal 2 2 2 4 2 6 2 5" xfId="20239" xr:uid="{00000000-0005-0000-0000-0000EA4E0000}"/>
    <cellStyle name="Normal 2 2 2 4 2 6 2 6" xfId="20240" xr:uid="{00000000-0005-0000-0000-0000EB4E0000}"/>
    <cellStyle name="Normal 2 2 2 4 2 6 2 7" xfId="20241" xr:uid="{00000000-0005-0000-0000-0000EC4E0000}"/>
    <cellStyle name="Normal 2 2 2 4 2 6 2 8" xfId="20242" xr:uid="{00000000-0005-0000-0000-0000ED4E0000}"/>
    <cellStyle name="Normal 2 2 2 4 2 6 2 9" xfId="20243" xr:uid="{00000000-0005-0000-0000-0000EE4E0000}"/>
    <cellStyle name="Normal 2 2 2 4 2 6 3" xfId="20244" xr:uid="{00000000-0005-0000-0000-0000EF4E0000}"/>
    <cellStyle name="Normal 2 2 2 4 2 6 3 10" xfId="20245" xr:uid="{00000000-0005-0000-0000-0000F04E0000}"/>
    <cellStyle name="Normal 2 2 2 4 2 6 3 2" xfId="20246" xr:uid="{00000000-0005-0000-0000-0000F14E0000}"/>
    <cellStyle name="Normal 2 2 2 4 2 6 3 3" xfId="20247" xr:uid="{00000000-0005-0000-0000-0000F24E0000}"/>
    <cellStyle name="Normal 2 2 2 4 2 6 3 4" xfId="20248" xr:uid="{00000000-0005-0000-0000-0000F34E0000}"/>
    <cellStyle name="Normal 2 2 2 4 2 6 3 5" xfId="20249" xr:uid="{00000000-0005-0000-0000-0000F44E0000}"/>
    <cellStyle name="Normal 2 2 2 4 2 6 3 6" xfId="20250" xr:uid="{00000000-0005-0000-0000-0000F54E0000}"/>
    <cellStyle name="Normal 2 2 2 4 2 6 3 7" xfId="20251" xr:uid="{00000000-0005-0000-0000-0000F64E0000}"/>
    <cellStyle name="Normal 2 2 2 4 2 6 3 8" xfId="20252" xr:uid="{00000000-0005-0000-0000-0000F74E0000}"/>
    <cellStyle name="Normal 2 2 2 4 2 6 3 9" xfId="20253" xr:uid="{00000000-0005-0000-0000-0000F84E0000}"/>
    <cellStyle name="Normal 2 2 2 4 2 6 4" xfId="20254" xr:uid="{00000000-0005-0000-0000-0000F94E0000}"/>
    <cellStyle name="Normal 2 2 2 4 2 6 4 10" xfId="20255" xr:uid="{00000000-0005-0000-0000-0000FA4E0000}"/>
    <cellStyle name="Normal 2 2 2 4 2 6 4 2" xfId="20256" xr:uid="{00000000-0005-0000-0000-0000FB4E0000}"/>
    <cellStyle name="Normal 2 2 2 4 2 6 4 3" xfId="20257" xr:uid="{00000000-0005-0000-0000-0000FC4E0000}"/>
    <cellStyle name="Normal 2 2 2 4 2 6 4 4" xfId="20258" xr:uid="{00000000-0005-0000-0000-0000FD4E0000}"/>
    <cellStyle name="Normal 2 2 2 4 2 6 4 5" xfId="20259" xr:uid="{00000000-0005-0000-0000-0000FE4E0000}"/>
    <cellStyle name="Normal 2 2 2 4 2 6 4 6" xfId="20260" xr:uid="{00000000-0005-0000-0000-0000FF4E0000}"/>
    <cellStyle name="Normal 2 2 2 4 2 6 4 7" xfId="20261" xr:uid="{00000000-0005-0000-0000-0000004F0000}"/>
    <cellStyle name="Normal 2 2 2 4 2 6 4 8" xfId="20262" xr:uid="{00000000-0005-0000-0000-0000014F0000}"/>
    <cellStyle name="Normal 2 2 2 4 2 6 4 9" xfId="20263" xr:uid="{00000000-0005-0000-0000-0000024F0000}"/>
    <cellStyle name="Normal 2 2 2 4 2 6 5" xfId="20264" xr:uid="{00000000-0005-0000-0000-0000034F0000}"/>
    <cellStyle name="Normal 2 2 2 4 2 6 5 10" xfId="20265" xr:uid="{00000000-0005-0000-0000-0000044F0000}"/>
    <cellStyle name="Normal 2 2 2 4 2 6 5 2" xfId="20266" xr:uid="{00000000-0005-0000-0000-0000054F0000}"/>
    <cellStyle name="Normal 2 2 2 4 2 6 5 3" xfId="20267" xr:uid="{00000000-0005-0000-0000-0000064F0000}"/>
    <cellStyle name="Normal 2 2 2 4 2 6 5 4" xfId="20268" xr:uid="{00000000-0005-0000-0000-0000074F0000}"/>
    <cellStyle name="Normal 2 2 2 4 2 6 5 5" xfId="20269" xr:uid="{00000000-0005-0000-0000-0000084F0000}"/>
    <cellStyle name="Normal 2 2 2 4 2 6 5 6" xfId="20270" xr:uid="{00000000-0005-0000-0000-0000094F0000}"/>
    <cellStyle name="Normal 2 2 2 4 2 6 5 7" xfId="20271" xr:uid="{00000000-0005-0000-0000-00000A4F0000}"/>
    <cellStyle name="Normal 2 2 2 4 2 6 5 8" xfId="20272" xr:uid="{00000000-0005-0000-0000-00000B4F0000}"/>
    <cellStyle name="Normal 2 2 2 4 2 6 5 9" xfId="20273" xr:uid="{00000000-0005-0000-0000-00000C4F0000}"/>
    <cellStyle name="Normal 2 2 2 4 2 6 6" xfId="20274" xr:uid="{00000000-0005-0000-0000-00000D4F0000}"/>
    <cellStyle name="Normal 2 2 2 4 2 6 7" xfId="20275" xr:uid="{00000000-0005-0000-0000-00000E4F0000}"/>
    <cellStyle name="Normal 2 2 2 4 2 6 8" xfId="20276" xr:uid="{00000000-0005-0000-0000-00000F4F0000}"/>
    <cellStyle name="Normal 2 2 2 4 2 6 9" xfId="20277" xr:uid="{00000000-0005-0000-0000-0000104F0000}"/>
    <cellStyle name="Normal 2 2 2 4 2 7" xfId="20278" xr:uid="{00000000-0005-0000-0000-0000114F0000}"/>
    <cellStyle name="Normal 2 2 2 4 2 7 10" xfId="20279" xr:uid="{00000000-0005-0000-0000-0000124F0000}"/>
    <cellStyle name="Normal 2 2 2 4 2 7 11" xfId="20280" xr:uid="{00000000-0005-0000-0000-0000134F0000}"/>
    <cellStyle name="Normal 2 2 2 4 2 7 12" xfId="20281" xr:uid="{00000000-0005-0000-0000-0000144F0000}"/>
    <cellStyle name="Normal 2 2 2 4 2 7 13" xfId="20282" xr:uid="{00000000-0005-0000-0000-0000154F0000}"/>
    <cellStyle name="Normal 2 2 2 4 2 7 14" xfId="20283" xr:uid="{00000000-0005-0000-0000-0000164F0000}"/>
    <cellStyle name="Normal 2 2 2 4 2 7 2" xfId="20284" xr:uid="{00000000-0005-0000-0000-0000174F0000}"/>
    <cellStyle name="Normal 2 2 2 4 2 7 2 10" xfId="20285" xr:uid="{00000000-0005-0000-0000-0000184F0000}"/>
    <cellStyle name="Normal 2 2 2 4 2 7 2 2" xfId="20286" xr:uid="{00000000-0005-0000-0000-0000194F0000}"/>
    <cellStyle name="Normal 2 2 2 4 2 7 2 3" xfId="20287" xr:uid="{00000000-0005-0000-0000-00001A4F0000}"/>
    <cellStyle name="Normal 2 2 2 4 2 7 2 4" xfId="20288" xr:uid="{00000000-0005-0000-0000-00001B4F0000}"/>
    <cellStyle name="Normal 2 2 2 4 2 7 2 5" xfId="20289" xr:uid="{00000000-0005-0000-0000-00001C4F0000}"/>
    <cellStyle name="Normal 2 2 2 4 2 7 2 6" xfId="20290" xr:uid="{00000000-0005-0000-0000-00001D4F0000}"/>
    <cellStyle name="Normal 2 2 2 4 2 7 2 7" xfId="20291" xr:uid="{00000000-0005-0000-0000-00001E4F0000}"/>
    <cellStyle name="Normal 2 2 2 4 2 7 2 8" xfId="20292" xr:uid="{00000000-0005-0000-0000-00001F4F0000}"/>
    <cellStyle name="Normal 2 2 2 4 2 7 2 9" xfId="20293" xr:uid="{00000000-0005-0000-0000-0000204F0000}"/>
    <cellStyle name="Normal 2 2 2 4 2 7 3" xfId="20294" xr:uid="{00000000-0005-0000-0000-0000214F0000}"/>
    <cellStyle name="Normal 2 2 2 4 2 7 3 10" xfId="20295" xr:uid="{00000000-0005-0000-0000-0000224F0000}"/>
    <cellStyle name="Normal 2 2 2 4 2 7 3 2" xfId="20296" xr:uid="{00000000-0005-0000-0000-0000234F0000}"/>
    <cellStyle name="Normal 2 2 2 4 2 7 3 3" xfId="20297" xr:uid="{00000000-0005-0000-0000-0000244F0000}"/>
    <cellStyle name="Normal 2 2 2 4 2 7 3 4" xfId="20298" xr:uid="{00000000-0005-0000-0000-0000254F0000}"/>
    <cellStyle name="Normal 2 2 2 4 2 7 3 5" xfId="20299" xr:uid="{00000000-0005-0000-0000-0000264F0000}"/>
    <cellStyle name="Normal 2 2 2 4 2 7 3 6" xfId="20300" xr:uid="{00000000-0005-0000-0000-0000274F0000}"/>
    <cellStyle name="Normal 2 2 2 4 2 7 3 7" xfId="20301" xr:uid="{00000000-0005-0000-0000-0000284F0000}"/>
    <cellStyle name="Normal 2 2 2 4 2 7 3 8" xfId="20302" xr:uid="{00000000-0005-0000-0000-0000294F0000}"/>
    <cellStyle name="Normal 2 2 2 4 2 7 3 9" xfId="20303" xr:uid="{00000000-0005-0000-0000-00002A4F0000}"/>
    <cellStyle name="Normal 2 2 2 4 2 7 4" xfId="20304" xr:uid="{00000000-0005-0000-0000-00002B4F0000}"/>
    <cellStyle name="Normal 2 2 2 4 2 7 4 10" xfId="20305" xr:uid="{00000000-0005-0000-0000-00002C4F0000}"/>
    <cellStyle name="Normal 2 2 2 4 2 7 4 2" xfId="20306" xr:uid="{00000000-0005-0000-0000-00002D4F0000}"/>
    <cellStyle name="Normal 2 2 2 4 2 7 4 3" xfId="20307" xr:uid="{00000000-0005-0000-0000-00002E4F0000}"/>
    <cellStyle name="Normal 2 2 2 4 2 7 4 4" xfId="20308" xr:uid="{00000000-0005-0000-0000-00002F4F0000}"/>
    <cellStyle name="Normal 2 2 2 4 2 7 4 5" xfId="20309" xr:uid="{00000000-0005-0000-0000-0000304F0000}"/>
    <cellStyle name="Normal 2 2 2 4 2 7 4 6" xfId="20310" xr:uid="{00000000-0005-0000-0000-0000314F0000}"/>
    <cellStyle name="Normal 2 2 2 4 2 7 4 7" xfId="20311" xr:uid="{00000000-0005-0000-0000-0000324F0000}"/>
    <cellStyle name="Normal 2 2 2 4 2 7 4 8" xfId="20312" xr:uid="{00000000-0005-0000-0000-0000334F0000}"/>
    <cellStyle name="Normal 2 2 2 4 2 7 4 9" xfId="20313" xr:uid="{00000000-0005-0000-0000-0000344F0000}"/>
    <cellStyle name="Normal 2 2 2 4 2 7 5" xfId="20314" xr:uid="{00000000-0005-0000-0000-0000354F0000}"/>
    <cellStyle name="Normal 2 2 2 4 2 7 5 10" xfId="20315" xr:uid="{00000000-0005-0000-0000-0000364F0000}"/>
    <cellStyle name="Normal 2 2 2 4 2 7 5 2" xfId="20316" xr:uid="{00000000-0005-0000-0000-0000374F0000}"/>
    <cellStyle name="Normal 2 2 2 4 2 7 5 3" xfId="20317" xr:uid="{00000000-0005-0000-0000-0000384F0000}"/>
    <cellStyle name="Normal 2 2 2 4 2 7 5 4" xfId="20318" xr:uid="{00000000-0005-0000-0000-0000394F0000}"/>
    <cellStyle name="Normal 2 2 2 4 2 7 5 5" xfId="20319" xr:uid="{00000000-0005-0000-0000-00003A4F0000}"/>
    <cellStyle name="Normal 2 2 2 4 2 7 5 6" xfId="20320" xr:uid="{00000000-0005-0000-0000-00003B4F0000}"/>
    <cellStyle name="Normal 2 2 2 4 2 7 5 7" xfId="20321" xr:uid="{00000000-0005-0000-0000-00003C4F0000}"/>
    <cellStyle name="Normal 2 2 2 4 2 7 5 8" xfId="20322" xr:uid="{00000000-0005-0000-0000-00003D4F0000}"/>
    <cellStyle name="Normal 2 2 2 4 2 7 5 9" xfId="20323" xr:uid="{00000000-0005-0000-0000-00003E4F0000}"/>
    <cellStyle name="Normal 2 2 2 4 2 7 6" xfId="20324" xr:uid="{00000000-0005-0000-0000-00003F4F0000}"/>
    <cellStyle name="Normal 2 2 2 4 2 7 7" xfId="20325" xr:uid="{00000000-0005-0000-0000-0000404F0000}"/>
    <cellStyle name="Normal 2 2 2 4 2 7 8" xfId="20326" xr:uid="{00000000-0005-0000-0000-0000414F0000}"/>
    <cellStyle name="Normal 2 2 2 4 2 7 9" xfId="20327" xr:uid="{00000000-0005-0000-0000-0000424F0000}"/>
    <cellStyle name="Normal 2 2 2 4 2 8" xfId="20328" xr:uid="{00000000-0005-0000-0000-0000434F0000}"/>
    <cellStyle name="Normal 2 2 2 4 2 8 10" xfId="20329" xr:uid="{00000000-0005-0000-0000-0000444F0000}"/>
    <cellStyle name="Normal 2 2 2 4 2 8 11" xfId="20330" xr:uid="{00000000-0005-0000-0000-0000454F0000}"/>
    <cellStyle name="Normal 2 2 2 4 2 8 12" xfId="20331" xr:uid="{00000000-0005-0000-0000-0000464F0000}"/>
    <cellStyle name="Normal 2 2 2 4 2 8 13" xfId="20332" xr:uid="{00000000-0005-0000-0000-0000474F0000}"/>
    <cellStyle name="Normal 2 2 2 4 2 8 14" xfId="20333" xr:uid="{00000000-0005-0000-0000-0000484F0000}"/>
    <cellStyle name="Normal 2 2 2 4 2 8 2" xfId="20334" xr:uid="{00000000-0005-0000-0000-0000494F0000}"/>
    <cellStyle name="Normal 2 2 2 4 2 8 2 10" xfId="20335" xr:uid="{00000000-0005-0000-0000-00004A4F0000}"/>
    <cellStyle name="Normal 2 2 2 4 2 8 2 2" xfId="20336" xr:uid="{00000000-0005-0000-0000-00004B4F0000}"/>
    <cellStyle name="Normal 2 2 2 4 2 8 2 3" xfId="20337" xr:uid="{00000000-0005-0000-0000-00004C4F0000}"/>
    <cellStyle name="Normal 2 2 2 4 2 8 2 4" xfId="20338" xr:uid="{00000000-0005-0000-0000-00004D4F0000}"/>
    <cellStyle name="Normal 2 2 2 4 2 8 2 5" xfId="20339" xr:uid="{00000000-0005-0000-0000-00004E4F0000}"/>
    <cellStyle name="Normal 2 2 2 4 2 8 2 6" xfId="20340" xr:uid="{00000000-0005-0000-0000-00004F4F0000}"/>
    <cellStyle name="Normal 2 2 2 4 2 8 2 7" xfId="20341" xr:uid="{00000000-0005-0000-0000-0000504F0000}"/>
    <cellStyle name="Normal 2 2 2 4 2 8 2 8" xfId="20342" xr:uid="{00000000-0005-0000-0000-0000514F0000}"/>
    <cellStyle name="Normal 2 2 2 4 2 8 2 9" xfId="20343" xr:uid="{00000000-0005-0000-0000-0000524F0000}"/>
    <cellStyle name="Normal 2 2 2 4 2 8 3" xfId="20344" xr:uid="{00000000-0005-0000-0000-0000534F0000}"/>
    <cellStyle name="Normal 2 2 2 4 2 8 3 10" xfId="20345" xr:uid="{00000000-0005-0000-0000-0000544F0000}"/>
    <cellStyle name="Normal 2 2 2 4 2 8 3 2" xfId="20346" xr:uid="{00000000-0005-0000-0000-0000554F0000}"/>
    <cellStyle name="Normal 2 2 2 4 2 8 3 3" xfId="20347" xr:uid="{00000000-0005-0000-0000-0000564F0000}"/>
    <cellStyle name="Normal 2 2 2 4 2 8 3 4" xfId="20348" xr:uid="{00000000-0005-0000-0000-0000574F0000}"/>
    <cellStyle name="Normal 2 2 2 4 2 8 3 5" xfId="20349" xr:uid="{00000000-0005-0000-0000-0000584F0000}"/>
    <cellStyle name="Normal 2 2 2 4 2 8 3 6" xfId="20350" xr:uid="{00000000-0005-0000-0000-0000594F0000}"/>
    <cellStyle name="Normal 2 2 2 4 2 8 3 7" xfId="20351" xr:uid="{00000000-0005-0000-0000-00005A4F0000}"/>
    <cellStyle name="Normal 2 2 2 4 2 8 3 8" xfId="20352" xr:uid="{00000000-0005-0000-0000-00005B4F0000}"/>
    <cellStyle name="Normal 2 2 2 4 2 8 3 9" xfId="20353" xr:uid="{00000000-0005-0000-0000-00005C4F0000}"/>
    <cellStyle name="Normal 2 2 2 4 2 8 4" xfId="20354" xr:uid="{00000000-0005-0000-0000-00005D4F0000}"/>
    <cellStyle name="Normal 2 2 2 4 2 8 4 10" xfId="20355" xr:uid="{00000000-0005-0000-0000-00005E4F0000}"/>
    <cellStyle name="Normal 2 2 2 4 2 8 4 2" xfId="20356" xr:uid="{00000000-0005-0000-0000-00005F4F0000}"/>
    <cellStyle name="Normal 2 2 2 4 2 8 4 3" xfId="20357" xr:uid="{00000000-0005-0000-0000-0000604F0000}"/>
    <cellStyle name="Normal 2 2 2 4 2 8 4 4" xfId="20358" xr:uid="{00000000-0005-0000-0000-0000614F0000}"/>
    <cellStyle name="Normal 2 2 2 4 2 8 4 5" xfId="20359" xr:uid="{00000000-0005-0000-0000-0000624F0000}"/>
    <cellStyle name="Normal 2 2 2 4 2 8 4 6" xfId="20360" xr:uid="{00000000-0005-0000-0000-0000634F0000}"/>
    <cellStyle name="Normal 2 2 2 4 2 8 4 7" xfId="20361" xr:uid="{00000000-0005-0000-0000-0000644F0000}"/>
    <cellStyle name="Normal 2 2 2 4 2 8 4 8" xfId="20362" xr:uid="{00000000-0005-0000-0000-0000654F0000}"/>
    <cellStyle name="Normal 2 2 2 4 2 8 4 9" xfId="20363" xr:uid="{00000000-0005-0000-0000-0000664F0000}"/>
    <cellStyle name="Normal 2 2 2 4 2 8 5" xfId="20364" xr:uid="{00000000-0005-0000-0000-0000674F0000}"/>
    <cellStyle name="Normal 2 2 2 4 2 8 5 10" xfId="20365" xr:uid="{00000000-0005-0000-0000-0000684F0000}"/>
    <cellStyle name="Normal 2 2 2 4 2 8 5 2" xfId="20366" xr:uid="{00000000-0005-0000-0000-0000694F0000}"/>
    <cellStyle name="Normal 2 2 2 4 2 8 5 3" xfId="20367" xr:uid="{00000000-0005-0000-0000-00006A4F0000}"/>
    <cellStyle name="Normal 2 2 2 4 2 8 5 4" xfId="20368" xr:uid="{00000000-0005-0000-0000-00006B4F0000}"/>
    <cellStyle name="Normal 2 2 2 4 2 8 5 5" xfId="20369" xr:uid="{00000000-0005-0000-0000-00006C4F0000}"/>
    <cellStyle name="Normal 2 2 2 4 2 8 5 6" xfId="20370" xr:uid="{00000000-0005-0000-0000-00006D4F0000}"/>
    <cellStyle name="Normal 2 2 2 4 2 8 5 7" xfId="20371" xr:uid="{00000000-0005-0000-0000-00006E4F0000}"/>
    <cellStyle name="Normal 2 2 2 4 2 8 5 8" xfId="20372" xr:uid="{00000000-0005-0000-0000-00006F4F0000}"/>
    <cellStyle name="Normal 2 2 2 4 2 8 5 9" xfId="20373" xr:uid="{00000000-0005-0000-0000-0000704F0000}"/>
    <cellStyle name="Normal 2 2 2 4 2 8 6" xfId="20374" xr:uid="{00000000-0005-0000-0000-0000714F0000}"/>
    <cellStyle name="Normal 2 2 2 4 2 8 7" xfId="20375" xr:uid="{00000000-0005-0000-0000-0000724F0000}"/>
    <cellStyle name="Normal 2 2 2 4 2 8 8" xfId="20376" xr:uid="{00000000-0005-0000-0000-0000734F0000}"/>
    <cellStyle name="Normal 2 2 2 4 2 8 9" xfId="20377" xr:uid="{00000000-0005-0000-0000-0000744F0000}"/>
    <cellStyle name="Normal 2 2 2 4 2 9" xfId="20378" xr:uid="{00000000-0005-0000-0000-0000754F0000}"/>
    <cellStyle name="Normal 2 2 2 4 2 9 10" xfId="20379" xr:uid="{00000000-0005-0000-0000-0000764F0000}"/>
    <cellStyle name="Normal 2 2 2 4 2 9 11" xfId="20380" xr:uid="{00000000-0005-0000-0000-0000774F0000}"/>
    <cellStyle name="Normal 2 2 2 4 2 9 12" xfId="20381" xr:uid="{00000000-0005-0000-0000-0000784F0000}"/>
    <cellStyle name="Normal 2 2 2 4 2 9 13" xfId="20382" xr:uid="{00000000-0005-0000-0000-0000794F0000}"/>
    <cellStyle name="Normal 2 2 2 4 2 9 14" xfId="20383" xr:uid="{00000000-0005-0000-0000-00007A4F0000}"/>
    <cellStyle name="Normal 2 2 2 4 2 9 2" xfId="20384" xr:uid="{00000000-0005-0000-0000-00007B4F0000}"/>
    <cellStyle name="Normal 2 2 2 4 2 9 2 10" xfId="20385" xr:uid="{00000000-0005-0000-0000-00007C4F0000}"/>
    <cellStyle name="Normal 2 2 2 4 2 9 2 2" xfId="20386" xr:uid="{00000000-0005-0000-0000-00007D4F0000}"/>
    <cellStyle name="Normal 2 2 2 4 2 9 2 3" xfId="20387" xr:uid="{00000000-0005-0000-0000-00007E4F0000}"/>
    <cellStyle name="Normal 2 2 2 4 2 9 2 4" xfId="20388" xr:uid="{00000000-0005-0000-0000-00007F4F0000}"/>
    <cellStyle name="Normal 2 2 2 4 2 9 2 5" xfId="20389" xr:uid="{00000000-0005-0000-0000-0000804F0000}"/>
    <cellStyle name="Normal 2 2 2 4 2 9 2 6" xfId="20390" xr:uid="{00000000-0005-0000-0000-0000814F0000}"/>
    <cellStyle name="Normal 2 2 2 4 2 9 2 7" xfId="20391" xr:uid="{00000000-0005-0000-0000-0000824F0000}"/>
    <cellStyle name="Normal 2 2 2 4 2 9 2 8" xfId="20392" xr:uid="{00000000-0005-0000-0000-0000834F0000}"/>
    <cellStyle name="Normal 2 2 2 4 2 9 2 9" xfId="20393" xr:uid="{00000000-0005-0000-0000-0000844F0000}"/>
    <cellStyle name="Normal 2 2 2 4 2 9 3" xfId="20394" xr:uid="{00000000-0005-0000-0000-0000854F0000}"/>
    <cellStyle name="Normal 2 2 2 4 2 9 3 10" xfId="20395" xr:uid="{00000000-0005-0000-0000-0000864F0000}"/>
    <cellStyle name="Normal 2 2 2 4 2 9 3 2" xfId="20396" xr:uid="{00000000-0005-0000-0000-0000874F0000}"/>
    <cellStyle name="Normal 2 2 2 4 2 9 3 3" xfId="20397" xr:uid="{00000000-0005-0000-0000-0000884F0000}"/>
    <cellStyle name="Normal 2 2 2 4 2 9 3 4" xfId="20398" xr:uid="{00000000-0005-0000-0000-0000894F0000}"/>
    <cellStyle name="Normal 2 2 2 4 2 9 3 5" xfId="20399" xr:uid="{00000000-0005-0000-0000-00008A4F0000}"/>
    <cellStyle name="Normal 2 2 2 4 2 9 3 6" xfId="20400" xr:uid="{00000000-0005-0000-0000-00008B4F0000}"/>
    <cellStyle name="Normal 2 2 2 4 2 9 3 7" xfId="20401" xr:uid="{00000000-0005-0000-0000-00008C4F0000}"/>
    <cellStyle name="Normal 2 2 2 4 2 9 3 8" xfId="20402" xr:uid="{00000000-0005-0000-0000-00008D4F0000}"/>
    <cellStyle name="Normal 2 2 2 4 2 9 3 9" xfId="20403" xr:uid="{00000000-0005-0000-0000-00008E4F0000}"/>
    <cellStyle name="Normal 2 2 2 4 2 9 4" xfId="20404" xr:uid="{00000000-0005-0000-0000-00008F4F0000}"/>
    <cellStyle name="Normal 2 2 2 4 2 9 4 10" xfId="20405" xr:uid="{00000000-0005-0000-0000-0000904F0000}"/>
    <cellStyle name="Normal 2 2 2 4 2 9 4 2" xfId="20406" xr:uid="{00000000-0005-0000-0000-0000914F0000}"/>
    <cellStyle name="Normal 2 2 2 4 2 9 4 3" xfId="20407" xr:uid="{00000000-0005-0000-0000-0000924F0000}"/>
    <cellStyle name="Normal 2 2 2 4 2 9 4 4" xfId="20408" xr:uid="{00000000-0005-0000-0000-0000934F0000}"/>
    <cellStyle name="Normal 2 2 2 4 2 9 4 5" xfId="20409" xr:uid="{00000000-0005-0000-0000-0000944F0000}"/>
    <cellStyle name="Normal 2 2 2 4 2 9 4 6" xfId="20410" xr:uid="{00000000-0005-0000-0000-0000954F0000}"/>
    <cellStyle name="Normal 2 2 2 4 2 9 4 7" xfId="20411" xr:uid="{00000000-0005-0000-0000-0000964F0000}"/>
    <cellStyle name="Normal 2 2 2 4 2 9 4 8" xfId="20412" xr:uid="{00000000-0005-0000-0000-0000974F0000}"/>
    <cellStyle name="Normal 2 2 2 4 2 9 4 9" xfId="20413" xr:uid="{00000000-0005-0000-0000-0000984F0000}"/>
    <cellStyle name="Normal 2 2 2 4 2 9 5" xfId="20414" xr:uid="{00000000-0005-0000-0000-0000994F0000}"/>
    <cellStyle name="Normal 2 2 2 4 2 9 5 10" xfId="20415" xr:uid="{00000000-0005-0000-0000-00009A4F0000}"/>
    <cellStyle name="Normal 2 2 2 4 2 9 5 2" xfId="20416" xr:uid="{00000000-0005-0000-0000-00009B4F0000}"/>
    <cellStyle name="Normal 2 2 2 4 2 9 5 3" xfId="20417" xr:uid="{00000000-0005-0000-0000-00009C4F0000}"/>
    <cellStyle name="Normal 2 2 2 4 2 9 5 4" xfId="20418" xr:uid="{00000000-0005-0000-0000-00009D4F0000}"/>
    <cellStyle name="Normal 2 2 2 4 2 9 5 5" xfId="20419" xr:uid="{00000000-0005-0000-0000-00009E4F0000}"/>
    <cellStyle name="Normal 2 2 2 4 2 9 5 6" xfId="20420" xr:uid="{00000000-0005-0000-0000-00009F4F0000}"/>
    <cellStyle name="Normal 2 2 2 4 2 9 5 7" xfId="20421" xr:uid="{00000000-0005-0000-0000-0000A04F0000}"/>
    <cellStyle name="Normal 2 2 2 4 2 9 5 8" xfId="20422" xr:uid="{00000000-0005-0000-0000-0000A14F0000}"/>
    <cellStyle name="Normal 2 2 2 4 2 9 5 9" xfId="20423" xr:uid="{00000000-0005-0000-0000-0000A24F0000}"/>
    <cellStyle name="Normal 2 2 2 4 2 9 6" xfId="20424" xr:uid="{00000000-0005-0000-0000-0000A34F0000}"/>
    <cellStyle name="Normal 2 2 2 4 2 9 7" xfId="20425" xr:uid="{00000000-0005-0000-0000-0000A44F0000}"/>
    <cellStyle name="Normal 2 2 2 4 2 9 8" xfId="20426" xr:uid="{00000000-0005-0000-0000-0000A54F0000}"/>
    <cellStyle name="Normal 2 2 2 4 2 9 9" xfId="20427" xr:uid="{00000000-0005-0000-0000-0000A64F0000}"/>
    <cellStyle name="Normal 2 2 2 4 20" xfId="20428" xr:uid="{00000000-0005-0000-0000-0000A74F0000}"/>
    <cellStyle name="Normal 2 2 2 4 21" xfId="20429" xr:uid="{00000000-0005-0000-0000-0000A84F0000}"/>
    <cellStyle name="Normal 2 2 2 4 22" xfId="20430" xr:uid="{00000000-0005-0000-0000-0000A94F0000}"/>
    <cellStyle name="Normal 2 2 2 4 23" xfId="20431" xr:uid="{00000000-0005-0000-0000-0000AA4F0000}"/>
    <cellStyle name="Normal 2 2 2 4 24" xfId="20432" xr:uid="{00000000-0005-0000-0000-0000AB4F0000}"/>
    <cellStyle name="Normal 2 2 2 4 25" xfId="20433" xr:uid="{00000000-0005-0000-0000-0000AC4F0000}"/>
    <cellStyle name="Normal 2 2 2 4 26" xfId="20434" xr:uid="{00000000-0005-0000-0000-0000AD4F0000}"/>
    <cellStyle name="Normal 2 2 2 4 27" xfId="20435" xr:uid="{00000000-0005-0000-0000-0000AE4F0000}"/>
    <cellStyle name="Normal 2 2 2 4 28" xfId="20436" xr:uid="{00000000-0005-0000-0000-0000AF4F0000}"/>
    <cellStyle name="Normal 2 2 2 4 29" xfId="20437" xr:uid="{00000000-0005-0000-0000-0000B04F0000}"/>
    <cellStyle name="Normal 2 2 2 4 3" xfId="20438" xr:uid="{00000000-0005-0000-0000-0000B14F0000}"/>
    <cellStyle name="Normal 2 2 2 4 3 2" xfId="20439" xr:uid="{00000000-0005-0000-0000-0000B24F0000}"/>
    <cellStyle name="Normal 2 2 2 4 3 3" xfId="20440" xr:uid="{00000000-0005-0000-0000-0000B34F0000}"/>
    <cellStyle name="Normal 2 2 2 4 30" xfId="20441" xr:uid="{00000000-0005-0000-0000-0000B44F0000}"/>
    <cellStyle name="Normal 2 2 2 4 31" xfId="20442" xr:uid="{00000000-0005-0000-0000-0000B54F0000}"/>
    <cellStyle name="Normal 2 2 2 4 32" xfId="20443" xr:uid="{00000000-0005-0000-0000-0000B64F0000}"/>
    <cellStyle name="Normal 2 2 2 4 33" xfId="20444" xr:uid="{00000000-0005-0000-0000-0000B74F0000}"/>
    <cellStyle name="Normal 2 2 2 4 34" xfId="20445" xr:uid="{00000000-0005-0000-0000-0000B84F0000}"/>
    <cellStyle name="Normal 2 2 2 4 34 10" xfId="20446" xr:uid="{00000000-0005-0000-0000-0000B94F0000}"/>
    <cellStyle name="Normal 2 2 2 4 34 2" xfId="20447" xr:uid="{00000000-0005-0000-0000-0000BA4F0000}"/>
    <cellStyle name="Normal 2 2 2 4 34 3" xfId="20448" xr:uid="{00000000-0005-0000-0000-0000BB4F0000}"/>
    <cellStyle name="Normal 2 2 2 4 34 4" xfId="20449" xr:uid="{00000000-0005-0000-0000-0000BC4F0000}"/>
    <cellStyle name="Normal 2 2 2 4 34 5" xfId="20450" xr:uid="{00000000-0005-0000-0000-0000BD4F0000}"/>
    <cellStyle name="Normal 2 2 2 4 34 6" xfId="20451" xr:uid="{00000000-0005-0000-0000-0000BE4F0000}"/>
    <cellStyle name="Normal 2 2 2 4 34 7" xfId="20452" xr:uid="{00000000-0005-0000-0000-0000BF4F0000}"/>
    <cellStyle name="Normal 2 2 2 4 34 8" xfId="20453" xr:uid="{00000000-0005-0000-0000-0000C04F0000}"/>
    <cellStyle name="Normal 2 2 2 4 34 9" xfId="20454" xr:uid="{00000000-0005-0000-0000-0000C14F0000}"/>
    <cellStyle name="Normal 2 2 2 4 35" xfId="20455" xr:uid="{00000000-0005-0000-0000-0000C24F0000}"/>
    <cellStyle name="Normal 2 2 2 4 35 10" xfId="20456" xr:uid="{00000000-0005-0000-0000-0000C34F0000}"/>
    <cellStyle name="Normal 2 2 2 4 35 2" xfId="20457" xr:uid="{00000000-0005-0000-0000-0000C44F0000}"/>
    <cellStyle name="Normal 2 2 2 4 35 3" xfId="20458" xr:uid="{00000000-0005-0000-0000-0000C54F0000}"/>
    <cellStyle name="Normal 2 2 2 4 35 4" xfId="20459" xr:uid="{00000000-0005-0000-0000-0000C64F0000}"/>
    <cellStyle name="Normal 2 2 2 4 35 5" xfId="20460" xr:uid="{00000000-0005-0000-0000-0000C74F0000}"/>
    <cellStyle name="Normal 2 2 2 4 35 6" xfId="20461" xr:uid="{00000000-0005-0000-0000-0000C84F0000}"/>
    <cellStyle name="Normal 2 2 2 4 35 7" xfId="20462" xr:uid="{00000000-0005-0000-0000-0000C94F0000}"/>
    <cellStyle name="Normal 2 2 2 4 35 8" xfId="20463" xr:uid="{00000000-0005-0000-0000-0000CA4F0000}"/>
    <cellStyle name="Normal 2 2 2 4 35 9" xfId="20464" xr:uid="{00000000-0005-0000-0000-0000CB4F0000}"/>
    <cellStyle name="Normal 2 2 2 4 36" xfId="20465" xr:uid="{00000000-0005-0000-0000-0000CC4F0000}"/>
    <cellStyle name="Normal 2 2 2 4 36 10" xfId="20466" xr:uid="{00000000-0005-0000-0000-0000CD4F0000}"/>
    <cellStyle name="Normal 2 2 2 4 36 2" xfId="20467" xr:uid="{00000000-0005-0000-0000-0000CE4F0000}"/>
    <cellStyle name="Normal 2 2 2 4 36 3" xfId="20468" xr:uid="{00000000-0005-0000-0000-0000CF4F0000}"/>
    <cellStyle name="Normal 2 2 2 4 36 4" xfId="20469" xr:uid="{00000000-0005-0000-0000-0000D04F0000}"/>
    <cellStyle name="Normal 2 2 2 4 36 5" xfId="20470" xr:uid="{00000000-0005-0000-0000-0000D14F0000}"/>
    <cellStyle name="Normal 2 2 2 4 36 6" xfId="20471" xr:uid="{00000000-0005-0000-0000-0000D24F0000}"/>
    <cellStyle name="Normal 2 2 2 4 36 7" xfId="20472" xr:uid="{00000000-0005-0000-0000-0000D34F0000}"/>
    <cellStyle name="Normal 2 2 2 4 36 8" xfId="20473" xr:uid="{00000000-0005-0000-0000-0000D44F0000}"/>
    <cellStyle name="Normal 2 2 2 4 36 9" xfId="20474" xr:uid="{00000000-0005-0000-0000-0000D54F0000}"/>
    <cellStyle name="Normal 2 2 2 4 37" xfId="20475" xr:uid="{00000000-0005-0000-0000-0000D64F0000}"/>
    <cellStyle name="Normal 2 2 2 4 37 10" xfId="20476" xr:uid="{00000000-0005-0000-0000-0000D74F0000}"/>
    <cellStyle name="Normal 2 2 2 4 37 2" xfId="20477" xr:uid="{00000000-0005-0000-0000-0000D84F0000}"/>
    <cellStyle name="Normal 2 2 2 4 37 3" xfId="20478" xr:uid="{00000000-0005-0000-0000-0000D94F0000}"/>
    <cellStyle name="Normal 2 2 2 4 37 4" xfId="20479" xr:uid="{00000000-0005-0000-0000-0000DA4F0000}"/>
    <cellStyle name="Normal 2 2 2 4 37 5" xfId="20480" xr:uid="{00000000-0005-0000-0000-0000DB4F0000}"/>
    <cellStyle name="Normal 2 2 2 4 37 6" xfId="20481" xr:uid="{00000000-0005-0000-0000-0000DC4F0000}"/>
    <cellStyle name="Normal 2 2 2 4 37 7" xfId="20482" xr:uid="{00000000-0005-0000-0000-0000DD4F0000}"/>
    <cellStyle name="Normal 2 2 2 4 37 8" xfId="20483" xr:uid="{00000000-0005-0000-0000-0000DE4F0000}"/>
    <cellStyle name="Normal 2 2 2 4 37 9" xfId="20484" xr:uid="{00000000-0005-0000-0000-0000DF4F0000}"/>
    <cellStyle name="Normal 2 2 2 4 38" xfId="20485" xr:uid="{00000000-0005-0000-0000-0000E04F0000}"/>
    <cellStyle name="Normal 2 2 2 4 39" xfId="20486" xr:uid="{00000000-0005-0000-0000-0000E14F0000}"/>
    <cellStyle name="Normal 2 2 2 4 4" xfId="20487" xr:uid="{00000000-0005-0000-0000-0000E24F0000}"/>
    <cellStyle name="Normal 2 2 2 4 40" xfId="20488" xr:uid="{00000000-0005-0000-0000-0000E34F0000}"/>
    <cellStyle name="Normal 2 2 2 4 41" xfId="20489" xr:uid="{00000000-0005-0000-0000-0000E44F0000}"/>
    <cellStyle name="Normal 2 2 2 4 42" xfId="20490" xr:uid="{00000000-0005-0000-0000-0000E54F0000}"/>
    <cellStyle name="Normal 2 2 2 4 43" xfId="20491" xr:uid="{00000000-0005-0000-0000-0000E64F0000}"/>
    <cellStyle name="Normal 2 2 2 4 44" xfId="20492" xr:uid="{00000000-0005-0000-0000-0000E74F0000}"/>
    <cellStyle name="Normal 2 2 2 4 45" xfId="20493" xr:uid="{00000000-0005-0000-0000-0000E84F0000}"/>
    <cellStyle name="Normal 2 2 2 4 46" xfId="20494" xr:uid="{00000000-0005-0000-0000-0000E94F0000}"/>
    <cellStyle name="Normal 2 2 2 4 47" xfId="20495" xr:uid="{00000000-0005-0000-0000-0000EA4F0000}"/>
    <cellStyle name="Normal 2 2 2 4 48" xfId="20496" xr:uid="{00000000-0005-0000-0000-0000EB4F0000}"/>
    <cellStyle name="Normal 2 2 2 4 5" xfId="20497" xr:uid="{00000000-0005-0000-0000-0000EC4F0000}"/>
    <cellStyle name="Normal 2 2 2 4 6" xfId="20498" xr:uid="{00000000-0005-0000-0000-0000ED4F0000}"/>
    <cellStyle name="Normal 2 2 2 4 7" xfId="20499" xr:uid="{00000000-0005-0000-0000-0000EE4F0000}"/>
    <cellStyle name="Normal 2 2 2 4 8" xfId="20500" xr:uid="{00000000-0005-0000-0000-0000EF4F0000}"/>
    <cellStyle name="Normal 2 2 2 4 9" xfId="20501" xr:uid="{00000000-0005-0000-0000-0000F04F0000}"/>
    <cellStyle name="Normal 2 2 2 40" xfId="20502" xr:uid="{00000000-0005-0000-0000-0000F14F0000}"/>
    <cellStyle name="Normal 2 2 2 40 10" xfId="20503" xr:uid="{00000000-0005-0000-0000-0000F24F0000}"/>
    <cellStyle name="Normal 2 2 2 40 2" xfId="20504" xr:uid="{00000000-0005-0000-0000-0000F34F0000}"/>
    <cellStyle name="Normal 2 2 2 40 3" xfId="20505" xr:uid="{00000000-0005-0000-0000-0000F44F0000}"/>
    <cellStyle name="Normal 2 2 2 40 4" xfId="20506" xr:uid="{00000000-0005-0000-0000-0000F54F0000}"/>
    <cellStyle name="Normal 2 2 2 40 5" xfId="20507" xr:uid="{00000000-0005-0000-0000-0000F64F0000}"/>
    <cellStyle name="Normal 2 2 2 40 6" xfId="20508" xr:uid="{00000000-0005-0000-0000-0000F74F0000}"/>
    <cellStyle name="Normal 2 2 2 40 7" xfId="20509" xr:uid="{00000000-0005-0000-0000-0000F84F0000}"/>
    <cellStyle name="Normal 2 2 2 40 8" xfId="20510" xr:uid="{00000000-0005-0000-0000-0000F94F0000}"/>
    <cellStyle name="Normal 2 2 2 40 9" xfId="20511" xr:uid="{00000000-0005-0000-0000-0000FA4F0000}"/>
    <cellStyle name="Normal 2 2 2 41" xfId="20512" xr:uid="{00000000-0005-0000-0000-0000FB4F0000}"/>
    <cellStyle name="Normal 2 2 2 42" xfId="20513" xr:uid="{00000000-0005-0000-0000-0000FC4F0000}"/>
    <cellStyle name="Normal 2 2 2 43" xfId="20514" xr:uid="{00000000-0005-0000-0000-0000FD4F0000}"/>
    <cellStyle name="Normal 2 2 2 44" xfId="20515" xr:uid="{00000000-0005-0000-0000-0000FE4F0000}"/>
    <cellStyle name="Normal 2 2 2 45" xfId="20516" xr:uid="{00000000-0005-0000-0000-0000FF4F0000}"/>
    <cellStyle name="Normal 2 2 2 46" xfId="20517" xr:uid="{00000000-0005-0000-0000-000000500000}"/>
    <cellStyle name="Normal 2 2 2 47" xfId="20518" xr:uid="{00000000-0005-0000-0000-000001500000}"/>
    <cellStyle name="Normal 2 2 2 48" xfId="20519" xr:uid="{00000000-0005-0000-0000-000002500000}"/>
    <cellStyle name="Normal 2 2 2 49" xfId="20520" xr:uid="{00000000-0005-0000-0000-000003500000}"/>
    <cellStyle name="Normal 2 2 2 5" xfId="20521" xr:uid="{00000000-0005-0000-0000-000004500000}"/>
    <cellStyle name="Normal 2 2 2 5 10" xfId="20522" xr:uid="{00000000-0005-0000-0000-000005500000}"/>
    <cellStyle name="Normal 2 2 2 5 11" xfId="20523" xr:uid="{00000000-0005-0000-0000-000006500000}"/>
    <cellStyle name="Normal 2 2 2 5 12" xfId="20524" xr:uid="{00000000-0005-0000-0000-000007500000}"/>
    <cellStyle name="Normal 2 2 2 5 13" xfId="20525" xr:uid="{00000000-0005-0000-0000-000008500000}"/>
    <cellStyle name="Normal 2 2 2 5 14" xfId="20526" xr:uid="{00000000-0005-0000-0000-000009500000}"/>
    <cellStyle name="Normal 2 2 2 5 15" xfId="20527" xr:uid="{00000000-0005-0000-0000-00000A500000}"/>
    <cellStyle name="Normal 2 2 2 5 16" xfId="20528" xr:uid="{00000000-0005-0000-0000-00000B500000}"/>
    <cellStyle name="Normal 2 2 2 5 17" xfId="20529" xr:uid="{00000000-0005-0000-0000-00000C500000}"/>
    <cellStyle name="Normal 2 2 2 5 18" xfId="20530" xr:uid="{00000000-0005-0000-0000-00000D500000}"/>
    <cellStyle name="Normal 2 2 2 5 19" xfId="20531" xr:uid="{00000000-0005-0000-0000-00000E500000}"/>
    <cellStyle name="Normal 2 2 2 5 2" xfId="20532" xr:uid="{00000000-0005-0000-0000-00000F500000}"/>
    <cellStyle name="Normal 2 2 2 5 2 10" xfId="20533" xr:uid="{00000000-0005-0000-0000-000010500000}"/>
    <cellStyle name="Normal 2 2 2 5 2 10 10" xfId="20534" xr:uid="{00000000-0005-0000-0000-000011500000}"/>
    <cellStyle name="Normal 2 2 2 5 2 10 11" xfId="20535" xr:uid="{00000000-0005-0000-0000-000012500000}"/>
    <cellStyle name="Normal 2 2 2 5 2 10 12" xfId="20536" xr:uid="{00000000-0005-0000-0000-000013500000}"/>
    <cellStyle name="Normal 2 2 2 5 2 10 13" xfId="20537" xr:uid="{00000000-0005-0000-0000-000014500000}"/>
    <cellStyle name="Normal 2 2 2 5 2 10 14" xfId="20538" xr:uid="{00000000-0005-0000-0000-000015500000}"/>
    <cellStyle name="Normal 2 2 2 5 2 10 2" xfId="20539" xr:uid="{00000000-0005-0000-0000-000016500000}"/>
    <cellStyle name="Normal 2 2 2 5 2 10 2 10" xfId="20540" xr:uid="{00000000-0005-0000-0000-000017500000}"/>
    <cellStyle name="Normal 2 2 2 5 2 10 2 2" xfId="20541" xr:uid="{00000000-0005-0000-0000-000018500000}"/>
    <cellStyle name="Normal 2 2 2 5 2 10 2 3" xfId="20542" xr:uid="{00000000-0005-0000-0000-000019500000}"/>
    <cellStyle name="Normal 2 2 2 5 2 10 2 4" xfId="20543" xr:uid="{00000000-0005-0000-0000-00001A500000}"/>
    <cellStyle name="Normal 2 2 2 5 2 10 2 5" xfId="20544" xr:uid="{00000000-0005-0000-0000-00001B500000}"/>
    <cellStyle name="Normal 2 2 2 5 2 10 2 6" xfId="20545" xr:uid="{00000000-0005-0000-0000-00001C500000}"/>
    <cellStyle name="Normal 2 2 2 5 2 10 2 7" xfId="20546" xr:uid="{00000000-0005-0000-0000-00001D500000}"/>
    <cellStyle name="Normal 2 2 2 5 2 10 2 8" xfId="20547" xr:uid="{00000000-0005-0000-0000-00001E500000}"/>
    <cellStyle name="Normal 2 2 2 5 2 10 2 9" xfId="20548" xr:uid="{00000000-0005-0000-0000-00001F500000}"/>
    <cellStyle name="Normal 2 2 2 5 2 10 3" xfId="20549" xr:uid="{00000000-0005-0000-0000-000020500000}"/>
    <cellStyle name="Normal 2 2 2 5 2 10 3 10" xfId="20550" xr:uid="{00000000-0005-0000-0000-000021500000}"/>
    <cellStyle name="Normal 2 2 2 5 2 10 3 2" xfId="20551" xr:uid="{00000000-0005-0000-0000-000022500000}"/>
    <cellStyle name="Normal 2 2 2 5 2 10 3 3" xfId="20552" xr:uid="{00000000-0005-0000-0000-000023500000}"/>
    <cellStyle name="Normal 2 2 2 5 2 10 3 4" xfId="20553" xr:uid="{00000000-0005-0000-0000-000024500000}"/>
    <cellStyle name="Normal 2 2 2 5 2 10 3 5" xfId="20554" xr:uid="{00000000-0005-0000-0000-000025500000}"/>
    <cellStyle name="Normal 2 2 2 5 2 10 3 6" xfId="20555" xr:uid="{00000000-0005-0000-0000-000026500000}"/>
    <cellStyle name="Normal 2 2 2 5 2 10 3 7" xfId="20556" xr:uid="{00000000-0005-0000-0000-000027500000}"/>
    <cellStyle name="Normal 2 2 2 5 2 10 3 8" xfId="20557" xr:uid="{00000000-0005-0000-0000-000028500000}"/>
    <cellStyle name="Normal 2 2 2 5 2 10 3 9" xfId="20558" xr:uid="{00000000-0005-0000-0000-000029500000}"/>
    <cellStyle name="Normal 2 2 2 5 2 10 4" xfId="20559" xr:uid="{00000000-0005-0000-0000-00002A500000}"/>
    <cellStyle name="Normal 2 2 2 5 2 10 4 10" xfId="20560" xr:uid="{00000000-0005-0000-0000-00002B500000}"/>
    <cellStyle name="Normal 2 2 2 5 2 10 4 2" xfId="20561" xr:uid="{00000000-0005-0000-0000-00002C500000}"/>
    <cellStyle name="Normal 2 2 2 5 2 10 4 3" xfId="20562" xr:uid="{00000000-0005-0000-0000-00002D500000}"/>
    <cellStyle name="Normal 2 2 2 5 2 10 4 4" xfId="20563" xr:uid="{00000000-0005-0000-0000-00002E500000}"/>
    <cellStyle name="Normal 2 2 2 5 2 10 4 5" xfId="20564" xr:uid="{00000000-0005-0000-0000-00002F500000}"/>
    <cellStyle name="Normal 2 2 2 5 2 10 4 6" xfId="20565" xr:uid="{00000000-0005-0000-0000-000030500000}"/>
    <cellStyle name="Normal 2 2 2 5 2 10 4 7" xfId="20566" xr:uid="{00000000-0005-0000-0000-000031500000}"/>
    <cellStyle name="Normal 2 2 2 5 2 10 4 8" xfId="20567" xr:uid="{00000000-0005-0000-0000-000032500000}"/>
    <cellStyle name="Normal 2 2 2 5 2 10 4 9" xfId="20568" xr:uid="{00000000-0005-0000-0000-000033500000}"/>
    <cellStyle name="Normal 2 2 2 5 2 10 5" xfId="20569" xr:uid="{00000000-0005-0000-0000-000034500000}"/>
    <cellStyle name="Normal 2 2 2 5 2 10 5 10" xfId="20570" xr:uid="{00000000-0005-0000-0000-000035500000}"/>
    <cellStyle name="Normal 2 2 2 5 2 10 5 2" xfId="20571" xr:uid="{00000000-0005-0000-0000-000036500000}"/>
    <cellStyle name="Normal 2 2 2 5 2 10 5 3" xfId="20572" xr:uid="{00000000-0005-0000-0000-000037500000}"/>
    <cellStyle name="Normal 2 2 2 5 2 10 5 4" xfId="20573" xr:uid="{00000000-0005-0000-0000-000038500000}"/>
    <cellStyle name="Normal 2 2 2 5 2 10 5 5" xfId="20574" xr:uid="{00000000-0005-0000-0000-000039500000}"/>
    <cellStyle name="Normal 2 2 2 5 2 10 5 6" xfId="20575" xr:uid="{00000000-0005-0000-0000-00003A500000}"/>
    <cellStyle name="Normal 2 2 2 5 2 10 5 7" xfId="20576" xr:uid="{00000000-0005-0000-0000-00003B500000}"/>
    <cellStyle name="Normal 2 2 2 5 2 10 5 8" xfId="20577" xr:uid="{00000000-0005-0000-0000-00003C500000}"/>
    <cellStyle name="Normal 2 2 2 5 2 10 5 9" xfId="20578" xr:uid="{00000000-0005-0000-0000-00003D500000}"/>
    <cellStyle name="Normal 2 2 2 5 2 10 6" xfId="20579" xr:uid="{00000000-0005-0000-0000-00003E500000}"/>
    <cellStyle name="Normal 2 2 2 5 2 10 7" xfId="20580" xr:uid="{00000000-0005-0000-0000-00003F500000}"/>
    <cellStyle name="Normal 2 2 2 5 2 10 8" xfId="20581" xr:uid="{00000000-0005-0000-0000-000040500000}"/>
    <cellStyle name="Normal 2 2 2 5 2 10 9" xfId="20582" xr:uid="{00000000-0005-0000-0000-000041500000}"/>
    <cellStyle name="Normal 2 2 2 5 2 11" xfId="20583" xr:uid="{00000000-0005-0000-0000-000042500000}"/>
    <cellStyle name="Normal 2 2 2 5 2 11 10" xfId="20584" xr:uid="{00000000-0005-0000-0000-000043500000}"/>
    <cellStyle name="Normal 2 2 2 5 2 11 11" xfId="20585" xr:uid="{00000000-0005-0000-0000-000044500000}"/>
    <cellStyle name="Normal 2 2 2 5 2 11 12" xfId="20586" xr:uid="{00000000-0005-0000-0000-000045500000}"/>
    <cellStyle name="Normal 2 2 2 5 2 11 13" xfId="20587" xr:uid="{00000000-0005-0000-0000-000046500000}"/>
    <cellStyle name="Normal 2 2 2 5 2 11 14" xfId="20588" xr:uid="{00000000-0005-0000-0000-000047500000}"/>
    <cellStyle name="Normal 2 2 2 5 2 11 2" xfId="20589" xr:uid="{00000000-0005-0000-0000-000048500000}"/>
    <cellStyle name="Normal 2 2 2 5 2 11 2 10" xfId="20590" xr:uid="{00000000-0005-0000-0000-000049500000}"/>
    <cellStyle name="Normal 2 2 2 5 2 11 2 2" xfId="20591" xr:uid="{00000000-0005-0000-0000-00004A500000}"/>
    <cellStyle name="Normal 2 2 2 5 2 11 2 3" xfId="20592" xr:uid="{00000000-0005-0000-0000-00004B500000}"/>
    <cellStyle name="Normal 2 2 2 5 2 11 2 4" xfId="20593" xr:uid="{00000000-0005-0000-0000-00004C500000}"/>
    <cellStyle name="Normal 2 2 2 5 2 11 2 5" xfId="20594" xr:uid="{00000000-0005-0000-0000-00004D500000}"/>
    <cellStyle name="Normal 2 2 2 5 2 11 2 6" xfId="20595" xr:uid="{00000000-0005-0000-0000-00004E500000}"/>
    <cellStyle name="Normal 2 2 2 5 2 11 2 7" xfId="20596" xr:uid="{00000000-0005-0000-0000-00004F500000}"/>
    <cellStyle name="Normal 2 2 2 5 2 11 2 8" xfId="20597" xr:uid="{00000000-0005-0000-0000-000050500000}"/>
    <cellStyle name="Normal 2 2 2 5 2 11 2 9" xfId="20598" xr:uid="{00000000-0005-0000-0000-000051500000}"/>
    <cellStyle name="Normal 2 2 2 5 2 11 3" xfId="20599" xr:uid="{00000000-0005-0000-0000-000052500000}"/>
    <cellStyle name="Normal 2 2 2 5 2 11 3 10" xfId="20600" xr:uid="{00000000-0005-0000-0000-000053500000}"/>
    <cellStyle name="Normal 2 2 2 5 2 11 3 2" xfId="20601" xr:uid="{00000000-0005-0000-0000-000054500000}"/>
    <cellStyle name="Normal 2 2 2 5 2 11 3 3" xfId="20602" xr:uid="{00000000-0005-0000-0000-000055500000}"/>
    <cellStyle name="Normal 2 2 2 5 2 11 3 4" xfId="20603" xr:uid="{00000000-0005-0000-0000-000056500000}"/>
    <cellStyle name="Normal 2 2 2 5 2 11 3 5" xfId="20604" xr:uid="{00000000-0005-0000-0000-000057500000}"/>
    <cellStyle name="Normal 2 2 2 5 2 11 3 6" xfId="20605" xr:uid="{00000000-0005-0000-0000-000058500000}"/>
    <cellStyle name="Normal 2 2 2 5 2 11 3 7" xfId="20606" xr:uid="{00000000-0005-0000-0000-000059500000}"/>
    <cellStyle name="Normal 2 2 2 5 2 11 3 8" xfId="20607" xr:uid="{00000000-0005-0000-0000-00005A500000}"/>
    <cellStyle name="Normal 2 2 2 5 2 11 3 9" xfId="20608" xr:uid="{00000000-0005-0000-0000-00005B500000}"/>
    <cellStyle name="Normal 2 2 2 5 2 11 4" xfId="20609" xr:uid="{00000000-0005-0000-0000-00005C500000}"/>
    <cellStyle name="Normal 2 2 2 5 2 11 4 10" xfId="20610" xr:uid="{00000000-0005-0000-0000-00005D500000}"/>
    <cellStyle name="Normal 2 2 2 5 2 11 4 2" xfId="20611" xr:uid="{00000000-0005-0000-0000-00005E500000}"/>
    <cellStyle name="Normal 2 2 2 5 2 11 4 3" xfId="20612" xr:uid="{00000000-0005-0000-0000-00005F500000}"/>
    <cellStyle name="Normal 2 2 2 5 2 11 4 4" xfId="20613" xr:uid="{00000000-0005-0000-0000-000060500000}"/>
    <cellStyle name="Normal 2 2 2 5 2 11 4 5" xfId="20614" xr:uid="{00000000-0005-0000-0000-000061500000}"/>
    <cellStyle name="Normal 2 2 2 5 2 11 4 6" xfId="20615" xr:uid="{00000000-0005-0000-0000-000062500000}"/>
    <cellStyle name="Normal 2 2 2 5 2 11 4 7" xfId="20616" xr:uid="{00000000-0005-0000-0000-000063500000}"/>
    <cellStyle name="Normal 2 2 2 5 2 11 4 8" xfId="20617" xr:uid="{00000000-0005-0000-0000-000064500000}"/>
    <cellStyle name="Normal 2 2 2 5 2 11 4 9" xfId="20618" xr:uid="{00000000-0005-0000-0000-000065500000}"/>
    <cellStyle name="Normal 2 2 2 5 2 11 5" xfId="20619" xr:uid="{00000000-0005-0000-0000-000066500000}"/>
    <cellStyle name="Normal 2 2 2 5 2 11 5 10" xfId="20620" xr:uid="{00000000-0005-0000-0000-000067500000}"/>
    <cellStyle name="Normal 2 2 2 5 2 11 5 2" xfId="20621" xr:uid="{00000000-0005-0000-0000-000068500000}"/>
    <cellStyle name="Normal 2 2 2 5 2 11 5 3" xfId="20622" xr:uid="{00000000-0005-0000-0000-000069500000}"/>
    <cellStyle name="Normal 2 2 2 5 2 11 5 4" xfId="20623" xr:uid="{00000000-0005-0000-0000-00006A500000}"/>
    <cellStyle name="Normal 2 2 2 5 2 11 5 5" xfId="20624" xr:uid="{00000000-0005-0000-0000-00006B500000}"/>
    <cellStyle name="Normal 2 2 2 5 2 11 5 6" xfId="20625" xr:uid="{00000000-0005-0000-0000-00006C500000}"/>
    <cellStyle name="Normal 2 2 2 5 2 11 5 7" xfId="20626" xr:uid="{00000000-0005-0000-0000-00006D500000}"/>
    <cellStyle name="Normal 2 2 2 5 2 11 5 8" xfId="20627" xr:uid="{00000000-0005-0000-0000-00006E500000}"/>
    <cellStyle name="Normal 2 2 2 5 2 11 5 9" xfId="20628" xr:uid="{00000000-0005-0000-0000-00006F500000}"/>
    <cellStyle name="Normal 2 2 2 5 2 11 6" xfId="20629" xr:uid="{00000000-0005-0000-0000-000070500000}"/>
    <cellStyle name="Normal 2 2 2 5 2 11 7" xfId="20630" xr:uid="{00000000-0005-0000-0000-000071500000}"/>
    <cellStyle name="Normal 2 2 2 5 2 11 8" xfId="20631" xr:uid="{00000000-0005-0000-0000-000072500000}"/>
    <cellStyle name="Normal 2 2 2 5 2 11 9" xfId="20632" xr:uid="{00000000-0005-0000-0000-000073500000}"/>
    <cellStyle name="Normal 2 2 2 5 2 12" xfId="20633" xr:uid="{00000000-0005-0000-0000-000074500000}"/>
    <cellStyle name="Normal 2 2 2 5 2 12 10" xfId="20634" xr:uid="{00000000-0005-0000-0000-000075500000}"/>
    <cellStyle name="Normal 2 2 2 5 2 12 11" xfId="20635" xr:uid="{00000000-0005-0000-0000-000076500000}"/>
    <cellStyle name="Normal 2 2 2 5 2 12 12" xfId="20636" xr:uid="{00000000-0005-0000-0000-000077500000}"/>
    <cellStyle name="Normal 2 2 2 5 2 12 13" xfId="20637" xr:uid="{00000000-0005-0000-0000-000078500000}"/>
    <cellStyle name="Normal 2 2 2 5 2 12 14" xfId="20638" xr:uid="{00000000-0005-0000-0000-000079500000}"/>
    <cellStyle name="Normal 2 2 2 5 2 12 2" xfId="20639" xr:uid="{00000000-0005-0000-0000-00007A500000}"/>
    <cellStyle name="Normal 2 2 2 5 2 12 2 10" xfId="20640" xr:uid="{00000000-0005-0000-0000-00007B500000}"/>
    <cellStyle name="Normal 2 2 2 5 2 12 2 2" xfId="20641" xr:uid="{00000000-0005-0000-0000-00007C500000}"/>
    <cellStyle name="Normal 2 2 2 5 2 12 2 3" xfId="20642" xr:uid="{00000000-0005-0000-0000-00007D500000}"/>
    <cellStyle name="Normal 2 2 2 5 2 12 2 4" xfId="20643" xr:uid="{00000000-0005-0000-0000-00007E500000}"/>
    <cellStyle name="Normal 2 2 2 5 2 12 2 5" xfId="20644" xr:uid="{00000000-0005-0000-0000-00007F500000}"/>
    <cellStyle name="Normal 2 2 2 5 2 12 2 6" xfId="20645" xr:uid="{00000000-0005-0000-0000-000080500000}"/>
    <cellStyle name="Normal 2 2 2 5 2 12 2 7" xfId="20646" xr:uid="{00000000-0005-0000-0000-000081500000}"/>
    <cellStyle name="Normal 2 2 2 5 2 12 2 8" xfId="20647" xr:uid="{00000000-0005-0000-0000-000082500000}"/>
    <cellStyle name="Normal 2 2 2 5 2 12 2 9" xfId="20648" xr:uid="{00000000-0005-0000-0000-000083500000}"/>
    <cellStyle name="Normal 2 2 2 5 2 12 3" xfId="20649" xr:uid="{00000000-0005-0000-0000-000084500000}"/>
    <cellStyle name="Normal 2 2 2 5 2 12 3 10" xfId="20650" xr:uid="{00000000-0005-0000-0000-000085500000}"/>
    <cellStyle name="Normal 2 2 2 5 2 12 3 2" xfId="20651" xr:uid="{00000000-0005-0000-0000-000086500000}"/>
    <cellStyle name="Normal 2 2 2 5 2 12 3 3" xfId="20652" xr:uid="{00000000-0005-0000-0000-000087500000}"/>
    <cellStyle name="Normal 2 2 2 5 2 12 3 4" xfId="20653" xr:uid="{00000000-0005-0000-0000-000088500000}"/>
    <cellStyle name="Normal 2 2 2 5 2 12 3 5" xfId="20654" xr:uid="{00000000-0005-0000-0000-000089500000}"/>
    <cellStyle name="Normal 2 2 2 5 2 12 3 6" xfId="20655" xr:uid="{00000000-0005-0000-0000-00008A500000}"/>
    <cellStyle name="Normal 2 2 2 5 2 12 3 7" xfId="20656" xr:uid="{00000000-0005-0000-0000-00008B500000}"/>
    <cellStyle name="Normal 2 2 2 5 2 12 3 8" xfId="20657" xr:uid="{00000000-0005-0000-0000-00008C500000}"/>
    <cellStyle name="Normal 2 2 2 5 2 12 3 9" xfId="20658" xr:uid="{00000000-0005-0000-0000-00008D500000}"/>
    <cellStyle name="Normal 2 2 2 5 2 12 4" xfId="20659" xr:uid="{00000000-0005-0000-0000-00008E500000}"/>
    <cellStyle name="Normal 2 2 2 5 2 12 4 10" xfId="20660" xr:uid="{00000000-0005-0000-0000-00008F500000}"/>
    <cellStyle name="Normal 2 2 2 5 2 12 4 2" xfId="20661" xr:uid="{00000000-0005-0000-0000-000090500000}"/>
    <cellStyle name="Normal 2 2 2 5 2 12 4 3" xfId="20662" xr:uid="{00000000-0005-0000-0000-000091500000}"/>
    <cellStyle name="Normal 2 2 2 5 2 12 4 4" xfId="20663" xr:uid="{00000000-0005-0000-0000-000092500000}"/>
    <cellStyle name="Normal 2 2 2 5 2 12 4 5" xfId="20664" xr:uid="{00000000-0005-0000-0000-000093500000}"/>
    <cellStyle name="Normal 2 2 2 5 2 12 4 6" xfId="20665" xr:uid="{00000000-0005-0000-0000-000094500000}"/>
    <cellStyle name="Normal 2 2 2 5 2 12 4 7" xfId="20666" xr:uid="{00000000-0005-0000-0000-000095500000}"/>
    <cellStyle name="Normal 2 2 2 5 2 12 4 8" xfId="20667" xr:uid="{00000000-0005-0000-0000-000096500000}"/>
    <cellStyle name="Normal 2 2 2 5 2 12 4 9" xfId="20668" xr:uid="{00000000-0005-0000-0000-000097500000}"/>
    <cellStyle name="Normal 2 2 2 5 2 12 5" xfId="20669" xr:uid="{00000000-0005-0000-0000-000098500000}"/>
    <cellStyle name="Normal 2 2 2 5 2 12 5 10" xfId="20670" xr:uid="{00000000-0005-0000-0000-000099500000}"/>
    <cellStyle name="Normal 2 2 2 5 2 12 5 2" xfId="20671" xr:uid="{00000000-0005-0000-0000-00009A500000}"/>
    <cellStyle name="Normal 2 2 2 5 2 12 5 3" xfId="20672" xr:uid="{00000000-0005-0000-0000-00009B500000}"/>
    <cellStyle name="Normal 2 2 2 5 2 12 5 4" xfId="20673" xr:uid="{00000000-0005-0000-0000-00009C500000}"/>
    <cellStyle name="Normal 2 2 2 5 2 12 5 5" xfId="20674" xr:uid="{00000000-0005-0000-0000-00009D500000}"/>
    <cellStyle name="Normal 2 2 2 5 2 12 5 6" xfId="20675" xr:uid="{00000000-0005-0000-0000-00009E500000}"/>
    <cellStyle name="Normal 2 2 2 5 2 12 5 7" xfId="20676" xr:uid="{00000000-0005-0000-0000-00009F500000}"/>
    <cellStyle name="Normal 2 2 2 5 2 12 5 8" xfId="20677" xr:uid="{00000000-0005-0000-0000-0000A0500000}"/>
    <cellStyle name="Normal 2 2 2 5 2 12 5 9" xfId="20678" xr:uid="{00000000-0005-0000-0000-0000A1500000}"/>
    <cellStyle name="Normal 2 2 2 5 2 12 6" xfId="20679" xr:uid="{00000000-0005-0000-0000-0000A2500000}"/>
    <cellStyle name="Normal 2 2 2 5 2 12 7" xfId="20680" xr:uid="{00000000-0005-0000-0000-0000A3500000}"/>
    <cellStyle name="Normal 2 2 2 5 2 12 8" xfId="20681" xr:uid="{00000000-0005-0000-0000-0000A4500000}"/>
    <cellStyle name="Normal 2 2 2 5 2 12 9" xfId="20682" xr:uid="{00000000-0005-0000-0000-0000A5500000}"/>
    <cellStyle name="Normal 2 2 2 5 2 13" xfId="20683" xr:uid="{00000000-0005-0000-0000-0000A6500000}"/>
    <cellStyle name="Normal 2 2 2 5 2 13 10" xfId="20684" xr:uid="{00000000-0005-0000-0000-0000A7500000}"/>
    <cellStyle name="Normal 2 2 2 5 2 13 11" xfId="20685" xr:uid="{00000000-0005-0000-0000-0000A8500000}"/>
    <cellStyle name="Normal 2 2 2 5 2 13 12" xfId="20686" xr:uid="{00000000-0005-0000-0000-0000A9500000}"/>
    <cellStyle name="Normal 2 2 2 5 2 13 13" xfId="20687" xr:uid="{00000000-0005-0000-0000-0000AA500000}"/>
    <cellStyle name="Normal 2 2 2 5 2 13 14" xfId="20688" xr:uid="{00000000-0005-0000-0000-0000AB500000}"/>
    <cellStyle name="Normal 2 2 2 5 2 13 2" xfId="20689" xr:uid="{00000000-0005-0000-0000-0000AC500000}"/>
    <cellStyle name="Normal 2 2 2 5 2 13 2 10" xfId="20690" xr:uid="{00000000-0005-0000-0000-0000AD500000}"/>
    <cellStyle name="Normal 2 2 2 5 2 13 2 2" xfId="20691" xr:uid="{00000000-0005-0000-0000-0000AE500000}"/>
    <cellStyle name="Normal 2 2 2 5 2 13 2 3" xfId="20692" xr:uid="{00000000-0005-0000-0000-0000AF500000}"/>
    <cellStyle name="Normal 2 2 2 5 2 13 2 4" xfId="20693" xr:uid="{00000000-0005-0000-0000-0000B0500000}"/>
    <cellStyle name="Normal 2 2 2 5 2 13 2 5" xfId="20694" xr:uid="{00000000-0005-0000-0000-0000B1500000}"/>
    <cellStyle name="Normal 2 2 2 5 2 13 2 6" xfId="20695" xr:uid="{00000000-0005-0000-0000-0000B2500000}"/>
    <cellStyle name="Normal 2 2 2 5 2 13 2 7" xfId="20696" xr:uid="{00000000-0005-0000-0000-0000B3500000}"/>
    <cellStyle name="Normal 2 2 2 5 2 13 2 8" xfId="20697" xr:uid="{00000000-0005-0000-0000-0000B4500000}"/>
    <cellStyle name="Normal 2 2 2 5 2 13 2 9" xfId="20698" xr:uid="{00000000-0005-0000-0000-0000B5500000}"/>
    <cellStyle name="Normal 2 2 2 5 2 13 3" xfId="20699" xr:uid="{00000000-0005-0000-0000-0000B6500000}"/>
    <cellStyle name="Normal 2 2 2 5 2 13 3 10" xfId="20700" xr:uid="{00000000-0005-0000-0000-0000B7500000}"/>
    <cellStyle name="Normal 2 2 2 5 2 13 3 2" xfId="20701" xr:uid="{00000000-0005-0000-0000-0000B8500000}"/>
    <cellStyle name="Normal 2 2 2 5 2 13 3 3" xfId="20702" xr:uid="{00000000-0005-0000-0000-0000B9500000}"/>
    <cellStyle name="Normal 2 2 2 5 2 13 3 4" xfId="20703" xr:uid="{00000000-0005-0000-0000-0000BA500000}"/>
    <cellStyle name="Normal 2 2 2 5 2 13 3 5" xfId="20704" xr:uid="{00000000-0005-0000-0000-0000BB500000}"/>
    <cellStyle name="Normal 2 2 2 5 2 13 3 6" xfId="20705" xr:uid="{00000000-0005-0000-0000-0000BC500000}"/>
    <cellStyle name="Normal 2 2 2 5 2 13 3 7" xfId="20706" xr:uid="{00000000-0005-0000-0000-0000BD500000}"/>
    <cellStyle name="Normal 2 2 2 5 2 13 3 8" xfId="20707" xr:uid="{00000000-0005-0000-0000-0000BE500000}"/>
    <cellStyle name="Normal 2 2 2 5 2 13 3 9" xfId="20708" xr:uid="{00000000-0005-0000-0000-0000BF500000}"/>
    <cellStyle name="Normal 2 2 2 5 2 13 4" xfId="20709" xr:uid="{00000000-0005-0000-0000-0000C0500000}"/>
    <cellStyle name="Normal 2 2 2 5 2 13 4 10" xfId="20710" xr:uid="{00000000-0005-0000-0000-0000C1500000}"/>
    <cellStyle name="Normal 2 2 2 5 2 13 4 2" xfId="20711" xr:uid="{00000000-0005-0000-0000-0000C2500000}"/>
    <cellStyle name="Normal 2 2 2 5 2 13 4 3" xfId="20712" xr:uid="{00000000-0005-0000-0000-0000C3500000}"/>
    <cellStyle name="Normal 2 2 2 5 2 13 4 4" xfId="20713" xr:uid="{00000000-0005-0000-0000-0000C4500000}"/>
    <cellStyle name="Normal 2 2 2 5 2 13 4 5" xfId="20714" xr:uid="{00000000-0005-0000-0000-0000C5500000}"/>
    <cellStyle name="Normal 2 2 2 5 2 13 4 6" xfId="20715" xr:uid="{00000000-0005-0000-0000-0000C6500000}"/>
    <cellStyle name="Normal 2 2 2 5 2 13 4 7" xfId="20716" xr:uid="{00000000-0005-0000-0000-0000C7500000}"/>
    <cellStyle name="Normal 2 2 2 5 2 13 4 8" xfId="20717" xr:uid="{00000000-0005-0000-0000-0000C8500000}"/>
    <cellStyle name="Normal 2 2 2 5 2 13 4 9" xfId="20718" xr:uid="{00000000-0005-0000-0000-0000C9500000}"/>
    <cellStyle name="Normal 2 2 2 5 2 13 5" xfId="20719" xr:uid="{00000000-0005-0000-0000-0000CA500000}"/>
    <cellStyle name="Normal 2 2 2 5 2 13 5 10" xfId="20720" xr:uid="{00000000-0005-0000-0000-0000CB500000}"/>
    <cellStyle name="Normal 2 2 2 5 2 13 5 2" xfId="20721" xr:uid="{00000000-0005-0000-0000-0000CC500000}"/>
    <cellStyle name="Normal 2 2 2 5 2 13 5 3" xfId="20722" xr:uid="{00000000-0005-0000-0000-0000CD500000}"/>
    <cellStyle name="Normal 2 2 2 5 2 13 5 4" xfId="20723" xr:uid="{00000000-0005-0000-0000-0000CE500000}"/>
    <cellStyle name="Normal 2 2 2 5 2 13 5 5" xfId="20724" xr:uid="{00000000-0005-0000-0000-0000CF500000}"/>
    <cellStyle name="Normal 2 2 2 5 2 13 5 6" xfId="20725" xr:uid="{00000000-0005-0000-0000-0000D0500000}"/>
    <cellStyle name="Normal 2 2 2 5 2 13 5 7" xfId="20726" xr:uid="{00000000-0005-0000-0000-0000D1500000}"/>
    <cellStyle name="Normal 2 2 2 5 2 13 5 8" xfId="20727" xr:uid="{00000000-0005-0000-0000-0000D2500000}"/>
    <cellStyle name="Normal 2 2 2 5 2 13 5 9" xfId="20728" xr:uid="{00000000-0005-0000-0000-0000D3500000}"/>
    <cellStyle name="Normal 2 2 2 5 2 13 6" xfId="20729" xr:uid="{00000000-0005-0000-0000-0000D4500000}"/>
    <cellStyle name="Normal 2 2 2 5 2 13 7" xfId="20730" xr:uid="{00000000-0005-0000-0000-0000D5500000}"/>
    <cellStyle name="Normal 2 2 2 5 2 13 8" xfId="20731" xr:uid="{00000000-0005-0000-0000-0000D6500000}"/>
    <cellStyle name="Normal 2 2 2 5 2 13 9" xfId="20732" xr:uid="{00000000-0005-0000-0000-0000D7500000}"/>
    <cellStyle name="Normal 2 2 2 5 2 14" xfId="20733" xr:uid="{00000000-0005-0000-0000-0000D8500000}"/>
    <cellStyle name="Normal 2 2 2 5 2 14 10" xfId="20734" xr:uid="{00000000-0005-0000-0000-0000D9500000}"/>
    <cellStyle name="Normal 2 2 2 5 2 14 11" xfId="20735" xr:uid="{00000000-0005-0000-0000-0000DA500000}"/>
    <cellStyle name="Normal 2 2 2 5 2 14 12" xfId="20736" xr:uid="{00000000-0005-0000-0000-0000DB500000}"/>
    <cellStyle name="Normal 2 2 2 5 2 14 13" xfId="20737" xr:uid="{00000000-0005-0000-0000-0000DC500000}"/>
    <cellStyle name="Normal 2 2 2 5 2 14 14" xfId="20738" xr:uid="{00000000-0005-0000-0000-0000DD500000}"/>
    <cellStyle name="Normal 2 2 2 5 2 14 2" xfId="20739" xr:uid="{00000000-0005-0000-0000-0000DE500000}"/>
    <cellStyle name="Normal 2 2 2 5 2 14 2 10" xfId="20740" xr:uid="{00000000-0005-0000-0000-0000DF500000}"/>
    <cellStyle name="Normal 2 2 2 5 2 14 2 2" xfId="20741" xr:uid="{00000000-0005-0000-0000-0000E0500000}"/>
    <cellStyle name="Normal 2 2 2 5 2 14 2 3" xfId="20742" xr:uid="{00000000-0005-0000-0000-0000E1500000}"/>
    <cellStyle name="Normal 2 2 2 5 2 14 2 4" xfId="20743" xr:uid="{00000000-0005-0000-0000-0000E2500000}"/>
    <cellStyle name="Normal 2 2 2 5 2 14 2 5" xfId="20744" xr:uid="{00000000-0005-0000-0000-0000E3500000}"/>
    <cellStyle name="Normal 2 2 2 5 2 14 2 6" xfId="20745" xr:uid="{00000000-0005-0000-0000-0000E4500000}"/>
    <cellStyle name="Normal 2 2 2 5 2 14 2 7" xfId="20746" xr:uid="{00000000-0005-0000-0000-0000E5500000}"/>
    <cellStyle name="Normal 2 2 2 5 2 14 2 8" xfId="20747" xr:uid="{00000000-0005-0000-0000-0000E6500000}"/>
    <cellStyle name="Normal 2 2 2 5 2 14 2 9" xfId="20748" xr:uid="{00000000-0005-0000-0000-0000E7500000}"/>
    <cellStyle name="Normal 2 2 2 5 2 14 3" xfId="20749" xr:uid="{00000000-0005-0000-0000-0000E8500000}"/>
    <cellStyle name="Normal 2 2 2 5 2 14 3 10" xfId="20750" xr:uid="{00000000-0005-0000-0000-0000E9500000}"/>
    <cellStyle name="Normal 2 2 2 5 2 14 3 2" xfId="20751" xr:uid="{00000000-0005-0000-0000-0000EA500000}"/>
    <cellStyle name="Normal 2 2 2 5 2 14 3 3" xfId="20752" xr:uid="{00000000-0005-0000-0000-0000EB500000}"/>
    <cellStyle name="Normal 2 2 2 5 2 14 3 4" xfId="20753" xr:uid="{00000000-0005-0000-0000-0000EC500000}"/>
    <cellStyle name="Normal 2 2 2 5 2 14 3 5" xfId="20754" xr:uid="{00000000-0005-0000-0000-0000ED500000}"/>
    <cellStyle name="Normal 2 2 2 5 2 14 3 6" xfId="20755" xr:uid="{00000000-0005-0000-0000-0000EE500000}"/>
    <cellStyle name="Normal 2 2 2 5 2 14 3 7" xfId="20756" xr:uid="{00000000-0005-0000-0000-0000EF500000}"/>
    <cellStyle name="Normal 2 2 2 5 2 14 3 8" xfId="20757" xr:uid="{00000000-0005-0000-0000-0000F0500000}"/>
    <cellStyle name="Normal 2 2 2 5 2 14 3 9" xfId="20758" xr:uid="{00000000-0005-0000-0000-0000F1500000}"/>
    <cellStyle name="Normal 2 2 2 5 2 14 4" xfId="20759" xr:uid="{00000000-0005-0000-0000-0000F2500000}"/>
    <cellStyle name="Normal 2 2 2 5 2 14 4 10" xfId="20760" xr:uid="{00000000-0005-0000-0000-0000F3500000}"/>
    <cellStyle name="Normal 2 2 2 5 2 14 4 2" xfId="20761" xr:uid="{00000000-0005-0000-0000-0000F4500000}"/>
    <cellStyle name="Normal 2 2 2 5 2 14 4 3" xfId="20762" xr:uid="{00000000-0005-0000-0000-0000F5500000}"/>
    <cellStyle name="Normal 2 2 2 5 2 14 4 4" xfId="20763" xr:uid="{00000000-0005-0000-0000-0000F6500000}"/>
    <cellStyle name="Normal 2 2 2 5 2 14 4 5" xfId="20764" xr:uid="{00000000-0005-0000-0000-0000F7500000}"/>
    <cellStyle name="Normal 2 2 2 5 2 14 4 6" xfId="20765" xr:uid="{00000000-0005-0000-0000-0000F8500000}"/>
    <cellStyle name="Normal 2 2 2 5 2 14 4 7" xfId="20766" xr:uid="{00000000-0005-0000-0000-0000F9500000}"/>
    <cellStyle name="Normal 2 2 2 5 2 14 4 8" xfId="20767" xr:uid="{00000000-0005-0000-0000-0000FA500000}"/>
    <cellStyle name="Normal 2 2 2 5 2 14 4 9" xfId="20768" xr:uid="{00000000-0005-0000-0000-0000FB500000}"/>
    <cellStyle name="Normal 2 2 2 5 2 14 5" xfId="20769" xr:uid="{00000000-0005-0000-0000-0000FC500000}"/>
    <cellStyle name="Normal 2 2 2 5 2 14 5 10" xfId="20770" xr:uid="{00000000-0005-0000-0000-0000FD500000}"/>
    <cellStyle name="Normal 2 2 2 5 2 14 5 2" xfId="20771" xr:uid="{00000000-0005-0000-0000-0000FE500000}"/>
    <cellStyle name="Normal 2 2 2 5 2 14 5 3" xfId="20772" xr:uid="{00000000-0005-0000-0000-0000FF500000}"/>
    <cellStyle name="Normal 2 2 2 5 2 14 5 4" xfId="20773" xr:uid="{00000000-0005-0000-0000-000000510000}"/>
    <cellStyle name="Normal 2 2 2 5 2 14 5 5" xfId="20774" xr:uid="{00000000-0005-0000-0000-000001510000}"/>
    <cellStyle name="Normal 2 2 2 5 2 14 5 6" xfId="20775" xr:uid="{00000000-0005-0000-0000-000002510000}"/>
    <cellStyle name="Normal 2 2 2 5 2 14 5 7" xfId="20776" xr:uid="{00000000-0005-0000-0000-000003510000}"/>
    <cellStyle name="Normal 2 2 2 5 2 14 5 8" xfId="20777" xr:uid="{00000000-0005-0000-0000-000004510000}"/>
    <cellStyle name="Normal 2 2 2 5 2 14 5 9" xfId="20778" xr:uid="{00000000-0005-0000-0000-000005510000}"/>
    <cellStyle name="Normal 2 2 2 5 2 14 6" xfId="20779" xr:uid="{00000000-0005-0000-0000-000006510000}"/>
    <cellStyle name="Normal 2 2 2 5 2 14 7" xfId="20780" xr:uid="{00000000-0005-0000-0000-000007510000}"/>
    <cellStyle name="Normal 2 2 2 5 2 14 8" xfId="20781" xr:uid="{00000000-0005-0000-0000-000008510000}"/>
    <cellStyle name="Normal 2 2 2 5 2 14 9" xfId="20782" xr:uid="{00000000-0005-0000-0000-000009510000}"/>
    <cellStyle name="Normal 2 2 2 5 2 15" xfId="20783" xr:uid="{00000000-0005-0000-0000-00000A510000}"/>
    <cellStyle name="Normal 2 2 2 5 2 15 10" xfId="20784" xr:uid="{00000000-0005-0000-0000-00000B510000}"/>
    <cellStyle name="Normal 2 2 2 5 2 15 11" xfId="20785" xr:uid="{00000000-0005-0000-0000-00000C510000}"/>
    <cellStyle name="Normal 2 2 2 5 2 15 12" xfId="20786" xr:uid="{00000000-0005-0000-0000-00000D510000}"/>
    <cellStyle name="Normal 2 2 2 5 2 15 13" xfId="20787" xr:uid="{00000000-0005-0000-0000-00000E510000}"/>
    <cellStyle name="Normal 2 2 2 5 2 15 14" xfId="20788" xr:uid="{00000000-0005-0000-0000-00000F510000}"/>
    <cellStyle name="Normal 2 2 2 5 2 15 2" xfId="20789" xr:uid="{00000000-0005-0000-0000-000010510000}"/>
    <cellStyle name="Normal 2 2 2 5 2 15 2 10" xfId="20790" xr:uid="{00000000-0005-0000-0000-000011510000}"/>
    <cellStyle name="Normal 2 2 2 5 2 15 2 2" xfId="20791" xr:uid="{00000000-0005-0000-0000-000012510000}"/>
    <cellStyle name="Normal 2 2 2 5 2 15 2 3" xfId="20792" xr:uid="{00000000-0005-0000-0000-000013510000}"/>
    <cellStyle name="Normal 2 2 2 5 2 15 2 4" xfId="20793" xr:uid="{00000000-0005-0000-0000-000014510000}"/>
    <cellStyle name="Normal 2 2 2 5 2 15 2 5" xfId="20794" xr:uid="{00000000-0005-0000-0000-000015510000}"/>
    <cellStyle name="Normal 2 2 2 5 2 15 2 6" xfId="20795" xr:uid="{00000000-0005-0000-0000-000016510000}"/>
    <cellStyle name="Normal 2 2 2 5 2 15 2 7" xfId="20796" xr:uid="{00000000-0005-0000-0000-000017510000}"/>
    <cellStyle name="Normal 2 2 2 5 2 15 2 8" xfId="20797" xr:uid="{00000000-0005-0000-0000-000018510000}"/>
    <cellStyle name="Normal 2 2 2 5 2 15 2 9" xfId="20798" xr:uid="{00000000-0005-0000-0000-000019510000}"/>
    <cellStyle name="Normal 2 2 2 5 2 15 3" xfId="20799" xr:uid="{00000000-0005-0000-0000-00001A510000}"/>
    <cellStyle name="Normal 2 2 2 5 2 15 3 10" xfId="20800" xr:uid="{00000000-0005-0000-0000-00001B510000}"/>
    <cellStyle name="Normal 2 2 2 5 2 15 3 2" xfId="20801" xr:uid="{00000000-0005-0000-0000-00001C510000}"/>
    <cellStyle name="Normal 2 2 2 5 2 15 3 3" xfId="20802" xr:uid="{00000000-0005-0000-0000-00001D510000}"/>
    <cellStyle name="Normal 2 2 2 5 2 15 3 4" xfId="20803" xr:uid="{00000000-0005-0000-0000-00001E510000}"/>
    <cellStyle name="Normal 2 2 2 5 2 15 3 5" xfId="20804" xr:uid="{00000000-0005-0000-0000-00001F510000}"/>
    <cellStyle name="Normal 2 2 2 5 2 15 3 6" xfId="20805" xr:uid="{00000000-0005-0000-0000-000020510000}"/>
    <cellStyle name="Normal 2 2 2 5 2 15 3 7" xfId="20806" xr:uid="{00000000-0005-0000-0000-000021510000}"/>
    <cellStyle name="Normal 2 2 2 5 2 15 3 8" xfId="20807" xr:uid="{00000000-0005-0000-0000-000022510000}"/>
    <cellStyle name="Normal 2 2 2 5 2 15 3 9" xfId="20808" xr:uid="{00000000-0005-0000-0000-000023510000}"/>
    <cellStyle name="Normal 2 2 2 5 2 15 4" xfId="20809" xr:uid="{00000000-0005-0000-0000-000024510000}"/>
    <cellStyle name="Normal 2 2 2 5 2 15 4 10" xfId="20810" xr:uid="{00000000-0005-0000-0000-000025510000}"/>
    <cellStyle name="Normal 2 2 2 5 2 15 4 2" xfId="20811" xr:uid="{00000000-0005-0000-0000-000026510000}"/>
    <cellStyle name="Normal 2 2 2 5 2 15 4 3" xfId="20812" xr:uid="{00000000-0005-0000-0000-000027510000}"/>
    <cellStyle name="Normal 2 2 2 5 2 15 4 4" xfId="20813" xr:uid="{00000000-0005-0000-0000-000028510000}"/>
    <cellStyle name="Normal 2 2 2 5 2 15 4 5" xfId="20814" xr:uid="{00000000-0005-0000-0000-000029510000}"/>
    <cellStyle name="Normal 2 2 2 5 2 15 4 6" xfId="20815" xr:uid="{00000000-0005-0000-0000-00002A510000}"/>
    <cellStyle name="Normal 2 2 2 5 2 15 4 7" xfId="20816" xr:uid="{00000000-0005-0000-0000-00002B510000}"/>
    <cellStyle name="Normal 2 2 2 5 2 15 4 8" xfId="20817" xr:uid="{00000000-0005-0000-0000-00002C510000}"/>
    <cellStyle name="Normal 2 2 2 5 2 15 4 9" xfId="20818" xr:uid="{00000000-0005-0000-0000-00002D510000}"/>
    <cellStyle name="Normal 2 2 2 5 2 15 5" xfId="20819" xr:uid="{00000000-0005-0000-0000-00002E510000}"/>
    <cellStyle name="Normal 2 2 2 5 2 15 5 10" xfId="20820" xr:uid="{00000000-0005-0000-0000-00002F510000}"/>
    <cellStyle name="Normal 2 2 2 5 2 15 5 2" xfId="20821" xr:uid="{00000000-0005-0000-0000-000030510000}"/>
    <cellStyle name="Normal 2 2 2 5 2 15 5 3" xfId="20822" xr:uid="{00000000-0005-0000-0000-000031510000}"/>
    <cellStyle name="Normal 2 2 2 5 2 15 5 4" xfId="20823" xr:uid="{00000000-0005-0000-0000-000032510000}"/>
    <cellStyle name="Normal 2 2 2 5 2 15 5 5" xfId="20824" xr:uid="{00000000-0005-0000-0000-000033510000}"/>
    <cellStyle name="Normal 2 2 2 5 2 15 5 6" xfId="20825" xr:uid="{00000000-0005-0000-0000-000034510000}"/>
    <cellStyle name="Normal 2 2 2 5 2 15 5 7" xfId="20826" xr:uid="{00000000-0005-0000-0000-000035510000}"/>
    <cellStyle name="Normal 2 2 2 5 2 15 5 8" xfId="20827" xr:uid="{00000000-0005-0000-0000-000036510000}"/>
    <cellStyle name="Normal 2 2 2 5 2 15 5 9" xfId="20828" xr:uid="{00000000-0005-0000-0000-000037510000}"/>
    <cellStyle name="Normal 2 2 2 5 2 15 6" xfId="20829" xr:uid="{00000000-0005-0000-0000-000038510000}"/>
    <cellStyle name="Normal 2 2 2 5 2 15 7" xfId="20830" xr:uid="{00000000-0005-0000-0000-000039510000}"/>
    <cellStyle name="Normal 2 2 2 5 2 15 8" xfId="20831" xr:uid="{00000000-0005-0000-0000-00003A510000}"/>
    <cellStyle name="Normal 2 2 2 5 2 15 9" xfId="20832" xr:uid="{00000000-0005-0000-0000-00003B510000}"/>
    <cellStyle name="Normal 2 2 2 5 2 16" xfId="20833" xr:uid="{00000000-0005-0000-0000-00003C510000}"/>
    <cellStyle name="Normal 2 2 2 5 2 16 10" xfId="20834" xr:uid="{00000000-0005-0000-0000-00003D510000}"/>
    <cellStyle name="Normal 2 2 2 5 2 16 11" xfId="20835" xr:uid="{00000000-0005-0000-0000-00003E510000}"/>
    <cellStyle name="Normal 2 2 2 5 2 16 12" xfId="20836" xr:uid="{00000000-0005-0000-0000-00003F510000}"/>
    <cellStyle name="Normal 2 2 2 5 2 16 13" xfId="20837" xr:uid="{00000000-0005-0000-0000-000040510000}"/>
    <cellStyle name="Normal 2 2 2 5 2 16 14" xfId="20838" xr:uid="{00000000-0005-0000-0000-000041510000}"/>
    <cellStyle name="Normal 2 2 2 5 2 16 2" xfId="20839" xr:uid="{00000000-0005-0000-0000-000042510000}"/>
    <cellStyle name="Normal 2 2 2 5 2 16 2 10" xfId="20840" xr:uid="{00000000-0005-0000-0000-000043510000}"/>
    <cellStyle name="Normal 2 2 2 5 2 16 2 2" xfId="20841" xr:uid="{00000000-0005-0000-0000-000044510000}"/>
    <cellStyle name="Normal 2 2 2 5 2 16 2 3" xfId="20842" xr:uid="{00000000-0005-0000-0000-000045510000}"/>
    <cellStyle name="Normal 2 2 2 5 2 16 2 4" xfId="20843" xr:uid="{00000000-0005-0000-0000-000046510000}"/>
    <cellStyle name="Normal 2 2 2 5 2 16 2 5" xfId="20844" xr:uid="{00000000-0005-0000-0000-000047510000}"/>
    <cellStyle name="Normal 2 2 2 5 2 16 2 6" xfId="20845" xr:uid="{00000000-0005-0000-0000-000048510000}"/>
    <cellStyle name="Normal 2 2 2 5 2 16 2 7" xfId="20846" xr:uid="{00000000-0005-0000-0000-000049510000}"/>
    <cellStyle name="Normal 2 2 2 5 2 16 2 8" xfId="20847" xr:uid="{00000000-0005-0000-0000-00004A510000}"/>
    <cellStyle name="Normal 2 2 2 5 2 16 2 9" xfId="20848" xr:uid="{00000000-0005-0000-0000-00004B510000}"/>
    <cellStyle name="Normal 2 2 2 5 2 16 3" xfId="20849" xr:uid="{00000000-0005-0000-0000-00004C510000}"/>
    <cellStyle name="Normal 2 2 2 5 2 16 3 10" xfId="20850" xr:uid="{00000000-0005-0000-0000-00004D510000}"/>
    <cellStyle name="Normal 2 2 2 5 2 16 3 2" xfId="20851" xr:uid="{00000000-0005-0000-0000-00004E510000}"/>
    <cellStyle name="Normal 2 2 2 5 2 16 3 3" xfId="20852" xr:uid="{00000000-0005-0000-0000-00004F510000}"/>
    <cellStyle name="Normal 2 2 2 5 2 16 3 4" xfId="20853" xr:uid="{00000000-0005-0000-0000-000050510000}"/>
    <cellStyle name="Normal 2 2 2 5 2 16 3 5" xfId="20854" xr:uid="{00000000-0005-0000-0000-000051510000}"/>
    <cellStyle name="Normal 2 2 2 5 2 16 3 6" xfId="20855" xr:uid="{00000000-0005-0000-0000-000052510000}"/>
    <cellStyle name="Normal 2 2 2 5 2 16 3 7" xfId="20856" xr:uid="{00000000-0005-0000-0000-000053510000}"/>
    <cellStyle name="Normal 2 2 2 5 2 16 3 8" xfId="20857" xr:uid="{00000000-0005-0000-0000-000054510000}"/>
    <cellStyle name="Normal 2 2 2 5 2 16 3 9" xfId="20858" xr:uid="{00000000-0005-0000-0000-000055510000}"/>
    <cellStyle name="Normal 2 2 2 5 2 16 4" xfId="20859" xr:uid="{00000000-0005-0000-0000-000056510000}"/>
    <cellStyle name="Normal 2 2 2 5 2 16 4 10" xfId="20860" xr:uid="{00000000-0005-0000-0000-000057510000}"/>
    <cellStyle name="Normal 2 2 2 5 2 16 4 2" xfId="20861" xr:uid="{00000000-0005-0000-0000-000058510000}"/>
    <cellStyle name="Normal 2 2 2 5 2 16 4 3" xfId="20862" xr:uid="{00000000-0005-0000-0000-000059510000}"/>
    <cellStyle name="Normal 2 2 2 5 2 16 4 4" xfId="20863" xr:uid="{00000000-0005-0000-0000-00005A510000}"/>
    <cellStyle name="Normal 2 2 2 5 2 16 4 5" xfId="20864" xr:uid="{00000000-0005-0000-0000-00005B510000}"/>
    <cellStyle name="Normal 2 2 2 5 2 16 4 6" xfId="20865" xr:uid="{00000000-0005-0000-0000-00005C510000}"/>
    <cellStyle name="Normal 2 2 2 5 2 16 4 7" xfId="20866" xr:uid="{00000000-0005-0000-0000-00005D510000}"/>
    <cellStyle name="Normal 2 2 2 5 2 16 4 8" xfId="20867" xr:uid="{00000000-0005-0000-0000-00005E510000}"/>
    <cellStyle name="Normal 2 2 2 5 2 16 4 9" xfId="20868" xr:uid="{00000000-0005-0000-0000-00005F510000}"/>
    <cellStyle name="Normal 2 2 2 5 2 16 5" xfId="20869" xr:uid="{00000000-0005-0000-0000-000060510000}"/>
    <cellStyle name="Normal 2 2 2 5 2 16 5 10" xfId="20870" xr:uid="{00000000-0005-0000-0000-000061510000}"/>
    <cellStyle name="Normal 2 2 2 5 2 16 5 2" xfId="20871" xr:uid="{00000000-0005-0000-0000-000062510000}"/>
    <cellStyle name="Normal 2 2 2 5 2 16 5 3" xfId="20872" xr:uid="{00000000-0005-0000-0000-000063510000}"/>
    <cellStyle name="Normal 2 2 2 5 2 16 5 4" xfId="20873" xr:uid="{00000000-0005-0000-0000-000064510000}"/>
    <cellStyle name="Normal 2 2 2 5 2 16 5 5" xfId="20874" xr:uid="{00000000-0005-0000-0000-000065510000}"/>
    <cellStyle name="Normal 2 2 2 5 2 16 5 6" xfId="20875" xr:uid="{00000000-0005-0000-0000-000066510000}"/>
    <cellStyle name="Normal 2 2 2 5 2 16 5 7" xfId="20876" xr:uid="{00000000-0005-0000-0000-000067510000}"/>
    <cellStyle name="Normal 2 2 2 5 2 16 5 8" xfId="20877" xr:uid="{00000000-0005-0000-0000-000068510000}"/>
    <cellStyle name="Normal 2 2 2 5 2 16 5 9" xfId="20878" xr:uid="{00000000-0005-0000-0000-000069510000}"/>
    <cellStyle name="Normal 2 2 2 5 2 16 6" xfId="20879" xr:uid="{00000000-0005-0000-0000-00006A510000}"/>
    <cellStyle name="Normal 2 2 2 5 2 16 7" xfId="20880" xr:uid="{00000000-0005-0000-0000-00006B510000}"/>
    <cellStyle name="Normal 2 2 2 5 2 16 8" xfId="20881" xr:uid="{00000000-0005-0000-0000-00006C510000}"/>
    <cellStyle name="Normal 2 2 2 5 2 16 9" xfId="20882" xr:uid="{00000000-0005-0000-0000-00006D510000}"/>
    <cellStyle name="Normal 2 2 2 5 2 17" xfId="20883" xr:uid="{00000000-0005-0000-0000-00006E510000}"/>
    <cellStyle name="Normal 2 2 2 5 2 17 10" xfId="20884" xr:uid="{00000000-0005-0000-0000-00006F510000}"/>
    <cellStyle name="Normal 2 2 2 5 2 17 11" xfId="20885" xr:uid="{00000000-0005-0000-0000-000070510000}"/>
    <cellStyle name="Normal 2 2 2 5 2 17 12" xfId="20886" xr:uid="{00000000-0005-0000-0000-000071510000}"/>
    <cellStyle name="Normal 2 2 2 5 2 17 13" xfId="20887" xr:uid="{00000000-0005-0000-0000-000072510000}"/>
    <cellStyle name="Normal 2 2 2 5 2 17 14" xfId="20888" xr:uid="{00000000-0005-0000-0000-000073510000}"/>
    <cellStyle name="Normal 2 2 2 5 2 17 2" xfId="20889" xr:uid="{00000000-0005-0000-0000-000074510000}"/>
    <cellStyle name="Normal 2 2 2 5 2 17 2 10" xfId="20890" xr:uid="{00000000-0005-0000-0000-000075510000}"/>
    <cellStyle name="Normal 2 2 2 5 2 17 2 2" xfId="20891" xr:uid="{00000000-0005-0000-0000-000076510000}"/>
    <cellStyle name="Normal 2 2 2 5 2 17 2 3" xfId="20892" xr:uid="{00000000-0005-0000-0000-000077510000}"/>
    <cellStyle name="Normal 2 2 2 5 2 17 2 4" xfId="20893" xr:uid="{00000000-0005-0000-0000-000078510000}"/>
    <cellStyle name="Normal 2 2 2 5 2 17 2 5" xfId="20894" xr:uid="{00000000-0005-0000-0000-000079510000}"/>
    <cellStyle name="Normal 2 2 2 5 2 17 2 6" xfId="20895" xr:uid="{00000000-0005-0000-0000-00007A510000}"/>
    <cellStyle name="Normal 2 2 2 5 2 17 2 7" xfId="20896" xr:uid="{00000000-0005-0000-0000-00007B510000}"/>
    <cellStyle name="Normal 2 2 2 5 2 17 2 8" xfId="20897" xr:uid="{00000000-0005-0000-0000-00007C510000}"/>
    <cellStyle name="Normal 2 2 2 5 2 17 2 9" xfId="20898" xr:uid="{00000000-0005-0000-0000-00007D510000}"/>
    <cellStyle name="Normal 2 2 2 5 2 17 3" xfId="20899" xr:uid="{00000000-0005-0000-0000-00007E510000}"/>
    <cellStyle name="Normal 2 2 2 5 2 17 3 10" xfId="20900" xr:uid="{00000000-0005-0000-0000-00007F510000}"/>
    <cellStyle name="Normal 2 2 2 5 2 17 3 2" xfId="20901" xr:uid="{00000000-0005-0000-0000-000080510000}"/>
    <cellStyle name="Normal 2 2 2 5 2 17 3 3" xfId="20902" xr:uid="{00000000-0005-0000-0000-000081510000}"/>
    <cellStyle name="Normal 2 2 2 5 2 17 3 4" xfId="20903" xr:uid="{00000000-0005-0000-0000-000082510000}"/>
    <cellStyle name="Normal 2 2 2 5 2 17 3 5" xfId="20904" xr:uid="{00000000-0005-0000-0000-000083510000}"/>
    <cellStyle name="Normal 2 2 2 5 2 17 3 6" xfId="20905" xr:uid="{00000000-0005-0000-0000-000084510000}"/>
    <cellStyle name="Normal 2 2 2 5 2 17 3 7" xfId="20906" xr:uid="{00000000-0005-0000-0000-000085510000}"/>
    <cellStyle name="Normal 2 2 2 5 2 17 3 8" xfId="20907" xr:uid="{00000000-0005-0000-0000-000086510000}"/>
    <cellStyle name="Normal 2 2 2 5 2 17 3 9" xfId="20908" xr:uid="{00000000-0005-0000-0000-000087510000}"/>
    <cellStyle name="Normal 2 2 2 5 2 17 4" xfId="20909" xr:uid="{00000000-0005-0000-0000-000088510000}"/>
    <cellStyle name="Normal 2 2 2 5 2 17 4 10" xfId="20910" xr:uid="{00000000-0005-0000-0000-000089510000}"/>
    <cellStyle name="Normal 2 2 2 5 2 17 4 2" xfId="20911" xr:uid="{00000000-0005-0000-0000-00008A510000}"/>
    <cellStyle name="Normal 2 2 2 5 2 17 4 3" xfId="20912" xr:uid="{00000000-0005-0000-0000-00008B510000}"/>
    <cellStyle name="Normal 2 2 2 5 2 17 4 4" xfId="20913" xr:uid="{00000000-0005-0000-0000-00008C510000}"/>
    <cellStyle name="Normal 2 2 2 5 2 17 4 5" xfId="20914" xr:uid="{00000000-0005-0000-0000-00008D510000}"/>
    <cellStyle name="Normal 2 2 2 5 2 17 4 6" xfId="20915" xr:uid="{00000000-0005-0000-0000-00008E510000}"/>
    <cellStyle name="Normal 2 2 2 5 2 17 4 7" xfId="20916" xr:uid="{00000000-0005-0000-0000-00008F510000}"/>
    <cellStyle name="Normal 2 2 2 5 2 17 4 8" xfId="20917" xr:uid="{00000000-0005-0000-0000-000090510000}"/>
    <cellStyle name="Normal 2 2 2 5 2 17 4 9" xfId="20918" xr:uid="{00000000-0005-0000-0000-000091510000}"/>
    <cellStyle name="Normal 2 2 2 5 2 17 5" xfId="20919" xr:uid="{00000000-0005-0000-0000-000092510000}"/>
    <cellStyle name="Normal 2 2 2 5 2 17 5 10" xfId="20920" xr:uid="{00000000-0005-0000-0000-000093510000}"/>
    <cellStyle name="Normal 2 2 2 5 2 17 5 2" xfId="20921" xr:uid="{00000000-0005-0000-0000-000094510000}"/>
    <cellStyle name="Normal 2 2 2 5 2 17 5 3" xfId="20922" xr:uid="{00000000-0005-0000-0000-000095510000}"/>
    <cellStyle name="Normal 2 2 2 5 2 17 5 4" xfId="20923" xr:uid="{00000000-0005-0000-0000-000096510000}"/>
    <cellStyle name="Normal 2 2 2 5 2 17 5 5" xfId="20924" xr:uid="{00000000-0005-0000-0000-000097510000}"/>
    <cellStyle name="Normal 2 2 2 5 2 17 5 6" xfId="20925" xr:uid="{00000000-0005-0000-0000-000098510000}"/>
    <cellStyle name="Normal 2 2 2 5 2 17 5 7" xfId="20926" xr:uid="{00000000-0005-0000-0000-000099510000}"/>
    <cellStyle name="Normal 2 2 2 5 2 17 5 8" xfId="20927" xr:uid="{00000000-0005-0000-0000-00009A510000}"/>
    <cellStyle name="Normal 2 2 2 5 2 17 5 9" xfId="20928" xr:uid="{00000000-0005-0000-0000-00009B510000}"/>
    <cellStyle name="Normal 2 2 2 5 2 17 6" xfId="20929" xr:uid="{00000000-0005-0000-0000-00009C510000}"/>
    <cellStyle name="Normal 2 2 2 5 2 17 7" xfId="20930" xr:uid="{00000000-0005-0000-0000-00009D510000}"/>
    <cellStyle name="Normal 2 2 2 5 2 17 8" xfId="20931" xr:uid="{00000000-0005-0000-0000-00009E510000}"/>
    <cellStyle name="Normal 2 2 2 5 2 17 9" xfId="20932" xr:uid="{00000000-0005-0000-0000-00009F510000}"/>
    <cellStyle name="Normal 2 2 2 5 2 18" xfId="20933" xr:uid="{00000000-0005-0000-0000-0000A0510000}"/>
    <cellStyle name="Normal 2 2 2 5 2 18 10" xfId="20934" xr:uid="{00000000-0005-0000-0000-0000A1510000}"/>
    <cellStyle name="Normal 2 2 2 5 2 18 11" xfId="20935" xr:uid="{00000000-0005-0000-0000-0000A2510000}"/>
    <cellStyle name="Normal 2 2 2 5 2 18 12" xfId="20936" xr:uid="{00000000-0005-0000-0000-0000A3510000}"/>
    <cellStyle name="Normal 2 2 2 5 2 18 13" xfId="20937" xr:uid="{00000000-0005-0000-0000-0000A4510000}"/>
    <cellStyle name="Normal 2 2 2 5 2 18 14" xfId="20938" xr:uid="{00000000-0005-0000-0000-0000A5510000}"/>
    <cellStyle name="Normal 2 2 2 5 2 18 2" xfId="20939" xr:uid="{00000000-0005-0000-0000-0000A6510000}"/>
    <cellStyle name="Normal 2 2 2 5 2 18 2 10" xfId="20940" xr:uid="{00000000-0005-0000-0000-0000A7510000}"/>
    <cellStyle name="Normal 2 2 2 5 2 18 2 2" xfId="20941" xr:uid="{00000000-0005-0000-0000-0000A8510000}"/>
    <cellStyle name="Normal 2 2 2 5 2 18 2 3" xfId="20942" xr:uid="{00000000-0005-0000-0000-0000A9510000}"/>
    <cellStyle name="Normal 2 2 2 5 2 18 2 4" xfId="20943" xr:uid="{00000000-0005-0000-0000-0000AA510000}"/>
    <cellStyle name="Normal 2 2 2 5 2 18 2 5" xfId="20944" xr:uid="{00000000-0005-0000-0000-0000AB510000}"/>
    <cellStyle name="Normal 2 2 2 5 2 18 2 6" xfId="20945" xr:uid="{00000000-0005-0000-0000-0000AC510000}"/>
    <cellStyle name="Normal 2 2 2 5 2 18 2 7" xfId="20946" xr:uid="{00000000-0005-0000-0000-0000AD510000}"/>
    <cellStyle name="Normal 2 2 2 5 2 18 2 8" xfId="20947" xr:uid="{00000000-0005-0000-0000-0000AE510000}"/>
    <cellStyle name="Normal 2 2 2 5 2 18 2 9" xfId="20948" xr:uid="{00000000-0005-0000-0000-0000AF510000}"/>
    <cellStyle name="Normal 2 2 2 5 2 18 3" xfId="20949" xr:uid="{00000000-0005-0000-0000-0000B0510000}"/>
    <cellStyle name="Normal 2 2 2 5 2 18 3 10" xfId="20950" xr:uid="{00000000-0005-0000-0000-0000B1510000}"/>
    <cellStyle name="Normal 2 2 2 5 2 18 3 2" xfId="20951" xr:uid="{00000000-0005-0000-0000-0000B2510000}"/>
    <cellStyle name="Normal 2 2 2 5 2 18 3 3" xfId="20952" xr:uid="{00000000-0005-0000-0000-0000B3510000}"/>
    <cellStyle name="Normal 2 2 2 5 2 18 3 4" xfId="20953" xr:uid="{00000000-0005-0000-0000-0000B4510000}"/>
    <cellStyle name="Normal 2 2 2 5 2 18 3 5" xfId="20954" xr:uid="{00000000-0005-0000-0000-0000B5510000}"/>
    <cellStyle name="Normal 2 2 2 5 2 18 3 6" xfId="20955" xr:uid="{00000000-0005-0000-0000-0000B6510000}"/>
    <cellStyle name="Normal 2 2 2 5 2 18 3 7" xfId="20956" xr:uid="{00000000-0005-0000-0000-0000B7510000}"/>
    <cellStyle name="Normal 2 2 2 5 2 18 3 8" xfId="20957" xr:uid="{00000000-0005-0000-0000-0000B8510000}"/>
    <cellStyle name="Normal 2 2 2 5 2 18 3 9" xfId="20958" xr:uid="{00000000-0005-0000-0000-0000B9510000}"/>
    <cellStyle name="Normal 2 2 2 5 2 18 4" xfId="20959" xr:uid="{00000000-0005-0000-0000-0000BA510000}"/>
    <cellStyle name="Normal 2 2 2 5 2 18 4 10" xfId="20960" xr:uid="{00000000-0005-0000-0000-0000BB510000}"/>
    <cellStyle name="Normal 2 2 2 5 2 18 4 2" xfId="20961" xr:uid="{00000000-0005-0000-0000-0000BC510000}"/>
    <cellStyle name="Normal 2 2 2 5 2 18 4 3" xfId="20962" xr:uid="{00000000-0005-0000-0000-0000BD510000}"/>
    <cellStyle name="Normal 2 2 2 5 2 18 4 4" xfId="20963" xr:uid="{00000000-0005-0000-0000-0000BE510000}"/>
    <cellStyle name="Normal 2 2 2 5 2 18 4 5" xfId="20964" xr:uid="{00000000-0005-0000-0000-0000BF510000}"/>
    <cellStyle name="Normal 2 2 2 5 2 18 4 6" xfId="20965" xr:uid="{00000000-0005-0000-0000-0000C0510000}"/>
    <cellStyle name="Normal 2 2 2 5 2 18 4 7" xfId="20966" xr:uid="{00000000-0005-0000-0000-0000C1510000}"/>
    <cellStyle name="Normal 2 2 2 5 2 18 4 8" xfId="20967" xr:uid="{00000000-0005-0000-0000-0000C2510000}"/>
    <cellStyle name="Normal 2 2 2 5 2 18 4 9" xfId="20968" xr:uid="{00000000-0005-0000-0000-0000C3510000}"/>
    <cellStyle name="Normal 2 2 2 5 2 18 5" xfId="20969" xr:uid="{00000000-0005-0000-0000-0000C4510000}"/>
    <cellStyle name="Normal 2 2 2 5 2 18 5 10" xfId="20970" xr:uid="{00000000-0005-0000-0000-0000C5510000}"/>
    <cellStyle name="Normal 2 2 2 5 2 18 5 2" xfId="20971" xr:uid="{00000000-0005-0000-0000-0000C6510000}"/>
    <cellStyle name="Normal 2 2 2 5 2 18 5 3" xfId="20972" xr:uid="{00000000-0005-0000-0000-0000C7510000}"/>
    <cellStyle name="Normal 2 2 2 5 2 18 5 4" xfId="20973" xr:uid="{00000000-0005-0000-0000-0000C8510000}"/>
    <cellStyle name="Normal 2 2 2 5 2 18 5 5" xfId="20974" xr:uid="{00000000-0005-0000-0000-0000C9510000}"/>
    <cellStyle name="Normal 2 2 2 5 2 18 5 6" xfId="20975" xr:uid="{00000000-0005-0000-0000-0000CA510000}"/>
    <cellStyle name="Normal 2 2 2 5 2 18 5 7" xfId="20976" xr:uid="{00000000-0005-0000-0000-0000CB510000}"/>
    <cellStyle name="Normal 2 2 2 5 2 18 5 8" xfId="20977" xr:uid="{00000000-0005-0000-0000-0000CC510000}"/>
    <cellStyle name="Normal 2 2 2 5 2 18 5 9" xfId="20978" xr:uid="{00000000-0005-0000-0000-0000CD510000}"/>
    <cellStyle name="Normal 2 2 2 5 2 18 6" xfId="20979" xr:uid="{00000000-0005-0000-0000-0000CE510000}"/>
    <cellStyle name="Normal 2 2 2 5 2 18 7" xfId="20980" xr:uid="{00000000-0005-0000-0000-0000CF510000}"/>
    <cellStyle name="Normal 2 2 2 5 2 18 8" xfId="20981" xr:uid="{00000000-0005-0000-0000-0000D0510000}"/>
    <cellStyle name="Normal 2 2 2 5 2 18 9" xfId="20982" xr:uid="{00000000-0005-0000-0000-0000D1510000}"/>
    <cellStyle name="Normal 2 2 2 5 2 19" xfId="20983" xr:uid="{00000000-0005-0000-0000-0000D2510000}"/>
    <cellStyle name="Normal 2 2 2 5 2 19 10" xfId="20984" xr:uid="{00000000-0005-0000-0000-0000D3510000}"/>
    <cellStyle name="Normal 2 2 2 5 2 19 11" xfId="20985" xr:uid="{00000000-0005-0000-0000-0000D4510000}"/>
    <cellStyle name="Normal 2 2 2 5 2 19 12" xfId="20986" xr:uid="{00000000-0005-0000-0000-0000D5510000}"/>
    <cellStyle name="Normal 2 2 2 5 2 19 13" xfId="20987" xr:uid="{00000000-0005-0000-0000-0000D6510000}"/>
    <cellStyle name="Normal 2 2 2 5 2 19 14" xfId="20988" xr:uid="{00000000-0005-0000-0000-0000D7510000}"/>
    <cellStyle name="Normal 2 2 2 5 2 19 2" xfId="20989" xr:uid="{00000000-0005-0000-0000-0000D8510000}"/>
    <cellStyle name="Normal 2 2 2 5 2 19 2 10" xfId="20990" xr:uid="{00000000-0005-0000-0000-0000D9510000}"/>
    <cellStyle name="Normal 2 2 2 5 2 19 2 2" xfId="20991" xr:uid="{00000000-0005-0000-0000-0000DA510000}"/>
    <cellStyle name="Normal 2 2 2 5 2 19 2 3" xfId="20992" xr:uid="{00000000-0005-0000-0000-0000DB510000}"/>
    <cellStyle name="Normal 2 2 2 5 2 19 2 4" xfId="20993" xr:uid="{00000000-0005-0000-0000-0000DC510000}"/>
    <cellStyle name="Normal 2 2 2 5 2 19 2 5" xfId="20994" xr:uid="{00000000-0005-0000-0000-0000DD510000}"/>
    <cellStyle name="Normal 2 2 2 5 2 19 2 6" xfId="20995" xr:uid="{00000000-0005-0000-0000-0000DE510000}"/>
    <cellStyle name="Normal 2 2 2 5 2 19 2 7" xfId="20996" xr:uid="{00000000-0005-0000-0000-0000DF510000}"/>
    <cellStyle name="Normal 2 2 2 5 2 19 2 8" xfId="20997" xr:uid="{00000000-0005-0000-0000-0000E0510000}"/>
    <cellStyle name="Normal 2 2 2 5 2 19 2 9" xfId="20998" xr:uid="{00000000-0005-0000-0000-0000E1510000}"/>
    <cellStyle name="Normal 2 2 2 5 2 19 3" xfId="20999" xr:uid="{00000000-0005-0000-0000-0000E2510000}"/>
    <cellStyle name="Normal 2 2 2 5 2 19 3 10" xfId="21000" xr:uid="{00000000-0005-0000-0000-0000E3510000}"/>
    <cellStyle name="Normal 2 2 2 5 2 19 3 2" xfId="21001" xr:uid="{00000000-0005-0000-0000-0000E4510000}"/>
    <cellStyle name="Normal 2 2 2 5 2 19 3 3" xfId="21002" xr:uid="{00000000-0005-0000-0000-0000E5510000}"/>
    <cellStyle name="Normal 2 2 2 5 2 19 3 4" xfId="21003" xr:uid="{00000000-0005-0000-0000-0000E6510000}"/>
    <cellStyle name="Normal 2 2 2 5 2 19 3 5" xfId="21004" xr:uid="{00000000-0005-0000-0000-0000E7510000}"/>
    <cellStyle name="Normal 2 2 2 5 2 19 3 6" xfId="21005" xr:uid="{00000000-0005-0000-0000-0000E8510000}"/>
    <cellStyle name="Normal 2 2 2 5 2 19 3 7" xfId="21006" xr:uid="{00000000-0005-0000-0000-0000E9510000}"/>
    <cellStyle name="Normal 2 2 2 5 2 19 3 8" xfId="21007" xr:uid="{00000000-0005-0000-0000-0000EA510000}"/>
    <cellStyle name="Normal 2 2 2 5 2 19 3 9" xfId="21008" xr:uid="{00000000-0005-0000-0000-0000EB510000}"/>
    <cellStyle name="Normal 2 2 2 5 2 19 4" xfId="21009" xr:uid="{00000000-0005-0000-0000-0000EC510000}"/>
    <cellStyle name="Normal 2 2 2 5 2 19 4 10" xfId="21010" xr:uid="{00000000-0005-0000-0000-0000ED510000}"/>
    <cellStyle name="Normal 2 2 2 5 2 19 4 2" xfId="21011" xr:uid="{00000000-0005-0000-0000-0000EE510000}"/>
    <cellStyle name="Normal 2 2 2 5 2 19 4 3" xfId="21012" xr:uid="{00000000-0005-0000-0000-0000EF510000}"/>
    <cellStyle name="Normal 2 2 2 5 2 19 4 4" xfId="21013" xr:uid="{00000000-0005-0000-0000-0000F0510000}"/>
    <cellStyle name="Normal 2 2 2 5 2 19 4 5" xfId="21014" xr:uid="{00000000-0005-0000-0000-0000F1510000}"/>
    <cellStyle name="Normal 2 2 2 5 2 19 4 6" xfId="21015" xr:uid="{00000000-0005-0000-0000-0000F2510000}"/>
    <cellStyle name="Normal 2 2 2 5 2 19 4 7" xfId="21016" xr:uid="{00000000-0005-0000-0000-0000F3510000}"/>
    <cellStyle name="Normal 2 2 2 5 2 19 4 8" xfId="21017" xr:uid="{00000000-0005-0000-0000-0000F4510000}"/>
    <cellStyle name="Normal 2 2 2 5 2 19 4 9" xfId="21018" xr:uid="{00000000-0005-0000-0000-0000F5510000}"/>
    <cellStyle name="Normal 2 2 2 5 2 19 5" xfId="21019" xr:uid="{00000000-0005-0000-0000-0000F6510000}"/>
    <cellStyle name="Normal 2 2 2 5 2 19 5 10" xfId="21020" xr:uid="{00000000-0005-0000-0000-0000F7510000}"/>
    <cellStyle name="Normal 2 2 2 5 2 19 5 2" xfId="21021" xr:uid="{00000000-0005-0000-0000-0000F8510000}"/>
    <cellStyle name="Normal 2 2 2 5 2 19 5 3" xfId="21022" xr:uid="{00000000-0005-0000-0000-0000F9510000}"/>
    <cellStyle name="Normal 2 2 2 5 2 19 5 4" xfId="21023" xr:uid="{00000000-0005-0000-0000-0000FA510000}"/>
    <cellStyle name="Normal 2 2 2 5 2 19 5 5" xfId="21024" xr:uid="{00000000-0005-0000-0000-0000FB510000}"/>
    <cellStyle name="Normal 2 2 2 5 2 19 5 6" xfId="21025" xr:uid="{00000000-0005-0000-0000-0000FC510000}"/>
    <cellStyle name="Normal 2 2 2 5 2 19 5 7" xfId="21026" xr:uid="{00000000-0005-0000-0000-0000FD510000}"/>
    <cellStyle name="Normal 2 2 2 5 2 19 5 8" xfId="21027" xr:uid="{00000000-0005-0000-0000-0000FE510000}"/>
    <cellStyle name="Normal 2 2 2 5 2 19 5 9" xfId="21028" xr:uid="{00000000-0005-0000-0000-0000FF510000}"/>
    <cellStyle name="Normal 2 2 2 5 2 19 6" xfId="21029" xr:uid="{00000000-0005-0000-0000-000000520000}"/>
    <cellStyle name="Normal 2 2 2 5 2 19 7" xfId="21030" xr:uid="{00000000-0005-0000-0000-000001520000}"/>
    <cellStyle name="Normal 2 2 2 5 2 19 8" xfId="21031" xr:uid="{00000000-0005-0000-0000-000002520000}"/>
    <cellStyle name="Normal 2 2 2 5 2 19 9" xfId="21032" xr:uid="{00000000-0005-0000-0000-000003520000}"/>
    <cellStyle name="Normal 2 2 2 5 2 2" xfId="21033" xr:uid="{00000000-0005-0000-0000-000004520000}"/>
    <cellStyle name="Normal 2 2 2 5 2 2 10" xfId="21034" xr:uid="{00000000-0005-0000-0000-000005520000}"/>
    <cellStyle name="Normal 2 2 2 5 2 2 11" xfId="21035" xr:uid="{00000000-0005-0000-0000-000006520000}"/>
    <cellStyle name="Normal 2 2 2 5 2 2 12" xfId="21036" xr:uid="{00000000-0005-0000-0000-000007520000}"/>
    <cellStyle name="Normal 2 2 2 5 2 2 13" xfId="21037" xr:uid="{00000000-0005-0000-0000-000008520000}"/>
    <cellStyle name="Normal 2 2 2 5 2 2 14" xfId="21038" xr:uid="{00000000-0005-0000-0000-000009520000}"/>
    <cellStyle name="Normal 2 2 2 5 2 2 2" xfId="21039" xr:uid="{00000000-0005-0000-0000-00000A520000}"/>
    <cellStyle name="Normal 2 2 2 5 2 2 2 10" xfId="21040" xr:uid="{00000000-0005-0000-0000-00000B520000}"/>
    <cellStyle name="Normal 2 2 2 5 2 2 2 2" xfId="21041" xr:uid="{00000000-0005-0000-0000-00000C520000}"/>
    <cellStyle name="Normal 2 2 2 5 2 2 2 3" xfId="21042" xr:uid="{00000000-0005-0000-0000-00000D520000}"/>
    <cellStyle name="Normal 2 2 2 5 2 2 2 4" xfId="21043" xr:uid="{00000000-0005-0000-0000-00000E520000}"/>
    <cellStyle name="Normal 2 2 2 5 2 2 2 5" xfId="21044" xr:uid="{00000000-0005-0000-0000-00000F520000}"/>
    <cellStyle name="Normal 2 2 2 5 2 2 2 6" xfId="21045" xr:uid="{00000000-0005-0000-0000-000010520000}"/>
    <cellStyle name="Normal 2 2 2 5 2 2 2 7" xfId="21046" xr:uid="{00000000-0005-0000-0000-000011520000}"/>
    <cellStyle name="Normal 2 2 2 5 2 2 2 8" xfId="21047" xr:uid="{00000000-0005-0000-0000-000012520000}"/>
    <cellStyle name="Normal 2 2 2 5 2 2 2 9" xfId="21048" xr:uid="{00000000-0005-0000-0000-000013520000}"/>
    <cellStyle name="Normal 2 2 2 5 2 2 3" xfId="21049" xr:uid="{00000000-0005-0000-0000-000014520000}"/>
    <cellStyle name="Normal 2 2 2 5 2 2 3 10" xfId="21050" xr:uid="{00000000-0005-0000-0000-000015520000}"/>
    <cellStyle name="Normal 2 2 2 5 2 2 3 2" xfId="21051" xr:uid="{00000000-0005-0000-0000-000016520000}"/>
    <cellStyle name="Normal 2 2 2 5 2 2 3 3" xfId="21052" xr:uid="{00000000-0005-0000-0000-000017520000}"/>
    <cellStyle name="Normal 2 2 2 5 2 2 3 4" xfId="21053" xr:uid="{00000000-0005-0000-0000-000018520000}"/>
    <cellStyle name="Normal 2 2 2 5 2 2 3 5" xfId="21054" xr:uid="{00000000-0005-0000-0000-000019520000}"/>
    <cellStyle name="Normal 2 2 2 5 2 2 3 6" xfId="21055" xr:uid="{00000000-0005-0000-0000-00001A520000}"/>
    <cellStyle name="Normal 2 2 2 5 2 2 3 7" xfId="21056" xr:uid="{00000000-0005-0000-0000-00001B520000}"/>
    <cellStyle name="Normal 2 2 2 5 2 2 3 8" xfId="21057" xr:uid="{00000000-0005-0000-0000-00001C520000}"/>
    <cellStyle name="Normal 2 2 2 5 2 2 3 9" xfId="21058" xr:uid="{00000000-0005-0000-0000-00001D520000}"/>
    <cellStyle name="Normal 2 2 2 5 2 2 4" xfId="21059" xr:uid="{00000000-0005-0000-0000-00001E520000}"/>
    <cellStyle name="Normal 2 2 2 5 2 2 4 10" xfId="21060" xr:uid="{00000000-0005-0000-0000-00001F520000}"/>
    <cellStyle name="Normal 2 2 2 5 2 2 4 2" xfId="21061" xr:uid="{00000000-0005-0000-0000-000020520000}"/>
    <cellStyle name="Normal 2 2 2 5 2 2 4 3" xfId="21062" xr:uid="{00000000-0005-0000-0000-000021520000}"/>
    <cellStyle name="Normal 2 2 2 5 2 2 4 4" xfId="21063" xr:uid="{00000000-0005-0000-0000-000022520000}"/>
    <cellStyle name="Normal 2 2 2 5 2 2 4 5" xfId="21064" xr:uid="{00000000-0005-0000-0000-000023520000}"/>
    <cellStyle name="Normal 2 2 2 5 2 2 4 6" xfId="21065" xr:uid="{00000000-0005-0000-0000-000024520000}"/>
    <cellStyle name="Normal 2 2 2 5 2 2 4 7" xfId="21066" xr:uid="{00000000-0005-0000-0000-000025520000}"/>
    <cellStyle name="Normal 2 2 2 5 2 2 4 8" xfId="21067" xr:uid="{00000000-0005-0000-0000-000026520000}"/>
    <cellStyle name="Normal 2 2 2 5 2 2 4 9" xfId="21068" xr:uid="{00000000-0005-0000-0000-000027520000}"/>
    <cellStyle name="Normal 2 2 2 5 2 2 5" xfId="21069" xr:uid="{00000000-0005-0000-0000-000028520000}"/>
    <cellStyle name="Normal 2 2 2 5 2 2 5 10" xfId="21070" xr:uid="{00000000-0005-0000-0000-000029520000}"/>
    <cellStyle name="Normal 2 2 2 5 2 2 5 2" xfId="21071" xr:uid="{00000000-0005-0000-0000-00002A520000}"/>
    <cellStyle name="Normal 2 2 2 5 2 2 5 3" xfId="21072" xr:uid="{00000000-0005-0000-0000-00002B520000}"/>
    <cellStyle name="Normal 2 2 2 5 2 2 5 4" xfId="21073" xr:uid="{00000000-0005-0000-0000-00002C520000}"/>
    <cellStyle name="Normal 2 2 2 5 2 2 5 5" xfId="21074" xr:uid="{00000000-0005-0000-0000-00002D520000}"/>
    <cellStyle name="Normal 2 2 2 5 2 2 5 6" xfId="21075" xr:uid="{00000000-0005-0000-0000-00002E520000}"/>
    <cellStyle name="Normal 2 2 2 5 2 2 5 7" xfId="21076" xr:uid="{00000000-0005-0000-0000-00002F520000}"/>
    <cellStyle name="Normal 2 2 2 5 2 2 5 8" xfId="21077" xr:uid="{00000000-0005-0000-0000-000030520000}"/>
    <cellStyle name="Normal 2 2 2 5 2 2 5 9" xfId="21078" xr:uid="{00000000-0005-0000-0000-000031520000}"/>
    <cellStyle name="Normal 2 2 2 5 2 2 6" xfId="21079" xr:uid="{00000000-0005-0000-0000-000032520000}"/>
    <cellStyle name="Normal 2 2 2 5 2 2 7" xfId="21080" xr:uid="{00000000-0005-0000-0000-000033520000}"/>
    <cellStyle name="Normal 2 2 2 5 2 2 8" xfId="21081" xr:uid="{00000000-0005-0000-0000-000034520000}"/>
    <cellStyle name="Normal 2 2 2 5 2 2 9" xfId="21082" xr:uid="{00000000-0005-0000-0000-000035520000}"/>
    <cellStyle name="Normal 2 2 2 5 2 20" xfId="21083" xr:uid="{00000000-0005-0000-0000-000036520000}"/>
    <cellStyle name="Normal 2 2 2 5 2 20 10" xfId="21084" xr:uid="{00000000-0005-0000-0000-000037520000}"/>
    <cellStyle name="Normal 2 2 2 5 2 20 11" xfId="21085" xr:uid="{00000000-0005-0000-0000-000038520000}"/>
    <cellStyle name="Normal 2 2 2 5 2 20 12" xfId="21086" xr:uid="{00000000-0005-0000-0000-000039520000}"/>
    <cellStyle name="Normal 2 2 2 5 2 20 13" xfId="21087" xr:uid="{00000000-0005-0000-0000-00003A520000}"/>
    <cellStyle name="Normal 2 2 2 5 2 20 14" xfId="21088" xr:uid="{00000000-0005-0000-0000-00003B520000}"/>
    <cellStyle name="Normal 2 2 2 5 2 20 2" xfId="21089" xr:uid="{00000000-0005-0000-0000-00003C520000}"/>
    <cellStyle name="Normal 2 2 2 5 2 20 2 10" xfId="21090" xr:uid="{00000000-0005-0000-0000-00003D520000}"/>
    <cellStyle name="Normal 2 2 2 5 2 20 2 2" xfId="21091" xr:uid="{00000000-0005-0000-0000-00003E520000}"/>
    <cellStyle name="Normal 2 2 2 5 2 20 2 3" xfId="21092" xr:uid="{00000000-0005-0000-0000-00003F520000}"/>
    <cellStyle name="Normal 2 2 2 5 2 20 2 4" xfId="21093" xr:uid="{00000000-0005-0000-0000-000040520000}"/>
    <cellStyle name="Normal 2 2 2 5 2 20 2 5" xfId="21094" xr:uid="{00000000-0005-0000-0000-000041520000}"/>
    <cellStyle name="Normal 2 2 2 5 2 20 2 6" xfId="21095" xr:uid="{00000000-0005-0000-0000-000042520000}"/>
    <cellStyle name="Normal 2 2 2 5 2 20 2 7" xfId="21096" xr:uid="{00000000-0005-0000-0000-000043520000}"/>
    <cellStyle name="Normal 2 2 2 5 2 20 2 8" xfId="21097" xr:uid="{00000000-0005-0000-0000-000044520000}"/>
    <cellStyle name="Normal 2 2 2 5 2 20 2 9" xfId="21098" xr:uid="{00000000-0005-0000-0000-000045520000}"/>
    <cellStyle name="Normal 2 2 2 5 2 20 3" xfId="21099" xr:uid="{00000000-0005-0000-0000-000046520000}"/>
    <cellStyle name="Normal 2 2 2 5 2 20 3 10" xfId="21100" xr:uid="{00000000-0005-0000-0000-000047520000}"/>
    <cellStyle name="Normal 2 2 2 5 2 20 3 2" xfId="21101" xr:uid="{00000000-0005-0000-0000-000048520000}"/>
    <cellStyle name="Normal 2 2 2 5 2 20 3 3" xfId="21102" xr:uid="{00000000-0005-0000-0000-000049520000}"/>
    <cellStyle name="Normal 2 2 2 5 2 20 3 4" xfId="21103" xr:uid="{00000000-0005-0000-0000-00004A520000}"/>
    <cellStyle name="Normal 2 2 2 5 2 20 3 5" xfId="21104" xr:uid="{00000000-0005-0000-0000-00004B520000}"/>
    <cellStyle name="Normal 2 2 2 5 2 20 3 6" xfId="21105" xr:uid="{00000000-0005-0000-0000-00004C520000}"/>
    <cellStyle name="Normal 2 2 2 5 2 20 3 7" xfId="21106" xr:uid="{00000000-0005-0000-0000-00004D520000}"/>
    <cellStyle name="Normal 2 2 2 5 2 20 3 8" xfId="21107" xr:uid="{00000000-0005-0000-0000-00004E520000}"/>
    <cellStyle name="Normal 2 2 2 5 2 20 3 9" xfId="21108" xr:uid="{00000000-0005-0000-0000-00004F520000}"/>
    <cellStyle name="Normal 2 2 2 5 2 20 4" xfId="21109" xr:uid="{00000000-0005-0000-0000-000050520000}"/>
    <cellStyle name="Normal 2 2 2 5 2 20 4 10" xfId="21110" xr:uid="{00000000-0005-0000-0000-000051520000}"/>
    <cellStyle name="Normal 2 2 2 5 2 20 4 2" xfId="21111" xr:uid="{00000000-0005-0000-0000-000052520000}"/>
    <cellStyle name="Normal 2 2 2 5 2 20 4 3" xfId="21112" xr:uid="{00000000-0005-0000-0000-000053520000}"/>
    <cellStyle name="Normal 2 2 2 5 2 20 4 4" xfId="21113" xr:uid="{00000000-0005-0000-0000-000054520000}"/>
    <cellStyle name="Normal 2 2 2 5 2 20 4 5" xfId="21114" xr:uid="{00000000-0005-0000-0000-000055520000}"/>
    <cellStyle name="Normal 2 2 2 5 2 20 4 6" xfId="21115" xr:uid="{00000000-0005-0000-0000-000056520000}"/>
    <cellStyle name="Normal 2 2 2 5 2 20 4 7" xfId="21116" xr:uid="{00000000-0005-0000-0000-000057520000}"/>
    <cellStyle name="Normal 2 2 2 5 2 20 4 8" xfId="21117" xr:uid="{00000000-0005-0000-0000-000058520000}"/>
    <cellStyle name="Normal 2 2 2 5 2 20 4 9" xfId="21118" xr:uid="{00000000-0005-0000-0000-000059520000}"/>
    <cellStyle name="Normal 2 2 2 5 2 20 5" xfId="21119" xr:uid="{00000000-0005-0000-0000-00005A520000}"/>
    <cellStyle name="Normal 2 2 2 5 2 20 5 10" xfId="21120" xr:uid="{00000000-0005-0000-0000-00005B520000}"/>
    <cellStyle name="Normal 2 2 2 5 2 20 5 2" xfId="21121" xr:uid="{00000000-0005-0000-0000-00005C520000}"/>
    <cellStyle name="Normal 2 2 2 5 2 20 5 3" xfId="21122" xr:uid="{00000000-0005-0000-0000-00005D520000}"/>
    <cellStyle name="Normal 2 2 2 5 2 20 5 4" xfId="21123" xr:uid="{00000000-0005-0000-0000-00005E520000}"/>
    <cellStyle name="Normal 2 2 2 5 2 20 5 5" xfId="21124" xr:uid="{00000000-0005-0000-0000-00005F520000}"/>
    <cellStyle name="Normal 2 2 2 5 2 20 5 6" xfId="21125" xr:uid="{00000000-0005-0000-0000-000060520000}"/>
    <cellStyle name="Normal 2 2 2 5 2 20 5 7" xfId="21126" xr:uid="{00000000-0005-0000-0000-000061520000}"/>
    <cellStyle name="Normal 2 2 2 5 2 20 5 8" xfId="21127" xr:uid="{00000000-0005-0000-0000-000062520000}"/>
    <cellStyle name="Normal 2 2 2 5 2 20 5 9" xfId="21128" xr:uid="{00000000-0005-0000-0000-000063520000}"/>
    <cellStyle name="Normal 2 2 2 5 2 20 6" xfId="21129" xr:uid="{00000000-0005-0000-0000-000064520000}"/>
    <cellStyle name="Normal 2 2 2 5 2 20 7" xfId="21130" xr:uid="{00000000-0005-0000-0000-000065520000}"/>
    <cellStyle name="Normal 2 2 2 5 2 20 8" xfId="21131" xr:uid="{00000000-0005-0000-0000-000066520000}"/>
    <cellStyle name="Normal 2 2 2 5 2 20 9" xfId="21132" xr:uid="{00000000-0005-0000-0000-000067520000}"/>
    <cellStyle name="Normal 2 2 2 5 2 21" xfId="21133" xr:uid="{00000000-0005-0000-0000-000068520000}"/>
    <cellStyle name="Normal 2 2 2 5 2 22" xfId="21134" xr:uid="{00000000-0005-0000-0000-000069520000}"/>
    <cellStyle name="Normal 2 2 2 5 2 3" xfId="21135" xr:uid="{00000000-0005-0000-0000-00006A520000}"/>
    <cellStyle name="Normal 2 2 2 5 2 3 10" xfId="21136" xr:uid="{00000000-0005-0000-0000-00006B520000}"/>
    <cellStyle name="Normal 2 2 2 5 2 3 11" xfId="21137" xr:uid="{00000000-0005-0000-0000-00006C520000}"/>
    <cellStyle name="Normal 2 2 2 5 2 3 12" xfId="21138" xr:uid="{00000000-0005-0000-0000-00006D520000}"/>
    <cellStyle name="Normal 2 2 2 5 2 3 13" xfId="21139" xr:uid="{00000000-0005-0000-0000-00006E520000}"/>
    <cellStyle name="Normal 2 2 2 5 2 3 14" xfId="21140" xr:uid="{00000000-0005-0000-0000-00006F520000}"/>
    <cellStyle name="Normal 2 2 2 5 2 3 2" xfId="21141" xr:uid="{00000000-0005-0000-0000-000070520000}"/>
    <cellStyle name="Normal 2 2 2 5 2 3 2 10" xfId="21142" xr:uid="{00000000-0005-0000-0000-000071520000}"/>
    <cellStyle name="Normal 2 2 2 5 2 3 2 2" xfId="21143" xr:uid="{00000000-0005-0000-0000-000072520000}"/>
    <cellStyle name="Normal 2 2 2 5 2 3 2 3" xfId="21144" xr:uid="{00000000-0005-0000-0000-000073520000}"/>
    <cellStyle name="Normal 2 2 2 5 2 3 2 4" xfId="21145" xr:uid="{00000000-0005-0000-0000-000074520000}"/>
    <cellStyle name="Normal 2 2 2 5 2 3 2 5" xfId="21146" xr:uid="{00000000-0005-0000-0000-000075520000}"/>
    <cellStyle name="Normal 2 2 2 5 2 3 2 6" xfId="21147" xr:uid="{00000000-0005-0000-0000-000076520000}"/>
    <cellStyle name="Normal 2 2 2 5 2 3 2 7" xfId="21148" xr:uid="{00000000-0005-0000-0000-000077520000}"/>
    <cellStyle name="Normal 2 2 2 5 2 3 2 8" xfId="21149" xr:uid="{00000000-0005-0000-0000-000078520000}"/>
    <cellStyle name="Normal 2 2 2 5 2 3 2 9" xfId="21150" xr:uid="{00000000-0005-0000-0000-000079520000}"/>
    <cellStyle name="Normal 2 2 2 5 2 3 3" xfId="21151" xr:uid="{00000000-0005-0000-0000-00007A520000}"/>
    <cellStyle name="Normal 2 2 2 5 2 3 3 10" xfId="21152" xr:uid="{00000000-0005-0000-0000-00007B520000}"/>
    <cellStyle name="Normal 2 2 2 5 2 3 3 2" xfId="21153" xr:uid="{00000000-0005-0000-0000-00007C520000}"/>
    <cellStyle name="Normal 2 2 2 5 2 3 3 3" xfId="21154" xr:uid="{00000000-0005-0000-0000-00007D520000}"/>
    <cellStyle name="Normal 2 2 2 5 2 3 3 4" xfId="21155" xr:uid="{00000000-0005-0000-0000-00007E520000}"/>
    <cellStyle name="Normal 2 2 2 5 2 3 3 5" xfId="21156" xr:uid="{00000000-0005-0000-0000-00007F520000}"/>
    <cellStyle name="Normal 2 2 2 5 2 3 3 6" xfId="21157" xr:uid="{00000000-0005-0000-0000-000080520000}"/>
    <cellStyle name="Normal 2 2 2 5 2 3 3 7" xfId="21158" xr:uid="{00000000-0005-0000-0000-000081520000}"/>
    <cellStyle name="Normal 2 2 2 5 2 3 3 8" xfId="21159" xr:uid="{00000000-0005-0000-0000-000082520000}"/>
    <cellStyle name="Normal 2 2 2 5 2 3 3 9" xfId="21160" xr:uid="{00000000-0005-0000-0000-000083520000}"/>
    <cellStyle name="Normal 2 2 2 5 2 3 4" xfId="21161" xr:uid="{00000000-0005-0000-0000-000084520000}"/>
    <cellStyle name="Normal 2 2 2 5 2 3 4 10" xfId="21162" xr:uid="{00000000-0005-0000-0000-000085520000}"/>
    <cellStyle name="Normal 2 2 2 5 2 3 4 2" xfId="21163" xr:uid="{00000000-0005-0000-0000-000086520000}"/>
    <cellStyle name="Normal 2 2 2 5 2 3 4 3" xfId="21164" xr:uid="{00000000-0005-0000-0000-000087520000}"/>
    <cellStyle name="Normal 2 2 2 5 2 3 4 4" xfId="21165" xr:uid="{00000000-0005-0000-0000-000088520000}"/>
    <cellStyle name="Normal 2 2 2 5 2 3 4 5" xfId="21166" xr:uid="{00000000-0005-0000-0000-000089520000}"/>
    <cellStyle name="Normal 2 2 2 5 2 3 4 6" xfId="21167" xr:uid="{00000000-0005-0000-0000-00008A520000}"/>
    <cellStyle name="Normal 2 2 2 5 2 3 4 7" xfId="21168" xr:uid="{00000000-0005-0000-0000-00008B520000}"/>
    <cellStyle name="Normal 2 2 2 5 2 3 4 8" xfId="21169" xr:uid="{00000000-0005-0000-0000-00008C520000}"/>
    <cellStyle name="Normal 2 2 2 5 2 3 4 9" xfId="21170" xr:uid="{00000000-0005-0000-0000-00008D520000}"/>
    <cellStyle name="Normal 2 2 2 5 2 3 5" xfId="21171" xr:uid="{00000000-0005-0000-0000-00008E520000}"/>
    <cellStyle name="Normal 2 2 2 5 2 3 5 10" xfId="21172" xr:uid="{00000000-0005-0000-0000-00008F520000}"/>
    <cellStyle name="Normal 2 2 2 5 2 3 5 2" xfId="21173" xr:uid="{00000000-0005-0000-0000-000090520000}"/>
    <cellStyle name="Normal 2 2 2 5 2 3 5 3" xfId="21174" xr:uid="{00000000-0005-0000-0000-000091520000}"/>
    <cellStyle name="Normal 2 2 2 5 2 3 5 4" xfId="21175" xr:uid="{00000000-0005-0000-0000-000092520000}"/>
    <cellStyle name="Normal 2 2 2 5 2 3 5 5" xfId="21176" xr:uid="{00000000-0005-0000-0000-000093520000}"/>
    <cellStyle name="Normal 2 2 2 5 2 3 5 6" xfId="21177" xr:uid="{00000000-0005-0000-0000-000094520000}"/>
    <cellStyle name="Normal 2 2 2 5 2 3 5 7" xfId="21178" xr:uid="{00000000-0005-0000-0000-000095520000}"/>
    <cellStyle name="Normal 2 2 2 5 2 3 5 8" xfId="21179" xr:uid="{00000000-0005-0000-0000-000096520000}"/>
    <cellStyle name="Normal 2 2 2 5 2 3 5 9" xfId="21180" xr:uid="{00000000-0005-0000-0000-000097520000}"/>
    <cellStyle name="Normal 2 2 2 5 2 3 6" xfId="21181" xr:uid="{00000000-0005-0000-0000-000098520000}"/>
    <cellStyle name="Normal 2 2 2 5 2 3 7" xfId="21182" xr:uid="{00000000-0005-0000-0000-000099520000}"/>
    <cellStyle name="Normal 2 2 2 5 2 3 8" xfId="21183" xr:uid="{00000000-0005-0000-0000-00009A520000}"/>
    <cellStyle name="Normal 2 2 2 5 2 3 9" xfId="21184" xr:uid="{00000000-0005-0000-0000-00009B520000}"/>
    <cellStyle name="Normal 2 2 2 5 2 4" xfId="21185" xr:uid="{00000000-0005-0000-0000-00009C520000}"/>
    <cellStyle name="Normal 2 2 2 5 2 4 10" xfId="21186" xr:uid="{00000000-0005-0000-0000-00009D520000}"/>
    <cellStyle name="Normal 2 2 2 5 2 4 11" xfId="21187" xr:uid="{00000000-0005-0000-0000-00009E520000}"/>
    <cellStyle name="Normal 2 2 2 5 2 4 12" xfId="21188" xr:uid="{00000000-0005-0000-0000-00009F520000}"/>
    <cellStyle name="Normal 2 2 2 5 2 4 13" xfId="21189" xr:uid="{00000000-0005-0000-0000-0000A0520000}"/>
    <cellStyle name="Normal 2 2 2 5 2 4 14" xfId="21190" xr:uid="{00000000-0005-0000-0000-0000A1520000}"/>
    <cellStyle name="Normal 2 2 2 5 2 4 2" xfId="21191" xr:uid="{00000000-0005-0000-0000-0000A2520000}"/>
    <cellStyle name="Normal 2 2 2 5 2 4 2 10" xfId="21192" xr:uid="{00000000-0005-0000-0000-0000A3520000}"/>
    <cellStyle name="Normal 2 2 2 5 2 4 2 2" xfId="21193" xr:uid="{00000000-0005-0000-0000-0000A4520000}"/>
    <cellStyle name="Normal 2 2 2 5 2 4 2 3" xfId="21194" xr:uid="{00000000-0005-0000-0000-0000A5520000}"/>
    <cellStyle name="Normal 2 2 2 5 2 4 2 4" xfId="21195" xr:uid="{00000000-0005-0000-0000-0000A6520000}"/>
    <cellStyle name="Normal 2 2 2 5 2 4 2 5" xfId="21196" xr:uid="{00000000-0005-0000-0000-0000A7520000}"/>
    <cellStyle name="Normal 2 2 2 5 2 4 2 6" xfId="21197" xr:uid="{00000000-0005-0000-0000-0000A8520000}"/>
    <cellStyle name="Normal 2 2 2 5 2 4 2 7" xfId="21198" xr:uid="{00000000-0005-0000-0000-0000A9520000}"/>
    <cellStyle name="Normal 2 2 2 5 2 4 2 8" xfId="21199" xr:uid="{00000000-0005-0000-0000-0000AA520000}"/>
    <cellStyle name="Normal 2 2 2 5 2 4 2 9" xfId="21200" xr:uid="{00000000-0005-0000-0000-0000AB520000}"/>
    <cellStyle name="Normal 2 2 2 5 2 4 3" xfId="21201" xr:uid="{00000000-0005-0000-0000-0000AC520000}"/>
    <cellStyle name="Normal 2 2 2 5 2 4 3 10" xfId="21202" xr:uid="{00000000-0005-0000-0000-0000AD520000}"/>
    <cellStyle name="Normal 2 2 2 5 2 4 3 2" xfId="21203" xr:uid="{00000000-0005-0000-0000-0000AE520000}"/>
    <cellStyle name="Normal 2 2 2 5 2 4 3 3" xfId="21204" xr:uid="{00000000-0005-0000-0000-0000AF520000}"/>
    <cellStyle name="Normal 2 2 2 5 2 4 3 4" xfId="21205" xr:uid="{00000000-0005-0000-0000-0000B0520000}"/>
    <cellStyle name="Normal 2 2 2 5 2 4 3 5" xfId="21206" xr:uid="{00000000-0005-0000-0000-0000B1520000}"/>
    <cellStyle name="Normal 2 2 2 5 2 4 3 6" xfId="21207" xr:uid="{00000000-0005-0000-0000-0000B2520000}"/>
    <cellStyle name="Normal 2 2 2 5 2 4 3 7" xfId="21208" xr:uid="{00000000-0005-0000-0000-0000B3520000}"/>
    <cellStyle name="Normal 2 2 2 5 2 4 3 8" xfId="21209" xr:uid="{00000000-0005-0000-0000-0000B4520000}"/>
    <cellStyle name="Normal 2 2 2 5 2 4 3 9" xfId="21210" xr:uid="{00000000-0005-0000-0000-0000B5520000}"/>
    <cellStyle name="Normal 2 2 2 5 2 4 4" xfId="21211" xr:uid="{00000000-0005-0000-0000-0000B6520000}"/>
    <cellStyle name="Normal 2 2 2 5 2 4 4 10" xfId="21212" xr:uid="{00000000-0005-0000-0000-0000B7520000}"/>
    <cellStyle name="Normal 2 2 2 5 2 4 4 2" xfId="21213" xr:uid="{00000000-0005-0000-0000-0000B8520000}"/>
    <cellStyle name="Normal 2 2 2 5 2 4 4 3" xfId="21214" xr:uid="{00000000-0005-0000-0000-0000B9520000}"/>
    <cellStyle name="Normal 2 2 2 5 2 4 4 4" xfId="21215" xr:uid="{00000000-0005-0000-0000-0000BA520000}"/>
    <cellStyle name="Normal 2 2 2 5 2 4 4 5" xfId="21216" xr:uid="{00000000-0005-0000-0000-0000BB520000}"/>
    <cellStyle name="Normal 2 2 2 5 2 4 4 6" xfId="21217" xr:uid="{00000000-0005-0000-0000-0000BC520000}"/>
    <cellStyle name="Normal 2 2 2 5 2 4 4 7" xfId="21218" xr:uid="{00000000-0005-0000-0000-0000BD520000}"/>
    <cellStyle name="Normal 2 2 2 5 2 4 4 8" xfId="21219" xr:uid="{00000000-0005-0000-0000-0000BE520000}"/>
    <cellStyle name="Normal 2 2 2 5 2 4 4 9" xfId="21220" xr:uid="{00000000-0005-0000-0000-0000BF520000}"/>
    <cellStyle name="Normal 2 2 2 5 2 4 5" xfId="21221" xr:uid="{00000000-0005-0000-0000-0000C0520000}"/>
    <cellStyle name="Normal 2 2 2 5 2 4 5 10" xfId="21222" xr:uid="{00000000-0005-0000-0000-0000C1520000}"/>
    <cellStyle name="Normal 2 2 2 5 2 4 5 2" xfId="21223" xr:uid="{00000000-0005-0000-0000-0000C2520000}"/>
    <cellStyle name="Normal 2 2 2 5 2 4 5 3" xfId="21224" xr:uid="{00000000-0005-0000-0000-0000C3520000}"/>
    <cellStyle name="Normal 2 2 2 5 2 4 5 4" xfId="21225" xr:uid="{00000000-0005-0000-0000-0000C4520000}"/>
    <cellStyle name="Normal 2 2 2 5 2 4 5 5" xfId="21226" xr:uid="{00000000-0005-0000-0000-0000C5520000}"/>
    <cellStyle name="Normal 2 2 2 5 2 4 5 6" xfId="21227" xr:uid="{00000000-0005-0000-0000-0000C6520000}"/>
    <cellStyle name="Normal 2 2 2 5 2 4 5 7" xfId="21228" xr:uid="{00000000-0005-0000-0000-0000C7520000}"/>
    <cellStyle name="Normal 2 2 2 5 2 4 5 8" xfId="21229" xr:uid="{00000000-0005-0000-0000-0000C8520000}"/>
    <cellStyle name="Normal 2 2 2 5 2 4 5 9" xfId="21230" xr:uid="{00000000-0005-0000-0000-0000C9520000}"/>
    <cellStyle name="Normal 2 2 2 5 2 4 6" xfId="21231" xr:uid="{00000000-0005-0000-0000-0000CA520000}"/>
    <cellStyle name="Normal 2 2 2 5 2 4 7" xfId="21232" xr:uid="{00000000-0005-0000-0000-0000CB520000}"/>
    <cellStyle name="Normal 2 2 2 5 2 4 8" xfId="21233" xr:uid="{00000000-0005-0000-0000-0000CC520000}"/>
    <cellStyle name="Normal 2 2 2 5 2 4 9" xfId="21234" xr:uid="{00000000-0005-0000-0000-0000CD520000}"/>
    <cellStyle name="Normal 2 2 2 5 2 5" xfId="21235" xr:uid="{00000000-0005-0000-0000-0000CE520000}"/>
    <cellStyle name="Normal 2 2 2 5 2 5 10" xfId="21236" xr:uid="{00000000-0005-0000-0000-0000CF520000}"/>
    <cellStyle name="Normal 2 2 2 5 2 5 11" xfId="21237" xr:uid="{00000000-0005-0000-0000-0000D0520000}"/>
    <cellStyle name="Normal 2 2 2 5 2 5 12" xfId="21238" xr:uid="{00000000-0005-0000-0000-0000D1520000}"/>
    <cellStyle name="Normal 2 2 2 5 2 5 13" xfId="21239" xr:uid="{00000000-0005-0000-0000-0000D2520000}"/>
    <cellStyle name="Normal 2 2 2 5 2 5 14" xfId="21240" xr:uid="{00000000-0005-0000-0000-0000D3520000}"/>
    <cellStyle name="Normal 2 2 2 5 2 5 2" xfId="21241" xr:uid="{00000000-0005-0000-0000-0000D4520000}"/>
    <cellStyle name="Normal 2 2 2 5 2 5 2 10" xfId="21242" xr:uid="{00000000-0005-0000-0000-0000D5520000}"/>
    <cellStyle name="Normal 2 2 2 5 2 5 2 2" xfId="21243" xr:uid="{00000000-0005-0000-0000-0000D6520000}"/>
    <cellStyle name="Normal 2 2 2 5 2 5 2 3" xfId="21244" xr:uid="{00000000-0005-0000-0000-0000D7520000}"/>
    <cellStyle name="Normal 2 2 2 5 2 5 2 4" xfId="21245" xr:uid="{00000000-0005-0000-0000-0000D8520000}"/>
    <cellStyle name="Normal 2 2 2 5 2 5 2 5" xfId="21246" xr:uid="{00000000-0005-0000-0000-0000D9520000}"/>
    <cellStyle name="Normal 2 2 2 5 2 5 2 6" xfId="21247" xr:uid="{00000000-0005-0000-0000-0000DA520000}"/>
    <cellStyle name="Normal 2 2 2 5 2 5 2 7" xfId="21248" xr:uid="{00000000-0005-0000-0000-0000DB520000}"/>
    <cellStyle name="Normal 2 2 2 5 2 5 2 8" xfId="21249" xr:uid="{00000000-0005-0000-0000-0000DC520000}"/>
    <cellStyle name="Normal 2 2 2 5 2 5 2 9" xfId="21250" xr:uid="{00000000-0005-0000-0000-0000DD520000}"/>
    <cellStyle name="Normal 2 2 2 5 2 5 3" xfId="21251" xr:uid="{00000000-0005-0000-0000-0000DE520000}"/>
    <cellStyle name="Normal 2 2 2 5 2 5 3 10" xfId="21252" xr:uid="{00000000-0005-0000-0000-0000DF520000}"/>
    <cellStyle name="Normal 2 2 2 5 2 5 3 2" xfId="21253" xr:uid="{00000000-0005-0000-0000-0000E0520000}"/>
    <cellStyle name="Normal 2 2 2 5 2 5 3 3" xfId="21254" xr:uid="{00000000-0005-0000-0000-0000E1520000}"/>
    <cellStyle name="Normal 2 2 2 5 2 5 3 4" xfId="21255" xr:uid="{00000000-0005-0000-0000-0000E2520000}"/>
    <cellStyle name="Normal 2 2 2 5 2 5 3 5" xfId="21256" xr:uid="{00000000-0005-0000-0000-0000E3520000}"/>
    <cellStyle name="Normal 2 2 2 5 2 5 3 6" xfId="21257" xr:uid="{00000000-0005-0000-0000-0000E4520000}"/>
    <cellStyle name="Normal 2 2 2 5 2 5 3 7" xfId="21258" xr:uid="{00000000-0005-0000-0000-0000E5520000}"/>
    <cellStyle name="Normal 2 2 2 5 2 5 3 8" xfId="21259" xr:uid="{00000000-0005-0000-0000-0000E6520000}"/>
    <cellStyle name="Normal 2 2 2 5 2 5 3 9" xfId="21260" xr:uid="{00000000-0005-0000-0000-0000E7520000}"/>
    <cellStyle name="Normal 2 2 2 5 2 5 4" xfId="21261" xr:uid="{00000000-0005-0000-0000-0000E8520000}"/>
    <cellStyle name="Normal 2 2 2 5 2 5 4 10" xfId="21262" xr:uid="{00000000-0005-0000-0000-0000E9520000}"/>
    <cellStyle name="Normal 2 2 2 5 2 5 4 2" xfId="21263" xr:uid="{00000000-0005-0000-0000-0000EA520000}"/>
    <cellStyle name="Normal 2 2 2 5 2 5 4 3" xfId="21264" xr:uid="{00000000-0005-0000-0000-0000EB520000}"/>
    <cellStyle name="Normal 2 2 2 5 2 5 4 4" xfId="21265" xr:uid="{00000000-0005-0000-0000-0000EC520000}"/>
    <cellStyle name="Normal 2 2 2 5 2 5 4 5" xfId="21266" xr:uid="{00000000-0005-0000-0000-0000ED520000}"/>
    <cellStyle name="Normal 2 2 2 5 2 5 4 6" xfId="21267" xr:uid="{00000000-0005-0000-0000-0000EE520000}"/>
    <cellStyle name="Normal 2 2 2 5 2 5 4 7" xfId="21268" xr:uid="{00000000-0005-0000-0000-0000EF520000}"/>
    <cellStyle name="Normal 2 2 2 5 2 5 4 8" xfId="21269" xr:uid="{00000000-0005-0000-0000-0000F0520000}"/>
    <cellStyle name="Normal 2 2 2 5 2 5 4 9" xfId="21270" xr:uid="{00000000-0005-0000-0000-0000F1520000}"/>
    <cellStyle name="Normal 2 2 2 5 2 5 5" xfId="21271" xr:uid="{00000000-0005-0000-0000-0000F2520000}"/>
    <cellStyle name="Normal 2 2 2 5 2 5 5 10" xfId="21272" xr:uid="{00000000-0005-0000-0000-0000F3520000}"/>
    <cellStyle name="Normal 2 2 2 5 2 5 5 2" xfId="21273" xr:uid="{00000000-0005-0000-0000-0000F4520000}"/>
    <cellStyle name="Normal 2 2 2 5 2 5 5 3" xfId="21274" xr:uid="{00000000-0005-0000-0000-0000F5520000}"/>
    <cellStyle name="Normal 2 2 2 5 2 5 5 4" xfId="21275" xr:uid="{00000000-0005-0000-0000-0000F6520000}"/>
    <cellStyle name="Normal 2 2 2 5 2 5 5 5" xfId="21276" xr:uid="{00000000-0005-0000-0000-0000F7520000}"/>
    <cellStyle name="Normal 2 2 2 5 2 5 5 6" xfId="21277" xr:uid="{00000000-0005-0000-0000-0000F8520000}"/>
    <cellStyle name="Normal 2 2 2 5 2 5 5 7" xfId="21278" xr:uid="{00000000-0005-0000-0000-0000F9520000}"/>
    <cellStyle name="Normal 2 2 2 5 2 5 5 8" xfId="21279" xr:uid="{00000000-0005-0000-0000-0000FA520000}"/>
    <cellStyle name="Normal 2 2 2 5 2 5 5 9" xfId="21280" xr:uid="{00000000-0005-0000-0000-0000FB520000}"/>
    <cellStyle name="Normal 2 2 2 5 2 5 6" xfId="21281" xr:uid="{00000000-0005-0000-0000-0000FC520000}"/>
    <cellStyle name="Normal 2 2 2 5 2 5 7" xfId="21282" xr:uid="{00000000-0005-0000-0000-0000FD520000}"/>
    <cellStyle name="Normal 2 2 2 5 2 5 8" xfId="21283" xr:uid="{00000000-0005-0000-0000-0000FE520000}"/>
    <cellStyle name="Normal 2 2 2 5 2 5 9" xfId="21284" xr:uid="{00000000-0005-0000-0000-0000FF520000}"/>
    <cellStyle name="Normal 2 2 2 5 2 6" xfId="21285" xr:uid="{00000000-0005-0000-0000-000000530000}"/>
    <cellStyle name="Normal 2 2 2 5 2 6 10" xfId="21286" xr:uid="{00000000-0005-0000-0000-000001530000}"/>
    <cellStyle name="Normal 2 2 2 5 2 6 11" xfId="21287" xr:uid="{00000000-0005-0000-0000-000002530000}"/>
    <cellStyle name="Normal 2 2 2 5 2 6 12" xfId="21288" xr:uid="{00000000-0005-0000-0000-000003530000}"/>
    <cellStyle name="Normal 2 2 2 5 2 6 13" xfId="21289" xr:uid="{00000000-0005-0000-0000-000004530000}"/>
    <cellStyle name="Normal 2 2 2 5 2 6 14" xfId="21290" xr:uid="{00000000-0005-0000-0000-000005530000}"/>
    <cellStyle name="Normal 2 2 2 5 2 6 2" xfId="21291" xr:uid="{00000000-0005-0000-0000-000006530000}"/>
    <cellStyle name="Normal 2 2 2 5 2 6 2 10" xfId="21292" xr:uid="{00000000-0005-0000-0000-000007530000}"/>
    <cellStyle name="Normal 2 2 2 5 2 6 2 2" xfId="21293" xr:uid="{00000000-0005-0000-0000-000008530000}"/>
    <cellStyle name="Normal 2 2 2 5 2 6 2 3" xfId="21294" xr:uid="{00000000-0005-0000-0000-000009530000}"/>
    <cellStyle name="Normal 2 2 2 5 2 6 2 4" xfId="21295" xr:uid="{00000000-0005-0000-0000-00000A530000}"/>
    <cellStyle name="Normal 2 2 2 5 2 6 2 5" xfId="21296" xr:uid="{00000000-0005-0000-0000-00000B530000}"/>
    <cellStyle name="Normal 2 2 2 5 2 6 2 6" xfId="21297" xr:uid="{00000000-0005-0000-0000-00000C530000}"/>
    <cellStyle name="Normal 2 2 2 5 2 6 2 7" xfId="21298" xr:uid="{00000000-0005-0000-0000-00000D530000}"/>
    <cellStyle name="Normal 2 2 2 5 2 6 2 8" xfId="21299" xr:uid="{00000000-0005-0000-0000-00000E530000}"/>
    <cellStyle name="Normal 2 2 2 5 2 6 2 9" xfId="21300" xr:uid="{00000000-0005-0000-0000-00000F530000}"/>
    <cellStyle name="Normal 2 2 2 5 2 6 3" xfId="21301" xr:uid="{00000000-0005-0000-0000-000010530000}"/>
    <cellStyle name="Normal 2 2 2 5 2 6 3 10" xfId="21302" xr:uid="{00000000-0005-0000-0000-000011530000}"/>
    <cellStyle name="Normal 2 2 2 5 2 6 3 2" xfId="21303" xr:uid="{00000000-0005-0000-0000-000012530000}"/>
    <cellStyle name="Normal 2 2 2 5 2 6 3 3" xfId="21304" xr:uid="{00000000-0005-0000-0000-000013530000}"/>
    <cellStyle name="Normal 2 2 2 5 2 6 3 4" xfId="21305" xr:uid="{00000000-0005-0000-0000-000014530000}"/>
    <cellStyle name="Normal 2 2 2 5 2 6 3 5" xfId="21306" xr:uid="{00000000-0005-0000-0000-000015530000}"/>
    <cellStyle name="Normal 2 2 2 5 2 6 3 6" xfId="21307" xr:uid="{00000000-0005-0000-0000-000016530000}"/>
    <cellStyle name="Normal 2 2 2 5 2 6 3 7" xfId="21308" xr:uid="{00000000-0005-0000-0000-000017530000}"/>
    <cellStyle name="Normal 2 2 2 5 2 6 3 8" xfId="21309" xr:uid="{00000000-0005-0000-0000-000018530000}"/>
    <cellStyle name="Normal 2 2 2 5 2 6 3 9" xfId="21310" xr:uid="{00000000-0005-0000-0000-000019530000}"/>
    <cellStyle name="Normal 2 2 2 5 2 6 4" xfId="21311" xr:uid="{00000000-0005-0000-0000-00001A530000}"/>
    <cellStyle name="Normal 2 2 2 5 2 6 4 10" xfId="21312" xr:uid="{00000000-0005-0000-0000-00001B530000}"/>
    <cellStyle name="Normal 2 2 2 5 2 6 4 2" xfId="21313" xr:uid="{00000000-0005-0000-0000-00001C530000}"/>
    <cellStyle name="Normal 2 2 2 5 2 6 4 3" xfId="21314" xr:uid="{00000000-0005-0000-0000-00001D530000}"/>
    <cellStyle name="Normal 2 2 2 5 2 6 4 4" xfId="21315" xr:uid="{00000000-0005-0000-0000-00001E530000}"/>
    <cellStyle name="Normal 2 2 2 5 2 6 4 5" xfId="21316" xr:uid="{00000000-0005-0000-0000-00001F530000}"/>
    <cellStyle name="Normal 2 2 2 5 2 6 4 6" xfId="21317" xr:uid="{00000000-0005-0000-0000-000020530000}"/>
    <cellStyle name="Normal 2 2 2 5 2 6 4 7" xfId="21318" xr:uid="{00000000-0005-0000-0000-000021530000}"/>
    <cellStyle name="Normal 2 2 2 5 2 6 4 8" xfId="21319" xr:uid="{00000000-0005-0000-0000-000022530000}"/>
    <cellStyle name="Normal 2 2 2 5 2 6 4 9" xfId="21320" xr:uid="{00000000-0005-0000-0000-000023530000}"/>
    <cellStyle name="Normal 2 2 2 5 2 6 5" xfId="21321" xr:uid="{00000000-0005-0000-0000-000024530000}"/>
    <cellStyle name="Normal 2 2 2 5 2 6 5 10" xfId="21322" xr:uid="{00000000-0005-0000-0000-000025530000}"/>
    <cellStyle name="Normal 2 2 2 5 2 6 5 2" xfId="21323" xr:uid="{00000000-0005-0000-0000-000026530000}"/>
    <cellStyle name="Normal 2 2 2 5 2 6 5 3" xfId="21324" xr:uid="{00000000-0005-0000-0000-000027530000}"/>
    <cellStyle name="Normal 2 2 2 5 2 6 5 4" xfId="21325" xr:uid="{00000000-0005-0000-0000-000028530000}"/>
    <cellStyle name="Normal 2 2 2 5 2 6 5 5" xfId="21326" xr:uid="{00000000-0005-0000-0000-000029530000}"/>
    <cellStyle name="Normal 2 2 2 5 2 6 5 6" xfId="21327" xr:uid="{00000000-0005-0000-0000-00002A530000}"/>
    <cellStyle name="Normal 2 2 2 5 2 6 5 7" xfId="21328" xr:uid="{00000000-0005-0000-0000-00002B530000}"/>
    <cellStyle name="Normal 2 2 2 5 2 6 5 8" xfId="21329" xr:uid="{00000000-0005-0000-0000-00002C530000}"/>
    <cellStyle name="Normal 2 2 2 5 2 6 5 9" xfId="21330" xr:uid="{00000000-0005-0000-0000-00002D530000}"/>
    <cellStyle name="Normal 2 2 2 5 2 6 6" xfId="21331" xr:uid="{00000000-0005-0000-0000-00002E530000}"/>
    <cellStyle name="Normal 2 2 2 5 2 6 7" xfId="21332" xr:uid="{00000000-0005-0000-0000-00002F530000}"/>
    <cellStyle name="Normal 2 2 2 5 2 6 8" xfId="21333" xr:uid="{00000000-0005-0000-0000-000030530000}"/>
    <cellStyle name="Normal 2 2 2 5 2 6 9" xfId="21334" xr:uid="{00000000-0005-0000-0000-000031530000}"/>
    <cellStyle name="Normal 2 2 2 5 2 7" xfId="21335" xr:uid="{00000000-0005-0000-0000-000032530000}"/>
    <cellStyle name="Normal 2 2 2 5 2 7 10" xfId="21336" xr:uid="{00000000-0005-0000-0000-000033530000}"/>
    <cellStyle name="Normal 2 2 2 5 2 7 11" xfId="21337" xr:uid="{00000000-0005-0000-0000-000034530000}"/>
    <cellStyle name="Normal 2 2 2 5 2 7 12" xfId="21338" xr:uid="{00000000-0005-0000-0000-000035530000}"/>
    <cellStyle name="Normal 2 2 2 5 2 7 13" xfId="21339" xr:uid="{00000000-0005-0000-0000-000036530000}"/>
    <cellStyle name="Normal 2 2 2 5 2 7 14" xfId="21340" xr:uid="{00000000-0005-0000-0000-000037530000}"/>
    <cellStyle name="Normal 2 2 2 5 2 7 2" xfId="21341" xr:uid="{00000000-0005-0000-0000-000038530000}"/>
    <cellStyle name="Normal 2 2 2 5 2 7 2 10" xfId="21342" xr:uid="{00000000-0005-0000-0000-000039530000}"/>
    <cellStyle name="Normal 2 2 2 5 2 7 2 2" xfId="21343" xr:uid="{00000000-0005-0000-0000-00003A530000}"/>
    <cellStyle name="Normal 2 2 2 5 2 7 2 3" xfId="21344" xr:uid="{00000000-0005-0000-0000-00003B530000}"/>
    <cellStyle name="Normal 2 2 2 5 2 7 2 4" xfId="21345" xr:uid="{00000000-0005-0000-0000-00003C530000}"/>
    <cellStyle name="Normal 2 2 2 5 2 7 2 5" xfId="21346" xr:uid="{00000000-0005-0000-0000-00003D530000}"/>
    <cellStyle name="Normal 2 2 2 5 2 7 2 6" xfId="21347" xr:uid="{00000000-0005-0000-0000-00003E530000}"/>
    <cellStyle name="Normal 2 2 2 5 2 7 2 7" xfId="21348" xr:uid="{00000000-0005-0000-0000-00003F530000}"/>
    <cellStyle name="Normal 2 2 2 5 2 7 2 8" xfId="21349" xr:uid="{00000000-0005-0000-0000-000040530000}"/>
    <cellStyle name="Normal 2 2 2 5 2 7 2 9" xfId="21350" xr:uid="{00000000-0005-0000-0000-000041530000}"/>
    <cellStyle name="Normal 2 2 2 5 2 7 3" xfId="21351" xr:uid="{00000000-0005-0000-0000-000042530000}"/>
    <cellStyle name="Normal 2 2 2 5 2 7 3 10" xfId="21352" xr:uid="{00000000-0005-0000-0000-000043530000}"/>
    <cellStyle name="Normal 2 2 2 5 2 7 3 2" xfId="21353" xr:uid="{00000000-0005-0000-0000-000044530000}"/>
    <cellStyle name="Normal 2 2 2 5 2 7 3 3" xfId="21354" xr:uid="{00000000-0005-0000-0000-000045530000}"/>
    <cellStyle name="Normal 2 2 2 5 2 7 3 4" xfId="21355" xr:uid="{00000000-0005-0000-0000-000046530000}"/>
    <cellStyle name="Normal 2 2 2 5 2 7 3 5" xfId="21356" xr:uid="{00000000-0005-0000-0000-000047530000}"/>
    <cellStyle name="Normal 2 2 2 5 2 7 3 6" xfId="21357" xr:uid="{00000000-0005-0000-0000-000048530000}"/>
    <cellStyle name="Normal 2 2 2 5 2 7 3 7" xfId="21358" xr:uid="{00000000-0005-0000-0000-000049530000}"/>
    <cellStyle name="Normal 2 2 2 5 2 7 3 8" xfId="21359" xr:uid="{00000000-0005-0000-0000-00004A530000}"/>
    <cellStyle name="Normal 2 2 2 5 2 7 3 9" xfId="21360" xr:uid="{00000000-0005-0000-0000-00004B530000}"/>
    <cellStyle name="Normal 2 2 2 5 2 7 4" xfId="21361" xr:uid="{00000000-0005-0000-0000-00004C530000}"/>
    <cellStyle name="Normal 2 2 2 5 2 7 4 10" xfId="21362" xr:uid="{00000000-0005-0000-0000-00004D530000}"/>
    <cellStyle name="Normal 2 2 2 5 2 7 4 2" xfId="21363" xr:uid="{00000000-0005-0000-0000-00004E530000}"/>
    <cellStyle name="Normal 2 2 2 5 2 7 4 3" xfId="21364" xr:uid="{00000000-0005-0000-0000-00004F530000}"/>
    <cellStyle name="Normal 2 2 2 5 2 7 4 4" xfId="21365" xr:uid="{00000000-0005-0000-0000-000050530000}"/>
    <cellStyle name="Normal 2 2 2 5 2 7 4 5" xfId="21366" xr:uid="{00000000-0005-0000-0000-000051530000}"/>
    <cellStyle name="Normal 2 2 2 5 2 7 4 6" xfId="21367" xr:uid="{00000000-0005-0000-0000-000052530000}"/>
    <cellStyle name="Normal 2 2 2 5 2 7 4 7" xfId="21368" xr:uid="{00000000-0005-0000-0000-000053530000}"/>
    <cellStyle name="Normal 2 2 2 5 2 7 4 8" xfId="21369" xr:uid="{00000000-0005-0000-0000-000054530000}"/>
    <cellStyle name="Normal 2 2 2 5 2 7 4 9" xfId="21370" xr:uid="{00000000-0005-0000-0000-000055530000}"/>
    <cellStyle name="Normal 2 2 2 5 2 7 5" xfId="21371" xr:uid="{00000000-0005-0000-0000-000056530000}"/>
    <cellStyle name="Normal 2 2 2 5 2 7 5 10" xfId="21372" xr:uid="{00000000-0005-0000-0000-000057530000}"/>
    <cellStyle name="Normal 2 2 2 5 2 7 5 2" xfId="21373" xr:uid="{00000000-0005-0000-0000-000058530000}"/>
    <cellStyle name="Normal 2 2 2 5 2 7 5 3" xfId="21374" xr:uid="{00000000-0005-0000-0000-000059530000}"/>
    <cellStyle name="Normal 2 2 2 5 2 7 5 4" xfId="21375" xr:uid="{00000000-0005-0000-0000-00005A530000}"/>
    <cellStyle name="Normal 2 2 2 5 2 7 5 5" xfId="21376" xr:uid="{00000000-0005-0000-0000-00005B530000}"/>
    <cellStyle name="Normal 2 2 2 5 2 7 5 6" xfId="21377" xr:uid="{00000000-0005-0000-0000-00005C530000}"/>
    <cellStyle name="Normal 2 2 2 5 2 7 5 7" xfId="21378" xr:uid="{00000000-0005-0000-0000-00005D530000}"/>
    <cellStyle name="Normal 2 2 2 5 2 7 5 8" xfId="21379" xr:uid="{00000000-0005-0000-0000-00005E530000}"/>
    <cellStyle name="Normal 2 2 2 5 2 7 5 9" xfId="21380" xr:uid="{00000000-0005-0000-0000-00005F530000}"/>
    <cellStyle name="Normal 2 2 2 5 2 7 6" xfId="21381" xr:uid="{00000000-0005-0000-0000-000060530000}"/>
    <cellStyle name="Normal 2 2 2 5 2 7 7" xfId="21382" xr:uid="{00000000-0005-0000-0000-000061530000}"/>
    <cellStyle name="Normal 2 2 2 5 2 7 8" xfId="21383" xr:uid="{00000000-0005-0000-0000-000062530000}"/>
    <cellStyle name="Normal 2 2 2 5 2 7 9" xfId="21384" xr:uid="{00000000-0005-0000-0000-000063530000}"/>
    <cellStyle name="Normal 2 2 2 5 2 8" xfId="21385" xr:uid="{00000000-0005-0000-0000-000064530000}"/>
    <cellStyle name="Normal 2 2 2 5 2 8 10" xfId="21386" xr:uid="{00000000-0005-0000-0000-000065530000}"/>
    <cellStyle name="Normal 2 2 2 5 2 8 11" xfId="21387" xr:uid="{00000000-0005-0000-0000-000066530000}"/>
    <cellStyle name="Normal 2 2 2 5 2 8 12" xfId="21388" xr:uid="{00000000-0005-0000-0000-000067530000}"/>
    <cellStyle name="Normal 2 2 2 5 2 8 13" xfId="21389" xr:uid="{00000000-0005-0000-0000-000068530000}"/>
    <cellStyle name="Normal 2 2 2 5 2 8 14" xfId="21390" xr:uid="{00000000-0005-0000-0000-000069530000}"/>
    <cellStyle name="Normal 2 2 2 5 2 8 2" xfId="21391" xr:uid="{00000000-0005-0000-0000-00006A530000}"/>
    <cellStyle name="Normal 2 2 2 5 2 8 2 10" xfId="21392" xr:uid="{00000000-0005-0000-0000-00006B530000}"/>
    <cellStyle name="Normal 2 2 2 5 2 8 2 2" xfId="21393" xr:uid="{00000000-0005-0000-0000-00006C530000}"/>
    <cellStyle name="Normal 2 2 2 5 2 8 2 3" xfId="21394" xr:uid="{00000000-0005-0000-0000-00006D530000}"/>
    <cellStyle name="Normal 2 2 2 5 2 8 2 4" xfId="21395" xr:uid="{00000000-0005-0000-0000-00006E530000}"/>
    <cellStyle name="Normal 2 2 2 5 2 8 2 5" xfId="21396" xr:uid="{00000000-0005-0000-0000-00006F530000}"/>
    <cellStyle name="Normal 2 2 2 5 2 8 2 6" xfId="21397" xr:uid="{00000000-0005-0000-0000-000070530000}"/>
    <cellStyle name="Normal 2 2 2 5 2 8 2 7" xfId="21398" xr:uid="{00000000-0005-0000-0000-000071530000}"/>
    <cellStyle name="Normal 2 2 2 5 2 8 2 8" xfId="21399" xr:uid="{00000000-0005-0000-0000-000072530000}"/>
    <cellStyle name="Normal 2 2 2 5 2 8 2 9" xfId="21400" xr:uid="{00000000-0005-0000-0000-000073530000}"/>
    <cellStyle name="Normal 2 2 2 5 2 8 3" xfId="21401" xr:uid="{00000000-0005-0000-0000-000074530000}"/>
    <cellStyle name="Normal 2 2 2 5 2 8 3 10" xfId="21402" xr:uid="{00000000-0005-0000-0000-000075530000}"/>
    <cellStyle name="Normal 2 2 2 5 2 8 3 2" xfId="21403" xr:uid="{00000000-0005-0000-0000-000076530000}"/>
    <cellStyle name="Normal 2 2 2 5 2 8 3 3" xfId="21404" xr:uid="{00000000-0005-0000-0000-000077530000}"/>
    <cellStyle name="Normal 2 2 2 5 2 8 3 4" xfId="21405" xr:uid="{00000000-0005-0000-0000-000078530000}"/>
    <cellStyle name="Normal 2 2 2 5 2 8 3 5" xfId="21406" xr:uid="{00000000-0005-0000-0000-000079530000}"/>
    <cellStyle name="Normal 2 2 2 5 2 8 3 6" xfId="21407" xr:uid="{00000000-0005-0000-0000-00007A530000}"/>
    <cellStyle name="Normal 2 2 2 5 2 8 3 7" xfId="21408" xr:uid="{00000000-0005-0000-0000-00007B530000}"/>
    <cellStyle name="Normal 2 2 2 5 2 8 3 8" xfId="21409" xr:uid="{00000000-0005-0000-0000-00007C530000}"/>
    <cellStyle name="Normal 2 2 2 5 2 8 3 9" xfId="21410" xr:uid="{00000000-0005-0000-0000-00007D530000}"/>
    <cellStyle name="Normal 2 2 2 5 2 8 4" xfId="21411" xr:uid="{00000000-0005-0000-0000-00007E530000}"/>
    <cellStyle name="Normal 2 2 2 5 2 8 4 10" xfId="21412" xr:uid="{00000000-0005-0000-0000-00007F530000}"/>
    <cellStyle name="Normal 2 2 2 5 2 8 4 2" xfId="21413" xr:uid="{00000000-0005-0000-0000-000080530000}"/>
    <cellStyle name="Normal 2 2 2 5 2 8 4 3" xfId="21414" xr:uid="{00000000-0005-0000-0000-000081530000}"/>
    <cellStyle name="Normal 2 2 2 5 2 8 4 4" xfId="21415" xr:uid="{00000000-0005-0000-0000-000082530000}"/>
    <cellStyle name="Normal 2 2 2 5 2 8 4 5" xfId="21416" xr:uid="{00000000-0005-0000-0000-000083530000}"/>
    <cellStyle name="Normal 2 2 2 5 2 8 4 6" xfId="21417" xr:uid="{00000000-0005-0000-0000-000084530000}"/>
    <cellStyle name="Normal 2 2 2 5 2 8 4 7" xfId="21418" xr:uid="{00000000-0005-0000-0000-000085530000}"/>
    <cellStyle name="Normal 2 2 2 5 2 8 4 8" xfId="21419" xr:uid="{00000000-0005-0000-0000-000086530000}"/>
    <cellStyle name="Normal 2 2 2 5 2 8 4 9" xfId="21420" xr:uid="{00000000-0005-0000-0000-000087530000}"/>
    <cellStyle name="Normal 2 2 2 5 2 8 5" xfId="21421" xr:uid="{00000000-0005-0000-0000-000088530000}"/>
    <cellStyle name="Normal 2 2 2 5 2 8 5 10" xfId="21422" xr:uid="{00000000-0005-0000-0000-000089530000}"/>
    <cellStyle name="Normal 2 2 2 5 2 8 5 2" xfId="21423" xr:uid="{00000000-0005-0000-0000-00008A530000}"/>
    <cellStyle name="Normal 2 2 2 5 2 8 5 3" xfId="21424" xr:uid="{00000000-0005-0000-0000-00008B530000}"/>
    <cellStyle name="Normal 2 2 2 5 2 8 5 4" xfId="21425" xr:uid="{00000000-0005-0000-0000-00008C530000}"/>
    <cellStyle name="Normal 2 2 2 5 2 8 5 5" xfId="21426" xr:uid="{00000000-0005-0000-0000-00008D530000}"/>
    <cellStyle name="Normal 2 2 2 5 2 8 5 6" xfId="21427" xr:uid="{00000000-0005-0000-0000-00008E530000}"/>
    <cellStyle name="Normal 2 2 2 5 2 8 5 7" xfId="21428" xr:uid="{00000000-0005-0000-0000-00008F530000}"/>
    <cellStyle name="Normal 2 2 2 5 2 8 5 8" xfId="21429" xr:uid="{00000000-0005-0000-0000-000090530000}"/>
    <cellStyle name="Normal 2 2 2 5 2 8 5 9" xfId="21430" xr:uid="{00000000-0005-0000-0000-000091530000}"/>
    <cellStyle name="Normal 2 2 2 5 2 8 6" xfId="21431" xr:uid="{00000000-0005-0000-0000-000092530000}"/>
    <cellStyle name="Normal 2 2 2 5 2 8 7" xfId="21432" xr:uid="{00000000-0005-0000-0000-000093530000}"/>
    <cellStyle name="Normal 2 2 2 5 2 8 8" xfId="21433" xr:uid="{00000000-0005-0000-0000-000094530000}"/>
    <cellStyle name="Normal 2 2 2 5 2 8 9" xfId="21434" xr:uid="{00000000-0005-0000-0000-000095530000}"/>
    <cellStyle name="Normal 2 2 2 5 2 9" xfId="21435" xr:uid="{00000000-0005-0000-0000-000096530000}"/>
    <cellStyle name="Normal 2 2 2 5 2 9 10" xfId="21436" xr:uid="{00000000-0005-0000-0000-000097530000}"/>
    <cellStyle name="Normal 2 2 2 5 2 9 11" xfId="21437" xr:uid="{00000000-0005-0000-0000-000098530000}"/>
    <cellStyle name="Normal 2 2 2 5 2 9 12" xfId="21438" xr:uid="{00000000-0005-0000-0000-000099530000}"/>
    <cellStyle name="Normal 2 2 2 5 2 9 13" xfId="21439" xr:uid="{00000000-0005-0000-0000-00009A530000}"/>
    <cellStyle name="Normal 2 2 2 5 2 9 14" xfId="21440" xr:uid="{00000000-0005-0000-0000-00009B530000}"/>
    <cellStyle name="Normal 2 2 2 5 2 9 2" xfId="21441" xr:uid="{00000000-0005-0000-0000-00009C530000}"/>
    <cellStyle name="Normal 2 2 2 5 2 9 2 10" xfId="21442" xr:uid="{00000000-0005-0000-0000-00009D530000}"/>
    <cellStyle name="Normal 2 2 2 5 2 9 2 2" xfId="21443" xr:uid="{00000000-0005-0000-0000-00009E530000}"/>
    <cellStyle name="Normal 2 2 2 5 2 9 2 3" xfId="21444" xr:uid="{00000000-0005-0000-0000-00009F530000}"/>
    <cellStyle name="Normal 2 2 2 5 2 9 2 4" xfId="21445" xr:uid="{00000000-0005-0000-0000-0000A0530000}"/>
    <cellStyle name="Normal 2 2 2 5 2 9 2 5" xfId="21446" xr:uid="{00000000-0005-0000-0000-0000A1530000}"/>
    <cellStyle name="Normal 2 2 2 5 2 9 2 6" xfId="21447" xr:uid="{00000000-0005-0000-0000-0000A2530000}"/>
    <cellStyle name="Normal 2 2 2 5 2 9 2 7" xfId="21448" xr:uid="{00000000-0005-0000-0000-0000A3530000}"/>
    <cellStyle name="Normal 2 2 2 5 2 9 2 8" xfId="21449" xr:uid="{00000000-0005-0000-0000-0000A4530000}"/>
    <cellStyle name="Normal 2 2 2 5 2 9 2 9" xfId="21450" xr:uid="{00000000-0005-0000-0000-0000A5530000}"/>
    <cellStyle name="Normal 2 2 2 5 2 9 3" xfId="21451" xr:uid="{00000000-0005-0000-0000-0000A6530000}"/>
    <cellStyle name="Normal 2 2 2 5 2 9 3 10" xfId="21452" xr:uid="{00000000-0005-0000-0000-0000A7530000}"/>
    <cellStyle name="Normal 2 2 2 5 2 9 3 2" xfId="21453" xr:uid="{00000000-0005-0000-0000-0000A8530000}"/>
    <cellStyle name="Normal 2 2 2 5 2 9 3 3" xfId="21454" xr:uid="{00000000-0005-0000-0000-0000A9530000}"/>
    <cellStyle name="Normal 2 2 2 5 2 9 3 4" xfId="21455" xr:uid="{00000000-0005-0000-0000-0000AA530000}"/>
    <cellStyle name="Normal 2 2 2 5 2 9 3 5" xfId="21456" xr:uid="{00000000-0005-0000-0000-0000AB530000}"/>
    <cellStyle name="Normal 2 2 2 5 2 9 3 6" xfId="21457" xr:uid="{00000000-0005-0000-0000-0000AC530000}"/>
    <cellStyle name="Normal 2 2 2 5 2 9 3 7" xfId="21458" xr:uid="{00000000-0005-0000-0000-0000AD530000}"/>
    <cellStyle name="Normal 2 2 2 5 2 9 3 8" xfId="21459" xr:uid="{00000000-0005-0000-0000-0000AE530000}"/>
    <cellStyle name="Normal 2 2 2 5 2 9 3 9" xfId="21460" xr:uid="{00000000-0005-0000-0000-0000AF530000}"/>
    <cellStyle name="Normal 2 2 2 5 2 9 4" xfId="21461" xr:uid="{00000000-0005-0000-0000-0000B0530000}"/>
    <cellStyle name="Normal 2 2 2 5 2 9 4 10" xfId="21462" xr:uid="{00000000-0005-0000-0000-0000B1530000}"/>
    <cellStyle name="Normal 2 2 2 5 2 9 4 2" xfId="21463" xr:uid="{00000000-0005-0000-0000-0000B2530000}"/>
    <cellStyle name="Normal 2 2 2 5 2 9 4 3" xfId="21464" xr:uid="{00000000-0005-0000-0000-0000B3530000}"/>
    <cellStyle name="Normal 2 2 2 5 2 9 4 4" xfId="21465" xr:uid="{00000000-0005-0000-0000-0000B4530000}"/>
    <cellStyle name="Normal 2 2 2 5 2 9 4 5" xfId="21466" xr:uid="{00000000-0005-0000-0000-0000B5530000}"/>
    <cellStyle name="Normal 2 2 2 5 2 9 4 6" xfId="21467" xr:uid="{00000000-0005-0000-0000-0000B6530000}"/>
    <cellStyle name="Normal 2 2 2 5 2 9 4 7" xfId="21468" xr:uid="{00000000-0005-0000-0000-0000B7530000}"/>
    <cellStyle name="Normal 2 2 2 5 2 9 4 8" xfId="21469" xr:uid="{00000000-0005-0000-0000-0000B8530000}"/>
    <cellStyle name="Normal 2 2 2 5 2 9 4 9" xfId="21470" xr:uid="{00000000-0005-0000-0000-0000B9530000}"/>
    <cellStyle name="Normal 2 2 2 5 2 9 5" xfId="21471" xr:uid="{00000000-0005-0000-0000-0000BA530000}"/>
    <cellStyle name="Normal 2 2 2 5 2 9 5 10" xfId="21472" xr:uid="{00000000-0005-0000-0000-0000BB530000}"/>
    <cellStyle name="Normal 2 2 2 5 2 9 5 2" xfId="21473" xr:uid="{00000000-0005-0000-0000-0000BC530000}"/>
    <cellStyle name="Normal 2 2 2 5 2 9 5 3" xfId="21474" xr:uid="{00000000-0005-0000-0000-0000BD530000}"/>
    <cellStyle name="Normal 2 2 2 5 2 9 5 4" xfId="21475" xr:uid="{00000000-0005-0000-0000-0000BE530000}"/>
    <cellStyle name="Normal 2 2 2 5 2 9 5 5" xfId="21476" xr:uid="{00000000-0005-0000-0000-0000BF530000}"/>
    <cellStyle name="Normal 2 2 2 5 2 9 5 6" xfId="21477" xr:uid="{00000000-0005-0000-0000-0000C0530000}"/>
    <cellStyle name="Normal 2 2 2 5 2 9 5 7" xfId="21478" xr:uid="{00000000-0005-0000-0000-0000C1530000}"/>
    <cellStyle name="Normal 2 2 2 5 2 9 5 8" xfId="21479" xr:uid="{00000000-0005-0000-0000-0000C2530000}"/>
    <cellStyle name="Normal 2 2 2 5 2 9 5 9" xfId="21480" xr:uid="{00000000-0005-0000-0000-0000C3530000}"/>
    <cellStyle name="Normal 2 2 2 5 2 9 6" xfId="21481" xr:uid="{00000000-0005-0000-0000-0000C4530000}"/>
    <cellStyle name="Normal 2 2 2 5 2 9 7" xfId="21482" xr:uid="{00000000-0005-0000-0000-0000C5530000}"/>
    <cellStyle name="Normal 2 2 2 5 2 9 8" xfId="21483" xr:uid="{00000000-0005-0000-0000-0000C6530000}"/>
    <cellStyle name="Normal 2 2 2 5 2 9 9" xfId="21484" xr:uid="{00000000-0005-0000-0000-0000C7530000}"/>
    <cellStyle name="Normal 2 2 2 5 20" xfId="21485" xr:uid="{00000000-0005-0000-0000-0000C8530000}"/>
    <cellStyle name="Normal 2 2 2 5 21" xfId="21486" xr:uid="{00000000-0005-0000-0000-0000C9530000}"/>
    <cellStyle name="Normal 2 2 2 5 21 10" xfId="21487" xr:uid="{00000000-0005-0000-0000-0000CA530000}"/>
    <cellStyle name="Normal 2 2 2 5 21 2" xfId="21488" xr:uid="{00000000-0005-0000-0000-0000CB530000}"/>
    <cellStyle name="Normal 2 2 2 5 21 3" xfId="21489" xr:uid="{00000000-0005-0000-0000-0000CC530000}"/>
    <cellStyle name="Normal 2 2 2 5 21 4" xfId="21490" xr:uid="{00000000-0005-0000-0000-0000CD530000}"/>
    <cellStyle name="Normal 2 2 2 5 21 5" xfId="21491" xr:uid="{00000000-0005-0000-0000-0000CE530000}"/>
    <cellStyle name="Normal 2 2 2 5 21 6" xfId="21492" xr:uid="{00000000-0005-0000-0000-0000CF530000}"/>
    <cellStyle name="Normal 2 2 2 5 21 7" xfId="21493" xr:uid="{00000000-0005-0000-0000-0000D0530000}"/>
    <cellStyle name="Normal 2 2 2 5 21 8" xfId="21494" xr:uid="{00000000-0005-0000-0000-0000D1530000}"/>
    <cellStyle name="Normal 2 2 2 5 21 9" xfId="21495" xr:uid="{00000000-0005-0000-0000-0000D2530000}"/>
    <cellStyle name="Normal 2 2 2 5 22" xfId="21496" xr:uid="{00000000-0005-0000-0000-0000D3530000}"/>
    <cellStyle name="Normal 2 2 2 5 22 10" xfId="21497" xr:uid="{00000000-0005-0000-0000-0000D4530000}"/>
    <cellStyle name="Normal 2 2 2 5 22 2" xfId="21498" xr:uid="{00000000-0005-0000-0000-0000D5530000}"/>
    <cellStyle name="Normal 2 2 2 5 22 3" xfId="21499" xr:uid="{00000000-0005-0000-0000-0000D6530000}"/>
    <cellStyle name="Normal 2 2 2 5 22 4" xfId="21500" xr:uid="{00000000-0005-0000-0000-0000D7530000}"/>
    <cellStyle name="Normal 2 2 2 5 22 5" xfId="21501" xr:uid="{00000000-0005-0000-0000-0000D8530000}"/>
    <cellStyle name="Normal 2 2 2 5 22 6" xfId="21502" xr:uid="{00000000-0005-0000-0000-0000D9530000}"/>
    <cellStyle name="Normal 2 2 2 5 22 7" xfId="21503" xr:uid="{00000000-0005-0000-0000-0000DA530000}"/>
    <cellStyle name="Normal 2 2 2 5 22 8" xfId="21504" xr:uid="{00000000-0005-0000-0000-0000DB530000}"/>
    <cellStyle name="Normal 2 2 2 5 22 9" xfId="21505" xr:uid="{00000000-0005-0000-0000-0000DC530000}"/>
    <cellStyle name="Normal 2 2 2 5 23" xfId="21506" xr:uid="{00000000-0005-0000-0000-0000DD530000}"/>
    <cellStyle name="Normal 2 2 2 5 23 10" xfId="21507" xr:uid="{00000000-0005-0000-0000-0000DE530000}"/>
    <cellStyle name="Normal 2 2 2 5 23 2" xfId="21508" xr:uid="{00000000-0005-0000-0000-0000DF530000}"/>
    <cellStyle name="Normal 2 2 2 5 23 3" xfId="21509" xr:uid="{00000000-0005-0000-0000-0000E0530000}"/>
    <cellStyle name="Normal 2 2 2 5 23 4" xfId="21510" xr:uid="{00000000-0005-0000-0000-0000E1530000}"/>
    <cellStyle name="Normal 2 2 2 5 23 5" xfId="21511" xr:uid="{00000000-0005-0000-0000-0000E2530000}"/>
    <cellStyle name="Normal 2 2 2 5 23 6" xfId="21512" xr:uid="{00000000-0005-0000-0000-0000E3530000}"/>
    <cellStyle name="Normal 2 2 2 5 23 7" xfId="21513" xr:uid="{00000000-0005-0000-0000-0000E4530000}"/>
    <cellStyle name="Normal 2 2 2 5 23 8" xfId="21514" xr:uid="{00000000-0005-0000-0000-0000E5530000}"/>
    <cellStyle name="Normal 2 2 2 5 23 9" xfId="21515" xr:uid="{00000000-0005-0000-0000-0000E6530000}"/>
    <cellStyle name="Normal 2 2 2 5 24" xfId="21516" xr:uid="{00000000-0005-0000-0000-0000E7530000}"/>
    <cellStyle name="Normal 2 2 2 5 24 10" xfId="21517" xr:uid="{00000000-0005-0000-0000-0000E8530000}"/>
    <cellStyle name="Normal 2 2 2 5 24 2" xfId="21518" xr:uid="{00000000-0005-0000-0000-0000E9530000}"/>
    <cellStyle name="Normal 2 2 2 5 24 3" xfId="21519" xr:uid="{00000000-0005-0000-0000-0000EA530000}"/>
    <cellStyle name="Normal 2 2 2 5 24 4" xfId="21520" xr:uid="{00000000-0005-0000-0000-0000EB530000}"/>
    <cellStyle name="Normal 2 2 2 5 24 5" xfId="21521" xr:uid="{00000000-0005-0000-0000-0000EC530000}"/>
    <cellStyle name="Normal 2 2 2 5 24 6" xfId="21522" xr:uid="{00000000-0005-0000-0000-0000ED530000}"/>
    <cellStyle name="Normal 2 2 2 5 24 7" xfId="21523" xr:uid="{00000000-0005-0000-0000-0000EE530000}"/>
    <cellStyle name="Normal 2 2 2 5 24 8" xfId="21524" xr:uid="{00000000-0005-0000-0000-0000EF530000}"/>
    <cellStyle name="Normal 2 2 2 5 24 9" xfId="21525" xr:uid="{00000000-0005-0000-0000-0000F0530000}"/>
    <cellStyle name="Normal 2 2 2 5 25" xfId="21526" xr:uid="{00000000-0005-0000-0000-0000F1530000}"/>
    <cellStyle name="Normal 2 2 2 5 26" xfId="21527" xr:uid="{00000000-0005-0000-0000-0000F2530000}"/>
    <cellStyle name="Normal 2 2 2 5 27" xfId="21528" xr:uid="{00000000-0005-0000-0000-0000F3530000}"/>
    <cellStyle name="Normal 2 2 2 5 28" xfId="21529" xr:uid="{00000000-0005-0000-0000-0000F4530000}"/>
    <cellStyle name="Normal 2 2 2 5 29" xfId="21530" xr:uid="{00000000-0005-0000-0000-0000F5530000}"/>
    <cellStyle name="Normal 2 2 2 5 3" xfId="21531" xr:uid="{00000000-0005-0000-0000-0000F6530000}"/>
    <cellStyle name="Normal 2 2 2 5 30" xfId="21532" xr:uid="{00000000-0005-0000-0000-0000F7530000}"/>
    <cellStyle name="Normal 2 2 2 5 31" xfId="21533" xr:uid="{00000000-0005-0000-0000-0000F8530000}"/>
    <cellStyle name="Normal 2 2 2 5 32" xfId="21534" xr:uid="{00000000-0005-0000-0000-0000F9530000}"/>
    <cellStyle name="Normal 2 2 2 5 33" xfId="21535" xr:uid="{00000000-0005-0000-0000-0000FA530000}"/>
    <cellStyle name="Normal 2 2 2 5 34" xfId="21536" xr:uid="{00000000-0005-0000-0000-0000FB530000}"/>
    <cellStyle name="Normal 2 2 2 5 35" xfId="21537" xr:uid="{00000000-0005-0000-0000-0000FC530000}"/>
    <cellStyle name="Normal 2 2 2 5 4" xfId="21538" xr:uid="{00000000-0005-0000-0000-0000FD530000}"/>
    <cellStyle name="Normal 2 2 2 5 5" xfId="21539" xr:uid="{00000000-0005-0000-0000-0000FE530000}"/>
    <cellStyle name="Normal 2 2 2 5 6" xfId="21540" xr:uid="{00000000-0005-0000-0000-0000FF530000}"/>
    <cellStyle name="Normal 2 2 2 5 7" xfId="21541" xr:uid="{00000000-0005-0000-0000-000000540000}"/>
    <cellStyle name="Normal 2 2 2 5 8" xfId="21542" xr:uid="{00000000-0005-0000-0000-000001540000}"/>
    <cellStyle name="Normal 2 2 2 5 9" xfId="21543" xr:uid="{00000000-0005-0000-0000-000002540000}"/>
    <cellStyle name="Normal 2 2 2 50" xfId="21544" xr:uid="{00000000-0005-0000-0000-000003540000}"/>
    <cellStyle name="Normal 2 2 2 51" xfId="21545" xr:uid="{00000000-0005-0000-0000-000004540000}"/>
    <cellStyle name="Normal 2 2 2 6" xfId="21546" xr:uid="{00000000-0005-0000-0000-000005540000}"/>
    <cellStyle name="Normal 2 2 2 6 10" xfId="21547" xr:uid="{00000000-0005-0000-0000-000006540000}"/>
    <cellStyle name="Normal 2 2 2 6 11" xfId="21548" xr:uid="{00000000-0005-0000-0000-000007540000}"/>
    <cellStyle name="Normal 2 2 2 6 12" xfId="21549" xr:uid="{00000000-0005-0000-0000-000008540000}"/>
    <cellStyle name="Normal 2 2 2 6 13" xfId="21550" xr:uid="{00000000-0005-0000-0000-000009540000}"/>
    <cellStyle name="Normal 2 2 2 6 14" xfId="21551" xr:uid="{00000000-0005-0000-0000-00000A540000}"/>
    <cellStyle name="Normal 2 2 2 6 15" xfId="21552" xr:uid="{00000000-0005-0000-0000-00000B540000}"/>
    <cellStyle name="Normal 2 2 2 6 16" xfId="21553" xr:uid="{00000000-0005-0000-0000-00000C540000}"/>
    <cellStyle name="Normal 2 2 2 6 2" xfId="21554" xr:uid="{00000000-0005-0000-0000-00000D540000}"/>
    <cellStyle name="Normal 2 2 2 6 2 10" xfId="21555" xr:uid="{00000000-0005-0000-0000-00000E540000}"/>
    <cellStyle name="Normal 2 2 2 6 2 2" xfId="21556" xr:uid="{00000000-0005-0000-0000-00000F540000}"/>
    <cellStyle name="Normal 2 2 2 6 2 3" xfId="21557" xr:uid="{00000000-0005-0000-0000-000010540000}"/>
    <cellStyle name="Normal 2 2 2 6 2 4" xfId="21558" xr:uid="{00000000-0005-0000-0000-000011540000}"/>
    <cellStyle name="Normal 2 2 2 6 2 5" xfId="21559" xr:uid="{00000000-0005-0000-0000-000012540000}"/>
    <cellStyle name="Normal 2 2 2 6 2 6" xfId="21560" xr:uid="{00000000-0005-0000-0000-000013540000}"/>
    <cellStyle name="Normal 2 2 2 6 2 7" xfId="21561" xr:uid="{00000000-0005-0000-0000-000014540000}"/>
    <cellStyle name="Normal 2 2 2 6 2 8" xfId="21562" xr:uid="{00000000-0005-0000-0000-000015540000}"/>
    <cellStyle name="Normal 2 2 2 6 2 9" xfId="21563" xr:uid="{00000000-0005-0000-0000-000016540000}"/>
    <cellStyle name="Normal 2 2 2 6 3" xfId="21564" xr:uid="{00000000-0005-0000-0000-000017540000}"/>
    <cellStyle name="Normal 2 2 2 6 3 10" xfId="21565" xr:uid="{00000000-0005-0000-0000-000018540000}"/>
    <cellStyle name="Normal 2 2 2 6 3 2" xfId="21566" xr:uid="{00000000-0005-0000-0000-000019540000}"/>
    <cellStyle name="Normal 2 2 2 6 3 3" xfId="21567" xr:uid="{00000000-0005-0000-0000-00001A540000}"/>
    <cellStyle name="Normal 2 2 2 6 3 4" xfId="21568" xr:uid="{00000000-0005-0000-0000-00001B540000}"/>
    <cellStyle name="Normal 2 2 2 6 3 5" xfId="21569" xr:uid="{00000000-0005-0000-0000-00001C540000}"/>
    <cellStyle name="Normal 2 2 2 6 3 6" xfId="21570" xr:uid="{00000000-0005-0000-0000-00001D540000}"/>
    <cellStyle name="Normal 2 2 2 6 3 7" xfId="21571" xr:uid="{00000000-0005-0000-0000-00001E540000}"/>
    <cellStyle name="Normal 2 2 2 6 3 8" xfId="21572" xr:uid="{00000000-0005-0000-0000-00001F540000}"/>
    <cellStyle name="Normal 2 2 2 6 3 9" xfId="21573" xr:uid="{00000000-0005-0000-0000-000020540000}"/>
    <cellStyle name="Normal 2 2 2 6 4" xfId="21574" xr:uid="{00000000-0005-0000-0000-000021540000}"/>
    <cellStyle name="Normal 2 2 2 6 4 10" xfId="21575" xr:uid="{00000000-0005-0000-0000-000022540000}"/>
    <cellStyle name="Normal 2 2 2 6 4 2" xfId="21576" xr:uid="{00000000-0005-0000-0000-000023540000}"/>
    <cellStyle name="Normal 2 2 2 6 4 3" xfId="21577" xr:uid="{00000000-0005-0000-0000-000024540000}"/>
    <cellStyle name="Normal 2 2 2 6 4 4" xfId="21578" xr:uid="{00000000-0005-0000-0000-000025540000}"/>
    <cellStyle name="Normal 2 2 2 6 4 5" xfId="21579" xr:uid="{00000000-0005-0000-0000-000026540000}"/>
    <cellStyle name="Normal 2 2 2 6 4 6" xfId="21580" xr:uid="{00000000-0005-0000-0000-000027540000}"/>
    <cellStyle name="Normal 2 2 2 6 4 7" xfId="21581" xr:uid="{00000000-0005-0000-0000-000028540000}"/>
    <cellStyle name="Normal 2 2 2 6 4 8" xfId="21582" xr:uid="{00000000-0005-0000-0000-000029540000}"/>
    <cellStyle name="Normal 2 2 2 6 4 9" xfId="21583" xr:uid="{00000000-0005-0000-0000-00002A540000}"/>
    <cellStyle name="Normal 2 2 2 6 5" xfId="21584" xr:uid="{00000000-0005-0000-0000-00002B540000}"/>
    <cellStyle name="Normal 2 2 2 6 5 10" xfId="21585" xr:uid="{00000000-0005-0000-0000-00002C540000}"/>
    <cellStyle name="Normal 2 2 2 6 5 2" xfId="21586" xr:uid="{00000000-0005-0000-0000-00002D540000}"/>
    <cellStyle name="Normal 2 2 2 6 5 3" xfId="21587" xr:uid="{00000000-0005-0000-0000-00002E540000}"/>
    <cellStyle name="Normal 2 2 2 6 5 4" xfId="21588" xr:uid="{00000000-0005-0000-0000-00002F540000}"/>
    <cellStyle name="Normal 2 2 2 6 5 5" xfId="21589" xr:uid="{00000000-0005-0000-0000-000030540000}"/>
    <cellStyle name="Normal 2 2 2 6 5 6" xfId="21590" xr:uid="{00000000-0005-0000-0000-000031540000}"/>
    <cellStyle name="Normal 2 2 2 6 5 7" xfId="21591" xr:uid="{00000000-0005-0000-0000-000032540000}"/>
    <cellStyle name="Normal 2 2 2 6 5 8" xfId="21592" xr:uid="{00000000-0005-0000-0000-000033540000}"/>
    <cellStyle name="Normal 2 2 2 6 5 9" xfId="21593" xr:uid="{00000000-0005-0000-0000-000034540000}"/>
    <cellStyle name="Normal 2 2 2 6 6" xfId="21594" xr:uid="{00000000-0005-0000-0000-000035540000}"/>
    <cellStyle name="Normal 2 2 2 6 7" xfId="21595" xr:uid="{00000000-0005-0000-0000-000036540000}"/>
    <cellStyle name="Normal 2 2 2 6 8" xfId="21596" xr:uid="{00000000-0005-0000-0000-000037540000}"/>
    <cellStyle name="Normal 2 2 2 6 9" xfId="21597" xr:uid="{00000000-0005-0000-0000-000038540000}"/>
    <cellStyle name="Normal 2 2 2 7" xfId="21598" xr:uid="{00000000-0005-0000-0000-000039540000}"/>
    <cellStyle name="Normal 2 2 2 7 10" xfId="21599" xr:uid="{00000000-0005-0000-0000-00003A540000}"/>
    <cellStyle name="Normal 2 2 2 7 11" xfId="21600" xr:uid="{00000000-0005-0000-0000-00003B540000}"/>
    <cellStyle name="Normal 2 2 2 7 12" xfId="21601" xr:uid="{00000000-0005-0000-0000-00003C540000}"/>
    <cellStyle name="Normal 2 2 2 7 13" xfId="21602" xr:uid="{00000000-0005-0000-0000-00003D540000}"/>
    <cellStyle name="Normal 2 2 2 7 14" xfId="21603" xr:uid="{00000000-0005-0000-0000-00003E540000}"/>
    <cellStyle name="Normal 2 2 2 7 15" xfId="21604" xr:uid="{00000000-0005-0000-0000-00003F540000}"/>
    <cellStyle name="Normal 2 2 2 7 16" xfId="21605" xr:uid="{00000000-0005-0000-0000-000040540000}"/>
    <cellStyle name="Normal 2 2 2 7 2" xfId="21606" xr:uid="{00000000-0005-0000-0000-000041540000}"/>
    <cellStyle name="Normal 2 2 2 7 2 10" xfId="21607" xr:uid="{00000000-0005-0000-0000-000042540000}"/>
    <cellStyle name="Normal 2 2 2 7 2 2" xfId="21608" xr:uid="{00000000-0005-0000-0000-000043540000}"/>
    <cellStyle name="Normal 2 2 2 7 2 3" xfId="21609" xr:uid="{00000000-0005-0000-0000-000044540000}"/>
    <cellStyle name="Normal 2 2 2 7 2 4" xfId="21610" xr:uid="{00000000-0005-0000-0000-000045540000}"/>
    <cellStyle name="Normal 2 2 2 7 2 5" xfId="21611" xr:uid="{00000000-0005-0000-0000-000046540000}"/>
    <cellStyle name="Normal 2 2 2 7 2 6" xfId="21612" xr:uid="{00000000-0005-0000-0000-000047540000}"/>
    <cellStyle name="Normal 2 2 2 7 2 7" xfId="21613" xr:uid="{00000000-0005-0000-0000-000048540000}"/>
    <cellStyle name="Normal 2 2 2 7 2 8" xfId="21614" xr:uid="{00000000-0005-0000-0000-000049540000}"/>
    <cellStyle name="Normal 2 2 2 7 2 9" xfId="21615" xr:uid="{00000000-0005-0000-0000-00004A540000}"/>
    <cellStyle name="Normal 2 2 2 7 3" xfId="21616" xr:uid="{00000000-0005-0000-0000-00004B540000}"/>
    <cellStyle name="Normal 2 2 2 7 3 10" xfId="21617" xr:uid="{00000000-0005-0000-0000-00004C540000}"/>
    <cellStyle name="Normal 2 2 2 7 3 2" xfId="21618" xr:uid="{00000000-0005-0000-0000-00004D540000}"/>
    <cellStyle name="Normal 2 2 2 7 3 3" xfId="21619" xr:uid="{00000000-0005-0000-0000-00004E540000}"/>
    <cellStyle name="Normal 2 2 2 7 3 4" xfId="21620" xr:uid="{00000000-0005-0000-0000-00004F540000}"/>
    <cellStyle name="Normal 2 2 2 7 3 5" xfId="21621" xr:uid="{00000000-0005-0000-0000-000050540000}"/>
    <cellStyle name="Normal 2 2 2 7 3 6" xfId="21622" xr:uid="{00000000-0005-0000-0000-000051540000}"/>
    <cellStyle name="Normal 2 2 2 7 3 7" xfId="21623" xr:uid="{00000000-0005-0000-0000-000052540000}"/>
    <cellStyle name="Normal 2 2 2 7 3 8" xfId="21624" xr:uid="{00000000-0005-0000-0000-000053540000}"/>
    <cellStyle name="Normal 2 2 2 7 3 9" xfId="21625" xr:uid="{00000000-0005-0000-0000-000054540000}"/>
    <cellStyle name="Normal 2 2 2 7 4" xfId="21626" xr:uid="{00000000-0005-0000-0000-000055540000}"/>
    <cellStyle name="Normal 2 2 2 7 4 10" xfId="21627" xr:uid="{00000000-0005-0000-0000-000056540000}"/>
    <cellStyle name="Normal 2 2 2 7 4 2" xfId="21628" xr:uid="{00000000-0005-0000-0000-000057540000}"/>
    <cellStyle name="Normal 2 2 2 7 4 3" xfId="21629" xr:uid="{00000000-0005-0000-0000-000058540000}"/>
    <cellStyle name="Normal 2 2 2 7 4 4" xfId="21630" xr:uid="{00000000-0005-0000-0000-000059540000}"/>
    <cellStyle name="Normal 2 2 2 7 4 5" xfId="21631" xr:uid="{00000000-0005-0000-0000-00005A540000}"/>
    <cellStyle name="Normal 2 2 2 7 4 6" xfId="21632" xr:uid="{00000000-0005-0000-0000-00005B540000}"/>
    <cellStyle name="Normal 2 2 2 7 4 7" xfId="21633" xr:uid="{00000000-0005-0000-0000-00005C540000}"/>
    <cellStyle name="Normal 2 2 2 7 4 8" xfId="21634" xr:uid="{00000000-0005-0000-0000-00005D540000}"/>
    <cellStyle name="Normal 2 2 2 7 4 9" xfId="21635" xr:uid="{00000000-0005-0000-0000-00005E540000}"/>
    <cellStyle name="Normal 2 2 2 7 5" xfId="21636" xr:uid="{00000000-0005-0000-0000-00005F540000}"/>
    <cellStyle name="Normal 2 2 2 7 5 10" xfId="21637" xr:uid="{00000000-0005-0000-0000-000060540000}"/>
    <cellStyle name="Normal 2 2 2 7 5 2" xfId="21638" xr:uid="{00000000-0005-0000-0000-000061540000}"/>
    <cellStyle name="Normal 2 2 2 7 5 3" xfId="21639" xr:uid="{00000000-0005-0000-0000-000062540000}"/>
    <cellStyle name="Normal 2 2 2 7 5 4" xfId="21640" xr:uid="{00000000-0005-0000-0000-000063540000}"/>
    <cellStyle name="Normal 2 2 2 7 5 5" xfId="21641" xr:uid="{00000000-0005-0000-0000-000064540000}"/>
    <cellStyle name="Normal 2 2 2 7 5 6" xfId="21642" xr:uid="{00000000-0005-0000-0000-000065540000}"/>
    <cellStyle name="Normal 2 2 2 7 5 7" xfId="21643" xr:uid="{00000000-0005-0000-0000-000066540000}"/>
    <cellStyle name="Normal 2 2 2 7 5 8" xfId="21644" xr:uid="{00000000-0005-0000-0000-000067540000}"/>
    <cellStyle name="Normal 2 2 2 7 5 9" xfId="21645" xr:uid="{00000000-0005-0000-0000-000068540000}"/>
    <cellStyle name="Normal 2 2 2 7 6" xfId="21646" xr:uid="{00000000-0005-0000-0000-000069540000}"/>
    <cellStyle name="Normal 2 2 2 7 7" xfId="21647" xr:uid="{00000000-0005-0000-0000-00006A540000}"/>
    <cellStyle name="Normal 2 2 2 7 8" xfId="21648" xr:uid="{00000000-0005-0000-0000-00006B540000}"/>
    <cellStyle name="Normal 2 2 2 7 9" xfId="21649" xr:uid="{00000000-0005-0000-0000-00006C540000}"/>
    <cellStyle name="Normal 2 2 2 8" xfId="21650" xr:uid="{00000000-0005-0000-0000-00006D540000}"/>
    <cellStyle name="Normal 2 2 2 8 10" xfId="21651" xr:uid="{00000000-0005-0000-0000-00006E540000}"/>
    <cellStyle name="Normal 2 2 2 8 11" xfId="21652" xr:uid="{00000000-0005-0000-0000-00006F540000}"/>
    <cellStyle name="Normal 2 2 2 8 12" xfId="21653" xr:uid="{00000000-0005-0000-0000-000070540000}"/>
    <cellStyle name="Normal 2 2 2 8 13" xfId="21654" xr:uid="{00000000-0005-0000-0000-000071540000}"/>
    <cellStyle name="Normal 2 2 2 8 14" xfId="21655" xr:uid="{00000000-0005-0000-0000-000072540000}"/>
    <cellStyle name="Normal 2 2 2 8 2" xfId="21656" xr:uid="{00000000-0005-0000-0000-000073540000}"/>
    <cellStyle name="Normal 2 2 2 8 2 10" xfId="21657" xr:uid="{00000000-0005-0000-0000-000074540000}"/>
    <cellStyle name="Normal 2 2 2 8 2 2" xfId="21658" xr:uid="{00000000-0005-0000-0000-000075540000}"/>
    <cellStyle name="Normal 2 2 2 8 2 3" xfId="21659" xr:uid="{00000000-0005-0000-0000-000076540000}"/>
    <cellStyle name="Normal 2 2 2 8 2 4" xfId="21660" xr:uid="{00000000-0005-0000-0000-000077540000}"/>
    <cellStyle name="Normal 2 2 2 8 2 5" xfId="21661" xr:uid="{00000000-0005-0000-0000-000078540000}"/>
    <cellStyle name="Normal 2 2 2 8 2 6" xfId="21662" xr:uid="{00000000-0005-0000-0000-000079540000}"/>
    <cellStyle name="Normal 2 2 2 8 2 7" xfId="21663" xr:uid="{00000000-0005-0000-0000-00007A540000}"/>
    <cellStyle name="Normal 2 2 2 8 2 8" xfId="21664" xr:uid="{00000000-0005-0000-0000-00007B540000}"/>
    <cellStyle name="Normal 2 2 2 8 2 9" xfId="21665" xr:uid="{00000000-0005-0000-0000-00007C540000}"/>
    <cellStyle name="Normal 2 2 2 8 3" xfId="21666" xr:uid="{00000000-0005-0000-0000-00007D540000}"/>
    <cellStyle name="Normal 2 2 2 8 3 10" xfId="21667" xr:uid="{00000000-0005-0000-0000-00007E540000}"/>
    <cellStyle name="Normal 2 2 2 8 3 2" xfId="21668" xr:uid="{00000000-0005-0000-0000-00007F540000}"/>
    <cellStyle name="Normal 2 2 2 8 3 3" xfId="21669" xr:uid="{00000000-0005-0000-0000-000080540000}"/>
    <cellStyle name="Normal 2 2 2 8 3 4" xfId="21670" xr:uid="{00000000-0005-0000-0000-000081540000}"/>
    <cellStyle name="Normal 2 2 2 8 3 5" xfId="21671" xr:uid="{00000000-0005-0000-0000-000082540000}"/>
    <cellStyle name="Normal 2 2 2 8 3 6" xfId="21672" xr:uid="{00000000-0005-0000-0000-000083540000}"/>
    <cellStyle name="Normal 2 2 2 8 3 7" xfId="21673" xr:uid="{00000000-0005-0000-0000-000084540000}"/>
    <cellStyle name="Normal 2 2 2 8 3 8" xfId="21674" xr:uid="{00000000-0005-0000-0000-000085540000}"/>
    <cellStyle name="Normal 2 2 2 8 3 9" xfId="21675" xr:uid="{00000000-0005-0000-0000-000086540000}"/>
    <cellStyle name="Normal 2 2 2 8 4" xfId="21676" xr:uid="{00000000-0005-0000-0000-000087540000}"/>
    <cellStyle name="Normal 2 2 2 8 4 10" xfId="21677" xr:uid="{00000000-0005-0000-0000-000088540000}"/>
    <cellStyle name="Normal 2 2 2 8 4 2" xfId="21678" xr:uid="{00000000-0005-0000-0000-000089540000}"/>
    <cellStyle name="Normal 2 2 2 8 4 3" xfId="21679" xr:uid="{00000000-0005-0000-0000-00008A540000}"/>
    <cellStyle name="Normal 2 2 2 8 4 4" xfId="21680" xr:uid="{00000000-0005-0000-0000-00008B540000}"/>
    <cellStyle name="Normal 2 2 2 8 4 5" xfId="21681" xr:uid="{00000000-0005-0000-0000-00008C540000}"/>
    <cellStyle name="Normal 2 2 2 8 4 6" xfId="21682" xr:uid="{00000000-0005-0000-0000-00008D540000}"/>
    <cellStyle name="Normal 2 2 2 8 4 7" xfId="21683" xr:uid="{00000000-0005-0000-0000-00008E540000}"/>
    <cellStyle name="Normal 2 2 2 8 4 8" xfId="21684" xr:uid="{00000000-0005-0000-0000-00008F540000}"/>
    <cellStyle name="Normal 2 2 2 8 4 9" xfId="21685" xr:uid="{00000000-0005-0000-0000-000090540000}"/>
    <cellStyle name="Normal 2 2 2 8 5" xfId="21686" xr:uid="{00000000-0005-0000-0000-000091540000}"/>
    <cellStyle name="Normal 2 2 2 8 5 10" xfId="21687" xr:uid="{00000000-0005-0000-0000-000092540000}"/>
    <cellStyle name="Normal 2 2 2 8 5 2" xfId="21688" xr:uid="{00000000-0005-0000-0000-000093540000}"/>
    <cellStyle name="Normal 2 2 2 8 5 3" xfId="21689" xr:uid="{00000000-0005-0000-0000-000094540000}"/>
    <cellStyle name="Normal 2 2 2 8 5 4" xfId="21690" xr:uid="{00000000-0005-0000-0000-000095540000}"/>
    <cellStyle name="Normal 2 2 2 8 5 5" xfId="21691" xr:uid="{00000000-0005-0000-0000-000096540000}"/>
    <cellStyle name="Normal 2 2 2 8 5 6" xfId="21692" xr:uid="{00000000-0005-0000-0000-000097540000}"/>
    <cellStyle name="Normal 2 2 2 8 5 7" xfId="21693" xr:uid="{00000000-0005-0000-0000-000098540000}"/>
    <cellStyle name="Normal 2 2 2 8 5 8" xfId="21694" xr:uid="{00000000-0005-0000-0000-000099540000}"/>
    <cellStyle name="Normal 2 2 2 8 5 9" xfId="21695" xr:uid="{00000000-0005-0000-0000-00009A540000}"/>
    <cellStyle name="Normal 2 2 2 8 6" xfId="21696" xr:uid="{00000000-0005-0000-0000-00009B540000}"/>
    <cellStyle name="Normal 2 2 2 8 7" xfId="21697" xr:uid="{00000000-0005-0000-0000-00009C540000}"/>
    <cellStyle name="Normal 2 2 2 8 8" xfId="21698" xr:uid="{00000000-0005-0000-0000-00009D540000}"/>
    <cellStyle name="Normal 2 2 2 8 9" xfId="21699" xr:uid="{00000000-0005-0000-0000-00009E540000}"/>
    <cellStyle name="Normal 2 2 2 9" xfId="21700" xr:uid="{00000000-0005-0000-0000-00009F540000}"/>
    <cellStyle name="Normal 2 2 2 9 10" xfId="21701" xr:uid="{00000000-0005-0000-0000-0000A0540000}"/>
    <cellStyle name="Normal 2 2 2 9 11" xfId="21702" xr:uid="{00000000-0005-0000-0000-0000A1540000}"/>
    <cellStyle name="Normal 2 2 2 9 12" xfId="21703" xr:uid="{00000000-0005-0000-0000-0000A2540000}"/>
    <cellStyle name="Normal 2 2 2 9 13" xfId="21704" xr:uid="{00000000-0005-0000-0000-0000A3540000}"/>
    <cellStyle name="Normal 2 2 2 9 14" xfId="21705" xr:uid="{00000000-0005-0000-0000-0000A4540000}"/>
    <cellStyle name="Normal 2 2 2 9 2" xfId="21706" xr:uid="{00000000-0005-0000-0000-0000A5540000}"/>
    <cellStyle name="Normal 2 2 2 9 2 10" xfId="21707" xr:uid="{00000000-0005-0000-0000-0000A6540000}"/>
    <cellStyle name="Normal 2 2 2 9 2 2" xfId="21708" xr:uid="{00000000-0005-0000-0000-0000A7540000}"/>
    <cellStyle name="Normal 2 2 2 9 2 3" xfId="21709" xr:uid="{00000000-0005-0000-0000-0000A8540000}"/>
    <cellStyle name="Normal 2 2 2 9 2 4" xfId="21710" xr:uid="{00000000-0005-0000-0000-0000A9540000}"/>
    <cellStyle name="Normal 2 2 2 9 2 5" xfId="21711" xr:uid="{00000000-0005-0000-0000-0000AA540000}"/>
    <cellStyle name="Normal 2 2 2 9 2 6" xfId="21712" xr:uid="{00000000-0005-0000-0000-0000AB540000}"/>
    <cellStyle name="Normal 2 2 2 9 2 7" xfId="21713" xr:uid="{00000000-0005-0000-0000-0000AC540000}"/>
    <cellStyle name="Normal 2 2 2 9 2 8" xfId="21714" xr:uid="{00000000-0005-0000-0000-0000AD540000}"/>
    <cellStyle name="Normal 2 2 2 9 2 9" xfId="21715" xr:uid="{00000000-0005-0000-0000-0000AE540000}"/>
    <cellStyle name="Normal 2 2 2 9 3" xfId="21716" xr:uid="{00000000-0005-0000-0000-0000AF540000}"/>
    <cellStyle name="Normal 2 2 2 9 3 10" xfId="21717" xr:uid="{00000000-0005-0000-0000-0000B0540000}"/>
    <cellStyle name="Normal 2 2 2 9 3 2" xfId="21718" xr:uid="{00000000-0005-0000-0000-0000B1540000}"/>
    <cellStyle name="Normal 2 2 2 9 3 3" xfId="21719" xr:uid="{00000000-0005-0000-0000-0000B2540000}"/>
    <cellStyle name="Normal 2 2 2 9 3 4" xfId="21720" xr:uid="{00000000-0005-0000-0000-0000B3540000}"/>
    <cellStyle name="Normal 2 2 2 9 3 5" xfId="21721" xr:uid="{00000000-0005-0000-0000-0000B4540000}"/>
    <cellStyle name="Normal 2 2 2 9 3 6" xfId="21722" xr:uid="{00000000-0005-0000-0000-0000B5540000}"/>
    <cellStyle name="Normal 2 2 2 9 3 7" xfId="21723" xr:uid="{00000000-0005-0000-0000-0000B6540000}"/>
    <cellStyle name="Normal 2 2 2 9 3 8" xfId="21724" xr:uid="{00000000-0005-0000-0000-0000B7540000}"/>
    <cellStyle name="Normal 2 2 2 9 3 9" xfId="21725" xr:uid="{00000000-0005-0000-0000-0000B8540000}"/>
    <cellStyle name="Normal 2 2 2 9 4" xfId="21726" xr:uid="{00000000-0005-0000-0000-0000B9540000}"/>
    <cellStyle name="Normal 2 2 2 9 4 10" xfId="21727" xr:uid="{00000000-0005-0000-0000-0000BA540000}"/>
    <cellStyle name="Normal 2 2 2 9 4 2" xfId="21728" xr:uid="{00000000-0005-0000-0000-0000BB540000}"/>
    <cellStyle name="Normal 2 2 2 9 4 3" xfId="21729" xr:uid="{00000000-0005-0000-0000-0000BC540000}"/>
    <cellStyle name="Normal 2 2 2 9 4 4" xfId="21730" xr:uid="{00000000-0005-0000-0000-0000BD540000}"/>
    <cellStyle name="Normal 2 2 2 9 4 5" xfId="21731" xr:uid="{00000000-0005-0000-0000-0000BE540000}"/>
    <cellStyle name="Normal 2 2 2 9 4 6" xfId="21732" xr:uid="{00000000-0005-0000-0000-0000BF540000}"/>
    <cellStyle name="Normal 2 2 2 9 4 7" xfId="21733" xr:uid="{00000000-0005-0000-0000-0000C0540000}"/>
    <cellStyle name="Normal 2 2 2 9 4 8" xfId="21734" xr:uid="{00000000-0005-0000-0000-0000C1540000}"/>
    <cellStyle name="Normal 2 2 2 9 4 9" xfId="21735" xr:uid="{00000000-0005-0000-0000-0000C2540000}"/>
    <cellStyle name="Normal 2 2 2 9 5" xfId="21736" xr:uid="{00000000-0005-0000-0000-0000C3540000}"/>
    <cellStyle name="Normal 2 2 2 9 5 10" xfId="21737" xr:uid="{00000000-0005-0000-0000-0000C4540000}"/>
    <cellStyle name="Normal 2 2 2 9 5 2" xfId="21738" xr:uid="{00000000-0005-0000-0000-0000C5540000}"/>
    <cellStyle name="Normal 2 2 2 9 5 3" xfId="21739" xr:uid="{00000000-0005-0000-0000-0000C6540000}"/>
    <cellStyle name="Normal 2 2 2 9 5 4" xfId="21740" xr:uid="{00000000-0005-0000-0000-0000C7540000}"/>
    <cellStyle name="Normal 2 2 2 9 5 5" xfId="21741" xr:uid="{00000000-0005-0000-0000-0000C8540000}"/>
    <cellStyle name="Normal 2 2 2 9 5 6" xfId="21742" xr:uid="{00000000-0005-0000-0000-0000C9540000}"/>
    <cellStyle name="Normal 2 2 2 9 5 7" xfId="21743" xr:uid="{00000000-0005-0000-0000-0000CA540000}"/>
    <cellStyle name="Normal 2 2 2 9 5 8" xfId="21744" xr:uid="{00000000-0005-0000-0000-0000CB540000}"/>
    <cellStyle name="Normal 2 2 2 9 5 9" xfId="21745" xr:uid="{00000000-0005-0000-0000-0000CC540000}"/>
    <cellStyle name="Normal 2 2 2 9 6" xfId="21746" xr:uid="{00000000-0005-0000-0000-0000CD540000}"/>
    <cellStyle name="Normal 2 2 2 9 7" xfId="21747" xr:uid="{00000000-0005-0000-0000-0000CE540000}"/>
    <cellStyle name="Normal 2 2 2 9 8" xfId="21748" xr:uid="{00000000-0005-0000-0000-0000CF540000}"/>
    <cellStyle name="Normal 2 2 2 9 9" xfId="21749" xr:uid="{00000000-0005-0000-0000-0000D0540000}"/>
    <cellStyle name="Normal 2 2 20" xfId="21750" xr:uid="{00000000-0005-0000-0000-0000D1540000}"/>
    <cellStyle name="Normal 2 2 21" xfId="21751" xr:uid="{00000000-0005-0000-0000-0000D2540000}"/>
    <cellStyle name="Normal 2 2 22" xfId="21752" xr:uid="{00000000-0005-0000-0000-0000D3540000}"/>
    <cellStyle name="Normal 2 2 23" xfId="21753" xr:uid="{00000000-0005-0000-0000-0000D4540000}"/>
    <cellStyle name="Normal 2 2 24" xfId="21754" xr:uid="{00000000-0005-0000-0000-0000D5540000}"/>
    <cellStyle name="Normal 2 2 25" xfId="21755" xr:uid="{00000000-0005-0000-0000-0000D6540000}"/>
    <cellStyle name="Normal 2 2 26" xfId="21756" xr:uid="{00000000-0005-0000-0000-0000D7540000}"/>
    <cellStyle name="Normal 2 2 27" xfId="21757" xr:uid="{00000000-0005-0000-0000-0000D8540000}"/>
    <cellStyle name="Normal 2 2 28" xfId="21758" xr:uid="{00000000-0005-0000-0000-0000D9540000}"/>
    <cellStyle name="Normal 2 2 29" xfId="21759" xr:uid="{00000000-0005-0000-0000-0000DA540000}"/>
    <cellStyle name="Normal 2 2 3" xfId="26" xr:uid="{00000000-0005-0000-0000-0000DB540000}"/>
    <cellStyle name="Normal 2 2 3 2" xfId="53" xr:uid="{00000000-0005-0000-0000-0000DC540000}"/>
    <cellStyle name="Normal 2 2 3 2 2" xfId="21761" xr:uid="{00000000-0005-0000-0000-0000DD540000}"/>
    <cellStyle name="Normal 2 2 3 3" xfId="21762" xr:uid="{00000000-0005-0000-0000-0000DE540000}"/>
    <cellStyle name="Normal 2 2 3 4" xfId="21763" xr:uid="{00000000-0005-0000-0000-0000DF540000}"/>
    <cellStyle name="Normal 2 2 3 5" xfId="21760" xr:uid="{00000000-0005-0000-0000-0000E0540000}"/>
    <cellStyle name="Normal 2 2 30" xfId="21764" xr:uid="{00000000-0005-0000-0000-0000E1540000}"/>
    <cellStyle name="Normal 2 2 31" xfId="21765" xr:uid="{00000000-0005-0000-0000-0000E2540000}"/>
    <cellStyle name="Normal 2 2 32" xfId="21766" xr:uid="{00000000-0005-0000-0000-0000E3540000}"/>
    <cellStyle name="Normal 2 2 33" xfId="21767" xr:uid="{00000000-0005-0000-0000-0000E4540000}"/>
    <cellStyle name="Normal 2 2 34" xfId="21768" xr:uid="{00000000-0005-0000-0000-0000E5540000}"/>
    <cellStyle name="Normal 2 2 35" xfId="21769" xr:uid="{00000000-0005-0000-0000-0000E6540000}"/>
    <cellStyle name="Normal 2 2 36" xfId="21770" xr:uid="{00000000-0005-0000-0000-0000E7540000}"/>
    <cellStyle name="Normal 2 2 37" xfId="21771" xr:uid="{00000000-0005-0000-0000-0000E8540000}"/>
    <cellStyle name="Normal 2 2 38" xfId="21772" xr:uid="{00000000-0005-0000-0000-0000E9540000}"/>
    <cellStyle name="Normal 2 2 39" xfId="21773" xr:uid="{00000000-0005-0000-0000-0000EA540000}"/>
    <cellStyle name="Normal 2 2 4" xfId="15" xr:uid="{00000000-0005-0000-0000-0000EB540000}"/>
    <cellStyle name="Normal 2 2 4 10" xfId="21775" xr:uid="{00000000-0005-0000-0000-0000EC540000}"/>
    <cellStyle name="Normal 2 2 4 10 10" xfId="21776" xr:uid="{00000000-0005-0000-0000-0000ED540000}"/>
    <cellStyle name="Normal 2 2 4 10 11" xfId="21777" xr:uid="{00000000-0005-0000-0000-0000EE540000}"/>
    <cellStyle name="Normal 2 2 4 10 12" xfId="21778" xr:uid="{00000000-0005-0000-0000-0000EF540000}"/>
    <cellStyle name="Normal 2 2 4 10 13" xfId="21779" xr:uid="{00000000-0005-0000-0000-0000F0540000}"/>
    <cellStyle name="Normal 2 2 4 10 14" xfId="21780" xr:uid="{00000000-0005-0000-0000-0000F1540000}"/>
    <cellStyle name="Normal 2 2 4 10 2" xfId="21781" xr:uid="{00000000-0005-0000-0000-0000F2540000}"/>
    <cellStyle name="Normal 2 2 4 10 2 10" xfId="21782" xr:uid="{00000000-0005-0000-0000-0000F3540000}"/>
    <cellStyle name="Normal 2 2 4 10 2 2" xfId="21783" xr:uid="{00000000-0005-0000-0000-0000F4540000}"/>
    <cellStyle name="Normal 2 2 4 10 2 3" xfId="21784" xr:uid="{00000000-0005-0000-0000-0000F5540000}"/>
    <cellStyle name="Normal 2 2 4 10 2 4" xfId="21785" xr:uid="{00000000-0005-0000-0000-0000F6540000}"/>
    <cellStyle name="Normal 2 2 4 10 2 5" xfId="21786" xr:uid="{00000000-0005-0000-0000-0000F7540000}"/>
    <cellStyle name="Normal 2 2 4 10 2 6" xfId="21787" xr:uid="{00000000-0005-0000-0000-0000F8540000}"/>
    <cellStyle name="Normal 2 2 4 10 2 7" xfId="21788" xr:uid="{00000000-0005-0000-0000-0000F9540000}"/>
    <cellStyle name="Normal 2 2 4 10 2 8" xfId="21789" xr:uid="{00000000-0005-0000-0000-0000FA540000}"/>
    <cellStyle name="Normal 2 2 4 10 2 9" xfId="21790" xr:uid="{00000000-0005-0000-0000-0000FB540000}"/>
    <cellStyle name="Normal 2 2 4 10 3" xfId="21791" xr:uid="{00000000-0005-0000-0000-0000FC540000}"/>
    <cellStyle name="Normal 2 2 4 10 3 10" xfId="21792" xr:uid="{00000000-0005-0000-0000-0000FD540000}"/>
    <cellStyle name="Normal 2 2 4 10 3 2" xfId="21793" xr:uid="{00000000-0005-0000-0000-0000FE540000}"/>
    <cellStyle name="Normal 2 2 4 10 3 3" xfId="21794" xr:uid="{00000000-0005-0000-0000-0000FF540000}"/>
    <cellStyle name="Normal 2 2 4 10 3 4" xfId="21795" xr:uid="{00000000-0005-0000-0000-000000550000}"/>
    <cellStyle name="Normal 2 2 4 10 3 5" xfId="21796" xr:uid="{00000000-0005-0000-0000-000001550000}"/>
    <cellStyle name="Normal 2 2 4 10 3 6" xfId="21797" xr:uid="{00000000-0005-0000-0000-000002550000}"/>
    <cellStyle name="Normal 2 2 4 10 3 7" xfId="21798" xr:uid="{00000000-0005-0000-0000-000003550000}"/>
    <cellStyle name="Normal 2 2 4 10 3 8" xfId="21799" xr:uid="{00000000-0005-0000-0000-000004550000}"/>
    <cellStyle name="Normal 2 2 4 10 3 9" xfId="21800" xr:uid="{00000000-0005-0000-0000-000005550000}"/>
    <cellStyle name="Normal 2 2 4 10 4" xfId="21801" xr:uid="{00000000-0005-0000-0000-000006550000}"/>
    <cellStyle name="Normal 2 2 4 10 4 10" xfId="21802" xr:uid="{00000000-0005-0000-0000-000007550000}"/>
    <cellStyle name="Normal 2 2 4 10 4 2" xfId="21803" xr:uid="{00000000-0005-0000-0000-000008550000}"/>
    <cellStyle name="Normal 2 2 4 10 4 3" xfId="21804" xr:uid="{00000000-0005-0000-0000-000009550000}"/>
    <cellStyle name="Normal 2 2 4 10 4 4" xfId="21805" xr:uid="{00000000-0005-0000-0000-00000A550000}"/>
    <cellStyle name="Normal 2 2 4 10 4 5" xfId="21806" xr:uid="{00000000-0005-0000-0000-00000B550000}"/>
    <cellStyle name="Normal 2 2 4 10 4 6" xfId="21807" xr:uid="{00000000-0005-0000-0000-00000C550000}"/>
    <cellStyle name="Normal 2 2 4 10 4 7" xfId="21808" xr:uid="{00000000-0005-0000-0000-00000D550000}"/>
    <cellStyle name="Normal 2 2 4 10 4 8" xfId="21809" xr:uid="{00000000-0005-0000-0000-00000E550000}"/>
    <cellStyle name="Normal 2 2 4 10 4 9" xfId="21810" xr:uid="{00000000-0005-0000-0000-00000F550000}"/>
    <cellStyle name="Normal 2 2 4 10 5" xfId="21811" xr:uid="{00000000-0005-0000-0000-000010550000}"/>
    <cellStyle name="Normal 2 2 4 10 5 10" xfId="21812" xr:uid="{00000000-0005-0000-0000-000011550000}"/>
    <cellStyle name="Normal 2 2 4 10 5 2" xfId="21813" xr:uid="{00000000-0005-0000-0000-000012550000}"/>
    <cellStyle name="Normal 2 2 4 10 5 3" xfId="21814" xr:uid="{00000000-0005-0000-0000-000013550000}"/>
    <cellStyle name="Normal 2 2 4 10 5 4" xfId="21815" xr:uid="{00000000-0005-0000-0000-000014550000}"/>
    <cellStyle name="Normal 2 2 4 10 5 5" xfId="21816" xr:uid="{00000000-0005-0000-0000-000015550000}"/>
    <cellStyle name="Normal 2 2 4 10 5 6" xfId="21817" xr:uid="{00000000-0005-0000-0000-000016550000}"/>
    <cellStyle name="Normal 2 2 4 10 5 7" xfId="21818" xr:uid="{00000000-0005-0000-0000-000017550000}"/>
    <cellStyle name="Normal 2 2 4 10 5 8" xfId="21819" xr:uid="{00000000-0005-0000-0000-000018550000}"/>
    <cellStyle name="Normal 2 2 4 10 5 9" xfId="21820" xr:uid="{00000000-0005-0000-0000-000019550000}"/>
    <cellStyle name="Normal 2 2 4 10 6" xfId="21821" xr:uid="{00000000-0005-0000-0000-00001A550000}"/>
    <cellStyle name="Normal 2 2 4 10 7" xfId="21822" xr:uid="{00000000-0005-0000-0000-00001B550000}"/>
    <cellStyle name="Normal 2 2 4 10 8" xfId="21823" xr:uid="{00000000-0005-0000-0000-00001C550000}"/>
    <cellStyle name="Normal 2 2 4 10 9" xfId="21824" xr:uid="{00000000-0005-0000-0000-00001D550000}"/>
    <cellStyle name="Normal 2 2 4 11" xfId="21825" xr:uid="{00000000-0005-0000-0000-00001E550000}"/>
    <cellStyle name="Normal 2 2 4 11 10" xfId="21826" xr:uid="{00000000-0005-0000-0000-00001F550000}"/>
    <cellStyle name="Normal 2 2 4 11 11" xfId="21827" xr:uid="{00000000-0005-0000-0000-000020550000}"/>
    <cellStyle name="Normal 2 2 4 11 12" xfId="21828" xr:uid="{00000000-0005-0000-0000-000021550000}"/>
    <cellStyle name="Normal 2 2 4 11 13" xfId="21829" xr:uid="{00000000-0005-0000-0000-000022550000}"/>
    <cellStyle name="Normal 2 2 4 11 14" xfId="21830" xr:uid="{00000000-0005-0000-0000-000023550000}"/>
    <cellStyle name="Normal 2 2 4 11 2" xfId="21831" xr:uid="{00000000-0005-0000-0000-000024550000}"/>
    <cellStyle name="Normal 2 2 4 11 2 10" xfId="21832" xr:uid="{00000000-0005-0000-0000-000025550000}"/>
    <cellStyle name="Normal 2 2 4 11 2 2" xfId="21833" xr:uid="{00000000-0005-0000-0000-000026550000}"/>
    <cellStyle name="Normal 2 2 4 11 2 3" xfId="21834" xr:uid="{00000000-0005-0000-0000-000027550000}"/>
    <cellStyle name="Normal 2 2 4 11 2 4" xfId="21835" xr:uid="{00000000-0005-0000-0000-000028550000}"/>
    <cellStyle name="Normal 2 2 4 11 2 5" xfId="21836" xr:uid="{00000000-0005-0000-0000-000029550000}"/>
    <cellStyle name="Normal 2 2 4 11 2 6" xfId="21837" xr:uid="{00000000-0005-0000-0000-00002A550000}"/>
    <cellStyle name="Normal 2 2 4 11 2 7" xfId="21838" xr:uid="{00000000-0005-0000-0000-00002B550000}"/>
    <cellStyle name="Normal 2 2 4 11 2 8" xfId="21839" xr:uid="{00000000-0005-0000-0000-00002C550000}"/>
    <cellStyle name="Normal 2 2 4 11 2 9" xfId="21840" xr:uid="{00000000-0005-0000-0000-00002D550000}"/>
    <cellStyle name="Normal 2 2 4 11 3" xfId="21841" xr:uid="{00000000-0005-0000-0000-00002E550000}"/>
    <cellStyle name="Normal 2 2 4 11 3 10" xfId="21842" xr:uid="{00000000-0005-0000-0000-00002F550000}"/>
    <cellStyle name="Normal 2 2 4 11 3 2" xfId="21843" xr:uid="{00000000-0005-0000-0000-000030550000}"/>
    <cellStyle name="Normal 2 2 4 11 3 3" xfId="21844" xr:uid="{00000000-0005-0000-0000-000031550000}"/>
    <cellStyle name="Normal 2 2 4 11 3 4" xfId="21845" xr:uid="{00000000-0005-0000-0000-000032550000}"/>
    <cellStyle name="Normal 2 2 4 11 3 5" xfId="21846" xr:uid="{00000000-0005-0000-0000-000033550000}"/>
    <cellStyle name="Normal 2 2 4 11 3 6" xfId="21847" xr:uid="{00000000-0005-0000-0000-000034550000}"/>
    <cellStyle name="Normal 2 2 4 11 3 7" xfId="21848" xr:uid="{00000000-0005-0000-0000-000035550000}"/>
    <cellStyle name="Normal 2 2 4 11 3 8" xfId="21849" xr:uid="{00000000-0005-0000-0000-000036550000}"/>
    <cellStyle name="Normal 2 2 4 11 3 9" xfId="21850" xr:uid="{00000000-0005-0000-0000-000037550000}"/>
    <cellStyle name="Normal 2 2 4 11 4" xfId="21851" xr:uid="{00000000-0005-0000-0000-000038550000}"/>
    <cellStyle name="Normal 2 2 4 11 4 10" xfId="21852" xr:uid="{00000000-0005-0000-0000-000039550000}"/>
    <cellStyle name="Normal 2 2 4 11 4 2" xfId="21853" xr:uid="{00000000-0005-0000-0000-00003A550000}"/>
    <cellStyle name="Normal 2 2 4 11 4 3" xfId="21854" xr:uid="{00000000-0005-0000-0000-00003B550000}"/>
    <cellStyle name="Normal 2 2 4 11 4 4" xfId="21855" xr:uid="{00000000-0005-0000-0000-00003C550000}"/>
    <cellStyle name="Normal 2 2 4 11 4 5" xfId="21856" xr:uid="{00000000-0005-0000-0000-00003D550000}"/>
    <cellStyle name="Normal 2 2 4 11 4 6" xfId="21857" xr:uid="{00000000-0005-0000-0000-00003E550000}"/>
    <cellStyle name="Normal 2 2 4 11 4 7" xfId="21858" xr:uid="{00000000-0005-0000-0000-00003F550000}"/>
    <cellStyle name="Normal 2 2 4 11 4 8" xfId="21859" xr:uid="{00000000-0005-0000-0000-000040550000}"/>
    <cellStyle name="Normal 2 2 4 11 4 9" xfId="21860" xr:uid="{00000000-0005-0000-0000-000041550000}"/>
    <cellStyle name="Normal 2 2 4 11 5" xfId="21861" xr:uid="{00000000-0005-0000-0000-000042550000}"/>
    <cellStyle name="Normal 2 2 4 11 5 10" xfId="21862" xr:uid="{00000000-0005-0000-0000-000043550000}"/>
    <cellStyle name="Normal 2 2 4 11 5 2" xfId="21863" xr:uid="{00000000-0005-0000-0000-000044550000}"/>
    <cellStyle name="Normal 2 2 4 11 5 3" xfId="21864" xr:uid="{00000000-0005-0000-0000-000045550000}"/>
    <cellStyle name="Normal 2 2 4 11 5 4" xfId="21865" xr:uid="{00000000-0005-0000-0000-000046550000}"/>
    <cellStyle name="Normal 2 2 4 11 5 5" xfId="21866" xr:uid="{00000000-0005-0000-0000-000047550000}"/>
    <cellStyle name="Normal 2 2 4 11 5 6" xfId="21867" xr:uid="{00000000-0005-0000-0000-000048550000}"/>
    <cellStyle name="Normal 2 2 4 11 5 7" xfId="21868" xr:uid="{00000000-0005-0000-0000-000049550000}"/>
    <cellStyle name="Normal 2 2 4 11 5 8" xfId="21869" xr:uid="{00000000-0005-0000-0000-00004A550000}"/>
    <cellStyle name="Normal 2 2 4 11 5 9" xfId="21870" xr:uid="{00000000-0005-0000-0000-00004B550000}"/>
    <cellStyle name="Normal 2 2 4 11 6" xfId="21871" xr:uid="{00000000-0005-0000-0000-00004C550000}"/>
    <cellStyle name="Normal 2 2 4 11 7" xfId="21872" xr:uid="{00000000-0005-0000-0000-00004D550000}"/>
    <cellStyle name="Normal 2 2 4 11 8" xfId="21873" xr:uid="{00000000-0005-0000-0000-00004E550000}"/>
    <cellStyle name="Normal 2 2 4 11 9" xfId="21874" xr:uid="{00000000-0005-0000-0000-00004F550000}"/>
    <cellStyle name="Normal 2 2 4 12" xfId="21875" xr:uid="{00000000-0005-0000-0000-000050550000}"/>
    <cellStyle name="Normal 2 2 4 12 10" xfId="21876" xr:uid="{00000000-0005-0000-0000-000051550000}"/>
    <cellStyle name="Normal 2 2 4 12 11" xfId="21877" xr:uid="{00000000-0005-0000-0000-000052550000}"/>
    <cellStyle name="Normal 2 2 4 12 12" xfId="21878" xr:uid="{00000000-0005-0000-0000-000053550000}"/>
    <cellStyle name="Normal 2 2 4 12 13" xfId="21879" xr:uid="{00000000-0005-0000-0000-000054550000}"/>
    <cellStyle name="Normal 2 2 4 12 14" xfId="21880" xr:uid="{00000000-0005-0000-0000-000055550000}"/>
    <cellStyle name="Normal 2 2 4 12 2" xfId="21881" xr:uid="{00000000-0005-0000-0000-000056550000}"/>
    <cellStyle name="Normal 2 2 4 12 2 10" xfId="21882" xr:uid="{00000000-0005-0000-0000-000057550000}"/>
    <cellStyle name="Normal 2 2 4 12 2 2" xfId="21883" xr:uid="{00000000-0005-0000-0000-000058550000}"/>
    <cellStyle name="Normal 2 2 4 12 2 3" xfId="21884" xr:uid="{00000000-0005-0000-0000-000059550000}"/>
    <cellStyle name="Normal 2 2 4 12 2 4" xfId="21885" xr:uid="{00000000-0005-0000-0000-00005A550000}"/>
    <cellStyle name="Normal 2 2 4 12 2 5" xfId="21886" xr:uid="{00000000-0005-0000-0000-00005B550000}"/>
    <cellStyle name="Normal 2 2 4 12 2 6" xfId="21887" xr:uid="{00000000-0005-0000-0000-00005C550000}"/>
    <cellStyle name="Normal 2 2 4 12 2 7" xfId="21888" xr:uid="{00000000-0005-0000-0000-00005D550000}"/>
    <cellStyle name="Normal 2 2 4 12 2 8" xfId="21889" xr:uid="{00000000-0005-0000-0000-00005E550000}"/>
    <cellStyle name="Normal 2 2 4 12 2 9" xfId="21890" xr:uid="{00000000-0005-0000-0000-00005F550000}"/>
    <cellStyle name="Normal 2 2 4 12 3" xfId="21891" xr:uid="{00000000-0005-0000-0000-000060550000}"/>
    <cellStyle name="Normal 2 2 4 12 3 10" xfId="21892" xr:uid="{00000000-0005-0000-0000-000061550000}"/>
    <cellStyle name="Normal 2 2 4 12 3 2" xfId="21893" xr:uid="{00000000-0005-0000-0000-000062550000}"/>
    <cellStyle name="Normal 2 2 4 12 3 3" xfId="21894" xr:uid="{00000000-0005-0000-0000-000063550000}"/>
    <cellStyle name="Normal 2 2 4 12 3 4" xfId="21895" xr:uid="{00000000-0005-0000-0000-000064550000}"/>
    <cellStyle name="Normal 2 2 4 12 3 5" xfId="21896" xr:uid="{00000000-0005-0000-0000-000065550000}"/>
    <cellStyle name="Normal 2 2 4 12 3 6" xfId="21897" xr:uid="{00000000-0005-0000-0000-000066550000}"/>
    <cellStyle name="Normal 2 2 4 12 3 7" xfId="21898" xr:uid="{00000000-0005-0000-0000-000067550000}"/>
    <cellStyle name="Normal 2 2 4 12 3 8" xfId="21899" xr:uid="{00000000-0005-0000-0000-000068550000}"/>
    <cellStyle name="Normal 2 2 4 12 3 9" xfId="21900" xr:uid="{00000000-0005-0000-0000-000069550000}"/>
    <cellStyle name="Normal 2 2 4 12 4" xfId="21901" xr:uid="{00000000-0005-0000-0000-00006A550000}"/>
    <cellStyle name="Normal 2 2 4 12 4 10" xfId="21902" xr:uid="{00000000-0005-0000-0000-00006B550000}"/>
    <cellStyle name="Normal 2 2 4 12 4 2" xfId="21903" xr:uid="{00000000-0005-0000-0000-00006C550000}"/>
    <cellStyle name="Normal 2 2 4 12 4 3" xfId="21904" xr:uid="{00000000-0005-0000-0000-00006D550000}"/>
    <cellStyle name="Normal 2 2 4 12 4 4" xfId="21905" xr:uid="{00000000-0005-0000-0000-00006E550000}"/>
    <cellStyle name="Normal 2 2 4 12 4 5" xfId="21906" xr:uid="{00000000-0005-0000-0000-00006F550000}"/>
    <cellStyle name="Normal 2 2 4 12 4 6" xfId="21907" xr:uid="{00000000-0005-0000-0000-000070550000}"/>
    <cellStyle name="Normal 2 2 4 12 4 7" xfId="21908" xr:uid="{00000000-0005-0000-0000-000071550000}"/>
    <cellStyle name="Normal 2 2 4 12 4 8" xfId="21909" xr:uid="{00000000-0005-0000-0000-000072550000}"/>
    <cellStyle name="Normal 2 2 4 12 4 9" xfId="21910" xr:uid="{00000000-0005-0000-0000-000073550000}"/>
    <cellStyle name="Normal 2 2 4 12 5" xfId="21911" xr:uid="{00000000-0005-0000-0000-000074550000}"/>
    <cellStyle name="Normal 2 2 4 12 5 10" xfId="21912" xr:uid="{00000000-0005-0000-0000-000075550000}"/>
    <cellStyle name="Normal 2 2 4 12 5 2" xfId="21913" xr:uid="{00000000-0005-0000-0000-000076550000}"/>
    <cellStyle name="Normal 2 2 4 12 5 3" xfId="21914" xr:uid="{00000000-0005-0000-0000-000077550000}"/>
    <cellStyle name="Normal 2 2 4 12 5 4" xfId="21915" xr:uid="{00000000-0005-0000-0000-000078550000}"/>
    <cellStyle name="Normal 2 2 4 12 5 5" xfId="21916" xr:uid="{00000000-0005-0000-0000-000079550000}"/>
    <cellStyle name="Normal 2 2 4 12 5 6" xfId="21917" xr:uid="{00000000-0005-0000-0000-00007A550000}"/>
    <cellStyle name="Normal 2 2 4 12 5 7" xfId="21918" xr:uid="{00000000-0005-0000-0000-00007B550000}"/>
    <cellStyle name="Normal 2 2 4 12 5 8" xfId="21919" xr:uid="{00000000-0005-0000-0000-00007C550000}"/>
    <cellStyle name="Normal 2 2 4 12 5 9" xfId="21920" xr:uid="{00000000-0005-0000-0000-00007D550000}"/>
    <cellStyle name="Normal 2 2 4 12 6" xfId="21921" xr:uid="{00000000-0005-0000-0000-00007E550000}"/>
    <cellStyle name="Normal 2 2 4 12 7" xfId="21922" xr:uid="{00000000-0005-0000-0000-00007F550000}"/>
    <cellStyle name="Normal 2 2 4 12 8" xfId="21923" xr:uid="{00000000-0005-0000-0000-000080550000}"/>
    <cellStyle name="Normal 2 2 4 12 9" xfId="21924" xr:uid="{00000000-0005-0000-0000-000081550000}"/>
    <cellStyle name="Normal 2 2 4 13" xfId="21925" xr:uid="{00000000-0005-0000-0000-000082550000}"/>
    <cellStyle name="Normal 2 2 4 13 10" xfId="21926" xr:uid="{00000000-0005-0000-0000-000083550000}"/>
    <cellStyle name="Normal 2 2 4 13 11" xfId="21927" xr:uid="{00000000-0005-0000-0000-000084550000}"/>
    <cellStyle name="Normal 2 2 4 13 12" xfId="21928" xr:uid="{00000000-0005-0000-0000-000085550000}"/>
    <cellStyle name="Normal 2 2 4 13 13" xfId="21929" xr:uid="{00000000-0005-0000-0000-000086550000}"/>
    <cellStyle name="Normal 2 2 4 13 14" xfId="21930" xr:uid="{00000000-0005-0000-0000-000087550000}"/>
    <cellStyle name="Normal 2 2 4 13 2" xfId="21931" xr:uid="{00000000-0005-0000-0000-000088550000}"/>
    <cellStyle name="Normal 2 2 4 13 2 10" xfId="21932" xr:uid="{00000000-0005-0000-0000-000089550000}"/>
    <cellStyle name="Normal 2 2 4 13 2 2" xfId="21933" xr:uid="{00000000-0005-0000-0000-00008A550000}"/>
    <cellStyle name="Normal 2 2 4 13 2 3" xfId="21934" xr:uid="{00000000-0005-0000-0000-00008B550000}"/>
    <cellStyle name="Normal 2 2 4 13 2 4" xfId="21935" xr:uid="{00000000-0005-0000-0000-00008C550000}"/>
    <cellStyle name="Normal 2 2 4 13 2 5" xfId="21936" xr:uid="{00000000-0005-0000-0000-00008D550000}"/>
    <cellStyle name="Normal 2 2 4 13 2 6" xfId="21937" xr:uid="{00000000-0005-0000-0000-00008E550000}"/>
    <cellStyle name="Normal 2 2 4 13 2 7" xfId="21938" xr:uid="{00000000-0005-0000-0000-00008F550000}"/>
    <cellStyle name="Normal 2 2 4 13 2 8" xfId="21939" xr:uid="{00000000-0005-0000-0000-000090550000}"/>
    <cellStyle name="Normal 2 2 4 13 2 9" xfId="21940" xr:uid="{00000000-0005-0000-0000-000091550000}"/>
    <cellStyle name="Normal 2 2 4 13 3" xfId="21941" xr:uid="{00000000-0005-0000-0000-000092550000}"/>
    <cellStyle name="Normal 2 2 4 13 3 10" xfId="21942" xr:uid="{00000000-0005-0000-0000-000093550000}"/>
    <cellStyle name="Normal 2 2 4 13 3 2" xfId="21943" xr:uid="{00000000-0005-0000-0000-000094550000}"/>
    <cellStyle name="Normal 2 2 4 13 3 3" xfId="21944" xr:uid="{00000000-0005-0000-0000-000095550000}"/>
    <cellStyle name="Normal 2 2 4 13 3 4" xfId="21945" xr:uid="{00000000-0005-0000-0000-000096550000}"/>
    <cellStyle name="Normal 2 2 4 13 3 5" xfId="21946" xr:uid="{00000000-0005-0000-0000-000097550000}"/>
    <cellStyle name="Normal 2 2 4 13 3 6" xfId="21947" xr:uid="{00000000-0005-0000-0000-000098550000}"/>
    <cellStyle name="Normal 2 2 4 13 3 7" xfId="21948" xr:uid="{00000000-0005-0000-0000-000099550000}"/>
    <cellStyle name="Normal 2 2 4 13 3 8" xfId="21949" xr:uid="{00000000-0005-0000-0000-00009A550000}"/>
    <cellStyle name="Normal 2 2 4 13 3 9" xfId="21950" xr:uid="{00000000-0005-0000-0000-00009B550000}"/>
    <cellStyle name="Normal 2 2 4 13 4" xfId="21951" xr:uid="{00000000-0005-0000-0000-00009C550000}"/>
    <cellStyle name="Normal 2 2 4 13 4 10" xfId="21952" xr:uid="{00000000-0005-0000-0000-00009D550000}"/>
    <cellStyle name="Normal 2 2 4 13 4 2" xfId="21953" xr:uid="{00000000-0005-0000-0000-00009E550000}"/>
    <cellStyle name="Normal 2 2 4 13 4 3" xfId="21954" xr:uid="{00000000-0005-0000-0000-00009F550000}"/>
    <cellStyle name="Normal 2 2 4 13 4 4" xfId="21955" xr:uid="{00000000-0005-0000-0000-0000A0550000}"/>
    <cellStyle name="Normal 2 2 4 13 4 5" xfId="21956" xr:uid="{00000000-0005-0000-0000-0000A1550000}"/>
    <cellStyle name="Normal 2 2 4 13 4 6" xfId="21957" xr:uid="{00000000-0005-0000-0000-0000A2550000}"/>
    <cellStyle name="Normal 2 2 4 13 4 7" xfId="21958" xr:uid="{00000000-0005-0000-0000-0000A3550000}"/>
    <cellStyle name="Normal 2 2 4 13 4 8" xfId="21959" xr:uid="{00000000-0005-0000-0000-0000A4550000}"/>
    <cellStyle name="Normal 2 2 4 13 4 9" xfId="21960" xr:uid="{00000000-0005-0000-0000-0000A5550000}"/>
    <cellStyle name="Normal 2 2 4 13 5" xfId="21961" xr:uid="{00000000-0005-0000-0000-0000A6550000}"/>
    <cellStyle name="Normal 2 2 4 13 5 10" xfId="21962" xr:uid="{00000000-0005-0000-0000-0000A7550000}"/>
    <cellStyle name="Normal 2 2 4 13 5 2" xfId="21963" xr:uid="{00000000-0005-0000-0000-0000A8550000}"/>
    <cellStyle name="Normal 2 2 4 13 5 3" xfId="21964" xr:uid="{00000000-0005-0000-0000-0000A9550000}"/>
    <cellStyle name="Normal 2 2 4 13 5 4" xfId="21965" xr:uid="{00000000-0005-0000-0000-0000AA550000}"/>
    <cellStyle name="Normal 2 2 4 13 5 5" xfId="21966" xr:uid="{00000000-0005-0000-0000-0000AB550000}"/>
    <cellStyle name="Normal 2 2 4 13 5 6" xfId="21967" xr:uid="{00000000-0005-0000-0000-0000AC550000}"/>
    <cellStyle name="Normal 2 2 4 13 5 7" xfId="21968" xr:uid="{00000000-0005-0000-0000-0000AD550000}"/>
    <cellStyle name="Normal 2 2 4 13 5 8" xfId="21969" xr:uid="{00000000-0005-0000-0000-0000AE550000}"/>
    <cellStyle name="Normal 2 2 4 13 5 9" xfId="21970" xr:uid="{00000000-0005-0000-0000-0000AF550000}"/>
    <cellStyle name="Normal 2 2 4 13 6" xfId="21971" xr:uid="{00000000-0005-0000-0000-0000B0550000}"/>
    <cellStyle name="Normal 2 2 4 13 7" xfId="21972" xr:uid="{00000000-0005-0000-0000-0000B1550000}"/>
    <cellStyle name="Normal 2 2 4 13 8" xfId="21973" xr:uid="{00000000-0005-0000-0000-0000B2550000}"/>
    <cellStyle name="Normal 2 2 4 13 9" xfId="21974" xr:uid="{00000000-0005-0000-0000-0000B3550000}"/>
    <cellStyle name="Normal 2 2 4 14" xfId="21975" xr:uid="{00000000-0005-0000-0000-0000B4550000}"/>
    <cellStyle name="Normal 2 2 4 14 10" xfId="21976" xr:uid="{00000000-0005-0000-0000-0000B5550000}"/>
    <cellStyle name="Normal 2 2 4 14 11" xfId="21977" xr:uid="{00000000-0005-0000-0000-0000B6550000}"/>
    <cellStyle name="Normal 2 2 4 14 12" xfId="21978" xr:uid="{00000000-0005-0000-0000-0000B7550000}"/>
    <cellStyle name="Normal 2 2 4 14 13" xfId="21979" xr:uid="{00000000-0005-0000-0000-0000B8550000}"/>
    <cellStyle name="Normal 2 2 4 14 14" xfId="21980" xr:uid="{00000000-0005-0000-0000-0000B9550000}"/>
    <cellStyle name="Normal 2 2 4 14 2" xfId="21981" xr:uid="{00000000-0005-0000-0000-0000BA550000}"/>
    <cellStyle name="Normal 2 2 4 14 2 10" xfId="21982" xr:uid="{00000000-0005-0000-0000-0000BB550000}"/>
    <cellStyle name="Normal 2 2 4 14 2 2" xfId="21983" xr:uid="{00000000-0005-0000-0000-0000BC550000}"/>
    <cellStyle name="Normal 2 2 4 14 2 3" xfId="21984" xr:uid="{00000000-0005-0000-0000-0000BD550000}"/>
    <cellStyle name="Normal 2 2 4 14 2 4" xfId="21985" xr:uid="{00000000-0005-0000-0000-0000BE550000}"/>
    <cellStyle name="Normal 2 2 4 14 2 5" xfId="21986" xr:uid="{00000000-0005-0000-0000-0000BF550000}"/>
    <cellStyle name="Normal 2 2 4 14 2 6" xfId="21987" xr:uid="{00000000-0005-0000-0000-0000C0550000}"/>
    <cellStyle name="Normal 2 2 4 14 2 7" xfId="21988" xr:uid="{00000000-0005-0000-0000-0000C1550000}"/>
    <cellStyle name="Normal 2 2 4 14 2 8" xfId="21989" xr:uid="{00000000-0005-0000-0000-0000C2550000}"/>
    <cellStyle name="Normal 2 2 4 14 2 9" xfId="21990" xr:uid="{00000000-0005-0000-0000-0000C3550000}"/>
    <cellStyle name="Normal 2 2 4 14 3" xfId="21991" xr:uid="{00000000-0005-0000-0000-0000C4550000}"/>
    <cellStyle name="Normal 2 2 4 14 3 10" xfId="21992" xr:uid="{00000000-0005-0000-0000-0000C5550000}"/>
    <cellStyle name="Normal 2 2 4 14 3 2" xfId="21993" xr:uid="{00000000-0005-0000-0000-0000C6550000}"/>
    <cellStyle name="Normal 2 2 4 14 3 3" xfId="21994" xr:uid="{00000000-0005-0000-0000-0000C7550000}"/>
    <cellStyle name="Normal 2 2 4 14 3 4" xfId="21995" xr:uid="{00000000-0005-0000-0000-0000C8550000}"/>
    <cellStyle name="Normal 2 2 4 14 3 5" xfId="21996" xr:uid="{00000000-0005-0000-0000-0000C9550000}"/>
    <cellStyle name="Normal 2 2 4 14 3 6" xfId="21997" xr:uid="{00000000-0005-0000-0000-0000CA550000}"/>
    <cellStyle name="Normal 2 2 4 14 3 7" xfId="21998" xr:uid="{00000000-0005-0000-0000-0000CB550000}"/>
    <cellStyle name="Normal 2 2 4 14 3 8" xfId="21999" xr:uid="{00000000-0005-0000-0000-0000CC550000}"/>
    <cellStyle name="Normal 2 2 4 14 3 9" xfId="22000" xr:uid="{00000000-0005-0000-0000-0000CD550000}"/>
    <cellStyle name="Normal 2 2 4 14 4" xfId="22001" xr:uid="{00000000-0005-0000-0000-0000CE550000}"/>
    <cellStyle name="Normal 2 2 4 14 4 10" xfId="22002" xr:uid="{00000000-0005-0000-0000-0000CF550000}"/>
    <cellStyle name="Normal 2 2 4 14 4 2" xfId="22003" xr:uid="{00000000-0005-0000-0000-0000D0550000}"/>
    <cellStyle name="Normal 2 2 4 14 4 3" xfId="22004" xr:uid="{00000000-0005-0000-0000-0000D1550000}"/>
    <cellStyle name="Normal 2 2 4 14 4 4" xfId="22005" xr:uid="{00000000-0005-0000-0000-0000D2550000}"/>
    <cellStyle name="Normal 2 2 4 14 4 5" xfId="22006" xr:uid="{00000000-0005-0000-0000-0000D3550000}"/>
    <cellStyle name="Normal 2 2 4 14 4 6" xfId="22007" xr:uid="{00000000-0005-0000-0000-0000D4550000}"/>
    <cellStyle name="Normal 2 2 4 14 4 7" xfId="22008" xr:uid="{00000000-0005-0000-0000-0000D5550000}"/>
    <cellStyle name="Normal 2 2 4 14 4 8" xfId="22009" xr:uid="{00000000-0005-0000-0000-0000D6550000}"/>
    <cellStyle name="Normal 2 2 4 14 4 9" xfId="22010" xr:uid="{00000000-0005-0000-0000-0000D7550000}"/>
    <cellStyle name="Normal 2 2 4 14 5" xfId="22011" xr:uid="{00000000-0005-0000-0000-0000D8550000}"/>
    <cellStyle name="Normal 2 2 4 14 5 10" xfId="22012" xr:uid="{00000000-0005-0000-0000-0000D9550000}"/>
    <cellStyle name="Normal 2 2 4 14 5 2" xfId="22013" xr:uid="{00000000-0005-0000-0000-0000DA550000}"/>
    <cellStyle name="Normal 2 2 4 14 5 3" xfId="22014" xr:uid="{00000000-0005-0000-0000-0000DB550000}"/>
    <cellStyle name="Normal 2 2 4 14 5 4" xfId="22015" xr:uid="{00000000-0005-0000-0000-0000DC550000}"/>
    <cellStyle name="Normal 2 2 4 14 5 5" xfId="22016" xr:uid="{00000000-0005-0000-0000-0000DD550000}"/>
    <cellStyle name="Normal 2 2 4 14 5 6" xfId="22017" xr:uid="{00000000-0005-0000-0000-0000DE550000}"/>
    <cellStyle name="Normal 2 2 4 14 5 7" xfId="22018" xr:uid="{00000000-0005-0000-0000-0000DF550000}"/>
    <cellStyle name="Normal 2 2 4 14 5 8" xfId="22019" xr:uid="{00000000-0005-0000-0000-0000E0550000}"/>
    <cellStyle name="Normal 2 2 4 14 5 9" xfId="22020" xr:uid="{00000000-0005-0000-0000-0000E1550000}"/>
    <cellStyle name="Normal 2 2 4 14 6" xfId="22021" xr:uid="{00000000-0005-0000-0000-0000E2550000}"/>
    <cellStyle name="Normal 2 2 4 14 7" xfId="22022" xr:uid="{00000000-0005-0000-0000-0000E3550000}"/>
    <cellStyle name="Normal 2 2 4 14 8" xfId="22023" xr:uid="{00000000-0005-0000-0000-0000E4550000}"/>
    <cellStyle name="Normal 2 2 4 14 9" xfId="22024" xr:uid="{00000000-0005-0000-0000-0000E5550000}"/>
    <cellStyle name="Normal 2 2 4 15" xfId="22025" xr:uid="{00000000-0005-0000-0000-0000E6550000}"/>
    <cellStyle name="Normal 2 2 4 15 10" xfId="22026" xr:uid="{00000000-0005-0000-0000-0000E7550000}"/>
    <cellStyle name="Normal 2 2 4 15 11" xfId="22027" xr:uid="{00000000-0005-0000-0000-0000E8550000}"/>
    <cellStyle name="Normal 2 2 4 15 12" xfId="22028" xr:uid="{00000000-0005-0000-0000-0000E9550000}"/>
    <cellStyle name="Normal 2 2 4 15 13" xfId="22029" xr:uid="{00000000-0005-0000-0000-0000EA550000}"/>
    <cellStyle name="Normal 2 2 4 15 14" xfId="22030" xr:uid="{00000000-0005-0000-0000-0000EB550000}"/>
    <cellStyle name="Normal 2 2 4 15 2" xfId="22031" xr:uid="{00000000-0005-0000-0000-0000EC550000}"/>
    <cellStyle name="Normal 2 2 4 15 2 10" xfId="22032" xr:uid="{00000000-0005-0000-0000-0000ED550000}"/>
    <cellStyle name="Normal 2 2 4 15 2 2" xfId="22033" xr:uid="{00000000-0005-0000-0000-0000EE550000}"/>
    <cellStyle name="Normal 2 2 4 15 2 3" xfId="22034" xr:uid="{00000000-0005-0000-0000-0000EF550000}"/>
    <cellStyle name="Normal 2 2 4 15 2 4" xfId="22035" xr:uid="{00000000-0005-0000-0000-0000F0550000}"/>
    <cellStyle name="Normal 2 2 4 15 2 5" xfId="22036" xr:uid="{00000000-0005-0000-0000-0000F1550000}"/>
    <cellStyle name="Normal 2 2 4 15 2 6" xfId="22037" xr:uid="{00000000-0005-0000-0000-0000F2550000}"/>
    <cellStyle name="Normal 2 2 4 15 2 7" xfId="22038" xr:uid="{00000000-0005-0000-0000-0000F3550000}"/>
    <cellStyle name="Normal 2 2 4 15 2 8" xfId="22039" xr:uid="{00000000-0005-0000-0000-0000F4550000}"/>
    <cellStyle name="Normal 2 2 4 15 2 9" xfId="22040" xr:uid="{00000000-0005-0000-0000-0000F5550000}"/>
    <cellStyle name="Normal 2 2 4 15 3" xfId="22041" xr:uid="{00000000-0005-0000-0000-0000F6550000}"/>
    <cellStyle name="Normal 2 2 4 15 3 10" xfId="22042" xr:uid="{00000000-0005-0000-0000-0000F7550000}"/>
    <cellStyle name="Normal 2 2 4 15 3 2" xfId="22043" xr:uid="{00000000-0005-0000-0000-0000F8550000}"/>
    <cellStyle name="Normal 2 2 4 15 3 3" xfId="22044" xr:uid="{00000000-0005-0000-0000-0000F9550000}"/>
    <cellStyle name="Normal 2 2 4 15 3 4" xfId="22045" xr:uid="{00000000-0005-0000-0000-0000FA550000}"/>
    <cellStyle name="Normal 2 2 4 15 3 5" xfId="22046" xr:uid="{00000000-0005-0000-0000-0000FB550000}"/>
    <cellStyle name="Normal 2 2 4 15 3 6" xfId="22047" xr:uid="{00000000-0005-0000-0000-0000FC550000}"/>
    <cellStyle name="Normal 2 2 4 15 3 7" xfId="22048" xr:uid="{00000000-0005-0000-0000-0000FD550000}"/>
    <cellStyle name="Normal 2 2 4 15 3 8" xfId="22049" xr:uid="{00000000-0005-0000-0000-0000FE550000}"/>
    <cellStyle name="Normal 2 2 4 15 3 9" xfId="22050" xr:uid="{00000000-0005-0000-0000-0000FF550000}"/>
    <cellStyle name="Normal 2 2 4 15 4" xfId="22051" xr:uid="{00000000-0005-0000-0000-000000560000}"/>
    <cellStyle name="Normal 2 2 4 15 4 10" xfId="22052" xr:uid="{00000000-0005-0000-0000-000001560000}"/>
    <cellStyle name="Normal 2 2 4 15 4 2" xfId="22053" xr:uid="{00000000-0005-0000-0000-000002560000}"/>
    <cellStyle name="Normal 2 2 4 15 4 3" xfId="22054" xr:uid="{00000000-0005-0000-0000-000003560000}"/>
    <cellStyle name="Normal 2 2 4 15 4 4" xfId="22055" xr:uid="{00000000-0005-0000-0000-000004560000}"/>
    <cellStyle name="Normal 2 2 4 15 4 5" xfId="22056" xr:uid="{00000000-0005-0000-0000-000005560000}"/>
    <cellStyle name="Normal 2 2 4 15 4 6" xfId="22057" xr:uid="{00000000-0005-0000-0000-000006560000}"/>
    <cellStyle name="Normal 2 2 4 15 4 7" xfId="22058" xr:uid="{00000000-0005-0000-0000-000007560000}"/>
    <cellStyle name="Normal 2 2 4 15 4 8" xfId="22059" xr:uid="{00000000-0005-0000-0000-000008560000}"/>
    <cellStyle name="Normal 2 2 4 15 4 9" xfId="22060" xr:uid="{00000000-0005-0000-0000-000009560000}"/>
    <cellStyle name="Normal 2 2 4 15 5" xfId="22061" xr:uid="{00000000-0005-0000-0000-00000A560000}"/>
    <cellStyle name="Normal 2 2 4 15 5 10" xfId="22062" xr:uid="{00000000-0005-0000-0000-00000B560000}"/>
    <cellStyle name="Normal 2 2 4 15 5 2" xfId="22063" xr:uid="{00000000-0005-0000-0000-00000C560000}"/>
    <cellStyle name="Normal 2 2 4 15 5 3" xfId="22064" xr:uid="{00000000-0005-0000-0000-00000D560000}"/>
    <cellStyle name="Normal 2 2 4 15 5 4" xfId="22065" xr:uid="{00000000-0005-0000-0000-00000E560000}"/>
    <cellStyle name="Normal 2 2 4 15 5 5" xfId="22066" xr:uid="{00000000-0005-0000-0000-00000F560000}"/>
    <cellStyle name="Normal 2 2 4 15 5 6" xfId="22067" xr:uid="{00000000-0005-0000-0000-000010560000}"/>
    <cellStyle name="Normal 2 2 4 15 5 7" xfId="22068" xr:uid="{00000000-0005-0000-0000-000011560000}"/>
    <cellStyle name="Normal 2 2 4 15 5 8" xfId="22069" xr:uid="{00000000-0005-0000-0000-000012560000}"/>
    <cellStyle name="Normal 2 2 4 15 5 9" xfId="22070" xr:uid="{00000000-0005-0000-0000-000013560000}"/>
    <cellStyle name="Normal 2 2 4 15 6" xfId="22071" xr:uid="{00000000-0005-0000-0000-000014560000}"/>
    <cellStyle name="Normal 2 2 4 15 7" xfId="22072" xr:uid="{00000000-0005-0000-0000-000015560000}"/>
    <cellStyle name="Normal 2 2 4 15 8" xfId="22073" xr:uid="{00000000-0005-0000-0000-000016560000}"/>
    <cellStyle name="Normal 2 2 4 15 9" xfId="22074" xr:uid="{00000000-0005-0000-0000-000017560000}"/>
    <cellStyle name="Normal 2 2 4 16" xfId="22075" xr:uid="{00000000-0005-0000-0000-000018560000}"/>
    <cellStyle name="Normal 2 2 4 16 10" xfId="22076" xr:uid="{00000000-0005-0000-0000-000019560000}"/>
    <cellStyle name="Normal 2 2 4 16 11" xfId="22077" xr:uid="{00000000-0005-0000-0000-00001A560000}"/>
    <cellStyle name="Normal 2 2 4 16 12" xfId="22078" xr:uid="{00000000-0005-0000-0000-00001B560000}"/>
    <cellStyle name="Normal 2 2 4 16 13" xfId="22079" xr:uid="{00000000-0005-0000-0000-00001C560000}"/>
    <cellStyle name="Normal 2 2 4 16 14" xfId="22080" xr:uid="{00000000-0005-0000-0000-00001D560000}"/>
    <cellStyle name="Normal 2 2 4 16 2" xfId="22081" xr:uid="{00000000-0005-0000-0000-00001E560000}"/>
    <cellStyle name="Normal 2 2 4 16 2 10" xfId="22082" xr:uid="{00000000-0005-0000-0000-00001F560000}"/>
    <cellStyle name="Normal 2 2 4 16 2 2" xfId="22083" xr:uid="{00000000-0005-0000-0000-000020560000}"/>
    <cellStyle name="Normal 2 2 4 16 2 3" xfId="22084" xr:uid="{00000000-0005-0000-0000-000021560000}"/>
    <cellStyle name="Normal 2 2 4 16 2 4" xfId="22085" xr:uid="{00000000-0005-0000-0000-000022560000}"/>
    <cellStyle name="Normal 2 2 4 16 2 5" xfId="22086" xr:uid="{00000000-0005-0000-0000-000023560000}"/>
    <cellStyle name="Normal 2 2 4 16 2 6" xfId="22087" xr:uid="{00000000-0005-0000-0000-000024560000}"/>
    <cellStyle name="Normal 2 2 4 16 2 7" xfId="22088" xr:uid="{00000000-0005-0000-0000-000025560000}"/>
    <cellStyle name="Normal 2 2 4 16 2 8" xfId="22089" xr:uid="{00000000-0005-0000-0000-000026560000}"/>
    <cellStyle name="Normal 2 2 4 16 2 9" xfId="22090" xr:uid="{00000000-0005-0000-0000-000027560000}"/>
    <cellStyle name="Normal 2 2 4 16 3" xfId="22091" xr:uid="{00000000-0005-0000-0000-000028560000}"/>
    <cellStyle name="Normal 2 2 4 16 3 10" xfId="22092" xr:uid="{00000000-0005-0000-0000-000029560000}"/>
    <cellStyle name="Normal 2 2 4 16 3 2" xfId="22093" xr:uid="{00000000-0005-0000-0000-00002A560000}"/>
    <cellStyle name="Normal 2 2 4 16 3 3" xfId="22094" xr:uid="{00000000-0005-0000-0000-00002B560000}"/>
    <cellStyle name="Normal 2 2 4 16 3 4" xfId="22095" xr:uid="{00000000-0005-0000-0000-00002C560000}"/>
    <cellStyle name="Normal 2 2 4 16 3 5" xfId="22096" xr:uid="{00000000-0005-0000-0000-00002D560000}"/>
    <cellStyle name="Normal 2 2 4 16 3 6" xfId="22097" xr:uid="{00000000-0005-0000-0000-00002E560000}"/>
    <cellStyle name="Normal 2 2 4 16 3 7" xfId="22098" xr:uid="{00000000-0005-0000-0000-00002F560000}"/>
    <cellStyle name="Normal 2 2 4 16 3 8" xfId="22099" xr:uid="{00000000-0005-0000-0000-000030560000}"/>
    <cellStyle name="Normal 2 2 4 16 3 9" xfId="22100" xr:uid="{00000000-0005-0000-0000-000031560000}"/>
    <cellStyle name="Normal 2 2 4 16 4" xfId="22101" xr:uid="{00000000-0005-0000-0000-000032560000}"/>
    <cellStyle name="Normal 2 2 4 16 4 10" xfId="22102" xr:uid="{00000000-0005-0000-0000-000033560000}"/>
    <cellStyle name="Normal 2 2 4 16 4 2" xfId="22103" xr:uid="{00000000-0005-0000-0000-000034560000}"/>
    <cellStyle name="Normal 2 2 4 16 4 3" xfId="22104" xr:uid="{00000000-0005-0000-0000-000035560000}"/>
    <cellStyle name="Normal 2 2 4 16 4 4" xfId="22105" xr:uid="{00000000-0005-0000-0000-000036560000}"/>
    <cellStyle name="Normal 2 2 4 16 4 5" xfId="22106" xr:uid="{00000000-0005-0000-0000-000037560000}"/>
    <cellStyle name="Normal 2 2 4 16 4 6" xfId="22107" xr:uid="{00000000-0005-0000-0000-000038560000}"/>
    <cellStyle name="Normal 2 2 4 16 4 7" xfId="22108" xr:uid="{00000000-0005-0000-0000-000039560000}"/>
    <cellStyle name="Normal 2 2 4 16 4 8" xfId="22109" xr:uid="{00000000-0005-0000-0000-00003A560000}"/>
    <cellStyle name="Normal 2 2 4 16 4 9" xfId="22110" xr:uid="{00000000-0005-0000-0000-00003B560000}"/>
    <cellStyle name="Normal 2 2 4 16 5" xfId="22111" xr:uid="{00000000-0005-0000-0000-00003C560000}"/>
    <cellStyle name="Normal 2 2 4 16 5 10" xfId="22112" xr:uid="{00000000-0005-0000-0000-00003D560000}"/>
    <cellStyle name="Normal 2 2 4 16 5 2" xfId="22113" xr:uid="{00000000-0005-0000-0000-00003E560000}"/>
    <cellStyle name="Normal 2 2 4 16 5 3" xfId="22114" xr:uid="{00000000-0005-0000-0000-00003F560000}"/>
    <cellStyle name="Normal 2 2 4 16 5 4" xfId="22115" xr:uid="{00000000-0005-0000-0000-000040560000}"/>
    <cellStyle name="Normal 2 2 4 16 5 5" xfId="22116" xr:uid="{00000000-0005-0000-0000-000041560000}"/>
    <cellStyle name="Normal 2 2 4 16 5 6" xfId="22117" xr:uid="{00000000-0005-0000-0000-000042560000}"/>
    <cellStyle name="Normal 2 2 4 16 5 7" xfId="22118" xr:uid="{00000000-0005-0000-0000-000043560000}"/>
    <cellStyle name="Normal 2 2 4 16 5 8" xfId="22119" xr:uid="{00000000-0005-0000-0000-000044560000}"/>
    <cellStyle name="Normal 2 2 4 16 5 9" xfId="22120" xr:uid="{00000000-0005-0000-0000-000045560000}"/>
    <cellStyle name="Normal 2 2 4 16 6" xfId="22121" xr:uid="{00000000-0005-0000-0000-000046560000}"/>
    <cellStyle name="Normal 2 2 4 16 7" xfId="22122" xr:uid="{00000000-0005-0000-0000-000047560000}"/>
    <cellStyle name="Normal 2 2 4 16 8" xfId="22123" xr:uid="{00000000-0005-0000-0000-000048560000}"/>
    <cellStyle name="Normal 2 2 4 16 9" xfId="22124" xr:uid="{00000000-0005-0000-0000-000049560000}"/>
    <cellStyle name="Normal 2 2 4 17" xfId="22125" xr:uid="{00000000-0005-0000-0000-00004A560000}"/>
    <cellStyle name="Normal 2 2 4 17 10" xfId="22126" xr:uid="{00000000-0005-0000-0000-00004B560000}"/>
    <cellStyle name="Normal 2 2 4 17 11" xfId="22127" xr:uid="{00000000-0005-0000-0000-00004C560000}"/>
    <cellStyle name="Normal 2 2 4 17 12" xfId="22128" xr:uid="{00000000-0005-0000-0000-00004D560000}"/>
    <cellStyle name="Normal 2 2 4 17 13" xfId="22129" xr:uid="{00000000-0005-0000-0000-00004E560000}"/>
    <cellStyle name="Normal 2 2 4 17 14" xfId="22130" xr:uid="{00000000-0005-0000-0000-00004F560000}"/>
    <cellStyle name="Normal 2 2 4 17 2" xfId="22131" xr:uid="{00000000-0005-0000-0000-000050560000}"/>
    <cellStyle name="Normal 2 2 4 17 2 10" xfId="22132" xr:uid="{00000000-0005-0000-0000-000051560000}"/>
    <cellStyle name="Normal 2 2 4 17 2 2" xfId="22133" xr:uid="{00000000-0005-0000-0000-000052560000}"/>
    <cellStyle name="Normal 2 2 4 17 2 3" xfId="22134" xr:uid="{00000000-0005-0000-0000-000053560000}"/>
    <cellStyle name="Normal 2 2 4 17 2 4" xfId="22135" xr:uid="{00000000-0005-0000-0000-000054560000}"/>
    <cellStyle name="Normal 2 2 4 17 2 5" xfId="22136" xr:uid="{00000000-0005-0000-0000-000055560000}"/>
    <cellStyle name="Normal 2 2 4 17 2 6" xfId="22137" xr:uid="{00000000-0005-0000-0000-000056560000}"/>
    <cellStyle name="Normal 2 2 4 17 2 7" xfId="22138" xr:uid="{00000000-0005-0000-0000-000057560000}"/>
    <cellStyle name="Normal 2 2 4 17 2 8" xfId="22139" xr:uid="{00000000-0005-0000-0000-000058560000}"/>
    <cellStyle name="Normal 2 2 4 17 2 9" xfId="22140" xr:uid="{00000000-0005-0000-0000-000059560000}"/>
    <cellStyle name="Normal 2 2 4 17 3" xfId="22141" xr:uid="{00000000-0005-0000-0000-00005A560000}"/>
    <cellStyle name="Normal 2 2 4 17 3 10" xfId="22142" xr:uid="{00000000-0005-0000-0000-00005B560000}"/>
    <cellStyle name="Normal 2 2 4 17 3 2" xfId="22143" xr:uid="{00000000-0005-0000-0000-00005C560000}"/>
    <cellStyle name="Normal 2 2 4 17 3 3" xfId="22144" xr:uid="{00000000-0005-0000-0000-00005D560000}"/>
    <cellStyle name="Normal 2 2 4 17 3 4" xfId="22145" xr:uid="{00000000-0005-0000-0000-00005E560000}"/>
    <cellStyle name="Normal 2 2 4 17 3 5" xfId="22146" xr:uid="{00000000-0005-0000-0000-00005F560000}"/>
    <cellStyle name="Normal 2 2 4 17 3 6" xfId="22147" xr:uid="{00000000-0005-0000-0000-000060560000}"/>
    <cellStyle name="Normal 2 2 4 17 3 7" xfId="22148" xr:uid="{00000000-0005-0000-0000-000061560000}"/>
    <cellStyle name="Normal 2 2 4 17 3 8" xfId="22149" xr:uid="{00000000-0005-0000-0000-000062560000}"/>
    <cellStyle name="Normal 2 2 4 17 3 9" xfId="22150" xr:uid="{00000000-0005-0000-0000-000063560000}"/>
    <cellStyle name="Normal 2 2 4 17 4" xfId="22151" xr:uid="{00000000-0005-0000-0000-000064560000}"/>
    <cellStyle name="Normal 2 2 4 17 4 10" xfId="22152" xr:uid="{00000000-0005-0000-0000-000065560000}"/>
    <cellStyle name="Normal 2 2 4 17 4 2" xfId="22153" xr:uid="{00000000-0005-0000-0000-000066560000}"/>
    <cellStyle name="Normal 2 2 4 17 4 3" xfId="22154" xr:uid="{00000000-0005-0000-0000-000067560000}"/>
    <cellStyle name="Normal 2 2 4 17 4 4" xfId="22155" xr:uid="{00000000-0005-0000-0000-000068560000}"/>
    <cellStyle name="Normal 2 2 4 17 4 5" xfId="22156" xr:uid="{00000000-0005-0000-0000-000069560000}"/>
    <cellStyle name="Normal 2 2 4 17 4 6" xfId="22157" xr:uid="{00000000-0005-0000-0000-00006A560000}"/>
    <cellStyle name="Normal 2 2 4 17 4 7" xfId="22158" xr:uid="{00000000-0005-0000-0000-00006B560000}"/>
    <cellStyle name="Normal 2 2 4 17 4 8" xfId="22159" xr:uid="{00000000-0005-0000-0000-00006C560000}"/>
    <cellStyle name="Normal 2 2 4 17 4 9" xfId="22160" xr:uid="{00000000-0005-0000-0000-00006D560000}"/>
    <cellStyle name="Normal 2 2 4 17 5" xfId="22161" xr:uid="{00000000-0005-0000-0000-00006E560000}"/>
    <cellStyle name="Normal 2 2 4 17 5 10" xfId="22162" xr:uid="{00000000-0005-0000-0000-00006F560000}"/>
    <cellStyle name="Normal 2 2 4 17 5 2" xfId="22163" xr:uid="{00000000-0005-0000-0000-000070560000}"/>
    <cellStyle name="Normal 2 2 4 17 5 3" xfId="22164" xr:uid="{00000000-0005-0000-0000-000071560000}"/>
    <cellStyle name="Normal 2 2 4 17 5 4" xfId="22165" xr:uid="{00000000-0005-0000-0000-000072560000}"/>
    <cellStyle name="Normal 2 2 4 17 5 5" xfId="22166" xr:uid="{00000000-0005-0000-0000-000073560000}"/>
    <cellStyle name="Normal 2 2 4 17 5 6" xfId="22167" xr:uid="{00000000-0005-0000-0000-000074560000}"/>
    <cellStyle name="Normal 2 2 4 17 5 7" xfId="22168" xr:uid="{00000000-0005-0000-0000-000075560000}"/>
    <cellStyle name="Normal 2 2 4 17 5 8" xfId="22169" xr:uid="{00000000-0005-0000-0000-000076560000}"/>
    <cellStyle name="Normal 2 2 4 17 5 9" xfId="22170" xr:uid="{00000000-0005-0000-0000-000077560000}"/>
    <cellStyle name="Normal 2 2 4 17 6" xfId="22171" xr:uid="{00000000-0005-0000-0000-000078560000}"/>
    <cellStyle name="Normal 2 2 4 17 7" xfId="22172" xr:uid="{00000000-0005-0000-0000-000079560000}"/>
    <cellStyle name="Normal 2 2 4 17 8" xfId="22173" xr:uid="{00000000-0005-0000-0000-00007A560000}"/>
    <cellStyle name="Normal 2 2 4 17 9" xfId="22174" xr:uid="{00000000-0005-0000-0000-00007B560000}"/>
    <cellStyle name="Normal 2 2 4 18" xfId="22175" xr:uid="{00000000-0005-0000-0000-00007C560000}"/>
    <cellStyle name="Normal 2 2 4 18 10" xfId="22176" xr:uid="{00000000-0005-0000-0000-00007D560000}"/>
    <cellStyle name="Normal 2 2 4 18 11" xfId="22177" xr:uid="{00000000-0005-0000-0000-00007E560000}"/>
    <cellStyle name="Normal 2 2 4 18 12" xfId="22178" xr:uid="{00000000-0005-0000-0000-00007F560000}"/>
    <cellStyle name="Normal 2 2 4 18 13" xfId="22179" xr:uid="{00000000-0005-0000-0000-000080560000}"/>
    <cellStyle name="Normal 2 2 4 18 14" xfId="22180" xr:uid="{00000000-0005-0000-0000-000081560000}"/>
    <cellStyle name="Normal 2 2 4 18 2" xfId="22181" xr:uid="{00000000-0005-0000-0000-000082560000}"/>
    <cellStyle name="Normal 2 2 4 18 2 10" xfId="22182" xr:uid="{00000000-0005-0000-0000-000083560000}"/>
    <cellStyle name="Normal 2 2 4 18 2 2" xfId="22183" xr:uid="{00000000-0005-0000-0000-000084560000}"/>
    <cellStyle name="Normal 2 2 4 18 2 3" xfId="22184" xr:uid="{00000000-0005-0000-0000-000085560000}"/>
    <cellStyle name="Normal 2 2 4 18 2 4" xfId="22185" xr:uid="{00000000-0005-0000-0000-000086560000}"/>
    <cellStyle name="Normal 2 2 4 18 2 5" xfId="22186" xr:uid="{00000000-0005-0000-0000-000087560000}"/>
    <cellStyle name="Normal 2 2 4 18 2 6" xfId="22187" xr:uid="{00000000-0005-0000-0000-000088560000}"/>
    <cellStyle name="Normal 2 2 4 18 2 7" xfId="22188" xr:uid="{00000000-0005-0000-0000-000089560000}"/>
    <cellStyle name="Normal 2 2 4 18 2 8" xfId="22189" xr:uid="{00000000-0005-0000-0000-00008A560000}"/>
    <cellStyle name="Normal 2 2 4 18 2 9" xfId="22190" xr:uid="{00000000-0005-0000-0000-00008B560000}"/>
    <cellStyle name="Normal 2 2 4 18 3" xfId="22191" xr:uid="{00000000-0005-0000-0000-00008C560000}"/>
    <cellStyle name="Normal 2 2 4 18 3 10" xfId="22192" xr:uid="{00000000-0005-0000-0000-00008D560000}"/>
    <cellStyle name="Normal 2 2 4 18 3 2" xfId="22193" xr:uid="{00000000-0005-0000-0000-00008E560000}"/>
    <cellStyle name="Normal 2 2 4 18 3 3" xfId="22194" xr:uid="{00000000-0005-0000-0000-00008F560000}"/>
    <cellStyle name="Normal 2 2 4 18 3 4" xfId="22195" xr:uid="{00000000-0005-0000-0000-000090560000}"/>
    <cellStyle name="Normal 2 2 4 18 3 5" xfId="22196" xr:uid="{00000000-0005-0000-0000-000091560000}"/>
    <cellStyle name="Normal 2 2 4 18 3 6" xfId="22197" xr:uid="{00000000-0005-0000-0000-000092560000}"/>
    <cellStyle name="Normal 2 2 4 18 3 7" xfId="22198" xr:uid="{00000000-0005-0000-0000-000093560000}"/>
    <cellStyle name="Normal 2 2 4 18 3 8" xfId="22199" xr:uid="{00000000-0005-0000-0000-000094560000}"/>
    <cellStyle name="Normal 2 2 4 18 3 9" xfId="22200" xr:uid="{00000000-0005-0000-0000-000095560000}"/>
    <cellStyle name="Normal 2 2 4 18 4" xfId="22201" xr:uid="{00000000-0005-0000-0000-000096560000}"/>
    <cellStyle name="Normal 2 2 4 18 4 10" xfId="22202" xr:uid="{00000000-0005-0000-0000-000097560000}"/>
    <cellStyle name="Normal 2 2 4 18 4 2" xfId="22203" xr:uid="{00000000-0005-0000-0000-000098560000}"/>
    <cellStyle name="Normal 2 2 4 18 4 3" xfId="22204" xr:uid="{00000000-0005-0000-0000-000099560000}"/>
    <cellStyle name="Normal 2 2 4 18 4 4" xfId="22205" xr:uid="{00000000-0005-0000-0000-00009A560000}"/>
    <cellStyle name="Normal 2 2 4 18 4 5" xfId="22206" xr:uid="{00000000-0005-0000-0000-00009B560000}"/>
    <cellStyle name="Normal 2 2 4 18 4 6" xfId="22207" xr:uid="{00000000-0005-0000-0000-00009C560000}"/>
    <cellStyle name="Normal 2 2 4 18 4 7" xfId="22208" xr:uid="{00000000-0005-0000-0000-00009D560000}"/>
    <cellStyle name="Normal 2 2 4 18 4 8" xfId="22209" xr:uid="{00000000-0005-0000-0000-00009E560000}"/>
    <cellStyle name="Normal 2 2 4 18 4 9" xfId="22210" xr:uid="{00000000-0005-0000-0000-00009F560000}"/>
    <cellStyle name="Normal 2 2 4 18 5" xfId="22211" xr:uid="{00000000-0005-0000-0000-0000A0560000}"/>
    <cellStyle name="Normal 2 2 4 18 5 10" xfId="22212" xr:uid="{00000000-0005-0000-0000-0000A1560000}"/>
    <cellStyle name="Normal 2 2 4 18 5 2" xfId="22213" xr:uid="{00000000-0005-0000-0000-0000A2560000}"/>
    <cellStyle name="Normal 2 2 4 18 5 3" xfId="22214" xr:uid="{00000000-0005-0000-0000-0000A3560000}"/>
    <cellStyle name="Normal 2 2 4 18 5 4" xfId="22215" xr:uid="{00000000-0005-0000-0000-0000A4560000}"/>
    <cellStyle name="Normal 2 2 4 18 5 5" xfId="22216" xr:uid="{00000000-0005-0000-0000-0000A5560000}"/>
    <cellStyle name="Normal 2 2 4 18 5 6" xfId="22217" xr:uid="{00000000-0005-0000-0000-0000A6560000}"/>
    <cellStyle name="Normal 2 2 4 18 5 7" xfId="22218" xr:uid="{00000000-0005-0000-0000-0000A7560000}"/>
    <cellStyle name="Normal 2 2 4 18 5 8" xfId="22219" xr:uid="{00000000-0005-0000-0000-0000A8560000}"/>
    <cellStyle name="Normal 2 2 4 18 5 9" xfId="22220" xr:uid="{00000000-0005-0000-0000-0000A9560000}"/>
    <cellStyle name="Normal 2 2 4 18 6" xfId="22221" xr:uid="{00000000-0005-0000-0000-0000AA560000}"/>
    <cellStyle name="Normal 2 2 4 18 7" xfId="22222" xr:uid="{00000000-0005-0000-0000-0000AB560000}"/>
    <cellStyle name="Normal 2 2 4 18 8" xfId="22223" xr:uid="{00000000-0005-0000-0000-0000AC560000}"/>
    <cellStyle name="Normal 2 2 4 18 9" xfId="22224" xr:uid="{00000000-0005-0000-0000-0000AD560000}"/>
    <cellStyle name="Normal 2 2 4 19" xfId="22225" xr:uid="{00000000-0005-0000-0000-0000AE560000}"/>
    <cellStyle name="Normal 2 2 4 19 10" xfId="22226" xr:uid="{00000000-0005-0000-0000-0000AF560000}"/>
    <cellStyle name="Normal 2 2 4 19 11" xfId="22227" xr:uid="{00000000-0005-0000-0000-0000B0560000}"/>
    <cellStyle name="Normal 2 2 4 19 12" xfId="22228" xr:uid="{00000000-0005-0000-0000-0000B1560000}"/>
    <cellStyle name="Normal 2 2 4 19 13" xfId="22229" xr:uid="{00000000-0005-0000-0000-0000B2560000}"/>
    <cellStyle name="Normal 2 2 4 19 14" xfId="22230" xr:uid="{00000000-0005-0000-0000-0000B3560000}"/>
    <cellStyle name="Normal 2 2 4 19 2" xfId="22231" xr:uid="{00000000-0005-0000-0000-0000B4560000}"/>
    <cellStyle name="Normal 2 2 4 19 2 10" xfId="22232" xr:uid="{00000000-0005-0000-0000-0000B5560000}"/>
    <cellStyle name="Normal 2 2 4 19 2 2" xfId="22233" xr:uid="{00000000-0005-0000-0000-0000B6560000}"/>
    <cellStyle name="Normal 2 2 4 19 2 3" xfId="22234" xr:uid="{00000000-0005-0000-0000-0000B7560000}"/>
    <cellStyle name="Normal 2 2 4 19 2 4" xfId="22235" xr:uid="{00000000-0005-0000-0000-0000B8560000}"/>
    <cellStyle name="Normal 2 2 4 19 2 5" xfId="22236" xr:uid="{00000000-0005-0000-0000-0000B9560000}"/>
    <cellStyle name="Normal 2 2 4 19 2 6" xfId="22237" xr:uid="{00000000-0005-0000-0000-0000BA560000}"/>
    <cellStyle name="Normal 2 2 4 19 2 7" xfId="22238" xr:uid="{00000000-0005-0000-0000-0000BB560000}"/>
    <cellStyle name="Normal 2 2 4 19 2 8" xfId="22239" xr:uid="{00000000-0005-0000-0000-0000BC560000}"/>
    <cellStyle name="Normal 2 2 4 19 2 9" xfId="22240" xr:uid="{00000000-0005-0000-0000-0000BD560000}"/>
    <cellStyle name="Normal 2 2 4 19 3" xfId="22241" xr:uid="{00000000-0005-0000-0000-0000BE560000}"/>
    <cellStyle name="Normal 2 2 4 19 3 10" xfId="22242" xr:uid="{00000000-0005-0000-0000-0000BF560000}"/>
    <cellStyle name="Normal 2 2 4 19 3 2" xfId="22243" xr:uid="{00000000-0005-0000-0000-0000C0560000}"/>
    <cellStyle name="Normal 2 2 4 19 3 3" xfId="22244" xr:uid="{00000000-0005-0000-0000-0000C1560000}"/>
    <cellStyle name="Normal 2 2 4 19 3 4" xfId="22245" xr:uid="{00000000-0005-0000-0000-0000C2560000}"/>
    <cellStyle name="Normal 2 2 4 19 3 5" xfId="22246" xr:uid="{00000000-0005-0000-0000-0000C3560000}"/>
    <cellStyle name="Normal 2 2 4 19 3 6" xfId="22247" xr:uid="{00000000-0005-0000-0000-0000C4560000}"/>
    <cellStyle name="Normal 2 2 4 19 3 7" xfId="22248" xr:uid="{00000000-0005-0000-0000-0000C5560000}"/>
    <cellStyle name="Normal 2 2 4 19 3 8" xfId="22249" xr:uid="{00000000-0005-0000-0000-0000C6560000}"/>
    <cellStyle name="Normal 2 2 4 19 3 9" xfId="22250" xr:uid="{00000000-0005-0000-0000-0000C7560000}"/>
    <cellStyle name="Normal 2 2 4 19 4" xfId="22251" xr:uid="{00000000-0005-0000-0000-0000C8560000}"/>
    <cellStyle name="Normal 2 2 4 19 4 10" xfId="22252" xr:uid="{00000000-0005-0000-0000-0000C9560000}"/>
    <cellStyle name="Normal 2 2 4 19 4 2" xfId="22253" xr:uid="{00000000-0005-0000-0000-0000CA560000}"/>
    <cellStyle name="Normal 2 2 4 19 4 3" xfId="22254" xr:uid="{00000000-0005-0000-0000-0000CB560000}"/>
    <cellStyle name="Normal 2 2 4 19 4 4" xfId="22255" xr:uid="{00000000-0005-0000-0000-0000CC560000}"/>
    <cellStyle name="Normal 2 2 4 19 4 5" xfId="22256" xr:uid="{00000000-0005-0000-0000-0000CD560000}"/>
    <cellStyle name="Normal 2 2 4 19 4 6" xfId="22257" xr:uid="{00000000-0005-0000-0000-0000CE560000}"/>
    <cellStyle name="Normal 2 2 4 19 4 7" xfId="22258" xr:uid="{00000000-0005-0000-0000-0000CF560000}"/>
    <cellStyle name="Normal 2 2 4 19 4 8" xfId="22259" xr:uid="{00000000-0005-0000-0000-0000D0560000}"/>
    <cellStyle name="Normal 2 2 4 19 4 9" xfId="22260" xr:uid="{00000000-0005-0000-0000-0000D1560000}"/>
    <cellStyle name="Normal 2 2 4 19 5" xfId="22261" xr:uid="{00000000-0005-0000-0000-0000D2560000}"/>
    <cellStyle name="Normal 2 2 4 19 5 10" xfId="22262" xr:uid="{00000000-0005-0000-0000-0000D3560000}"/>
    <cellStyle name="Normal 2 2 4 19 5 2" xfId="22263" xr:uid="{00000000-0005-0000-0000-0000D4560000}"/>
    <cellStyle name="Normal 2 2 4 19 5 3" xfId="22264" xr:uid="{00000000-0005-0000-0000-0000D5560000}"/>
    <cellStyle name="Normal 2 2 4 19 5 4" xfId="22265" xr:uid="{00000000-0005-0000-0000-0000D6560000}"/>
    <cellStyle name="Normal 2 2 4 19 5 5" xfId="22266" xr:uid="{00000000-0005-0000-0000-0000D7560000}"/>
    <cellStyle name="Normal 2 2 4 19 5 6" xfId="22267" xr:uid="{00000000-0005-0000-0000-0000D8560000}"/>
    <cellStyle name="Normal 2 2 4 19 5 7" xfId="22268" xr:uid="{00000000-0005-0000-0000-0000D9560000}"/>
    <cellStyle name="Normal 2 2 4 19 5 8" xfId="22269" xr:uid="{00000000-0005-0000-0000-0000DA560000}"/>
    <cellStyle name="Normal 2 2 4 19 5 9" xfId="22270" xr:uid="{00000000-0005-0000-0000-0000DB560000}"/>
    <cellStyle name="Normal 2 2 4 19 6" xfId="22271" xr:uid="{00000000-0005-0000-0000-0000DC560000}"/>
    <cellStyle name="Normal 2 2 4 19 7" xfId="22272" xr:uid="{00000000-0005-0000-0000-0000DD560000}"/>
    <cellStyle name="Normal 2 2 4 19 8" xfId="22273" xr:uid="{00000000-0005-0000-0000-0000DE560000}"/>
    <cellStyle name="Normal 2 2 4 19 9" xfId="22274" xr:uid="{00000000-0005-0000-0000-0000DF560000}"/>
    <cellStyle name="Normal 2 2 4 2" xfId="54" xr:uid="{00000000-0005-0000-0000-0000E0560000}"/>
    <cellStyle name="Normal 2 2 4 2 10" xfId="22276" xr:uid="{00000000-0005-0000-0000-0000E1560000}"/>
    <cellStyle name="Normal 2 2 4 2 11" xfId="22277" xr:uid="{00000000-0005-0000-0000-0000E2560000}"/>
    <cellStyle name="Normal 2 2 4 2 12" xfId="22278" xr:uid="{00000000-0005-0000-0000-0000E3560000}"/>
    <cellStyle name="Normal 2 2 4 2 13" xfId="22279" xr:uid="{00000000-0005-0000-0000-0000E4560000}"/>
    <cellStyle name="Normal 2 2 4 2 14" xfId="22280" xr:uid="{00000000-0005-0000-0000-0000E5560000}"/>
    <cellStyle name="Normal 2 2 4 2 15" xfId="22281" xr:uid="{00000000-0005-0000-0000-0000E6560000}"/>
    <cellStyle name="Normal 2 2 4 2 16" xfId="22282" xr:uid="{00000000-0005-0000-0000-0000E7560000}"/>
    <cellStyle name="Normal 2 2 4 2 17" xfId="22283" xr:uid="{00000000-0005-0000-0000-0000E8560000}"/>
    <cellStyle name="Normal 2 2 4 2 18" xfId="22284" xr:uid="{00000000-0005-0000-0000-0000E9560000}"/>
    <cellStyle name="Normal 2 2 4 2 19" xfId="22285" xr:uid="{00000000-0005-0000-0000-0000EA560000}"/>
    <cellStyle name="Normal 2 2 4 2 2" xfId="22286" xr:uid="{00000000-0005-0000-0000-0000EB560000}"/>
    <cellStyle name="Normal 2 2 4 2 2 10" xfId="22287" xr:uid="{00000000-0005-0000-0000-0000EC560000}"/>
    <cellStyle name="Normal 2 2 4 2 2 10 10" xfId="22288" xr:uid="{00000000-0005-0000-0000-0000ED560000}"/>
    <cellStyle name="Normal 2 2 4 2 2 10 11" xfId="22289" xr:uid="{00000000-0005-0000-0000-0000EE560000}"/>
    <cellStyle name="Normal 2 2 4 2 2 10 12" xfId="22290" xr:uid="{00000000-0005-0000-0000-0000EF560000}"/>
    <cellStyle name="Normal 2 2 4 2 2 10 13" xfId="22291" xr:uid="{00000000-0005-0000-0000-0000F0560000}"/>
    <cellStyle name="Normal 2 2 4 2 2 10 14" xfId="22292" xr:uid="{00000000-0005-0000-0000-0000F1560000}"/>
    <cellStyle name="Normal 2 2 4 2 2 10 2" xfId="22293" xr:uid="{00000000-0005-0000-0000-0000F2560000}"/>
    <cellStyle name="Normal 2 2 4 2 2 10 2 10" xfId="22294" xr:uid="{00000000-0005-0000-0000-0000F3560000}"/>
    <cellStyle name="Normal 2 2 4 2 2 10 2 2" xfId="22295" xr:uid="{00000000-0005-0000-0000-0000F4560000}"/>
    <cellStyle name="Normal 2 2 4 2 2 10 2 3" xfId="22296" xr:uid="{00000000-0005-0000-0000-0000F5560000}"/>
    <cellStyle name="Normal 2 2 4 2 2 10 2 4" xfId="22297" xr:uid="{00000000-0005-0000-0000-0000F6560000}"/>
    <cellStyle name="Normal 2 2 4 2 2 10 2 5" xfId="22298" xr:uid="{00000000-0005-0000-0000-0000F7560000}"/>
    <cellStyle name="Normal 2 2 4 2 2 10 2 6" xfId="22299" xr:uid="{00000000-0005-0000-0000-0000F8560000}"/>
    <cellStyle name="Normal 2 2 4 2 2 10 2 7" xfId="22300" xr:uid="{00000000-0005-0000-0000-0000F9560000}"/>
    <cellStyle name="Normal 2 2 4 2 2 10 2 8" xfId="22301" xr:uid="{00000000-0005-0000-0000-0000FA560000}"/>
    <cellStyle name="Normal 2 2 4 2 2 10 2 9" xfId="22302" xr:uid="{00000000-0005-0000-0000-0000FB560000}"/>
    <cellStyle name="Normal 2 2 4 2 2 10 3" xfId="22303" xr:uid="{00000000-0005-0000-0000-0000FC560000}"/>
    <cellStyle name="Normal 2 2 4 2 2 10 3 10" xfId="22304" xr:uid="{00000000-0005-0000-0000-0000FD560000}"/>
    <cellStyle name="Normal 2 2 4 2 2 10 3 2" xfId="22305" xr:uid="{00000000-0005-0000-0000-0000FE560000}"/>
    <cellStyle name="Normal 2 2 4 2 2 10 3 3" xfId="22306" xr:uid="{00000000-0005-0000-0000-0000FF560000}"/>
    <cellStyle name="Normal 2 2 4 2 2 10 3 4" xfId="22307" xr:uid="{00000000-0005-0000-0000-000000570000}"/>
    <cellStyle name="Normal 2 2 4 2 2 10 3 5" xfId="22308" xr:uid="{00000000-0005-0000-0000-000001570000}"/>
    <cellStyle name="Normal 2 2 4 2 2 10 3 6" xfId="22309" xr:uid="{00000000-0005-0000-0000-000002570000}"/>
    <cellStyle name="Normal 2 2 4 2 2 10 3 7" xfId="22310" xr:uid="{00000000-0005-0000-0000-000003570000}"/>
    <cellStyle name="Normal 2 2 4 2 2 10 3 8" xfId="22311" xr:uid="{00000000-0005-0000-0000-000004570000}"/>
    <cellStyle name="Normal 2 2 4 2 2 10 3 9" xfId="22312" xr:uid="{00000000-0005-0000-0000-000005570000}"/>
    <cellStyle name="Normal 2 2 4 2 2 10 4" xfId="22313" xr:uid="{00000000-0005-0000-0000-000006570000}"/>
    <cellStyle name="Normal 2 2 4 2 2 10 4 10" xfId="22314" xr:uid="{00000000-0005-0000-0000-000007570000}"/>
    <cellStyle name="Normal 2 2 4 2 2 10 4 2" xfId="22315" xr:uid="{00000000-0005-0000-0000-000008570000}"/>
    <cellStyle name="Normal 2 2 4 2 2 10 4 3" xfId="22316" xr:uid="{00000000-0005-0000-0000-000009570000}"/>
    <cellStyle name="Normal 2 2 4 2 2 10 4 4" xfId="22317" xr:uid="{00000000-0005-0000-0000-00000A570000}"/>
    <cellStyle name="Normal 2 2 4 2 2 10 4 5" xfId="22318" xr:uid="{00000000-0005-0000-0000-00000B570000}"/>
    <cellStyle name="Normal 2 2 4 2 2 10 4 6" xfId="22319" xr:uid="{00000000-0005-0000-0000-00000C570000}"/>
    <cellStyle name="Normal 2 2 4 2 2 10 4 7" xfId="22320" xr:uid="{00000000-0005-0000-0000-00000D570000}"/>
    <cellStyle name="Normal 2 2 4 2 2 10 4 8" xfId="22321" xr:uid="{00000000-0005-0000-0000-00000E570000}"/>
    <cellStyle name="Normal 2 2 4 2 2 10 4 9" xfId="22322" xr:uid="{00000000-0005-0000-0000-00000F570000}"/>
    <cellStyle name="Normal 2 2 4 2 2 10 5" xfId="22323" xr:uid="{00000000-0005-0000-0000-000010570000}"/>
    <cellStyle name="Normal 2 2 4 2 2 10 5 10" xfId="22324" xr:uid="{00000000-0005-0000-0000-000011570000}"/>
    <cellStyle name="Normal 2 2 4 2 2 10 5 2" xfId="22325" xr:uid="{00000000-0005-0000-0000-000012570000}"/>
    <cellStyle name="Normal 2 2 4 2 2 10 5 3" xfId="22326" xr:uid="{00000000-0005-0000-0000-000013570000}"/>
    <cellStyle name="Normal 2 2 4 2 2 10 5 4" xfId="22327" xr:uid="{00000000-0005-0000-0000-000014570000}"/>
    <cellStyle name="Normal 2 2 4 2 2 10 5 5" xfId="22328" xr:uid="{00000000-0005-0000-0000-000015570000}"/>
    <cellStyle name="Normal 2 2 4 2 2 10 5 6" xfId="22329" xr:uid="{00000000-0005-0000-0000-000016570000}"/>
    <cellStyle name="Normal 2 2 4 2 2 10 5 7" xfId="22330" xr:uid="{00000000-0005-0000-0000-000017570000}"/>
    <cellStyle name="Normal 2 2 4 2 2 10 5 8" xfId="22331" xr:uid="{00000000-0005-0000-0000-000018570000}"/>
    <cellStyle name="Normal 2 2 4 2 2 10 5 9" xfId="22332" xr:uid="{00000000-0005-0000-0000-000019570000}"/>
    <cellStyle name="Normal 2 2 4 2 2 10 6" xfId="22333" xr:uid="{00000000-0005-0000-0000-00001A570000}"/>
    <cellStyle name="Normal 2 2 4 2 2 10 7" xfId="22334" xr:uid="{00000000-0005-0000-0000-00001B570000}"/>
    <cellStyle name="Normal 2 2 4 2 2 10 8" xfId="22335" xr:uid="{00000000-0005-0000-0000-00001C570000}"/>
    <cellStyle name="Normal 2 2 4 2 2 10 9" xfId="22336" xr:uid="{00000000-0005-0000-0000-00001D570000}"/>
    <cellStyle name="Normal 2 2 4 2 2 11" xfId="22337" xr:uid="{00000000-0005-0000-0000-00001E570000}"/>
    <cellStyle name="Normal 2 2 4 2 2 11 10" xfId="22338" xr:uid="{00000000-0005-0000-0000-00001F570000}"/>
    <cellStyle name="Normal 2 2 4 2 2 11 11" xfId="22339" xr:uid="{00000000-0005-0000-0000-000020570000}"/>
    <cellStyle name="Normal 2 2 4 2 2 11 12" xfId="22340" xr:uid="{00000000-0005-0000-0000-000021570000}"/>
    <cellStyle name="Normal 2 2 4 2 2 11 13" xfId="22341" xr:uid="{00000000-0005-0000-0000-000022570000}"/>
    <cellStyle name="Normal 2 2 4 2 2 11 14" xfId="22342" xr:uid="{00000000-0005-0000-0000-000023570000}"/>
    <cellStyle name="Normal 2 2 4 2 2 11 2" xfId="22343" xr:uid="{00000000-0005-0000-0000-000024570000}"/>
    <cellStyle name="Normal 2 2 4 2 2 11 2 10" xfId="22344" xr:uid="{00000000-0005-0000-0000-000025570000}"/>
    <cellStyle name="Normal 2 2 4 2 2 11 2 2" xfId="22345" xr:uid="{00000000-0005-0000-0000-000026570000}"/>
    <cellStyle name="Normal 2 2 4 2 2 11 2 3" xfId="22346" xr:uid="{00000000-0005-0000-0000-000027570000}"/>
    <cellStyle name="Normal 2 2 4 2 2 11 2 4" xfId="22347" xr:uid="{00000000-0005-0000-0000-000028570000}"/>
    <cellStyle name="Normal 2 2 4 2 2 11 2 5" xfId="22348" xr:uid="{00000000-0005-0000-0000-000029570000}"/>
    <cellStyle name="Normal 2 2 4 2 2 11 2 6" xfId="22349" xr:uid="{00000000-0005-0000-0000-00002A570000}"/>
    <cellStyle name="Normal 2 2 4 2 2 11 2 7" xfId="22350" xr:uid="{00000000-0005-0000-0000-00002B570000}"/>
    <cellStyle name="Normal 2 2 4 2 2 11 2 8" xfId="22351" xr:uid="{00000000-0005-0000-0000-00002C570000}"/>
    <cellStyle name="Normal 2 2 4 2 2 11 2 9" xfId="22352" xr:uid="{00000000-0005-0000-0000-00002D570000}"/>
    <cellStyle name="Normal 2 2 4 2 2 11 3" xfId="22353" xr:uid="{00000000-0005-0000-0000-00002E570000}"/>
    <cellStyle name="Normal 2 2 4 2 2 11 3 10" xfId="22354" xr:uid="{00000000-0005-0000-0000-00002F570000}"/>
    <cellStyle name="Normal 2 2 4 2 2 11 3 2" xfId="22355" xr:uid="{00000000-0005-0000-0000-000030570000}"/>
    <cellStyle name="Normal 2 2 4 2 2 11 3 3" xfId="22356" xr:uid="{00000000-0005-0000-0000-000031570000}"/>
    <cellStyle name="Normal 2 2 4 2 2 11 3 4" xfId="22357" xr:uid="{00000000-0005-0000-0000-000032570000}"/>
    <cellStyle name="Normal 2 2 4 2 2 11 3 5" xfId="22358" xr:uid="{00000000-0005-0000-0000-000033570000}"/>
    <cellStyle name="Normal 2 2 4 2 2 11 3 6" xfId="22359" xr:uid="{00000000-0005-0000-0000-000034570000}"/>
    <cellStyle name="Normal 2 2 4 2 2 11 3 7" xfId="22360" xr:uid="{00000000-0005-0000-0000-000035570000}"/>
    <cellStyle name="Normal 2 2 4 2 2 11 3 8" xfId="22361" xr:uid="{00000000-0005-0000-0000-000036570000}"/>
    <cellStyle name="Normal 2 2 4 2 2 11 3 9" xfId="22362" xr:uid="{00000000-0005-0000-0000-000037570000}"/>
    <cellStyle name="Normal 2 2 4 2 2 11 4" xfId="22363" xr:uid="{00000000-0005-0000-0000-000038570000}"/>
    <cellStyle name="Normal 2 2 4 2 2 11 4 10" xfId="22364" xr:uid="{00000000-0005-0000-0000-000039570000}"/>
    <cellStyle name="Normal 2 2 4 2 2 11 4 2" xfId="22365" xr:uid="{00000000-0005-0000-0000-00003A570000}"/>
    <cellStyle name="Normal 2 2 4 2 2 11 4 3" xfId="22366" xr:uid="{00000000-0005-0000-0000-00003B570000}"/>
    <cellStyle name="Normal 2 2 4 2 2 11 4 4" xfId="22367" xr:uid="{00000000-0005-0000-0000-00003C570000}"/>
    <cellStyle name="Normal 2 2 4 2 2 11 4 5" xfId="22368" xr:uid="{00000000-0005-0000-0000-00003D570000}"/>
    <cellStyle name="Normal 2 2 4 2 2 11 4 6" xfId="22369" xr:uid="{00000000-0005-0000-0000-00003E570000}"/>
    <cellStyle name="Normal 2 2 4 2 2 11 4 7" xfId="22370" xr:uid="{00000000-0005-0000-0000-00003F570000}"/>
    <cellStyle name="Normal 2 2 4 2 2 11 4 8" xfId="22371" xr:uid="{00000000-0005-0000-0000-000040570000}"/>
    <cellStyle name="Normal 2 2 4 2 2 11 4 9" xfId="22372" xr:uid="{00000000-0005-0000-0000-000041570000}"/>
    <cellStyle name="Normal 2 2 4 2 2 11 5" xfId="22373" xr:uid="{00000000-0005-0000-0000-000042570000}"/>
    <cellStyle name="Normal 2 2 4 2 2 11 5 10" xfId="22374" xr:uid="{00000000-0005-0000-0000-000043570000}"/>
    <cellStyle name="Normal 2 2 4 2 2 11 5 2" xfId="22375" xr:uid="{00000000-0005-0000-0000-000044570000}"/>
    <cellStyle name="Normal 2 2 4 2 2 11 5 3" xfId="22376" xr:uid="{00000000-0005-0000-0000-000045570000}"/>
    <cellStyle name="Normal 2 2 4 2 2 11 5 4" xfId="22377" xr:uid="{00000000-0005-0000-0000-000046570000}"/>
    <cellStyle name="Normal 2 2 4 2 2 11 5 5" xfId="22378" xr:uid="{00000000-0005-0000-0000-000047570000}"/>
    <cellStyle name="Normal 2 2 4 2 2 11 5 6" xfId="22379" xr:uid="{00000000-0005-0000-0000-000048570000}"/>
    <cellStyle name="Normal 2 2 4 2 2 11 5 7" xfId="22380" xr:uid="{00000000-0005-0000-0000-000049570000}"/>
    <cellStyle name="Normal 2 2 4 2 2 11 5 8" xfId="22381" xr:uid="{00000000-0005-0000-0000-00004A570000}"/>
    <cellStyle name="Normal 2 2 4 2 2 11 5 9" xfId="22382" xr:uid="{00000000-0005-0000-0000-00004B570000}"/>
    <cellStyle name="Normal 2 2 4 2 2 11 6" xfId="22383" xr:uid="{00000000-0005-0000-0000-00004C570000}"/>
    <cellStyle name="Normal 2 2 4 2 2 11 7" xfId="22384" xr:uid="{00000000-0005-0000-0000-00004D570000}"/>
    <cellStyle name="Normal 2 2 4 2 2 11 8" xfId="22385" xr:uid="{00000000-0005-0000-0000-00004E570000}"/>
    <cellStyle name="Normal 2 2 4 2 2 11 9" xfId="22386" xr:uid="{00000000-0005-0000-0000-00004F570000}"/>
    <cellStyle name="Normal 2 2 4 2 2 12" xfId="22387" xr:uid="{00000000-0005-0000-0000-000050570000}"/>
    <cellStyle name="Normal 2 2 4 2 2 12 10" xfId="22388" xr:uid="{00000000-0005-0000-0000-000051570000}"/>
    <cellStyle name="Normal 2 2 4 2 2 12 11" xfId="22389" xr:uid="{00000000-0005-0000-0000-000052570000}"/>
    <cellStyle name="Normal 2 2 4 2 2 12 12" xfId="22390" xr:uid="{00000000-0005-0000-0000-000053570000}"/>
    <cellStyle name="Normal 2 2 4 2 2 12 13" xfId="22391" xr:uid="{00000000-0005-0000-0000-000054570000}"/>
    <cellStyle name="Normal 2 2 4 2 2 12 14" xfId="22392" xr:uid="{00000000-0005-0000-0000-000055570000}"/>
    <cellStyle name="Normal 2 2 4 2 2 12 2" xfId="22393" xr:uid="{00000000-0005-0000-0000-000056570000}"/>
    <cellStyle name="Normal 2 2 4 2 2 12 2 10" xfId="22394" xr:uid="{00000000-0005-0000-0000-000057570000}"/>
    <cellStyle name="Normal 2 2 4 2 2 12 2 2" xfId="22395" xr:uid="{00000000-0005-0000-0000-000058570000}"/>
    <cellStyle name="Normal 2 2 4 2 2 12 2 3" xfId="22396" xr:uid="{00000000-0005-0000-0000-000059570000}"/>
    <cellStyle name="Normal 2 2 4 2 2 12 2 4" xfId="22397" xr:uid="{00000000-0005-0000-0000-00005A570000}"/>
    <cellStyle name="Normal 2 2 4 2 2 12 2 5" xfId="22398" xr:uid="{00000000-0005-0000-0000-00005B570000}"/>
    <cellStyle name="Normal 2 2 4 2 2 12 2 6" xfId="22399" xr:uid="{00000000-0005-0000-0000-00005C570000}"/>
    <cellStyle name="Normal 2 2 4 2 2 12 2 7" xfId="22400" xr:uid="{00000000-0005-0000-0000-00005D570000}"/>
    <cellStyle name="Normal 2 2 4 2 2 12 2 8" xfId="22401" xr:uid="{00000000-0005-0000-0000-00005E570000}"/>
    <cellStyle name="Normal 2 2 4 2 2 12 2 9" xfId="22402" xr:uid="{00000000-0005-0000-0000-00005F570000}"/>
    <cellStyle name="Normal 2 2 4 2 2 12 3" xfId="22403" xr:uid="{00000000-0005-0000-0000-000060570000}"/>
    <cellStyle name="Normal 2 2 4 2 2 12 3 10" xfId="22404" xr:uid="{00000000-0005-0000-0000-000061570000}"/>
    <cellStyle name="Normal 2 2 4 2 2 12 3 2" xfId="22405" xr:uid="{00000000-0005-0000-0000-000062570000}"/>
    <cellStyle name="Normal 2 2 4 2 2 12 3 3" xfId="22406" xr:uid="{00000000-0005-0000-0000-000063570000}"/>
    <cellStyle name="Normal 2 2 4 2 2 12 3 4" xfId="22407" xr:uid="{00000000-0005-0000-0000-000064570000}"/>
    <cellStyle name="Normal 2 2 4 2 2 12 3 5" xfId="22408" xr:uid="{00000000-0005-0000-0000-000065570000}"/>
    <cellStyle name="Normal 2 2 4 2 2 12 3 6" xfId="22409" xr:uid="{00000000-0005-0000-0000-000066570000}"/>
    <cellStyle name="Normal 2 2 4 2 2 12 3 7" xfId="22410" xr:uid="{00000000-0005-0000-0000-000067570000}"/>
    <cellStyle name="Normal 2 2 4 2 2 12 3 8" xfId="22411" xr:uid="{00000000-0005-0000-0000-000068570000}"/>
    <cellStyle name="Normal 2 2 4 2 2 12 3 9" xfId="22412" xr:uid="{00000000-0005-0000-0000-000069570000}"/>
    <cellStyle name="Normal 2 2 4 2 2 12 4" xfId="22413" xr:uid="{00000000-0005-0000-0000-00006A570000}"/>
    <cellStyle name="Normal 2 2 4 2 2 12 4 10" xfId="22414" xr:uid="{00000000-0005-0000-0000-00006B570000}"/>
    <cellStyle name="Normal 2 2 4 2 2 12 4 2" xfId="22415" xr:uid="{00000000-0005-0000-0000-00006C570000}"/>
    <cellStyle name="Normal 2 2 4 2 2 12 4 3" xfId="22416" xr:uid="{00000000-0005-0000-0000-00006D570000}"/>
    <cellStyle name="Normal 2 2 4 2 2 12 4 4" xfId="22417" xr:uid="{00000000-0005-0000-0000-00006E570000}"/>
    <cellStyle name="Normal 2 2 4 2 2 12 4 5" xfId="22418" xr:uid="{00000000-0005-0000-0000-00006F570000}"/>
    <cellStyle name="Normal 2 2 4 2 2 12 4 6" xfId="22419" xr:uid="{00000000-0005-0000-0000-000070570000}"/>
    <cellStyle name="Normal 2 2 4 2 2 12 4 7" xfId="22420" xr:uid="{00000000-0005-0000-0000-000071570000}"/>
    <cellStyle name="Normal 2 2 4 2 2 12 4 8" xfId="22421" xr:uid="{00000000-0005-0000-0000-000072570000}"/>
    <cellStyle name="Normal 2 2 4 2 2 12 4 9" xfId="22422" xr:uid="{00000000-0005-0000-0000-000073570000}"/>
    <cellStyle name="Normal 2 2 4 2 2 12 5" xfId="22423" xr:uid="{00000000-0005-0000-0000-000074570000}"/>
    <cellStyle name="Normal 2 2 4 2 2 12 5 10" xfId="22424" xr:uid="{00000000-0005-0000-0000-000075570000}"/>
    <cellStyle name="Normal 2 2 4 2 2 12 5 2" xfId="22425" xr:uid="{00000000-0005-0000-0000-000076570000}"/>
    <cellStyle name="Normal 2 2 4 2 2 12 5 3" xfId="22426" xr:uid="{00000000-0005-0000-0000-000077570000}"/>
    <cellStyle name="Normal 2 2 4 2 2 12 5 4" xfId="22427" xr:uid="{00000000-0005-0000-0000-000078570000}"/>
    <cellStyle name="Normal 2 2 4 2 2 12 5 5" xfId="22428" xr:uid="{00000000-0005-0000-0000-000079570000}"/>
    <cellStyle name="Normal 2 2 4 2 2 12 5 6" xfId="22429" xr:uid="{00000000-0005-0000-0000-00007A570000}"/>
    <cellStyle name="Normal 2 2 4 2 2 12 5 7" xfId="22430" xr:uid="{00000000-0005-0000-0000-00007B570000}"/>
    <cellStyle name="Normal 2 2 4 2 2 12 5 8" xfId="22431" xr:uid="{00000000-0005-0000-0000-00007C570000}"/>
    <cellStyle name="Normal 2 2 4 2 2 12 5 9" xfId="22432" xr:uid="{00000000-0005-0000-0000-00007D570000}"/>
    <cellStyle name="Normal 2 2 4 2 2 12 6" xfId="22433" xr:uid="{00000000-0005-0000-0000-00007E570000}"/>
    <cellStyle name="Normal 2 2 4 2 2 12 7" xfId="22434" xr:uid="{00000000-0005-0000-0000-00007F570000}"/>
    <cellStyle name="Normal 2 2 4 2 2 12 8" xfId="22435" xr:uid="{00000000-0005-0000-0000-000080570000}"/>
    <cellStyle name="Normal 2 2 4 2 2 12 9" xfId="22436" xr:uid="{00000000-0005-0000-0000-000081570000}"/>
    <cellStyle name="Normal 2 2 4 2 2 13" xfId="22437" xr:uid="{00000000-0005-0000-0000-000082570000}"/>
    <cellStyle name="Normal 2 2 4 2 2 13 10" xfId="22438" xr:uid="{00000000-0005-0000-0000-000083570000}"/>
    <cellStyle name="Normal 2 2 4 2 2 13 11" xfId="22439" xr:uid="{00000000-0005-0000-0000-000084570000}"/>
    <cellStyle name="Normal 2 2 4 2 2 13 12" xfId="22440" xr:uid="{00000000-0005-0000-0000-000085570000}"/>
    <cellStyle name="Normal 2 2 4 2 2 13 13" xfId="22441" xr:uid="{00000000-0005-0000-0000-000086570000}"/>
    <cellStyle name="Normal 2 2 4 2 2 13 14" xfId="22442" xr:uid="{00000000-0005-0000-0000-000087570000}"/>
    <cellStyle name="Normal 2 2 4 2 2 13 2" xfId="22443" xr:uid="{00000000-0005-0000-0000-000088570000}"/>
    <cellStyle name="Normal 2 2 4 2 2 13 2 10" xfId="22444" xr:uid="{00000000-0005-0000-0000-000089570000}"/>
    <cellStyle name="Normal 2 2 4 2 2 13 2 2" xfId="22445" xr:uid="{00000000-0005-0000-0000-00008A570000}"/>
    <cellStyle name="Normal 2 2 4 2 2 13 2 3" xfId="22446" xr:uid="{00000000-0005-0000-0000-00008B570000}"/>
    <cellStyle name="Normal 2 2 4 2 2 13 2 4" xfId="22447" xr:uid="{00000000-0005-0000-0000-00008C570000}"/>
    <cellStyle name="Normal 2 2 4 2 2 13 2 5" xfId="22448" xr:uid="{00000000-0005-0000-0000-00008D570000}"/>
    <cellStyle name="Normal 2 2 4 2 2 13 2 6" xfId="22449" xr:uid="{00000000-0005-0000-0000-00008E570000}"/>
    <cellStyle name="Normal 2 2 4 2 2 13 2 7" xfId="22450" xr:uid="{00000000-0005-0000-0000-00008F570000}"/>
    <cellStyle name="Normal 2 2 4 2 2 13 2 8" xfId="22451" xr:uid="{00000000-0005-0000-0000-000090570000}"/>
    <cellStyle name="Normal 2 2 4 2 2 13 2 9" xfId="22452" xr:uid="{00000000-0005-0000-0000-000091570000}"/>
    <cellStyle name="Normal 2 2 4 2 2 13 3" xfId="22453" xr:uid="{00000000-0005-0000-0000-000092570000}"/>
    <cellStyle name="Normal 2 2 4 2 2 13 3 10" xfId="22454" xr:uid="{00000000-0005-0000-0000-000093570000}"/>
    <cellStyle name="Normal 2 2 4 2 2 13 3 2" xfId="22455" xr:uid="{00000000-0005-0000-0000-000094570000}"/>
    <cellStyle name="Normal 2 2 4 2 2 13 3 3" xfId="22456" xr:uid="{00000000-0005-0000-0000-000095570000}"/>
    <cellStyle name="Normal 2 2 4 2 2 13 3 4" xfId="22457" xr:uid="{00000000-0005-0000-0000-000096570000}"/>
    <cellStyle name="Normal 2 2 4 2 2 13 3 5" xfId="22458" xr:uid="{00000000-0005-0000-0000-000097570000}"/>
    <cellStyle name="Normal 2 2 4 2 2 13 3 6" xfId="22459" xr:uid="{00000000-0005-0000-0000-000098570000}"/>
    <cellStyle name="Normal 2 2 4 2 2 13 3 7" xfId="22460" xr:uid="{00000000-0005-0000-0000-000099570000}"/>
    <cellStyle name="Normal 2 2 4 2 2 13 3 8" xfId="22461" xr:uid="{00000000-0005-0000-0000-00009A570000}"/>
    <cellStyle name="Normal 2 2 4 2 2 13 3 9" xfId="22462" xr:uid="{00000000-0005-0000-0000-00009B570000}"/>
    <cellStyle name="Normal 2 2 4 2 2 13 4" xfId="22463" xr:uid="{00000000-0005-0000-0000-00009C570000}"/>
    <cellStyle name="Normal 2 2 4 2 2 13 4 10" xfId="22464" xr:uid="{00000000-0005-0000-0000-00009D570000}"/>
    <cellStyle name="Normal 2 2 4 2 2 13 4 2" xfId="22465" xr:uid="{00000000-0005-0000-0000-00009E570000}"/>
    <cellStyle name="Normal 2 2 4 2 2 13 4 3" xfId="22466" xr:uid="{00000000-0005-0000-0000-00009F570000}"/>
    <cellStyle name="Normal 2 2 4 2 2 13 4 4" xfId="22467" xr:uid="{00000000-0005-0000-0000-0000A0570000}"/>
    <cellStyle name="Normal 2 2 4 2 2 13 4 5" xfId="22468" xr:uid="{00000000-0005-0000-0000-0000A1570000}"/>
    <cellStyle name="Normal 2 2 4 2 2 13 4 6" xfId="22469" xr:uid="{00000000-0005-0000-0000-0000A2570000}"/>
    <cellStyle name="Normal 2 2 4 2 2 13 4 7" xfId="22470" xr:uid="{00000000-0005-0000-0000-0000A3570000}"/>
    <cellStyle name="Normal 2 2 4 2 2 13 4 8" xfId="22471" xr:uid="{00000000-0005-0000-0000-0000A4570000}"/>
    <cellStyle name="Normal 2 2 4 2 2 13 4 9" xfId="22472" xr:uid="{00000000-0005-0000-0000-0000A5570000}"/>
    <cellStyle name="Normal 2 2 4 2 2 13 5" xfId="22473" xr:uid="{00000000-0005-0000-0000-0000A6570000}"/>
    <cellStyle name="Normal 2 2 4 2 2 13 5 10" xfId="22474" xr:uid="{00000000-0005-0000-0000-0000A7570000}"/>
    <cellStyle name="Normal 2 2 4 2 2 13 5 2" xfId="22475" xr:uid="{00000000-0005-0000-0000-0000A8570000}"/>
    <cellStyle name="Normal 2 2 4 2 2 13 5 3" xfId="22476" xr:uid="{00000000-0005-0000-0000-0000A9570000}"/>
    <cellStyle name="Normal 2 2 4 2 2 13 5 4" xfId="22477" xr:uid="{00000000-0005-0000-0000-0000AA570000}"/>
    <cellStyle name="Normal 2 2 4 2 2 13 5 5" xfId="22478" xr:uid="{00000000-0005-0000-0000-0000AB570000}"/>
    <cellStyle name="Normal 2 2 4 2 2 13 5 6" xfId="22479" xr:uid="{00000000-0005-0000-0000-0000AC570000}"/>
    <cellStyle name="Normal 2 2 4 2 2 13 5 7" xfId="22480" xr:uid="{00000000-0005-0000-0000-0000AD570000}"/>
    <cellStyle name="Normal 2 2 4 2 2 13 5 8" xfId="22481" xr:uid="{00000000-0005-0000-0000-0000AE570000}"/>
    <cellStyle name="Normal 2 2 4 2 2 13 5 9" xfId="22482" xr:uid="{00000000-0005-0000-0000-0000AF570000}"/>
    <cellStyle name="Normal 2 2 4 2 2 13 6" xfId="22483" xr:uid="{00000000-0005-0000-0000-0000B0570000}"/>
    <cellStyle name="Normal 2 2 4 2 2 13 7" xfId="22484" xr:uid="{00000000-0005-0000-0000-0000B1570000}"/>
    <cellStyle name="Normal 2 2 4 2 2 13 8" xfId="22485" xr:uid="{00000000-0005-0000-0000-0000B2570000}"/>
    <cellStyle name="Normal 2 2 4 2 2 13 9" xfId="22486" xr:uid="{00000000-0005-0000-0000-0000B3570000}"/>
    <cellStyle name="Normal 2 2 4 2 2 14" xfId="22487" xr:uid="{00000000-0005-0000-0000-0000B4570000}"/>
    <cellStyle name="Normal 2 2 4 2 2 14 10" xfId="22488" xr:uid="{00000000-0005-0000-0000-0000B5570000}"/>
    <cellStyle name="Normal 2 2 4 2 2 14 11" xfId="22489" xr:uid="{00000000-0005-0000-0000-0000B6570000}"/>
    <cellStyle name="Normal 2 2 4 2 2 14 12" xfId="22490" xr:uid="{00000000-0005-0000-0000-0000B7570000}"/>
    <cellStyle name="Normal 2 2 4 2 2 14 13" xfId="22491" xr:uid="{00000000-0005-0000-0000-0000B8570000}"/>
    <cellStyle name="Normal 2 2 4 2 2 14 14" xfId="22492" xr:uid="{00000000-0005-0000-0000-0000B9570000}"/>
    <cellStyle name="Normal 2 2 4 2 2 14 2" xfId="22493" xr:uid="{00000000-0005-0000-0000-0000BA570000}"/>
    <cellStyle name="Normal 2 2 4 2 2 14 2 10" xfId="22494" xr:uid="{00000000-0005-0000-0000-0000BB570000}"/>
    <cellStyle name="Normal 2 2 4 2 2 14 2 2" xfId="22495" xr:uid="{00000000-0005-0000-0000-0000BC570000}"/>
    <cellStyle name="Normal 2 2 4 2 2 14 2 3" xfId="22496" xr:uid="{00000000-0005-0000-0000-0000BD570000}"/>
    <cellStyle name="Normal 2 2 4 2 2 14 2 4" xfId="22497" xr:uid="{00000000-0005-0000-0000-0000BE570000}"/>
    <cellStyle name="Normal 2 2 4 2 2 14 2 5" xfId="22498" xr:uid="{00000000-0005-0000-0000-0000BF570000}"/>
    <cellStyle name="Normal 2 2 4 2 2 14 2 6" xfId="22499" xr:uid="{00000000-0005-0000-0000-0000C0570000}"/>
    <cellStyle name="Normal 2 2 4 2 2 14 2 7" xfId="22500" xr:uid="{00000000-0005-0000-0000-0000C1570000}"/>
    <cellStyle name="Normal 2 2 4 2 2 14 2 8" xfId="22501" xr:uid="{00000000-0005-0000-0000-0000C2570000}"/>
    <cellStyle name="Normal 2 2 4 2 2 14 2 9" xfId="22502" xr:uid="{00000000-0005-0000-0000-0000C3570000}"/>
    <cellStyle name="Normal 2 2 4 2 2 14 3" xfId="22503" xr:uid="{00000000-0005-0000-0000-0000C4570000}"/>
    <cellStyle name="Normal 2 2 4 2 2 14 3 10" xfId="22504" xr:uid="{00000000-0005-0000-0000-0000C5570000}"/>
    <cellStyle name="Normal 2 2 4 2 2 14 3 2" xfId="22505" xr:uid="{00000000-0005-0000-0000-0000C6570000}"/>
    <cellStyle name="Normal 2 2 4 2 2 14 3 3" xfId="22506" xr:uid="{00000000-0005-0000-0000-0000C7570000}"/>
    <cellStyle name="Normal 2 2 4 2 2 14 3 4" xfId="22507" xr:uid="{00000000-0005-0000-0000-0000C8570000}"/>
    <cellStyle name="Normal 2 2 4 2 2 14 3 5" xfId="22508" xr:uid="{00000000-0005-0000-0000-0000C9570000}"/>
    <cellStyle name="Normal 2 2 4 2 2 14 3 6" xfId="22509" xr:uid="{00000000-0005-0000-0000-0000CA570000}"/>
    <cellStyle name="Normal 2 2 4 2 2 14 3 7" xfId="22510" xr:uid="{00000000-0005-0000-0000-0000CB570000}"/>
    <cellStyle name="Normal 2 2 4 2 2 14 3 8" xfId="22511" xr:uid="{00000000-0005-0000-0000-0000CC570000}"/>
    <cellStyle name="Normal 2 2 4 2 2 14 3 9" xfId="22512" xr:uid="{00000000-0005-0000-0000-0000CD570000}"/>
    <cellStyle name="Normal 2 2 4 2 2 14 4" xfId="22513" xr:uid="{00000000-0005-0000-0000-0000CE570000}"/>
    <cellStyle name="Normal 2 2 4 2 2 14 4 10" xfId="22514" xr:uid="{00000000-0005-0000-0000-0000CF570000}"/>
    <cellStyle name="Normal 2 2 4 2 2 14 4 2" xfId="22515" xr:uid="{00000000-0005-0000-0000-0000D0570000}"/>
    <cellStyle name="Normal 2 2 4 2 2 14 4 3" xfId="22516" xr:uid="{00000000-0005-0000-0000-0000D1570000}"/>
    <cellStyle name="Normal 2 2 4 2 2 14 4 4" xfId="22517" xr:uid="{00000000-0005-0000-0000-0000D2570000}"/>
    <cellStyle name="Normal 2 2 4 2 2 14 4 5" xfId="22518" xr:uid="{00000000-0005-0000-0000-0000D3570000}"/>
    <cellStyle name="Normal 2 2 4 2 2 14 4 6" xfId="22519" xr:uid="{00000000-0005-0000-0000-0000D4570000}"/>
    <cellStyle name="Normal 2 2 4 2 2 14 4 7" xfId="22520" xr:uid="{00000000-0005-0000-0000-0000D5570000}"/>
    <cellStyle name="Normal 2 2 4 2 2 14 4 8" xfId="22521" xr:uid="{00000000-0005-0000-0000-0000D6570000}"/>
    <cellStyle name="Normal 2 2 4 2 2 14 4 9" xfId="22522" xr:uid="{00000000-0005-0000-0000-0000D7570000}"/>
    <cellStyle name="Normal 2 2 4 2 2 14 5" xfId="22523" xr:uid="{00000000-0005-0000-0000-0000D8570000}"/>
    <cellStyle name="Normal 2 2 4 2 2 14 5 10" xfId="22524" xr:uid="{00000000-0005-0000-0000-0000D9570000}"/>
    <cellStyle name="Normal 2 2 4 2 2 14 5 2" xfId="22525" xr:uid="{00000000-0005-0000-0000-0000DA570000}"/>
    <cellStyle name="Normal 2 2 4 2 2 14 5 3" xfId="22526" xr:uid="{00000000-0005-0000-0000-0000DB570000}"/>
    <cellStyle name="Normal 2 2 4 2 2 14 5 4" xfId="22527" xr:uid="{00000000-0005-0000-0000-0000DC570000}"/>
    <cellStyle name="Normal 2 2 4 2 2 14 5 5" xfId="22528" xr:uid="{00000000-0005-0000-0000-0000DD570000}"/>
    <cellStyle name="Normal 2 2 4 2 2 14 5 6" xfId="22529" xr:uid="{00000000-0005-0000-0000-0000DE570000}"/>
    <cellStyle name="Normal 2 2 4 2 2 14 5 7" xfId="22530" xr:uid="{00000000-0005-0000-0000-0000DF570000}"/>
    <cellStyle name="Normal 2 2 4 2 2 14 5 8" xfId="22531" xr:uid="{00000000-0005-0000-0000-0000E0570000}"/>
    <cellStyle name="Normal 2 2 4 2 2 14 5 9" xfId="22532" xr:uid="{00000000-0005-0000-0000-0000E1570000}"/>
    <cellStyle name="Normal 2 2 4 2 2 14 6" xfId="22533" xr:uid="{00000000-0005-0000-0000-0000E2570000}"/>
    <cellStyle name="Normal 2 2 4 2 2 14 7" xfId="22534" xr:uid="{00000000-0005-0000-0000-0000E3570000}"/>
    <cellStyle name="Normal 2 2 4 2 2 14 8" xfId="22535" xr:uid="{00000000-0005-0000-0000-0000E4570000}"/>
    <cellStyle name="Normal 2 2 4 2 2 14 9" xfId="22536" xr:uid="{00000000-0005-0000-0000-0000E5570000}"/>
    <cellStyle name="Normal 2 2 4 2 2 15" xfId="22537" xr:uid="{00000000-0005-0000-0000-0000E6570000}"/>
    <cellStyle name="Normal 2 2 4 2 2 15 10" xfId="22538" xr:uid="{00000000-0005-0000-0000-0000E7570000}"/>
    <cellStyle name="Normal 2 2 4 2 2 15 11" xfId="22539" xr:uid="{00000000-0005-0000-0000-0000E8570000}"/>
    <cellStyle name="Normal 2 2 4 2 2 15 12" xfId="22540" xr:uid="{00000000-0005-0000-0000-0000E9570000}"/>
    <cellStyle name="Normal 2 2 4 2 2 15 13" xfId="22541" xr:uid="{00000000-0005-0000-0000-0000EA570000}"/>
    <cellStyle name="Normal 2 2 4 2 2 15 14" xfId="22542" xr:uid="{00000000-0005-0000-0000-0000EB570000}"/>
    <cellStyle name="Normal 2 2 4 2 2 15 2" xfId="22543" xr:uid="{00000000-0005-0000-0000-0000EC570000}"/>
    <cellStyle name="Normal 2 2 4 2 2 15 2 10" xfId="22544" xr:uid="{00000000-0005-0000-0000-0000ED570000}"/>
    <cellStyle name="Normal 2 2 4 2 2 15 2 2" xfId="22545" xr:uid="{00000000-0005-0000-0000-0000EE570000}"/>
    <cellStyle name="Normal 2 2 4 2 2 15 2 3" xfId="22546" xr:uid="{00000000-0005-0000-0000-0000EF570000}"/>
    <cellStyle name="Normal 2 2 4 2 2 15 2 4" xfId="22547" xr:uid="{00000000-0005-0000-0000-0000F0570000}"/>
    <cellStyle name="Normal 2 2 4 2 2 15 2 5" xfId="22548" xr:uid="{00000000-0005-0000-0000-0000F1570000}"/>
    <cellStyle name="Normal 2 2 4 2 2 15 2 6" xfId="22549" xr:uid="{00000000-0005-0000-0000-0000F2570000}"/>
    <cellStyle name="Normal 2 2 4 2 2 15 2 7" xfId="22550" xr:uid="{00000000-0005-0000-0000-0000F3570000}"/>
    <cellStyle name="Normal 2 2 4 2 2 15 2 8" xfId="22551" xr:uid="{00000000-0005-0000-0000-0000F4570000}"/>
    <cellStyle name="Normal 2 2 4 2 2 15 2 9" xfId="22552" xr:uid="{00000000-0005-0000-0000-0000F5570000}"/>
    <cellStyle name="Normal 2 2 4 2 2 15 3" xfId="22553" xr:uid="{00000000-0005-0000-0000-0000F6570000}"/>
    <cellStyle name="Normal 2 2 4 2 2 15 3 10" xfId="22554" xr:uid="{00000000-0005-0000-0000-0000F7570000}"/>
    <cellStyle name="Normal 2 2 4 2 2 15 3 2" xfId="22555" xr:uid="{00000000-0005-0000-0000-0000F8570000}"/>
    <cellStyle name="Normal 2 2 4 2 2 15 3 3" xfId="22556" xr:uid="{00000000-0005-0000-0000-0000F9570000}"/>
    <cellStyle name="Normal 2 2 4 2 2 15 3 4" xfId="22557" xr:uid="{00000000-0005-0000-0000-0000FA570000}"/>
    <cellStyle name="Normal 2 2 4 2 2 15 3 5" xfId="22558" xr:uid="{00000000-0005-0000-0000-0000FB570000}"/>
    <cellStyle name="Normal 2 2 4 2 2 15 3 6" xfId="22559" xr:uid="{00000000-0005-0000-0000-0000FC570000}"/>
    <cellStyle name="Normal 2 2 4 2 2 15 3 7" xfId="22560" xr:uid="{00000000-0005-0000-0000-0000FD570000}"/>
    <cellStyle name="Normal 2 2 4 2 2 15 3 8" xfId="22561" xr:uid="{00000000-0005-0000-0000-0000FE570000}"/>
    <cellStyle name="Normal 2 2 4 2 2 15 3 9" xfId="22562" xr:uid="{00000000-0005-0000-0000-0000FF570000}"/>
    <cellStyle name="Normal 2 2 4 2 2 15 4" xfId="22563" xr:uid="{00000000-0005-0000-0000-000000580000}"/>
    <cellStyle name="Normal 2 2 4 2 2 15 4 10" xfId="22564" xr:uid="{00000000-0005-0000-0000-000001580000}"/>
    <cellStyle name="Normal 2 2 4 2 2 15 4 2" xfId="22565" xr:uid="{00000000-0005-0000-0000-000002580000}"/>
    <cellStyle name="Normal 2 2 4 2 2 15 4 3" xfId="22566" xr:uid="{00000000-0005-0000-0000-000003580000}"/>
    <cellStyle name="Normal 2 2 4 2 2 15 4 4" xfId="22567" xr:uid="{00000000-0005-0000-0000-000004580000}"/>
    <cellStyle name="Normal 2 2 4 2 2 15 4 5" xfId="22568" xr:uid="{00000000-0005-0000-0000-000005580000}"/>
    <cellStyle name="Normal 2 2 4 2 2 15 4 6" xfId="22569" xr:uid="{00000000-0005-0000-0000-000006580000}"/>
    <cellStyle name="Normal 2 2 4 2 2 15 4 7" xfId="22570" xr:uid="{00000000-0005-0000-0000-000007580000}"/>
    <cellStyle name="Normal 2 2 4 2 2 15 4 8" xfId="22571" xr:uid="{00000000-0005-0000-0000-000008580000}"/>
    <cellStyle name="Normal 2 2 4 2 2 15 4 9" xfId="22572" xr:uid="{00000000-0005-0000-0000-000009580000}"/>
    <cellStyle name="Normal 2 2 4 2 2 15 5" xfId="22573" xr:uid="{00000000-0005-0000-0000-00000A580000}"/>
    <cellStyle name="Normal 2 2 4 2 2 15 5 10" xfId="22574" xr:uid="{00000000-0005-0000-0000-00000B580000}"/>
    <cellStyle name="Normal 2 2 4 2 2 15 5 2" xfId="22575" xr:uid="{00000000-0005-0000-0000-00000C580000}"/>
    <cellStyle name="Normal 2 2 4 2 2 15 5 3" xfId="22576" xr:uid="{00000000-0005-0000-0000-00000D580000}"/>
    <cellStyle name="Normal 2 2 4 2 2 15 5 4" xfId="22577" xr:uid="{00000000-0005-0000-0000-00000E580000}"/>
    <cellStyle name="Normal 2 2 4 2 2 15 5 5" xfId="22578" xr:uid="{00000000-0005-0000-0000-00000F580000}"/>
    <cellStyle name="Normal 2 2 4 2 2 15 5 6" xfId="22579" xr:uid="{00000000-0005-0000-0000-000010580000}"/>
    <cellStyle name="Normal 2 2 4 2 2 15 5 7" xfId="22580" xr:uid="{00000000-0005-0000-0000-000011580000}"/>
    <cellStyle name="Normal 2 2 4 2 2 15 5 8" xfId="22581" xr:uid="{00000000-0005-0000-0000-000012580000}"/>
    <cellStyle name="Normal 2 2 4 2 2 15 5 9" xfId="22582" xr:uid="{00000000-0005-0000-0000-000013580000}"/>
    <cellStyle name="Normal 2 2 4 2 2 15 6" xfId="22583" xr:uid="{00000000-0005-0000-0000-000014580000}"/>
    <cellStyle name="Normal 2 2 4 2 2 15 7" xfId="22584" xr:uid="{00000000-0005-0000-0000-000015580000}"/>
    <cellStyle name="Normal 2 2 4 2 2 15 8" xfId="22585" xr:uid="{00000000-0005-0000-0000-000016580000}"/>
    <cellStyle name="Normal 2 2 4 2 2 15 9" xfId="22586" xr:uid="{00000000-0005-0000-0000-000017580000}"/>
    <cellStyle name="Normal 2 2 4 2 2 16" xfId="22587" xr:uid="{00000000-0005-0000-0000-000018580000}"/>
    <cellStyle name="Normal 2 2 4 2 2 16 10" xfId="22588" xr:uid="{00000000-0005-0000-0000-000019580000}"/>
    <cellStyle name="Normal 2 2 4 2 2 16 11" xfId="22589" xr:uid="{00000000-0005-0000-0000-00001A580000}"/>
    <cellStyle name="Normal 2 2 4 2 2 16 12" xfId="22590" xr:uid="{00000000-0005-0000-0000-00001B580000}"/>
    <cellStyle name="Normal 2 2 4 2 2 16 13" xfId="22591" xr:uid="{00000000-0005-0000-0000-00001C580000}"/>
    <cellStyle name="Normal 2 2 4 2 2 16 14" xfId="22592" xr:uid="{00000000-0005-0000-0000-00001D580000}"/>
    <cellStyle name="Normal 2 2 4 2 2 16 2" xfId="22593" xr:uid="{00000000-0005-0000-0000-00001E580000}"/>
    <cellStyle name="Normal 2 2 4 2 2 16 2 10" xfId="22594" xr:uid="{00000000-0005-0000-0000-00001F580000}"/>
    <cellStyle name="Normal 2 2 4 2 2 16 2 2" xfId="22595" xr:uid="{00000000-0005-0000-0000-000020580000}"/>
    <cellStyle name="Normal 2 2 4 2 2 16 2 3" xfId="22596" xr:uid="{00000000-0005-0000-0000-000021580000}"/>
    <cellStyle name="Normal 2 2 4 2 2 16 2 4" xfId="22597" xr:uid="{00000000-0005-0000-0000-000022580000}"/>
    <cellStyle name="Normal 2 2 4 2 2 16 2 5" xfId="22598" xr:uid="{00000000-0005-0000-0000-000023580000}"/>
    <cellStyle name="Normal 2 2 4 2 2 16 2 6" xfId="22599" xr:uid="{00000000-0005-0000-0000-000024580000}"/>
    <cellStyle name="Normal 2 2 4 2 2 16 2 7" xfId="22600" xr:uid="{00000000-0005-0000-0000-000025580000}"/>
    <cellStyle name="Normal 2 2 4 2 2 16 2 8" xfId="22601" xr:uid="{00000000-0005-0000-0000-000026580000}"/>
    <cellStyle name="Normal 2 2 4 2 2 16 2 9" xfId="22602" xr:uid="{00000000-0005-0000-0000-000027580000}"/>
    <cellStyle name="Normal 2 2 4 2 2 16 3" xfId="22603" xr:uid="{00000000-0005-0000-0000-000028580000}"/>
    <cellStyle name="Normal 2 2 4 2 2 16 3 10" xfId="22604" xr:uid="{00000000-0005-0000-0000-000029580000}"/>
    <cellStyle name="Normal 2 2 4 2 2 16 3 2" xfId="22605" xr:uid="{00000000-0005-0000-0000-00002A580000}"/>
    <cellStyle name="Normal 2 2 4 2 2 16 3 3" xfId="22606" xr:uid="{00000000-0005-0000-0000-00002B580000}"/>
    <cellStyle name="Normal 2 2 4 2 2 16 3 4" xfId="22607" xr:uid="{00000000-0005-0000-0000-00002C580000}"/>
    <cellStyle name="Normal 2 2 4 2 2 16 3 5" xfId="22608" xr:uid="{00000000-0005-0000-0000-00002D580000}"/>
    <cellStyle name="Normal 2 2 4 2 2 16 3 6" xfId="22609" xr:uid="{00000000-0005-0000-0000-00002E580000}"/>
    <cellStyle name="Normal 2 2 4 2 2 16 3 7" xfId="22610" xr:uid="{00000000-0005-0000-0000-00002F580000}"/>
    <cellStyle name="Normal 2 2 4 2 2 16 3 8" xfId="22611" xr:uid="{00000000-0005-0000-0000-000030580000}"/>
    <cellStyle name="Normal 2 2 4 2 2 16 3 9" xfId="22612" xr:uid="{00000000-0005-0000-0000-000031580000}"/>
    <cellStyle name="Normal 2 2 4 2 2 16 4" xfId="22613" xr:uid="{00000000-0005-0000-0000-000032580000}"/>
    <cellStyle name="Normal 2 2 4 2 2 16 4 10" xfId="22614" xr:uid="{00000000-0005-0000-0000-000033580000}"/>
    <cellStyle name="Normal 2 2 4 2 2 16 4 2" xfId="22615" xr:uid="{00000000-0005-0000-0000-000034580000}"/>
    <cellStyle name="Normal 2 2 4 2 2 16 4 3" xfId="22616" xr:uid="{00000000-0005-0000-0000-000035580000}"/>
    <cellStyle name="Normal 2 2 4 2 2 16 4 4" xfId="22617" xr:uid="{00000000-0005-0000-0000-000036580000}"/>
    <cellStyle name="Normal 2 2 4 2 2 16 4 5" xfId="22618" xr:uid="{00000000-0005-0000-0000-000037580000}"/>
    <cellStyle name="Normal 2 2 4 2 2 16 4 6" xfId="22619" xr:uid="{00000000-0005-0000-0000-000038580000}"/>
    <cellStyle name="Normal 2 2 4 2 2 16 4 7" xfId="22620" xr:uid="{00000000-0005-0000-0000-000039580000}"/>
    <cellStyle name="Normal 2 2 4 2 2 16 4 8" xfId="22621" xr:uid="{00000000-0005-0000-0000-00003A580000}"/>
    <cellStyle name="Normal 2 2 4 2 2 16 4 9" xfId="22622" xr:uid="{00000000-0005-0000-0000-00003B580000}"/>
    <cellStyle name="Normal 2 2 4 2 2 16 5" xfId="22623" xr:uid="{00000000-0005-0000-0000-00003C580000}"/>
    <cellStyle name="Normal 2 2 4 2 2 16 5 10" xfId="22624" xr:uid="{00000000-0005-0000-0000-00003D580000}"/>
    <cellStyle name="Normal 2 2 4 2 2 16 5 2" xfId="22625" xr:uid="{00000000-0005-0000-0000-00003E580000}"/>
    <cellStyle name="Normal 2 2 4 2 2 16 5 3" xfId="22626" xr:uid="{00000000-0005-0000-0000-00003F580000}"/>
    <cellStyle name="Normal 2 2 4 2 2 16 5 4" xfId="22627" xr:uid="{00000000-0005-0000-0000-000040580000}"/>
    <cellStyle name="Normal 2 2 4 2 2 16 5 5" xfId="22628" xr:uid="{00000000-0005-0000-0000-000041580000}"/>
    <cellStyle name="Normal 2 2 4 2 2 16 5 6" xfId="22629" xr:uid="{00000000-0005-0000-0000-000042580000}"/>
    <cellStyle name="Normal 2 2 4 2 2 16 5 7" xfId="22630" xr:uid="{00000000-0005-0000-0000-000043580000}"/>
    <cellStyle name="Normal 2 2 4 2 2 16 5 8" xfId="22631" xr:uid="{00000000-0005-0000-0000-000044580000}"/>
    <cellStyle name="Normal 2 2 4 2 2 16 5 9" xfId="22632" xr:uid="{00000000-0005-0000-0000-000045580000}"/>
    <cellStyle name="Normal 2 2 4 2 2 16 6" xfId="22633" xr:uid="{00000000-0005-0000-0000-000046580000}"/>
    <cellStyle name="Normal 2 2 4 2 2 16 7" xfId="22634" xr:uid="{00000000-0005-0000-0000-000047580000}"/>
    <cellStyle name="Normal 2 2 4 2 2 16 8" xfId="22635" xr:uid="{00000000-0005-0000-0000-000048580000}"/>
    <cellStyle name="Normal 2 2 4 2 2 16 9" xfId="22636" xr:uid="{00000000-0005-0000-0000-000049580000}"/>
    <cellStyle name="Normal 2 2 4 2 2 17" xfId="22637" xr:uid="{00000000-0005-0000-0000-00004A580000}"/>
    <cellStyle name="Normal 2 2 4 2 2 17 10" xfId="22638" xr:uid="{00000000-0005-0000-0000-00004B580000}"/>
    <cellStyle name="Normal 2 2 4 2 2 17 11" xfId="22639" xr:uid="{00000000-0005-0000-0000-00004C580000}"/>
    <cellStyle name="Normal 2 2 4 2 2 17 12" xfId="22640" xr:uid="{00000000-0005-0000-0000-00004D580000}"/>
    <cellStyle name="Normal 2 2 4 2 2 17 13" xfId="22641" xr:uid="{00000000-0005-0000-0000-00004E580000}"/>
    <cellStyle name="Normal 2 2 4 2 2 17 14" xfId="22642" xr:uid="{00000000-0005-0000-0000-00004F580000}"/>
    <cellStyle name="Normal 2 2 4 2 2 17 2" xfId="22643" xr:uid="{00000000-0005-0000-0000-000050580000}"/>
    <cellStyle name="Normal 2 2 4 2 2 17 2 10" xfId="22644" xr:uid="{00000000-0005-0000-0000-000051580000}"/>
    <cellStyle name="Normal 2 2 4 2 2 17 2 2" xfId="22645" xr:uid="{00000000-0005-0000-0000-000052580000}"/>
    <cellStyle name="Normal 2 2 4 2 2 17 2 3" xfId="22646" xr:uid="{00000000-0005-0000-0000-000053580000}"/>
    <cellStyle name="Normal 2 2 4 2 2 17 2 4" xfId="22647" xr:uid="{00000000-0005-0000-0000-000054580000}"/>
    <cellStyle name="Normal 2 2 4 2 2 17 2 5" xfId="22648" xr:uid="{00000000-0005-0000-0000-000055580000}"/>
    <cellStyle name="Normal 2 2 4 2 2 17 2 6" xfId="22649" xr:uid="{00000000-0005-0000-0000-000056580000}"/>
    <cellStyle name="Normal 2 2 4 2 2 17 2 7" xfId="22650" xr:uid="{00000000-0005-0000-0000-000057580000}"/>
    <cellStyle name="Normal 2 2 4 2 2 17 2 8" xfId="22651" xr:uid="{00000000-0005-0000-0000-000058580000}"/>
    <cellStyle name="Normal 2 2 4 2 2 17 2 9" xfId="22652" xr:uid="{00000000-0005-0000-0000-000059580000}"/>
    <cellStyle name="Normal 2 2 4 2 2 17 3" xfId="22653" xr:uid="{00000000-0005-0000-0000-00005A580000}"/>
    <cellStyle name="Normal 2 2 4 2 2 17 3 10" xfId="22654" xr:uid="{00000000-0005-0000-0000-00005B580000}"/>
    <cellStyle name="Normal 2 2 4 2 2 17 3 2" xfId="22655" xr:uid="{00000000-0005-0000-0000-00005C580000}"/>
    <cellStyle name="Normal 2 2 4 2 2 17 3 3" xfId="22656" xr:uid="{00000000-0005-0000-0000-00005D580000}"/>
    <cellStyle name="Normal 2 2 4 2 2 17 3 4" xfId="22657" xr:uid="{00000000-0005-0000-0000-00005E580000}"/>
    <cellStyle name="Normal 2 2 4 2 2 17 3 5" xfId="22658" xr:uid="{00000000-0005-0000-0000-00005F580000}"/>
    <cellStyle name="Normal 2 2 4 2 2 17 3 6" xfId="22659" xr:uid="{00000000-0005-0000-0000-000060580000}"/>
    <cellStyle name="Normal 2 2 4 2 2 17 3 7" xfId="22660" xr:uid="{00000000-0005-0000-0000-000061580000}"/>
    <cellStyle name="Normal 2 2 4 2 2 17 3 8" xfId="22661" xr:uid="{00000000-0005-0000-0000-000062580000}"/>
    <cellStyle name="Normal 2 2 4 2 2 17 3 9" xfId="22662" xr:uid="{00000000-0005-0000-0000-000063580000}"/>
    <cellStyle name="Normal 2 2 4 2 2 17 4" xfId="22663" xr:uid="{00000000-0005-0000-0000-000064580000}"/>
    <cellStyle name="Normal 2 2 4 2 2 17 4 10" xfId="22664" xr:uid="{00000000-0005-0000-0000-000065580000}"/>
    <cellStyle name="Normal 2 2 4 2 2 17 4 2" xfId="22665" xr:uid="{00000000-0005-0000-0000-000066580000}"/>
    <cellStyle name="Normal 2 2 4 2 2 17 4 3" xfId="22666" xr:uid="{00000000-0005-0000-0000-000067580000}"/>
    <cellStyle name="Normal 2 2 4 2 2 17 4 4" xfId="22667" xr:uid="{00000000-0005-0000-0000-000068580000}"/>
    <cellStyle name="Normal 2 2 4 2 2 17 4 5" xfId="22668" xr:uid="{00000000-0005-0000-0000-000069580000}"/>
    <cellStyle name="Normal 2 2 4 2 2 17 4 6" xfId="22669" xr:uid="{00000000-0005-0000-0000-00006A580000}"/>
    <cellStyle name="Normal 2 2 4 2 2 17 4 7" xfId="22670" xr:uid="{00000000-0005-0000-0000-00006B580000}"/>
    <cellStyle name="Normal 2 2 4 2 2 17 4 8" xfId="22671" xr:uid="{00000000-0005-0000-0000-00006C580000}"/>
    <cellStyle name="Normal 2 2 4 2 2 17 4 9" xfId="22672" xr:uid="{00000000-0005-0000-0000-00006D580000}"/>
    <cellStyle name="Normal 2 2 4 2 2 17 5" xfId="22673" xr:uid="{00000000-0005-0000-0000-00006E580000}"/>
    <cellStyle name="Normal 2 2 4 2 2 17 5 10" xfId="22674" xr:uid="{00000000-0005-0000-0000-00006F580000}"/>
    <cellStyle name="Normal 2 2 4 2 2 17 5 2" xfId="22675" xr:uid="{00000000-0005-0000-0000-000070580000}"/>
    <cellStyle name="Normal 2 2 4 2 2 17 5 3" xfId="22676" xr:uid="{00000000-0005-0000-0000-000071580000}"/>
    <cellStyle name="Normal 2 2 4 2 2 17 5 4" xfId="22677" xr:uid="{00000000-0005-0000-0000-000072580000}"/>
    <cellStyle name="Normal 2 2 4 2 2 17 5 5" xfId="22678" xr:uid="{00000000-0005-0000-0000-000073580000}"/>
    <cellStyle name="Normal 2 2 4 2 2 17 5 6" xfId="22679" xr:uid="{00000000-0005-0000-0000-000074580000}"/>
    <cellStyle name="Normal 2 2 4 2 2 17 5 7" xfId="22680" xr:uid="{00000000-0005-0000-0000-000075580000}"/>
    <cellStyle name="Normal 2 2 4 2 2 17 5 8" xfId="22681" xr:uid="{00000000-0005-0000-0000-000076580000}"/>
    <cellStyle name="Normal 2 2 4 2 2 17 5 9" xfId="22682" xr:uid="{00000000-0005-0000-0000-000077580000}"/>
    <cellStyle name="Normal 2 2 4 2 2 17 6" xfId="22683" xr:uid="{00000000-0005-0000-0000-000078580000}"/>
    <cellStyle name="Normal 2 2 4 2 2 17 7" xfId="22684" xr:uid="{00000000-0005-0000-0000-000079580000}"/>
    <cellStyle name="Normal 2 2 4 2 2 17 8" xfId="22685" xr:uid="{00000000-0005-0000-0000-00007A580000}"/>
    <cellStyle name="Normal 2 2 4 2 2 17 9" xfId="22686" xr:uid="{00000000-0005-0000-0000-00007B580000}"/>
    <cellStyle name="Normal 2 2 4 2 2 18" xfId="22687" xr:uid="{00000000-0005-0000-0000-00007C580000}"/>
    <cellStyle name="Normal 2 2 4 2 2 18 10" xfId="22688" xr:uid="{00000000-0005-0000-0000-00007D580000}"/>
    <cellStyle name="Normal 2 2 4 2 2 18 11" xfId="22689" xr:uid="{00000000-0005-0000-0000-00007E580000}"/>
    <cellStyle name="Normal 2 2 4 2 2 18 12" xfId="22690" xr:uid="{00000000-0005-0000-0000-00007F580000}"/>
    <cellStyle name="Normal 2 2 4 2 2 18 13" xfId="22691" xr:uid="{00000000-0005-0000-0000-000080580000}"/>
    <cellStyle name="Normal 2 2 4 2 2 18 14" xfId="22692" xr:uid="{00000000-0005-0000-0000-000081580000}"/>
    <cellStyle name="Normal 2 2 4 2 2 18 2" xfId="22693" xr:uid="{00000000-0005-0000-0000-000082580000}"/>
    <cellStyle name="Normal 2 2 4 2 2 18 2 10" xfId="22694" xr:uid="{00000000-0005-0000-0000-000083580000}"/>
    <cellStyle name="Normal 2 2 4 2 2 18 2 2" xfId="22695" xr:uid="{00000000-0005-0000-0000-000084580000}"/>
    <cellStyle name="Normal 2 2 4 2 2 18 2 3" xfId="22696" xr:uid="{00000000-0005-0000-0000-000085580000}"/>
    <cellStyle name="Normal 2 2 4 2 2 18 2 4" xfId="22697" xr:uid="{00000000-0005-0000-0000-000086580000}"/>
    <cellStyle name="Normal 2 2 4 2 2 18 2 5" xfId="22698" xr:uid="{00000000-0005-0000-0000-000087580000}"/>
    <cellStyle name="Normal 2 2 4 2 2 18 2 6" xfId="22699" xr:uid="{00000000-0005-0000-0000-000088580000}"/>
    <cellStyle name="Normal 2 2 4 2 2 18 2 7" xfId="22700" xr:uid="{00000000-0005-0000-0000-000089580000}"/>
    <cellStyle name="Normal 2 2 4 2 2 18 2 8" xfId="22701" xr:uid="{00000000-0005-0000-0000-00008A580000}"/>
    <cellStyle name="Normal 2 2 4 2 2 18 2 9" xfId="22702" xr:uid="{00000000-0005-0000-0000-00008B580000}"/>
    <cellStyle name="Normal 2 2 4 2 2 18 3" xfId="22703" xr:uid="{00000000-0005-0000-0000-00008C580000}"/>
    <cellStyle name="Normal 2 2 4 2 2 18 3 10" xfId="22704" xr:uid="{00000000-0005-0000-0000-00008D580000}"/>
    <cellStyle name="Normal 2 2 4 2 2 18 3 2" xfId="22705" xr:uid="{00000000-0005-0000-0000-00008E580000}"/>
    <cellStyle name="Normal 2 2 4 2 2 18 3 3" xfId="22706" xr:uid="{00000000-0005-0000-0000-00008F580000}"/>
    <cellStyle name="Normal 2 2 4 2 2 18 3 4" xfId="22707" xr:uid="{00000000-0005-0000-0000-000090580000}"/>
    <cellStyle name="Normal 2 2 4 2 2 18 3 5" xfId="22708" xr:uid="{00000000-0005-0000-0000-000091580000}"/>
    <cellStyle name="Normal 2 2 4 2 2 18 3 6" xfId="22709" xr:uid="{00000000-0005-0000-0000-000092580000}"/>
    <cellStyle name="Normal 2 2 4 2 2 18 3 7" xfId="22710" xr:uid="{00000000-0005-0000-0000-000093580000}"/>
    <cellStyle name="Normal 2 2 4 2 2 18 3 8" xfId="22711" xr:uid="{00000000-0005-0000-0000-000094580000}"/>
    <cellStyle name="Normal 2 2 4 2 2 18 3 9" xfId="22712" xr:uid="{00000000-0005-0000-0000-000095580000}"/>
    <cellStyle name="Normal 2 2 4 2 2 18 4" xfId="22713" xr:uid="{00000000-0005-0000-0000-000096580000}"/>
    <cellStyle name="Normal 2 2 4 2 2 18 4 10" xfId="22714" xr:uid="{00000000-0005-0000-0000-000097580000}"/>
    <cellStyle name="Normal 2 2 4 2 2 18 4 2" xfId="22715" xr:uid="{00000000-0005-0000-0000-000098580000}"/>
    <cellStyle name="Normal 2 2 4 2 2 18 4 3" xfId="22716" xr:uid="{00000000-0005-0000-0000-000099580000}"/>
    <cellStyle name="Normal 2 2 4 2 2 18 4 4" xfId="22717" xr:uid="{00000000-0005-0000-0000-00009A580000}"/>
    <cellStyle name="Normal 2 2 4 2 2 18 4 5" xfId="22718" xr:uid="{00000000-0005-0000-0000-00009B580000}"/>
    <cellStyle name="Normal 2 2 4 2 2 18 4 6" xfId="22719" xr:uid="{00000000-0005-0000-0000-00009C580000}"/>
    <cellStyle name="Normal 2 2 4 2 2 18 4 7" xfId="22720" xr:uid="{00000000-0005-0000-0000-00009D580000}"/>
    <cellStyle name="Normal 2 2 4 2 2 18 4 8" xfId="22721" xr:uid="{00000000-0005-0000-0000-00009E580000}"/>
    <cellStyle name="Normal 2 2 4 2 2 18 4 9" xfId="22722" xr:uid="{00000000-0005-0000-0000-00009F580000}"/>
    <cellStyle name="Normal 2 2 4 2 2 18 5" xfId="22723" xr:uid="{00000000-0005-0000-0000-0000A0580000}"/>
    <cellStyle name="Normal 2 2 4 2 2 18 5 10" xfId="22724" xr:uid="{00000000-0005-0000-0000-0000A1580000}"/>
    <cellStyle name="Normal 2 2 4 2 2 18 5 2" xfId="22725" xr:uid="{00000000-0005-0000-0000-0000A2580000}"/>
    <cellStyle name="Normal 2 2 4 2 2 18 5 3" xfId="22726" xr:uid="{00000000-0005-0000-0000-0000A3580000}"/>
    <cellStyle name="Normal 2 2 4 2 2 18 5 4" xfId="22727" xr:uid="{00000000-0005-0000-0000-0000A4580000}"/>
    <cellStyle name="Normal 2 2 4 2 2 18 5 5" xfId="22728" xr:uid="{00000000-0005-0000-0000-0000A5580000}"/>
    <cellStyle name="Normal 2 2 4 2 2 18 5 6" xfId="22729" xr:uid="{00000000-0005-0000-0000-0000A6580000}"/>
    <cellStyle name="Normal 2 2 4 2 2 18 5 7" xfId="22730" xr:uid="{00000000-0005-0000-0000-0000A7580000}"/>
    <cellStyle name="Normal 2 2 4 2 2 18 5 8" xfId="22731" xr:uid="{00000000-0005-0000-0000-0000A8580000}"/>
    <cellStyle name="Normal 2 2 4 2 2 18 5 9" xfId="22732" xr:uid="{00000000-0005-0000-0000-0000A9580000}"/>
    <cellStyle name="Normal 2 2 4 2 2 18 6" xfId="22733" xr:uid="{00000000-0005-0000-0000-0000AA580000}"/>
    <cellStyle name="Normal 2 2 4 2 2 18 7" xfId="22734" xr:uid="{00000000-0005-0000-0000-0000AB580000}"/>
    <cellStyle name="Normal 2 2 4 2 2 18 8" xfId="22735" xr:uid="{00000000-0005-0000-0000-0000AC580000}"/>
    <cellStyle name="Normal 2 2 4 2 2 18 9" xfId="22736" xr:uid="{00000000-0005-0000-0000-0000AD580000}"/>
    <cellStyle name="Normal 2 2 4 2 2 19" xfId="22737" xr:uid="{00000000-0005-0000-0000-0000AE580000}"/>
    <cellStyle name="Normal 2 2 4 2 2 19 10" xfId="22738" xr:uid="{00000000-0005-0000-0000-0000AF580000}"/>
    <cellStyle name="Normal 2 2 4 2 2 19 11" xfId="22739" xr:uid="{00000000-0005-0000-0000-0000B0580000}"/>
    <cellStyle name="Normal 2 2 4 2 2 19 12" xfId="22740" xr:uid="{00000000-0005-0000-0000-0000B1580000}"/>
    <cellStyle name="Normal 2 2 4 2 2 19 13" xfId="22741" xr:uid="{00000000-0005-0000-0000-0000B2580000}"/>
    <cellStyle name="Normal 2 2 4 2 2 19 14" xfId="22742" xr:uid="{00000000-0005-0000-0000-0000B3580000}"/>
    <cellStyle name="Normal 2 2 4 2 2 19 2" xfId="22743" xr:uid="{00000000-0005-0000-0000-0000B4580000}"/>
    <cellStyle name="Normal 2 2 4 2 2 19 2 10" xfId="22744" xr:uid="{00000000-0005-0000-0000-0000B5580000}"/>
    <cellStyle name="Normal 2 2 4 2 2 19 2 2" xfId="22745" xr:uid="{00000000-0005-0000-0000-0000B6580000}"/>
    <cellStyle name="Normal 2 2 4 2 2 19 2 3" xfId="22746" xr:uid="{00000000-0005-0000-0000-0000B7580000}"/>
    <cellStyle name="Normal 2 2 4 2 2 19 2 4" xfId="22747" xr:uid="{00000000-0005-0000-0000-0000B8580000}"/>
    <cellStyle name="Normal 2 2 4 2 2 19 2 5" xfId="22748" xr:uid="{00000000-0005-0000-0000-0000B9580000}"/>
    <cellStyle name="Normal 2 2 4 2 2 19 2 6" xfId="22749" xr:uid="{00000000-0005-0000-0000-0000BA580000}"/>
    <cellStyle name="Normal 2 2 4 2 2 19 2 7" xfId="22750" xr:uid="{00000000-0005-0000-0000-0000BB580000}"/>
    <cellStyle name="Normal 2 2 4 2 2 19 2 8" xfId="22751" xr:uid="{00000000-0005-0000-0000-0000BC580000}"/>
    <cellStyle name="Normal 2 2 4 2 2 19 2 9" xfId="22752" xr:uid="{00000000-0005-0000-0000-0000BD580000}"/>
    <cellStyle name="Normal 2 2 4 2 2 19 3" xfId="22753" xr:uid="{00000000-0005-0000-0000-0000BE580000}"/>
    <cellStyle name="Normal 2 2 4 2 2 19 3 10" xfId="22754" xr:uid="{00000000-0005-0000-0000-0000BF580000}"/>
    <cellStyle name="Normal 2 2 4 2 2 19 3 2" xfId="22755" xr:uid="{00000000-0005-0000-0000-0000C0580000}"/>
    <cellStyle name="Normal 2 2 4 2 2 19 3 3" xfId="22756" xr:uid="{00000000-0005-0000-0000-0000C1580000}"/>
    <cellStyle name="Normal 2 2 4 2 2 19 3 4" xfId="22757" xr:uid="{00000000-0005-0000-0000-0000C2580000}"/>
    <cellStyle name="Normal 2 2 4 2 2 19 3 5" xfId="22758" xr:uid="{00000000-0005-0000-0000-0000C3580000}"/>
    <cellStyle name="Normal 2 2 4 2 2 19 3 6" xfId="22759" xr:uid="{00000000-0005-0000-0000-0000C4580000}"/>
    <cellStyle name="Normal 2 2 4 2 2 19 3 7" xfId="22760" xr:uid="{00000000-0005-0000-0000-0000C5580000}"/>
    <cellStyle name="Normal 2 2 4 2 2 19 3 8" xfId="22761" xr:uid="{00000000-0005-0000-0000-0000C6580000}"/>
    <cellStyle name="Normal 2 2 4 2 2 19 3 9" xfId="22762" xr:uid="{00000000-0005-0000-0000-0000C7580000}"/>
    <cellStyle name="Normal 2 2 4 2 2 19 4" xfId="22763" xr:uid="{00000000-0005-0000-0000-0000C8580000}"/>
    <cellStyle name="Normal 2 2 4 2 2 19 4 10" xfId="22764" xr:uid="{00000000-0005-0000-0000-0000C9580000}"/>
    <cellStyle name="Normal 2 2 4 2 2 19 4 2" xfId="22765" xr:uid="{00000000-0005-0000-0000-0000CA580000}"/>
    <cellStyle name="Normal 2 2 4 2 2 19 4 3" xfId="22766" xr:uid="{00000000-0005-0000-0000-0000CB580000}"/>
    <cellStyle name="Normal 2 2 4 2 2 19 4 4" xfId="22767" xr:uid="{00000000-0005-0000-0000-0000CC580000}"/>
    <cellStyle name="Normal 2 2 4 2 2 19 4 5" xfId="22768" xr:uid="{00000000-0005-0000-0000-0000CD580000}"/>
    <cellStyle name="Normal 2 2 4 2 2 19 4 6" xfId="22769" xr:uid="{00000000-0005-0000-0000-0000CE580000}"/>
    <cellStyle name="Normal 2 2 4 2 2 19 4 7" xfId="22770" xr:uid="{00000000-0005-0000-0000-0000CF580000}"/>
    <cellStyle name="Normal 2 2 4 2 2 19 4 8" xfId="22771" xr:uid="{00000000-0005-0000-0000-0000D0580000}"/>
    <cellStyle name="Normal 2 2 4 2 2 19 4 9" xfId="22772" xr:uid="{00000000-0005-0000-0000-0000D1580000}"/>
    <cellStyle name="Normal 2 2 4 2 2 19 5" xfId="22773" xr:uid="{00000000-0005-0000-0000-0000D2580000}"/>
    <cellStyle name="Normal 2 2 4 2 2 19 5 10" xfId="22774" xr:uid="{00000000-0005-0000-0000-0000D3580000}"/>
    <cellStyle name="Normal 2 2 4 2 2 19 5 2" xfId="22775" xr:uid="{00000000-0005-0000-0000-0000D4580000}"/>
    <cellStyle name="Normal 2 2 4 2 2 19 5 3" xfId="22776" xr:uid="{00000000-0005-0000-0000-0000D5580000}"/>
    <cellStyle name="Normal 2 2 4 2 2 19 5 4" xfId="22777" xr:uid="{00000000-0005-0000-0000-0000D6580000}"/>
    <cellStyle name="Normal 2 2 4 2 2 19 5 5" xfId="22778" xr:uid="{00000000-0005-0000-0000-0000D7580000}"/>
    <cellStyle name="Normal 2 2 4 2 2 19 5 6" xfId="22779" xr:uid="{00000000-0005-0000-0000-0000D8580000}"/>
    <cellStyle name="Normal 2 2 4 2 2 19 5 7" xfId="22780" xr:uid="{00000000-0005-0000-0000-0000D9580000}"/>
    <cellStyle name="Normal 2 2 4 2 2 19 5 8" xfId="22781" xr:uid="{00000000-0005-0000-0000-0000DA580000}"/>
    <cellStyle name="Normal 2 2 4 2 2 19 5 9" xfId="22782" xr:uid="{00000000-0005-0000-0000-0000DB580000}"/>
    <cellStyle name="Normal 2 2 4 2 2 19 6" xfId="22783" xr:uid="{00000000-0005-0000-0000-0000DC580000}"/>
    <cellStyle name="Normal 2 2 4 2 2 19 7" xfId="22784" xr:uid="{00000000-0005-0000-0000-0000DD580000}"/>
    <cellStyle name="Normal 2 2 4 2 2 19 8" xfId="22785" xr:uid="{00000000-0005-0000-0000-0000DE580000}"/>
    <cellStyle name="Normal 2 2 4 2 2 19 9" xfId="22786" xr:uid="{00000000-0005-0000-0000-0000DF580000}"/>
    <cellStyle name="Normal 2 2 4 2 2 2" xfId="22787" xr:uid="{00000000-0005-0000-0000-0000E0580000}"/>
    <cellStyle name="Normal 2 2 4 2 2 2 10" xfId="22788" xr:uid="{00000000-0005-0000-0000-0000E1580000}"/>
    <cellStyle name="Normal 2 2 4 2 2 2 11" xfId="22789" xr:uid="{00000000-0005-0000-0000-0000E2580000}"/>
    <cellStyle name="Normal 2 2 4 2 2 2 12" xfId="22790" xr:uid="{00000000-0005-0000-0000-0000E3580000}"/>
    <cellStyle name="Normal 2 2 4 2 2 2 13" xfId="22791" xr:uid="{00000000-0005-0000-0000-0000E4580000}"/>
    <cellStyle name="Normal 2 2 4 2 2 2 14" xfId="22792" xr:uid="{00000000-0005-0000-0000-0000E5580000}"/>
    <cellStyle name="Normal 2 2 4 2 2 2 2" xfId="22793" xr:uid="{00000000-0005-0000-0000-0000E6580000}"/>
    <cellStyle name="Normal 2 2 4 2 2 2 2 10" xfId="22794" xr:uid="{00000000-0005-0000-0000-0000E7580000}"/>
    <cellStyle name="Normal 2 2 4 2 2 2 2 2" xfId="22795" xr:uid="{00000000-0005-0000-0000-0000E8580000}"/>
    <cellStyle name="Normal 2 2 4 2 2 2 2 3" xfId="22796" xr:uid="{00000000-0005-0000-0000-0000E9580000}"/>
    <cellStyle name="Normal 2 2 4 2 2 2 2 4" xfId="22797" xr:uid="{00000000-0005-0000-0000-0000EA580000}"/>
    <cellStyle name="Normal 2 2 4 2 2 2 2 5" xfId="22798" xr:uid="{00000000-0005-0000-0000-0000EB580000}"/>
    <cellStyle name="Normal 2 2 4 2 2 2 2 6" xfId="22799" xr:uid="{00000000-0005-0000-0000-0000EC580000}"/>
    <cellStyle name="Normal 2 2 4 2 2 2 2 7" xfId="22800" xr:uid="{00000000-0005-0000-0000-0000ED580000}"/>
    <cellStyle name="Normal 2 2 4 2 2 2 2 8" xfId="22801" xr:uid="{00000000-0005-0000-0000-0000EE580000}"/>
    <cellStyle name="Normal 2 2 4 2 2 2 2 9" xfId="22802" xr:uid="{00000000-0005-0000-0000-0000EF580000}"/>
    <cellStyle name="Normal 2 2 4 2 2 2 3" xfId="22803" xr:uid="{00000000-0005-0000-0000-0000F0580000}"/>
    <cellStyle name="Normal 2 2 4 2 2 2 3 10" xfId="22804" xr:uid="{00000000-0005-0000-0000-0000F1580000}"/>
    <cellStyle name="Normal 2 2 4 2 2 2 3 2" xfId="22805" xr:uid="{00000000-0005-0000-0000-0000F2580000}"/>
    <cellStyle name="Normal 2 2 4 2 2 2 3 3" xfId="22806" xr:uid="{00000000-0005-0000-0000-0000F3580000}"/>
    <cellStyle name="Normal 2 2 4 2 2 2 3 4" xfId="22807" xr:uid="{00000000-0005-0000-0000-0000F4580000}"/>
    <cellStyle name="Normal 2 2 4 2 2 2 3 5" xfId="22808" xr:uid="{00000000-0005-0000-0000-0000F5580000}"/>
    <cellStyle name="Normal 2 2 4 2 2 2 3 6" xfId="22809" xr:uid="{00000000-0005-0000-0000-0000F6580000}"/>
    <cellStyle name="Normal 2 2 4 2 2 2 3 7" xfId="22810" xr:uid="{00000000-0005-0000-0000-0000F7580000}"/>
    <cellStyle name="Normal 2 2 4 2 2 2 3 8" xfId="22811" xr:uid="{00000000-0005-0000-0000-0000F8580000}"/>
    <cellStyle name="Normal 2 2 4 2 2 2 3 9" xfId="22812" xr:uid="{00000000-0005-0000-0000-0000F9580000}"/>
    <cellStyle name="Normal 2 2 4 2 2 2 4" xfId="22813" xr:uid="{00000000-0005-0000-0000-0000FA580000}"/>
    <cellStyle name="Normal 2 2 4 2 2 2 4 10" xfId="22814" xr:uid="{00000000-0005-0000-0000-0000FB580000}"/>
    <cellStyle name="Normal 2 2 4 2 2 2 4 2" xfId="22815" xr:uid="{00000000-0005-0000-0000-0000FC580000}"/>
    <cellStyle name="Normal 2 2 4 2 2 2 4 3" xfId="22816" xr:uid="{00000000-0005-0000-0000-0000FD580000}"/>
    <cellStyle name="Normal 2 2 4 2 2 2 4 4" xfId="22817" xr:uid="{00000000-0005-0000-0000-0000FE580000}"/>
    <cellStyle name="Normal 2 2 4 2 2 2 4 5" xfId="22818" xr:uid="{00000000-0005-0000-0000-0000FF580000}"/>
    <cellStyle name="Normal 2 2 4 2 2 2 4 6" xfId="22819" xr:uid="{00000000-0005-0000-0000-000000590000}"/>
    <cellStyle name="Normal 2 2 4 2 2 2 4 7" xfId="22820" xr:uid="{00000000-0005-0000-0000-000001590000}"/>
    <cellStyle name="Normal 2 2 4 2 2 2 4 8" xfId="22821" xr:uid="{00000000-0005-0000-0000-000002590000}"/>
    <cellStyle name="Normal 2 2 4 2 2 2 4 9" xfId="22822" xr:uid="{00000000-0005-0000-0000-000003590000}"/>
    <cellStyle name="Normal 2 2 4 2 2 2 5" xfId="22823" xr:uid="{00000000-0005-0000-0000-000004590000}"/>
    <cellStyle name="Normal 2 2 4 2 2 2 5 10" xfId="22824" xr:uid="{00000000-0005-0000-0000-000005590000}"/>
    <cellStyle name="Normal 2 2 4 2 2 2 5 2" xfId="22825" xr:uid="{00000000-0005-0000-0000-000006590000}"/>
    <cellStyle name="Normal 2 2 4 2 2 2 5 3" xfId="22826" xr:uid="{00000000-0005-0000-0000-000007590000}"/>
    <cellStyle name="Normal 2 2 4 2 2 2 5 4" xfId="22827" xr:uid="{00000000-0005-0000-0000-000008590000}"/>
    <cellStyle name="Normal 2 2 4 2 2 2 5 5" xfId="22828" xr:uid="{00000000-0005-0000-0000-000009590000}"/>
    <cellStyle name="Normal 2 2 4 2 2 2 5 6" xfId="22829" xr:uid="{00000000-0005-0000-0000-00000A590000}"/>
    <cellStyle name="Normal 2 2 4 2 2 2 5 7" xfId="22830" xr:uid="{00000000-0005-0000-0000-00000B590000}"/>
    <cellStyle name="Normal 2 2 4 2 2 2 5 8" xfId="22831" xr:uid="{00000000-0005-0000-0000-00000C590000}"/>
    <cellStyle name="Normal 2 2 4 2 2 2 5 9" xfId="22832" xr:uid="{00000000-0005-0000-0000-00000D590000}"/>
    <cellStyle name="Normal 2 2 4 2 2 2 6" xfId="22833" xr:uid="{00000000-0005-0000-0000-00000E590000}"/>
    <cellStyle name="Normal 2 2 4 2 2 2 7" xfId="22834" xr:uid="{00000000-0005-0000-0000-00000F590000}"/>
    <cellStyle name="Normal 2 2 4 2 2 2 8" xfId="22835" xr:uid="{00000000-0005-0000-0000-000010590000}"/>
    <cellStyle name="Normal 2 2 4 2 2 2 9" xfId="22836" xr:uid="{00000000-0005-0000-0000-000011590000}"/>
    <cellStyle name="Normal 2 2 4 2 2 20" xfId="22837" xr:uid="{00000000-0005-0000-0000-000012590000}"/>
    <cellStyle name="Normal 2 2 4 2 2 20 10" xfId="22838" xr:uid="{00000000-0005-0000-0000-000013590000}"/>
    <cellStyle name="Normal 2 2 4 2 2 20 11" xfId="22839" xr:uid="{00000000-0005-0000-0000-000014590000}"/>
    <cellStyle name="Normal 2 2 4 2 2 20 12" xfId="22840" xr:uid="{00000000-0005-0000-0000-000015590000}"/>
    <cellStyle name="Normal 2 2 4 2 2 20 13" xfId="22841" xr:uid="{00000000-0005-0000-0000-000016590000}"/>
    <cellStyle name="Normal 2 2 4 2 2 20 14" xfId="22842" xr:uid="{00000000-0005-0000-0000-000017590000}"/>
    <cellStyle name="Normal 2 2 4 2 2 20 2" xfId="22843" xr:uid="{00000000-0005-0000-0000-000018590000}"/>
    <cellStyle name="Normal 2 2 4 2 2 20 2 10" xfId="22844" xr:uid="{00000000-0005-0000-0000-000019590000}"/>
    <cellStyle name="Normal 2 2 4 2 2 20 2 2" xfId="22845" xr:uid="{00000000-0005-0000-0000-00001A590000}"/>
    <cellStyle name="Normal 2 2 4 2 2 20 2 3" xfId="22846" xr:uid="{00000000-0005-0000-0000-00001B590000}"/>
    <cellStyle name="Normal 2 2 4 2 2 20 2 4" xfId="22847" xr:uid="{00000000-0005-0000-0000-00001C590000}"/>
    <cellStyle name="Normal 2 2 4 2 2 20 2 5" xfId="22848" xr:uid="{00000000-0005-0000-0000-00001D590000}"/>
    <cellStyle name="Normal 2 2 4 2 2 20 2 6" xfId="22849" xr:uid="{00000000-0005-0000-0000-00001E590000}"/>
    <cellStyle name="Normal 2 2 4 2 2 20 2 7" xfId="22850" xr:uid="{00000000-0005-0000-0000-00001F590000}"/>
    <cellStyle name="Normal 2 2 4 2 2 20 2 8" xfId="22851" xr:uid="{00000000-0005-0000-0000-000020590000}"/>
    <cellStyle name="Normal 2 2 4 2 2 20 2 9" xfId="22852" xr:uid="{00000000-0005-0000-0000-000021590000}"/>
    <cellStyle name="Normal 2 2 4 2 2 20 3" xfId="22853" xr:uid="{00000000-0005-0000-0000-000022590000}"/>
    <cellStyle name="Normal 2 2 4 2 2 20 3 10" xfId="22854" xr:uid="{00000000-0005-0000-0000-000023590000}"/>
    <cellStyle name="Normal 2 2 4 2 2 20 3 2" xfId="22855" xr:uid="{00000000-0005-0000-0000-000024590000}"/>
    <cellStyle name="Normal 2 2 4 2 2 20 3 3" xfId="22856" xr:uid="{00000000-0005-0000-0000-000025590000}"/>
    <cellStyle name="Normal 2 2 4 2 2 20 3 4" xfId="22857" xr:uid="{00000000-0005-0000-0000-000026590000}"/>
    <cellStyle name="Normal 2 2 4 2 2 20 3 5" xfId="22858" xr:uid="{00000000-0005-0000-0000-000027590000}"/>
    <cellStyle name="Normal 2 2 4 2 2 20 3 6" xfId="22859" xr:uid="{00000000-0005-0000-0000-000028590000}"/>
    <cellStyle name="Normal 2 2 4 2 2 20 3 7" xfId="22860" xr:uid="{00000000-0005-0000-0000-000029590000}"/>
    <cellStyle name="Normal 2 2 4 2 2 20 3 8" xfId="22861" xr:uid="{00000000-0005-0000-0000-00002A590000}"/>
    <cellStyle name="Normal 2 2 4 2 2 20 3 9" xfId="22862" xr:uid="{00000000-0005-0000-0000-00002B590000}"/>
    <cellStyle name="Normal 2 2 4 2 2 20 4" xfId="22863" xr:uid="{00000000-0005-0000-0000-00002C590000}"/>
    <cellStyle name="Normal 2 2 4 2 2 20 4 10" xfId="22864" xr:uid="{00000000-0005-0000-0000-00002D590000}"/>
    <cellStyle name="Normal 2 2 4 2 2 20 4 2" xfId="22865" xr:uid="{00000000-0005-0000-0000-00002E590000}"/>
    <cellStyle name="Normal 2 2 4 2 2 20 4 3" xfId="22866" xr:uid="{00000000-0005-0000-0000-00002F590000}"/>
    <cellStyle name="Normal 2 2 4 2 2 20 4 4" xfId="22867" xr:uid="{00000000-0005-0000-0000-000030590000}"/>
    <cellStyle name="Normal 2 2 4 2 2 20 4 5" xfId="22868" xr:uid="{00000000-0005-0000-0000-000031590000}"/>
    <cellStyle name="Normal 2 2 4 2 2 20 4 6" xfId="22869" xr:uid="{00000000-0005-0000-0000-000032590000}"/>
    <cellStyle name="Normal 2 2 4 2 2 20 4 7" xfId="22870" xr:uid="{00000000-0005-0000-0000-000033590000}"/>
    <cellStyle name="Normal 2 2 4 2 2 20 4 8" xfId="22871" xr:uid="{00000000-0005-0000-0000-000034590000}"/>
    <cellStyle name="Normal 2 2 4 2 2 20 4 9" xfId="22872" xr:uid="{00000000-0005-0000-0000-000035590000}"/>
    <cellStyle name="Normal 2 2 4 2 2 20 5" xfId="22873" xr:uid="{00000000-0005-0000-0000-000036590000}"/>
    <cellStyle name="Normal 2 2 4 2 2 20 5 10" xfId="22874" xr:uid="{00000000-0005-0000-0000-000037590000}"/>
    <cellStyle name="Normal 2 2 4 2 2 20 5 2" xfId="22875" xr:uid="{00000000-0005-0000-0000-000038590000}"/>
    <cellStyle name="Normal 2 2 4 2 2 20 5 3" xfId="22876" xr:uid="{00000000-0005-0000-0000-000039590000}"/>
    <cellStyle name="Normal 2 2 4 2 2 20 5 4" xfId="22877" xr:uid="{00000000-0005-0000-0000-00003A590000}"/>
    <cellStyle name="Normal 2 2 4 2 2 20 5 5" xfId="22878" xr:uid="{00000000-0005-0000-0000-00003B590000}"/>
    <cellStyle name="Normal 2 2 4 2 2 20 5 6" xfId="22879" xr:uid="{00000000-0005-0000-0000-00003C590000}"/>
    <cellStyle name="Normal 2 2 4 2 2 20 5 7" xfId="22880" xr:uid="{00000000-0005-0000-0000-00003D590000}"/>
    <cellStyle name="Normal 2 2 4 2 2 20 5 8" xfId="22881" xr:uid="{00000000-0005-0000-0000-00003E590000}"/>
    <cellStyle name="Normal 2 2 4 2 2 20 5 9" xfId="22882" xr:uid="{00000000-0005-0000-0000-00003F590000}"/>
    <cellStyle name="Normal 2 2 4 2 2 20 6" xfId="22883" xr:uid="{00000000-0005-0000-0000-000040590000}"/>
    <cellStyle name="Normal 2 2 4 2 2 20 7" xfId="22884" xr:uid="{00000000-0005-0000-0000-000041590000}"/>
    <cellStyle name="Normal 2 2 4 2 2 20 8" xfId="22885" xr:uid="{00000000-0005-0000-0000-000042590000}"/>
    <cellStyle name="Normal 2 2 4 2 2 20 9" xfId="22886" xr:uid="{00000000-0005-0000-0000-000043590000}"/>
    <cellStyle name="Normal 2 2 4 2 2 3" xfId="22887" xr:uid="{00000000-0005-0000-0000-000044590000}"/>
    <cellStyle name="Normal 2 2 4 2 2 3 10" xfId="22888" xr:uid="{00000000-0005-0000-0000-000045590000}"/>
    <cellStyle name="Normal 2 2 4 2 2 3 11" xfId="22889" xr:uid="{00000000-0005-0000-0000-000046590000}"/>
    <cellStyle name="Normal 2 2 4 2 2 3 12" xfId="22890" xr:uid="{00000000-0005-0000-0000-000047590000}"/>
    <cellStyle name="Normal 2 2 4 2 2 3 13" xfId="22891" xr:uid="{00000000-0005-0000-0000-000048590000}"/>
    <cellStyle name="Normal 2 2 4 2 2 3 14" xfId="22892" xr:uid="{00000000-0005-0000-0000-000049590000}"/>
    <cellStyle name="Normal 2 2 4 2 2 3 2" xfId="22893" xr:uid="{00000000-0005-0000-0000-00004A590000}"/>
    <cellStyle name="Normal 2 2 4 2 2 3 2 10" xfId="22894" xr:uid="{00000000-0005-0000-0000-00004B590000}"/>
    <cellStyle name="Normal 2 2 4 2 2 3 2 2" xfId="22895" xr:uid="{00000000-0005-0000-0000-00004C590000}"/>
    <cellStyle name="Normal 2 2 4 2 2 3 2 3" xfId="22896" xr:uid="{00000000-0005-0000-0000-00004D590000}"/>
    <cellStyle name="Normal 2 2 4 2 2 3 2 4" xfId="22897" xr:uid="{00000000-0005-0000-0000-00004E590000}"/>
    <cellStyle name="Normal 2 2 4 2 2 3 2 5" xfId="22898" xr:uid="{00000000-0005-0000-0000-00004F590000}"/>
    <cellStyle name="Normal 2 2 4 2 2 3 2 6" xfId="22899" xr:uid="{00000000-0005-0000-0000-000050590000}"/>
    <cellStyle name="Normal 2 2 4 2 2 3 2 7" xfId="22900" xr:uid="{00000000-0005-0000-0000-000051590000}"/>
    <cellStyle name="Normal 2 2 4 2 2 3 2 8" xfId="22901" xr:uid="{00000000-0005-0000-0000-000052590000}"/>
    <cellStyle name="Normal 2 2 4 2 2 3 2 9" xfId="22902" xr:uid="{00000000-0005-0000-0000-000053590000}"/>
    <cellStyle name="Normal 2 2 4 2 2 3 3" xfId="22903" xr:uid="{00000000-0005-0000-0000-000054590000}"/>
    <cellStyle name="Normal 2 2 4 2 2 3 3 10" xfId="22904" xr:uid="{00000000-0005-0000-0000-000055590000}"/>
    <cellStyle name="Normal 2 2 4 2 2 3 3 2" xfId="22905" xr:uid="{00000000-0005-0000-0000-000056590000}"/>
    <cellStyle name="Normal 2 2 4 2 2 3 3 3" xfId="22906" xr:uid="{00000000-0005-0000-0000-000057590000}"/>
    <cellStyle name="Normal 2 2 4 2 2 3 3 4" xfId="22907" xr:uid="{00000000-0005-0000-0000-000058590000}"/>
    <cellStyle name="Normal 2 2 4 2 2 3 3 5" xfId="22908" xr:uid="{00000000-0005-0000-0000-000059590000}"/>
    <cellStyle name="Normal 2 2 4 2 2 3 3 6" xfId="22909" xr:uid="{00000000-0005-0000-0000-00005A590000}"/>
    <cellStyle name="Normal 2 2 4 2 2 3 3 7" xfId="22910" xr:uid="{00000000-0005-0000-0000-00005B590000}"/>
    <cellStyle name="Normal 2 2 4 2 2 3 3 8" xfId="22911" xr:uid="{00000000-0005-0000-0000-00005C590000}"/>
    <cellStyle name="Normal 2 2 4 2 2 3 3 9" xfId="22912" xr:uid="{00000000-0005-0000-0000-00005D590000}"/>
    <cellStyle name="Normal 2 2 4 2 2 3 4" xfId="22913" xr:uid="{00000000-0005-0000-0000-00005E590000}"/>
    <cellStyle name="Normal 2 2 4 2 2 3 4 10" xfId="22914" xr:uid="{00000000-0005-0000-0000-00005F590000}"/>
    <cellStyle name="Normal 2 2 4 2 2 3 4 2" xfId="22915" xr:uid="{00000000-0005-0000-0000-000060590000}"/>
    <cellStyle name="Normal 2 2 4 2 2 3 4 3" xfId="22916" xr:uid="{00000000-0005-0000-0000-000061590000}"/>
    <cellStyle name="Normal 2 2 4 2 2 3 4 4" xfId="22917" xr:uid="{00000000-0005-0000-0000-000062590000}"/>
    <cellStyle name="Normal 2 2 4 2 2 3 4 5" xfId="22918" xr:uid="{00000000-0005-0000-0000-000063590000}"/>
    <cellStyle name="Normal 2 2 4 2 2 3 4 6" xfId="22919" xr:uid="{00000000-0005-0000-0000-000064590000}"/>
    <cellStyle name="Normal 2 2 4 2 2 3 4 7" xfId="22920" xr:uid="{00000000-0005-0000-0000-000065590000}"/>
    <cellStyle name="Normal 2 2 4 2 2 3 4 8" xfId="22921" xr:uid="{00000000-0005-0000-0000-000066590000}"/>
    <cellStyle name="Normal 2 2 4 2 2 3 4 9" xfId="22922" xr:uid="{00000000-0005-0000-0000-000067590000}"/>
    <cellStyle name="Normal 2 2 4 2 2 3 5" xfId="22923" xr:uid="{00000000-0005-0000-0000-000068590000}"/>
    <cellStyle name="Normal 2 2 4 2 2 3 5 10" xfId="22924" xr:uid="{00000000-0005-0000-0000-000069590000}"/>
    <cellStyle name="Normal 2 2 4 2 2 3 5 2" xfId="22925" xr:uid="{00000000-0005-0000-0000-00006A590000}"/>
    <cellStyle name="Normal 2 2 4 2 2 3 5 3" xfId="22926" xr:uid="{00000000-0005-0000-0000-00006B590000}"/>
    <cellStyle name="Normal 2 2 4 2 2 3 5 4" xfId="22927" xr:uid="{00000000-0005-0000-0000-00006C590000}"/>
    <cellStyle name="Normal 2 2 4 2 2 3 5 5" xfId="22928" xr:uid="{00000000-0005-0000-0000-00006D590000}"/>
    <cellStyle name="Normal 2 2 4 2 2 3 5 6" xfId="22929" xr:uid="{00000000-0005-0000-0000-00006E590000}"/>
    <cellStyle name="Normal 2 2 4 2 2 3 5 7" xfId="22930" xr:uid="{00000000-0005-0000-0000-00006F590000}"/>
    <cellStyle name="Normal 2 2 4 2 2 3 5 8" xfId="22931" xr:uid="{00000000-0005-0000-0000-000070590000}"/>
    <cellStyle name="Normal 2 2 4 2 2 3 5 9" xfId="22932" xr:uid="{00000000-0005-0000-0000-000071590000}"/>
    <cellStyle name="Normal 2 2 4 2 2 3 6" xfId="22933" xr:uid="{00000000-0005-0000-0000-000072590000}"/>
    <cellStyle name="Normal 2 2 4 2 2 3 7" xfId="22934" xr:uid="{00000000-0005-0000-0000-000073590000}"/>
    <cellStyle name="Normal 2 2 4 2 2 3 8" xfId="22935" xr:uid="{00000000-0005-0000-0000-000074590000}"/>
    <cellStyle name="Normal 2 2 4 2 2 3 9" xfId="22936" xr:uid="{00000000-0005-0000-0000-000075590000}"/>
    <cellStyle name="Normal 2 2 4 2 2 4" xfId="22937" xr:uid="{00000000-0005-0000-0000-000076590000}"/>
    <cellStyle name="Normal 2 2 4 2 2 4 10" xfId="22938" xr:uid="{00000000-0005-0000-0000-000077590000}"/>
    <cellStyle name="Normal 2 2 4 2 2 4 11" xfId="22939" xr:uid="{00000000-0005-0000-0000-000078590000}"/>
    <cellStyle name="Normal 2 2 4 2 2 4 12" xfId="22940" xr:uid="{00000000-0005-0000-0000-000079590000}"/>
    <cellStyle name="Normal 2 2 4 2 2 4 13" xfId="22941" xr:uid="{00000000-0005-0000-0000-00007A590000}"/>
    <cellStyle name="Normal 2 2 4 2 2 4 14" xfId="22942" xr:uid="{00000000-0005-0000-0000-00007B590000}"/>
    <cellStyle name="Normal 2 2 4 2 2 4 2" xfId="22943" xr:uid="{00000000-0005-0000-0000-00007C590000}"/>
    <cellStyle name="Normal 2 2 4 2 2 4 2 10" xfId="22944" xr:uid="{00000000-0005-0000-0000-00007D590000}"/>
    <cellStyle name="Normal 2 2 4 2 2 4 2 2" xfId="22945" xr:uid="{00000000-0005-0000-0000-00007E590000}"/>
    <cellStyle name="Normal 2 2 4 2 2 4 2 3" xfId="22946" xr:uid="{00000000-0005-0000-0000-00007F590000}"/>
    <cellStyle name="Normal 2 2 4 2 2 4 2 4" xfId="22947" xr:uid="{00000000-0005-0000-0000-000080590000}"/>
    <cellStyle name="Normal 2 2 4 2 2 4 2 5" xfId="22948" xr:uid="{00000000-0005-0000-0000-000081590000}"/>
    <cellStyle name="Normal 2 2 4 2 2 4 2 6" xfId="22949" xr:uid="{00000000-0005-0000-0000-000082590000}"/>
    <cellStyle name="Normal 2 2 4 2 2 4 2 7" xfId="22950" xr:uid="{00000000-0005-0000-0000-000083590000}"/>
    <cellStyle name="Normal 2 2 4 2 2 4 2 8" xfId="22951" xr:uid="{00000000-0005-0000-0000-000084590000}"/>
    <cellStyle name="Normal 2 2 4 2 2 4 2 9" xfId="22952" xr:uid="{00000000-0005-0000-0000-000085590000}"/>
    <cellStyle name="Normal 2 2 4 2 2 4 3" xfId="22953" xr:uid="{00000000-0005-0000-0000-000086590000}"/>
    <cellStyle name="Normal 2 2 4 2 2 4 3 10" xfId="22954" xr:uid="{00000000-0005-0000-0000-000087590000}"/>
    <cellStyle name="Normal 2 2 4 2 2 4 3 2" xfId="22955" xr:uid="{00000000-0005-0000-0000-000088590000}"/>
    <cellStyle name="Normal 2 2 4 2 2 4 3 3" xfId="22956" xr:uid="{00000000-0005-0000-0000-000089590000}"/>
    <cellStyle name="Normal 2 2 4 2 2 4 3 4" xfId="22957" xr:uid="{00000000-0005-0000-0000-00008A590000}"/>
    <cellStyle name="Normal 2 2 4 2 2 4 3 5" xfId="22958" xr:uid="{00000000-0005-0000-0000-00008B590000}"/>
    <cellStyle name="Normal 2 2 4 2 2 4 3 6" xfId="22959" xr:uid="{00000000-0005-0000-0000-00008C590000}"/>
    <cellStyle name="Normal 2 2 4 2 2 4 3 7" xfId="22960" xr:uid="{00000000-0005-0000-0000-00008D590000}"/>
    <cellStyle name="Normal 2 2 4 2 2 4 3 8" xfId="22961" xr:uid="{00000000-0005-0000-0000-00008E590000}"/>
    <cellStyle name="Normal 2 2 4 2 2 4 3 9" xfId="22962" xr:uid="{00000000-0005-0000-0000-00008F590000}"/>
    <cellStyle name="Normal 2 2 4 2 2 4 4" xfId="22963" xr:uid="{00000000-0005-0000-0000-000090590000}"/>
    <cellStyle name="Normal 2 2 4 2 2 4 4 10" xfId="22964" xr:uid="{00000000-0005-0000-0000-000091590000}"/>
    <cellStyle name="Normal 2 2 4 2 2 4 4 2" xfId="22965" xr:uid="{00000000-0005-0000-0000-000092590000}"/>
    <cellStyle name="Normal 2 2 4 2 2 4 4 3" xfId="22966" xr:uid="{00000000-0005-0000-0000-000093590000}"/>
    <cellStyle name="Normal 2 2 4 2 2 4 4 4" xfId="22967" xr:uid="{00000000-0005-0000-0000-000094590000}"/>
    <cellStyle name="Normal 2 2 4 2 2 4 4 5" xfId="22968" xr:uid="{00000000-0005-0000-0000-000095590000}"/>
    <cellStyle name="Normal 2 2 4 2 2 4 4 6" xfId="22969" xr:uid="{00000000-0005-0000-0000-000096590000}"/>
    <cellStyle name="Normal 2 2 4 2 2 4 4 7" xfId="22970" xr:uid="{00000000-0005-0000-0000-000097590000}"/>
    <cellStyle name="Normal 2 2 4 2 2 4 4 8" xfId="22971" xr:uid="{00000000-0005-0000-0000-000098590000}"/>
    <cellStyle name="Normal 2 2 4 2 2 4 4 9" xfId="22972" xr:uid="{00000000-0005-0000-0000-000099590000}"/>
    <cellStyle name="Normal 2 2 4 2 2 4 5" xfId="22973" xr:uid="{00000000-0005-0000-0000-00009A590000}"/>
    <cellStyle name="Normal 2 2 4 2 2 4 5 10" xfId="22974" xr:uid="{00000000-0005-0000-0000-00009B590000}"/>
    <cellStyle name="Normal 2 2 4 2 2 4 5 2" xfId="22975" xr:uid="{00000000-0005-0000-0000-00009C590000}"/>
    <cellStyle name="Normal 2 2 4 2 2 4 5 3" xfId="22976" xr:uid="{00000000-0005-0000-0000-00009D590000}"/>
    <cellStyle name="Normal 2 2 4 2 2 4 5 4" xfId="22977" xr:uid="{00000000-0005-0000-0000-00009E590000}"/>
    <cellStyle name="Normal 2 2 4 2 2 4 5 5" xfId="22978" xr:uid="{00000000-0005-0000-0000-00009F590000}"/>
    <cellStyle name="Normal 2 2 4 2 2 4 5 6" xfId="22979" xr:uid="{00000000-0005-0000-0000-0000A0590000}"/>
    <cellStyle name="Normal 2 2 4 2 2 4 5 7" xfId="22980" xr:uid="{00000000-0005-0000-0000-0000A1590000}"/>
    <cellStyle name="Normal 2 2 4 2 2 4 5 8" xfId="22981" xr:uid="{00000000-0005-0000-0000-0000A2590000}"/>
    <cellStyle name="Normal 2 2 4 2 2 4 5 9" xfId="22982" xr:uid="{00000000-0005-0000-0000-0000A3590000}"/>
    <cellStyle name="Normal 2 2 4 2 2 4 6" xfId="22983" xr:uid="{00000000-0005-0000-0000-0000A4590000}"/>
    <cellStyle name="Normal 2 2 4 2 2 4 7" xfId="22984" xr:uid="{00000000-0005-0000-0000-0000A5590000}"/>
    <cellStyle name="Normal 2 2 4 2 2 4 8" xfId="22985" xr:uid="{00000000-0005-0000-0000-0000A6590000}"/>
    <cellStyle name="Normal 2 2 4 2 2 4 9" xfId="22986" xr:uid="{00000000-0005-0000-0000-0000A7590000}"/>
    <cellStyle name="Normal 2 2 4 2 2 5" xfId="22987" xr:uid="{00000000-0005-0000-0000-0000A8590000}"/>
    <cellStyle name="Normal 2 2 4 2 2 5 10" xfId="22988" xr:uid="{00000000-0005-0000-0000-0000A9590000}"/>
    <cellStyle name="Normal 2 2 4 2 2 5 11" xfId="22989" xr:uid="{00000000-0005-0000-0000-0000AA590000}"/>
    <cellStyle name="Normal 2 2 4 2 2 5 12" xfId="22990" xr:uid="{00000000-0005-0000-0000-0000AB590000}"/>
    <cellStyle name="Normal 2 2 4 2 2 5 13" xfId="22991" xr:uid="{00000000-0005-0000-0000-0000AC590000}"/>
    <cellStyle name="Normal 2 2 4 2 2 5 14" xfId="22992" xr:uid="{00000000-0005-0000-0000-0000AD590000}"/>
    <cellStyle name="Normal 2 2 4 2 2 5 2" xfId="22993" xr:uid="{00000000-0005-0000-0000-0000AE590000}"/>
    <cellStyle name="Normal 2 2 4 2 2 5 2 10" xfId="22994" xr:uid="{00000000-0005-0000-0000-0000AF590000}"/>
    <cellStyle name="Normal 2 2 4 2 2 5 2 2" xfId="22995" xr:uid="{00000000-0005-0000-0000-0000B0590000}"/>
    <cellStyle name="Normal 2 2 4 2 2 5 2 3" xfId="22996" xr:uid="{00000000-0005-0000-0000-0000B1590000}"/>
    <cellStyle name="Normal 2 2 4 2 2 5 2 4" xfId="22997" xr:uid="{00000000-0005-0000-0000-0000B2590000}"/>
    <cellStyle name="Normal 2 2 4 2 2 5 2 5" xfId="22998" xr:uid="{00000000-0005-0000-0000-0000B3590000}"/>
    <cellStyle name="Normal 2 2 4 2 2 5 2 6" xfId="22999" xr:uid="{00000000-0005-0000-0000-0000B4590000}"/>
    <cellStyle name="Normal 2 2 4 2 2 5 2 7" xfId="23000" xr:uid="{00000000-0005-0000-0000-0000B5590000}"/>
    <cellStyle name="Normal 2 2 4 2 2 5 2 8" xfId="23001" xr:uid="{00000000-0005-0000-0000-0000B6590000}"/>
    <cellStyle name="Normal 2 2 4 2 2 5 2 9" xfId="23002" xr:uid="{00000000-0005-0000-0000-0000B7590000}"/>
    <cellStyle name="Normal 2 2 4 2 2 5 3" xfId="23003" xr:uid="{00000000-0005-0000-0000-0000B8590000}"/>
    <cellStyle name="Normal 2 2 4 2 2 5 3 10" xfId="23004" xr:uid="{00000000-0005-0000-0000-0000B9590000}"/>
    <cellStyle name="Normal 2 2 4 2 2 5 3 2" xfId="23005" xr:uid="{00000000-0005-0000-0000-0000BA590000}"/>
    <cellStyle name="Normal 2 2 4 2 2 5 3 3" xfId="23006" xr:uid="{00000000-0005-0000-0000-0000BB590000}"/>
    <cellStyle name="Normal 2 2 4 2 2 5 3 4" xfId="23007" xr:uid="{00000000-0005-0000-0000-0000BC590000}"/>
    <cellStyle name="Normal 2 2 4 2 2 5 3 5" xfId="23008" xr:uid="{00000000-0005-0000-0000-0000BD590000}"/>
    <cellStyle name="Normal 2 2 4 2 2 5 3 6" xfId="23009" xr:uid="{00000000-0005-0000-0000-0000BE590000}"/>
    <cellStyle name="Normal 2 2 4 2 2 5 3 7" xfId="23010" xr:uid="{00000000-0005-0000-0000-0000BF590000}"/>
    <cellStyle name="Normal 2 2 4 2 2 5 3 8" xfId="23011" xr:uid="{00000000-0005-0000-0000-0000C0590000}"/>
    <cellStyle name="Normal 2 2 4 2 2 5 3 9" xfId="23012" xr:uid="{00000000-0005-0000-0000-0000C1590000}"/>
    <cellStyle name="Normal 2 2 4 2 2 5 4" xfId="23013" xr:uid="{00000000-0005-0000-0000-0000C2590000}"/>
    <cellStyle name="Normal 2 2 4 2 2 5 4 10" xfId="23014" xr:uid="{00000000-0005-0000-0000-0000C3590000}"/>
    <cellStyle name="Normal 2 2 4 2 2 5 4 2" xfId="23015" xr:uid="{00000000-0005-0000-0000-0000C4590000}"/>
    <cellStyle name="Normal 2 2 4 2 2 5 4 3" xfId="23016" xr:uid="{00000000-0005-0000-0000-0000C5590000}"/>
    <cellStyle name="Normal 2 2 4 2 2 5 4 4" xfId="23017" xr:uid="{00000000-0005-0000-0000-0000C6590000}"/>
    <cellStyle name="Normal 2 2 4 2 2 5 4 5" xfId="23018" xr:uid="{00000000-0005-0000-0000-0000C7590000}"/>
    <cellStyle name="Normal 2 2 4 2 2 5 4 6" xfId="23019" xr:uid="{00000000-0005-0000-0000-0000C8590000}"/>
    <cellStyle name="Normal 2 2 4 2 2 5 4 7" xfId="23020" xr:uid="{00000000-0005-0000-0000-0000C9590000}"/>
    <cellStyle name="Normal 2 2 4 2 2 5 4 8" xfId="23021" xr:uid="{00000000-0005-0000-0000-0000CA590000}"/>
    <cellStyle name="Normal 2 2 4 2 2 5 4 9" xfId="23022" xr:uid="{00000000-0005-0000-0000-0000CB590000}"/>
    <cellStyle name="Normal 2 2 4 2 2 5 5" xfId="23023" xr:uid="{00000000-0005-0000-0000-0000CC590000}"/>
    <cellStyle name="Normal 2 2 4 2 2 5 5 10" xfId="23024" xr:uid="{00000000-0005-0000-0000-0000CD590000}"/>
    <cellStyle name="Normal 2 2 4 2 2 5 5 2" xfId="23025" xr:uid="{00000000-0005-0000-0000-0000CE590000}"/>
    <cellStyle name="Normal 2 2 4 2 2 5 5 3" xfId="23026" xr:uid="{00000000-0005-0000-0000-0000CF590000}"/>
    <cellStyle name="Normal 2 2 4 2 2 5 5 4" xfId="23027" xr:uid="{00000000-0005-0000-0000-0000D0590000}"/>
    <cellStyle name="Normal 2 2 4 2 2 5 5 5" xfId="23028" xr:uid="{00000000-0005-0000-0000-0000D1590000}"/>
    <cellStyle name="Normal 2 2 4 2 2 5 5 6" xfId="23029" xr:uid="{00000000-0005-0000-0000-0000D2590000}"/>
    <cellStyle name="Normal 2 2 4 2 2 5 5 7" xfId="23030" xr:uid="{00000000-0005-0000-0000-0000D3590000}"/>
    <cellStyle name="Normal 2 2 4 2 2 5 5 8" xfId="23031" xr:uid="{00000000-0005-0000-0000-0000D4590000}"/>
    <cellStyle name="Normal 2 2 4 2 2 5 5 9" xfId="23032" xr:uid="{00000000-0005-0000-0000-0000D5590000}"/>
    <cellStyle name="Normal 2 2 4 2 2 5 6" xfId="23033" xr:uid="{00000000-0005-0000-0000-0000D6590000}"/>
    <cellStyle name="Normal 2 2 4 2 2 5 7" xfId="23034" xr:uid="{00000000-0005-0000-0000-0000D7590000}"/>
    <cellStyle name="Normal 2 2 4 2 2 5 8" xfId="23035" xr:uid="{00000000-0005-0000-0000-0000D8590000}"/>
    <cellStyle name="Normal 2 2 4 2 2 5 9" xfId="23036" xr:uid="{00000000-0005-0000-0000-0000D9590000}"/>
    <cellStyle name="Normal 2 2 4 2 2 6" xfId="23037" xr:uid="{00000000-0005-0000-0000-0000DA590000}"/>
    <cellStyle name="Normal 2 2 4 2 2 6 10" xfId="23038" xr:uid="{00000000-0005-0000-0000-0000DB590000}"/>
    <cellStyle name="Normal 2 2 4 2 2 6 11" xfId="23039" xr:uid="{00000000-0005-0000-0000-0000DC590000}"/>
    <cellStyle name="Normal 2 2 4 2 2 6 12" xfId="23040" xr:uid="{00000000-0005-0000-0000-0000DD590000}"/>
    <cellStyle name="Normal 2 2 4 2 2 6 13" xfId="23041" xr:uid="{00000000-0005-0000-0000-0000DE590000}"/>
    <cellStyle name="Normal 2 2 4 2 2 6 14" xfId="23042" xr:uid="{00000000-0005-0000-0000-0000DF590000}"/>
    <cellStyle name="Normal 2 2 4 2 2 6 2" xfId="23043" xr:uid="{00000000-0005-0000-0000-0000E0590000}"/>
    <cellStyle name="Normal 2 2 4 2 2 6 2 10" xfId="23044" xr:uid="{00000000-0005-0000-0000-0000E1590000}"/>
    <cellStyle name="Normal 2 2 4 2 2 6 2 2" xfId="23045" xr:uid="{00000000-0005-0000-0000-0000E2590000}"/>
    <cellStyle name="Normal 2 2 4 2 2 6 2 3" xfId="23046" xr:uid="{00000000-0005-0000-0000-0000E3590000}"/>
    <cellStyle name="Normal 2 2 4 2 2 6 2 4" xfId="23047" xr:uid="{00000000-0005-0000-0000-0000E4590000}"/>
    <cellStyle name="Normal 2 2 4 2 2 6 2 5" xfId="23048" xr:uid="{00000000-0005-0000-0000-0000E5590000}"/>
    <cellStyle name="Normal 2 2 4 2 2 6 2 6" xfId="23049" xr:uid="{00000000-0005-0000-0000-0000E6590000}"/>
    <cellStyle name="Normal 2 2 4 2 2 6 2 7" xfId="23050" xr:uid="{00000000-0005-0000-0000-0000E7590000}"/>
    <cellStyle name="Normal 2 2 4 2 2 6 2 8" xfId="23051" xr:uid="{00000000-0005-0000-0000-0000E8590000}"/>
    <cellStyle name="Normal 2 2 4 2 2 6 2 9" xfId="23052" xr:uid="{00000000-0005-0000-0000-0000E9590000}"/>
    <cellStyle name="Normal 2 2 4 2 2 6 3" xfId="23053" xr:uid="{00000000-0005-0000-0000-0000EA590000}"/>
    <cellStyle name="Normal 2 2 4 2 2 6 3 10" xfId="23054" xr:uid="{00000000-0005-0000-0000-0000EB590000}"/>
    <cellStyle name="Normal 2 2 4 2 2 6 3 2" xfId="23055" xr:uid="{00000000-0005-0000-0000-0000EC590000}"/>
    <cellStyle name="Normal 2 2 4 2 2 6 3 3" xfId="23056" xr:uid="{00000000-0005-0000-0000-0000ED590000}"/>
    <cellStyle name="Normal 2 2 4 2 2 6 3 4" xfId="23057" xr:uid="{00000000-0005-0000-0000-0000EE590000}"/>
    <cellStyle name="Normal 2 2 4 2 2 6 3 5" xfId="23058" xr:uid="{00000000-0005-0000-0000-0000EF590000}"/>
    <cellStyle name="Normal 2 2 4 2 2 6 3 6" xfId="23059" xr:uid="{00000000-0005-0000-0000-0000F0590000}"/>
    <cellStyle name="Normal 2 2 4 2 2 6 3 7" xfId="23060" xr:uid="{00000000-0005-0000-0000-0000F1590000}"/>
    <cellStyle name="Normal 2 2 4 2 2 6 3 8" xfId="23061" xr:uid="{00000000-0005-0000-0000-0000F2590000}"/>
    <cellStyle name="Normal 2 2 4 2 2 6 3 9" xfId="23062" xr:uid="{00000000-0005-0000-0000-0000F3590000}"/>
    <cellStyle name="Normal 2 2 4 2 2 6 4" xfId="23063" xr:uid="{00000000-0005-0000-0000-0000F4590000}"/>
    <cellStyle name="Normal 2 2 4 2 2 6 4 10" xfId="23064" xr:uid="{00000000-0005-0000-0000-0000F5590000}"/>
    <cellStyle name="Normal 2 2 4 2 2 6 4 2" xfId="23065" xr:uid="{00000000-0005-0000-0000-0000F6590000}"/>
    <cellStyle name="Normal 2 2 4 2 2 6 4 3" xfId="23066" xr:uid="{00000000-0005-0000-0000-0000F7590000}"/>
    <cellStyle name="Normal 2 2 4 2 2 6 4 4" xfId="23067" xr:uid="{00000000-0005-0000-0000-0000F8590000}"/>
    <cellStyle name="Normal 2 2 4 2 2 6 4 5" xfId="23068" xr:uid="{00000000-0005-0000-0000-0000F9590000}"/>
    <cellStyle name="Normal 2 2 4 2 2 6 4 6" xfId="23069" xr:uid="{00000000-0005-0000-0000-0000FA590000}"/>
    <cellStyle name="Normal 2 2 4 2 2 6 4 7" xfId="23070" xr:uid="{00000000-0005-0000-0000-0000FB590000}"/>
    <cellStyle name="Normal 2 2 4 2 2 6 4 8" xfId="23071" xr:uid="{00000000-0005-0000-0000-0000FC590000}"/>
    <cellStyle name="Normal 2 2 4 2 2 6 4 9" xfId="23072" xr:uid="{00000000-0005-0000-0000-0000FD590000}"/>
    <cellStyle name="Normal 2 2 4 2 2 6 5" xfId="23073" xr:uid="{00000000-0005-0000-0000-0000FE590000}"/>
    <cellStyle name="Normal 2 2 4 2 2 6 5 10" xfId="23074" xr:uid="{00000000-0005-0000-0000-0000FF590000}"/>
    <cellStyle name="Normal 2 2 4 2 2 6 5 2" xfId="23075" xr:uid="{00000000-0005-0000-0000-0000005A0000}"/>
    <cellStyle name="Normal 2 2 4 2 2 6 5 3" xfId="23076" xr:uid="{00000000-0005-0000-0000-0000015A0000}"/>
    <cellStyle name="Normal 2 2 4 2 2 6 5 4" xfId="23077" xr:uid="{00000000-0005-0000-0000-0000025A0000}"/>
    <cellStyle name="Normal 2 2 4 2 2 6 5 5" xfId="23078" xr:uid="{00000000-0005-0000-0000-0000035A0000}"/>
    <cellStyle name="Normal 2 2 4 2 2 6 5 6" xfId="23079" xr:uid="{00000000-0005-0000-0000-0000045A0000}"/>
    <cellStyle name="Normal 2 2 4 2 2 6 5 7" xfId="23080" xr:uid="{00000000-0005-0000-0000-0000055A0000}"/>
    <cellStyle name="Normal 2 2 4 2 2 6 5 8" xfId="23081" xr:uid="{00000000-0005-0000-0000-0000065A0000}"/>
    <cellStyle name="Normal 2 2 4 2 2 6 5 9" xfId="23082" xr:uid="{00000000-0005-0000-0000-0000075A0000}"/>
    <cellStyle name="Normal 2 2 4 2 2 6 6" xfId="23083" xr:uid="{00000000-0005-0000-0000-0000085A0000}"/>
    <cellStyle name="Normal 2 2 4 2 2 6 7" xfId="23084" xr:uid="{00000000-0005-0000-0000-0000095A0000}"/>
    <cellStyle name="Normal 2 2 4 2 2 6 8" xfId="23085" xr:uid="{00000000-0005-0000-0000-00000A5A0000}"/>
    <cellStyle name="Normal 2 2 4 2 2 6 9" xfId="23086" xr:uid="{00000000-0005-0000-0000-00000B5A0000}"/>
    <cellStyle name="Normal 2 2 4 2 2 7" xfId="23087" xr:uid="{00000000-0005-0000-0000-00000C5A0000}"/>
    <cellStyle name="Normal 2 2 4 2 2 7 10" xfId="23088" xr:uid="{00000000-0005-0000-0000-00000D5A0000}"/>
    <cellStyle name="Normal 2 2 4 2 2 7 11" xfId="23089" xr:uid="{00000000-0005-0000-0000-00000E5A0000}"/>
    <cellStyle name="Normal 2 2 4 2 2 7 12" xfId="23090" xr:uid="{00000000-0005-0000-0000-00000F5A0000}"/>
    <cellStyle name="Normal 2 2 4 2 2 7 13" xfId="23091" xr:uid="{00000000-0005-0000-0000-0000105A0000}"/>
    <cellStyle name="Normal 2 2 4 2 2 7 14" xfId="23092" xr:uid="{00000000-0005-0000-0000-0000115A0000}"/>
    <cellStyle name="Normal 2 2 4 2 2 7 2" xfId="23093" xr:uid="{00000000-0005-0000-0000-0000125A0000}"/>
    <cellStyle name="Normal 2 2 4 2 2 7 2 10" xfId="23094" xr:uid="{00000000-0005-0000-0000-0000135A0000}"/>
    <cellStyle name="Normal 2 2 4 2 2 7 2 2" xfId="23095" xr:uid="{00000000-0005-0000-0000-0000145A0000}"/>
    <cellStyle name="Normal 2 2 4 2 2 7 2 3" xfId="23096" xr:uid="{00000000-0005-0000-0000-0000155A0000}"/>
    <cellStyle name="Normal 2 2 4 2 2 7 2 4" xfId="23097" xr:uid="{00000000-0005-0000-0000-0000165A0000}"/>
    <cellStyle name="Normal 2 2 4 2 2 7 2 5" xfId="23098" xr:uid="{00000000-0005-0000-0000-0000175A0000}"/>
    <cellStyle name="Normal 2 2 4 2 2 7 2 6" xfId="23099" xr:uid="{00000000-0005-0000-0000-0000185A0000}"/>
    <cellStyle name="Normal 2 2 4 2 2 7 2 7" xfId="23100" xr:uid="{00000000-0005-0000-0000-0000195A0000}"/>
    <cellStyle name="Normal 2 2 4 2 2 7 2 8" xfId="23101" xr:uid="{00000000-0005-0000-0000-00001A5A0000}"/>
    <cellStyle name="Normal 2 2 4 2 2 7 2 9" xfId="23102" xr:uid="{00000000-0005-0000-0000-00001B5A0000}"/>
    <cellStyle name="Normal 2 2 4 2 2 7 3" xfId="23103" xr:uid="{00000000-0005-0000-0000-00001C5A0000}"/>
    <cellStyle name="Normal 2 2 4 2 2 7 3 10" xfId="23104" xr:uid="{00000000-0005-0000-0000-00001D5A0000}"/>
    <cellStyle name="Normal 2 2 4 2 2 7 3 2" xfId="23105" xr:uid="{00000000-0005-0000-0000-00001E5A0000}"/>
    <cellStyle name="Normal 2 2 4 2 2 7 3 3" xfId="23106" xr:uid="{00000000-0005-0000-0000-00001F5A0000}"/>
    <cellStyle name="Normal 2 2 4 2 2 7 3 4" xfId="23107" xr:uid="{00000000-0005-0000-0000-0000205A0000}"/>
    <cellStyle name="Normal 2 2 4 2 2 7 3 5" xfId="23108" xr:uid="{00000000-0005-0000-0000-0000215A0000}"/>
    <cellStyle name="Normal 2 2 4 2 2 7 3 6" xfId="23109" xr:uid="{00000000-0005-0000-0000-0000225A0000}"/>
    <cellStyle name="Normal 2 2 4 2 2 7 3 7" xfId="23110" xr:uid="{00000000-0005-0000-0000-0000235A0000}"/>
    <cellStyle name="Normal 2 2 4 2 2 7 3 8" xfId="23111" xr:uid="{00000000-0005-0000-0000-0000245A0000}"/>
    <cellStyle name="Normal 2 2 4 2 2 7 3 9" xfId="23112" xr:uid="{00000000-0005-0000-0000-0000255A0000}"/>
    <cellStyle name="Normal 2 2 4 2 2 7 4" xfId="23113" xr:uid="{00000000-0005-0000-0000-0000265A0000}"/>
    <cellStyle name="Normal 2 2 4 2 2 7 4 10" xfId="23114" xr:uid="{00000000-0005-0000-0000-0000275A0000}"/>
    <cellStyle name="Normal 2 2 4 2 2 7 4 2" xfId="23115" xr:uid="{00000000-0005-0000-0000-0000285A0000}"/>
    <cellStyle name="Normal 2 2 4 2 2 7 4 3" xfId="23116" xr:uid="{00000000-0005-0000-0000-0000295A0000}"/>
    <cellStyle name="Normal 2 2 4 2 2 7 4 4" xfId="23117" xr:uid="{00000000-0005-0000-0000-00002A5A0000}"/>
    <cellStyle name="Normal 2 2 4 2 2 7 4 5" xfId="23118" xr:uid="{00000000-0005-0000-0000-00002B5A0000}"/>
    <cellStyle name="Normal 2 2 4 2 2 7 4 6" xfId="23119" xr:uid="{00000000-0005-0000-0000-00002C5A0000}"/>
    <cellStyle name="Normal 2 2 4 2 2 7 4 7" xfId="23120" xr:uid="{00000000-0005-0000-0000-00002D5A0000}"/>
    <cellStyle name="Normal 2 2 4 2 2 7 4 8" xfId="23121" xr:uid="{00000000-0005-0000-0000-00002E5A0000}"/>
    <cellStyle name="Normal 2 2 4 2 2 7 4 9" xfId="23122" xr:uid="{00000000-0005-0000-0000-00002F5A0000}"/>
    <cellStyle name="Normal 2 2 4 2 2 7 5" xfId="23123" xr:uid="{00000000-0005-0000-0000-0000305A0000}"/>
    <cellStyle name="Normal 2 2 4 2 2 7 5 10" xfId="23124" xr:uid="{00000000-0005-0000-0000-0000315A0000}"/>
    <cellStyle name="Normal 2 2 4 2 2 7 5 2" xfId="23125" xr:uid="{00000000-0005-0000-0000-0000325A0000}"/>
    <cellStyle name="Normal 2 2 4 2 2 7 5 3" xfId="23126" xr:uid="{00000000-0005-0000-0000-0000335A0000}"/>
    <cellStyle name="Normal 2 2 4 2 2 7 5 4" xfId="23127" xr:uid="{00000000-0005-0000-0000-0000345A0000}"/>
    <cellStyle name="Normal 2 2 4 2 2 7 5 5" xfId="23128" xr:uid="{00000000-0005-0000-0000-0000355A0000}"/>
    <cellStyle name="Normal 2 2 4 2 2 7 5 6" xfId="23129" xr:uid="{00000000-0005-0000-0000-0000365A0000}"/>
    <cellStyle name="Normal 2 2 4 2 2 7 5 7" xfId="23130" xr:uid="{00000000-0005-0000-0000-0000375A0000}"/>
    <cellStyle name="Normal 2 2 4 2 2 7 5 8" xfId="23131" xr:uid="{00000000-0005-0000-0000-0000385A0000}"/>
    <cellStyle name="Normal 2 2 4 2 2 7 5 9" xfId="23132" xr:uid="{00000000-0005-0000-0000-0000395A0000}"/>
    <cellStyle name="Normal 2 2 4 2 2 7 6" xfId="23133" xr:uid="{00000000-0005-0000-0000-00003A5A0000}"/>
    <cellStyle name="Normal 2 2 4 2 2 7 7" xfId="23134" xr:uid="{00000000-0005-0000-0000-00003B5A0000}"/>
    <cellStyle name="Normal 2 2 4 2 2 7 8" xfId="23135" xr:uid="{00000000-0005-0000-0000-00003C5A0000}"/>
    <cellStyle name="Normal 2 2 4 2 2 7 9" xfId="23136" xr:uid="{00000000-0005-0000-0000-00003D5A0000}"/>
    <cellStyle name="Normal 2 2 4 2 2 8" xfId="23137" xr:uid="{00000000-0005-0000-0000-00003E5A0000}"/>
    <cellStyle name="Normal 2 2 4 2 2 8 10" xfId="23138" xr:uid="{00000000-0005-0000-0000-00003F5A0000}"/>
    <cellStyle name="Normal 2 2 4 2 2 8 11" xfId="23139" xr:uid="{00000000-0005-0000-0000-0000405A0000}"/>
    <cellStyle name="Normal 2 2 4 2 2 8 12" xfId="23140" xr:uid="{00000000-0005-0000-0000-0000415A0000}"/>
    <cellStyle name="Normal 2 2 4 2 2 8 13" xfId="23141" xr:uid="{00000000-0005-0000-0000-0000425A0000}"/>
    <cellStyle name="Normal 2 2 4 2 2 8 14" xfId="23142" xr:uid="{00000000-0005-0000-0000-0000435A0000}"/>
    <cellStyle name="Normal 2 2 4 2 2 8 2" xfId="23143" xr:uid="{00000000-0005-0000-0000-0000445A0000}"/>
    <cellStyle name="Normal 2 2 4 2 2 8 2 10" xfId="23144" xr:uid="{00000000-0005-0000-0000-0000455A0000}"/>
    <cellStyle name="Normal 2 2 4 2 2 8 2 2" xfId="23145" xr:uid="{00000000-0005-0000-0000-0000465A0000}"/>
    <cellStyle name="Normal 2 2 4 2 2 8 2 3" xfId="23146" xr:uid="{00000000-0005-0000-0000-0000475A0000}"/>
    <cellStyle name="Normal 2 2 4 2 2 8 2 4" xfId="23147" xr:uid="{00000000-0005-0000-0000-0000485A0000}"/>
    <cellStyle name="Normal 2 2 4 2 2 8 2 5" xfId="23148" xr:uid="{00000000-0005-0000-0000-0000495A0000}"/>
    <cellStyle name="Normal 2 2 4 2 2 8 2 6" xfId="23149" xr:uid="{00000000-0005-0000-0000-00004A5A0000}"/>
    <cellStyle name="Normal 2 2 4 2 2 8 2 7" xfId="23150" xr:uid="{00000000-0005-0000-0000-00004B5A0000}"/>
    <cellStyle name="Normal 2 2 4 2 2 8 2 8" xfId="23151" xr:uid="{00000000-0005-0000-0000-00004C5A0000}"/>
    <cellStyle name="Normal 2 2 4 2 2 8 2 9" xfId="23152" xr:uid="{00000000-0005-0000-0000-00004D5A0000}"/>
    <cellStyle name="Normal 2 2 4 2 2 8 3" xfId="23153" xr:uid="{00000000-0005-0000-0000-00004E5A0000}"/>
    <cellStyle name="Normal 2 2 4 2 2 8 3 10" xfId="23154" xr:uid="{00000000-0005-0000-0000-00004F5A0000}"/>
    <cellStyle name="Normal 2 2 4 2 2 8 3 2" xfId="23155" xr:uid="{00000000-0005-0000-0000-0000505A0000}"/>
    <cellStyle name="Normal 2 2 4 2 2 8 3 3" xfId="23156" xr:uid="{00000000-0005-0000-0000-0000515A0000}"/>
    <cellStyle name="Normal 2 2 4 2 2 8 3 4" xfId="23157" xr:uid="{00000000-0005-0000-0000-0000525A0000}"/>
    <cellStyle name="Normal 2 2 4 2 2 8 3 5" xfId="23158" xr:uid="{00000000-0005-0000-0000-0000535A0000}"/>
    <cellStyle name="Normal 2 2 4 2 2 8 3 6" xfId="23159" xr:uid="{00000000-0005-0000-0000-0000545A0000}"/>
    <cellStyle name="Normal 2 2 4 2 2 8 3 7" xfId="23160" xr:uid="{00000000-0005-0000-0000-0000555A0000}"/>
    <cellStyle name="Normal 2 2 4 2 2 8 3 8" xfId="23161" xr:uid="{00000000-0005-0000-0000-0000565A0000}"/>
    <cellStyle name="Normal 2 2 4 2 2 8 3 9" xfId="23162" xr:uid="{00000000-0005-0000-0000-0000575A0000}"/>
    <cellStyle name="Normal 2 2 4 2 2 8 4" xfId="23163" xr:uid="{00000000-0005-0000-0000-0000585A0000}"/>
    <cellStyle name="Normal 2 2 4 2 2 8 4 10" xfId="23164" xr:uid="{00000000-0005-0000-0000-0000595A0000}"/>
    <cellStyle name="Normal 2 2 4 2 2 8 4 2" xfId="23165" xr:uid="{00000000-0005-0000-0000-00005A5A0000}"/>
    <cellStyle name="Normal 2 2 4 2 2 8 4 3" xfId="23166" xr:uid="{00000000-0005-0000-0000-00005B5A0000}"/>
    <cellStyle name="Normal 2 2 4 2 2 8 4 4" xfId="23167" xr:uid="{00000000-0005-0000-0000-00005C5A0000}"/>
    <cellStyle name="Normal 2 2 4 2 2 8 4 5" xfId="23168" xr:uid="{00000000-0005-0000-0000-00005D5A0000}"/>
    <cellStyle name="Normal 2 2 4 2 2 8 4 6" xfId="23169" xr:uid="{00000000-0005-0000-0000-00005E5A0000}"/>
    <cellStyle name="Normal 2 2 4 2 2 8 4 7" xfId="23170" xr:uid="{00000000-0005-0000-0000-00005F5A0000}"/>
    <cellStyle name="Normal 2 2 4 2 2 8 4 8" xfId="23171" xr:uid="{00000000-0005-0000-0000-0000605A0000}"/>
    <cellStyle name="Normal 2 2 4 2 2 8 4 9" xfId="23172" xr:uid="{00000000-0005-0000-0000-0000615A0000}"/>
    <cellStyle name="Normal 2 2 4 2 2 8 5" xfId="23173" xr:uid="{00000000-0005-0000-0000-0000625A0000}"/>
    <cellStyle name="Normal 2 2 4 2 2 8 5 10" xfId="23174" xr:uid="{00000000-0005-0000-0000-0000635A0000}"/>
    <cellStyle name="Normal 2 2 4 2 2 8 5 2" xfId="23175" xr:uid="{00000000-0005-0000-0000-0000645A0000}"/>
    <cellStyle name="Normal 2 2 4 2 2 8 5 3" xfId="23176" xr:uid="{00000000-0005-0000-0000-0000655A0000}"/>
    <cellStyle name="Normal 2 2 4 2 2 8 5 4" xfId="23177" xr:uid="{00000000-0005-0000-0000-0000665A0000}"/>
    <cellStyle name="Normal 2 2 4 2 2 8 5 5" xfId="23178" xr:uid="{00000000-0005-0000-0000-0000675A0000}"/>
    <cellStyle name="Normal 2 2 4 2 2 8 5 6" xfId="23179" xr:uid="{00000000-0005-0000-0000-0000685A0000}"/>
    <cellStyle name="Normal 2 2 4 2 2 8 5 7" xfId="23180" xr:uid="{00000000-0005-0000-0000-0000695A0000}"/>
    <cellStyle name="Normal 2 2 4 2 2 8 5 8" xfId="23181" xr:uid="{00000000-0005-0000-0000-00006A5A0000}"/>
    <cellStyle name="Normal 2 2 4 2 2 8 5 9" xfId="23182" xr:uid="{00000000-0005-0000-0000-00006B5A0000}"/>
    <cellStyle name="Normal 2 2 4 2 2 8 6" xfId="23183" xr:uid="{00000000-0005-0000-0000-00006C5A0000}"/>
    <cellStyle name="Normal 2 2 4 2 2 8 7" xfId="23184" xr:uid="{00000000-0005-0000-0000-00006D5A0000}"/>
    <cellStyle name="Normal 2 2 4 2 2 8 8" xfId="23185" xr:uid="{00000000-0005-0000-0000-00006E5A0000}"/>
    <cellStyle name="Normal 2 2 4 2 2 8 9" xfId="23186" xr:uid="{00000000-0005-0000-0000-00006F5A0000}"/>
    <cellStyle name="Normal 2 2 4 2 2 9" xfId="23187" xr:uid="{00000000-0005-0000-0000-0000705A0000}"/>
    <cellStyle name="Normal 2 2 4 2 2 9 10" xfId="23188" xr:uid="{00000000-0005-0000-0000-0000715A0000}"/>
    <cellStyle name="Normal 2 2 4 2 2 9 11" xfId="23189" xr:uid="{00000000-0005-0000-0000-0000725A0000}"/>
    <cellStyle name="Normal 2 2 4 2 2 9 12" xfId="23190" xr:uid="{00000000-0005-0000-0000-0000735A0000}"/>
    <cellStyle name="Normal 2 2 4 2 2 9 13" xfId="23191" xr:uid="{00000000-0005-0000-0000-0000745A0000}"/>
    <cellStyle name="Normal 2 2 4 2 2 9 14" xfId="23192" xr:uid="{00000000-0005-0000-0000-0000755A0000}"/>
    <cellStyle name="Normal 2 2 4 2 2 9 2" xfId="23193" xr:uid="{00000000-0005-0000-0000-0000765A0000}"/>
    <cellStyle name="Normal 2 2 4 2 2 9 2 10" xfId="23194" xr:uid="{00000000-0005-0000-0000-0000775A0000}"/>
    <cellStyle name="Normal 2 2 4 2 2 9 2 2" xfId="23195" xr:uid="{00000000-0005-0000-0000-0000785A0000}"/>
    <cellStyle name="Normal 2 2 4 2 2 9 2 3" xfId="23196" xr:uid="{00000000-0005-0000-0000-0000795A0000}"/>
    <cellStyle name="Normal 2 2 4 2 2 9 2 4" xfId="23197" xr:uid="{00000000-0005-0000-0000-00007A5A0000}"/>
    <cellStyle name="Normal 2 2 4 2 2 9 2 5" xfId="23198" xr:uid="{00000000-0005-0000-0000-00007B5A0000}"/>
    <cellStyle name="Normal 2 2 4 2 2 9 2 6" xfId="23199" xr:uid="{00000000-0005-0000-0000-00007C5A0000}"/>
    <cellStyle name="Normal 2 2 4 2 2 9 2 7" xfId="23200" xr:uid="{00000000-0005-0000-0000-00007D5A0000}"/>
    <cellStyle name="Normal 2 2 4 2 2 9 2 8" xfId="23201" xr:uid="{00000000-0005-0000-0000-00007E5A0000}"/>
    <cellStyle name="Normal 2 2 4 2 2 9 2 9" xfId="23202" xr:uid="{00000000-0005-0000-0000-00007F5A0000}"/>
    <cellStyle name="Normal 2 2 4 2 2 9 3" xfId="23203" xr:uid="{00000000-0005-0000-0000-0000805A0000}"/>
    <cellStyle name="Normal 2 2 4 2 2 9 3 10" xfId="23204" xr:uid="{00000000-0005-0000-0000-0000815A0000}"/>
    <cellStyle name="Normal 2 2 4 2 2 9 3 2" xfId="23205" xr:uid="{00000000-0005-0000-0000-0000825A0000}"/>
    <cellStyle name="Normal 2 2 4 2 2 9 3 3" xfId="23206" xr:uid="{00000000-0005-0000-0000-0000835A0000}"/>
    <cellStyle name="Normal 2 2 4 2 2 9 3 4" xfId="23207" xr:uid="{00000000-0005-0000-0000-0000845A0000}"/>
    <cellStyle name="Normal 2 2 4 2 2 9 3 5" xfId="23208" xr:uid="{00000000-0005-0000-0000-0000855A0000}"/>
    <cellStyle name="Normal 2 2 4 2 2 9 3 6" xfId="23209" xr:uid="{00000000-0005-0000-0000-0000865A0000}"/>
    <cellStyle name="Normal 2 2 4 2 2 9 3 7" xfId="23210" xr:uid="{00000000-0005-0000-0000-0000875A0000}"/>
    <cellStyle name="Normal 2 2 4 2 2 9 3 8" xfId="23211" xr:uid="{00000000-0005-0000-0000-0000885A0000}"/>
    <cellStyle name="Normal 2 2 4 2 2 9 3 9" xfId="23212" xr:uid="{00000000-0005-0000-0000-0000895A0000}"/>
    <cellStyle name="Normal 2 2 4 2 2 9 4" xfId="23213" xr:uid="{00000000-0005-0000-0000-00008A5A0000}"/>
    <cellStyle name="Normal 2 2 4 2 2 9 4 10" xfId="23214" xr:uid="{00000000-0005-0000-0000-00008B5A0000}"/>
    <cellStyle name="Normal 2 2 4 2 2 9 4 2" xfId="23215" xr:uid="{00000000-0005-0000-0000-00008C5A0000}"/>
    <cellStyle name="Normal 2 2 4 2 2 9 4 3" xfId="23216" xr:uid="{00000000-0005-0000-0000-00008D5A0000}"/>
    <cellStyle name="Normal 2 2 4 2 2 9 4 4" xfId="23217" xr:uid="{00000000-0005-0000-0000-00008E5A0000}"/>
    <cellStyle name="Normal 2 2 4 2 2 9 4 5" xfId="23218" xr:uid="{00000000-0005-0000-0000-00008F5A0000}"/>
    <cellStyle name="Normal 2 2 4 2 2 9 4 6" xfId="23219" xr:uid="{00000000-0005-0000-0000-0000905A0000}"/>
    <cellStyle name="Normal 2 2 4 2 2 9 4 7" xfId="23220" xr:uid="{00000000-0005-0000-0000-0000915A0000}"/>
    <cellStyle name="Normal 2 2 4 2 2 9 4 8" xfId="23221" xr:uid="{00000000-0005-0000-0000-0000925A0000}"/>
    <cellStyle name="Normal 2 2 4 2 2 9 4 9" xfId="23222" xr:uid="{00000000-0005-0000-0000-0000935A0000}"/>
    <cellStyle name="Normal 2 2 4 2 2 9 5" xfId="23223" xr:uid="{00000000-0005-0000-0000-0000945A0000}"/>
    <cellStyle name="Normal 2 2 4 2 2 9 5 10" xfId="23224" xr:uid="{00000000-0005-0000-0000-0000955A0000}"/>
    <cellStyle name="Normal 2 2 4 2 2 9 5 2" xfId="23225" xr:uid="{00000000-0005-0000-0000-0000965A0000}"/>
    <cellStyle name="Normal 2 2 4 2 2 9 5 3" xfId="23226" xr:uid="{00000000-0005-0000-0000-0000975A0000}"/>
    <cellStyle name="Normal 2 2 4 2 2 9 5 4" xfId="23227" xr:uid="{00000000-0005-0000-0000-0000985A0000}"/>
    <cellStyle name="Normal 2 2 4 2 2 9 5 5" xfId="23228" xr:uid="{00000000-0005-0000-0000-0000995A0000}"/>
    <cellStyle name="Normal 2 2 4 2 2 9 5 6" xfId="23229" xr:uid="{00000000-0005-0000-0000-00009A5A0000}"/>
    <cellStyle name="Normal 2 2 4 2 2 9 5 7" xfId="23230" xr:uid="{00000000-0005-0000-0000-00009B5A0000}"/>
    <cellStyle name="Normal 2 2 4 2 2 9 5 8" xfId="23231" xr:uid="{00000000-0005-0000-0000-00009C5A0000}"/>
    <cellStyle name="Normal 2 2 4 2 2 9 5 9" xfId="23232" xr:uid="{00000000-0005-0000-0000-00009D5A0000}"/>
    <cellStyle name="Normal 2 2 4 2 2 9 6" xfId="23233" xr:uid="{00000000-0005-0000-0000-00009E5A0000}"/>
    <cellStyle name="Normal 2 2 4 2 2 9 7" xfId="23234" xr:uid="{00000000-0005-0000-0000-00009F5A0000}"/>
    <cellStyle name="Normal 2 2 4 2 2 9 8" xfId="23235" xr:uid="{00000000-0005-0000-0000-0000A05A0000}"/>
    <cellStyle name="Normal 2 2 4 2 2 9 9" xfId="23236" xr:uid="{00000000-0005-0000-0000-0000A15A0000}"/>
    <cellStyle name="Normal 2 2 4 2 20" xfId="23237" xr:uid="{00000000-0005-0000-0000-0000A25A0000}"/>
    <cellStyle name="Normal 2 2 4 2 21" xfId="23238" xr:uid="{00000000-0005-0000-0000-0000A35A0000}"/>
    <cellStyle name="Normal 2 2 4 2 21 10" xfId="23239" xr:uid="{00000000-0005-0000-0000-0000A45A0000}"/>
    <cellStyle name="Normal 2 2 4 2 21 2" xfId="23240" xr:uid="{00000000-0005-0000-0000-0000A55A0000}"/>
    <cellStyle name="Normal 2 2 4 2 21 3" xfId="23241" xr:uid="{00000000-0005-0000-0000-0000A65A0000}"/>
    <cellStyle name="Normal 2 2 4 2 21 4" xfId="23242" xr:uid="{00000000-0005-0000-0000-0000A75A0000}"/>
    <cellStyle name="Normal 2 2 4 2 21 5" xfId="23243" xr:uid="{00000000-0005-0000-0000-0000A85A0000}"/>
    <cellStyle name="Normal 2 2 4 2 21 6" xfId="23244" xr:uid="{00000000-0005-0000-0000-0000A95A0000}"/>
    <cellStyle name="Normal 2 2 4 2 21 7" xfId="23245" xr:uid="{00000000-0005-0000-0000-0000AA5A0000}"/>
    <cellStyle name="Normal 2 2 4 2 21 8" xfId="23246" xr:uid="{00000000-0005-0000-0000-0000AB5A0000}"/>
    <cellStyle name="Normal 2 2 4 2 21 9" xfId="23247" xr:uid="{00000000-0005-0000-0000-0000AC5A0000}"/>
    <cellStyle name="Normal 2 2 4 2 22" xfId="23248" xr:uid="{00000000-0005-0000-0000-0000AD5A0000}"/>
    <cellStyle name="Normal 2 2 4 2 22 10" xfId="23249" xr:uid="{00000000-0005-0000-0000-0000AE5A0000}"/>
    <cellStyle name="Normal 2 2 4 2 22 2" xfId="23250" xr:uid="{00000000-0005-0000-0000-0000AF5A0000}"/>
    <cellStyle name="Normal 2 2 4 2 22 3" xfId="23251" xr:uid="{00000000-0005-0000-0000-0000B05A0000}"/>
    <cellStyle name="Normal 2 2 4 2 22 4" xfId="23252" xr:uid="{00000000-0005-0000-0000-0000B15A0000}"/>
    <cellStyle name="Normal 2 2 4 2 22 5" xfId="23253" xr:uid="{00000000-0005-0000-0000-0000B25A0000}"/>
    <cellStyle name="Normal 2 2 4 2 22 6" xfId="23254" xr:uid="{00000000-0005-0000-0000-0000B35A0000}"/>
    <cellStyle name="Normal 2 2 4 2 22 7" xfId="23255" xr:uid="{00000000-0005-0000-0000-0000B45A0000}"/>
    <cellStyle name="Normal 2 2 4 2 22 8" xfId="23256" xr:uid="{00000000-0005-0000-0000-0000B55A0000}"/>
    <cellStyle name="Normal 2 2 4 2 22 9" xfId="23257" xr:uid="{00000000-0005-0000-0000-0000B65A0000}"/>
    <cellStyle name="Normal 2 2 4 2 23" xfId="23258" xr:uid="{00000000-0005-0000-0000-0000B75A0000}"/>
    <cellStyle name="Normal 2 2 4 2 23 10" xfId="23259" xr:uid="{00000000-0005-0000-0000-0000B85A0000}"/>
    <cellStyle name="Normal 2 2 4 2 23 2" xfId="23260" xr:uid="{00000000-0005-0000-0000-0000B95A0000}"/>
    <cellStyle name="Normal 2 2 4 2 23 3" xfId="23261" xr:uid="{00000000-0005-0000-0000-0000BA5A0000}"/>
    <cellStyle name="Normal 2 2 4 2 23 4" xfId="23262" xr:uid="{00000000-0005-0000-0000-0000BB5A0000}"/>
    <cellStyle name="Normal 2 2 4 2 23 5" xfId="23263" xr:uid="{00000000-0005-0000-0000-0000BC5A0000}"/>
    <cellStyle name="Normal 2 2 4 2 23 6" xfId="23264" xr:uid="{00000000-0005-0000-0000-0000BD5A0000}"/>
    <cellStyle name="Normal 2 2 4 2 23 7" xfId="23265" xr:uid="{00000000-0005-0000-0000-0000BE5A0000}"/>
    <cellStyle name="Normal 2 2 4 2 23 8" xfId="23266" xr:uid="{00000000-0005-0000-0000-0000BF5A0000}"/>
    <cellStyle name="Normal 2 2 4 2 23 9" xfId="23267" xr:uid="{00000000-0005-0000-0000-0000C05A0000}"/>
    <cellStyle name="Normal 2 2 4 2 24" xfId="23268" xr:uid="{00000000-0005-0000-0000-0000C15A0000}"/>
    <cellStyle name="Normal 2 2 4 2 24 10" xfId="23269" xr:uid="{00000000-0005-0000-0000-0000C25A0000}"/>
    <cellStyle name="Normal 2 2 4 2 24 2" xfId="23270" xr:uid="{00000000-0005-0000-0000-0000C35A0000}"/>
    <cellStyle name="Normal 2 2 4 2 24 3" xfId="23271" xr:uid="{00000000-0005-0000-0000-0000C45A0000}"/>
    <cellStyle name="Normal 2 2 4 2 24 4" xfId="23272" xr:uid="{00000000-0005-0000-0000-0000C55A0000}"/>
    <cellStyle name="Normal 2 2 4 2 24 5" xfId="23273" xr:uid="{00000000-0005-0000-0000-0000C65A0000}"/>
    <cellStyle name="Normal 2 2 4 2 24 6" xfId="23274" xr:uid="{00000000-0005-0000-0000-0000C75A0000}"/>
    <cellStyle name="Normal 2 2 4 2 24 7" xfId="23275" xr:uid="{00000000-0005-0000-0000-0000C85A0000}"/>
    <cellStyle name="Normal 2 2 4 2 24 8" xfId="23276" xr:uid="{00000000-0005-0000-0000-0000C95A0000}"/>
    <cellStyle name="Normal 2 2 4 2 24 9" xfId="23277" xr:uid="{00000000-0005-0000-0000-0000CA5A0000}"/>
    <cellStyle name="Normal 2 2 4 2 25" xfId="23278" xr:uid="{00000000-0005-0000-0000-0000CB5A0000}"/>
    <cellStyle name="Normal 2 2 4 2 26" xfId="23279" xr:uid="{00000000-0005-0000-0000-0000CC5A0000}"/>
    <cellStyle name="Normal 2 2 4 2 27" xfId="23280" xr:uid="{00000000-0005-0000-0000-0000CD5A0000}"/>
    <cellStyle name="Normal 2 2 4 2 28" xfId="23281" xr:uid="{00000000-0005-0000-0000-0000CE5A0000}"/>
    <cellStyle name="Normal 2 2 4 2 29" xfId="23282" xr:uid="{00000000-0005-0000-0000-0000CF5A0000}"/>
    <cellStyle name="Normal 2 2 4 2 3" xfId="23283" xr:uid="{00000000-0005-0000-0000-0000D05A0000}"/>
    <cellStyle name="Normal 2 2 4 2 30" xfId="23284" xr:uid="{00000000-0005-0000-0000-0000D15A0000}"/>
    <cellStyle name="Normal 2 2 4 2 31" xfId="23285" xr:uid="{00000000-0005-0000-0000-0000D25A0000}"/>
    <cellStyle name="Normal 2 2 4 2 32" xfId="23286" xr:uid="{00000000-0005-0000-0000-0000D35A0000}"/>
    <cellStyle name="Normal 2 2 4 2 33" xfId="23287" xr:uid="{00000000-0005-0000-0000-0000D45A0000}"/>
    <cellStyle name="Normal 2 2 4 2 34" xfId="22275" xr:uid="{00000000-0005-0000-0000-0000D55A0000}"/>
    <cellStyle name="Normal 2 2 4 2 4" xfId="23288" xr:uid="{00000000-0005-0000-0000-0000D65A0000}"/>
    <cellStyle name="Normal 2 2 4 2 5" xfId="23289" xr:uid="{00000000-0005-0000-0000-0000D75A0000}"/>
    <cellStyle name="Normal 2 2 4 2 6" xfId="23290" xr:uid="{00000000-0005-0000-0000-0000D85A0000}"/>
    <cellStyle name="Normal 2 2 4 2 7" xfId="23291" xr:uid="{00000000-0005-0000-0000-0000D95A0000}"/>
    <cellStyle name="Normal 2 2 4 2 8" xfId="23292" xr:uid="{00000000-0005-0000-0000-0000DA5A0000}"/>
    <cellStyle name="Normal 2 2 4 2 9" xfId="23293" xr:uid="{00000000-0005-0000-0000-0000DB5A0000}"/>
    <cellStyle name="Normal 2 2 4 20" xfId="23294" xr:uid="{00000000-0005-0000-0000-0000DC5A0000}"/>
    <cellStyle name="Normal 2 2 4 20 10" xfId="23295" xr:uid="{00000000-0005-0000-0000-0000DD5A0000}"/>
    <cellStyle name="Normal 2 2 4 20 11" xfId="23296" xr:uid="{00000000-0005-0000-0000-0000DE5A0000}"/>
    <cellStyle name="Normal 2 2 4 20 12" xfId="23297" xr:uid="{00000000-0005-0000-0000-0000DF5A0000}"/>
    <cellStyle name="Normal 2 2 4 20 13" xfId="23298" xr:uid="{00000000-0005-0000-0000-0000E05A0000}"/>
    <cellStyle name="Normal 2 2 4 20 14" xfId="23299" xr:uid="{00000000-0005-0000-0000-0000E15A0000}"/>
    <cellStyle name="Normal 2 2 4 20 2" xfId="23300" xr:uid="{00000000-0005-0000-0000-0000E25A0000}"/>
    <cellStyle name="Normal 2 2 4 20 2 10" xfId="23301" xr:uid="{00000000-0005-0000-0000-0000E35A0000}"/>
    <cellStyle name="Normal 2 2 4 20 2 2" xfId="23302" xr:uid="{00000000-0005-0000-0000-0000E45A0000}"/>
    <cellStyle name="Normal 2 2 4 20 2 3" xfId="23303" xr:uid="{00000000-0005-0000-0000-0000E55A0000}"/>
    <cellStyle name="Normal 2 2 4 20 2 4" xfId="23304" xr:uid="{00000000-0005-0000-0000-0000E65A0000}"/>
    <cellStyle name="Normal 2 2 4 20 2 5" xfId="23305" xr:uid="{00000000-0005-0000-0000-0000E75A0000}"/>
    <cellStyle name="Normal 2 2 4 20 2 6" xfId="23306" xr:uid="{00000000-0005-0000-0000-0000E85A0000}"/>
    <cellStyle name="Normal 2 2 4 20 2 7" xfId="23307" xr:uid="{00000000-0005-0000-0000-0000E95A0000}"/>
    <cellStyle name="Normal 2 2 4 20 2 8" xfId="23308" xr:uid="{00000000-0005-0000-0000-0000EA5A0000}"/>
    <cellStyle name="Normal 2 2 4 20 2 9" xfId="23309" xr:uid="{00000000-0005-0000-0000-0000EB5A0000}"/>
    <cellStyle name="Normal 2 2 4 20 3" xfId="23310" xr:uid="{00000000-0005-0000-0000-0000EC5A0000}"/>
    <cellStyle name="Normal 2 2 4 20 3 10" xfId="23311" xr:uid="{00000000-0005-0000-0000-0000ED5A0000}"/>
    <cellStyle name="Normal 2 2 4 20 3 2" xfId="23312" xr:uid="{00000000-0005-0000-0000-0000EE5A0000}"/>
    <cellStyle name="Normal 2 2 4 20 3 3" xfId="23313" xr:uid="{00000000-0005-0000-0000-0000EF5A0000}"/>
    <cellStyle name="Normal 2 2 4 20 3 4" xfId="23314" xr:uid="{00000000-0005-0000-0000-0000F05A0000}"/>
    <cellStyle name="Normal 2 2 4 20 3 5" xfId="23315" xr:uid="{00000000-0005-0000-0000-0000F15A0000}"/>
    <cellStyle name="Normal 2 2 4 20 3 6" xfId="23316" xr:uid="{00000000-0005-0000-0000-0000F25A0000}"/>
    <cellStyle name="Normal 2 2 4 20 3 7" xfId="23317" xr:uid="{00000000-0005-0000-0000-0000F35A0000}"/>
    <cellStyle name="Normal 2 2 4 20 3 8" xfId="23318" xr:uid="{00000000-0005-0000-0000-0000F45A0000}"/>
    <cellStyle name="Normal 2 2 4 20 3 9" xfId="23319" xr:uid="{00000000-0005-0000-0000-0000F55A0000}"/>
    <cellStyle name="Normal 2 2 4 20 4" xfId="23320" xr:uid="{00000000-0005-0000-0000-0000F65A0000}"/>
    <cellStyle name="Normal 2 2 4 20 4 10" xfId="23321" xr:uid="{00000000-0005-0000-0000-0000F75A0000}"/>
    <cellStyle name="Normal 2 2 4 20 4 2" xfId="23322" xr:uid="{00000000-0005-0000-0000-0000F85A0000}"/>
    <cellStyle name="Normal 2 2 4 20 4 3" xfId="23323" xr:uid="{00000000-0005-0000-0000-0000F95A0000}"/>
    <cellStyle name="Normal 2 2 4 20 4 4" xfId="23324" xr:uid="{00000000-0005-0000-0000-0000FA5A0000}"/>
    <cellStyle name="Normal 2 2 4 20 4 5" xfId="23325" xr:uid="{00000000-0005-0000-0000-0000FB5A0000}"/>
    <cellStyle name="Normal 2 2 4 20 4 6" xfId="23326" xr:uid="{00000000-0005-0000-0000-0000FC5A0000}"/>
    <cellStyle name="Normal 2 2 4 20 4 7" xfId="23327" xr:uid="{00000000-0005-0000-0000-0000FD5A0000}"/>
    <cellStyle name="Normal 2 2 4 20 4 8" xfId="23328" xr:uid="{00000000-0005-0000-0000-0000FE5A0000}"/>
    <cellStyle name="Normal 2 2 4 20 4 9" xfId="23329" xr:uid="{00000000-0005-0000-0000-0000FF5A0000}"/>
    <cellStyle name="Normal 2 2 4 20 5" xfId="23330" xr:uid="{00000000-0005-0000-0000-0000005B0000}"/>
    <cellStyle name="Normal 2 2 4 20 5 10" xfId="23331" xr:uid="{00000000-0005-0000-0000-0000015B0000}"/>
    <cellStyle name="Normal 2 2 4 20 5 2" xfId="23332" xr:uid="{00000000-0005-0000-0000-0000025B0000}"/>
    <cellStyle name="Normal 2 2 4 20 5 3" xfId="23333" xr:uid="{00000000-0005-0000-0000-0000035B0000}"/>
    <cellStyle name="Normal 2 2 4 20 5 4" xfId="23334" xr:uid="{00000000-0005-0000-0000-0000045B0000}"/>
    <cellStyle name="Normal 2 2 4 20 5 5" xfId="23335" xr:uid="{00000000-0005-0000-0000-0000055B0000}"/>
    <cellStyle name="Normal 2 2 4 20 5 6" xfId="23336" xr:uid="{00000000-0005-0000-0000-0000065B0000}"/>
    <cellStyle name="Normal 2 2 4 20 5 7" xfId="23337" xr:uid="{00000000-0005-0000-0000-0000075B0000}"/>
    <cellStyle name="Normal 2 2 4 20 5 8" xfId="23338" xr:uid="{00000000-0005-0000-0000-0000085B0000}"/>
    <cellStyle name="Normal 2 2 4 20 5 9" xfId="23339" xr:uid="{00000000-0005-0000-0000-0000095B0000}"/>
    <cellStyle name="Normal 2 2 4 20 6" xfId="23340" xr:uid="{00000000-0005-0000-0000-00000A5B0000}"/>
    <cellStyle name="Normal 2 2 4 20 7" xfId="23341" xr:uid="{00000000-0005-0000-0000-00000B5B0000}"/>
    <cellStyle name="Normal 2 2 4 20 8" xfId="23342" xr:uid="{00000000-0005-0000-0000-00000C5B0000}"/>
    <cellStyle name="Normal 2 2 4 20 9" xfId="23343" xr:uid="{00000000-0005-0000-0000-00000D5B0000}"/>
    <cellStyle name="Normal 2 2 4 21" xfId="23344" xr:uid="{00000000-0005-0000-0000-00000E5B0000}"/>
    <cellStyle name="Normal 2 2 4 21 10" xfId="23345" xr:uid="{00000000-0005-0000-0000-00000F5B0000}"/>
    <cellStyle name="Normal 2 2 4 21 11" xfId="23346" xr:uid="{00000000-0005-0000-0000-0000105B0000}"/>
    <cellStyle name="Normal 2 2 4 21 12" xfId="23347" xr:uid="{00000000-0005-0000-0000-0000115B0000}"/>
    <cellStyle name="Normal 2 2 4 21 13" xfId="23348" xr:uid="{00000000-0005-0000-0000-0000125B0000}"/>
    <cellStyle name="Normal 2 2 4 21 14" xfId="23349" xr:uid="{00000000-0005-0000-0000-0000135B0000}"/>
    <cellStyle name="Normal 2 2 4 21 2" xfId="23350" xr:uid="{00000000-0005-0000-0000-0000145B0000}"/>
    <cellStyle name="Normal 2 2 4 21 2 10" xfId="23351" xr:uid="{00000000-0005-0000-0000-0000155B0000}"/>
    <cellStyle name="Normal 2 2 4 21 2 2" xfId="23352" xr:uid="{00000000-0005-0000-0000-0000165B0000}"/>
    <cellStyle name="Normal 2 2 4 21 2 3" xfId="23353" xr:uid="{00000000-0005-0000-0000-0000175B0000}"/>
    <cellStyle name="Normal 2 2 4 21 2 4" xfId="23354" xr:uid="{00000000-0005-0000-0000-0000185B0000}"/>
    <cellStyle name="Normal 2 2 4 21 2 5" xfId="23355" xr:uid="{00000000-0005-0000-0000-0000195B0000}"/>
    <cellStyle name="Normal 2 2 4 21 2 6" xfId="23356" xr:uid="{00000000-0005-0000-0000-00001A5B0000}"/>
    <cellStyle name="Normal 2 2 4 21 2 7" xfId="23357" xr:uid="{00000000-0005-0000-0000-00001B5B0000}"/>
    <cellStyle name="Normal 2 2 4 21 2 8" xfId="23358" xr:uid="{00000000-0005-0000-0000-00001C5B0000}"/>
    <cellStyle name="Normal 2 2 4 21 2 9" xfId="23359" xr:uid="{00000000-0005-0000-0000-00001D5B0000}"/>
    <cellStyle name="Normal 2 2 4 21 3" xfId="23360" xr:uid="{00000000-0005-0000-0000-00001E5B0000}"/>
    <cellStyle name="Normal 2 2 4 21 3 10" xfId="23361" xr:uid="{00000000-0005-0000-0000-00001F5B0000}"/>
    <cellStyle name="Normal 2 2 4 21 3 2" xfId="23362" xr:uid="{00000000-0005-0000-0000-0000205B0000}"/>
    <cellStyle name="Normal 2 2 4 21 3 3" xfId="23363" xr:uid="{00000000-0005-0000-0000-0000215B0000}"/>
    <cellStyle name="Normal 2 2 4 21 3 4" xfId="23364" xr:uid="{00000000-0005-0000-0000-0000225B0000}"/>
    <cellStyle name="Normal 2 2 4 21 3 5" xfId="23365" xr:uid="{00000000-0005-0000-0000-0000235B0000}"/>
    <cellStyle name="Normal 2 2 4 21 3 6" xfId="23366" xr:uid="{00000000-0005-0000-0000-0000245B0000}"/>
    <cellStyle name="Normal 2 2 4 21 3 7" xfId="23367" xr:uid="{00000000-0005-0000-0000-0000255B0000}"/>
    <cellStyle name="Normal 2 2 4 21 3 8" xfId="23368" xr:uid="{00000000-0005-0000-0000-0000265B0000}"/>
    <cellStyle name="Normal 2 2 4 21 3 9" xfId="23369" xr:uid="{00000000-0005-0000-0000-0000275B0000}"/>
    <cellStyle name="Normal 2 2 4 21 4" xfId="23370" xr:uid="{00000000-0005-0000-0000-0000285B0000}"/>
    <cellStyle name="Normal 2 2 4 21 4 10" xfId="23371" xr:uid="{00000000-0005-0000-0000-0000295B0000}"/>
    <cellStyle name="Normal 2 2 4 21 4 2" xfId="23372" xr:uid="{00000000-0005-0000-0000-00002A5B0000}"/>
    <cellStyle name="Normal 2 2 4 21 4 3" xfId="23373" xr:uid="{00000000-0005-0000-0000-00002B5B0000}"/>
    <cellStyle name="Normal 2 2 4 21 4 4" xfId="23374" xr:uid="{00000000-0005-0000-0000-00002C5B0000}"/>
    <cellStyle name="Normal 2 2 4 21 4 5" xfId="23375" xr:uid="{00000000-0005-0000-0000-00002D5B0000}"/>
    <cellStyle name="Normal 2 2 4 21 4 6" xfId="23376" xr:uid="{00000000-0005-0000-0000-00002E5B0000}"/>
    <cellStyle name="Normal 2 2 4 21 4 7" xfId="23377" xr:uid="{00000000-0005-0000-0000-00002F5B0000}"/>
    <cellStyle name="Normal 2 2 4 21 4 8" xfId="23378" xr:uid="{00000000-0005-0000-0000-0000305B0000}"/>
    <cellStyle name="Normal 2 2 4 21 4 9" xfId="23379" xr:uid="{00000000-0005-0000-0000-0000315B0000}"/>
    <cellStyle name="Normal 2 2 4 21 5" xfId="23380" xr:uid="{00000000-0005-0000-0000-0000325B0000}"/>
    <cellStyle name="Normal 2 2 4 21 5 10" xfId="23381" xr:uid="{00000000-0005-0000-0000-0000335B0000}"/>
    <cellStyle name="Normal 2 2 4 21 5 2" xfId="23382" xr:uid="{00000000-0005-0000-0000-0000345B0000}"/>
    <cellStyle name="Normal 2 2 4 21 5 3" xfId="23383" xr:uid="{00000000-0005-0000-0000-0000355B0000}"/>
    <cellStyle name="Normal 2 2 4 21 5 4" xfId="23384" xr:uid="{00000000-0005-0000-0000-0000365B0000}"/>
    <cellStyle name="Normal 2 2 4 21 5 5" xfId="23385" xr:uid="{00000000-0005-0000-0000-0000375B0000}"/>
    <cellStyle name="Normal 2 2 4 21 5 6" xfId="23386" xr:uid="{00000000-0005-0000-0000-0000385B0000}"/>
    <cellStyle name="Normal 2 2 4 21 5 7" xfId="23387" xr:uid="{00000000-0005-0000-0000-0000395B0000}"/>
    <cellStyle name="Normal 2 2 4 21 5 8" xfId="23388" xr:uid="{00000000-0005-0000-0000-00003A5B0000}"/>
    <cellStyle name="Normal 2 2 4 21 5 9" xfId="23389" xr:uid="{00000000-0005-0000-0000-00003B5B0000}"/>
    <cellStyle name="Normal 2 2 4 21 6" xfId="23390" xr:uid="{00000000-0005-0000-0000-00003C5B0000}"/>
    <cellStyle name="Normal 2 2 4 21 7" xfId="23391" xr:uid="{00000000-0005-0000-0000-00003D5B0000}"/>
    <cellStyle name="Normal 2 2 4 21 8" xfId="23392" xr:uid="{00000000-0005-0000-0000-00003E5B0000}"/>
    <cellStyle name="Normal 2 2 4 21 9" xfId="23393" xr:uid="{00000000-0005-0000-0000-00003F5B0000}"/>
    <cellStyle name="Normal 2 2 4 22" xfId="23394" xr:uid="{00000000-0005-0000-0000-0000405B0000}"/>
    <cellStyle name="Normal 2 2 4 22 10" xfId="23395" xr:uid="{00000000-0005-0000-0000-0000415B0000}"/>
    <cellStyle name="Normal 2 2 4 22 11" xfId="23396" xr:uid="{00000000-0005-0000-0000-0000425B0000}"/>
    <cellStyle name="Normal 2 2 4 22 12" xfId="23397" xr:uid="{00000000-0005-0000-0000-0000435B0000}"/>
    <cellStyle name="Normal 2 2 4 22 13" xfId="23398" xr:uid="{00000000-0005-0000-0000-0000445B0000}"/>
    <cellStyle name="Normal 2 2 4 22 14" xfId="23399" xr:uid="{00000000-0005-0000-0000-0000455B0000}"/>
    <cellStyle name="Normal 2 2 4 22 2" xfId="23400" xr:uid="{00000000-0005-0000-0000-0000465B0000}"/>
    <cellStyle name="Normal 2 2 4 22 2 10" xfId="23401" xr:uid="{00000000-0005-0000-0000-0000475B0000}"/>
    <cellStyle name="Normal 2 2 4 22 2 2" xfId="23402" xr:uid="{00000000-0005-0000-0000-0000485B0000}"/>
    <cellStyle name="Normal 2 2 4 22 2 3" xfId="23403" xr:uid="{00000000-0005-0000-0000-0000495B0000}"/>
    <cellStyle name="Normal 2 2 4 22 2 4" xfId="23404" xr:uid="{00000000-0005-0000-0000-00004A5B0000}"/>
    <cellStyle name="Normal 2 2 4 22 2 5" xfId="23405" xr:uid="{00000000-0005-0000-0000-00004B5B0000}"/>
    <cellStyle name="Normal 2 2 4 22 2 6" xfId="23406" xr:uid="{00000000-0005-0000-0000-00004C5B0000}"/>
    <cellStyle name="Normal 2 2 4 22 2 7" xfId="23407" xr:uid="{00000000-0005-0000-0000-00004D5B0000}"/>
    <cellStyle name="Normal 2 2 4 22 2 8" xfId="23408" xr:uid="{00000000-0005-0000-0000-00004E5B0000}"/>
    <cellStyle name="Normal 2 2 4 22 2 9" xfId="23409" xr:uid="{00000000-0005-0000-0000-00004F5B0000}"/>
    <cellStyle name="Normal 2 2 4 22 3" xfId="23410" xr:uid="{00000000-0005-0000-0000-0000505B0000}"/>
    <cellStyle name="Normal 2 2 4 22 3 10" xfId="23411" xr:uid="{00000000-0005-0000-0000-0000515B0000}"/>
    <cellStyle name="Normal 2 2 4 22 3 2" xfId="23412" xr:uid="{00000000-0005-0000-0000-0000525B0000}"/>
    <cellStyle name="Normal 2 2 4 22 3 3" xfId="23413" xr:uid="{00000000-0005-0000-0000-0000535B0000}"/>
    <cellStyle name="Normal 2 2 4 22 3 4" xfId="23414" xr:uid="{00000000-0005-0000-0000-0000545B0000}"/>
    <cellStyle name="Normal 2 2 4 22 3 5" xfId="23415" xr:uid="{00000000-0005-0000-0000-0000555B0000}"/>
    <cellStyle name="Normal 2 2 4 22 3 6" xfId="23416" xr:uid="{00000000-0005-0000-0000-0000565B0000}"/>
    <cellStyle name="Normal 2 2 4 22 3 7" xfId="23417" xr:uid="{00000000-0005-0000-0000-0000575B0000}"/>
    <cellStyle name="Normal 2 2 4 22 3 8" xfId="23418" xr:uid="{00000000-0005-0000-0000-0000585B0000}"/>
    <cellStyle name="Normal 2 2 4 22 3 9" xfId="23419" xr:uid="{00000000-0005-0000-0000-0000595B0000}"/>
    <cellStyle name="Normal 2 2 4 22 4" xfId="23420" xr:uid="{00000000-0005-0000-0000-00005A5B0000}"/>
    <cellStyle name="Normal 2 2 4 22 4 10" xfId="23421" xr:uid="{00000000-0005-0000-0000-00005B5B0000}"/>
    <cellStyle name="Normal 2 2 4 22 4 2" xfId="23422" xr:uid="{00000000-0005-0000-0000-00005C5B0000}"/>
    <cellStyle name="Normal 2 2 4 22 4 3" xfId="23423" xr:uid="{00000000-0005-0000-0000-00005D5B0000}"/>
    <cellStyle name="Normal 2 2 4 22 4 4" xfId="23424" xr:uid="{00000000-0005-0000-0000-00005E5B0000}"/>
    <cellStyle name="Normal 2 2 4 22 4 5" xfId="23425" xr:uid="{00000000-0005-0000-0000-00005F5B0000}"/>
    <cellStyle name="Normal 2 2 4 22 4 6" xfId="23426" xr:uid="{00000000-0005-0000-0000-0000605B0000}"/>
    <cellStyle name="Normal 2 2 4 22 4 7" xfId="23427" xr:uid="{00000000-0005-0000-0000-0000615B0000}"/>
    <cellStyle name="Normal 2 2 4 22 4 8" xfId="23428" xr:uid="{00000000-0005-0000-0000-0000625B0000}"/>
    <cellStyle name="Normal 2 2 4 22 4 9" xfId="23429" xr:uid="{00000000-0005-0000-0000-0000635B0000}"/>
    <cellStyle name="Normal 2 2 4 22 5" xfId="23430" xr:uid="{00000000-0005-0000-0000-0000645B0000}"/>
    <cellStyle name="Normal 2 2 4 22 5 10" xfId="23431" xr:uid="{00000000-0005-0000-0000-0000655B0000}"/>
    <cellStyle name="Normal 2 2 4 22 5 2" xfId="23432" xr:uid="{00000000-0005-0000-0000-0000665B0000}"/>
    <cellStyle name="Normal 2 2 4 22 5 3" xfId="23433" xr:uid="{00000000-0005-0000-0000-0000675B0000}"/>
    <cellStyle name="Normal 2 2 4 22 5 4" xfId="23434" xr:uid="{00000000-0005-0000-0000-0000685B0000}"/>
    <cellStyle name="Normal 2 2 4 22 5 5" xfId="23435" xr:uid="{00000000-0005-0000-0000-0000695B0000}"/>
    <cellStyle name="Normal 2 2 4 22 5 6" xfId="23436" xr:uid="{00000000-0005-0000-0000-00006A5B0000}"/>
    <cellStyle name="Normal 2 2 4 22 5 7" xfId="23437" xr:uid="{00000000-0005-0000-0000-00006B5B0000}"/>
    <cellStyle name="Normal 2 2 4 22 5 8" xfId="23438" xr:uid="{00000000-0005-0000-0000-00006C5B0000}"/>
    <cellStyle name="Normal 2 2 4 22 5 9" xfId="23439" xr:uid="{00000000-0005-0000-0000-00006D5B0000}"/>
    <cellStyle name="Normal 2 2 4 22 6" xfId="23440" xr:uid="{00000000-0005-0000-0000-00006E5B0000}"/>
    <cellStyle name="Normal 2 2 4 22 7" xfId="23441" xr:uid="{00000000-0005-0000-0000-00006F5B0000}"/>
    <cellStyle name="Normal 2 2 4 22 8" xfId="23442" xr:uid="{00000000-0005-0000-0000-0000705B0000}"/>
    <cellStyle name="Normal 2 2 4 22 9" xfId="23443" xr:uid="{00000000-0005-0000-0000-0000715B0000}"/>
    <cellStyle name="Normal 2 2 4 23" xfId="23444" xr:uid="{00000000-0005-0000-0000-0000725B0000}"/>
    <cellStyle name="Normal 2 2 4 23 10" xfId="23445" xr:uid="{00000000-0005-0000-0000-0000735B0000}"/>
    <cellStyle name="Normal 2 2 4 23 11" xfId="23446" xr:uid="{00000000-0005-0000-0000-0000745B0000}"/>
    <cellStyle name="Normal 2 2 4 23 12" xfId="23447" xr:uid="{00000000-0005-0000-0000-0000755B0000}"/>
    <cellStyle name="Normal 2 2 4 23 13" xfId="23448" xr:uid="{00000000-0005-0000-0000-0000765B0000}"/>
    <cellStyle name="Normal 2 2 4 23 14" xfId="23449" xr:uid="{00000000-0005-0000-0000-0000775B0000}"/>
    <cellStyle name="Normal 2 2 4 23 2" xfId="23450" xr:uid="{00000000-0005-0000-0000-0000785B0000}"/>
    <cellStyle name="Normal 2 2 4 23 2 10" xfId="23451" xr:uid="{00000000-0005-0000-0000-0000795B0000}"/>
    <cellStyle name="Normal 2 2 4 23 2 2" xfId="23452" xr:uid="{00000000-0005-0000-0000-00007A5B0000}"/>
    <cellStyle name="Normal 2 2 4 23 2 3" xfId="23453" xr:uid="{00000000-0005-0000-0000-00007B5B0000}"/>
    <cellStyle name="Normal 2 2 4 23 2 4" xfId="23454" xr:uid="{00000000-0005-0000-0000-00007C5B0000}"/>
    <cellStyle name="Normal 2 2 4 23 2 5" xfId="23455" xr:uid="{00000000-0005-0000-0000-00007D5B0000}"/>
    <cellStyle name="Normal 2 2 4 23 2 6" xfId="23456" xr:uid="{00000000-0005-0000-0000-00007E5B0000}"/>
    <cellStyle name="Normal 2 2 4 23 2 7" xfId="23457" xr:uid="{00000000-0005-0000-0000-00007F5B0000}"/>
    <cellStyle name="Normal 2 2 4 23 2 8" xfId="23458" xr:uid="{00000000-0005-0000-0000-0000805B0000}"/>
    <cellStyle name="Normal 2 2 4 23 2 9" xfId="23459" xr:uid="{00000000-0005-0000-0000-0000815B0000}"/>
    <cellStyle name="Normal 2 2 4 23 3" xfId="23460" xr:uid="{00000000-0005-0000-0000-0000825B0000}"/>
    <cellStyle name="Normal 2 2 4 23 3 10" xfId="23461" xr:uid="{00000000-0005-0000-0000-0000835B0000}"/>
    <cellStyle name="Normal 2 2 4 23 3 2" xfId="23462" xr:uid="{00000000-0005-0000-0000-0000845B0000}"/>
    <cellStyle name="Normal 2 2 4 23 3 3" xfId="23463" xr:uid="{00000000-0005-0000-0000-0000855B0000}"/>
    <cellStyle name="Normal 2 2 4 23 3 4" xfId="23464" xr:uid="{00000000-0005-0000-0000-0000865B0000}"/>
    <cellStyle name="Normal 2 2 4 23 3 5" xfId="23465" xr:uid="{00000000-0005-0000-0000-0000875B0000}"/>
    <cellStyle name="Normal 2 2 4 23 3 6" xfId="23466" xr:uid="{00000000-0005-0000-0000-0000885B0000}"/>
    <cellStyle name="Normal 2 2 4 23 3 7" xfId="23467" xr:uid="{00000000-0005-0000-0000-0000895B0000}"/>
    <cellStyle name="Normal 2 2 4 23 3 8" xfId="23468" xr:uid="{00000000-0005-0000-0000-00008A5B0000}"/>
    <cellStyle name="Normal 2 2 4 23 3 9" xfId="23469" xr:uid="{00000000-0005-0000-0000-00008B5B0000}"/>
    <cellStyle name="Normal 2 2 4 23 4" xfId="23470" xr:uid="{00000000-0005-0000-0000-00008C5B0000}"/>
    <cellStyle name="Normal 2 2 4 23 4 10" xfId="23471" xr:uid="{00000000-0005-0000-0000-00008D5B0000}"/>
    <cellStyle name="Normal 2 2 4 23 4 2" xfId="23472" xr:uid="{00000000-0005-0000-0000-00008E5B0000}"/>
    <cellStyle name="Normal 2 2 4 23 4 3" xfId="23473" xr:uid="{00000000-0005-0000-0000-00008F5B0000}"/>
    <cellStyle name="Normal 2 2 4 23 4 4" xfId="23474" xr:uid="{00000000-0005-0000-0000-0000905B0000}"/>
    <cellStyle name="Normal 2 2 4 23 4 5" xfId="23475" xr:uid="{00000000-0005-0000-0000-0000915B0000}"/>
    <cellStyle name="Normal 2 2 4 23 4 6" xfId="23476" xr:uid="{00000000-0005-0000-0000-0000925B0000}"/>
    <cellStyle name="Normal 2 2 4 23 4 7" xfId="23477" xr:uid="{00000000-0005-0000-0000-0000935B0000}"/>
    <cellStyle name="Normal 2 2 4 23 4 8" xfId="23478" xr:uid="{00000000-0005-0000-0000-0000945B0000}"/>
    <cellStyle name="Normal 2 2 4 23 4 9" xfId="23479" xr:uid="{00000000-0005-0000-0000-0000955B0000}"/>
    <cellStyle name="Normal 2 2 4 23 5" xfId="23480" xr:uid="{00000000-0005-0000-0000-0000965B0000}"/>
    <cellStyle name="Normal 2 2 4 23 5 10" xfId="23481" xr:uid="{00000000-0005-0000-0000-0000975B0000}"/>
    <cellStyle name="Normal 2 2 4 23 5 2" xfId="23482" xr:uid="{00000000-0005-0000-0000-0000985B0000}"/>
    <cellStyle name="Normal 2 2 4 23 5 3" xfId="23483" xr:uid="{00000000-0005-0000-0000-0000995B0000}"/>
    <cellStyle name="Normal 2 2 4 23 5 4" xfId="23484" xr:uid="{00000000-0005-0000-0000-00009A5B0000}"/>
    <cellStyle name="Normal 2 2 4 23 5 5" xfId="23485" xr:uid="{00000000-0005-0000-0000-00009B5B0000}"/>
    <cellStyle name="Normal 2 2 4 23 5 6" xfId="23486" xr:uid="{00000000-0005-0000-0000-00009C5B0000}"/>
    <cellStyle name="Normal 2 2 4 23 5 7" xfId="23487" xr:uid="{00000000-0005-0000-0000-00009D5B0000}"/>
    <cellStyle name="Normal 2 2 4 23 5 8" xfId="23488" xr:uid="{00000000-0005-0000-0000-00009E5B0000}"/>
    <cellStyle name="Normal 2 2 4 23 5 9" xfId="23489" xr:uid="{00000000-0005-0000-0000-00009F5B0000}"/>
    <cellStyle name="Normal 2 2 4 23 6" xfId="23490" xr:uid="{00000000-0005-0000-0000-0000A05B0000}"/>
    <cellStyle name="Normal 2 2 4 23 7" xfId="23491" xr:uid="{00000000-0005-0000-0000-0000A15B0000}"/>
    <cellStyle name="Normal 2 2 4 23 8" xfId="23492" xr:uid="{00000000-0005-0000-0000-0000A25B0000}"/>
    <cellStyle name="Normal 2 2 4 23 9" xfId="23493" xr:uid="{00000000-0005-0000-0000-0000A35B0000}"/>
    <cellStyle name="Normal 2 2 4 24" xfId="23494" xr:uid="{00000000-0005-0000-0000-0000A45B0000}"/>
    <cellStyle name="Normal 2 2 4 24 10" xfId="23495" xr:uid="{00000000-0005-0000-0000-0000A55B0000}"/>
    <cellStyle name="Normal 2 2 4 24 11" xfId="23496" xr:uid="{00000000-0005-0000-0000-0000A65B0000}"/>
    <cellStyle name="Normal 2 2 4 24 12" xfId="23497" xr:uid="{00000000-0005-0000-0000-0000A75B0000}"/>
    <cellStyle name="Normal 2 2 4 24 13" xfId="23498" xr:uid="{00000000-0005-0000-0000-0000A85B0000}"/>
    <cellStyle name="Normal 2 2 4 24 14" xfId="23499" xr:uid="{00000000-0005-0000-0000-0000A95B0000}"/>
    <cellStyle name="Normal 2 2 4 24 2" xfId="23500" xr:uid="{00000000-0005-0000-0000-0000AA5B0000}"/>
    <cellStyle name="Normal 2 2 4 24 2 10" xfId="23501" xr:uid="{00000000-0005-0000-0000-0000AB5B0000}"/>
    <cellStyle name="Normal 2 2 4 24 2 2" xfId="23502" xr:uid="{00000000-0005-0000-0000-0000AC5B0000}"/>
    <cellStyle name="Normal 2 2 4 24 2 3" xfId="23503" xr:uid="{00000000-0005-0000-0000-0000AD5B0000}"/>
    <cellStyle name="Normal 2 2 4 24 2 4" xfId="23504" xr:uid="{00000000-0005-0000-0000-0000AE5B0000}"/>
    <cellStyle name="Normal 2 2 4 24 2 5" xfId="23505" xr:uid="{00000000-0005-0000-0000-0000AF5B0000}"/>
    <cellStyle name="Normal 2 2 4 24 2 6" xfId="23506" xr:uid="{00000000-0005-0000-0000-0000B05B0000}"/>
    <cellStyle name="Normal 2 2 4 24 2 7" xfId="23507" xr:uid="{00000000-0005-0000-0000-0000B15B0000}"/>
    <cellStyle name="Normal 2 2 4 24 2 8" xfId="23508" xr:uid="{00000000-0005-0000-0000-0000B25B0000}"/>
    <cellStyle name="Normal 2 2 4 24 2 9" xfId="23509" xr:uid="{00000000-0005-0000-0000-0000B35B0000}"/>
    <cellStyle name="Normal 2 2 4 24 3" xfId="23510" xr:uid="{00000000-0005-0000-0000-0000B45B0000}"/>
    <cellStyle name="Normal 2 2 4 24 3 10" xfId="23511" xr:uid="{00000000-0005-0000-0000-0000B55B0000}"/>
    <cellStyle name="Normal 2 2 4 24 3 2" xfId="23512" xr:uid="{00000000-0005-0000-0000-0000B65B0000}"/>
    <cellStyle name="Normal 2 2 4 24 3 3" xfId="23513" xr:uid="{00000000-0005-0000-0000-0000B75B0000}"/>
    <cellStyle name="Normal 2 2 4 24 3 4" xfId="23514" xr:uid="{00000000-0005-0000-0000-0000B85B0000}"/>
    <cellStyle name="Normal 2 2 4 24 3 5" xfId="23515" xr:uid="{00000000-0005-0000-0000-0000B95B0000}"/>
    <cellStyle name="Normal 2 2 4 24 3 6" xfId="23516" xr:uid="{00000000-0005-0000-0000-0000BA5B0000}"/>
    <cellStyle name="Normal 2 2 4 24 3 7" xfId="23517" xr:uid="{00000000-0005-0000-0000-0000BB5B0000}"/>
    <cellStyle name="Normal 2 2 4 24 3 8" xfId="23518" xr:uid="{00000000-0005-0000-0000-0000BC5B0000}"/>
    <cellStyle name="Normal 2 2 4 24 3 9" xfId="23519" xr:uid="{00000000-0005-0000-0000-0000BD5B0000}"/>
    <cellStyle name="Normal 2 2 4 24 4" xfId="23520" xr:uid="{00000000-0005-0000-0000-0000BE5B0000}"/>
    <cellStyle name="Normal 2 2 4 24 4 10" xfId="23521" xr:uid="{00000000-0005-0000-0000-0000BF5B0000}"/>
    <cellStyle name="Normal 2 2 4 24 4 2" xfId="23522" xr:uid="{00000000-0005-0000-0000-0000C05B0000}"/>
    <cellStyle name="Normal 2 2 4 24 4 3" xfId="23523" xr:uid="{00000000-0005-0000-0000-0000C15B0000}"/>
    <cellStyle name="Normal 2 2 4 24 4 4" xfId="23524" xr:uid="{00000000-0005-0000-0000-0000C25B0000}"/>
    <cellStyle name="Normal 2 2 4 24 4 5" xfId="23525" xr:uid="{00000000-0005-0000-0000-0000C35B0000}"/>
    <cellStyle name="Normal 2 2 4 24 4 6" xfId="23526" xr:uid="{00000000-0005-0000-0000-0000C45B0000}"/>
    <cellStyle name="Normal 2 2 4 24 4 7" xfId="23527" xr:uid="{00000000-0005-0000-0000-0000C55B0000}"/>
    <cellStyle name="Normal 2 2 4 24 4 8" xfId="23528" xr:uid="{00000000-0005-0000-0000-0000C65B0000}"/>
    <cellStyle name="Normal 2 2 4 24 4 9" xfId="23529" xr:uid="{00000000-0005-0000-0000-0000C75B0000}"/>
    <cellStyle name="Normal 2 2 4 24 5" xfId="23530" xr:uid="{00000000-0005-0000-0000-0000C85B0000}"/>
    <cellStyle name="Normal 2 2 4 24 5 10" xfId="23531" xr:uid="{00000000-0005-0000-0000-0000C95B0000}"/>
    <cellStyle name="Normal 2 2 4 24 5 2" xfId="23532" xr:uid="{00000000-0005-0000-0000-0000CA5B0000}"/>
    <cellStyle name="Normal 2 2 4 24 5 3" xfId="23533" xr:uid="{00000000-0005-0000-0000-0000CB5B0000}"/>
    <cellStyle name="Normal 2 2 4 24 5 4" xfId="23534" xr:uid="{00000000-0005-0000-0000-0000CC5B0000}"/>
    <cellStyle name="Normal 2 2 4 24 5 5" xfId="23535" xr:uid="{00000000-0005-0000-0000-0000CD5B0000}"/>
    <cellStyle name="Normal 2 2 4 24 5 6" xfId="23536" xr:uid="{00000000-0005-0000-0000-0000CE5B0000}"/>
    <cellStyle name="Normal 2 2 4 24 5 7" xfId="23537" xr:uid="{00000000-0005-0000-0000-0000CF5B0000}"/>
    <cellStyle name="Normal 2 2 4 24 5 8" xfId="23538" xr:uid="{00000000-0005-0000-0000-0000D05B0000}"/>
    <cellStyle name="Normal 2 2 4 24 5 9" xfId="23539" xr:uid="{00000000-0005-0000-0000-0000D15B0000}"/>
    <cellStyle name="Normal 2 2 4 24 6" xfId="23540" xr:uid="{00000000-0005-0000-0000-0000D25B0000}"/>
    <cellStyle name="Normal 2 2 4 24 7" xfId="23541" xr:uid="{00000000-0005-0000-0000-0000D35B0000}"/>
    <cellStyle name="Normal 2 2 4 24 8" xfId="23542" xr:uid="{00000000-0005-0000-0000-0000D45B0000}"/>
    <cellStyle name="Normal 2 2 4 24 9" xfId="23543" xr:uid="{00000000-0005-0000-0000-0000D55B0000}"/>
    <cellStyle name="Normal 2 2 4 25" xfId="23544" xr:uid="{00000000-0005-0000-0000-0000D65B0000}"/>
    <cellStyle name="Normal 2 2 4 25 10" xfId="23545" xr:uid="{00000000-0005-0000-0000-0000D75B0000}"/>
    <cellStyle name="Normal 2 2 4 25 11" xfId="23546" xr:uid="{00000000-0005-0000-0000-0000D85B0000}"/>
    <cellStyle name="Normal 2 2 4 25 12" xfId="23547" xr:uid="{00000000-0005-0000-0000-0000D95B0000}"/>
    <cellStyle name="Normal 2 2 4 25 13" xfId="23548" xr:uid="{00000000-0005-0000-0000-0000DA5B0000}"/>
    <cellStyle name="Normal 2 2 4 25 14" xfId="23549" xr:uid="{00000000-0005-0000-0000-0000DB5B0000}"/>
    <cellStyle name="Normal 2 2 4 25 2" xfId="23550" xr:uid="{00000000-0005-0000-0000-0000DC5B0000}"/>
    <cellStyle name="Normal 2 2 4 25 2 10" xfId="23551" xr:uid="{00000000-0005-0000-0000-0000DD5B0000}"/>
    <cellStyle name="Normal 2 2 4 25 2 2" xfId="23552" xr:uid="{00000000-0005-0000-0000-0000DE5B0000}"/>
    <cellStyle name="Normal 2 2 4 25 2 3" xfId="23553" xr:uid="{00000000-0005-0000-0000-0000DF5B0000}"/>
    <cellStyle name="Normal 2 2 4 25 2 4" xfId="23554" xr:uid="{00000000-0005-0000-0000-0000E05B0000}"/>
    <cellStyle name="Normal 2 2 4 25 2 5" xfId="23555" xr:uid="{00000000-0005-0000-0000-0000E15B0000}"/>
    <cellStyle name="Normal 2 2 4 25 2 6" xfId="23556" xr:uid="{00000000-0005-0000-0000-0000E25B0000}"/>
    <cellStyle name="Normal 2 2 4 25 2 7" xfId="23557" xr:uid="{00000000-0005-0000-0000-0000E35B0000}"/>
    <cellStyle name="Normal 2 2 4 25 2 8" xfId="23558" xr:uid="{00000000-0005-0000-0000-0000E45B0000}"/>
    <cellStyle name="Normal 2 2 4 25 2 9" xfId="23559" xr:uid="{00000000-0005-0000-0000-0000E55B0000}"/>
    <cellStyle name="Normal 2 2 4 25 3" xfId="23560" xr:uid="{00000000-0005-0000-0000-0000E65B0000}"/>
    <cellStyle name="Normal 2 2 4 25 3 10" xfId="23561" xr:uid="{00000000-0005-0000-0000-0000E75B0000}"/>
    <cellStyle name="Normal 2 2 4 25 3 2" xfId="23562" xr:uid="{00000000-0005-0000-0000-0000E85B0000}"/>
    <cellStyle name="Normal 2 2 4 25 3 3" xfId="23563" xr:uid="{00000000-0005-0000-0000-0000E95B0000}"/>
    <cellStyle name="Normal 2 2 4 25 3 4" xfId="23564" xr:uid="{00000000-0005-0000-0000-0000EA5B0000}"/>
    <cellStyle name="Normal 2 2 4 25 3 5" xfId="23565" xr:uid="{00000000-0005-0000-0000-0000EB5B0000}"/>
    <cellStyle name="Normal 2 2 4 25 3 6" xfId="23566" xr:uid="{00000000-0005-0000-0000-0000EC5B0000}"/>
    <cellStyle name="Normal 2 2 4 25 3 7" xfId="23567" xr:uid="{00000000-0005-0000-0000-0000ED5B0000}"/>
    <cellStyle name="Normal 2 2 4 25 3 8" xfId="23568" xr:uid="{00000000-0005-0000-0000-0000EE5B0000}"/>
    <cellStyle name="Normal 2 2 4 25 3 9" xfId="23569" xr:uid="{00000000-0005-0000-0000-0000EF5B0000}"/>
    <cellStyle name="Normal 2 2 4 25 4" xfId="23570" xr:uid="{00000000-0005-0000-0000-0000F05B0000}"/>
    <cellStyle name="Normal 2 2 4 25 4 10" xfId="23571" xr:uid="{00000000-0005-0000-0000-0000F15B0000}"/>
    <cellStyle name="Normal 2 2 4 25 4 2" xfId="23572" xr:uid="{00000000-0005-0000-0000-0000F25B0000}"/>
    <cellStyle name="Normal 2 2 4 25 4 3" xfId="23573" xr:uid="{00000000-0005-0000-0000-0000F35B0000}"/>
    <cellStyle name="Normal 2 2 4 25 4 4" xfId="23574" xr:uid="{00000000-0005-0000-0000-0000F45B0000}"/>
    <cellStyle name="Normal 2 2 4 25 4 5" xfId="23575" xr:uid="{00000000-0005-0000-0000-0000F55B0000}"/>
    <cellStyle name="Normal 2 2 4 25 4 6" xfId="23576" xr:uid="{00000000-0005-0000-0000-0000F65B0000}"/>
    <cellStyle name="Normal 2 2 4 25 4 7" xfId="23577" xr:uid="{00000000-0005-0000-0000-0000F75B0000}"/>
    <cellStyle name="Normal 2 2 4 25 4 8" xfId="23578" xr:uid="{00000000-0005-0000-0000-0000F85B0000}"/>
    <cellStyle name="Normal 2 2 4 25 4 9" xfId="23579" xr:uid="{00000000-0005-0000-0000-0000F95B0000}"/>
    <cellStyle name="Normal 2 2 4 25 5" xfId="23580" xr:uid="{00000000-0005-0000-0000-0000FA5B0000}"/>
    <cellStyle name="Normal 2 2 4 25 5 10" xfId="23581" xr:uid="{00000000-0005-0000-0000-0000FB5B0000}"/>
    <cellStyle name="Normal 2 2 4 25 5 2" xfId="23582" xr:uid="{00000000-0005-0000-0000-0000FC5B0000}"/>
    <cellStyle name="Normal 2 2 4 25 5 3" xfId="23583" xr:uid="{00000000-0005-0000-0000-0000FD5B0000}"/>
    <cellStyle name="Normal 2 2 4 25 5 4" xfId="23584" xr:uid="{00000000-0005-0000-0000-0000FE5B0000}"/>
    <cellStyle name="Normal 2 2 4 25 5 5" xfId="23585" xr:uid="{00000000-0005-0000-0000-0000FF5B0000}"/>
    <cellStyle name="Normal 2 2 4 25 5 6" xfId="23586" xr:uid="{00000000-0005-0000-0000-0000005C0000}"/>
    <cellStyle name="Normal 2 2 4 25 5 7" xfId="23587" xr:uid="{00000000-0005-0000-0000-0000015C0000}"/>
    <cellStyle name="Normal 2 2 4 25 5 8" xfId="23588" xr:uid="{00000000-0005-0000-0000-0000025C0000}"/>
    <cellStyle name="Normal 2 2 4 25 5 9" xfId="23589" xr:uid="{00000000-0005-0000-0000-0000035C0000}"/>
    <cellStyle name="Normal 2 2 4 25 6" xfId="23590" xr:uid="{00000000-0005-0000-0000-0000045C0000}"/>
    <cellStyle name="Normal 2 2 4 25 7" xfId="23591" xr:uid="{00000000-0005-0000-0000-0000055C0000}"/>
    <cellStyle name="Normal 2 2 4 25 8" xfId="23592" xr:uid="{00000000-0005-0000-0000-0000065C0000}"/>
    <cellStyle name="Normal 2 2 4 25 9" xfId="23593" xr:uid="{00000000-0005-0000-0000-0000075C0000}"/>
    <cellStyle name="Normal 2 2 4 26" xfId="23594" xr:uid="{00000000-0005-0000-0000-0000085C0000}"/>
    <cellStyle name="Normal 2 2 4 26 10" xfId="23595" xr:uid="{00000000-0005-0000-0000-0000095C0000}"/>
    <cellStyle name="Normal 2 2 4 26 11" xfId="23596" xr:uid="{00000000-0005-0000-0000-00000A5C0000}"/>
    <cellStyle name="Normal 2 2 4 26 12" xfId="23597" xr:uid="{00000000-0005-0000-0000-00000B5C0000}"/>
    <cellStyle name="Normal 2 2 4 26 13" xfId="23598" xr:uid="{00000000-0005-0000-0000-00000C5C0000}"/>
    <cellStyle name="Normal 2 2 4 26 14" xfId="23599" xr:uid="{00000000-0005-0000-0000-00000D5C0000}"/>
    <cellStyle name="Normal 2 2 4 26 2" xfId="23600" xr:uid="{00000000-0005-0000-0000-00000E5C0000}"/>
    <cellStyle name="Normal 2 2 4 26 2 10" xfId="23601" xr:uid="{00000000-0005-0000-0000-00000F5C0000}"/>
    <cellStyle name="Normal 2 2 4 26 2 2" xfId="23602" xr:uid="{00000000-0005-0000-0000-0000105C0000}"/>
    <cellStyle name="Normal 2 2 4 26 2 3" xfId="23603" xr:uid="{00000000-0005-0000-0000-0000115C0000}"/>
    <cellStyle name="Normal 2 2 4 26 2 4" xfId="23604" xr:uid="{00000000-0005-0000-0000-0000125C0000}"/>
    <cellStyle name="Normal 2 2 4 26 2 5" xfId="23605" xr:uid="{00000000-0005-0000-0000-0000135C0000}"/>
    <cellStyle name="Normal 2 2 4 26 2 6" xfId="23606" xr:uid="{00000000-0005-0000-0000-0000145C0000}"/>
    <cellStyle name="Normal 2 2 4 26 2 7" xfId="23607" xr:uid="{00000000-0005-0000-0000-0000155C0000}"/>
    <cellStyle name="Normal 2 2 4 26 2 8" xfId="23608" xr:uid="{00000000-0005-0000-0000-0000165C0000}"/>
    <cellStyle name="Normal 2 2 4 26 2 9" xfId="23609" xr:uid="{00000000-0005-0000-0000-0000175C0000}"/>
    <cellStyle name="Normal 2 2 4 26 3" xfId="23610" xr:uid="{00000000-0005-0000-0000-0000185C0000}"/>
    <cellStyle name="Normal 2 2 4 26 3 10" xfId="23611" xr:uid="{00000000-0005-0000-0000-0000195C0000}"/>
    <cellStyle name="Normal 2 2 4 26 3 2" xfId="23612" xr:uid="{00000000-0005-0000-0000-00001A5C0000}"/>
    <cellStyle name="Normal 2 2 4 26 3 3" xfId="23613" xr:uid="{00000000-0005-0000-0000-00001B5C0000}"/>
    <cellStyle name="Normal 2 2 4 26 3 4" xfId="23614" xr:uid="{00000000-0005-0000-0000-00001C5C0000}"/>
    <cellStyle name="Normal 2 2 4 26 3 5" xfId="23615" xr:uid="{00000000-0005-0000-0000-00001D5C0000}"/>
    <cellStyle name="Normal 2 2 4 26 3 6" xfId="23616" xr:uid="{00000000-0005-0000-0000-00001E5C0000}"/>
    <cellStyle name="Normal 2 2 4 26 3 7" xfId="23617" xr:uid="{00000000-0005-0000-0000-00001F5C0000}"/>
    <cellStyle name="Normal 2 2 4 26 3 8" xfId="23618" xr:uid="{00000000-0005-0000-0000-0000205C0000}"/>
    <cellStyle name="Normal 2 2 4 26 3 9" xfId="23619" xr:uid="{00000000-0005-0000-0000-0000215C0000}"/>
    <cellStyle name="Normal 2 2 4 26 4" xfId="23620" xr:uid="{00000000-0005-0000-0000-0000225C0000}"/>
    <cellStyle name="Normal 2 2 4 26 4 10" xfId="23621" xr:uid="{00000000-0005-0000-0000-0000235C0000}"/>
    <cellStyle name="Normal 2 2 4 26 4 2" xfId="23622" xr:uid="{00000000-0005-0000-0000-0000245C0000}"/>
    <cellStyle name="Normal 2 2 4 26 4 3" xfId="23623" xr:uid="{00000000-0005-0000-0000-0000255C0000}"/>
    <cellStyle name="Normal 2 2 4 26 4 4" xfId="23624" xr:uid="{00000000-0005-0000-0000-0000265C0000}"/>
    <cellStyle name="Normal 2 2 4 26 4 5" xfId="23625" xr:uid="{00000000-0005-0000-0000-0000275C0000}"/>
    <cellStyle name="Normal 2 2 4 26 4 6" xfId="23626" xr:uid="{00000000-0005-0000-0000-0000285C0000}"/>
    <cellStyle name="Normal 2 2 4 26 4 7" xfId="23627" xr:uid="{00000000-0005-0000-0000-0000295C0000}"/>
    <cellStyle name="Normal 2 2 4 26 4 8" xfId="23628" xr:uid="{00000000-0005-0000-0000-00002A5C0000}"/>
    <cellStyle name="Normal 2 2 4 26 4 9" xfId="23629" xr:uid="{00000000-0005-0000-0000-00002B5C0000}"/>
    <cellStyle name="Normal 2 2 4 26 5" xfId="23630" xr:uid="{00000000-0005-0000-0000-00002C5C0000}"/>
    <cellStyle name="Normal 2 2 4 26 5 10" xfId="23631" xr:uid="{00000000-0005-0000-0000-00002D5C0000}"/>
    <cellStyle name="Normal 2 2 4 26 5 2" xfId="23632" xr:uid="{00000000-0005-0000-0000-00002E5C0000}"/>
    <cellStyle name="Normal 2 2 4 26 5 3" xfId="23633" xr:uid="{00000000-0005-0000-0000-00002F5C0000}"/>
    <cellStyle name="Normal 2 2 4 26 5 4" xfId="23634" xr:uid="{00000000-0005-0000-0000-0000305C0000}"/>
    <cellStyle name="Normal 2 2 4 26 5 5" xfId="23635" xr:uid="{00000000-0005-0000-0000-0000315C0000}"/>
    <cellStyle name="Normal 2 2 4 26 5 6" xfId="23636" xr:uid="{00000000-0005-0000-0000-0000325C0000}"/>
    <cellStyle name="Normal 2 2 4 26 5 7" xfId="23637" xr:uid="{00000000-0005-0000-0000-0000335C0000}"/>
    <cellStyle name="Normal 2 2 4 26 5 8" xfId="23638" xr:uid="{00000000-0005-0000-0000-0000345C0000}"/>
    <cellStyle name="Normal 2 2 4 26 5 9" xfId="23639" xr:uid="{00000000-0005-0000-0000-0000355C0000}"/>
    <cellStyle name="Normal 2 2 4 26 6" xfId="23640" xr:uid="{00000000-0005-0000-0000-0000365C0000}"/>
    <cellStyle name="Normal 2 2 4 26 7" xfId="23641" xr:uid="{00000000-0005-0000-0000-0000375C0000}"/>
    <cellStyle name="Normal 2 2 4 26 8" xfId="23642" xr:uid="{00000000-0005-0000-0000-0000385C0000}"/>
    <cellStyle name="Normal 2 2 4 26 9" xfId="23643" xr:uid="{00000000-0005-0000-0000-0000395C0000}"/>
    <cellStyle name="Normal 2 2 4 27" xfId="23644" xr:uid="{00000000-0005-0000-0000-00003A5C0000}"/>
    <cellStyle name="Normal 2 2 4 27 10" xfId="23645" xr:uid="{00000000-0005-0000-0000-00003B5C0000}"/>
    <cellStyle name="Normal 2 2 4 27 11" xfId="23646" xr:uid="{00000000-0005-0000-0000-00003C5C0000}"/>
    <cellStyle name="Normal 2 2 4 27 12" xfId="23647" xr:uid="{00000000-0005-0000-0000-00003D5C0000}"/>
    <cellStyle name="Normal 2 2 4 27 13" xfId="23648" xr:uid="{00000000-0005-0000-0000-00003E5C0000}"/>
    <cellStyle name="Normal 2 2 4 27 14" xfId="23649" xr:uid="{00000000-0005-0000-0000-00003F5C0000}"/>
    <cellStyle name="Normal 2 2 4 27 2" xfId="23650" xr:uid="{00000000-0005-0000-0000-0000405C0000}"/>
    <cellStyle name="Normal 2 2 4 27 2 10" xfId="23651" xr:uid="{00000000-0005-0000-0000-0000415C0000}"/>
    <cellStyle name="Normal 2 2 4 27 2 2" xfId="23652" xr:uid="{00000000-0005-0000-0000-0000425C0000}"/>
    <cellStyle name="Normal 2 2 4 27 2 3" xfId="23653" xr:uid="{00000000-0005-0000-0000-0000435C0000}"/>
    <cellStyle name="Normal 2 2 4 27 2 4" xfId="23654" xr:uid="{00000000-0005-0000-0000-0000445C0000}"/>
    <cellStyle name="Normal 2 2 4 27 2 5" xfId="23655" xr:uid="{00000000-0005-0000-0000-0000455C0000}"/>
    <cellStyle name="Normal 2 2 4 27 2 6" xfId="23656" xr:uid="{00000000-0005-0000-0000-0000465C0000}"/>
    <cellStyle name="Normal 2 2 4 27 2 7" xfId="23657" xr:uid="{00000000-0005-0000-0000-0000475C0000}"/>
    <cellStyle name="Normal 2 2 4 27 2 8" xfId="23658" xr:uid="{00000000-0005-0000-0000-0000485C0000}"/>
    <cellStyle name="Normal 2 2 4 27 2 9" xfId="23659" xr:uid="{00000000-0005-0000-0000-0000495C0000}"/>
    <cellStyle name="Normal 2 2 4 27 3" xfId="23660" xr:uid="{00000000-0005-0000-0000-00004A5C0000}"/>
    <cellStyle name="Normal 2 2 4 27 3 10" xfId="23661" xr:uid="{00000000-0005-0000-0000-00004B5C0000}"/>
    <cellStyle name="Normal 2 2 4 27 3 2" xfId="23662" xr:uid="{00000000-0005-0000-0000-00004C5C0000}"/>
    <cellStyle name="Normal 2 2 4 27 3 3" xfId="23663" xr:uid="{00000000-0005-0000-0000-00004D5C0000}"/>
    <cellStyle name="Normal 2 2 4 27 3 4" xfId="23664" xr:uid="{00000000-0005-0000-0000-00004E5C0000}"/>
    <cellStyle name="Normal 2 2 4 27 3 5" xfId="23665" xr:uid="{00000000-0005-0000-0000-00004F5C0000}"/>
    <cellStyle name="Normal 2 2 4 27 3 6" xfId="23666" xr:uid="{00000000-0005-0000-0000-0000505C0000}"/>
    <cellStyle name="Normal 2 2 4 27 3 7" xfId="23667" xr:uid="{00000000-0005-0000-0000-0000515C0000}"/>
    <cellStyle name="Normal 2 2 4 27 3 8" xfId="23668" xr:uid="{00000000-0005-0000-0000-0000525C0000}"/>
    <cellStyle name="Normal 2 2 4 27 3 9" xfId="23669" xr:uid="{00000000-0005-0000-0000-0000535C0000}"/>
    <cellStyle name="Normal 2 2 4 27 4" xfId="23670" xr:uid="{00000000-0005-0000-0000-0000545C0000}"/>
    <cellStyle name="Normal 2 2 4 27 4 10" xfId="23671" xr:uid="{00000000-0005-0000-0000-0000555C0000}"/>
    <cellStyle name="Normal 2 2 4 27 4 2" xfId="23672" xr:uid="{00000000-0005-0000-0000-0000565C0000}"/>
    <cellStyle name="Normal 2 2 4 27 4 3" xfId="23673" xr:uid="{00000000-0005-0000-0000-0000575C0000}"/>
    <cellStyle name="Normal 2 2 4 27 4 4" xfId="23674" xr:uid="{00000000-0005-0000-0000-0000585C0000}"/>
    <cellStyle name="Normal 2 2 4 27 4 5" xfId="23675" xr:uid="{00000000-0005-0000-0000-0000595C0000}"/>
    <cellStyle name="Normal 2 2 4 27 4 6" xfId="23676" xr:uid="{00000000-0005-0000-0000-00005A5C0000}"/>
    <cellStyle name="Normal 2 2 4 27 4 7" xfId="23677" xr:uid="{00000000-0005-0000-0000-00005B5C0000}"/>
    <cellStyle name="Normal 2 2 4 27 4 8" xfId="23678" xr:uid="{00000000-0005-0000-0000-00005C5C0000}"/>
    <cellStyle name="Normal 2 2 4 27 4 9" xfId="23679" xr:uid="{00000000-0005-0000-0000-00005D5C0000}"/>
    <cellStyle name="Normal 2 2 4 27 5" xfId="23680" xr:uid="{00000000-0005-0000-0000-00005E5C0000}"/>
    <cellStyle name="Normal 2 2 4 27 5 10" xfId="23681" xr:uid="{00000000-0005-0000-0000-00005F5C0000}"/>
    <cellStyle name="Normal 2 2 4 27 5 2" xfId="23682" xr:uid="{00000000-0005-0000-0000-0000605C0000}"/>
    <cellStyle name="Normal 2 2 4 27 5 3" xfId="23683" xr:uid="{00000000-0005-0000-0000-0000615C0000}"/>
    <cellStyle name="Normal 2 2 4 27 5 4" xfId="23684" xr:uid="{00000000-0005-0000-0000-0000625C0000}"/>
    <cellStyle name="Normal 2 2 4 27 5 5" xfId="23685" xr:uid="{00000000-0005-0000-0000-0000635C0000}"/>
    <cellStyle name="Normal 2 2 4 27 5 6" xfId="23686" xr:uid="{00000000-0005-0000-0000-0000645C0000}"/>
    <cellStyle name="Normal 2 2 4 27 5 7" xfId="23687" xr:uid="{00000000-0005-0000-0000-0000655C0000}"/>
    <cellStyle name="Normal 2 2 4 27 5 8" xfId="23688" xr:uid="{00000000-0005-0000-0000-0000665C0000}"/>
    <cellStyle name="Normal 2 2 4 27 5 9" xfId="23689" xr:uid="{00000000-0005-0000-0000-0000675C0000}"/>
    <cellStyle name="Normal 2 2 4 27 6" xfId="23690" xr:uid="{00000000-0005-0000-0000-0000685C0000}"/>
    <cellStyle name="Normal 2 2 4 27 7" xfId="23691" xr:uid="{00000000-0005-0000-0000-0000695C0000}"/>
    <cellStyle name="Normal 2 2 4 27 8" xfId="23692" xr:uid="{00000000-0005-0000-0000-00006A5C0000}"/>
    <cellStyle name="Normal 2 2 4 27 9" xfId="23693" xr:uid="{00000000-0005-0000-0000-00006B5C0000}"/>
    <cellStyle name="Normal 2 2 4 28" xfId="23694" xr:uid="{00000000-0005-0000-0000-00006C5C0000}"/>
    <cellStyle name="Normal 2 2 4 28 10" xfId="23695" xr:uid="{00000000-0005-0000-0000-00006D5C0000}"/>
    <cellStyle name="Normal 2 2 4 28 11" xfId="23696" xr:uid="{00000000-0005-0000-0000-00006E5C0000}"/>
    <cellStyle name="Normal 2 2 4 28 12" xfId="23697" xr:uid="{00000000-0005-0000-0000-00006F5C0000}"/>
    <cellStyle name="Normal 2 2 4 28 13" xfId="23698" xr:uid="{00000000-0005-0000-0000-0000705C0000}"/>
    <cellStyle name="Normal 2 2 4 28 14" xfId="23699" xr:uid="{00000000-0005-0000-0000-0000715C0000}"/>
    <cellStyle name="Normal 2 2 4 28 2" xfId="23700" xr:uid="{00000000-0005-0000-0000-0000725C0000}"/>
    <cellStyle name="Normal 2 2 4 28 2 10" xfId="23701" xr:uid="{00000000-0005-0000-0000-0000735C0000}"/>
    <cellStyle name="Normal 2 2 4 28 2 2" xfId="23702" xr:uid="{00000000-0005-0000-0000-0000745C0000}"/>
    <cellStyle name="Normal 2 2 4 28 2 3" xfId="23703" xr:uid="{00000000-0005-0000-0000-0000755C0000}"/>
    <cellStyle name="Normal 2 2 4 28 2 4" xfId="23704" xr:uid="{00000000-0005-0000-0000-0000765C0000}"/>
    <cellStyle name="Normal 2 2 4 28 2 5" xfId="23705" xr:uid="{00000000-0005-0000-0000-0000775C0000}"/>
    <cellStyle name="Normal 2 2 4 28 2 6" xfId="23706" xr:uid="{00000000-0005-0000-0000-0000785C0000}"/>
    <cellStyle name="Normal 2 2 4 28 2 7" xfId="23707" xr:uid="{00000000-0005-0000-0000-0000795C0000}"/>
    <cellStyle name="Normal 2 2 4 28 2 8" xfId="23708" xr:uid="{00000000-0005-0000-0000-00007A5C0000}"/>
    <cellStyle name="Normal 2 2 4 28 2 9" xfId="23709" xr:uid="{00000000-0005-0000-0000-00007B5C0000}"/>
    <cellStyle name="Normal 2 2 4 28 3" xfId="23710" xr:uid="{00000000-0005-0000-0000-00007C5C0000}"/>
    <cellStyle name="Normal 2 2 4 28 3 10" xfId="23711" xr:uid="{00000000-0005-0000-0000-00007D5C0000}"/>
    <cellStyle name="Normal 2 2 4 28 3 2" xfId="23712" xr:uid="{00000000-0005-0000-0000-00007E5C0000}"/>
    <cellStyle name="Normal 2 2 4 28 3 3" xfId="23713" xr:uid="{00000000-0005-0000-0000-00007F5C0000}"/>
    <cellStyle name="Normal 2 2 4 28 3 4" xfId="23714" xr:uid="{00000000-0005-0000-0000-0000805C0000}"/>
    <cellStyle name="Normal 2 2 4 28 3 5" xfId="23715" xr:uid="{00000000-0005-0000-0000-0000815C0000}"/>
    <cellStyle name="Normal 2 2 4 28 3 6" xfId="23716" xr:uid="{00000000-0005-0000-0000-0000825C0000}"/>
    <cellStyle name="Normal 2 2 4 28 3 7" xfId="23717" xr:uid="{00000000-0005-0000-0000-0000835C0000}"/>
    <cellStyle name="Normal 2 2 4 28 3 8" xfId="23718" xr:uid="{00000000-0005-0000-0000-0000845C0000}"/>
    <cellStyle name="Normal 2 2 4 28 3 9" xfId="23719" xr:uid="{00000000-0005-0000-0000-0000855C0000}"/>
    <cellStyle name="Normal 2 2 4 28 4" xfId="23720" xr:uid="{00000000-0005-0000-0000-0000865C0000}"/>
    <cellStyle name="Normal 2 2 4 28 4 10" xfId="23721" xr:uid="{00000000-0005-0000-0000-0000875C0000}"/>
    <cellStyle name="Normal 2 2 4 28 4 2" xfId="23722" xr:uid="{00000000-0005-0000-0000-0000885C0000}"/>
    <cellStyle name="Normal 2 2 4 28 4 3" xfId="23723" xr:uid="{00000000-0005-0000-0000-0000895C0000}"/>
    <cellStyle name="Normal 2 2 4 28 4 4" xfId="23724" xr:uid="{00000000-0005-0000-0000-00008A5C0000}"/>
    <cellStyle name="Normal 2 2 4 28 4 5" xfId="23725" xr:uid="{00000000-0005-0000-0000-00008B5C0000}"/>
    <cellStyle name="Normal 2 2 4 28 4 6" xfId="23726" xr:uid="{00000000-0005-0000-0000-00008C5C0000}"/>
    <cellStyle name="Normal 2 2 4 28 4 7" xfId="23727" xr:uid="{00000000-0005-0000-0000-00008D5C0000}"/>
    <cellStyle name="Normal 2 2 4 28 4 8" xfId="23728" xr:uid="{00000000-0005-0000-0000-00008E5C0000}"/>
    <cellStyle name="Normal 2 2 4 28 4 9" xfId="23729" xr:uid="{00000000-0005-0000-0000-00008F5C0000}"/>
    <cellStyle name="Normal 2 2 4 28 5" xfId="23730" xr:uid="{00000000-0005-0000-0000-0000905C0000}"/>
    <cellStyle name="Normal 2 2 4 28 5 10" xfId="23731" xr:uid="{00000000-0005-0000-0000-0000915C0000}"/>
    <cellStyle name="Normal 2 2 4 28 5 2" xfId="23732" xr:uid="{00000000-0005-0000-0000-0000925C0000}"/>
    <cellStyle name="Normal 2 2 4 28 5 3" xfId="23733" xr:uid="{00000000-0005-0000-0000-0000935C0000}"/>
    <cellStyle name="Normal 2 2 4 28 5 4" xfId="23734" xr:uid="{00000000-0005-0000-0000-0000945C0000}"/>
    <cellStyle name="Normal 2 2 4 28 5 5" xfId="23735" xr:uid="{00000000-0005-0000-0000-0000955C0000}"/>
    <cellStyle name="Normal 2 2 4 28 5 6" xfId="23736" xr:uid="{00000000-0005-0000-0000-0000965C0000}"/>
    <cellStyle name="Normal 2 2 4 28 5 7" xfId="23737" xr:uid="{00000000-0005-0000-0000-0000975C0000}"/>
    <cellStyle name="Normal 2 2 4 28 5 8" xfId="23738" xr:uid="{00000000-0005-0000-0000-0000985C0000}"/>
    <cellStyle name="Normal 2 2 4 28 5 9" xfId="23739" xr:uid="{00000000-0005-0000-0000-0000995C0000}"/>
    <cellStyle name="Normal 2 2 4 28 6" xfId="23740" xr:uid="{00000000-0005-0000-0000-00009A5C0000}"/>
    <cellStyle name="Normal 2 2 4 28 7" xfId="23741" xr:uid="{00000000-0005-0000-0000-00009B5C0000}"/>
    <cellStyle name="Normal 2 2 4 28 8" xfId="23742" xr:uid="{00000000-0005-0000-0000-00009C5C0000}"/>
    <cellStyle name="Normal 2 2 4 28 9" xfId="23743" xr:uid="{00000000-0005-0000-0000-00009D5C0000}"/>
    <cellStyle name="Normal 2 2 4 29" xfId="23744" xr:uid="{00000000-0005-0000-0000-00009E5C0000}"/>
    <cellStyle name="Normal 2 2 4 29 10" xfId="23745" xr:uid="{00000000-0005-0000-0000-00009F5C0000}"/>
    <cellStyle name="Normal 2 2 4 29 11" xfId="23746" xr:uid="{00000000-0005-0000-0000-0000A05C0000}"/>
    <cellStyle name="Normal 2 2 4 29 12" xfId="23747" xr:uid="{00000000-0005-0000-0000-0000A15C0000}"/>
    <cellStyle name="Normal 2 2 4 29 13" xfId="23748" xr:uid="{00000000-0005-0000-0000-0000A25C0000}"/>
    <cellStyle name="Normal 2 2 4 29 14" xfId="23749" xr:uid="{00000000-0005-0000-0000-0000A35C0000}"/>
    <cellStyle name="Normal 2 2 4 29 2" xfId="23750" xr:uid="{00000000-0005-0000-0000-0000A45C0000}"/>
    <cellStyle name="Normal 2 2 4 29 2 10" xfId="23751" xr:uid="{00000000-0005-0000-0000-0000A55C0000}"/>
    <cellStyle name="Normal 2 2 4 29 2 2" xfId="23752" xr:uid="{00000000-0005-0000-0000-0000A65C0000}"/>
    <cellStyle name="Normal 2 2 4 29 2 3" xfId="23753" xr:uid="{00000000-0005-0000-0000-0000A75C0000}"/>
    <cellStyle name="Normal 2 2 4 29 2 4" xfId="23754" xr:uid="{00000000-0005-0000-0000-0000A85C0000}"/>
    <cellStyle name="Normal 2 2 4 29 2 5" xfId="23755" xr:uid="{00000000-0005-0000-0000-0000A95C0000}"/>
    <cellStyle name="Normal 2 2 4 29 2 6" xfId="23756" xr:uid="{00000000-0005-0000-0000-0000AA5C0000}"/>
    <cellStyle name="Normal 2 2 4 29 2 7" xfId="23757" xr:uid="{00000000-0005-0000-0000-0000AB5C0000}"/>
    <cellStyle name="Normal 2 2 4 29 2 8" xfId="23758" xr:uid="{00000000-0005-0000-0000-0000AC5C0000}"/>
    <cellStyle name="Normal 2 2 4 29 2 9" xfId="23759" xr:uid="{00000000-0005-0000-0000-0000AD5C0000}"/>
    <cellStyle name="Normal 2 2 4 29 3" xfId="23760" xr:uid="{00000000-0005-0000-0000-0000AE5C0000}"/>
    <cellStyle name="Normal 2 2 4 29 3 10" xfId="23761" xr:uid="{00000000-0005-0000-0000-0000AF5C0000}"/>
    <cellStyle name="Normal 2 2 4 29 3 2" xfId="23762" xr:uid="{00000000-0005-0000-0000-0000B05C0000}"/>
    <cellStyle name="Normal 2 2 4 29 3 3" xfId="23763" xr:uid="{00000000-0005-0000-0000-0000B15C0000}"/>
    <cellStyle name="Normal 2 2 4 29 3 4" xfId="23764" xr:uid="{00000000-0005-0000-0000-0000B25C0000}"/>
    <cellStyle name="Normal 2 2 4 29 3 5" xfId="23765" xr:uid="{00000000-0005-0000-0000-0000B35C0000}"/>
    <cellStyle name="Normal 2 2 4 29 3 6" xfId="23766" xr:uid="{00000000-0005-0000-0000-0000B45C0000}"/>
    <cellStyle name="Normal 2 2 4 29 3 7" xfId="23767" xr:uid="{00000000-0005-0000-0000-0000B55C0000}"/>
    <cellStyle name="Normal 2 2 4 29 3 8" xfId="23768" xr:uid="{00000000-0005-0000-0000-0000B65C0000}"/>
    <cellStyle name="Normal 2 2 4 29 3 9" xfId="23769" xr:uid="{00000000-0005-0000-0000-0000B75C0000}"/>
    <cellStyle name="Normal 2 2 4 29 4" xfId="23770" xr:uid="{00000000-0005-0000-0000-0000B85C0000}"/>
    <cellStyle name="Normal 2 2 4 29 4 10" xfId="23771" xr:uid="{00000000-0005-0000-0000-0000B95C0000}"/>
    <cellStyle name="Normal 2 2 4 29 4 2" xfId="23772" xr:uid="{00000000-0005-0000-0000-0000BA5C0000}"/>
    <cellStyle name="Normal 2 2 4 29 4 3" xfId="23773" xr:uid="{00000000-0005-0000-0000-0000BB5C0000}"/>
    <cellStyle name="Normal 2 2 4 29 4 4" xfId="23774" xr:uid="{00000000-0005-0000-0000-0000BC5C0000}"/>
    <cellStyle name="Normal 2 2 4 29 4 5" xfId="23775" xr:uid="{00000000-0005-0000-0000-0000BD5C0000}"/>
    <cellStyle name="Normal 2 2 4 29 4 6" xfId="23776" xr:uid="{00000000-0005-0000-0000-0000BE5C0000}"/>
    <cellStyle name="Normal 2 2 4 29 4 7" xfId="23777" xr:uid="{00000000-0005-0000-0000-0000BF5C0000}"/>
    <cellStyle name="Normal 2 2 4 29 4 8" xfId="23778" xr:uid="{00000000-0005-0000-0000-0000C05C0000}"/>
    <cellStyle name="Normal 2 2 4 29 4 9" xfId="23779" xr:uid="{00000000-0005-0000-0000-0000C15C0000}"/>
    <cellStyle name="Normal 2 2 4 29 5" xfId="23780" xr:uid="{00000000-0005-0000-0000-0000C25C0000}"/>
    <cellStyle name="Normal 2 2 4 29 5 10" xfId="23781" xr:uid="{00000000-0005-0000-0000-0000C35C0000}"/>
    <cellStyle name="Normal 2 2 4 29 5 2" xfId="23782" xr:uid="{00000000-0005-0000-0000-0000C45C0000}"/>
    <cellStyle name="Normal 2 2 4 29 5 3" xfId="23783" xr:uid="{00000000-0005-0000-0000-0000C55C0000}"/>
    <cellStyle name="Normal 2 2 4 29 5 4" xfId="23784" xr:uid="{00000000-0005-0000-0000-0000C65C0000}"/>
    <cellStyle name="Normal 2 2 4 29 5 5" xfId="23785" xr:uid="{00000000-0005-0000-0000-0000C75C0000}"/>
    <cellStyle name="Normal 2 2 4 29 5 6" xfId="23786" xr:uid="{00000000-0005-0000-0000-0000C85C0000}"/>
    <cellStyle name="Normal 2 2 4 29 5 7" xfId="23787" xr:uid="{00000000-0005-0000-0000-0000C95C0000}"/>
    <cellStyle name="Normal 2 2 4 29 5 8" xfId="23788" xr:uid="{00000000-0005-0000-0000-0000CA5C0000}"/>
    <cellStyle name="Normal 2 2 4 29 5 9" xfId="23789" xr:uid="{00000000-0005-0000-0000-0000CB5C0000}"/>
    <cellStyle name="Normal 2 2 4 29 6" xfId="23790" xr:uid="{00000000-0005-0000-0000-0000CC5C0000}"/>
    <cellStyle name="Normal 2 2 4 29 7" xfId="23791" xr:uid="{00000000-0005-0000-0000-0000CD5C0000}"/>
    <cellStyle name="Normal 2 2 4 29 8" xfId="23792" xr:uid="{00000000-0005-0000-0000-0000CE5C0000}"/>
    <cellStyle name="Normal 2 2 4 29 9" xfId="23793" xr:uid="{00000000-0005-0000-0000-0000CF5C0000}"/>
    <cellStyle name="Normal 2 2 4 3" xfId="23794" xr:uid="{00000000-0005-0000-0000-0000D05C0000}"/>
    <cellStyle name="Normal 2 2 4 3 10" xfId="23795" xr:uid="{00000000-0005-0000-0000-0000D15C0000}"/>
    <cellStyle name="Normal 2 2 4 3 11" xfId="23796" xr:uid="{00000000-0005-0000-0000-0000D25C0000}"/>
    <cellStyle name="Normal 2 2 4 3 12" xfId="23797" xr:uid="{00000000-0005-0000-0000-0000D35C0000}"/>
    <cellStyle name="Normal 2 2 4 3 13" xfId="23798" xr:uid="{00000000-0005-0000-0000-0000D45C0000}"/>
    <cellStyle name="Normal 2 2 4 3 14" xfId="23799" xr:uid="{00000000-0005-0000-0000-0000D55C0000}"/>
    <cellStyle name="Normal 2 2 4 3 2" xfId="23800" xr:uid="{00000000-0005-0000-0000-0000D65C0000}"/>
    <cellStyle name="Normal 2 2 4 3 2 10" xfId="23801" xr:uid="{00000000-0005-0000-0000-0000D75C0000}"/>
    <cellStyle name="Normal 2 2 4 3 2 2" xfId="23802" xr:uid="{00000000-0005-0000-0000-0000D85C0000}"/>
    <cellStyle name="Normal 2 2 4 3 2 3" xfId="23803" xr:uid="{00000000-0005-0000-0000-0000D95C0000}"/>
    <cellStyle name="Normal 2 2 4 3 2 4" xfId="23804" xr:uid="{00000000-0005-0000-0000-0000DA5C0000}"/>
    <cellStyle name="Normal 2 2 4 3 2 5" xfId="23805" xr:uid="{00000000-0005-0000-0000-0000DB5C0000}"/>
    <cellStyle name="Normal 2 2 4 3 2 6" xfId="23806" xr:uid="{00000000-0005-0000-0000-0000DC5C0000}"/>
    <cellStyle name="Normal 2 2 4 3 2 7" xfId="23807" xr:uid="{00000000-0005-0000-0000-0000DD5C0000}"/>
    <cellStyle name="Normal 2 2 4 3 2 8" xfId="23808" xr:uid="{00000000-0005-0000-0000-0000DE5C0000}"/>
    <cellStyle name="Normal 2 2 4 3 2 9" xfId="23809" xr:uid="{00000000-0005-0000-0000-0000DF5C0000}"/>
    <cellStyle name="Normal 2 2 4 3 3" xfId="23810" xr:uid="{00000000-0005-0000-0000-0000E05C0000}"/>
    <cellStyle name="Normal 2 2 4 3 3 10" xfId="23811" xr:uid="{00000000-0005-0000-0000-0000E15C0000}"/>
    <cellStyle name="Normal 2 2 4 3 3 2" xfId="23812" xr:uid="{00000000-0005-0000-0000-0000E25C0000}"/>
    <cellStyle name="Normal 2 2 4 3 3 3" xfId="23813" xr:uid="{00000000-0005-0000-0000-0000E35C0000}"/>
    <cellStyle name="Normal 2 2 4 3 3 4" xfId="23814" xr:uid="{00000000-0005-0000-0000-0000E45C0000}"/>
    <cellStyle name="Normal 2 2 4 3 3 5" xfId="23815" xr:uid="{00000000-0005-0000-0000-0000E55C0000}"/>
    <cellStyle name="Normal 2 2 4 3 3 6" xfId="23816" xr:uid="{00000000-0005-0000-0000-0000E65C0000}"/>
    <cellStyle name="Normal 2 2 4 3 3 7" xfId="23817" xr:uid="{00000000-0005-0000-0000-0000E75C0000}"/>
    <cellStyle name="Normal 2 2 4 3 3 8" xfId="23818" xr:uid="{00000000-0005-0000-0000-0000E85C0000}"/>
    <cellStyle name="Normal 2 2 4 3 3 9" xfId="23819" xr:uid="{00000000-0005-0000-0000-0000E95C0000}"/>
    <cellStyle name="Normal 2 2 4 3 4" xfId="23820" xr:uid="{00000000-0005-0000-0000-0000EA5C0000}"/>
    <cellStyle name="Normal 2 2 4 3 4 10" xfId="23821" xr:uid="{00000000-0005-0000-0000-0000EB5C0000}"/>
    <cellStyle name="Normal 2 2 4 3 4 2" xfId="23822" xr:uid="{00000000-0005-0000-0000-0000EC5C0000}"/>
    <cellStyle name="Normal 2 2 4 3 4 3" xfId="23823" xr:uid="{00000000-0005-0000-0000-0000ED5C0000}"/>
    <cellStyle name="Normal 2 2 4 3 4 4" xfId="23824" xr:uid="{00000000-0005-0000-0000-0000EE5C0000}"/>
    <cellStyle name="Normal 2 2 4 3 4 5" xfId="23825" xr:uid="{00000000-0005-0000-0000-0000EF5C0000}"/>
    <cellStyle name="Normal 2 2 4 3 4 6" xfId="23826" xr:uid="{00000000-0005-0000-0000-0000F05C0000}"/>
    <cellStyle name="Normal 2 2 4 3 4 7" xfId="23827" xr:uid="{00000000-0005-0000-0000-0000F15C0000}"/>
    <cellStyle name="Normal 2 2 4 3 4 8" xfId="23828" xr:uid="{00000000-0005-0000-0000-0000F25C0000}"/>
    <cellStyle name="Normal 2 2 4 3 4 9" xfId="23829" xr:uid="{00000000-0005-0000-0000-0000F35C0000}"/>
    <cellStyle name="Normal 2 2 4 3 5" xfId="23830" xr:uid="{00000000-0005-0000-0000-0000F45C0000}"/>
    <cellStyle name="Normal 2 2 4 3 5 10" xfId="23831" xr:uid="{00000000-0005-0000-0000-0000F55C0000}"/>
    <cellStyle name="Normal 2 2 4 3 5 2" xfId="23832" xr:uid="{00000000-0005-0000-0000-0000F65C0000}"/>
    <cellStyle name="Normal 2 2 4 3 5 3" xfId="23833" xr:uid="{00000000-0005-0000-0000-0000F75C0000}"/>
    <cellStyle name="Normal 2 2 4 3 5 4" xfId="23834" xr:uid="{00000000-0005-0000-0000-0000F85C0000}"/>
    <cellStyle name="Normal 2 2 4 3 5 5" xfId="23835" xr:uid="{00000000-0005-0000-0000-0000F95C0000}"/>
    <cellStyle name="Normal 2 2 4 3 5 6" xfId="23836" xr:uid="{00000000-0005-0000-0000-0000FA5C0000}"/>
    <cellStyle name="Normal 2 2 4 3 5 7" xfId="23837" xr:uid="{00000000-0005-0000-0000-0000FB5C0000}"/>
    <cellStyle name="Normal 2 2 4 3 5 8" xfId="23838" xr:uid="{00000000-0005-0000-0000-0000FC5C0000}"/>
    <cellStyle name="Normal 2 2 4 3 5 9" xfId="23839" xr:uid="{00000000-0005-0000-0000-0000FD5C0000}"/>
    <cellStyle name="Normal 2 2 4 3 6" xfId="23840" xr:uid="{00000000-0005-0000-0000-0000FE5C0000}"/>
    <cellStyle name="Normal 2 2 4 3 7" xfId="23841" xr:uid="{00000000-0005-0000-0000-0000FF5C0000}"/>
    <cellStyle name="Normal 2 2 4 3 8" xfId="23842" xr:uid="{00000000-0005-0000-0000-0000005D0000}"/>
    <cellStyle name="Normal 2 2 4 3 9" xfId="23843" xr:uid="{00000000-0005-0000-0000-0000015D0000}"/>
    <cellStyle name="Normal 2 2 4 30" xfId="23844" xr:uid="{00000000-0005-0000-0000-0000025D0000}"/>
    <cellStyle name="Normal 2 2 4 30 10" xfId="23845" xr:uid="{00000000-0005-0000-0000-0000035D0000}"/>
    <cellStyle name="Normal 2 2 4 30 11" xfId="23846" xr:uid="{00000000-0005-0000-0000-0000045D0000}"/>
    <cellStyle name="Normal 2 2 4 30 12" xfId="23847" xr:uid="{00000000-0005-0000-0000-0000055D0000}"/>
    <cellStyle name="Normal 2 2 4 30 13" xfId="23848" xr:uid="{00000000-0005-0000-0000-0000065D0000}"/>
    <cellStyle name="Normal 2 2 4 30 14" xfId="23849" xr:uid="{00000000-0005-0000-0000-0000075D0000}"/>
    <cellStyle name="Normal 2 2 4 30 2" xfId="23850" xr:uid="{00000000-0005-0000-0000-0000085D0000}"/>
    <cellStyle name="Normal 2 2 4 30 2 10" xfId="23851" xr:uid="{00000000-0005-0000-0000-0000095D0000}"/>
    <cellStyle name="Normal 2 2 4 30 2 2" xfId="23852" xr:uid="{00000000-0005-0000-0000-00000A5D0000}"/>
    <cellStyle name="Normal 2 2 4 30 2 3" xfId="23853" xr:uid="{00000000-0005-0000-0000-00000B5D0000}"/>
    <cellStyle name="Normal 2 2 4 30 2 4" xfId="23854" xr:uid="{00000000-0005-0000-0000-00000C5D0000}"/>
    <cellStyle name="Normal 2 2 4 30 2 5" xfId="23855" xr:uid="{00000000-0005-0000-0000-00000D5D0000}"/>
    <cellStyle name="Normal 2 2 4 30 2 6" xfId="23856" xr:uid="{00000000-0005-0000-0000-00000E5D0000}"/>
    <cellStyle name="Normal 2 2 4 30 2 7" xfId="23857" xr:uid="{00000000-0005-0000-0000-00000F5D0000}"/>
    <cellStyle name="Normal 2 2 4 30 2 8" xfId="23858" xr:uid="{00000000-0005-0000-0000-0000105D0000}"/>
    <cellStyle name="Normal 2 2 4 30 2 9" xfId="23859" xr:uid="{00000000-0005-0000-0000-0000115D0000}"/>
    <cellStyle name="Normal 2 2 4 30 3" xfId="23860" xr:uid="{00000000-0005-0000-0000-0000125D0000}"/>
    <cellStyle name="Normal 2 2 4 30 3 10" xfId="23861" xr:uid="{00000000-0005-0000-0000-0000135D0000}"/>
    <cellStyle name="Normal 2 2 4 30 3 2" xfId="23862" xr:uid="{00000000-0005-0000-0000-0000145D0000}"/>
    <cellStyle name="Normal 2 2 4 30 3 3" xfId="23863" xr:uid="{00000000-0005-0000-0000-0000155D0000}"/>
    <cellStyle name="Normal 2 2 4 30 3 4" xfId="23864" xr:uid="{00000000-0005-0000-0000-0000165D0000}"/>
    <cellStyle name="Normal 2 2 4 30 3 5" xfId="23865" xr:uid="{00000000-0005-0000-0000-0000175D0000}"/>
    <cellStyle name="Normal 2 2 4 30 3 6" xfId="23866" xr:uid="{00000000-0005-0000-0000-0000185D0000}"/>
    <cellStyle name="Normal 2 2 4 30 3 7" xfId="23867" xr:uid="{00000000-0005-0000-0000-0000195D0000}"/>
    <cellStyle name="Normal 2 2 4 30 3 8" xfId="23868" xr:uid="{00000000-0005-0000-0000-00001A5D0000}"/>
    <cellStyle name="Normal 2 2 4 30 3 9" xfId="23869" xr:uid="{00000000-0005-0000-0000-00001B5D0000}"/>
    <cellStyle name="Normal 2 2 4 30 4" xfId="23870" xr:uid="{00000000-0005-0000-0000-00001C5D0000}"/>
    <cellStyle name="Normal 2 2 4 30 4 10" xfId="23871" xr:uid="{00000000-0005-0000-0000-00001D5D0000}"/>
    <cellStyle name="Normal 2 2 4 30 4 2" xfId="23872" xr:uid="{00000000-0005-0000-0000-00001E5D0000}"/>
    <cellStyle name="Normal 2 2 4 30 4 3" xfId="23873" xr:uid="{00000000-0005-0000-0000-00001F5D0000}"/>
    <cellStyle name="Normal 2 2 4 30 4 4" xfId="23874" xr:uid="{00000000-0005-0000-0000-0000205D0000}"/>
    <cellStyle name="Normal 2 2 4 30 4 5" xfId="23875" xr:uid="{00000000-0005-0000-0000-0000215D0000}"/>
    <cellStyle name="Normal 2 2 4 30 4 6" xfId="23876" xr:uid="{00000000-0005-0000-0000-0000225D0000}"/>
    <cellStyle name="Normal 2 2 4 30 4 7" xfId="23877" xr:uid="{00000000-0005-0000-0000-0000235D0000}"/>
    <cellStyle name="Normal 2 2 4 30 4 8" xfId="23878" xr:uid="{00000000-0005-0000-0000-0000245D0000}"/>
    <cellStyle name="Normal 2 2 4 30 4 9" xfId="23879" xr:uid="{00000000-0005-0000-0000-0000255D0000}"/>
    <cellStyle name="Normal 2 2 4 30 5" xfId="23880" xr:uid="{00000000-0005-0000-0000-0000265D0000}"/>
    <cellStyle name="Normal 2 2 4 30 5 10" xfId="23881" xr:uid="{00000000-0005-0000-0000-0000275D0000}"/>
    <cellStyle name="Normal 2 2 4 30 5 2" xfId="23882" xr:uid="{00000000-0005-0000-0000-0000285D0000}"/>
    <cellStyle name="Normal 2 2 4 30 5 3" xfId="23883" xr:uid="{00000000-0005-0000-0000-0000295D0000}"/>
    <cellStyle name="Normal 2 2 4 30 5 4" xfId="23884" xr:uid="{00000000-0005-0000-0000-00002A5D0000}"/>
    <cellStyle name="Normal 2 2 4 30 5 5" xfId="23885" xr:uid="{00000000-0005-0000-0000-00002B5D0000}"/>
    <cellStyle name="Normal 2 2 4 30 5 6" xfId="23886" xr:uid="{00000000-0005-0000-0000-00002C5D0000}"/>
    <cellStyle name="Normal 2 2 4 30 5 7" xfId="23887" xr:uid="{00000000-0005-0000-0000-00002D5D0000}"/>
    <cellStyle name="Normal 2 2 4 30 5 8" xfId="23888" xr:uid="{00000000-0005-0000-0000-00002E5D0000}"/>
    <cellStyle name="Normal 2 2 4 30 5 9" xfId="23889" xr:uid="{00000000-0005-0000-0000-00002F5D0000}"/>
    <cellStyle name="Normal 2 2 4 30 6" xfId="23890" xr:uid="{00000000-0005-0000-0000-0000305D0000}"/>
    <cellStyle name="Normal 2 2 4 30 7" xfId="23891" xr:uid="{00000000-0005-0000-0000-0000315D0000}"/>
    <cellStyle name="Normal 2 2 4 30 8" xfId="23892" xr:uid="{00000000-0005-0000-0000-0000325D0000}"/>
    <cellStyle name="Normal 2 2 4 30 9" xfId="23893" xr:uid="{00000000-0005-0000-0000-0000335D0000}"/>
    <cellStyle name="Normal 2 2 4 31" xfId="23894" xr:uid="{00000000-0005-0000-0000-0000345D0000}"/>
    <cellStyle name="Normal 2 2 4 31 10" xfId="23895" xr:uid="{00000000-0005-0000-0000-0000355D0000}"/>
    <cellStyle name="Normal 2 2 4 31 11" xfId="23896" xr:uid="{00000000-0005-0000-0000-0000365D0000}"/>
    <cellStyle name="Normal 2 2 4 31 12" xfId="23897" xr:uid="{00000000-0005-0000-0000-0000375D0000}"/>
    <cellStyle name="Normal 2 2 4 31 13" xfId="23898" xr:uid="{00000000-0005-0000-0000-0000385D0000}"/>
    <cellStyle name="Normal 2 2 4 31 14" xfId="23899" xr:uid="{00000000-0005-0000-0000-0000395D0000}"/>
    <cellStyle name="Normal 2 2 4 31 2" xfId="23900" xr:uid="{00000000-0005-0000-0000-00003A5D0000}"/>
    <cellStyle name="Normal 2 2 4 31 2 10" xfId="23901" xr:uid="{00000000-0005-0000-0000-00003B5D0000}"/>
    <cellStyle name="Normal 2 2 4 31 2 2" xfId="23902" xr:uid="{00000000-0005-0000-0000-00003C5D0000}"/>
    <cellStyle name="Normal 2 2 4 31 2 3" xfId="23903" xr:uid="{00000000-0005-0000-0000-00003D5D0000}"/>
    <cellStyle name="Normal 2 2 4 31 2 4" xfId="23904" xr:uid="{00000000-0005-0000-0000-00003E5D0000}"/>
    <cellStyle name="Normal 2 2 4 31 2 5" xfId="23905" xr:uid="{00000000-0005-0000-0000-00003F5D0000}"/>
    <cellStyle name="Normal 2 2 4 31 2 6" xfId="23906" xr:uid="{00000000-0005-0000-0000-0000405D0000}"/>
    <cellStyle name="Normal 2 2 4 31 2 7" xfId="23907" xr:uid="{00000000-0005-0000-0000-0000415D0000}"/>
    <cellStyle name="Normal 2 2 4 31 2 8" xfId="23908" xr:uid="{00000000-0005-0000-0000-0000425D0000}"/>
    <cellStyle name="Normal 2 2 4 31 2 9" xfId="23909" xr:uid="{00000000-0005-0000-0000-0000435D0000}"/>
    <cellStyle name="Normal 2 2 4 31 3" xfId="23910" xr:uid="{00000000-0005-0000-0000-0000445D0000}"/>
    <cellStyle name="Normal 2 2 4 31 3 10" xfId="23911" xr:uid="{00000000-0005-0000-0000-0000455D0000}"/>
    <cellStyle name="Normal 2 2 4 31 3 2" xfId="23912" xr:uid="{00000000-0005-0000-0000-0000465D0000}"/>
    <cellStyle name="Normal 2 2 4 31 3 3" xfId="23913" xr:uid="{00000000-0005-0000-0000-0000475D0000}"/>
    <cellStyle name="Normal 2 2 4 31 3 4" xfId="23914" xr:uid="{00000000-0005-0000-0000-0000485D0000}"/>
    <cellStyle name="Normal 2 2 4 31 3 5" xfId="23915" xr:uid="{00000000-0005-0000-0000-0000495D0000}"/>
    <cellStyle name="Normal 2 2 4 31 3 6" xfId="23916" xr:uid="{00000000-0005-0000-0000-00004A5D0000}"/>
    <cellStyle name="Normal 2 2 4 31 3 7" xfId="23917" xr:uid="{00000000-0005-0000-0000-00004B5D0000}"/>
    <cellStyle name="Normal 2 2 4 31 3 8" xfId="23918" xr:uid="{00000000-0005-0000-0000-00004C5D0000}"/>
    <cellStyle name="Normal 2 2 4 31 3 9" xfId="23919" xr:uid="{00000000-0005-0000-0000-00004D5D0000}"/>
    <cellStyle name="Normal 2 2 4 31 4" xfId="23920" xr:uid="{00000000-0005-0000-0000-00004E5D0000}"/>
    <cellStyle name="Normal 2 2 4 31 4 10" xfId="23921" xr:uid="{00000000-0005-0000-0000-00004F5D0000}"/>
    <cellStyle name="Normal 2 2 4 31 4 2" xfId="23922" xr:uid="{00000000-0005-0000-0000-0000505D0000}"/>
    <cellStyle name="Normal 2 2 4 31 4 3" xfId="23923" xr:uid="{00000000-0005-0000-0000-0000515D0000}"/>
    <cellStyle name="Normal 2 2 4 31 4 4" xfId="23924" xr:uid="{00000000-0005-0000-0000-0000525D0000}"/>
    <cellStyle name="Normal 2 2 4 31 4 5" xfId="23925" xr:uid="{00000000-0005-0000-0000-0000535D0000}"/>
    <cellStyle name="Normal 2 2 4 31 4 6" xfId="23926" xr:uid="{00000000-0005-0000-0000-0000545D0000}"/>
    <cellStyle name="Normal 2 2 4 31 4 7" xfId="23927" xr:uid="{00000000-0005-0000-0000-0000555D0000}"/>
    <cellStyle name="Normal 2 2 4 31 4 8" xfId="23928" xr:uid="{00000000-0005-0000-0000-0000565D0000}"/>
    <cellStyle name="Normal 2 2 4 31 4 9" xfId="23929" xr:uid="{00000000-0005-0000-0000-0000575D0000}"/>
    <cellStyle name="Normal 2 2 4 31 5" xfId="23930" xr:uid="{00000000-0005-0000-0000-0000585D0000}"/>
    <cellStyle name="Normal 2 2 4 31 5 10" xfId="23931" xr:uid="{00000000-0005-0000-0000-0000595D0000}"/>
    <cellStyle name="Normal 2 2 4 31 5 2" xfId="23932" xr:uid="{00000000-0005-0000-0000-00005A5D0000}"/>
    <cellStyle name="Normal 2 2 4 31 5 3" xfId="23933" xr:uid="{00000000-0005-0000-0000-00005B5D0000}"/>
    <cellStyle name="Normal 2 2 4 31 5 4" xfId="23934" xr:uid="{00000000-0005-0000-0000-00005C5D0000}"/>
    <cellStyle name="Normal 2 2 4 31 5 5" xfId="23935" xr:uid="{00000000-0005-0000-0000-00005D5D0000}"/>
    <cellStyle name="Normal 2 2 4 31 5 6" xfId="23936" xr:uid="{00000000-0005-0000-0000-00005E5D0000}"/>
    <cellStyle name="Normal 2 2 4 31 5 7" xfId="23937" xr:uid="{00000000-0005-0000-0000-00005F5D0000}"/>
    <cellStyle name="Normal 2 2 4 31 5 8" xfId="23938" xr:uid="{00000000-0005-0000-0000-0000605D0000}"/>
    <cellStyle name="Normal 2 2 4 31 5 9" xfId="23939" xr:uid="{00000000-0005-0000-0000-0000615D0000}"/>
    <cellStyle name="Normal 2 2 4 31 6" xfId="23940" xr:uid="{00000000-0005-0000-0000-0000625D0000}"/>
    <cellStyle name="Normal 2 2 4 31 7" xfId="23941" xr:uid="{00000000-0005-0000-0000-0000635D0000}"/>
    <cellStyle name="Normal 2 2 4 31 8" xfId="23942" xr:uid="{00000000-0005-0000-0000-0000645D0000}"/>
    <cellStyle name="Normal 2 2 4 31 9" xfId="23943" xr:uid="{00000000-0005-0000-0000-0000655D0000}"/>
    <cellStyle name="Normal 2 2 4 32" xfId="23944" xr:uid="{00000000-0005-0000-0000-0000665D0000}"/>
    <cellStyle name="Normal 2 2 4 32 10" xfId="23945" xr:uid="{00000000-0005-0000-0000-0000675D0000}"/>
    <cellStyle name="Normal 2 2 4 32 11" xfId="23946" xr:uid="{00000000-0005-0000-0000-0000685D0000}"/>
    <cellStyle name="Normal 2 2 4 32 12" xfId="23947" xr:uid="{00000000-0005-0000-0000-0000695D0000}"/>
    <cellStyle name="Normal 2 2 4 32 13" xfId="23948" xr:uid="{00000000-0005-0000-0000-00006A5D0000}"/>
    <cellStyle name="Normal 2 2 4 32 14" xfId="23949" xr:uid="{00000000-0005-0000-0000-00006B5D0000}"/>
    <cellStyle name="Normal 2 2 4 32 2" xfId="23950" xr:uid="{00000000-0005-0000-0000-00006C5D0000}"/>
    <cellStyle name="Normal 2 2 4 32 2 10" xfId="23951" xr:uid="{00000000-0005-0000-0000-00006D5D0000}"/>
    <cellStyle name="Normal 2 2 4 32 2 2" xfId="23952" xr:uid="{00000000-0005-0000-0000-00006E5D0000}"/>
    <cellStyle name="Normal 2 2 4 32 2 3" xfId="23953" xr:uid="{00000000-0005-0000-0000-00006F5D0000}"/>
    <cellStyle name="Normal 2 2 4 32 2 4" xfId="23954" xr:uid="{00000000-0005-0000-0000-0000705D0000}"/>
    <cellStyle name="Normal 2 2 4 32 2 5" xfId="23955" xr:uid="{00000000-0005-0000-0000-0000715D0000}"/>
    <cellStyle name="Normal 2 2 4 32 2 6" xfId="23956" xr:uid="{00000000-0005-0000-0000-0000725D0000}"/>
    <cellStyle name="Normal 2 2 4 32 2 7" xfId="23957" xr:uid="{00000000-0005-0000-0000-0000735D0000}"/>
    <cellStyle name="Normal 2 2 4 32 2 8" xfId="23958" xr:uid="{00000000-0005-0000-0000-0000745D0000}"/>
    <cellStyle name="Normal 2 2 4 32 2 9" xfId="23959" xr:uid="{00000000-0005-0000-0000-0000755D0000}"/>
    <cellStyle name="Normal 2 2 4 32 3" xfId="23960" xr:uid="{00000000-0005-0000-0000-0000765D0000}"/>
    <cellStyle name="Normal 2 2 4 32 3 10" xfId="23961" xr:uid="{00000000-0005-0000-0000-0000775D0000}"/>
    <cellStyle name="Normal 2 2 4 32 3 2" xfId="23962" xr:uid="{00000000-0005-0000-0000-0000785D0000}"/>
    <cellStyle name="Normal 2 2 4 32 3 3" xfId="23963" xr:uid="{00000000-0005-0000-0000-0000795D0000}"/>
    <cellStyle name="Normal 2 2 4 32 3 4" xfId="23964" xr:uid="{00000000-0005-0000-0000-00007A5D0000}"/>
    <cellStyle name="Normal 2 2 4 32 3 5" xfId="23965" xr:uid="{00000000-0005-0000-0000-00007B5D0000}"/>
    <cellStyle name="Normal 2 2 4 32 3 6" xfId="23966" xr:uid="{00000000-0005-0000-0000-00007C5D0000}"/>
    <cellStyle name="Normal 2 2 4 32 3 7" xfId="23967" xr:uid="{00000000-0005-0000-0000-00007D5D0000}"/>
    <cellStyle name="Normal 2 2 4 32 3 8" xfId="23968" xr:uid="{00000000-0005-0000-0000-00007E5D0000}"/>
    <cellStyle name="Normal 2 2 4 32 3 9" xfId="23969" xr:uid="{00000000-0005-0000-0000-00007F5D0000}"/>
    <cellStyle name="Normal 2 2 4 32 4" xfId="23970" xr:uid="{00000000-0005-0000-0000-0000805D0000}"/>
    <cellStyle name="Normal 2 2 4 32 4 10" xfId="23971" xr:uid="{00000000-0005-0000-0000-0000815D0000}"/>
    <cellStyle name="Normal 2 2 4 32 4 2" xfId="23972" xr:uid="{00000000-0005-0000-0000-0000825D0000}"/>
    <cellStyle name="Normal 2 2 4 32 4 3" xfId="23973" xr:uid="{00000000-0005-0000-0000-0000835D0000}"/>
    <cellStyle name="Normal 2 2 4 32 4 4" xfId="23974" xr:uid="{00000000-0005-0000-0000-0000845D0000}"/>
    <cellStyle name="Normal 2 2 4 32 4 5" xfId="23975" xr:uid="{00000000-0005-0000-0000-0000855D0000}"/>
    <cellStyle name="Normal 2 2 4 32 4 6" xfId="23976" xr:uid="{00000000-0005-0000-0000-0000865D0000}"/>
    <cellStyle name="Normal 2 2 4 32 4 7" xfId="23977" xr:uid="{00000000-0005-0000-0000-0000875D0000}"/>
    <cellStyle name="Normal 2 2 4 32 4 8" xfId="23978" xr:uid="{00000000-0005-0000-0000-0000885D0000}"/>
    <cellStyle name="Normal 2 2 4 32 4 9" xfId="23979" xr:uid="{00000000-0005-0000-0000-0000895D0000}"/>
    <cellStyle name="Normal 2 2 4 32 5" xfId="23980" xr:uid="{00000000-0005-0000-0000-00008A5D0000}"/>
    <cellStyle name="Normal 2 2 4 32 5 10" xfId="23981" xr:uid="{00000000-0005-0000-0000-00008B5D0000}"/>
    <cellStyle name="Normal 2 2 4 32 5 2" xfId="23982" xr:uid="{00000000-0005-0000-0000-00008C5D0000}"/>
    <cellStyle name="Normal 2 2 4 32 5 3" xfId="23983" xr:uid="{00000000-0005-0000-0000-00008D5D0000}"/>
    <cellStyle name="Normal 2 2 4 32 5 4" xfId="23984" xr:uid="{00000000-0005-0000-0000-00008E5D0000}"/>
    <cellStyle name="Normal 2 2 4 32 5 5" xfId="23985" xr:uid="{00000000-0005-0000-0000-00008F5D0000}"/>
    <cellStyle name="Normal 2 2 4 32 5 6" xfId="23986" xr:uid="{00000000-0005-0000-0000-0000905D0000}"/>
    <cellStyle name="Normal 2 2 4 32 5 7" xfId="23987" xr:uid="{00000000-0005-0000-0000-0000915D0000}"/>
    <cellStyle name="Normal 2 2 4 32 5 8" xfId="23988" xr:uid="{00000000-0005-0000-0000-0000925D0000}"/>
    <cellStyle name="Normal 2 2 4 32 5 9" xfId="23989" xr:uid="{00000000-0005-0000-0000-0000935D0000}"/>
    <cellStyle name="Normal 2 2 4 32 6" xfId="23990" xr:uid="{00000000-0005-0000-0000-0000945D0000}"/>
    <cellStyle name="Normal 2 2 4 32 7" xfId="23991" xr:uid="{00000000-0005-0000-0000-0000955D0000}"/>
    <cellStyle name="Normal 2 2 4 32 8" xfId="23992" xr:uid="{00000000-0005-0000-0000-0000965D0000}"/>
    <cellStyle name="Normal 2 2 4 32 9" xfId="23993" xr:uid="{00000000-0005-0000-0000-0000975D0000}"/>
    <cellStyle name="Normal 2 2 4 33" xfId="23994" xr:uid="{00000000-0005-0000-0000-0000985D0000}"/>
    <cellStyle name="Normal 2 2 4 33 10" xfId="23995" xr:uid="{00000000-0005-0000-0000-0000995D0000}"/>
    <cellStyle name="Normal 2 2 4 33 11" xfId="23996" xr:uid="{00000000-0005-0000-0000-00009A5D0000}"/>
    <cellStyle name="Normal 2 2 4 33 12" xfId="23997" xr:uid="{00000000-0005-0000-0000-00009B5D0000}"/>
    <cellStyle name="Normal 2 2 4 33 13" xfId="23998" xr:uid="{00000000-0005-0000-0000-00009C5D0000}"/>
    <cellStyle name="Normal 2 2 4 33 14" xfId="23999" xr:uid="{00000000-0005-0000-0000-00009D5D0000}"/>
    <cellStyle name="Normal 2 2 4 33 2" xfId="24000" xr:uid="{00000000-0005-0000-0000-00009E5D0000}"/>
    <cellStyle name="Normal 2 2 4 33 2 10" xfId="24001" xr:uid="{00000000-0005-0000-0000-00009F5D0000}"/>
    <cellStyle name="Normal 2 2 4 33 2 2" xfId="24002" xr:uid="{00000000-0005-0000-0000-0000A05D0000}"/>
    <cellStyle name="Normal 2 2 4 33 2 3" xfId="24003" xr:uid="{00000000-0005-0000-0000-0000A15D0000}"/>
    <cellStyle name="Normal 2 2 4 33 2 4" xfId="24004" xr:uid="{00000000-0005-0000-0000-0000A25D0000}"/>
    <cellStyle name="Normal 2 2 4 33 2 5" xfId="24005" xr:uid="{00000000-0005-0000-0000-0000A35D0000}"/>
    <cellStyle name="Normal 2 2 4 33 2 6" xfId="24006" xr:uid="{00000000-0005-0000-0000-0000A45D0000}"/>
    <cellStyle name="Normal 2 2 4 33 2 7" xfId="24007" xr:uid="{00000000-0005-0000-0000-0000A55D0000}"/>
    <cellStyle name="Normal 2 2 4 33 2 8" xfId="24008" xr:uid="{00000000-0005-0000-0000-0000A65D0000}"/>
    <cellStyle name="Normal 2 2 4 33 2 9" xfId="24009" xr:uid="{00000000-0005-0000-0000-0000A75D0000}"/>
    <cellStyle name="Normal 2 2 4 33 3" xfId="24010" xr:uid="{00000000-0005-0000-0000-0000A85D0000}"/>
    <cellStyle name="Normal 2 2 4 33 3 10" xfId="24011" xr:uid="{00000000-0005-0000-0000-0000A95D0000}"/>
    <cellStyle name="Normal 2 2 4 33 3 2" xfId="24012" xr:uid="{00000000-0005-0000-0000-0000AA5D0000}"/>
    <cellStyle name="Normal 2 2 4 33 3 3" xfId="24013" xr:uid="{00000000-0005-0000-0000-0000AB5D0000}"/>
    <cellStyle name="Normal 2 2 4 33 3 4" xfId="24014" xr:uid="{00000000-0005-0000-0000-0000AC5D0000}"/>
    <cellStyle name="Normal 2 2 4 33 3 5" xfId="24015" xr:uid="{00000000-0005-0000-0000-0000AD5D0000}"/>
    <cellStyle name="Normal 2 2 4 33 3 6" xfId="24016" xr:uid="{00000000-0005-0000-0000-0000AE5D0000}"/>
    <cellStyle name="Normal 2 2 4 33 3 7" xfId="24017" xr:uid="{00000000-0005-0000-0000-0000AF5D0000}"/>
    <cellStyle name="Normal 2 2 4 33 3 8" xfId="24018" xr:uid="{00000000-0005-0000-0000-0000B05D0000}"/>
    <cellStyle name="Normal 2 2 4 33 3 9" xfId="24019" xr:uid="{00000000-0005-0000-0000-0000B15D0000}"/>
    <cellStyle name="Normal 2 2 4 33 4" xfId="24020" xr:uid="{00000000-0005-0000-0000-0000B25D0000}"/>
    <cellStyle name="Normal 2 2 4 33 4 10" xfId="24021" xr:uid="{00000000-0005-0000-0000-0000B35D0000}"/>
    <cellStyle name="Normal 2 2 4 33 4 2" xfId="24022" xr:uid="{00000000-0005-0000-0000-0000B45D0000}"/>
    <cellStyle name="Normal 2 2 4 33 4 3" xfId="24023" xr:uid="{00000000-0005-0000-0000-0000B55D0000}"/>
    <cellStyle name="Normal 2 2 4 33 4 4" xfId="24024" xr:uid="{00000000-0005-0000-0000-0000B65D0000}"/>
    <cellStyle name="Normal 2 2 4 33 4 5" xfId="24025" xr:uid="{00000000-0005-0000-0000-0000B75D0000}"/>
    <cellStyle name="Normal 2 2 4 33 4 6" xfId="24026" xr:uid="{00000000-0005-0000-0000-0000B85D0000}"/>
    <cellStyle name="Normal 2 2 4 33 4 7" xfId="24027" xr:uid="{00000000-0005-0000-0000-0000B95D0000}"/>
    <cellStyle name="Normal 2 2 4 33 4 8" xfId="24028" xr:uid="{00000000-0005-0000-0000-0000BA5D0000}"/>
    <cellStyle name="Normal 2 2 4 33 4 9" xfId="24029" xr:uid="{00000000-0005-0000-0000-0000BB5D0000}"/>
    <cellStyle name="Normal 2 2 4 33 5" xfId="24030" xr:uid="{00000000-0005-0000-0000-0000BC5D0000}"/>
    <cellStyle name="Normal 2 2 4 33 5 10" xfId="24031" xr:uid="{00000000-0005-0000-0000-0000BD5D0000}"/>
    <cellStyle name="Normal 2 2 4 33 5 2" xfId="24032" xr:uid="{00000000-0005-0000-0000-0000BE5D0000}"/>
    <cellStyle name="Normal 2 2 4 33 5 3" xfId="24033" xr:uid="{00000000-0005-0000-0000-0000BF5D0000}"/>
    <cellStyle name="Normal 2 2 4 33 5 4" xfId="24034" xr:uid="{00000000-0005-0000-0000-0000C05D0000}"/>
    <cellStyle name="Normal 2 2 4 33 5 5" xfId="24035" xr:uid="{00000000-0005-0000-0000-0000C15D0000}"/>
    <cellStyle name="Normal 2 2 4 33 5 6" xfId="24036" xr:uid="{00000000-0005-0000-0000-0000C25D0000}"/>
    <cellStyle name="Normal 2 2 4 33 5 7" xfId="24037" xr:uid="{00000000-0005-0000-0000-0000C35D0000}"/>
    <cellStyle name="Normal 2 2 4 33 5 8" xfId="24038" xr:uid="{00000000-0005-0000-0000-0000C45D0000}"/>
    <cellStyle name="Normal 2 2 4 33 5 9" xfId="24039" xr:uid="{00000000-0005-0000-0000-0000C55D0000}"/>
    <cellStyle name="Normal 2 2 4 33 6" xfId="24040" xr:uid="{00000000-0005-0000-0000-0000C65D0000}"/>
    <cellStyle name="Normal 2 2 4 33 7" xfId="24041" xr:uid="{00000000-0005-0000-0000-0000C75D0000}"/>
    <cellStyle name="Normal 2 2 4 33 8" xfId="24042" xr:uid="{00000000-0005-0000-0000-0000C85D0000}"/>
    <cellStyle name="Normal 2 2 4 33 9" xfId="24043" xr:uid="{00000000-0005-0000-0000-0000C95D0000}"/>
    <cellStyle name="Normal 2 2 4 34" xfId="24044" xr:uid="{00000000-0005-0000-0000-0000CA5D0000}"/>
    <cellStyle name="Normal 2 2 4 35" xfId="24045" xr:uid="{00000000-0005-0000-0000-0000CB5D0000}"/>
    <cellStyle name="Normal 2 2 4 36" xfId="24046" xr:uid="{00000000-0005-0000-0000-0000CC5D0000}"/>
    <cellStyle name="Normal 2 2 4 37" xfId="21774" xr:uid="{00000000-0005-0000-0000-0000CD5D0000}"/>
    <cellStyle name="Normal 2 2 4 4" xfId="24047" xr:uid="{00000000-0005-0000-0000-0000CE5D0000}"/>
    <cellStyle name="Normal 2 2 4 4 10" xfId="24048" xr:uid="{00000000-0005-0000-0000-0000CF5D0000}"/>
    <cellStyle name="Normal 2 2 4 4 11" xfId="24049" xr:uid="{00000000-0005-0000-0000-0000D05D0000}"/>
    <cellStyle name="Normal 2 2 4 4 12" xfId="24050" xr:uid="{00000000-0005-0000-0000-0000D15D0000}"/>
    <cellStyle name="Normal 2 2 4 4 13" xfId="24051" xr:uid="{00000000-0005-0000-0000-0000D25D0000}"/>
    <cellStyle name="Normal 2 2 4 4 14" xfId="24052" xr:uid="{00000000-0005-0000-0000-0000D35D0000}"/>
    <cellStyle name="Normal 2 2 4 4 2" xfId="24053" xr:uid="{00000000-0005-0000-0000-0000D45D0000}"/>
    <cellStyle name="Normal 2 2 4 4 2 10" xfId="24054" xr:uid="{00000000-0005-0000-0000-0000D55D0000}"/>
    <cellStyle name="Normal 2 2 4 4 2 2" xfId="24055" xr:uid="{00000000-0005-0000-0000-0000D65D0000}"/>
    <cellStyle name="Normal 2 2 4 4 2 3" xfId="24056" xr:uid="{00000000-0005-0000-0000-0000D75D0000}"/>
    <cellStyle name="Normal 2 2 4 4 2 4" xfId="24057" xr:uid="{00000000-0005-0000-0000-0000D85D0000}"/>
    <cellStyle name="Normal 2 2 4 4 2 5" xfId="24058" xr:uid="{00000000-0005-0000-0000-0000D95D0000}"/>
    <cellStyle name="Normal 2 2 4 4 2 6" xfId="24059" xr:uid="{00000000-0005-0000-0000-0000DA5D0000}"/>
    <cellStyle name="Normal 2 2 4 4 2 7" xfId="24060" xr:uid="{00000000-0005-0000-0000-0000DB5D0000}"/>
    <cellStyle name="Normal 2 2 4 4 2 8" xfId="24061" xr:uid="{00000000-0005-0000-0000-0000DC5D0000}"/>
    <cellStyle name="Normal 2 2 4 4 2 9" xfId="24062" xr:uid="{00000000-0005-0000-0000-0000DD5D0000}"/>
    <cellStyle name="Normal 2 2 4 4 3" xfId="24063" xr:uid="{00000000-0005-0000-0000-0000DE5D0000}"/>
    <cellStyle name="Normal 2 2 4 4 3 10" xfId="24064" xr:uid="{00000000-0005-0000-0000-0000DF5D0000}"/>
    <cellStyle name="Normal 2 2 4 4 3 2" xfId="24065" xr:uid="{00000000-0005-0000-0000-0000E05D0000}"/>
    <cellStyle name="Normal 2 2 4 4 3 3" xfId="24066" xr:uid="{00000000-0005-0000-0000-0000E15D0000}"/>
    <cellStyle name="Normal 2 2 4 4 3 4" xfId="24067" xr:uid="{00000000-0005-0000-0000-0000E25D0000}"/>
    <cellStyle name="Normal 2 2 4 4 3 5" xfId="24068" xr:uid="{00000000-0005-0000-0000-0000E35D0000}"/>
    <cellStyle name="Normal 2 2 4 4 3 6" xfId="24069" xr:uid="{00000000-0005-0000-0000-0000E45D0000}"/>
    <cellStyle name="Normal 2 2 4 4 3 7" xfId="24070" xr:uid="{00000000-0005-0000-0000-0000E55D0000}"/>
    <cellStyle name="Normal 2 2 4 4 3 8" xfId="24071" xr:uid="{00000000-0005-0000-0000-0000E65D0000}"/>
    <cellStyle name="Normal 2 2 4 4 3 9" xfId="24072" xr:uid="{00000000-0005-0000-0000-0000E75D0000}"/>
    <cellStyle name="Normal 2 2 4 4 4" xfId="24073" xr:uid="{00000000-0005-0000-0000-0000E85D0000}"/>
    <cellStyle name="Normal 2 2 4 4 4 10" xfId="24074" xr:uid="{00000000-0005-0000-0000-0000E95D0000}"/>
    <cellStyle name="Normal 2 2 4 4 4 2" xfId="24075" xr:uid="{00000000-0005-0000-0000-0000EA5D0000}"/>
    <cellStyle name="Normal 2 2 4 4 4 3" xfId="24076" xr:uid="{00000000-0005-0000-0000-0000EB5D0000}"/>
    <cellStyle name="Normal 2 2 4 4 4 4" xfId="24077" xr:uid="{00000000-0005-0000-0000-0000EC5D0000}"/>
    <cellStyle name="Normal 2 2 4 4 4 5" xfId="24078" xr:uid="{00000000-0005-0000-0000-0000ED5D0000}"/>
    <cellStyle name="Normal 2 2 4 4 4 6" xfId="24079" xr:uid="{00000000-0005-0000-0000-0000EE5D0000}"/>
    <cellStyle name="Normal 2 2 4 4 4 7" xfId="24080" xr:uid="{00000000-0005-0000-0000-0000EF5D0000}"/>
    <cellStyle name="Normal 2 2 4 4 4 8" xfId="24081" xr:uid="{00000000-0005-0000-0000-0000F05D0000}"/>
    <cellStyle name="Normal 2 2 4 4 4 9" xfId="24082" xr:uid="{00000000-0005-0000-0000-0000F15D0000}"/>
    <cellStyle name="Normal 2 2 4 4 5" xfId="24083" xr:uid="{00000000-0005-0000-0000-0000F25D0000}"/>
    <cellStyle name="Normal 2 2 4 4 5 10" xfId="24084" xr:uid="{00000000-0005-0000-0000-0000F35D0000}"/>
    <cellStyle name="Normal 2 2 4 4 5 2" xfId="24085" xr:uid="{00000000-0005-0000-0000-0000F45D0000}"/>
    <cellStyle name="Normal 2 2 4 4 5 3" xfId="24086" xr:uid="{00000000-0005-0000-0000-0000F55D0000}"/>
    <cellStyle name="Normal 2 2 4 4 5 4" xfId="24087" xr:uid="{00000000-0005-0000-0000-0000F65D0000}"/>
    <cellStyle name="Normal 2 2 4 4 5 5" xfId="24088" xr:uid="{00000000-0005-0000-0000-0000F75D0000}"/>
    <cellStyle name="Normal 2 2 4 4 5 6" xfId="24089" xr:uid="{00000000-0005-0000-0000-0000F85D0000}"/>
    <cellStyle name="Normal 2 2 4 4 5 7" xfId="24090" xr:uid="{00000000-0005-0000-0000-0000F95D0000}"/>
    <cellStyle name="Normal 2 2 4 4 5 8" xfId="24091" xr:uid="{00000000-0005-0000-0000-0000FA5D0000}"/>
    <cellStyle name="Normal 2 2 4 4 5 9" xfId="24092" xr:uid="{00000000-0005-0000-0000-0000FB5D0000}"/>
    <cellStyle name="Normal 2 2 4 4 6" xfId="24093" xr:uid="{00000000-0005-0000-0000-0000FC5D0000}"/>
    <cellStyle name="Normal 2 2 4 4 7" xfId="24094" xr:uid="{00000000-0005-0000-0000-0000FD5D0000}"/>
    <cellStyle name="Normal 2 2 4 4 8" xfId="24095" xr:uid="{00000000-0005-0000-0000-0000FE5D0000}"/>
    <cellStyle name="Normal 2 2 4 4 9" xfId="24096" xr:uid="{00000000-0005-0000-0000-0000FF5D0000}"/>
    <cellStyle name="Normal 2 2 4 5" xfId="24097" xr:uid="{00000000-0005-0000-0000-0000005E0000}"/>
    <cellStyle name="Normal 2 2 4 5 10" xfId="24098" xr:uid="{00000000-0005-0000-0000-0000015E0000}"/>
    <cellStyle name="Normal 2 2 4 5 11" xfId="24099" xr:uid="{00000000-0005-0000-0000-0000025E0000}"/>
    <cellStyle name="Normal 2 2 4 5 12" xfId="24100" xr:uid="{00000000-0005-0000-0000-0000035E0000}"/>
    <cellStyle name="Normal 2 2 4 5 13" xfId="24101" xr:uid="{00000000-0005-0000-0000-0000045E0000}"/>
    <cellStyle name="Normal 2 2 4 5 14" xfId="24102" xr:uid="{00000000-0005-0000-0000-0000055E0000}"/>
    <cellStyle name="Normal 2 2 4 5 2" xfId="24103" xr:uid="{00000000-0005-0000-0000-0000065E0000}"/>
    <cellStyle name="Normal 2 2 4 5 2 10" xfId="24104" xr:uid="{00000000-0005-0000-0000-0000075E0000}"/>
    <cellStyle name="Normal 2 2 4 5 2 2" xfId="24105" xr:uid="{00000000-0005-0000-0000-0000085E0000}"/>
    <cellStyle name="Normal 2 2 4 5 2 3" xfId="24106" xr:uid="{00000000-0005-0000-0000-0000095E0000}"/>
    <cellStyle name="Normal 2 2 4 5 2 4" xfId="24107" xr:uid="{00000000-0005-0000-0000-00000A5E0000}"/>
    <cellStyle name="Normal 2 2 4 5 2 5" xfId="24108" xr:uid="{00000000-0005-0000-0000-00000B5E0000}"/>
    <cellStyle name="Normal 2 2 4 5 2 6" xfId="24109" xr:uid="{00000000-0005-0000-0000-00000C5E0000}"/>
    <cellStyle name="Normal 2 2 4 5 2 7" xfId="24110" xr:uid="{00000000-0005-0000-0000-00000D5E0000}"/>
    <cellStyle name="Normal 2 2 4 5 2 8" xfId="24111" xr:uid="{00000000-0005-0000-0000-00000E5E0000}"/>
    <cellStyle name="Normal 2 2 4 5 2 9" xfId="24112" xr:uid="{00000000-0005-0000-0000-00000F5E0000}"/>
    <cellStyle name="Normal 2 2 4 5 3" xfId="24113" xr:uid="{00000000-0005-0000-0000-0000105E0000}"/>
    <cellStyle name="Normal 2 2 4 5 3 10" xfId="24114" xr:uid="{00000000-0005-0000-0000-0000115E0000}"/>
    <cellStyle name="Normal 2 2 4 5 3 2" xfId="24115" xr:uid="{00000000-0005-0000-0000-0000125E0000}"/>
    <cellStyle name="Normal 2 2 4 5 3 3" xfId="24116" xr:uid="{00000000-0005-0000-0000-0000135E0000}"/>
    <cellStyle name="Normal 2 2 4 5 3 4" xfId="24117" xr:uid="{00000000-0005-0000-0000-0000145E0000}"/>
    <cellStyle name="Normal 2 2 4 5 3 5" xfId="24118" xr:uid="{00000000-0005-0000-0000-0000155E0000}"/>
    <cellStyle name="Normal 2 2 4 5 3 6" xfId="24119" xr:uid="{00000000-0005-0000-0000-0000165E0000}"/>
    <cellStyle name="Normal 2 2 4 5 3 7" xfId="24120" xr:uid="{00000000-0005-0000-0000-0000175E0000}"/>
    <cellStyle name="Normal 2 2 4 5 3 8" xfId="24121" xr:uid="{00000000-0005-0000-0000-0000185E0000}"/>
    <cellStyle name="Normal 2 2 4 5 3 9" xfId="24122" xr:uid="{00000000-0005-0000-0000-0000195E0000}"/>
    <cellStyle name="Normal 2 2 4 5 4" xfId="24123" xr:uid="{00000000-0005-0000-0000-00001A5E0000}"/>
    <cellStyle name="Normal 2 2 4 5 4 10" xfId="24124" xr:uid="{00000000-0005-0000-0000-00001B5E0000}"/>
    <cellStyle name="Normal 2 2 4 5 4 2" xfId="24125" xr:uid="{00000000-0005-0000-0000-00001C5E0000}"/>
    <cellStyle name="Normal 2 2 4 5 4 3" xfId="24126" xr:uid="{00000000-0005-0000-0000-00001D5E0000}"/>
    <cellStyle name="Normal 2 2 4 5 4 4" xfId="24127" xr:uid="{00000000-0005-0000-0000-00001E5E0000}"/>
    <cellStyle name="Normal 2 2 4 5 4 5" xfId="24128" xr:uid="{00000000-0005-0000-0000-00001F5E0000}"/>
    <cellStyle name="Normal 2 2 4 5 4 6" xfId="24129" xr:uid="{00000000-0005-0000-0000-0000205E0000}"/>
    <cellStyle name="Normal 2 2 4 5 4 7" xfId="24130" xr:uid="{00000000-0005-0000-0000-0000215E0000}"/>
    <cellStyle name="Normal 2 2 4 5 4 8" xfId="24131" xr:uid="{00000000-0005-0000-0000-0000225E0000}"/>
    <cellStyle name="Normal 2 2 4 5 4 9" xfId="24132" xr:uid="{00000000-0005-0000-0000-0000235E0000}"/>
    <cellStyle name="Normal 2 2 4 5 5" xfId="24133" xr:uid="{00000000-0005-0000-0000-0000245E0000}"/>
    <cellStyle name="Normal 2 2 4 5 5 10" xfId="24134" xr:uid="{00000000-0005-0000-0000-0000255E0000}"/>
    <cellStyle name="Normal 2 2 4 5 5 2" xfId="24135" xr:uid="{00000000-0005-0000-0000-0000265E0000}"/>
    <cellStyle name="Normal 2 2 4 5 5 3" xfId="24136" xr:uid="{00000000-0005-0000-0000-0000275E0000}"/>
    <cellStyle name="Normal 2 2 4 5 5 4" xfId="24137" xr:uid="{00000000-0005-0000-0000-0000285E0000}"/>
    <cellStyle name="Normal 2 2 4 5 5 5" xfId="24138" xr:uid="{00000000-0005-0000-0000-0000295E0000}"/>
    <cellStyle name="Normal 2 2 4 5 5 6" xfId="24139" xr:uid="{00000000-0005-0000-0000-00002A5E0000}"/>
    <cellStyle name="Normal 2 2 4 5 5 7" xfId="24140" xr:uid="{00000000-0005-0000-0000-00002B5E0000}"/>
    <cellStyle name="Normal 2 2 4 5 5 8" xfId="24141" xr:uid="{00000000-0005-0000-0000-00002C5E0000}"/>
    <cellStyle name="Normal 2 2 4 5 5 9" xfId="24142" xr:uid="{00000000-0005-0000-0000-00002D5E0000}"/>
    <cellStyle name="Normal 2 2 4 5 6" xfId="24143" xr:uid="{00000000-0005-0000-0000-00002E5E0000}"/>
    <cellStyle name="Normal 2 2 4 5 7" xfId="24144" xr:uid="{00000000-0005-0000-0000-00002F5E0000}"/>
    <cellStyle name="Normal 2 2 4 5 8" xfId="24145" xr:uid="{00000000-0005-0000-0000-0000305E0000}"/>
    <cellStyle name="Normal 2 2 4 5 9" xfId="24146" xr:uid="{00000000-0005-0000-0000-0000315E0000}"/>
    <cellStyle name="Normal 2 2 4 6" xfId="24147" xr:uid="{00000000-0005-0000-0000-0000325E0000}"/>
    <cellStyle name="Normal 2 2 4 6 10" xfId="24148" xr:uid="{00000000-0005-0000-0000-0000335E0000}"/>
    <cellStyle name="Normal 2 2 4 6 11" xfId="24149" xr:uid="{00000000-0005-0000-0000-0000345E0000}"/>
    <cellStyle name="Normal 2 2 4 6 12" xfId="24150" xr:uid="{00000000-0005-0000-0000-0000355E0000}"/>
    <cellStyle name="Normal 2 2 4 6 13" xfId="24151" xr:uid="{00000000-0005-0000-0000-0000365E0000}"/>
    <cellStyle name="Normal 2 2 4 6 14" xfId="24152" xr:uid="{00000000-0005-0000-0000-0000375E0000}"/>
    <cellStyle name="Normal 2 2 4 6 2" xfId="24153" xr:uid="{00000000-0005-0000-0000-0000385E0000}"/>
    <cellStyle name="Normal 2 2 4 6 2 10" xfId="24154" xr:uid="{00000000-0005-0000-0000-0000395E0000}"/>
    <cellStyle name="Normal 2 2 4 6 2 2" xfId="24155" xr:uid="{00000000-0005-0000-0000-00003A5E0000}"/>
    <cellStyle name="Normal 2 2 4 6 2 3" xfId="24156" xr:uid="{00000000-0005-0000-0000-00003B5E0000}"/>
    <cellStyle name="Normal 2 2 4 6 2 4" xfId="24157" xr:uid="{00000000-0005-0000-0000-00003C5E0000}"/>
    <cellStyle name="Normal 2 2 4 6 2 5" xfId="24158" xr:uid="{00000000-0005-0000-0000-00003D5E0000}"/>
    <cellStyle name="Normal 2 2 4 6 2 6" xfId="24159" xr:uid="{00000000-0005-0000-0000-00003E5E0000}"/>
    <cellStyle name="Normal 2 2 4 6 2 7" xfId="24160" xr:uid="{00000000-0005-0000-0000-00003F5E0000}"/>
    <cellStyle name="Normal 2 2 4 6 2 8" xfId="24161" xr:uid="{00000000-0005-0000-0000-0000405E0000}"/>
    <cellStyle name="Normal 2 2 4 6 2 9" xfId="24162" xr:uid="{00000000-0005-0000-0000-0000415E0000}"/>
    <cellStyle name="Normal 2 2 4 6 3" xfId="24163" xr:uid="{00000000-0005-0000-0000-0000425E0000}"/>
    <cellStyle name="Normal 2 2 4 6 3 10" xfId="24164" xr:uid="{00000000-0005-0000-0000-0000435E0000}"/>
    <cellStyle name="Normal 2 2 4 6 3 2" xfId="24165" xr:uid="{00000000-0005-0000-0000-0000445E0000}"/>
    <cellStyle name="Normal 2 2 4 6 3 3" xfId="24166" xr:uid="{00000000-0005-0000-0000-0000455E0000}"/>
    <cellStyle name="Normal 2 2 4 6 3 4" xfId="24167" xr:uid="{00000000-0005-0000-0000-0000465E0000}"/>
    <cellStyle name="Normal 2 2 4 6 3 5" xfId="24168" xr:uid="{00000000-0005-0000-0000-0000475E0000}"/>
    <cellStyle name="Normal 2 2 4 6 3 6" xfId="24169" xr:uid="{00000000-0005-0000-0000-0000485E0000}"/>
    <cellStyle name="Normal 2 2 4 6 3 7" xfId="24170" xr:uid="{00000000-0005-0000-0000-0000495E0000}"/>
    <cellStyle name="Normal 2 2 4 6 3 8" xfId="24171" xr:uid="{00000000-0005-0000-0000-00004A5E0000}"/>
    <cellStyle name="Normal 2 2 4 6 3 9" xfId="24172" xr:uid="{00000000-0005-0000-0000-00004B5E0000}"/>
    <cellStyle name="Normal 2 2 4 6 4" xfId="24173" xr:uid="{00000000-0005-0000-0000-00004C5E0000}"/>
    <cellStyle name="Normal 2 2 4 6 4 10" xfId="24174" xr:uid="{00000000-0005-0000-0000-00004D5E0000}"/>
    <cellStyle name="Normal 2 2 4 6 4 2" xfId="24175" xr:uid="{00000000-0005-0000-0000-00004E5E0000}"/>
    <cellStyle name="Normal 2 2 4 6 4 3" xfId="24176" xr:uid="{00000000-0005-0000-0000-00004F5E0000}"/>
    <cellStyle name="Normal 2 2 4 6 4 4" xfId="24177" xr:uid="{00000000-0005-0000-0000-0000505E0000}"/>
    <cellStyle name="Normal 2 2 4 6 4 5" xfId="24178" xr:uid="{00000000-0005-0000-0000-0000515E0000}"/>
    <cellStyle name="Normal 2 2 4 6 4 6" xfId="24179" xr:uid="{00000000-0005-0000-0000-0000525E0000}"/>
    <cellStyle name="Normal 2 2 4 6 4 7" xfId="24180" xr:uid="{00000000-0005-0000-0000-0000535E0000}"/>
    <cellStyle name="Normal 2 2 4 6 4 8" xfId="24181" xr:uid="{00000000-0005-0000-0000-0000545E0000}"/>
    <cellStyle name="Normal 2 2 4 6 4 9" xfId="24182" xr:uid="{00000000-0005-0000-0000-0000555E0000}"/>
    <cellStyle name="Normal 2 2 4 6 5" xfId="24183" xr:uid="{00000000-0005-0000-0000-0000565E0000}"/>
    <cellStyle name="Normal 2 2 4 6 5 10" xfId="24184" xr:uid="{00000000-0005-0000-0000-0000575E0000}"/>
    <cellStyle name="Normal 2 2 4 6 5 2" xfId="24185" xr:uid="{00000000-0005-0000-0000-0000585E0000}"/>
    <cellStyle name="Normal 2 2 4 6 5 3" xfId="24186" xr:uid="{00000000-0005-0000-0000-0000595E0000}"/>
    <cellStyle name="Normal 2 2 4 6 5 4" xfId="24187" xr:uid="{00000000-0005-0000-0000-00005A5E0000}"/>
    <cellStyle name="Normal 2 2 4 6 5 5" xfId="24188" xr:uid="{00000000-0005-0000-0000-00005B5E0000}"/>
    <cellStyle name="Normal 2 2 4 6 5 6" xfId="24189" xr:uid="{00000000-0005-0000-0000-00005C5E0000}"/>
    <cellStyle name="Normal 2 2 4 6 5 7" xfId="24190" xr:uid="{00000000-0005-0000-0000-00005D5E0000}"/>
    <cellStyle name="Normal 2 2 4 6 5 8" xfId="24191" xr:uid="{00000000-0005-0000-0000-00005E5E0000}"/>
    <cellStyle name="Normal 2 2 4 6 5 9" xfId="24192" xr:uid="{00000000-0005-0000-0000-00005F5E0000}"/>
    <cellStyle name="Normal 2 2 4 6 6" xfId="24193" xr:uid="{00000000-0005-0000-0000-0000605E0000}"/>
    <cellStyle name="Normal 2 2 4 6 7" xfId="24194" xr:uid="{00000000-0005-0000-0000-0000615E0000}"/>
    <cellStyle name="Normal 2 2 4 6 8" xfId="24195" xr:uid="{00000000-0005-0000-0000-0000625E0000}"/>
    <cellStyle name="Normal 2 2 4 6 9" xfId="24196" xr:uid="{00000000-0005-0000-0000-0000635E0000}"/>
    <cellStyle name="Normal 2 2 4 7" xfId="24197" xr:uid="{00000000-0005-0000-0000-0000645E0000}"/>
    <cellStyle name="Normal 2 2 4 7 10" xfId="24198" xr:uid="{00000000-0005-0000-0000-0000655E0000}"/>
    <cellStyle name="Normal 2 2 4 7 11" xfId="24199" xr:uid="{00000000-0005-0000-0000-0000665E0000}"/>
    <cellStyle name="Normal 2 2 4 7 12" xfId="24200" xr:uid="{00000000-0005-0000-0000-0000675E0000}"/>
    <cellStyle name="Normal 2 2 4 7 13" xfId="24201" xr:uid="{00000000-0005-0000-0000-0000685E0000}"/>
    <cellStyle name="Normal 2 2 4 7 14" xfId="24202" xr:uid="{00000000-0005-0000-0000-0000695E0000}"/>
    <cellStyle name="Normal 2 2 4 7 2" xfId="24203" xr:uid="{00000000-0005-0000-0000-00006A5E0000}"/>
    <cellStyle name="Normal 2 2 4 7 2 10" xfId="24204" xr:uid="{00000000-0005-0000-0000-00006B5E0000}"/>
    <cellStyle name="Normal 2 2 4 7 2 2" xfId="24205" xr:uid="{00000000-0005-0000-0000-00006C5E0000}"/>
    <cellStyle name="Normal 2 2 4 7 2 3" xfId="24206" xr:uid="{00000000-0005-0000-0000-00006D5E0000}"/>
    <cellStyle name="Normal 2 2 4 7 2 4" xfId="24207" xr:uid="{00000000-0005-0000-0000-00006E5E0000}"/>
    <cellStyle name="Normal 2 2 4 7 2 5" xfId="24208" xr:uid="{00000000-0005-0000-0000-00006F5E0000}"/>
    <cellStyle name="Normal 2 2 4 7 2 6" xfId="24209" xr:uid="{00000000-0005-0000-0000-0000705E0000}"/>
    <cellStyle name="Normal 2 2 4 7 2 7" xfId="24210" xr:uid="{00000000-0005-0000-0000-0000715E0000}"/>
    <cellStyle name="Normal 2 2 4 7 2 8" xfId="24211" xr:uid="{00000000-0005-0000-0000-0000725E0000}"/>
    <cellStyle name="Normal 2 2 4 7 2 9" xfId="24212" xr:uid="{00000000-0005-0000-0000-0000735E0000}"/>
    <cellStyle name="Normal 2 2 4 7 3" xfId="24213" xr:uid="{00000000-0005-0000-0000-0000745E0000}"/>
    <cellStyle name="Normal 2 2 4 7 3 10" xfId="24214" xr:uid="{00000000-0005-0000-0000-0000755E0000}"/>
    <cellStyle name="Normal 2 2 4 7 3 2" xfId="24215" xr:uid="{00000000-0005-0000-0000-0000765E0000}"/>
    <cellStyle name="Normal 2 2 4 7 3 3" xfId="24216" xr:uid="{00000000-0005-0000-0000-0000775E0000}"/>
    <cellStyle name="Normal 2 2 4 7 3 4" xfId="24217" xr:uid="{00000000-0005-0000-0000-0000785E0000}"/>
    <cellStyle name="Normal 2 2 4 7 3 5" xfId="24218" xr:uid="{00000000-0005-0000-0000-0000795E0000}"/>
    <cellStyle name="Normal 2 2 4 7 3 6" xfId="24219" xr:uid="{00000000-0005-0000-0000-00007A5E0000}"/>
    <cellStyle name="Normal 2 2 4 7 3 7" xfId="24220" xr:uid="{00000000-0005-0000-0000-00007B5E0000}"/>
    <cellStyle name="Normal 2 2 4 7 3 8" xfId="24221" xr:uid="{00000000-0005-0000-0000-00007C5E0000}"/>
    <cellStyle name="Normal 2 2 4 7 3 9" xfId="24222" xr:uid="{00000000-0005-0000-0000-00007D5E0000}"/>
    <cellStyle name="Normal 2 2 4 7 4" xfId="24223" xr:uid="{00000000-0005-0000-0000-00007E5E0000}"/>
    <cellStyle name="Normal 2 2 4 7 4 10" xfId="24224" xr:uid="{00000000-0005-0000-0000-00007F5E0000}"/>
    <cellStyle name="Normal 2 2 4 7 4 2" xfId="24225" xr:uid="{00000000-0005-0000-0000-0000805E0000}"/>
    <cellStyle name="Normal 2 2 4 7 4 3" xfId="24226" xr:uid="{00000000-0005-0000-0000-0000815E0000}"/>
    <cellStyle name="Normal 2 2 4 7 4 4" xfId="24227" xr:uid="{00000000-0005-0000-0000-0000825E0000}"/>
    <cellStyle name="Normal 2 2 4 7 4 5" xfId="24228" xr:uid="{00000000-0005-0000-0000-0000835E0000}"/>
    <cellStyle name="Normal 2 2 4 7 4 6" xfId="24229" xr:uid="{00000000-0005-0000-0000-0000845E0000}"/>
    <cellStyle name="Normal 2 2 4 7 4 7" xfId="24230" xr:uid="{00000000-0005-0000-0000-0000855E0000}"/>
    <cellStyle name="Normal 2 2 4 7 4 8" xfId="24231" xr:uid="{00000000-0005-0000-0000-0000865E0000}"/>
    <cellStyle name="Normal 2 2 4 7 4 9" xfId="24232" xr:uid="{00000000-0005-0000-0000-0000875E0000}"/>
    <cellStyle name="Normal 2 2 4 7 5" xfId="24233" xr:uid="{00000000-0005-0000-0000-0000885E0000}"/>
    <cellStyle name="Normal 2 2 4 7 5 10" xfId="24234" xr:uid="{00000000-0005-0000-0000-0000895E0000}"/>
    <cellStyle name="Normal 2 2 4 7 5 2" xfId="24235" xr:uid="{00000000-0005-0000-0000-00008A5E0000}"/>
    <cellStyle name="Normal 2 2 4 7 5 3" xfId="24236" xr:uid="{00000000-0005-0000-0000-00008B5E0000}"/>
    <cellStyle name="Normal 2 2 4 7 5 4" xfId="24237" xr:uid="{00000000-0005-0000-0000-00008C5E0000}"/>
    <cellStyle name="Normal 2 2 4 7 5 5" xfId="24238" xr:uid="{00000000-0005-0000-0000-00008D5E0000}"/>
    <cellStyle name="Normal 2 2 4 7 5 6" xfId="24239" xr:uid="{00000000-0005-0000-0000-00008E5E0000}"/>
    <cellStyle name="Normal 2 2 4 7 5 7" xfId="24240" xr:uid="{00000000-0005-0000-0000-00008F5E0000}"/>
    <cellStyle name="Normal 2 2 4 7 5 8" xfId="24241" xr:uid="{00000000-0005-0000-0000-0000905E0000}"/>
    <cellStyle name="Normal 2 2 4 7 5 9" xfId="24242" xr:uid="{00000000-0005-0000-0000-0000915E0000}"/>
    <cellStyle name="Normal 2 2 4 7 6" xfId="24243" xr:uid="{00000000-0005-0000-0000-0000925E0000}"/>
    <cellStyle name="Normal 2 2 4 7 7" xfId="24244" xr:uid="{00000000-0005-0000-0000-0000935E0000}"/>
    <cellStyle name="Normal 2 2 4 7 8" xfId="24245" xr:uid="{00000000-0005-0000-0000-0000945E0000}"/>
    <cellStyle name="Normal 2 2 4 7 9" xfId="24246" xr:uid="{00000000-0005-0000-0000-0000955E0000}"/>
    <cellStyle name="Normal 2 2 4 8" xfId="24247" xr:uid="{00000000-0005-0000-0000-0000965E0000}"/>
    <cellStyle name="Normal 2 2 4 8 10" xfId="24248" xr:uid="{00000000-0005-0000-0000-0000975E0000}"/>
    <cellStyle name="Normal 2 2 4 8 11" xfId="24249" xr:uid="{00000000-0005-0000-0000-0000985E0000}"/>
    <cellStyle name="Normal 2 2 4 8 12" xfId="24250" xr:uid="{00000000-0005-0000-0000-0000995E0000}"/>
    <cellStyle name="Normal 2 2 4 8 13" xfId="24251" xr:uid="{00000000-0005-0000-0000-00009A5E0000}"/>
    <cellStyle name="Normal 2 2 4 8 14" xfId="24252" xr:uid="{00000000-0005-0000-0000-00009B5E0000}"/>
    <cellStyle name="Normal 2 2 4 8 2" xfId="24253" xr:uid="{00000000-0005-0000-0000-00009C5E0000}"/>
    <cellStyle name="Normal 2 2 4 8 2 10" xfId="24254" xr:uid="{00000000-0005-0000-0000-00009D5E0000}"/>
    <cellStyle name="Normal 2 2 4 8 2 2" xfId="24255" xr:uid="{00000000-0005-0000-0000-00009E5E0000}"/>
    <cellStyle name="Normal 2 2 4 8 2 3" xfId="24256" xr:uid="{00000000-0005-0000-0000-00009F5E0000}"/>
    <cellStyle name="Normal 2 2 4 8 2 4" xfId="24257" xr:uid="{00000000-0005-0000-0000-0000A05E0000}"/>
    <cellStyle name="Normal 2 2 4 8 2 5" xfId="24258" xr:uid="{00000000-0005-0000-0000-0000A15E0000}"/>
    <cellStyle name="Normal 2 2 4 8 2 6" xfId="24259" xr:uid="{00000000-0005-0000-0000-0000A25E0000}"/>
    <cellStyle name="Normal 2 2 4 8 2 7" xfId="24260" xr:uid="{00000000-0005-0000-0000-0000A35E0000}"/>
    <cellStyle name="Normal 2 2 4 8 2 8" xfId="24261" xr:uid="{00000000-0005-0000-0000-0000A45E0000}"/>
    <cellStyle name="Normal 2 2 4 8 2 9" xfId="24262" xr:uid="{00000000-0005-0000-0000-0000A55E0000}"/>
    <cellStyle name="Normal 2 2 4 8 3" xfId="24263" xr:uid="{00000000-0005-0000-0000-0000A65E0000}"/>
    <cellStyle name="Normal 2 2 4 8 3 10" xfId="24264" xr:uid="{00000000-0005-0000-0000-0000A75E0000}"/>
    <cellStyle name="Normal 2 2 4 8 3 2" xfId="24265" xr:uid="{00000000-0005-0000-0000-0000A85E0000}"/>
    <cellStyle name="Normal 2 2 4 8 3 3" xfId="24266" xr:uid="{00000000-0005-0000-0000-0000A95E0000}"/>
    <cellStyle name="Normal 2 2 4 8 3 4" xfId="24267" xr:uid="{00000000-0005-0000-0000-0000AA5E0000}"/>
    <cellStyle name="Normal 2 2 4 8 3 5" xfId="24268" xr:uid="{00000000-0005-0000-0000-0000AB5E0000}"/>
    <cellStyle name="Normal 2 2 4 8 3 6" xfId="24269" xr:uid="{00000000-0005-0000-0000-0000AC5E0000}"/>
    <cellStyle name="Normal 2 2 4 8 3 7" xfId="24270" xr:uid="{00000000-0005-0000-0000-0000AD5E0000}"/>
    <cellStyle name="Normal 2 2 4 8 3 8" xfId="24271" xr:uid="{00000000-0005-0000-0000-0000AE5E0000}"/>
    <cellStyle name="Normal 2 2 4 8 3 9" xfId="24272" xr:uid="{00000000-0005-0000-0000-0000AF5E0000}"/>
    <cellStyle name="Normal 2 2 4 8 4" xfId="24273" xr:uid="{00000000-0005-0000-0000-0000B05E0000}"/>
    <cellStyle name="Normal 2 2 4 8 4 10" xfId="24274" xr:uid="{00000000-0005-0000-0000-0000B15E0000}"/>
    <cellStyle name="Normal 2 2 4 8 4 2" xfId="24275" xr:uid="{00000000-0005-0000-0000-0000B25E0000}"/>
    <cellStyle name="Normal 2 2 4 8 4 3" xfId="24276" xr:uid="{00000000-0005-0000-0000-0000B35E0000}"/>
    <cellStyle name="Normal 2 2 4 8 4 4" xfId="24277" xr:uid="{00000000-0005-0000-0000-0000B45E0000}"/>
    <cellStyle name="Normal 2 2 4 8 4 5" xfId="24278" xr:uid="{00000000-0005-0000-0000-0000B55E0000}"/>
    <cellStyle name="Normal 2 2 4 8 4 6" xfId="24279" xr:uid="{00000000-0005-0000-0000-0000B65E0000}"/>
    <cellStyle name="Normal 2 2 4 8 4 7" xfId="24280" xr:uid="{00000000-0005-0000-0000-0000B75E0000}"/>
    <cellStyle name="Normal 2 2 4 8 4 8" xfId="24281" xr:uid="{00000000-0005-0000-0000-0000B85E0000}"/>
    <cellStyle name="Normal 2 2 4 8 4 9" xfId="24282" xr:uid="{00000000-0005-0000-0000-0000B95E0000}"/>
    <cellStyle name="Normal 2 2 4 8 5" xfId="24283" xr:uid="{00000000-0005-0000-0000-0000BA5E0000}"/>
    <cellStyle name="Normal 2 2 4 8 5 10" xfId="24284" xr:uid="{00000000-0005-0000-0000-0000BB5E0000}"/>
    <cellStyle name="Normal 2 2 4 8 5 2" xfId="24285" xr:uid="{00000000-0005-0000-0000-0000BC5E0000}"/>
    <cellStyle name="Normal 2 2 4 8 5 3" xfId="24286" xr:uid="{00000000-0005-0000-0000-0000BD5E0000}"/>
    <cellStyle name="Normal 2 2 4 8 5 4" xfId="24287" xr:uid="{00000000-0005-0000-0000-0000BE5E0000}"/>
    <cellStyle name="Normal 2 2 4 8 5 5" xfId="24288" xr:uid="{00000000-0005-0000-0000-0000BF5E0000}"/>
    <cellStyle name="Normal 2 2 4 8 5 6" xfId="24289" xr:uid="{00000000-0005-0000-0000-0000C05E0000}"/>
    <cellStyle name="Normal 2 2 4 8 5 7" xfId="24290" xr:uid="{00000000-0005-0000-0000-0000C15E0000}"/>
    <cellStyle name="Normal 2 2 4 8 5 8" xfId="24291" xr:uid="{00000000-0005-0000-0000-0000C25E0000}"/>
    <cellStyle name="Normal 2 2 4 8 5 9" xfId="24292" xr:uid="{00000000-0005-0000-0000-0000C35E0000}"/>
    <cellStyle name="Normal 2 2 4 8 6" xfId="24293" xr:uid="{00000000-0005-0000-0000-0000C45E0000}"/>
    <cellStyle name="Normal 2 2 4 8 7" xfId="24294" xr:uid="{00000000-0005-0000-0000-0000C55E0000}"/>
    <cellStyle name="Normal 2 2 4 8 8" xfId="24295" xr:uid="{00000000-0005-0000-0000-0000C65E0000}"/>
    <cellStyle name="Normal 2 2 4 8 9" xfId="24296" xr:uid="{00000000-0005-0000-0000-0000C75E0000}"/>
    <cellStyle name="Normal 2 2 4 9" xfId="24297" xr:uid="{00000000-0005-0000-0000-0000C85E0000}"/>
    <cellStyle name="Normal 2 2 4 9 10" xfId="24298" xr:uid="{00000000-0005-0000-0000-0000C95E0000}"/>
    <cellStyle name="Normal 2 2 4 9 11" xfId="24299" xr:uid="{00000000-0005-0000-0000-0000CA5E0000}"/>
    <cellStyle name="Normal 2 2 4 9 12" xfId="24300" xr:uid="{00000000-0005-0000-0000-0000CB5E0000}"/>
    <cellStyle name="Normal 2 2 4 9 13" xfId="24301" xr:uid="{00000000-0005-0000-0000-0000CC5E0000}"/>
    <cellStyle name="Normal 2 2 4 9 14" xfId="24302" xr:uid="{00000000-0005-0000-0000-0000CD5E0000}"/>
    <cellStyle name="Normal 2 2 4 9 2" xfId="24303" xr:uid="{00000000-0005-0000-0000-0000CE5E0000}"/>
    <cellStyle name="Normal 2 2 4 9 2 10" xfId="24304" xr:uid="{00000000-0005-0000-0000-0000CF5E0000}"/>
    <cellStyle name="Normal 2 2 4 9 2 2" xfId="24305" xr:uid="{00000000-0005-0000-0000-0000D05E0000}"/>
    <cellStyle name="Normal 2 2 4 9 2 3" xfId="24306" xr:uid="{00000000-0005-0000-0000-0000D15E0000}"/>
    <cellStyle name="Normal 2 2 4 9 2 4" xfId="24307" xr:uid="{00000000-0005-0000-0000-0000D25E0000}"/>
    <cellStyle name="Normal 2 2 4 9 2 5" xfId="24308" xr:uid="{00000000-0005-0000-0000-0000D35E0000}"/>
    <cellStyle name="Normal 2 2 4 9 2 6" xfId="24309" xr:uid="{00000000-0005-0000-0000-0000D45E0000}"/>
    <cellStyle name="Normal 2 2 4 9 2 7" xfId="24310" xr:uid="{00000000-0005-0000-0000-0000D55E0000}"/>
    <cellStyle name="Normal 2 2 4 9 2 8" xfId="24311" xr:uid="{00000000-0005-0000-0000-0000D65E0000}"/>
    <cellStyle name="Normal 2 2 4 9 2 9" xfId="24312" xr:uid="{00000000-0005-0000-0000-0000D75E0000}"/>
    <cellStyle name="Normal 2 2 4 9 3" xfId="24313" xr:uid="{00000000-0005-0000-0000-0000D85E0000}"/>
    <cellStyle name="Normal 2 2 4 9 3 10" xfId="24314" xr:uid="{00000000-0005-0000-0000-0000D95E0000}"/>
    <cellStyle name="Normal 2 2 4 9 3 2" xfId="24315" xr:uid="{00000000-0005-0000-0000-0000DA5E0000}"/>
    <cellStyle name="Normal 2 2 4 9 3 3" xfId="24316" xr:uid="{00000000-0005-0000-0000-0000DB5E0000}"/>
    <cellStyle name="Normal 2 2 4 9 3 4" xfId="24317" xr:uid="{00000000-0005-0000-0000-0000DC5E0000}"/>
    <cellStyle name="Normal 2 2 4 9 3 5" xfId="24318" xr:uid="{00000000-0005-0000-0000-0000DD5E0000}"/>
    <cellStyle name="Normal 2 2 4 9 3 6" xfId="24319" xr:uid="{00000000-0005-0000-0000-0000DE5E0000}"/>
    <cellStyle name="Normal 2 2 4 9 3 7" xfId="24320" xr:uid="{00000000-0005-0000-0000-0000DF5E0000}"/>
    <cellStyle name="Normal 2 2 4 9 3 8" xfId="24321" xr:uid="{00000000-0005-0000-0000-0000E05E0000}"/>
    <cellStyle name="Normal 2 2 4 9 3 9" xfId="24322" xr:uid="{00000000-0005-0000-0000-0000E15E0000}"/>
    <cellStyle name="Normal 2 2 4 9 4" xfId="24323" xr:uid="{00000000-0005-0000-0000-0000E25E0000}"/>
    <cellStyle name="Normal 2 2 4 9 4 10" xfId="24324" xr:uid="{00000000-0005-0000-0000-0000E35E0000}"/>
    <cellStyle name="Normal 2 2 4 9 4 2" xfId="24325" xr:uid="{00000000-0005-0000-0000-0000E45E0000}"/>
    <cellStyle name="Normal 2 2 4 9 4 3" xfId="24326" xr:uid="{00000000-0005-0000-0000-0000E55E0000}"/>
    <cellStyle name="Normal 2 2 4 9 4 4" xfId="24327" xr:uid="{00000000-0005-0000-0000-0000E65E0000}"/>
    <cellStyle name="Normal 2 2 4 9 4 5" xfId="24328" xr:uid="{00000000-0005-0000-0000-0000E75E0000}"/>
    <cellStyle name="Normal 2 2 4 9 4 6" xfId="24329" xr:uid="{00000000-0005-0000-0000-0000E85E0000}"/>
    <cellStyle name="Normal 2 2 4 9 4 7" xfId="24330" xr:uid="{00000000-0005-0000-0000-0000E95E0000}"/>
    <cellStyle name="Normal 2 2 4 9 4 8" xfId="24331" xr:uid="{00000000-0005-0000-0000-0000EA5E0000}"/>
    <cellStyle name="Normal 2 2 4 9 4 9" xfId="24332" xr:uid="{00000000-0005-0000-0000-0000EB5E0000}"/>
    <cellStyle name="Normal 2 2 4 9 5" xfId="24333" xr:uid="{00000000-0005-0000-0000-0000EC5E0000}"/>
    <cellStyle name="Normal 2 2 4 9 5 10" xfId="24334" xr:uid="{00000000-0005-0000-0000-0000ED5E0000}"/>
    <cellStyle name="Normal 2 2 4 9 5 2" xfId="24335" xr:uid="{00000000-0005-0000-0000-0000EE5E0000}"/>
    <cellStyle name="Normal 2 2 4 9 5 3" xfId="24336" xr:uid="{00000000-0005-0000-0000-0000EF5E0000}"/>
    <cellStyle name="Normal 2 2 4 9 5 4" xfId="24337" xr:uid="{00000000-0005-0000-0000-0000F05E0000}"/>
    <cellStyle name="Normal 2 2 4 9 5 5" xfId="24338" xr:uid="{00000000-0005-0000-0000-0000F15E0000}"/>
    <cellStyle name="Normal 2 2 4 9 5 6" xfId="24339" xr:uid="{00000000-0005-0000-0000-0000F25E0000}"/>
    <cellStyle name="Normal 2 2 4 9 5 7" xfId="24340" xr:uid="{00000000-0005-0000-0000-0000F35E0000}"/>
    <cellStyle name="Normal 2 2 4 9 5 8" xfId="24341" xr:uid="{00000000-0005-0000-0000-0000F45E0000}"/>
    <cellStyle name="Normal 2 2 4 9 5 9" xfId="24342" xr:uid="{00000000-0005-0000-0000-0000F55E0000}"/>
    <cellStyle name="Normal 2 2 4 9 6" xfId="24343" xr:uid="{00000000-0005-0000-0000-0000F65E0000}"/>
    <cellStyle name="Normal 2 2 4 9 7" xfId="24344" xr:uid="{00000000-0005-0000-0000-0000F75E0000}"/>
    <cellStyle name="Normal 2 2 4 9 8" xfId="24345" xr:uid="{00000000-0005-0000-0000-0000F85E0000}"/>
    <cellStyle name="Normal 2 2 4 9 9" xfId="24346" xr:uid="{00000000-0005-0000-0000-0000F95E0000}"/>
    <cellStyle name="Normal 2 2 40" xfId="24347" xr:uid="{00000000-0005-0000-0000-0000FA5E0000}"/>
    <cellStyle name="Normal 2 2 41" xfId="24348" xr:uid="{00000000-0005-0000-0000-0000FB5E0000}"/>
    <cellStyle name="Normal 2 2 41 10" xfId="24349" xr:uid="{00000000-0005-0000-0000-0000FC5E0000}"/>
    <cellStyle name="Normal 2 2 41 2" xfId="24350" xr:uid="{00000000-0005-0000-0000-0000FD5E0000}"/>
    <cellStyle name="Normal 2 2 41 3" xfId="24351" xr:uid="{00000000-0005-0000-0000-0000FE5E0000}"/>
    <cellStyle name="Normal 2 2 41 4" xfId="24352" xr:uid="{00000000-0005-0000-0000-0000FF5E0000}"/>
    <cellStyle name="Normal 2 2 41 5" xfId="24353" xr:uid="{00000000-0005-0000-0000-0000005F0000}"/>
    <cellStyle name="Normal 2 2 41 6" xfId="24354" xr:uid="{00000000-0005-0000-0000-0000015F0000}"/>
    <cellStyle name="Normal 2 2 41 7" xfId="24355" xr:uid="{00000000-0005-0000-0000-0000025F0000}"/>
    <cellStyle name="Normal 2 2 41 8" xfId="24356" xr:uid="{00000000-0005-0000-0000-0000035F0000}"/>
    <cellStyle name="Normal 2 2 41 9" xfId="24357" xr:uid="{00000000-0005-0000-0000-0000045F0000}"/>
    <cellStyle name="Normal 2 2 42" xfId="24358" xr:uid="{00000000-0005-0000-0000-0000055F0000}"/>
    <cellStyle name="Normal 2 2 43" xfId="24359" xr:uid="{00000000-0005-0000-0000-0000065F0000}"/>
    <cellStyle name="Normal 2 2 44" xfId="24360" xr:uid="{00000000-0005-0000-0000-0000075F0000}"/>
    <cellStyle name="Normal 2 2 45" xfId="24361" xr:uid="{00000000-0005-0000-0000-0000085F0000}"/>
    <cellStyle name="Normal 2 2 46" xfId="24362" xr:uid="{00000000-0005-0000-0000-0000095F0000}"/>
    <cellStyle name="Normal 2 2 47" xfId="24363" xr:uid="{00000000-0005-0000-0000-00000A5F0000}"/>
    <cellStyle name="Normal 2 2 48" xfId="24364" xr:uid="{00000000-0005-0000-0000-00000B5F0000}"/>
    <cellStyle name="Normal 2 2 49" xfId="24365" xr:uid="{00000000-0005-0000-0000-00000C5F0000}"/>
    <cellStyle name="Normal 2 2 5" xfId="36" xr:uid="{00000000-0005-0000-0000-00000D5F0000}"/>
    <cellStyle name="Normal 2 2 5 10" xfId="24367" xr:uid="{00000000-0005-0000-0000-00000E5F0000}"/>
    <cellStyle name="Normal 2 2 5 10 10" xfId="24368" xr:uid="{00000000-0005-0000-0000-00000F5F0000}"/>
    <cellStyle name="Normal 2 2 5 10 11" xfId="24369" xr:uid="{00000000-0005-0000-0000-0000105F0000}"/>
    <cellStyle name="Normal 2 2 5 10 12" xfId="24370" xr:uid="{00000000-0005-0000-0000-0000115F0000}"/>
    <cellStyle name="Normal 2 2 5 10 13" xfId="24371" xr:uid="{00000000-0005-0000-0000-0000125F0000}"/>
    <cellStyle name="Normal 2 2 5 10 14" xfId="24372" xr:uid="{00000000-0005-0000-0000-0000135F0000}"/>
    <cellStyle name="Normal 2 2 5 10 2" xfId="24373" xr:uid="{00000000-0005-0000-0000-0000145F0000}"/>
    <cellStyle name="Normal 2 2 5 10 2 10" xfId="24374" xr:uid="{00000000-0005-0000-0000-0000155F0000}"/>
    <cellStyle name="Normal 2 2 5 10 2 2" xfId="24375" xr:uid="{00000000-0005-0000-0000-0000165F0000}"/>
    <cellStyle name="Normal 2 2 5 10 2 3" xfId="24376" xr:uid="{00000000-0005-0000-0000-0000175F0000}"/>
    <cellStyle name="Normal 2 2 5 10 2 4" xfId="24377" xr:uid="{00000000-0005-0000-0000-0000185F0000}"/>
    <cellStyle name="Normal 2 2 5 10 2 5" xfId="24378" xr:uid="{00000000-0005-0000-0000-0000195F0000}"/>
    <cellStyle name="Normal 2 2 5 10 2 6" xfId="24379" xr:uid="{00000000-0005-0000-0000-00001A5F0000}"/>
    <cellStyle name="Normal 2 2 5 10 2 7" xfId="24380" xr:uid="{00000000-0005-0000-0000-00001B5F0000}"/>
    <cellStyle name="Normal 2 2 5 10 2 8" xfId="24381" xr:uid="{00000000-0005-0000-0000-00001C5F0000}"/>
    <cellStyle name="Normal 2 2 5 10 2 9" xfId="24382" xr:uid="{00000000-0005-0000-0000-00001D5F0000}"/>
    <cellStyle name="Normal 2 2 5 10 3" xfId="24383" xr:uid="{00000000-0005-0000-0000-00001E5F0000}"/>
    <cellStyle name="Normal 2 2 5 10 3 10" xfId="24384" xr:uid="{00000000-0005-0000-0000-00001F5F0000}"/>
    <cellStyle name="Normal 2 2 5 10 3 2" xfId="24385" xr:uid="{00000000-0005-0000-0000-0000205F0000}"/>
    <cellStyle name="Normal 2 2 5 10 3 3" xfId="24386" xr:uid="{00000000-0005-0000-0000-0000215F0000}"/>
    <cellStyle name="Normal 2 2 5 10 3 4" xfId="24387" xr:uid="{00000000-0005-0000-0000-0000225F0000}"/>
    <cellStyle name="Normal 2 2 5 10 3 5" xfId="24388" xr:uid="{00000000-0005-0000-0000-0000235F0000}"/>
    <cellStyle name="Normal 2 2 5 10 3 6" xfId="24389" xr:uid="{00000000-0005-0000-0000-0000245F0000}"/>
    <cellStyle name="Normal 2 2 5 10 3 7" xfId="24390" xr:uid="{00000000-0005-0000-0000-0000255F0000}"/>
    <cellStyle name="Normal 2 2 5 10 3 8" xfId="24391" xr:uid="{00000000-0005-0000-0000-0000265F0000}"/>
    <cellStyle name="Normal 2 2 5 10 3 9" xfId="24392" xr:uid="{00000000-0005-0000-0000-0000275F0000}"/>
    <cellStyle name="Normal 2 2 5 10 4" xfId="24393" xr:uid="{00000000-0005-0000-0000-0000285F0000}"/>
    <cellStyle name="Normal 2 2 5 10 4 10" xfId="24394" xr:uid="{00000000-0005-0000-0000-0000295F0000}"/>
    <cellStyle name="Normal 2 2 5 10 4 2" xfId="24395" xr:uid="{00000000-0005-0000-0000-00002A5F0000}"/>
    <cellStyle name="Normal 2 2 5 10 4 3" xfId="24396" xr:uid="{00000000-0005-0000-0000-00002B5F0000}"/>
    <cellStyle name="Normal 2 2 5 10 4 4" xfId="24397" xr:uid="{00000000-0005-0000-0000-00002C5F0000}"/>
    <cellStyle name="Normal 2 2 5 10 4 5" xfId="24398" xr:uid="{00000000-0005-0000-0000-00002D5F0000}"/>
    <cellStyle name="Normal 2 2 5 10 4 6" xfId="24399" xr:uid="{00000000-0005-0000-0000-00002E5F0000}"/>
    <cellStyle name="Normal 2 2 5 10 4 7" xfId="24400" xr:uid="{00000000-0005-0000-0000-00002F5F0000}"/>
    <cellStyle name="Normal 2 2 5 10 4 8" xfId="24401" xr:uid="{00000000-0005-0000-0000-0000305F0000}"/>
    <cellStyle name="Normal 2 2 5 10 4 9" xfId="24402" xr:uid="{00000000-0005-0000-0000-0000315F0000}"/>
    <cellStyle name="Normal 2 2 5 10 5" xfId="24403" xr:uid="{00000000-0005-0000-0000-0000325F0000}"/>
    <cellStyle name="Normal 2 2 5 10 5 10" xfId="24404" xr:uid="{00000000-0005-0000-0000-0000335F0000}"/>
    <cellStyle name="Normal 2 2 5 10 5 2" xfId="24405" xr:uid="{00000000-0005-0000-0000-0000345F0000}"/>
    <cellStyle name="Normal 2 2 5 10 5 3" xfId="24406" xr:uid="{00000000-0005-0000-0000-0000355F0000}"/>
    <cellStyle name="Normal 2 2 5 10 5 4" xfId="24407" xr:uid="{00000000-0005-0000-0000-0000365F0000}"/>
    <cellStyle name="Normal 2 2 5 10 5 5" xfId="24408" xr:uid="{00000000-0005-0000-0000-0000375F0000}"/>
    <cellStyle name="Normal 2 2 5 10 5 6" xfId="24409" xr:uid="{00000000-0005-0000-0000-0000385F0000}"/>
    <cellStyle name="Normal 2 2 5 10 5 7" xfId="24410" xr:uid="{00000000-0005-0000-0000-0000395F0000}"/>
    <cellStyle name="Normal 2 2 5 10 5 8" xfId="24411" xr:uid="{00000000-0005-0000-0000-00003A5F0000}"/>
    <cellStyle name="Normal 2 2 5 10 5 9" xfId="24412" xr:uid="{00000000-0005-0000-0000-00003B5F0000}"/>
    <cellStyle name="Normal 2 2 5 10 6" xfId="24413" xr:uid="{00000000-0005-0000-0000-00003C5F0000}"/>
    <cellStyle name="Normal 2 2 5 10 7" xfId="24414" xr:uid="{00000000-0005-0000-0000-00003D5F0000}"/>
    <cellStyle name="Normal 2 2 5 10 8" xfId="24415" xr:uid="{00000000-0005-0000-0000-00003E5F0000}"/>
    <cellStyle name="Normal 2 2 5 10 9" xfId="24416" xr:uid="{00000000-0005-0000-0000-00003F5F0000}"/>
    <cellStyle name="Normal 2 2 5 11" xfId="24417" xr:uid="{00000000-0005-0000-0000-0000405F0000}"/>
    <cellStyle name="Normal 2 2 5 11 10" xfId="24418" xr:uid="{00000000-0005-0000-0000-0000415F0000}"/>
    <cellStyle name="Normal 2 2 5 11 11" xfId="24419" xr:uid="{00000000-0005-0000-0000-0000425F0000}"/>
    <cellStyle name="Normal 2 2 5 11 12" xfId="24420" xr:uid="{00000000-0005-0000-0000-0000435F0000}"/>
    <cellStyle name="Normal 2 2 5 11 13" xfId="24421" xr:uid="{00000000-0005-0000-0000-0000445F0000}"/>
    <cellStyle name="Normal 2 2 5 11 14" xfId="24422" xr:uid="{00000000-0005-0000-0000-0000455F0000}"/>
    <cellStyle name="Normal 2 2 5 11 2" xfId="24423" xr:uid="{00000000-0005-0000-0000-0000465F0000}"/>
    <cellStyle name="Normal 2 2 5 11 2 10" xfId="24424" xr:uid="{00000000-0005-0000-0000-0000475F0000}"/>
    <cellStyle name="Normal 2 2 5 11 2 2" xfId="24425" xr:uid="{00000000-0005-0000-0000-0000485F0000}"/>
    <cellStyle name="Normal 2 2 5 11 2 3" xfId="24426" xr:uid="{00000000-0005-0000-0000-0000495F0000}"/>
    <cellStyle name="Normal 2 2 5 11 2 4" xfId="24427" xr:uid="{00000000-0005-0000-0000-00004A5F0000}"/>
    <cellStyle name="Normal 2 2 5 11 2 5" xfId="24428" xr:uid="{00000000-0005-0000-0000-00004B5F0000}"/>
    <cellStyle name="Normal 2 2 5 11 2 6" xfId="24429" xr:uid="{00000000-0005-0000-0000-00004C5F0000}"/>
    <cellStyle name="Normal 2 2 5 11 2 7" xfId="24430" xr:uid="{00000000-0005-0000-0000-00004D5F0000}"/>
    <cellStyle name="Normal 2 2 5 11 2 8" xfId="24431" xr:uid="{00000000-0005-0000-0000-00004E5F0000}"/>
    <cellStyle name="Normal 2 2 5 11 2 9" xfId="24432" xr:uid="{00000000-0005-0000-0000-00004F5F0000}"/>
    <cellStyle name="Normal 2 2 5 11 3" xfId="24433" xr:uid="{00000000-0005-0000-0000-0000505F0000}"/>
    <cellStyle name="Normal 2 2 5 11 3 10" xfId="24434" xr:uid="{00000000-0005-0000-0000-0000515F0000}"/>
    <cellStyle name="Normal 2 2 5 11 3 2" xfId="24435" xr:uid="{00000000-0005-0000-0000-0000525F0000}"/>
    <cellStyle name="Normal 2 2 5 11 3 3" xfId="24436" xr:uid="{00000000-0005-0000-0000-0000535F0000}"/>
    <cellStyle name="Normal 2 2 5 11 3 4" xfId="24437" xr:uid="{00000000-0005-0000-0000-0000545F0000}"/>
    <cellStyle name="Normal 2 2 5 11 3 5" xfId="24438" xr:uid="{00000000-0005-0000-0000-0000555F0000}"/>
    <cellStyle name="Normal 2 2 5 11 3 6" xfId="24439" xr:uid="{00000000-0005-0000-0000-0000565F0000}"/>
    <cellStyle name="Normal 2 2 5 11 3 7" xfId="24440" xr:uid="{00000000-0005-0000-0000-0000575F0000}"/>
    <cellStyle name="Normal 2 2 5 11 3 8" xfId="24441" xr:uid="{00000000-0005-0000-0000-0000585F0000}"/>
    <cellStyle name="Normal 2 2 5 11 3 9" xfId="24442" xr:uid="{00000000-0005-0000-0000-0000595F0000}"/>
    <cellStyle name="Normal 2 2 5 11 4" xfId="24443" xr:uid="{00000000-0005-0000-0000-00005A5F0000}"/>
    <cellStyle name="Normal 2 2 5 11 4 10" xfId="24444" xr:uid="{00000000-0005-0000-0000-00005B5F0000}"/>
    <cellStyle name="Normal 2 2 5 11 4 2" xfId="24445" xr:uid="{00000000-0005-0000-0000-00005C5F0000}"/>
    <cellStyle name="Normal 2 2 5 11 4 3" xfId="24446" xr:uid="{00000000-0005-0000-0000-00005D5F0000}"/>
    <cellStyle name="Normal 2 2 5 11 4 4" xfId="24447" xr:uid="{00000000-0005-0000-0000-00005E5F0000}"/>
    <cellStyle name="Normal 2 2 5 11 4 5" xfId="24448" xr:uid="{00000000-0005-0000-0000-00005F5F0000}"/>
    <cellStyle name="Normal 2 2 5 11 4 6" xfId="24449" xr:uid="{00000000-0005-0000-0000-0000605F0000}"/>
    <cellStyle name="Normal 2 2 5 11 4 7" xfId="24450" xr:uid="{00000000-0005-0000-0000-0000615F0000}"/>
    <cellStyle name="Normal 2 2 5 11 4 8" xfId="24451" xr:uid="{00000000-0005-0000-0000-0000625F0000}"/>
    <cellStyle name="Normal 2 2 5 11 4 9" xfId="24452" xr:uid="{00000000-0005-0000-0000-0000635F0000}"/>
    <cellStyle name="Normal 2 2 5 11 5" xfId="24453" xr:uid="{00000000-0005-0000-0000-0000645F0000}"/>
    <cellStyle name="Normal 2 2 5 11 5 10" xfId="24454" xr:uid="{00000000-0005-0000-0000-0000655F0000}"/>
    <cellStyle name="Normal 2 2 5 11 5 2" xfId="24455" xr:uid="{00000000-0005-0000-0000-0000665F0000}"/>
    <cellStyle name="Normal 2 2 5 11 5 3" xfId="24456" xr:uid="{00000000-0005-0000-0000-0000675F0000}"/>
    <cellStyle name="Normal 2 2 5 11 5 4" xfId="24457" xr:uid="{00000000-0005-0000-0000-0000685F0000}"/>
    <cellStyle name="Normal 2 2 5 11 5 5" xfId="24458" xr:uid="{00000000-0005-0000-0000-0000695F0000}"/>
    <cellStyle name="Normal 2 2 5 11 5 6" xfId="24459" xr:uid="{00000000-0005-0000-0000-00006A5F0000}"/>
    <cellStyle name="Normal 2 2 5 11 5 7" xfId="24460" xr:uid="{00000000-0005-0000-0000-00006B5F0000}"/>
    <cellStyle name="Normal 2 2 5 11 5 8" xfId="24461" xr:uid="{00000000-0005-0000-0000-00006C5F0000}"/>
    <cellStyle name="Normal 2 2 5 11 5 9" xfId="24462" xr:uid="{00000000-0005-0000-0000-00006D5F0000}"/>
    <cellStyle name="Normal 2 2 5 11 6" xfId="24463" xr:uid="{00000000-0005-0000-0000-00006E5F0000}"/>
    <cellStyle name="Normal 2 2 5 11 7" xfId="24464" xr:uid="{00000000-0005-0000-0000-00006F5F0000}"/>
    <cellStyle name="Normal 2 2 5 11 8" xfId="24465" xr:uid="{00000000-0005-0000-0000-0000705F0000}"/>
    <cellStyle name="Normal 2 2 5 11 9" xfId="24466" xr:uid="{00000000-0005-0000-0000-0000715F0000}"/>
    <cellStyle name="Normal 2 2 5 12" xfId="24467" xr:uid="{00000000-0005-0000-0000-0000725F0000}"/>
    <cellStyle name="Normal 2 2 5 12 10" xfId="24468" xr:uid="{00000000-0005-0000-0000-0000735F0000}"/>
    <cellStyle name="Normal 2 2 5 12 11" xfId="24469" xr:uid="{00000000-0005-0000-0000-0000745F0000}"/>
    <cellStyle name="Normal 2 2 5 12 12" xfId="24470" xr:uid="{00000000-0005-0000-0000-0000755F0000}"/>
    <cellStyle name="Normal 2 2 5 12 13" xfId="24471" xr:uid="{00000000-0005-0000-0000-0000765F0000}"/>
    <cellStyle name="Normal 2 2 5 12 14" xfId="24472" xr:uid="{00000000-0005-0000-0000-0000775F0000}"/>
    <cellStyle name="Normal 2 2 5 12 2" xfId="24473" xr:uid="{00000000-0005-0000-0000-0000785F0000}"/>
    <cellStyle name="Normal 2 2 5 12 2 10" xfId="24474" xr:uid="{00000000-0005-0000-0000-0000795F0000}"/>
    <cellStyle name="Normal 2 2 5 12 2 2" xfId="24475" xr:uid="{00000000-0005-0000-0000-00007A5F0000}"/>
    <cellStyle name="Normal 2 2 5 12 2 3" xfId="24476" xr:uid="{00000000-0005-0000-0000-00007B5F0000}"/>
    <cellStyle name="Normal 2 2 5 12 2 4" xfId="24477" xr:uid="{00000000-0005-0000-0000-00007C5F0000}"/>
    <cellStyle name="Normal 2 2 5 12 2 5" xfId="24478" xr:uid="{00000000-0005-0000-0000-00007D5F0000}"/>
    <cellStyle name="Normal 2 2 5 12 2 6" xfId="24479" xr:uid="{00000000-0005-0000-0000-00007E5F0000}"/>
    <cellStyle name="Normal 2 2 5 12 2 7" xfId="24480" xr:uid="{00000000-0005-0000-0000-00007F5F0000}"/>
    <cellStyle name="Normal 2 2 5 12 2 8" xfId="24481" xr:uid="{00000000-0005-0000-0000-0000805F0000}"/>
    <cellStyle name="Normal 2 2 5 12 2 9" xfId="24482" xr:uid="{00000000-0005-0000-0000-0000815F0000}"/>
    <cellStyle name="Normal 2 2 5 12 3" xfId="24483" xr:uid="{00000000-0005-0000-0000-0000825F0000}"/>
    <cellStyle name="Normal 2 2 5 12 3 10" xfId="24484" xr:uid="{00000000-0005-0000-0000-0000835F0000}"/>
    <cellStyle name="Normal 2 2 5 12 3 2" xfId="24485" xr:uid="{00000000-0005-0000-0000-0000845F0000}"/>
    <cellStyle name="Normal 2 2 5 12 3 3" xfId="24486" xr:uid="{00000000-0005-0000-0000-0000855F0000}"/>
    <cellStyle name="Normal 2 2 5 12 3 4" xfId="24487" xr:uid="{00000000-0005-0000-0000-0000865F0000}"/>
    <cellStyle name="Normal 2 2 5 12 3 5" xfId="24488" xr:uid="{00000000-0005-0000-0000-0000875F0000}"/>
    <cellStyle name="Normal 2 2 5 12 3 6" xfId="24489" xr:uid="{00000000-0005-0000-0000-0000885F0000}"/>
    <cellStyle name="Normal 2 2 5 12 3 7" xfId="24490" xr:uid="{00000000-0005-0000-0000-0000895F0000}"/>
    <cellStyle name="Normal 2 2 5 12 3 8" xfId="24491" xr:uid="{00000000-0005-0000-0000-00008A5F0000}"/>
    <cellStyle name="Normal 2 2 5 12 3 9" xfId="24492" xr:uid="{00000000-0005-0000-0000-00008B5F0000}"/>
    <cellStyle name="Normal 2 2 5 12 4" xfId="24493" xr:uid="{00000000-0005-0000-0000-00008C5F0000}"/>
    <cellStyle name="Normal 2 2 5 12 4 10" xfId="24494" xr:uid="{00000000-0005-0000-0000-00008D5F0000}"/>
    <cellStyle name="Normal 2 2 5 12 4 2" xfId="24495" xr:uid="{00000000-0005-0000-0000-00008E5F0000}"/>
    <cellStyle name="Normal 2 2 5 12 4 3" xfId="24496" xr:uid="{00000000-0005-0000-0000-00008F5F0000}"/>
    <cellStyle name="Normal 2 2 5 12 4 4" xfId="24497" xr:uid="{00000000-0005-0000-0000-0000905F0000}"/>
    <cellStyle name="Normal 2 2 5 12 4 5" xfId="24498" xr:uid="{00000000-0005-0000-0000-0000915F0000}"/>
    <cellStyle name="Normal 2 2 5 12 4 6" xfId="24499" xr:uid="{00000000-0005-0000-0000-0000925F0000}"/>
    <cellStyle name="Normal 2 2 5 12 4 7" xfId="24500" xr:uid="{00000000-0005-0000-0000-0000935F0000}"/>
    <cellStyle name="Normal 2 2 5 12 4 8" xfId="24501" xr:uid="{00000000-0005-0000-0000-0000945F0000}"/>
    <cellStyle name="Normal 2 2 5 12 4 9" xfId="24502" xr:uid="{00000000-0005-0000-0000-0000955F0000}"/>
    <cellStyle name="Normal 2 2 5 12 5" xfId="24503" xr:uid="{00000000-0005-0000-0000-0000965F0000}"/>
    <cellStyle name="Normal 2 2 5 12 5 10" xfId="24504" xr:uid="{00000000-0005-0000-0000-0000975F0000}"/>
    <cellStyle name="Normal 2 2 5 12 5 2" xfId="24505" xr:uid="{00000000-0005-0000-0000-0000985F0000}"/>
    <cellStyle name="Normal 2 2 5 12 5 3" xfId="24506" xr:uid="{00000000-0005-0000-0000-0000995F0000}"/>
    <cellStyle name="Normal 2 2 5 12 5 4" xfId="24507" xr:uid="{00000000-0005-0000-0000-00009A5F0000}"/>
    <cellStyle name="Normal 2 2 5 12 5 5" xfId="24508" xr:uid="{00000000-0005-0000-0000-00009B5F0000}"/>
    <cellStyle name="Normal 2 2 5 12 5 6" xfId="24509" xr:uid="{00000000-0005-0000-0000-00009C5F0000}"/>
    <cellStyle name="Normal 2 2 5 12 5 7" xfId="24510" xr:uid="{00000000-0005-0000-0000-00009D5F0000}"/>
    <cellStyle name="Normal 2 2 5 12 5 8" xfId="24511" xr:uid="{00000000-0005-0000-0000-00009E5F0000}"/>
    <cellStyle name="Normal 2 2 5 12 5 9" xfId="24512" xr:uid="{00000000-0005-0000-0000-00009F5F0000}"/>
    <cellStyle name="Normal 2 2 5 12 6" xfId="24513" xr:uid="{00000000-0005-0000-0000-0000A05F0000}"/>
    <cellStyle name="Normal 2 2 5 12 7" xfId="24514" xr:uid="{00000000-0005-0000-0000-0000A15F0000}"/>
    <cellStyle name="Normal 2 2 5 12 8" xfId="24515" xr:uid="{00000000-0005-0000-0000-0000A25F0000}"/>
    <cellStyle name="Normal 2 2 5 12 9" xfId="24516" xr:uid="{00000000-0005-0000-0000-0000A35F0000}"/>
    <cellStyle name="Normal 2 2 5 13" xfId="24517" xr:uid="{00000000-0005-0000-0000-0000A45F0000}"/>
    <cellStyle name="Normal 2 2 5 13 10" xfId="24518" xr:uid="{00000000-0005-0000-0000-0000A55F0000}"/>
    <cellStyle name="Normal 2 2 5 13 11" xfId="24519" xr:uid="{00000000-0005-0000-0000-0000A65F0000}"/>
    <cellStyle name="Normal 2 2 5 13 12" xfId="24520" xr:uid="{00000000-0005-0000-0000-0000A75F0000}"/>
    <cellStyle name="Normal 2 2 5 13 13" xfId="24521" xr:uid="{00000000-0005-0000-0000-0000A85F0000}"/>
    <cellStyle name="Normal 2 2 5 13 14" xfId="24522" xr:uid="{00000000-0005-0000-0000-0000A95F0000}"/>
    <cellStyle name="Normal 2 2 5 13 2" xfId="24523" xr:uid="{00000000-0005-0000-0000-0000AA5F0000}"/>
    <cellStyle name="Normal 2 2 5 13 2 10" xfId="24524" xr:uid="{00000000-0005-0000-0000-0000AB5F0000}"/>
    <cellStyle name="Normal 2 2 5 13 2 2" xfId="24525" xr:uid="{00000000-0005-0000-0000-0000AC5F0000}"/>
    <cellStyle name="Normal 2 2 5 13 2 3" xfId="24526" xr:uid="{00000000-0005-0000-0000-0000AD5F0000}"/>
    <cellStyle name="Normal 2 2 5 13 2 4" xfId="24527" xr:uid="{00000000-0005-0000-0000-0000AE5F0000}"/>
    <cellStyle name="Normal 2 2 5 13 2 5" xfId="24528" xr:uid="{00000000-0005-0000-0000-0000AF5F0000}"/>
    <cellStyle name="Normal 2 2 5 13 2 6" xfId="24529" xr:uid="{00000000-0005-0000-0000-0000B05F0000}"/>
    <cellStyle name="Normal 2 2 5 13 2 7" xfId="24530" xr:uid="{00000000-0005-0000-0000-0000B15F0000}"/>
    <cellStyle name="Normal 2 2 5 13 2 8" xfId="24531" xr:uid="{00000000-0005-0000-0000-0000B25F0000}"/>
    <cellStyle name="Normal 2 2 5 13 2 9" xfId="24532" xr:uid="{00000000-0005-0000-0000-0000B35F0000}"/>
    <cellStyle name="Normal 2 2 5 13 3" xfId="24533" xr:uid="{00000000-0005-0000-0000-0000B45F0000}"/>
    <cellStyle name="Normal 2 2 5 13 3 10" xfId="24534" xr:uid="{00000000-0005-0000-0000-0000B55F0000}"/>
    <cellStyle name="Normal 2 2 5 13 3 2" xfId="24535" xr:uid="{00000000-0005-0000-0000-0000B65F0000}"/>
    <cellStyle name="Normal 2 2 5 13 3 3" xfId="24536" xr:uid="{00000000-0005-0000-0000-0000B75F0000}"/>
    <cellStyle name="Normal 2 2 5 13 3 4" xfId="24537" xr:uid="{00000000-0005-0000-0000-0000B85F0000}"/>
    <cellStyle name="Normal 2 2 5 13 3 5" xfId="24538" xr:uid="{00000000-0005-0000-0000-0000B95F0000}"/>
    <cellStyle name="Normal 2 2 5 13 3 6" xfId="24539" xr:uid="{00000000-0005-0000-0000-0000BA5F0000}"/>
    <cellStyle name="Normal 2 2 5 13 3 7" xfId="24540" xr:uid="{00000000-0005-0000-0000-0000BB5F0000}"/>
    <cellStyle name="Normal 2 2 5 13 3 8" xfId="24541" xr:uid="{00000000-0005-0000-0000-0000BC5F0000}"/>
    <cellStyle name="Normal 2 2 5 13 3 9" xfId="24542" xr:uid="{00000000-0005-0000-0000-0000BD5F0000}"/>
    <cellStyle name="Normal 2 2 5 13 4" xfId="24543" xr:uid="{00000000-0005-0000-0000-0000BE5F0000}"/>
    <cellStyle name="Normal 2 2 5 13 4 10" xfId="24544" xr:uid="{00000000-0005-0000-0000-0000BF5F0000}"/>
    <cellStyle name="Normal 2 2 5 13 4 2" xfId="24545" xr:uid="{00000000-0005-0000-0000-0000C05F0000}"/>
    <cellStyle name="Normal 2 2 5 13 4 3" xfId="24546" xr:uid="{00000000-0005-0000-0000-0000C15F0000}"/>
    <cellStyle name="Normal 2 2 5 13 4 4" xfId="24547" xr:uid="{00000000-0005-0000-0000-0000C25F0000}"/>
    <cellStyle name="Normal 2 2 5 13 4 5" xfId="24548" xr:uid="{00000000-0005-0000-0000-0000C35F0000}"/>
    <cellStyle name="Normal 2 2 5 13 4 6" xfId="24549" xr:uid="{00000000-0005-0000-0000-0000C45F0000}"/>
    <cellStyle name="Normal 2 2 5 13 4 7" xfId="24550" xr:uid="{00000000-0005-0000-0000-0000C55F0000}"/>
    <cellStyle name="Normal 2 2 5 13 4 8" xfId="24551" xr:uid="{00000000-0005-0000-0000-0000C65F0000}"/>
    <cellStyle name="Normal 2 2 5 13 4 9" xfId="24552" xr:uid="{00000000-0005-0000-0000-0000C75F0000}"/>
    <cellStyle name="Normal 2 2 5 13 5" xfId="24553" xr:uid="{00000000-0005-0000-0000-0000C85F0000}"/>
    <cellStyle name="Normal 2 2 5 13 5 10" xfId="24554" xr:uid="{00000000-0005-0000-0000-0000C95F0000}"/>
    <cellStyle name="Normal 2 2 5 13 5 2" xfId="24555" xr:uid="{00000000-0005-0000-0000-0000CA5F0000}"/>
    <cellStyle name="Normal 2 2 5 13 5 3" xfId="24556" xr:uid="{00000000-0005-0000-0000-0000CB5F0000}"/>
    <cellStyle name="Normal 2 2 5 13 5 4" xfId="24557" xr:uid="{00000000-0005-0000-0000-0000CC5F0000}"/>
    <cellStyle name="Normal 2 2 5 13 5 5" xfId="24558" xr:uid="{00000000-0005-0000-0000-0000CD5F0000}"/>
    <cellStyle name="Normal 2 2 5 13 5 6" xfId="24559" xr:uid="{00000000-0005-0000-0000-0000CE5F0000}"/>
    <cellStyle name="Normal 2 2 5 13 5 7" xfId="24560" xr:uid="{00000000-0005-0000-0000-0000CF5F0000}"/>
    <cellStyle name="Normal 2 2 5 13 5 8" xfId="24561" xr:uid="{00000000-0005-0000-0000-0000D05F0000}"/>
    <cellStyle name="Normal 2 2 5 13 5 9" xfId="24562" xr:uid="{00000000-0005-0000-0000-0000D15F0000}"/>
    <cellStyle name="Normal 2 2 5 13 6" xfId="24563" xr:uid="{00000000-0005-0000-0000-0000D25F0000}"/>
    <cellStyle name="Normal 2 2 5 13 7" xfId="24564" xr:uid="{00000000-0005-0000-0000-0000D35F0000}"/>
    <cellStyle name="Normal 2 2 5 13 8" xfId="24565" xr:uid="{00000000-0005-0000-0000-0000D45F0000}"/>
    <cellStyle name="Normal 2 2 5 13 9" xfId="24566" xr:uid="{00000000-0005-0000-0000-0000D55F0000}"/>
    <cellStyle name="Normal 2 2 5 14" xfId="24567" xr:uid="{00000000-0005-0000-0000-0000D65F0000}"/>
    <cellStyle name="Normal 2 2 5 14 10" xfId="24568" xr:uid="{00000000-0005-0000-0000-0000D75F0000}"/>
    <cellStyle name="Normal 2 2 5 14 11" xfId="24569" xr:uid="{00000000-0005-0000-0000-0000D85F0000}"/>
    <cellStyle name="Normal 2 2 5 14 12" xfId="24570" xr:uid="{00000000-0005-0000-0000-0000D95F0000}"/>
    <cellStyle name="Normal 2 2 5 14 13" xfId="24571" xr:uid="{00000000-0005-0000-0000-0000DA5F0000}"/>
    <cellStyle name="Normal 2 2 5 14 14" xfId="24572" xr:uid="{00000000-0005-0000-0000-0000DB5F0000}"/>
    <cellStyle name="Normal 2 2 5 14 2" xfId="24573" xr:uid="{00000000-0005-0000-0000-0000DC5F0000}"/>
    <cellStyle name="Normal 2 2 5 14 2 10" xfId="24574" xr:uid="{00000000-0005-0000-0000-0000DD5F0000}"/>
    <cellStyle name="Normal 2 2 5 14 2 2" xfId="24575" xr:uid="{00000000-0005-0000-0000-0000DE5F0000}"/>
    <cellStyle name="Normal 2 2 5 14 2 3" xfId="24576" xr:uid="{00000000-0005-0000-0000-0000DF5F0000}"/>
    <cellStyle name="Normal 2 2 5 14 2 4" xfId="24577" xr:uid="{00000000-0005-0000-0000-0000E05F0000}"/>
    <cellStyle name="Normal 2 2 5 14 2 5" xfId="24578" xr:uid="{00000000-0005-0000-0000-0000E15F0000}"/>
    <cellStyle name="Normal 2 2 5 14 2 6" xfId="24579" xr:uid="{00000000-0005-0000-0000-0000E25F0000}"/>
    <cellStyle name="Normal 2 2 5 14 2 7" xfId="24580" xr:uid="{00000000-0005-0000-0000-0000E35F0000}"/>
    <cellStyle name="Normal 2 2 5 14 2 8" xfId="24581" xr:uid="{00000000-0005-0000-0000-0000E45F0000}"/>
    <cellStyle name="Normal 2 2 5 14 2 9" xfId="24582" xr:uid="{00000000-0005-0000-0000-0000E55F0000}"/>
    <cellStyle name="Normal 2 2 5 14 3" xfId="24583" xr:uid="{00000000-0005-0000-0000-0000E65F0000}"/>
    <cellStyle name="Normal 2 2 5 14 3 10" xfId="24584" xr:uid="{00000000-0005-0000-0000-0000E75F0000}"/>
    <cellStyle name="Normal 2 2 5 14 3 2" xfId="24585" xr:uid="{00000000-0005-0000-0000-0000E85F0000}"/>
    <cellStyle name="Normal 2 2 5 14 3 3" xfId="24586" xr:uid="{00000000-0005-0000-0000-0000E95F0000}"/>
    <cellStyle name="Normal 2 2 5 14 3 4" xfId="24587" xr:uid="{00000000-0005-0000-0000-0000EA5F0000}"/>
    <cellStyle name="Normal 2 2 5 14 3 5" xfId="24588" xr:uid="{00000000-0005-0000-0000-0000EB5F0000}"/>
    <cellStyle name="Normal 2 2 5 14 3 6" xfId="24589" xr:uid="{00000000-0005-0000-0000-0000EC5F0000}"/>
    <cellStyle name="Normal 2 2 5 14 3 7" xfId="24590" xr:uid="{00000000-0005-0000-0000-0000ED5F0000}"/>
    <cellStyle name="Normal 2 2 5 14 3 8" xfId="24591" xr:uid="{00000000-0005-0000-0000-0000EE5F0000}"/>
    <cellStyle name="Normal 2 2 5 14 3 9" xfId="24592" xr:uid="{00000000-0005-0000-0000-0000EF5F0000}"/>
    <cellStyle name="Normal 2 2 5 14 4" xfId="24593" xr:uid="{00000000-0005-0000-0000-0000F05F0000}"/>
    <cellStyle name="Normal 2 2 5 14 4 10" xfId="24594" xr:uid="{00000000-0005-0000-0000-0000F15F0000}"/>
    <cellStyle name="Normal 2 2 5 14 4 2" xfId="24595" xr:uid="{00000000-0005-0000-0000-0000F25F0000}"/>
    <cellStyle name="Normal 2 2 5 14 4 3" xfId="24596" xr:uid="{00000000-0005-0000-0000-0000F35F0000}"/>
    <cellStyle name="Normal 2 2 5 14 4 4" xfId="24597" xr:uid="{00000000-0005-0000-0000-0000F45F0000}"/>
    <cellStyle name="Normal 2 2 5 14 4 5" xfId="24598" xr:uid="{00000000-0005-0000-0000-0000F55F0000}"/>
    <cellStyle name="Normal 2 2 5 14 4 6" xfId="24599" xr:uid="{00000000-0005-0000-0000-0000F65F0000}"/>
    <cellStyle name="Normal 2 2 5 14 4 7" xfId="24600" xr:uid="{00000000-0005-0000-0000-0000F75F0000}"/>
    <cellStyle name="Normal 2 2 5 14 4 8" xfId="24601" xr:uid="{00000000-0005-0000-0000-0000F85F0000}"/>
    <cellStyle name="Normal 2 2 5 14 4 9" xfId="24602" xr:uid="{00000000-0005-0000-0000-0000F95F0000}"/>
    <cellStyle name="Normal 2 2 5 14 5" xfId="24603" xr:uid="{00000000-0005-0000-0000-0000FA5F0000}"/>
    <cellStyle name="Normal 2 2 5 14 5 10" xfId="24604" xr:uid="{00000000-0005-0000-0000-0000FB5F0000}"/>
    <cellStyle name="Normal 2 2 5 14 5 2" xfId="24605" xr:uid="{00000000-0005-0000-0000-0000FC5F0000}"/>
    <cellStyle name="Normal 2 2 5 14 5 3" xfId="24606" xr:uid="{00000000-0005-0000-0000-0000FD5F0000}"/>
    <cellStyle name="Normal 2 2 5 14 5 4" xfId="24607" xr:uid="{00000000-0005-0000-0000-0000FE5F0000}"/>
    <cellStyle name="Normal 2 2 5 14 5 5" xfId="24608" xr:uid="{00000000-0005-0000-0000-0000FF5F0000}"/>
    <cellStyle name="Normal 2 2 5 14 5 6" xfId="24609" xr:uid="{00000000-0005-0000-0000-000000600000}"/>
    <cellStyle name="Normal 2 2 5 14 5 7" xfId="24610" xr:uid="{00000000-0005-0000-0000-000001600000}"/>
    <cellStyle name="Normal 2 2 5 14 5 8" xfId="24611" xr:uid="{00000000-0005-0000-0000-000002600000}"/>
    <cellStyle name="Normal 2 2 5 14 5 9" xfId="24612" xr:uid="{00000000-0005-0000-0000-000003600000}"/>
    <cellStyle name="Normal 2 2 5 14 6" xfId="24613" xr:uid="{00000000-0005-0000-0000-000004600000}"/>
    <cellStyle name="Normal 2 2 5 14 7" xfId="24614" xr:uid="{00000000-0005-0000-0000-000005600000}"/>
    <cellStyle name="Normal 2 2 5 14 8" xfId="24615" xr:uid="{00000000-0005-0000-0000-000006600000}"/>
    <cellStyle name="Normal 2 2 5 14 9" xfId="24616" xr:uid="{00000000-0005-0000-0000-000007600000}"/>
    <cellStyle name="Normal 2 2 5 15" xfId="24617" xr:uid="{00000000-0005-0000-0000-000008600000}"/>
    <cellStyle name="Normal 2 2 5 15 10" xfId="24618" xr:uid="{00000000-0005-0000-0000-000009600000}"/>
    <cellStyle name="Normal 2 2 5 15 11" xfId="24619" xr:uid="{00000000-0005-0000-0000-00000A600000}"/>
    <cellStyle name="Normal 2 2 5 15 12" xfId="24620" xr:uid="{00000000-0005-0000-0000-00000B600000}"/>
    <cellStyle name="Normal 2 2 5 15 13" xfId="24621" xr:uid="{00000000-0005-0000-0000-00000C600000}"/>
    <cellStyle name="Normal 2 2 5 15 14" xfId="24622" xr:uid="{00000000-0005-0000-0000-00000D600000}"/>
    <cellStyle name="Normal 2 2 5 15 2" xfId="24623" xr:uid="{00000000-0005-0000-0000-00000E600000}"/>
    <cellStyle name="Normal 2 2 5 15 2 10" xfId="24624" xr:uid="{00000000-0005-0000-0000-00000F600000}"/>
    <cellStyle name="Normal 2 2 5 15 2 2" xfId="24625" xr:uid="{00000000-0005-0000-0000-000010600000}"/>
    <cellStyle name="Normal 2 2 5 15 2 3" xfId="24626" xr:uid="{00000000-0005-0000-0000-000011600000}"/>
    <cellStyle name="Normal 2 2 5 15 2 4" xfId="24627" xr:uid="{00000000-0005-0000-0000-000012600000}"/>
    <cellStyle name="Normal 2 2 5 15 2 5" xfId="24628" xr:uid="{00000000-0005-0000-0000-000013600000}"/>
    <cellStyle name="Normal 2 2 5 15 2 6" xfId="24629" xr:uid="{00000000-0005-0000-0000-000014600000}"/>
    <cellStyle name="Normal 2 2 5 15 2 7" xfId="24630" xr:uid="{00000000-0005-0000-0000-000015600000}"/>
    <cellStyle name="Normal 2 2 5 15 2 8" xfId="24631" xr:uid="{00000000-0005-0000-0000-000016600000}"/>
    <cellStyle name="Normal 2 2 5 15 2 9" xfId="24632" xr:uid="{00000000-0005-0000-0000-000017600000}"/>
    <cellStyle name="Normal 2 2 5 15 3" xfId="24633" xr:uid="{00000000-0005-0000-0000-000018600000}"/>
    <cellStyle name="Normal 2 2 5 15 3 10" xfId="24634" xr:uid="{00000000-0005-0000-0000-000019600000}"/>
    <cellStyle name="Normal 2 2 5 15 3 2" xfId="24635" xr:uid="{00000000-0005-0000-0000-00001A600000}"/>
    <cellStyle name="Normal 2 2 5 15 3 3" xfId="24636" xr:uid="{00000000-0005-0000-0000-00001B600000}"/>
    <cellStyle name="Normal 2 2 5 15 3 4" xfId="24637" xr:uid="{00000000-0005-0000-0000-00001C600000}"/>
    <cellStyle name="Normal 2 2 5 15 3 5" xfId="24638" xr:uid="{00000000-0005-0000-0000-00001D600000}"/>
    <cellStyle name="Normal 2 2 5 15 3 6" xfId="24639" xr:uid="{00000000-0005-0000-0000-00001E600000}"/>
    <cellStyle name="Normal 2 2 5 15 3 7" xfId="24640" xr:uid="{00000000-0005-0000-0000-00001F600000}"/>
    <cellStyle name="Normal 2 2 5 15 3 8" xfId="24641" xr:uid="{00000000-0005-0000-0000-000020600000}"/>
    <cellStyle name="Normal 2 2 5 15 3 9" xfId="24642" xr:uid="{00000000-0005-0000-0000-000021600000}"/>
    <cellStyle name="Normal 2 2 5 15 4" xfId="24643" xr:uid="{00000000-0005-0000-0000-000022600000}"/>
    <cellStyle name="Normal 2 2 5 15 4 10" xfId="24644" xr:uid="{00000000-0005-0000-0000-000023600000}"/>
    <cellStyle name="Normal 2 2 5 15 4 2" xfId="24645" xr:uid="{00000000-0005-0000-0000-000024600000}"/>
    <cellStyle name="Normal 2 2 5 15 4 3" xfId="24646" xr:uid="{00000000-0005-0000-0000-000025600000}"/>
    <cellStyle name="Normal 2 2 5 15 4 4" xfId="24647" xr:uid="{00000000-0005-0000-0000-000026600000}"/>
    <cellStyle name="Normal 2 2 5 15 4 5" xfId="24648" xr:uid="{00000000-0005-0000-0000-000027600000}"/>
    <cellStyle name="Normal 2 2 5 15 4 6" xfId="24649" xr:uid="{00000000-0005-0000-0000-000028600000}"/>
    <cellStyle name="Normal 2 2 5 15 4 7" xfId="24650" xr:uid="{00000000-0005-0000-0000-000029600000}"/>
    <cellStyle name="Normal 2 2 5 15 4 8" xfId="24651" xr:uid="{00000000-0005-0000-0000-00002A600000}"/>
    <cellStyle name="Normal 2 2 5 15 4 9" xfId="24652" xr:uid="{00000000-0005-0000-0000-00002B600000}"/>
    <cellStyle name="Normal 2 2 5 15 5" xfId="24653" xr:uid="{00000000-0005-0000-0000-00002C600000}"/>
    <cellStyle name="Normal 2 2 5 15 5 10" xfId="24654" xr:uid="{00000000-0005-0000-0000-00002D600000}"/>
    <cellStyle name="Normal 2 2 5 15 5 2" xfId="24655" xr:uid="{00000000-0005-0000-0000-00002E600000}"/>
    <cellStyle name="Normal 2 2 5 15 5 3" xfId="24656" xr:uid="{00000000-0005-0000-0000-00002F600000}"/>
    <cellStyle name="Normal 2 2 5 15 5 4" xfId="24657" xr:uid="{00000000-0005-0000-0000-000030600000}"/>
    <cellStyle name="Normal 2 2 5 15 5 5" xfId="24658" xr:uid="{00000000-0005-0000-0000-000031600000}"/>
    <cellStyle name="Normal 2 2 5 15 5 6" xfId="24659" xr:uid="{00000000-0005-0000-0000-000032600000}"/>
    <cellStyle name="Normal 2 2 5 15 5 7" xfId="24660" xr:uid="{00000000-0005-0000-0000-000033600000}"/>
    <cellStyle name="Normal 2 2 5 15 5 8" xfId="24661" xr:uid="{00000000-0005-0000-0000-000034600000}"/>
    <cellStyle name="Normal 2 2 5 15 5 9" xfId="24662" xr:uid="{00000000-0005-0000-0000-000035600000}"/>
    <cellStyle name="Normal 2 2 5 15 6" xfId="24663" xr:uid="{00000000-0005-0000-0000-000036600000}"/>
    <cellStyle name="Normal 2 2 5 15 7" xfId="24664" xr:uid="{00000000-0005-0000-0000-000037600000}"/>
    <cellStyle name="Normal 2 2 5 15 8" xfId="24665" xr:uid="{00000000-0005-0000-0000-000038600000}"/>
    <cellStyle name="Normal 2 2 5 15 9" xfId="24666" xr:uid="{00000000-0005-0000-0000-000039600000}"/>
    <cellStyle name="Normal 2 2 5 16" xfId="24667" xr:uid="{00000000-0005-0000-0000-00003A600000}"/>
    <cellStyle name="Normal 2 2 5 16 10" xfId="24668" xr:uid="{00000000-0005-0000-0000-00003B600000}"/>
    <cellStyle name="Normal 2 2 5 16 11" xfId="24669" xr:uid="{00000000-0005-0000-0000-00003C600000}"/>
    <cellStyle name="Normal 2 2 5 16 12" xfId="24670" xr:uid="{00000000-0005-0000-0000-00003D600000}"/>
    <cellStyle name="Normal 2 2 5 16 13" xfId="24671" xr:uid="{00000000-0005-0000-0000-00003E600000}"/>
    <cellStyle name="Normal 2 2 5 16 14" xfId="24672" xr:uid="{00000000-0005-0000-0000-00003F600000}"/>
    <cellStyle name="Normal 2 2 5 16 2" xfId="24673" xr:uid="{00000000-0005-0000-0000-000040600000}"/>
    <cellStyle name="Normal 2 2 5 16 2 10" xfId="24674" xr:uid="{00000000-0005-0000-0000-000041600000}"/>
    <cellStyle name="Normal 2 2 5 16 2 2" xfId="24675" xr:uid="{00000000-0005-0000-0000-000042600000}"/>
    <cellStyle name="Normal 2 2 5 16 2 3" xfId="24676" xr:uid="{00000000-0005-0000-0000-000043600000}"/>
    <cellStyle name="Normal 2 2 5 16 2 4" xfId="24677" xr:uid="{00000000-0005-0000-0000-000044600000}"/>
    <cellStyle name="Normal 2 2 5 16 2 5" xfId="24678" xr:uid="{00000000-0005-0000-0000-000045600000}"/>
    <cellStyle name="Normal 2 2 5 16 2 6" xfId="24679" xr:uid="{00000000-0005-0000-0000-000046600000}"/>
    <cellStyle name="Normal 2 2 5 16 2 7" xfId="24680" xr:uid="{00000000-0005-0000-0000-000047600000}"/>
    <cellStyle name="Normal 2 2 5 16 2 8" xfId="24681" xr:uid="{00000000-0005-0000-0000-000048600000}"/>
    <cellStyle name="Normal 2 2 5 16 2 9" xfId="24682" xr:uid="{00000000-0005-0000-0000-000049600000}"/>
    <cellStyle name="Normal 2 2 5 16 3" xfId="24683" xr:uid="{00000000-0005-0000-0000-00004A600000}"/>
    <cellStyle name="Normal 2 2 5 16 3 10" xfId="24684" xr:uid="{00000000-0005-0000-0000-00004B600000}"/>
    <cellStyle name="Normal 2 2 5 16 3 2" xfId="24685" xr:uid="{00000000-0005-0000-0000-00004C600000}"/>
    <cellStyle name="Normal 2 2 5 16 3 3" xfId="24686" xr:uid="{00000000-0005-0000-0000-00004D600000}"/>
    <cellStyle name="Normal 2 2 5 16 3 4" xfId="24687" xr:uid="{00000000-0005-0000-0000-00004E600000}"/>
    <cellStyle name="Normal 2 2 5 16 3 5" xfId="24688" xr:uid="{00000000-0005-0000-0000-00004F600000}"/>
    <cellStyle name="Normal 2 2 5 16 3 6" xfId="24689" xr:uid="{00000000-0005-0000-0000-000050600000}"/>
    <cellStyle name="Normal 2 2 5 16 3 7" xfId="24690" xr:uid="{00000000-0005-0000-0000-000051600000}"/>
    <cellStyle name="Normal 2 2 5 16 3 8" xfId="24691" xr:uid="{00000000-0005-0000-0000-000052600000}"/>
    <cellStyle name="Normal 2 2 5 16 3 9" xfId="24692" xr:uid="{00000000-0005-0000-0000-000053600000}"/>
    <cellStyle name="Normal 2 2 5 16 4" xfId="24693" xr:uid="{00000000-0005-0000-0000-000054600000}"/>
    <cellStyle name="Normal 2 2 5 16 4 10" xfId="24694" xr:uid="{00000000-0005-0000-0000-000055600000}"/>
    <cellStyle name="Normal 2 2 5 16 4 2" xfId="24695" xr:uid="{00000000-0005-0000-0000-000056600000}"/>
    <cellStyle name="Normal 2 2 5 16 4 3" xfId="24696" xr:uid="{00000000-0005-0000-0000-000057600000}"/>
    <cellStyle name="Normal 2 2 5 16 4 4" xfId="24697" xr:uid="{00000000-0005-0000-0000-000058600000}"/>
    <cellStyle name="Normal 2 2 5 16 4 5" xfId="24698" xr:uid="{00000000-0005-0000-0000-000059600000}"/>
    <cellStyle name="Normal 2 2 5 16 4 6" xfId="24699" xr:uid="{00000000-0005-0000-0000-00005A600000}"/>
    <cellStyle name="Normal 2 2 5 16 4 7" xfId="24700" xr:uid="{00000000-0005-0000-0000-00005B600000}"/>
    <cellStyle name="Normal 2 2 5 16 4 8" xfId="24701" xr:uid="{00000000-0005-0000-0000-00005C600000}"/>
    <cellStyle name="Normal 2 2 5 16 4 9" xfId="24702" xr:uid="{00000000-0005-0000-0000-00005D600000}"/>
    <cellStyle name="Normal 2 2 5 16 5" xfId="24703" xr:uid="{00000000-0005-0000-0000-00005E600000}"/>
    <cellStyle name="Normal 2 2 5 16 5 10" xfId="24704" xr:uid="{00000000-0005-0000-0000-00005F600000}"/>
    <cellStyle name="Normal 2 2 5 16 5 2" xfId="24705" xr:uid="{00000000-0005-0000-0000-000060600000}"/>
    <cellStyle name="Normal 2 2 5 16 5 3" xfId="24706" xr:uid="{00000000-0005-0000-0000-000061600000}"/>
    <cellStyle name="Normal 2 2 5 16 5 4" xfId="24707" xr:uid="{00000000-0005-0000-0000-000062600000}"/>
    <cellStyle name="Normal 2 2 5 16 5 5" xfId="24708" xr:uid="{00000000-0005-0000-0000-000063600000}"/>
    <cellStyle name="Normal 2 2 5 16 5 6" xfId="24709" xr:uid="{00000000-0005-0000-0000-000064600000}"/>
    <cellStyle name="Normal 2 2 5 16 5 7" xfId="24710" xr:uid="{00000000-0005-0000-0000-000065600000}"/>
    <cellStyle name="Normal 2 2 5 16 5 8" xfId="24711" xr:uid="{00000000-0005-0000-0000-000066600000}"/>
    <cellStyle name="Normal 2 2 5 16 5 9" xfId="24712" xr:uid="{00000000-0005-0000-0000-000067600000}"/>
    <cellStyle name="Normal 2 2 5 16 6" xfId="24713" xr:uid="{00000000-0005-0000-0000-000068600000}"/>
    <cellStyle name="Normal 2 2 5 16 7" xfId="24714" xr:uid="{00000000-0005-0000-0000-000069600000}"/>
    <cellStyle name="Normal 2 2 5 16 8" xfId="24715" xr:uid="{00000000-0005-0000-0000-00006A600000}"/>
    <cellStyle name="Normal 2 2 5 16 9" xfId="24716" xr:uid="{00000000-0005-0000-0000-00006B600000}"/>
    <cellStyle name="Normal 2 2 5 17" xfId="24717" xr:uid="{00000000-0005-0000-0000-00006C600000}"/>
    <cellStyle name="Normal 2 2 5 17 10" xfId="24718" xr:uid="{00000000-0005-0000-0000-00006D600000}"/>
    <cellStyle name="Normal 2 2 5 17 11" xfId="24719" xr:uid="{00000000-0005-0000-0000-00006E600000}"/>
    <cellStyle name="Normal 2 2 5 17 12" xfId="24720" xr:uid="{00000000-0005-0000-0000-00006F600000}"/>
    <cellStyle name="Normal 2 2 5 17 13" xfId="24721" xr:uid="{00000000-0005-0000-0000-000070600000}"/>
    <cellStyle name="Normal 2 2 5 17 14" xfId="24722" xr:uid="{00000000-0005-0000-0000-000071600000}"/>
    <cellStyle name="Normal 2 2 5 17 2" xfId="24723" xr:uid="{00000000-0005-0000-0000-000072600000}"/>
    <cellStyle name="Normal 2 2 5 17 2 10" xfId="24724" xr:uid="{00000000-0005-0000-0000-000073600000}"/>
    <cellStyle name="Normal 2 2 5 17 2 2" xfId="24725" xr:uid="{00000000-0005-0000-0000-000074600000}"/>
    <cellStyle name="Normal 2 2 5 17 2 3" xfId="24726" xr:uid="{00000000-0005-0000-0000-000075600000}"/>
    <cellStyle name="Normal 2 2 5 17 2 4" xfId="24727" xr:uid="{00000000-0005-0000-0000-000076600000}"/>
    <cellStyle name="Normal 2 2 5 17 2 5" xfId="24728" xr:uid="{00000000-0005-0000-0000-000077600000}"/>
    <cellStyle name="Normal 2 2 5 17 2 6" xfId="24729" xr:uid="{00000000-0005-0000-0000-000078600000}"/>
    <cellStyle name="Normal 2 2 5 17 2 7" xfId="24730" xr:uid="{00000000-0005-0000-0000-000079600000}"/>
    <cellStyle name="Normal 2 2 5 17 2 8" xfId="24731" xr:uid="{00000000-0005-0000-0000-00007A600000}"/>
    <cellStyle name="Normal 2 2 5 17 2 9" xfId="24732" xr:uid="{00000000-0005-0000-0000-00007B600000}"/>
    <cellStyle name="Normal 2 2 5 17 3" xfId="24733" xr:uid="{00000000-0005-0000-0000-00007C600000}"/>
    <cellStyle name="Normal 2 2 5 17 3 10" xfId="24734" xr:uid="{00000000-0005-0000-0000-00007D600000}"/>
    <cellStyle name="Normal 2 2 5 17 3 2" xfId="24735" xr:uid="{00000000-0005-0000-0000-00007E600000}"/>
    <cellStyle name="Normal 2 2 5 17 3 3" xfId="24736" xr:uid="{00000000-0005-0000-0000-00007F600000}"/>
    <cellStyle name="Normal 2 2 5 17 3 4" xfId="24737" xr:uid="{00000000-0005-0000-0000-000080600000}"/>
    <cellStyle name="Normal 2 2 5 17 3 5" xfId="24738" xr:uid="{00000000-0005-0000-0000-000081600000}"/>
    <cellStyle name="Normal 2 2 5 17 3 6" xfId="24739" xr:uid="{00000000-0005-0000-0000-000082600000}"/>
    <cellStyle name="Normal 2 2 5 17 3 7" xfId="24740" xr:uid="{00000000-0005-0000-0000-000083600000}"/>
    <cellStyle name="Normal 2 2 5 17 3 8" xfId="24741" xr:uid="{00000000-0005-0000-0000-000084600000}"/>
    <cellStyle name="Normal 2 2 5 17 3 9" xfId="24742" xr:uid="{00000000-0005-0000-0000-000085600000}"/>
    <cellStyle name="Normal 2 2 5 17 4" xfId="24743" xr:uid="{00000000-0005-0000-0000-000086600000}"/>
    <cellStyle name="Normal 2 2 5 17 4 10" xfId="24744" xr:uid="{00000000-0005-0000-0000-000087600000}"/>
    <cellStyle name="Normal 2 2 5 17 4 2" xfId="24745" xr:uid="{00000000-0005-0000-0000-000088600000}"/>
    <cellStyle name="Normal 2 2 5 17 4 3" xfId="24746" xr:uid="{00000000-0005-0000-0000-000089600000}"/>
    <cellStyle name="Normal 2 2 5 17 4 4" xfId="24747" xr:uid="{00000000-0005-0000-0000-00008A600000}"/>
    <cellStyle name="Normal 2 2 5 17 4 5" xfId="24748" xr:uid="{00000000-0005-0000-0000-00008B600000}"/>
    <cellStyle name="Normal 2 2 5 17 4 6" xfId="24749" xr:uid="{00000000-0005-0000-0000-00008C600000}"/>
    <cellStyle name="Normal 2 2 5 17 4 7" xfId="24750" xr:uid="{00000000-0005-0000-0000-00008D600000}"/>
    <cellStyle name="Normal 2 2 5 17 4 8" xfId="24751" xr:uid="{00000000-0005-0000-0000-00008E600000}"/>
    <cellStyle name="Normal 2 2 5 17 4 9" xfId="24752" xr:uid="{00000000-0005-0000-0000-00008F600000}"/>
    <cellStyle name="Normal 2 2 5 17 5" xfId="24753" xr:uid="{00000000-0005-0000-0000-000090600000}"/>
    <cellStyle name="Normal 2 2 5 17 5 10" xfId="24754" xr:uid="{00000000-0005-0000-0000-000091600000}"/>
    <cellStyle name="Normal 2 2 5 17 5 2" xfId="24755" xr:uid="{00000000-0005-0000-0000-000092600000}"/>
    <cellStyle name="Normal 2 2 5 17 5 3" xfId="24756" xr:uid="{00000000-0005-0000-0000-000093600000}"/>
    <cellStyle name="Normal 2 2 5 17 5 4" xfId="24757" xr:uid="{00000000-0005-0000-0000-000094600000}"/>
    <cellStyle name="Normal 2 2 5 17 5 5" xfId="24758" xr:uid="{00000000-0005-0000-0000-000095600000}"/>
    <cellStyle name="Normal 2 2 5 17 5 6" xfId="24759" xr:uid="{00000000-0005-0000-0000-000096600000}"/>
    <cellStyle name="Normal 2 2 5 17 5 7" xfId="24760" xr:uid="{00000000-0005-0000-0000-000097600000}"/>
    <cellStyle name="Normal 2 2 5 17 5 8" xfId="24761" xr:uid="{00000000-0005-0000-0000-000098600000}"/>
    <cellStyle name="Normal 2 2 5 17 5 9" xfId="24762" xr:uid="{00000000-0005-0000-0000-000099600000}"/>
    <cellStyle name="Normal 2 2 5 17 6" xfId="24763" xr:uid="{00000000-0005-0000-0000-00009A600000}"/>
    <cellStyle name="Normal 2 2 5 17 7" xfId="24764" xr:uid="{00000000-0005-0000-0000-00009B600000}"/>
    <cellStyle name="Normal 2 2 5 17 8" xfId="24765" xr:uid="{00000000-0005-0000-0000-00009C600000}"/>
    <cellStyle name="Normal 2 2 5 17 9" xfId="24766" xr:uid="{00000000-0005-0000-0000-00009D600000}"/>
    <cellStyle name="Normal 2 2 5 18" xfId="24767" xr:uid="{00000000-0005-0000-0000-00009E600000}"/>
    <cellStyle name="Normal 2 2 5 18 10" xfId="24768" xr:uid="{00000000-0005-0000-0000-00009F600000}"/>
    <cellStyle name="Normal 2 2 5 18 11" xfId="24769" xr:uid="{00000000-0005-0000-0000-0000A0600000}"/>
    <cellStyle name="Normal 2 2 5 18 12" xfId="24770" xr:uid="{00000000-0005-0000-0000-0000A1600000}"/>
    <cellStyle name="Normal 2 2 5 18 13" xfId="24771" xr:uid="{00000000-0005-0000-0000-0000A2600000}"/>
    <cellStyle name="Normal 2 2 5 18 14" xfId="24772" xr:uid="{00000000-0005-0000-0000-0000A3600000}"/>
    <cellStyle name="Normal 2 2 5 18 2" xfId="24773" xr:uid="{00000000-0005-0000-0000-0000A4600000}"/>
    <cellStyle name="Normal 2 2 5 18 2 10" xfId="24774" xr:uid="{00000000-0005-0000-0000-0000A5600000}"/>
    <cellStyle name="Normal 2 2 5 18 2 2" xfId="24775" xr:uid="{00000000-0005-0000-0000-0000A6600000}"/>
    <cellStyle name="Normal 2 2 5 18 2 3" xfId="24776" xr:uid="{00000000-0005-0000-0000-0000A7600000}"/>
    <cellStyle name="Normal 2 2 5 18 2 4" xfId="24777" xr:uid="{00000000-0005-0000-0000-0000A8600000}"/>
    <cellStyle name="Normal 2 2 5 18 2 5" xfId="24778" xr:uid="{00000000-0005-0000-0000-0000A9600000}"/>
    <cellStyle name="Normal 2 2 5 18 2 6" xfId="24779" xr:uid="{00000000-0005-0000-0000-0000AA600000}"/>
    <cellStyle name="Normal 2 2 5 18 2 7" xfId="24780" xr:uid="{00000000-0005-0000-0000-0000AB600000}"/>
    <cellStyle name="Normal 2 2 5 18 2 8" xfId="24781" xr:uid="{00000000-0005-0000-0000-0000AC600000}"/>
    <cellStyle name="Normal 2 2 5 18 2 9" xfId="24782" xr:uid="{00000000-0005-0000-0000-0000AD600000}"/>
    <cellStyle name="Normal 2 2 5 18 3" xfId="24783" xr:uid="{00000000-0005-0000-0000-0000AE600000}"/>
    <cellStyle name="Normal 2 2 5 18 3 10" xfId="24784" xr:uid="{00000000-0005-0000-0000-0000AF600000}"/>
    <cellStyle name="Normal 2 2 5 18 3 2" xfId="24785" xr:uid="{00000000-0005-0000-0000-0000B0600000}"/>
    <cellStyle name="Normal 2 2 5 18 3 3" xfId="24786" xr:uid="{00000000-0005-0000-0000-0000B1600000}"/>
    <cellStyle name="Normal 2 2 5 18 3 4" xfId="24787" xr:uid="{00000000-0005-0000-0000-0000B2600000}"/>
    <cellStyle name="Normal 2 2 5 18 3 5" xfId="24788" xr:uid="{00000000-0005-0000-0000-0000B3600000}"/>
    <cellStyle name="Normal 2 2 5 18 3 6" xfId="24789" xr:uid="{00000000-0005-0000-0000-0000B4600000}"/>
    <cellStyle name="Normal 2 2 5 18 3 7" xfId="24790" xr:uid="{00000000-0005-0000-0000-0000B5600000}"/>
    <cellStyle name="Normal 2 2 5 18 3 8" xfId="24791" xr:uid="{00000000-0005-0000-0000-0000B6600000}"/>
    <cellStyle name="Normal 2 2 5 18 3 9" xfId="24792" xr:uid="{00000000-0005-0000-0000-0000B7600000}"/>
    <cellStyle name="Normal 2 2 5 18 4" xfId="24793" xr:uid="{00000000-0005-0000-0000-0000B8600000}"/>
    <cellStyle name="Normal 2 2 5 18 4 10" xfId="24794" xr:uid="{00000000-0005-0000-0000-0000B9600000}"/>
    <cellStyle name="Normal 2 2 5 18 4 2" xfId="24795" xr:uid="{00000000-0005-0000-0000-0000BA600000}"/>
    <cellStyle name="Normal 2 2 5 18 4 3" xfId="24796" xr:uid="{00000000-0005-0000-0000-0000BB600000}"/>
    <cellStyle name="Normal 2 2 5 18 4 4" xfId="24797" xr:uid="{00000000-0005-0000-0000-0000BC600000}"/>
    <cellStyle name="Normal 2 2 5 18 4 5" xfId="24798" xr:uid="{00000000-0005-0000-0000-0000BD600000}"/>
    <cellStyle name="Normal 2 2 5 18 4 6" xfId="24799" xr:uid="{00000000-0005-0000-0000-0000BE600000}"/>
    <cellStyle name="Normal 2 2 5 18 4 7" xfId="24800" xr:uid="{00000000-0005-0000-0000-0000BF600000}"/>
    <cellStyle name="Normal 2 2 5 18 4 8" xfId="24801" xr:uid="{00000000-0005-0000-0000-0000C0600000}"/>
    <cellStyle name="Normal 2 2 5 18 4 9" xfId="24802" xr:uid="{00000000-0005-0000-0000-0000C1600000}"/>
    <cellStyle name="Normal 2 2 5 18 5" xfId="24803" xr:uid="{00000000-0005-0000-0000-0000C2600000}"/>
    <cellStyle name="Normal 2 2 5 18 5 10" xfId="24804" xr:uid="{00000000-0005-0000-0000-0000C3600000}"/>
    <cellStyle name="Normal 2 2 5 18 5 2" xfId="24805" xr:uid="{00000000-0005-0000-0000-0000C4600000}"/>
    <cellStyle name="Normal 2 2 5 18 5 3" xfId="24806" xr:uid="{00000000-0005-0000-0000-0000C5600000}"/>
    <cellStyle name="Normal 2 2 5 18 5 4" xfId="24807" xr:uid="{00000000-0005-0000-0000-0000C6600000}"/>
    <cellStyle name="Normal 2 2 5 18 5 5" xfId="24808" xr:uid="{00000000-0005-0000-0000-0000C7600000}"/>
    <cellStyle name="Normal 2 2 5 18 5 6" xfId="24809" xr:uid="{00000000-0005-0000-0000-0000C8600000}"/>
    <cellStyle name="Normal 2 2 5 18 5 7" xfId="24810" xr:uid="{00000000-0005-0000-0000-0000C9600000}"/>
    <cellStyle name="Normal 2 2 5 18 5 8" xfId="24811" xr:uid="{00000000-0005-0000-0000-0000CA600000}"/>
    <cellStyle name="Normal 2 2 5 18 5 9" xfId="24812" xr:uid="{00000000-0005-0000-0000-0000CB600000}"/>
    <cellStyle name="Normal 2 2 5 18 6" xfId="24813" xr:uid="{00000000-0005-0000-0000-0000CC600000}"/>
    <cellStyle name="Normal 2 2 5 18 7" xfId="24814" xr:uid="{00000000-0005-0000-0000-0000CD600000}"/>
    <cellStyle name="Normal 2 2 5 18 8" xfId="24815" xr:uid="{00000000-0005-0000-0000-0000CE600000}"/>
    <cellStyle name="Normal 2 2 5 18 9" xfId="24816" xr:uid="{00000000-0005-0000-0000-0000CF600000}"/>
    <cellStyle name="Normal 2 2 5 19" xfId="24817" xr:uid="{00000000-0005-0000-0000-0000D0600000}"/>
    <cellStyle name="Normal 2 2 5 19 10" xfId="24818" xr:uid="{00000000-0005-0000-0000-0000D1600000}"/>
    <cellStyle name="Normal 2 2 5 19 11" xfId="24819" xr:uid="{00000000-0005-0000-0000-0000D2600000}"/>
    <cellStyle name="Normal 2 2 5 19 12" xfId="24820" xr:uid="{00000000-0005-0000-0000-0000D3600000}"/>
    <cellStyle name="Normal 2 2 5 19 13" xfId="24821" xr:uid="{00000000-0005-0000-0000-0000D4600000}"/>
    <cellStyle name="Normal 2 2 5 19 14" xfId="24822" xr:uid="{00000000-0005-0000-0000-0000D5600000}"/>
    <cellStyle name="Normal 2 2 5 19 2" xfId="24823" xr:uid="{00000000-0005-0000-0000-0000D6600000}"/>
    <cellStyle name="Normal 2 2 5 19 2 10" xfId="24824" xr:uid="{00000000-0005-0000-0000-0000D7600000}"/>
    <cellStyle name="Normal 2 2 5 19 2 2" xfId="24825" xr:uid="{00000000-0005-0000-0000-0000D8600000}"/>
    <cellStyle name="Normal 2 2 5 19 2 3" xfId="24826" xr:uid="{00000000-0005-0000-0000-0000D9600000}"/>
    <cellStyle name="Normal 2 2 5 19 2 4" xfId="24827" xr:uid="{00000000-0005-0000-0000-0000DA600000}"/>
    <cellStyle name="Normal 2 2 5 19 2 5" xfId="24828" xr:uid="{00000000-0005-0000-0000-0000DB600000}"/>
    <cellStyle name="Normal 2 2 5 19 2 6" xfId="24829" xr:uid="{00000000-0005-0000-0000-0000DC600000}"/>
    <cellStyle name="Normal 2 2 5 19 2 7" xfId="24830" xr:uid="{00000000-0005-0000-0000-0000DD600000}"/>
    <cellStyle name="Normal 2 2 5 19 2 8" xfId="24831" xr:uid="{00000000-0005-0000-0000-0000DE600000}"/>
    <cellStyle name="Normal 2 2 5 19 2 9" xfId="24832" xr:uid="{00000000-0005-0000-0000-0000DF600000}"/>
    <cellStyle name="Normal 2 2 5 19 3" xfId="24833" xr:uid="{00000000-0005-0000-0000-0000E0600000}"/>
    <cellStyle name="Normal 2 2 5 19 3 10" xfId="24834" xr:uid="{00000000-0005-0000-0000-0000E1600000}"/>
    <cellStyle name="Normal 2 2 5 19 3 2" xfId="24835" xr:uid="{00000000-0005-0000-0000-0000E2600000}"/>
    <cellStyle name="Normal 2 2 5 19 3 3" xfId="24836" xr:uid="{00000000-0005-0000-0000-0000E3600000}"/>
    <cellStyle name="Normal 2 2 5 19 3 4" xfId="24837" xr:uid="{00000000-0005-0000-0000-0000E4600000}"/>
    <cellStyle name="Normal 2 2 5 19 3 5" xfId="24838" xr:uid="{00000000-0005-0000-0000-0000E5600000}"/>
    <cellStyle name="Normal 2 2 5 19 3 6" xfId="24839" xr:uid="{00000000-0005-0000-0000-0000E6600000}"/>
    <cellStyle name="Normal 2 2 5 19 3 7" xfId="24840" xr:uid="{00000000-0005-0000-0000-0000E7600000}"/>
    <cellStyle name="Normal 2 2 5 19 3 8" xfId="24841" xr:uid="{00000000-0005-0000-0000-0000E8600000}"/>
    <cellStyle name="Normal 2 2 5 19 3 9" xfId="24842" xr:uid="{00000000-0005-0000-0000-0000E9600000}"/>
    <cellStyle name="Normal 2 2 5 19 4" xfId="24843" xr:uid="{00000000-0005-0000-0000-0000EA600000}"/>
    <cellStyle name="Normal 2 2 5 19 4 10" xfId="24844" xr:uid="{00000000-0005-0000-0000-0000EB600000}"/>
    <cellStyle name="Normal 2 2 5 19 4 2" xfId="24845" xr:uid="{00000000-0005-0000-0000-0000EC600000}"/>
    <cellStyle name="Normal 2 2 5 19 4 3" xfId="24846" xr:uid="{00000000-0005-0000-0000-0000ED600000}"/>
    <cellStyle name="Normal 2 2 5 19 4 4" xfId="24847" xr:uid="{00000000-0005-0000-0000-0000EE600000}"/>
    <cellStyle name="Normal 2 2 5 19 4 5" xfId="24848" xr:uid="{00000000-0005-0000-0000-0000EF600000}"/>
    <cellStyle name="Normal 2 2 5 19 4 6" xfId="24849" xr:uid="{00000000-0005-0000-0000-0000F0600000}"/>
    <cellStyle name="Normal 2 2 5 19 4 7" xfId="24850" xr:uid="{00000000-0005-0000-0000-0000F1600000}"/>
    <cellStyle name="Normal 2 2 5 19 4 8" xfId="24851" xr:uid="{00000000-0005-0000-0000-0000F2600000}"/>
    <cellStyle name="Normal 2 2 5 19 4 9" xfId="24852" xr:uid="{00000000-0005-0000-0000-0000F3600000}"/>
    <cellStyle name="Normal 2 2 5 19 5" xfId="24853" xr:uid="{00000000-0005-0000-0000-0000F4600000}"/>
    <cellStyle name="Normal 2 2 5 19 5 10" xfId="24854" xr:uid="{00000000-0005-0000-0000-0000F5600000}"/>
    <cellStyle name="Normal 2 2 5 19 5 2" xfId="24855" xr:uid="{00000000-0005-0000-0000-0000F6600000}"/>
    <cellStyle name="Normal 2 2 5 19 5 3" xfId="24856" xr:uid="{00000000-0005-0000-0000-0000F7600000}"/>
    <cellStyle name="Normal 2 2 5 19 5 4" xfId="24857" xr:uid="{00000000-0005-0000-0000-0000F8600000}"/>
    <cellStyle name="Normal 2 2 5 19 5 5" xfId="24858" xr:uid="{00000000-0005-0000-0000-0000F9600000}"/>
    <cellStyle name="Normal 2 2 5 19 5 6" xfId="24859" xr:uid="{00000000-0005-0000-0000-0000FA600000}"/>
    <cellStyle name="Normal 2 2 5 19 5 7" xfId="24860" xr:uid="{00000000-0005-0000-0000-0000FB600000}"/>
    <cellStyle name="Normal 2 2 5 19 5 8" xfId="24861" xr:uid="{00000000-0005-0000-0000-0000FC600000}"/>
    <cellStyle name="Normal 2 2 5 19 5 9" xfId="24862" xr:uid="{00000000-0005-0000-0000-0000FD600000}"/>
    <cellStyle name="Normal 2 2 5 19 6" xfId="24863" xr:uid="{00000000-0005-0000-0000-0000FE600000}"/>
    <cellStyle name="Normal 2 2 5 19 7" xfId="24864" xr:uid="{00000000-0005-0000-0000-0000FF600000}"/>
    <cellStyle name="Normal 2 2 5 19 8" xfId="24865" xr:uid="{00000000-0005-0000-0000-000000610000}"/>
    <cellStyle name="Normal 2 2 5 19 9" xfId="24866" xr:uid="{00000000-0005-0000-0000-000001610000}"/>
    <cellStyle name="Normal 2 2 5 2" xfId="24867" xr:uid="{00000000-0005-0000-0000-000002610000}"/>
    <cellStyle name="Normal 2 2 5 2 10" xfId="24868" xr:uid="{00000000-0005-0000-0000-000003610000}"/>
    <cellStyle name="Normal 2 2 5 2 11" xfId="24869" xr:uid="{00000000-0005-0000-0000-000004610000}"/>
    <cellStyle name="Normal 2 2 5 2 12" xfId="24870" xr:uid="{00000000-0005-0000-0000-000005610000}"/>
    <cellStyle name="Normal 2 2 5 2 13" xfId="24871" xr:uid="{00000000-0005-0000-0000-000006610000}"/>
    <cellStyle name="Normal 2 2 5 2 14" xfId="24872" xr:uid="{00000000-0005-0000-0000-000007610000}"/>
    <cellStyle name="Normal 2 2 5 2 15" xfId="24873" xr:uid="{00000000-0005-0000-0000-000008610000}"/>
    <cellStyle name="Normal 2 2 5 2 16" xfId="24874" xr:uid="{00000000-0005-0000-0000-000009610000}"/>
    <cellStyle name="Normal 2 2 5 2 17" xfId="24875" xr:uid="{00000000-0005-0000-0000-00000A610000}"/>
    <cellStyle name="Normal 2 2 5 2 18" xfId="24876" xr:uid="{00000000-0005-0000-0000-00000B610000}"/>
    <cellStyle name="Normal 2 2 5 2 19" xfId="24877" xr:uid="{00000000-0005-0000-0000-00000C610000}"/>
    <cellStyle name="Normal 2 2 5 2 2" xfId="24878" xr:uid="{00000000-0005-0000-0000-00000D610000}"/>
    <cellStyle name="Normal 2 2 5 2 20" xfId="24879" xr:uid="{00000000-0005-0000-0000-00000E610000}"/>
    <cellStyle name="Normal 2 2 5 2 21" xfId="24880" xr:uid="{00000000-0005-0000-0000-00000F610000}"/>
    <cellStyle name="Normal 2 2 5 2 21 10" xfId="24881" xr:uid="{00000000-0005-0000-0000-000010610000}"/>
    <cellStyle name="Normal 2 2 5 2 21 2" xfId="24882" xr:uid="{00000000-0005-0000-0000-000011610000}"/>
    <cellStyle name="Normal 2 2 5 2 21 3" xfId="24883" xr:uid="{00000000-0005-0000-0000-000012610000}"/>
    <cellStyle name="Normal 2 2 5 2 21 4" xfId="24884" xr:uid="{00000000-0005-0000-0000-000013610000}"/>
    <cellStyle name="Normal 2 2 5 2 21 5" xfId="24885" xr:uid="{00000000-0005-0000-0000-000014610000}"/>
    <cellStyle name="Normal 2 2 5 2 21 6" xfId="24886" xr:uid="{00000000-0005-0000-0000-000015610000}"/>
    <cellStyle name="Normal 2 2 5 2 21 7" xfId="24887" xr:uid="{00000000-0005-0000-0000-000016610000}"/>
    <cellStyle name="Normal 2 2 5 2 21 8" xfId="24888" xr:uid="{00000000-0005-0000-0000-000017610000}"/>
    <cellStyle name="Normal 2 2 5 2 21 9" xfId="24889" xr:uid="{00000000-0005-0000-0000-000018610000}"/>
    <cellStyle name="Normal 2 2 5 2 22" xfId="24890" xr:uid="{00000000-0005-0000-0000-000019610000}"/>
    <cellStyle name="Normal 2 2 5 2 22 10" xfId="24891" xr:uid="{00000000-0005-0000-0000-00001A610000}"/>
    <cellStyle name="Normal 2 2 5 2 22 2" xfId="24892" xr:uid="{00000000-0005-0000-0000-00001B610000}"/>
    <cellStyle name="Normal 2 2 5 2 22 3" xfId="24893" xr:uid="{00000000-0005-0000-0000-00001C610000}"/>
    <cellStyle name="Normal 2 2 5 2 22 4" xfId="24894" xr:uid="{00000000-0005-0000-0000-00001D610000}"/>
    <cellStyle name="Normal 2 2 5 2 22 5" xfId="24895" xr:uid="{00000000-0005-0000-0000-00001E610000}"/>
    <cellStyle name="Normal 2 2 5 2 22 6" xfId="24896" xr:uid="{00000000-0005-0000-0000-00001F610000}"/>
    <cellStyle name="Normal 2 2 5 2 22 7" xfId="24897" xr:uid="{00000000-0005-0000-0000-000020610000}"/>
    <cellStyle name="Normal 2 2 5 2 22 8" xfId="24898" xr:uid="{00000000-0005-0000-0000-000021610000}"/>
    <cellStyle name="Normal 2 2 5 2 22 9" xfId="24899" xr:uid="{00000000-0005-0000-0000-000022610000}"/>
    <cellStyle name="Normal 2 2 5 2 23" xfId="24900" xr:uid="{00000000-0005-0000-0000-000023610000}"/>
    <cellStyle name="Normal 2 2 5 2 23 10" xfId="24901" xr:uid="{00000000-0005-0000-0000-000024610000}"/>
    <cellStyle name="Normal 2 2 5 2 23 2" xfId="24902" xr:uid="{00000000-0005-0000-0000-000025610000}"/>
    <cellStyle name="Normal 2 2 5 2 23 3" xfId="24903" xr:uid="{00000000-0005-0000-0000-000026610000}"/>
    <cellStyle name="Normal 2 2 5 2 23 4" xfId="24904" xr:uid="{00000000-0005-0000-0000-000027610000}"/>
    <cellStyle name="Normal 2 2 5 2 23 5" xfId="24905" xr:uid="{00000000-0005-0000-0000-000028610000}"/>
    <cellStyle name="Normal 2 2 5 2 23 6" xfId="24906" xr:uid="{00000000-0005-0000-0000-000029610000}"/>
    <cellStyle name="Normal 2 2 5 2 23 7" xfId="24907" xr:uid="{00000000-0005-0000-0000-00002A610000}"/>
    <cellStyle name="Normal 2 2 5 2 23 8" xfId="24908" xr:uid="{00000000-0005-0000-0000-00002B610000}"/>
    <cellStyle name="Normal 2 2 5 2 23 9" xfId="24909" xr:uid="{00000000-0005-0000-0000-00002C610000}"/>
    <cellStyle name="Normal 2 2 5 2 24" xfId="24910" xr:uid="{00000000-0005-0000-0000-00002D610000}"/>
    <cellStyle name="Normal 2 2 5 2 24 10" xfId="24911" xr:uid="{00000000-0005-0000-0000-00002E610000}"/>
    <cellStyle name="Normal 2 2 5 2 24 2" xfId="24912" xr:uid="{00000000-0005-0000-0000-00002F610000}"/>
    <cellStyle name="Normal 2 2 5 2 24 3" xfId="24913" xr:uid="{00000000-0005-0000-0000-000030610000}"/>
    <cellStyle name="Normal 2 2 5 2 24 4" xfId="24914" xr:uid="{00000000-0005-0000-0000-000031610000}"/>
    <cellStyle name="Normal 2 2 5 2 24 5" xfId="24915" xr:uid="{00000000-0005-0000-0000-000032610000}"/>
    <cellStyle name="Normal 2 2 5 2 24 6" xfId="24916" xr:uid="{00000000-0005-0000-0000-000033610000}"/>
    <cellStyle name="Normal 2 2 5 2 24 7" xfId="24917" xr:uid="{00000000-0005-0000-0000-000034610000}"/>
    <cellStyle name="Normal 2 2 5 2 24 8" xfId="24918" xr:uid="{00000000-0005-0000-0000-000035610000}"/>
    <cellStyle name="Normal 2 2 5 2 24 9" xfId="24919" xr:uid="{00000000-0005-0000-0000-000036610000}"/>
    <cellStyle name="Normal 2 2 5 2 25" xfId="24920" xr:uid="{00000000-0005-0000-0000-000037610000}"/>
    <cellStyle name="Normal 2 2 5 2 26" xfId="24921" xr:uid="{00000000-0005-0000-0000-000038610000}"/>
    <cellStyle name="Normal 2 2 5 2 27" xfId="24922" xr:uid="{00000000-0005-0000-0000-000039610000}"/>
    <cellStyle name="Normal 2 2 5 2 28" xfId="24923" xr:uid="{00000000-0005-0000-0000-00003A610000}"/>
    <cellStyle name="Normal 2 2 5 2 29" xfId="24924" xr:uid="{00000000-0005-0000-0000-00003B610000}"/>
    <cellStyle name="Normal 2 2 5 2 3" xfId="24925" xr:uid="{00000000-0005-0000-0000-00003C610000}"/>
    <cellStyle name="Normal 2 2 5 2 30" xfId="24926" xr:uid="{00000000-0005-0000-0000-00003D610000}"/>
    <cellStyle name="Normal 2 2 5 2 31" xfId="24927" xr:uid="{00000000-0005-0000-0000-00003E610000}"/>
    <cellStyle name="Normal 2 2 5 2 32" xfId="24928" xr:uid="{00000000-0005-0000-0000-00003F610000}"/>
    <cellStyle name="Normal 2 2 5 2 33" xfId="24929" xr:uid="{00000000-0005-0000-0000-000040610000}"/>
    <cellStyle name="Normal 2 2 5 2 4" xfId="24930" xr:uid="{00000000-0005-0000-0000-000041610000}"/>
    <cellStyle name="Normal 2 2 5 2 5" xfId="24931" xr:uid="{00000000-0005-0000-0000-000042610000}"/>
    <cellStyle name="Normal 2 2 5 2 6" xfId="24932" xr:uid="{00000000-0005-0000-0000-000043610000}"/>
    <cellStyle name="Normal 2 2 5 2 7" xfId="24933" xr:uid="{00000000-0005-0000-0000-000044610000}"/>
    <cellStyle name="Normal 2 2 5 2 8" xfId="24934" xr:uid="{00000000-0005-0000-0000-000045610000}"/>
    <cellStyle name="Normal 2 2 5 2 9" xfId="24935" xr:uid="{00000000-0005-0000-0000-000046610000}"/>
    <cellStyle name="Normal 2 2 5 20" xfId="24936" xr:uid="{00000000-0005-0000-0000-000047610000}"/>
    <cellStyle name="Normal 2 2 5 20 10" xfId="24937" xr:uid="{00000000-0005-0000-0000-000048610000}"/>
    <cellStyle name="Normal 2 2 5 20 11" xfId="24938" xr:uid="{00000000-0005-0000-0000-000049610000}"/>
    <cellStyle name="Normal 2 2 5 20 12" xfId="24939" xr:uid="{00000000-0005-0000-0000-00004A610000}"/>
    <cellStyle name="Normal 2 2 5 20 13" xfId="24940" xr:uid="{00000000-0005-0000-0000-00004B610000}"/>
    <cellStyle name="Normal 2 2 5 20 14" xfId="24941" xr:uid="{00000000-0005-0000-0000-00004C610000}"/>
    <cellStyle name="Normal 2 2 5 20 2" xfId="24942" xr:uid="{00000000-0005-0000-0000-00004D610000}"/>
    <cellStyle name="Normal 2 2 5 20 2 10" xfId="24943" xr:uid="{00000000-0005-0000-0000-00004E610000}"/>
    <cellStyle name="Normal 2 2 5 20 2 2" xfId="24944" xr:uid="{00000000-0005-0000-0000-00004F610000}"/>
    <cellStyle name="Normal 2 2 5 20 2 3" xfId="24945" xr:uid="{00000000-0005-0000-0000-000050610000}"/>
    <cellStyle name="Normal 2 2 5 20 2 4" xfId="24946" xr:uid="{00000000-0005-0000-0000-000051610000}"/>
    <cellStyle name="Normal 2 2 5 20 2 5" xfId="24947" xr:uid="{00000000-0005-0000-0000-000052610000}"/>
    <cellStyle name="Normal 2 2 5 20 2 6" xfId="24948" xr:uid="{00000000-0005-0000-0000-000053610000}"/>
    <cellStyle name="Normal 2 2 5 20 2 7" xfId="24949" xr:uid="{00000000-0005-0000-0000-000054610000}"/>
    <cellStyle name="Normal 2 2 5 20 2 8" xfId="24950" xr:uid="{00000000-0005-0000-0000-000055610000}"/>
    <cellStyle name="Normal 2 2 5 20 2 9" xfId="24951" xr:uid="{00000000-0005-0000-0000-000056610000}"/>
    <cellStyle name="Normal 2 2 5 20 3" xfId="24952" xr:uid="{00000000-0005-0000-0000-000057610000}"/>
    <cellStyle name="Normal 2 2 5 20 3 10" xfId="24953" xr:uid="{00000000-0005-0000-0000-000058610000}"/>
    <cellStyle name="Normal 2 2 5 20 3 2" xfId="24954" xr:uid="{00000000-0005-0000-0000-000059610000}"/>
    <cellStyle name="Normal 2 2 5 20 3 3" xfId="24955" xr:uid="{00000000-0005-0000-0000-00005A610000}"/>
    <cellStyle name="Normal 2 2 5 20 3 4" xfId="24956" xr:uid="{00000000-0005-0000-0000-00005B610000}"/>
    <cellStyle name="Normal 2 2 5 20 3 5" xfId="24957" xr:uid="{00000000-0005-0000-0000-00005C610000}"/>
    <cellStyle name="Normal 2 2 5 20 3 6" xfId="24958" xr:uid="{00000000-0005-0000-0000-00005D610000}"/>
    <cellStyle name="Normal 2 2 5 20 3 7" xfId="24959" xr:uid="{00000000-0005-0000-0000-00005E610000}"/>
    <cellStyle name="Normal 2 2 5 20 3 8" xfId="24960" xr:uid="{00000000-0005-0000-0000-00005F610000}"/>
    <cellStyle name="Normal 2 2 5 20 3 9" xfId="24961" xr:uid="{00000000-0005-0000-0000-000060610000}"/>
    <cellStyle name="Normal 2 2 5 20 4" xfId="24962" xr:uid="{00000000-0005-0000-0000-000061610000}"/>
    <cellStyle name="Normal 2 2 5 20 4 10" xfId="24963" xr:uid="{00000000-0005-0000-0000-000062610000}"/>
    <cellStyle name="Normal 2 2 5 20 4 2" xfId="24964" xr:uid="{00000000-0005-0000-0000-000063610000}"/>
    <cellStyle name="Normal 2 2 5 20 4 3" xfId="24965" xr:uid="{00000000-0005-0000-0000-000064610000}"/>
    <cellStyle name="Normal 2 2 5 20 4 4" xfId="24966" xr:uid="{00000000-0005-0000-0000-000065610000}"/>
    <cellStyle name="Normal 2 2 5 20 4 5" xfId="24967" xr:uid="{00000000-0005-0000-0000-000066610000}"/>
    <cellStyle name="Normal 2 2 5 20 4 6" xfId="24968" xr:uid="{00000000-0005-0000-0000-000067610000}"/>
    <cellStyle name="Normal 2 2 5 20 4 7" xfId="24969" xr:uid="{00000000-0005-0000-0000-000068610000}"/>
    <cellStyle name="Normal 2 2 5 20 4 8" xfId="24970" xr:uid="{00000000-0005-0000-0000-000069610000}"/>
    <cellStyle name="Normal 2 2 5 20 4 9" xfId="24971" xr:uid="{00000000-0005-0000-0000-00006A610000}"/>
    <cellStyle name="Normal 2 2 5 20 5" xfId="24972" xr:uid="{00000000-0005-0000-0000-00006B610000}"/>
    <cellStyle name="Normal 2 2 5 20 5 10" xfId="24973" xr:uid="{00000000-0005-0000-0000-00006C610000}"/>
    <cellStyle name="Normal 2 2 5 20 5 2" xfId="24974" xr:uid="{00000000-0005-0000-0000-00006D610000}"/>
    <cellStyle name="Normal 2 2 5 20 5 3" xfId="24975" xr:uid="{00000000-0005-0000-0000-00006E610000}"/>
    <cellStyle name="Normal 2 2 5 20 5 4" xfId="24976" xr:uid="{00000000-0005-0000-0000-00006F610000}"/>
    <cellStyle name="Normal 2 2 5 20 5 5" xfId="24977" xr:uid="{00000000-0005-0000-0000-000070610000}"/>
    <cellStyle name="Normal 2 2 5 20 5 6" xfId="24978" xr:uid="{00000000-0005-0000-0000-000071610000}"/>
    <cellStyle name="Normal 2 2 5 20 5 7" xfId="24979" xr:uid="{00000000-0005-0000-0000-000072610000}"/>
    <cellStyle name="Normal 2 2 5 20 5 8" xfId="24980" xr:uid="{00000000-0005-0000-0000-000073610000}"/>
    <cellStyle name="Normal 2 2 5 20 5 9" xfId="24981" xr:uid="{00000000-0005-0000-0000-000074610000}"/>
    <cellStyle name="Normal 2 2 5 20 6" xfId="24982" xr:uid="{00000000-0005-0000-0000-000075610000}"/>
    <cellStyle name="Normal 2 2 5 20 7" xfId="24983" xr:uid="{00000000-0005-0000-0000-000076610000}"/>
    <cellStyle name="Normal 2 2 5 20 8" xfId="24984" xr:uid="{00000000-0005-0000-0000-000077610000}"/>
    <cellStyle name="Normal 2 2 5 20 9" xfId="24985" xr:uid="{00000000-0005-0000-0000-000078610000}"/>
    <cellStyle name="Normal 2 2 5 21" xfId="24986" xr:uid="{00000000-0005-0000-0000-000079610000}"/>
    <cellStyle name="Normal 2 2 5 22" xfId="24987" xr:uid="{00000000-0005-0000-0000-00007A610000}"/>
    <cellStyle name="Normal 2 2 5 23" xfId="24988" xr:uid="{00000000-0005-0000-0000-00007B610000}"/>
    <cellStyle name="Normal 2 2 5 24" xfId="24366" xr:uid="{00000000-0005-0000-0000-00007C610000}"/>
    <cellStyle name="Normal 2 2 5 3" xfId="24989" xr:uid="{00000000-0005-0000-0000-00007D610000}"/>
    <cellStyle name="Normal 2 2 5 3 10" xfId="24990" xr:uid="{00000000-0005-0000-0000-00007E610000}"/>
    <cellStyle name="Normal 2 2 5 3 11" xfId="24991" xr:uid="{00000000-0005-0000-0000-00007F610000}"/>
    <cellStyle name="Normal 2 2 5 3 12" xfId="24992" xr:uid="{00000000-0005-0000-0000-000080610000}"/>
    <cellStyle name="Normal 2 2 5 3 13" xfId="24993" xr:uid="{00000000-0005-0000-0000-000081610000}"/>
    <cellStyle name="Normal 2 2 5 3 14" xfId="24994" xr:uid="{00000000-0005-0000-0000-000082610000}"/>
    <cellStyle name="Normal 2 2 5 3 2" xfId="24995" xr:uid="{00000000-0005-0000-0000-000083610000}"/>
    <cellStyle name="Normal 2 2 5 3 2 10" xfId="24996" xr:uid="{00000000-0005-0000-0000-000084610000}"/>
    <cellStyle name="Normal 2 2 5 3 2 2" xfId="24997" xr:uid="{00000000-0005-0000-0000-000085610000}"/>
    <cellStyle name="Normal 2 2 5 3 2 3" xfId="24998" xr:uid="{00000000-0005-0000-0000-000086610000}"/>
    <cellStyle name="Normal 2 2 5 3 2 4" xfId="24999" xr:uid="{00000000-0005-0000-0000-000087610000}"/>
    <cellStyle name="Normal 2 2 5 3 2 5" xfId="25000" xr:uid="{00000000-0005-0000-0000-000088610000}"/>
    <cellStyle name="Normal 2 2 5 3 2 6" xfId="25001" xr:uid="{00000000-0005-0000-0000-000089610000}"/>
    <cellStyle name="Normal 2 2 5 3 2 7" xfId="25002" xr:uid="{00000000-0005-0000-0000-00008A610000}"/>
    <cellStyle name="Normal 2 2 5 3 2 8" xfId="25003" xr:uid="{00000000-0005-0000-0000-00008B610000}"/>
    <cellStyle name="Normal 2 2 5 3 2 9" xfId="25004" xr:uid="{00000000-0005-0000-0000-00008C610000}"/>
    <cellStyle name="Normal 2 2 5 3 3" xfId="25005" xr:uid="{00000000-0005-0000-0000-00008D610000}"/>
    <cellStyle name="Normal 2 2 5 3 3 10" xfId="25006" xr:uid="{00000000-0005-0000-0000-00008E610000}"/>
    <cellStyle name="Normal 2 2 5 3 3 2" xfId="25007" xr:uid="{00000000-0005-0000-0000-00008F610000}"/>
    <cellStyle name="Normal 2 2 5 3 3 3" xfId="25008" xr:uid="{00000000-0005-0000-0000-000090610000}"/>
    <cellStyle name="Normal 2 2 5 3 3 4" xfId="25009" xr:uid="{00000000-0005-0000-0000-000091610000}"/>
    <cellStyle name="Normal 2 2 5 3 3 5" xfId="25010" xr:uid="{00000000-0005-0000-0000-000092610000}"/>
    <cellStyle name="Normal 2 2 5 3 3 6" xfId="25011" xr:uid="{00000000-0005-0000-0000-000093610000}"/>
    <cellStyle name="Normal 2 2 5 3 3 7" xfId="25012" xr:uid="{00000000-0005-0000-0000-000094610000}"/>
    <cellStyle name="Normal 2 2 5 3 3 8" xfId="25013" xr:uid="{00000000-0005-0000-0000-000095610000}"/>
    <cellStyle name="Normal 2 2 5 3 3 9" xfId="25014" xr:uid="{00000000-0005-0000-0000-000096610000}"/>
    <cellStyle name="Normal 2 2 5 3 4" xfId="25015" xr:uid="{00000000-0005-0000-0000-000097610000}"/>
    <cellStyle name="Normal 2 2 5 3 4 10" xfId="25016" xr:uid="{00000000-0005-0000-0000-000098610000}"/>
    <cellStyle name="Normal 2 2 5 3 4 2" xfId="25017" xr:uid="{00000000-0005-0000-0000-000099610000}"/>
    <cellStyle name="Normal 2 2 5 3 4 3" xfId="25018" xr:uid="{00000000-0005-0000-0000-00009A610000}"/>
    <cellStyle name="Normal 2 2 5 3 4 4" xfId="25019" xr:uid="{00000000-0005-0000-0000-00009B610000}"/>
    <cellStyle name="Normal 2 2 5 3 4 5" xfId="25020" xr:uid="{00000000-0005-0000-0000-00009C610000}"/>
    <cellStyle name="Normal 2 2 5 3 4 6" xfId="25021" xr:uid="{00000000-0005-0000-0000-00009D610000}"/>
    <cellStyle name="Normal 2 2 5 3 4 7" xfId="25022" xr:uid="{00000000-0005-0000-0000-00009E610000}"/>
    <cellStyle name="Normal 2 2 5 3 4 8" xfId="25023" xr:uid="{00000000-0005-0000-0000-00009F610000}"/>
    <cellStyle name="Normal 2 2 5 3 4 9" xfId="25024" xr:uid="{00000000-0005-0000-0000-0000A0610000}"/>
    <cellStyle name="Normal 2 2 5 3 5" xfId="25025" xr:uid="{00000000-0005-0000-0000-0000A1610000}"/>
    <cellStyle name="Normal 2 2 5 3 5 10" xfId="25026" xr:uid="{00000000-0005-0000-0000-0000A2610000}"/>
    <cellStyle name="Normal 2 2 5 3 5 2" xfId="25027" xr:uid="{00000000-0005-0000-0000-0000A3610000}"/>
    <cellStyle name="Normal 2 2 5 3 5 3" xfId="25028" xr:uid="{00000000-0005-0000-0000-0000A4610000}"/>
    <cellStyle name="Normal 2 2 5 3 5 4" xfId="25029" xr:uid="{00000000-0005-0000-0000-0000A5610000}"/>
    <cellStyle name="Normal 2 2 5 3 5 5" xfId="25030" xr:uid="{00000000-0005-0000-0000-0000A6610000}"/>
    <cellStyle name="Normal 2 2 5 3 5 6" xfId="25031" xr:uid="{00000000-0005-0000-0000-0000A7610000}"/>
    <cellStyle name="Normal 2 2 5 3 5 7" xfId="25032" xr:uid="{00000000-0005-0000-0000-0000A8610000}"/>
    <cellStyle name="Normal 2 2 5 3 5 8" xfId="25033" xr:uid="{00000000-0005-0000-0000-0000A9610000}"/>
    <cellStyle name="Normal 2 2 5 3 5 9" xfId="25034" xr:uid="{00000000-0005-0000-0000-0000AA610000}"/>
    <cellStyle name="Normal 2 2 5 3 6" xfId="25035" xr:uid="{00000000-0005-0000-0000-0000AB610000}"/>
    <cellStyle name="Normal 2 2 5 3 7" xfId="25036" xr:uid="{00000000-0005-0000-0000-0000AC610000}"/>
    <cellStyle name="Normal 2 2 5 3 8" xfId="25037" xr:uid="{00000000-0005-0000-0000-0000AD610000}"/>
    <cellStyle name="Normal 2 2 5 3 9" xfId="25038" xr:uid="{00000000-0005-0000-0000-0000AE610000}"/>
    <cellStyle name="Normal 2 2 5 4" xfId="25039" xr:uid="{00000000-0005-0000-0000-0000AF610000}"/>
    <cellStyle name="Normal 2 2 5 4 10" xfId="25040" xr:uid="{00000000-0005-0000-0000-0000B0610000}"/>
    <cellStyle name="Normal 2 2 5 4 11" xfId="25041" xr:uid="{00000000-0005-0000-0000-0000B1610000}"/>
    <cellStyle name="Normal 2 2 5 4 12" xfId="25042" xr:uid="{00000000-0005-0000-0000-0000B2610000}"/>
    <cellStyle name="Normal 2 2 5 4 13" xfId="25043" xr:uid="{00000000-0005-0000-0000-0000B3610000}"/>
    <cellStyle name="Normal 2 2 5 4 14" xfId="25044" xr:uid="{00000000-0005-0000-0000-0000B4610000}"/>
    <cellStyle name="Normal 2 2 5 4 2" xfId="25045" xr:uid="{00000000-0005-0000-0000-0000B5610000}"/>
    <cellStyle name="Normal 2 2 5 4 2 10" xfId="25046" xr:uid="{00000000-0005-0000-0000-0000B6610000}"/>
    <cellStyle name="Normal 2 2 5 4 2 2" xfId="25047" xr:uid="{00000000-0005-0000-0000-0000B7610000}"/>
    <cellStyle name="Normal 2 2 5 4 2 3" xfId="25048" xr:uid="{00000000-0005-0000-0000-0000B8610000}"/>
    <cellStyle name="Normal 2 2 5 4 2 4" xfId="25049" xr:uid="{00000000-0005-0000-0000-0000B9610000}"/>
    <cellStyle name="Normal 2 2 5 4 2 5" xfId="25050" xr:uid="{00000000-0005-0000-0000-0000BA610000}"/>
    <cellStyle name="Normal 2 2 5 4 2 6" xfId="25051" xr:uid="{00000000-0005-0000-0000-0000BB610000}"/>
    <cellStyle name="Normal 2 2 5 4 2 7" xfId="25052" xr:uid="{00000000-0005-0000-0000-0000BC610000}"/>
    <cellStyle name="Normal 2 2 5 4 2 8" xfId="25053" xr:uid="{00000000-0005-0000-0000-0000BD610000}"/>
    <cellStyle name="Normal 2 2 5 4 2 9" xfId="25054" xr:uid="{00000000-0005-0000-0000-0000BE610000}"/>
    <cellStyle name="Normal 2 2 5 4 3" xfId="25055" xr:uid="{00000000-0005-0000-0000-0000BF610000}"/>
    <cellStyle name="Normal 2 2 5 4 3 10" xfId="25056" xr:uid="{00000000-0005-0000-0000-0000C0610000}"/>
    <cellStyle name="Normal 2 2 5 4 3 2" xfId="25057" xr:uid="{00000000-0005-0000-0000-0000C1610000}"/>
    <cellStyle name="Normal 2 2 5 4 3 3" xfId="25058" xr:uid="{00000000-0005-0000-0000-0000C2610000}"/>
    <cellStyle name="Normal 2 2 5 4 3 4" xfId="25059" xr:uid="{00000000-0005-0000-0000-0000C3610000}"/>
    <cellStyle name="Normal 2 2 5 4 3 5" xfId="25060" xr:uid="{00000000-0005-0000-0000-0000C4610000}"/>
    <cellStyle name="Normal 2 2 5 4 3 6" xfId="25061" xr:uid="{00000000-0005-0000-0000-0000C5610000}"/>
    <cellStyle name="Normal 2 2 5 4 3 7" xfId="25062" xr:uid="{00000000-0005-0000-0000-0000C6610000}"/>
    <cellStyle name="Normal 2 2 5 4 3 8" xfId="25063" xr:uid="{00000000-0005-0000-0000-0000C7610000}"/>
    <cellStyle name="Normal 2 2 5 4 3 9" xfId="25064" xr:uid="{00000000-0005-0000-0000-0000C8610000}"/>
    <cellStyle name="Normal 2 2 5 4 4" xfId="25065" xr:uid="{00000000-0005-0000-0000-0000C9610000}"/>
    <cellStyle name="Normal 2 2 5 4 4 10" xfId="25066" xr:uid="{00000000-0005-0000-0000-0000CA610000}"/>
    <cellStyle name="Normal 2 2 5 4 4 2" xfId="25067" xr:uid="{00000000-0005-0000-0000-0000CB610000}"/>
    <cellStyle name="Normal 2 2 5 4 4 3" xfId="25068" xr:uid="{00000000-0005-0000-0000-0000CC610000}"/>
    <cellStyle name="Normal 2 2 5 4 4 4" xfId="25069" xr:uid="{00000000-0005-0000-0000-0000CD610000}"/>
    <cellStyle name="Normal 2 2 5 4 4 5" xfId="25070" xr:uid="{00000000-0005-0000-0000-0000CE610000}"/>
    <cellStyle name="Normal 2 2 5 4 4 6" xfId="25071" xr:uid="{00000000-0005-0000-0000-0000CF610000}"/>
    <cellStyle name="Normal 2 2 5 4 4 7" xfId="25072" xr:uid="{00000000-0005-0000-0000-0000D0610000}"/>
    <cellStyle name="Normal 2 2 5 4 4 8" xfId="25073" xr:uid="{00000000-0005-0000-0000-0000D1610000}"/>
    <cellStyle name="Normal 2 2 5 4 4 9" xfId="25074" xr:uid="{00000000-0005-0000-0000-0000D2610000}"/>
    <cellStyle name="Normal 2 2 5 4 5" xfId="25075" xr:uid="{00000000-0005-0000-0000-0000D3610000}"/>
    <cellStyle name="Normal 2 2 5 4 5 10" xfId="25076" xr:uid="{00000000-0005-0000-0000-0000D4610000}"/>
    <cellStyle name="Normal 2 2 5 4 5 2" xfId="25077" xr:uid="{00000000-0005-0000-0000-0000D5610000}"/>
    <cellStyle name="Normal 2 2 5 4 5 3" xfId="25078" xr:uid="{00000000-0005-0000-0000-0000D6610000}"/>
    <cellStyle name="Normal 2 2 5 4 5 4" xfId="25079" xr:uid="{00000000-0005-0000-0000-0000D7610000}"/>
    <cellStyle name="Normal 2 2 5 4 5 5" xfId="25080" xr:uid="{00000000-0005-0000-0000-0000D8610000}"/>
    <cellStyle name="Normal 2 2 5 4 5 6" xfId="25081" xr:uid="{00000000-0005-0000-0000-0000D9610000}"/>
    <cellStyle name="Normal 2 2 5 4 5 7" xfId="25082" xr:uid="{00000000-0005-0000-0000-0000DA610000}"/>
    <cellStyle name="Normal 2 2 5 4 5 8" xfId="25083" xr:uid="{00000000-0005-0000-0000-0000DB610000}"/>
    <cellStyle name="Normal 2 2 5 4 5 9" xfId="25084" xr:uid="{00000000-0005-0000-0000-0000DC610000}"/>
    <cellStyle name="Normal 2 2 5 4 6" xfId="25085" xr:uid="{00000000-0005-0000-0000-0000DD610000}"/>
    <cellStyle name="Normal 2 2 5 4 7" xfId="25086" xr:uid="{00000000-0005-0000-0000-0000DE610000}"/>
    <cellStyle name="Normal 2 2 5 4 8" xfId="25087" xr:uid="{00000000-0005-0000-0000-0000DF610000}"/>
    <cellStyle name="Normal 2 2 5 4 9" xfId="25088" xr:uid="{00000000-0005-0000-0000-0000E0610000}"/>
    <cellStyle name="Normal 2 2 5 5" xfId="25089" xr:uid="{00000000-0005-0000-0000-0000E1610000}"/>
    <cellStyle name="Normal 2 2 5 5 10" xfId="25090" xr:uid="{00000000-0005-0000-0000-0000E2610000}"/>
    <cellStyle name="Normal 2 2 5 5 11" xfId="25091" xr:uid="{00000000-0005-0000-0000-0000E3610000}"/>
    <cellStyle name="Normal 2 2 5 5 12" xfId="25092" xr:uid="{00000000-0005-0000-0000-0000E4610000}"/>
    <cellStyle name="Normal 2 2 5 5 13" xfId="25093" xr:uid="{00000000-0005-0000-0000-0000E5610000}"/>
    <cellStyle name="Normal 2 2 5 5 14" xfId="25094" xr:uid="{00000000-0005-0000-0000-0000E6610000}"/>
    <cellStyle name="Normal 2 2 5 5 2" xfId="25095" xr:uid="{00000000-0005-0000-0000-0000E7610000}"/>
    <cellStyle name="Normal 2 2 5 5 2 10" xfId="25096" xr:uid="{00000000-0005-0000-0000-0000E8610000}"/>
    <cellStyle name="Normal 2 2 5 5 2 2" xfId="25097" xr:uid="{00000000-0005-0000-0000-0000E9610000}"/>
    <cellStyle name="Normal 2 2 5 5 2 3" xfId="25098" xr:uid="{00000000-0005-0000-0000-0000EA610000}"/>
    <cellStyle name="Normal 2 2 5 5 2 4" xfId="25099" xr:uid="{00000000-0005-0000-0000-0000EB610000}"/>
    <cellStyle name="Normal 2 2 5 5 2 5" xfId="25100" xr:uid="{00000000-0005-0000-0000-0000EC610000}"/>
    <cellStyle name="Normal 2 2 5 5 2 6" xfId="25101" xr:uid="{00000000-0005-0000-0000-0000ED610000}"/>
    <cellStyle name="Normal 2 2 5 5 2 7" xfId="25102" xr:uid="{00000000-0005-0000-0000-0000EE610000}"/>
    <cellStyle name="Normal 2 2 5 5 2 8" xfId="25103" xr:uid="{00000000-0005-0000-0000-0000EF610000}"/>
    <cellStyle name="Normal 2 2 5 5 2 9" xfId="25104" xr:uid="{00000000-0005-0000-0000-0000F0610000}"/>
    <cellStyle name="Normal 2 2 5 5 3" xfId="25105" xr:uid="{00000000-0005-0000-0000-0000F1610000}"/>
    <cellStyle name="Normal 2 2 5 5 3 10" xfId="25106" xr:uid="{00000000-0005-0000-0000-0000F2610000}"/>
    <cellStyle name="Normal 2 2 5 5 3 2" xfId="25107" xr:uid="{00000000-0005-0000-0000-0000F3610000}"/>
    <cellStyle name="Normal 2 2 5 5 3 3" xfId="25108" xr:uid="{00000000-0005-0000-0000-0000F4610000}"/>
    <cellStyle name="Normal 2 2 5 5 3 4" xfId="25109" xr:uid="{00000000-0005-0000-0000-0000F5610000}"/>
    <cellStyle name="Normal 2 2 5 5 3 5" xfId="25110" xr:uid="{00000000-0005-0000-0000-0000F6610000}"/>
    <cellStyle name="Normal 2 2 5 5 3 6" xfId="25111" xr:uid="{00000000-0005-0000-0000-0000F7610000}"/>
    <cellStyle name="Normal 2 2 5 5 3 7" xfId="25112" xr:uid="{00000000-0005-0000-0000-0000F8610000}"/>
    <cellStyle name="Normal 2 2 5 5 3 8" xfId="25113" xr:uid="{00000000-0005-0000-0000-0000F9610000}"/>
    <cellStyle name="Normal 2 2 5 5 3 9" xfId="25114" xr:uid="{00000000-0005-0000-0000-0000FA610000}"/>
    <cellStyle name="Normal 2 2 5 5 4" xfId="25115" xr:uid="{00000000-0005-0000-0000-0000FB610000}"/>
    <cellStyle name="Normal 2 2 5 5 4 10" xfId="25116" xr:uid="{00000000-0005-0000-0000-0000FC610000}"/>
    <cellStyle name="Normal 2 2 5 5 4 2" xfId="25117" xr:uid="{00000000-0005-0000-0000-0000FD610000}"/>
    <cellStyle name="Normal 2 2 5 5 4 3" xfId="25118" xr:uid="{00000000-0005-0000-0000-0000FE610000}"/>
    <cellStyle name="Normal 2 2 5 5 4 4" xfId="25119" xr:uid="{00000000-0005-0000-0000-0000FF610000}"/>
    <cellStyle name="Normal 2 2 5 5 4 5" xfId="25120" xr:uid="{00000000-0005-0000-0000-000000620000}"/>
    <cellStyle name="Normal 2 2 5 5 4 6" xfId="25121" xr:uid="{00000000-0005-0000-0000-000001620000}"/>
    <cellStyle name="Normal 2 2 5 5 4 7" xfId="25122" xr:uid="{00000000-0005-0000-0000-000002620000}"/>
    <cellStyle name="Normal 2 2 5 5 4 8" xfId="25123" xr:uid="{00000000-0005-0000-0000-000003620000}"/>
    <cellStyle name="Normal 2 2 5 5 4 9" xfId="25124" xr:uid="{00000000-0005-0000-0000-000004620000}"/>
    <cellStyle name="Normal 2 2 5 5 5" xfId="25125" xr:uid="{00000000-0005-0000-0000-000005620000}"/>
    <cellStyle name="Normal 2 2 5 5 5 10" xfId="25126" xr:uid="{00000000-0005-0000-0000-000006620000}"/>
    <cellStyle name="Normal 2 2 5 5 5 2" xfId="25127" xr:uid="{00000000-0005-0000-0000-000007620000}"/>
    <cellStyle name="Normal 2 2 5 5 5 3" xfId="25128" xr:uid="{00000000-0005-0000-0000-000008620000}"/>
    <cellStyle name="Normal 2 2 5 5 5 4" xfId="25129" xr:uid="{00000000-0005-0000-0000-000009620000}"/>
    <cellStyle name="Normal 2 2 5 5 5 5" xfId="25130" xr:uid="{00000000-0005-0000-0000-00000A620000}"/>
    <cellStyle name="Normal 2 2 5 5 5 6" xfId="25131" xr:uid="{00000000-0005-0000-0000-00000B620000}"/>
    <cellStyle name="Normal 2 2 5 5 5 7" xfId="25132" xr:uid="{00000000-0005-0000-0000-00000C620000}"/>
    <cellStyle name="Normal 2 2 5 5 5 8" xfId="25133" xr:uid="{00000000-0005-0000-0000-00000D620000}"/>
    <cellStyle name="Normal 2 2 5 5 5 9" xfId="25134" xr:uid="{00000000-0005-0000-0000-00000E620000}"/>
    <cellStyle name="Normal 2 2 5 5 6" xfId="25135" xr:uid="{00000000-0005-0000-0000-00000F620000}"/>
    <cellStyle name="Normal 2 2 5 5 7" xfId="25136" xr:uid="{00000000-0005-0000-0000-000010620000}"/>
    <cellStyle name="Normal 2 2 5 5 8" xfId="25137" xr:uid="{00000000-0005-0000-0000-000011620000}"/>
    <cellStyle name="Normal 2 2 5 5 9" xfId="25138" xr:uid="{00000000-0005-0000-0000-000012620000}"/>
    <cellStyle name="Normal 2 2 5 6" xfId="25139" xr:uid="{00000000-0005-0000-0000-000013620000}"/>
    <cellStyle name="Normal 2 2 5 6 10" xfId="25140" xr:uid="{00000000-0005-0000-0000-000014620000}"/>
    <cellStyle name="Normal 2 2 5 6 11" xfId="25141" xr:uid="{00000000-0005-0000-0000-000015620000}"/>
    <cellStyle name="Normal 2 2 5 6 12" xfId="25142" xr:uid="{00000000-0005-0000-0000-000016620000}"/>
    <cellStyle name="Normal 2 2 5 6 13" xfId="25143" xr:uid="{00000000-0005-0000-0000-000017620000}"/>
    <cellStyle name="Normal 2 2 5 6 14" xfId="25144" xr:uid="{00000000-0005-0000-0000-000018620000}"/>
    <cellStyle name="Normal 2 2 5 6 2" xfId="25145" xr:uid="{00000000-0005-0000-0000-000019620000}"/>
    <cellStyle name="Normal 2 2 5 6 2 10" xfId="25146" xr:uid="{00000000-0005-0000-0000-00001A620000}"/>
    <cellStyle name="Normal 2 2 5 6 2 2" xfId="25147" xr:uid="{00000000-0005-0000-0000-00001B620000}"/>
    <cellStyle name="Normal 2 2 5 6 2 3" xfId="25148" xr:uid="{00000000-0005-0000-0000-00001C620000}"/>
    <cellStyle name="Normal 2 2 5 6 2 4" xfId="25149" xr:uid="{00000000-0005-0000-0000-00001D620000}"/>
    <cellStyle name="Normal 2 2 5 6 2 5" xfId="25150" xr:uid="{00000000-0005-0000-0000-00001E620000}"/>
    <cellStyle name="Normal 2 2 5 6 2 6" xfId="25151" xr:uid="{00000000-0005-0000-0000-00001F620000}"/>
    <cellStyle name="Normal 2 2 5 6 2 7" xfId="25152" xr:uid="{00000000-0005-0000-0000-000020620000}"/>
    <cellStyle name="Normal 2 2 5 6 2 8" xfId="25153" xr:uid="{00000000-0005-0000-0000-000021620000}"/>
    <cellStyle name="Normal 2 2 5 6 2 9" xfId="25154" xr:uid="{00000000-0005-0000-0000-000022620000}"/>
    <cellStyle name="Normal 2 2 5 6 3" xfId="25155" xr:uid="{00000000-0005-0000-0000-000023620000}"/>
    <cellStyle name="Normal 2 2 5 6 3 10" xfId="25156" xr:uid="{00000000-0005-0000-0000-000024620000}"/>
    <cellStyle name="Normal 2 2 5 6 3 2" xfId="25157" xr:uid="{00000000-0005-0000-0000-000025620000}"/>
    <cellStyle name="Normal 2 2 5 6 3 3" xfId="25158" xr:uid="{00000000-0005-0000-0000-000026620000}"/>
    <cellStyle name="Normal 2 2 5 6 3 4" xfId="25159" xr:uid="{00000000-0005-0000-0000-000027620000}"/>
    <cellStyle name="Normal 2 2 5 6 3 5" xfId="25160" xr:uid="{00000000-0005-0000-0000-000028620000}"/>
    <cellStyle name="Normal 2 2 5 6 3 6" xfId="25161" xr:uid="{00000000-0005-0000-0000-000029620000}"/>
    <cellStyle name="Normal 2 2 5 6 3 7" xfId="25162" xr:uid="{00000000-0005-0000-0000-00002A620000}"/>
    <cellStyle name="Normal 2 2 5 6 3 8" xfId="25163" xr:uid="{00000000-0005-0000-0000-00002B620000}"/>
    <cellStyle name="Normal 2 2 5 6 3 9" xfId="25164" xr:uid="{00000000-0005-0000-0000-00002C620000}"/>
    <cellStyle name="Normal 2 2 5 6 4" xfId="25165" xr:uid="{00000000-0005-0000-0000-00002D620000}"/>
    <cellStyle name="Normal 2 2 5 6 4 10" xfId="25166" xr:uid="{00000000-0005-0000-0000-00002E620000}"/>
    <cellStyle name="Normal 2 2 5 6 4 2" xfId="25167" xr:uid="{00000000-0005-0000-0000-00002F620000}"/>
    <cellStyle name="Normal 2 2 5 6 4 3" xfId="25168" xr:uid="{00000000-0005-0000-0000-000030620000}"/>
    <cellStyle name="Normal 2 2 5 6 4 4" xfId="25169" xr:uid="{00000000-0005-0000-0000-000031620000}"/>
    <cellStyle name="Normal 2 2 5 6 4 5" xfId="25170" xr:uid="{00000000-0005-0000-0000-000032620000}"/>
    <cellStyle name="Normal 2 2 5 6 4 6" xfId="25171" xr:uid="{00000000-0005-0000-0000-000033620000}"/>
    <cellStyle name="Normal 2 2 5 6 4 7" xfId="25172" xr:uid="{00000000-0005-0000-0000-000034620000}"/>
    <cellStyle name="Normal 2 2 5 6 4 8" xfId="25173" xr:uid="{00000000-0005-0000-0000-000035620000}"/>
    <cellStyle name="Normal 2 2 5 6 4 9" xfId="25174" xr:uid="{00000000-0005-0000-0000-000036620000}"/>
    <cellStyle name="Normal 2 2 5 6 5" xfId="25175" xr:uid="{00000000-0005-0000-0000-000037620000}"/>
    <cellStyle name="Normal 2 2 5 6 5 10" xfId="25176" xr:uid="{00000000-0005-0000-0000-000038620000}"/>
    <cellStyle name="Normal 2 2 5 6 5 2" xfId="25177" xr:uid="{00000000-0005-0000-0000-000039620000}"/>
    <cellStyle name="Normal 2 2 5 6 5 3" xfId="25178" xr:uid="{00000000-0005-0000-0000-00003A620000}"/>
    <cellStyle name="Normal 2 2 5 6 5 4" xfId="25179" xr:uid="{00000000-0005-0000-0000-00003B620000}"/>
    <cellStyle name="Normal 2 2 5 6 5 5" xfId="25180" xr:uid="{00000000-0005-0000-0000-00003C620000}"/>
    <cellStyle name="Normal 2 2 5 6 5 6" xfId="25181" xr:uid="{00000000-0005-0000-0000-00003D620000}"/>
    <cellStyle name="Normal 2 2 5 6 5 7" xfId="25182" xr:uid="{00000000-0005-0000-0000-00003E620000}"/>
    <cellStyle name="Normal 2 2 5 6 5 8" xfId="25183" xr:uid="{00000000-0005-0000-0000-00003F620000}"/>
    <cellStyle name="Normal 2 2 5 6 5 9" xfId="25184" xr:uid="{00000000-0005-0000-0000-000040620000}"/>
    <cellStyle name="Normal 2 2 5 6 6" xfId="25185" xr:uid="{00000000-0005-0000-0000-000041620000}"/>
    <cellStyle name="Normal 2 2 5 6 7" xfId="25186" xr:uid="{00000000-0005-0000-0000-000042620000}"/>
    <cellStyle name="Normal 2 2 5 6 8" xfId="25187" xr:uid="{00000000-0005-0000-0000-000043620000}"/>
    <cellStyle name="Normal 2 2 5 6 9" xfId="25188" xr:uid="{00000000-0005-0000-0000-000044620000}"/>
    <cellStyle name="Normal 2 2 5 7" xfId="25189" xr:uid="{00000000-0005-0000-0000-000045620000}"/>
    <cellStyle name="Normal 2 2 5 7 10" xfId="25190" xr:uid="{00000000-0005-0000-0000-000046620000}"/>
    <cellStyle name="Normal 2 2 5 7 11" xfId="25191" xr:uid="{00000000-0005-0000-0000-000047620000}"/>
    <cellStyle name="Normal 2 2 5 7 12" xfId="25192" xr:uid="{00000000-0005-0000-0000-000048620000}"/>
    <cellStyle name="Normal 2 2 5 7 13" xfId="25193" xr:uid="{00000000-0005-0000-0000-000049620000}"/>
    <cellStyle name="Normal 2 2 5 7 14" xfId="25194" xr:uid="{00000000-0005-0000-0000-00004A620000}"/>
    <cellStyle name="Normal 2 2 5 7 2" xfId="25195" xr:uid="{00000000-0005-0000-0000-00004B620000}"/>
    <cellStyle name="Normal 2 2 5 7 2 10" xfId="25196" xr:uid="{00000000-0005-0000-0000-00004C620000}"/>
    <cellStyle name="Normal 2 2 5 7 2 2" xfId="25197" xr:uid="{00000000-0005-0000-0000-00004D620000}"/>
    <cellStyle name="Normal 2 2 5 7 2 3" xfId="25198" xr:uid="{00000000-0005-0000-0000-00004E620000}"/>
    <cellStyle name="Normal 2 2 5 7 2 4" xfId="25199" xr:uid="{00000000-0005-0000-0000-00004F620000}"/>
    <cellStyle name="Normal 2 2 5 7 2 5" xfId="25200" xr:uid="{00000000-0005-0000-0000-000050620000}"/>
    <cellStyle name="Normal 2 2 5 7 2 6" xfId="25201" xr:uid="{00000000-0005-0000-0000-000051620000}"/>
    <cellStyle name="Normal 2 2 5 7 2 7" xfId="25202" xr:uid="{00000000-0005-0000-0000-000052620000}"/>
    <cellStyle name="Normal 2 2 5 7 2 8" xfId="25203" xr:uid="{00000000-0005-0000-0000-000053620000}"/>
    <cellStyle name="Normal 2 2 5 7 2 9" xfId="25204" xr:uid="{00000000-0005-0000-0000-000054620000}"/>
    <cellStyle name="Normal 2 2 5 7 3" xfId="25205" xr:uid="{00000000-0005-0000-0000-000055620000}"/>
    <cellStyle name="Normal 2 2 5 7 3 10" xfId="25206" xr:uid="{00000000-0005-0000-0000-000056620000}"/>
    <cellStyle name="Normal 2 2 5 7 3 2" xfId="25207" xr:uid="{00000000-0005-0000-0000-000057620000}"/>
    <cellStyle name="Normal 2 2 5 7 3 3" xfId="25208" xr:uid="{00000000-0005-0000-0000-000058620000}"/>
    <cellStyle name="Normal 2 2 5 7 3 4" xfId="25209" xr:uid="{00000000-0005-0000-0000-000059620000}"/>
    <cellStyle name="Normal 2 2 5 7 3 5" xfId="25210" xr:uid="{00000000-0005-0000-0000-00005A620000}"/>
    <cellStyle name="Normal 2 2 5 7 3 6" xfId="25211" xr:uid="{00000000-0005-0000-0000-00005B620000}"/>
    <cellStyle name="Normal 2 2 5 7 3 7" xfId="25212" xr:uid="{00000000-0005-0000-0000-00005C620000}"/>
    <cellStyle name="Normal 2 2 5 7 3 8" xfId="25213" xr:uid="{00000000-0005-0000-0000-00005D620000}"/>
    <cellStyle name="Normal 2 2 5 7 3 9" xfId="25214" xr:uid="{00000000-0005-0000-0000-00005E620000}"/>
    <cellStyle name="Normal 2 2 5 7 4" xfId="25215" xr:uid="{00000000-0005-0000-0000-00005F620000}"/>
    <cellStyle name="Normal 2 2 5 7 4 10" xfId="25216" xr:uid="{00000000-0005-0000-0000-000060620000}"/>
    <cellStyle name="Normal 2 2 5 7 4 2" xfId="25217" xr:uid="{00000000-0005-0000-0000-000061620000}"/>
    <cellStyle name="Normal 2 2 5 7 4 3" xfId="25218" xr:uid="{00000000-0005-0000-0000-000062620000}"/>
    <cellStyle name="Normal 2 2 5 7 4 4" xfId="25219" xr:uid="{00000000-0005-0000-0000-000063620000}"/>
    <cellStyle name="Normal 2 2 5 7 4 5" xfId="25220" xr:uid="{00000000-0005-0000-0000-000064620000}"/>
    <cellStyle name="Normal 2 2 5 7 4 6" xfId="25221" xr:uid="{00000000-0005-0000-0000-000065620000}"/>
    <cellStyle name="Normal 2 2 5 7 4 7" xfId="25222" xr:uid="{00000000-0005-0000-0000-000066620000}"/>
    <cellStyle name="Normal 2 2 5 7 4 8" xfId="25223" xr:uid="{00000000-0005-0000-0000-000067620000}"/>
    <cellStyle name="Normal 2 2 5 7 4 9" xfId="25224" xr:uid="{00000000-0005-0000-0000-000068620000}"/>
    <cellStyle name="Normal 2 2 5 7 5" xfId="25225" xr:uid="{00000000-0005-0000-0000-000069620000}"/>
    <cellStyle name="Normal 2 2 5 7 5 10" xfId="25226" xr:uid="{00000000-0005-0000-0000-00006A620000}"/>
    <cellStyle name="Normal 2 2 5 7 5 2" xfId="25227" xr:uid="{00000000-0005-0000-0000-00006B620000}"/>
    <cellStyle name="Normal 2 2 5 7 5 3" xfId="25228" xr:uid="{00000000-0005-0000-0000-00006C620000}"/>
    <cellStyle name="Normal 2 2 5 7 5 4" xfId="25229" xr:uid="{00000000-0005-0000-0000-00006D620000}"/>
    <cellStyle name="Normal 2 2 5 7 5 5" xfId="25230" xr:uid="{00000000-0005-0000-0000-00006E620000}"/>
    <cellStyle name="Normal 2 2 5 7 5 6" xfId="25231" xr:uid="{00000000-0005-0000-0000-00006F620000}"/>
    <cellStyle name="Normal 2 2 5 7 5 7" xfId="25232" xr:uid="{00000000-0005-0000-0000-000070620000}"/>
    <cellStyle name="Normal 2 2 5 7 5 8" xfId="25233" xr:uid="{00000000-0005-0000-0000-000071620000}"/>
    <cellStyle name="Normal 2 2 5 7 5 9" xfId="25234" xr:uid="{00000000-0005-0000-0000-000072620000}"/>
    <cellStyle name="Normal 2 2 5 7 6" xfId="25235" xr:uid="{00000000-0005-0000-0000-000073620000}"/>
    <cellStyle name="Normal 2 2 5 7 7" xfId="25236" xr:uid="{00000000-0005-0000-0000-000074620000}"/>
    <cellStyle name="Normal 2 2 5 7 8" xfId="25237" xr:uid="{00000000-0005-0000-0000-000075620000}"/>
    <cellStyle name="Normal 2 2 5 7 9" xfId="25238" xr:uid="{00000000-0005-0000-0000-000076620000}"/>
    <cellStyle name="Normal 2 2 5 8" xfId="25239" xr:uid="{00000000-0005-0000-0000-000077620000}"/>
    <cellStyle name="Normal 2 2 5 8 10" xfId="25240" xr:uid="{00000000-0005-0000-0000-000078620000}"/>
    <cellStyle name="Normal 2 2 5 8 11" xfId="25241" xr:uid="{00000000-0005-0000-0000-000079620000}"/>
    <cellStyle name="Normal 2 2 5 8 12" xfId="25242" xr:uid="{00000000-0005-0000-0000-00007A620000}"/>
    <cellStyle name="Normal 2 2 5 8 13" xfId="25243" xr:uid="{00000000-0005-0000-0000-00007B620000}"/>
    <cellStyle name="Normal 2 2 5 8 14" xfId="25244" xr:uid="{00000000-0005-0000-0000-00007C620000}"/>
    <cellStyle name="Normal 2 2 5 8 2" xfId="25245" xr:uid="{00000000-0005-0000-0000-00007D620000}"/>
    <cellStyle name="Normal 2 2 5 8 2 10" xfId="25246" xr:uid="{00000000-0005-0000-0000-00007E620000}"/>
    <cellStyle name="Normal 2 2 5 8 2 2" xfId="25247" xr:uid="{00000000-0005-0000-0000-00007F620000}"/>
    <cellStyle name="Normal 2 2 5 8 2 3" xfId="25248" xr:uid="{00000000-0005-0000-0000-000080620000}"/>
    <cellStyle name="Normal 2 2 5 8 2 4" xfId="25249" xr:uid="{00000000-0005-0000-0000-000081620000}"/>
    <cellStyle name="Normal 2 2 5 8 2 5" xfId="25250" xr:uid="{00000000-0005-0000-0000-000082620000}"/>
    <cellStyle name="Normal 2 2 5 8 2 6" xfId="25251" xr:uid="{00000000-0005-0000-0000-000083620000}"/>
    <cellStyle name="Normal 2 2 5 8 2 7" xfId="25252" xr:uid="{00000000-0005-0000-0000-000084620000}"/>
    <cellStyle name="Normal 2 2 5 8 2 8" xfId="25253" xr:uid="{00000000-0005-0000-0000-000085620000}"/>
    <cellStyle name="Normal 2 2 5 8 2 9" xfId="25254" xr:uid="{00000000-0005-0000-0000-000086620000}"/>
    <cellStyle name="Normal 2 2 5 8 3" xfId="25255" xr:uid="{00000000-0005-0000-0000-000087620000}"/>
    <cellStyle name="Normal 2 2 5 8 3 10" xfId="25256" xr:uid="{00000000-0005-0000-0000-000088620000}"/>
    <cellStyle name="Normal 2 2 5 8 3 2" xfId="25257" xr:uid="{00000000-0005-0000-0000-000089620000}"/>
    <cellStyle name="Normal 2 2 5 8 3 3" xfId="25258" xr:uid="{00000000-0005-0000-0000-00008A620000}"/>
    <cellStyle name="Normal 2 2 5 8 3 4" xfId="25259" xr:uid="{00000000-0005-0000-0000-00008B620000}"/>
    <cellStyle name="Normal 2 2 5 8 3 5" xfId="25260" xr:uid="{00000000-0005-0000-0000-00008C620000}"/>
    <cellStyle name="Normal 2 2 5 8 3 6" xfId="25261" xr:uid="{00000000-0005-0000-0000-00008D620000}"/>
    <cellStyle name="Normal 2 2 5 8 3 7" xfId="25262" xr:uid="{00000000-0005-0000-0000-00008E620000}"/>
    <cellStyle name="Normal 2 2 5 8 3 8" xfId="25263" xr:uid="{00000000-0005-0000-0000-00008F620000}"/>
    <cellStyle name="Normal 2 2 5 8 3 9" xfId="25264" xr:uid="{00000000-0005-0000-0000-000090620000}"/>
    <cellStyle name="Normal 2 2 5 8 4" xfId="25265" xr:uid="{00000000-0005-0000-0000-000091620000}"/>
    <cellStyle name="Normal 2 2 5 8 4 10" xfId="25266" xr:uid="{00000000-0005-0000-0000-000092620000}"/>
    <cellStyle name="Normal 2 2 5 8 4 2" xfId="25267" xr:uid="{00000000-0005-0000-0000-000093620000}"/>
    <cellStyle name="Normal 2 2 5 8 4 3" xfId="25268" xr:uid="{00000000-0005-0000-0000-000094620000}"/>
    <cellStyle name="Normal 2 2 5 8 4 4" xfId="25269" xr:uid="{00000000-0005-0000-0000-000095620000}"/>
    <cellStyle name="Normal 2 2 5 8 4 5" xfId="25270" xr:uid="{00000000-0005-0000-0000-000096620000}"/>
    <cellStyle name="Normal 2 2 5 8 4 6" xfId="25271" xr:uid="{00000000-0005-0000-0000-000097620000}"/>
    <cellStyle name="Normal 2 2 5 8 4 7" xfId="25272" xr:uid="{00000000-0005-0000-0000-000098620000}"/>
    <cellStyle name="Normal 2 2 5 8 4 8" xfId="25273" xr:uid="{00000000-0005-0000-0000-000099620000}"/>
    <cellStyle name="Normal 2 2 5 8 4 9" xfId="25274" xr:uid="{00000000-0005-0000-0000-00009A620000}"/>
    <cellStyle name="Normal 2 2 5 8 5" xfId="25275" xr:uid="{00000000-0005-0000-0000-00009B620000}"/>
    <cellStyle name="Normal 2 2 5 8 5 10" xfId="25276" xr:uid="{00000000-0005-0000-0000-00009C620000}"/>
    <cellStyle name="Normal 2 2 5 8 5 2" xfId="25277" xr:uid="{00000000-0005-0000-0000-00009D620000}"/>
    <cellStyle name="Normal 2 2 5 8 5 3" xfId="25278" xr:uid="{00000000-0005-0000-0000-00009E620000}"/>
    <cellStyle name="Normal 2 2 5 8 5 4" xfId="25279" xr:uid="{00000000-0005-0000-0000-00009F620000}"/>
    <cellStyle name="Normal 2 2 5 8 5 5" xfId="25280" xr:uid="{00000000-0005-0000-0000-0000A0620000}"/>
    <cellStyle name="Normal 2 2 5 8 5 6" xfId="25281" xr:uid="{00000000-0005-0000-0000-0000A1620000}"/>
    <cellStyle name="Normal 2 2 5 8 5 7" xfId="25282" xr:uid="{00000000-0005-0000-0000-0000A2620000}"/>
    <cellStyle name="Normal 2 2 5 8 5 8" xfId="25283" xr:uid="{00000000-0005-0000-0000-0000A3620000}"/>
    <cellStyle name="Normal 2 2 5 8 5 9" xfId="25284" xr:uid="{00000000-0005-0000-0000-0000A4620000}"/>
    <cellStyle name="Normal 2 2 5 8 6" xfId="25285" xr:uid="{00000000-0005-0000-0000-0000A5620000}"/>
    <cellStyle name="Normal 2 2 5 8 7" xfId="25286" xr:uid="{00000000-0005-0000-0000-0000A6620000}"/>
    <cellStyle name="Normal 2 2 5 8 8" xfId="25287" xr:uid="{00000000-0005-0000-0000-0000A7620000}"/>
    <cellStyle name="Normal 2 2 5 8 9" xfId="25288" xr:uid="{00000000-0005-0000-0000-0000A8620000}"/>
    <cellStyle name="Normal 2 2 5 9" xfId="25289" xr:uid="{00000000-0005-0000-0000-0000A9620000}"/>
    <cellStyle name="Normal 2 2 5 9 10" xfId="25290" xr:uid="{00000000-0005-0000-0000-0000AA620000}"/>
    <cellStyle name="Normal 2 2 5 9 11" xfId="25291" xr:uid="{00000000-0005-0000-0000-0000AB620000}"/>
    <cellStyle name="Normal 2 2 5 9 12" xfId="25292" xr:uid="{00000000-0005-0000-0000-0000AC620000}"/>
    <cellStyle name="Normal 2 2 5 9 13" xfId="25293" xr:uid="{00000000-0005-0000-0000-0000AD620000}"/>
    <cellStyle name="Normal 2 2 5 9 14" xfId="25294" xr:uid="{00000000-0005-0000-0000-0000AE620000}"/>
    <cellStyle name="Normal 2 2 5 9 2" xfId="25295" xr:uid="{00000000-0005-0000-0000-0000AF620000}"/>
    <cellStyle name="Normal 2 2 5 9 2 10" xfId="25296" xr:uid="{00000000-0005-0000-0000-0000B0620000}"/>
    <cellStyle name="Normal 2 2 5 9 2 2" xfId="25297" xr:uid="{00000000-0005-0000-0000-0000B1620000}"/>
    <cellStyle name="Normal 2 2 5 9 2 3" xfId="25298" xr:uid="{00000000-0005-0000-0000-0000B2620000}"/>
    <cellStyle name="Normal 2 2 5 9 2 4" xfId="25299" xr:uid="{00000000-0005-0000-0000-0000B3620000}"/>
    <cellStyle name="Normal 2 2 5 9 2 5" xfId="25300" xr:uid="{00000000-0005-0000-0000-0000B4620000}"/>
    <cellStyle name="Normal 2 2 5 9 2 6" xfId="25301" xr:uid="{00000000-0005-0000-0000-0000B5620000}"/>
    <cellStyle name="Normal 2 2 5 9 2 7" xfId="25302" xr:uid="{00000000-0005-0000-0000-0000B6620000}"/>
    <cellStyle name="Normal 2 2 5 9 2 8" xfId="25303" xr:uid="{00000000-0005-0000-0000-0000B7620000}"/>
    <cellStyle name="Normal 2 2 5 9 2 9" xfId="25304" xr:uid="{00000000-0005-0000-0000-0000B8620000}"/>
    <cellStyle name="Normal 2 2 5 9 3" xfId="25305" xr:uid="{00000000-0005-0000-0000-0000B9620000}"/>
    <cellStyle name="Normal 2 2 5 9 3 10" xfId="25306" xr:uid="{00000000-0005-0000-0000-0000BA620000}"/>
    <cellStyle name="Normal 2 2 5 9 3 2" xfId="25307" xr:uid="{00000000-0005-0000-0000-0000BB620000}"/>
    <cellStyle name="Normal 2 2 5 9 3 3" xfId="25308" xr:uid="{00000000-0005-0000-0000-0000BC620000}"/>
    <cellStyle name="Normal 2 2 5 9 3 4" xfId="25309" xr:uid="{00000000-0005-0000-0000-0000BD620000}"/>
    <cellStyle name="Normal 2 2 5 9 3 5" xfId="25310" xr:uid="{00000000-0005-0000-0000-0000BE620000}"/>
    <cellStyle name="Normal 2 2 5 9 3 6" xfId="25311" xr:uid="{00000000-0005-0000-0000-0000BF620000}"/>
    <cellStyle name="Normal 2 2 5 9 3 7" xfId="25312" xr:uid="{00000000-0005-0000-0000-0000C0620000}"/>
    <cellStyle name="Normal 2 2 5 9 3 8" xfId="25313" xr:uid="{00000000-0005-0000-0000-0000C1620000}"/>
    <cellStyle name="Normal 2 2 5 9 3 9" xfId="25314" xr:uid="{00000000-0005-0000-0000-0000C2620000}"/>
    <cellStyle name="Normal 2 2 5 9 4" xfId="25315" xr:uid="{00000000-0005-0000-0000-0000C3620000}"/>
    <cellStyle name="Normal 2 2 5 9 4 10" xfId="25316" xr:uid="{00000000-0005-0000-0000-0000C4620000}"/>
    <cellStyle name="Normal 2 2 5 9 4 2" xfId="25317" xr:uid="{00000000-0005-0000-0000-0000C5620000}"/>
    <cellStyle name="Normal 2 2 5 9 4 3" xfId="25318" xr:uid="{00000000-0005-0000-0000-0000C6620000}"/>
    <cellStyle name="Normal 2 2 5 9 4 4" xfId="25319" xr:uid="{00000000-0005-0000-0000-0000C7620000}"/>
    <cellStyle name="Normal 2 2 5 9 4 5" xfId="25320" xr:uid="{00000000-0005-0000-0000-0000C8620000}"/>
    <cellStyle name="Normal 2 2 5 9 4 6" xfId="25321" xr:uid="{00000000-0005-0000-0000-0000C9620000}"/>
    <cellStyle name="Normal 2 2 5 9 4 7" xfId="25322" xr:uid="{00000000-0005-0000-0000-0000CA620000}"/>
    <cellStyle name="Normal 2 2 5 9 4 8" xfId="25323" xr:uid="{00000000-0005-0000-0000-0000CB620000}"/>
    <cellStyle name="Normal 2 2 5 9 4 9" xfId="25324" xr:uid="{00000000-0005-0000-0000-0000CC620000}"/>
    <cellStyle name="Normal 2 2 5 9 5" xfId="25325" xr:uid="{00000000-0005-0000-0000-0000CD620000}"/>
    <cellStyle name="Normal 2 2 5 9 5 10" xfId="25326" xr:uid="{00000000-0005-0000-0000-0000CE620000}"/>
    <cellStyle name="Normal 2 2 5 9 5 2" xfId="25327" xr:uid="{00000000-0005-0000-0000-0000CF620000}"/>
    <cellStyle name="Normal 2 2 5 9 5 3" xfId="25328" xr:uid="{00000000-0005-0000-0000-0000D0620000}"/>
    <cellStyle name="Normal 2 2 5 9 5 4" xfId="25329" xr:uid="{00000000-0005-0000-0000-0000D1620000}"/>
    <cellStyle name="Normal 2 2 5 9 5 5" xfId="25330" xr:uid="{00000000-0005-0000-0000-0000D2620000}"/>
    <cellStyle name="Normal 2 2 5 9 5 6" xfId="25331" xr:uid="{00000000-0005-0000-0000-0000D3620000}"/>
    <cellStyle name="Normal 2 2 5 9 5 7" xfId="25332" xr:uid="{00000000-0005-0000-0000-0000D4620000}"/>
    <cellStyle name="Normal 2 2 5 9 5 8" xfId="25333" xr:uid="{00000000-0005-0000-0000-0000D5620000}"/>
    <cellStyle name="Normal 2 2 5 9 5 9" xfId="25334" xr:uid="{00000000-0005-0000-0000-0000D6620000}"/>
    <cellStyle name="Normal 2 2 5 9 6" xfId="25335" xr:uid="{00000000-0005-0000-0000-0000D7620000}"/>
    <cellStyle name="Normal 2 2 5 9 7" xfId="25336" xr:uid="{00000000-0005-0000-0000-0000D8620000}"/>
    <cellStyle name="Normal 2 2 5 9 8" xfId="25337" xr:uid="{00000000-0005-0000-0000-0000D9620000}"/>
    <cellStyle name="Normal 2 2 5 9 9" xfId="25338" xr:uid="{00000000-0005-0000-0000-0000DA620000}"/>
    <cellStyle name="Normal 2 2 50" xfId="25339" xr:uid="{00000000-0005-0000-0000-0000DB620000}"/>
    <cellStyle name="Normal 2 2 51" xfId="25340" xr:uid="{00000000-0005-0000-0000-0000DC620000}"/>
    <cellStyle name="Normal 2 2 52" xfId="55" xr:uid="{00000000-0005-0000-0000-0000DD620000}"/>
    <cellStyle name="Normal 2 2 52 2" xfId="25341" xr:uid="{00000000-0005-0000-0000-0000DE620000}"/>
    <cellStyle name="Normal 2 2 53" xfId="6201" xr:uid="{00000000-0005-0000-0000-0000DF620000}"/>
    <cellStyle name="Normal 2 2 6" xfId="25342" xr:uid="{00000000-0005-0000-0000-0000E0620000}"/>
    <cellStyle name="Normal 2 2 6 2" xfId="25343" xr:uid="{00000000-0005-0000-0000-0000E1620000}"/>
    <cellStyle name="Normal 2 2 6 3" xfId="25344" xr:uid="{00000000-0005-0000-0000-0000E2620000}"/>
    <cellStyle name="Normal 2 2 7" xfId="25345" xr:uid="{00000000-0005-0000-0000-0000E3620000}"/>
    <cellStyle name="Normal 2 2 7 2" xfId="25346" xr:uid="{00000000-0005-0000-0000-0000E4620000}"/>
    <cellStyle name="Normal 2 2 7 3" xfId="25347" xr:uid="{00000000-0005-0000-0000-0000E5620000}"/>
    <cellStyle name="Normal 2 2 8" xfId="25348" xr:uid="{00000000-0005-0000-0000-0000E6620000}"/>
    <cellStyle name="Normal 2 2 8 2" xfId="25349" xr:uid="{00000000-0005-0000-0000-0000E7620000}"/>
    <cellStyle name="Normal 2 2 8 3" xfId="25350" xr:uid="{00000000-0005-0000-0000-0000E8620000}"/>
    <cellStyle name="Normal 2 2 9" xfId="25351" xr:uid="{00000000-0005-0000-0000-0000E9620000}"/>
    <cellStyle name="Normal 2 2 9 2" xfId="25352" xr:uid="{00000000-0005-0000-0000-0000EA620000}"/>
    <cellStyle name="Normal 2 2 9 3" xfId="25353" xr:uid="{00000000-0005-0000-0000-0000EB620000}"/>
    <cellStyle name="Normal 2 20" xfId="25354" xr:uid="{00000000-0005-0000-0000-0000EC620000}"/>
    <cellStyle name="Normal 2 20 2" xfId="25355" xr:uid="{00000000-0005-0000-0000-0000ED620000}"/>
    <cellStyle name="Normal 2 20 3" xfId="25356" xr:uid="{00000000-0005-0000-0000-0000EE620000}"/>
    <cellStyle name="Normal 2 21" xfId="25357" xr:uid="{00000000-0005-0000-0000-0000EF620000}"/>
    <cellStyle name="Normal 2 21 2" xfId="25358" xr:uid="{00000000-0005-0000-0000-0000F0620000}"/>
    <cellStyle name="Normal 2 21 3" xfId="25359" xr:uid="{00000000-0005-0000-0000-0000F1620000}"/>
    <cellStyle name="Normal 2 22" xfId="25360" xr:uid="{00000000-0005-0000-0000-0000F2620000}"/>
    <cellStyle name="Normal 2 22 2" xfId="25361" xr:uid="{00000000-0005-0000-0000-0000F3620000}"/>
    <cellStyle name="Normal 2 22 3" xfId="25362" xr:uid="{00000000-0005-0000-0000-0000F4620000}"/>
    <cellStyle name="Normal 2 23" xfId="25363" xr:uid="{00000000-0005-0000-0000-0000F5620000}"/>
    <cellStyle name="Normal 2 23 2" xfId="25364" xr:uid="{00000000-0005-0000-0000-0000F6620000}"/>
    <cellStyle name="Normal 2 23 2 2" xfId="25365" xr:uid="{00000000-0005-0000-0000-0000F7620000}"/>
    <cellStyle name="Normal 2 23 3" xfId="25366" xr:uid="{00000000-0005-0000-0000-0000F8620000}"/>
    <cellStyle name="Normal 2 24" xfId="25367" xr:uid="{00000000-0005-0000-0000-0000F9620000}"/>
    <cellStyle name="Normal 2 24 2" xfId="25368" xr:uid="{00000000-0005-0000-0000-0000FA620000}"/>
    <cellStyle name="Normal 2 24 3" xfId="25369" xr:uid="{00000000-0005-0000-0000-0000FB620000}"/>
    <cellStyle name="Normal 2 25" xfId="25370" xr:uid="{00000000-0005-0000-0000-0000FC620000}"/>
    <cellStyle name="Normal 2 25 2" xfId="25371" xr:uid="{00000000-0005-0000-0000-0000FD620000}"/>
    <cellStyle name="Normal 2 25 3" xfId="25372" xr:uid="{00000000-0005-0000-0000-0000FE620000}"/>
    <cellStyle name="Normal 2 26" xfId="25373" xr:uid="{00000000-0005-0000-0000-0000FF620000}"/>
    <cellStyle name="Normal 2 26 2" xfId="25374" xr:uid="{00000000-0005-0000-0000-000000630000}"/>
    <cellStyle name="Normal 2 26 3" xfId="25375" xr:uid="{00000000-0005-0000-0000-000001630000}"/>
    <cellStyle name="Normal 2 27" xfId="25376" xr:uid="{00000000-0005-0000-0000-000002630000}"/>
    <cellStyle name="Normal 2 27 2" xfId="25377" xr:uid="{00000000-0005-0000-0000-000003630000}"/>
    <cellStyle name="Normal 2 27 3" xfId="25378" xr:uid="{00000000-0005-0000-0000-000004630000}"/>
    <cellStyle name="Normal 2 28" xfId="25379" xr:uid="{00000000-0005-0000-0000-000005630000}"/>
    <cellStyle name="Normal 2 28 2" xfId="25380" xr:uid="{00000000-0005-0000-0000-000006630000}"/>
    <cellStyle name="Normal 2 28 3" xfId="25381" xr:uid="{00000000-0005-0000-0000-000007630000}"/>
    <cellStyle name="Normal 2 29" xfId="25382" xr:uid="{00000000-0005-0000-0000-000008630000}"/>
    <cellStyle name="Normal 2 29 2" xfId="25383" xr:uid="{00000000-0005-0000-0000-000009630000}"/>
    <cellStyle name="Normal 2 29 3" xfId="25384" xr:uid="{00000000-0005-0000-0000-00000A630000}"/>
    <cellStyle name="Normal 2 3" xfId="27" xr:uid="{00000000-0005-0000-0000-00000B630000}"/>
    <cellStyle name="Normal 2 3 10" xfId="25386" xr:uid="{00000000-0005-0000-0000-00000C630000}"/>
    <cellStyle name="Normal 2 3 10 10" xfId="25387" xr:uid="{00000000-0005-0000-0000-00000D630000}"/>
    <cellStyle name="Normal 2 3 10 11" xfId="25388" xr:uid="{00000000-0005-0000-0000-00000E630000}"/>
    <cellStyle name="Normal 2 3 10 12" xfId="25389" xr:uid="{00000000-0005-0000-0000-00000F630000}"/>
    <cellStyle name="Normal 2 3 10 13" xfId="25390" xr:uid="{00000000-0005-0000-0000-000010630000}"/>
    <cellStyle name="Normal 2 3 10 14" xfId="25391" xr:uid="{00000000-0005-0000-0000-000011630000}"/>
    <cellStyle name="Normal 2 3 10 2" xfId="25392" xr:uid="{00000000-0005-0000-0000-000012630000}"/>
    <cellStyle name="Normal 2 3 10 2 10" xfId="25393" xr:uid="{00000000-0005-0000-0000-000013630000}"/>
    <cellStyle name="Normal 2 3 10 2 2" xfId="25394" xr:uid="{00000000-0005-0000-0000-000014630000}"/>
    <cellStyle name="Normal 2 3 10 2 3" xfId="25395" xr:uid="{00000000-0005-0000-0000-000015630000}"/>
    <cellStyle name="Normal 2 3 10 2 4" xfId="25396" xr:uid="{00000000-0005-0000-0000-000016630000}"/>
    <cellStyle name="Normal 2 3 10 2 5" xfId="25397" xr:uid="{00000000-0005-0000-0000-000017630000}"/>
    <cellStyle name="Normal 2 3 10 2 6" xfId="25398" xr:uid="{00000000-0005-0000-0000-000018630000}"/>
    <cellStyle name="Normal 2 3 10 2 7" xfId="25399" xr:uid="{00000000-0005-0000-0000-000019630000}"/>
    <cellStyle name="Normal 2 3 10 2 8" xfId="25400" xr:uid="{00000000-0005-0000-0000-00001A630000}"/>
    <cellStyle name="Normal 2 3 10 2 9" xfId="25401" xr:uid="{00000000-0005-0000-0000-00001B630000}"/>
    <cellStyle name="Normal 2 3 10 3" xfId="25402" xr:uid="{00000000-0005-0000-0000-00001C630000}"/>
    <cellStyle name="Normal 2 3 10 3 10" xfId="25403" xr:uid="{00000000-0005-0000-0000-00001D630000}"/>
    <cellStyle name="Normal 2 3 10 3 2" xfId="25404" xr:uid="{00000000-0005-0000-0000-00001E630000}"/>
    <cellStyle name="Normal 2 3 10 3 3" xfId="25405" xr:uid="{00000000-0005-0000-0000-00001F630000}"/>
    <cellStyle name="Normal 2 3 10 3 4" xfId="25406" xr:uid="{00000000-0005-0000-0000-000020630000}"/>
    <cellStyle name="Normal 2 3 10 3 5" xfId="25407" xr:uid="{00000000-0005-0000-0000-000021630000}"/>
    <cellStyle name="Normal 2 3 10 3 6" xfId="25408" xr:uid="{00000000-0005-0000-0000-000022630000}"/>
    <cellStyle name="Normal 2 3 10 3 7" xfId="25409" xr:uid="{00000000-0005-0000-0000-000023630000}"/>
    <cellStyle name="Normal 2 3 10 3 8" xfId="25410" xr:uid="{00000000-0005-0000-0000-000024630000}"/>
    <cellStyle name="Normal 2 3 10 3 9" xfId="25411" xr:uid="{00000000-0005-0000-0000-000025630000}"/>
    <cellStyle name="Normal 2 3 10 4" xfId="25412" xr:uid="{00000000-0005-0000-0000-000026630000}"/>
    <cellStyle name="Normal 2 3 10 4 10" xfId="25413" xr:uid="{00000000-0005-0000-0000-000027630000}"/>
    <cellStyle name="Normal 2 3 10 4 2" xfId="25414" xr:uid="{00000000-0005-0000-0000-000028630000}"/>
    <cellStyle name="Normal 2 3 10 4 3" xfId="25415" xr:uid="{00000000-0005-0000-0000-000029630000}"/>
    <cellStyle name="Normal 2 3 10 4 4" xfId="25416" xr:uid="{00000000-0005-0000-0000-00002A630000}"/>
    <cellStyle name="Normal 2 3 10 4 5" xfId="25417" xr:uid="{00000000-0005-0000-0000-00002B630000}"/>
    <cellStyle name="Normal 2 3 10 4 6" xfId="25418" xr:uid="{00000000-0005-0000-0000-00002C630000}"/>
    <cellStyle name="Normal 2 3 10 4 7" xfId="25419" xr:uid="{00000000-0005-0000-0000-00002D630000}"/>
    <cellStyle name="Normal 2 3 10 4 8" xfId="25420" xr:uid="{00000000-0005-0000-0000-00002E630000}"/>
    <cellStyle name="Normal 2 3 10 4 9" xfId="25421" xr:uid="{00000000-0005-0000-0000-00002F630000}"/>
    <cellStyle name="Normal 2 3 10 5" xfId="25422" xr:uid="{00000000-0005-0000-0000-000030630000}"/>
    <cellStyle name="Normal 2 3 10 5 10" xfId="25423" xr:uid="{00000000-0005-0000-0000-000031630000}"/>
    <cellStyle name="Normal 2 3 10 5 2" xfId="25424" xr:uid="{00000000-0005-0000-0000-000032630000}"/>
    <cellStyle name="Normal 2 3 10 5 3" xfId="25425" xr:uid="{00000000-0005-0000-0000-000033630000}"/>
    <cellStyle name="Normal 2 3 10 5 4" xfId="25426" xr:uid="{00000000-0005-0000-0000-000034630000}"/>
    <cellStyle name="Normal 2 3 10 5 5" xfId="25427" xr:uid="{00000000-0005-0000-0000-000035630000}"/>
    <cellStyle name="Normal 2 3 10 5 6" xfId="25428" xr:uid="{00000000-0005-0000-0000-000036630000}"/>
    <cellStyle name="Normal 2 3 10 5 7" xfId="25429" xr:uid="{00000000-0005-0000-0000-000037630000}"/>
    <cellStyle name="Normal 2 3 10 5 8" xfId="25430" xr:uid="{00000000-0005-0000-0000-000038630000}"/>
    <cellStyle name="Normal 2 3 10 5 9" xfId="25431" xr:uid="{00000000-0005-0000-0000-000039630000}"/>
    <cellStyle name="Normal 2 3 10 6" xfId="25432" xr:uid="{00000000-0005-0000-0000-00003A630000}"/>
    <cellStyle name="Normal 2 3 10 7" xfId="25433" xr:uid="{00000000-0005-0000-0000-00003B630000}"/>
    <cellStyle name="Normal 2 3 10 8" xfId="25434" xr:uid="{00000000-0005-0000-0000-00003C630000}"/>
    <cellStyle name="Normal 2 3 10 9" xfId="25435" xr:uid="{00000000-0005-0000-0000-00003D630000}"/>
    <cellStyle name="Normal 2 3 11" xfId="25436" xr:uid="{00000000-0005-0000-0000-00003E630000}"/>
    <cellStyle name="Normal 2 3 11 10" xfId="25437" xr:uid="{00000000-0005-0000-0000-00003F630000}"/>
    <cellStyle name="Normal 2 3 11 11" xfId="25438" xr:uid="{00000000-0005-0000-0000-000040630000}"/>
    <cellStyle name="Normal 2 3 11 12" xfId="25439" xr:uid="{00000000-0005-0000-0000-000041630000}"/>
    <cellStyle name="Normal 2 3 11 13" xfId="25440" xr:uid="{00000000-0005-0000-0000-000042630000}"/>
    <cellStyle name="Normal 2 3 11 14" xfId="25441" xr:uid="{00000000-0005-0000-0000-000043630000}"/>
    <cellStyle name="Normal 2 3 11 2" xfId="25442" xr:uid="{00000000-0005-0000-0000-000044630000}"/>
    <cellStyle name="Normal 2 3 11 2 10" xfId="25443" xr:uid="{00000000-0005-0000-0000-000045630000}"/>
    <cellStyle name="Normal 2 3 11 2 2" xfId="25444" xr:uid="{00000000-0005-0000-0000-000046630000}"/>
    <cellStyle name="Normal 2 3 11 2 3" xfId="25445" xr:uid="{00000000-0005-0000-0000-000047630000}"/>
    <cellStyle name="Normal 2 3 11 2 4" xfId="25446" xr:uid="{00000000-0005-0000-0000-000048630000}"/>
    <cellStyle name="Normal 2 3 11 2 5" xfId="25447" xr:uid="{00000000-0005-0000-0000-000049630000}"/>
    <cellStyle name="Normal 2 3 11 2 6" xfId="25448" xr:uid="{00000000-0005-0000-0000-00004A630000}"/>
    <cellStyle name="Normal 2 3 11 2 7" xfId="25449" xr:uid="{00000000-0005-0000-0000-00004B630000}"/>
    <cellStyle name="Normal 2 3 11 2 8" xfId="25450" xr:uid="{00000000-0005-0000-0000-00004C630000}"/>
    <cellStyle name="Normal 2 3 11 2 9" xfId="25451" xr:uid="{00000000-0005-0000-0000-00004D630000}"/>
    <cellStyle name="Normal 2 3 11 3" xfId="25452" xr:uid="{00000000-0005-0000-0000-00004E630000}"/>
    <cellStyle name="Normal 2 3 11 3 10" xfId="25453" xr:uid="{00000000-0005-0000-0000-00004F630000}"/>
    <cellStyle name="Normal 2 3 11 3 2" xfId="25454" xr:uid="{00000000-0005-0000-0000-000050630000}"/>
    <cellStyle name="Normal 2 3 11 3 3" xfId="25455" xr:uid="{00000000-0005-0000-0000-000051630000}"/>
    <cellStyle name="Normal 2 3 11 3 4" xfId="25456" xr:uid="{00000000-0005-0000-0000-000052630000}"/>
    <cellStyle name="Normal 2 3 11 3 5" xfId="25457" xr:uid="{00000000-0005-0000-0000-000053630000}"/>
    <cellStyle name="Normal 2 3 11 3 6" xfId="25458" xr:uid="{00000000-0005-0000-0000-000054630000}"/>
    <cellStyle name="Normal 2 3 11 3 7" xfId="25459" xr:uid="{00000000-0005-0000-0000-000055630000}"/>
    <cellStyle name="Normal 2 3 11 3 8" xfId="25460" xr:uid="{00000000-0005-0000-0000-000056630000}"/>
    <cellStyle name="Normal 2 3 11 3 9" xfId="25461" xr:uid="{00000000-0005-0000-0000-000057630000}"/>
    <cellStyle name="Normal 2 3 11 4" xfId="25462" xr:uid="{00000000-0005-0000-0000-000058630000}"/>
    <cellStyle name="Normal 2 3 11 4 10" xfId="25463" xr:uid="{00000000-0005-0000-0000-000059630000}"/>
    <cellStyle name="Normal 2 3 11 4 2" xfId="25464" xr:uid="{00000000-0005-0000-0000-00005A630000}"/>
    <cellStyle name="Normal 2 3 11 4 3" xfId="25465" xr:uid="{00000000-0005-0000-0000-00005B630000}"/>
    <cellStyle name="Normal 2 3 11 4 4" xfId="25466" xr:uid="{00000000-0005-0000-0000-00005C630000}"/>
    <cellStyle name="Normal 2 3 11 4 5" xfId="25467" xr:uid="{00000000-0005-0000-0000-00005D630000}"/>
    <cellStyle name="Normal 2 3 11 4 6" xfId="25468" xr:uid="{00000000-0005-0000-0000-00005E630000}"/>
    <cellStyle name="Normal 2 3 11 4 7" xfId="25469" xr:uid="{00000000-0005-0000-0000-00005F630000}"/>
    <cellStyle name="Normal 2 3 11 4 8" xfId="25470" xr:uid="{00000000-0005-0000-0000-000060630000}"/>
    <cellStyle name="Normal 2 3 11 4 9" xfId="25471" xr:uid="{00000000-0005-0000-0000-000061630000}"/>
    <cellStyle name="Normal 2 3 11 5" xfId="25472" xr:uid="{00000000-0005-0000-0000-000062630000}"/>
    <cellStyle name="Normal 2 3 11 5 10" xfId="25473" xr:uid="{00000000-0005-0000-0000-000063630000}"/>
    <cellStyle name="Normal 2 3 11 5 2" xfId="25474" xr:uid="{00000000-0005-0000-0000-000064630000}"/>
    <cellStyle name="Normal 2 3 11 5 3" xfId="25475" xr:uid="{00000000-0005-0000-0000-000065630000}"/>
    <cellStyle name="Normal 2 3 11 5 4" xfId="25476" xr:uid="{00000000-0005-0000-0000-000066630000}"/>
    <cellStyle name="Normal 2 3 11 5 5" xfId="25477" xr:uid="{00000000-0005-0000-0000-000067630000}"/>
    <cellStyle name="Normal 2 3 11 5 6" xfId="25478" xr:uid="{00000000-0005-0000-0000-000068630000}"/>
    <cellStyle name="Normal 2 3 11 5 7" xfId="25479" xr:uid="{00000000-0005-0000-0000-000069630000}"/>
    <cellStyle name="Normal 2 3 11 5 8" xfId="25480" xr:uid="{00000000-0005-0000-0000-00006A630000}"/>
    <cellStyle name="Normal 2 3 11 5 9" xfId="25481" xr:uid="{00000000-0005-0000-0000-00006B630000}"/>
    <cellStyle name="Normal 2 3 11 6" xfId="25482" xr:uid="{00000000-0005-0000-0000-00006C630000}"/>
    <cellStyle name="Normal 2 3 11 7" xfId="25483" xr:uid="{00000000-0005-0000-0000-00006D630000}"/>
    <cellStyle name="Normal 2 3 11 8" xfId="25484" xr:uid="{00000000-0005-0000-0000-00006E630000}"/>
    <cellStyle name="Normal 2 3 11 9" xfId="25485" xr:uid="{00000000-0005-0000-0000-00006F630000}"/>
    <cellStyle name="Normal 2 3 12" xfId="25486" xr:uid="{00000000-0005-0000-0000-000070630000}"/>
    <cellStyle name="Normal 2 3 12 10" xfId="25487" xr:uid="{00000000-0005-0000-0000-000071630000}"/>
    <cellStyle name="Normal 2 3 12 11" xfId="25488" xr:uid="{00000000-0005-0000-0000-000072630000}"/>
    <cellStyle name="Normal 2 3 12 12" xfId="25489" xr:uid="{00000000-0005-0000-0000-000073630000}"/>
    <cellStyle name="Normal 2 3 12 13" xfId="25490" xr:uid="{00000000-0005-0000-0000-000074630000}"/>
    <cellStyle name="Normal 2 3 12 14" xfId="25491" xr:uid="{00000000-0005-0000-0000-000075630000}"/>
    <cellStyle name="Normal 2 3 12 2" xfId="25492" xr:uid="{00000000-0005-0000-0000-000076630000}"/>
    <cellStyle name="Normal 2 3 12 2 10" xfId="25493" xr:uid="{00000000-0005-0000-0000-000077630000}"/>
    <cellStyle name="Normal 2 3 12 2 2" xfId="25494" xr:uid="{00000000-0005-0000-0000-000078630000}"/>
    <cellStyle name="Normal 2 3 12 2 3" xfId="25495" xr:uid="{00000000-0005-0000-0000-000079630000}"/>
    <cellStyle name="Normal 2 3 12 2 4" xfId="25496" xr:uid="{00000000-0005-0000-0000-00007A630000}"/>
    <cellStyle name="Normal 2 3 12 2 5" xfId="25497" xr:uid="{00000000-0005-0000-0000-00007B630000}"/>
    <cellStyle name="Normal 2 3 12 2 6" xfId="25498" xr:uid="{00000000-0005-0000-0000-00007C630000}"/>
    <cellStyle name="Normal 2 3 12 2 7" xfId="25499" xr:uid="{00000000-0005-0000-0000-00007D630000}"/>
    <cellStyle name="Normal 2 3 12 2 8" xfId="25500" xr:uid="{00000000-0005-0000-0000-00007E630000}"/>
    <cellStyle name="Normal 2 3 12 2 9" xfId="25501" xr:uid="{00000000-0005-0000-0000-00007F630000}"/>
    <cellStyle name="Normal 2 3 12 3" xfId="25502" xr:uid="{00000000-0005-0000-0000-000080630000}"/>
    <cellStyle name="Normal 2 3 12 3 10" xfId="25503" xr:uid="{00000000-0005-0000-0000-000081630000}"/>
    <cellStyle name="Normal 2 3 12 3 2" xfId="25504" xr:uid="{00000000-0005-0000-0000-000082630000}"/>
    <cellStyle name="Normal 2 3 12 3 3" xfId="25505" xr:uid="{00000000-0005-0000-0000-000083630000}"/>
    <cellStyle name="Normal 2 3 12 3 4" xfId="25506" xr:uid="{00000000-0005-0000-0000-000084630000}"/>
    <cellStyle name="Normal 2 3 12 3 5" xfId="25507" xr:uid="{00000000-0005-0000-0000-000085630000}"/>
    <cellStyle name="Normal 2 3 12 3 6" xfId="25508" xr:uid="{00000000-0005-0000-0000-000086630000}"/>
    <cellStyle name="Normal 2 3 12 3 7" xfId="25509" xr:uid="{00000000-0005-0000-0000-000087630000}"/>
    <cellStyle name="Normal 2 3 12 3 8" xfId="25510" xr:uid="{00000000-0005-0000-0000-000088630000}"/>
    <cellStyle name="Normal 2 3 12 3 9" xfId="25511" xr:uid="{00000000-0005-0000-0000-000089630000}"/>
    <cellStyle name="Normal 2 3 12 4" xfId="25512" xr:uid="{00000000-0005-0000-0000-00008A630000}"/>
    <cellStyle name="Normal 2 3 12 4 10" xfId="25513" xr:uid="{00000000-0005-0000-0000-00008B630000}"/>
    <cellStyle name="Normal 2 3 12 4 2" xfId="25514" xr:uid="{00000000-0005-0000-0000-00008C630000}"/>
    <cellStyle name="Normal 2 3 12 4 3" xfId="25515" xr:uid="{00000000-0005-0000-0000-00008D630000}"/>
    <cellStyle name="Normal 2 3 12 4 4" xfId="25516" xr:uid="{00000000-0005-0000-0000-00008E630000}"/>
    <cellStyle name="Normal 2 3 12 4 5" xfId="25517" xr:uid="{00000000-0005-0000-0000-00008F630000}"/>
    <cellStyle name="Normal 2 3 12 4 6" xfId="25518" xr:uid="{00000000-0005-0000-0000-000090630000}"/>
    <cellStyle name="Normal 2 3 12 4 7" xfId="25519" xr:uid="{00000000-0005-0000-0000-000091630000}"/>
    <cellStyle name="Normal 2 3 12 4 8" xfId="25520" xr:uid="{00000000-0005-0000-0000-000092630000}"/>
    <cellStyle name="Normal 2 3 12 4 9" xfId="25521" xr:uid="{00000000-0005-0000-0000-000093630000}"/>
    <cellStyle name="Normal 2 3 12 5" xfId="25522" xr:uid="{00000000-0005-0000-0000-000094630000}"/>
    <cellStyle name="Normal 2 3 12 5 10" xfId="25523" xr:uid="{00000000-0005-0000-0000-000095630000}"/>
    <cellStyle name="Normal 2 3 12 5 2" xfId="25524" xr:uid="{00000000-0005-0000-0000-000096630000}"/>
    <cellStyle name="Normal 2 3 12 5 3" xfId="25525" xr:uid="{00000000-0005-0000-0000-000097630000}"/>
    <cellStyle name="Normal 2 3 12 5 4" xfId="25526" xr:uid="{00000000-0005-0000-0000-000098630000}"/>
    <cellStyle name="Normal 2 3 12 5 5" xfId="25527" xr:uid="{00000000-0005-0000-0000-000099630000}"/>
    <cellStyle name="Normal 2 3 12 5 6" xfId="25528" xr:uid="{00000000-0005-0000-0000-00009A630000}"/>
    <cellStyle name="Normal 2 3 12 5 7" xfId="25529" xr:uid="{00000000-0005-0000-0000-00009B630000}"/>
    <cellStyle name="Normal 2 3 12 5 8" xfId="25530" xr:uid="{00000000-0005-0000-0000-00009C630000}"/>
    <cellStyle name="Normal 2 3 12 5 9" xfId="25531" xr:uid="{00000000-0005-0000-0000-00009D630000}"/>
    <cellStyle name="Normal 2 3 12 6" xfId="25532" xr:uid="{00000000-0005-0000-0000-00009E630000}"/>
    <cellStyle name="Normal 2 3 12 7" xfId="25533" xr:uid="{00000000-0005-0000-0000-00009F630000}"/>
    <cellStyle name="Normal 2 3 12 8" xfId="25534" xr:uid="{00000000-0005-0000-0000-0000A0630000}"/>
    <cellStyle name="Normal 2 3 12 9" xfId="25535" xr:uid="{00000000-0005-0000-0000-0000A1630000}"/>
    <cellStyle name="Normal 2 3 13" xfId="25536" xr:uid="{00000000-0005-0000-0000-0000A2630000}"/>
    <cellStyle name="Normal 2 3 13 10" xfId="25537" xr:uid="{00000000-0005-0000-0000-0000A3630000}"/>
    <cellStyle name="Normal 2 3 13 11" xfId="25538" xr:uid="{00000000-0005-0000-0000-0000A4630000}"/>
    <cellStyle name="Normal 2 3 13 12" xfId="25539" xr:uid="{00000000-0005-0000-0000-0000A5630000}"/>
    <cellStyle name="Normal 2 3 13 13" xfId="25540" xr:uid="{00000000-0005-0000-0000-0000A6630000}"/>
    <cellStyle name="Normal 2 3 13 14" xfId="25541" xr:uid="{00000000-0005-0000-0000-0000A7630000}"/>
    <cellStyle name="Normal 2 3 13 2" xfId="25542" xr:uid="{00000000-0005-0000-0000-0000A8630000}"/>
    <cellStyle name="Normal 2 3 13 2 10" xfId="25543" xr:uid="{00000000-0005-0000-0000-0000A9630000}"/>
    <cellStyle name="Normal 2 3 13 2 2" xfId="25544" xr:uid="{00000000-0005-0000-0000-0000AA630000}"/>
    <cellStyle name="Normal 2 3 13 2 3" xfId="25545" xr:uid="{00000000-0005-0000-0000-0000AB630000}"/>
    <cellStyle name="Normal 2 3 13 2 4" xfId="25546" xr:uid="{00000000-0005-0000-0000-0000AC630000}"/>
    <cellStyle name="Normal 2 3 13 2 5" xfId="25547" xr:uid="{00000000-0005-0000-0000-0000AD630000}"/>
    <cellStyle name="Normal 2 3 13 2 6" xfId="25548" xr:uid="{00000000-0005-0000-0000-0000AE630000}"/>
    <cellStyle name="Normal 2 3 13 2 7" xfId="25549" xr:uid="{00000000-0005-0000-0000-0000AF630000}"/>
    <cellStyle name="Normal 2 3 13 2 8" xfId="25550" xr:uid="{00000000-0005-0000-0000-0000B0630000}"/>
    <cellStyle name="Normal 2 3 13 2 9" xfId="25551" xr:uid="{00000000-0005-0000-0000-0000B1630000}"/>
    <cellStyle name="Normal 2 3 13 3" xfId="25552" xr:uid="{00000000-0005-0000-0000-0000B2630000}"/>
    <cellStyle name="Normal 2 3 13 3 10" xfId="25553" xr:uid="{00000000-0005-0000-0000-0000B3630000}"/>
    <cellStyle name="Normal 2 3 13 3 2" xfId="25554" xr:uid="{00000000-0005-0000-0000-0000B4630000}"/>
    <cellStyle name="Normal 2 3 13 3 3" xfId="25555" xr:uid="{00000000-0005-0000-0000-0000B5630000}"/>
    <cellStyle name="Normal 2 3 13 3 4" xfId="25556" xr:uid="{00000000-0005-0000-0000-0000B6630000}"/>
    <cellStyle name="Normal 2 3 13 3 5" xfId="25557" xr:uid="{00000000-0005-0000-0000-0000B7630000}"/>
    <cellStyle name="Normal 2 3 13 3 6" xfId="25558" xr:uid="{00000000-0005-0000-0000-0000B8630000}"/>
    <cellStyle name="Normal 2 3 13 3 7" xfId="25559" xr:uid="{00000000-0005-0000-0000-0000B9630000}"/>
    <cellStyle name="Normal 2 3 13 3 8" xfId="25560" xr:uid="{00000000-0005-0000-0000-0000BA630000}"/>
    <cellStyle name="Normal 2 3 13 3 9" xfId="25561" xr:uid="{00000000-0005-0000-0000-0000BB630000}"/>
    <cellStyle name="Normal 2 3 13 4" xfId="25562" xr:uid="{00000000-0005-0000-0000-0000BC630000}"/>
    <cellStyle name="Normal 2 3 13 4 10" xfId="25563" xr:uid="{00000000-0005-0000-0000-0000BD630000}"/>
    <cellStyle name="Normal 2 3 13 4 2" xfId="25564" xr:uid="{00000000-0005-0000-0000-0000BE630000}"/>
    <cellStyle name="Normal 2 3 13 4 3" xfId="25565" xr:uid="{00000000-0005-0000-0000-0000BF630000}"/>
    <cellStyle name="Normal 2 3 13 4 4" xfId="25566" xr:uid="{00000000-0005-0000-0000-0000C0630000}"/>
    <cellStyle name="Normal 2 3 13 4 5" xfId="25567" xr:uid="{00000000-0005-0000-0000-0000C1630000}"/>
    <cellStyle name="Normal 2 3 13 4 6" xfId="25568" xr:uid="{00000000-0005-0000-0000-0000C2630000}"/>
    <cellStyle name="Normal 2 3 13 4 7" xfId="25569" xr:uid="{00000000-0005-0000-0000-0000C3630000}"/>
    <cellStyle name="Normal 2 3 13 4 8" xfId="25570" xr:uid="{00000000-0005-0000-0000-0000C4630000}"/>
    <cellStyle name="Normal 2 3 13 4 9" xfId="25571" xr:uid="{00000000-0005-0000-0000-0000C5630000}"/>
    <cellStyle name="Normal 2 3 13 5" xfId="25572" xr:uid="{00000000-0005-0000-0000-0000C6630000}"/>
    <cellStyle name="Normal 2 3 13 5 10" xfId="25573" xr:uid="{00000000-0005-0000-0000-0000C7630000}"/>
    <cellStyle name="Normal 2 3 13 5 2" xfId="25574" xr:uid="{00000000-0005-0000-0000-0000C8630000}"/>
    <cellStyle name="Normal 2 3 13 5 3" xfId="25575" xr:uid="{00000000-0005-0000-0000-0000C9630000}"/>
    <cellStyle name="Normal 2 3 13 5 4" xfId="25576" xr:uid="{00000000-0005-0000-0000-0000CA630000}"/>
    <cellStyle name="Normal 2 3 13 5 5" xfId="25577" xr:uid="{00000000-0005-0000-0000-0000CB630000}"/>
    <cellStyle name="Normal 2 3 13 5 6" xfId="25578" xr:uid="{00000000-0005-0000-0000-0000CC630000}"/>
    <cellStyle name="Normal 2 3 13 5 7" xfId="25579" xr:uid="{00000000-0005-0000-0000-0000CD630000}"/>
    <cellStyle name="Normal 2 3 13 5 8" xfId="25580" xr:uid="{00000000-0005-0000-0000-0000CE630000}"/>
    <cellStyle name="Normal 2 3 13 5 9" xfId="25581" xr:uid="{00000000-0005-0000-0000-0000CF630000}"/>
    <cellStyle name="Normal 2 3 13 6" xfId="25582" xr:uid="{00000000-0005-0000-0000-0000D0630000}"/>
    <cellStyle name="Normal 2 3 13 7" xfId="25583" xr:uid="{00000000-0005-0000-0000-0000D1630000}"/>
    <cellStyle name="Normal 2 3 13 8" xfId="25584" xr:uid="{00000000-0005-0000-0000-0000D2630000}"/>
    <cellStyle name="Normal 2 3 13 9" xfId="25585" xr:uid="{00000000-0005-0000-0000-0000D3630000}"/>
    <cellStyle name="Normal 2 3 14" xfId="25586" xr:uid="{00000000-0005-0000-0000-0000D4630000}"/>
    <cellStyle name="Normal 2 3 14 10" xfId="25587" xr:uid="{00000000-0005-0000-0000-0000D5630000}"/>
    <cellStyle name="Normal 2 3 14 11" xfId="25588" xr:uid="{00000000-0005-0000-0000-0000D6630000}"/>
    <cellStyle name="Normal 2 3 14 12" xfId="25589" xr:uid="{00000000-0005-0000-0000-0000D7630000}"/>
    <cellStyle name="Normal 2 3 14 13" xfId="25590" xr:uid="{00000000-0005-0000-0000-0000D8630000}"/>
    <cellStyle name="Normal 2 3 14 14" xfId="25591" xr:uid="{00000000-0005-0000-0000-0000D9630000}"/>
    <cellStyle name="Normal 2 3 14 2" xfId="25592" xr:uid="{00000000-0005-0000-0000-0000DA630000}"/>
    <cellStyle name="Normal 2 3 14 2 10" xfId="25593" xr:uid="{00000000-0005-0000-0000-0000DB630000}"/>
    <cellStyle name="Normal 2 3 14 2 2" xfId="25594" xr:uid="{00000000-0005-0000-0000-0000DC630000}"/>
    <cellStyle name="Normal 2 3 14 2 3" xfId="25595" xr:uid="{00000000-0005-0000-0000-0000DD630000}"/>
    <cellStyle name="Normal 2 3 14 2 4" xfId="25596" xr:uid="{00000000-0005-0000-0000-0000DE630000}"/>
    <cellStyle name="Normal 2 3 14 2 5" xfId="25597" xr:uid="{00000000-0005-0000-0000-0000DF630000}"/>
    <cellStyle name="Normal 2 3 14 2 6" xfId="25598" xr:uid="{00000000-0005-0000-0000-0000E0630000}"/>
    <cellStyle name="Normal 2 3 14 2 7" xfId="25599" xr:uid="{00000000-0005-0000-0000-0000E1630000}"/>
    <cellStyle name="Normal 2 3 14 2 8" xfId="25600" xr:uid="{00000000-0005-0000-0000-0000E2630000}"/>
    <cellStyle name="Normal 2 3 14 2 9" xfId="25601" xr:uid="{00000000-0005-0000-0000-0000E3630000}"/>
    <cellStyle name="Normal 2 3 14 3" xfId="25602" xr:uid="{00000000-0005-0000-0000-0000E4630000}"/>
    <cellStyle name="Normal 2 3 14 3 10" xfId="25603" xr:uid="{00000000-0005-0000-0000-0000E5630000}"/>
    <cellStyle name="Normal 2 3 14 3 2" xfId="25604" xr:uid="{00000000-0005-0000-0000-0000E6630000}"/>
    <cellStyle name="Normal 2 3 14 3 3" xfId="25605" xr:uid="{00000000-0005-0000-0000-0000E7630000}"/>
    <cellStyle name="Normal 2 3 14 3 4" xfId="25606" xr:uid="{00000000-0005-0000-0000-0000E8630000}"/>
    <cellStyle name="Normal 2 3 14 3 5" xfId="25607" xr:uid="{00000000-0005-0000-0000-0000E9630000}"/>
    <cellStyle name="Normal 2 3 14 3 6" xfId="25608" xr:uid="{00000000-0005-0000-0000-0000EA630000}"/>
    <cellStyle name="Normal 2 3 14 3 7" xfId="25609" xr:uid="{00000000-0005-0000-0000-0000EB630000}"/>
    <cellStyle name="Normal 2 3 14 3 8" xfId="25610" xr:uid="{00000000-0005-0000-0000-0000EC630000}"/>
    <cellStyle name="Normal 2 3 14 3 9" xfId="25611" xr:uid="{00000000-0005-0000-0000-0000ED630000}"/>
    <cellStyle name="Normal 2 3 14 4" xfId="25612" xr:uid="{00000000-0005-0000-0000-0000EE630000}"/>
    <cellStyle name="Normal 2 3 14 4 10" xfId="25613" xr:uid="{00000000-0005-0000-0000-0000EF630000}"/>
    <cellStyle name="Normal 2 3 14 4 2" xfId="25614" xr:uid="{00000000-0005-0000-0000-0000F0630000}"/>
    <cellStyle name="Normal 2 3 14 4 3" xfId="25615" xr:uid="{00000000-0005-0000-0000-0000F1630000}"/>
    <cellStyle name="Normal 2 3 14 4 4" xfId="25616" xr:uid="{00000000-0005-0000-0000-0000F2630000}"/>
    <cellStyle name="Normal 2 3 14 4 5" xfId="25617" xr:uid="{00000000-0005-0000-0000-0000F3630000}"/>
    <cellStyle name="Normal 2 3 14 4 6" xfId="25618" xr:uid="{00000000-0005-0000-0000-0000F4630000}"/>
    <cellStyle name="Normal 2 3 14 4 7" xfId="25619" xr:uid="{00000000-0005-0000-0000-0000F5630000}"/>
    <cellStyle name="Normal 2 3 14 4 8" xfId="25620" xr:uid="{00000000-0005-0000-0000-0000F6630000}"/>
    <cellStyle name="Normal 2 3 14 4 9" xfId="25621" xr:uid="{00000000-0005-0000-0000-0000F7630000}"/>
    <cellStyle name="Normal 2 3 14 5" xfId="25622" xr:uid="{00000000-0005-0000-0000-0000F8630000}"/>
    <cellStyle name="Normal 2 3 14 5 10" xfId="25623" xr:uid="{00000000-0005-0000-0000-0000F9630000}"/>
    <cellStyle name="Normal 2 3 14 5 2" xfId="25624" xr:uid="{00000000-0005-0000-0000-0000FA630000}"/>
    <cellStyle name="Normal 2 3 14 5 3" xfId="25625" xr:uid="{00000000-0005-0000-0000-0000FB630000}"/>
    <cellStyle name="Normal 2 3 14 5 4" xfId="25626" xr:uid="{00000000-0005-0000-0000-0000FC630000}"/>
    <cellStyle name="Normal 2 3 14 5 5" xfId="25627" xr:uid="{00000000-0005-0000-0000-0000FD630000}"/>
    <cellStyle name="Normal 2 3 14 5 6" xfId="25628" xr:uid="{00000000-0005-0000-0000-0000FE630000}"/>
    <cellStyle name="Normal 2 3 14 5 7" xfId="25629" xr:uid="{00000000-0005-0000-0000-0000FF630000}"/>
    <cellStyle name="Normal 2 3 14 5 8" xfId="25630" xr:uid="{00000000-0005-0000-0000-000000640000}"/>
    <cellStyle name="Normal 2 3 14 5 9" xfId="25631" xr:uid="{00000000-0005-0000-0000-000001640000}"/>
    <cellStyle name="Normal 2 3 14 6" xfId="25632" xr:uid="{00000000-0005-0000-0000-000002640000}"/>
    <cellStyle name="Normal 2 3 14 7" xfId="25633" xr:uid="{00000000-0005-0000-0000-000003640000}"/>
    <cellStyle name="Normal 2 3 14 8" xfId="25634" xr:uid="{00000000-0005-0000-0000-000004640000}"/>
    <cellStyle name="Normal 2 3 14 9" xfId="25635" xr:uid="{00000000-0005-0000-0000-000005640000}"/>
    <cellStyle name="Normal 2 3 15" xfId="25636" xr:uid="{00000000-0005-0000-0000-000006640000}"/>
    <cellStyle name="Normal 2 3 15 10" xfId="25637" xr:uid="{00000000-0005-0000-0000-000007640000}"/>
    <cellStyle name="Normal 2 3 15 11" xfId="25638" xr:uid="{00000000-0005-0000-0000-000008640000}"/>
    <cellStyle name="Normal 2 3 15 12" xfId="25639" xr:uid="{00000000-0005-0000-0000-000009640000}"/>
    <cellStyle name="Normal 2 3 15 13" xfId="25640" xr:uid="{00000000-0005-0000-0000-00000A640000}"/>
    <cellStyle name="Normal 2 3 15 14" xfId="25641" xr:uid="{00000000-0005-0000-0000-00000B640000}"/>
    <cellStyle name="Normal 2 3 15 2" xfId="25642" xr:uid="{00000000-0005-0000-0000-00000C640000}"/>
    <cellStyle name="Normal 2 3 15 2 10" xfId="25643" xr:uid="{00000000-0005-0000-0000-00000D640000}"/>
    <cellStyle name="Normal 2 3 15 2 2" xfId="25644" xr:uid="{00000000-0005-0000-0000-00000E640000}"/>
    <cellStyle name="Normal 2 3 15 2 3" xfId="25645" xr:uid="{00000000-0005-0000-0000-00000F640000}"/>
    <cellStyle name="Normal 2 3 15 2 4" xfId="25646" xr:uid="{00000000-0005-0000-0000-000010640000}"/>
    <cellStyle name="Normal 2 3 15 2 5" xfId="25647" xr:uid="{00000000-0005-0000-0000-000011640000}"/>
    <cellStyle name="Normal 2 3 15 2 6" xfId="25648" xr:uid="{00000000-0005-0000-0000-000012640000}"/>
    <cellStyle name="Normal 2 3 15 2 7" xfId="25649" xr:uid="{00000000-0005-0000-0000-000013640000}"/>
    <cellStyle name="Normal 2 3 15 2 8" xfId="25650" xr:uid="{00000000-0005-0000-0000-000014640000}"/>
    <cellStyle name="Normal 2 3 15 2 9" xfId="25651" xr:uid="{00000000-0005-0000-0000-000015640000}"/>
    <cellStyle name="Normal 2 3 15 3" xfId="25652" xr:uid="{00000000-0005-0000-0000-000016640000}"/>
    <cellStyle name="Normal 2 3 15 3 10" xfId="25653" xr:uid="{00000000-0005-0000-0000-000017640000}"/>
    <cellStyle name="Normal 2 3 15 3 2" xfId="25654" xr:uid="{00000000-0005-0000-0000-000018640000}"/>
    <cellStyle name="Normal 2 3 15 3 3" xfId="25655" xr:uid="{00000000-0005-0000-0000-000019640000}"/>
    <cellStyle name="Normal 2 3 15 3 4" xfId="25656" xr:uid="{00000000-0005-0000-0000-00001A640000}"/>
    <cellStyle name="Normal 2 3 15 3 5" xfId="25657" xr:uid="{00000000-0005-0000-0000-00001B640000}"/>
    <cellStyle name="Normal 2 3 15 3 6" xfId="25658" xr:uid="{00000000-0005-0000-0000-00001C640000}"/>
    <cellStyle name="Normal 2 3 15 3 7" xfId="25659" xr:uid="{00000000-0005-0000-0000-00001D640000}"/>
    <cellStyle name="Normal 2 3 15 3 8" xfId="25660" xr:uid="{00000000-0005-0000-0000-00001E640000}"/>
    <cellStyle name="Normal 2 3 15 3 9" xfId="25661" xr:uid="{00000000-0005-0000-0000-00001F640000}"/>
    <cellStyle name="Normal 2 3 15 4" xfId="25662" xr:uid="{00000000-0005-0000-0000-000020640000}"/>
    <cellStyle name="Normal 2 3 15 4 10" xfId="25663" xr:uid="{00000000-0005-0000-0000-000021640000}"/>
    <cellStyle name="Normal 2 3 15 4 2" xfId="25664" xr:uid="{00000000-0005-0000-0000-000022640000}"/>
    <cellStyle name="Normal 2 3 15 4 3" xfId="25665" xr:uid="{00000000-0005-0000-0000-000023640000}"/>
    <cellStyle name="Normal 2 3 15 4 4" xfId="25666" xr:uid="{00000000-0005-0000-0000-000024640000}"/>
    <cellStyle name="Normal 2 3 15 4 5" xfId="25667" xr:uid="{00000000-0005-0000-0000-000025640000}"/>
    <cellStyle name="Normal 2 3 15 4 6" xfId="25668" xr:uid="{00000000-0005-0000-0000-000026640000}"/>
    <cellStyle name="Normal 2 3 15 4 7" xfId="25669" xr:uid="{00000000-0005-0000-0000-000027640000}"/>
    <cellStyle name="Normal 2 3 15 4 8" xfId="25670" xr:uid="{00000000-0005-0000-0000-000028640000}"/>
    <cellStyle name="Normal 2 3 15 4 9" xfId="25671" xr:uid="{00000000-0005-0000-0000-000029640000}"/>
    <cellStyle name="Normal 2 3 15 5" xfId="25672" xr:uid="{00000000-0005-0000-0000-00002A640000}"/>
    <cellStyle name="Normal 2 3 15 5 10" xfId="25673" xr:uid="{00000000-0005-0000-0000-00002B640000}"/>
    <cellStyle name="Normal 2 3 15 5 2" xfId="25674" xr:uid="{00000000-0005-0000-0000-00002C640000}"/>
    <cellStyle name="Normal 2 3 15 5 3" xfId="25675" xr:uid="{00000000-0005-0000-0000-00002D640000}"/>
    <cellStyle name="Normal 2 3 15 5 4" xfId="25676" xr:uid="{00000000-0005-0000-0000-00002E640000}"/>
    <cellStyle name="Normal 2 3 15 5 5" xfId="25677" xr:uid="{00000000-0005-0000-0000-00002F640000}"/>
    <cellStyle name="Normal 2 3 15 5 6" xfId="25678" xr:uid="{00000000-0005-0000-0000-000030640000}"/>
    <cellStyle name="Normal 2 3 15 5 7" xfId="25679" xr:uid="{00000000-0005-0000-0000-000031640000}"/>
    <cellStyle name="Normal 2 3 15 5 8" xfId="25680" xr:uid="{00000000-0005-0000-0000-000032640000}"/>
    <cellStyle name="Normal 2 3 15 5 9" xfId="25681" xr:uid="{00000000-0005-0000-0000-000033640000}"/>
    <cellStyle name="Normal 2 3 15 6" xfId="25682" xr:uid="{00000000-0005-0000-0000-000034640000}"/>
    <cellStyle name="Normal 2 3 15 7" xfId="25683" xr:uid="{00000000-0005-0000-0000-000035640000}"/>
    <cellStyle name="Normal 2 3 15 8" xfId="25684" xr:uid="{00000000-0005-0000-0000-000036640000}"/>
    <cellStyle name="Normal 2 3 15 9" xfId="25685" xr:uid="{00000000-0005-0000-0000-000037640000}"/>
    <cellStyle name="Normal 2 3 16" xfId="25686" xr:uid="{00000000-0005-0000-0000-000038640000}"/>
    <cellStyle name="Normal 2 3 16 10" xfId="25687" xr:uid="{00000000-0005-0000-0000-000039640000}"/>
    <cellStyle name="Normal 2 3 16 11" xfId="25688" xr:uid="{00000000-0005-0000-0000-00003A640000}"/>
    <cellStyle name="Normal 2 3 16 12" xfId="25689" xr:uid="{00000000-0005-0000-0000-00003B640000}"/>
    <cellStyle name="Normal 2 3 16 13" xfId="25690" xr:uid="{00000000-0005-0000-0000-00003C640000}"/>
    <cellStyle name="Normal 2 3 16 14" xfId="25691" xr:uid="{00000000-0005-0000-0000-00003D640000}"/>
    <cellStyle name="Normal 2 3 16 2" xfId="25692" xr:uid="{00000000-0005-0000-0000-00003E640000}"/>
    <cellStyle name="Normal 2 3 16 2 10" xfId="25693" xr:uid="{00000000-0005-0000-0000-00003F640000}"/>
    <cellStyle name="Normal 2 3 16 2 2" xfId="25694" xr:uid="{00000000-0005-0000-0000-000040640000}"/>
    <cellStyle name="Normal 2 3 16 2 3" xfId="25695" xr:uid="{00000000-0005-0000-0000-000041640000}"/>
    <cellStyle name="Normal 2 3 16 2 4" xfId="25696" xr:uid="{00000000-0005-0000-0000-000042640000}"/>
    <cellStyle name="Normal 2 3 16 2 5" xfId="25697" xr:uid="{00000000-0005-0000-0000-000043640000}"/>
    <cellStyle name="Normal 2 3 16 2 6" xfId="25698" xr:uid="{00000000-0005-0000-0000-000044640000}"/>
    <cellStyle name="Normal 2 3 16 2 7" xfId="25699" xr:uid="{00000000-0005-0000-0000-000045640000}"/>
    <cellStyle name="Normal 2 3 16 2 8" xfId="25700" xr:uid="{00000000-0005-0000-0000-000046640000}"/>
    <cellStyle name="Normal 2 3 16 2 9" xfId="25701" xr:uid="{00000000-0005-0000-0000-000047640000}"/>
    <cellStyle name="Normal 2 3 16 3" xfId="25702" xr:uid="{00000000-0005-0000-0000-000048640000}"/>
    <cellStyle name="Normal 2 3 16 3 10" xfId="25703" xr:uid="{00000000-0005-0000-0000-000049640000}"/>
    <cellStyle name="Normal 2 3 16 3 2" xfId="25704" xr:uid="{00000000-0005-0000-0000-00004A640000}"/>
    <cellStyle name="Normal 2 3 16 3 3" xfId="25705" xr:uid="{00000000-0005-0000-0000-00004B640000}"/>
    <cellStyle name="Normal 2 3 16 3 4" xfId="25706" xr:uid="{00000000-0005-0000-0000-00004C640000}"/>
    <cellStyle name="Normal 2 3 16 3 5" xfId="25707" xr:uid="{00000000-0005-0000-0000-00004D640000}"/>
    <cellStyle name="Normal 2 3 16 3 6" xfId="25708" xr:uid="{00000000-0005-0000-0000-00004E640000}"/>
    <cellStyle name="Normal 2 3 16 3 7" xfId="25709" xr:uid="{00000000-0005-0000-0000-00004F640000}"/>
    <cellStyle name="Normal 2 3 16 3 8" xfId="25710" xr:uid="{00000000-0005-0000-0000-000050640000}"/>
    <cellStyle name="Normal 2 3 16 3 9" xfId="25711" xr:uid="{00000000-0005-0000-0000-000051640000}"/>
    <cellStyle name="Normal 2 3 16 4" xfId="25712" xr:uid="{00000000-0005-0000-0000-000052640000}"/>
    <cellStyle name="Normal 2 3 16 4 10" xfId="25713" xr:uid="{00000000-0005-0000-0000-000053640000}"/>
    <cellStyle name="Normal 2 3 16 4 2" xfId="25714" xr:uid="{00000000-0005-0000-0000-000054640000}"/>
    <cellStyle name="Normal 2 3 16 4 3" xfId="25715" xr:uid="{00000000-0005-0000-0000-000055640000}"/>
    <cellStyle name="Normal 2 3 16 4 4" xfId="25716" xr:uid="{00000000-0005-0000-0000-000056640000}"/>
    <cellStyle name="Normal 2 3 16 4 5" xfId="25717" xr:uid="{00000000-0005-0000-0000-000057640000}"/>
    <cellStyle name="Normal 2 3 16 4 6" xfId="25718" xr:uid="{00000000-0005-0000-0000-000058640000}"/>
    <cellStyle name="Normal 2 3 16 4 7" xfId="25719" xr:uid="{00000000-0005-0000-0000-000059640000}"/>
    <cellStyle name="Normal 2 3 16 4 8" xfId="25720" xr:uid="{00000000-0005-0000-0000-00005A640000}"/>
    <cellStyle name="Normal 2 3 16 4 9" xfId="25721" xr:uid="{00000000-0005-0000-0000-00005B640000}"/>
    <cellStyle name="Normal 2 3 16 5" xfId="25722" xr:uid="{00000000-0005-0000-0000-00005C640000}"/>
    <cellStyle name="Normal 2 3 16 5 10" xfId="25723" xr:uid="{00000000-0005-0000-0000-00005D640000}"/>
    <cellStyle name="Normal 2 3 16 5 2" xfId="25724" xr:uid="{00000000-0005-0000-0000-00005E640000}"/>
    <cellStyle name="Normal 2 3 16 5 3" xfId="25725" xr:uid="{00000000-0005-0000-0000-00005F640000}"/>
    <cellStyle name="Normal 2 3 16 5 4" xfId="25726" xr:uid="{00000000-0005-0000-0000-000060640000}"/>
    <cellStyle name="Normal 2 3 16 5 5" xfId="25727" xr:uid="{00000000-0005-0000-0000-000061640000}"/>
    <cellStyle name="Normal 2 3 16 5 6" xfId="25728" xr:uid="{00000000-0005-0000-0000-000062640000}"/>
    <cellStyle name="Normal 2 3 16 5 7" xfId="25729" xr:uid="{00000000-0005-0000-0000-000063640000}"/>
    <cellStyle name="Normal 2 3 16 5 8" xfId="25730" xr:uid="{00000000-0005-0000-0000-000064640000}"/>
    <cellStyle name="Normal 2 3 16 5 9" xfId="25731" xr:uid="{00000000-0005-0000-0000-000065640000}"/>
    <cellStyle name="Normal 2 3 16 6" xfId="25732" xr:uid="{00000000-0005-0000-0000-000066640000}"/>
    <cellStyle name="Normal 2 3 16 7" xfId="25733" xr:uid="{00000000-0005-0000-0000-000067640000}"/>
    <cellStyle name="Normal 2 3 16 8" xfId="25734" xr:uid="{00000000-0005-0000-0000-000068640000}"/>
    <cellStyle name="Normal 2 3 16 9" xfId="25735" xr:uid="{00000000-0005-0000-0000-000069640000}"/>
    <cellStyle name="Normal 2 3 17" xfId="25736" xr:uid="{00000000-0005-0000-0000-00006A640000}"/>
    <cellStyle name="Normal 2 3 17 10" xfId="25737" xr:uid="{00000000-0005-0000-0000-00006B640000}"/>
    <cellStyle name="Normal 2 3 17 11" xfId="25738" xr:uid="{00000000-0005-0000-0000-00006C640000}"/>
    <cellStyle name="Normal 2 3 17 12" xfId="25739" xr:uid="{00000000-0005-0000-0000-00006D640000}"/>
    <cellStyle name="Normal 2 3 17 13" xfId="25740" xr:uid="{00000000-0005-0000-0000-00006E640000}"/>
    <cellStyle name="Normal 2 3 17 14" xfId="25741" xr:uid="{00000000-0005-0000-0000-00006F640000}"/>
    <cellStyle name="Normal 2 3 17 2" xfId="25742" xr:uid="{00000000-0005-0000-0000-000070640000}"/>
    <cellStyle name="Normal 2 3 17 2 10" xfId="25743" xr:uid="{00000000-0005-0000-0000-000071640000}"/>
    <cellStyle name="Normal 2 3 17 2 2" xfId="25744" xr:uid="{00000000-0005-0000-0000-000072640000}"/>
    <cellStyle name="Normal 2 3 17 2 3" xfId="25745" xr:uid="{00000000-0005-0000-0000-000073640000}"/>
    <cellStyle name="Normal 2 3 17 2 4" xfId="25746" xr:uid="{00000000-0005-0000-0000-000074640000}"/>
    <cellStyle name="Normal 2 3 17 2 5" xfId="25747" xr:uid="{00000000-0005-0000-0000-000075640000}"/>
    <cellStyle name="Normal 2 3 17 2 6" xfId="25748" xr:uid="{00000000-0005-0000-0000-000076640000}"/>
    <cellStyle name="Normal 2 3 17 2 7" xfId="25749" xr:uid="{00000000-0005-0000-0000-000077640000}"/>
    <cellStyle name="Normal 2 3 17 2 8" xfId="25750" xr:uid="{00000000-0005-0000-0000-000078640000}"/>
    <cellStyle name="Normal 2 3 17 2 9" xfId="25751" xr:uid="{00000000-0005-0000-0000-000079640000}"/>
    <cellStyle name="Normal 2 3 17 3" xfId="25752" xr:uid="{00000000-0005-0000-0000-00007A640000}"/>
    <cellStyle name="Normal 2 3 17 3 10" xfId="25753" xr:uid="{00000000-0005-0000-0000-00007B640000}"/>
    <cellStyle name="Normal 2 3 17 3 2" xfId="25754" xr:uid="{00000000-0005-0000-0000-00007C640000}"/>
    <cellStyle name="Normal 2 3 17 3 3" xfId="25755" xr:uid="{00000000-0005-0000-0000-00007D640000}"/>
    <cellStyle name="Normal 2 3 17 3 4" xfId="25756" xr:uid="{00000000-0005-0000-0000-00007E640000}"/>
    <cellStyle name="Normal 2 3 17 3 5" xfId="25757" xr:uid="{00000000-0005-0000-0000-00007F640000}"/>
    <cellStyle name="Normal 2 3 17 3 6" xfId="25758" xr:uid="{00000000-0005-0000-0000-000080640000}"/>
    <cellStyle name="Normal 2 3 17 3 7" xfId="25759" xr:uid="{00000000-0005-0000-0000-000081640000}"/>
    <cellStyle name="Normal 2 3 17 3 8" xfId="25760" xr:uid="{00000000-0005-0000-0000-000082640000}"/>
    <cellStyle name="Normal 2 3 17 3 9" xfId="25761" xr:uid="{00000000-0005-0000-0000-000083640000}"/>
    <cellStyle name="Normal 2 3 17 4" xfId="25762" xr:uid="{00000000-0005-0000-0000-000084640000}"/>
    <cellStyle name="Normal 2 3 17 4 10" xfId="25763" xr:uid="{00000000-0005-0000-0000-000085640000}"/>
    <cellStyle name="Normal 2 3 17 4 2" xfId="25764" xr:uid="{00000000-0005-0000-0000-000086640000}"/>
    <cellStyle name="Normal 2 3 17 4 3" xfId="25765" xr:uid="{00000000-0005-0000-0000-000087640000}"/>
    <cellStyle name="Normal 2 3 17 4 4" xfId="25766" xr:uid="{00000000-0005-0000-0000-000088640000}"/>
    <cellStyle name="Normal 2 3 17 4 5" xfId="25767" xr:uid="{00000000-0005-0000-0000-000089640000}"/>
    <cellStyle name="Normal 2 3 17 4 6" xfId="25768" xr:uid="{00000000-0005-0000-0000-00008A640000}"/>
    <cellStyle name="Normal 2 3 17 4 7" xfId="25769" xr:uid="{00000000-0005-0000-0000-00008B640000}"/>
    <cellStyle name="Normal 2 3 17 4 8" xfId="25770" xr:uid="{00000000-0005-0000-0000-00008C640000}"/>
    <cellStyle name="Normal 2 3 17 4 9" xfId="25771" xr:uid="{00000000-0005-0000-0000-00008D640000}"/>
    <cellStyle name="Normal 2 3 17 5" xfId="25772" xr:uid="{00000000-0005-0000-0000-00008E640000}"/>
    <cellStyle name="Normal 2 3 17 5 10" xfId="25773" xr:uid="{00000000-0005-0000-0000-00008F640000}"/>
    <cellStyle name="Normal 2 3 17 5 2" xfId="25774" xr:uid="{00000000-0005-0000-0000-000090640000}"/>
    <cellStyle name="Normal 2 3 17 5 3" xfId="25775" xr:uid="{00000000-0005-0000-0000-000091640000}"/>
    <cellStyle name="Normal 2 3 17 5 4" xfId="25776" xr:uid="{00000000-0005-0000-0000-000092640000}"/>
    <cellStyle name="Normal 2 3 17 5 5" xfId="25777" xr:uid="{00000000-0005-0000-0000-000093640000}"/>
    <cellStyle name="Normal 2 3 17 5 6" xfId="25778" xr:uid="{00000000-0005-0000-0000-000094640000}"/>
    <cellStyle name="Normal 2 3 17 5 7" xfId="25779" xr:uid="{00000000-0005-0000-0000-000095640000}"/>
    <cellStyle name="Normal 2 3 17 5 8" xfId="25780" xr:uid="{00000000-0005-0000-0000-000096640000}"/>
    <cellStyle name="Normal 2 3 17 5 9" xfId="25781" xr:uid="{00000000-0005-0000-0000-000097640000}"/>
    <cellStyle name="Normal 2 3 17 6" xfId="25782" xr:uid="{00000000-0005-0000-0000-000098640000}"/>
    <cellStyle name="Normal 2 3 17 7" xfId="25783" xr:uid="{00000000-0005-0000-0000-000099640000}"/>
    <cellStyle name="Normal 2 3 17 8" xfId="25784" xr:uid="{00000000-0005-0000-0000-00009A640000}"/>
    <cellStyle name="Normal 2 3 17 9" xfId="25785" xr:uid="{00000000-0005-0000-0000-00009B640000}"/>
    <cellStyle name="Normal 2 3 18" xfId="25786" xr:uid="{00000000-0005-0000-0000-00009C640000}"/>
    <cellStyle name="Normal 2 3 18 10" xfId="25787" xr:uid="{00000000-0005-0000-0000-00009D640000}"/>
    <cellStyle name="Normal 2 3 18 11" xfId="25788" xr:uid="{00000000-0005-0000-0000-00009E640000}"/>
    <cellStyle name="Normal 2 3 18 12" xfId="25789" xr:uid="{00000000-0005-0000-0000-00009F640000}"/>
    <cellStyle name="Normal 2 3 18 13" xfId="25790" xr:uid="{00000000-0005-0000-0000-0000A0640000}"/>
    <cellStyle name="Normal 2 3 18 14" xfId="25791" xr:uid="{00000000-0005-0000-0000-0000A1640000}"/>
    <cellStyle name="Normal 2 3 18 2" xfId="25792" xr:uid="{00000000-0005-0000-0000-0000A2640000}"/>
    <cellStyle name="Normal 2 3 18 2 10" xfId="25793" xr:uid="{00000000-0005-0000-0000-0000A3640000}"/>
    <cellStyle name="Normal 2 3 18 2 2" xfId="25794" xr:uid="{00000000-0005-0000-0000-0000A4640000}"/>
    <cellStyle name="Normal 2 3 18 2 3" xfId="25795" xr:uid="{00000000-0005-0000-0000-0000A5640000}"/>
    <cellStyle name="Normal 2 3 18 2 4" xfId="25796" xr:uid="{00000000-0005-0000-0000-0000A6640000}"/>
    <cellStyle name="Normal 2 3 18 2 5" xfId="25797" xr:uid="{00000000-0005-0000-0000-0000A7640000}"/>
    <cellStyle name="Normal 2 3 18 2 6" xfId="25798" xr:uid="{00000000-0005-0000-0000-0000A8640000}"/>
    <cellStyle name="Normal 2 3 18 2 7" xfId="25799" xr:uid="{00000000-0005-0000-0000-0000A9640000}"/>
    <cellStyle name="Normal 2 3 18 2 8" xfId="25800" xr:uid="{00000000-0005-0000-0000-0000AA640000}"/>
    <cellStyle name="Normal 2 3 18 2 9" xfId="25801" xr:uid="{00000000-0005-0000-0000-0000AB640000}"/>
    <cellStyle name="Normal 2 3 18 3" xfId="25802" xr:uid="{00000000-0005-0000-0000-0000AC640000}"/>
    <cellStyle name="Normal 2 3 18 3 10" xfId="25803" xr:uid="{00000000-0005-0000-0000-0000AD640000}"/>
    <cellStyle name="Normal 2 3 18 3 2" xfId="25804" xr:uid="{00000000-0005-0000-0000-0000AE640000}"/>
    <cellStyle name="Normal 2 3 18 3 3" xfId="25805" xr:uid="{00000000-0005-0000-0000-0000AF640000}"/>
    <cellStyle name="Normal 2 3 18 3 4" xfId="25806" xr:uid="{00000000-0005-0000-0000-0000B0640000}"/>
    <cellStyle name="Normal 2 3 18 3 5" xfId="25807" xr:uid="{00000000-0005-0000-0000-0000B1640000}"/>
    <cellStyle name="Normal 2 3 18 3 6" xfId="25808" xr:uid="{00000000-0005-0000-0000-0000B2640000}"/>
    <cellStyle name="Normal 2 3 18 3 7" xfId="25809" xr:uid="{00000000-0005-0000-0000-0000B3640000}"/>
    <cellStyle name="Normal 2 3 18 3 8" xfId="25810" xr:uid="{00000000-0005-0000-0000-0000B4640000}"/>
    <cellStyle name="Normal 2 3 18 3 9" xfId="25811" xr:uid="{00000000-0005-0000-0000-0000B5640000}"/>
    <cellStyle name="Normal 2 3 18 4" xfId="25812" xr:uid="{00000000-0005-0000-0000-0000B6640000}"/>
    <cellStyle name="Normal 2 3 18 4 10" xfId="25813" xr:uid="{00000000-0005-0000-0000-0000B7640000}"/>
    <cellStyle name="Normal 2 3 18 4 2" xfId="25814" xr:uid="{00000000-0005-0000-0000-0000B8640000}"/>
    <cellStyle name="Normal 2 3 18 4 3" xfId="25815" xr:uid="{00000000-0005-0000-0000-0000B9640000}"/>
    <cellStyle name="Normal 2 3 18 4 4" xfId="25816" xr:uid="{00000000-0005-0000-0000-0000BA640000}"/>
    <cellStyle name="Normal 2 3 18 4 5" xfId="25817" xr:uid="{00000000-0005-0000-0000-0000BB640000}"/>
    <cellStyle name="Normal 2 3 18 4 6" xfId="25818" xr:uid="{00000000-0005-0000-0000-0000BC640000}"/>
    <cellStyle name="Normal 2 3 18 4 7" xfId="25819" xr:uid="{00000000-0005-0000-0000-0000BD640000}"/>
    <cellStyle name="Normal 2 3 18 4 8" xfId="25820" xr:uid="{00000000-0005-0000-0000-0000BE640000}"/>
    <cellStyle name="Normal 2 3 18 4 9" xfId="25821" xr:uid="{00000000-0005-0000-0000-0000BF640000}"/>
    <cellStyle name="Normal 2 3 18 5" xfId="25822" xr:uid="{00000000-0005-0000-0000-0000C0640000}"/>
    <cellStyle name="Normal 2 3 18 5 10" xfId="25823" xr:uid="{00000000-0005-0000-0000-0000C1640000}"/>
    <cellStyle name="Normal 2 3 18 5 2" xfId="25824" xr:uid="{00000000-0005-0000-0000-0000C2640000}"/>
    <cellStyle name="Normal 2 3 18 5 3" xfId="25825" xr:uid="{00000000-0005-0000-0000-0000C3640000}"/>
    <cellStyle name="Normal 2 3 18 5 4" xfId="25826" xr:uid="{00000000-0005-0000-0000-0000C4640000}"/>
    <cellStyle name="Normal 2 3 18 5 5" xfId="25827" xr:uid="{00000000-0005-0000-0000-0000C5640000}"/>
    <cellStyle name="Normal 2 3 18 5 6" xfId="25828" xr:uid="{00000000-0005-0000-0000-0000C6640000}"/>
    <cellStyle name="Normal 2 3 18 5 7" xfId="25829" xr:uid="{00000000-0005-0000-0000-0000C7640000}"/>
    <cellStyle name="Normal 2 3 18 5 8" xfId="25830" xr:uid="{00000000-0005-0000-0000-0000C8640000}"/>
    <cellStyle name="Normal 2 3 18 5 9" xfId="25831" xr:uid="{00000000-0005-0000-0000-0000C9640000}"/>
    <cellStyle name="Normal 2 3 18 6" xfId="25832" xr:uid="{00000000-0005-0000-0000-0000CA640000}"/>
    <cellStyle name="Normal 2 3 18 7" xfId="25833" xr:uid="{00000000-0005-0000-0000-0000CB640000}"/>
    <cellStyle name="Normal 2 3 18 8" xfId="25834" xr:uid="{00000000-0005-0000-0000-0000CC640000}"/>
    <cellStyle name="Normal 2 3 18 9" xfId="25835" xr:uid="{00000000-0005-0000-0000-0000CD640000}"/>
    <cellStyle name="Normal 2 3 19" xfId="25836" xr:uid="{00000000-0005-0000-0000-0000CE640000}"/>
    <cellStyle name="Normal 2 3 19 10" xfId="25837" xr:uid="{00000000-0005-0000-0000-0000CF640000}"/>
    <cellStyle name="Normal 2 3 19 11" xfId="25838" xr:uid="{00000000-0005-0000-0000-0000D0640000}"/>
    <cellStyle name="Normal 2 3 19 12" xfId="25839" xr:uid="{00000000-0005-0000-0000-0000D1640000}"/>
    <cellStyle name="Normal 2 3 19 13" xfId="25840" xr:uid="{00000000-0005-0000-0000-0000D2640000}"/>
    <cellStyle name="Normal 2 3 19 14" xfId="25841" xr:uid="{00000000-0005-0000-0000-0000D3640000}"/>
    <cellStyle name="Normal 2 3 19 2" xfId="25842" xr:uid="{00000000-0005-0000-0000-0000D4640000}"/>
    <cellStyle name="Normal 2 3 19 2 10" xfId="25843" xr:uid="{00000000-0005-0000-0000-0000D5640000}"/>
    <cellStyle name="Normal 2 3 19 2 2" xfId="25844" xr:uid="{00000000-0005-0000-0000-0000D6640000}"/>
    <cellStyle name="Normal 2 3 19 2 3" xfId="25845" xr:uid="{00000000-0005-0000-0000-0000D7640000}"/>
    <cellStyle name="Normal 2 3 19 2 4" xfId="25846" xr:uid="{00000000-0005-0000-0000-0000D8640000}"/>
    <cellStyle name="Normal 2 3 19 2 5" xfId="25847" xr:uid="{00000000-0005-0000-0000-0000D9640000}"/>
    <cellStyle name="Normal 2 3 19 2 6" xfId="25848" xr:uid="{00000000-0005-0000-0000-0000DA640000}"/>
    <cellStyle name="Normal 2 3 19 2 7" xfId="25849" xr:uid="{00000000-0005-0000-0000-0000DB640000}"/>
    <cellStyle name="Normal 2 3 19 2 8" xfId="25850" xr:uid="{00000000-0005-0000-0000-0000DC640000}"/>
    <cellStyle name="Normal 2 3 19 2 9" xfId="25851" xr:uid="{00000000-0005-0000-0000-0000DD640000}"/>
    <cellStyle name="Normal 2 3 19 3" xfId="25852" xr:uid="{00000000-0005-0000-0000-0000DE640000}"/>
    <cellStyle name="Normal 2 3 19 3 10" xfId="25853" xr:uid="{00000000-0005-0000-0000-0000DF640000}"/>
    <cellStyle name="Normal 2 3 19 3 2" xfId="25854" xr:uid="{00000000-0005-0000-0000-0000E0640000}"/>
    <cellStyle name="Normal 2 3 19 3 3" xfId="25855" xr:uid="{00000000-0005-0000-0000-0000E1640000}"/>
    <cellStyle name="Normal 2 3 19 3 4" xfId="25856" xr:uid="{00000000-0005-0000-0000-0000E2640000}"/>
    <cellStyle name="Normal 2 3 19 3 5" xfId="25857" xr:uid="{00000000-0005-0000-0000-0000E3640000}"/>
    <cellStyle name="Normal 2 3 19 3 6" xfId="25858" xr:uid="{00000000-0005-0000-0000-0000E4640000}"/>
    <cellStyle name="Normal 2 3 19 3 7" xfId="25859" xr:uid="{00000000-0005-0000-0000-0000E5640000}"/>
    <cellStyle name="Normal 2 3 19 3 8" xfId="25860" xr:uid="{00000000-0005-0000-0000-0000E6640000}"/>
    <cellStyle name="Normal 2 3 19 3 9" xfId="25861" xr:uid="{00000000-0005-0000-0000-0000E7640000}"/>
    <cellStyle name="Normal 2 3 19 4" xfId="25862" xr:uid="{00000000-0005-0000-0000-0000E8640000}"/>
    <cellStyle name="Normal 2 3 19 4 10" xfId="25863" xr:uid="{00000000-0005-0000-0000-0000E9640000}"/>
    <cellStyle name="Normal 2 3 19 4 2" xfId="25864" xr:uid="{00000000-0005-0000-0000-0000EA640000}"/>
    <cellStyle name="Normal 2 3 19 4 3" xfId="25865" xr:uid="{00000000-0005-0000-0000-0000EB640000}"/>
    <cellStyle name="Normal 2 3 19 4 4" xfId="25866" xr:uid="{00000000-0005-0000-0000-0000EC640000}"/>
    <cellStyle name="Normal 2 3 19 4 5" xfId="25867" xr:uid="{00000000-0005-0000-0000-0000ED640000}"/>
    <cellStyle name="Normal 2 3 19 4 6" xfId="25868" xr:uid="{00000000-0005-0000-0000-0000EE640000}"/>
    <cellStyle name="Normal 2 3 19 4 7" xfId="25869" xr:uid="{00000000-0005-0000-0000-0000EF640000}"/>
    <cellStyle name="Normal 2 3 19 4 8" xfId="25870" xr:uid="{00000000-0005-0000-0000-0000F0640000}"/>
    <cellStyle name="Normal 2 3 19 4 9" xfId="25871" xr:uid="{00000000-0005-0000-0000-0000F1640000}"/>
    <cellStyle name="Normal 2 3 19 5" xfId="25872" xr:uid="{00000000-0005-0000-0000-0000F2640000}"/>
    <cellStyle name="Normal 2 3 19 5 10" xfId="25873" xr:uid="{00000000-0005-0000-0000-0000F3640000}"/>
    <cellStyle name="Normal 2 3 19 5 2" xfId="25874" xr:uid="{00000000-0005-0000-0000-0000F4640000}"/>
    <cellStyle name="Normal 2 3 19 5 3" xfId="25875" xr:uid="{00000000-0005-0000-0000-0000F5640000}"/>
    <cellStyle name="Normal 2 3 19 5 4" xfId="25876" xr:uid="{00000000-0005-0000-0000-0000F6640000}"/>
    <cellStyle name="Normal 2 3 19 5 5" xfId="25877" xr:uid="{00000000-0005-0000-0000-0000F7640000}"/>
    <cellStyle name="Normal 2 3 19 5 6" xfId="25878" xr:uid="{00000000-0005-0000-0000-0000F8640000}"/>
    <cellStyle name="Normal 2 3 19 5 7" xfId="25879" xr:uid="{00000000-0005-0000-0000-0000F9640000}"/>
    <cellStyle name="Normal 2 3 19 5 8" xfId="25880" xr:uid="{00000000-0005-0000-0000-0000FA640000}"/>
    <cellStyle name="Normal 2 3 19 5 9" xfId="25881" xr:uid="{00000000-0005-0000-0000-0000FB640000}"/>
    <cellStyle name="Normal 2 3 19 6" xfId="25882" xr:uid="{00000000-0005-0000-0000-0000FC640000}"/>
    <cellStyle name="Normal 2 3 19 7" xfId="25883" xr:uid="{00000000-0005-0000-0000-0000FD640000}"/>
    <cellStyle name="Normal 2 3 19 8" xfId="25884" xr:uid="{00000000-0005-0000-0000-0000FE640000}"/>
    <cellStyle name="Normal 2 3 19 9" xfId="25885" xr:uid="{00000000-0005-0000-0000-0000FF640000}"/>
    <cellStyle name="Normal 2 3 2" xfId="56" xr:uid="{00000000-0005-0000-0000-000000650000}"/>
    <cellStyle name="Normal 2 3 2 10" xfId="25887" xr:uid="{00000000-0005-0000-0000-000001650000}"/>
    <cellStyle name="Normal 2 3 2 10 10" xfId="25888" xr:uid="{00000000-0005-0000-0000-000002650000}"/>
    <cellStyle name="Normal 2 3 2 10 11" xfId="25889" xr:uid="{00000000-0005-0000-0000-000003650000}"/>
    <cellStyle name="Normal 2 3 2 10 12" xfId="25890" xr:uid="{00000000-0005-0000-0000-000004650000}"/>
    <cellStyle name="Normal 2 3 2 10 13" xfId="25891" xr:uid="{00000000-0005-0000-0000-000005650000}"/>
    <cellStyle name="Normal 2 3 2 10 14" xfId="25892" xr:uid="{00000000-0005-0000-0000-000006650000}"/>
    <cellStyle name="Normal 2 3 2 10 2" xfId="25893" xr:uid="{00000000-0005-0000-0000-000007650000}"/>
    <cellStyle name="Normal 2 3 2 10 2 10" xfId="25894" xr:uid="{00000000-0005-0000-0000-000008650000}"/>
    <cellStyle name="Normal 2 3 2 10 2 2" xfId="25895" xr:uid="{00000000-0005-0000-0000-000009650000}"/>
    <cellStyle name="Normal 2 3 2 10 2 3" xfId="25896" xr:uid="{00000000-0005-0000-0000-00000A650000}"/>
    <cellStyle name="Normal 2 3 2 10 2 4" xfId="25897" xr:uid="{00000000-0005-0000-0000-00000B650000}"/>
    <cellStyle name="Normal 2 3 2 10 2 5" xfId="25898" xr:uid="{00000000-0005-0000-0000-00000C650000}"/>
    <cellStyle name="Normal 2 3 2 10 2 6" xfId="25899" xr:uid="{00000000-0005-0000-0000-00000D650000}"/>
    <cellStyle name="Normal 2 3 2 10 2 7" xfId="25900" xr:uid="{00000000-0005-0000-0000-00000E650000}"/>
    <cellStyle name="Normal 2 3 2 10 2 8" xfId="25901" xr:uid="{00000000-0005-0000-0000-00000F650000}"/>
    <cellStyle name="Normal 2 3 2 10 2 9" xfId="25902" xr:uid="{00000000-0005-0000-0000-000010650000}"/>
    <cellStyle name="Normal 2 3 2 10 3" xfId="25903" xr:uid="{00000000-0005-0000-0000-000011650000}"/>
    <cellStyle name="Normal 2 3 2 10 3 10" xfId="25904" xr:uid="{00000000-0005-0000-0000-000012650000}"/>
    <cellStyle name="Normal 2 3 2 10 3 2" xfId="25905" xr:uid="{00000000-0005-0000-0000-000013650000}"/>
    <cellStyle name="Normal 2 3 2 10 3 3" xfId="25906" xr:uid="{00000000-0005-0000-0000-000014650000}"/>
    <cellStyle name="Normal 2 3 2 10 3 4" xfId="25907" xr:uid="{00000000-0005-0000-0000-000015650000}"/>
    <cellStyle name="Normal 2 3 2 10 3 5" xfId="25908" xr:uid="{00000000-0005-0000-0000-000016650000}"/>
    <cellStyle name="Normal 2 3 2 10 3 6" xfId="25909" xr:uid="{00000000-0005-0000-0000-000017650000}"/>
    <cellStyle name="Normal 2 3 2 10 3 7" xfId="25910" xr:uid="{00000000-0005-0000-0000-000018650000}"/>
    <cellStyle name="Normal 2 3 2 10 3 8" xfId="25911" xr:uid="{00000000-0005-0000-0000-000019650000}"/>
    <cellStyle name="Normal 2 3 2 10 3 9" xfId="25912" xr:uid="{00000000-0005-0000-0000-00001A650000}"/>
    <cellStyle name="Normal 2 3 2 10 4" xfId="25913" xr:uid="{00000000-0005-0000-0000-00001B650000}"/>
    <cellStyle name="Normal 2 3 2 10 4 10" xfId="25914" xr:uid="{00000000-0005-0000-0000-00001C650000}"/>
    <cellStyle name="Normal 2 3 2 10 4 2" xfId="25915" xr:uid="{00000000-0005-0000-0000-00001D650000}"/>
    <cellStyle name="Normal 2 3 2 10 4 3" xfId="25916" xr:uid="{00000000-0005-0000-0000-00001E650000}"/>
    <cellStyle name="Normal 2 3 2 10 4 4" xfId="25917" xr:uid="{00000000-0005-0000-0000-00001F650000}"/>
    <cellStyle name="Normal 2 3 2 10 4 5" xfId="25918" xr:uid="{00000000-0005-0000-0000-000020650000}"/>
    <cellStyle name="Normal 2 3 2 10 4 6" xfId="25919" xr:uid="{00000000-0005-0000-0000-000021650000}"/>
    <cellStyle name="Normal 2 3 2 10 4 7" xfId="25920" xr:uid="{00000000-0005-0000-0000-000022650000}"/>
    <cellStyle name="Normal 2 3 2 10 4 8" xfId="25921" xr:uid="{00000000-0005-0000-0000-000023650000}"/>
    <cellStyle name="Normal 2 3 2 10 4 9" xfId="25922" xr:uid="{00000000-0005-0000-0000-000024650000}"/>
    <cellStyle name="Normal 2 3 2 10 5" xfId="25923" xr:uid="{00000000-0005-0000-0000-000025650000}"/>
    <cellStyle name="Normal 2 3 2 10 5 10" xfId="25924" xr:uid="{00000000-0005-0000-0000-000026650000}"/>
    <cellStyle name="Normal 2 3 2 10 5 2" xfId="25925" xr:uid="{00000000-0005-0000-0000-000027650000}"/>
    <cellStyle name="Normal 2 3 2 10 5 3" xfId="25926" xr:uid="{00000000-0005-0000-0000-000028650000}"/>
    <cellStyle name="Normal 2 3 2 10 5 4" xfId="25927" xr:uid="{00000000-0005-0000-0000-000029650000}"/>
    <cellStyle name="Normal 2 3 2 10 5 5" xfId="25928" xr:uid="{00000000-0005-0000-0000-00002A650000}"/>
    <cellStyle name="Normal 2 3 2 10 5 6" xfId="25929" xr:uid="{00000000-0005-0000-0000-00002B650000}"/>
    <cellStyle name="Normal 2 3 2 10 5 7" xfId="25930" xr:uid="{00000000-0005-0000-0000-00002C650000}"/>
    <cellStyle name="Normal 2 3 2 10 5 8" xfId="25931" xr:uid="{00000000-0005-0000-0000-00002D650000}"/>
    <cellStyle name="Normal 2 3 2 10 5 9" xfId="25932" xr:uid="{00000000-0005-0000-0000-00002E650000}"/>
    <cellStyle name="Normal 2 3 2 10 6" xfId="25933" xr:uid="{00000000-0005-0000-0000-00002F650000}"/>
    <cellStyle name="Normal 2 3 2 10 7" xfId="25934" xr:uid="{00000000-0005-0000-0000-000030650000}"/>
    <cellStyle name="Normal 2 3 2 10 8" xfId="25935" xr:uid="{00000000-0005-0000-0000-000031650000}"/>
    <cellStyle name="Normal 2 3 2 10 9" xfId="25936" xr:uid="{00000000-0005-0000-0000-000032650000}"/>
    <cellStyle name="Normal 2 3 2 11" xfId="25937" xr:uid="{00000000-0005-0000-0000-000033650000}"/>
    <cellStyle name="Normal 2 3 2 11 10" xfId="25938" xr:uid="{00000000-0005-0000-0000-000034650000}"/>
    <cellStyle name="Normal 2 3 2 11 11" xfId="25939" xr:uid="{00000000-0005-0000-0000-000035650000}"/>
    <cellStyle name="Normal 2 3 2 11 12" xfId="25940" xr:uid="{00000000-0005-0000-0000-000036650000}"/>
    <cellStyle name="Normal 2 3 2 11 13" xfId="25941" xr:uid="{00000000-0005-0000-0000-000037650000}"/>
    <cellStyle name="Normal 2 3 2 11 14" xfId="25942" xr:uid="{00000000-0005-0000-0000-000038650000}"/>
    <cellStyle name="Normal 2 3 2 11 2" xfId="25943" xr:uid="{00000000-0005-0000-0000-000039650000}"/>
    <cellStyle name="Normal 2 3 2 11 2 10" xfId="25944" xr:uid="{00000000-0005-0000-0000-00003A650000}"/>
    <cellStyle name="Normal 2 3 2 11 2 2" xfId="25945" xr:uid="{00000000-0005-0000-0000-00003B650000}"/>
    <cellStyle name="Normal 2 3 2 11 2 3" xfId="25946" xr:uid="{00000000-0005-0000-0000-00003C650000}"/>
    <cellStyle name="Normal 2 3 2 11 2 4" xfId="25947" xr:uid="{00000000-0005-0000-0000-00003D650000}"/>
    <cellStyle name="Normal 2 3 2 11 2 5" xfId="25948" xr:uid="{00000000-0005-0000-0000-00003E650000}"/>
    <cellStyle name="Normal 2 3 2 11 2 6" xfId="25949" xr:uid="{00000000-0005-0000-0000-00003F650000}"/>
    <cellStyle name="Normal 2 3 2 11 2 7" xfId="25950" xr:uid="{00000000-0005-0000-0000-000040650000}"/>
    <cellStyle name="Normal 2 3 2 11 2 8" xfId="25951" xr:uid="{00000000-0005-0000-0000-000041650000}"/>
    <cellStyle name="Normal 2 3 2 11 2 9" xfId="25952" xr:uid="{00000000-0005-0000-0000-000042650000}"/>
    <cellStyle name="Normal 2 3 2 11 3" xfId="25953" xr:uid="{00000000-0005-0000-0000-000043650000}"/>
    <cellStyle name="Normal 2 3 2 11 3 10" xfId="25954" xr:uid="{00000000-0005-0000-0000-000044650000}"/>
    <cellStyle name="Normal 2 3 2 11 3 2" xfId="25955" xr:uid="{00000000-0005-0000-0000-000045650000}"/>
    <cellStyle name="Normal 2 3 2 11 3 3" xfId="25956" xr:uid="{00000000-0005-0000-0000-000046650000}"/>
    <cellStyle name="Normal 2 3 2 11 3 4" xfId="25957" xr:uid="{00000000-0005-0000-0000-000047650000}"/>
    <cellStyle name="Normal 2 3 2 11 3 5" xfId="25958" xr:uid="{00000000-0005-0000-0000-000048650000}"/>
    <cellStyle name="Normal 2 3 2 11 3 6" xfId="25959" xr:uid="{00000000-0005-0000-0000-000049650000}"/>
    <cellStyle name="Normal 2 3 2 11 3 7" xfId="25960" xr:uid="{00000000-0005-0000-0000-00004A650000}"/>
    <cellStyle name="Normal 2 3 2 11 3 8" xfId="25961" xr:uid="{00000000-0005-0000-0000-00004B650000}"/>
    <cellStyle name="Normal 2 3 2 11 3 9" xfId="25962" xr:uid="{00000000-0005-0000-0000-00004C650000}"/>
    <cellStyle name="Normal 2 3 2 11 4" xfId="25963" xr:uid="{00000000-0005-0000-0000-00004D650000}"/>
    <cellStyle name="Normal 2 3 2 11 4 10" xfId="25964" xr:uid="{00000000-0005-0000-0000-00004E650000}"/>
    <cellStyle name="Normal 2 3 2 11 4 2" xfId="25965" xr:uid="{00000000-0005-0000-0000-00004F650000}"/>
    <cellStyle name="Normal 2 3 2 11 4 3" xfId="25966" xr:uid="{00000000-0005-0000-0000-000050650000}"/>
    <cellStyle name="Normal 2 3 2 11 4 4" xfId="25967" xr:uid="{00000000-0005-0000-0000-000051650000}"/>
    <cellStyle name="Normal 2 3 2 11 4 5" xfId="25968" xr:uid="{00000000-0005-0000-0000-000052650000}"/>
    <cellStyle name="Normal 2 3 2 11 4 6" xfId="25969" xr:uid="{00000000-0005-0000-0000-000053650000}"/>
    <cellStyle name="Normal 2 3 2 11 4 7" xfId="25970" xr:uid="{00000000-0005-0000-0000-000054650000}"/>
    <cellStyle name="Normal 2 3 2 11 4 8" xfId="25971" xr:uid="{00000000-0005-0000-0000-000055650000}"/>
    <cellStyle name="Normal 2 3 2 11 4 9" xfId="25972" xr:uid="{00000000-0005-0000-0000-000056650000}"/>
    <cellStyle name="Normal 2 3 2 11 5" xfId="25973" xr:uid="{00000000-0005-0000-0000-000057650000}"/>
    <cellStyle name="Normal 2 3 2 11 5 10" xfId="25974" xr:uid="{00000000-0005-0000-0000-000058650000}"/>
    <cellStyle name="Normal 2 3 2 11 5 2" xfId="25975" xr:uid="{00000000-0005-0000-0000-000059650000}"/>
    <cellStyle name="Normal 2 3 2 11 5 3" xfId="25976" xr:uid="{00000000-0005-0000-0000-00005A650000}"/>
    <cellStyle name="Normal 2 3 2 11 5 4" xfId="25977" xr:uid="{00000000-0005-0000-0000-00005B650000}"/>
    <cellStyle name="Normal 2 3 2 11 5 5" xfId="25978" xr:uid="{00000000-0005-0000-0000-00005C650000}"/>
    <cellStyle name="Normal 2 3 2 11 5 6" xfId="25979" xr:uid="{00000000-0005-0000-0000-00005D650000}"/>
    <cellStyle name="Normal 2 3 2 11 5 7" xfId="25980" xr:uid="{00000000-0005-0000-0000-00005E650000}"/>
    <cellStyle name="Normal 2 3 2 11 5 8" xfId="25981" xr:uid="{00000000-0005-0000-0000-00005F650000}"/>
    <cellStyle name="Normal 2 3 2 11 5 9" xfId="25982" xr:uid="{00000000-0005-0000-0000-000060650000}"/>
    <cellStyle name="Normal 2 3 2 11 6" xfId="25983" xr:uid="{00000000-0005-0000-0000-000061650000}"/>
    <cellStyle name="Normal 2 3 2 11 7" xfId="25984" xr:uid="{00000000-0005-0000-0000-000062650000}"/>
    <cellStyle name="Normal 2 3 2 11 8" xfId="25985" xr:uid="{00000000-0005-0000-0000-000063650000}"/>
    <cellStyle name="Normal 2 3 2 11 9" xfId="25986" xr:uid="{00000000-0005-0000-0000-000064650000}"/>
    <cellStyle name="Normal 2 3 2 12" xfId="25987" xr:uid="{00000000-0005-0000-0000-000065650000}"/>
    <cellStyle name="Normal 2 3 2 12 10" xfId="25988" xr:uid="{00000000-0005-0000-0000-000066650000}"/>
    <cellStyle name="Normal 2 3 2 12 11" xfId="25989" xr:uid="{00000000-0005-0000-0000-000067650000}"/>
    <cellStyle name="Normal 2 3 2 12 12" xfId="25990" xr:uid="{00000000-0005-0000-0000-000068650000}"/>
    <cellStyle name="Normal 2 3 2 12 13" xfId="25991" xr:uid="{00000000-0005-0000-0000-000069650000}"/>
    <cellStyle name="Normal 2 3 2 12 14" xfId="25992" xr:uid="{00000000-0005-0000-0000-00006A650000}"/>
    <cellStyle name="Normal 2 3 2 12 2" xfId="25993" xr:uid="{00000000-0005-0000-0000-00006B650000}"/>
    <cellStyle name="Normal 2 3 2 12 2 10" xfId="25994" xr:uid="{00000000-0005-0000-0000-00006C650000}"/>
    <cellStyle name="Normal 2 3 2 12 2 2" xfId="25995" xr:uid="{00000000-0005-0000-0000-00006D650000}"/>
    <cellStyle name="Normal 2 3 2 12 2 3" xfId="25996" xr:uid="{00000000-0005-0000-0000-00006E650000}"/>
    <cellStyle name="Normal 2 3 2 12 2 4" xfId="25997" xr:uid="{00000000-0005-0000-0000-00006F650000}"/>
    <cellStyle name="Normal 2 3 2 12 2 5" xfId="25998" xr:uid="{00000000-0005-0000-0000-000070650000}"/>
    <cellStyle name="Normal 2 3 2 12 2 6" xfId="25999" xr:uid="{00000000-0005-0000-0000-000071650000}"/>
    <cellStyle name="Normal 2 3 2 12 2 7" xfId="26000" xr:uid="{00000000-0005-0000-0000-000072650000}"/>
    <cellStyle name="Normal 2 3 2 12 2 8" xfId="26001" xr:uid="{00000000-0005-0000-0000-000073650000}"/>
    <cellStyle name="Normal 2 3 2 12 2 9" xfId="26002" xr:uid="{00000000-0005-0000-0000-000074650000}"/>
    <cellStyle name="Normal 2 3 2 12 3" xfId="26003" xr:uid="{00000000-0005-0000-0000-000075650000}"/>
    <cellStyle name="Normal 2 3 2 12 3 10" xfId="26004" xr:uid="{00000000-0005-0000-0000-000076650000}"/>
    <cellStyle name="Normal 2 3 2 12 3 2" xfId="26005" xr:uid="{00000000-0005-0000-0000-000077650000}"/>
    <cellStyle name="Normal 2 3 2 12 3 3" xfId="26006" xr:uid="{00000000-0005-0000-0000-000078650000}"/>
    <cellStyle name="Normal 2 3 2 12 3 4" xfId="26007" xr:uid="{00000000-0005-0000-0000-000079650000}"/>
    <cellStyle name="Normal 2 3 2 12 3 5" xfId="26008" xr:uid="{00000000-0005-0000-0000-00007A650000}"/>
    <cellStyle name="Normal 2 3 2 12 3 6" xfId="26009" xr:uid="{00000000-0005-0000-0000-00007B650000}"/>
    <cellStyle name="Normal 2 3 2 12 3 7" xfId="26010" xr:uid="{00000000-0005-0000-0000-00007C650000}"/>
    <cellStyle name="Normal 2 3 2 12 3 8" xfId="26011" xr:uid="{00000000-0005-0000-0000-00007D650000}"/>
    <cellStyle name="Normal 2 3 2 12 3 9" xfId="26012" xr:uid="{00000000-0005-0000-0000-00007E650000}"/>
    <cellStyle name="Normal 2 3 2 12 4" xfId="26013" xr:uid="{00000000-0005-0000-0000-00007F650000}"/>
    <cellStyle name="Normal 2 3 2 12 4 10" xfId="26014" xr:uid="{00000000-0005-0000-0000-000080650000}"/>
    <cellStyle name="Normal 2 3 2 12 4 2" xfId="26015" xr:uid="{00000000-0005-0000-0000-000081650000}"/>
    <cellStyle name="Normal 2 3 2 12 4 3" xfId="26016" xr:uid="{00000000-0005-0000-0000-000082650000}"/>
    <cellStyle name="Normal 2 3 2 12 4 4" xfId="26017" xr:uid="{00000000-0005-0000-0000-000083650000}"/>
    <cellStyle name="Normal 2 3 2 12 4 5" xfId="26018" xr:uid="{00000000-0005-0000-0000-000084650000}"/>
    <cellStyle name="Normal 2 3 2 12 4 6" xfId="26019" xr:uid="{00000000-0005-0000-0000-000085650000}"/>
    <cellStyle name="Normal 2 3 2 12 4 7" xfId="26020" xr:uid="{00000000-0005-0000-0000-000086650000}"/>
    <cellStyle name="Normal 2 3 2 12 4 8" xfId="26021" xr:uid="{00000000-0005-0000-0000-000087650000}"/>
    <cellStyle name="Normal 2 3 2 12 4 9" xfId="26022" xr:uid="{00000000-0005-0000-0000-000088650000}"/>
    <cellStyle name="Normal 2 3 2 12 5" xfId="26023" xr:uid="{00000000-0005-0000-0000-000089650000}"/>
    <cellStyle name="Normal 2 3 2 12 5 10" xfId="26024" xr:uid="{00000000-0005-0000-0000-00008A650000}"/>
    <cellStyle name="Normal 2 3 2 12 5 2" xfId="26025" xr:uid="{00000000-0005-0000-0000-00008B650000}"/>
    <cellStyle name="Normal 2 3 2 12 5 3" xfId="26026" xr:uid="{00000000-0005-0000-0000-00008C650000}"/>
    <cellStyle name="Normal 2 3 2 12 5 4" xfId="26027" xr:uid="{00000000-0005-0000-0000-00008D650000}"/>
    <cellStyle name="Normal 2 3 2 12 5 5" xfId="26028" xr:uid="{00000000-0005-0000-0000-00008E650000}"/>
    <cellStyle name="Normal 2 3 2 12 5 6" xfId="26029" xr:uid="{00000000-0005-0000-0000-00008F650000}"/>
    <cellStyle name="Normal 2 3 2 12 5 7" xfId="26030" xr:uid="{00000000-0005-0000-0000-000090650000}"/>
    <cellStyle name="Normal 2 3 2 12 5 8" xfId="26031" xr:uid="{00000000-0005-0000-0000-000091650000}"/>
    <cellStyle name="Normal 2 3 2 12 5 9" xfId="26032" xr:uid="{00000000-0005-0000-0000-000092650000}"/>
    <cellStyle name="Normal 2 3 2 12 6" xfId="26033" xr:uid="{00000000-0005-0000-0000-000093650000}"/>
    <cellStyle name="Normal 2 3 2 12 7" xfId="26034" xr:uid="{00000000-0005-0000-0000-000094650000}"/>
    <cellStyle name="Normal 2 3 2 12 8" xfId="26035" xr:uid="{00000000-0005-0000-0000-000095650000}"/>
    <cellStyle name="Normal 2 3 2 12 9" xfId="26036" xr:uid="{00000000-0005-0000-0000-000096650000}"/>
    <cellStyle name="Normal 2 3 2 13" xfId="26037" xr:uid="{00000000-0005-0000-0000-000097650000}"/>
    <cellStyle name="Normal 2 3 2 13 10" xfId="26038" xr:uid="{00000000-0005-0000-0000-000098650000}"/>
    <cellStyle name="Normal 2 3 2 13 11" xfId="26039" xr:uid="{00000000-0005-0000-0000-000099650000}"/>
    <cellStyle name="Normal 2 3 2 13 12" xfId="26040" xr:uid="{00000000-0005-0000-0000-00009A650000}"/>
    <cellStyle name="Normal 2 3 2 13 13" xfId="26041" xr:uid="{00000000-0005-0000-0000-00009B650000}"/>
    <cellStyle name="Normal 2 3 2 13 14" xfId="26042" xr:uid="{00000000-0005-0000-0000-00009C650000}"/>
    <cellStyle name="Normal 2 3 2 13 2" xfId="26043" xr:uid="{00000000-0005-0000-0000-00009D650000}"/>
    <cellStyle name="Normal 2 3 2 13 2 10" xfId="26044" xr:uid="{00000000-0005-0000-0000-00009E650000}"/>
    <cellStyle name="Normal 2 3 2 13 2 2" xfId="26045" xr:uid="{00000000-0005-0000-0000-00009F650000}"/>
    <cellStyle name="Normal 2 3 2 13 2 3" xfId="26046" xr:uid="{00000000-0005-0000-0000-0000A0650000}"/>
    <cellStyle name="Normal 2 3 2 13 2 4" xfId="26047" xr:uid="{00000000-0005-0000-0000-0000A1650000}"/>
    <cellStyle name="Normal 2 3 2 13 2 5" xfId="26048" xr:uid="{00000000-0005-0000-0000-0000A2650000}"/>
    <cellStyle name="Normal 2 3 2 13 2 6" xfId="26049" xr:uid="{00000000-0005-0000-0000-0000A3650000}"/>
    <cellStyle name="Normal 2 3 2 13 2 7" xfId="26050" xr:uid="{00000000-0005-0000-0000-0000A4650000}"/>
    <cellStyle name="Normal 2 3 2 13 2 8" xfId="26051" xr:uid="{00000000-0005-0000-0000-0000A5650000}"/>
    <cellStyle name="Normal 2 3 2 13 2 9" xfId="26052" xr:uid="{00000000-0005-0000-0000-0000A6650000}"/>
    <cellStyle name="Normal 2 3 2 13 3" xfId="26053" xr:uid="{00000000-0005-0000-0000-0000A7650000}"/>
    <cellStyle name="Normal 2 3 2 13 3 10" xfId="26054" xr:uid="{00000000-0005-0000-0000-0000A8650000}"/>
    <cellStyle name="Normal 2 3 2 13 3 2" xfId="26055" xr:uid="{00000000-0005-0000-0000-0000A9650000}"/>
    <cellStyle name="Normal 2 3 2 13 3 3" xfId="26056" xr:uid="{00000000-0005-0000-0000-0000AA650000}"/>
    <cellStyle name="Normal 2 3 2 13 3 4" xfId="26057" xr:uid="{00000000-0005-0000-0000-0000AB650000}"/>
    <cellStyle name="Normal 2 3 2 13 3 5" xfId="26058" xr:uid="{00000000-0005-0000-0000-0000AC650000}"/>
    <cellStyle name="Normal 2 3 2 13 3 6" xfId="26059" xr:uid="{00000000-0005-0000-0000-0000AD650000}"/>
    <cellStyle name="Normal 2 3 2 13 3 7" xfId="26060" xr:uid="{00000000-0005-0000-0000-0000AE650000}"/>
    <cellStyle name="Normal 2 3 2 13 3 8" xfId="26061" xr:uid="{00000000-0005-0000-0000-0000AF650000}"/>
    <cellStyle name="Normal 2 3 2 13 3 9" xfId="26062" xr:uid="{00000000-0005-0000-0000-0000B0650000}"/>
    <cellStyle name="Normal 2 3 2 13 4" xfId="26063" xr:uid="{00000000-0005-0000-0000-0000B1650000}"/>
    <cellStyle name="Normal 2 3 2 13 4 10" xfId="26064" xr:uid="{00000000-0005-0000-0000-0000B2650000}"/>
    <cellStyle name="Normal 2 3 2 13 4 2" xfId="26065" xr:uid="{00000000-0005-0000-0000-0000B3650000}"/>
    <cellStyle name="Normal 2 3 2 13 4 3" xfId="26066" xr:uid="{00000000-0005-0000-0000-0000B4650000}"/>
    <cellStyle name="Normal 2 3 2 13 4 4" xfId="26067" xr:uid="{00000000-0005-0000-0000-0000B5650000}"/>
    <cellStyle name="Normal 2 3 2 13 4 5" xfId="26068" xr:uid="{00000000-0005-0000-0000-0000B6650000}"/>
    <cellStyle name="Normal 2 3 2 13 4 6" xfId="26069" xr:uid="{00000000-0005-0000-0000-0000B7650000}"/>
    <cellStyle name="Normal 2 3 2 13 4 7" xfId="26070" xr:uid="{00000000-0005-0000-0000-0000B8650000}"/>
    <cellStyle name="Normal 2 3 2 13 4 8" xfId="26071" xr:uid="{00000000-0005-0000-0000-0000B9650000}"/>
    <cellStyle name="Normal 2 3 2 13 4 9" xfId="26072" xr:uid="{00000000-0005-0000-0000-0000BA650000}"/>
    <cellStyle name="Normal 2 3 2 13 5" xfId="26073" xr:uid="{00000000-0005-0000-0000-0000BB650000}"/>
    <cellStyle name="Normal 2 3 2 13 5 10" xfId="26074" xr:uid="{00000000-0005-0000-0000-0000BC650000}"/>
    <cellStyle name="Normal 2 3 2 13 5 2" xfId="26075" xr:uid="{00000000-0005-0000-0000-0000BD650000}"/>
    <cellStyle name="Normal 2 3 2 13 5 3" xfId="26076" xr:uid="{00000000-0005-0000-0000-0000BE650000}"/>
    <cellStyle name="Normal 2 3 2 13 5 4" xfId="26077" xr:uid="{00000000-0005-0000-0000-0000BF650000}"/>
    <cellStyle name="Normal 2 3 2 13 5 5" xfId="26078" xr:uid="{00000000-0005-0000-0000-0000C0650000}"/>
    <cellStyle name="Normal 2 3 2 13 5 6" xfId="26079" xr:uid="{00000000-0005-0000-0000-0000C1650000}"/>
    <cellStyle name="Normal 2 3 2 13 5 7" xfId="26080" xr:uid="{00000000-0005-0000-0000-0000C2650000}"/>
    <cellStyle name="Normal 2 3 2 13 5 8" xfId="26081" xr:uid="{00000000-0005-0000-0000-0000C3650000}"/>
    <cellStyle name="Normal 2 3 2 13 5 9" xfId="26082" xr:uid="{00000000-0005-0000-0000-0000C4650000}"/>
    <cellStyle name="Normal 2 3 2 13 6" xfId="26083" xr:uid="{00000000-0005-0000-0000-0000C5650000}"/>
    <cellStyle name="Normal 2 3 2 13 7" xfId="26084" xr:uid="{00000000-0005-0000-0000-0000C6650000}"/>
    <cellStyle name="Normal 2 3 2 13 8" xfId="26085" xr:uid="{00000000-0005-0000-0000-0000C7650000}"/>
    <cellStyle name="Normal 2 3 2 13 9" xfId="26086" xr:uid="{00000000-0005-0000-0000-0000C8650000}"/>
    <cellStyle name="Normal 2 3 2 14" xfId="26087" xr:uid="{00000000-0005-0000-0000-0000C9650000}"/>
    <cellStyle name="Normal 2 3 2 14 10" xfId="26088" xr:uid="{00000000-0005-0000-0000-0000CA650000}"/>
    <cellStyle name="Normal 2 3 2 14 11" xfId="26089" xr:uid="{00000000-0005-0000-0000-0000CB650000}"/>
    <cellStyle name="Normal 2 3 2 14 12" xfId="26090" xr:uid="{00000000-0005-0000-0000-0000CC650000}"/>
    <cellStyle name="Normal 2 3 2 14 13" xfId="26091" xr:uid="{00000000-0005-0000-0000-0000CD650000}"/>
    <cellStyle name="Normal 2 3 2 14 14" xfId="26092" xr:uid="{00000000-0005-0000-0000-0000CE650000}"/>
    <cellStyle name="Normal 2 3 2 14 2" xfId="26093" xr:uid="{00000000-0005-0000-0000-0000CF650000}"/>
    <cellStyle name="Normal 2 3 2 14 2 10" xfId="26094" xr:uid="{00000000-0005-0000-0000-0000D0650000}"/>
    <cellStyle name="Normal 2 3 2 14 2 2" xfId="26095" xr:uid="{00000000-0005-0000-0000-0000D1650000}"/>
    <cellStyle name="Normal 2 3 2 14 2 3" xfId="26096" xr:uid="{00000000-0005-0000-0000-0000D2650000}"/>
    <cellStyle name="Normal 2 3 2 14 2 4" xfId="26097" xr:uid="{00000000-0005-0000-0000-0000D3650000}"/>
    <cellStyle name="Normal 2 3 2 14 2 5" xfId="26098" xr:uid="{00000000-0005-0000-0000-0000D4650000}"/>
    <cellStyle name="Normal 2 3 2 14 2 6" xfId="26099" xr:uid="{00000000-0005-0000-0000-0000D5650000}"/>
    <cellStyle name="Normal 2 3 2 14 2 7" xfId="26100" xr:uid="{00000000-0005-0000-0000-0000D6650000}"/>
    <cellStyle name="Normal 2 3 2 14 2 8" xfId="26101" xr:uid="{00000000-0005-0000-0000-0000D7650000}"/>
    <cellStyle name="Normal 2 3 2 14 2 9" xfId="26102" xr:uid="{00000000-0005-0000-0000-0000D8650000}"/>
    <cellStyle name="Normal 2 3 2 14 3" xfId="26103" xr:uid="{00000000-0005-0000-0000-0000D9650000}"/>
    <cellStyle name="Normal 2 3 2 14 3 10" xfId="26104" xr:uid="{00000000-0005-0000-0000-0000DA650000}"/>
    <cellStyle name="Normal 2 3 2 14 3 2" xfId="26105" xr:uid="{00000000-0005-0000-0000-0000DB650000}"/>
    <cellStyle name="Normal 2 3 2 14 3 3" xfId="26106" xr:uid="{00000000-0005-0000-0000-0000DC650000}"/>
    <cellStyle name="Normal 2 3 2 14 3 4" xfId="26107" xr:uid="{00000000-0005-0000-0000-0000DD650000}"/>
    <cellStyle name="Normal 2 3 2 14 3 5" xfId="26108" xr:uid="{00000000-0005-0000-0000-0000DE650000}"/>
    <cellStyle name="Normal 2 3 2 14 3 6" xfId="26109" xr:uid="{00000000-0005-0000-0000-0000DF650000}"/>
    <cellStyle name="Normal 2 3 2 14 3 7" xfId="26110" xr:uid="{00000000-0005-0000-0000-0000E0650000}"/>
    <cellStyle name="Normal 2 3 2 14 3 8" xfId="26111" xr:uid="{00000000-0005-0000-0000-0000E1650000}"/>
    <cellStyle name="Normal 2 3 2 14 3 9" xfId="26112" xr:uid="{00000000-0005-0000-0000-0000E2650000}"/>
    <cellStyle name="Normal 2 3 2 14 4" xfId="26113" xr:uid="{00000000-0005-0000-0000-0000E3650000}"/>
    <cellStyle name="Normal 2 3 2 14 4 10" xfId="26114" xr:uid="{00000000-0005-0000-0000-0000E4650000}"/>
    <cellStyle name="Normal 2 3 2 14 4 2" xfId="26115" xr:uid="{00000000-0005-0000-0000-0000E5650000}"/>
    <cellStyle name="Normal 2 3 2 14 4 3" xfId="26116" xr:uid="{00000000-0005-0000-0000-0000E6650000}"/>
    <cellStyle name="Normal 2 3 2 14 4 4" xfId="26117" xr:uid="{00000000-0005-0000-0000-0000E7650000}"/>
    <cellStyle name="Normal 2 3 2 14 4 5" xfId="26118" xr:uid="{00000000-0005-0000-0000-0000E8650000}"/>
    <cellStyle name="Normal 2 3 2 14 4 6" xfId="26119" xr:uid="{00000000-0005-0000-0000-0000E9650000}"/>
    <cellStyle name="Normal 2 3 2 14 4 7" xfId="26120" xr:uid="{00000000-0005-0000-0000-0000EA650000}"/>
    <cellStyle name="Normal 2 3 2 14 4 8" xfId="26121" xr:uid="{00000000-0005-0000-0000-0000EB650000}"/>
    <cellStyle name="Normal 2 3 2 14 4 9" xfId="26122" xr:uid="{00000000-0005-0000-0000-0000EC650000}"/>
    <cellStyle name="Normal 2 3 2 14 5" xfId="26123" xr:uid="{00000000-0005-0000-0000-0000ED650000}"/>
    <cellStyle name="Normal 2 3 2 14 5 10" xfId="26124" xr:uid="{00000000-0005-0000-0000-0000EE650000}"/>
    <cellStyle name="Normal 2 3 2 14 5 2" xfId="26125" xr:uid="{00000000-0005-0000-0000-0000EF650000}"/>
    <cellStyle name="Normal 2 3 2 14 5 3" xfId="26126" xr:uid="{00000000-0005-0000-0000-0000F0650000}"/>
    <cellStyle name="Normal 2 3 2 14 5 4" xfId="26127" xr:uid="{00000000-0005-0000-0000-0000F1650000}"/>
    <cellStyle name="Normal 2 3 2 14 5 5" xfId="26128" xr:uid="{00000000-0005-0000-0000-0000F2650000}"/>
    <cellStyle name="Normal 2 3 2 14 5 6" xfId="26129" xr:uid="{00000000-0005-0000-0000-0000F3650000}"/>
    <cellStyle name="Normal 2 3 2 14 5 7" xfId="26130" xr:uid="{00000000-0005-0000-0000-0000F4650000}"/>
    <cellStyle name="Normal 2 3 2 14 5 8" xfId="26131" xr:uid="{00000000-0005-0000-0000-0000F5650000}"/>
    <cellStyle name="Normal 2 3 2 14 5 9" xfId="26132" xr:uid="{00000000-0005-0000-0000-0000F6650000}"/>
    <cellStyle name="Normal 2 3 2 14 6" xfId="26133" xr:uid="{00000000-0005-0000-0000-0000F7650000}"/>
    <cellStyle name="Normal 2 3 2 14 7" xfId="26134" xr:uid="{00000000-0005-0000-0000-0000F8650000}"/>
    <cellStyle name="Normal 2 3 2 14 8" xfId="26135" xr:uid="{00000000-0005-0000-0000-0000F9650000}"/>
    <cellStyle name="Normal 2 3 2 14 9" xfId="26136" xr:uid="{00000000-0005-0000-0000-0000FA650000}"/>
    <cellStyle name="Normal 2 3 2 15" xfId="26137" xr:uid="{00000000-0005-0000-0000-0000FB650000}"/>
    <cellStyle name="Normal 2 3 2 15 10" xfId="26138" xr:uid="{00000000-0005-0000-0000-0000FC650000}"/>
    <cellStyle name="Normal 2 3 2 15 11" xfId="26139" xr:uid="{00000000-0005-0000-0000-0000FD650000}"/>
    <cellStyle name="Normal 2 3 2 15 12" xfId="26140" xr:uid="{00000000-0005-0000-0000-0000FE650000}"/>
    <cellStyle name="Normal 2 3 2 15 13" xfId="26141" xr:uid="{00000000-0005-0000-0000-0000FF650000}"/>
    <cellStyle name="Normal 2 3 2 15 14" xfId="26142" xr:uid="{00000000-0005-0000-0000-000000660000}"/>
    <cellStyle name="Normal 2 3 2 15 2" xfId="26143" xr:uid="{00000000-0005-0000-0000-000001660000}"/>
    <cellStyle name="Normal 2 3 2 15 2 10" xfId="26144" xr:uid="{00000000-0005-0000-0000-000002660000}"/>
    <cellStyle name="Normal 2 3 2 15 2 2" xfId="26145" xr:uid="{00000000-0005-0000-0000-000003660000}"/>
    <cellStyle name="Normal 2 3 2 15 2 3" xfId="26146" xr:uid="{00000000-0005-0000-0000-000004660000}"/>
    <cellStyle name="Normal 2 3 2 15 2 4" xfId="26147" xr:uid="{00000000-0005-0000-0000-000005660000}"/>
    <cellStyle name="Normal 2 3 2 15 2 5" xfId="26148" xr:uid="{00000000-0005-0000-0000-000006660000}"/>
    <cellStyle name="Normal 2 3 2 15 2 6" xfId="26149" xr:uid="{00000000-0005-0000-0000-000007660000}"/>
    <cellStyle name="Normal 2 3 2 15 2 7" xfId="26150" xr:uid="{00000000-0005-0000-0000-000008660000}"/>
    <cellStyle name="Normal 2 3 2 15 2 8" xfId="26151" xr:uid="{00000000-0005-0000-0000-000009660000}"/>
    <cellStyle name="Normal 2 3 2 15 2 9" xfId="26152" xr:uid="{00000000-0005-0000-0000-00000A660000}"/>
    <cellStyle name="Normal 2 3 2 15 3" xfId="26153" xr:uid="{00000000-0005-0000-0000-00000B660000}"/>
    <cellStyle name="Normal 2 3 2 15 3 10" xfId="26154" xr:uid="{00000000-0005-0000-0000-00000C660000}"/>
    <cellStyle name="Normal 2 3 2 15 3 2" xfId="26155" xr:uid="{00000000-0005-0000-0000-00000D660000}"/>
    <cellStyle name="Normal 2 3 2 15 3 3" xfId="26156" xr:uid="{00000000-0005-0000-0000-00000E660000}"/>
    <cellStyle name="Normal 2 3 2 15 3 4" xfId="26157" xr:uid="{00000000-0005-0000-0000-00000F660000}"/>
    <cellStyle name="Normal 2 3 2 15 3 5" xfId="26158" xr:uid="{00000000-0005-0000-0000-000010660000}"/>
    <cellStyle name="Normal 2 3 2 15 3 6" xfId="26159" xr:uid="{00000000-0005-0000-0000-000011660000}"/>
    <cellStyle name="Normal 2 3 2 15 3 7" xfId="26160" xr:uid="{00000000-0005-0000-0000-000012660000}"/>
    <cellStyle name="Normal 2 3 2 15 3 8" xfId="26161" xr:uid="{00000000-0005-0000-0000-000013660000}"/>
    <cellStyle name="Normal 2 3 2 15 3 9" xfId="26162" xr:uid="{00000000-0005-0000-0000-000014660000}"/>
    <cellStyle name="Normal 2 3 2 15 4" xfId="26163" xr:uid="{00000000-0005-0000-0000-000015660000}"/>
    <cellStyle name="Normal 2 3 2 15 4 10" xfId="26164" xr:uid="{00000000-0005-0000-0000-000016660000}"/>
    <cellStyle name="Normal 2 3 2 15 4 2" xfId="26165" xr:uid="{00000000-0005-0000-0000-000017660000}"/>
    <cellStyle name="Normal 2 3 2 15 4 3" xfId="26166" xr:uid="{00000000-0005-0000-0000-000018660000}"/>
    <cellStyle name="Normal 2 3 2 15 4 4" xfId="26167" xr:uid="{00000000-0005-0000-0000-000019660000}"/>
    <cellStyle name="Normal 2 3 2 15 4 5" xfId="26168" xr:uid="{00000000-0005-0000-0000-00001A660000}"/>
    <cellStyle name="Normal 2 3 2 15 4 6" xfId="26169" xr:uid="{00000000-0005-0000-0000-00001B660000}"/>
    <cellStyle name="Normal 2 3 2 15 4 7" xfId="26170" xr:uid="{00000000-0005-0000-0000-00001C660000}"/>
    <cellStyle name="Normal 2 3 2 15 4 8" xfId="26171" xr:uid="{00000000-0005-0000-0000-00001D660000}"/>
    <cellStyle name="Normal 2 3 2 15 4 9" xfId="26172" xr:uid="{00000000-0005-0000-0000-00001E660000}"/>
    <cellStyle name="Normal 2 3 2 15 5" xfId="26173" xr:uid="{00000000-0005-0000-0000-00001F660000}"/>
    <cellStyle name="Normal 2 3 2 15 5 10" xfId="26174" xr:uid="{00000000-0005-0000-0000-000020660000}"/>
    <cellStyle name="Normal 2 3 2 15 5 2" xfId="26175" xr:uid="{00000000-0005-0000-0000-000021660000}"/>
    <cellStyle name="Normal 2 3 2 15 5 3" xfId="26176" xr:uid="{00000000-0005-0000-0000-000022660000}"/>
    <cellStyle name="Normal 2 3 2 15 5 4" xfId="26177" xr:uid="{00000000-0005-0000-0000-000023660000}"/>
    <cellStyle name="Normal 2 3 2 15 5 5" xfId="26178" xr:uid="{00000000-0005-0000-0000-000024660000}"/>
    <cellStyle name="Normal 2 3 2 15 5 6" xfId="26179" xr:uid="{00000000-0005-0000-0000-000025660000}"/>
    <cellStyle name="Normal 2 3 2 15 5 7" xfId="26180" xr:uid="{00000000-0005-0000-0000-000026660000}"/>
    <cellStyle name="Normal 2 3 2 15 5 8" xfId="26181" xr:uid="{00000000-0005-0000-0000-000027660000}"/>
    <cellStyle name="Normal 2 3 2 15 5 9" xfId="26182" xr:uid="{00000000-0005-0000-0000-000028660000}"/>
    <cellStyle name="Normal 2 3 2 15 6" xfId="26183" xr:uid="{00000000-0005-0000-0000-000029660000}"/>
    <cellStyle name="Normal 2 3 2 15 7" xfId="26184" xr:uid="{00000000-0005-0000-0000-00002A660000}"/>
    <cellStyle name="Normal 2 3 2 15 8" xfId="26185" xr:uid="{00000000-0005-0000-0000-00002B660000}"/>
    <cellStyle name="Normal 2 3 2 15 9" xfId="26186" xr:uid="{00000000-0005-0000-0000-00002C660000}"/>
    <cellStyle name="Normal 2 3 2 16" xfId="26187" xr:uid="{00000000-0005-0000-0000-00002D660000}"/>
    <cellStyle name="Normal 2 3 2 16 10" xfId="26188" xr:uid="{00000000-0005-0000-0000-00002E660000}"/>
    <cellStyle name="Normal 2 3 2 16 11" xfId="26189" xr:uid="{00000000-0005-0000-0000-00002F660000}"/>
    <cellStyle name="Normal 2 3 2 16 12" xfId="26190" xr:uid="{00000000-0005-0000-0000-000030660000}"/>
    <cellStyle name="Normal 2 3 2 16 13" xfId="26191" xr:uid="{00000000-0005-0000-0000-000031660000}"/>
    <cellStyle name="Normal 2 3 2 16 14" xfId="26192" xr:uid="{00000000-0005-0000-0000-000032660000}"/>
    <cellStyle name="Normal 2 3 2 16 2" xfId="26193" xr:uid="{00000000-0005-0000-0000-000033660000}"/>
    <cellStyle name="Normal 2 3 2 16 2 10" xfId="26194" xr:uid="{00000000-0005-0000-0000-000034660000}"/>
    <cellStyle name="Normal 2 3 2 16 2 2" xfId="26195" xr:uid="{00000000-0005-0000-0000-000035660000}"/>
    <cellStyle name="Normal 2 3 2 16 2 3" xfId="26196" xr:uid="{00000000-0005-0000-0000-000036660000}"/>
    <cellStyle name="Normal 2 3 2 16 2 4" xfId="26197" xr:uid="{00000000-0005-0000-0000-000037660000}"/>
    <cellStyle name="Normal 2 3 2 16 2 5" xfId="26198" xr:uid="{00000000-0005-0000-0000-000038660000}"/>
    <cellStyle name="Normal 2 3 2 16 2 6" xfId="26199" xr:uid="{00000000-0005-0000-0000-000039660000}"/>
    <cellStyle name="Normal 2 3 2 16 2 7" xfId="26200" xr:uid="{00000000-0005-0000-0000-00003A660000}"/>
    <cellStyle name="Normal 2 3 2 16 2 8" xfId="26201" xr:uid="{00000000-0005-0000-0000-00003B660000}"/>
    <cellStyle name="Normal 2 3 2 16 2 9" xfId="26202" xr:uid="{00000000-0005-0000-0000-00003C660000}"/>
    <cellStyle name="Normal 2 3 2 16 3" xfId="26203" xr:uid="{00000000-0005-0000-0000-00003D660000}"/>
    <cellStyle name="Normal 2 3 2 16 3 10" xfId="26204" xr:uid="{00000000-0005-0000-0000-00003E660000}"/>
    <cellStyle name="Normal 2 3 2 16 3 2" xfId="26205" xr:uid="{00000000-0005-0000-0000-00003F660000}"/>
    <cellStyle name="Normal 2 3 2 16 3 3" xfId="26206" xr:uid="{00000000-0005-0000-0000-000040660000}"/>
    <cellStyle name="Normal 2 3 2 16 3 4" xfId="26207" xr:uid="{00000000-0005-0000-0000-000041660000}"/>
    <cellStyle name="Normal 2 3 2 16 3 5" xfId="26208" xr:uid="{00000000-0005-0000-0000-000042660000}"/>
    <cellStyle name="Normal 2 3 2 16 3 6" xfId="26209" xr:uid="{00000000-0005-0000-0000-000043660000}"/>
    <cellStyle name="Normal 2 3 2 16 3 7" xfId="26210" xr:uid="{00000000-0005-0000-0000-000044660000}"/>
    <cellStyle name="Normal 2 3 2 16 3 8" xfId="26211" xr:uid="{00000000-0005-0000-0000-000045660000}"/>
    <cellStyle name="Normal 2 3 2 16 3 9" xfId="26212" xr:uid="{00000000-0005-0000-0000-000046660000}"/>
    <cellStyle name="Normal 2 3 2 16 4" xfId="26213" xr:uid="{00000000-0005-0000-0000-000047660000}"/>
    <cellStyle name="Normal 2 3 2 16 4 10" xfId="26214" xr:uid="{00000000-0005-0000-0000-000048660000}"/>
    <cellStyle name="Normal 2 3 2 16 4 2" xfId="26215" xr:uid="{00000000-0005-0000-0000-000049660000}"/>
    <cellStyle name="Normal 2 3 2 16 4 3" xfId="26216" xr:uid="{00000000-0005-0000-0000-00004A660000}"/>
    <cellStyle name="Normal 2 3 2 16 4 4" xfId="26217" xr:uid="{00000000-0005-0000-0000-00004B660000}"/>
    <cellStyle name="Normal 2 3 2 16 4 5" xfId="26218" xr:uid="{00000000-0005-0000-0000-00004C660000}"/>
    <cellStyle name="Normal 2 3 2 16 4 6" xfId="26219" xr:uid="{00000000-0005-0000-0000-00004D660000}"/>
    <cellStyle name="Normal 2 3 2 16 4 7" xfId="26220" xr:uid="{00000000-0005-0000-0000-00004E660000}"/>
    <cellStyle name="Normal 2 3 2 16 4 8" xfId="26221" xr:uid="{00000000-0005-0000-0000-00004F660000}"/>
    <cellStyle name="Normal 2 3 2 16 4 9" xfId="26222" xr:uid="{00000000-0005-0000-0000-000050660000}"/>
    <cellStyle name="Normal 2 3 2 16 5" xfId="26223" xr:uid="{00000000-0005-0000-0000-000051660000}"/>
    <cellStyle name="Normal 2 3 2 16 5 10" xfId="26224" xr:uid="{00000000-0005-0000-0000-000052660000}"/>
    <cellStyle name="Normal 2 3 2 16 5 2" xfId="26225" xr:uid="{00000000-0005-0000-0000-000053660000}"/>
    <cellStyle name="Normal 2 3 2 16 5 3" xfId="26226" xr:uid="{00000000-0005-0000-0000-000054660000}"/>
    <cellStyle name="Normal 2 3 2 16 5 4" xfId="26227" xr:uid="{00000000-0005-0000-0000-000055660000}"/>
    <cellStyle name="Normal 2 3 2 16 5 5" xfId="26228" xr:uid="{00000000-0005-0000-0000-000056660000}"/>
    <cellStyle name="Normal 2 3 2 16 5 6" xfId="26229" xr:uid="{00000000-0005-0000-0000-000057660000}"/>
    <cellStyle name="Normal 2 3 2 16 5 7" xfId="26230" xr:uid="{00000000-0005-0000-0000-000058660000}"/>
    <cellStyle name="Normal 2 3 2 16 5 8" xfId="26231" xr:uid="{00000000-0005-0000-0000-000059660000}"/>
    <cellStyle name="Normal 2 3 2 16 5 9" xfId="26232" xr:uid="{00000000-0005-0000-0000-00005A660000}"/>
    <cellStyle name="Normal 2 3 2 16 6" xfId="26233" xr:uid="{00000000-0005-0000-0000-00005B660000}"/>
    <cellStyle name="Normal 2 3 2 16 7" xfId="26234" xr:uid="{00000000-0005-0000-0000-00005C660000}"/>
    <cellStyle name="Normal 2 3 2 16 8" xfId="26235" xr:uid="{00000000-0005-0000-0000-00005D660000}"/>
    <cellStyle name="Normal 2 3 2 16 9" xfId="26236" xr:uid="{00000000-0005-0000-0000-00005E660000}"/>
    <cellStyle name="Normal 2 3 2 17" xfId="26237" xr:uid="{00000000-0005-0000-0000-00005F660000}"/>
    <cellStyle name="Normal 2 3 2 17 10" xfId="26238" xr:uid="{00000000-0005-0000-0000-000060660000}"/>
    <cellStyle name="Normal 2 3 2 17 11" xfId="26239" xr:uid="{00000000-0005-0000-0000-000061660000}"/>
    <cellStyle name="Normal 2 3 2 17 12" xfId="26240" xr:uid="{00000000-0005-0000-0000-000062660000}"/>
    <cellStyle name="Normal 2 3 2 17 13" xfId="26241" xr:uid="{00000000-0005-0000-0000-000063660000}"/>
    <cellStyle name="Normal 2 3 2 17 14" xfId="26242" xr:uid="{00000000-0005-0000-0000-000064660000}"/>
    <cellStyle name="Normal 2 3 2 17 2" xfId="26243" xr:uid="{00000000-0005-0000-0000-000065660000}"/>
    <cellStyle name="Normal 2 3 2 17 2 10" xfId="26244" xr:uid="{00000000-0005-0000-0000-000066660000}"/>
    <cellStyle name="Normal 2 3 2 17 2 2" xfId="26245" xr:uid="{00000000-0005-0000-0000-000067660000}"/>
    <cellStyle name="Normal 2 3 2 17 2 3" xfId="26246" xr:uid="{00000000-0005-0000-0000-000068660000}"/>
    <cellStyle name="Normal 2 3 2 17 2 4" xfId="26247" xr:uid="{00000000-0005-0000-0000-000069660000}"/>
    <cellStyle name="Normal 2 3 2 17 2 5" xfId="26248" xr:uid="{00000000-0005-0000-0000-00006A660000}"/>
    <cellStyle name="Normal 2 3 2 17 2 6" xfId="26249" xr:uid="{00000000-0005-0000-0000-00006B660000}"/>
    <cellStyle name="Normal 2 3 2 17 2 7" xfId="26250" xr:uid="{00000000-0005-0000-0000-00006C660000}"/>
    <cellStyle name="Normal 2 3 2 17 2 8" xfId="26251" xr:uid="{00000000-0005-0000-0000-00006D660000}"/>
    <cellStyle name="Normal 2 3 2 17 2 9" xfId="26252" xr:uid="{00000000-0005-0000-0000-00006E660000}"/>
    <cellStyle name="Normal 2 3 2 17 3" xfId="26253" xr:uid="{00000000-0005-0000-0000-00006F660000}"/>
    <cellStyle name="Normal 2 3 2 17 3 10" xfId="26254" xr:uid="{00000000-0005-0000-0000-000070660000}"/>
    <cellStyle name="Normal 2 3 2 17 3 2" xfId="26255" xr:uid="{00000000-0005-0000-0000-000071660000}"/>
    <cellStyle name="Normal 2 3 2 17 3 3" xfId="26256" xr:uid="{00000000-0005-0000-0000-000072660000}"/>
    <cellStyle name="Normal 2 3 2 17 3 4" xfId="26257" xr:uid="{00000000-0005-0000-0000-000073660000}"/>
    <cellStyle name="Normal 2 3 2 17 3 5" xfId="26258" xr:uid="{00000000-0005-0000-0000-000074660000}"/>
    <cellStyle name="Normal 2 3 2 17 3 6" xfId="26259" xr:uid="{00000000-0005-0000-0000-000075660000}"/>
    <cellStyle name="Normal 2 3 2 17 3 7" xfId="26260" xr:uid="{00000000-0005-0000-0000-000076660000}"/>
    <cellStyle name="Normal 2 3 2 17 3 8" xfId="26261" xr:uid="{00000000-0005-0000-0000-000077660000}"/>
    <cellStyle name="Normal 2 3 2 17 3 9" xfId="26262" xr:uid="{00000000-0005-0000-0000-000078660000}"/>
    <cellStyle name="Normal 2 3 2 17 4" xfId="26263" xr:uid="{00000000-0005-0000-0000-000079660000}"/>
    <cellStyle name="Normal 2 3 2 17 4 10" xfId="26264" xr:uid="{00000000-0005-0000-0000-00007A660000}"/>
    <cellStyle name="Normal 2 3 2 17 4 2" xfId="26265" xr:uid="{00000000-0005-0000-0000-00007B660000}"/>
    <cellStyle name="Normal 2 3 2 17 4 3" xfId="26266" xr:uid="{00000000-0005-0000-0000-00007C660000}"/>
    <cellStyle name="Normal 2 3 2 17 4 4" xfId="26267" xr:uid="{00000000-0005-0000-0000-00007D660000}"/>
    <cellStyle name="Normal 2 3 2 17 4 5" xfId="26268" xr:uid="{00000000-0005-0000-0000-00007E660000}"/>
    <cellStyle name="Normal 2 3 2 17 4 6" xfId="26269" xr:uid="{00000000-0005-0000-0000-00007F660000}"/>
    <cellStyle name="Normal 2 3 2 17 4 7" xfId="26270" xr:uid="{00000000-0005-0000-0000-000080660000}"/>
    <cellStyle name="Normal 2 3 2 17 4 8" xfId="26271" xr:uid="{00000000-0005-0000-0000-000081660000}"/>
    <cellStyle name="Normal 2 3 2 17 4 9" xfId="26272" xr:uid="{00000000-0005-0000-0000-000082660000}"/>
    <cellStyle name="Normal 2 3 2 17 5" xfId="26273" xr:uid="{00000000-0005-0000-0000-000083660000}"/>
    <cellStyle name="Normal 2 3 2 17 5 10" xfId="26274" xr:uid="{00000000-0005-0000-0000-000084660000}"/>
    <cellStyle name="Normal 2 3 2 17 5 2" xfId="26275" xr:uid="{00000000-0005-0000-0000-000085660000}"/>
    <cellStyle name="Normal 2 3 2 17 5 3" xfId="26276" xr:uid="{00000000-0005-0000-0000-000086660000}"/>
    <cellStyle name="Normal 2 3 2 17 5 4" xfId="26277" xr:uid="{00000000-0005-0000-0000-000087660000}"/>
    <cellStyle name="Normal 2 3 2 17 5 5" xfId="26278" xr:uid="{00000000-0005-0000-0000-000088660000}"/>
    <cellStyle name="Normal 2 3 2 17 5 6" xfId="26279" xr:uid="{00000000-0005-0000-0000-000089660000}"/>
    <cellStyle name="Normal 2 3 2 17 5 7" xfId="26280" xr:uid="{00000000-0005-0000-0000-00008A660000}"/>
    <cellStyle name="Normal 2 3 2 17 5 8" xfId="26281" xr:uid="{00000000-0005-0000-0000-00008B660000}"/>
    <cellStyle name="Normal 2 3 2 17 5 9" xfId="26282" xr:uid="{00000000-0005-0000-0000-00008C660000}"/>
    <cellStyle name="Normal 2 3 2 17 6" xfId="26283" xr:uid="{00000000-0005-0000-0000-00008D660000}"/>
    <cellStyle name="Normal 2 3 2 17 7" xfId="26284" xr:uid="{00000000-0005-0000-0000-00008E660000}"/>
    <cellStyle name="Normal 2 3 2 17 8" xfId="26285" xr:uid="{00000000-0005-0000-0000-00008F660000}"/>
    <cellStyle name="Normal 2 3 2 17 9" xfId="26286" xr:uid="{00000000-0005-0000-0000-000090660000}"/>
    <cellStyle name="Normal 2 3 2 18" xfId="26287" xr:uid="{00000000-0005-0000-0000-000091660000}"/>
    <cellStyle name="Normal 2 3 2 18 10" xfId="26288" xr:uid="{00000000-0005-0000-0000-000092660000}"/>
    <cellStyle name="Normal 2 3 2 18 11" xfId="26289" xr:uid="{00000000-0005-0000-0000-000093660000}"/>
    <cellStyle name="Normal 2 3 2 18 12" xfId="26290" xr:uid="{00000000-0005-0000-0000-000094660000}"/>
    <cellStyle name="Normal 2 3 2 18 13" xfId="26291" xr:uid="{00000000-0005-0000-0000-000095660000}"/>
    <cellStyle name="Normal 2 3 2 18 14" xfId="26292" xr:uid="{00000000-0005-0000-0000-000096660000}"/>
    <cellStyle name="Normal 2 3 2 18 2" xfId="26293" xr:uid="{00000000-0005-0000-0000-000097660000}"/>
    <cellStyle name="Normal 2 3 2 18 2 10" xfId="26294" xr:uid="{00000000-0005-0000-0000-000098660000}"/>
    <cellStyle name="Normal 2 3 2 18 2 2" xfId="26295" xr:uid="{00000000-0005-0000-0000-000099660000}"/>
    <cellStyle name="Normal 2 3 2 18 2 3" xfId="26296" xr:uid="{00000000-0005-0000-0000-00009A660000}"/>
    <cellStyle name="Normal 2 3 2 18 2 4" xfId="26297" xr:uid="{00000000-0005-0000-0000-00009B660000}"/>
    <cellStyle name="Normal 2 3 2 18 2 5" xfId="26298" xr:uid="{00000000-0005-0000-0000-00009C660000}"/>
    <cellStyle name="Normal 2 3 2 18 2 6" xfId="26299" xr:uid="{00000000-0005-0000-0000-00009D660000}"/>
    <cellStyle name="Normal 2 3 2 18 2 7" xfId="26300" xr:uid="{00000000-0005-0000-0000-00009E660000}"/>
    <cellStyle name="Normal 2 3 2 18 2 8" xfId="26301" xr:uid="{00000000-0005-0000-0000-00009F660000}"/>
    <cellStyle name="Normal 2 3 2 18 2 9" xfId="26302" xr:uid="{00000000-0005-0000-0000-0000A0660000}"/>
    <cellStyle name="Normal 2 3 2 18 3" xfId="26303" xr:uid="{00000000-0005-0000-0000-0000A1660000}"/>
    <cellStyle name="Normal 2 3 2 18 3 10" xfId="26304" xr:uid="{00000000-0005-0000-0000-0000A2660000}"/>
    <cellStyle name="Normal 2 3 2 18 3 2" xfId="26305" xr:uid="{00000000-0005-0000-0000-0000A3660000}"/>
    <cellStyle name="Normal 2 3 2 18 3 3" xfId="26306" xr:uid="{00000000-0005-0000-0000-0000A4660000}"/>
    <cellStyle name="Normal 2 3 2 18 3 4" xfId="26307" xr:uid="{00000000-0005-0000-0000-0000A5660000}"/>
    <cellStyle name="Normal 2 3 2 18 3 5" xfId="26308" xr:uid="{00000000-0005-0000-0000-0000A6660000}"/>
    <cellStyle name="Normal 2 3 2 18 3 6" xfId="26309" xr:uid="{00000000-0005-0000-0000-0000A7660000}"/>
    <cellStyle name="Normal 2 3 2 18 3 7" xfId="26310" xr:uid="{00000000-0005-0000-0000-0000A8660000}"/>
    <cellStyle name="Normal 2 3 2 18 3 8" xfId="26311" xr:uid="{00000000-0005-0000-0000-0000A9660000}"/>
    <cellStyle name="Normal 2 3 2 18 3 9" xfId="26312" xr:uid="{00000000-0005-0000-0000-0000AA660000}"/>
    <cellStyle name="Normal 2 3 2 18 4" xfId="26313" xr:uid="{00000000-0005-0000-0000-0000AB660000}"/>
    <cellStyle name="Normal 2 3 2 18 4 10" xfId="26314" xr:uid="{00000000-0005-0000-0000-0000AC660000}"/>
    <cellStyle name="Normal 2 3 2 18 4 2" xfId="26315" xr:uid="{00000000-0005-0000-0000-0000AD660000}"/>
    <cellStyle name="Normal 2 3 2 18 4 3" xfId="26316" xr:uid="{00000000-0005-0000-0000-0000AE660000}"/>
    <cellStyle name="Normal 2 3 2 18 4 4" xfId="26317" xr:uid="{00000000-0005-0000-0000-0000AF660000}"/>
    <cellStyle name="Normal 2 3 2 18 4 5" xfId="26318" xr:uid="{00000000-0005-0000-0000-0000B0660000}"/>
    <cellStyle name="Normal 2 3 2 18 4 6" xfId="26319" xr:uid="{00000000-0005-0000-0000-0000B1660000}"/>
    <cellStyle name="Normal 2 3 2 18 4 7" xfId="26320" xr:uid="{00000000-0005-0000-0000-0000B2660000}"/>
    <cellStyle name="Normal 2 3 2 18 4 8" xfId="26321" xr:uid="{00000000-0005-0000-0000-0000B3660000}"/>
    <cellStyle name="Normal 2 3 2 18 4 9" xfId="26322" xr:uid="{00000000-0005-0000-0000-0000B4660000}"/>
    <cellStyle name="Normal 2 3 2 18 5" xfId="26323" xr:uid="{00000000-0005-0000-0000-0000B5660000}"/>
    <cellStyle name="Normal 2 3 2 18 5 10" xfId="26324" xr:uid="{00000000-0005-0000-0000-0000B6660000}"/>
    <cellStyle name="Normal 2 3 2 18 5 2" xfId="26325" xr:uid="{00000000-0005-0000-0000-0000B7660000}"/>
    <cellStyle name="Normal 2 3 2 18 5 3" xfId="26326" xr:uid="{00000000-0005-0000-0000-0000B8660000}"/>
    <cellStyle name="Normal 2 3 2 18 5 4" xfId="26327" xr:uid="{00000000-0005-0000-0000-0000B9660000}"/>
    <cellStyle name="Normal 2 3 2 18 5 5" xfId="26328" xr:uid="{00000000-0005-0000-0000-0000BA660000}"/>
    <cellStyle name="Normal 2 3 2 18 5 6" xfId="26329" xr:uid="{00000000-0005-0000-0000-0000BB660000}"/>
    <cellStyle name="Normal 2 3 2 18 5 7" xfId="26330" xr:uid="{00000000-0005-0000-0000-0000BC660000}"/>
    <cellStyle name="Normal 2 3 2 18 5 8" xfId="26331" xr:uid="{00000000-0005-0000-0000-0000BD660000}"/>
    <cellStyle name="Normal 2 3 2 18 5 9" xfId="26332" xr:uid="{00000000-0005-0000-0000-0000BE660000}"/>
    <cellStyle name="Normal 2 3 2 18 6" xfId="26333" xr:uid="{00000000-0005-0000-0000-0000BF660000}"/>
    <cellStyle name="Normal 2 3 2 18 7" xfId="26334" xr:uid="{00000000-0005-0000-0000-0000C0660000}"/>
    <cellStyle name="Normal 2 3 2 18 8" xfId="26335" xr:uid="{00000000-0005-0000-0000-0000C1660000}"/>
    <cellStyle name="Normal 2 3 2 18 9" xfId="26336" xr:uid="{00000000-0005-0000-0000-0000C2660000}"/>
    <cellStyle name="Normal 2 3 2 19" xfId="26337" xr:uid="{00000000-0005-0000-0000-0000C3660000}"/>
    <cellStyle name="Normal 2 3 2 19 10" xfId="26338" xr:uid="{00000000-0005-0000-0000-0000C4660000}"/>
    <cellStyle name="Normal 2 3 2 19 11" xfId="26339" xr:uid="{00000000-0005-0000-0000-0000C5660000}"/>
    <cellStyle name="Normal 2 3 2 19 12" xfId="26340" xr:uid="{00000000-0005-0000-0000-0000C6660000}"/>
    <cellStyle name="Normal 2 3 2 19 13" xfId="26341" xr:uid="{00000000-0005-0000-0000-0000C7660000}"/>
    <cellStyle name="Normal 2 3 2 19 14" xfId="26342" xr:uid="{00000000-0005-0000-0000-0000C8660000}"/>
    <cellStyle name="Normal 2 3 2 19 2" xfId="26343" xr:uid="{00000000-0005-0000-0000-0000C9660000}"/>
    <cellStyle name="Normal 2 3 2 19 2 10" xfId="26344" xr:uid="{00000000-0005-0000-0000-0000CA660000}"/>
    <cellStyle name="Normal 2 3 2 19 2 2" xfId="26345" xr:uid="{00000000-0005-0000-0000-0000CB660000}"/>
    <cellStyle name="Normal 2 3 2 19 2 3" xfId="26346" xr:uid="{00000000-0005-0000-0000-0000CC660000}"/>
    <cellStyle name="Normal 2 3 2 19 2 4" xfId="26347" xr:uid="{00000000-0005-0000-0000-0000CD660000}"/>
    <cellStyle name="Normal 2 3 2 19 2 5" xfId="26348" xr:uid="{00000000-0005-0000-0000-0000CE660000}"/>
    <cellStyle name="Normal 2 3 2 19 2 6" xfId="26349" xr:uid="{00000000-0005-0000-0000-0000CF660000}"/>
    <cellStyle name="Normal 2 3 2 19 2 7" xfId="26350" xr:uid="{00000000-0005-0000-0000-0000D0660000}"/>
    <cellStyle name="Normal 2 3 2 19 2 8" xfId="26351" xr:uid="{00000000-0005-0000-0000-0000D1660000}"/>
    <cellStyle name="Normal 2 3 2 19 2 9" xfId="26352" xr:uid="{00000000-0005-0000-0000-0000D2660000}"/>
    <cellStyle name="Normal 2 3 2 19 3" xfId="26353" xr:uid="{00000000-0005-0000-0000-0000D3660000}"/>
    <cellStyle name="Normal 2 3 2 19 3 10" xfId="26354" xr:uid="{00000000-0005-0000-0000-0000D4660000}"/>
    <cellStyle name="Normal 2 3 2 19 3 2" xfId="26355" xr:uid="{00000000-0005-0000-0000-0000D5660000}"/>
    <cellStyle name="Normal 2 3 2 19 3 3" xfId="26356" xr:uid="{00000000-0005-0000-0000-0000D6660000}"/>
    <cellStyle name="Normal 2 3 2 19 3 4" xfId="26357" xr:uid="{00000000-0005-0000-0000-0000D7660000}"/>
    <cellStyle name="Normal 2 3 2 19 3 5" xfId="26358" xr:uid="{00000000-0005-0000-0000-0000D8660000}"/>
    <cellStyle name="Normal 2 3 2 19 3 6" xfId="26359" xr:uid="{00000000-0005-0000-0000-0000D9660000}"/>
    <cellStyle name="Normal 2 3 2 19 3 7" xfId="26360" xr:uid="{00000000-0005-0000-0000-0000DA660000}"/>
    <cellStyle name="Normal 2 3 2 19 3 8" xfId="26361" xr:uid="{00000000-0005-0000-0000-0000DB660000}"/>
    <cellStyle name="Normal 2 3 2 19 3 9" xfId="26362" xr:uid="{00000000-0005-0000-0000-0000DC660000}"/>
    <cellStyle name="Normal 2 3 2 19 4" xfId="26363" xr:uid="{00000000-0005-0000-0000-0000DD660000}"/>
    <cellStyle name="Normal 2 3 2 19 4 10" xfId="26364" xr:uid="{00000000-0005-0000-0000-0000DE660000}"/>
    <cellStyle name="Normal 2 3 2 19 4 2" xfId="26365" xr:uid="{00000000-0005-0000-0000-0000DF660000}"/>
    <cellStyle name="Normal 2 3 2 19 4 3" xfId="26366" xr:uid="{00000000-0005-0000-0000-0000E0660000}"/>
    <cellStyle name="Normal 2 3 2 19 4 4" xfId="26367" xr:uid="{00000000-0005-0000-0000-0000E1660000}"/>
    <cellStyle name="Normal 2 3 2 19 4 5" xfId="26368" xr:uid="{00000000-0005-0000-0000-0000E2660000}"/>
    <cellStyle name="Normal 2 3 2 19 4 6" xfId="26369" xr:uid="{00000000-0005-0000-0000-0000E3660000}"/>
    <cellStyle name="Normal 2 3 2 19 4 7" xfId="26370" xr:uid="{00000000-0005-0000-0000-0000E4660000}"/>
    <cellStyle name="Normal 2 3 2 19 4 8" xfId="26371" xr:uid="{00000000-0005-0000-0000-0000E5660000}"/>
    <cellStyle name="Normal 2 3 2 19 4 9" xfId="26372" xr:uid="{00000000-0005-0000-0000-0000E6660000}"/>
    <cellStyle name="Normal 2 3 2 19 5" xfId="26373" xr:uid="{00000000-0005-0000-0000-0000E7660000}"/>
    <cellStyle name="Normal 2 3 2 19 5 10" xfId="26374" xr:uid="{00000000-0005-0000-0000-0000E8660000}"/>
    <cellStyle name="Normal 2 3 2 19 5 2" xfId="26375" xr:uid="{00000000-0005-0000-0000-0000E9660000}"/>
    <cellStyle name="Normal 2 3 2 19 5 3" xfId="26376" xr:uid="{00000000-0005-0000-0000-0000EA660000}"/>
    <cellStyle name="Normal 2 3 2 19 5 4" xfId="26377" xr:uid="{00000000-0005-0000-0000-0000EB660000}"/>
    <cellStyle name="Normal 2 3 2 19 5 5" xfId="26378" xr:uid="{00000000-0005-0000-0000-0000EC660000}"/>
    <cellStyle name="Normal 2 3 2 19 5 6" xfId="26379" xr:uid="{00000000-0005-0000-0000-0000ED660000}"/>
    <cellStyle name="Normal 2 3 2 19 5 7" xfId="26380" xr:uid="{00000000-0005-0000-0000-0000EE660000}"/>
    <cellStyle name="Normal 2 3 2 19 5 8" xfId="26381" xr:uid="{00000000-0005-0000-0000-0000EF660000}"/>
    <cellStyle name="Normal 2 3 2 19 5 9" xfId="26382" xr:uid="{00000000-0005-0000-0000-0000F0660000}"/>
    <cellStyle name="Normal 2 3 2 19 6" xfId="26383" xr:uid="{00000000-0005-0000-0000-0000F1660000}"/>
    <cellStyle name="Normal 2 3 2 19 7" xfId="26384" xr:uid="{00000000-0005-0000-0000-0000F2660000}"/>
    <cellStyle name="Normal 2 3 2 19 8" xfId="26385" xr:uid="{00000000-0005-0000-0000-0000F3660000}"/>
    <cellStyle name="Normal 2 3 2 19 9" xfId="26386" xr:uid="{00000000-0005-0000-0000-0000F4660000}"/>
    <cellStyle name="Normal 2 3 2 2" xfId="26387" xr:uid="{00000000-0005-0000-0000-0000F5660000}"/>
    <cellStyle name="Normal 2 3 2 2 10" xfId="26388" xr:uid="{00000000-0005-0000-0000-0000F6660000}"/>
    <cellStyle name="Normal 2 3 2 2 11" xfId="26389" xr:uid="{00000000-0005-0000-0000-0000F7660000}"/>
    <cellStyle name="Normal 2 3 2 2 12" xfId="26390" xr:uid="{00000000-0005-0000-0000-0000F8660000}"/>
    <cellStyle name="Normal 2 3 2 2 13" xfId="26391" xr:uid="{00000000-0005-0000-0000-0000F9660000}"/>
    <cellStyle name="Normal 2 3 2 2 14" xfId="26392" xr:uid="{00000000-0005-0000-0000-0000FA660000}"/>
    <cellStyle name="Normal 2 3 2 2 15" xfId="26393" xr:uid="{00000000-0005-0000-0000-0000FB660000}"/>
    <cellStyle name="Normal 2 3 2 2 16" xfId="26394" xr:uid="{00000000-0005-0000-0000-0000FC660000}"/>
    <cellStyle name="Normal 2 3 2 2 2" xfId="26395" xr:uid="{00000000-0005-0000-0000-0000FD660000}"/>
    <cellStyle name="Normal 2 3 2 2 2 10" xfId="26396" xr:uid="{00000000-0005-0000-0000-0000FE660000}"/>
    <cellStyle name="Normal 2 3 2 2 2 11" xfId="26397" xr:uid="{00000000-0005-0000-0000-0000FF660000}"/>
    <cellStyle name="Normal 2 3 2 2 2 12" xfId="26398" xr:uid="{00000000-0005-0000-0000-000000670000}"/>
    <cellStyle name="Normal 2 3 2 2 2 2" xfId="26399" xr:uid="{00000000-0005-0000-0000-000001670000}"/>
    <cellStyle name="Normal 2 3 2 2 2 3" xfId="26400" xr:uid="{00000000-0005-0000-0000-000002670000}"/>
    <cellStyle name="Normal 2 3 2 2 2 4" xfId="26401" xr:uid="{00000000-0005-0000-0000-000003670000}"/>
    <cellStyle name="Normal 2 3 2 2 2 5" xfId="26402" xr:uid="{00000000-0005-0000-0000-000004670000}"/>
    <cellStyle name="Normal 2 3 2 2 2 6" xfId="26403" xr:uid="{00000000-0005-0000-0000-000005670000}"/>
    <cellStyle name="Normal 2 3 2 2 2 7" xfId="26404" xr:uid="{00000000-0005-0000-0000-000006670000}"/>
    <cellStyle name="Normal 2 3 2 2 2 8" xfId="26405" xr:uid="{00000000-0005-0000-0000-000007670000}"/>
    <cellStyle name="Normal 2 3 2 2 2 9" xfId="26406" xr:uid="{00000000-0005-0000-0000-000008670000}"/>
    <cellStyle name="Normal 2 3 2 2 3" xfId="26407" xr:uid="{00000000-0005-0000-0000-000009670000}"/>
    <cellStyle name="Normal 2 3 2 2 3 10" xfId="26408" xr:uid="{00000000-0005-0000-0000-00000A670000}"/>
    <cellStyle name="Normal 2 3 2 2 3 2" xfId="26409" xr:uid="{00000000-0005-0000-0000-00000B670000}"/>
    <cellStyle name="Normal 2 3 2 2 3 3" xfId="26410" xr:uid="{00000000-0005-0000-0000-00000C670000}"/>
    <cellStyle name="Normal 2 3 2 2 3 4" xfId="26411" xr:uid="{00000000-0005-0000-0000-00000D670000}"/>
    <cellStyle name="Normal 2 3 2 2 3 5" xfId="26412" xr:uid="{00000000-0005-0000-0000-00000E670000}"/>
    <cellStyle name="Normal 2 3 2 2 3 6" xfId="26413" xr:uid="{00000000-0005-0000-0000-00000F670000}"/>
    <cellStyle name="Normal 2 3 2 2 3 7" xfId="26414" xr:uid="{00000000-0005-0000-0000-000010670000}"/>
    <cellStyle name="Normal 2 3 2 2 3 8" xfId="26415" xr:uid="{00000000-0005-0000-0000-000011670000}"/>
    <cellStyle name="Normal 2 3 2 2 3 9" xfId="26416" xr:uid="{00000000-0005-0000-0000-000012670000}"/>
    <cellStyle name="Normal 2 3 2 2 4" xfId="26417" xr:uid="{00000000-0005-0000-0000-000013670000}"/>
    <cellStyle name="Normal 2 3 2 2 4 10" xfId="26418" xr:uid="{00000000-0005-0000-0000-000014670000}"/>
    <cellStyle name="Normal 2 3 2 2 4 2" xfId="26419" xr:uid="{00000000-0005-0000-0000-000015670000}"/>
    <cellStyle name="Normal 2 3 2 2 4 3" xfId="26420" xr:uid="{00000000-0005-0000-0000-000016670000}"/>
    <cellStyle name="Normal 2 3 2 2 4 4" xfId="26421" xr:uid="{00000000-0005-0000-0000-000017670000}"/>
    <cellStyle name="Normal 2 3 2 2 4 5" xfId="26422" xr:uid="{00000000-0005-0000-0000-000018670000}"/>
    <cellStyle name="Normal 2 3 2 2 4 6" xfId="26423" xr:uid="{00000000-0005-0000-0000-000019670000}"/>
    <cellStyle name="Normal 2 3 2 2 4 7" xfId="26424" xr:uid="{00000000-0005-0000-0000-00001A670000}"/>
    <cellStyle name="Normal 2 3 2 2 4 8" xfId="26425" xr:uid="{00000000-0005-0000-0000-00001B670000}"/>
    <cellStyle name="Normal 2 3 2 2 4 9" xfId="26426" xr:uid="{00000000-0005-0000-0000-00001C670000}"/>
    <cellStyle name="Normal 2 3 2 2 5" xfId="26427" xr:uid="{00000000-0005-0000-0000-00001D670000}"/>
    <cellStyle name="Normal 2 3 2 2 5 10" xfId="26428" xr:uid="{00000000-0005-0000-0000-00001E670000}"/>
    <cellStyle name="Normal 2 3 2 2 5 2" xfId="26429" xr:uid="{00000000-0005-0000-0000-00001F670000}"/>
    <cellStyle name="Normal 2 3 2 2 5 3" xfId="26430" xr:uid="{00000000-0005-0000-0000-000020670000}"/>
    <cellStyle name="Normal 2 3 2 2 5 4" xfId="26431" xr:uid="{00000000-0005-0000-0000-000021670000}"/>
    <cellStyle name="Normal 2 3 2 2 5 5" xfId="26432" xr:uid="{00000000-0005-0000-0000-000022670000}"/>
    <cellStyle name="Normal 2 3 2 2 5 6" xfId="26433" xr:uid="{00000000-0005-0000-0000-000023670000}"/>
    <cellStyle name="Normal 2 3 2 2 5 7" xfId="26434" xr:uid="{00000000-0005-0000-0000-000024670000}"/>
    <cellStyle name="Normal 2 3 2 2 5 8" xfId="26435" xr:uid="{00000000-0005-0000-0000-000025670000}"/>
    <cellStyle name="Normal 2 3 2 2 5 9" xfId="26436" xr:uid="{00000000-0005-0000-0000-000026670000}"/>
    <cellStyle name="Normal 2 3 2 2 6" xfId="26437" xr:uid="{00000000-0005-0000-0000-000027670000}"/>
    <cellStyle name="Normal 2 3 2 2 7" xfId="26438" xr:uid="{00000000-0005-0000-0000-000028670000}"/>
    <cellStyle name="Normal 2 3 2 2 8" xfId="26439" xr:uid="{00000000-0005-0000-0000-000029670000}"/>
    <cellStyle name="Normal 2 3 2 2 9" xfId="26440" xr:uid="{00000000-0005-0000-0000-00002A670000}"/>
    <cellStyle name="Normal 2 3 2 20" xfId="26441" xr:uid="{00000000-0005-0000-0000-00002B670000}"/>
    <cellStyle name="Normal 2 3 2 20 10" xfId="26442" xr:uid="{00000000-0005-0000-0000-00002C670000}"/>
    <cellStyle name="Normal 2 3 2 20 11" xfId="26443" xr:uid="{00000000-0005-0000-0000-00002D670000}"/>
    <cellStyle name="Normal 2 3 2 20 12" xfId="26444" xr:uid="{00000000-0005-0000-0000-00002E670000}"/>
    <cellStyle name="Normal 2 3 2 20 13" xfId="26445" xr:uid="{00000000-0005-0000-0000-00002F670000}"/>
    <cellStyle name="Normal 2 3 2 20 14" xfId="26446" xr:uid="{00000000-0005-0000-0000-000030670000}"/>
    <cellStyle name="Normal 2 3 2 20 2" xfId="26447" xr:uid="{00000000-0005-0000-0000-000031670000}"/>
    <cellStyle name="Normal 2 3 2 20 2 10" xfId="26448" xr:uid="{00000000-0005-0000-0000-000032670000}"/>
    <cellStyle name="Normal 2 3 2 20 2 2" xfId="26449" xr:uid="{00000000-0005-0000-0000-000033670000}"/>
    <cellStyle name="Normal 2 3 2 20 2 3" xfId="26450" xr:uid="{00000000-0005-0000-0000-000034670000}"/>
    <cellStyle name="Normal 2 3 2 20 2 4" xfId="26451" xr:uid="{00000000-0005-0000-0000-000035670000}"/>
    <cellStyle name="Normal 2 3 2 20 2 5" xfId="26452" xr:uid="{00000000-0005-0000-0000-000036670000}"/>
    <cellStyle name="Normal 2 3 2 20 2 6" xfId="26453" xr:uid="{00000000-0005-0000-0000-000037670000}"/>
    <cellStyle name="Normal 2 3 2 20 2 7" xfId="26454" xr:uid="{00000000-0005-0000-0000-000038670000}"/>
    <cellStyle name="Normal 2 3 2 20 2 8" xfId="26455" xr:uid="{00000000-0005-0000-0000-000039670000}"/>
    <cellStyle name="Normal 2 3 2 20 2 9" xfId="26456" xr:uid="{00000000-0005-0000-0000-00003A670000}"/>
    <cellStyle name="Normal 2 3 2 20 3" xfId="26457" xr:uid="{00000000-0005-0000-0000-00003B670000}"/>
    <cellStyle name="Normal 2 3 2 20 3 10" xfId="26458" xr:uid="{00000000-0005-0000-0000-00003C670000}"/>
    <cellStyle name="Normal 2 3 2 20 3 2" xfId="26459" xr:uid="{00000000-0005-0000-0000-00003D670000}"/>
    <cellStyle name="Normal 2 3 2 20 3 3" xfId="26460" xr:uid="{00000000-0005-0000-0000-00003E670000}"/>
    <cellStyle name="Normal 2 3 2 20 3 4" xfId="26461" xr:uid="{00000000-0005-0000-0000-00003F670000}"/>
    <cellStyle name="Normal 2 3 2 20 3 5" xfId="26462" xr:uid="{00000000-0005-0000-0000-000040670000}"/>
    <cellStyle name="Normal 2 3 2 20 3 6" xfId="26463" xr:uid="{00000000-0005-0000-0000-000041670000}"/>
    <cellStyle name="Normal 2 3 2 20 3 7" xfId="26464" xr:uid="{00000000-0005-0000-0000-000042670000}"/>
    <cellStyle name="Normal 2 3 2 20 3 8" xfId="26465" xr:uid="{00000000-0005-0000-0000-000043670000}"/>
    <cellStyle name="Normal 2 3 2 20 3 9" xfId="26466" xr:uid="{00000000-0005-0000-0000-000044670000}"/>
    <cellStyle name="Normal 2 3 2 20 4" xfId="26467" xr:uid="{00000000-0005-0000-0000-000045670000}"/>
    <cellStyle name="Normal 2 3 2 20 4 10" xfId="26468" xr:uid="{00000000-0005-0000-0000-000046670000}"/>
    <cellStyle name="Normal 2 3 2 20 4 2" xfId="26469" xr:uid="{00000000-0005-0000-0000-000047670000}"/>
    <cellStyle name="Normal 2 3 2 20 4 3" xfId="26470" xr:uid="{00000000-0005-0000-0000-000048670000}"/>
    <cellStyle name="Normal 2 3 2 20 4 4" xfId="26471" xr:uid="{00000000-0005-0000-0000-000049670000}"/>
    <cellStyle name="Normal 2 3 2 20 4 5" xfId="26472" xr:uid="{00000000-0005-0000-0000-00004A670000}"/>
    <cellStyle name="Normal 2 3 2 20 4 6" xfId="26473" xr:uid="{00000000-0005-0000-0000-00004B670000}"/>
    <cellStyle name="Normal 2 3 2 20 4 7" xfId="26474" xr:uid="{00000000-0005-0000-0000-00004C670000}"/>
    <cellStyle name="Normal 2 3 2 20 4 8" xfId="26475" xr:uid="{00000000-0005-0000-0000-00004D670000}"/>
    <cellStyle name="Normal 2 3 2 20 4 9" xfId="26476" xr:uid="{00000000-0005-0000-0000-00004E670000}"/>
    <cellStyle name="Normal 2 3 2 20 5" xfId="26477" xr:uid="{00000000-0005-0000-0000-00004F670000}"/>
    <cellStyle name="Normal 2 3 2 20 5 10" xfId="26478" xr:uid="{00000000-0005-0000-0000-000050670000}"/>
    <cellStyle name="Normal 2 3 2 20 5 2" xfId="26479" xr:uid="{00000000-0005-0000-0000-000051670000}"/>
    <cellStyle name="Normal 2 3 2 20 5 3" xfId="26480" xr:uid="{00000000-0005-0000-0000-000052670000}"/>
    <cellStyle name="Normal 2 3 2 20 5 4" xfId="26481" xr:uid="{00000000-0005-0000-0000-000053670000}"/>
    <cellStyle name="Normal 2 3 2 20 5 5" xfId="26482" xr:uid="{00000000-0005-0000-0000-000054670000}"/>
    <cellStyle name="Normal 2 3 2 20 5 6" xfId="26483" xr:uid="{00000000-0005-0000-0000-000055670000}"/>
    <cellStyle name="Normal 2 3 2 20 5 7" xfId="26484" xr:uid="{00000000-0005-0000-0000-000056670000}"/>
    <cellStyle name="Normal 2 3 2 20 5 8" xfId="26485" xr:uid="{00000000-0005-0000-0000-000057670000}"/>
    <cellStyle name="Normal 2 3 2 20 5 9" xfId="26486" xr:uid="{00000000-0005-0000-0000-000058670000}"/>
    <cellStyle name="Normal 2 3 2 20 6" xfId="26487" xr:uid="{00000000-0005-0000-0000-000059670000}"/>
    <cellStyle name="Normal 2 3 2 20 7" xfId="26488" xr:uid="{00000000-0005-0000-0000-00005A670000}"/>
    <cellStyle name="Normal 2 3 2 20 8" xfId="26489" xr:uid="{00000000-0005-0000-0000-00005B670000}"/>
    <cellStyle name="Normal 2 3 2 20 9" xfId="26490" xr:uid="{00000000-0005-0000-0000-00005C670000}"/>
    <cellStyle name="Normal 2 3 2 21" xfId="26491" xr:uid="{00000000-0005-0000-0000-00005D670000}"/>
    <cellStyle name="Normal 2 3 2 21 10" xfId="26492" xr:uid="{00000000-0005-0000-0000-00005E670000}"/>
    <cellStyle name="Normal 2 3 2 21 11" xfId="26493" xr:uid="{00000000-0005-0000-0000-00005F670000}"/>
    <cellStyle name="Normal 2 3 2 21 12" xfId="26494" xr:uid="{00000000-0005-0000-0000-000060670000}"/>
    <cellStyle name="Normal 2 3 2 21 13" xfId="26495" xr:uid="{00000000-0005-0000-0000-000061670000}"/>
    <cellStyle name="Normal 2 3 2 21 14" xfId="26496" xr:uid="{00000000-0005-0000-0000-000062670000}"/>
    <cellStyle name="Normal 2 3 2 21 2" xfId="26497" xr:uid="{00000000-0005-0000-0000-000063670000}"/>
    <cellStyle name="Normal 2 3 2 21 2 10" xfId="26498" xr:uid="{00000000-0005-0000-0000-000064670000}"/>
    <cellStyle name="Normal 2 3 2 21 2 2" xfId="26499" xr:uid="{00000000-0005-0000-0000-000065670000}"/>
    <cellStyle name="Normal 2 3 2 21 2 3" xfId="26500" xr:uid="{00000000-0005-0000-0000-000066670000}"/>
    <cellStyle name="Normal 2 3 2 21 2 4" xfId="26501" xr:uid="{00000000-0005-0000-0000-000067670000}"/>
    <cellStyle name="Normal 2 3 2 21 2 5" xfId="26502" xr:uid="{00000000-0005-0000-0000-000068670000}"/>
    <cellStyle name="Normal 2 3 2 21 2 6" xfId="26503" xr:uid="{00000000-0005-0000-0000-000069670000}"/>
    <cellStyle name="Normal 2 3 2 21 2 7" xfId="26504" xr:uid="{00000000-0005-0000-0000-00006A670000}"/>
    <cellStyle name="Normal 2 3 2 21 2 8" xfId="26505" xr:uid="{00000000-0005-0000-0000-00006B670000}"/>
    <cellStyle name="Normal 2 3 2 21 2 9" xfId="26506" xr:uid="{00000000-0005-0000-0000-00006C670000}"/>
    <cellStyle name="Normal 2 3 2 21 3" xfId="26507" xr:uid="{00000000-0005-0000-0000-00006D670000}"/>
    <cellStyle name="Normal 2 3 2 21 3 10" xfId="26508" xr:uid="{00000000-0005-0000-0000-00006E670000}"/>
    <cellStyle name="Normal 2 3 2 21 3 2" xfId="26509" xr:uid="{00000000-0005-0000-0000-00006F670000}"/>
    <cellStyle name="Normal 2 3 2 21 3 3" xfId="26510" xr:uid="{00000000-0005-0000-0000-000070670000}"/>
    <cellStyle name="Normal 2 3 2 21 3 4" xfId="26511" xr:uid="{00000000-0005-0000-0000-000071670000}"/>
    <cellStyle name="Normal 2 3 2 21 3 5" xfId="26512" xr:uid="{00000000-0005-0000-0000-000072670000}"/>
    <cellStyle name="Normal 2 3 2 21 3 6" xfId="26513" xr:uid="{00000000-0005-0000-0000-000073670000}"/>
    <cellStyle name="Normal 2 3 2 21 3 7" xfId="26514" xr:uid="{00000000-0005-0000-0000-000074670000}"/>
    <cellStyle name="Normal 2 3 2 21 3 8" xfId="26515" xr:uid="{00000000-0005-0000-0000-000075670000}"/>
    <cellStyle name="Normal 2 3 2 21 3 9" xfId="26516" xr:uid="{00000000-0005-0000-0000-000076670000}"/>
    <cellStyle name="Normal 2 3 2 21 4" xfId="26517" xr:uid="{00000000-0005-0000-0000-000077670000}"/>
    <cellStyle name="Normal 2 3 2 21 4 10" xfId="26518" xr:uid="{00000000-0005-0000-0000-000078670000}"/>
    <cellStyle name="Normal 2 3 2 21 4 2" xfId="26519" xr:uid="{00000000-0005-0000-0000-000079670000}"/>
    <cellStyle name="Normal 2 3 2 21 4 3" xfId="26520" xr:uid="{00000000-0005-0000-0000-00007A670000}"/>
    <cellStyle name="Normal 2 3 2 21 4 4" xfId="26521" xr:uid="{00000000-0005-0000-0000-00007B670000}"/>
    <cellStyle name="Normal 2 3 2 21 4 5" xfId="26522" xr:uid="{00000000-0005-0000-0000-00007C670000}"/>
    <cellStyle name="Normal 2 3 2 21 4 6" xfId="26523" xr:uid="{00000000-0005-0000-0000-00007D670000}"/>
    <cellStyle name="Normal 2 3 2 21 4 7" xfId="26524" xr:uid="{00000000-0005-0000-0000-00007E670000}"/>
    <cellStyle name="Normal 2 3 2 21 4 8" xfId="26525" xr:uid="{00000000-0005-0000-0000-00007F670000}"/>
    <cellStyle name="Normal 2 3 2 21 4 9" xfId="26526" xr:uid="{00000000-0005-0000-0000-000080670000}"/>
    <cellStyle name="Normal 2 3 2 21 5" xfId="26527" xr:uid="{00000000-0005-0000-0000-000081670000}"/>
    <cellStyle name="Normal 2 3 2 21 5 10" xfId="26528" xr:uid="{00000000-0005-0000-0000-000082670000}"/>
    <cellStyle name="Normal 2 3 2 21 5 2" xfId="26529" xr:uid="{00000000-0005-0000-0000-000083670000}"/>
    <cellStyle name="Normal 2 3 2 21 5 3" xfId="26530" xr:uid="{00000000-0005-0000-0000-000084670000}"/>
    <cellStyle name="Normal 2 3 2 21 5 4" xfId="26531" xr:uid="{00000000-0005-0000-0000-000085670000}"/>
    <cellStyle name="Normal 2 3 2 21 5 5" xfId="26532" xr:uid="{00000000-0005-0000-0000-000086670000}"/>
    <cellStyle name="Normal 2 3 2 21 5 6" xfId="26533" xr:uid="{00000000-0005-0000-0000-000087670000}"/>
    <cellStyle name="Normal 2 3 2 21 5 7" xfId="26534" xr:uid="{00000000-0005-0000-0000-000088670000}"/>
    <cellStyle name="Normal 2 3 2 21 5 8" xfId="26535" xr:uid="{00000000-0005-0000-0000-000089670000}"/>
    <cellStyle name="Normal 2 3 2 21 5 9" xfId="26536" xr:uid="{00000000-0005-0000-0000-00008A670000}"/>
    <cellStyle name="Normal 2 3 2 21 6" xfId="26537" xr:uid="{00000000-0005-0000-0000-00008B670000}"/>
    <cellStyle name="Normal 2 3 2 21 7" xfId="26538" xr:uid="{00000000-0005-0000-0000-00008C670000}"/>
    <cellStyle name="Normal 2 3 2 21 8" xfId="26539" xr:uid="{00000000-0005-0000-0000-00008D670000}"/>
    <cellStyle name="Normal 2 3 2 21 9" xfId="26540" xr:uid="{00000000-0005-0000-0000-00008E670000}"/>
    <cellStyle name="Normal 2 3 2 22" xfId="26541" xr:uid="{00000000-0005-0000-0000-00008F670000}"/>
    <cellStyle name="Normal 2 3 2 22 10" xfId="26542" xr:uid="{00000000-0005-0000-0000-000090670000}"/>
    <cellStyle name="Normal 2 3 2 22 11" xfId="26543" xr:uid="{00000000-0005-0000-0000-000091670000}"/>
    <cellStyle name="Normal 2 3 2 22 12" xfId="26544" xr:uid="{00000000-0005-0000-0000-000092670000}"/>
    <cellStyle name="Normal 2 3 2 22 13" xfId="26545" xr:uid="{00000000-0005-0000-0000-000093670000}"/>
    <cellStyle name="Normal 2 3 2 22 14" xfId="26546" xr:uid="{00000000-0005-0000-0000-000094670000}"/>
    <cellStyle name="Normal 2 3 2 22 2" xfId="26547" xr:uid="{00000000-0005-0000-0000-000095670000}"/>
    <cellStyle name="Normal 2 3 2 22 2 10" xfId="26548" xr:uid="{00000000-0005-0000-0000-000096670000}"/>
    <cellStyle name="Normal 2 3 2 22 2 2" xfId="26549" xr:uid="{00000000-0005-0000-0000-000097670000}"/>
    <cellStyle name="Normal 2 3 2 22 2 3" xfId="26550" xr:uid="{00000000-0005-0000-0000-000098670000}"/>
    <cellStyle name="Normal 2 3 2 22 2 4" xfId="26551" xr:uid="{00000000-0005-0000-0000-000099670000}"/>
    <cellStyle name="Normal 2 3 2 22 2 5" xfId="26552" xr:uid="{00000000-0005-0000-0000-00009A670000}"/>
    <cellStyle name="Normal 2 3 2 22 2 6" xfId="26553" xr:uid="{00000000-0005-0000-0000-00009B670000}"/>
    <cellStyle name="Normal 2 3 2 22 2 7" xfId="26554" xr:uid="{00000000-0005-0000-0000-00009C670000}"/>
    <cellStyle name="Normal 2 3 2 22 2 8" xfId="26555" xr:uid="{00000000-0005-0000-0000-00009D670000}"/>
    <cellStyle name="Normal 2 3 2 22 2 9" xfId="26556" xr:uid="{00000000-0005-0000-0000-00009E670000}"/>
    <cellStyle name="Normal 2 3 2 22 3" xfId="26557" xr:uid="{00000000-0005-0000-0000-00009F670000}"/>
    <cellStyle name="Normal 2 3 2 22 3 10" xfId="26558" xr:uid="{00000000-0005-0000-0000-0000A0670000}"/>
    <cellStyle name="Normal 2 3 2 22 3 2" xfId="26559" xr:uid="{00000000-0005-0000-0000-0000A1670000}"/>
    <cellStyle name="Normal 2 3 2 22 3 3" xfId="26560" xr:uid="{00000000-0005-0000-0000-0000A2670000}"/>
    <cellStyle name="Normal 2 3 2 22 3 4" xfId="26561" xr:uid="{00000000-0005-0000-0000-0000A3670000}"/>
    <cellStyle name="Normal 2 3 2 22 3 5" xfId="26562" xr:uid="{00000000-0005-0000-0000-0000A4670000}"/>
    <cellStyle name="Normal 2 3 2 22 3 6" xfId="26563" xr:uid="{00000000-0005-0000-0000-0000A5670000}"/>
    <cellStyle name="Normal 2 3 2 22 3 7" xfId="26564" xr:uid="{00000000-0005-0000-0000-0000A6670000}"/>
    <cellStyle name="Normal 2 3 2 22 3 8" xfId="26565" xr:uid="{00000000-0005-0000-0000-0000A7670000}"/>
    <cellStyle name="Normal 2 3 2 22 3 9" xfId="26566" xr:uid="{00000000-0005-0000-0000-0000A8670000}"/>
    <cellStyle name="Normal 2 3 2 22 4" xfId="26567" xr:uid="{00000000-0005-0000-0000-0000A9670000}"/>
    <cellStyle name="Normal 2 3 2 22 4 10" xfId="26568" xr:uid="{00000000-0005-0000-0000-0000AA670000}"/>
    <cellStyle name="Normal 2 3 2 22 4 2" xfId="26569" xr:uid="{00000000-0005-0000-0000-0000AB670000}"/>
    <cellStyle name="Normal 2 3 2 22 4 3" xfId="26570" xr:uid="{00000000-0005-0000-0000-0000AC670000}"/>
    <cellStyle name="Normal 2 3 2 22 4 4" xfId="26571" xr:uid="{00000000-0005-0000-0000-0000AD670000}"/>
    <cellStyle name="Normal 2 3 2 22 4 5" xfId="26572" xr:uid="{00000000-0005-0000-0000-0000AE670000}"/>
    <cellStyle name="Normal 2 3 2 22 4 6" xfId="26573" xr:uid="{00000000-0005-0000-0000-0000AF670000}"/>
    <cellStyle name="Normal 2 3 2 22 4 7" xfId="26574" xr:uid="{00000000-0005-0000-0000-0000B0670000}"/>
    <cellStyle name="Normal 2 3 2 22 4 8" xfId="26575" xr:uid="{00000000-0005-0000-0000-0000B1670000}"/>
    <cellStyle name="Normal 2 3 2 22 4 9" xfId="26576" xr:uid="{00000000-0005-0000-0000-0000B2670000}"/>
    <cellStyle name="Normal 2 3 2 22 5" xfId="26577" xr:uid="{00000000-0005-0000-0000-0000B3670000}"/>
    <cellStyle name="Normal 2 3 2 22 5 10" xfId="26578" xr:uid="{00000000-0005-0000-0000-0000B4670000}"/>
    <cellStyle name="Normal 2 3 2 22 5 2" xfId="26579" xr:uid="{00000000-0005-0000-0000-0000B5670000}"/>
    <cellStyle name="Normal 2 3 2 22 5 3" xfId="26580" xr:uid="{00000000-0005-0000-0000-0000B6670000}"/>
    <cellStyle name="Normal 2 3 2 22 5 4" xfId="26581" xr:uid="{00000000-0005-0000-0000-0000B7670000}"/>
    <cellStyle name="Normal 2 3 2 22 5 5" xfId="26582" xr:uid="{00000000-0005-0000-0000-0000B8670000}"/>
    <cellStyle name="Normal 2 3 2 22 5 6" xfId="26583" xr:uid="{00000000-0005-0000-0000-0000B9670000}"/>
    <cellStyle name="Normal 2 3 2 22 5 7" xfId="26584" xr:uid="{00000000-0005-0000-0000-0000BA670000}"/>
    <cellStyle name="Normal 2 3 2 22 5 8" xfId="26585" xr:uid="{00000000-0005-0000-0000-0000BB670000}"/>
    <cellStyle name="Normal 2 3 2 22 5 9" xfId="26586" xr:uid="{00000000-0005-0000-0000-0000BC670000}"/>
    <cellStyle name="Normal 2 3 2 22 6" xfId="26587" xr:uid="{00000000-0005-0000-0000-0000BD670000}"/>
    <cellStyle name="Normal 2 3 2 22 7" xfId="26588" xr:uid="{00000000-0005-0000-0000-0000BE670000}"/>
    <cellStyle name="Normal 2 3 2 22 8" xfId="26589" xr:uid="{00000000-0005-0000-0000-0000BF670000}"/>
    <cellStyle name="Normal 2 3 2 22 9" xfId="26590" xr:uid="{00000000-0005-0000-0000-0000C0670000}"/>
    <cellStyle name="Normal 2 3 2 23" xfId="26591" xr:uid="{00000000-0005-0000-0000-0000C1670000}"/>
    <cellStyle name="Normal 2 3 2 23 10" xfId="26592" xr:uid="{00000000-0005-0000-0000-0000C2670000}"/>
    <cellStyle name="Normal 2 3 2 23 11" xfId="26593" xr:uid="{00000000-0005-0000-0000-0000C3670000}"/>
    <cellStyle name="Normal 2 3 2 23 12" xfId="26594" xr:uid="{00000000-0005-0000-0000-0000C4670000}"/>
    <cellStyle name="Normal 2 3 2 23 13" xfId="26595" xr:uid="{00000000-0005-0000-0000-0000C5670000}"/>
    <cellStyle name="Normal 2 3 2 23 14" xfId="26596" xr:uid="{00000000-0005-0000-0000-0000C6670000}"/>
    <cellStyle name="Normal 2 3 2 23 2" xfId="26597" xr:uid="{00000000-0005-0000-0000-0000C7670000}"/>
    <cellStyle name="Normal 2 3 2 23 2 10" xfId="26598" xr:uid="{00000000-0005-0000-0000-0000C8670000}"/>
    <cellStyle name="Normal 2 3 2 23 2 2" xfId="26599" xr:uid="{00000000-0005-0000-0000-0000C9670000}"/>
    <cellStyle name="Normal 2 3 2 23 2 3" xfId="26600" xr:uid="{00000000-0005-0000-0000-0000CA670000}"/>
    <cellStyle name="Normal 2 3 2 23 2 4" xfId="26601" xr:uid="{00000000-0005-0000-0000-0000CB670000}"/>
    <cellStyle name="Normal 2 3 2 23 2 5" xfId="26602" xr:uid="{00000000-0005-0000-0000-0000CC670000}"/>
    <cellStyle name="Normal 2 3 2 23 2 6" xfId="26603" xr:uid="{00000000-0005-0000-0000-0000CD670000}"/>
    <cellStyle name="Normal 2 3 2 23 2 7" xfId="26604" xr:uid="{00000000-0005-0000-0000-0000CE670000}"/>
    <cellStyle name="Normal 2 3 2 23 2 8" xfId="26605" xr:uid="{00000000-0005-0000-0000-0000CF670000}"/>
    <cellStyle name="Normal 2 3 2 23 2 9" xfId="26606" xr:uid="{00000000-0005-0000-0000-0000D0670000}"/>
    <cellStyle name="Normal 2 3 2 23 3" xfId="26607" xr:uid="{00000000-0005-0000-0000-0000D1670000}"/>
    <cellStyle name="Normal 2 3 2 23 3 10" xfId="26608" xr:uid="{00000000-0005-0000-0000-0000D2670000}"/>
    <cellStyle name="Normal 2 3 2 23 3 2" xfId="26609" xr:uid="{00000000-0005-0000-0000-0000D3670000}"/>
    <cellStyle name="Normal 2 3 2 23 3 3" xfId="26610" xr:uid="{00000000-0005-0000-0000-0000D4670000}"/>
    <cellStyle name="Normal 2 3 2 23 3 4" xfId="26611" xr:uid="{00000000-0005-0000-0000-0000D5670000}"/>
    <cellStyle name="Normal 2 3 2 23 3 5" xfId="26612" xr:uid="{00000000-0005-0000-0000-0000D6670000}"/>
    <cellStyle name="Normal 2 3 2 23 3 6" xfId="26613" xr:uid="{00000000-0005-0000-0000-0000D7670000}"/>
    <cellStyle name="Normal 2 3 2 23 3 7" xfId="26614" xr:uid="{00000000-0005-0000-0000-0000D8670000}"/>
    <cellStyle name="Normal 2 3 2 23 3 8" xfId="26615" xr:uid="{00000000-0005-0000-0000-0000D9670000}"/>
    <cellStyle name="Normal 2 3 2 23 3 9" xfId="26616" xr:uid="{00000000-0005-0000-0000-0000DA670000}"/>
    <cellStyle name="Normal 2 3 2 23 4" xfId="26617" xr:uid="{00000000-0005-0000-0000-0000DB670000}"/>
    <cellStyle name="Normal 2 3 2 23 4 10" xfId="26618" xr:uid="{00000000-0005-0000-0000-0000DC670000}"/>
    <cellStyle name="Normal 2 3 2 23 4 2" xfId="26619" xr:uid="{00000000-0005-0000-0000-0000DD670000}"/>
    <cellStyle name="Normal 2 3 2 23 4 3" xfId="26620" xr:uid="{00000000-0005-0000-0000-0000DE670000}"/>
    <cellStyle name="Normal 2 3 2 23 4 4" xfId="26621" xr:uid="{00000000-0005-0000-0000-0000DF670000}"/>
    <cellStyle name="Normal 2 3 2 23 4 5" xfId="26622" xr:uid="{00000000-0005-0000-0000-0000E0670000}"/>
    <cellStyle name="Normal 2 3 2 23 4 6" xfId="26623" xr:uid="{00000000-0005-0000-0000-0000E1670000}"/>
    <cellStyle name="Normal 2 3 2 23 4 7" xfId="26624" xr:uid="{00000000-0005-0000-0000-0000E2670000}"/>
    <cellStyle name="Normal 2 3 2 23 4 8" xfId="26625" xr:uid="{00000000-0005-0000-0000-0000E3670000}"/>
    <cellStyle name="Normal 2 3 2 23 4 9" xfId="26626" xr:uid="{00000000-0005-0000-0000-0000E4670000}"/>
    <cellStyle name="Normal 2 3 2 23 5" xfId="26627" xr:uid="{00000000-0005-0000-0000-0000E5670000}"/>
    <cellStyle name="Normal 2 3 2 23 5 10" xfId="26628" xr:uid="{00000000-0005-0000-0000-0000E6670000}"/>
    <cellStyle name="Normal 2 3 2 23 5 2" xfId="26629" xr:uid="{00000000-0005-0000-0000-0000E7670000}"/>
    <cellStyle name="Normal 2 3 2 23 5 3" xfId="26630" xr:uid="{00000000-0005-0000-0000-0000E8670000}"/>
    <cellStyle name="Normal 2 3 2 23 5 4" xfId="26631" xr:uid="{00000000-0005-0000-0000-0000E9670000}"/>
    <cellStyle name="Normal 2 3 2 23 5 5" xfId="26632" xr:uid="{00000000-0005-0000-0000-0000EA670000}"/>
    <cellStyle name="Normal 2 3 2 23 5 6" xfId="26633" xr:uid="{00000000-0005-0000-0000-0000EB670000}"/>
    <cellStyle name="Normal 2 3 2 23 5 7" xfId="26634" xr:uid="{00000000-0005-0000-0000-0000EC670000}"/>
    <cellStyle name="Normal 2 3 2 23 5 8" xfId="26635" xr:uid="{00000000-0005-0000-0000-0000ED670000}"/>
    <cellStyle name="Normal 2 3 2 23 5 9" xfId="26636" xr:uid="{00000000-0005-0000-0000-0000EE670000}"/>
    <cellStyle name="Normal 2 3 2 23 6" xfId="26637" xr:uid="{00000000-0005-0000-0000-0000EF670000}"/>
    <cellStyle name="Normal 2 3 2 23 7" xfId="26638" xr:uid="{00000000-0005-0000-0000-0000F0670000}"/>
    <cellStyle name="Normal 2 3 2 23 8" xfId="26639" xr:uid="{00000000-0005-0000-0000-0000F1670000}"/>
    <cellStyle name="Normal 2 3 2 23 9" xfId="26640" xr:uid="{00000000-0005-0000-0000-0000F2670000}"/>
    <cellStyle name="Normal 2 3 2 24" xfId="26641" xr:uid="{00000000-0005-0000-0000-0000F3670000}"/>
    <cellStyle name="Normal 2 3 2 24 10" xfId="26642" xr:uid="{00000000-0005-0000-0000-0000F4670000}"/>
    <cellStyle name="Normal 2 3 2 24 11" xfId="26643" xr:uid="{00000000-0005-0000-0000-0000F5670000}"/>
    <cellStyle name="Normal 2 3 2 24 12" xfId="26644" xr:uid="{00000000-0005-0000-0000-0000F6670000}"/>
    <cellStyle name="Normal 2 3 2 24 13" xfId="26645" xr:uid="{00000000-0005-0000-0000-0000F7670000}"/>
    <cellStyle name="Normal 2 3 2 24 14" xfId="26646" xr:uid="{00000000-0005-0000-0000-0000F8670000}"/>
    <cellStyle name="Normal 2 3 2 24 2" xfId="26647" xr:uid="{00000000-0005-0000-0000-0000F9670000}"/>
    <cellStyle name="Normal 2 3 2 24 2 10" xfId="26648" xr:uid="{00000000-0005-0000-0000-0000FA670000}"/>
    <cellStyle name="Normal 2 3 2 24 2 2" xfId="26649" xr:uid="{00000000-0005-0000-0000-0000FB670000}"/>
    <cellStyle name="Normal 2 3 2 24 2 3" xfId="26650" xr:uid="{00000000-0005-0000-0000-0000FC670000}"/>
    <cellStyle name="Normal 2 3 2 24 2 4" xfId="26651" xr:uid="{00000000-0005-0000-0000-0000FD670000}"/>
    <cellStyle name="Normal 2 3 2 24 2 5" xfId="26652" xr:uid="{00000000-0005-0000-0000-0000FE670000}"/>
    <cellStyle name="Normal 2 3 2 24 2 6" xfId="26653" xr:uid="{00000000-0005-0000-0000-0000FF670000}"/>
    <cellStyle name="Normal 2 3 2 24 2 7" xfId="26654" xr:uid="{00000000-0005-0000-0000-000000680000}"/>
    <cellStyle name="Normal 2 3 2 24 2 8" xfId="26655" xr:uid="{00000000-0005-0000-0000-000001680000}"/>
    <cellStyle name="Normal 2 3 2 24 2 9" xfId="26656" xr:uid="{00000000-0005-0000-0000-000002680000}"/>
    <cellStyle name="Normal 2 3 2 24 3" xfId="26657" xr:uid="{00000000-0005-0000-0000-000003680000}"/>
    <cellStyle name="Normal 2 3 2 24 3 10" xfId="26658" xr:uid="{00000000-0005-0000-0000-000004680000}"/>
    <cellStyle name="Normal 2 3 2 24 3 2" xfId="26659" xr:uid="{00000000-0005-0000-0000-000005680000}"/>
    <cellStyle name="Normal 2 3 2 24 3 3" xfId="26660" xr:uid="{00000000-0005-0000-0000-000006680000}"/>
    <cellStyle name="Normal 2 3 2 24 3 4" xfId="26661" xr:uid="{00000000-0005-0000-0000-000007680000}"/>
    <cellStyle name="Normal 2 3 2 24 3 5" xfId="26662" xr:uid="{00000000-0005-0000-0000-000008680000}"/>
    <cellStyle name="Normal 2 3 2 24 3 6" xfId="26663" xr:uid="{00000000-0005-0000-0000-000009680000}"/>
    <cellStyle name="Normal 2 3 2 24 3 7" xfId="26664" xr:uid="{00000000-0005-0000-0000-00000A680000}"/>
    <cellStyle name="Normal 2 3 2 24 3 8" xfId="26665" xr:uid="{00000000-0005-0000-0000-00000B680000}"/>
    <cellStyle name="Normal 2 3 2 24 3 9" xfId="26666" xr:uid="{00000000-0005-0000-0000-00000C680000}"/>
    <cellStyle name="Normal 2 3 2 24 4" xfId="26667" xr:uid="{00000000-0005-0000-0000-00000D680000}"/>
    <cellStyle name="Normal 2 3 2 24 4 10" xfId="26668" xr:uid="{00000000-0005-0000-0000-00000E680000}"/>
    <cellStyle name="Normal 2 3 2 24 4 2" xfId="26669" xr:uid="{00000000-0005-0000-0000-00000F680000}"/>
    <cellStyle name="Normal 2 3 2 24 4 3" xfId="26670" xr:uid="{00000000-0005-0000-0000-000010680000}"/>
    <cellStyle name="Normal 2 3 2 24 4 4" xfId="26671" xr:uid="{00000000-0005-0000-0000-000011680000}"/>
    <cellStyle name="Normal 2 3 2 24 4 5" xfId="26672" xr:uid="{00000000-0005-0000-0000-000012680000}"/>
    <cellStyle name="Normal 2 3 2 24 4 6" xfId="26673" xr:uid="{00000000-0005-0000-0000-000013680000}"/>
    <cellStyle name="Normal 2 3 2 24 4 7" xfId="26674" xr:uid="{00000000-0005-0000-0000-000014680000}"/>
    <cellStyle name="Normal 2 3 2 24 4 8" xfId="26675" xr:uid="{00000000-0005-0000-0000-000015680000}"/>
    <cellStyle name="Normal 2 3 2 24 4 9" xfId="26676" xr:uid="{00000000-0005-0000-0000-000016680000}"/>
    <cellStyle name="Normal 2 3 2 24 5" xfId="26677" xr:uid="{00000000-0005-0000-0000-000017680000}"/>
    <cellStyle name="Normal 2 3 2 24 5 10" xfId="26678" xr:uid="{00000000-0005-0000-0000-000018680000}"/>
    <cellStyle name="Normal 2 3 2 24 5 2" xfId="26679" xr:uid="{00000000-0005-0000-0000-000019680000}"/>
    <cellStyle name="Normal 2 3 2 24 5 3" xfId="26680" xr:uid="{00000000-0005-0000-0000-00001A680000}"/>
    <cellStyle name="Normal 2 3 2 24 5 4" xfId="26681" xr:uid="{00000000-0005-0000-0000-00001B680000}"/>
    <cellStyle name="Normal 2 3 2 24 5 5" xfId="26682" xr:uid="{00000000-0005-0000-0000-00001C680000}"/>
    <cellStyle name="Normal 2 3 2 24 5 6" xfId="26683" xr:uid="{00000000-0005-0000-0000-00001D680000}"/>
    <cellStyle name="Normal 2 3 2 24 5 7" xfId="26684" xr:uid="{00000000-0005-0000-0000-00001E680000}"/>
    <cellStyle name="Normal 2 3 2 24 5 8" xfId="26685" xr:uid="{00000000-0005-0000-0000-00001F680000}"/>
    <cellStyle name="Normal 2 3 2 24 5 9" xfId="26686" xr:uid="{00000000-0005-0000-0000-000020680000}"/>
    <cellStyle name="Normal 2 3 2 24 6" xfId="26687" xr:uid="{00000000-0005-0000-0000-000021680000}"/>
    <cellStyle name="Normal 2 3 2 24 7" xfId="26688" xr:uid="{00000000-0005-0000-0000-000022680000}"/>
    <cellStyle name="Normal 2 3 2 24 8" xfId="26689" xr:uid="{00000000-0005-0000-0000-000023680000}"/>
    <cellStyle name="Normal 2 3 2 24 9" xfId="26690" xr:uid="{00000000-0005-0000-0000-000024680000}"/>
    <cellStyle name="Normal 2 3 2 25" xfId="26691" xr:uid="{00000000-0005-0000-0000-000025680000}"/>
    <cellStyle name="Normal 2 3 2 25 10" xfId="26692" xr:uid="{00000000-0005-0000-0000-000026680000}"/>
    <cellStyle name="Normal 2 3 2 25 11" xfId="26693" xr:uid="{00000000-0005-0000-0000-000027680000}"/>
    <cellStyle name="Normal 2 3 2 25 12" xfId="26694" xr:uid="{00000000-0005-0000-0000-000028680000}"/>
    <cellStyle name="Normal 2 3 2 25 13" xfId="26695" xr:uid="{00000000-0005-0000-0000-000029680000}"/>
    <cellStyle name="Normal 2 3 2 25 14" xfId="26696" xr:uid="{00000000-0005-0000-0000-00002A680000}"/>
    <cellStyle name="Normal 2 3 2 25 2" xfId="26697" xr:uid="{00000000-0005-0000-0000-00002B680000}"/>
    <cellStyle name="Normal 2 3 2 25 2 10" xfId="26698" xr:uid="{00000000-0005-0000-0000-00002C680000}"/>
    <cellStyle name="Normal 2 3 2 25 2 2" xfId="26699" xr:uid="{00000000-0005-0000-0000-00002D680000}"/>
    <cellStyle name="Normal 2 3 2 25 2 3" xfId="26700" xr:uid="{00000000-0005-0000-0000-00002E680000}"/>
    <cellStyle name="Normal 2 3 2 25 2 4" xfId="26701" xr:uid="{00000000-0005-0000-0000-00002F680000}"/>
    <cellStyle name="Normal 2 3 2 25 2 5" xfId="26702" xr:uid="{00000000-0005-0000-0000-000030680000}"/>
    <cellStyle name="Normal 2 3 2 25 2 6" xfId="26703" xr:uid="{00000000-0005-0000-0000-000031680000}"/>
    <cellStyle name="Normal 2 3 2 25 2 7" xfId="26704" xr:uid="{00000000-0005-0000-0000-000032680000}"/>
    <cellStyle name="Normal 2 3 2 25 2 8" xfId="26705" xr:uid="{00000000-0005-0000-0000-000033680000}"/>
    <cellStyle name="Normal 2 3 2 25 2 9" xfId="26706" xr:uid="{00000000-0005-0000-0000-000034680000}"/>
    <cellStyle name="Normal 2 3 2 25 3" xfId="26707" xr:uid="{00000000-0005-0000-0000-000035680000}"/>
    <cellStyle name="Normal 2 3 2 25 3 10" xfId="26708" xr:uid="{00000000-0005-0000-0000-000036680000}"/>
    <cellStyle name="Normal 2 3 2 25 3 2" xfId="26709" xr:uid="{00000000-0005-0000-0000-000037680000}"/>
    <cellStyle name="Normal 2 3 2 25 3 3" xfId="26710" xr:uid="{00000000-0005-0000-0000-000038680000}"/>
    <cellStyle name="Normal 2 3 2 25 3 4" xfId="26711" xr:uid="{00000000-0005-0000-0000-000039680000}"/>
    <cellStyle name="Normal 2 3 2 25 3 5" xfId="26712" xr:uid="{00000000-0005-0000-0000-00003A680000}"/>
    <cellStyle name="Normal 2 3 2 25 3 6" xfId="26713" xr:uid="{00000000-0005-0000-0000-00003B680000}"/>
    <cellStyle name="Normal 2 3 2 25 3 7" xfId="26714" xr:uid="{00000000-0005-0000-0000-00003C680000}"/>
    <cellStyle name="Normal 2 3 2 25 3 8" xfId="26715" xr:uid="{00000000-0005-0000-0000-00003D680000}"/>
    <cellStyle name="Normal 2 3 2 25 3 9" xfId="26716" xr:uid="{00000000-0005-0000-0000-00003E680000}"/>
    <cellStyle name="Normal 2 3 2 25 4" xfId="26717" xr:uid="{00000000-0005-0000-0000-00003F680000}"/>
    <cellStyle name="Normal 2 3 2 25 4 10" xfId="26718" xr:uid="{00000000-0005-0000-0000-000040680000}"/>
    <cellStyle name="Normal 2 3 2 25 4 2" xfId="26719" xr:uid="{00000000-0005-0000-0000-000041680000}"/>
    <cellStyle name="Normal 2 3 2 25 4 3" xfId="26720" xr:uid="{00000000-0005-0000-0000-000042680000}"/>
    <cellStyle name="Normal 2 3 2 25 4 4" xfId="26721" xr:uid="{00000000-0005-0000-0000-000043680000}"/>
    <cellStyle name="Normal 2 3 2 25 4 5" xfId="26722" xr:uid="{00000000-0005-0000-0000-000044680000}"/>
    <cellStyle name="Normal 2 3 2 25 4 6" xfId="26723" xr:uid="{00000000-0005-0000-0000-000045680000}"/>
    <cellStyle name="Normal 2 3 2 25 4 7" xfId="26724" xr:uid="{00000000-0005-0000-0000-000046680000}"/>
    <cellStyle name="Normal 2 3 2 25 4 8" xfId="26725" xr:uid="{00000000-0005-0000-0000-000047680000}"/>
    <cellStyle name="Normal 2 3 2 25 4 9" xfId="26726" xr:uid="{00000000-0005-0000-0000-000048680000}"/>
    <cellStyle name="Normal 2 3 2 25 5" xfId="26727" xr:uid="{00000000-0005-0000-0000-000049680000}"/>
    <cellStyle name="Normal 2 3 2 25 5 10" xfId="26728" xr:uid="{00000000-0005-0000-0000-00004A680000}"/>
    <cellStyle name="Normal 2 3 2 25 5 2" xfId="26729" xr:uid="{00000000-0005-0000-0000-00004B680000}"/>
    <cellStyle name="Normal 2 3 2 25 5 3" xfId="26730" xr:uid="{00000000-0005-0000-0000-00004C680000}"/>
    <cellStyle name="Normal 2 3 2 25 5 4" xfId="26731" xr:uid="{00000000-0005-0000-0000-00004D680000}"/>
    <cellStyle name="Normal 2 3 2 25 5 5" xfId="26732" xr:uid="{00000000-0005-0000-0000-00004E680000}"/>
    <cellStyle name="Normal 2 3 2 25 5 6" xfId="26733" xr:uid="{00000000-0005-0000-0000-00004F680000}"/>
    <cellStyle name="Normal 2 3 2 25 5 7" xfId="26734" xr:uid="{00000000-0005-0000-0000-000050680000}"/>
    <cellStyle name="Normal 2 3 2 25 5 8" xfId="26735" xr:uid="{00000000-0005-0000-0000-000051680000}"/>
    <cellStyle name="Normal 2 3 2 25 5 9" xfId="26736" xr:uid="{00000000-0005-0000-0000-000052680000}"/>
    <cellStyle name="Normal 2 3 2 25 6" xfId="26737" xr:uid="{00000000-0005-0000-0000-000053680000}"/>
    <cellStyle name="Normal 2 3 2 25 7" xfId="26738" xr:uid="{00000000-0005-0000-0000-000054680000}"/>
    <cellStyle name="Normal 2 3 2 25 8" xfId="26739" xr:uid="{00000000-0005-0000-0000-000055680000}"/>
    <cellStyle name="Normal 2 3 2 25 9" xfId="26740" xr:uid="{00000000-0005-0000-0000-000056680000}"/>
    <cellStyle name="Normal 2 3 2 26" xfId="26741" xr:uid="{00000000-0005-0000-0000-000057680000}"/>
    <cellStyle name="Normal 2 3 2 26 10" xfId="26742" xr:uid="{00000000-0005-0000-0000-000058680000}"/>
    <cellStyle name="Normal 2 3 2 26 11" xfId="26743" xr:uid="{00000000-0005-0000-0000-000059680000}"/>
    <cellStyle name="Normal 2 3 2 26 12" xfId="26744" xr:uid="{00000000-0005-0000-0000-00005A680000}"/>
    <cellStyle name="Normal 2 3 2 26 13" xfId="26745" xr:uid="{00000000-0005-0000-0000-00005B680000}"/>
    <cellStyle name="Normal 2 3 2 26 14" xfId="26746" xr:uid="{00000000-0005-0000-0000-00005C680000}"/>
    <cellStyle name="Normal 2 3 2 26 2" xfId="26747" xr:uid="{00000000-0005-0000-0000-00005D680000}"/>
    <cellStyle name="Normal 2 3 2 26 2 10" xfId="26748" xr:uid="{00000000-0005-0000-0000-00005E680000}"/>
    <cellStyle name="Normal 2 3 2 26 2 2" xfId="26749" xr:uid="{00000000-0005-0000-0000-00005F680000}"/>
    <cellStyle name="Normal 2 3 2 26 2 3" xfId="26750" xr:uid="{00000000-0005-0000-0000-000060680000}"/>
    <cellStyle name="Normal 2 3 2 26 2 4" xfId="26751" xr:uid="{00000000-0005-0000-0000-000061680000}"/>
    <cellStyle name="Normal 2 3 2 26 2 5" xfId="26752" xr:uid="{00000000-0005-0000-0000-000062680000}"/>
    <cellStyle name="Normal 2 3 2 26 2 6" xfId="26753" xr:uid="{00000000-0005-0000-0000-000063680000}"/>
    <cellStyle name="Normal 2 3 2 26 2 7" xfId="26754" xr:uid="{00000000-0005-0000-0000-000064680000}"/>
    <cellStyle name="Normal 2 3 2 26 2 8" xfId="26755" xr:uid="{00000000-0005-0000-0000-000065680000}"/>
    <cellStyle name="Normal 2 3 2 26 2 9" xfId="26756" xr:uid="{00000000-0005-0000-0000-000066680000}"/>
    <cellStyle name="Normal 2 3 2 26 3" xfId="26757" xr:uid="{00000000-0005-0000-0000-000067680000}"/>
    <cellStyle name="Normal 2 3 2 26 3 10" xfId="26758" xr:uid="{00000000-0005-0000-0000-000068680000}"/>
    <cellStyle name="Normal 2 3 2 26 3 2" xfId="26759" xr:uid="{00000000-0005-0000-0000-000069680000}"/>
    <cellStyle name="Normal 2 3 2 26 3 3" xfId="26760" xr:uid="{00000000-0005-0000-0000-00006A680000}"/>
    <cellStyle name="Normal 2 3 2 26 3 4" xfId="26761" xr:uid="{00000000-0005-0000-0000-00006B680000}"/>
    <cellStyle name="Normal 2 3 2 26 3 5" xfId="26762" xr:uid="{00000000-0005-0000-0000-00006C680000}"/>
    <cellStyle name="Normal 2 3 2 26 3 6" xfId="26763" xr:uid="{00000000-0005-0000-0000-00006D680000}"/>
    <cellStyle name="Normal 2 3 2 26 3 7" xfId="26764" xr:uid="{00000000-0005-0000-0000-00006E680000}"/>
    <cellStyle name="Normal 2 3 2 26 3 8" xfId="26765" xr:uid="{00000000-0005-0000-0000-00006F680000}"/>
    <cellStyle name="Normal 2 3 2 26 3 9" xfId="26766" xr:uid="{00000000-0005-0000-0000-000070680000}"/>
    <cellStyle name="Normal 2 3 2 26 4" xfId="26767" xr:uid="{00000000-0005-0000-0000-000071680000}"/>
    <cellStyle name="Normal 2 3 2 26 4 10" xfId="26768" xr:uid="{00000000-0005-0000-0000-000072680000}"/>
    <cellStyle name="Normal 2 3 2 26 4 2" xfId="26769" xr:uid="{00000000-0005-0000-0000-000073680000}"/>
    <cellStyle name="Normal 2 3 2 26 4 3" xfId="26770" xr:uid="{00000000-0005-0000-0000-000074680000}"/>
    <cellStyle name="Normal 2 3 2 26 4 4" xfId="26771" xr:uid="{00000000-0005-0000-0000-000075680000}"/>
    <cellStyle name="Normal 2 3 2 26 4 5" xfId="26772" xr:uid="{00000000-0005-0000-0000-000076680000}"/>
    <cellStyle name="Normal 2 3 2 26 4 6" xfId="26773" xr:uid="{00000000-0005-0000-0000-000077680000}"/>
    <cellStyle name="Normal 2 3 2 26 4 7" xfId="26774" xr:uid="{00000000-0005-0000-0000-000078680000}"/>
    <cellStyle name="Normal 2 3 2 26 4 8" xfId="26775" xr:uid="{00000000-0005-0000-0000-000079680000}"/>
    <cellStyle name="Normal 2 3 2 26 4 9" xfId="26776" xr:uid="{00000000-0005-0000-0000-00007A680000}"/>
    <cellStyle name="Normal 2 3 2 26 5" xfId="26777" xr:uid="{00000000-0005-0000-0000-00007B680000}"/>
    <cellStyle name="Normal 2 3 2 26 5 10" xfId="26778" xr:uid="{00000000-0005-0000-0000-00007C680000}"/>
    <cellStyle name="Normal 2 3 2 26 5 2" xfId="26779" xr:uid="{00000000-0005-0000-0000-00007D680000}"/>
    <cellStyle name="Normal 2 3 2 26 5 3" xfId="26780" xr:uid="{00000000-0005-0000-0000-00007E680000}"/>
    <cellStyle name="Normal 2 3 2 26 5 4" xfId="26781" xr:uid="{00000000-0005-0000-0000-00007F680000}"/>
    <cellStyle name="Normal 2 3 2 26 5 5" xfId="26782" xr:uid="{00000000-0005-0000-0000-000080680000}"/>
    <cellStyle name="Normal 2 3 2 26 5 6" xfId="26783" xr:uid="{00000000-0005-0000-0000-000081680000}"/>
    <cellStyle name="Normal 2 3 2 26 5 7" xfId="26784" xr:uid="{00000000-0005-0000-0000-000082680000}"/>
    <cellStyle name="Normal 2 3 2 26 5 8" xfId="26785" xr:uid="{00000000-0005-0000-0000-000083680000}"/>
    <cellStyle name="Normal 2 3 2 26 5 9" xfId="26786" xr:uid="{00000000-0005-0000-0000-000084680000}"/>
    <cellStyle name="Normal 2 3 2 26 6" xfId="26787" xr:uid="{00000000-0005-0000-0000-000085680000}"/>
    <cellStyle name="Normal 2 3 2 26 7" xfId="26788" xr:uid="{00000000-0005-0000-0000-000086680000}"/>
    <cellStyle name="Normal 2 3 2 26 8" xfId="26789" xr:uid="{00000000-0005-0000-0000-000087680000}"/>
    <cellStyle name="Normal 2 3 2 26 9" xfId="26790" xr:uid="{00000000-0005-0000-0000-000088680000}"/>
    <cellStyle name="Normal 2 3 2 27" xfId="26791" xr:uid="{00000000-0005-0000-0000-000089680000}"/>
    <cellStyle name="Normal 2 3 2 27 10" xfId="26792" xr:uid="{00000000-0005-0000-0000-00008A680000}"/>
    <cellStyle name="Normal 2 3 2 27 11" xfId="26793" xr:uid="{00000000-0005-0000-0000-00008B680000}"/>
    <cellStyle name="Normal 2 3 2 27 12" xfId="26794" xr:uid="{00000000-0005-0000-0000-00008C680000}"/>
    <cellStyle name="Normal 2 3 2 27 13" xfId="26795" xr:uid="{00000000-0005-0000-0000-00008D680000}"/>
    <cellStyle name="Normal 2 3 2 27 14" xfId="26796" xr:uid="{00000000-0005-0000-0000-00008E680000}"/>
    <cellStyle name="Normal 2 3 2 27 2" xfId="26797" xr:uid="{00000000-0005-0000-0000-00008F680000}"/>
    <cellStyle name="Normal 2 3 2 27 2 10" xfId="26798" xr:uid="{00000000-0005-0000-0000-000090680000}"/>
    <cellStyle name="Normal 2 3 2 27 2 2" xfId="26799" xr:uid="{00000000-0005-0000-0000-000091680000}"/>
    <cellStyle name="Normal 2 3 2 27 2 3" xfId="26800" xr:uid="{00000000-0005-0000-0000-000092680000}"/>
    <cellStyle name="Normal 2 3 2 27 2 4" xfId="26801" xr:uid="{00000000-0005-0000-0000-000093680000}"/>
    <cellStyle name="Normal 2 3 2 27 2 5" xfId="26802" xr:uid="{00000000-0005-0000-0000-000094680000}"/>
    <cellStyle name="Normal 2 3 2 27 2 6" xfId="26803" xr:uid="{00000000-0005-0000-0000-000095680000}"/>
    <cellStyle name="Normal 2 3 2 27 2 7" xfId="26804" xr:uid="{00000000-0005-0000-0000-000096680000}"/>
    <cellStyle name="Normal 2 3 2 27 2 8" xfId="26805" xr:uid="{00000000-0005-0000-0000-000097680000}"/>
    <cellStyle name="Normal 2 3 2 27 2 9" xfId="26806" xr:uid="{00000000-0005-0000-0000-000098680000}"/>
    <cellStyle name="Normal 2 3 2 27 3" xfId="26807" xr:uid="{00000000-0005-0000-0000-000099680000}"/>
    <cellStyle name="Normal 2 3 2 27 3 10" xfId="26808" xr:uid="{00000000-0005-0000-0000-00009A680000}"/>
    <cellStyle name="Normal 2 3 2 27 3 2" xfId="26809" xr:uid="{00000000-0005-0000-0000-00009B680000}"/>
    <cellStyle name="Normal 2 3 2 27 3 3" xfId="26810" xr:uid="{00000000-0005-0000-0000-00009C680000}"/>
    <cellStyle name="Normal 2 3 2 27 3 4" xfId="26811" xr:uid="{00000000-0005-0000-0000-00009D680000}"/>
    <cellStyle name="Normal 2 3 2 27 3 5" xfId="26812" xr:uid="{00000000-0005-0000-0000-00009E680000}"/>
    <cellStyle name="Normal 2 3 2 27 3 6" xfId="26813" xr:uid="{00000000-0005-0000-0000-00009F680000}"/>
    <cellStyle name="Normal 2 3 2 27 3 7" xfId="26814" xr:uid="{00000000-0005-0000-0000-0000A0680000}"/>
    <cellStyle name="Normal 2 3 2 27 3 8" xfId="26815" xr:uid="{00000000-0005-0000-0000-0000A1680000}"/>
    <cellStyle name="Normal 2 3 2 27 3 9" xfId="26816" xr:uid="{00000000-0005-0000-0000-0000A2680000}"/>
    <cellStyle name="Normal 2 3 2 27 4" xfId="26817" xr:uid="{00000000-0005-0000-0000-0000A3680000}"/>
    <cellStyle name="Normal 2 3 2 27 4 10" xfId="26818" xr:uid="{00000000-0005-0000-0000-0000A4680000}"/>
    <cellStyle name="Normal 2 3 2 27 4 2" xfId="26819" xr:uid="{00000000-0005-0000-0000-0000A5680000}"/>
    <cellStyle name="Normal 2 3 2 27 4 3" xfId="26820" xr:uid="{00000000-0005-0000-0000-0000A6680000}"/>
    <cellStyle name="Normal 2 3 2 27 4 4" xfId="26821" xr:uid="{00000000-0005-0000-0000-0000A7680000}"/>
    <cellStyle name="Normal 2 3 2 27 4 5" xfId="26822" xr:uid="{00000000-0005-0000-0000-0000A8680000}"/>
    <cellStyle name="Normal 2 3 2 27 4 6" xfId="26823" xr:uid="{00000000-0005-0000-0000-0000A9680000}"/>
    <cellStyle name="Normal 2 3 2 27 4 7" xfId="26824" xr:uid="{00000000-0005-0000-0000-0000AA680000}"/>
    <cellStyle name="Normal 2 3 2 27 4 8" xfId="26825" xr:uid="{00000000-0005-0000-0000-0000AB680000}"/>
    <cellStyle name="Normal 2 3 2 27 4 9" xfId="26826" xr:uid="{00000000-0005-0000-0000-0000AC680000}"/>
    <cellStyle name="Normal 2 3 2 27 5" xfId="26827" xr:uid="{00000000-0005-0000-0000-0000AD680000}"/>
    <cellStyle name="Normal 2 3 2 27 5 10" xfId="26828" xr:uid="{00000000-0005-0000-0000-0000AE680000}"/>
    <cellStyle name="Normal 2 3 2 27 5 2" xfId="26829" xr:uid="{00000000-0005-0000-0000-0000AF680000}"/>
    <cellStyle name="Normal 2 3 2 27 5 3" xfId="26830" xr:uid="{00000000-0005-0000-0000-0000B0680000}"/>
    <cellStyle name="Normal 2 3 2 27 5 4" xfId="26831" xr:uid="{00000000-0005-0000-0000-0000B1680000}"/>
    <cellStyle name="Normal 2 3 2 27 5 5" xfId="26832" xr:uid="{00000000-0005-0000-0000-0000B2680000}"/>
    <cellStyle name="Normal 2 3 2 27 5 6" xfId="26833" xr:uid="{00000000-0005-0000-0000-0000B3680000}"/>
    <cellStyle name="Normal 2 3 2 27 5 7" xfId="26834" xr:uid="{00000000-0005-0000-0000-0000B4680000}"/>
    <cellStyle name="Normal 2 3 2 27 5 8" xfId="26835" xr:uid="{00000000-0005-0000-0000-0000B5680000}"/>
    <cellStyle name="Normal 2 3 2 27 5 9" xfId="26836" xr:uid="{00000000-0005-0000-0000-0000B6680000}"/>
    <cellStyle name="Normal 2 3 2 27 6" xfId="26837" xr:uid="{00000000-0005-0000-0000-0000B7680000}"/>
    <cellStyle name="Normal 2 3 2 27 7" xfId="26838" xr:uid="{00000000-0005-0000-0000-0000B8680000}"/>
    <cellStyle name="Normal 2 3 2 27 8" xfId="26839" xr:uid="{00000000-0005-0000-0000-0000B9680000}"/>
    <cellStyle name="Normal 2 3 2 27 9" xfId="26840" xr:uid="{00000000-0005-0000-0000-0000BA680000}"/>
    <cellStyle name="Normal 2 3 2 28" xfId="26841" xr:uid="{00000000-0005-0000-0000-0000BB680000}"/>
    <cellStyle name="Normal 2 3 2 28 10" xfId="26842" xr:uid="{00000000-0005-0000-0000-0000BC680000}"/>
    <cellStyle name="Normal 2 3 2 28 11" xfId="26843" xr:uid="{00000000-0005-0000-0000-0000BD680000}"/>
    <cellStyle name="Normal 2 3 2 28 12" xfId="26844" xr:uid="{00000000-0005-0000-0000-0000BE680000}"/>
    <cellStyle name="Normal 2 3 2 28 13" xfId="26845" xr:uid="{00000000-0005-0000-0000-0000BF680000}"/>
    <cellStyle name="Normal 2 3 2 28 14" xfId="26846" xr:uid="{00000000-0005-0000-0000-0000C0680000}"/>
    <cellStyle name="Normal 2 3 2 28 2" xfId="26847" xr:uid="{00000000-0005-0000-0000-0000C1680000}"/>
    <cellStyle name="Normal 2 3 2 28 2 10" xfId="26848" xr:uid="{00000000-0005-0000-0000-0000C2680000}"/>
    <cellStyle name="Normal 2 3 2 28 2 2" xfId="26849" xr:uid="{00000000-0005-0000-0000-0000C3680000}"/>
    <cellStyle name="Normal 2 3 2 28 2 3" xfId="26850" xr:uid="{00000000-0005-0000-0000-0000C4680000}"/>
    <cellStyle name="Normal 2 3 2 28 2 4" xfId="26851" xr:uid="{00000000-0005-0000-0000-0000C5680000}"/>
    <cellStyle name="Normal 2 3 2 28 2 5" xfId="26852" xr:uid="{00000000-0005-0000-0000-0000C6680000}"/>
    <cellStyle name="Normal 2 3 2 28 2 6" xfId="26853" xr:uid="{00000000-0005-0000-0000-0000C7680000}"/>
    <cellStyle name="Normal 2 3 2 28 2 7" xfId="26854" xr:uid="{00000000-0005-0000-0000-0000C8680000}"/>
    <cellStyle name="Normal 2 3 2 28 2 8" xfId="26855" xr:uid="{00000000-0005-0000-0000-0000C9680000}"/>
    <cellStyle name="Normal 2 3 2 28 2 9" xfId="26856" xr:uid="{00000000-0005-0000-0000-0000CA680000}"/>
    <cellStyle name="Normal 2 3 2 28 3" xfId="26857" xr:uid="{00000000-0005-0000-0000-0000CB680000}"/>
    <cellStyle name="Normal 2 3 2 28 3 10" xfId="26858" xr:uid="{00000000-0005-0000-0000-0000CC680000}"/>
    <cellStyle name="Normal 2 3 2 28 3 2" xfId="26859" xr:uid="{00000000-0005-0000-0000-0000CD680000}"/>
    <cellStyle name="Normal 2 3 2 28 3 3" xfId="26860" xr:uid="{00000000-0005-0000-0000-0000CE680000}"/>
    <cellStyle name="Normal 2 3 2 28 3 4" xfId="26861" xr:uid="{00000000-0005-0000-0000-0000CF680000}"/>
    <cellStyle name="Normal 2 3 2 28 3 5" xfId="26862" xr:uid="{00000000-0005-0000-0000-0000D0680000}"/>
    <cellStyle name="Normal 2 3 2 28 3 6" xfId="26863" xr:uid="{00000000-0005-0000-0000-0000D1680000}"/>
    <cellStyle name="Normal 2 3 2 28 3 7" xfId="26864" xr:uid="{00000000-0005-0000-0000-0000D2680000}"/>
    <cellStyle name="Normal 2 3 2 28 3 8" xfId="26865" xr:uid="{00000000-0005-0000-0000-0000D3680000}"/>
    <cellStyle name="Normal 2 3 2 28 3 9" xfId="26866" xr:uid="{00000000-0005-0000-0000-0000D4680000}"/>
    <cellStyle name="Normal 2 3 2 28 4" xfId="26867" xr:uid="{00000000-0005-0000-0000-0000D5680000}"/>
    <cellStyle name="Normal 2 3 2 28 4 10" xfId="26868" xr:uid="{00000000-0005-0000-0000-0000D6680000}"/>
    <cellStyle name="Normal 2 3 2 28 4 2" xfId="26869" xr:uid="{00000000-0005-0000-0000-0000D7680000}"/>
    <cellStyle name="Normal 2 3 2 28 4 3" xfId="26870" xr:uid="{00000000-0005-0000-0000-0000D8680000}"/>
    <cellStyle name="Normal 2 3 2 28 4 4" xfId="26871" xr:uid="{00000000-0005-0000-0000-0000D9680000}"/>
    <cellStyle name="Normal 2 3 2 28 4 5" xfId="26872" xr:uid="{00000000-0005-0000-0000-0000DA680000}"/>
    <cellStyle name="Normal 2 3 2 28 4 6" xfId="26873" xr:uid="{00000000-0005-0000-0000-0000DB680000}"/>
    <cellStyle name="Normal 2 3 2 28 4 7" xfId="26874" xr:uid="{00000000-0005-0000-0000-0000DC680000}"/>
    <cellStyle name="Normal 2 3 2 28 4 8" xfId="26875" xr:uid="{00000000-0005-0000-0000-0000DD680000}"/>
    <cellStyle name="Normal 2 3 2 28 4 9" xfId="26876" xr:uid="{00000000-0005-0000-0000-0000DE680000}"/>
    <cellStyle name="Normal 2 3 2 28 5" xfId="26877" xr:uid="{00000000-0005-0000-0000-0000DF680000}"/>
    <cellStyle name="Normal 2 3 2 28 5 10" xfId="26878" xr:uid="{00000000-0005-0000-0000-0000E0680000}"/>
    <cellStyle name="Normal 2 3 2 28 5 2" xfId="26879" xr:uid="{00000000-0005-0000-0000-0000E1680000}"/>
    <cellStyle name="Normal 2 3 2 28 5 3" xfId="26880" xr:uid="{00000000-0005-0000-0000-0000E2680000}"/>
    <cellStyle name="Normal 2 3 2 28 5 4" xfId="26881" xr:uid="{00000000-0005-0000-0000-0000E3680000}"/>
    <cellStyle name="Normal 2 3 2 28 5 5" xfId="26882" xr:uid="{00000000-0005-0000-0000-0000E4680000}"/>
    <cellStyle name="Normal 2 3 2 28 5 6" xfId="26883" xr:uid="{00000000-0005-0000-0000-0000E5680000}"/>
    <cellStyle name="Normal 2 3 2 28 5 7" xfId="26884" xr:uid="{00000000-0005-0000-0000-0000E6680000}"/>
    <cellStyle name="Normal 2 3 2 28 5 8" xfId="26885" xr:uid="{00000000-0005-0000-0000-0000E7680000}"/>
    <cellStyle name="Normal 2 3 2 28 5 9" xfId="26886" xr:uid="{00000000-0005-0000-0000-0000E8680000}"/>
    <cellStyle name="Normal 2 3 2 28 6" xfId="26887" xr:uid="{00000000-0005-0000-0000-0000E9680000}"/>
    <cellStyle name="Normal 2 3 2 28 7" xfId="26888" xr:uid="{00000000-0005-0000-0000-0000EA680000}"/>
    <cellStyle name="Normal 2 3 2 28 8" xfId="26889" xr:uid="{00000000-0005-0000-0000-0000EB680000}"/>
    <cellStyle name="Normal 2 3 2 28 9" xfId="26890" xr:uid="{00000000-0005-0000-0000-0000EC680000}"/>
    <cellStyle name="Normal 2 3 2 29" xfId="26891" xr:uid="{00000000-0005-0000-0000-0000ED680000}"/>
    <cellStyle name="Normal 2 3 2 29 10" xfId="26892" xr:uid="{00000000-0005-0000-0000-0000EE680000}"/>
    <cellStyle name="Normal 2 3 2 29 11" xfId="26893" xr:uid="{00000000-0005-0000-0000-0000EF680000}"/>
    <cellStyle name="Normal 2 3 2 29 12" xfId="26894" xr:uid="{00000000-0005-0000-0000-0000F0680000}"/>
    <cellStyle name="Normal 2 3 2 29 13" xfId="26895" xr:uid="{00000000-0005-0000-0000-0000F1680000}"/>
    <cellStyle name="Normal 2 3 2 29 14" xfId="26896" xr:uid="{00000000-0005-0000-0000-0000F2680000}"/>
    <cellStyle name="Normal 2 3 2 29 2" xfId="26897" xr:uid="{00000000-0005-0000-0000-0000F3680000}"/>
    <cellStyle name="Normal 2 3 2 29 2 10" xfId="26898" xr:uid="{00000000-0005-0000-0000-0000F4680000}"/>
    <cellStyle name="Normal 2 3 2 29 2 2" xfId="26899" xr:uid="{00000000-0005-0000-0000-0000F5680000}"/>
    <cellStyle name="Normal 2 3 2 29 2 3" xfId="26900" xr:uid="{00000000-0005-0000-0000-0000F6680000}"/>
    <cellStyle name="Normal 2 3 2 29 2 4" xfId="26901" xr:uid="{00000000-0005-0000-0000-0000F7680000}"/>
    <cellStyle name="Normal 2 3 2 29 2 5" xfId="26902" xr:uid="{00000000-0005-0000-0000-0000F8680000}"/>
    <cellStyle name="Normal 2 3 2 29 2 6" xfId="26903" xr:uid="{00000000-0005-0000-0000-0000F9680000}"/>
    <cellStyle name="Normal 2 3 2 29 2 7" xfId="26904" xr:uid="{00000000-0005-0000-0000-0000FA680000}"/>
    <cellStyle name="Normal 2 3 2 29 2 8" xfId="26905" xr:uid="{00000000-0005-0000-0000-0000FB680000}"/>
    <cellStyle name="Normal 2 3 2 29 2 9" xfId="26906" xr:uid="{00000000-0005-0000-0000-0000FC680000}"/>
    <cellStyle name="Normal 2 3 2 29 3" xfId="26907" xr:uid="{00000000-0005-0000-0000-0000FD680000}"/>
    <cellStyle name="Normal 2 3 2 29 3 10" xfId="26908" xr:uid="{00000000-0005-0000-0000-0000FE680000}"/>
    <cellStyle name="Normal 2 3 2 29 3 2" xfId="26909" xr:uid="{00000000-0005-0000-0000-0000FF680000}"/>
    <cellStyle name="Normal 2 3 2 29 3 3" xfId="26910" xr:uid="{00000000-0005-0000-0000-000000690000}"/>
    <cellStyle name="Normal 2 3 2 29 3 4" xfId="26911" xr:uid="{00000000-0005-0000-0000-000001690000}"/>
    <cellStyle name="Normal 2 3 2 29 3 5" xfId="26912" xr:uid="{00000000-0005-0000-0000-000002690000}"/>
    <cellStyle name="Normal 2 3 2 29 3 6" xfId="26913" xr:uid="{00000000-0005-0000-0000-000003690000}"/>
    <cellStyle name="Normal 2 3 2 29 3 7" xfId="26914" xr:uid="{00000000-0005-0000-0000-000004690000}"/>
    <cellStyle name="Normal 2 3 2 29 3 8" xfId="26915" xr:uid="{00000000-0005-0000-0000-000005690000}"/>
    <cellStyle name="Normal 2 3 2 29 3 9" xfId="26916" xr:uid="{00000000-0005-0000-0000-000006690000}"/>
    <cellStyle name="Normal 2 3 2 29 4" xfId="26917" xr:uid="{00000000-0005-0000-0000-000007690000}"/>
    <cellStyle name="Normal 2 3 2 29 4 10" xfId="26918" xr:uid="{00000000-0005-0000-0000-000008690000}"/>
    <cellStyle name="Normal 2 3 2 29 4 2" xfId="26919" xr:uid="{00000000-0005-0000-0000-000009690000}"/>
    <cellStyle name="Normal 2 3 2 29 4 3" xfId="26920" xr:uid="{00000000-0005-0000-0000-00000A690000}"/>
    <cellStyle name="Normal 2 3 2 29 4 4" xfId="26921" xr:uid="{00000000-0005-0000-0000-00000B690000}"/>
    <cellStyle name="Normal 2 3 2 29 4 5" xfId="26922" xr:uid="{00000000-0005-0000-0000-00000C690000}"/>
    <cellStyle name="Normal 2 3 2 29 4 6" xfId="26923" xr:uid="{00000000-0005-0000-0000-00000D690000}"/>
    <cellStyle name="Normal 2 3 2 29 4 7" xfId="26924" xr:uid="{00000000-0005-0000-0000-00000E690000}"/>
    <cellStyle name="Normal 2 3 2 29 4 8" xfId="26925" xr:uid="{00000000-0005-0000-0000-00000F690000}"/>
    <cellStyle name="Normal 2 3 2 29 4 9" xfId="26926" xr:uid="{00000000-0005-0000-0000-000010690000}"/>
    <cellStyle name="Normal 2 3 2 29 5" xfId="26927" xr:uid="{00000000-0005-0000-0000-000011690000}"/>
    <cellStyle name="Normal 2 3 2 29 5 10" xfId="26928" xr:uid="{00000000-0005-0000-0000-000012690000}"/>
    <cellStyle name="Normal 2 3 2 29 5 2" xfId="26929" xr:uid="{00000000-0005-0000-0000-000013690000}"/>
    <cellStyle name="Normal 2 3 2 29 5 3" xfId="26930" xr:uid="{00000000-0005-0000-0000-000014690000}"/>
    <cellStyle name="Normal 2 3 2 29 5 4" xfId="26931" xr:uid="{00000000-0005-0000-0000-000015690000}"/>
    <cellStyle name="Normal 2 3 2 29 5 5" xfId="26932" xr:uid="{00000000-0005-0000-0000-000016690000}"/>
    <cellStyle name="Normal 2 3 2 29 5 6" xfId="26933" xr:uid="{00000000-0005-0000-0000-000017690000}"/>
    <cellStyle name="Normal 2 3 2 29 5 7" xfId="26934" xr:uid="{00000000-0005-0000-0000-000018690000}"/>
    <cellStyle name="Normal 2 3 2 29 5 8" xfId="26935" xr:uid="{00000000-0005-0000-0000-000019690000}"/>
    <cellStyle name="Normal 2 3 2 29 5 9" xfId="26936" xr:uid="{00000000-0005-0000-0000-00001A690000}"/>
    <cellStyle name="Normal 2 3 2 29 6" xfId="26937" xr:uid="{00000000-0005-0000-0000-00001B690000}"/>
    <cellStyle name="Normal 2 3 2 29 7" xfId="26938" xr:uid="{00000000-0005-0000-0000-00001C690000}"/>
    <cellStyle name="Normal 2 3 2 29 8" xfId="26939" xr:uid="{00000000-0005-0000-0000-00001D690000}"/>
    <cellStyle name="Normal 2 3 2 29 9" xfId="26940" xr:uid="{00000000-0005-0000-0000-00001E690000}"/>
    <cellStyle name="Normal 2 3 2 3" xfId="26941" xr:uid="{00000000-0005-0000-0000-00001F690000}"/>
    <cellStyle name="Normal 2 3 2 3 10" xfId="26942" xr:uid="{00000000-0005-0000-0000-000020690000}"/>
    <cellStyle name="Normal 2 3 2 3 11" xfId="26943" xr:uid="{00000000-0005-0000-0000-000021690000}"/>
    <cellStyle name="Normal 2 3 2 3 12" xfId="26944" xr:uid="{00000000-0005-0000-0000-000022690000}"/>
    <cellStyle name="Normal 2 3 2 3 13" xfId="26945" xr:uid="{00000000-0005-0000-0000-000023690000}"/>
    <cellStyle name="Normal 2 3 2 3 14" xfId="26946" xr:uid="{00000000-0005-0000-0000-000024690000}"/>
    <cellStyle name="Normal 2 3 2 3 15" xfId="26947" xr:uid="{00000000-0005-0000-0000-000025690000}"/>
    <cellStyle name="Normal 2 3 2 3 16" xfId="26948" xr:uid="{00000000-0005-0000-0000-000026690000}"/>
    <cellStyle name="Normal 2 3 2 3 2" xfId="26949" xr:uid="{00000000-0005-0000-0000-000027690000}"/>
    <cellStyle name="Normal 2 3 2 3 2 10" xfId="26950" xr:uid="{00000000-0005-0000-0000-000028690000}"/>
    <cellStyle name="Normal 2 3 2 3 2 2" xfId="26951" xr:uid="{00000000-0005-0000-0000-000029690000}"/>
    <cellStyle name="Normal 2 3 2 3 2 3" xfId="26952" xr:uid="{00000000-0005-0000-0000-00002A690000}"/>
    <cellStyle name="Normal 2 3 2 3 2 4" xfId="26953" xr:uid="{00000000-0005-0000-0000-00002B690000}"/>
    <cellStyle name="Normal 2 3 2 3 2 5" xfId="26954" xr:uid="{00000000-0005-0000-0000-00002C690000}"/>
    <cellStyle name="Normal 2 3 2 3 2 6" xfId="26955" xr:uid="{00000000-0005-0000-0000-00002D690000}"/>
    <cellStyle name="Normal 2 3 2 3 2 7" xfId="26956" xr:uid="{00000000-0005-0000-0000-00002E690000}"/>
    <cellStyle name="Normal 2 3 2 3 2 8" xfId="26957" xr:uid="{00000000-0005-0000-0000-00002F690000}"/>
    <cellStyle name="Normal 2 3 2 3 2 9" xfId="26958" xr:uid="{00000000-0005-0000-0000-000030690000}"/>
    <cellStyle name="Normal 2 3 2 3 3" xfId="26959" xr:uid="{00000000-0005-0000-0000-000031690000}"/>
    <cellStyle name="Normal 2 3 2 3 3 10" xfId="26960" xr:uid="{00000000-0005-0000-0000-000032690000}"/>
    <cellStyle name="Normal 2 3 2 3 3 2" xfId="26961" xr:uid="{00000000-0005-0000-0000-000033690000}"/>
    <cellStyle name="Normal 2 3 2 3 3 3" xfId="26962" xr:uid="{00000000-0005-0000-0000-000034690000}"/>
    <cellStyle name="Normal 2 3 2 3 3 4" xfId="26963" xr:uid="{00000000-0005-0000-0000-000035690000}"/>
    <cellStyle name="Normal 2 3 2 3 3 5" xfId="26964" xr:uid="{00000000-0005-0000-0000-000036690000}"/>
    <cellStyle name="Normal 2 3 2 3 3 6" xfId="26965" xr:uid="{00000000-0005-0000-0000-000037690000}"/>
    <cellStyle name="Normal 2 3 2 3 3 7" xfId="26966" xr:uid="{00000000-0005-0000-0000-000038690000}"/>
    <cellStyle name="Normal 2 3 2 3 3 8" xfId="26967" xr:uid="{00000000-0005-0000-0000-000039690000}"/>
    <cellStyle name="Normal 2 3 2 3 3 9" xfId="26968" xr:uid="{00000000-0005-0000-0000-00003A690000}"/>
    <cellStyle name="Normal 2 3 2 3 4" xfId="26969" xr:uid="{00000000-0005-0000-0000-00003B690000}"/>
    <cellStyle name="Normal 2 3 2 3 4 10" xfId="26970" xr:uid="{00000000-0005-0000-0000-00003C690000}"/>
    <cellStyle name="Normal 2 3 2 3 4 2" xfId="26971" xr:uid="{00000000-0005-0000-0000-00003D690000}"/>
    <cellStyle name="Normal 2 3 2 3 4 3" xfId="26972" xr:uid="{00000000-0005-0000-0000-00003E690000}"/>
    <cellStyle name="Normal 2 3 2 3 4 4" xfId="26973" xr:uid="{00000000-0005-0000-0000-00003F690000}"/>
    <cellStyle name="Normal 2 3 2 3 4 5" xfId="26974" xr:uid="{00000000-0005-0000-0000-000040690000}"/>
    <cellStyle name="Normal 2 3 2 3 4 6" xfId="26975" xr:uid="{00000000-0005-0000-0000-000041690000}"/>
    <cellStyle name="Normal 2 3 2 3 4 7" xfId="26976" xr:uid="{00000000-0005-0000-0000-000042690000}"/>
    <cellStyle name="Normal 2 3 2 3 4 8" xfId="26977" xr:uid="{00000000-0005-0000-0000-000043690000}"/>
    <cellStyle name="Normal 2 3 2 3 4 9" xfId="26978" xr:uid="{00000000-0005-0000-0000-000044690000}"/>
    <cellStyle name="Normal 2 3 2 3 5" xfId="26979" xr:uid="{00000000-0005-0000-0000-000045690000}"/>
    <cellStyle name="Normal 2 3 2 3 5 10" xfId="26980" xr:uid="{00000000-0005-0000-0000-000046690000}"/>
    <cellStyle name="Normal 2 3 2 3 5 2" xfId="26981" xr:uid="{00000000-0005-0000-0000-000047690000}"/>
    <cellStyle name="Normal 2 3 2 3 5 3" xfId="26982" xr:uid="{00000000-0005-0000-0000-000048690000}"/>
    <cellStyle name="Normal 2 3 2 3 5 4" xfId="26983" xr:uid="{00000000-0005-0000-0000-000049690000}"/>
    <cellStyle name="Normal 2 3 2 3 5 5" xfId="26984" xr:uid="{00000000-0005-0000-0000-00004A690000}"/>
    <cellStyle name="Normal 2 3 2 3 5 6" xfId="26985" xr:uid="{00000000-0005-0000-0000-00004B690000}"/>
    <cellStyle name="Normal 2 3 2 3 5 7" xfId="26986" xr:uid="{00000000-0005-0000-0000-00004C690000}"/>
    <cellStyle name="Normal 2 3 2 3 5 8" xfId="26987" xr:uid="{00000000-0005-0000-0000-00004D690000}"/>
    <cellStyle name="Normal 2 3 2 3 5 9" xfId="26988" xr:uid="{00000000-0005-0000-0000-00004E690000}"/>
    <cellStyle name="Normal 2 3 2 3 6" xfId="26989" xr:uid="{00000000-0005-0000-0000-00004F690000}"/>
    <cellStyle name="Normal 2 3 2 3 7" xfId="26990" xr:uid="{00000000-0005-0000-0000-000050690000}"/>
    <cellStyle name="Normal 2 3 2 3 8" xfId="26991" xr:uid="{00000000-0005-0000-0000-000051690000}"/>
    <cellStyle name="Normal 2 3 2 3 9" xfId="26992" xr:uid="{00000000-0005-0000-0000-000052690000}"/>
    <cellStyle name="Normal 2 3 2 30" xfId="26993" xr:uid="{00000000-0005-0000-0000-000053690000}"/>
    <cellStyle name="Normal 2 3 2 30 10" xfId="26994" xr:uid="{00000000-0005-0000-0000-000054690000}"/>
    <cellStyle name="Normal 2 3 2 30 11" xfId="26995" xr:uid="{00000000-0005-0000-0000-000055690000}"/>
    <cellStyle name="Normal 2 3 2 30 12" xfId="26996" xr:uid="{00000000-0005-0000-0000-000056690000}"/>
    <cellStyle name="Normal 2 3 2 30 13" xfId="26997" xr:uid="{00000000-0005-0000-0000-000057690000}"/>
    <cellStyle name="Normal 2 3 2 30 14" xfId="26998" xr:uid="{00000000-0005-0000-0000-000058690000}"/>
    <cellStyle name="Normal 2 3 2 30 2" xfId="26999" xr:uid="{00000000-0005-0000-0000-000059690000}"/>
    <cellStyle name="Normal 2 3 2 30 2 10" xfId="27000" xr:uid="{00000000-0005-0000-0000-00005A690000}"/>
    <cellStyle name="Normal 2 3 2 30 2 2" xfId="27001" xr:uid="{00000000-0005-0000-0000-00005B690000}"/>
    <cellStyle name="Normal 2 3 2 30 2 3" xfId="27002" xr:uid="{00000000-0005-0000-0000-00005C690000}"/>
    <cellStyle name="Normal 2 3 2 30 2 4" xfId="27003" xr:uid="{00000000-0005-0000-0000-00005D690000}"/>
    <cellStyle name="Normal 2 3 2 30 2 5" xfId="27004" xr:uid="{00000000-0005-0000-0000-00005E690000}"/>
    <cellStyle name="Normal 2 3 2 30 2 6" xfId="27005" xr:uid="{00000000-0005-0000-0000-00005F690000}"/>
    <cellStyle name="Normal 2 3 2 30 2 7" xfId="27006" xr:uid="{00000000-0005-0000-0000-000060690000}"/>
    <cellStyle name="Normal 2 3 2 30 2 8" xfId="27007" xr:uid="{00000000-0005-0000-0000-000061690000}"/>
    <cellStyle name="Normal 2 3 2 30 2 9" xfId="27008" xr:uid="{00000000-0005-0000-0000-000062690000}"/>
    <cellStyle name="Normal 2 3 2 30 3" xfId="27009" xr:uid="{00000000-0005-0000-0000-000063690000}"/>
    <cellStyle name="Normal 2 3 2 30 3 10" xfId="27010" xr:uid="{00000000-0005-0000-0000-000064690000}"/>
    <cellStyle name="Normal 2 3 2 30 3 2" xfId="27011" xr:uid="{00000000-0005-0000-0000-000065690000}"/>
    <cellStyle name="Normal 2 3 2 30 3 3" xfId="27012" xr:uid="{00000000-0005-0000-0000-000066690000}"/>
    <cellStyle name="Normal 2 3 2 30 3 4" xfId="27013" xr:uid="{00000000-0005-0000-0000-000067690000}"/>
    <cellStyle name="Normal 2 3 2 30 3 5" xfId="27014" xr:uid="{00000000-0005-0000-0000-000068690000}"/>
    <cellStyle name="Normal 2 3 2 30 3 6" xfId="27015" xr:uid="{00000000-0005-0000-0000-000069690000}"/>
    <cellStyle name="Normal 2 3 2 30 3 7" xfId="27016" xr:uid="{00000000-0005-0000-0000-00006A690000}"/>
    <cellStyle name="Normal 2 3 2 30 3 8" xfId="27017" xr:uid="{00000000-0005-0000-0000-00006B690000}"/>
    <cellStyle name="Normal 2 3 2 30 3 9" xfId="27018" xr:uid="{00000000-0005-0000-0000-00006C690000}"/>
    <cellStyle name="Normal 2 3 2 30 4" xfId="27019" xr:uid="{00000000-0005-0000-0000-00006D690000}"/>
    <cellStyle name="Normal 2 3 2 30 4 10" xfId="27020" xr:uid="{00000000-0005-0000-0000-00006E690000}"/>
    <cellStyle name="Normal 2 3 2 30 4 2" xfId="27021" xr:uid="{00000000-0005-0000-0000-00006F690000}"/>
    <cellStyle name="Normal 2 3 2 30 4 3" xfId="27022" xr:uid="{00000000-0005-0000-0000-000070690000}"/>
    <cellStyle name="Normal 2 3 2 30 4 4" xfId="27023" xr:uid="{00000000-0005-0000-0000-000071690000}"/>
    <cellStyle name="Normal 2 3 2 30 4 5" xfId="27024" xr:uid="{00000000-0005-0000-0000-000072690000}"/>
    <cellStyle name="Normal 2 3 2 30 4 6" xfId="27025" xr:uid="{00000000-0005-0000-0000-000073690000}"/>
    <cellStyle name="Normal 2 3 2 30 4 7" xfId="27026" xr:uid="{00000000-0005-0000-0000-000074690000}"/>
    <cellStyle name="Normal 2 3 2 30 4 8" xfId="27027" xr:uid="{00000000-0005-0000-0000-000075690000}"/>
    <cellStyle name="Normal 2 3 2 30 4 9" xfId="27028" xr:uid="{00000000-0005-0000-0000-000076690000}"/>
    <cellStyle name="Normal 2 3 2 30 5" xfId="27029" xr:uid="{00000000-0005-0000-0000-000077690000}"/>
    <cellStyle name="Normal 2 3 2 30 5 10" xfId="27030" xr:uid="{00000000-0005-0000-0000-000078690000}"/>
    <cellStyle name="Normal 2 3 2 30 5 2" xfId="27031" xr:uid="{00000000-0005-0000-0000-000079690000}"/>
    <cellStyle name="Normal 2 3 2 30 5 3" xfId="27032" xr:uid="{00000000-0005-0000-0000-00007A690000}"/>
    <cellStyle name="Normal 2 3 2 30 5 4" xfId="27033" xr:uid="{00000000-0005-0000-0000-00007B690000}"/>
    <cellStyle name="Normal 2 3 2 30 5 5" xfId="27034" xr:uid="{00000000-0005-0000-0000-00007C690000}"/>
    <cellStyle name="Normal 2 3 2 30 5 6" xfId="27035" xr:uid="{00000000-0005-0000-0000-00007D690000}"/>
    <cellStyle name="Normal 2 3 2 30 5 7" xfId="27036" xr:uid="{00000000-0005-0000-0000-00007E690000}"/>
    <cellStyle name="Normal 2 3 2 30 5 8" xfId="27037" xr:uid="{00000000-0005-0000-0000-00007F690000}"/>
    <cellStyle name="Normal 2 3 2 30 5 9" xfId="27038" xr:uid="{00000000-0005-0000-0000-000080690000}"/>
    <cellStyle name="Normal 2 3 2 30 6" xfId="27039" xr:uid="{00000000-0005-0000-0000-000081690000}"/>
    <cellStyle name="Normal 2 3 2 30 7" xfId="27040" xr:uid="{00000000-0005-0000-0000-000082690000}"/>
    <cellStyle name="Normal 2 3 2 30 8" xfId="27041" xr:uid="{00000000-0005-0000-0000-000083690000}"/>
    <cellStyle name="Normal 2 3 2 30 9" xfId="27042" xr:uid="{00000000-0005-0000-0000-000084690000}"/>
    <cellStyle name="Normal 2 3 2 31" xfId="27043" xr:uid="{00000000-0005-0000-0000-000085690000}"/>
    <cellStyle name="Normal 2 3 2 31 10" xfId="27044" xr:uid="{00000000-0005-0000-0000-000086690000}"/>
    <cellStyle name="Normal 2 3 2 31 11" xfId="27045" xr:uid="{00000000-0005-0000-0000-000087690000}"/>
    <cellStyle name="Normal 2 3 2 31 12" xfId="27046" xr:uid="{00000000-0005-0000-0000-000088690000}"/>
    <cellStyle name="Normal 2 3 2 31 13" xfId="27047" xr:uid="{00000000-0005-0000-0000-000089690000}"/>
    <cellStyle name="Normal 2 3 2 31 14" xfId="27048" xr:uid="{00000000-0005-0000-0000-00008A690000}"/>
    <cellStyle name="Normal 2 3 2 31 2" xfId="27049" xr:uid="{00000000-0005-0000-0000-00008B690000}"/>
    <cellStyle name="Normal 2 3 2 31 2 10" xfId="27050" xr:uid="{00000000-0005-0000-0000-00008C690000}"/>
    <cellStyle name="Normal 2 3 2 31 2 2" xfId="27051" xr:uid="{00000000-0005-0000-0000-00008D690000}"/>
    <cellStyle name="Normal 2 3 2 31 2 3" xfId="27052" xr:uid="{00000000-0005-0000-0000-00008E690000}"/>
    <cellStyle name="Normal 2 3 2 31 2 4" xfId="27053" xr:uid="{00000000-0005-0000-0000-00008F690000}"/>
    <cellStyle name="Normal 2 3 2 31 2 5" xfId="27054" xr:uid="{00000000-0005-0000-0000-000090690000}"/>
    <cellStyle name="Normal 2 3 2 31 2 6" xfId="27055" xr:uid="{00000000-0005-0000-0000-000091690000}"/>
    <cellStyle name="Normal 2 3 2 31 2 7" xfId="27056" xr:uid="{00000000-0005-0000-0000-000092690000}"/>
    <cellStyle name="Normal 2 3 2 31 2 8" xfId="27057" xr:uid="{00000000-0005-0000-0000-000093690000}"/>
    <cellStyle name="Normal 2 3 2 31 2 9" xfId="27058" xr:uid="{00000000-0005-0000-0000-000094690000}"/>
    <cellStyle name="Normal 2 3 2 31 3" xfId="27059" xr:uid="{00000000-0005-0000-0000-000095690000}"/>
    <cellStyle name="Normal 2 3 2 31 3 10" xfId="27060" xr:uid="{00000000-0005-0000-0000-000096690000}"/>
    <cellStyle name="Normal 2 3 2 31 3 2" xfId="27061" xr:uid="{00000000-0005-0000-0000-000097690000}"/>
    <cellStyle name="Normal 2 3 2 31 3 3" xfId="27062" xr:uid="{00000000-0005-0000-0000-000098690000}"/>
    <cellStyle name="Normal 2 3 2 31 3 4" xfId="27063" xr:uid="{00000000-0005-0000-0000-000099690000}"/>
    <cellStyle name="Normal 2 3 2 31 3 5" xfId="27064" xr:uid="{00000000-0005-0000-0000-00009A690000}"/>
    <cellStyle name="Normal 2 3 2 31 3 6" xfId="27065" xr:uid="{00000000-0005-0000-0000-00009B690000}"/>
    <cellStyle name="Normal 2 3 2 31 3 7" xfId="27066" xr:uid="{00000000-0005-0000-0000-00009C690000}"/>
    <cellStyle name="Normal 2 3 2 31 3 8" xfId="27067" xr:uid="{00000000-0005-0000-0000-00009D690000}"/>
    <cellStyle name="Normal 2 3 2 31 3 9" xfId="27068" xr:uid="{00000000-0005-0000-0000-00009E690000}"/>
    <cellStyle name="Normal 2 3 2 31 4" xfId="27069" xr:uid="{00000000-0005-0000-0000-00009F690000}"/>
    <cellStyle name="Normal 2 3 2 31 4 10" xfId="27070" xr:uid="{00000000-0005-0000-0000-0000A0690000}"/>
    <cellStyle name="Normal 2 3 2 31 4 2" xfId="27071" xr:uid="{00000000-0005-0000-0000-0000A1690000}"/>
    <cellStyle name="Normal 2 3 2 31 4 3" xfId="27072" xr:uid="{00000000-0005-0000-0000-0000A2690000}"/>
    <cellStyle name="Normal 2 3 2 31 4 4" xfId="27073" xr:uid="{00000000-0005-0000-0000-0000A3690000}"/>
    <cellStyle name="Normal 2 3 2 31 4 5" xfId="27074" xr:uid="{00000000-0005-0000-0000-0000A4690000}"/>
    <cellStyle name="Normal 2 3 2 31 4 6" xfId="27075" xr:uid="{00000000-0005-0000-0000-0000A5690000}"/>
    <cellStyle name="Normal 2 3 2 31 4 7" xfId="27076" xr:uid="{00000000-0005-0000-0000-0000A6690000}"/>
    <cellStyle name="Normal 2 3 2 31 4 8" xfId="27077" xr:uid="{00000000-0005-0000-0000-0000A7690000}"/>
    <cellStyle name="Normal 2 3 2 31 4 9" xfId="27078" xr:uid="{00000000-0005-0000-0000-0000A8690000}"/>
    <cellStyle name="Normal 2 3 2 31 5" xfId="27079" xr:uid="{00000000-0005-0000-0000-0000A9690000}"/>
    <cellStyle name="Normal 2 3 2 31 5 10" xfId="27080" xr:uid="{00000000-0005-0000-0000-0000AA690000}"/>
    <cellStyle name="Normal 2 3 2 31 5 2" xfId="27081" xr:uid="{00000000-0005-0000-0000-0000AB690000}"/>
    <cellStyle name="Normal 2 3 2 31 5 3" xfId="27082" xr:uid="{00000000-0005-0000-0000-0000AC690000}"/>
    <cellStyle name="Normal 2 3 2 31 5 4" xfId="27083" xr:uid="{00000000-0005-0000-0000-0000AD690000}"/>
    <cellStyle name="Normal 2 3 2 31 5 5" xfId="27084" xr:uid="{00000000-0005-0000-0000-0000AE690000}"/>
    <cellStyle name="Normal 2 3 2 31 5 6" xfId="27085" xr:uid="{00000000-0005-0000-0000-0000AF690000}"/>
    <cellStyle name="Normal 2 3 2 31 5 7" xfId="27086" xr:uid="{00000000-0005-0000-0000-0000B0690000}"/>
    <cellStyle name="Normal 2 3 2 31 5 8" xfId="27087" xr:uid="{00000000-0005-0000-0000-0000B1690000}"/>
    <cellStyle name="Normal 2 3 2 31 5 9" xfId="27088" xr:uid="{00000000-0005-0000-0000-0000B2690000}"/>
    <cellStyle name="Normal 2 3 2 31 6" xfId="27089" xr:uid="{00000000-0005-0000-0000-0000B3690000}"/>
    <cellStyle name="Normal 2 3 2 31 7" xfId="27090" xr:uid="{00000000-0005-0000-0000-0000B4690000}"/>
    <cellStyle name="Normal 2 3 2 31 8" xfId="27091" xr:uid="{00000000-0005-0000-0000-0000B5690000}"/>
    <cellStyle name="Normal 2 3 2 31 9" xfId="27092" xr:uid="{00000000-0005-0000-0000-0000B6690000}"/>
    <cellStyle name="Normal 2 3 2 32" xfId="27093" xr:uid="{00000000-0005-0000-0000-0000B7690000}"/>
    <cellStyle name="Normal 2 3 2 32 10" xfId="27094" xr:uid="{00000000-0005-0000-0000-0000B8690000}"/>
    <cellStyle name="Normal 2 3 2 32 11" xfId="27095" xr:uid="{00000000-0005-0000-0000-0000B9690000}"/>
    <cellStyle name="Normal 2 3 2 32 12" xfId="27096" xr:uid="{00000000-0005-0000-0000-0000BA690000}"/>
    <cellStyle name="Normal 2 3 2 32 13" xfId="27097" xr:uid="{00000000-0005-0000-0000-0000BB690000}"/>
    <cellStyle name="Normal 2 3 2 32 14" xfId="27098" xr:uid="{00000000-0005-0000-0000-0000BC690000}"/>
    <cellStyle name="Normal 2 3 2 32 2" xfId="27099" xr:uid="{00000000-0005-0000-0000-0000BD690000}"/>
    <cellStyle name="Normal 2 3 2 32 2 10" xfId="27100" xr:uid="{00000000-0005-0000-0000-0000BE690000}"/>
    <cellStyle name="Normal 2 3 2 32 2 2" xfId="27101" xr:uid="{00000000-0005-0000-0000-0000BF690000}"/>
    <cellStyle name="Normal 2 3 2 32 2 3" xfId="27102" xr:uid="{00000000-0005-0000-0000-0000C0690000}"/>
    <cellStyle name="Normal 2 3 2 32 2 4" xfId="27103" xr:uid="{00000000-0005-0000-0000-0000C1690000}"/>
    <cellStyle name="Normal 2 3 2 32 2 5" xfId="27104" xr:uid="{00000000-0005-0000-0000-0000C2690000}"/>
    <cellStyle name="Normal 2 3 2 32 2 6" xfId="27105" xr:uid="{00000000-0005-0000-0000-0000C3690000}"/>
    <cellStyle name="Normal 2 3 2 32 2 7" xfId="27106" xr:uid="{00000000-0005-0000-0000-0000C4690000}"/>
    <cellStyle name="Normal 2 3 2 32 2 8" xfId="27107" xr:uid="{00000000-0005-0000-0000-0000C5690000}"/>
    <cellStyle name="Normal 2 3 2 32 2 9" xfId="27108" xr:uid="{00000000-0005-0000-0000-0000C6690000}"/>
    <cellStyle name="Normal 2 3 2 32 3" xfId="27109" xr:uid="{00000000-0005-0000-0000-0000C7690000}"/>
    <cellStyle name="Normal 2 3 2 32 3 10" xfId="27110" xr:uid="{00000000-0005-0000-0000-0000C8690000}"/>
    <cellStyle name="Normal 2 3 2 32 3 2" xfId="27111" xr:uid="{00000000-0005-0000-0000-0000C9690000}"/>
    <cellStyle name="Normal 2 3 2 32 3 3" xfId="27112" xr:uid="{00000000-0005-0000-0000-0000CA690000}"/>
    <cellStyle name="Normal 2 3 2 32 3 4" xfId="27113" xr:uid="{00000000-0005-0000-0000-0000CB690000}"/>
    <cellStyle name="Normal 2 3 2 32 3 5" xfId="27114" xr:uid="{00000000-0005-0000-0000-0000CC690000}"/>
    <cellStyle name="Normal 2 3 2 32 3 6" xfId="27115" xr:uid="{00000000-0005-0000-0000-0000CD690000}"/>
    <cellStyle name="Normal 2 3 2 32 3 7" xfId="27116" xr:uid="{00000000-0005-0000-0000-0000CE690000}"/>
    <cellStyle name="Normal 2 3 2 32 3 8" xfId="27117" xr:uid="{00000000-0005-0000-0000-0000CF690000}"/>
    <cellStyle name="Normal 2 3 2 32 3 9" xfId="27118" xr:uid="{00000000-0005-0000-0000-0000D0690000}"/>
    <cellStyle name="Normal 2 3 2 32 4" xfId="27119" xr:uid="{00000000-0005-0000-0000-0000D1690000}"/>
    <cellStyle name="Normal 2 3 2 32 4 10" xfId="27120" xr:uid="{00000000-0005-0000-0000-0000D2690000}"/>
    <cellStyle name="Normal 2 3 2 32 4 2" xfId="27121" xr:uid="{00000000-0005-0000-0000-0000D3690000}"/>
    <cellStyle name="Normal 2 3 2 32 4 3" xfId="27122" xr:uid="{00000000-0005-0000-0000-0000D4690000}"/>
    <cellStyle name="Normal 2 3 2 32 4 4" xfId="27123" xr:uid="{00000000-0005-0000-0000-0000D5690000}"/>
    <cellStyle name="Normal 2 3 2 32 4 5" xfId="27124" xr:uid="{00000000-0005-0000-0000-0000D6690000}"/>
    <cellStyle name="Normal 2 3 2 32 4 6" xfId="27125" xr:uid="{00000000-0005-0000-0000-0000D7690000}"/>
    <cellStyle name="Normal 2 3 2 32 4 7" xfId="27126" xr:uid="{00000000-0005-0000-0000-0000D8690000}"/>
    <cellStyle name="Normal 2 3 2 32 4 8" xfId="27127" xr:uid="{00000000-0005-0000-0000-0000D9690000}"/>
    <cellStyle name="Normal 2 3 2 32 4 9" xfId="27128" xr:uid="{00000000-0005-0000-0000-0000DA690000}"/>
    <cellStyle name="Normal 2 3 2 32 5" xfId="27129" xr:uid="{00000000-0005-0000-0000-0000DB690000}"/>
    <cellStyle name="Normal 2 3 2 32 5 10" xfId="27130" xr:uid="{00000000-0005-0000-0000-0000DC690000}"/>
    <cellStyle name="Normal 2 3 2 32 5 2" xfId="27131" xr:uid="{00000000-0005-0000-0000-0000DD690000}"/>
    <cellStyle name="Normal 2 3 2 32 5 3" xfId="27132" xr:uid="{00000000-0005-0000-0000-0000DE690000}"/>
    <cellStyle name="Normal 2 3 2 32 5 4" xfId="27133" xr:uid="{00000000-0005-0000-0000-0000DF690000}"/>
    <cellStyle name="Normal 2 3 2 32 5 5" xfId="27134" xr:uid="{00000000-0005-0000-0000-0000E0690000}"/>
    <cellStyle name="Normal 2 3 2 32 5 6" xfId="27135" xr:uid="{00000000-0005-0000-0000-0000E1690000}"/>
    <cellStyle name="Normal 2 3 2 32 5 7" xfId="27136" xr:uid="{00000000-0005-0000-0000-0000E2690000}"/>
    <cellStyle name="Normal 2 3 2 32 5 8" xfId="27137" xr:uid="{00000000-0005-0000-0000-0000E3690000}"/>
    <cellStyle name="Normal 2 3 2 32 5 9" xfId="27138" xr:uid="{00000000-0005-0000-0000-0000E4690000}"/>
    <cellStyle name="Normal 2 3 2 32 6" xfId="27139" xr:uid="{00000000-0005-0000-0000-0000E5690000}"/>
    <cellStyle name="Normal 2 3 2 32 7" xfId="27140" xr:uid="{00000000-0005-0000-0000-0000E6690000}"/>
    <cellStyle name="Normal 2 3 2 32 8" xfId="27141" xr:uid="{00000000-0005-0000-0000-0000E7690000}"/>
    <cellStyle name="Normal 2 3 2 32 9" xfId="27142" xr:uid="{00000000-0005-0000-0000-0000E8690000}"/>
    <cellStyle name="Normal 2 3 2 33" xfId="27143" xr:uid="{00000000-0005-0000-0000-0000E9690000}"/>
    <cellStyle name="Normal 2 3 2 33 10" xfId="27144" xr:uid="{00000000-0005-0000-0000-0000EA690000}"/>
    <cellStyle name="Normal 2 3 2 33 11" xfId="27145" xr:uid="{00000000-0005-0000-0000-0000EB690000}"/>
    <cellStyle name="Normal 2 3 2 33 12" xfId="27146" xr:uid="{00000000-0005-0000-0000-0000EC690000}"/>
    <cellStyle name="Normal 2 3 2 33 13" xfId="27147" xr:uid="{00000000-0005-0000-0000-0000ED690000}"/>
    <cellStyle name="Normal 2 3 2 33 14" xfId="27148" xr:uid="{00000000-0005-0000-0000-0000EE690000}"/>
    <cellStyle name="Normal 2 3 2 33 2" xfId="27149" xr:uid="{00000000-0005-0000-0000-0000EF690000}"/>
    <cellStyle name="Normal 2 3 2 33 2 10" xfId="27150" xr:uid="{00000000-0005-0000-0000-0000F0690000}"/>
    <cellStyle name="Normal 2 3 2 33 2 2" xfId="27151" xr:uid="{00000000-0005-0000-0000-0000F1690000}"/>
    <cellStyle name="Normal 2 3 2 33 2 3" xfId="27152" xr:uid="{00000000-0005-0000-0000-0000F2690000}"/>
    <cellStyle name="Normal 2 3 2 33 2 4" xfId="27153" xr:uid="{00000000-0005-0000-0000-0000F3690000}"/>
    <cellStyle name="Normal 2 3 2 33 2 5" xfId="27154" xr:uid="{00000000-0005-0000-0000-0000F4690000}"/>
    <cellStyle name="Normal 2 3 2 33 2 6" xfId="27155" xr:uid="{00000000-0005-0000-0000-0000F5690000}"/>
    <cellStyle name="Normal 2 3 2 33 2 7" xfId="27156" xr:uid="{00000000-0005-0000-0000-0000F6690000}"/>
    <cellStyle name="Normal 2 3 2 33 2 8" xfId="27157" xr:uid="{00000000-0005-0000-0000-0000F7690000}"/>
    <cellStyle name="Normal 2 3 2 33 2 9" xfId="27158" xr:uid="{00000000-0005-0000-0000-0000F8690000}"/>
    <cellStyle name="Normal 2 3 2 33 3" xfId="27159" xr:uid="{00000000-0005-0000-0000-0000F9690000}"/>
    <cellStyle name="Normal 2 3 2 33 3 10" xfId="27160" xr:uid="{00000000-0005-0000-0000-0000FA690000}"/>
    <cellStyle name="Normal 2 3 2 33 3 2" xfId="27161" xr:uid="{00000000-0005-0000-0000-0000FB690000}"/>
    <cellStyle name="Normal 2 3 2 33 3 3" xfId="27162" xr:uid="{00000000-0005-0000-0000-0000FC690000}"/>
    <cellStyle name="Normal 2 3 2 33 3 4" xfId="27163" xr:uid="{00000000-0005-0000-0000-0000FD690000}"/>
    <cellStyle name="Normal 2 3 2 33 3 5" xfId="27164" xr:uid="{00000000-0005-0000-0000-0000FE690000}"/>
    <cellStyle name="Normal 2 3 2 33 3 6" xfId="27165" xr:uid="{00000000-0005-0000-0000-0000FF690000}"/>
    <cellStyle name="Normal 2 3 2 33 3 7" xfId="27166" xr:uid="{00000000-0005-0000-0000-0000006A0000}"/>
    <cellStyle name="Normal 2 3 2 33 3 8" xfId="27167" xr:uid="{00000000-0005-0000-0000-0000016A0000}"/>
    <cellStyle name="Normal 2 3 2 33 3 9" xfId="27168" xr:uid="{00000000-0005-0000-0000-0000026A0000}"/>
    <cellStyle name="Normal 2 3 2 33 4" xfId="27169" xr:uid="{00000000-0005-0000-0000-0000036A0000}"/>
    <cellStyle name="Normal 2 3 2 33 4 10" xfId="27170" xr:uid="{00000000-0005-0000-0000-0000046A0000}"/>
    <cellStyle name="Normal 2 3 2 33 4 2" xfId="27171" xr:uid="{00000000-0005-0000-0000-0000056A0000}"/>
    <cellStyle name="Normal 2 3 2 33 4 3" xfId="27172" xr:uid="{00000000-0005-0000-0000-0000066A0000}"/>
    <cellStyle name="Normal 2 3 2 33 4 4" xfId="27173" xr:uid="{00000000-0005-0000-0000-0000076A0000}"/>
    <cellStyle name="Normal 2 3 2 33 4 5" xfId="27174" xr:uid="{00000000-0005-0000-0000-0000086A0000}"/>
    <cellStyle name="Normal 2 3 2 33 4 6" xfId="27175" xr:uid="{00000000-0005-0000-0000-0000096A0000}"/>
    <cellStyle name="Normal 2 3 2 33 4 7" xfId="27176" xr:uid="{00000000-0005-0000-0000-00000A6A0000}"/>
    <cellStyle name="Normal 2 3 2 33 4 8" xfId="27177" xr:uid="{00000000-0005-0000-0000-00000B6A0000}"/>
    <cellStyle name="Normal 2 3 2 33 4 9" xfId="27178" xr:uid="{00000000-0005-0000-0000-00000C6A0000}"/>
    <cellStyle name="Normal 2 3 2 33 5" xfId="27179" xr:uid="{00000000-0005-0000-0000-00000D6A0000}"/>
    <cellStyle name="Normal 2 3 2 33 5 10" xfId="27180" xr:uid="{00000000-0005-0000-0000-00000E6A0000}"/>
    <cellStyle name="Normal 2 3 2 33 5 2" xfId="27181" xr:uid="{00000000-0005-0000-0000-00000F6A0000}"/>
    <cellStyle name="Normal 2 3 2 33 5 3" xfId="27182" xr:uid="{00000000-0005-0000-0000-0000106A0000}"/>
    <cellStyle name="Normal 2 3 2 33 5 4" xfId="27183" xr:uid="{00000000-0005-0000-0000-0000116A0000}"/>
    <cellStyle name="Normal 2 3 2 33 5 5" xfId="27184" xr:uid="{00000000-0005-0000-0000-0000126A0000}"/>
    <cellStyle name="Normal 2 3 2 33 5 6" xfId="27185" xr:uid="{00000000-0005-0000-0000-0000136A0000}"/>
    <cellStyle name="Normal 2 3 2 33 5 7" xfId="27186" xr:uid="{00000000-0005-0000-0000-0000146A0000}"/>
    <cellStyle name="Normal 2 3 2 33 5 8" xfId="27187" xr:uid="{00000000-0005-0000-0000-0000156A0000}"/>
    <cellStyle name="Normal 2 3 2 33 5 9" xfId="27188" xr:uid="{00000000-0005-0000-0000-0000166A0000}"/>
    <cellStyle name="Normal 2 3 2 33 6" xfId="27189" xr:uid="{00000000-0005-0000-0000-0000176A0000}"/>
    <cellStyle name="Normal 2 3 2 33 7" xfId="27190" xr:uid="{00000000-0005-0000-0000-0000186A0000}"/>
    <cellStyle name="Normal 2 3 2 33 8" xfId="27191" xr:uid="{00000000-0005-0000-0000-0000196A0000}"/>
    <cellStyle name="Normal 2 3 2 33 9" xfId="27192" xr:uid="{00000000-0005-0000-0000-00001A6A0000}"/>
    <cellStyle name="Normal 2 3 2 34" xfId="27193" xr:uid="{00000000-0005-0000-0000-00001B6A0000}"/>
    <cellStyle name="Normal 2 3 2 34 10" xfId="27194" xr:uid="{00000000-0005-0000-0000-00001C6A0000}"/>
    <cellStyle name="Normal 2 3 2 34 2" xfId="27195" xr:uid="{00000000-0005-0000-0000-00001D6A0000}"/>
    <cellStyle name="Normal 2 3 2 34 3" xfId="27196" xr:uid="{00000000-0005-0000-0000-00001E6A0000}"/>
    <cellStyle name="Normal 2 3 2 34 4" xfId="27197" xr:uid="{00000000-0005-0000-0000-00001F6A0000}"/>
    <cellStyle name="Normal 2 3 2 34 5" xfId="27198" xr:uid="{00000000-0005-0000-0000-0000206A0000}"/>
    <cellStyle name="Normal 2 3 2 34 6" xfId="27199" xr:uid="{00000000-0005-0000-0000-0000216A0000}"/>
    <cellStyle name="Normal 2 3 2 34 7" xfId="27200" xr:uid="{00000000-0005-0000-0000-0000226A0000}"/>
    <cellStyle name="Normal 2 3 2 34 8" xfId="27201" xr:uid="{00000000-0005-0000-0000-0000236A0000}"/>
    <cellStyle name="Normal 2 3 2 34 9" xfId="27202" xr:uid="{00000000-0005-0000-0000-0000246A0000}"/>
    <cellStyle name="Normal 2 3 2 35" xfId="27203" xr:uid="{00000000-0005-0000-0000-0000256A0000}"/>
    <cellStyle name="Normal 2 3 2 35 10" xfId="27204" xr:uid="{00000000-0005-0000-0000-0000266A0000}"/>
    <cellStyle name="Normal 2 3 2 35 2" xfId="27205" xr:uid="{00000000-0005-0000-0000-0000276A0000}"/>
    <cellStyle name="Normal 2 3 2 35 3" xfId="27206" xr:uid="{00000000-0005-0000-0000-0000286A0000}"/>
    <cellStyle name="Normal 2 3 2 35 4" xfId="27207" xr:uid="{00000000-0005-0000-0000-0000296A0000}"/>
    <cellStyle name="Normal 2 3 2 35 5" xfId="27208" xr:uid="{00000000-0005-0000-0000-00002A6A0000}"/>
    <cellStyle name="Normal 2 3 2 35 6" xfId="27209" xr:uid="{00000000-0005-0000-0000-00002B6A0000}"/>
    <cellStyle name="Normal 2 3 2 35 7" xfId="27210" xr:uid="{00000000-0005-0000-0000-00002C6A0000}"/>
    <cellStyle name="Normal 2 3 2 35 8" xfId="27211" xr:uid="{00000000-0005-0000-0000-00002D6A0000}"/>
    <cellStyle name="Normal 2 3 2 35 9" xfId="27212" xr:uid="{00000000-0005-0000-0000-00002E6A0000}"/>
    <cellStyle name="Normal 2 3 2 36" xfId="27213" xr:uid="{00000000-0005-0000-0000-00002F6A0000}"/>
    <cellStyle name="Normal 2 3 2 36 10" xfId="27214" xr:uid="{00000000-0005-0000-0000-0000306A0000}"/>
    <cellStyle name="Normal 2 3 2 36 2" xfId="27215" xr:uid="{00000000-0005-0000-0000-0000316A0000}"/>
    <cellStyle name="Normal 2 3 2 36 3" xfId="27216" xr:uid="{00000000-0005-0000-0000-0000326A0000}"/>
    <cellStyle name="Normal 2 3 2 36 4" xfId="27217" xr:uid="{00000000-0005-0000-0000-0000336A0000}"/>
    <cellStyle name="Normal 2 3 2 36 5" xfId="27218" xr:uid="{00000000-0005-0000-0000-0000346A0000}"/>
    <cellStyle name="Normal 2 3 2 36 6" xfId="27219" xr:uid="{00000000-0005-0000-0000-0000356A0000}"/>
    <cellStyle name="Normal 2 3 2 36 7" xfId="27220" xr:uid="{00000000-0005-0000-0000-0000366A0000}"/>
    <cellStyle name="Normal 2 3 2 36 8" xfId="27221" xr:uid="{00000000-0005-0000-0000-0000376A0000}"/>
    <cellStyle name="Normal 2 3 2 36 9" xfId="27222" xr:uid="{00000000-0005-0000-0000-0000386A0000}"/>
    <cellStyle name="Normal 2 3 2 37" xfId="27223" xr:uid="{00000000-0005-0000-0000-0000396A0000}"/>
    <cellStyle name="Normal 2 3 2 37 10" xfId="27224" xr:uid="{00000000-0005-0000-0000-00003A6A0000}"/>
    <cellStyle name="Normal 2 3 2 37 2" xfId="27225" xr:uid="{00000000-0005-0000-0000-00003B6A0000}"/>
    <cellStyle name="Normal 2 3 2 37 3" xfId="27226" xr:uid="{00000000-0005-0000-0000-00003C6A0000}"/>
    <cellStyle name="Normal 2 3 2 37 4" xfId="27227" xr:uid="{00000000-0005-0000-0000-00003D6A0000}"/>
    <cellStyle name="Normal 2 3 2 37 5" xfId="27228" xr:uid="{00000000-0005-0000-0000-00003E6A0000}"/>
    <cellStyle name="Normal 2 3 2 37 6" xfId="27229" xr:uid="{00000000-0005-0000-0000-00003F6A0000}"/>
    <cellStyle name="Normal 2 3 2 37 7" xfId="27230" xr:uid="{00000000-0005-0000-0000-0000406A0000}"/>
    <cellStyle name="Normal 2 3 2 37 8" xfId="27231" xr:uid="{00000000-0005-0000-0000-0000416A0000}"/>
    <cellStyle name="Normal 2 3 2 37 9" xfId="27232" xr:uid="{00000000-0005-0000-0000-0000426A0000}"/>
    <cellStyle name="Normal 2 3 2 38" xfId="27233" xr:uid="{00000000-0005-0000-0000-0000436A0000}"/>
    <cellStyle name="Normal 2 3 2 39" xfId="27234" xr:uid="{00000000-0005-0000-0000-0000446A0000}"/>
    <cellStyle name="Normal 2 3 2 4" xfId="27235" xr:uid="{00000000-0005-0000-0000-0000456A0000}"/>
    <cellStyle name="Normal 2 3 2 4 10" xfId="27236" xr:uid="{00000000-0005-0000-0000-0000466A0000}"/>
    <cellStyle name="Normal 2 3 2 4 11" xfId="27237" xr:uid="{00000000-0005-0000-0000-0000476A0000}"/>
    <cellStyle name="Normal 2 3 2 4 12" xfId="27238" xr:uid="{00000000-0005-0000-0000-0000486A0000}"/>
    <cellStyle name="Normal 2 3 2 4 13" xfId="27239" xr:uid="{00000000-0005-0000-0000-0000496A0000}"/>
    <cellStyle name="Normal 2 3 2 4 14" xfId="27240" xr:uid="{00000000-0005-0000-0000-00004A6A0000}"/>
    <cellStyle name="Normal 2 3 2 4 2" xfId="27241" xr:uid="{00000000-0005-0000-0000-00004B6A0000}"/>
    <cellStyle name="Normal 2 3 2 4 2 10" xfId="27242" xr:uid="{00000000-0005-0000-0000-00004C6A0000}"/>
    <cellStyle name="Normal 2 3 2 4 2 2" xfId="27243" xr:uid="{00000000-0005-0000-0000-00004D6A0000}"/>
    <cellStyle name="Normal 2 3 2 4 2 3" xfId="27244" xr:uid="{00000000-0005-0000-0000-00004E6A0000}"/>
    <cellStyle name="Normal 2 3 2 4 2 4" xfId="27245" xr:uid="{00000000-0005-0000-0000-00004F6A0000}"/>
    <cellStyle name="Normal 2 3 2 4 2 5" xfId="27246" xr:uid="{00000000-0005-0000-0000-0000506A0000}"/>
    <cellStyle name="Normal 2 3 2 4 2 6" xfId="27247" xr:uid="{00000000-0005-0000-0000-0000516A0000}"/>
    <cellStyle name="Normal 2 3 2 4 2 7" xfId="27248" xr:uid="{00000000-0005-0000-0000-0000526A0000}"/>
    <cellStyle name="Normal 2 3 2 4 2 8" xfId="27249" xr:uid="{00000000-0005-0000-0000-0000536A0000}"/>
    <cellStyle name="Normal 2 3 2 4 2 9" xfId="27250" xr:uid="{00000000-0005-0000-0000-0000546A0000}"/>
    <cellStyle name="Normal 2 3 2 4 3" xfId="27251" xr:uid="{00000000-0005-0000-0000-0000556A0000}"/>
    <cellStyle name="Normal 2 3 2 4 3 10" xfId="27252" xr:uid="{00000000-0005-0000-0000-0000566A0000}"/>
    <cellStyle name="Normal 2 3 2 4 3 2" xfId="27253" xr:uid="{00000000-0005-0000-0000-0000576A0000}"/>
    <cellStyle name="Normal 2 3 2 4 3 3" xfId="27254" xr:uid="{00000000-0005-0000-0000-0000586A0000}"/>
    <cellStyle name="Normal 2 3 2 4 3 4" xfId="27255" xr:uid="{00000000-0005-0000-0000-0000596A0000}"/>
    <cellStyle name="Normal 2 3 2 4 3 5" xfId="27256" xr:uid="{00000000-0005-0000-0000-00005A6A0000}"/>
    <cellStyle name="Normal 2 3 2 4 3 6" xfId="27257" xr:uid="{00000000-0005-0000-0000-00005B6A0000}"/>
    <cellStyle name="Normal 2 3 2 4 3 7" xfId="27258" xr:uid="{00000000-0005-0000-0000-00005C6A0000}"/>
    <cellStyle name="Normal 2 3 2 4 3 8" xfId="27259" xr:uid="{00000000-0005-0000-0000-00005D6A0000}"/>
    <cellStyle name="Normal 2 3 2 4 3 9" xfId="27260" xr:uid="{00000000-0005-0000-0000-00005E6A0000}"/>
    <cellStyle name="Normal 2 3 2 4 4" xfId="27261" xr:uid="{00000000-0005-0000-0000-00005F6A0000}"/>
    <cellStyle name="Normal 2 3 2 4 4 10" xfId="27262" xr:uid="{00000000-0005-0000-0000-0000606A0000}"/>
    <cellStyle name="Normal 2 3 2 4 4 2" xfId="27263" xr:uid="{00000000-0005-0000-0000-0000616A0000}"/>
    <cellStyle name="Normal 2 3 2 4 4 3" xfId="27264" xr:uid="{00000000-0005-0000-0000-0000626A0000}"/>
    <cellStyle name="Normal 2 3 2 4 4 4" xfId="27265" xr:uid="{00000000-0005-0000-0000-0000636A0000}"/>
    <cellStyle name="Normal 2 3 2 4 4 5" xfId="27266" xr:uid="{00000000-0005-0000-0000-0000646A0000}"/>
    <cellStyle name="Normal 2 3 2 4 4 6" xfId="27267" xr:uid="{00000000-0005-0000-0000-0000656A0000}"/>
    <cellStyle name="Normal 2 3 2 4 4 7" xfId="27268" xr:uid="{00000000-0005-0000-0000-0000666A0000}"/>
    <cellStyle name="Normal 2 3 2 4 4 8" xfId="27269" xr:uid="{00000000-0005-0000-0000-0000676A0000}"/>
    <cellStyle name="Normal 2 3 2 4 4 9" xfId="27270" xr:uid="{00000000-0005-0000-0000-0000686A0000}"/>
    <cellStyle name="Normal 2 3 2 4 5" xfId="27271" xr:uid="{00000000-0005-0000-0000-0000696A0000}"/>
    <cellStyle name="Normal 2 3 2 4 5 10" xfId="27272" xr:uid="{00000000-0005-0000-0000-00006A6A0000}"/>
    <cellStyle name="Normal 2 3 2 4 5 2" xfId="27273" xr:uid="{00000000-0005-0000-0000-00006B6A0000}"/>
    <cellStyle name="Normal 2 3 2 4 5 3" xfId="27274" xr:uid="{00000000-0005-0000-0000-00006C6A0000}"/>
    <cellStyle name="Normal 2 3 2 4 5 4" xfId="27275" xr:uid="{00000000-0005-0000-0000-00006D6A0000}"/>
    <cellStyle name="Normal 2 3 2 4 5 5" xfId="27276" xr:uid="{00000000-0005-0000-0000-00006E6A0000}"/>
    <cellStyle name="Normal 2 3 2 4 5 6" xfId="27277" xr:uid="{00000000-0005-0000-0000-00006F6A0000}"/>
    <cellStyle name="Normal 2 3 2 4 5 7" xfId="27278" xr:uid="{00000000-0005-0000-0000-0000706A0000}"/>
    <cellStyle name="Normal 2 3 2 4 5 8" xfId="27279" xr:uid="{00000000-0005-0000-0000-0000716A0000}"/>
    <cellStyle name="Normal 2 3 2 4 5 9" xfId="27280" xr:uid="{00000000-0005-0000-0000-0000726A0000}"/>
    <cellStyle name="Normal 2 3 2 4 6" xfId="27281" xr:uid="{00000000-0005-0000-0000-0000736A0000}"/>
    <cellStyle name="Normal 2 3 2 4 7" xfId="27282" xr:uid="{00000000-0005-0000-0000-0000746A0000}"/>
    <cellStyle name="Normal 2 3 2 4 8" xfId="27283" xr:uid="{00000000-0005-0000-0000-0000756A0000}"/>
    <cellStyle name="Normal 2 3 2 4 9" xfId="27284" xr:uid="{00000000-0005-0000-0000-0000766A0000}"/>
    <cellStyle name="Normal 2 3 2 40" xfId="27285" xr:uid="{00000000-0005-0000-0000-0000776A0000}"/>
    <cellStyle name="Normal 2 3 2 41" xfId="27286" xr:uid="{00000000-0005-0000-0000-0000786A0000}"/>
    <cellStyle name="Normal 2 3 2 42" xfId="27287" xr:uid="{00000000-0005-0000-0000-0000796A0000}"/>
    <cellStyle name="Normal 2 3 2 43" xfId="27288" xr:uid="{00000000-0005-0000-0000-00007A6A0000}"/>
    <cellStyle name="Normal 2 3 2 44" xfId="27289" xr:uid="{00000000-0005-0000-0000-00007B6A0000}"/>
    <cellStyle name="Normal 2 3 2 45" xfId="27290" xr:uid="{00000000-0005-0000-0000-00007C6A0000}"/>
    <cellStyle name="Normal 2 3 2 46" xfId="27291" xr:uid="{00000000-0005-0000-0000-00007D6A0000}"/>
    <cellStyle name="Normal 2 3 2 47" xfId="27292" xr:uid="{00000000-0005-0000-0000-00007E6A0000}"/>
    <cellStyle name="Normal 2 3 2 48" xfId="27293" xr:uid="{00000000-0005-0000-0000-00007F6A0000}"/>
    <cellStyle name="Normal 2 3 2 49" xfId="25886" xr:uid="{00000000-0005-0000-0000-0000806A0000}"/>
    <cellStyle name="Normal 2 3 2 5" xfId="27294" xr:uid="{00000000-0005-0000-0000-0000816A0000}"/>
    <cellStyle name="Normal 2 3 2 5 10" xfId="27295" xr:uid="{00000000-0005-0000-0000-0000826A0000}"/>
    <cellStyle name="Normal 2 3 2 5 11" xfId="27296" xr:uid="{00000000-0005-0000-0000-0000836A0000}"/>
    <cellStyle name="Normal 2 3 2 5 12" xfId="27297" xr:uid="{00000000-0005-0000-0000-0000846A0000}"/>
    <cellStyle name="Normal 2 3 2 5 13" xfId="27298" xr:uid="{00000000-0005-0000-0000-0000856A0000}"/>
    <cellStyle name="Normal 2 3 2 5 14" xfId="27299" xr:uid="{00000000-0005-0000-0000-0000866A0000}"/>
    <cellStyle name="Normal 2 3 2 5 2" xfId="27300" xr:uid="{00000000-0005-0000-0000-0000876A0000}"/>
    <cellStyle name="Normal 2 3 2 5 2 10" xfId="27301" xr:uid="{00000000-0005-0000-0000-0000886A0000}"/>
    <cellStyle name="Normal 2 3 2 5 2 2" xfId="27302" xr:uid="{00000000-0005-0000-0000-0000896A0000}"/>
    <cellStyle name="Normal 2 3 2 5 2 3" xfId="27303" xr:uid="{00000000-0005-0000-0000-00008A6A0000}"/>
    <cellStyle name="Normal 2 3 2 5 2 4" xfId="27304" xr:uid="{00000000-0005-0000-0000-00008B6A0000}"/>
    <cellStyle name="Normal 2 3 2 5 2 5" xfId="27305" xr:uid="{00000000-0005-0000-0000-00008C6A0000}"/>
    <cellStyle name="Normal 2 3 2 5 2 6" xfId="27306" xr:uid="{00000000-0005-0000-0000-00008D6A0000}"/>
    <cellStyle name="Normal 2 3 2 5 2 7" xfId="27307" xr:uid="{00000000-0005-0000-0000-00008E6A0000}"/>
    <cellStyle name="Normal 2 3 2 5 2 8" xfId="27308" xr:uid="{00000000-0005-0000-0000-00008F6A0000}"/>
    <cellStyle name="Normal 2 3 2 5 2 9" xfId="27309" xr:uid="{00000000-0005-0000-0000-0000906A0000}"/>
    <cellStyle name="Normal 2 3 2 5 3" xfId="27310" xr:uid="{00000000-0005-0000-0000-0000916A0000}"/>
    <cellStyle name="Normal 2 3 2 5 3 10" xfId="27311" xr:uid="{00000000-0005-0000-0000-0000926A0000}"/>
    <cellStyle name="Normal 2 3 2 5 3 2" xfId="27312" xr:uid="{00000000-0005-0000-0000-0000936A0000}"/>
    <cellStyle name="Normal 2 3 2 5 3 3" xfId="27313" xr:uid="{00000000-0005-0000-0000-0000946A0000}"/>
    <cellStyle name="Normal 2 3 2 5 3 4" xfId="27314" xr:uid="{00000000-0005-0000-0000-0000956A0000}"/>
    <cellStyle name="Normal 2 3 2 5 3 5" xfId="27315" xr:uid="{00000000-0005-0000-0000-0000966A0000}"/>
    <cellStyle name="Normal 2 3 2 5 3 6" xfId="27316" xr:uid="{00000000-0005-0000-0000-0000976A0000}"/>
    <cellStyle name="Normal 2 3 2 5 3 7" xfId="27317" xr:uid="{00000000-0005-0000-0000-0000986A0000}"/>
    <cellStyle name="Normal 2 3 2 5 3 8" xfId="27318" xr:uid="{00000000-0005-0000-0000-0000996A0000}"/>
    <cellStyle name="Normal 2 3 2 5 3 9" xfId="27319" xr:uid="{00000000-0005-0000-0000-00009A6A0000}"/>
    <cellStyle name="Normal 2 3 2 5 4" xfId="27320" xr:uid="{00000000-0005-0000-0000-00009B6A0000}"/>
    <cellStyle name="Normal 2 3 2 5 4 10" xfId="27321" xr:uid="{00000000-0005-0000-0000-00009C6A0000}"/>
    <cellStyle name="Normal 2 3 2 5 4 2" xfId="27322" xr:uid="{00000000-0005-0000-0000-00009D6A0000}"/>
    <cellStyle name="Normal 2 3 2 5 4 3" xfId="27323" xr:uid="{00000000-0005-0000-0000-00009E6A0000}"/>
    <cellStyle name="Normal 2 3 2 5 4 4" xfId="27324" xr:uid="{00000000-0005-0000-0000-00009F6A0000}"/>
    <cellStyle name="Normal 2 3 2 5 4 5" xfId="27325" xr:uid="{00000000-0005-0000-0000-0000A06A0000}"/>
    <cellStyle name="Normal 2 3 2 5 4 6" xfId="27326" xr:uid="{00000000-0005-0000-0000-0000A16A0000}"/>
    <cellStyle name="Normal 2 3 2 5 4 7" xfId="27327" xr:uid="{00000000-0005-0000-0000-0000A26A0000}"/>
    <cellStyle name="Normal 2 3 2 5 4 8" xfId="27328" xr:uid="{00000000-0005-0000-0000-0000A36A0000}"/>
    <cellStyle name="Normal 2 3 2 5 4 9" xfId="27329" xr:uid="{00000000-0005-0000-0000-0000A46A0000}"/>
    <cellStyle name="Normal 2 3 2 5 5" xfId="27330" xr:uid="{00000000-0005-0000-0000-0000A56A0000}"/>
    <cellStyle name="Normal 2 3 2 5 5 10" xfId="27331" xr:uid="{00000000-0005-0000-0000-0000A66A0000}"/>
    <cellStyle name="Normal 2 3 2 5 5 2" xfId="27332" xr:uid="{00000000-0005-0000-0000-0000A76A0000}"/>
    <cellStyle name="Normal 2 3 2 5 5 3" xfId="27333" xr:uid="{00000000-0005-0000-0000-0000A86A0000}"/>
    <cellStyle name="Normal 2 3 2 5 5 4" xfId="27334" xr:uid="{00000000-0005-0000-0000-0000A96A0000}"/>
    <cellStyle name="Normal 2 3 2 5 5 5" xfId="27335" xr:uid="{00000000-0005-0000-0000-0000AA6A0000}"/>
    <cellStyle name="Normal 2 3 2 5 5 6" xfId="27336" xr:uid="{00000000-0005-0000-0000-0000AB6A0000}"/>
    <cellStyle name="Normal 2 3 2 5 5 7" xfId="27337" xr:uid="{00000000-0005-0000-0000-0000AC6A0000}"/>
    <cellStyle name="Normal 2 3 2 5 5 8" xfId="27338" xr:uid="{00000000-0005-0000-0000-0000AD6A0000}"/>
    <cellStyle name="Normal 2 3 2 5 5 9" xfId="27339" xr:uid="{00000000-0005-0000-0000-0000AE6A0000}"/>
    <cellStyle name="Normal 2 3 2 5 6" xfId="27340" xr:uid="{00000000-0005-0000-0000-0000AF6A0000}"/>
    <cellStyle name="Normal 2 3 2 5 7" xfId="27341" xr:uid="{00000000-0005-0000-0000-0000B06A0000}"/>
    <cellStyle name="Normal 2 3 2 5 8" xfId="27342" xr:uid="{00000000-0005-0000-0000-0000B16A0000}"/>
    <cellStyle name="Normal 2 3 2 5 9" xfId="27343" xr:uid="{00000000-0005-0000-0000-0000B26A0000}"/>
    <cellStyle name="Normal 2 3 2 6" xfId="27344" xr:uid="{00000000-0005-0000-0000-0000B36A0000}"/>
    <cellStyle name="Normal 2 3 2 6 10" xfId="27345" xr:uid="{00000000-0005-0000-0000-0000B46A0000}"/>
    <cellStyle name="Normal 2 3 2 6 11" xfId="27346" xr:uid="{00000000-0005-0000-0000-0000B56A0000}"/>
    <cellStyle name="Normal 2 3 2 6 12" xfId="27347" xr:uid="{00000000-0005-0000-0000-0000B66A0000}"/>
    <cellStyle name="Normal 2 3 2 6 13" xfId="27348" xr:uid="{00000000-0005-0000-0000-0000B76A0000}"/>
    <cellStyle name="Normal 2 3 2 6 14" xfId="27349" xr:uid="{00000000-0005-0000-0000-0000B86A0000}"/>
    <cellStyle name="Normal 2 3 2 6 2" xfId="27350" xr:uid="{00000000-0005-0000-0000-0000B96A0000}"/>
    <cellStyle name="Normal 2 3 2 6 2 10" xfId="27351" xr:uid="{00000000-0005-0000-0000-0000BA6A0000}"/>
    <cellStyle name="Normal 2 3 2 6 2 2" xfId="27352" xr:uid="{00000000-0005-0000-0000-0000BB6A0000}"/>
    <cellStyle name="Normal 2 3 2 6 2 3" xfId="27353" xr:uid="{00000000-0005-0000-0000-0000BC6A0000}"/>
    <cellStyle name="Normal 2 3 2 6 2 4" xfId="27354" xr:uid="{00000000-0005-0000-0000-0000BD6A0000}"/>
    <cellStyle name="Normal 2 3 2 6 2 5" xfId="27355" xr:uid="{00000000-0005-0000-0000-0000BE6A0000}"/>
    <cellStyle name="Normal 2 3 2 6 2 6" xfId="27356" xr:uid="{00000000-0005-0000-0000-0000BF6A0000}"/>
    <cellStyle name="Normal 2 3 2 6 2 7" xfId="27357" xr:uid="{00000000-0005-0000-0000-0000C06A0000}"/>
    <cellStyle name="Normal 2 3 2 6 2 8" xfId="27358" xr:uid="{00000000-0005-0000-0000-0000C16A0000}"/>
    <cellStyle name="Normal 2 3 2 6 2 9" xfId="27359" xr:uid="{00000000-0005-0000-0000-0000C26A0000}"/>
    <cellStyle name="Normal 2 3 2 6 3" xfId="27360" xr:uid="{00000000-0005-0000-0000-0000C36A0000}"/>
    <cellStyle name="Normal 2 3 2 6 3 10" xfId="27361" xr:uid="{00000000-0005-0000-0000-0000C46A0000}"/>
    <cellStyle name="Normal 2 3 2 6 3 2" xfId="27362" xr:uid="{00000000-0005-0000-0000-0000C56A0000}"/>
    <cellStyle name="Normal 2 3 2 6 3 3" xfId="27363" xr:uid="{00000000-0005-0000-0000-0000C66A0000}"/>
    <cellStyle name="Normal 2 3 2 6 3 4" xfId="27364" xr:uid="{00000000-0005-0000-0000-0000C76A0000}"/>
    <cellStyle name="Normal 2 3 2 6 3 5" xfId="27365" xr:uid="{00000000-0005-0000-0000-0000C86A0000}"/>
    <cellStyle name="Normal 2 3 2 6 3 6" xfId="27366" xr:uid="{00000000-0005-0000-0000-0000C96A0000}"/>
    <cellStyle name="Normal 2 3 2 6 3 7" xfId="27367" xr:uid="{00000000-0005-0000-0000-0000CA6A0000}"/>
    <cellStyle name="Normal 2 3 2 6 3 8" xfId="27368" xr:uid="{00000000-0005-0000-0000-0000CB6A0000}"/>
    <cellStyle name="Normal 2 3 2 6 3 9" xfId="27369" xr:uid="{00000000-0005-0000-0000-0000CC6A0000}"/>
    <cellStyle name="Normal 2 3 2 6 4" xfId="27370" xr:uid="{00000000-0005-0000-0000-0000CD6A0000}"/>
    <cellStyle name="Normal 2 3 2 6 4 10" xfId="27371" xr:uid="{00000000-0005-0000-0000-0000CE6A0000}"/>
    <cellStyle name="Normal 2 3 2 6 4 2" xfId="27372" xr:uid="{00000000-0005-0000-0000-0000CF6A0000}"/>
    <cellStyle name="Normal 2 3 2 6 4 3" xfId="27373" xr:uid="{00000000-0005-0000-0000-0000D06A0000}"/>
    <cellStyle name="Normal 2 3 2 6 4 4" xfId="27374" xr:uid="{00000000-0005-0000-0000-0000D16A0000}"/>
    <cellStyle name="Normal 2 3 2 6 4 5" xfId="27375" xr:uid="{00000000-0005-0000-0000-0000D26A0000}"/>
    <cellStyle name="Normal 2 3 2 6 4 6" xfId="27376" xr:uid="{00000000-0005-0000-0000-0000D36A0000}"/>
    <cellStyle name="Normal 2 3 2 6 4 7" xfId="27377" xr:uid="{00000000-0005-0000-0000-0000D46A0000}"/>
    <cellStyle name="Normal 2 3 2 6 4 8" xfId="27378" xr:uid="{00000000-0005-0000-0000-0000D56A0000}"/>
    <cellStyle name="Normal 2 3 2 6 4 9" xfId="27379" xr:uid="{00000000-0005-0000-0000-0000D66A0000}"/>
    <cellStyle name="Normal 2 3 2 6 5" xfId="27380" xr:uid="{00000000-0005-0000-0000-0000D76A0000}"/>
    <cellStyle name="Normal 2 3 2 6 5 10" xfId="27381" xr:uid="{00000000-0005-0000-0000-0000D86A0000}"/>
    <cellStyle name="Normal 2 3 2 6 5 2" xfId="27382" xr:uid="{00000000-0005-0000-0000-0000D96A0000}"/>
    <cellStyle name="Normal 2 3 2 6 5 3" xfId="27383" xr:uid="{00000000-0005-0000-0000-0000DA6A0000}"/>
    <cellStyle name="Normal 2 3 2 6 5 4" xfId="27384" xr:uid="{00000000-0005-0000-0000-0000DB6A0000}"/>
    <cellStyle name="Normal 2 3 2 6 5 5" xfId="27385" xr:uid="{00000000-0005-0000-0000-0000DC6A0000}"/>
    <cellStyle name="Normal 2 3 2 6 5 6" xfId="27386" xr:uid="{00000000-0005-0000-0000-0000DD6A0000}"/>
    <cellStyle name="Normal 2 3 2 6 5 7" xfId="27387" xr:uid="{00000000-0005-0000-0000-0000DE6A0000}"/>
    <cellStyle name="Normal 2 3 2 6 5 8" xfId="27388" xr:uid="{00000000-0005-0000-0000-0000DF6A0000}"/>
    <cellStyle name="Normal 2 3 2 6 5 9" xfId="27389" xr:uid="{00000000-0005-0000-0000-0000E06A0000}"/>
    <cellStyle name="Normal 2 3 2 6 6" xfId="27390" xr:uid="{00000000-0005-0000-0000-0000E16A0000}"/>
    <cellStyle name="Normal 2 3 2 6 7" xfId="27391" xr:uid="{00000000-0005-0000-0000-0000E26A0000}"/>
    <cellStyle name="Normal 2 3 2 6 8" xfId="27392" xr:uid="{00000000-0005-0000-0000-0000E36A0000}"/>
    <cellStyle name="Normal 2 3 2 6 9" xfId="27393" xr:uid="{00000000-0005-0000-0000-0000E46A0000}"/>
    <cellStyle name="Normal 2 3 2 7" xfId="27394" xr:uid="{00000000-0005-0000-0000-0000E56A0000}"/>
    <cellStyle name="Normal 2 3 2 7 10" xfId="27395" xr:uid="{00000000-0005-0000-0000-0000E66A0000}"/>
    <cellStyle name="Normal 2 3 2 7 11" xfId="27396" xr:uid="{00000000-0005-0000-0000-0000E76A0000}"/>
    <cellStyle name="Normal 2 3 2 7 12" xfId="27397" xr:uid="{00000000-0005-0000-0000-0000E86A0000}"/>
    <cellStyle name="Normal 2 3 2 7 13" xfId="27398" xr:uid="{00000000-0005-0000-0000-0000E96A0000}"/>
    <cellStyle name="Normal 2 3 2 7 14" xfId="27399" xr:uid="{00000000-0005-0000-0000-0000EA6A0000}"/>
    <cellStyle name="Normal 2 3 2 7 2" xfId="27400" xr:uid="{00000000-0005-0000-0000-0000EB6A0000}"/>
    <cellStyle name="Normal 2 3 2 7 2 10" xfId="27401" xr:uid="{00000000-0005-0000-0000-0000EC6A0000}"/>
    <cellStyle name="Normal 2 3 2 7 2 2" xfId="27402" xr:uid="{00000000-0005-0000-0000-0000ED6A0000}"/>
    <cellStyle name="Normal 2 3 2 7 2 3" xfId="27403" xr:uid="{00000000-0005-0000-0000-0000EE6A0000}"/>
    <cellStyle name="Normal 2 3 2 7 2 4" xfId="27404" xr:uid="{00000000-0005-0000-0000-0000EF6A0000}"/>
    <cellStyle name="Normal 2 3 2 7 2 5" xfId="27405" xr:uid="{00000000-0005-0000-0000-0000F06A0000}"/>
    <cellStyle name="Normal 2 3 2 7 2 6" xfId="27406" xr:uid="{00000000-0005-0000-0000-0000F16A0000}"/>
    <cellStyle name="Normal 2 3 2 7 2 7" xfId="27407" xr:uid="{00000000-0005-0000-0000-0000F26A0000}"/>
    <cellStyle name="Normal 2 3 2 7 2 8" xfId="27408" xr:uid="{00000000-0005-0000-0000-0000F36A0000}"/>
    <cellStyle name="Normal 2 3 2 7 2 9" xfId="27409" xr:uid="{00000000-0005-0000-0000-0000F46A0000}"/>
    <cellStyle name="Normal 2 3 2 7 3" xfId="27410" xr:uid="{00000000-0005-0000-0000-0000F56A0000}"/>
    <cellStyle name="Normal 2 3 2 7 3 10" xfId="27411" xr:uid="{00000000-0005-0000-0000-0000F66A0000}"/>
    <cellStyle name="Normal 2 3 2 7 3 2" xfId="27412" xr:uid="{00000000-0005-0000-0000-0000F76A0000}"/>
    <cellStyle name="Normal 2 3 2 7 3 3" xfId="27413" xr:uid="{00000000-0005-0000-0000-0000F86A0000}"/>
    <cellStyle name="Normal 2 3 2 7 3 4" xfId="27414" xr:uid="{00000000-0005-0000-0000-0000F96A0000}"/>
    <cellStyle name="Normal 2 3 2 7 3 5" xfId="27415" xr:uid="{00000000-0005-0000-0000-0000FA6A0000}"/>
    <cellStyle name="Normal 2 3 2 7 3 6" xfId="27416" xr:uid="{00000000-0005-0000-0000-0000FB6A0000}"/>
    <cellStyle name="Normal 2 3 2 7 3 7" xfId="27417" xr:uid="{00000000-0005-0000-0000-0000FC6A0000}"/>
    <cellStyle name="Normal 2 3 2 7 3 8" xfId="27418" xr:uid="{00000000-0005-0000-0000-0000FD6A0000}"/>
    <cellStyle name="Normal 2 3 2 7 3 9" xfId="27419" xr:uid="{00000000-0005-0000-0000-0000FE6A0000}"/>
    <cellStyle name="Normal 2 3 2 7 4" xfId="27420" xr:uid="{00000000-0005-0000-0000-0000FF6A0000}"/>
    <cellStyle name="Normal 2 3 2 7 4 10" xfId="27421" xr:uid="{00000000-0005-0000-0000-0000006B0000}"/>
    <cellStyle name="Normal 2 3 2 7 4 2" xfId="27422" xr:uid="{00000000-0005-0000-0000-0000016B0000}"/>
    <cellStyle name="Normal 2 3 2 7 4 3" xfId="27423" xr:uid="{00000000-0005-0000-0000-0000026B0000}"/>
    <cellStyle name="Normal 2 3 2 7 4 4" xfId="27424" xr:uid="{00000000-0005-0000-0000-0000036B0000}"/>
    <cellStyle name="Normal 2 3 2 7 4 5" xfId="27425" xr:uid="{00000000-0005-0000-0000-0000046B0000}"/>
    <cellStyle name="Normal 2 3 2 7 4 6" xfId="27426" xr:uid="{00000000-0005-0000-0000-0000056B0000}"/>
    <cellStyle name="Normal 2 3 2 7 4 7" xfId="27427" xr:uid="{00000000-0005-0000-0000-0000066B0000}"/>
    <cellStyle name="Normal 2 3 2 7 4 8" xfId="27428" xr:uid="{00000000-0005-0000-0000-0000076B0000}"/>
    <cellStyle name="Normal 2 3 2 7 4 9" xfId="27429" xr:uid="{00000000-0005-0000-0000-0000086B0000}"/>
    <cellStyle name="Normal 2 3 2 7 5" xfId="27430" xr:uid="{00000000-0005-0000-0000-0000096B0000}"/>
    <cellStyle name="Normal 2 3 2 7 5 10" xfId="27431" xr:uid="{00000000-0005-0000-0000-00000A6B0000}"/>
    <cellStyle name="Normal 2 3 2 7 5 2" xfId="27432" xr:uid="{00000000-0005-0000-0000-00000B6B0000}"/>
    <cellStyle name="Normal 2 3 2 7 5 3" xfId="27433" xr:uid="{00000000-0005-0000-0000-00000C6B0000}"/>
    <cellStyle name="Normal 2 3 2 7 5 4" xfId="27434" xr:uid="{00000000-0005-0000-0000-00000D6B0000}"/>
    <cellStyle name="Normal 2 3 2 7 5 5" xfId="27435" xr:uid="{00000000-0005-0000-0000-00000E6B0000}"/>
    <cellStyle name="Normal 2 3 2 7 5 6" xfId="27436" xr:uid="{00000000-0005-0000-0000-00000F6B0000}"/>
    <cellStyle name="Normal 2 3 2 7 5 7" xfId="27437" xr:uid="{00000000-0005-0000-0000-0000106B0000}"/>
    <cellStyle name="Normal 2 3 2 7 5 8" xfId="27438" xr:uid="{00000000-0005-0000-0000-0000116B0000}"/>
    <cellStyle name="Normal 2 3 2 7 5 9" xfId="27439" xr:uid="{00000000-0005-0000-0000-0000126B0000}"/>
    <cellStyle name="Normal 2 3 2 7 6" xfId="27440" xr:uid="{00000000-0005-0000-0000-0000136B0000}"/>
    <cellStyle name="Normal 2 3 2 7 7" xfId="27441" xr:uid="{00000000-0005-0000-0000-0000146B0000}"/>
    <cellStyle name="Normal 2 3 2 7 8" xfId="27442" xr:uid="{00000000-0005-0000-0000-0000156B0000}"/>
    <cellStyle name="Normal 2 3 2 7 9" xfId="27443" xr:uid="{00000000-0005-0000-0000-0000166B0000}"/>
    <cellStyle name="Normal 2 3 2 8" xfId="27444" xr:uid="{00000000-0005-0000-0000-0000176B0000}"/>
    <cellStyle name="Normal 2 3 2 8 10" xfId="27445" xr:uid="{00000000-0005-0000-0000-0000186B0000}"/>
    <cellStyle name="Normal 2 3 2 8 11" xfId="27446" xr:uid="{00000000-0005-0000-0000-0000196B0000}"/>
    <cellStyle name="Normal 2 3 2 8 12" xfId="27447" xr:uid="{00000000-0005-0000-0000-00001A6B0000}"/>
    <cellStyle name="Normal 2 3 2 8 13" xfId="27448" xr:uid="{00000000-0005-0000-0000-00001B6B0000}"/>
    <cellStyle name="Normal 2 3 2 8 14" xfId="27449" xr:uid="{00000000-0005-0000-0000-00001C6B0000}"/>
    <cellStyle name="Normal 2 3 2 8 2" xfId="27450" xr:uid="{00000000-0005-0000-0000-00001D6B0000}"/>
    <cellStyle name="Normal 2 3 2 8 2 10" xfId="27451" xr:uid="{00000000-0005-0000-0000-00001E6B0000}"/>
    <cellStyle name="Normal 2 3 2 8 2 2" xfId="27452" xr:uid="{00000000-0005-0000-0000-00001F6B0000}"/>
    <cellStyle name="Normal 2 3 2 8 2 3" xfId="27453" xr:uid="{00000000-0005-0000-0000-0000206B0000}"/>
    <cellStyle name="Normal 2 3 2 8 2 4" xfId="27454" xr:uid="{00000000-0005-0000-0000-0000216B0000}"/>
    <cellStyle name="Normal 2 3 2 8 2 5" xfId="27455" xr:uid="{00000000-0005-0000-0000-0000226B0000}"/>
    <cellStyle name="Normal 2 3 2 8 2 6" xfId="27456" xr:uid="{00000000-0005-0000-0000-0000236B0000}"/>
    <cellStyle name="Normal 2 3 2 8 2 7" xfId="27457" xr:uid="{00000000-0005-0000-0000-0000246B0000}"/>
    <cellStyle name="Normal 2 3 2 8 2 8" xfId="27458" xr:uid="{00000000-0005-0000-0000-0000256B0000}"/>
    <cellStyle name="Normal 2 3 2 8 2 9" xfId="27459" xr:uid="{00000000-0005-0000-0000-0000266B0000}"/>
    <cellStyle name="Normal 2 3 2 8 3" xfId="27460" xr:uid="{00000000-0005-0000-0000-0000276B0000}"/>
    <cellStyle name="Normal 2 3 2 8 3 10" xfId="27461" xr:uid="{00000000-0005-0000-0000-0000286B0000}"/>
    <cellStyle name="Normal 2 3 2 8 3 2" xfId="27462" xr:uid="{00000000-0005-0000-0000-0000296B0000}"/>
    <cellStyle name="Normal 2 3 2 8 3 3" xfId="27463" xr:uid="{00000000-0005-0000-0000-00002A6B0000}"/>
    <cellStyle name="Normal 2 3 2 8 3 4" xfId="27464" xr:uid="{00000000-0005-0000-0000-00002B6B0000}"/>
    <cellStyle name="Normal 2 3 2 8 3 5" xfId="27465" xr:uid="{00000000-0005-0000-0000-00002C6B0000}"/>
    <cellStyle name="Normal 2 3 2 8 3 6" xfId="27466" xr:uid="{00000000-0005-0000-0000-00002D6B0000}"/>
    <cellStyle name="Normal 2 3 2 8 3 7" xfId="27467" xr:uid="{00000000-0005-0000-0000-00002E6B0000}"/>
    <cellStyle name="Normal 2 3 2 8 3 8" xfId="27468" xr:uid="{00000000-0005-0000-0000-00002F6B0000}"/>
    <cellStyle name="Normal 2 3 2 8 3 9" xfId="27469" xr:uid="{00000000-0005-0000-0000-0000306B0000}"/>
    <cellStyle name="Normal 2 3 2 8 4" xfId="27470" xr:uid="{00000000-0005-0000-0000-0000316B0000}"/>
    <cellStyle name="Normal 2 3 2 8 4 10" xfId="27471" xr:uid="{00000000-0005-0000-0000-0000326B0000}"/>
    <cellStyle name="Normal 2 3 2 8 4 2" xfId="27472" xr:uid="{00000000-0005-0000-0000-0000336B0000}"/>
    <cellStyle name="Normal 2 3 2 8 4 3" xfId="27473" xr:uid="{00000000-0005-0000-0000-0000346B0000}"/>
    <cellStyle name="Normal 2 3 2 8 4 4" xfId="27474" xr:uid="{00000000-0005-0000-0000-0000356B0000}"/>
    <cellStyle name="Normal 2 3 2 8 4 5" xfId="27475" xr:uid="{00000000-0005-0000-0000-0000366B0000}"/>
    <cellStyle name="Normal 2 3 2 8 4 6" xfId="27476" xr:uid="{00000000-0005-0000-0000-0000376B0000}"/>
    <cellStyle name="Normal 2 3 2 8 4 7" xfId="27477" xr:uid="{00000000-0005-0000-0000-0000386B0000}"/>
    <cellStyle name="Normal 2 3 2 8 4 8" xfId="27478" xr:uid="{00000000-0005-0000-0000-0000396B0000}"/>
    <cellStyle name="Normal 2 3 2 8 4 9" xfId="27479" xr:uid="{00000000-0005-0000-0000-00003A6B0000}"/>
    <cellStyle name="Normal 2 3 2 8 5" xfId="27480" xr:uid="{00000000-0005-0000-0000-00003B6B0000}"/>
    <cellStyle name="Normal 2 3 2 8 5 10" xfId="27481" xr:uid="{00000000-0005-0000-0000-00003C6B0000}"/>
    <cellStyle name="Normal 2 3 2 8 5 2" xfId="27482" xr:uid="{00000000-0005-0000-0000-00003D6B0000}"/>
    <cellStyle name="Normal 2 3 2 8 5 3" xfId="27483" xr:uid="{00000000-0005-0000-0000-00003E6B0000}"/>
    <cellStyle name="Normal 2 3 2 8 5 4" xfId="27484" xr:uid="{00000000-0005-0000-0000-00003F6B0000}"/>
    <cellStyle name="Normal 2 3 2 8 5 5" xfId="27485" xr:uid="{00000000-0005-0000-0000-0000406B0000}"/>
    <cellStyle name="Normal 2 3 2 8 5 6" xfId="27486" xr:uid="{00000000-0005-0000-0000-0000416B0000}"/>
    <cellStyle name="Normal 2 3 2 8 5 7" xfId="27487" xr:uid="{00000000-0005-0000-0000-0000426B0000}"/>
    <cellStyle name="Normal 2 3 2 8 5 8" xfId="27488" xr:uid="{00000000-0005-0000-0000-0000436B0000}"/>
    <cellStyle name="Normal 2 3 2 8 5 9" xfId="27489" xr:uid="{00000000-0005-0000-0000-0000446B0000}"/>
    <cellStyle name="Normal 2 3 2 8 6" xfId="27490" xr:uid="{00000000-0005-0000-0000-0000456B0000}"/>
    <cellStyle name="Normal 2 3 2 8 7" xfId="27491" xr:uid="{00000000-0005-0000-0000-0000466B0000}"/>
    <cellStyle name="Normal 2 3 2 8 8" xfId="27492" xr:uid="{00000000-0005-0000-0000-0000476B0000}"/>
    <cellStyle name="Normal 2 3 2 8 9" xfId="27493" xr:uid="{00000000-0005-0000-0000-0000486B0000}"/>
    <cellStyle name="Normal 2 3 2 9" xfId="27494" xr:uid="{00000000-0005-0000-0000-0000496B0000}"/>
    <cellStyle name="Normal 2 3 2 9 10" xfId="27495" xr:uid="{00000000-0005-0000-0000-00004A6B0000}"/>
    <cellStyle name="Normal 2 3 2 9 11" xfId="27496" xr:uid="{00000000-0005-0000-0000-00004B6B0000}"/>
    <cellStyle name="Normal 2 3 2 9 12" xfId="27497" xr:uid="{00000000-0005-0000-0000-00004C6B0000}"/>
    <cellStyle name="Normal 2 3 2 9 13" xfId="27498" xr:uid="{00000000-0005-0000-0000-00004D6B0000}"/>
    <cellStyle name="Normal 2 3 2 9 14" xfId="27499" xr:uid="{00000000-0005-0000-0000-00004E6B0000}"/>
    <cellStyle name="Normal 2 3 2 9 2" xfId="27500" xr:uid="{00000000-0005-0000-0000-00004F6B0000}"/>
    <cellStyle name="Normal 2 3 2 9 2 10" xfId="27501" xr:uid="{00000000-0005-0000-0000-0000506B0000}"/>
    <cellStyle name="Normal 2 3 2 9 2 2" xfId="27502" xr:uid="{00000000-0005-0000-0000-0000516B0000}"/>
    <cellStyle name="Normal 2 3 2 9 2 3" xfId="27503" xr:uid="{00000000-0005-0000-0000-0000526B0000}"/>
    <cellStyle name="Normal 2 3 2 9 2 4" xfId="27504" xr:uid="{00000000-0005-0000-0000-0000536B0000}"/>
    <cellStyle name="Normal 2 3 2 9 2 5" xfId="27505" xr:uid="{00000000-0005-0000-0000-0000546B0000}"/>
    <cellStyle name="Normal 2 3 2 9 2 6" xfId="27506" xr:uid="{00000000-0005-0000-0000-0000556B0000}"/>
    <cellStyle name="Normal 2 3 2 9 2 7" xfId="27507" xr:uid="{00000000-0005-0000-0000-0000566B0000}"/>
    <cellStyle name="Normal 2 3 2 9 2 8" xfId="27508" xr:uid="{00000000-0005-0000-0000-0000576B0000}"/>
    <cellStyle name="Normal 2 3 2 9 2 9" xfId="27509" xr:uid="{00000000-0005-0000-0000-0000586B0000}"/>
    <cellStyle name="Normal 2 3 2 9 3" xfId="27510" xr:uid="{00000000-0005-0000-0000-0000596B0000}"/>
    <cellStyle name="Normal 2 3 2 9 3 10" xfId="27511" xr:uid="{00000000-0005-0000-0000-00005A6B0000}"/>
    <cellStyle name="Normal 2 3 2 9 3 2" xfId="27512" xr:uid="{00000000-0005-0000-0000-00005B6B0000}"/>
    <cellStyle name="Normal 2 3 2 9 3 3" xfId="27513" xr:uid="{00000000-0005-0000-0000-00005C6B0000}"/>
    <cellStyle name="Normal 2 3 2 9 3 4" xfId="27514" xr:uid="{00000000-0005-0000-0000-00005D6B0000}"/>
    <cellStyle name="Normal 2 3 2 9 3 5" xfId="27515" xr:uid="{00000000-0005-0000-0000-00005E6B0000}"/>
    <cellStyle name="Normal 2 3 2 9 3 6" xfId="27516" xr:uid="{00000000-0005-0000-0000-00005F6B0000}"/>
    <cellStyle name="Normal 2 3 2 9 3 7" xfId="27517" xr:uid="{00000000-0005-0000-0000-0000606B0000}"/>
    <cellStyle name="Normal 2 3 2 9 3 8" xfId="27518" xr:uid="{00000000-0005-0000-0000-0000616B0000}"/>
    <cellStyle name="Normal 2 3 2 9 3 9" xfId="27519" xr:uid="{00000000-0005-0000-0000-0000626B0000}"/>
    <cellStyle name="Normal 2 3 2 9 4" xfId="27520" xr:uid="{00000000-0005-0000-0000-0000636B0000}"/>
    <cellStyle name="Normal 2 3 2 9 4 10" xfId="27521" xr:uid="{00000000-0005-0000-0000-0000646B0000}"/>
    <cellStyle name="Normal 2 3 2 9 4 2" xfId="27522" xr:uid="{00000000-0005-0000-0000-0000656B0000}"/>
    <cellStyle name="Normal 2 3 2 9 4 3" xfId="27523" xr:uid="{00000000-0005-0000-0000-0000666B0000}"/>
    <cellStyle name="Normal 2 3 2 9 4 4" xfId="27524" xr:uid="{00000000-0005-0000-0000-0000676B0000}"/>
    <cellStyle name="Normal 2 3 2 9 4 5" xfId="27525" xr:uid="{00000000-0005-0000-0000-0000686B0000}"/>
    <cellStyle name="Normal 2 3 2 9 4 6" xfId="27526" xr:uid="{00000000-0005-0000-0000-0000696B0000}"/>
    <cellStyle name="Normal 2 3 2 9 4 7" xfId="27527" xr:uid="{00000000-0005-0000-0000-00006A6B0000}"/>
    <cellStyle name="Normal 2 3 2 9 4 8" xfId="27528" xr:uid="{00000000-0005-0000-0000-00006B6B0000}"/>
    <cellStyle name="Normal 2 3 2 9 4 9" xfId="27529" xr:uid="{00000000-0005-0000-0000-00006C6B0000}"/>
    <cellStyle name="Normal 2 3 2 9 5" xfId="27530" xr:uid="{00000000-0005-0000-0000-00006D6B0000}"/>
    <cellStyle name="Normal 2 3 2 9 5 10" xfId="27531" xr:uid="{00000000-0005-0000-0000-00006E6B0000}"/>
    <cellStyle name="Normal 2 3 2 9 5 2" xfId="27532" xr:uid="{00000000-0005-0000-0000-00006F6B0000}"/>
    <cellStyle name="Normal 2 3 2 9 5 3" xfId="27533" xr:uid="{00000000-0005-0000-0000-0000706B0000}"/>
    <cellStyle name="Normal 2 3 2 9 5 4" xfId="27534" xr:uid="{00000000-0005-0000-0000-0000716B0000}"/>
    <cellStyle name="Normal 2 3 2 9 5 5" xfId="27535" xr:uid="{00000000-0005-0000-0000-0000726B0000}"/>
    <cellStyle name="Normal 2 3 2 9 5 6" xfId="27536" xr:uid="{00000000-0005-0000-0000-0000736B0000}"/>
    <cellStyle name="Normal 2 3 2 9 5 7" xfId="27537" xr:uid="{00000000-0005-0000-0000-0000746B0000}"/>
    <cellStyle name="Normal 2 3 2 9 5 8" xfId="27538" xr:uid="{00000000-0005-0000-0000-0000756B0000}"/>
    <cellStyle name="Normal 2 3 2 9 5 9" xfId="27539" xr:uid="{00000000-0005-0000-0000-0000766B0000}"/>
    <cellStyle name="Normal 2 3 2 9 6" xfId="27540" xr:uid="{00000000-0005-0000-0000-0000776B0000}"/>
    <cellStyle name="Normal 2 3 2 9 7" xfId="27541" xr:uid="{00000000-0005-0000-0000-0000786B0000}"/>
    <cellStyle name="Normal 2 3 2 9 8" xfId="27542" xr:uid="{00000000-0005-0000-0000-0000796B0000}"/>
    <cellStyle name="Normal 2 3 2 9 9" xfId="27543" xr:uid="{00000000-0005-0000-0000-00007A6B0000}"/>
    <cellStyle name="Normal 2 3 20" xfId="27544" xr:uid="{00000000-0005-0000-0000-00007B6B0000}"/>
    <cellStyle name="Normal 2 3 20 10" xfId="27545" xr:uid="{00000000-0005-0000-0000-00007C6B0000}"/>
    <cellStyle name="Normal 2 3 20 11" xfId="27546" xr:uid="{00000000-0005-0000-0000-00007D6B0000}"/>
    <cellStyle name="Normal 2 3 20 12" xfId="27547" xr:uid="{00000000-0005-0000-0000-00007E6B0000}"/>
    <cellStyle name="Normal 2 3 20 13" xfId="27548" xr:uid="{00000000-0005-0000-0000-00007F6B0000}"/>
    <cellStyle name="Normal 2 3 20 14" xfId="27549" xr:uid="{00000000-0005-0000-0000-0000806B0000}"/>
    <cellStyle name="Normal 2 3 20 2" xfId="27550" xr:uid="{00000000-0005-0000-0000-0000816B0000}"/>
    <cellStyle name="Normal 2 3 20 2 10" xfId="27551" xr:uid="{00000000-0005-0000-0000-0000826B0000}"/>
    <cellStyle name="Normal 2 3 20 2 2" xfId="27552" xr:uid="{00000000-0005-0000-0000-0000836B0000}"/>
    <cellStyle name="Normal 2 3 20 2 3" xfId="27553" xr:uid="{00000000-0005-0000-0000-0000846B0000}"/>
    <cellStyle name="Normal 2 3 20 2 4" xfId="27554" xr:uid="{00000000-0005-0000-0000-0000856B0000}"/>
    <cellStyle name="Normal 2 3 20 2 5" xfId="27555" xr:uid="{00000000-0005-0000-0000-0000866B0000}"/>
    <cellStyle name="Normal 2 3 20 2 6" xfId="27556" xr:uid="{00000000-0005-0000-0000-0000876B0000}"/>
    <cellStyle name="Normal 2 3 20 2 7" xfId="27557" xr:uid="{00000000-0005-0000-0000-0000886B0000}"/>
    <cellStyle name="Normal 2 3 20 2 8" xfId="27558" xr:uid="{00000000-0005-0000-0000-0000896B0000}"/>
    <cellStyle name="Normal 2 3 20 2 9" xfId="27559" xr:uid="{00000000-0005-0000-0000-00008A6B0000}"/>
    <cellStyle name="Normal 2 3 20 3" xfId="27560" xr:uid="{00000000-0005-0000-0000-00008B6B0000}"/>
    <cellStyle name="Normal 2 3 20 3 10" xfId="27561" xr:uid="{00000000-0005-0000-0000-00008C6B0000}"/>
    <cellStyle name="Normal 2 3 20 3 2" xfId="27562" xr:uid="{00000000-0005-0000-0000-00008D6B0000}"/>
    <cellStyle name="Normal 2 3 20 3 3" xfId="27563" xr:uid="{00000000-0005-0000-0000-00008E6B0000}"/>
    <cellStyle name="Normal 2 3 20 3 4" xfId="27564" xr:uid="{00000000-0005-0000-0000-00008F6B0000}"/>
    <cellStyle name="Normal 2 3 20 3 5" xfId="27565" xr:uid="{00000000-0005-0000-0000-0000906B0000}"/>
    <cellStyle name="Normal 2 3 20 3 6" xfId="27566" xr:uid="{00000000-0005-0000-0000-0000916B0000}"/>
    <cellStyle name="Normal 2 3 20 3 7" xfId="27567" xr:uid="{00000000-0005-0000-0000-0000926B0000}"/>
    <cellStyle name="Normal 2 3 20 3 8" xfId="27568" xr:uid="{00000000-0005-0000-0000-0000936B0000}"/>
    <cellStyle name="Normal 2 3 20 3 9" xfId="27569" xr:uid="{00000000-0005-0000-0000-0000946B0000}"/>
    <cellStyle name="Normal 2 3 20 4" xfId="27570" xr:uid="{00000000-0005-0000-0000-0000956B0000}"/>
    <cellStyle name="Normal 2 3 20 4 10" xfId="27571" xr:uid="{00000000-0005-0000-0000-0000966B0000}"/>
    <cellStyle name="Normal 2 3 20 4 2" xfId="27572" xr:uid="{00000000-0005-0000-0000-0000976B0000}"/>
    <cellStyle name="Normal 2 3 20 4 3" xfId="27573" xr:uid="{00000000-0005-0000-0000-0000986B0000}"/>
    <cellStyle name="Normal 2 3 20 4 4" xfId="27574" xr:uid="{00000000-0005-0000-0000-0000996B0000}"/>
    <cellStyle name="Normal 2 3 20 4 5" xfId="27575" xr:uid="{00000000-0005-0000-0000-00009A6B0000}"/>
    <cellStyle name="Normal 2 3 20 4 6" xfId="27576" xr:uid="{00000000-0005-0000-0000-00009B6B0000}"/>
    <cellStyle name="Normal 2 3 20 4 7" xfId="27577" xr:uid="{00000000-0005-0000-0000-00009C6B0000}"/>
    <cellStyle name="Normal 2 3 20 4 8" xfId="27578" xr:uid="{00000000-0005-0000-0000-00009D6B0000}"/>
    <cellStyle name="Normal 2 3 20 4 9" xfId="27579" xr:uid="{00000000-0005-0000-0000-00009E6B0000}"/>
    <cellStyle name="Normal 2 3 20 5" xfId="27580" xr:uid="{00000000-0005-0000-0000-00009F6B0000}"/>
    <cellStyle name="Normal 2 3 20 5 10" xfId="27581" xr:uid="{00000000-0005-0000-0000-0000A06B0000}"/>
    <cellStyle name="Normal 2 3 20 5 2" xfId="27582" xr:uid="{00000000-0005-0000-0000-0000A16B0000}"/>
    <cellStyle name="Normal 2 3 20 5 3" xfId="27583" xr:uid="{00000000-0005-0000-0000-0000A26B0000}"/>
    <cellStyle name="Normal 2 3 20 5 4" xfId="27584" xr:uid="{00000000-0005-0000-0000-0000A36B0000}"/>
    <cellStyle name="Normal 2 3 20 5 5" xfId="27585" xr:uid="{00000000-0005-0000-0000-0000A46B0000}"/>
    <cellStyle name="Normal 2 3 20 5 6" xfId="27586" xr:uid="{00000000-0005-0000-0000-0000A56B0000}"/>
    <cellStyle name="Normal 2 3 20 5 7" xfId="27587" xr:uid="{00000000-0005-0000-0000-0000A66B0000}"/>
    <cellStyle name="Normal 2 3 20 5 8" xfId="27588" xr:uid="{00000000-0005-0000-0000-0000A76B0000}"/>
    <cellStyle name="Normal 2 3 20 5 9" xfId="27589" xr:uid="{00000000-0005-0000-0000-0000A86B0000}"/>
    <cellStyle name="Normal 2 3 20 6" xfId="27590" xr:uid="{00000000-0005-0000-0000-0000A96B0000}"/>
    <cellStyle name="Normal 2 3 20 7" xfId="27591" xr:uid="{00000000-0005-0000-0000-0000AA6B0000}"/>
    <cellStyle name="Normal 2 3 20 8" xfId="27592" xr:uid="{00000000-0005-0000-0000-0000AB6B0000}"/>
    <cellStyle name="Normal 2 3 20 9" xfId="27593" xr:uid="{00000000-0005-0000-0000-0000AC6B0000}"/>
    <cellStyle name="Normal 2 3 21" xfId="27594" xr:uid="{00000000-0005-0000-0000-0000AD6B0000}"/>
    <cellStyle name="Normal 2 3 21 10" xfId="27595" xr:uid="{00000000-0005-0000-0000-0000AE6B0000}"/>
    <cellStyle name="Normal 2 3 21 11" xfId="27596" xr:uid="{00000000-0005-0000-0000-0000AF6B0000}"/>
    <cellStyle name="Normal 2 3 21 12" xfId="27597" xr:uid="{00000000-0005-0000-0000-0000B06B0000}"/>
    <cellStyle name="Normal 2 3 21 13" xfId="27598" xr:uid="{00000000-0005-0000-0000-0000B16B0000}"/>
    <cellStyle name="Normal 2 3 21 14" xfId="27599" xr:uid="{00000000-0005-0000-0000-0000B26B0000}"/>
    <cellStyle name="Normal 2 3 21 2" xfId="27600" xr:uid="{00000000-0005-0000-0000-0000B36B0000}"/>
    <cellStyle name="Normal 2 3 21 2 10" xfId="27601" xr:uid="{00000000-0005-0000-0000-0000B46B0000}"/>
    <cellStyle name="Normal 2 3 21 2 2" xfId="27602" xr:uid="{00000000-0005-0000-0000-0000B56B0000}"/>
    <cellStyle name="Normal 2 3 21 2 3" xfId="27603" xr:uid="{00000000-0005-0000-0000-0000B66B0000}"/>
    <cellStyle name="Normal 2 3 21 2 4" xfId="27604" xr:uid="{00000000-0005-0000-0000-0000B76B0000}"/>
    <cellStyle name="Normal 2 3 21 2 5" xfId="27605" xr:uid="{00000000-0005-0000-0000-0000B86B0000}"/>
    <cellStyle name="Normal 2 3 21 2 6" xfId="27606" xr:uid="{00000000-0005-0000-0000-0000B96B0000}"/>
    <cellStyle name="Normal 2 3 21 2 7" xfId="27607" xr:uid="{00000000-0005-0000-0000-0000BA6B0000}"/>
    <cellStyle name="Normal 2 3 21 2 8" xfId="27608" xr:uid="{00000000-0005-0000-0000-0000BB6B0000}"/>
    <cellStyle name="Normal 2 3 21 2 9" xfId="27609" xr:uid="{00000000-0005-0000-0000-0000BC6B0000}"/>
    <cellStyle name="Normal 2 3 21 3" xfId="27610" xr:uid="{00000000-0005-0000-0000-0000BD6B0000}"/>
    <cellStyle name="Normal 2 3 21 3 10" xfId="27611" xr:uid="{00000000-0005-0000-0000-0000BE6B0000}"/>
    <cellStyle name="Normal 2 3 21 3 2" xfId="27612" xr:uid="{00000000-0005-0000-0000-0000BF6B0000}"/>
    <cellStyle name="Normal 2 3 21 3 3" xfId="27613" xr:uid="{00000000-0005-0000-0000-0000C06B0000}"/>
    <cellStyle name="Normal 2 3 21 3 4" xfId="27614" xr:uid="{00000000-0005-0000-0000-0000C16B0000}"/>
    <cellStyle name="Normal 2 3 21 3 5" xfId="27615" xr:uid="{00000000-0005-0000-0000-0000C26B0000}"/>
    <cellStyle name="Normal 2 3 21 3 6" xfId="27616" xr:uid="{00000000-0005-0000-0000-0000C36B0000}"/>
    <cellStyle name="Normal 2 3 21 3 7" xfId="27617" xr:uid="{00000000-0005-0000-0000-0000C46B0000}"/>
    <cellStyle name="Normal 2 3 21 3 8" xfId="27618" xr:uid="{00000000-0005-0000-0000-0000C56B0000}"/>
    <cellStyle name="Normal 2 3 21 3 9" xfId="27619" xr:uid="{00000000-0005-0000-0000-0000C66B0000}"/>
    <cellStyle name="Normal 2 3 21 4" xfId="27620" xr:uid="{00000000-0005-0000-0000-0000C76B0000}"/>
    <cellStyle name="Normal 2 3 21 4 10" xfId="27621" xr:uid="{00000000-0005-0000-0000-0000C86B0000}"/>
    <cellStyle name="Normal 2 3 21 4 2" xfId="27622" xr:uid="{00000000-0005-0000-0000-0000C96B0000}"/>
    <cellStyle name="Normal 2 3 21 4 3" xfId="27623" xr:uid="{00000000-0005-0000-0000-0000CA6B0000}"/>
    <cellStyle name="Normal 2 3 21 4 4" xfId="27624" xr:uid="{00000000-0005-0000-0000-0000CB6B0000}"/>
    <cellStyle name="Normal 2 3 21 4 5" xfId="27625" xr:uid="{00000000-0005-0000-0000-0000CC6B0000}"/>
    <cellStyle name="Normal 2 3 21 4 6" xfId="27626" xr:uid="{00000000-0005-0000-0000-0000CD6B0000}"/>
    <cellStyle name="Normal 2 3 21 4 7" xfId="27627" xr:uid="{00000000-0005-0000-0000-0000CE6B0000}"/>
    <cellStyle name="Normal 2 3 21 4 8" xfId="27628" xr:uid="{00000000-0005-0000-0000-0000CF6B0000}"/>
    <cellStyle name="Normal 2 3 21 4 9" xfId="27629" xr:uid="{00000000-0005-0000-0000-0000D06B0000}"/>
    <cellStyle name="Normal 2 3 21 5" xfId="27630" xr:uid="{00000000-0005-0000-0000-0000D16B0000}"/>
    <cellStyle name="Normal 2 3 21 5 10" xfId="27631" xr:uid="{00000000-0005-0000-0000-0000D26B0000}"/>
    <cellStyle name="Normal 2 3 21 5 2" xfId="27632" xr:uid="{00000000-0005-0000-0000-0000D36B0000}"/>
    <cellStyle name="Normal 2 3 21 5 3" xfId="27633" xr:uid="{00000000-0005-0000-0000-0000D46B0000}"/>
    <cellStyle name="Normal 2 3 21 5 4" xfId="27634" xr:uid="{00000000-0005-0000-0000-0000D56B0000}"/>
    <cellStyle name="Normal 2 3 21 5 5" xfId="27635" xr:uid="{00000000-0005-0000-0000-0000D66B0000}"/>
    <cellStyle name="Normal 2 3 21 5 6" xfId="27636" xr:uid="{00000000-0005-0000-0000-0000D76B0000}"/>
    <cellStyle name="Normal 2 3 21 5 7" xfId="27637" xr:uid="{00000000-0005-0000-0000-0000D86B0000}"/>
    <cellStyle name="Normal 2 3 21 5 8" xfId="27638" xr:uid="{00000000-0005-0000-0000-0000D96B0000}"/>
    <cellStyle name="Normal 2 3 21 5 9" xfId="27639" xr:uid="{00000000-0005-0000-0000-0000DA6B0000}"/>
    <cellStyle name="Normal 2 3 21 6" xfId="27640" xr:uid="{00000000-0005-0000-0000-0000DB6B0000}"/>
    <cellStyle name="Normal 2 3 21 7" xfId="27641" xr:uid="{00000000-0005-0000-0000-0000DC6B0000}"/>
    <cellStyle name="Normal 2 3 21 8" xfId="27642" xr:uid="{00000000-0005-0000-0000-0000DD6B0000}"/>
    <cellStyle name="Normal 2 3 21 9" xfId="27643" xr:uid="{00000000-0005-0000-0000-0000DE6B0000}"/>
    <cellStyle name="Normal 2 3 22" xfId="27644" xr:uid="{00000000-0005-0000-0000-0000DF6B0000}"/>
    <cellStyle name="Normal 2 3 22 10" xfId="27645" xr:uid="{00000000-0005-0000-0000-0000E06B0000}"/>
    <cellStyle name="Normal 2 3 22 11" xfId="27646" xr:uid="{00000000-0005-0000-0000-0000E16B0000}"/>
    <cellStyle name="Normal 2 3 22 12" xfId="27647" xr:uid="{00000000-0005-0000-0000-0000E26B0000}"/>
    <cellStyle name="Normal 2 3 22 13" xfId="27648" xr:uid="{00000000-0005-0000-0000-0000E36B0000}"/>
    <cellStyle name="Normal 2 3 22 14" xfId="27649" xr:uid="{00000000-0005-0000-0000-0000E46B0000}"/>
    <cellStyle name="Normal 2 3 22 2" xfId="27650" xr:uid="{00000000-0005-0000-0000-0000E56B0000}"/>
    <cellStyle name="Normal 2 3 22 2 10" xfId="27651" xr:uid="{00000000-0005-0000-0000-0000E66B0000}"/>
    <cellStyle name="Normal 2 3 22 2 2" xfId="27652" xr:uid="{00000000-0005-0000-0000-0000E76B0000}"/>
    <cellStyle name="Normal 2 3 22 2 3" xfId="27653" xr:uid="{00000000-0005-0000-0000-0000E86B0000}"/>
    <cellStyle name="Normal 2 3 22 2 4" xfId="27654" xr:uid="{00000000-0005-0000-0000-0000E96B0000}"/>
    <cellStyle name="Normal 2 3 22 2 5" xfId="27655" xr:uid="{00000000-0005-0000-0000-0000EA6B0000}"/>
    <cellStyle name="Normal 2 3 22 2 6" xfId="27656" xr:uid="{00000000-0005-0000-0000-0000EB6B0000}"/>
    <cellStyle name="Normal 2 3 22 2 7" xfId="27657" xr:uid="{00000000-0005-0000-0000-0000EC6B0000}"/>
    <cellStyle name="Normal 2 3 22 2 8" xfId="27658" xr:uid="{00000000-0005-0000-0000-0000ED6B0000}"/>
    <cellStyle name="Normal 2 3 22 2 9" xfId="27659" xr:uid="{00000000-0005-0000-0000-0000EE6B0000}"/>
    <cellStyle name="Normal 2 3 22 3" xfId="27660" xr:uid="{00000000-0005-0000-0000-0000EF6B0000}"/>
    <cellStyle name="Normal 2 3 22 3 10" xfId="27661" xr:uid="{00000000-0005-0000-0000-0000F06B0000}"/>
    <cellStyle name="Normal 2 3 22 3 2" xfId="27662" xr:uid="{00000000-0005-0000-0000-0000F16B0000}"/>
    <cellStyle name="Normal 2 3 22 3 3" xfId="27663" xr:uid="{00000000-0005-0000-0000-0000F26B0000}"/>
    <cellStyle name="Normal 2 3 22 3 4" xfId="27664" xr:uid="{00000000-0005-0000-0000-0000F36B0000}"/>
    <cellStyle name="Normal 2 3 22 3 5" xfId="27665" xr:uid="{00000000-0005-0000-0000-0000F46B0000}"/>
    <cellStyle name="Normal 2 3 22 3 6" xfId="27666" xr:uid="{00000000-0005-0000-0000-0000F56B0000}"/>
    <cellStyle name="Normal 2 3 22 3 7" xfId="27667" xr:uid="{00000000-0005-0000-0000-0000F66B0000}"/>
    <cellStyle name="Normal 2 3 22 3 8" xfId="27668" xr:uid="{00000000-0005-0000-0000-0000F76B0000}"/>
    <cellStyle name="Normal 2 3 22 3 9" xfId="27669" xr:uid="{00000000-0005-0000-0000-0000F86B0000}"/>
    <cellStyle name="Normal 2 3 22 4" xfId="27670" xr:uid="{00000000-0005-0000-0000-0000F96B0000}"/>
    <cellStyle name="Normal 2 3 22 4 10" xfId="27671" xr:uid="{00000000-0005-0000-0000-0000FA6B0000}"/>
    <cellStyle name="Normal 2 3 22 4 2" xfId="27672" xr:uid="{00000000-0005-0000-0000-0000FB6B0000}"/>
    <cellStyle name="Normal 2 3 22 4 3" xfId="27673" xr:uid="{00000000-0005-0000-0000-0000FC6B0000}"/>
    <cellStyle name="Normal 2 3 22 4 4" xfId="27674" xr:uid="{00000000-0005-0000-0000-0000FD6B0000}"/>
    <cellStyle name="Normal 2 3 22 4 5" xfId="27675" xr:uid="{00000000-0005-0000-0000-0000FE6B0000}"/>
    <cellStyle name="Normal 2 3 22 4 6" xfId="27676" xr:uid="{00000000-0005-0000-0000-0000FF6B0000}"/>
    <cellStyle name="Normal 2 3 22 4 7" xfId="27677" xr:uid="{00000000-0005-0000-0000-0000006C0000}"/>
    <cellStyle name="Normal 2 3 22 4 8" xfId="27678" xr:uid="{00000000-0005-0000-0000-0000016C0000}"/>
    <cellStyle name="Normal 2 3 22 4 9" xfId="27679" xr:uid="{00000000-0005-0000-0000-0000026C0000}"/>
    <cellStyle name="Normal 2 3 22 5" xfId="27680" xr:uid="{00000000-0005-0000-0000-0000036C0000}"/>
    <cellStyle name="Normal 2 3 22 5 10" xfId="27681" xr:uid="{00000000-0005-0000-0000-0000046C0000}"/>
    <cellStyle name="Normal 2 3 22 5 2" xfId="27682" xr:uid="{00000000-0005-0000-0000-0000056C0000}"/>
    <cellStyle name="Normal 2 3 22 5 3" xfId="27683" xr:uid="{00000000-0005-0000-0000-0000066C0000}"/>
    <cellStyle name="Normal 2 3 22 5 4" xfId="27684" xr:uid="{00000000-0005-0000-0000-0000076C0000}"/>
    <cellStyle name="Normal 2 3 22 5 5" xfId="27685" xr:uid="{00000000-0005-0000-0000-0000086C0000}"/>
    <cellStyle name="Normal 2 3 22 5 6" xfId="27686" xr:uid="{00000000-0005-0000-0000-0000096C0000}"/>
    <cellStyle name="Normal 2 3 22 5 7" xfId="27687" xr:uid="{00000000-0005-0000-0000-00000A6C0000}"/>
    <cellStyle name="Normal 2 3 22 5 8" xfId="27688" xr:uid="{00000000-0005-0000-0000-00000B6C0000}"/>
    <cellStyle name="Normal 2 3 22 5 9" xfId="27689" xr:uid="{00000000-0005-0000-0000-00000C6C0000}"/>
    <cellStyle name="Normal 2 3 22 6" xfId="27690" xr:uid="{00000000-0005-0000-0000-00000D6C0000}"/>
    <cellStyle name="Normal 2 3 22 7" xfId="27691" xr:uid="{00000000-0005-0000-0000-00000E6C0000}"/>
    <cellStyle name="Normal 2 3 22 8" xfId="27692" xr:uid="{00000000-0005-0000-0000-00000F6C0000}"/>
    <cellStyle name="Normal 2 3 22 9" xfId="27693" xr:uid="{00000000-0005-0000-0000-0000106C0000}"/>
    <cellStyle name="Normal 2 3 23" xfId="27694" xr:uid="{00000000-0005-0000-0000-0000116C0000}"/>
    <cellStyle name="Normal 2 3 23 10" xfId="27695" xr:uid="{00000000-0005-0000-0000-0000126C0000}"/>
    <cellStyle name="Normal 2 3 23 11" xfId="27696" xr:uid="{00000000-0005-0000-0000-0000136C0000}"/>
    <cellStyle name="Normal 2 3 23 12" xfId="27697" xr:uid="{00000000-0005-0000-0000-0000146C0000}"/>
    <cellStyle name="Normal 2 3 23 13" xfId="27698" xr:uid="{00000000-0005-0000-0000-0000156C0000}"/>
    <cellStyle name="Normal 2 3 23 14" xfId="27699" xr:uid="{00000000-0005-0000-0000-0000166C0000}"/>
    <cellStyle name="Normal 2 3 23 2" xfId="27700" xr:uid="{00000000-0005-0000-0000-0000176C0000}"/>
    <cellStyle name="Normal 2 3 23 2 10" xfId="27701" xr:uid="{00000000-0005-0000-0000-0000186C0000}"/>
    <cellStyle name="Normal 2 3 23 2 2" xfId="27702" xr:uid="{00000000-0005-0000-0000-0000196C0000}"/>
    <cellStyle name="Normal 2 3 23 2 3" xfId="27703" xr:uid="{00000000-0005-0000-0000-00001A6C0000}"/>
    <cellStyle name="Normal 2 3 23 2 4" xfId="27704" xr:uid="{00000000-0005-0000-0000-00001B6C0000}"/>
    <cellStyle name="Normal 2 3 23 2 5" xfId="27705" xr:uid="{00000000-0005-0000-0000-00001C6C0000}"/>
    <cellStyle name="Normal 2 3 23 2 6" xfId="27706" xr:uid="{00000000-0005-0000-0000-00001D6C0000}"/>
    <cellStyle name="Normal 2 3 23 2 7" xfId="27707" xr:uid="{00000000-0005-0000-0000-00001E6C0000}"/>
    <cellStyle name="Normal 2 3 23 2 8" xfId="27708" xr:uid="{00000000-0005-0000-0000-00001F6C0000}"/>
    <cellStyle name="Normal 2 3 23 2 9" xfId="27709" xr:uid="{00000000-0005-0000-0000-0000206C0000}"/>
    <cellStyle name="Normal 2 3 23 3" xfId="27710" xr:uid="{00000000-0005-0000-0000-0000216C0000}"/>
    <cellStyle name="Normal 2 3 23 3 10" xfId="27711" xr:uid="{00000000-0005-0000-0000-0000226C0000}"/>
    <cellStyle name="Normal 2 3 23 3 2" xfId="27712" xr:uid="{00000000-0005-0000-0000-0000236C0000}"/>
    <cellStyle name="Normal 2 3 23 3 3" xfId="27713" xr:uid="{00000000-0005-0000-0000-0000246C0000}"/>
    <cellStyle name="Normal 2 3 23 3 4" xfId="27714" xr:uid="{00000000-0005-0000-0000-0000256C0000}"/>
    <cellStyle name="Normal 2 3 23 3 5" xfId="27715" xr:uid="{00000000-0005-0000-0000-0000266C0000}"/>
    <cellStyle name="Normal 2 3 23 3 6" xfId="27716" xr:uid="{00000000-0005-0000-0000-0000276C0000}"/>
    <cellStyle name="Normal 2 3 23 3 7" xfId="27717" xr:uid="{00000000-0005-0000-0000-0000286C0000}"/>
    <cellStyle name="Normal 2 3 23 3 8" xfId="27718" xr:uid="{00000000-0005-0000-0000-0000296C0000}"/>
    <cellStyle name="Normal 2 3 23 3 9" xfId="27719" xr:uid="{00000000-0005-0000-0000-00002A6C0000}"/>
    <cellStyle name="Normal 2 3 23 4" xfId="27720" xr:uid="{00000000-0005-0000-0000-00002B6C0000}"/>
    <cellStyle name="Normal 2 3 23 4 10" xfId="27721" xr:uid="{00000000-0005-0000-0000-00002C6C0000}"/>
    <cellStyle name="Normal 2 3 23 4 2" xfId="27722" xr:uid="{00000000-0005-0000-0000-00002D6C0000}"/>
    <cellStyle name="Normal 2 3 23 4 3" xfId="27723" xr:uid="{00000000-0005-0000-0000-00002E6C0000}"/>
    <cellStyle name="Normal 2 3 23 4 4" xfId="27724" xr:uid="{00000000-0005-0000-0000-00002F6C0000}"/>
    <cellStyle name="Normal 2 3 23 4 5" xfId="27725" xr:uid="{00000000-0005-0000-0000-0000306C0000}"/>
    <cellStyle name="Normal 2 3 23 4 6" xfId="27726" xr:uid="{00000000-0005-0000-0000-0000316C0000}"/>
    <cellStyle name="Normal 2 3 23 4 7" xfId="27727" xr:uid="{00000000-0005-0000-0000-0000326C0000}"/>
    <cellStyle name="Normal 2 3 23 4 8" xfId="27728" xr:uid="{00000000-0005-0000-0000-0000336C0000}"/>
    <cellStyle name="Normal 2 3 23 4 9" xfId="27729" xr:uid="{00000000-0005-0000-0000-0000346C0000}"/>
    <cellStyle name="Normal 2 3 23 5" xfId="27730" xr:uid="{00000000-0005-0000-0000-0000356C0000}"/>
    <cellStyle name="Normal 2 3 23 5 10" xfId="27731" xr:uid="{00000000-0005-0000-0000-0000366C0000}"/>
    <cellStyle name="Normal 2 3 23 5 2" xfId="27732" xr:uid="{00000000-0005-0000-0000-0000376C0000}"/>
    <cellStyle name="Normal 2 3 23 5 3" xfId="27733" xr:uid="{00000000-0005-0000-0000-0000386C0000}"/>
    <cellStyle name="Normal 2 3 23 5 4" xfId="27734" xr:uid="{00000000-0005-0000-0000-0000396C0000}"/>
    <cellStyle name="Normal 2 3 23 5 5" xfId="27735" xr:uid="{00000000-0005-0000-0000-00003A6C0000}"/>
    <cellStyle name="Normal 2 3 23 5 6" xfId="27736" xr:uid="{00000000-0005-0000-0000-00003B6C0000}"/>
    <cellStyle name="Normal 2 3 23 5 7" xfId="27737" xr:uid="{00000000-0005-0000-0000-00003C6C0000}"/>
    <cellStyle name="Normal 2 3 23 5 8" xfId="27738" xr:uid="{00000000-0005-0000-0000-00003D6C0000}"/>
    <cellStyle name="Normal 2 3 23 5 9" xfId="27739" xr:uid="{00000000-0005-0000-0000-00003E6C0000}"/>
    <cellStyle name="Normal 2 3 23 6" xfId="27740" xr:uid="{00000000-0005-0000-0000-00003F6C0000}"/>
    <cellStyle name="Normal 2 3 23 7" xfId="27741" xr:uid="{00000000-0005-0000-0000-0000406C0000}"/>
    <cellStyle name="Normal 2 3 23 8" xfId="27742" xr:uid="{00000000-0005-0000-0000-0000416C0000}"/>
    <cellStyle name="Normal 2 3 23 9" xfId="27743" xr:uid="{00000000-0005-0000-0000-0000426C0000}"/>
    <cellStyle name="Normal 2 3 24" xfId="27744" xr:uid="{00000000-0005-0000-0000-0000436C0000}"/>
    <cellStyle name="Normal 2 3 24 10" xfId="27745" xr:uid="{00000000-0005-0000-0000-0000446C0000}"/>
    <cellStyle name="Normal 2 3 24 11" xfId="27746" xr:uid="{00000000-0005-0000-0000-0000456C0000}"/>
    <cellStyle name="Normal 2 3 24 12" xfId="27747" xr:uid="{00000000-0005-0000-0000-0000466C0000}"/>
    <cellStyle name="Normal 2 3 24 13" xfId="27748" xr:uid="{00000000-0005-0000-0000-0000476C0000}"/>
    <cellStyle name="Normal 2 3 24 14" xfId="27749" xr:uid="{00000000-0005-0000-0000-0000486C0000}"/>
    <cellStyle name="Normal 2 3 24 2" xfId="27750" xr:uid="{00000000-0005-0000-0000-0000496C0000}"/>
    <cellStyle name="Normal 2 3 24 2 10" xfId="27751" xr:uid="{00000000-0005-0000-0000-00004A6C0000}"/>
    <cellStyle name="Normal 2 3 24 2 2" xfId="27752" xr:uid="{00000000-0005-0000-0000-00004B6C0000}"/>
    <cellStyle name="Normal 2 3 24 2 3" xfId="27753" xr:uid="{00000000-0005-0000-0000-00004C6C0000}"/>
    <cellStyle name="Normal 2 3 24 2 4" xfId="27754" xr:uid="{00000000-0005-0000-0000-00004D6C0000}"/>
    <cellStyle name="Normal 2 3 24 2 5" xfId="27755" xr:uid="{00000000-0005-0000-0000-00004E6C0000}"/>
    <cellStyle name="Normal 2 3 24 2 6" xfId="27756" xr:uid="{00000000-0005-0000-0000-00004F6C0000}"/>
    <cellStyle name="Normal 2 3 24 2 7" xfId="27757" xr:uid="{00000000-0005-0000-0000-0000506C0000}"/>
    <cellStyle name="Normal 2 3 24 2 8" xfId="27758" xr:uid="{00000000-0005-0000-0000-0000516C0000}"/>
    <cellStyle name="Normal 2 3 24 2 9" xfId="27759" xr:uid="{00000000-0005-0000-0000-0000526C0000}"/>
    <cellStyle name="Normal 2 3 24 3" xfId="27760" xr:uid="{00000000-0005-0000-0000-0000536C0000}"/>
    <cellStyle name="Normal 2 3 24 3 10" xfId="27761" xr:uid="{00000000-0005-0000-0000-0000546C0000}"/>
    <cellStyle name="Normal 2 3 24 3 2" xfId="27762" xr:uid="{00000000-0005-0000-0000-0000556C0000}"/>
    <cellStyle name="Normal 2 3 24 3 3" xfId="27763" xr:uid="{00000000-0005-0000-0000-0000566C0000}"/>
    <cellStyle name="Normal 2 3 24 3 4" xfId="27764" xr:uid="{00000000-0005-0000-0000-0000576C0000}"/>
    <cellStyle name="Normal 2 3 24 3 5" xfId="27765" xr:uid="{00000000-0005-0000-0000-0000586C0000}"/>
    <cellStyle name="Normal 2 3 24 3 6" xfId="27766" xr:uid="{00000000-0005-0000-0000-0000596C0000}"/>
    <cellStyle name="Normal 2 3 24 3 7" xfId="27767" xr:uid="{00000000-0005-0000-0000-00005A6C0000}"/>
    <cellStyle name="Normal 2 3 24 3 8" xfId="27768" xr:uid="{00000000-0005-0000-0000-00005B6C0000}"/>
    <cellStyle name="Normal 2 3 24 3 9" xfId="27769" xr:uid="{00000000-0005-0000-0000-00005C6C0000}"/>
    <cellStyle name="Normal 2 3 24 4" xfId="27770" xr:uid="{00000000-0005-0000-0000-00005D6C0000}"/>
    <cellStyle name="Normal 2 3 24 4 10" xfId="27771" xr:uid="{00000000-0005-0000-0000-00005E6C0000}"/>
    <cellStyle name="Normal 2 3 24 4 2" xfId="27772" xr:uid="{00000000-0005-0000-0000-00005F6C0000}"/>
    <cellStyle name="Normal 2 3 24 4 3" xfId="27773" xr:uid="{00000000-0005-0000-0000-0000606C0000}"/>
    <cellStyle name="Normal 2 3 24 4 4" xfId="27774" xr:uid="{00000000-0005-0000-0000-0000616C0000}"/>
    <cellStyle name="Normal 2 3 24 4 5" xfId="27775" xr:uid="{00000000-0005-0000-0000-0000626C0000}"/>
    <cellStyle name="Normal 2 3 24 4 6" xfId="27776" xr:uid="{00000000-0005-0000-0000-0000636C0000}"/>
    <cellStyle name="Normal 2 3 24 4 7" xfId="27777" xr:uid="{00000000-0005-0000-0000-0000646C0000}"/>
    <cellStyle name="Normal 2 3 24 4 8" xfId="27778" xr:uid="{00000000-0005-0000-0000-0000656C0000}"/>
    <cellStyle name="Normal 2 3 24 4 9" xfId="27779" xr:uid="{00000000-0005-0000-0000-0000666C0000}"/>
    <cellStyle name="Normal 2 3 24 5" xfId="27780" xr:uid="{00000000-0005-0000-0000-0000676C0000}"/>
    <cellStyle name="Normal 2 3 24 5 10" xfId="27781" xr:uid="{00000000-0005-0000-0000-0000686C0000}"/>
    <cellStyle name="Normal 2 3 24 5 2" xfId="27782" xr:uid="{00000000-0005-0000-0000-0000696C0000}"/>
    <cellStyle name="Normal 2 3 24 5 3" xfId="27783" xr:uid="{00000000-0005-0000-0000-00006A6C0000}"/>
    <cellStyle name="Normal 2 3 24 5 4" xfId="27784" xr:uid="{00000000-0005-0000-0000-00006B6C0000}"/>
    <cellStyle name="Normal 2 3 24 5 5" xfId="27785" xr:uid="{00000000-0005-0000-0000-00006C6C0000}"/>
    <cellStyle name="Normal 2 3 24 5 6" xfId="27786" xr:uid="{00000000-0005-0000-0000-00006D6C0000}"/>
    <cellStyle name="Normal 2 3 24 5 7" xfId="27787" xr:uid="{00000000-0005-0000-0000-00006E6C0000}"/>
    <cellStyle name="Normal 2 3 24 5 8" xfId="27788" xr:uid="{00000000-0005-0000-0000-00006F6C0000}"/>
    <cellStyle name="Normal 2 3 24 5 9" xfId="27789" xr:uid="{00000000-0005-0000-0000-0000706C0000}"/>
    <cellStyle name="Normal 2 3 24 6" xfId="27790" xr:uid="{00000000-0005-0000-0000-0000716C0000}"/>
    <cellStyle name="Normal 2 3 24 7" xfId="27791" xr:uid="{00000000-0005-0000-0000-0000726C0000}"/>
    <cellStyle name="Normal 2 3 24 8" xfId="27792" xr:uid="{00000000-0005-0000-0000-0000736C0000}"/>
    <cellStyle name="Normal 2 3 24 9" xfId="27793" xr:uid="{00000000-0005-0000-0000-0000746C0000}"/>
    <cellStyle name="Normal 2 3 25" xfId="27794" xr:uid="{00000000-0005-0000-0000-0000756C0000}"/>
    <cellStyle name="Normal 2 3 25 10" xfId="27795" xr:uid="{00000000-0005-0000-0000-0000766C0000}"/>
    <cellStyle name="Normal 2 3 25 11" xfId="27796" xr:uid="{00000000-0005-0000-0000-0000776C0000}"/>
    <cellStyle name="Normal 2 3 25 12" xfId="27797" xr:uid="{00000000-0005-0000-0000-0000786C0000}"/>
    <cellStyle name="Normal 2 3 25 13" xfId="27798" xr:uid="{00000000-0005-0000-0000-0000796C0000}"/>
    <cellStyle name="Normal 2 3 25 14" xfId="27799" xr:uid="{00000000-0005-0000-0000-00007A6C0000}"/>
    <cellStyle name="Normal 2 3 25 2" xfId="27800" xr:uid="{00000000-0005-0000-0000-00007B6C0000}"/>
    <cellStyle name="Normal 2 3 25 2 10" xfId="27801" xr:uid="{00000000-0005-0000-0000-00007C6C0000}"/>
    <cellStyle name="Normal 2 3 25 2 2" xfId="27802" xr:uid="{00000000-0005-0000-0000-00007D6C0000}"/>
    <cellStyle name="Normal 2 3 25 2 3" xfId="27803" xr:uid="{00000000-0005-0000-0000-00007E6C0000}"/>
    <cellStyle name="Normal 2 3 25 2 4" xfId="27804" xr:uid="{00000000-0005-0000-0000-00007F6C0000}"/>
    <cellStyle name="Normal 2 3 25 2 5" xfId="27805" xr:uid="{00000000-0005-0000-0000-0000806C0000}"/>
    <cellStyle name="Normal 2 3 25 2 6" xfId="27806" xr:uid="{00000000-0005-0000-0000-0000816C0000}"/>
    <cellStyle name="Normal 2 3 25 2 7" xfId="27807" xr:uid="{00000000-0005-0000-0000-0000826C0000}"/>
    <cellStyle name="Normal 2 3 25 2 8" xfId="27808" xr:uid="{00000000-0005-0000-0000-0000836C0000}"/>
    <cellStyle name="Normal 2 3 25 2 9" xfId="27809" xr:uid="{00000000-0005-0000-0000-0000846C0000}"/>
    <cellStyle name="Normal 2 3 25 3" xfId="27810" xr:uid="{00000000-0005-0000-0000-0000856C0000}"/>
    <cellStyle name="Normal 2 3 25 3 10" xfId="27811" xr:uid="{00000000-0005-0000-0000-0000866C0000}"/>
    <cellStyle name="Normal 2 3 25 3 2" xfId="27812" xr:uid="{00000000-0005-0000-0000-0000876C0000}"/>
    <cellStyle name="Normal 2 3 25 3 3" xfId="27813" xr:uid="{00000000-0005-0000-0000-0000886C0000}"/>
    <cellStyle name="Normal 2 3 25 3 4" xfId="27814" xr:uid="{00000000-0005-0000-0000-0000896C0000}"/>
    <cellStyle name="Normal 2 3 25 3 5" xfId="27815" xr:uid="{00000000-0005-0000-0000-00008A6C0000}"/>
    <cellStyle name="Normal 2 3 25 3 6" xfId="27816" xr:uid="{00000000-0005-0000-0000-00008B6C0000}"/>
    <cellStyle name="Normal 2 3 25 3 7" xfId="27817" xr:uid="{00000000-0005-0000-0000-00008C6C0000}"/>
    <cellStyle name="Normal 2 3 25 3 8" xfId="27818" xr:uid="{00000000-0005-0000-0000-00008D6C0000}"/>
    <cellStyle name="Normal 2 3 25 3 9" xfId="27819" xr:uid="{00000000-0005-0000-0000-00008E6C0000}"/>
    <cellStyle name="Normal 2 3 25 4" xfId="27820" xr:uid="{00000000-0005-0000-0000-00008F6C0000}"/>
    <cellStyle name="Normal 2 3 25 4 10" xfId="27821" xr:uid="{00000000-0005-0000-0000-0000906C0000}"/>
    <cellStyle name="Normal 2 3 25 4 2" xfId="27822" xr:uid="{00000000-0005-0000-0000-0000916C0000}"/>
    <cellStyle name="Normal 2 3 25 4 3" xfId="27823" xr:uid="{00000000-0005-0000-0000-0000926C0000}"/>
    <cellStyle name="Normal 2 3 25 4 4" xfId="27824" xr:uid="{00000000-0005-0000-0000-0000936C0000}"/>
    <cellStyle name="Normal 2 3 25 4 5" xfId="27825" xr:uid="{00000000-0005-0000-0000-0000946C0000}"/>
    <cellStyle name="Normal 2 3 25 4 6" xfId="27826" xr:uid="{00000000-0005-0000-0000-0000956C0000}"/>
    <cellStyle name="Normal 2 3 25 4 7" xfId="27827" xr:uid="{00000000-0005-0000-0000-0000966C0000}"/>
    <cellStyle name="Normal 2 3 25 4 8" xfId="27828" xr:uid="{00000000-0005-0000-0000-0000976C0000}"/>
    <cellStyle name="Normal 2 3 25 4 9" xfId="27829" xr:uid="{00000000-0005-0000-0000-0000986C0000}"/>
    <cellStyle name="Normal 2 3 25 5" xfId="27830" xr:uid="{00000000-0005-0000-0000-0000996C0000}"/>
    <cellStyle name="Normal 2 3 25 5 10" xfId="27831" xr:uid="{00000000-0005-0000-0000-00009A6C0000}"/>
    <cellStyle name="Normal 2 3 25 5 2" xfId="27832" xr:uid="{00000000-0005-0000-0000-00009B6C0000}"/>
    <cellStyle name="Normal 2 3 25 5 3" xfId="27833" xr:uid="{00000000-0005-0000-0000-00009C6C0000}"/>
    <cellStyle name="Normal 2 3 25 5 4" xfId="27834" xr:uid="{00000000-0005-0000-0000-00009D6C0000}"/>
    <cellStyle name="Normal 2 3 25 5 5" xfId="27835" xr:uid="{00000000-0005-0000-0000-00009E6C0000}"/>
    <cellStyle name="Normal 2 3 25 5 6" xfId="27836" xr:uid="{00000000-0005-0000-0000-00009F6C0000}"/>
    <cellStyle name="Normal 2 3 25 5 7" xfId="27837" xr:uid="{00000000-0005-0000-0000-0000A06C0000}"/>
    <cellStyle name="Normal 2 3 25 5 8" xfId="27838" xr:uid="{00000000-0005-0000-0000-0000A16C0000}"/>
    <cellStyle name="Normal 2 3 25 5 9" xfId="27839" xr:uid="{00000000-0005-0000-0000-0000A26C0000}"/>
    <cellStyle name="Normal 2 3 25 6" xfId="27840" xr:uid="{00000000-0005-0000-0000-0000A36C0000}"/>
    <cellStyle name="Normal 2 3 25 7" xfId="27841" xr:uid="{00000000-0005-0000-0000-0000A46C0000}"/>
    <cellStyle name="Normal 2 3 25 8" xfId="27842" xr:uid="{00000000-0005-0000-0000-0000A56C0000}"/>
    <cellStyle name="Normal 2 3 25 9" xfId="27843" xr:uid="{00000000-0005-0000-0000-0000A66C0000}"/>
    <cellStyle name="Normal 2 3 26" xfId="27844" xr:uid="{00000000-0005-0000-0000-0000A76C0000}"/>
    <cellStyle name="Normal 2 3 26 10" xfId="27845" xr:uid="{00000000-0005-0000-0000-0000A86C0000}"/>
    <cellStyle name="Normal 2 3 26 11" xfId="27846" xr:uid="{00000000-0005-0000-0000-0000A96C0000}"/>
    <cellStyle name="Normal 2 3 26 12" xfId="27847" xr:uid="{00000000-0005-0000-0000-0000AA6C0000}"/>
    <cellStyle name="Normal 2 3 26 13" xfId="27848" xr:uid="{00000000-0005-0000-0000-0000AB6C0000}"/>
    <cellStyle name="Normal 2 3 26 14" xfId="27849" xr:uid="{00000000-0005-0000-0000-0000AC6C0000}"/>
    <cellStyle name="Normal 2 3 26 2" xfId="27850" xr:uid="{00000000-0005-0000-0000-0000AD6C0000}"/>
    <cellStyle name="Normal 2 3 26 2 10" xfId="27851" xr:uid="{00000000-0005-0000-0000-0000AE6C0000}"/>
    <cellStyle name="Normal 2 3 26 2 2" xfId="27852" xr:uid="{00000000-0005-0000-0000-0000AF6C0000}"/>
    <cellStyle name="Normal 2 3 26 2 3" xfId="27853" xr:uid="{00000000-0005-0000-0000-0000B06C0000}"/>
    <cellStyle name="Normal 2 3 26 2 4" xfId="27854" xr:uid="{00000000-0005-0000-0000-0000B16C0000}"/>
    <cellStyle name="Normal 2 3 26 2 5" xfId="27855" xr:uid="{00000000-0005-0000-0000-0000B26C0000}"/>
    <cellStyle name="Normal 2 3 26 2 6" xfId="27856" xr:uid="{00000000-0005-0000-0000-0000B36C0000}"/>
    <cellStyle name="Normal 2 3 26 2 7" xfId="27857" xr:uid="{00000000-0005-0000-0000-0000B46C0000}"/>
    <cellStyle name="Normal 2 3 26 2 8" xfId="27858" xr:uid="{00000000-0005-0000-0000-0000B56C0000}"/>
    <cellStyle name="Normal 2 3 26 2 9" xfId="27859" xr:uid="{00000000-0005-0000-0000-0000B66C0000}"/>
    <cellStyle name="Normal 2 3 26 3" xfId="27860" xr:uid="{00000000-0005-0000-0000-0000B76C0000}"/>
    <cellStyle name="Normal 2 3 26 3 10" xfId="27861" xr:uid="{00000000-0005-0000-0000-0000B86C0000}"/>
    <cellStyle name="Normal 2 3 26 3 2" xfId="27862" xr:uid="{00000000-0005-0000-0000-0000B96C0000}"/>
    <cellStyle name="Normal 2 3 26 3 3" xfId="27863" xr:uid="{00000000-0005-0000-0000-0000BA6C0000}"/>
    <cellStyle name="Normal 2 3 26 3 4" xfId="27864" xr:uid="{00000000-0005-0000-0000-0000BB6C0000}"/>
    <cellStyle name="Normal 2 3 26 3 5" xfId="27865" xr:uid="{00000000-0005-0000-0000-0000BC6C0000}"/>
    <cellStyle name="Normal 2 3 26 3 6" xfId="27866" xr:uid="{00000000-0005-0000-0000-0000BD6C0000}"/>
    <cellStyle name="Normal 2 3 26 3 7" xfId="27867" xr:uid="{00000000-0005-0000-0000-0000BE6C0000}"/>
    <cellStyle name="Normal 2 3 26 3 8" xfId="27868" xr:uid="{00000000-0005-0000-0000-0000BF6C0000}"/>
    <cellStyle name="Normal 2 3 26 3 9" xfId="27869" xr:uid="{00000000-0005-0000-0000-0000C06C0000}"/>
    <cellStyle name="Normal 2 3 26 4" xfId="27870" xr:uid="{00000000-0005-0000-0000-0000C16C0000}"/>
    <cellStyle name="Normal 2 3 26 4 10" xfId="27871" xr:uid="{00000000-0005-0000-0000-0000C26C0000}"/>
    <cellStyle name="Normal 2 3 26 4 2" xfId="27872" xr:uid="{00000000-0005-0000-0000-0000C36C0000}"/>
    <cellStyle name="Normal 2 3 26 4 3" xfId="27873" xr:uid="{00000000-0005-0000-0000-0000C46C0000}"/>
    <cellStyle name="Normal 2 3 26 4 4" xfId="27874" xr:uid="{00000000-0005-0000-0000-0000C56C0000}"/>
    <cellStyle name="Normal 2 3 26 4 5" xfId="27875" xr:uid="{00000000-0005-0000-0000-0000C66C0000}"/>
    <cellStyle name="Normal 2 3 26 4 6" xfId="27876" xr:uid="{00000000-0005-0000-0000-0000C76C0000}"/>
    <cellStyle name="Normal 2 3 26 4 7" xfId="27877" xr:uid="{00000000-0005-0000-0000-0000C86C0000}"/>
    <cellStyle name="Normal 2 3 26 4 8" xfId="27878" xr:uid="{00000000-0005-0000-0000-0000C96C0000}"/>
    <cellStyle name="Normal 2 3 26 4 9" xfId="27879" xr:uid="{00000000-0005-0000-0000-0000CA6C0000}"/>
    <cellStyle name="Normal 2 3 26 5" xfId="27880" xr:uid="{00000000-0005-0000-0000-0000CB6C0000}"/>
    <cellStyle name="Normal 2 3 26 5 10" xfId="27881" xr:uid="{00000000-0005-0000-0000-0000CC6C0000}"/>
    <cellStyle name="Normal 2 3 26 5 2" xfId="27882" xr:uid="{00000000-0005-0000-0000-0000CD6C0000}"/>
    <cellStyle name="Normal 2 3 26 5 3" xfId="27883" xr:uid="{00000000-0005-0000-0000-0000CE6C0000}"/>
    <cellStyle name="Normal 2 3 26 5 4" xfId="27884" xr:uid="{00000000-0005-0000-0000-0000CF6C0000}"/>
    <cellStyle name="Normal 2 3 26 5 5" xfId="27885" xr:uid="{00000000-0005-0000-0000-0000D06C0000}"/>
    <cellStyle name="Normal 2 3 26 5 6" xfId="27886" xr:uid="{00000000-0005-0000-0000-0000D16C0000}"/>
    <cellStyle name="Normal 2 3 26 5 7" xfId="27887" xr:uid="{00000000-0005-0000-0000-0000D26C0000}"/>
    <cellStyle name="Normal 2 3 26 5 8" xfId="27888" xr:uid="{00000000-0005-0000-0000-0000D36C0000}"/>
    <cellStyle name="Normal 2 3 26 5 9" xfId="27889" xr:uid="{00000000-0005-0000-0000-0000D46C0000}"/>
    <cellStyle name="Normal 2 3 26 6" xfId="27890" xr:uid="{00000000-0005-0000-0000-0000D56C0000}"/>
    <cellStyle name="Normal 2 3 26 7" xfId="27891" xr:uid="{00000000-0005-0000-0000-0000D66C0000}"/>
    <cellStyle name="Normal 2 3 26 8" xfId="27892" xr:uid="{00000000-0005-0000-0000-0000D76C0000}"/>
    <cellStyle name="Normal 2 3 26 9" xfId="27893" xr:uid="{00000000-0005-0000-0000-0000D86C0000}"/>
    <cellStyle name="Normal 2 3 27" xfId="27894" xr:uid="{00000000-0005-0000-0000-0000D96C0000}"/>
    <cellStyle name="Normal 2 3 27 10" xfId="27895" xr:uid="{00000000-0005-0000-0000-0000DA6C0000}"/>
    <cellStyle name="Normal 2 3 27 11" xfId="27896" xr:uid="{00000000-0005-0000-0000-0000DB6C0000}"/>
    <cellStyle name="Normal 2 3 27 12" xfId="27897" xr:uid="{00000000-0005-0000-0000-0000DC6C0000}"/>
    <cellStyle name="Normal 2 3 27 13" xfId="27898" xr:uid="{00000000-0005-0000-0000-0000DD6C0000}"/>
    <cellStyle name="Normal 2 3 27 14" xfId="27899" xr:uid="{00000000-0005-0000-0000-0000DE6C0000}"/>
    <cellStyle name="Normal 2 3 27 2" xfId="27900" xr:uid="{00000000-0005-0000-0000-0000DF6C0000}"/>
    <cellStyle name="Normal 2 3 27 2 10" xfId="27901" xr:uid="{00000000-0005-0000-0000-0000E06C0000}"/>
    <cellStyle name="Normal 2 3 27 2 2" xfId="27902" xr:uid="{00000000-0005-0000-0000-0000E16C0000}"/>
    <cellStyle name="Normal 2 3 27 2 3" xfId="27903" xr:uid="{00000000-0005-0000-0000-0000E26C0000}"/>
    <cellStyle name="Normal 2 3 27 2 4" xfId="27904" xr:uid="{00000000-0005-0000-0000-0000E36C0000}"/>
    <cellStyle name="Normal 2 3 27 2 5" xfId="27905" xr:uid="{00000000-0005-0000-0000-0000E46C0000}"/>
    <cellStyle name="Normal 2 3 27 2 6" xfId="27906" xr:uid="{00000000-0005-0000-0000-0000E56C0000}"/>
    <cellStyle name="Normal 2 3 27 2 7" xfId="27907" xr:uid="{00000000-0005-0000-0000-0000E66C0000}"/>
    <cellStyle name="Normal 2 3 27 2 8" xfId="27908" xr:uid="{00000000-0005-0000-0000-0000E76C0000}"/>
    <cellStyle name="Normal 2 3 27 2 9" xfId="27909" xr:uid="{00000000-0005-0000-0000-0000E86C0000}"/>
    <cellStyle name="Normal 2 3 27 3" xfId="27910" xr:uid="{00000000-0005-0000-0000-0000E96C0000}"/>
    <cellStyle name="Normal 2 3 27 3 10" xfId="27911" xr:uid="{00000000-0005-0000-0000-0000EA6C0000}"/>
    <cellStyle name="Normal 2 3 27 3 2" xfId="27912" xr:uid="{00000000-0005-0000-0000-0000EB6C0000}"/>
    <cellStyle name="Normal 2 3 27 3 3" xfId="27913" xr:uid="{00000000-0005-0000-0000-0000EC6C0000}"/>
    <cellStyle name="Normal 2 3 27 3 4" xfId="27914" xr:uid="{00000000-0005-0000-0000-0000ED6C0000}"/>
    <cellStyle name="Normal 2 3 27 3 5" xfId="27915" xr:uid="{00000000-0005-0000-0000-0000EE6C0000}"/>
    <cellStyle name="Normal 2 3 27 3 6" xfId="27916" xr:uid="{00000000-0005-0000-0000-0000EF6C0000}"/>
    <cellStyle name="Normal 2 3 27 3 7" xfId="27917" xr:uid="{00000000-0005-0000-0000-0000F06C0000}"/>
    <cellStyle name="Normal 2 3 27 3 8" xfId="27918" xr:uid="{00000000-0005-0000-0000-0000F16C0000}"/>
    <cellStyle name="Normal 2 3 27 3 9" xfId="27919" xr:uid="{00000000-0005-0000-0000-0000F26C0000}"/>
    <cellStyle name="Normal 2 3 27 4" xfId="27920" xr:uid="{00000000-0005-0000-0000-0000F36C0000}"/>
    <cellStyle name="Normal 2 3 27 4 10" xfId="27921" xr:uid="{00000000-0005-0000-0000-0000F46C0000}"/>
    <cellStyle name="Normal 2 3 27 4 2" xfId="27922" xr:uid="{00000000-0005-0000-0000-0000F56C0000}"/>
    <cellStyle name="Normal 2 3 27 4 3" xfId="27923" xr:uid="{00000000-0005-0000-0000-0000F66C0000}"/>
    <cellStyle name="Normal 2 3 27 4 4" xfId="27924" xr:uid="{00000000-0005-0000-0000-0000F76C0000}"/>
    <cellStyle name="Normal 2 3 27 4 5" xfId="27925" xr:uid="{00000000-0005-0000-0000-0000F86C0000}"/>
    <cellStyle name="Normal 2 3 27 4 6" xfId="27926" xr:uid="{00000000-0005-0000-0000-0000F96C0000}"/>
    <cellStyle name="Normal 2 3 27 4 7" xfId="27927" xr:uid="{00000000-0005-0000-0000-0000FA6C0000}"/>
    <cellStyle name="Normal 2 3 27 4 8" xfId="27928" xr:uid="{00000000-0005-0000-0000-0000FB6C0000}"/>
    <cellStyle name="Normal 2 3 27 4 9" xfId="27929" xr:uid="{00000000-0005-0000-0000-0000FC6C0000}"/>
    <cellStyle name="Normal 2 3 27 5" xfId="27930" xr:uid="{00000000-0005-0000-0000-0000FD6C0000}"/>
    <cellStyle name="Normal 2 3 27 5 10" xfId="27931" xr:uid="{00000000-0005-0000-0000-0000FE6C0000}"/>
    <cellStyle name="Normal 2 3 27 5 2" xfId="27932" xr:uid="{00000000-0005-0000-0000-0000FF6C0000}"/>
    <cellStyle name="Normal 2 3 27 5 3" xfId="27933" xr:uid="{00000000-0005-0000-0000-0000006D0000}"/>
    <cellStyle name="Normal 2 3 27 5 4" xfId="27934" xr:uid="{00000000-0005-0000-0000-0000016D0000}"/>
    <cellStyle name="Normal 2 3 27 5 5" xfId="27935" xr:uid="{00000000-0005-0000-0000-0000026D0000}"/>
    <cellStyle name="Normal 2 3 27 5 6" xfId="27936" xr:uid="{00000000-0005-0000-0000-0000036D0000}"/>
    <cellStyle name="Normal 2 3 27 5 7" xfId="27937" xr:uid="{00000000-0005-0000-0000-0000046D0000}"/>
    <cellStyle name="Normal 2 3 27 5 8" xfId="27938" xr:uid="{00000000-0005-0000-0000-0000056D0000}"/>
    <cellStyle name="Normal 2 3 27 5 9" xfId="27939" xr:uid="{00000000-0005-0000-0000-0000066D0000}"/>
    <cellStyle name="Normal 2 3 27 6" xfId="27940" xr:uid="{00000000-0005-0000-0000-0000076D0000}"/>
    <cellStyle name="Normal 2 3 27 7" xfId="27941" xr:uid="{00000000-0005-0000-0000-0000086D0000}"/>
    <cellStyle name="Normal 2 3 27 8" xfId="27942" xr:uid="{00000000-0005-0000-0000-0000096D0000}"/>
    <cellStyle name="Normal 2 3 27 9" xfId="27943" xr:uid="{00000000-0005-0000-0000-00000A6D0000}"/>
    <cellStyle name="Normal 2 3 28" xfId="27944" xr:uid="{00000000-0005-0000-0000-00000B6D0000}"/>
    <cellStyle name="Normal 2 3 28 10" xfId="27945" xr:uid="{00000000-0005-0000-0000-00000C6D0000}"/>
    <cellStyle name="Normal 2 3 28 11" xfId="27946" xr:uid="{00000000-0005-0000-0000-00000D6D0000}"/>
    <cellStyle name="Normal 2 3 28 12" xfId="27947" xr:uid="{00000000-0005-0000-0000-00000E6D0000}"/>
    <cellStyle name="Normal 2 3 28 13" xfId="27948" xr:uid="{00000000-0005-0000-0000-00000F6D0000}"/>
    <cellStyle name="Normal 2 3 28 14" xfId="27949" xr:uid="{00000000-0005-0000-0000-0000106D0000}"/>
    <cellStyle name="Normal 2 3 28 2" xfId="27950" xr:uid="{00000000-0005-0000-0000-0000116D0000}"/>
    <cellStyle name="Normal 2 3 28 2 10" xfId="27951" xr:uid="{00000000-0005-0000-0000-0000126D0000}"/>
    <cellStyle name="Normal 2 3 28 2 2" xfId="27952" xr:uid="{00000000-0005-0000-0000-0000136D0000}"/>
    <cellStyle name="Normal 2 3 28 2 3" xfId="27953" xr:uid="{00000000-0005-0000-0000-0000146D0000}"/>
    <cellStyle name="Normal 2 3 28 2 4" xfId="27954" xr:uid="{00000000-0005-0000-0000-0000156D0000}"/>
    <cellStyle name="Normal 2 3 28 2 5" xfId="27955" xr:uid="{00000000-0005-0000-0000-0000166D0000}"/>
    <cellStyle name="Normal 2 3 28 2 6" xfId="27956" xr:uid="{00000000-0005-0000-0000-0000176D0000}"/>
    <cellStyle name="Normal 2 3 28 2 7" xfId="27957" xr:uid="{00000000-0005-0000-0000-0000186D0000}"/>
    <cellStyle name="Normal 2 3 28 2 8" xfId="27958" xr:uid="{00000000-0005-0000-0000-0000196D0000}"/>
    <cellStyle name="Normal 2 3 28 2 9" xfId="27959" xr:uid="{00000000-0005-0000-0000-00001A6D0000}"/>
    <cellStyle name="Normal 2 3 28 3" xfId="27960" xr:uid="{00000000-0005-0000-0000-00001B6D0000}"/>
    <cellStyle name="Normal 2 3 28 3 10" xfId="27961" xr:uid="{00000000-0005-0000-0000-00001C6D0000}"/>
    <cellStyle name="Normal 2 3 28 3 2" xfId="27962" xr:uid="{00000000-0005-0000-0000-00001D6D0000}"/>
    <cellStyle name="Normal 2 3 28 3 3" xfId="27963" xr:uid="{00000000-0005-0000-0000-00001E6D0000}"/>
    <cellStyle name="Normal 2 3 28 3 4" xfId="27964" xr:uid="{00000000-0005-0000-0000-00001F6D0000}"/>
    <cellStyle name="Normal 2 3 28 3 5" xfId="27965" xr:uid="{00000000-0005-0000-0000-0000206D0000}"/>
    <cellStyle name="Normal 2 3 28 3 6" xfId="27966" xr:uid="{00000000-0005-0000-0000-0000216D0000}"/>
    <cellStyle name="Normal 2 3 28 3 7" xfId="27967" xr:uid="{00000000-0005-0000-0000-0000226D0000}"/>
    <cellStyle name="Normal 2 3 28 3 8" xfId="27968" xr:uid="{00000000-0005-0000-0000-0000236D0000}"/>
    <cellStyle name="Normal 2 3 28 3 9" xfId="27969" xr:uid="{00000000-0005-0000-0000-0000246D0000}"/>
    <cellStyle name="Normal 2 3 28 4" xfId="27970" xr:uid="{00000000-0005-0000-0000-0000256D0000}"/>
    <cellStyle name="Normal 2 3 28 4 10" xfId="27971" xr:uid="{00000000-0005-0000-0000-0000266D0000}"/>
    <cellStyle name="Normal 2 3 28 4 2" xfId="27972" xr:uid="{00000000-0005-0000-0000-0000276D0000}"/>
    <cellStyle name="Normal 2 3 28 4 3" xfId="27973" xr:uid="{00000000-0005-0000-0000-0000286D0000}"/>
    <cellStyle name="Normal 2 3 28 4 4" xfId="27974" xr:uid="{00000000-0005-0000-0000-0000296D0000}"/>
    <cellStyle name="Normal 2 3 28 4 5" xfId="27975" xr:uid="{00000000-0005-0000-0000-00002A6D0000}"/>
    <cellStyle name="Normal 2 3 28 4 6" xfId="27976" xr:uid="{00000000-0005-0000-0000-00002B6D0000}"/>
    <cellStyle name="Normal 2 3 28 4 7" xfId="27977" xr:uid="{00000000-0005-0000-0000-00002C6D0000}"/>
    <cellStyle name="Normal 2 3 28 4 8" xfId="27978" xr:uid="{00000000-0005-0000-0000-00002D6D0000}"/>
    <cellStyle name="Normal 2 3 28 4 9" xfId="27979" xr:uid="{00000000-0005-0000-0000-00002E6D0000}"/>
    <cellStyle name="Normal 2 3 28 5" xfId="27980" xr:uid="{00000000-0005-0000-0000-00002F6D0000}"/>
    <cellStyle name="Normal 2 3 28 5 10" xfId="27981" xr:uid="{00000000-0005-0000-0000-0000306D0000}"/>
    <cellStyle name="Normal 2 3 28 5 2" xfId="27982" xr:uid="{00000000-0005-0000-0000-0000316D0000}"/>
    <cellStyle name="Normal 2 3 28 5 3" xfId="27983" xr:uid="{00000000-0005-0000-0000-0000326D0000}"/>
    <cellStyle name="Normal 2 3 28 5 4" xfId="27984" xr:uid="{00000000-0005-0000-0000-0000336D0000}"/>
    <cellStyle name="Normal 2 3 28 5 5" xfId="27985" xr:uid="{00000000-0005-0000-0000-0000346D0000}"/>
    <cellStyle name="Normal 2 3 28 5 6" xfId="27986" xr:uid="{00000000-0005-0000-0000-0000356D0000}"/>
    <cellStyle name="Normal 2 3 28 5 7" xfId="27987" xr:uid="{00000000-0005-0000-0000-0000366D0000}"/>
    <cellStyle name="Normal 2 3 28 5 8" xfId="27988" xr:uid="{00000000-0005-0000-0000-0000376D0000}"/>
    <cellStyle name="Normal 2 3 28 5 9" xfId="27989" xr:uid="{00000000-0005-0000-0000-0000386D0000}"/>
    <cellStyle name="Normal 2 3 28 6" xfId="27990" xr:uid="{00000000-0005-0000-0000-0000396D0000}"/>
    <cellStyle name="Normal 2 3 28 7" xfId="27991" xr:uid="{00000000-0005-0000-0000-00003A6D0000}"/>
    <cellStyle name="Normal 2 3 28 8" xfId="27992" xr:uid="{00000000-0005-0000-0000-00003B6D0000}"/>
    <cellStyle name="Normal 2 3 28 9" xfId="27993" xr:uid="{00000000-0005-0000-0000-00003C6D0000}"/>
    <cellStyle name="Normal 2 3 29" xfId="27994" xr:uid="{00000000-0005-0000-0000-00003D6D0000}"/>
    <cellStyle name="Normal 2 3 29 10" xfId="27995" xr:uid="{00000000-0005-0000-0000-00003E6D0000}"/>
    <cellStyle name="Normal 2 3 29 11" xfId="27996" xr:uid="{00000000-0005-0000-0000-00003F6D0000}"/>
    <cellStyle name="Normal 2 3 29 12" xfId="27997" xr:uid="{00000000-0005-0000-0000-0000406D0000}"/>
    <cellStyle name="Normal 2 3 29 13" xfId="27998" xr:uid="{00000000-0005-0000-0000-0000416D0000}"/>
    <cellStyle name="Normal 2 3 29 14" xfId="27999" xr:uid="{00000000-0005-0000-0000-0000426D0000}"/>
    <cellStyle name="Normal 2 3 29 2" xfId="28000" xr:uid="{00000000-0005-0000-0000-0000436D0000}"/>
    <cellStyle name="Normal 2 3 29 2 10" xfId="28001" xr:uid="{00000000-0005-0000-0000-0000446D0000}"/>
    <cellStyle name="Normal 2 3 29 2 2" xfId="28002" xr:uid="{00000000-0005-0000-0000-0000456D0000}"/>
    <cellStyle name="Normal 2 3 29 2 3" xfId="28003" xr:uid="{00000000-0005-0000-0000-0000466D0000}"/>
    <cellStyle name="Normal 2 3 29 2 4" xfId="28004" xr:uid="{00000000-0005-0000-0000-0000476D0000}"/>
    <cellStyle name="Normal 2 3 29 2 5" xfId="28005" xr:uid="{00000000-0005-0000-0000-0000486D0000}"/>
    <cellStyle name="Normal 2 3 29 2 6" xfId="28006" xr:uid="{00000000-0005-0000-0000-0000496D0000}"/>
    <cellStyle name="Normal 2 3 29 2 7" xfId="28007" xr:uid="{00000000-0005-0000-0000-00004A6D0000}"/>
    <cellStyle name="Normal 2 3 29 2 8" xfId="28008" xr:uid="{00000000-0005-0000-0000-00004B6D0000}"/>
    <cellStyle name="Normal 2 3 29 2 9" xfId="28009" xr:uid="{00000000-0005-0000-0000-00004C6D0000}"/>
    <cellStyle name="Normal 2 3 29 3" xfId="28010" xr:uid="{00000000-0005-0000-0000-00004D6D0000}"/>
    <cellStyle name="Normal 2 3 29 3 10" xfId="28011" xr:uid="{00000000-0005-0000-0000-00004E6D0000}"/>
    <cellStyle name="Normal 2 3 29 3 2" xfId="28012" xr:uid="{00000000-0005-0000-0000-00004F6D0000}"/>
    <cellStyle name="Normal 2 3 29 3 3" xfId="28013" xr:uid="{00000000-0005-0000-0000-0000506D0000}"/>
    <cellStyle name="Normal 2 3 29 3 4" xfId="28014" xr:uid="{00000000-0005-0000-0000-0000516D0000}"/>
    <cellStyle name="Normal 2 3 29 3 5" xfId="28015" xr:uid="{00000000-0005-0000-0000-0000526D0000}"/>
    <cellStyle name="Normal 2 3 29 3 6" xfId="28016" xr:uid="{00000000-0005-0000-0000-0000536D0000}"/>
    <cellStyle name="Normal 2 3 29 3 7" xfId="28017" xr:uid="{00000000-0005-0000-0000-0000546D0000}"/>
    <cellStyle name="Normal 2 3 29 3 8" xfId="28018" xr:uid="{00000000-0005-0000-0000-0000556D0000}"/>
    <cellStyle name="Normal 2 3 29 3 9" xfId="28019" xr:uid="{00000000-0005-0000-0000-0000566D0000}"/>
    <cellStyle name="Normal 2 3 29 4" xfId="28020" xr:uid="{00000000-0005-0000-0000-0000576D0000}"/>
    <cellStyle name="Normal 2 3 29 4 10" xfId="28021" xr:uid="{00000000-0005-0000-0000-0000586D0000}"/>
    <cellStyle name="Normal 2 3 29 4 2" xfId="28022" xr:uid="{00000000-0005-0000-0000-0000596D0000}"/>
    <cellStyle name="Normal 2 3 29 4 3" xfId="28023" xr:uid="{00000000-0005-0000-0000-00005A6D0000}"/>
    <cellStyle name="Normal 2 3 29 4 4" xfId="28024" xr:uid="{00000000-0005-0000-0000-00005B6D0000}"/>
    <cellStyle name="Normal 2 3 29 4 5" xfId="28025" xr:uid="{00000000-0005-0000-0000-00005C6D0000}"/>
    <cellStyle name="Normal 2 3 29 4 6" xfId="28026" xr:uid="{00000000-0005-0000-0000-00005D6D0000}"/>
    <cellStyle name="Normal 2 3 29 4 7" xfId="28027" xr:uid="{00000000-0005-0000-0000-00005E6D0000}"/>
    <cellStyle name="Normal 2 3 29 4 8" xfId="28028" xr:uid="{00000000-0005-0000-0000-00005F6D0000}"/>
    <cellStyle name="Normal 2 3 29 4 9" xfId="28029" xr:uid="{00000000-0005-0000-0000-0000606D0000}"/>
    <cellStyle name="Normal 2 3 29 5" xfId="28030" xr:uid="{00000000-0005-0000-0000-0000616D0000}"/>
    <cellStyle name="Normal 2 3 29 5 10" xfId="28031" xr:uid="{00000000-0005-0000-0000-0000626D0000}"/>
    <cellStyle name="Normal 2 3 29 5 2" xfId="28032" xr:uid="{00000000-0005-0000-0000-0000636D0000}"/>
    <cellStyle name="Normal 2 3 29 5 3" xfId="28033" xr:uid="{00000000-0005-0000-0000-0000646D0000}"/>
    <cellStyle name="Normal 2 3 29 5 4" xfId="28034" xr:uid="{00000000-0005-0000-0000-0000656D0000}"/>
    <cellStyle name="Normal 2 3 29 5 5" xfId="28035" xr:uid="{00000000-0005-0000-0000-0000666D0000}"/>
    <cellStyle name="Normal 2 3 29 5 6" xfId="28036" xr:uid="{00000000-0005-0000-0000-0000676D0000}"/>
    <cellStyle name="Normal 2 3 29 5 7" xfId="28037" xr:uid="{00000000-0005-0000-0000-0000686D0000}"/>
    <cellStyle name="Normal 2 3 29 5 8" xfId="28038" xr:uid="{00000000-0005-0000-0000-0000696D0000}"/>
    <cellStyle name="Normal 2 3 29 5 9" xfId="28039" xr:uid="{00000000-0005-0000-0000-00006A6D0000}"/>
    <cellStyle name="Normal 2 3 29 6" xfId="28040" xr:uid="{00000000-0005-0000-0000-00006B6D0000}"/>
    <cellStyle name="Normal 2 3 29 7" xfId="28041" xr:uid="{00000000-0005-0000-0000-00006C6D0000}"/>
    <cellStyle name="Normal 2 3 29 8" xfId="28042" xr:uid="{00000000-0005-0000-0000-00006D6D0000}"/>
    <cellStyle name="Normal 2 3 29 9" xfId="28043" xr:uid="{00000000-0005-0000-0000-00006E6D0000}"/>
    <cellStyle name="Normal 2 3 3" xfId="28044" xr:uid="{00000000-0005-0000-0000-00006F6D0000}"/>
    <cellStyle name="Normal 2 3 3 10" xfId="28045" xr:uid="{00000000-0005-0000-0000-0000706D0000}"/>
    <cellStyle name="Normal 2 3 3 11" xfId="28046" xr:uid="{00000000-0005-0000-0000-0000716D0000}"/>
    <cellStyle name="Normal 2 3 3 12" xfId="28047" xr:uid="{00000000-0005-0000-0000-0000726D0000}"/>
    <cellStyle name="Normal 2 3 3 13" xfId="28048" xr:uid="{00000000-0005-0000-0000-0000736D0000}"/>
    <cellStyle name="Normal 2 3 3 14" xfId="28049" xr:uid="{00000000-0005-0000-0000-0000746D0000}"/>
    <cellStyle name="Normal 2 3 3 15" xfId="28050" xr:uid="{00000000-0005-0000-0000-0000756D0000}"/>
    <cellStyle name="Normal 2 3 3 16" xfId="28051" xr:uid="{00000000-0005-0000-0000-0000766D0000}"/>
    <cellStyle name="Normal 2 3 3 2" xfId="28052" xr:uid="{00000000-0005-0000-0000-0000776D0000}"/>
    <cellStyle name="Normal 2 3 3 2 10" xfId="28053" xr:uid="{00000000-0005-0000-0000-0000786D0000}"/>
    <cellStyle name="Normal 2 3 3 2 2" xfId="28054" xr:uid="{00000000-0005-0000-0000-0000796D0000}"/>
    <cellStyle name="Normal 2 3 3 2 3" xfId="28055" xr:uid="{00000000-0005-0000-0000-00007A6D0000}"/>
    <cellStyle name="Normal 2 3 3 2 4" xfId="28056" xr:uid="{00000000-0005-0000-0000-00007B6D0000}"/>
    <cellStyle name="Normal 2 3 3 2 5" xfId="28057" xr:uid="{00000000-0005-0000-0000-00007C6D0000}"/>
    <cellStyle name="Normal 2 3 3 2 6" xfId="28058" xr:uid="{00000000-0005-0000-0000-00007D6D0000}"/>
    <cellStyle name="Normal 2 3 3 2 7" xfId="28059" xr:uid="{00000000-0005-0000-0000-00007E6D0000}"/>
    <cellStyle name="Normal 2 3 3 2 8" xfId="28060" xr:uid="{00000000-0005-0000-0000-00007F6D0000}"/>
    <cellStyle name="Normal 2 3 3 2 9" xfId="28061" xr:uid="{00000000-0005-0000-0000-0000806D0000}"/>
    <cellStyle name="Normal 2 3 3 3" xfId="28062" xr:uid="{00000000-0005-0000-0000-0000816D0000}"/>
    <cellStyle name="Normal 2 3 3 3 10" xfId="28063" xr:uid="{00000000-0005-0000-0000-0000826D0000}"/>
    <cellStyle name="Normal 2 3 3 3 2" xfId="28064" xr:uid="{00000000-0005-0000-0000-0000836D0000}"/>
    <cellStyle name="Normal 2 3 3 3 3" xfId="28065" xr:uid="{00000000-0005-0000-0000-0000846D0000}"/>
    <cellStyle name="Normal 2 3 3 3 4" xfId="28066" xr:uid="{00000000-0005-0000-0000-0000856D0000}"/>
    <cellStyle name="Normal 2 3 3 3 5" xfId="28067" xr:uid="{00000000-0005-0000-0000-0000866D0000}"/>
    <cellStyle name="Normal 2 3 3 3 6" xfId="28068" xr:uid="{00000000-0005-0000-0000-0000876D0000}"/>
    <cellStyle name="Normal 2 3 3 3 7" xfId="28069" xr:uid="{00000000-0005-0000-0000-0000886D0000}"/>
    <cellStyle name="Normal 2 3 3 3 8" xfId="28070" xr:uid="{00000000-0005-0000-0000-0000896D0000}"/>
    <cellStyle name="Normal 2 3 3 3 9" xfId="28071" xr:uid="{00000000-0005-0000-0000-00008A6D0000}"/>
    <cellStyle name="Normal 2 3 3 4" xfId="28072" xr:uid="{00000000-0005-0000-0000-00008B6D0000}"/>
    <cellStyle name="Normal 2 3 3 4 10" xfId="28073" xr:uid="{00000000-0005-0000-0000-00008C6D0000}"/>
    <cellStyle name="Normal 2 3 3 4 2" xfId="28074" xr:uid="{00000000-0005-0000-0000-00008D6D0000}"/>
    <cellStyle name="Normal 2 3 3 4 3" xfId="28075" xr:uid="{00000000-0005-0000-0000-00008E6D0000}"/>
    <cellStyle name="Normal 2 3 3 4 4" xfId="28076" xr:uid="{00000000-0005-0000-0000-00008F6D0000}"/>
    <cellStyle name="Normal 2 3 3 4 5" xfId="28077" xr:uid="{00000000-0005-0000-0000-0000906D0000}"/>
    <cellStyle name="Normal 2 3 3 4 6" xfId="28078" xr:uid="{00000000-0005-0000-0000-0000916D0000}"/>
    <cellStyle name="Normal 2 3 3 4 7" xfId="28079" xr:uid="{00000000-0005-0000-0000-0000926D0000}"/>
    <cellStyle name="Normal 2 3 3 4 8" xfId="28080" xr:uid="{00000000-0005-0000-0000-0000936D0000}"/>
    <cellStyle name="Normal 2 3 3 4 9" xfId="28081" xr:uid="{00000000-0005-0000-0000-0000946D0000}"/>
    <cellStyle name="Normal 2 3 3 5" xfId="28082" xr:uid="{00000000-0005-0000-0000-0000956D0000}"/>
    <cellStyle name="Normal 2 3 3 5 10" xfId="28083" xr:uid="{00000000-0005-0000-0000-0000966D0000}"/>
    <cellStyle name="Normal 2 3 3 5 2" xfId="28084" xr:uid="{00000000-0005-0000-0000-0000976D0000}"/>
    <cellStyle name="Normal 2 3 3 5 3" xfId="28085" xr:uid="{00000000-0005-0000-0000-0000986D0000}"/>
    <cellStyle name="Normal 2 3 3 5 4" xfId="28086" xr:uid="{00000000-0005-0000-0000-0000996D0000}"/>
    <cellStyle name="Normal 2 3 3 5 5" xfId="28087" xr:uid="{00000000-0005-0000-0000-00009A6D0000}"/>
    <cellStyle name="Normal 2 3 3 5 6" xfId="28088" xr:uid="{00000000-0005-0000-0000-00009B6D0000}"/>
    <cellStyle name="Normal 2 3 3 5 7" xfId="28089" xr:uid="{00000000-0005-0000-0000-00009C6D0000}"/>
    <cellStyle name="Normal 2 3 3 5 8" xfId="28090" xr:uid="{00000000-0005-0000-0000-00009D6D0000}"/>
    <cellStyle name="Normal 2 3 3 5 9" xfId="28091" xr:uid="{00000000-0005-0000-0000-00009E6D0000}"/>
    <cellStyle name="Normal 2 3 3 6" xfId="28092" xr:uid="{00000000-0005-0000-0000-00009F6D0000}"/>
    <cellStyle name="Normal 2 3 3 7" xfId="28093" xr:uid="{00000000-0005-0000-0000-0000A06D0000}"/>
    <cellStyle name="Normal 2 3 3 8" xfId="28094" xr:uid="{00000000-0005-0000-0000-0000A16D0000}"/>
    <cellStyle name="Normal 2 3 3 9" xfId="28095" xr:uid="{00000000-0005-0000-0000-0000A26D0000}"/>
    <cellStyle name="Normal 2 3 30" xfId="28096" xr:uid="{00000000-0005-0000-0000-0000A36D0000}"/>
    <cellStyle name="Normal 2 3 30 10" xfId="28097" xr:uid="{00000000-0005-0000-0000-0000A46D0000}"/>
    <cellStyle name="Normal 2 3 30 11" xfId="28098" xr:uid="{00000000-0005-0000-0000-0000A56D0000}"/>
    <cellStyle name="Normal 2 3 30 12" xfId="28099" xr:uid="{00000000-0005-0000-0000-0000A66D0000}"/>
    <cellStyle name="Normal 2 3 30 13" xfId="28100" xr:uid="{00000000-0005-0000-0000-0000A76D0000}"/>
    <cellStyle name="Normal 2 3 30 14" xfId="28101" xr:uid="{00000000-0005-0000-0000-0000A86D0000}"/>
    <cellStyle name="Normal 2 3 30 2" xfId="28102" xr:uid="{00000000-0005-0000-0000-0000A96D0000}"/>
    <cellStyle name="Normal 2 3 30 2 10" xfId="28103" xr:uid="{00000000-0005-0000-0000-0000AA6D0000}"/>
    <cellStyle name="Normal 2 3 30 2 2" xfId="28104" xr:uid="{00000000-0005-0000-0000-0000AB6D0000}"/>
    <cellStyle name="Normal 2 3 30 2 3" xfId="28105" xr:uid="{00000000-0005-0000-0000-0000AC6D0000}"/>
    <cellStyle name="Normal 2 3 30 2 4" xfId="28106" xr:uid="{00000000-0005-0000-0000-0000AD6D0000}"/>
    <cellStyle name="Normal 2 3 30 2 5" xfId="28107" xr:uid="{00000000-0005-0000-0000-0000AE6D0000}"/>
    <cellStyle name="Normal 2 3 30 2 6" xfId="28108" xr:uid="{00000000-0005-0000-0000-0000AF6D0000}"/>
    <cellStyle name="Normal 2 3 30 2 7" xfId="28109" xr:uid="{00000000-0005-0000-0000-0000B06D0000}"/>
    <cellStyle name="Normal 2 3 30 2 8" xfId="28110" xr:uid="{00000000-0005-0000-0000-0000B16D0000}"/>
    <cellStyle name="Normal 2 3 30 2 9" xfId="28111" xr:uid="{00000000-0005-0000-0000-0000B26D0000}"/>
    <cellStyle name="Normal 2 3 30 3" xfId="28112" xr:uid="{00000000-0005-0000-0000-0000B36D0000}"/>
    <cellStyle name="Normal 2 3 30 3 10" xfId="28113" xr:uid="{00000000-0005-0000-0000-0000B46D0000}"/>
    <cellStyle name="Normal 2 3 30 3 2" xfId="28114" xr:uid="{00000000-0005-0000-0000-0000B56D0000}"/>
    <cellStyle name="Normal 2 3 30 3 3" xfId="28115" xr:uid="{00000000-0005-0000-0000-0000B66D0000}"/>
    <cellStyle name="Normal 2 3 30 3 4" xfId="28116" xr:uid="{00000000-0005-0000-0000-0000B76D0000}"/>
    <cellStyle name="Normal 2 3 30 3 5" xfId="28117" xr:uid="{00000000-0005-0000-0000-0000B86D0000}"/>
    <cellStyle name="Normal 2 3 30 3 6" xfId="28118" xr:uid="{00000000-0005-0000-0000-0000B96D0000}"/>
    <cellStyle name="Normal 2 3 30 3 7" xfId="28119" xr:uid="{00000000-0005-0000-0000-0000BA6D0000}"/>
    <cellStyle name="Normal 2 3 30 3 8" xfId="28120" xr:uid="{00000000-0005-0000-0000-0000BB6D0000}"/>
    <cellStyle name="Normal 2 3 30 3 9" xfId="28121" xr:uid="{00000000-0005-0000-0000-0000BC6D0000}"/>
    <cellStyle name="Normal 2 3 30 4" xfId="28122" xr:uid="{00000000-0005-0000-0000-0000BD6D0000}"/>
    <cellStyle name="Normal 2 3 30 4 10" xfId="28123" xr:uid="{00000000-0005-0000-0000-0000BE6D0000}"/>
    <cellStyle name="Normal 2 3 30 4 2" xfId="28124" xr:uid="{00000000-0005-0000-0000-0000BF6D0000}"/>
    <cellStyle name="Normal 2 3 30 4 3" xfId="28125" xr:uid="{00000000-0005-0000-0000-0000C06D0000}"/>
    <cellStyle name="Normal 2 3 30 4 4" xfId="28126" xr:uid="{00000000-0005-0000-0000-0000C16D0000}"/>
    <cellStyle name="Normal 2 3 30 4 5" xfId="28127" xr:uid="{00000000-0005-0000-0000-0000C26D0000}"/>
    <cellStyle name="Normal 2 3 30 4 6" xfId="28128" xr:uid="{00000000-0005-0000-0000-0000C36D0000}"/>
    <cellStyle name="Normal 2 3 30 4 7" xfId="28129" xr:uid="{00000000-0005-0000-0000-0000C46D0000}"/>
    <cellStyle name="Normal 2 3 30 4 8" xfId="28130" xr:uid="{00000000-0005-0000-0000-0000C56D0000}"/>
    <cellStyle name="Normal 2 3 30 4 9" xfId="28131" xr:uid="{00000000-0005-0000-0000-0000C66D0000}"/>
    <cellStyle name="Normal 2 3 30 5" xfId="28132" xr:uid="{00000000-0005-0000-0000-0000C76D0000}"/>
    <cellStyle name="Normal 2 3 30 5 10" xfId="28133" xr:uid="{00000000-0005-0000-0000-0000C86D0000}"/>
    <cellStyle name="Normal 2 3 30 5 2" xfId="28134" xr:uid="{00000000-0005-0000-0000-0000C96D0000}"/>
    <cellStyle name="Normal 2 3 30 5 3" xfId="28135" xr:uid="{00000000-0005-0000-0000-0000CA6D0000}"/>
    <cellStyle name="Normal 2 3 30 5 4" xfId="28136" xr:uid="{00000000-0005-0000-0000-0000CB6D0000}"/>
    <cellStyle name="Normal 2 3 30 5 5" xfId="28137" xr:uid="{00000000-0005-0000-0000-0000CC6D0000}"/>
    <cellStyle name="Normal 2 3 30 5 6" xfId="28138" xr:uid="{00000000-0005-0000-0000-0000CD6D0000}"/>
    <cellStyle name="Normal 2 3 30 5 7" xfId="28139" xr:uid="{00000000-0005-0000-0000-0000CE6D0000}"/>
    <cellStyle name="Normal 2 3 30 5 8" xfId="28140" xr:uid="{00000000-0005-0000-0000-0000CF6D0000}"/>
    <cellStyle name="Normal 2 3 30 5 9" xfId="28141" xr:uid="{00000000-0005-0000-0000-0000D06D0000}"/>
    <cellStyle name="Normal 2 3 30 6" xfId="28142" xr:uid="{00000000-0005-0000-0000-0000D16D0000}"/>
    <cellStyle name="Normal 2 3 30 7" xfId="28143" xr:uid="{00000000-0005-0000-0000-0000D26D0000}"/>
    <cellStyle name="Normal 2 3 30 8" xfId="28144" xr:uid="{00000000-0005-0000-0000-0000D36D0000}"/>
    <cellStyle name="Normal 2 3 30 9" xfId="28145" xr:uid="{00000000-0005-0000-0000-0000D46D0000}"/>
    <cellStyle name="Normal 2 3 31" xfId="28146" xr:uid="{00000000-0005-0000-0000-0000D56D0000}"/>
    <cellStyle name="Normal 2 3 31 10" xfId="28147" xr:uid="{00000000-0005-0000-0000-0000D66D0000}"/>
    <cellStyle name="Normal 2 3 31 11" xfId="28148" xr:uid="{00000000-0005-0000-0000-0000D76D0000}"/>
    <cellStyle name="Normal 2 3 31 12" xfId="28149" xr:uid="{00000000-0005-0000-0000-0000D86D0000}"/>
    <cellStyle name="Normal 2 3 31 13" xfId="28150" xr:uid="{00000000-0005-0000-0000-0000D96D0000}"/>
    <cellStyle name="Normal 2 3 31 14" xfId="28151" xr:uid="{00000000-0005-0000-0000-0000DA6D0000}"/>
    <cellStyle name="Normal 2 3 31 2" xfId="28152" xr:uid="{00000000-0005-0000-0000-0000DB6D0000}"/>
    <cellStyle name="Normal 2 3 31 2 10" xfId="28153" xr:uid="{00000000-0005-0000-0000-0000DC6D0000}"/>
    <cellStyle name="Normal 2 3 31 2 2" xfId="28154" xr:uid="{00000000-0005-0000-0000-0000DD6D0000}"/>
    <cellStyle name="Normal 2 3 31 2 3" xfId="28155" xr:uid="{00000000-0005-0000-0000-0000DE6D0000}"/>
    <cellStyle name="Normal 2 3 31 2 4" xfId="28156" xr:uid="{00000000-0005-0000-0000-0000DF6D0000}"/>
    <cellStyle name="Normal 2 3 31 2 5" xfId="28157" xr:uid="{00000000-0005-0000-0000-0000E06D0000}"/>
    <cellStyle name="Normal 2 3 31 2 6" xfId="28158" xr:uid="{00000000-0005-0000-0000-0000E16D0000}"/>
    <cellStyle name="Normal 2 3 31 2 7" xfId="28159" xr:uid="{00000000-0005-0000-0000-0000E26D0000}"/>
    <cellStyle name="Normal 2 3 31 2 8" xfId="28160" xr:uid="{00000000-0005-0000-0000-0000E36D0000}"/>
    <cellStyle name="Normal 2 3 31 2 9" xfId="28161" xr:uid="{00000000-0005-0000-0000-0000E46D0000}"/>
    <cellStyle name="Normal 2 3 31 3" xfId="28162" xr:uid="{00000000-0005-0000-0000-0000E56D0000}"/>
    <cellStyle name="Normal 2 3 31 3 10" xfId="28163" xr:uid="{00000000-0005-0000-0000-0000E66D0000}"/>
    <cellStyle name="Normal 2 3 31 3 2" xfId="28164" xr:uid="{00000000-0005-0000-0000-0000E76D0000}"/>
    <cellStyle name="Normal 2 3 31 3 3" xfId="28165" xr:uid="{00000000-0005-0000-0000-0000E86D0000}"/>
    <cellStyle name="Normal 2 3 31 3 4" xfId="28166" xr:uid="{00000000-0005-0000-0000-0000E96D0000}"/>
    <cellStyle name="Normal 2 3 31 3 5" xfId="28167" xr:uid="{00000000-0005-0000-0000-0000EA6D0000}"/>
    <cellStyle name="Normal 2 3 31 3 6" xfId="28168" xr:uid="{00000000-0005-0000-0000-0000EB6D0000}"/>
    <cellStyle name="Normal 2 3 31 3 7" xfId="28169" xr:uid="{00000000-0005-0000-0000-0000EC6D0000}"/>
    <cellStyle name="Normal 2 3 31 3 8" xfId="28170" xr:uid="{00000000-0005-0000-0000-0000ED6D0000}"/>
    <cellStyle name="Normal 2 3 31 3 9" xfId="28171" xr:uid="{00000000-0005-0000-0000-0000EE6D0000}"/>
    <cellStyle name="Normal 2 3 31 4" xfId="28172" xr:uid="{00000000-0005-0000-0000-0000EF6D0000}"/>
    <cellStyle name="Normal 2 3 31 4 10" xfId="28173" xr:uid="{00000000-0005-0000-0000-0000F06D0000}"/>
    <cellStyle name="Normal 2 3 31 4 2" xfId="28174" xr:uid="{00000000-0005-0000-0000-0000F16D0000}"/>
    <cellStyle name="Normal 2 3 31 4 3" xfId="28175" xr:uid="{00000000-0005-0000-0000-0000F26D0000}"/>
    <cellStyle name="Normal 2 3 31 4 4" xfId="28176" xr:uid="{00000000-0005-0000-0000-0000F36D0000}"/>
    <cellStyle name="Normal 2 3 31 4 5" xfId="28177" xr:uid="{00000000-0005-0000-0000-0000F46D0000}"/>
    <cellStyle name="Normal 2 3 31 4 6" xfId="28178" xr:uid="{00000000-0005-0000-0000-0000F56D0000}"/>
    <cellStyle name="Normal 2 3 31 4 7" xfId="28179" xr:uid="{00000000-0005-0000-0000-0000F66D0000}"/>
    <cellStyle name="Normal 2 3 31 4 8" xfId="28180" xr:uid="{00000000-0005-0000-0000-0000F76D0000}"/>
    <cellStyle name="Normal 2 3 31 4 9" xfId="28181" xr:uid="{00000000-0005-0000-0000-0000F86D0000}"/>
    <cellStyle name="Normal 2 3 31 5" xfId="28182" xr:uid="{00000000-0005-0000-0000-0000F96D0000}"/>
    <cellStyle name="Normal 2 3 31 5 10" xfId="28183" xr:uid="{00000000-0005-0000-0000-0000FA6D0000}"/>
    <cellStyle name="Normal 2 3 31 5 2" xfId="28184" xr:uid="{00000000-0005-0000-0000-0000FB6D0000}"/>
    <cellStyle name="Normal 2 3 31 5 3" xfId="28185" xr:uid="{00000000-0005-0000-0000-0000FC6D0000}"/>
    <cellStyle name="Normal 2 3 31 5 4" xfId="28186" xr:uid="{00000000-0005-0000-0000-0000FD6D0000}"/>
    <cellStyle name="Normal 2 3 31 5 5" xfId="28187" xr:uid="{00000000-0005-0000-0000-0000FE6D0000}"/>
    <cellStyle name="Normal 2 3 31 5 6" xfId="28188" xr:uid="{00000000-0005-0000-0000-0000FF6D0000}"/>
    <cellStyle name="Normal 2 3 31 5 7" xfId="28189" xr:uid="{00000000-0005-0000-0000-0000006E0000}"/>
    <cellStyle name="Normal 2 3 31 5 8" xfId="28190" xr:uid="{00000000-0005-0000-0000-0000016E0000}"/>
    <cellStyle name="Normal 2 3 31 5 9" xfId="28191" xr:uid="{00000000-0005-0000-0000-0000026E0000}"/>
    <cellStyle name="Normal 2 3 31 6" xfId="28192" xr:uid="{00000000-0005-0000-0000-0000036E0000}"/>
    <cellStyle name="Normal 2 3 31 7" xfId="28193" xr:uid="{00000000-0005-0000-0000-0000046E0000}"/>
    <cellStyle name="Normal 2 3 31 8" xfId="28194" xr:uid="{00000000-0005-0000-0000-0000056E0000}"/>
    <cellStyle name="Normal 2 3 31 9" xfId="28195" xr:uid="{00000000-0005-0000-0000-0000066E0000}"/>
    <cellStyle name="Normal 2 3 32" xfId="28196" xr:uid="{00000000-0005-0000-0000-0000076E0000}"/>
    <cellStyle name="Normal 2 3 32 10" xfId="28197" xr:uid="{00000000-0005-0000-0000-0000086E0000}"/>
    <cellStyle name="Normal 2 3 32 11" xfId="28198" xr:uid="{00000000-0005-0000-0000-0000096E0000}"/>
    <cellStyle name="Normal 2 3 32 12" xfId="28199" xr:uid="{00000000-0005-0000-0000-00000A6E0000}"/>
    <cellStyle name="Normal 2 3 32 13" xfId="28200" xr:uid="{00000000-0005-0000-0000-00000B6E0000}"/>
    <cellStyle name="Normal 2 3 32 14" xfId="28201" xr:uid="{00000000-0005-0000-0000-00000C6E0000}"/>
    <cellStyle name="Normal 2 3 32 2" xfId="28202" xr:uid="{00000000-0005-0000-0000-00000D6E0000}"/>
    <cellStyle name="Normal 2 3 32 2 10" xfId="28203" xr:uid="{00000000-0005-0000-0000-00000E6E0000}"/>
    <cellStyle name="Normal 2 3 32 2 2" xfId="28204" xr:uid="{00000000-0005-0000-0000-00000F6E0000}"/>
    <cellStyle name="Normal 2 3 32 2 3" xfId="28205" xr:uid="{00000000-0005-0000-0000-0000106E0000}"/>
    <cellStyle name="Normal 2 3 32 2 4" xfId="28206" xr:uid="{00000000-0005-0000-0000-0000116E0000}"/>
    <cellStyle name="Normal 2 3 32 2 5" xfId="28207" xr:uid="{00000000-0005-0000-0000-0000126E0000}"/>
    <cellStyle name="Normal 2 3 32 2 6" xfId="28208" xr:uid="{00000000-0005-0000-0000-0000136E0000}"/>
    <cellStyle name="Normal 2 3 32 2 7" xfId="28209" xr:uid="{00000000-0005-0000-0000-0000146E0000}"/>
    <cellStyle name="Normal 2 3 32 2 8" xfId="28210" xr:uid="{00000000-0005-0000-0000-0000156E0000}"/>
    <cellStyle name="Normal 2 3 32 2 9" xfId="28211" xr:uid="{00000000-0005-0000-0000-0000166E0000}"/>
    <cellStyle name="Normal 2 3 32 3" xfId="28212" xr:uid="{00000000-0005-0000-0000-0000176E0000}"/>
    <cellStyle name="Normal 2 3 32 3 10" xfId="28213" xr:uid="{00000000-0005-0000-0000-0000186E0000}"/>
    <cellStyle name="Normal 2 3 32 3 2" xfId="28214" xr:uid="{00000000-0005-0000-0000-0000196E0000}"/>
    <cellStyle name="Normal 2 3 32 3 3" xfId="28215" xr:uid="{00000000-0005-0000-0000-00001A6E0000}"/>
    <cellStyle name="Normal 2 3 32 3 4" xfId="28216" xr:uid="{00000000-0005-0000-0000-00001B6E0000}"/>
    <cellStyle name="Normal 2 3 32 3 5" xfId="28217" xr:uid="{00000000-0005-0000-0000-00001C6E0000}"/>
    <cellStyle name="Normal 2 3 32 3 6" xfId="28218" xr:uid="{00000000-0005-0000-0000-00001D6E0000}"/>
    <cellStyle name="Normal 2 3 32 3 7" xfId="28219" xr:uid="{00000000-0005-0000-0000-00001E6E0000}"/>
    <cellStyle name="Normal 2 3 32 3 8" xfId="28220" xr:uid="{00000000-0005-0000-0000-00001F6E0000}"/>
    <cellStyle name="Normal 2 3 32 3 9" xfId="28221" xr:uid="{00000000-0005-0000-0000-0000206E0000}"/>
    <cellStyle name="Normal 2 3 32 4" xfId="28222" xr:uid="{00000000-0005-0000-0000-0000216E0000}"/>
    <cellStyle name="Normal 2 3 32 4 10" xfId="28223" xr:uid="{00000000-0005-0000-0000-0000226E0000}"/>
    <cellStyle name="Normal 2 3 32 4 2" xfId="28224" xr:uid="{00000000-0005-0000-0000-0000236E0000}"/>
    <cellStyle name="Normal 2 3 32 4 3" xfId="28225" xr:uid="{00000000-0005-0000-0000-0000246E0000}"/>
    <cellStyle name="Normal 2 3 32 4 4" xfId="28226" xr:uid="{00000000-0005-0000-0000-0000256E0000}"/>
    <cellStyle name="Normal 2 3 32 4 5" xfId="28227" xr:uid="{00000000-0005-0000-0000-0000266E0000}"/>
    <cellStyle name="Normal 2 3 32 4 6" xfId="28228" xr:uid="{00000000-0005-0000-0000-0000276E0000}"/>
    <cellStyle name="Normal 2 3 32 4 7" xfId="28229" xr:uid="{00000000-0005-0000-0000-0000286E0000}"/>
    <cellStyle name="Normal 2 3 32 4 8" xfId="28230" xr:uid="{00000000-0005-0000-0000-0000296E0000}"/>
    <cellStyle name="Normal 2 3 32 4 9" xfId="28231" xr:uid="{00000000-0005-0000-0000-00002A6E0000}"/>
    <cellStyle name="Normal 2 3 32 5" xfId="28232" xr:uid="{00000000-0005-0000-0000-00002B6E0000}"/>
    <cellStyle name="Normal 2 3 32 5 10" xfId="28233" xr:uid="{00000000-0005-0000-0000-00002C6E0000}"/>
    <cellStyle name="Normal 2 3 32 5 2" xfId="28234" xr:uid="{00000000-0005-0000-0000-00002D6E0000}"/>
    <cellStyle name="Normal 2 3 32 5 3" xfId="28235" xr:uid="{00000000-0005-0000-0000-00002E6E0000}"/>
    <cellStyle name="Normal 2 3 32 5 4" xfId="28236" xr:uid="{00000000-0005-0000-0000-00002F6E0000}"/>
    <cellStyle name="Normal 2 3 32 5 5" xfId="28237" xr:uid="{00000000-0005-0000-0000-0000306E0000}"/>
    <cellStyle name="Normal 2 3 32 5 6" xfId="28238" xr:uid="{00000000-0005-0000-0000-0000316E0000}"/>
    <cellStyle name="Normal 2 3 32 5 7" xfId="28239" xr:uid="{00000000-0005-0000-0000-0000326E0000}"/>
    <cellStyle name="Normal 2 3 32 5 8" xfId="28240" xr:uid="{00000000-0005-0000-0000-0000336E0000}"/>
    <cellStyle name="Normal 2 3 32 5 9" xfId="28241" xr:uid="{00000000-0005-0000-0000-0000346E0000}"/>
    <cellStyle name="Normal 2 3 32 6" xfId="28242" xr:uid="{00000000-0005-0000-0000-0000356E0000}"/>
    <cellStyle name="Normal 2 3 32 7" xfId="28243" xr:uid="{00000000-0005-0000-0000-0000366E0000}"/>
    <cellStyle name="Normal 2 3 32 8" xfId="28244" xr:uid="{00000000-0005-0000-0000-0000376E0000}"/>
    <cellStyle name="Normal 2 3 32 9" xfId="28245" xr:uid="{00000000-0005-0000-0000-0000386E0000}"/>
    <cellStyle name="Normal 2 3 33" xfId="28246" xr:uid="{00000000-0005-0000-0000-0000396E0000}"/>
    <cellStyle name="Normal 2 3 33 10" xfId="28247" xr:uid="{00000000-0005-0000-0000-00003A6E0000}"/>
    <cellStyle name="Normal 2 3 33 11" xfId="28248" xr:uid="{00000000-0005-0000-0000-00003B6E0000}"/>
    <cellStyle name="Normal 2 3 33 12" xfId="28249" xr:uid="{00000000-0005-0000-0000-00003C6E0000}"/>
    <cellStyle name="Normal 2 3 33 13" xfId="28250" xr:uid="{00000000-0005-0000-0000-00003D6E0000}"/>
    <cellStyle name="Normal 2 3 33 14" xfId="28251" xr:uid="{00000000-0005-0000-0000-00003E6E0000}"/>
    <cellStyle name="Normal 2 3 33 2" xfId="28252" xr:uid="{00000000-0005-0000-0000-00003F6E0000}"/>
    <cellStyle name="Normal 2 3 33 2 10" xfId="28253" xr:uid="{00000000-0005-0000-0000-0000406E0000}"/>
    <cellStyle name="Normal 2 3 33 2 2" xfId="28254" xr:uid="{00000000-0005-0000-0000-0000416E0000}"/>
    <cellStyle name="Normal 2 3 33 2 3" xfId="28255" xr:uid="{00000000-0005-0000-0000-0000426E0000}"/>
    <cellStyle name="Normal 2 3 33 2 4" xfId="28256" xr:uid="{00000000-0005-0000-0000-0000436E0000}"/>
    <cellStyle name="Normal 2 3 33 2 5" xfId="28257" xr:uid="{00000000-0005-0000-0000-0000446E0000}"/>
    <cellStyle name="Normal 2 3 33 2 6" xfId="28258" xr:uid="{00000000-0005-0000-0000-0000456E0000}"/>
    <cellStyle name="Normal 2 3 33 2 7" xfId="28259" xr:uid="{00000000-0005-0000-0000-0000466E0000}"/>
    <cellStyle name="Normal 2 3 33 2 8" xfId="28260" xr:uid="{00000000-0005-0000-0000-0000476E0000}"/>
    <cellStyle name="Normal 2 3 33 2 9" xfId="28261" xr:uid="{00000000-0005-0000-0000-0000486E0000}"/>
    <cellStyle name="Normal 2 3 33 3" xfId="28262" xr:uid="{00000000-0005-0000-0000-0000496E0000}"/>
    <cellStyle name="Normal 2 3 33 3 10" xfId="28263" xr:uid="{00000000-0005-0000-0000-00004A6E0000}"/>
    <cellStyle name="Normal 2 3 33 3 2" xfId="28264" xr:uid="{00000000-0005-0000-0000-00004B6E0000}"/>
    <cellStyle name="Normal 2 3 33 3 3" xfId="28265" xr:uid="{00000000-0005-0000-0000-00004C6E0000}"/>
    <cellStyle name="Normal 2 3 33 3 4" xfId="28266" xr:uid="{00000000-0005-0000-0000-00004D6E0000}"/>
    <cellStyle name="Normal 2 3 33 3 5" xfId="28267" xr:uid="{00000000-0005-0000-0000-00004E6E0000}"/>
    <cellStyle name="Normal 2 3 33 3 6" xfId="28268" xr:uid="{00000000-0005-0000-0000-00004F6E0000}"/>
    <cellStyle name="Normal 2 3 33 3 7" xfId="28269" xr:uid="{00000000-0005-0000-0000-0000506E0000}"/>
    <cellStyle name="Normal 2 3 33 3 8" xfId="28270" xr:uid="{00000000-0005-0000-0000-0000516E0000}"/>
    <cellStyle name="Normal 2 3 33 3 9" xfId="28271" xr:uid="{00000000-0005-0000-0000-0000526E0000}"/>
    <cellStyle name="Normal 2 3 33 4" xfId="28272" xr:uid="{00000000-0005-0000-0000-0000536E0000}"/>
    <cellStyle name="Normal 2 3 33 4 10" xfId="28273" xr:uid="{00000000-0005-0000-0000-0000546E0000}"/>
    <cellStyle name="Normal 2 3 33 4 2" xfId="28274" xr:uid="{00000000-0005-0000-0000-0000556E0000}"/>
    <cellStyle name="Normal 2 3 33 4 3" xfId="28275" xr:uid="{00000000-0005-0000-0000-0000566E0000}"/>
    <cellStyle name="Normal 2 3 33 4 4" xfId="28276" xr:uid="{00000000-0005-0000-0000-0000576E0000}"/>
    <cellStyle name="Normal 2 3 33 4 5" xfId="28277" xr:uid="{00000000-0005-0000-0000-0000586E0000}"/>
    <cellStyle name="Normal 2 3 33 4 6" xfId="28278" xr:uid="{00000000-0005-0000-0000-0000596E0000}"/>
    <cellStyle name="Normal 2 3 33 4 7" xfId="28279" xr:uid="{00000000-0005-0000-0000-00005A6E0000}"/>
    <cellStyle name="Normal 2 3 33 4 8" xfId="28280" xr:uid="{00000000-0005-0000-0000-00005B6E0000}"/>
    <cellStyle name="Normal 2 3 33 4 9" xfId="28281" xr:uid="{00000000-0005-0000-0000-00005C6E0000}"/>
    <cellStyle name="Normal 2 3 33 5" xfId="28282" xr:uid="{00000000-0005-0000-0000-00005D6E0000}"/>
    <cellStyle name="Normal 2 3 33 5 10" xfId="28283" xr:uid="{00000000-0005-0000-0000-00005E6E0000}"/>
    <cellStyle name="Normal 2 3 33 5 2" xfId="28284" xr:uid="{00000000-0005-0000-0000-00005F6E0000}"/>
    <cellStyle name="Normal 2 3 33 5 3" xfId="28285" xr:uid="{00000000-0005-0000-0000-0000606E0000}"/>
    <cellStyle name="Normal 2 3 33 5 4" xfId="28286" xr:uid="{00000000-0005-0000-0000-0000616E0000}"/>
    <cellStyle name="Normal 2 3 33 5 5" xfId="28287" xr:uid="{00000000-0005-0000-0000-0000626E0000}"/>
    <cellStyle name="Normal 2 3 33 5 6" xfId="28288" xr:uid="{00000000-0005-0000-0000-0000636E0000}"/>
    <cellStyle name="Normal 2 3 33 5 7" xfId="28289" xr:uid="{00000000-0005-0000-0000-0000646E0000}"/>
    <cellStyle name="Normal 2 3 33 5 8" xfId="28290" xr:uid="{00000000-0005-0000-0000-0000656E0000}"/>
    <cellStyle name="Normal 2 3 33 5 9" xfId="28291" xr:uid="{00000000-0005-0000-0000-0000666E0000}"/>
    <cellStyle name="Normal 2 3 33 6" xfId="28292" xr:uid="{00000000-0005-0000-0000-0000676E0000}"/>
    <cellStyle name="Normal 2 3 33 7" xfId="28293" xr:uid="{00000000-0005-0000-0000-0000686E0000}"/>
    <cellStyle name="Normal 2 3 33 8" xfId="28294" xr:uid="{00000000-0005-0000-0000-0000696E0000}"/>
    <cellStyle name="Normal 2 3 33 9" xfId="28295" xr:uid="{00000000-0005-0000-0000-00006A6E0000}"/>
    <cellStyle name="Normal 2 3 34" xfId="28296" xr:uid="{00000000-0005-0000-0000-00006B6E0000}"/>
    <cellStyle name="Normal 2 3 34 10" xfId="28297" xr:uid="{00000000-0005-0000-0000-00006C6E0000}"/>
    <cellStyle name="Normal 2 3 34 11" xfId="28298" xr:uid="{00000000-0005-0000-0000-00006D6E0000}"/>
    <cellStyle name="Normal 2 3 34 12" xfId="28299" xr:uid="{00000000-0005-0000-0000-00006E6E0000}"/>
    <cellStyle name="Normal 2 3 34 13" xfId="28300" xr:uid="{00000000-0005-0000-0000-00006F6E0000}"/>
    <cellStyle name="Normal 2 3 34 14" xfId="28301" xr:uid="{00000000-0005-0000-0000-0000706E0000}"/>
    <cellStyle name="Normal 2 3 34 2" xfId="28302" xr:uid="{00000000-0005-0000-0000-0000716E0000}"/>
    <cellStyle name="Normal 2 3 34 2 10" xfId="28303" xr:uid="{00000000-0005-0000-0000-0000726E0000}"/>
    <cellStyle name="Normal 2 3 34 2 2" xfId="28304" xr:uid="{00000000-0005-0000-0000-0000736E0000}"/>
    <cellStyle name="Normal 2 3 34 2 3" xfId="28305" xr:uid="{00000000-0005-0000-0000-0000746E0000}"/>
    <cellStyle name="Normal 2 3 34 2 4" xfId="28306" xr:uid="{00000000-0005-0000-0000-0000756E0000}"/>
    <cellStyle name="Normal 2 3 34 2 5" xfId="28307" xr:uid="{00000000-0005-0000-0000-0000766E0000}"/>
    <cellStyle name="Normal 2 3 34 2 6" xfId="28308" xr:uid="{00000000-0005-0000-0000-0000776E0000}"/>
    <cellStyle name="Normal 2 3 34 2 7" xfId="28309" xr:uid="{00000000-0005-0000-0000-0000786E0000}"/>
    <cellStyle name="Normal 2 3 34 2 8" xfId="28310" xr:uid="{00000000-0005-0000-0000-0000796E0000}"/>
    <cellStyle name="Normal 2 3 34 2 9" xfId="28311" xr:uid="{00000000-0005-0000-0000-00007A6E0000}"/>
    <cellStyle name="Normal 2 3 34 3" xfId="28312" xr:uid="{00000000-0005-0000-0000-00007B6E0000}"/>
    <cellStyle name="Normal 2 3 34 3 10" xfId="28313" xr:uid="{00000000-0005-0000-0000-00007C6E0000}"/>
    <cellStyle name="Normal 2 3 34 3 2" xfId="28314" xr:uid="{00000000-0005-0000-0000-00007D6E0000}"/>
    <cellStyle name="Normal 2 3 34 3 3" xfId="28315" xr:uid="{00000000-0005-0000-0000-00007E6E0000}"/>
    <cellStyle name="Normal 2 3 34 3 4" xfId="28316" xr:uid="{00000000-0005-0000-0000-00007F6E0000}"/>
    <cellStyle name="Normal 2 3 34 3 5" xfId="28317" xr:uid="{00000000-0005-0000-0000-0000806E0000}"/>
    <cellStyle name="Normal 2 3 34 3 6" xfId="28318" xr:uid="{00000000-0005-0000-0000-0000816E0000}"/>
    <cellStyle name="Normal 2 3 34 3 7" xfId="28319" xr:uid="{00000000-0005-0000-0000-0000826E0000}"/>
    <cellStyle name="Normal 2 3 34 3 8" xfId="28320" xr:uid="{00000000-0005-0000-0000-0000836E0000}"/>
    <cellStyle name="Normal 2 3 34 3 9" xfId="28321" xr:uid="{00000000-0005-0000-0000-0000846E0000}"/>
    <cellStyle name="Normal 2 3 34 4" xfId="28322" xr:uid="{00000000-0005-0000-0000-0000856E0000}"/>
    <cellStyle name="Normal 2 3 34 4 10" xfId="28323" xr:uid="{00000000-0005-0000-0000-0000866E0000}"/>
    <cellStyle name="Normal 2 3 34 4 2" xfId="28324" xr:uid="{00000000-0005-0000-0000-0000876E0000}"/>
    <cellStyle name="Normal 2 3 34 4 3" xfId="28325" xr:uid="{00000000-0005-0000-0000-0000886E0000}"/>
    <cellStyle name="Normal 2 3 34 4 4" xfId="28326" xr:uid="{00000000-0005-0000-0000-0000896E0000}"/>
    <cellStyle name="Normal 2 3 34 4 5" xfId="28327" xr:uid="{00000000-0005-0000-0000-00008A6E0000}"/>
    <cellStyle name="Normal 2 3 34 4 6" xfId="28328" xr:uid="{00000000-0005-0000-0000-00008B6E0000}"/>
    <cellStyle name="Normal 2 3 34 4 7" xfId="28329" xr:uid="{00000000-0005-0000-0000-00008C6E0000}"/>
    <cellStyle name="Normal 2 3 34 4 8" xfId="28330" xr:uid="{00000000-0005-0000-0000-00008D6E0000}"/>
    <cellStyle name="Normal 2 3 34 4 9" xfId="28331" xr:uid="{00000000-0005-0000-0000-00008E6E0000}"/>
    <cellStyle name="Normal 2 3 34 5" xfId="28332" xr:uid="{00000000-0005-0000-0000-00008F6E0000}"/>
    <cellStyle name="Normal 2 3 34 5 10" xfId="28333" xr:uid="{00000000-0005-0000-0000-0000906E0000}"/>
    <cellStyle name="Normal 2 3 34 5 2" xfId="28334" xr:uid="{00000000-0005-0000-0000-0000916E0000}"/>
    <cellStyle name="Normal 2 3 34 5 3" xfId="28335" xr:uid="{00000000-0005-0000-0000-0000926E0000}"/>
    <cellStyle name="Normal 2 3 34 5 4" xfId="28336" xr:uid="{00000000-0005-0000-0000-0000936E0000}"/>
    <cellStyle name="Normal 2 3 34 5 5" xfId="28337" xr:uid="{00000000-0005-0000-0000-0000946E0000}"/>
    <cellStyle name="Normal 2 3 34 5 6" xfId="28338" xr:uid="{00000000-0005-0000-0000-0000956E0000}"/>
    <cellStyle name="Normal 2 3 34 5 7" xfId="28339" xr:uid="{00000000-0005-0000-0000-0000966E0000}"/>
    <cellStyle name="Normal 2 3 34 5 8" xfId="28340" xr:uid="{00000000-0005-0000-0000-0000976E0000}"/>
    <cellStyle name="Normal 2 3 34 5 9" xfId="28341" xr:uid="{00000000-0005-0000-0000-0000986E0000}"/>
    <cellStyle name="Normal 2 3 34 6" xfId="28342" xr:uid="{00000000-0005-0000-0000-0000996E0000}"/>
    <cellStyle name="Normal 2 3 34 7" xfId="28343" xr:uid="{00000000-0005-0000-0000-00009A6E0000}"/>
    <cellStyle name="Normal 2 3 34 8" xfId="28344" xr:uid="{00000000-0005-0000-0000-00009B6E0000}"/>
    <cellStyle name="Normal 2 3 34 9" xfId="28345" xr:uid="{00000000-0005-0000-0000-00009C6E0000}"/>
    <cellStyle name="Normal 2 3 35" xfId="28346" xr:uid="{00000000-0005-0000-0000-00009D6E0000}"/>
    <cellStyle name="Normal 2 3 35 10" xfId="28347" xr:uid="{00000000-0005-0000-0000-00009E6E0000}"/>
    <cellStyle name="Normal 2 3 35 2" xfId="28348" xr:uid="{00000000-0005-0000-0000-00009F6E0000}"/>
    <cellStyle name="Normal 2 3 35 3" xfId="28349" xr:uid="{00000000-0005-0000-0000-0000A06E0000}"/>
    <cellStyle name="Normal 2 3 35 4" xfId="28350" xr:uid="{00000000-0005-0000-0000-0000A16E0000}"/>
    <cellStyle name="Normal 2 3 35 5" xfId="28351" xr:uid="{00000000-0005-0000-0000-0000A26E0000}"/>
    <cellStyle name="Normal 2 3 35 6" xfId="28352" xr:uid="{00000000-0005-0000-0000-0000A36E0000}"/>
    <cellStyle name="Normal 2 3 35 7" xfId="28353" xr:uid="{00000000-0005-0000-0000-0000A46E0000}"/>
    <cellStyle name="Normal 2 3 35 8" xfId="28354" xr:uid="{00000000-0005-0000-0000-0000A56E0000}"/>
    <cellStyle name="Normal 2 3 35 9" xfId="28355" xr:uid="{00000000-0005-0000-0000-0000A66E0000}"/>
    <cellStyle name="Normal 2 3 36" xfId="28356" xr:uid="{00000000-0005-0000-0000-0000A76E0000}"/>
    <cellStyle name="Normal 2 3 36 10" xfId="28357" xr:uid="{00000000-0005-0000-0000-0000A86E0000}"/>
    <cellStyle name="Normal 2 3 36 2" xfId="28358" xr:uid="{00000000-0005-0000-0000-0000A96E0000}"/>
    <cellStyle name="Normal 2 3 36 3" xfId="28359" xr:uid="{00000000-0005-0000-0000-0000AA6E0000}"/>
    <cellStyle name="Normal 2 3 36 4" xfId="28360" xr:uid="{00000000-0005-0000-0000-0000AB6E0000}"/>
    <cellStyle name="Normal 2 3 36 5" xfId="28361" xr:uid="{00000000-0005-0000-0000-0000AC6E0000}"/>
    <cellStyle name="Normal 2 3 36 6" xfId="28362" xr:uid="{00000000-0005-0000-0000-0000AD6E0000}"/>
    <cellStyle name="Normal 2 3 36 7" xfId="28363" xr:uid="{00000000-0005-0000-0000-0000AE6E0000}"/>
    <cellStyle name="Normal 2 3 36 8" xfId="28364" xr:uid="{00000000-0005-0000-0000-0000AF6E0000}"/>
    <cellStyle name="Normal 2 3 36 9" xfId="28365" xr:uid="{00000000-0005-0000-0000-0000B06E0000}"/>
    <cellStyle name="Normal 2 3 37" xfId="28366" xr:uid="{00000000-0005-0000-0000-0000B16E0000}"/>
    <cellStyle name="Normal 2 3 37 10" xfId="28367" xr:uid="{00000000-0005-0000-0000-0000B26E0000}"/>
    <cellStyle name="Normal 2 3 37 2" xfId="28368" xr:uid="{00000000-0005-0000-0000-0000B36E0000}"/>
    <cellStyle name="Normal 2 3 37 3" xfId="28369" xr:uid="{00000000-0005-0000-0000-0000B46E0000}"/>
    <cellStyle name="Normal 2 3 37 4" xfId="28370" xr:uid="{00000000-0005-0000-0000-0000B56E0000}"/>
    <cellStyle name="Normal 2 3 37 5" xfId="28371" xr:uid="{00000000-0005-0000-0000-0000B66E0000}"/>
    <cellStyle name="Normal 2 3 37 6" xfId="28372" xr:uid="{00000000-0005-0000-0000-0000B76E0000}"/>
    <cellStyle name="Normal 2 3 37 7" xfId="28373" xr:uid="{00000000-0005-0000-0000-0000B86E0000}"/>
    <cellStyle name="Normal 2 3 37 8" xfId="28374" xr:uid="{00000000-0005-0000-0000-0000B96E0000}"/>
    <cellStyle name="Normal 2 3 37 9" xfId="28375" xr:uid="{00000000-0005-0000-0000-0000BA6E0000}"/>
    <cellStyle name="Normal 2 3 38" xfId="28376" xr:uid="{00000000-0005-0000-0000-0000BB6E0000}"/>
    <cellStyle name="Normal 2 3 38 10" xfId="28377" xr:uid="{00000000-0005-0000-0000-0000BC6E0000}"/>
    <cellStyle name="Normal 2 3 38 2" xfId="28378" xr:uid="{00000000-0005-0000-0000-0000BD6E0000}"/>
    <cellStyle name="Normal 2 3 38 3" xfId="28379" xr:uid="{00000000-0005-0000-0000-0000BE6E0000}"/>
    <cellStyle name="Normal 2 3 38 4" xfId="28380" xr:uid="{00000000-0005-0000-0000-0000BF6E0000}"/>
    <cellStyle name="Normal 2 3 38 5" xfId="28381" xr:uid="{00000000-0005-0000-0000-0000C06E0000}"/>
    <cellStyle name="Normal 2 3 38 6" xfId="28382" xr:uid="{00000000-0005-0000-0000-0000C16E0000}"/>
    <cellStyle name="Normal 2 3 38 7" xfId="28383" xr:uid="{00000000-0005-0000-0000-0000C26E0000}"/>
    <cellStyle name="Normal 2 3 38 8" xfId="28384" xr:uid="{00000000-0005-0000-0000-0000C36E0000}"/>
    <cellStyle name="Normal 2 3 38 9" xfId="28385" xr:uid="{00000000-0005-0000-0000-0000C46E0000}"/>
    <cellStyle name="Normal 2 3 39" xfId="28386" xr:uid="{00000000-0005-0000-0000-0000C56E0000}"/>
    <cellStyle name="Normal 2 3 4" xfId="28387" xr:uid="{00000000-0005-0000-0000-0000C66E0000}"/>
    <cellStyle name="Normal 2 3 4 10" xfId="28388" xr:uid="{00000000-0005-0000-0000-0000C76E0000}"/>
    <cellStyle name="Normal 2 3 4 11" xfId="28389" xr:uid="{00000000-0005-0000-0000-0000C86E0000}"/>
    <cellStyle name="Normal 2 3 4 12" xfId="28390" xr:uid="{00000000-0005-0000-0000-0000C96E0000}"/>
    <cellStyle name="Normal 2 3 4 13" xfId="28391" xr:uid="{00000000-0005-0000-0000-0000CA6E0000}"/>
    <cellStyle name="Normal 2 3 4 14" xfId="28392" xr:uid="{00000000-0005-0000-0000-0000CB6E0000}"/>
    <cellStyle name="Normal 2 3 4 15" xfId="28393" xr:uid="{00000000-0005-0000-0000-0000CC6E0000}"/>
    <cellStyle name="Normal 2 3 4 16" xfId="28394" xr:uid="{00000000-0005-0000-0000-0000CD6E0000}"/>
    <cellStyle name="Normal 2 3 4 2" xfId="28395" xr:uid="{00000000-0005-0000-0000-0000CE6E0000}"/>
    <cellStyle name="Normal 2 3 4 2 10" xfId="28396" xr:uid="{00000000-0005-0000-0000-0000CF6E0000}"/>
    <cellStyle name="Normal 2 3 4 2 2" xfId="28397" xr:uid="{00000000-0005-0000-0000-0000D06E0000}"/>
    <cellStyle name="Normal 2 3 4 2 3" xfId="28398" xr:uid="{00000000-0005-0000-0000-0000D16E0000}"/>
    <cellStyle name="Normal 2 3 4 2 4" xfId="28399" xr:uid="{00000000-0005-0000-0000-0000D26E0000}"/>
    <cellStyle name="Normal 2 3 4 2 5" xfId="28400" xr:uid="{00000000-0005-0000-0000-0000D36E0000}"/>
    <cellStyle name="Normal 2 3 4 2 6" xfId="28401" xr:uid="{00000000-0005-0000-0000-0000D46E0000}"/>
    <cellStyle name="Normal 2 3 4 2 7" xfId="28402" xr:uid="{00000000-0005-0000-0000-0000D56E0000}"/>
    <cellStyle name="Normal 2 3 4 2 8" xfId="28403" xr:uid="{00000000-0005-0000-0000-0000D66E0000}"/>
    <cellStyle name="Normal 2 3 4 2 9" xfId="28404" xr:uid="{00000000-0005-0000-0000-0000D76E0000}"/>
    <cellStyle name="Normal 2 3 4 3" xfId="28405" xr:uid="{00000000-0005-0000-0000-0000D86E0000}"/>
    <cellStyle name="Normal 2 3 4 3 10" xfId="28406" xr:uid="{00000000-0005-0000-0000-0000D96E0000}"/>
    <cellStyle name="Normal 2 3 4 3 2" xfId="28407" xr:uid="{00000000-0005-0000-0000-0000DA6E0000}"/>
    <cellStyle name="Normal 2 3 4 3 3" xfId="28408" xr:uid="{00000000-0005-0000-0000-0000DB6E0000}"/>
    <cellStyle name="Normal 2 3 4 3 4" xfId="28409" xr:uid="{00000000-0005-0000-0000-0000DC6E0000}"/>
    <cellStyle name="Normal 2 3 4 3 5" xfId="28410" xr:uid="{00000000-0005-0000-0000-0000DD6E0000}"/>
    <cellStyle name="Normal 2 3 4 3 6" xfId="28411" xr:uid="{00000000-0005-0000-0000-0000DE6E0000}"/>
    <cellStyle name="Normal 2 3 4 3 7" xfId="28412" xr:uid="{00000000-0005-0000-0000-0000DF6E0000}"/>
    <cellStyle name="Normal 2 3 4 3 8" xfId="28413" xr:uid="{00000000-0005-0000-0000-0000E06E0000}"/>
    <cellStyle name="Normal 2 3 4 3 9" xfId="28414" xr:uid="{00000000-0005-0000-0000-0000E16E0000}"/>
    <cellStyle name="Normal 2 3 4 4" xfId="28415" xr:uid="{00000000-0005-0000-0000-0000E26E0000}"/>
    <cellStyle name="Normal 2 3 4 4 10" xfId="28416" xr:uid="{00000000-0005-0000-0000-0000E36E0000}"/>
    <cellStyle name="Normal 2 3 4 4 2" xfId="28417" xr:uid="{00000000-0005-0000-0000-0000E46E0000}"/>
    <cellStyle name="Normal 2 3 4 4 3" xfId="28418" xr:uid="{00000000-0005-0000-0000-0000E56E0000}"/>
    <cellStyle name="Normal 2 3 4 4 4" xfId="28419" xr:uid="{00000000-0005-0000-0000-0000E66E0000}"/>
    <cellStyle name="Normal 2 3 4 4 5" xfId="28420" xr:uid="{00000000-0005-0000-0000-0000E76E0000}"/>
    <cellStyle name="Normal 2 3 4 4 6" xfId="28421" xr:uid="{00000000-0005-0000-0000-0000E86E0000}"/>
    <cellStyle name="Normal 2 3 4 4 7" xfId="28422" xr:uid="{00000000-0005-0000-0000-0000E96E0000}"/>
    <cellStyle name="Normal 2 3 4 4 8" xfId="28423" xr:uid="{00000000-0005-0000-0000-0000EA6E0000}"/>
    <cellStyle name="Normal 2 3 4 4 9" xfId="28424" xr:uid="{00000000-0005-0000-0000-0000EB6E0000}"/>
    <cellStyle name="Normal 2 3 4 5" xfId="28425" xr:uid="{00000000-0005-0000-0000-0000EC6E0000}"/>
    <cellStyle name="Normal 2 3 4 5 10" xfId="28426" xr:uid="{00000000-0005-0000-0000-0000ED6E0000}"/>
    <cellStyle name="Normal 2 3 4 5 2" xfId="28427" xr:uid="{00000000-0005-0000-0000-0000EE6E0000}"/>
    <cellStyle name="Normal 2 3 4 5 3" xfId="28428" xr:uid="{00000000-0005-0000-0000-0000EF6E0000}"/>
    <cellStyle name="Normal 2 3 4 5 4" xfId="28429" xr:uid="{00000000-0005-0000-0000-0000F06E0000}"/>
    <cellStyle name="Normal 2 3 4 5 5" xfId="28430" xr:uid="{00000000-0005-0000-0000-0000F16E0000}"/>
    <cellStyle name="Normal 2 3 4 5 6" xfId="28431" xr:uid="{00000000-0005-0000-0000-0000F26E0000}"/>
    <cellStyle name="Normal 2 3 4 5 7" xfId="28432" xr:uid="{00000000-0005-0000-0000-0000F36E0000}"/>
    <cellStyle name="Normal 2 3 4 5 8" xfId="28433" xr:uid="{00000000-0005-0000-0000-0000F46E0000}"/>
    <cellStyle name="Normal 2 3 4 5 9" xfId="28434" xr:uid="{00000000-0005-0000-0000-0000F56E0000}"/>
    <cellStyle name="Normal 2 3 4 6" xfId="28435" xr:uid="{00000000-0005-0000-0000-0000F66E0000}"/>
    <cellStyle name="Normal 2 3 4 7" xfId="28436" xr:uid="{00000000-0005-0000-0000-0000F76E0000}"/>
    <cellStyle name="Normal 2 3 4 8" xfId="28437" xr:uid="{00000000-0005-0000-0000-0000F86E0000}"/>
    <cellStyle name="Normal 2 3 4 9" xfId="28438" xr:uid="{00000000-0005-0000-0000-0000F96E0000}"/>
    <cellStyle name="Normal 2 3 40" xfId="28439" xr:uid="{00000000-0005-0000-0000-0000FA6E0000}"/>
    <cellStyle name="Normal 2 3 41" xfId="28440" xr:uid="{00000000-0005-0000-0000-0000FB6E0000}"/>
    <cellStyle name="Normal 2 3 42" xfId="28441" xr:uid="{00000000-0005-0000-0000-0000FC6E0000}"/>
    <cellStyle name="Normal 2 3 43" xfId="28442" xr:uid="{00000000-0005-0000-0000-0000FD6E0000}"/>
    <cellStyle name="Normal 2 3 44" xfId="28443" xr:uid="{00000000-0005-0000-0000-0000FE6E0000}"/>
    <cellStyle name="Normal 2 3 45" xfId="28444" xr:uid="{00000000-0005-0000-0000-0000FF6E0000}"/>
    <cellStyle name="Normal 2 3 46" xfId="28445" xr:uid="{00000000-0005-0000-0000-0000006F0000}"/>
    <cellStyle name="Normal 2 3 47" xfId="28446" xr:uid="{00000000-0005-0000-0000-0000016F0000}"/>
    <cellStyle name="Normal 2 3 48" xfId="28447" xr:uid="{00000000-0005-0000-0000-0000026F0000}"/>
    <cellStyle name="Normal 2 3 49" xfId="28448" xr:uid="{00000000-0005-0000-0000-0000036F0000}"/>
    <cellStyle name="Normal 2 3 5" xfId="28449" xr:uid="{00000000-0005-0000-0000-0000046F0000}"/>
    <cellStyle name="Normal 2 3 5 10" xfId="28450" xr:uid="{00000000-0005-0000-0000-0000056F0000}"/>
    <cellStyle name="Normal 2 3 5 11" xfId="28451" xr:uid="{00000000-0005-0000-0000-0000066F0000}"/>
    <cellStyle name="Normal 2 3 5 12" xfId="28452" xr:uid="{00000000-0005-0000-0000-0000076F0000}"/>
    <cellStyle name="Normal 2 3 5 13" xfId="28453" xr:uid="{00000000-0005-0000-0000-0000086F0000}"/>
    <cellStyle name="Normal 2 3 5 14" xfId="28454" xr:uid="{00000000-0005-0000-0000-0000096F0000}"/>
    <cellStyle name="Normal 2 3 5 15" xfId="28455" xr:uid="{00000000-0005-0000-0000-00000A6F0000}"/>
    <cellStyle name="Normal 2 3 5 16" xfId="28456" xr:uid="{00000000-0005-0000-0000-00000B6F0000}"/>
    <cellStyle name="Normal 2 3 5 2" xfId="28457" xr:uid="{00000000-0005-0000-0000-00000C6F0000}"/>
    <cellStyle name="Normal 2 3 5 2 10" xfId="28458" xr:uid="{00000000-0005-0000-0000-00000D6F0000}"/>
    <cellStyle name="Normal 2 3 5 2 11" xfId="28459" xr:uid="{00000000-0005-0000-0000-00000E6F0000}"/>
    <cellStyle name="Normal 2 3 5 2 12" xfId="28460" xr:uid="{00000000-0005-0000-0000-00000F6F0000}"/>
    <cellStyle name="Normal 2 3 5 2 2" xfId="28461" xr:uid="{00000000-0005-0000-0000-0000106F0000}"/>
    <cellStyle name="Normal 2 3 5 2 3" xfId="28462" xr:uid="{00000000-0005-0000-0000-0000116F0000}"/>
    <cellStyle name="Normal 2 3 5 2 4" xfId="28463" xr:uid="{00000000-0005-0000-0000-0000126F0000}"/>
    <cellStyle name="Normal 2 3 5 2 5" xfId="28464" xr:uid="{00000000-0005-0000-0000-0000136F0000}"/>
    <cellStyle name="Normal 2 3 5 2 6" xfId="28465" xr:uid="{00000000-0005-0000-0000-0000146F0000}"/>
    <cellStyle name="Normal 2 3 5 2 7" xfId="28466" xr:uid="{00000000-0005-0000-0000-0000156F0000}"/>
    <cellStyle name="Normal 2 3 5 2 8" xfId="28467" xr:uid="{00000000-0005-0000-0000-0000166F0000}"/>
    <cellStyle name="Normal 2 3 5 2 9" xfId="28468" xr:uid="{00000000-0005-0000-0000-0000176F0000}"/>
    <cellStyle name="Normal 2 3 5 3" xfId="28469" xr:uid="{00000000-0005-0000-0000-0000186F0000}"/>
    <cellStyle name="Normal 2 3 5 3 10" xfId="28470" xr:uid="{00000000-0005-0000-0000-0000196F0000}"/>
    <cellStyle name="Normal 2 3 5 3 2" xfId="28471" xr:uid="{00000000-0005-0000-0000-00001A6F0000}"/>
    <cellStyle name="Normal 2 3 5 3 3" xfId="28472" xr:uid="{00000000-0005-0000-0000-00001B6F0000}"/>
    <cellStyle name="Normal 2 3 5 3 4" xfId="28473" xr:uid="{00000000-0005-0000-0000-00001C6F0000}"/>
    <cellStyle name="Normal 2 3 5 3 5" xfId="28474" xr:uid="{00000000-0005-0000-0000-00001D6F0000}"/>
    <cellStyle name="Normal 2 3 5 3 6" xfId="28475" xr:uid="{00000000-0005-0000-0000-00001E6F0000}"/>
    <cellStyle name="Normal 2 3 5 3 7" xfId="28476" xr:uid="{00000000-0005-0000-0000-00001F6F0000}"/>
    <cellStyle name="Normal 2 3 5 3 8" xfId="28477" xr:uid="{00000000-0005-0000-0000-0000206F0000}"/>
    <cellStyle name="Normal 2 3 5 3 9" xfId="28478" xr:uid="{00000000-0005-0000-0000-0000216F0000}"/>
    <cellStyle name="Normal 2 3 5 4" xfId="28479" xr:uid="{00000000-0005-0000-0000-0000226F0000}"/>
    <cellStyle name="Normal 2 3 5 4 10" xfId="28480" xr:uid="{00000000-0005-0000-0000-0000236F0000}"/>
    <cellStyle name="Normal 2 3 5 4 2" xfId="28481" xr:uid="{00000000-0005-0000-0000-0000246F0000}"/>
    <cellStyle name="Normal 2 3 5 4 3" xfId="28482" xr:uid="{00000000-0005-0000-0000-0000256F0000}"/>
    <cellStyle name="Normal 2 3 5 4 4" xfId="28483" xr:uid="{00000000-0005-0000-0000-0000266F0000}"/>
    <cellStyle name="Normal 2 3 5 4 5" xfId="28484" xr:uid="{00000000-0005-0000-0000-0000276F0000}"/>
    <cellStyle name="Normal 2 3 5 4 6" xfId="28485" xr:uid="{00000000-0005-0000-0000-0000286F0000}"/>
    <cellStyle name="Normal 2 3 5 4 7" xfId="28486" xr:uid="{00000000-0005-0000-0000-0000296F0000}"/>
    <cellStyle name="Normal 2 3 5 4 8" xfId="28487" xr:uid="{00000000-0005-0000-0000-00002A6F0000}"/>
    <cellStyle name="Normal 2 3 5 4 9" xfId="28488" xr:uid="{00000000-0005-0000-0000-00002B6F0000}"/>
    <cellStyle name="Normal 2 3 5 5" xfId="28489" xr:uid="{00000000-0005-0000-0000-00002C6F0000}"/>
    <cellStyle name="Normal 2 3 5 5 10" xfId="28490" xr:uid="{00000000-0005-0000-0000-00002D6F0000}"/>
    <cellStyle name="Normal 2 3 5 5 2" xfId="28491" xr:uid="{00000000-0005-0000-0000-00002E6F0000}"/>
    <cellStyle name="Normal 2 3 5 5 3" xfId="28492" xr:uid="{00000000-0005-0000-0000-00002F6F0000}"/>
    <cellStyle name="Normal 2 3 5 5 4" xfId="28493" xr:uid="{00000000-0005-0000-0000-0000306F0000}"/>
    <cellStyle name="Normal 2 3 5 5 5" xfId="28494" xr:uid="{00000000-0005-0000-0000-0000316F0000}"/>
    <cellStyle name="Normal 2 3 5 5 6" xfId="28495" xr:uid="{00000000-0005-0000-0000-0000326F0000}"/>
    <cellStyle name="Normal 2 3 5 5 7" xfId="28496" xr:uid="{00000000-0005-0000-0000-0000336F0000}"/>
    <cellStyle name="Normal 2 3 5 5 8" xfId="28497" xr:uid="{00000000-0005-0000-0000-0000346F0000}"/>
    <cellStyle name="Normal 2 3 5 5 9" xfId="28498" xr:uid="{00000000-0005-0000-0000-0000356F0000}"/>
    <cellStyle name="Normal 2 3 5 6" xfId="28499" xr:uid="{00000000-0005-0000-0000-0000366F0000}"/>
    <cellStyle name="Normal 2 3 5 7" xfId="28500" xr:uid="{00000000-0005-0000-0000-0000376F0000}"/>
    <cellStyle name="Normal 2 3 5 8" xfId="28501" xr:uid="{00000000-0005-0000-0000-0000386F0000}"/>
    <cellStyle name="Normal 2 3 5 9" xfId="28502" xr:uid="{00000000-0005-0000-0000-0000396F0000}"/>
    <cellStyle name="Normal 2 3 50" xfId="25385" xr:uid="{00000000-0005-0000-0000-00003A6F0000}"/>
    <cellStyle name="Normal 2 3 6" xfId="28503" xr:uid="{00000000-0005-0000-0000-00003B6F0000}"/>
    <cellStyle name="Normal 2 3 6 10" xfId="28504" xr:uid="{00000000-0005-0000-0000-00003C6F0000}"/>
    <cellStyle name="Normal 2 3 6 11" xfId="28505" xr:uid="{00000000-0005-0000-0000-00003D6F0000}"/>
    <cellStyle name="Normal 2 3 6 12" xfId="28506" xr:uid="{00000000-0005-0000-0000-00003E6F0000}"/>
    <cellStyle name="Normal 2 3 6 13" xfId="28507" xr:uid="{00000000-0005-0000-0000-00003F6F0000}"/>
    <cellStyle name="Normal 2 3 6 14" xfId="28508" xr:uid="{00000000-0005-0000-0000-0000406F0000}"/>
    <cellStyle name="Normal 2 3 6 2" xfId="28509" xr:uid="{00000000-0005-0000-0000-0000416F0000}"/>
    <cellStyle name="Normal 2 3 6 2 10" xfId="28510" xr:uid="{00000000-0005-0000-0000-0000426F0000}"/>
    <cellStyle name="Normal 2 3 6 2 2" xfId="28511" xr:uid="{00000000-0005-0000-0000-0000436F0000}"/>
    <cellStyle name="Normal 2 3 6 2 3" xfId="28512" xr:uid="{00000000-0005-0000-0000-0000446F0000}"/>
    <cellStyle name="Normal 2 3 6 2 4" xfId="28513" xr:uid="{00000000-0005-0000-0000-0000456F0000}"/>
    <cellStyle name="Normal 2 3 6 2 5" xfId="28514" xr:uid="{00000000-0005-0000-0000-0000466F0000}"/>
    <cellStyle name="Normal 2 3 6 2 6" xfId="28515" xr:uid="{00000000-0005-0000-0000-0000476F0000}"/>
    <cellStyle name="Normal 2 3 6 2 7" xfId="28516" xr:uid="{00000000-0005-0000-0000-0000486F0000}"/>
    <cellStyle name="Normal 2 3 6 2 8" xfId="28517" xr:uid="{00000000-0005-0000-0000-0000496F0000}"/>
    <cellStyle name="Normal 2 3 6 2 9" xfId="28518" xr:uid="{00000000-0005-0000-0000-00004A6F0000}"/>
    <cellStyle name="Normal 2 3 6 3" xfId="28519" xr:uid="{00000000-0005-0000-0000-00004B6F0000}"/>
    <cellStyle name="Normal 2 3 6 3 10" xfId="28520" xr:uid="{00000000-0005-0000-0000-00004C6F0000}"/>
    <cellStyle name="Normal 2 3 6 3 2" xfId="28521" xr:uid="{00000000-0005-0000-0000-00004D6F0000}"/>
    <cellStyle name="Normal 2 3 6 3 3" xfId="28522" xr:uid="{00000000-0005-0000-0000-00004E6F0000}"/>
    <cellStyle name="Normal 2 3 6 3 4" xfId="28523" xr:uid="{00000000-0005-0000-0000-00004F6F0000}"/>
    <cellStyle name="Normal 2 3 6 3 5" xfId="28524" xr:uid="{00000000-0005-0000-0000-0000506F0000}"/>
    <cellStyle name="Normal 2 3 6 3 6" xfId="28525" xr:uid="{00000000-0005-0000-0000-0000516F0000}"/>
    <cellStyle name="Normal 2 3 6 3 7" xfId="28526" xr:uid="{00000000-0005-0000-0000-0000526F0000}"/>
    <cellStyle name="Normal 2 3 6 3 8" xfId="28527" xr:uid="{00000000-0005-0000-0000-0000536F0000}"/>
    <cellStyle name="Normal 2 3 6 3 9" xfId="28528" xr:uid="{00000000-0005-0000-0000-0000546F0000}"/>
    <cellStyle name="Normal 2 3 6 4" xfId="28529" xr:uid="{00000000-0005-0000-0000-0000556F0000}"/>
    <cellStyle name="Normal 2 3 6 4 10" xfId="28530" xr:uid="{00000000-0005-0000-0000-0000566F0000}"/>
    <cellStyle name="Normal 2 3 6 4 2" xfId="28531" xr:uid="{00000000-0005-0000-0000-0000576F0000}"/>
    <cellStyle name="Normal 2 3 6 4 3" xfId="28532" xr:uid="{00000000-0005-0000-0000-0000586F0000}"/>
    <cellStyle name="Normal 2 3 6 4 4" xfId="28533" xr:uid="{00000000-0005-0000-0000-0000596F0000}"/>
    <cellStyle name="Normal 2 3 6 4 5" xfId="28534" xr:uid="{00000000-0005-0000-0000-00005A6F0000}"/>
    <cellStyle name="Normal 2 3 6 4 6" xfId="28535" xr:uid="{00000000-0005-0000-0000-00005B6F0000}"/>
    <cellStyle name="Normal 2 3 6 4 7" xfId="28536" xr:uid="{00000000-0005-0000-0000-00005C6F0000}"/>
    <cellStyle name="Normal 2 3 6 4 8" xfId="28537" xr:uid="{00000000-0005-0000-0000-00005D6F0000}"/>
    <cellStyle name="Normal 2 3 6 4 9" xfId="28538" xr:uid="{00000000-0005-0000-0000-00005E6F0000}"/>
    <cellStyle name="Normal 2 3 6 5" xfId="28539" xr:uid="{00000000-0005-0000-0000-00005F6F0000}"/>
    <cellStyle name="Normal 2 3 6 5 10" xfId="28540" xr:uid="{00000000-0005-0000-0000-0000606F0000}"/>
    <cellStyle name="Normal 2 3 6 5 2" xfId="28541" xr:uid="{00000000-0005-0000-0000-0000616F0000}"/>
    <cellStyle name="Normal 2 3 6 5 3" xfId="28542" xr:uid="{00000000-0005-0000-0000-0000626F0000}"/>
    <cellStyle name="Normal 2 3 6 5 4" xfId="28543" xr:uid="{00000000-0005-0000-0000-0000636F0000}"/>
    <cellStyle name="Normal 2 3 6 5 5" xfId="28544" xr:uid="{00000000-0005-0000-0000-0000646F0000}"/>
    <cellStyle name="Normal 2 3 6 5 6" xfId="28545" xr:uid="{00000000-0005-0000-0000-0000656F0000}"/>
    <cellStyle name="Normal 2 3 6 5 7" xfId="28546" xr:uid="{00000000-0005-0000-0000-0000666F0000}"/>
    <cellStyle name="Normal 2 3 6 5 8" xfId="28547" xr:uid="{00000000-0005-0000-0000-0000676F0000}"/>
    <cellStyle name="Normal 2 3 6 5 9" xfId="28548" xr:uid="{00000000-0005-0000-0000-0000686F0000}"/>
    <cellStyle name="Normal 2 3 6 6" xfId="28549" xr:uid="{00000000-0005-0000-0000-0000696F0000}"/>
    <cellStyle name="Normal 2 3 6 7" xfId="28550" xr:uid="{00000000-0005-0000-0000-00006A6F0000}"/>
    <cellStyle name="Normal 2 3 6 8" xfId="28551" xr:uid="{00000000-0005-0000-0000-00006B6F0000}"/>
    <cellStyle name="Normal 2 3 6 9" xfId="28552" xr:uid="{00000000-0005-0000-0000-00006C6F0000}"/>
    <cellStyle name="Normal 2 3 7" xfId="28553" xr:uid="{00000000-0005-0000-0000-00006D6F0000}"/>
    <cellStyle name="Normal 2 3 7 10" xfId="28554" xr:uid="{00000000-0005-0000-0000-00006E6F0000}"/>
    <cellStyle name="Normal 2 3 7 11" xfId="28555" xr:uid="{00000000-0005-0000-0000-00006F6F0000}"/>
    <cellStyle name="Normal 2 3 7 12" xfId="28556" xr:uid="{00000000-0005-0000-0000-0000706F0000}"/>
    <cellStyle name="Normal 2 3 7 13" xfId="28557" xr:uid="{00000000-0005-0000-0000-0000716F0000}"/>
    <cellStyle name="Normal 2 3 7 14" xfId="28558" xr:uid="{00000000-0005-0000-0000-0000726F0000}"/>
    <cellStyle name="Normal 2 3 7 2" xfId="28559" xr:uid="{00000000-0005-0000-0000-0000736F0000}"/>
    <cellStyle name="Normal 2 3 7 2 10" xfId="28560" xr:uid="{00000000-0005-0000-0000-0000746F0000}"/>
    <cellStyle name="Normal 2 3 7 2 2" xfId="28561" xr:uid="{00000000-0005-0000-0000-0000756F0000}"/>
    <cellStyle name="Normal 2 3 7 2 3" xfId="28562" xr:uid="{00000000-0005-0000-0000-0000766F0000}"/>
    <cellStyle name="Normal 2 3 7 2 4" xfId="28563" xr:uid="{00000000-0005-0000-0000-0000776F0000}"/>
    <cellStyle name="Normal 2 3 7 2 5" xfId="28564" xr:uid="{00000000-0005-0000-0000-0000786F0000}"/>
    <cellStyle name="Normal 2 3 7 2 6" xfId="28565" xr:uid="{00000000-0005-0000-0000-0000796F0000}"/>
    <cellStyle name="Normal 2 3 7 2 7" xfId="28566" xr:uid="{00000000-0005-0000-0000-00007A6F0000}"/>
    <cellStyle name="Normal 2 3 7 2 8" xfId="28567" xr:uid="{00000000-0005-0000-0000-00007B6F0000}"/>
    <cellStyle name="Normal 2 3 7 2 9" xfId="28568" xr:uid="{00000000-0005-0000-0000-00007C6F0000}"/>
    <cellStyle name="Normal 2 3 7 3" xfId="28569" xr:uid="{00000000-0005-0000-0000-00007D6F0000}"/>
    <cellStyle name="Normal 2 3 7 3 10" xfId="28570" xr:uid="{00000000-0005-0000-0000-00007E6F0000}"/>
    <cellStyle name="Normal 2 3 7 3 2" xfId="28571" xr:uid="{00000000-0005-0000-0000-00007F6F0000}"/>
    <cellStyle name="Normal 2 3 7 3 3" xfId="28572" xr:uid="{00000000-0005-0000-0000-0000806F0000}"/>
    <cellStyle name="Normal 2 3 7 3 4" xfId="28573" xr:uid="{00000000-0005-0000-0000-0000816F0000}"/>
    <cellStyle name="Normal 2 3 7 3 5" xfId="28574" xr:uid="{00000000-0005-0000-0000-0000826F0000}"/>
    <cellStyle name="Normal 2 3 7 3 6" xfId="28575" xr:uid="{00000000-0005-0000-0000-0000836F0000}"/>
    <cellStyle name="Normal 2 3 7 3 7" xfId="28576" xr:uid="{00000000-0005-0000-0000-0000846F0000}"/>
    <cellStyle name="Normal 2 3 7 3 8" xfId="28577" xr:uid="{00000000-0005-0000-0000-0000856F0000}"/>
    <cellStyle name="Normal 2 3 7 3 9" xfId="28578" xr:uid="{00000000-0005-0000-0000-0000866F0000}"/>
    <cellStyle name="Normal 2 3 7 4" xfId="28579" xr:uid="{00000000-0005-0000-0000-0000876F0000}"/>
    <cellStyle name="Normal 2 3 7 4 10" xfId="28580" xr:uid="{00000000-0005-0000-0000-0000886F0000}"/>
    <cellStyle name="Normal 2 3 7 4 2" xfId="28581" xr:uid="{00000000-0005-0000-0000-0000896F0000}"/>
    <cellStyle name="Normal 2 3 7 4 3" xfId="28582" xr:uid="{00000000-0005-0000-0000-00008A6F0000}"/>
    <cellStyle name="Normal 2 3 7 4 4" xfId="28583" xr:uid="{00000000-0005-0000-0000-00008B6F0000}"/>
    <cellStyle name="Normal 2 3 7 4 5" xfId="28584" xr:uid="{00000000-0005-0000-0000-00008C6F0000}"/>
    <cellStyle name="Normal 2 3 7 4 6" xfId="28585" xr:uid="{00000000-0005-0000-0000-00008D6F0000}"/>
    <cellStyle name="Normal 2 3 7 4 7" xfId="28586" xr:uid="{00000000-0005-0000-0000-00008E6F0000}"/>
    <cellStyle name="Normal 2 3 7 4 8" xfId="28587" xr:uid="{00000000-0005-0000-0000-00008F6F0000}"/>
    <cellStyle name="Normal 2 3 7 4 9" xfId="28588" xr:uid="{00000000-0005-0000-0000-0000906F0000}"/>
    <cellStyle name="Normal 2 3 7 5" xfId="28589" xr:uid="{00000000-0005-0000-0000-0000916F0000}"/>
    <cellStyle name="Normal 2 3 7 5 10" xfId="28590" xr:uid="{00000000-0005-0000-0000-0000926F0000}"/>
    <cellStyle name="Normal 2 3 7 5 2" xfId="28591" xr:uid="{00000000-0005-0000-0000-0000936F0000}"/>
    <cellStyle name="Normal 2 3 7 5 3" xfId="28592" xr:uid="{00000000-0005-0000-0000-0000946F0000}"/>
    <cellStyle name="Normal 2 3 7 5 4" xfId="28593" xr:uid="{00000000-0005-0000-0000-0000956F0000}"/>
    <cellStyle name="Normal 2 3 7 5 5" xfId="28594" xr:uid="{00000000-0005-0000-0000-0000966F0000}"/>
    <cellStyle name="Normal 2 3 7 5 6" xfId="28595" xr:uid="{00000000-0005-0000-0000-0000976F0000}"/>
    <cellStyle name="Normal 2 3 7 5 7" xfId="28596" xr:uid="{00000000-0005-0000-0000-0000986F0000}"/>
    <cellStyle name="Normal 2 3 7 5 8" xfId="28597" xr:uid="{00000000-0005-0000-0000-0000996F0000}"/>
    <cellStyle name="Normal 2 3 7 5 9" xfId="28598" xr:uid="{00000000-0005-0000-0000-00009A6F0000}"/>
    <cellStyle name="Normal 2 3 7 6" xfId="28599" xr:uid="{00000000-0005-0000-0000-00009B6F0000}"/>
    <cellStyle name="Normal 2 3 7 7" xfId="28600" xr:uid="{00000000-0005-0000-0000-00009C6F0000}"/>
    <cellStyle name="Normal 2 3 7 8" xfId="28601" xr:uid="{00000000-0005-0000-0000-00009D6F0000}"/>
    <cellStyle name="Normal 2 3 7 9" xfId="28602" xr:uid="{00000000-0005-0000-0000-00009E6F0000}"/>
    <cellStyle name="Normal 2 3 8" xfId="28603" xr:uid="{00000000-0005-0000-0000-00009F6F0000}"/>
    <cellStyle name="Normal 2 3 8 10" xfId="28604" xr:uid="{00000000-0005-0000-0000-0000A06F0000}"/>
    <cellStyle name="Normal 2 3 8 11" xfId="28605" xr:uid="{00000000-0005-0000-0000-0000A16F0000}"/>
    <cellStyle name="Normal 2 3 8 12" xfId="28606" xr:uid="{00000000-0005-0000-0000-0000A26F0000}"/>
    <cellStyle name="Normal 2 3 8 13" xfId="28607" xr:uid="{00000000-0005-0000-0000-0000A36F0000}"/>
    <cellStyle name="Normal 2 3 8 14" xfId="28608" xr:uid="{00000000-0005-0000-0000-0000A46F0000}"/>
    <cellStyle name="Normal 2 3 8 2" xfId="28609" xr:uid="{00000000-0005-0000-0000-0000A56F0000}"/>
    <cellStyle name="Normal 2 3 8 2 10" xfId="28610" xr:uid="{00000000-0005-0000-0000-0000A66F0000}"/>
    <cellStyle name="Normal 2 3 8 2 2" xfId="28611" xr:uid="{00000000-0005-0000-0000-0000A76F0000}"/>
    <cellStyle name="Normal 2 3 8 2 3" xfId="28612" xr:uid="{00000000-0005-0000-0000-0000A86F0000}"/>
    <cellStyle name="Normal 2 3 8 2 4" xfId="28613" xr:uid="{00000000-0005-0000-0000-0000A96F0000}"/>
    <cellStyle name="Normal 2 3 8 2 5" xfId="28614" xr:uid="{00000000-0005-0000-0000-0000AA6F0000}"/>
    <cellStyle name="Normal 2 3 8 2 6" xfId="28615" xr:uid="{00000000-0005-0000-0000-0000AB6F0000}"/>
    <cellStyle name="Normal 2 3 8 2 7" xfId="28616" xr:uid="{00000000-0005-0000-0000-0000AC6F0000}"/>
    <cellStyle name="Normal 2 3 8 2 8" xfId="28617" xr:uid="{00000000-0005-0000-0000-0000AD6F0000}"/>
    <cellStyle name="Normal 2 3 8 2 9" xfId="28618" xr:uid="{00000000-0005-0000-0000-0000AE6F0000}"/>
    <cellStyle name="Normal 2 3 8 3" xfId="28619" xr:uid="{00000000-0005-0000-0000-0000AF6F0000}"/>
    <cellStyle name="Normal 2 3 8 3 10" xfId="28620" xr:uid="{00000000-0005-0000-0000-0000B06F0000}"/>
    <cellStyle name="Normal 2 3 8 3 2" xfId="28621" xr:uid="{00000000-0005-0000-0000-0000B16F0000}"/>
    <cellStyle name="Normal 2 3 8 3 3" xfId="28622" xr:uid="{00000000-0005-0000-0000-0000B26F0000}"/>
    <cellStyle name="Normal 2 3 8 3 4" xfId="28623" xr:uid="{00000000-0005-0000-0000-0000B36F0000}"/>
    <cellStyle name="Normal 2 3 8 3 5" xfId="28624" xr:uid="{00000000-0005-0000-0000-0000B46F0000}"/>
    <cellStyle name="Normal 2 3 8 3 6" xfId="28625" xr:uid="{00000000-0005-0000-0000-0000B56F0000}"/>
    <cellStyle name="Normal 2 3 8 3 7" xfId="28626" xr:uid="{00000000-0005-0000-0000-0000B66F0000}"/>
    <cellStyle name="Normal 2 3 8 3 8" xfId="28627" xr:uid="{00000000-0005-0000-0000-0000B76F0000}"/>
    <cellStyle name="Normal 2 3 8 3 9" xfId="28628" xr:uid="{00000000-0005-0000-0000-0000B86F0000}"/>
    <cellStyle name="Normal 2 3 8 4" xfId="28629" xr:uid="{00000000-0005-0000-0000-0000B96F0000}"/>
    <cellStyle name="Normal 2 3 8 4 10" xfId="28630" xr:uid="{00000000-0005-0000-0000-0000BA6F0000}"/>
    <cellStyle name="Normal 2 3 8 4 2" xfId="28631" xr:uid="{00000000-0005-0000-0000-0000BB6F0000}"/>
    <cellStyle name="Normal 2 3 8 4 3" xfId="28632" xr:uid="{00000000-0005-0000-0000-0000BC6F0000}"/>
    <cellStyle name="Normal 2 3 8 4 4" xfId="28633" xr:uid="{00000000-0005-0000-0000-0000BD6F0000}"/>
    <cellStyle name="Normal 2 3 8 4 5" xfId="28634" xr:uid="{00000000-0005-0000-0000-0000BE6F0000}"/>
    <cellStyle name="Normal 2 3 8 4 6" xfId="28635" xr:uid="{00000000-0005-0000-0000-0000BF6F0000}"/>
    <cellStyle name="Normal 2 3 8 4 7" xfId="28636" xr:uid="{00000000-0005-0000-0000-0000C06F0000}"/>
    <cellStyle name="Normal 2 3 8 4 8" xfId="28637" xr:uid="{00000000-0005-0000-0000-0000C16F0000}"/>
    <cellStyle name="Normal 2 3 8 4 9" xfId="28638" xr:uid="{00000000-0005-0000-0000-0000C26F0000}"/>
    <cellStyle name="Normal 2 3 8 5" xfId="28639" xr:uid="{00000000-0005-0000-0000-0000C36F0000}"/>
    <cellStyle name="Normal 2 3 8 5 10" xfId="28640" xr:uid="{00000000-0005-0000-0000-0000C46F0000}"/>
    <cellStyle name="Normal 2 3 8 5 2" xfId="28641" xr:uid="{00000000-0005-0000-0000-0000C56F0000}"/>
    <cellStyle name="Normal 2 3 8 5 3" xfId="28642" xr:uid="{00000000-0005-0000-0000-0000C66F0000}"/>
    <cellStyle name="Normal 2 3 8 5 4" xfId="28643" xr:uid="{00000000-0005-0000-0000-0000C76F0000}"/>
    <cellStyle name="Normal 2 3 8 5 5" xfId="28644" xr:uid="{00000000-0005-0000-0000-0000C86F0000}"/>
    <cellStyle name="Normal 2 3 8 5 6" xfId="28645" xr:uid="{00000000-0005-0000-0000-0000C96F0000}"/>
    <cellStyle name="Normal 2 3 8 5 7" xfId="28646" xr:uid="{00000000-0005-0000-0000-0000CA6F0000}"/>
    <cellStyle name="Normal 2 3 8 5 8" xfId="28647" xr:uid="{00000000-0005-0000-0000-0000CB6F0000}"/>
    <cellStyle name="Normal 2 3 8 5 9" xfId="28648" xr:uid="{00000000-0005-0000-0000-0000CC6F0000}"/>
    <cellStyle name="Normal 2 3 8 6" xfId="28649" xr:uid="{00000000-0005-0000-0000-0000CD6F0000}"/>
    <cellStyle name="Normal 2 3 8 7" xfId="28650" xr:uid="{00000000-0005-0000-0000-0000CE6F0000}"/>
    <cellStyle name="Normal 2 3 8 8" xfId="28651" xr:uid="{00000000-0005-0000-0000-0000CF6F0000}"/>
    <cellStyle name="Normal 2 3 8 9" xfId="28652" xr:uid="{00000000-0005-0000-0000-0000D06F0000}"/>
    <cellStyle name="Normal 2 3 9" xfId="28653" xr:uid="{00000000-0005-0000-0000-0000D16F0000}"/>
    <cellStyle name="Normal 2 3 9 10" xfId="28654" xr:uid="{00000000-0005-0000-0000-0000D26F0000}"/>
    <cellStyle name="Normal 2 3 9 11" xfId="28655" xr:uid="{00000000-0005-0000-0000-0000D36F0000}"/>
    <cellStyle name="Normal 2 3 9 12" xfId="28656" xr:uid="{00000000-0005-0000-0000-0000D46F0000}"/>
    <cellStyle name="Normal 2 3 9 13" xfId="28657" xr:uid="{00000000-0005-0000-0000-0000D56F0000}"/>
    <cellStyle name="Normal 2 3 9 14" xfId="28658" xr:uid="{00000000-0005-0000-0000-0000D66F0000}"/>
    <cellStyle name="Normal 2 3 9 2" xfId="28659" xr:uid="{00000000-0005-0000-0000-0000D76F0000}"/>
    <cellStyle name="Normal 2 3 9 2 10" xfId="28660" xr:uid="{00000000-0005-0000-0000-0000D86F0000}"/>
    <cellStyle name="Normal 2 3 9 2 2" xfId="28661" xr:uid="{00000000-0005-0000-0000-0000D96F0000}"/>
    <cellStyle name="Normal 2 3 9 2 3" xfId="28662" xr:uid="{00000000-0005-0000-0000-0000DA6F0000}"/>
    <cellStyle name="Normal 2 3 9 2 4" xfId="28663" xr:uid="{00000000-0005-0000-0000-0000DB6F0000}"/>
    <cellStyle name="Normal 2 3 9 2 5" xfId="28664" xr:uid="{00000000-0005-0000-0000-0000DC6F0000}"/>
    <cellStyle name="Normal 2 3 9 2 6" xfId="28665" xr:uid="{00000000-0005-0000-0000-0000DD6F0000}"/>
    <cellStyle name="Normal 2 3 9 2 7" xfId="28666" xr:uid="{00000000-0005-0000-0000-0000DE6F0000}"/>
    <cellStyle name="Normal 2 3 9 2 8" xfId="28667" xr:uid="{00000000-0005-0000-0000-0000DF6F0000}"/>
    <cellStyle name="Normal 2 3 9 2 9" xfId="28668" xr:uid="{00000000-0005-0000-0000-0000E06F0000}"/>
    <cellStyle name="Normal 2 3 9 3" xfId="28669" xr:uid="{00000000-0005-0000-0000-0000E16F0000}"/>
    <cellStyle name="Normal 2 3 9 3 10" xfId="28670" xr:uid="{00000000-0005-0000-0000-0000E26F0000}"/>
    <cellStyle name="Normal 2 3 9 3 2" xfId="28671" xr:uid="{00000000-0005-0000-0000-0000E36F0000}"/>
    <cellStyle name="Normal 2 3 9 3 3" xfId="28672" xr:uid="{00000000-0005-0000-0000-0000E46F0000}"/>
    <cellStyle name="Normal 2 3 9 3 4" xfId="28673" xr:uid="{00000000-0005-0000-0000-0000E56F0000}"/>
    <cellStyle name="Normal 2 3 9 3 5" xfId="28674" xr:uid="{00000000-0005-0000-0000-0000E66F0000}"/>
    <cellStyle name="Normal 2 3 9 3 6" xfId="28675" xr:uid="{00000000-0005-0000-0000-0000E76F0000}"/>
    <cellStyle name="Normal 2 3 9 3 7" xfId="28676" xr:uid="{00000000-0005-0000-0000-0000E86F0000}"/>
    <cellStyle name="Normal 2 3 9 3 8" xfId="28677" xr:uid="{00000000-0005-0000-0000-0000E96F0000}"/>
    <cellStyle name="Normal 2 3 9 3 9" xfId="28678" xr:uid="{00000000-0005-0000-0000-0000EA6F0000}"/>
    <cellStyle name="Normal 2 3 9 4" xfId="28679" xr:uid="{00000000-0005-0000-0000-0000EB6F0000}"/>
    <cellStyle name="Normal 2 3 9 4 10" xfId="28680" xr:uid="{00000000-0005-0000-0000-0000EC6F0000}"/>
    <cellStyle name="Normal 2 3 9 4 2" xfId="28681" xr:uid="{00000000-0005-0000-0000-0000ED6F0000}"/>
    <cellStyle name="Normal 2 3 9 4 3" xfId="28682" xr:uid="{00000000-0005-0000-0000-0000EE6F0000}"/>
    <cellStyle name="Normal 2 3 9 4 4" xfId="28683" xr:uid="{00000000-0005-0000-0000-0000EF6F0000}"/>
    <cellStyle name="Normal 2 3 9 4 5" xfId="28684" xr:uid="{00000000-0005-0000-0000-0000F06F0000}"/>
    <cellStyle name="Normal 2 3 9 4 6" xfId="28685" xr:uid="{00000000-0005-0000-0000-0000F16F0000}"/>
    <cellStyle name="Normal 2 3 9 4 7" xfId="28686" xr:uid="{00000000-0005-0000-0000-0000F26F0000}"/>
    <cellStyle name="Normal 2 3 9 4 8" xfId="28687" xr:uid="{00000000-0005-0000-0000-0000F36F0000}"/>
    <cellStyle name="Normal 2 3 9 4 9" xfId="28688" xr:uid="{00000000-0005-0000-0000-0000F46F0000}"/>
    <cellStyle name="Normal 2 3 9 5" xfId="28689" xr:uid="{00000000-0005-0000-0000-0000F56F0000}"/>
    <cellStyle name="Normal 2 3 9 5 10" xfId="28690" xr:uid="{00000000-0005-0000-0000-0000F66F0000}"/>
    <cellStyle name="Normal 2 3 9 5 2" xfId="28691" xr:uid="{00000000-0005-0000-0000-0000F76F0000}"/>
    <cellStyle name="Normal 2 3 9 5 3" xfId="28692" xr:uid="{00000000-0005-0000-0000-0000F86F0000}"/>
    <cellStyle name="Normal 2 3 9 5 4" xfId="28693" xr:uid="{00000000-0005-0000-0000-0000F96F0000}"/>
    <cellStyle name="Normal 2 3 9 5 5" xfId="28694" xr:uid="{00000000-0005-0000-0000-0000FA6F0000}"/>
    <cellStyle name="Normal 2 3 9 5 6" xfId="28695" xr:uid="{00000000-0005-0000-0000-0000FB6F0000}"/>
    <cellStyle name="Normal 2 3 9 5 7" xfId="28696" xr:uid="{00000000-0005-0000-0000-0000FC6F0000}"/>
    <cellStyle name="Normal 2 3 9 5 8" xfId="28697" xr:uid="{00000000-0005-0000-0000-0000FD6F0000}"/>
    <cellStyle name="Normal 2 3 9 5 9" xfId="28698" xr:uid="{00000000-0005-0000-0000-0000FE6F0000}"/>
    <cellStyle name="Normal 2 3 9 6" xfId="28699" xr:uid="{00000000-0005-0000-0000-0000FF6F0000}"/>
    <cellStyle name="Normal 2 3 9 7" xfId="28700" xr:uid="{00000000-0005-0000-0000-000000700000}"/>
    <cellStyle name="Normal 2 3 9 8" xfId="28701" xr:uid="{00000000-0005-0000-0000-000001700000}"/>
    <cellStyle name="Normal 2 3 9 9" xfId="28702" xr:uid="{00000000-0005-0000-0000-000002700000}"/>
    <cellStyle name="Normal 2 30" xfId="28703" xr:uid="{00000000-0005-0000-0000-000003700000}"/>
    <cellStyle name="Normal 2 30 2" xfId="28704" xr:uid="{00000000-0005-0000-0000-000004700000}"/>
    <cellStyle name="Normal 2 30 3" xfId="28705" xr:uid="{00000000-0005-0000-0000-000005700000}"/>
    <cellStyle name="Normal 2 31" xfId="28706" xr:uid="{00000000-0005-0000-0000-000006700000}"/>
    <cellStyle name="Normal 2 31 2" xfId="28707" xr:uid="{00000000-0005-0000-0000-000007700000}"/>
    <cellStyle name="Normal 2 31 2 2" xfId="28708" xr:uid="{00000000-0005-0000-0000-000008700000}"/>
    <cellStyle name="Normal 2 31 3" xfId="28709" xr:uid="{00000000-0005-0000-0000-000009700000}"/>
    <cellStyle name="Normal 2 32" xfId="28710" xr:uid="{00000000-0005-0000-0000-00000A700000}"/>
    <cellStyle name="Normal 2 32 2" xfId="28711" xr:uid="{00000000-0005-0000-0000-00000B700000}"/>
    <cellStyle name="Normal 2 32 2 2" xfId="28712" xr:uid="{00000000-0005-0000-0000-00000C700000}"/>
    <cellStyle name="Normal 2 32 3" xfId="28713" xr:uid="{00000000-0005-0000-0000-00000D700000}"/>
    <cellStyle name="Normal 2 33" xfId="28714" xr:uid="{00000000-0005-0000-0000-00000E700000}"/>
    <cellStyle name="Normal 2 33 2" xfId="28715" xr:uid="{00000000-0005-0000-0000-00000F700000}"/>
    <cellStyle name="Normal 2 33 2 2" xfId="28716" xr:uid="{00000000-0005-0000-0000-000010700000}"/>
    <cellStyle name="Normal 2 33 2 2 2" xfId="28717" xr:uid="{00000000-0005-0000-0000-000011700000}"/>
    <cellStyle name="Normal 2 33 2 2 2 2" xfId="28718" xr:uid="{00000000-0005-0000-0000-000012700000}"/>
    <cellStyle name="Normal 2 33 2 3" xfId="28719" xr:uid="{00000000-0005-0000-0000-000013700000}"/>
    <cellStyle name="Normal 2 33 2 4" xfId="28720" xr:uid="{00000000-0005-0000-0000-000014700000}"/>
    <cellStyle name="Normal 2 33 3" xfId="28721" xr:uid="{00000000-0005-0000-0000-000015700000}"/>
    <cellStyle name="Normal 2 33 3 2" xfId="28722" xr:uid="{00000000-0005-0000-0000-000016700000}"/>
    <cellStyle name="Normal 2 33 3 3" xfId="28723" xr:uid="{00000000-0005-0000-0000-000017700000}"/>
    <cellStyle name="Normal 2 33 4" xfId="28724" xr:uid="{00000000-0005-0000-0000-000018700000}"/>
    <cellStyle name="Normal 2 34" xfId="28725" xr:uid="{00000000-0005-0000-0000-000019700000}"/>
    <cellStyle name="Normal 2 34 2" xfId="28726" xr:uid="{00000000-0005-0000-0000-00001A700000}"/>
    <cellStyle name="Normal 2 34 2 2" xfId="28727" xr:uid="{00000000-0005-0000-0000-00001B700000}"/>
    <cellStyle name="Normal 2 34 3" xfId="28728" xr:uid="{00000000-0005-0000-0000-00001C700000}"/>
    <cellStyle name="Normal 2 35" xfId="28729" xr:uid="{00000000-0005-0000-0000-00001D700000}"/>
    <cellStyle name="Normal 2 35 2" xfId="28730" xr:uid="{00000000-0005-0000-0000-00001E700000}"/>
    <cellStyle name="Normal 2 35 2 2" xfId="28731" xr:uid="{00000000-0005-0000-0000-00001F700000}"/>
    <cellStyle name="Normal 2 35 3" xfId="28732" xr:uid="{00000000-0005-0000-0000-000020700000}"/>
    <cellStyle name="Normal 2 36" xfId="28733" xr:uid="{00000000-0005-0000-0000-000021700000}"/>
    <cellStyle name="Normal 2 36 2" xfId="28734" xr:uid="{00000000-0005-0000-0000-000022700000}"/>
    <cellStyle name="Normal 2 36 2 2" xfId="28735" xr:uid="{00000000-0005-0000-0000-000023700000}"/>
    <cellStyle name="Normal 2 36 3" xfId="28736" xr:uid="{00000000-0005-0000-0000-000024700000}"/>
    <cellStyle name="Normal 2 37" xfId="28737" xr:uid="{00000000-0005-0000-0000-000025700000}"/>
    <cellStyle name="Normal 2 37 2" xfId="28738" xr:uid="{00000000-0005-0000-0000-000026700000}"/>
    <cellStyle name="Normal 2 37 3" xfId="28739" xr:uid="{00000000-0005-0000-0000-000027700000}"/>
    <cellStyle name="Normal 2 38" xfId="28740" xr:uid="{00000000-0005-0000-0000-000028700000}"/>
    <cellStyle name="Normal 2 38 2" xfId="28741" xr:uid="{00000000-0005-0000-0000-000029700000}"/>
    <cellStyle name="Normal 2 38 3" xfId="28742" xr:uid="{00000000-0005-0000-0000-00002A700000}"/>
    <cellStyle name="Normal 2 39" xfId="28743" xr:uid="{00000000-0005-0000-0000-00002B700000}"/>
    <cellStyle name="Normal 2 39 2" xfId="28744" xr:uid="{00000000-0005-0000-0000-00002C700000}"/>
    <cellStyle name="Normal 2 39 3" xfId="28745" xr:uid="{00000000-0005-0000-0000-00002D700000}"/>
    <cellStyle name="Normal 2 4" xfId="12" xr:uid="{00000000-0005-0000-0000-00002E700000}"/>
    <cellStyle name="Normal 2 4 10" xfId="28746" xr:uid="{00000000-0005-0000-0000-00002F700000}"/>
    <cellStyle name="Normal 2 4 11" xfId="28747" xr:uid="{00000000-0005-0000-0000-000030700000}"/>
    <cellStyle name="Normal 2 4 12" xfId="28748" xr:uid="{00000000-0005-0000-0000-000031700000}"/>
    <cellStyle name="Normal 2 4 13" xfId="28749" xr:uid="{00000000-0005-0000-0000-000032700000}"/>
    <cellStyle name="Normal 2 4 14" xfId="28750" xr:uid="{00000000-0005-0000-0000-000033700000}"/>
    <cellStyle name="Normal 2 4 15" xfId="28751" xr:uid="{00000000-0005-0000-0000-000034700000}"/>
    <cellStyle name="Normal 2 4 16" xfId="28752" xr:uid="{00000000-0005-0000-0000-000035700000}"/>
    <cellStyle name="Normal 2 4 17" xfId="28753" xr:uid="{00000000-0005-0000-0000-000036700000}"/>
    <cellStyle name="Normal 2 4 18" xfId="28754" xr:uid="{00000000-0005-0000-0000-000037700000}"/>
    <cellStyle name="Normal 2 4 19" xfId="28755" xr:uid="{00000000-0005-0000-0000-000038700000}"/>
    <cellStyle name="Normal 2 4 2" xfId="57" xr:uid="{00000000-0005-0000-0000-000039700000}"/>
    <cellStyle name="Normal 2 4 2 10" xfId="28757" xr:uid="{00000000-0005-0000-0000-00003A700000}"/>
    <cellStyle name="Normal 2 4 2 11" xfId="28758" xr:uid="{00000000-0005-0000-0000-00003B700000}"/>
    <cellStyle name="Normal 2 4 2 12" xfId="28759" xr:uid="{00000000-0005-0000-0000-00003C700000}"/>
    <cellStyle name="Normal 2 4 2 13" xfId="28760" xr:uid="{00000000-0005-0000-0000-00003D700000}"/>
    <cellStyle name="Normal 2 4 2 14" xfId="28761" xr:uid="{00000000-0005-0000-0000-00003E700000}"/>
    <cellStyle name="Normal 2 4 2 15" xfId="28762" xr:uid="{00000000-0005-0000-0000-00003F700000}"/>
    <cellStyle name="Normal 2 4 2 16" xfId="28763" xr:uid="{00000000-0005-0000-0000-000040700000}"/>
    <cellStyle name="Normal 2 4 2 17" xfId="28764" xr:uid="{00000000-0005-0000-0000-000041700000}"/>
    <cellStyle name="Normal 2 4 2 18" xfId="28765" xr:uid="{00000000-0005-0000-0000-000042700000}"/>
    <cellStyle name="Normal 2 4 2 18 2" xfId="28766" xr:uid="{00000000-0005-0000-0000-000043700000}"/>
    <cellStyle name="Normal 2 4 2 18 2 2" xfId="28767" xr:uid="{00000000-0005-0000-0000-000044700000}"/>
    <cellStyle name="Normal 2 4 2 18 2 2 2" xfId="28768" xr:uid="{00000000-0005-0000-0000-000045700000}"/>
    <cellStyle name="Normal 2 4 2 18 2 2 2 2" xfId="28769" xr:uid="{00000000-0005-0000-0000-000046700000}"/>
    <cellStyle name="Normal 2 4 2 18 2 3" xfId="28770" xr:uid="{00000000-0005-0000-0000-000047700000}"/>
    <cellStyle name="Normal 2 4 2 18 3" xfId="28771" xr:uid="{00000000-0005-0000-0000-000048700000}"/>
    <cellStyle name="Normal 2 4 2 18 3 2" xfId="28772" xr:uid="{00000000-0005-0000-0000-000049700000}"/>
    <cellStyle name="Normal 2 4 2 19" xfId="28773" xr:uid="{00000000-0005-0000-0000-00004A700000}"/>
    <cellStyle name="Normal 2 4 2 2" xfId="28774" xr:uid="{00000000-0005-0000-0000-00004B700000}"/>
    <cellStyle name="Normal 2 4 2 2 2" xfId="28775" xr:uid="{00000000-0005-0000-0000-00004C700000}"/>
    <cellStyle name="Normal 2 4 2 20" xfId="28776" xr:uid="{00000000-0005-0000-0000-00004D700000}"/>
    <cellStyle name="Normal 2 4 2 21" xfId="28756" xr:uid="{00000000-0005-0000-0000-00004E700000}"/>
    <cellStyle name="Normal 2 4 2 3" xfId="28777" xr:uid="{00000000-0005-0000-0000-00004F700000}"/>
    <cellStyle name="Normal 2 4 2 4" xfId="28778" xr:uid="{00000000-0005-0000-0000-000050700000}"/>
    <cellStyle name="Normal 2 4 2 5" xfId="28779" xr:uid="{00000000-0005-0000-0000-000051700000}"/>
    <cellStyle name="Normal 2 4 2 6" xfId="28780" xr:uid="{00000000-0005-0000-0000-000052700000}"/>
    <cellStyle name="Normal 2 4 2 7" xfId="28781" xr:uid="{00000000-0005-0000-0000-000053700000}"/>
    <cellStyle name="Normal 2 4 2 8" xfId="28782" xr:uid="{00000000-0005-0000-0000-000054700000}"/>
    <cellStyle name="Normal 2 4 2 9" xfId="28783" xr:uid="{00000000-0005-0000-0000-000055700000}"/>
    <cellStyle name="Normal 2 4 3" xfId="28784" xr:uid="{00000000-0005-0000-0000-000056700000}"/>
    <cellStyle name="Normal 2 4 3 2" xfId="28785" xr:uid="{00000000-0005-0000-0000-000057700000}"/>
    <cellStyle name="Normal 2 4 3 3" xfId="28786" xr:uid="{00000000-0005-0000-0000-000058700000}"/>
    <cellStyle name="Normal 2 4 4" xfId="28787" xr:uid="{00000000-0005-0000-0000-000059700000}"/>
    <cellStyle name="Normal 2 4 4 2" xfId="28788" xr:uid="{00000000-0005-0000-0000-00005A700000}"/>
    <cellStyle name="Normal 2 4 4 3" xfId="28789" xr:uid="{00000000-0005-0000-0000-00005B700000}"/>
    <cellStyle name="Normal 2 4 5" xfId="28790" xr:uid="{00000000-0005-0000-0000-00005C700000}"/>
    <cellStyle name="Normal 2 4 5 2" xfId="28791" xr:uid="{00000000-0005-0000-0000-00005D700000}"/>
    <cellStyle name="Normal 2 4 6" xfId="28792" xr:uid="{00000000-0005-0000-0000-00005E700000}"/>
    <cellStyle name="Normal 2 4 6 2" xfId="28793" xr:uid="{00000000-0005-0000-0000-00005F700000}"/>
    <cellStyle name="Normal 2 4 7" xfId="28794" xr:uid="{00000000-0005-0000-0000-000060700000}"/>
    <cellStyle name="Normal 2 4 8" xfId="28795" xr:uid="{00000000-0005-0000-0000-000061700000}"/>
    <cellStyle name="Normal 2 4 9" xfId="28796" xr:uid="{00000000-0005-0000-0000-000062700000}"/>
    <cellStyle name="Normal 2 40" xfId="28797" xr:uid="{00000000-0005-0000-0000-000063700000}"/>
    <cellStyle name="Normal 2 40 2" xfId="28798" xr:uid="{00000000-0005-0000-0000-000064700000}"/>
    <cellStyle name="Normal 2 40 3" xfId="28799" xr:uid="{00000000-0005-0000-0000-000065700000}"/>
    <cellStyle name="Normal 2 41" xfId="21" xr:uid="{00000000-0005-0000-0000-000066700000}"/>
    <cellStyle name="Normal 2 41 2" xfId="28800" xr:uid="{00000000-0005-0000-0000-000067700000}"/>
    <cellStyle name="Normal 2 41 2 2" xfId="28801" xr:uid="{00000000-0005-0000-0000-000068700000}"/>
    <cellStyle name="Normal 2 41 3" xfId="28802" xr:uid="{00000000-0005-0000-0000-000069700000}"/>
    <cellStyle name="Normal 2 41 4" xfId="28803" xr:uid="{00000000-0005-0000-0000-00006A700000}"/>
    <cellStyle name="Normal 2 41 5" xfId="28804" xr:uid="{00000000-0005-0000-0000-00006B700000}"/>
    <cellStyle name="Normal 2 41 6" xfId="28805" xr:uid="{00000000-0005-0000-0000-00006C700000}"/>
    <cellStyle name="Normal 2 41 7" xfId="28806" xr:uid="{00000000-0005-0000-0000-00006D700000}"/>
    <cellStyle name="Normal 2 41 8" xfId="28807" xr:uid="{00000000-0005-0000-0000-00006E700000}"/>
    <cellStyle name="Normal 2 41 8 2" xfId="28808" xr:uid="{00000000-0005-0000-0000-00006F700000}"/>
    <cellStyle name="Normal 2 41 9" xfId="28809" xr:uid="{00000000-0005-0000-0000-000070700000}"/>
    <cellStyle name="Normal 2 42" xfId="28810" xr:uid="{00000000-0005-0000-0000-000071700000}"/>
    <cellStyle name="Normal 2 42 2" xfId="28811" xr:uid="{00000000-0005-0000-0000-000072700000}"/>
    <cellStyle name="Normal 2 42 3" xfId="28812" xr:uid="{00000000-0005-0000-0000-000073700000}"/>
    <cellStyle name="Normal 2 42 4" xfId="28813" xr:uid="{00000000-0005-0000-0000-000074700000}"/>
    <cellStyle name="Normal 2 42 5" xfId="28814" xr:uid="{00000000-0005-0000-0000-000075700000}"/>
    <cellStyle name="Normal 2 42 6" xfId="28815" xr:uid="{00000000-0005-0000-0000-000076700000}"/>
    <cellStyle name="Normal 2 42 7" xfId="28816" xr:uid="{00000000-0005-0000-0000-000077700000}"/>
    <cellStyle name="Normal 2 42 8" xfId="28817" xr:uid="{00000000-0005-0000-0000-000078700000}"/>
    <cellStyle name="Normal 2 43" xfId="28818" xr:uid="{00000000-0005-0000-0000-000079700000}"/>
    <cellStyle name="Normal 2 43 2" xfId="28819" xr:uid="{00000000-0005-0000-0000-00007A700000}"/>
    <cellStyle name="Normal 2 43 3" xfId="28820" xr:uid="{00000000-0005-0000-0000-00007B700000}"/>
    <cellStyle name="Normal 2 44" xfId="28821" xr:uid="{00000000-0005-0000-0000-00007C700000}"/>
    <cellStyle name="Normal 2 44 2" xfId="28822" xr:uid="{00000000-0005-0000-0000-00007D700000}"/>
    <cellStyle name="Normal 2 44 3" xfId="28823" xr:uid="{00000000-0005-0000-0000-00007E700000}"/>
    <cellStyle name="Normal 2 45" xfId="28824" xr:uid="{00000000-0005-0000-0000-00007F700000}"/>
    <cellStyle name="Normal 2 45 2" xfId="28825" xr:uid="{00000000-0005-0000-0000-000080700000}"/>
    <cellStyle name="Normal 2 45 3" xfId="28826" xr:uid="{00000000-0005-0000-0000-000081700000}"/>
    <cellStyle name="Normal 2 46" xfId="28827" xr:uid="{00000000-0005-0000-0000-000082700000}"/>
    <cellStyle name="Normal 2 46 2" xfId="28828" xr:uid="{00000000-0005-0000-0000-000083700000}"/>
    <cellStyle name="Normal 2 46 3" xfId="28829" xr:uid="{00000000-0005-0000-0000-000084700000}"/>
    <cellStyle name="Normal 2 47" xfId="28830" xr:uid="{00000000-0005-0000-0000-000085700000}"/>
    <cellStyle name="Normal 2 47 2" xfId="28831" xr:uid="{00000000-0005-0000-0000-000086700000}"/>
    <cellStyle name="Normal 2 47 3" xfId="28832" xr:uid="{00000000-0005-0000-0000-000087700000}"/>
    <cellStyle name="Normal 2 48" xfId="28833" xr:uid="{00000000-0005-0000-0000-000088700000}"/>
    <cellStyle name="Normal 2 48 2" xfId="28834" xr:uid="{00000000-0005-0000-0000-000089700000}"/>
    <cellStyle name="Normal 2 48 3" xfId="28835" xr:uid="{00000000-0005-0000-0000-00008A700000}"/>
    <cellStyle name="Normal 2 49" xfId="28836" xr:uid="{00000000-0005-0000-0000-00008B700000}"/>
    <cellStyle name="Normal 2 49 2" xfId="28837" xr:uid="{00000000-0005-0000-0000-00008C700000}"/>
    <cellStyle name="Normal 2 49 3" xfId="28838" xr:uid="{00000000-0005-0000-0000-00008D700000}"/>
    <cellStyle name="Normal 2 5" xfId="34" xr:uid="{00000000-0005-0000-0000-00008E700000}"/>
    <cellStyle name="Normal 2 5 10" xfId="28840" xr:uid="{00000000-0005-0000-0000-00008F700000}"/>
    <cellStyle name="Normal 2 5 11" xfId="28841" xr:uid="{00000000-0005-0000-0000-000090700000}"/>
    <cellStyle name="Normal 2 5 12" xfId="28842" xr:uid="{00000000-0005-0000-0000-000091700000}"/>
    <cellStyle name="Normal 2 5 13" xfId="28843" xr:uid="{00000000-0005-0000-0000-000092700000}"/>
    <cellStyle name="Normal 2 5 14" xfId="28844" xr:uid="{00000000-0005-0000-0000-000093700000}"/>
    <cellStyle name="Normal 2 5 15" xfId="28845" xr:uid="{00000000-0005-0000-0000-000094700000}"/>
    <cellStyle name="Normal 2 5 16" xfId="28846" xr:uid="{00000000-0005-0000-0000-000095700000}"/>
    <cellStyle name="Normal 2 5 17" xfId="28847" xr:uid="{00000000-0005-0000-0000-000096700000}"/>
    <cellStyle name="Normal 2 5 18" xfId="28848" xr:uid="{00000000-0005-0000-0000-000097700000}"/>
    <cellStyle name="Normal 2 5 19" xfId="28849" xr:uid="{00000000-0005-0000-0000-000098700000}"/>
    <cellStyle name="Normal 2 5 2" xfId="28850" xr:uid="{00000000-0005-0000-0000-000099700000}"/>
    <cellStyle name="Normal 2 5 2 10" xfId="28851" xr:uid="{00000000-0005-0000-0000-00009A700000}"/>
    <cellStyle name="Normal 2 5 2 11" xfId="28852" xr:uid="{00000000-0005-0000-0000-00009B700000}"/>
    <cellStyle name="Normal 2 5 2 12" xfId="28853" xr:uid="{00000000-0005-0000-0000-00009C700000}"/>
    <cellStyle name="Normal 2 5 2 13" xfId="28854" xr:uid="{00000000-0005-0000-0000-00009D700000}"/>
    <cellStyle name="Normal 2 5 2 14" xfId="28855" xr:uid="{00000000-0005-0000-0000-00009E700000}"/>
    <cellStyle name="Normal 2 5 2 15" xfId="28856" xr:uid="{00000000-0005-0000-0000-00009F700000}"/>
    <cellStyle name="Normal 2 5 2 16" xfId="28857" xr:uid="{00000000-0005-0000-0000-0000A0700000}"/>
    <cellStyle name="Normal 2 5 2 17" xfId="28858" xr:uid="{00000000-0005-0000-0000-0000A1700000}"/>
    <cellStyle name="Normal 2 5 2 18" xfId="28859" xr:uid="{00000000-0005-0000-0000-0000A2700000}"/>
    <cellStyle name="Normal 2 5 2 19" xfId="28860" xr:uid="{00000000-0005-0000-0000-0000A3700000}"/>
    <cellStyle name="Normal 2 5 2 2" xfId="28861" xr:uid="{00000000-0005-0000-0000-0000A4700000}"/>
    <cellStyle name="Normal 2 5 2 2 10" xfId="28862" xr:uid="{00000000-0005-0000-0000-0000A5700000}"/>
    <cellStyle name="Normal 2 5 2 2 11" xfId="28863" xr:uid="{00000000-0005-0000-0000-0000A6700000}"/>
    <cellStyle name="Normal 2 5 2 2 12" xfId="28864" xr:uid="{00000000-0005-0000-0000-0000A7700000}"/>
    <cellStyle name="Normal 2 5 2 2 13" xfId="28865" xr:uid="{00000000-0005-0000-0000-0000A8700000}"/>
    <cellStyle name="Normal 2 5 2 2 14" xfId="28866" xr:uid="{00000000-0005-0000-0000-0000A9700000}"/>
    <cellStyle name="Normal 2 5 2 2 15" xfId="28867" xr:uid="{00000000-0005-0000-0000-0000AA700000}"/>
    <cellStyle name="Normal 2 5 2 2 16" xfId="28868" xr:uid="{00000000-0005-0000-0000-0000AB700000}"/>
    <cellStyle name="Normal 2 5 2 2 17" xfId="28869" xr:uid="{00000000-0005-0000-0000-0000AC700000}"/>
    <cellStyle name="Normal 2 5 2 2 18" xfId="28870" xr:uid="{00000000-0005-0000-0000-0000AD700000}"/>
    <cellStyle name="Normal 2 5 2 2 19" xfId="28871" xr:uid="{00000000-0005-0000-0000-0000AE700000}"/>
    <cellStyle name="Normal 2 5 2 2 2" xfId="28872" xr:uid="{00000000-0005-0000-0000-0000AF700000}"/>
    <cellStyle name="Normal 2 5 2 2 20" xfId="28873" xr:uid="{00000000-0005-0000-0000-0000B0700000}"/>
    <cellStyle name="Normal 2 5 2 2 3" xfId="28874" xr:uid="{00000000-0005-0000-0000-0000B1700000}"/>
    <cellStyle name="Normal 2 5 2 2 4" xfId="28875" xr:uid="{00000000-0005-0000-0000-0000B2700000}"/>
    <cellStyle name="Normal 2 5 2 2 5" xfId="28876" xr:uid="{00000000-0005-0000-0000-0000B3700000}"/>
    <cellStyle name="Normal 2 5 2 2 6" xfId="28877" xr:uid="{00000000-0005-0000-0000-0000B4700000}"/>
    <cellStyle name="Normal 2 5 2 2 7" xfId="28878" xr:uid="{00000000-0005-0000-0000-0000B5700000}"/>
    <cellStyle name="Normal 2 5 2 2 8" xfId="28879" xr:uid="{00000000-0005-0000-0000-0000B6700000}"/>
    <cellStyle name="Normal 2 5 2 2 9" xfId="28880" xr:uid="{00000000-0005-0000-0000-0000B7700000}"/>
    <cellStyle name="Normal 2 5 2 20" xfId="28881" xr:uid="{00000000-0005-0000-0000-0000B8700000}"/>
    <cellStyle name="Normal 2 5 2 21" xfId="28882" xr:uid="{00000000-0005-0000-0000-0000B9700000}"/>
    <cellStyle name="Normal 2 5 2 22" xfId="28883" xr:uid="{00000000-0005-0000-0000-0000BA700000}"/>
    <cellStyle name="Normal 2 5 2 23" xfId="28884" xr:uid="{00000000-0005-0000-0000-0000BB700000}"/>
    <cellStyle name="Normal 2 5 2 3" xfId="28885" xr:uid="{00000000-0005-0000-0000-0000BC700000}"/>
    <cellStyle name="Normal 2 5 2 4" xfId="28886" xr:uid="{00000000-0005-0000-0000-0000BD700000}"/>
    <cellStyle name="Normal 2 5 2 5" xfId="28887" xr:uid="{00000000-0005-0000-0000-0000BE700000}"/>
    <cellStyle name="Normal 2 5 2 6" xfId="28888" xr:uid="{00000000-0005-0000-0000-0000BF700000}"/>
    <cellStyle name="Normal 2 5 2 7" xfId="28889" xr:uid="{00000000-0005-0000-0000-0000C0700000}"/>
    <cellStyle name="Normal 2 5 2 8" xfId="28890" xr:uid="{00000000-0005-0000-0000-0000C1700000}"/>
    <cellStyle name="Normal 2 5 2 9" xfId="28891" xr:uid="{00000000-0005-0000-0000-0000C2700000}"/>
    <cellStyle name="Normal 2 5 20" xfId="28892" xr:uid="{00000000-0005-0000-0000-0000C3700000}"/>
    <cellStyle name="Normal 2 5 21" xfId="28893" xr:uid="{00000000-0005-0000-0000-0000C4700000}"/>
    <cellStyle name="Normal 2 5 22" xfId="28894" xr:uid="{00000000-0005-0000-0000-0000C5700000}"/>
    <cellStyle name="Normal 2 5 23" xfId="28895" xr:uid="{00000000-0005-0000-0000-0000C6700000}"/>
    <cellStyle name="Normal 2 5 24" xfId="28896" xr:uid="{00000000-0005-0000-0000-0000C7700000}"/>
    <cellStyle name="Normal 2 5 25" xfId="28897" xr:uid="{00000000-0005-0000-0000-0000C8700000}"/>
    <cellStyle name="Normal 2 5 26" xfId="28898" xr:uid="{00000000-0005-0000-0000-0000C9700000}"/>
    <cellStyle name="Normal 2 5 27" xfId="28899" xr:uid="{00000000-0005-0000-0000-0000CA700000}"/>
    <cellStyle name="Normal 2 5 28" xfId="28900" xr:uid="{00000000-0005-0000-0000-0000CB700000}"/>
    <cellStyle name="Normal 2 5 29" xfId="28901" xr:uid="{00000000-0005-0000-0000-0000CC700000}"/>
    <cellStyle name="Normal 2 5 3" xfId="28902" xr:uid="{00000000-0005-0000-0000-0000CD700000}"/>
    <cellStyle name="Normal 2 5 3 2" xfId="28903" xr:uid="{00000000-0005-0000-0000-0000CE700000}"/>
    <cellStyle name="Normal 2 5 3 3" xfId="28904" xr:uid="{00000000-0005-0000-0000-0000CF700000}"/>
    <cellStyle name="Normal 2 5 3 4" xfId="28905" xr:uid="{00000000-0005-0000-0000-0000D0700000}"/>
    <cellStyle name="Normal 2 5 30" xfId="28906" xr:uid="{00000000-0005-0000-0000-0000D1700000}"/>
    <cellStyle name="Normal 2 5 31" xfId="28907" xr:uid="{00000000-0005-0000-0000-0000D2700000}"/>
    <cellStyle name="Normal 2 5 32" xfId="28908" xr:uid="{00000000-0005-0000-0000-0000D3700000}"/>
    <cellStyle name="Normal 2 5 33" xfId="28909" xr:uid="{00000000-0005-0000-0000-0000D4700000}"/>
    <cellStyle name="Normal 2 5 34" xfId="28910" xr:uid="{00000000-0005-0000-0000-0000D5700000}"/>
    <cellStyle name="Normal 2 5 35" xfId="28911" xr:uid="{00000000-0005-0000-0000-0000D6700000}"/>
    <cellStyle name="Normal 2 5 36" xfId="28839" xr:uid="{00000000-0005-0000-0000-0000D7700000}"/>
    <cellStyle name="Normal 2 5 4" xfId="28912" xr:uid="{00000000-0005-0000-0000-0000D8700000}"/>
    <cellStyle name="Normal 2 5 4 2" xfId="28913" xr:uid="{00000000-0005-0000-0000-0000D9700000}"/>
    <cellStyle name="Normal 2 5 5" xfId="28914" xr:uid="{00000000-0005-0000-0000-0000DA700000}"/>
    <cellStyle name="Normal 2 5 5 2" xfId="28915" xr:uid="{00000000-0005-0000-0000-0000DB700000}"/>
    <cellStyle name="Normal 2 5 6" xfId="28916" xr:uid="{00000000-0005-0000-0000-0000DC700000}"/>
    <cellStyle name="Normal 2 5 6 2" xfId="28917" xr:uid="{00000000-0005-0000-0000-0000DD700000}"/>
    <cellStyle name="Normal 2 5 7" xfId="28918" xr:uid="{00000000-0005-0000-0000-0000DE700000}"/>
    <cellStyle name="Normal 2 5 7 2" xfId="28919" xr:uid="{00000000-0005-0000-0000-0000DF700000}"/>
    <cellStyle name="Normal 2 5 8" xfId="28920" xr:uid="{00000000-0005-0000-0000-0000E0700000}"/>
    <cellStyle name="Normal 2 5 9" xfId="28921" xr:uid="{00000000-0005-0000-0000-0000E1700000}"/>
    <cellStyle name="Normal 2 50" xfId="28922" xr:uid="{00000000-0005-0000-0000-0000E2700000}"/>
    <cellStyle name="Normal 2 50 2" xfId="28923" xr:uid="{00000000-0005-0000-0000-0000E3700000}"/>
    <cellStyle name="Normal 2 50 3" xfId="28924" xr:uid="{00000000-0005-0000-0000-0000E4700000}"/>
    <cellStyle name="Normal 2 51" xfId="28925" xr:uid="{00000000-0005-0000-0000-0000E5700000}"/>
    <cellStyle name="Normal 2 51 2" xfId="28926" xr:uid="{00000000-0005-0000-0000-0000E6700000}"/>
    <cellStyle name="Normal 2 51 3" xfId="28927" xr:uid="{00000000-0005-0000-0000-0000E7700000}"/>
    <cellStyle name="Normal 2 51 4" xfId="28928" xr:uid="{00000000-0005-0000-0000-0000E8700000}"/>
    <cellStyle name="Normal 2 51 5" xfId="28929" xr:uid="{00000000-0005-0000-0000-0000E9700000}"/>
    <cellStyle name="Normal 2 52" xfId="28930" xr:uid="{00000000-0005-0000-0000-0000EA700000}"/>
    <cellStyle name="Normal 2 52 2" xfId="28931" xr:uid="{00000000-0005-0000-0000-0000EB700000}"/>
    <cellStyle name="Normal 2 52 3" xfId="28932" xr:uid="{00000000-0005-0000-0000-0000EC700000}"/>
    <cellStyle name="Normal 2 52 4" xfId="28933" xr:uid="{00000000-0005-0000-0000-0000ED700000}"/>
    <cellStyle name="Normal 2 52 5" xfId="28934" xr:uid="{00000000-0005-0000-0000-0000EE700000}"/>
    <cellStyle name="Normal 2 53" xfId="28935" xr:uid="{00000000-0005-0000-0000-0000EF700000}"/>
    <cellStyle name="Normal 2 53 2" xfId="28936" xr:uid="{00000000-0005-0000-0000-0000F0700000}"/>
    <cellStyle name="Normal 2 53 3" xfId="28937" xr:uid="{00000000-0005-0000-0000-0000F1700000}"/>
    <cellStyle name="Normal 2 53 4" xfId="28938" xr:uid="{00000000-0005-0000-0000-0000F2700000}"/>
    <cellStyle name="Normal 2 53 5" xfId="28939" xr:uid="{00000000-0005-0000-0000-0000F3700000}"/>
    <cellStyle name="Normal 2 54" xfId="28940" xr:uid="{00000000-0005-0000-0000-0000F4700000}"/>
    <cellStyle name="Normal 2 54 2" xfId="28941" xr:uid="{00000000-0005-0000-0000-0000F5700000}"/>
    <cellStyle name="Normal 2 54 3" xfId="28942" xr:uid="{00000000-0005-0000-0000-0000F6700000}"/>
    <cellStyle name="Normal 2 54 4" xfId="28943" xr:uid="{00000000-0005-0000-0000-0000F7700000}"/>
    <cellStyle name="Normal 2 54 5" xfId="28944" xr:uid="{00000000-0005-0000-0000-0000F8700000}"/>
    <cellStyle name="Normal 2 55" xfId="28945" xr:uid="{00000000-0005-0000-0000-0000F9700000}"/>
    <cellStyle name="Normal 2 55 2" xfId="28946" xr:uid="{00000000-0005-0000-0000-0000FA700000}"/>
    <cellStyle name="Normal 2 55 3" xfId="28947" xr:uid="{00000000-0005-0000-0000-0000FB700000}"/>
    <cellStyle name="Normal 2 55 4" xfId="28948" xr:uid="{00000000-0005-0000-0000-0000FC700000}"/>
    <cellStyle name="Normal 2 55 5" xfId="28949" xr:uid="{00000000-0005-0000-0000-0000FD700000}"/>
    <cellStyle name="Normal 2 56" xfId="28950" xr:uid="{00000000-0005-0000-0000-0000FE700000}"/>
    <cellStyle name="Normal 2 56 2" xfId="28951" xr:uid="{00000000-0005-0000-0000-0000FF700000}"/>
    <cellStyle name="Normal 2 56 3" xfId="28952" xr:uid="{00000000-0005-0000-0000-000000710000}"/>
    <cellStyle name="Normal 2 56 4" xfId="28953" xr:uid="{00000000-0005-0000-0000-000001710000}"/>
    <cellStyle name="Normal 2 56 5" xfId="28954" xr:uid="{00000000-0005-0000-0000-000002710000}"/>
    <cellStyle name="Normal 2 57" xfId="28955" xr:uid="{00000000-0005-0000-0000-000003710000}"/>
    <cellStyle name="Normal 2 57 2" xfId="28956" xr:uid="{00000000-0005-0000-0000-000004710000}"/>
    <cellStyle name="Normal 2 57 3" xfId="28957" xr:uid="{00000000-0005-0000-0000-000005710000}"/>
    <cellStyle name="Normal 2 57 4" xfId="28958" xr:uid="{00000000-0005-0000-0000-000006710000}"/>
    <cellStyle name="Normal 2 57 5" xfId="28959" xr:uid="{00000000-0005-0000-0000-000007710000}"/>
    <cellStyle name="Normal 2 58" xfId="28960" xr:uid="{00000000-0005-0000-0000-000008710000}"/>
    <cellStyle name="Normal 2 58 2" xfId="28961" xr:uid="{00000000-0005-0000-0000-000009710000}"/>
    <cellStyle name="Normal 2 58 3" xfId="28962" xr:uid="{00000000-0005-0000-0000-00000A710000}"/>
    <cellStyle name="Normal 2 58 4" xfId="28963" xr:uid="{00000000-0005-0000-0000-00000B710000}"/>
    <cellStyle name="Normal 2 58 5" xfId="28964" xr:uid="{00000000-0005-0000-0000-00000C710000}"/>
    <cellStyle name="Normal 2 59" xfId="28965" xr:uid="{00000000-0005-0000-0000-00000D710000}"/>
    <cellStyle name="Normal 2 59 2" xfId="28966" xr:uid="{00000000-0005-0000-0000-00000E710000}"/>
    <cellStyle name="Normal 2 59 3" xfId="28967" xr:uid="{00000000-0005-0000-0000-00000F710000}"/>
    <cellStyle name="Normal 2 59 4" xfId="28968" xr:uid="{00000000-0005-0000-0000-000010710000}"/>
    <cellStyle name="Normal 2 59 5" xfId="28969" xr:uid="{00000000-0005-0000-0000-000011710000}"/>
    <cellStyle name="Normal 2 6" xfId="28970" xr:uid="{00000000-0005-0000-0000-000012710000}"/>
    <cellStyle name="Normal 2 6 10" xfId="28971" xr:uid="{00000000-0005-0000-0000-000013710000}"/>
    <cellStyle name="Normal 2 6 11" xfId="28972" xr:uid="{00000000-0005-0000-0000-000014710000}"/>
    <cellStyle name="Normal 2 6 12" xfId="28973" xr:uid="{00000000-0005-0000-0000-000015710000}"/>
    <cellStyle name="Normal 2 6 13" xfId="28974" xr:uid="{00000000-0005-0000-0000-000016710000}"/>
    <cellStyle name="Normal 2 6 14" xfId="28975" xr:uid="{00000000-0005-0000-0000-000017710000}"/>
    <cellStyle name="Normal 2 6 15" xfId="28976" xr:uid="{00000000-0005-0000-0000-000018710000}"/>
    <cellStyle name="Normal 2 6 16" xfId="28977" xr:uid="{00000000-0005-0000-0000-000019710000}"/>
    <cellStyle name="Normal 2 6 17" xfId="28978" xr:uid="{00000000-0005-0000-0000-00001A710000}"/>
    <cellStyle name="Normal 2 6 18" xfId="28979" xr:uid="{00000000-0005-0000-0000-00001B710000}"/>
    <cellStyle name="Normal 2 6 19" xfId="28980" xr:uid="{00000000-0005-0000-0000-00001C710000}"/>
    <cellStyle name="Normal 2 6 2" xfId="28981" xr:uid="{00000000-0005-0000-0000-00001D710000}"/>
    <cellStyle name="Normal 2 6 2 10" xfId="28982" xr:uid="{00000000-0005-0000-0000-00001E710000}"/>
    <cellStyle name="Normal 2 6 2 11" xfId="28983" xr:uid="{00000000-0005-0000-0000-00001F710000}"/>
    <cellStyle name="Normal 2 6 2 12" xfId="28984" xr:uid="{00000000-0005-0000-0000-000020710000}"/>
    <cellStyle name="Normal 2 6 2 13" xfId="28985" xr:uid="{00000000-0005-0000-0000-000021710000}"/>
    <cellStyle name="Normal 2 6 2 14" xfId="28986" xr:uid="{00000000-0005-0000-0000-000022710000}"/>
    <cellStyle name="Normal 2 6 2 15" xfId="28987" xr:uid="{00000000-0005-0000-0000-000023710000}"/>
    <cellStyle name="Normal 2 6 2 16" xfId="28988" xr:uid="{00000000-0005-0000-0000-000024710000}"/>
    <cellStyle name="Normal 2 6 2 17" xfId="28989" xr:uid="{00000000-0005-0000-0000-000025710000}"/>
    <cellStyle name="Normal 2 6 2 18" xfId="28990" xr:uid="{00000000-0005-0000-0000-000026710000}"/>
    <cellStyle name="Normal 2 6 2 19" xfId="28991" xr:uid="{00000000-0005-0000-0000-000027710000}"/>
    <cellStyle name="Normal 2 6 2 2" xfId="28992" xr:uid="{00000000-0005-0000-0000-000028710000}"/>
    <cellStyle name="Normal 2 6 2 20" xfId="28993" xr:uid="{00000000-0005-0000-0000-000029710000}"/>
    <cellStyle name="Normal 2 6 2 21" xfId="28994" xr:uid="{00000000-0005-0000-0000-00002A710000}"/>
    <cellStyle name="Normal 2 6 2 3" xfId="28995" xr:uid="{00000000-0005-0000-0000-00002B710000}"/>
    <cellStyle name="Normal 2 6 2 4" xfId="28996" xr:uid="{00000000-0005-0000-0000-00002C710000}"/>
    <cellStyle name="Normal 2 6 2 5" xfId="28997" xr:uid="{00000000-0005-0000-0000-00002D710000}"/>
    <cellStyle name="Normal 2 6 2 6" xfId="28998" xr:uid="{00000000-0005-0000-0000-00002E710000}"/>
    <cellStyle name="Normal 2 6 2 7" xfId="28999" xr:uid="{00000000-0005-0000-0000-00002F710000}"/>
    <cellStyle name="Normal 2 6 2 8" xfId="29000" xr:uid="{00000000-0005-0000-0000-000030710000}"/>
    <cellStyle name="Normal 2 6 2 9" xfId="29001" xr:uid="{00000000-0005-0000-0000-000031710000}"/>
    <cellStyle name="Normal 2 6 20" xfId="29002" xr:uid="{00000000-0005-0000-0000-000032710000}"/>
    <cellStyle name="Normal 2 6 21" xfId="29003" xr:uid="{00000000-0005-0000-0000-000033710000}"/>
    <cellStyle name="Normal 2 6 22" xfId="29004" xr:uid="{00000000-0005-0000-0000-000034710000}"/>
    <cellStyle name="Normal 2 6 3" xfId="29005" xr:uid="{00000000-0005-0000-0000-000035710000}"/>
    <cellStyle name="Normal 2 6 4" xfId="29006" xr:uid="{00000000-0005-0000-0000-000036710000}"/>
    <cellStyle name="Normal 2 6 5" xfId="29007" xr:uid="{00000000-0005-0000-0000-000037710000}"/>
    <cellStyle name="Normal 2 6 6" xfId="29008" xr:uid="{00000000-0005-0000-0000-000038710000}"/>
    <cellStyle name="Normal 2 6 7" xfId="29009" xr:uid="{00000000-0005-0000-0000-000039710000}"/>
    <cellStyle name="Normal 2 6 8" xfId="29010" xr:uid="{00000000-0005-0000-0000-00003A710000}"/>
    <cellStyle name="Normal 2 6 9" xfId="29011" xr:uid="{00000000-0005-0000-0000-00003B710000}"/>
    <cellStyle name="Normal 2 60" xfId="29012" xr:uid="{00000000-0005-0000-0000-00003C710000}"/>
    <cellStyle name="Normal 2 60 2" xfId="29013" xr:uid="{00000000-0005-0000-0000-00003D710000}"/>
    <cellStyle name="Normal 2 60 3" xfId="29014" xr:uid="{00000000-0005-0000-0000-00003E710000}"/>
    <cellStyle name="Normal 2 61" xfId="29015" xr:uid="{00000000-0005-0000-0000-00003F710000}"/>
    <cellStyle name="Normal 2 61 2" xfId="29016" xr:uid="{00000000-0005-0000-0000-000040710000}"/>
    <cellStyle name="Normal 2 61 3" xfId="29017" xr:uid="{00000000-0005-0000-0000-000041710000}"/>
    <cellStyle name="Normal 2 62" xfId="29018" xr:uid="{00000000-0005-0000-0000-000042710000}"/>
    <cellStyle name="Normal 2 62 2" xfId="29019" xr:uid="{00000000-0005-0000-0000-000043710000}"/>
    <cellStyle name="Normal 2 62 3" xfId="29020" xr:uid="{00000000-0005-0000-0000-000044710000}"/>
    <cellStyle name="Normal 2 63" xfId="29021" xr:uid="{00000000-0005-0000-0000-000045710000}"/>
    <cellStyle name="Normal 2 63 2" xfId="29022" xr:uid="{00000000-0005-0000-0000-000046710000}"/>
    <cellStyle name="Normal 2 63 3" xfId="29023" xr:uid="{00000000-0005-0000-0000-000047710000}"/>
    <cellStyle name="Normal 2 64" xfId="29024" xr:uid="{00000000-0005-0000-0000-000048710000}"/>
    <cellStyle name="Normal 2 64 2" xfId="29025" xr:uid="{00000000-0005-0000-0000-000049710000}"/>
    <cellStyle name="Normal 2 64 3" xfId="29026" xr:uid="{00000000-0005-0000-0000-00004A710000}"/>
    <cellStyle name="Normal 2 65" xfId="29027" xr:uid="{00000000-0005-0000-0000-00004B710000}"/>
    <cellStyle name="Normal 2 65 2" xfId="29028" xr:uid="{00000000-0005-0000-0000-00004C710000}"/>
    <cellStyle name="Normal 2 65 3" xfId="29029" xr:uid="{00000000-0005-0000-0000-00004D710000}"/>
    <cellStyle name="Normal 2 66" xfId="29030" xr:uid="{00000000-0005-0000-0000-00004E710000}"/>
    <cellStyle name="Normal 2 66 2" xfId="29031" xr:uid="{00000000-0005-0000-0000-00004F710000}"/>
    <cellStyle name="Normal 2 66 3" xfId="29032" xr:uid="{00000000-0005-0000-0000-000050710000}"/>
    <cellStyle name="Normal 2 67" xfId="29033" xr:uid="{00000000-0005-0000-0000-000051710000}"/>
    <cellStyle name="Normal 2 67 2" xfId="29034" xr:uid="{00000000-0005-0000-0000-000052710000}"/>
    <cellStyle name="Normal 2 67 3" xfId="29035" xr:uid="{00000000-0005-0000-0000-000053710000}"/>
    <cellStyle name="Normal 2 68" xfId="29036" xr:uid="{00000000-0005-0000-0000-000054710000}"/>
    <cellStyle name="Normal 2 68 2" xfId="29037" xr:uid="{00000000-0005-0000-0000-000055710000}"/>
    <cellStyle name="Normal 2 68 3" xfId="29038" xr:uid="{00000000-0005-0000-0000-000056710000}"/>
    <cellStyle name="Normal 2 69" xfId="29039" xr:uid="{00000000-0005-0000-0000-000057710000}"/>
    <cellStyle name="Normal 2 69 2" xfId="29040" xr:uid="{00000000-0005-0000-0000-000058710000}"/>
    <cellStyle name="Normal 2 69 3" xfId="29041" xr:uid="{00000000-0005-0000-0000-000059710000}"/>
    <cellStyle name="Normal 2 7" xfId="29042" xr:uid="{00000000-0005-0000-0000-00005A710000}"/>
    <cellStyle name="Normal 2 7 2" xfId="29043" xr:uid="{00000000-0005-0000-0000-00005B710000}"/>
    <cellStyle name="Normal 2 7 3" xfId="29044" xr:uid="{00000000-0005-0000-0000-00005C710000}"/>
    <cellStyle name="Normal 2 70" xfId="29045" xr:uid="{00000000-0005-0000-0000-00005D710000}"/>
    <cellStyle name="Normal 2 70 2" xfId="29046" xr:uid="{00000000-0005-0000-0000-00005E710000}"/>
    <cellStyle name="Normal 2 70 3" xfId="29047" xr:uid="{00000000-0005-0000-0000-00005F710000}"/>
    <cellStyle name="Normal 2 71" xfId="29048" xr:uid="{00000000-0005-0000-0000-000060710000}"/>
    <cellStyle name="Normal 2 71 2" xfId="29049" xr:uid="{00000000-0005-0000-0000-000061710000}"/>
    <cellStyle name="Normal 2 71 3" xfId="29050" xr:uid="{00000000-0005-0000-0000-000062710000}"/>
    <cellStyle name="Normal 2 72" xfId="29051" xr:uid="{00000000-0005-0000-0000-000063710000}"/>
    <cellStyle name="Normal 2 72 2" xfId="29052" xr:uid="{00000000-0005-0000-0000-000064710000}"/>
    <cellStyle name="Normal 2 72 3" xfId="29053" xr:uid="{00000000-0005-0000-0000-000065710000}"/>
    <cellStyle name="Normal 2 73" xfId="29054" xr:uid="{00000000-0005-0000-0000-000066710000}"/>
    <cellStyle name="Normal 2 73 2" xfId="29055" xr:uid="{00000000-0005-0000-0000-000067710000}"/>
    <cellStyle name="Normal 2 73 3" xfId="29056" xr:uid="{00000000-0005-0000-0000-000068710000}"/>
    <cellStyle name="Normal 2 74" xfId="29057" xr:uid="{00000000-0005-0000-0000-000069710000}"/>
    <cellStyle name="Normal 2 74 2" xfId="29058" xr:uid="{00000000-0005-0000-0000-00006A710000}"/>
    <cellStyle name="Normal 2 74 3" xfId="29059" xr:uid="{00000000-0005-0000-0000-00006B710000}"/>
    <cellStyle name="Normal 2 75" xfId="29060" xr:uid="{00000000-0005-0000-0000-00006C710000}"/>
    <cellStyle name="Normal 2 76" xfId="29061" xr:uid="{00000000-0005-0000-0000-00006D710000}"/>
    <cellStyle name="Normal 2 77" xfId="29062" xr:uid="{00000000-0005-0000-0000-00006E710000}"/>
    <cellStyle name="Normal 2 78" xfId="29063" xr:uid="{00000000-0005-0000-0000-00006F710000}"/>
    <cellStyle name="Normal 2 79" xfId="29064" xr:uid="{00000000-0005-0000-0000-000070710000}"/>
    <cellStyle name="Normal 2 8" xfId="29065" xr:uid="{00000000-0005-0000-0000-000071710000}"/>
    <cellStyle name="Normal 2 8 2" xfId="29066" xr:uid="{00000000-0005-0000-0000-000072710000}"/>
    <cellStyle name="Normal 2 8 3" xfId="29067" xr:uid="{00000000-0005-0000-0000-000073710000}"/>
    <cellStyle name="Normal 2 80" xfId="29068" xr:uid="{00000000-0005-0000-0000-000074710000}"/>
    <cellStyle name="Normal 2 81" xfId="29069" xr:uid="{00000000-0005-0000-0000-000075710000}"/>
    <cellStyle name="Normal 2 82" xfId="29070" xr:uid="{00000000-0005-0000-0000-000076710000}"/>
    <cellStyle name="Normal 2 82 2" xfId="29071" xr:uid="{00000000-0005-0000-0000-000077710000}"/>
    <cellStyle name="Normal 2 82 2 2" xfId="29072" xr:uid="{00000000-0005-0000-0000-000078710000}"/>
    <cellStyle name="Normal 2 82 2 3" xfId="29073" xr:uid="{00000000-0005-0000-0000-000079710000}"/>
    <cellStyle name="Normal 2 82 3" xfId="29074" xr:uid="{00000000-0005-0000-0000-00007A710000}"/>
    <cellStyle name="Normal 2 82 4" xfId="29075" xr:uid="{00000000-0005-0000-0000-00007B710000}"/>
    <cellStyle name="Normal 2 83" xfId="29076" xr:uid="{00000000-0005-0000-0000-00007C710000}"/>
    <cellStyle name="Normal 2 83 2" xfId="29077" xr:uid="{00000000-0005-0000-0000-00007D710000}"/>
    <cellStyle name="Normal 2 84" xfId="29078" xr:uid="{00000000-0005-0000-0000-00007E710000}"/>
    <cellStyle name="Normal 2 84 2" xfId="29079" xr:uid="{00000000-0005-0000-0000-00007F710000}"/>
    <cellStyle name="Normal 2 85" xfId="29080" xr:uid="{00000000-0005-0000-0000-000080710000}"/>
    <cellStyle name="Normal 2 85 2" xfId="29081" xr:uid="{00000000-0005-0000-0000-000081710000}"/>
    <cellStyle name="Normal 2 85 2 2" xfId="29082" xr:uid="{00000000-0005-0000-0000-000082710000}"/>
    <cellStyle name="Normal 2 85 3" xfId="29083" xr:uid="{00000000-0005-0000-0000-000083710000}"/>
    <cellStyle name="Normal 2 85 4" xfId="29084" xr:uid="{00000000-0005-0000-0000-000084710000}"/>
    <cellStyle name="Normal 2 85 5" xfId="29085" xr:uid="{00000000-0005-0000-0000-000085710000}"/>
    <cellStyle name="Normal 2 86" xfId="29086" xr:uid="{00000000-0005-0000-0000-000086710000}"/>
    <cellStyle name="Normal 2 86 2" xfId="29087" xr:uid="{00000000-0005-0000-0000-000087710000}"/>
    <cellStyle name="Normal 2 86 2 2" xfId="29088" xr:uid="{00000000-0005-0000-0000-000088710000}"/>
    <cellStyle name="Normal 2 86 3" xfId="29089" xr:uid="{00000000-0005-0000-0000-000089710000}"/>
    <cellStyle name="Normal 2 87" xfId="29090" xr:uid="{00000000-0005-0000-0000-00008A710000}"/>
    <cellStyle name="Normal 2 87 2" xfId="29091" xr:uid="{00000000-0005-0000-0000-00008B710000}"/>
    <cellStyle name="Normal 2 87 3" xfId="29092" xr:uid="{00000000-0005-0000-0000-00008C710000}"/>
    <cellStyle name="Normal 2 87 4" xfId="29093" xr:uid="{00000000-0005-0000-0000-00008D710000}"/>
    <cellStyle name="Normal 2 87 5" xfId="29094" xr:uid="{00000000-0005-0000-0000-00008E710000}"/>
    <cellStyle name="Normal 2 88" xfId="29095" xr:uid="{00000000-0005-0000-0000-00008F710000}"/>
    <cellStyle name="Normal 2 88 2" xfId="29096" xr:uid="{00000000-0005-0000-0000-000090710000}"/>
    <cellStyle name="Normal 2 88 3" xfId="29097" xr:uid="{00000000-0005-0000-0000-000091710000}"/>
    <cellStyle name="Normal 2 88 4" xfId="29098" xr:uid="{00000000-0005-0000-0000-000092710000}"/>
    <cellStyle name="Normal 2 88 5" xfId="29099" xr:uid="{00000000-0005-0000-0000-000093710000}"/>
    <cellStyle name="Normal 2 89" xfId="29100" xr:uid="{00000000-0005-0000-0000-000094710000}"/>
    <cellStyle name="Normal 2 89 2" xfId="29101" xr:uid="{00000000-0005-0000-0000-000095710000}"/>
    <cellStyle name="Normal 2 9" xfId="29102" xr:uid="{00000000-0005-0000-0000-000096710000}"/>
    <cellStyle name="Normal 2 9 2" xfId="29103" xr:uid="{00000000-0005-0000-0000-000097710000}"/>
    <cellStyle name="Normal 2 9 3" xfId="29104" xr:uid="{00000000-0005-0000-0000-000098710000}"/>
    <cellStyle name="Normal 2 9 4" xfId="29105" xr:uid="{00000000-0005-0000-0000-000099710000}"/>
    <cellStyle name="Normal 2 9 5" xfId="29106" xr:uid="{00000000-0005-0000-0000-00009A710000}"/>
    <cellStyle name="Normal 2 9_Enlaces" xfId="29107" xr:uid="{00000000-0005-0000-0000-00009B710000}"/>
    <cellStyle name="Normal 2 90" xfId="29108" xr:uid="{00000000-0005-0000-0000-00009C710000}"/>
    <cellStyle name="Normal 2 90 2" xfId="29109" xr:uid="{00000000-0005-0000-0000-00009D710000}"/>
    <cellStyle name="Normal 2 91" xfId="29110" xr:uid="{00000000-0005-0000-0000-00009E710000}"/>
    <cellStyle name="Normal 2 91 2" xfId="29111" xr:uid="{00000000-0005-0000-0000-00009F710000}"/>
    <cellStyle name="Normal 2 92" xfId="29112" xr:uid="{00000000-0005-0000-0000-0000A0710000}"/>
    <cellStyle name="Normal 2 92 2" xfId="29113" xr:uid="{00000000-0005-0000-0000-0000A1710000}"/>
    <cellStyle name="Normal 2 93" xfId="29114" xr:uid="{00000000-0005-0000-0000-0000A2710000}"/>
    <cellStyle name="Normal 2 93 2" xfId="29115" xr:uid="{00000000-0005-0000-0000-0000A3710000}"/>
    <cellStyle name="Normal 2 94" xfId="29116" xr:uid="{00000000-0005-0000-0000-0000A4710000}"/>
    <cellStyle name="Normal 2 94 2" xfId="29117" xr:uid="{00000000-0005-0000-0000-0000A5710000}"/>
    <cellStyle name="Normal 2 95" xfId="29118" xr:uid="{00000000-0005-0000-0000-0000A6710000}"/>
    <cellStyle name="Normal 2 95 2" xfId="29119" xr:uid="{00000000-0005-0000-0000-0000A7710000}"/>
    <cellStyle name="Normal 2 96" xfId="29120" xr:uid="{00000000-0005-0000-0000-0000A8710000}"/>
    <cellStyle name="Normal 2 96 2" xfId="29121" xr:uid="{00000000-0005-0000-0000-0000A9710000}"/>
    <cellStyle name="Normal 2 97" xfId="29122" xr:uid="{00000000-0005-0000-0000-0000AA710000}"/>
    <cellStyle name="Normal 2 97 2" xfId="29123" xr:uid="{00000000-0005-0000-0000-0000AB710000}"/>
    <cellStyle name="Normal 2 98" xfId="29124" xr:uid="{00000000-0005-0000-0000-0000AC710000}"/>
    <cellStyle name="Normal 2 98 2" xfId="29125" xr:uid="{00000000-0005-0000-0000-0000AD710000}"/>
    <cellStyle name="Normal 2 99" xfId="29126" xr:uid="{00000000-0005-0000-0000-0000AE710000}"/>
    <cellStyle name="Normal 2 99 2" xfId="29127" xr:uid="{00000000-0005-0000-0000-0000AF710000}"/>
    <cellStyle name="Normal 20" xfId="29128" xr:uid="{00000000-0005-0000-0000-0000B0710000}"/>
    <cellStyle name="Normal 20 10" xfId="29129" xr:uid="{00000000-0005-0000-0000-0000B1710000}"/>
    <cellStyle name="Normal 20 11" xfId="29130" xr:uid="{00000000-0005-0000-0000-0000B2710000}"/>
    <cellStyle name="Normal 20 12" xfId="29131" xr:uid="{00000000-0005-0000-0000-0000B3710000}"/>
    <cellStyle name="Normal 20 13" xfId="29132" xr:uid="{00000000-0005-0000-0000-0000B4710000}"/>
    <cellStyle name="Normal 20 14" xfId="29133" xr:uid="{00000000-0005-0000-0000-0000B5710000}"/>
    <cellStyle name="Normal 20 15" xfId="29134" xr:uid="{00000000-0005-0000-0000-0000B6710000}"/>
    <cellStyle name="Normal 20 16" xfId="29135" xr:uid="{00000000-0005-0000-0000-0000B7710000}"/>
    <cellStyle name="Normal 20 17" xfId="29136" xr:uid="{00000000-0005-0000-0000-0000B8710000}"/>
    <cellStyle name="Normal 20 18" xfId="29137" xr:uid="{00000000-0005-0000-0000-0000B9710000}"/>
    <cellStyle name="Normal 20 19" xfId="29138" xr:uid="{00000000-0005-0000-0000-0000BA710000}"/>
    <cellStyle name="Normal 20 2" xfId="29139" xr:uid="{00000000-0005-0000-0000-0000BB710000}"/>
    <cellStyle name="Normal 20 2 2" xfId="29140" xr:uid="{00000000-0005-0000-0000-0000BC710000}"/>
    <cellStyle name="Normal 20 2 3" xfId="29141" xr:uid="{00000000-0005-0000-0000-0000BD710000}"/>
    <cellStyle name="Normal 20 2 4" xfId="29142" xr:uid="{00000000-0005-0000-0000-0000BE710000}"/>
    <cellStyle name="Normal 20 20" xfId="29143" xr:uid="{00000000-0005-0000-0000-0000BF710000}"/>
    <cellStyle name="Normal 20 21" xfId="29144" xr:uid="{00000000-0005-0000-0000-0000C0710000}"/>
    <cellStyle name="Normal 20 22" xfId="29145" xr:uid="{00000000-0005-0000-0000-0000C1710000}"/>
    <cellStyle name="Normal 20 23" xfId="29146" xr:uid="{00000000-0005-0000-0000-0000C2710000}"/>
    <cellStyle name="Normal 20 24" xfId="29147" xr:uid="{00000000-0005-0000-0000-0000C3710000}"/>
    <cellStyle name="Normal 20 25" xfId="29148" xr:uid="{00000000-0005-0000-0000-0000C4710000}"/>
    <cellStyle name="Normal 20 26" xfId="29149" xr:uid="{00000000-0005-0000-0000-0000C5710000}"/>
    <cellStyle name="Normal 20 3" xfId="29150" xr:uid="{00000000-0005-0000-0000-0000C6710000}"/>
    <cellStyle name="Normal 20 4" xfId="29151" xr:uid="{00000000-0005-0000-0000-0000C7710000}"/>
    <cellStyle name="Normal 20 5" xfId="29152" xr:uid="{00000000-0005-0000-0000-0000C8710000}"/>
    <cellStyle name="Normal 20 6" xfId="29153" xr:uid="{00000000-0005-0000-0000-0000C9710000}"/>
    <cellStyle name="Normal 20 7" xfId="29154" xr:uid="{00000000-0005-0000-0000-0000CA710000}"/>
    <cellStyle name="Normal 20 8" xfId="29155" xr:uid="{00000000-0005-0000-0000-0000CB710000}"/>
    <cellStyle name="Normal 20 9" xfId="29156" xr:uid="{00000000-0005-0000-0000-0000CC710000}"/>
    <cellStyle name="Normal 200" xfId="39232" xr:uid="{729482A8-8A0D-4C11-ADEE-7C73C9A18343}"/>
    <cellStyle name="Normal 201" xfId="39233" xr:uid="{F8558074-3957-4AFB-8F85-594567BB7AB4}"/>
    <cellStyle name="Normal 202" xfId="39234" xr:uid="{5F031282-A862-4D59-9C19-2123204028B4}"/>
    <cellStyle name="Normal 203" xfId="39235" xr:uid="{09065D28-D92D-4FA4-B02A-4A775C534BAF}"/>
    <cellStyle name="Normal 204" xfId="39236" xr:uid="{FFBD703D-743B-4D92-BBC7-53C0A30C6BD3}"/>
    <cellStyle name="Normal 205" xfId="39237" xr:uid="{02859D48-7BE5-4402-95B0-41B784FB339E}"/>
    <cellStyle name="Normal 206" xfId="39238" xr:uid="{022E3371-EB70-42D5-96CD-4F09470ADC31}"/>
    <cellStyle name="Normal 207" xfId="39239" xr:uid="{13FD3F7C-9BCE-4A59-BFE8-C0458E3CA35D}"/>
    <cellStyle name="Normal 208" xfId="39240" xr:uid="{4AC006FA-3372-46B4-BAA0-20CF2994CC71}"/>
    <cellStyle name="Normal 209" xfId="39241" xr:uid="{58B46305-5AF7-447D-A42D-7401AB2AF45E}"/>
    <cellStyle name="Normal 21" xfId="29157" xr:uid="{00000000-0005-0000-0000-0000CD710000}"/>
    <cellStyle name="Normal 21 10" xfId="29158" xr:uid="{00000000-0005-0000-0000-0000CE710000}"/>
    <cellStyle name="Normal 21 11" xfId="29159" xr:uid="{00000000-0005-0000-0000-0000CF710000}"/>
    <cellStyle name="Normal 21 12" xfId="29160" xr:uid="{00000000-0005-0000-0000-0000D0710000}"/>
    <cellStyle name="Normal 21 13" xfId="29161" xr:uid="{00000000-0005-0000-0000-0000D1710000}"/>
    <cellStyle name="Normal 21 14" xfId="29162" xr:uid="{00000000-0005-0000-0000-0000D2710000}"/>
    <cellStyle name="Normal 21 15" xfId="29163" xr:uid="{00000000-0005-0000-0000-0000D3710000}"/>
    <cellStyle name="Normal 21 16" xfId="29164" xr:uid="{00000000-0005-0000-0000-0000D4710000}"/>
    <cellStyle name="Normal 21 17" xfId="29165" xr:uid="{00000000-0005-0000-0000-0000D5710000}"/>
    <cellStyle name="Normal 21 18" xfId="29166" xr:uid="{00000000-0005-0000-0000-0000D6710000}"/>
    <cellStyle name="Normal 21 19" xfId="29167" xr:uid="{00000000-0005-0000-0000-0000D7710000}"/>
    <cellStyle name="Normal 21 2" xfId="29168" xr:uid="{00000000-0005-0000-0000-0000D8710000}"/>
    <cellStyle name="Normal 21 2 2" xfId="29169" xr:uid="{00000000-0005-0000-0000-0000D9710000}"/>
    <cellStyle name="Normal 21 2 3" xfId="29170" xr:uid="{00000000-0005-0000-0000-0000DA710000}"/>
    <cellStyle name="Normal 21 20" xfId="29171" xr:uid="{00000000-0005-0000-0000-0000DB710000}"/>
    <cellStyle name="Normal 21 21" xfId="29172" xr:uid="{00000000-0005-0000-0000-0000DC710000}"/>
    <cellStyle name="Normal 21 22" xfId="29173" xr:uid="{00000000-0005-0000-0000-0000DD710000}"/>
    <cellStyle name="Normal 21 23" xfId="29174" xr:uid="{00000000-0005-0000-0000-0000DE710000}"/>
    <cellStyle name="Normal 21 24" xfId="29175" xr:uid="{00000000-0005-0000-0000-0000DF710000}"/>
    <cellStyle name="Normal 21 25" xfId="29176" xr:uid="{00000000-0005-0000-0000-0000E0710000}"/>
    <cellStyle name="Normal 21 26" xfId="29177" xr:uid="{00000000-0005-0000-0000-0000E1710000}"/>
    <cellStyle name="Normal 21 3" xfId="29178" xr:uid="{00000000-0005-0000-0000-0000E2710000}"/>
    <cellStyle name="Normal 21 3 2" xfId="29179" xr:uid="{00000000-0005-0000-0000-0000E3710000}"/>
    <cellStyle name="Normal 21 3 3" xfId="29180" xr:uid="{00000000-0005-0000-0000-0000E4710000}"/>
    <cellStyle name="Normal 21 4" xfId="29181" xr:uid="{00000000-0005-0000-0000-0000E5710000}"/>
    <cellStyle name="Normal 21 5" xfId="29182" xr:uid="{00000000-0005-0000-0000-0000E6710000}"/>
    <cellStyle name="Normal 21 6" xfId="29183" xr:uid="{00000000-0005-0000-0000-0000E7710000}"/>
    <cellStyle name="Normal 21 7" xfId="29184" xr:uid="{00000000-0005-0000-0000-0000E8710000}"/>
    <cellStyle name="Normal 21 8" xfId="29185" xr:uid="{00000000-0005-0000-0000-0000E9710000}"/>
    <cellStyle name="Normal 21 9" xfId="29186" xr:uid="{00000000-0005-0000-0000-0000EA710000}"/>
    <cellStyle name="Normal 210" xfId="39242" xr:uid="{CC02FBAF-68F5-4BA0-854B-392EBE7F8C59}"/>
    <cellStyle name="Normal 211" xfId="39243" xr:uid="{A80269C7-B7E0-4999-9A6F-55934096208B}"/>
    <cellStyle name="Normal 212" xfId="39244" xr:uid="{DF49ED4F-A569-42CC-88B1-60DF3ADAB028}"/>
    <cellStyle name="Normal 213" xfId="39245" xr:uid="{C3E274A0-6D3C-40BF-B5EC-31226CEBF058}"/>
    <cellStyle name="Normal 214" xfId="39246" xr:uid="{B039948A-C1AF-45C5-AEF3-D9C5718DE4E8}"/>
    <cellStyle name="Normal 22" xfId="29187" xr:uid="{00000000-0005-0000-0000-0000EB710000}"/>
    <cellStyle name="Normal 22 10" xfId="29188" xr:uid="{00000000-0005-0000-0000-0000EC710000}"/>
    <cellStyle name="Normal 22 11" xfId="29189" xr:uid="{00000000-0005-0000-0000-0000ED710000}"/>
    <cellStyle name="Normal 22 12" xfId="29190" xr:uid="{00000000-0005-0000-0000-0000EE710000}"/>
    <cellStyle name="Normal 22 13" xfId="29191" xr:uid="{00000000-0005-0000-0000-0000EF710000}"/>
    <cellStyle name="Normal 22 14" xfId="29192" xr:uid="{00000000-0005-0000-0000-0000F0710000}"/>
    <cellStyle name="Normal 22 15" xfId="29193" xr:uid="{00000000-0005-0000-0000-0000F1710000}"/>
    <cellStyle name="Normal 22 16" xfId="29194" xr:uid="{00000000-0005-0000-0000-0000F2710000}"/>
    <cellStyle name="Normal 22 17" xfId="29195" xr:uid="{00000000-0005-0000-0000-0000F3710000}"/>
    <cellStyle name="Normal 22 18" xfId="29196" xr:uid="{00000000-0005-0000-0000-0000F4710000}"/>
    <cellStyle name="Normal 22 19" xfId="29197" xr:uid="{00000000-0005-0000-0000-0000F5710000}"/>
    <cellStyle name="Normal 22 2" xfId="29198" xr:uid="{00000000-0005-0000-0000-0000F6710000}"/>
    <cellStyle name="Normal 22 2 2" xfId="29199" xr:uid="{00000000-0005-0000-0000-0000F7710000}"/>
    <cellStyle name="Normal 22 2 3" xfId="29200" xr:uid="{00000000-0005-0000-0000-0000F8710000}"/>
    <cellStyle name="Normal 22 20" xfId="29201" xr:uid="{00000000-0005-0000-0000-0000F9710000}"/>
    <cellStyle name="Normal 22 21" xfId="29202" xr:uid="{00000000-0005-0000-0000-0000FA710000}"/>
    <cellStyle name="Normal 22 22" xfId="29203" xr:uid="{00000000-0005-0000-0000-0000FB710000}"/>
    <cellStyle name="Normal 22 23" xfId="29204" xr:uid="{00000000-0005-0000-0000-0000FC710000}"/>
    <cellStyle name="Normal 22 24" xfId="29205" xr:uid="{00000000-0005-0000-0000-0000FD710000}"/>
    <cellStyle name="Normal 22 25" xfId="29206" xr:uid="{00000000-0005-0000-0000-0000FE710000}"/>
    <cellStyle name="Normal 22 26" xfId="29207" xr:uid="{00000000-0005-0000-0000-0000FF710000}"/>
    <cellStyle name="Normal 22 3" xfId="29208" xr:uid="{00000000-0005-0000-0000-000000720000}"/>
    <cellStyle name="Normal 22 3 2" xfId="29209" xr:uid="{00000000-0005-0000-0000-000001720000}"/>
    <cellStyle name="Normal 22 3 3" xfId="29210" xr:uid="{00000000-0005-0000-0000-000002720000}"/>
    <cellStyle name="Normal 22 3 4" xfId="29211" xr:uid="{00000000-0005-0000-0000-000003720000}"/>
    <cellStyle name="Normal 22 3 5" xfId="29212" xr:uid="{00000000-0005-0000-0000-000004720000}"/>
    <cellStyle name="Normal 22 4" xfId="29213" xr:uid="{00000000-0005-0000-0000-000005720000}"/>
    <cellStyle name="Normal 22 5" xfId="29214" xr:uid="{00000000-0005-0000-0000-000006720000}"/>
    <cellStyle name="Normal 22 6" xfId="29215" xr:uid="{00000000-0005-0000-0000-000007720000}"/>
    <cellStyle name="Normal 22 7" xfId="29216" xr:uid="{00000000-0005-0000-0000-000008720000}"/>
    <cellStyle name="Normal 22 8" xfId="29217" xr:uid="{00000000-0005-0000-0000-000009720000}"/>
    <cellStyle name="Normal 22 9" xfId="29218" xr:uid="{00000000-0005-0000-0000-00000A720000}"/>
    <cellStyle name="Normal 23" xfId="29219" xr:uid="{00000000-0005-0000-0000-00000B720000}"/>
    <cellStyle name="Normal 23 10" xfId="29220" xr:uid="{00000000-0005-0000-0000-00000C720000}"/>
    <cellStyle name="Normal 23 11" xfId="29221" xr:uid="{00000000-0005-0000-0000-00000D720000}"/>
    <cellStyle name="Normal 23 12" xfId="29222" xr:uid="{00000000-0005-0000-0000-00000E720000}"/>
    <cellStyle name="Normal 23 13" xfId="29223" xr:uid="{00000000-0005-0000-0000-00000F720000}"/>
    <cellStyle name="Normal 23 14" xfId="29224" xr:uid="{00000000-0005-0000-0000-000010720000}"/>
    <cellStyle name="Normal 23 15" xfId="29225" xr:uid="{00000000-0005-0000-0000-000011720000}"/>
    <cellStyle name="Normal 23 16" xfId="29226" xr:uid="{00000000-0005-0000-0000-000012720000}"/>
    <cellStyle name="Normal 23 17" xfId="29227" xr:uid="{00000000-0005-0000-0000-000013720000}"/>
    <cellStyle name="Normal 23 18" xfId="29228" xr:uid="{00000000-0005-0000-0000-000014720000}"/>
    <cellStyle name="Normal 23 19" xfId="29229" xr:uid="{00000000-0005-0000-0000-000015720000}"/>
    <cellStyle name="Normal 23 2" xfId="29230" xr:uid="{00000000-0005-0000-0000-000016720000}"/>
    <cellStyle name="Normal 23 2 2" xfId="29231" xr:uid="{00000000-0005-0000-0000-000017720000}"/>
    <cellStyle name="Normal 23 2 3" xfId="29232" xr:uid="{00000000-0005-0000-0000-000018720000}"/>
    <cellStyle name="Normal 23 20" xfId="29233" xr:uid="{00000000-0005-0000-0000-000019720000}"/>
    <cellStyle name="Normal 23 21" xfId="29234" xr:uid="{00000000-0005-0000-0000-00001A720000}"/>
    <cellStyle name="Normal 23 22" xfId="29235" xr:uid="{00000000-0005-0000-0000-00001B720000}"/>
    <cellStyle name="Normal 23 23" xfId="29236" xr:uid="{00000000-0005-0000-0000-00001C720000}"/>
    <cellStyle name="Normal 23 24" xfId="29237" xr:uid="{00000000-0005-0000-0000-00001D720000}"/>
    <cellStyle name="Normal 23 25" xfId="29238" xr:uid="{00000000-0005-0000-0000-00001E720000}"/>
    <cellStyle name="Normal 23 26" xfId="29239" xr:uid="{00000000-0005-0000-0000-00001F720000}"/>
    <cellStyle name="Normal 23 3" xfId="29240" xr:uid="{00000000-0005-0000-0000-000020720000}"/>
    <cellStyle name="Normal 23 3 2" xfId="29241" xr:uid="{00000000-0005-0000-0000-000021720000}"/>
    <cellStyle name="Normal 23 3 3" xfId="29242" xr:uid="{00000000-0005-0000-0000-000022720000}"/>
    <cellStyle name="Normal 23 3 4" xfId="29243" xr:uid="{00000000-0005-0000-0000-000023720000}"/>
    <cellStyle name="Normal 23 3 5" xfId="29244" xr:uid="{00000000-0005-0000-0000-000024720000}"/>
    <cellStyle name="Normal 23 4" xfId="29245" xr:uid="{00000000-0005-0000-0000-000025720000}"/>
    <cellStyle name="Normal 23 5" xfId="29246" xr:uid="{00000000-0005-0000-0000-000026720000}"/>
    <cellStyle name="Normal 23 6" xfId="29247" xr:uid="{00000000-0005-0000-0000-000027720000}"/>
    <cellStyle name="Normal 23 7" xfId="29248" xr:uid="{00000000-0005-0000-0000-000028720000}"/>
    <cellStyle name="Normal 23 8" xfId="29249" xr:uid="{00000000-0005-0000-0000-000029720000}"/>
    <cellStyle name="Normal 23 9" xfId="29250" xr:uid="{00000000-0005-0000-0000-00002A720000}"/>
    <cellStyle name="Normal 24" xfId="29251" xr:uid="{00000000-0005-0000-0000-00002B720000}"/>
    <cellStyle name="Normal 24 10" xfId="29252" xr:uid="{00000000-0005-0000-0000-00002C720000}"/>
    <cellStyle name="Normal 24 11" xfId="29253" xr:uid="{00000000-0005-0000-0000-00002D720000}"/>
    <cellStyle name="Normal 24 12" xfId="29254" xr:uid="{00000000-0005-0000-0000-00002E720000}"/>
    <cellStyle name="Normal 24 13" xfId="29255" xr:uid="{00000000-0005-0000-0000-00002F720000}"/>
    <cellStyle name="Normal 24 14" xfId="29256" xr:uid="{00000000-0005-0000-0000-000030720000}"/>
    <cellStyle name="Normal 24 15" xfId="29257" xr:uid="{00000000-0005-0000-0000-000031720000}"/>
    <cellStyle name="Normal 24 16" xfId="29258" xr:uid="{00000000-0005-0000-0000-000032720000}"/>
    <cellStyle name="Normal 24 17" xfId="29259" xr:uid="{00000000-0005-0000-0000-000033720000}"/>
    <cellStyle name="Normal 24 18" xfId="29260" xr:uid="{00000000-0005-0000-0000-000034720000}"/>
    <cellStyle name="Normal 24 19" xfId="29261" xr:uid="{00000000-0005-0000-0000-000035720000}"/>
    <cellStyle name="Normal 24 2" xfId="29262" xr:uid="{00000000-0005-0000-0000-000036720000}"/>
    <cellStyle name="Normal 24 20" xfId="29263" xr:uid="{00000000-0005-0000-0000-000037720000}"/>
    <cellStyle name="Normal 24 21" xfId="29264" xr:uid="{00000000-0005-0000-0000-000038720000}"/>
    <cellStyle name="Normal 24 22" xfId="29265" xr:uid="{00000000-0005-0000-0000-000039720000}"/>
    <cellStyle name="Normal 24 23" xfId="29266" xr:uid="{00000000-0005-0000-0000-00003A720000}"/>
    <cellStyle name="Normal 24 24" xfId="29267" xr:uid="{00000000-0005-0000-0000-00003B720000}"/>
    <cellStyle name="Normal 24 25" xfId="29268" xr:uid="{00000000-0005-0000-0000-00003C720000}"/>
    <cellStyle name="Normal 24 26" xfId="29269" xr:uid="{00000000-0005-0000-0000-00003D720000}"/>
    <cellStyle name="Normal 24 27" xfId="29270" xr:uid="{00000000-0005-0000-0000-00003E720000}"/>
    <cellStyle name="Normal 24 3" xfId="29271" xr:uid="{00000000-0005-0000-0000-00003F720000}"/>
    <cellStyle name="Normal 24 4" xfId="29272" xr:uid="{00000000-0005-0000-0000-000040720000}"/>
    <cellStyle name="Normal 24 5" xfId="29273" xr:uid="{00000000-0005-0000-0000-000041720000}"/>
    <cellStyle name="Normal 24 6" xfId="29274" xr:uid="{00000000-0005-0000-0000-000042720000}"/>
    <cellStyle name="Normal 24 7" xfId="29275" xr:uid="{00000000-0005-0000-0000-000043720000}"/>
    <cellStyle name="Normal 24 8" xfId="29276" xr:uid="{00000000-0005-0000-0000-000044720000}"/>
    <cellStyle name="Normal 24 9" xfId="29277" xr:uid="{00000000-0005-0000-0000-000045720000}"/>
    <cellStyle name="Normal 25" xfId="29278" xr:uid="{00000000-0005-0000-0000-000046720000}"/>
    <cellStyle name="Normal 25 10" xfId="29279" xr:uid="{00000000-0005-0000-0000-000047720000}"/>
    <cellStyle name="Normal 25 11" xfId="29280" xr:uid="{00000000-0005-0000-0000-000048720000}"/>
    <cellStyle name="Normal 25 12" xfId="29281" xr:uid="{00000000-0005-0000-0000-000049720000}"/>
    <cellStyle name="Normal 25 13" xfId="29282" xr:uid="{00000000-0005-0000-0000-00004A720000}"/>
    <cellStyle name="Normal 25 14" xfId="29283" xr:uid="{00000000-0005-0000-0000-00004B720000}"/>
    <cellStyle name="Normal 25 15" xfId="29284" xr:uid="{00000000-0005-0000-0000-00004C720000}"/>
    <cellStyle name="Normal 25 16" xfId="29285" xr:uid="{00000000-0005-0000-0000-00004D720000}"/>
    <cellStyle name="Normal 25 17" xfId="29286" xr:uid="{00000000-0005-0000-0000-00004E720000}"/>
    <cellStyle name="Normal 25 18" xfId="29287" xr:uid="{00000000-0005-0000-0000-00004F720000}"/>
    <cellStyle name="Normal 25 19" xfId="29288" xr:uid="{00000000-0005-0000-0000-000050720000}"/>
    <cellStyle name="Normal 25 2" xfId="29289" xr:uid="{00000000-0005-0000-0000-000051720000}"/>
    <cellStyle name="Normal 25 20" xfId="29290" xr:uid="{00000000-0005-0000-0000-000052720000}"/>
    <cellStyle name="Normal 25 21" xfId="29291" xr:uid="{00000000-0005-0000-0000-000053720000}"/>
    <cellStyle name="Normal 25 22" xfId="29292" xr:uid="{00000000-0005-0000-0000-000054720000}"/>
    <cellStyle name="Normal 25 23" xfId="29293" xr:uid="{00000000-0005-0000-0000-000055720000}"/>
    <cellStyle name="Normal 25 24" xfId="29294" xr:uid="{00000000-0005-0000-0000-000056720000}"/>
    <cellStyle name="Normal 25 25" xfId="29295" xr:uid="{00000000-0005-0000-0000-000057720000}"/>
    <cellStyle name="Normal 25 3" xfId="29296" xr:uid="{00000000-0005-0000-0000-000058720000}"/>
    <cellStyle name="Normal 25 4" xfId="29297" xr:uid="{00000000-0005-0000-0000-000059720000}"/>
    <cellStyle name="Normal 25 5" xfId="29298" xr:uid="{00000000-0005-0000-0000-00005A720000}"/>
    <cellStyle name="Normal 25 6" xfId="29299" xr:uid="{00000000-0005-0000-0000-00005B720000}"/>
    <cellStyle name="Normal 25 7" xfId="29300" xr:uid="{00000000-0005-0000-0000-00005C720000}"/>
    <cellStyle name="Normal 25 8" xfId="29301" xr:uid="{00000000-0005-0000-0000-00005D720000}"/>
    <cellStyle name="Normal 25 9" xfId="29302" xr:uid="{00000000-0005-0000-0000-00005E720000}"/>
    <cellStyle name="Normal 26" xfId="29303" xr:uid="{00000000-0005-0000-0000-00005F720000}"/>
    <cellStyle name="Normal 26 10" xfId="29304" xr:uid="{00000000-0005-0000-0000-000060720000}"/>
    <cellStyle name="Normal 26 11" xfId="29305" xr:uid="{00000000-0005-0000-0000-000061720000}"/>
    <cellStyle name="Normal 26 12" xfId="29306" xr:uid="{00000000-0005-0000-0000-000062720000}"/>
    <cellStyle name="Normal 26 13" xfId="29307" xr:uid="{00000000-0005-0000-0000-000063720000}"/>
    <cellStyle name="Normal 26 14" xfId="29308" xr:uid="{00000000-0005-0000-0000-000064720000}"/>
    <cellStyle name="Normal 26 15" xfId="29309" xr:uid="{00000000-0005-0000-0000-000065720000}"/>
    <cellStyle name="Normal 26 16" xfId="29310" xr:uid="{00000000-0005-0000-0000-000066720000}"/>
    <cellStyle name="Normal 26 17" xfId="29311" xr:uid="{00000000-0005-0000-0000-000067720000}"/>
    <cellStyle name="Normal 26 18" xfId="29312" xr:uid="{00000000-0005-0000-0000-000068720000}"/>
    <cellStyle name="Normal 26 19" xfId="29313" xr:uid="{00000000-0005-0000-0000-000069720000}"/>
    <cellStyle name="Normal 26 2" xfId="29314" xr:uid="{00000000-0005-0000-0000-00006A720000}"/>
    <cellStyle name="Normal 26 20" xfId="29315" xr:uid="{00000000-0005-0000-0000-00006B720000}"/>
    <cellStyle name="Normal 26 21" xfId="29316" xr:uid="{00000000-0005-0000-0000-00006C720000}"/>
    <cellStyle name="Normal 26 22" xfId="29317" xr:uid="{00000000-0005-0000-0000-00006D720000}"/>
    <cellStyle name="Normal 26 23" xfId="29318" xr:uid="{00000000-0005-0000-0000-00006E720000}"/>
    <cellStyle name="Normal 26 24" xfId="29319" xr:uid="{00000000-0005-0000-0000-00006F720000}"/>
    <cellStyle name="Normal 26 25" xfId="29320" xr:uid="{00000000-0005-0000-0000-000070720000}"/>
    <cellStyle name="Normal 26 3" xfId="29321" xr:uid="{00000000-0005-0000-0000-000071720000}"/>
    <cellStyle name="Normal 26 4" xfId="29322" xr:uid="{00000000-0005-0000-0000-000072720000}"/>
    <cellStyle name="Normal 26 5" xfId="29323" xr:uid="{00000000-0005-0000-0000-000073720000}"/>
    <cellStyle name="Normal 26 6" xfId="29324" xr:uid="{00000000-0005-0000-0000-000074720000}"/>
    <cellStyle name="Normal 26 7" xfId="29325" xr:uid="{00000000-0005-0000-0000-000075720000}"/>
    <cellStyle name="Normal 26 8" xfId="29326" xr:uid="{00000000-0005-0000-0000-000076720000}"/>
    <cellStyle name="Normal 26 9" xfId="29327" xr:uid="{00000000-0005-0000-0000-000077720000}"/>
    <cellStyle name="Normal 27" xfId="29328" xr:uid="{00000000-0005-0000-0000-000078720000}"/>
    <cellStyle name="Normal 27 2" xfId="29329" xr:uid="{00000000-0005-0000-0000-000079720000}"/>
    <cellStyle name="Normal 28" xfId="29330" xr:uid="{00000000-0005-0000-0000-00007A720000}"/>
    <cellStyle name="Normal 28 10" xfId="29331" xr:uid="{00000000-0005-0000-0000-00007B720000}"/>
    <cellStyle name="Normal 28 11" xfId="29332" xr:uid="{00000000-0005-0000-0000-00007C720000}"/>
    <cellStyle name="Normal 28 12" xfId="29333" xr:uid="{00000000-0005-0000-0000-00007D720000}"/>
    <cellStyle name="Normal 28 13" xfId="29334" xr:uid="{00000000-0005-0000-0000-00007E720000}"/>
    <cellStyle name="Normal 28 14" xfId="29335" xr:uid="{00000000-0005-0000-0000-00007F720000}"/>
    <cellStyle name="Normal 28 15" xfId="29336" xr:uid="{00000000-0005-0000-0000-000080720000}"/>
    <cellStyle name="Normal 28 16" xfId="29337" xr:uid="{00000000-0005-0000-0000-000081720000}"/>
    <cellStyle name="Normal 28 17" xfId="29338" xr:uid="{00000000-0005-0000-0000-000082720000}"/>
    <cellStyle name="Normal 28 18" xfId="29339" xr:uid="{00000000-0005-0000-0000-000083720000}"/>
    <cellStyle name="Normal 28 19" xfId="29340" xr:uid="{00000000-0005-0000-0000-000084720000}"/>
    <cellStyle name="Normal 28 2" xfId="29341" xr:uid="{00000000-0005-0000-0000-000085720000}"/>
    <cellStyle name="Normal 28 2 2" xfId="29342" xr:uid="{00000000-0005-0000-0000-000086720000}"/>
    <cellStyle name="Normal 28 2 3" xfId="29343" xr:uid="{00000000-0005-0000-0000-000087720000}"/>
    <cellStyle name="Normal 28 20" xfId="29344" xr:uid="{00000000-0005-0000-0000-000088720000}"/>
    <cellStyle name="Normal 28 21" xfId="29345" xr:uid="{00000000-0005-0000-0000-000089720000}"/>
    <cellStyle name="Normal 28 22" xfId="29346" xr:uid="{00000000-0005-0000-0000-00008A720000}"/>
    <cellStyle name="Normal 28 23" xfId="29347" xr:uid="{00000000-0005-0000-0000-00008B720000}"/>
    <cellStyle name="Normal 28 24" xfId="29348" xr:uid="{00000000-0005-0000-0000-00008C720000}"/>
    <cellStyle name="Normal 28 25" xfId="29349" xr:uid="{00000000-0005-0000-0000-00008D720000}"/>
    <cellStyle name="Normal 28 26" xfId="29350" xr:uid="{00000000-0005-0000-0000-00008E720000}"/>
    <cellStyle name="Normal 28 3" xfId="29351" xr:uid="{00000000-0005-0000-0000-00008F720000}"/>
    <cellStyle name="Normal 28 3 2" xfId="29352" xr:uid="{00000000-0005-0000-0000-000090720000}"/>
    <cellStyle name="Normal 28 3 3" xfId="29353" xr:uid="{00000000-0005-0000-0000-000091720000}"/>
    <cellStyle name="Normal 28 4" xfId="29354" xr:uid="{00000000-0005-0000-0000-000092720000}"/>
    <cellStyle name="Normal 28 5" xfId="29355" xr:uid="{00000000-0005-0000-0000-000093720000}"/>
    <cellStyle name="Normal 28 6" xfId="29356" xr:uid="{00000000-0005-0000-0000-000094720000}"/>
    <cellStyle name="Normal 28 7" xfId="29357" xr:uid="{00000000-0005-0000-0000-000095720000}"/>
    <cellStyle name="Normal 28 8" xfId="29358" xr:uid="{00000000-0005-0000-0000-000096720000}"/>
    <cellStyle name="Normal 28 9" xfId="29359" xr:uid="{00000000-0005-0000-0000-000097720000}"/>
    <cellStyle name="Normal 29" xfId="29360" xr:uid="{00000000-0005-0000-0000-000098720000}"/>
    <cellStyle name="Normal 29 10" xfId="29361" xr:uid="{00000000-0005-0000-0000-000099720000}"/>
    <cellStyle name="Normal 29 11" xfId="29362" xr:uid="{00000000-0005-0000-0000-00009A720000}"/>
    <cellStyle name="Normal 29 12" xfId="29363" xr:uid="{00000000-0005-0000-0000-00009B720000}"/>
    <cellStyle name="Normal 29 13" xfId="29364" xr:uid="{00000000-0005-0000-0000-00009C720000}"/>
    <cellStyle name="Normal 29 14" xfId="29365" xr:uid="{00000000-0005-0000-0000-00009D720000}"/>
    <cellStyle name="Normal 29 15" xfId="29366" xr:uid="{00000000-0005-0000-0000-00009E720000}"/>
    <cellStyle name="Normal 29 16" xfId="29367" xr:uid="{00000000-0005-0000-0000-00009F720000}"/>
    <cellStyle name="Normal 29 17" xfId="29368" xr:uid="{00000000-0005-0000-0000-0000A0720000}"/>
    <cellStyle name="Normal 29 18" xfId="29369" xr:uid="{00000000-0005-0000-0000-0000A1720000}"/>
    <cellStyle name="Normal 29 19" xfId="29370" xr:uid="{00000000-0005-0000-0000-0000A2720000}"/>
    <cellStyle name="Normal 29 2" xfId="29371" xr:uid="{00000000-0005-0000-0000-0000A3720000}"/>
    <cellStyle name="Normal 29 2 2" xfId="29372" xr:uid="{00000000-0005-0000-0000-0000A4720000}"/>
    <cellStyle name="Normal 29 2 3" xfId="29373" xr:uid="{00000000-0005-0000-0000-0000A5720000}"/>
    <cellStyle name="Normal 29 20" xfId="29374" xr:uid="{00000000-0005-0000-0000-0000A6720000}"/>
    <cellStyle name="Normal 29 21" xfId="29375" xr:uid="{00000000-0005-0000-0000-0000A7720000}"/>
    <cellStyle name="Normal 29 22" xfId="29376" xr:uid="{00000000-0005-0000-0000-0000A8720000}"/>
    <cellStyle name="Normal 29 23" xfId="29377" xr:uid="{00000000-0005-0000-0000-0000A9720000}"/>
    <cellStyle name="Normal 29 24" xfId="29378" xr:uid="{00000000-0005-0000-0000-0000AA720000}"/>
    <cellStyle name="Normal 29 25" xfId="29379" xr:uid="{00000000-0005-0000-0000-0000AB720000}"/>
    <cellStyle name="Normal 29 26" xfId="29380" xr:uid="{00000000-0005-0000-0000-0000AC720000}"/>
    <cellStyle name="Normal 29 3" xfId="29381" xr:uid="{00000000-0005-0000-0000-0000AD720000}"/>
    <cellStyle name="Normal 29 3 2" xfId="29382" xr:uid="{00000000-0005-0000-0000-0000AE720000}"/>
    <cellStyle name="Normal 29 3 3" xfId="29383" xr:uid="{00000000-0005-0000-0000-0000AF720000}"/>
    <cellStyle name="Normal 29 4" xfId="29384" xr:uid="{00000000-0005-0000-0000-0000B0720000}"/>
    <cellStyle name="Normal 29 5" xfId="29385" xr:uid="{00000000-0005-0000-0000-0000B1720000}"/>
    <cellStyle name="Normal 29 6" xfId="29386" xr:uid="{00000000-0005-0000-0000-0000B2720000}"/>
    <cellStyle name="Normal 29 7" xfId="29387" xr:uid="{00000000-0005-0000-0000-0000B3720000}"/>
    <cellStyle name="Normal 29 8" xfId="29388" xr:uid="{00000000-0005-0000-0000-0000B4720000}"/>
    <cellStyle name="Normal 29 9" xfId="29389" xr:uid="{00000000-0005-0000-0000-0000B5720000}"/>
    <cellStyle name="Normal 3" xfId="13" xr:uid="{00000000-0005-0000-0000-0000B6720000}"/>
    <cellStyle name="Normal 3 10" xfId="29391" xr:uid="{00000000-0005-0000-0000-0000B7720000}"/>
    <cellStyle name="Normal 3 10 2" xfId="29392" xr:uid="{00000000-0005-0000-0000-0000B8720000}"/>
    <cellStyle name="Normal 3 10 3" xfId="29393" xr:uid="{00000000-0005-0000-0000-0000B9720000}"/>
    <cellStyle name="Normal 3 10 4" xfId="29394" xr:uid="{00000000-0005-0000-0000-0000BA720000}"/>
    <cellStyle name="Normal 3 10 5" xfId="29395" xr:uid="{00000000-0005-0000-0000-0000BB720000}"/>
    <cellStyle name="Normal 3 10 6" xfId="29396" xr:uid="{00000000-0005-0000-0000-0000BC720000}"/>
    <cellStyle name="Normal 3 10_Enlaces" xfId="29397" xr:uid="{00000000-0005-0000-0000-0000BD720000}"/>
    <cellStyle name="Normal 3 100" xfId="29398" xr:uid="{00000000-0005-0000-0000-0000BE720000}"/>
    <cellStyle name="Normal 3 100 2" xfId="29399" xr:uid="{00000000-0005-0000-0000-0000BF720000}"/>
    <cellStyle name="Normal 3 100 3" xfId="29400" xr:uid="{00000000-0005-0000-0000-0000C0720000}"/>
    <cellStyle name="Normal 3 101" xfId="29401" xr:uid="{00000000-0005-0000-0000-0000C1720000}"/>
    <cellStyle name="Normal 3 101 2" xfId="29402" xr:uid="{00000000-0005-0000-0000-0000C2720000}"/>
    <cellStyle name="Normal 3 101 3" xfId="29403" xr:uid="{00000000-0005-0000-0000-0000C3720000}"/>
    <cellStyle name="Normal 3 102" xfId="29404" xr:uid="{00000000-0005-0000-0000-0000C4720000}"/>
    <cellStyle name="Normal 3 102 2" xfId="29405" xr:uid="{00000000-0005-0000-0000-0000C5720000}"/>
    <cellStyle name="Normal 3 102 3" xfId="29406" xr:uid="{00000000-0005-0000-0000-0000C6720000}"/>
    <cellStyle name="Normal 3 103" xfId="29407" xr:uid="{00000000-0005-0000-0000-0000C7720000}"/>
    <cellStyle name="Normal 3 103 2" xfId="29408" xr:uid="{00000000-0005-0000-0000-0000C8720000}"/>
    <cellStyle name="Normal 3 103 3" xfId="29409" xr:uid="{00000000-0005-0000-0000-0000C9720000}"/>
    <cellStyle name="Normal 3 104" xfId="29410" xr:uid="{00000000-0005-0000-0000-0000CA720000}"/>
    <cellStyle name="Normal 3 104 2" xfId="29411" xr:uid="{00000000-0005-0000-0000-0000CB720000}"/>
    <cellStyle name="Normal 3 104 3" xfId="29412" xr:uid="{00000000-0005-0000-0000-0000CC720000}"/>
    <cellStyle name="Normal 3 105" xfId="29413" xr:uid="{00000000-0005-0000-0000-0000CD720000}"/>
    <cellStyle name="Normal 3 105 2" xfId="29414" xr:uid="{00000000-0005-0000-0000-0000CE720000}"/>
    <cellStyle name="Normal 3 105 3" xfId="29415" xr:uid="{00000000-0005-0000-0000-0000CF720000}"/>
    <cellStyle name="Normal 3 106" xfId="29416" xr:uid="{00000000-0005-0000-0000-0000D0720000}"/>
    <cellStyle name="Normal 3 106 2" xfId="29417" xr:uid="{00000000-0005-0000-0000-0000D1720000}"/>
    <cellStyle name="Normal 3 106 3" xfId="29418" xr:uid="{00000000-0005-0000-0000-0000D2720000}"/>
    <cellStyle name="Normal 3 107" xfId="29419" xr:uid="{00000000-0005-0000-0000-0000D3720000}"/>
    <cellStyle name="Normal 3 107 2" xfId="29420" xr:uid="{00000000-0005-0000-0000-0000D4720000}"/>
    <cellStyle name="Normal 3 107 3" xfId="29421" xr:uid="{00000000-0005-0000-0000-0000D5720000}"/>
    <cellStyle name="Normal 3 108" xfId="29422" xr:uid="{00000000-0005-0000-0000-0000D6720000}"/>
    <cellStyle name="Normal 3 108 2" xfId="29423" xr:uid="{00000000-0005-0000-0000-0000D7720000}"/>
    <cellStyle name="Normal 3 108 3" xfId="29424" xr:uid="{00000000-0005-0000-0000-0000D8720000}"/>
    <cellStyle name="Normal 3 109" xfId="29425" xr:uid="{00000000-0005-0000-0000-0000D9720000}"/>
    <cellStyle name="Normal 3 109 2" xfId="29426" xr:uid="{00000000-0005-0000-0000-0000DA720000}"/>
    <cellStyle name="Normal 3 109 3" xfId="29427" xr:uid="{00000000-0005-0000-0000-0000DB720000}"/>
    <cellStyle name="Normal 3 11" xfId="29428" xr:uid="{00000000-0005-0000-0000-0000DC720000}"/>
    <cellStyle name="Normal 3 11 2" xfId="29429" xr:uid="{00000000-0005-0000-0000-0000DD720000}"/>
    <cellStyle name="Normal 3 11 3" xfId="29430" xr:uid="{00000000-0005-0000-0000-0000DE720000}"/>
    <cellStyle name="Normal 3 11 4" xfId="29431" xr:uid="{00000000-0005-0000-0000-0000DF720000}"/>
    <cellStyle name="Normal 3 11_Enlaces" xfId="29432" xr:uid="{00000000-0005-0000-0000-0000E0720000}"/>
    <cellStyle name="Normal 3 110" xfId="29433" xr:uid="{00000000-0005-0000-0000-0000E1720000}"/>
    <cellStyle name="Normal 3 110 2" xfId="29434" xr:uid="{00000000-0005-0000-0000-0000E2720000}"/>
    <cellStyle name="Normal 3 110 3" xfId="29435" xr:uid="{00000000-0005-0000-0000-0000E3720000}"/>
    <cellStyle name="Normal 3 111" xfId="29436" xr:uid="{00000000-0005-0000-0000-0000E4720000}"/>
    <cellStyle name="Normal 3 111 2" xfId="29437" xr:uid="{00000000-0005-0000-0000-0000E5720000}"/>
    <cellStyle name="Normal 3 111 3" xfId="29438" xr:uid="{00000000-0005-0000-0000-0000E6720000}"/>
    <cellStyle name="Normal 3 112" xfId="29439" xr:uid="{00000000-0005-0000-0000-0000E7720000}"/>
    <cellStyle name="Normal 3 112 2" xfId="29440" xr:uid="{00000000-0005-0000-0000-0000E8720000}"/>
    <cellStyle name="Normal 3 112 3" xfId="29441" xr:uid="{00000000-0005-0000-0000-0000E9720000}"/>
    <cellStyle name="Normal 3 113" xfId="29442" xr:uid="{00000000-0005-0000-0000-0000EA720000}"/>
    <cellStyle name="Normal 3 113 2" xfId="29443" xr:uid="{00000000-0005-0000-0000-0000EB720000}"/>
    <cellStyle name="Normal 3 113 3" xfId="29444" xr:uid="{00000000-0005-0000-0000-0000EC720000}"/>
    <cellStyle name="Normal 3 114" xfId="29445" xr:uid="{00000000-0005-0000-0000-0000ED720000}"/>
    <cellStyle name="Normal 3 114 2" xfId="29446" xr:uid="{00000000-0005-0000-0000-0000EE720000}"/>
    <cellStyle name="Normal 3 114 3" xfId="29447" xr:uid="{00000000-0005-0000-0000-0000EF720000}"/>
    <cellStyle name="Normal 3 115" xfId="29448" xr:uid="{00000000-0005-0000-0000-0000F0720000}"/>
    <cellStyle name="Normal 3 115 2" xfId="29449" xr:uid="{00000000-0005-0000-0000-0000F1720000}"/>
    <cellStyle name="Normal 3 115 3" xfId="29450" xr:uid="{00000000-0005-0000-0000-0000F2720000}"/>
    <cellStyle name="Normal 3 116" xfId="29451" xr:uid="{00000000-0005-0000-0000-0000F3720000}"/>
    <cellStyle name="Normal 3 116 2" xfId="29452" xr:uid="{00000000-0005-0000-0000-0000F4720000}"/>
    <cellStyle name="Normal 3 116 3" xfId="29453" xr:uid="{00000000-0005-0000-0000-0000F5720000}"/>
    <cellStyle name="Normal 3 117" xfId="29454" xr:uid="{00000000-0005-0000-0000-0000F6720000}"/>
    <cellStyle name="Normal 3 117 2" xfId="29455" xr:uid="{00000000-0005-0000-0000-0000F7720000}"/>
    <cellStyle name="Normal 3 117 3" xfId="29456" xr:uid="{00000000-0005-0000-0000-0000F8720000}"/>
    <cellStyle name="Normal 3 118" xfId="29457" xr:uid="{00000000-0005-0000-0000-0000F9720000}"/>
    <cellStyle name="Normal 3 118 2" xfId="29458" xr:uid="{00000000-0005-0000-0000-0000FA720000}"/>
    <cellStyle name="Normal 3 118 3" xfId="29459" xr:uid="{00000000-0005-0000-0000-0000FB720000}"/>
    <cellStyle name="Normal 3 119" xfId="29460" xr:uid="{00000000-0005-0000-0000-0000FC720000}"/>
    <cellStyle name="Normal 3 119 2" xfId="29461" xr:uid="{00000000-0005-0000-0000-0000FD720000}"/>
    <cellStyle name="Normal 3 119 3" xfId="29462" xr:uid="{00000000-0005-0000-0000-0000FE720000}"/>
    <cellStyle name="Normal 3 12" xfId="29463" xr:uid="{00000000-0005-0000-0000-0000FF720000}"/>
    <cellStyle name="Normal 3 12 2" xfId="29464" xr:uid="{00000000-0005-0000-0000-000000730000}"/>
    <cellStyle name="Normal 3 12 3" xfId="29465" xr:uid="{00000000-0005-0000-0000-000001730000}"/>
    <cellStyle name="Normal 3 12_Enlaces" xfId="29466" xr:uid="{00000000-0005-0000-0000-000002730000}"/>
    <cellStyle name="Normal 3 120" xfId="29467" xr:uid="{00000000-0005-0000-0000-000003730000}"/>
    <cellStyle name="Normal 3 120 2" xfId="29468" xr:uid="{00000000-0005-0000-0000-000004730000}"/>
    <cellStyle name="Normal 3 120 3" xfId="29469" xr:uid="{00000000-0005-0000-0000-000005730000}"/>
    <cellStyle name="Normal 3 121" xfId="29470" xr:uid="{00000000-0005-0000-0000-000006730000}"/>
    <cellStyle name="Normal 3 121 2" xfId="29471" xr:uid="{00000000-0005-0000-0000-000007730000}"/>
    <cellStyle name="Normal 3 121 3" xfId="29472" xr:uid="{00000000-0005-0000-0000-000008730000}"/>
    <cellStyle name="Normal 3 122" xfId="29473" xr:uid="{00000000-0005-0000-0000-000009730000}"/>
    <cellStyle name="Normal 3 122 2" xfId="29474" xr:uid="{00000000-0005-0000-0000-00000A730000}"/>
    <cellStyle name="Normal 3 122 3" xfId="29475" xr:uid="{00000000-0005-0000-0000-00000B730000}"/>
    <cellStyle name="Normal 3 123" xfId="29476" xr:uid="{00000000-0005-0000-0000-00000C730000}"/>
    <cellStyle name="Normal 3 123 2" xfId="29477" xr:uid="{00000000-0005-0000-0000-00000D730000}"/>
    <cellStyle name="Normal 3 123 3" xfId="29478" xr:uid="{00000000-0005-0000-0000-00000E730000}"/>
    <cellStyle name="Normal 3 124" xfId="29479" xr:uid="{00000000-0005-0000-0000-00000F730000}"/>
    <cellStyle name="Normal 3 125" xfId="29480" xr:uid="{00000000-0005-0000-0000-000010730000}"/>
    <cellStyle name="Normal 3 126" xfId="29481" xr:uid="{00000000-0005-0000-0000-000011730000}"/>
    <cellStyle name="Normal 3 127" xfId="29482" xr:uid="{00000000-0005-0000-0000-000012730000}"/>
    <cellStyle name="Normal 3 128" xfId="29483" xr:uid="{00000000-0005-0000-0000-000013730000}"/>
    <cellStyle name="Normal 3 129" xfId="29484" xr:uid="{00000000-0005-0000-0000-000014730000}"/>
    <cellStyle name="Normal 3 13" xfId="29485" xr:uid="{00000000-0005-0000-0000-000015730000}"/>
    <cellStyle name="Normal 3 13 2" xfId="29486" xr:uid="{00000000-0005-0000-0000-000016730000}"/>
    <cellStyle name="Normal 3 13 3" xfId="29487" xr:uid="{00000000-0005-0000-0000-000017730000}"/>
    <cellStyle name="Normal 3 13_Enlaces" xfId="29488" xr:uid="{00000000-0005-0000-0000-000018730000}"/>
    <cellStyle name="Normal 3 130" xfId="29489" xr:uid="{00000000-0005-0000-0000-000019730000}"/>
    <cellStyle name="Normal 3 131" xfId="29490" xr:uid="{00000000-0005-0000-0000-00001A730000}"/>
    <cellStyle name="Normal 3 131 2" xfId="29491" xr:uid="{00000000-0005-0000-0000-00001B730000}"/>
    <cellStyle name="Normal 3 132" xfId="29492" xr:uid="{00000000-0005-0000-0000-00001C730000}"/>
    <cellStyle name="Normal 3 132 2" xfId="29493" xr:uid="{00000000-0005-0000-0000-00001D730000}"/>
    <cellStyle name="Normal 3 133" xfId="29494" xr:uid="{00000000-0005-0000-0000-00001E730000}"/>
    <cellStyle name="Normal 3 133 2" xfId="29495" xr:uid="{00000000-0005-0000-0000-00001F730000}"/>
    <cellStyle name="Normal 3 134" xfId="29496" xr:uid="{00000000-0005-0000-0000-000020730000}"/>
    <cellStyle name="Normal 3 134 2" xfId="29497" xr:uid="{00000000-0005-0000-0000-000021730000}"/>
    <cellStyle name="Normal 3 135" xfId="29498" xr:uid="{00000000-0005-0000-0000-000022730000}"/>
    <cellStyle name="Normal 3 135 2" xfId="29499" xr:uid="{00000000-0005-0000-0000-000023730000}"/>
    <cellStyle name="Normal 3 136" xfId="29500" xr:uid="{00000000-0005-0000-0000-000024730000}"/>
    <cellStyle name="Normal 3 136 2" xfId="29501" xr:uid="{00000000-0005-0000-0000-000025730000}"/>
    <cellStyle name="Normal 3 137" xfId="29502" xr:uid="{00000000-0005-0000-0000-000026730000}"/>
    <cellStyle name="Normal 3 137 2" xfId="29503" xr:uid="{00000000-0005-0000-0000-000027730000}"/>
    <cellStyle name="Normal 3 138" xfId="29504" xr:uid="{00000000-0005-0000-0000-000028730000}"/>
    <cellStyle name="Normal 3 138 2" xfId="29505" xr:uid="{00000000-0005-0000-0000-000029730000}"/>
    <cellStyle name="Normal 3 139" xfId="29506" xr:uid="{00000000-0005-0000-0000-00002A730000}"/>
    <cellStyle name="Normal 3 139 2" xfId="29507" xr:uid="{00000000-0005-0000-0000-00002B730000}"/>
    <cellStyle name="Normal 3 14" xfId="29508" xr:uid="{00000000-0005-0000-0000-00002C730000}"/>
    <cellStyle name="Normal 3 14 2" xfId="29509" xr:uid="{00000000-0005-0000-0000-00002D730000}"/>
    <cellStyle name="Normal 3 14 3" xfId="29510" xr:uid="{00000000-0005-0000-0000-00002E730000}"/>
    <cellStyle name="Normal 3 14_Enlaces" xfId="29511" xr:uid="{00000000-0005-0000-0000-00002F730000}"/>
    <cellStyle name="Normal 3 140" xfId="29512" xr:uid="{00000000-0005-0000-0000-000030730000}"/>
    <cellStyle name="Normal 3 140 2" xfId="29513" xr:uid="{00000000-0005-0000-0000-000031730000}"/>
    <cellStyle name="Normal 3 141" xfId="29514" xr:uid="{00000000-0005-0000-0000-000032730000}"/>
    <cellStyle name="Normal 3 141 2" xfId="29515" xr:uid="{00000000-0005-0000-0000-000033730000}"/>
    <cellStyle name="Normal 3 142" xfId="29516" xr:uid="{00000000-0005-0000-0000-000034730000}"/>
    <cellStyle name="Normal 3 143" xfId="29517" xr:uid="{00000000-0005-0000-0000-000035730000}"/>
    <cellStyle name="Normal 3 143 2" xfId="29518" xr:uid="{00000000-0005-0000-0000-000036730000}"/>
    <cellStyle name="Normal 3 144" xfId="29519" xr:uid="{00000000-0005-0000-0000-000037730000}"/>
    <cellStyle name="Normal 3 145" xfId="29520" xr:uid="{00000000-0005-0000-0000-000038730000}"/>
    <cellStyle name="Normal 3 146" xfId="29390" xr:uid="{00000000-0005-0000-0000-000039730000}"/>
    <cellStyle name="Normal 3 15" xfId="29521" xr:uid="{00000000-0005-0000-0000-00003A730000}"/>
    <cellStyle name="Normal 3 15 2" xfId="29522" xr:uid="{00000000-0005-0000-0000-00003B730000}"/>
    <cellStyle name="Normal 3 15 3" xfId="29523" xr:uid="{00000000-0005-0000-0000-00003C730000}"/>
    <cellStyle name="Normal 3 15_Enlaces" xfId="29524" xr:uid="{00000000-0005-0000-0000-00003D730000}"/>
    <cellStyle name="Normal 3 16" xfId="29525" xr:uid="{00000000-0005-0000-0000-00003E730000}"/>
    <cellStyle name="Normal 3 16 2" xfId="29526" xr:uid="{00000000-0005-0000-0000-00003F730000}"/>
    <cellStyle name="Normal 3 16 3" xfId="29527" xr:uid="{00000000-0005-0000-0000-000040730000}"/>
    <cellStyle name="Normal 3 16_Enlaces" xfId="29528" xr:uid="{00000000-0005-0000-0000-000041730000}"/>
    <cellStyle name="Normal 3 17" xfId="29529" xr:uid="{00000000-0005-0000-0000-000042730000}"/>
    <cellStyle name="Normal 3 17 2" xfId="29530" xr:uid="{00000000-0005-0000-0000-000043730000}"/>
    <cellStyle name="Normal 3 17 3" xfId="29531" xr:uid="{00000000-0005-0000-0000-000044730000}"/>
    <cellStyle name="Normal 3 17_Enlaces" xfId="29532" xr:uid="{00000000-0005-0000-0000-000045730000}"/>
    <cellStyle name="Normal 3 18" xfId="29533" xr:uid="{00000000-0005-0000-0000-000046730000}"/>
    <cellStyle name="Normal 3 18 2" xfId="29534" xr:uid="{00000000-0005-0000-0000-000047730000}"/>
    <cellStyle name="Normal 3 18 3" xfId="29535" xr:uid="{00000000-0005-0000-0000-000048730000}"/>
    <cellStyle name="Normal 3 18_Enlaces" xfId="29536" xr:uid="{00000000-0005-0000-0000-000049730000}"/>
    <cellStyle name="Normal 3 19" xfId="29537" xr:uid="{00000000-0005-0000-0000-00004A730000}"/>
    <cellStyle name="Normal 3 19 2" xfId="29538" xr:uid="{00000000-0005-0000-0000-00004B730000}"/>
    <cellStyle name="Normal 3 19 3" xfId="29539" xr:uid="{00000000-0005-0000-0000-00004C730000}"/>
    <cellStyle name="Normal 3 19_Enlaces" xfId="29540" xr:uid="{00000000-0005-0000-0000-00004D730000}"/>
    <cellStyle name="Normal 3 2" xfId="58" xr:uid="{00000000-0005-0000-0000-00004E730000}"/>
    <cellStyle name="Normal 3 2 10" xfId="29542" xr:uid="{00000000-0005-0000-0000-00004F730000}"/>
    <cellStyle name="Normal 3 2 10 2" xfId="29543" xr:uid="{00000000-0005-0000-0000-000050730000}"/>
    <cellStyle name="Normal 3 2 10 3" xfId="29544" xr:uid="{00000000-0005-0000-0000-000051730000}"/>
    <cellStyle name="Normal 3 2 11" xfId="29545" xr:uid="{00000000-0005-0000-0000-000052730000}"/>
    <cellStyle name="Normal 3 2 11 2" xfId="29546" xr:uid="{00000000-0005-0000-0000-000053730000}"/>
    <cellStyle name="Normal 3 2 12" xfId="29547" xr:uid="{00000000-0005-0000-0000-000054730000}"/>
    <cellStyle name="Normal 3 2 12 2" xfId="29548" xr:uid="{00000000-0005-0000-0000-000055730000}"/>
    <cellStyle name="Normal 3 2 13" xfId="29549" xr:uid="{00000000-0005-0000-0000-000056730000}"/>
    <cellStyle name="Normal 3 2 13 2" xfId="29550" xr:uid="{00000000-0005-0000-0000-000057730000}"/>
    <cellStyle name="Normal 3 2 14" xfId="29551" xr:uid="{00000000-0005-0000-0000-000058730000}"/>
    <cellStyle name="Normal 3 2 14 2" xfId="29552" xr:uid="{00000000-0005-0000-0000-000059730000}"/>
    <cellStyle name="Normal 3 2 15" xfId="29553" xr:uid="{00000000-0005-0000-0000-00005A730000}"/>
    <cellStyle name="Normal 3 2 15 2" xfId="29554" xr:uid="{00000000-0005-0000-0000-00005B730000}"/>
    <cellStyle name="Normal 3 2 16" xfId="29555" xr:uid="{00000000-0005-0000-0000-00005C730000}"/>
    <cellStyle name="Normal 3 2 16 2" xfId="29556" xr:uid="{00000000-0005-0000-0000-00005D730000}"/>
    <cellStyle name="Normal 3 2 17" xfId="29557" xr:uid="{00000000-0005-0000-0000-00005E730000}"/>
    <cellStyle name="Normal 3 2 17 2" xfId="29558" xr:uid="{00000000-0005-0000-0000-00005F730000}"/>
    <cellStyle name="Normal 3 2 18" xfId="29559" xr:uid="{00000000-0005-0000-0000-000060730000}"/>
    <cellStyle name="Normal 3 2 18 2" xfId="29560" xr:uid="{00000000-0005-0000-0000-000061730000}"/>
    <cellStyle name="Normal 3 2 19" xfId="29561" xr:uid="{00000000-0005-0000-0000-000062730000}"/>
    <cellStyle name="Normal 3 2 19 2" xfId="29562" xr:uid="{00000000-0005-0000-0000-000063730000}"/>
    <cellStyle name="Normal 3 2 2" xfId="29563" xr:uid="{00000000-0005-0000-0000-000064730000}"/>
    <cellStyle name="Normal 3 2 2 2" xfId="29564" xr:uid="{00000000-0005-0000-0000-000065730000}"/>
    <cellStyle name="Normal 3 2 2 2 2" xfId="29565" xr:uid="{00000000-0005-0000-0000-000066730000}"/>
    <cellStyle name="Normal 3 2 20" xfId="29566" xr:uid="{00000000-0005-0000-0000-000067730000}"/>
    <cellStyle name="Normal 3 2 20 2" xfId="29567" xr:uid="{00000000-0005-0000-0000-000068730000}"/>
    <cellStyle name="Normal 3 2 21" xfId="29568" xr:uid="{00000000-0005-0000-0000-000069730000}"/>
    <cellStyle name="Normal 3 2 21 2" xfId="29569" xr:uid="{00000000-0005-0000-0000-00006A730000}"/>
    <cellStyle name="Normal 3 2 22" xfId="29570" xr:uid="{00000000-0005-0000-0000-00006B730000}"/>
    <cellStyle name="Normal 3 2 22 2" xfId="29571" xr:uid="{00000000-0005-0000-0000-00006C730000}"/>
    <cellStyle name="Normal 3 2 23" xfId="29572" xr:uid="{00000000-0005-0000-0000-00006D730000}"/>
    <cellStyle name="Normal 3 2 23 2" xfId="29573" xr:uid="{00000000-0005-0000-0000-00006E730000}"/>
    <cellStyle name="Normal 3 2 24" xfId="29574" xr:uid="{00000000-0005-0000-0000-00006F730000}"/>
    <cellStyle name="Normal 3 2 24 2" xfId="29575" xr:uid="{00000000-0005-0000-0000-000070730000}"/>
    <cellStyle name="Normal 3 2 25" xfId="29576" xr:uid="{00000000-0005-0000-0000-000071730000}"/>
    <cellStyle name="Normal 3 2 25 2" xfId="29577" xr:uid="{00000000-0005-0000-0000-000072730000}"/>
    <cellStyle name="Normal 3 2 26" xfId="29578" xr:uid="{00000000-0005-0000-0000-000073730000}"/>
    <cellStyle name="Normal 3 2 27" xfId="29579" xr:uid="{00000000-0005-0000-0000-000074730000}"/>
    <cellStyle name="Normal 3 2 28" xfId="29580" xr:uid="{00000000-0005-0000-0000-000075730000}"/>
    <cellStyle name="Normal 3 2 29" xfId="29581" xr:uid="{00000000-0005-0000-0000-000076730000}"/>
    <cellStyle name="Normal 3 2 3" xfId="29582" xr:uid="{00000000-0005-0000-0000-000077730000}"/>
    <cellStyle name="Normal 3 2 3 2" xfId="29583" xr:uid="{00000000-0005-0000-0000-000078730000}"/>
    <cellStyle name="Normal 3 2 3 3" xfId="29584" xr:uid="{00000000-0005-0000-0000-000079730000}"/>
    <cellStyle name="Normal 3 2 30" xfId="29585" xr:uid="{00000000-0005-0000-0000-00007A730000}"/>
    <cellStyle name="Normal 3 2 31" xfId="29586" xr:uid="{00000000-0005-0000-0000-00007B730000}"/>
    <cellStyle name="Normal 3 2 32" xfId="29587" xr:uid="{00000000-0005-0000-0000-00007C730000}"/>
    <cellStyle name="Normal 3 2 33" xfId="29588" xr:uid="{00000000-0005-0000-0000-00007D730000}"/>
    <cellStyle name="Normal 3 2 34" xfId="29589" xr:uid="{00000000-0005-0000-0000-00007E730000}"/>
    <cellStyle name="Normal 3 2 35" xfId="29590" xr:uid="{00000000-0005-0000-0000-00007F730000}"/>
    <cellStyle name="Normal 3 2 36" xfId="29591" xr:uid="{00000000-0005-0000-0000-000080730000}"/>
    <cellStyle name="Normal 3 2 37" xfId="29592" xr:uid="{00000000-0005-0000-0000-000081730000}"/>
    <cellStyle name="Normal 3 2 38" xfId="29593" xr:uid="{00000000-0005-0000-0000-000082730000}"/>
    <cellStyle name="Normal 3 2 39" xfId="29594" xr:uid="{00000000-0005-0000-0000-000083730000}"/>
    <cellStyle name="Normal 3 2 4" xfId="29595" xr:uid="{00000000-0005-0000-0000-000084730000}"/>
    <cellStyle name="Normal 3 2 4 2" xfId="29596" xr:uid="{00000000-0005-0000-0000-000085730000}"/>
    <cellStyle name="Normal 3 2 4 3" xfId="29597" xr:uid="{00000000-0005-0000-0000-000086730000}"/>
    <cellStyle name="Normal 3 2 40" xfId="29598" xr:uid="{00000000-0005-0000-0000-000087730000}"/>
    <cellStyle name="Normal 3 2 41" xfId="29599" xr:uid="{00000000-0005-0000-0000-000088730000}"/>
    <cellStyle name="Normal 3 2 42" xfId="29600" xr:uid="{00000000-0005-0000-0000-000089730000}"/>
    <cellStyle name="Normal 3 2 43" xfId="29601" xr:uid="{00000000-0005-0000-0000-00008A730000}"/>
    <cellStyle name="Normal 3 2 44" xfId="29602" xr:uid="{00000000-0005-0000-0000-00008B730000}"/>
    <cellStyle name="Normal 3 2 45" xfId="29603" xr:uid="{00000000-0005-0000-0000-00008C730000}"/>
    <cellStyle name="Normal 3 2 46" xfId="29604" xr:uid="{00000000-0005-0000-0000-00008D730000}"/>
    <cellStyle name="Normal 3 2 47" xfId="29605" xr:uid="{00000000-0005-0000-0000-00008E730000}"/>
    <cellStyle name="Normal 3 2 48" xfId="29606" xr:uid="{00000000-0005-0000-0000-00008F730000}"/>
    <cellStyle name="Normal 3 2 49" xfId="29607" xr:uid="{00000000-0005-0000-0000-000090730000}"/>
    <cellStyle name="Normal 3 2 5" xfId="29608" xr:uid="{00000000-0005-0000-0000-000091730000}"/>
    <cellStyle name="Normal 3 2 5 2" xfId="29609" xr:uid="{00000000-0005-0000-0000-000092730000}"/>
    <cellStyle name="Normal 3 2 5 3" xfId="29610" xr:uid="{00000000-0005-0000-0000-000093730000}"/>
    <cellStyle name="Normal 3 2 50" xfId="29611" xr:uid="{00000000-0005-0000-0000-000094730000}"/>
    <cellStyle name="Normal 3 2 51" xfId="29612" xr:uid="{00000000-0005-0000-0000-000095730000}"/>
    <cellStyle name="Normal 3 2 52" xfId="29613" xr:uid="{00000000-0005-0000-0000-000096730000}"/>
    <cellStyle name="Normal 3 2 53" xfId="29614" xr:uid="{00000000-0005-0000-0000-000097730000}"/>
    <cellStyle name="Normal 3 2 54" xfId="29615" xr:uid="{00000000-0005-0000-0000-000098730000}"/>
    <cellStyle name="Normal 3 2 55" xfId="29616" xr:uid="{00000000-0005-0000-0000-000099730000}"/>
    <cellStyle name="Normal 3 2 56" xfId="29617" xr:uid="{00000000-0005-0000-0000-00009A730000}"/>
    <cellStyle name="Normal 3 2 57" xfId="29618" xr:uid="{00000000-0005-0000-0000-00009B730000}"/>
    <cellStyle name="Normal 3 2 58" xfId="29619" xr:uid="{00000000-0005-0000-0000-00009C730000}"/>
    <cellStyle name="Normal 3 2 59" xfId="29620" xr:uid="{00000000-0005-0000-0000-00009D730000}"/>
    <cellStyle name="Normal 3 2 6" xfId="29621" xr:uid="{00000000-0005-0000-0000-00009E730000}"/>
    <cellStyle name="Normal 3 2 6 2" xfId="29622" xr:uid="{00000000-0005-0000-0000-00009F730000}"/>
    <cellStyle name="Normal 3 2 6 3" xfId="29623" xr:uid="{00000000-0005-0000-0000-0000A0730000}"/>
    <cellStyle name="Normal 3 2 60" xfId="29624" xr:uid="{00000000-0005-0000-0000-0000A1730000}"/>
    <cellStyle name="Normal 3 2 61" xfId="29625" xr:uid="{00000000-0005-0000-0000-0000A2730000}"/>
    <cellStyle name="Normal 3 2 62" xfId="29626" xr:uid="{00000000-0005-0000-0000-0000A3730000}"/>
    <cellStyle name="Normal 3 2 63" xfId="29627" xr:uid="{00000000-0005-0000-0000-0000A4730000}"/>
    <cellStyle name="Normal 3 2 64" xfId="29628" xr:uid="{00000000-0005-0000-0000-0000A5730000}"/>
    <cellStyle name="Normal 3 2 65" xfId="29629" xr:uid="{00000000-0005-0000-0000-0000A6730000}"/>
    <cellStyle name="Normal 3 2 66" xfId="29630" xr:uid="{00000000-0005-0000-0000-0000A7730000}"/>
    <cellStyle name="Normal 3 2 67" xfId="29631" xr:uid="{00000000-0005-0000-0000-0000A8730000}"/>
    <cellStyle name="Normal 3 2 68" xfId="29632" xr:uid="{00000000-0005-0000-0000-0000A9730000}"/>
    <cellStyle name="Normal 3 2 69" xfId="29633" xr:uid="{00000000-0005-0000-0000-0000AA730000}"/>
    <cellStyle name="Normal 3 2 7" xfId="29634" xr:uid="{00000000-0005-0000-0000-0000AB730000}"/>
    <cellStyle name="Normal 3 2 7 2" xfId="29635" xr:uid="{00000000-0005-0000-0000-0000AC730000}"/>
    <cellStyle name="Normal 3 2 7 3" xfId="29636" xr:uid="{00000000-0005-0000-0000-0000AD730000}"/>
    <cellStyle name="Normal 3 2 70" xfId="29637" xr:uid="{00000000-0005-0000-0000-0000AE730000}"/>
    <cellStyle name="Normal 3 2 71" xfId="29638" xr:uid="{00000000-0005-0000-0000-0000AF730000}"/>
    <cellStyle name="Normal 3 2 72" xfId="29639" xr:uid="{00000000-0005-0000-0000-0000B0730000}"/>
    <cellStyle name="Normal 3 2 73" xfId="29640" xr:uid="{00000000-0005-0000-0000-0000B1730000}"/>
    <cellStyle name="Normal 3 2 74" xfId="29641" xr:uid="{00000000-0005-0000-0000-0000B2730000}"/>
    <cellStyle name="Normal 3 2 75" xfId="29642" xr:uid="{00000000-0005-0000-0000-0000B3730000}"/>
    <cellStyle name="Normal 3 2 76" xfId="29643" xr:uid="{00000000-0005-0000-0000-0000B4730000}"/>
    <cellStyle name="Normal 3 2 77" xfId="29644" xr:uid="{00000000-0005-0000-0000-0000B5730000}"/>
    <cellStyle name="Normal 3 2 78" xfId="29645" xr:uid="{00000000-0005-0000-0000-0000B6730000}"/>
    <cellStyle name="Normal 3 2 79" xfId="29646" xr:uid="{00000000-0005-0000-0000-0000B7730000}"/>
    <cellStyle name="Normal 3 2 8" xfId="29647" xr:uid="{00000000-0005-0000-0000-0000B8730000}"/>
    <cellStyle name="Normal 3 2 8 2" xfId="29648" xr:uid="{00000000-0005-0000-0000-0000B9730000}"/>
    <cellStyle name="Normal 3 2 8 3" xfId="29649" xr:uid="{00000000-0005-0000-0000-0000BA730000}"/>
    <cellStyle name="Normal 3 2 80" xfId="29650" xr:uid="{00000000-0005-0000-0000-0000BB730000}"/>
    <cellStyle name="Normal 3 2 81" xfId="29651" xr:uid="{00000000-0005-0000-0000-0000BC730000}"/>
    <cellStyle name="Normal 3 2 82" xfId="29652" xr:uid="{00000000-0005-0000-0000-0000BD730000}"/>
    <cellStyle name="Normal 3 2 83" xfId="29653" xr:uid="{00000000-0005-0000-0000-0000BE730000}"/>
    <cellStyle name="Normal 3 2 84" xfId="29654" xr:uid="{00000000-0005-0000-0000-0000BF730000}"/>
    <cellStyle name="Normal 3 2 85" xfId="29655" xr:uid="{00000000-0005-0000-0000-0000C0730000}"/>
    <cellStyle name="Normal 3 2 86" xfId="29656" xr:uid="{00000000-0005-0000-0000-0000C1730000}"/>
    <cellStyle name="Normal 3 2 87" xfId="29657" xr:uid="{00000000-0005-0000-0000-0000C2730000}"/>
    <cellStyle name="Normal 3 2 88" xfId="29658" xr:uid="{00000000-0005-0000-0000-0000C3730000}"/>
    <cellStyle name="Normal 3 2 89" xfId="29659" xr:uid="{00000000-0005-0000-0000-0000C4730000}"/>
    <cellStyle name="Normal 3 2 9" xfId="29660" xr:uid="{00000000-0005-0000-0000-0000C5730000}"/>
    <cellStyle name="Normal 3 2 9 2" xfId="29661" xr:uid="{00000000-0005-0000-0000-0000C6730000}"/>
    <cellStyle name="Normal 3 2 9 3" xfId="29662" xr:uid="{00000000-0005-0000-0000-0000C7730000}"/>
    <cellStyle name="Normal 3 2 90" xfId="29663" xr:uid="{00000000-0005-0000-0000-0000C8730000}"/>
    <cellStyle name="Normal 3 2 91" xfId="29664" xr:uid="{00000000-0005-0000-0000-0000C9730000}"/>
    <cellStyle name="Normal 3 2 92" xfId="29665" xr:uid="{00000000-0005-0000-0000-0000CA730000}"/>
    <cellStyle name="Normal 3 2 93" xfId="29666" xr:uid="{00000000-0005-0000-0000-0000CB730000}"/>
    <cellStyle name="Normal 3 2 94" xfId="29667" xr:uid="{00000000-0005-0000-0000-0000CC730000}"/>
    <cellStyle name="Normal 3 2 95" xfId="29541" xr:uid="{00000000-0005-0000-0000-0000CD730000}"/>
    <cellStyle name="Normal 3 2_Xa Parametrización de Usuarios" xfId="29668" xr:uid="{00000000-0005-0000-0000-0000CE730000}"/>
    <cellStyle name="Normal 3 20" xfId="29669" xr:uid="{00000000-0005-0000-0000-0000CF730000}"/>
    <cellStyle name="Normal 3 20 2" xfId="29670" xr:uid="{00000000-0005-0000-0000-0000D0730000}"/>
    <cellStyle name="Normal 3 20 3" xfId="29671" xr:uid="{00000000-0005-0000-0000-0000D1730000}"/>
    <cellStyle name="Normal 3 20_Enlaces" xfId="29672" xr:uid="{00000000-0005-0000-0000-0000D2730000}"/>
    <cellStyle name="Normal 3 21" xfId="29673" xr:uid="{00000000-0005-0000-0000-0000D3730000}"/>
    <cellStyle name="Normal 3 21 2" xfId="29674" xr:uid="{00000000-0005-0000-0000-0000D4730000}"/>
    <cellStyle name="Normal 3 21_Enlaces" xfId="29675" xr:uid="{00000000-0005-0000-0000-0000D5730000}"/>
    <cellStyle name="Normal 3 22" xfId="29676" xr:uid="{00000000-0005-0000-0000-0000D6730000}"/>
    <cellStyle name="Normal 3 22 2" xfId="29677" xr:uid="{00000000-0005-0000-0000-0000D7730000}"/>
    <cellStyle name="Normal 3 22_Enlaces" xfId="29678" xr:uid="{00000000-0005-0000-0000-0000D8730000}"/>
    <cellStyle name="Normal 3 23" xfId="29679" xr:uid="{00000000-0005-0000-0000-0000D9730000}"/>
    <cellStyle name="Normal 3 23 2" xfId="29680" xr:uid="{00000000-0005-0000-0000-0000DA730000}"/>
    <cellStyle name="Normal 3 23_Enlaces" xfId="29681" xr:uid="{00000000-0005-0000-0000-0000DB730000}"/>
    <cellStyle name="Normal 3 24" xfId="29682" xr:uid="{00000000-0005-0000-0000-0000DC730000}"/>
    <cellStyle name="Normal 3 24 2" xfId="29683" xr:uid="{00000000-0005-0000-0000-0000DD730000}"/>
    <cellStyle name="Normal 3 24_Enlaces" xfId="29684" xr:uid="{00000000-0005-0000-0000-0000DE730000}"/>
    <cellStyle name="Normal 3 25" xfId="29685" xr:uid="{00000000-0005-0000-0000-0000DF730000}"/>
    <cellStyle name="Normal 3 25 2" xfId="29686" xr:uid="{00000000-0005-0000-0000-0000E0730000}"/>
    <cellStyle name="Normal 3 25_Enlaces" xfId="29687" xr:uid="{00000000-0005-0000-0000-0000E1730000}"/>
    <cellStyle name="Normal 3 26" xfId="29688" xr:uid="{00000000-0005-0000-0000-0000E2730000}"/>
    <cellStyle name="Normal 3 26 2" xfId="29689" xr:uid="{00000000-0005-0000-0000-0000E3730000}"/>
    <cellStyle name="Normal 3 26_Enlaces" xfId="29690" xr:uid="{00000000-0005-0000-0000-0000E4730000}"/>
    <cellStyle name="Normal 3 27" xfId="29691" xr:uid="{00000000-0005-0000-0000-0000E5730000}"/>
    <cellStyle name="Normal 3 27 2" xfId="29692" xr:uid="{00000000-0005-0000-0000-0000E6730000}"/>
    <cellStyle name="Normal 3 27_Enlaces" xfId="29693" xr:uid="{00000000-0005-0000-0000-0000E7730000}"/>
    <cellStyle name="Normal 3 28" xfId="29694" xr:uid="{00000000-0005-0000-0000-0000E8730000}"/>
    <cellStyle name="Normal 3 29" xfId="29695" xr:uid="{00000000-0005-0000-0000-0000E9730000}"/>
    <cellStyle name="Normal 3 3" xfId="59" xr:uid="{00000000-0005-0000-0000-0000EA730000}"/>
    <cellStyle name="Normal 3 3 10" xfId="29697" xr:uid="{00000000-0005-0000-0000-0000EB730000}"/>
    <cellStyle name="Normal 3 3 11" xfId="29698" xr:uid="{00000000-0005-0000-0000-0000EC730000}"/>
    <cellStyle name="Normal 3 3 12" xfId="29699" xr:uid="{00000000-0005-0000-0000-0000ED730000}"/>
    <cellStyle name="Normal 3 3 13" xfId="29700" xr:uid="{00000000-0005-0000-0000-0000EE730000}"/>
    <cellStyle name="Normal 3 3 14" xfId="29701" xr:uid="{00000000-0005-0000-0000-0000EF730000}"/>
    <cellStyle name="Normal 3 3 15" xfId="29702" xr:uid="{00000000-0005-0000-0000-0000F0730000}"/>
    <cellStyle name="Normal 3 3 16" xfId="29703" xr:uid="{00000000-0005-0000-0000-0000F1730000}"/>
    <cellStyle name="Normal 3 3 17" xfId="29704" xr:uid="{00000000-0005-0000-0000-0000F2730000}"/>
    <cellStyle name="Normal 3 3 18" xfId="29705" xr:uid="{00000000-0005-0000-0000-0000F3730000}"/>
    <cellStyle name="Normal 3 3 19" xfId="29706" xr:uid="{00000000-0005-0000-0000-0000F4730000}"/>
    <cellStyle name="Normal 3 3 2" xfId="29707" xr:uid="{00000000-0005-0000-0000-0000F5730000}"/>
    <cellStyle name="Normal 3 3 2 2" xfId="29708" xr:uid="{00000000-0005-0000-0000-0000F6730000}"/>
    <cellStyle name="Normal 3 3 2 3" xfId="29709" xr:uid="{00000000-0005-0000-0000-0000F7730000}"/>
    <cellStyle name="Normal 3 3 20" xfId="29710" xr:uid="{00000000-0005-0000-0000-0000F8730000}"/>
    <cellStyle name="Normal 3 3 21" xfId="29711" xr:uid="{00000000-0005-0000-0000-0000F9730000}"/>
    <cellStyle name="Normal 3 3 22" xfId="29712" xr:uid="{00000000-0005-0000-0000-0000FA730000}"/>
    <cellStyle name="Normal 3 3 23" xfId="29713" xr:uid="{00000000-0005-0000-0000-0000FB730000}"/>
    <cellStyle name="Normal 3 3 24" xfId="29714" xr:uid="{00000000-0005-0000-0000-0000FC730000}"/>
    <cellStyle name="Normal 3 3 25" xfId="29715" xr:uid="{00000000-0005-0000-0000-0000FD730000}"/>
    <cellStyle name="Normal 3 3 26" xfId="29716" xr:uid="{00000000-0005-0000-0000-0000FE730000}"/>
    <cellStyle name="Normal 3 3 27" xfId="29717" xr:uid="{00000000-0005-0000-0000-0000FF730000}"/>
    <cellStyle name="Normal 3 3 28" xfId="29718" xr:uid="{00000000-0005-0000-0000-000000740000}"/>
    <cellStyle name="Normal 3 3 29" xfId="29719" xr:uid="{00000000-0005-0000-0000-000001740000}"/>
    <cellStyle name="Normal 3 3 3" xfId="29720" xr:uid="{00000000-0005-0000-0000-000002740000}"/>
    <cellStyle name="Normal 3 3 30" xfId="29721" xr:uid="{00000000-0005-0000-0000-000003740000}"/>
    <cellStyle name="Normal 3 3 31" xfId="29696" xr:uid="{00000000-0005-0000-0000-000004740000}"/>
    <cellStyle name="Normal 3 3 4" xfId="29722" xr:uid="{00000000-0005-0000-0000-000005740000}"/>
    <cellStyle name="Normal 3 3 5" xfId="29723" xr:uid="{00000000-0005-0000-0000-000006740000}"/>
    <cellStyle name="Normal 3 3 6" xfId="29724" xr:uid="{00000000-0005-0000-0000-000007740000}"/>
    <cellStyle name="Normal 3 3 7" xfId="29725" xr:uid="{00000000-0005-0000-0000-000008740000}"/>
    <cellStyle name="Normal 3 3 8" xfId="29726" xr:uid="{00000000-0005-0000-0000-000009740000}"/>
    <cellStyle name="Normal 3 3 9" xfId="29727" xr:uid="{00000000-0005-0000-0000-00000A740000}"/>
    <cellStyle name="Normal 3 3_Enlaces" xfId="29728" xr:uid="{00000000-0005-0000-0000-00000B740000}"/>
    <cellStyle name="Normal 3 30" xfId="29729" xr:uid="{00000000-0005-0000-0000-00000C740000}"/>
    <cellStyle name="Normal 3 31" xfId="29730" xr:uid="{00000000-0005-0000-0000-00000D740000}"/>
    <cellStyle name="Normal 3 32" xfId="29731" xr:uid="{00000000-0005-0000-0000-00000E740000}"/>
    <cellStyle name="Normal 3 33" xfId="29732" xr:uid="{00000000-0005-0000-0000-00000F740000}"/>
    <cellStyle name="Normal 3 34" xfId="29733" xr:uid="{00000000-0005-0000-0000-000010740000}"/>
    <cellStyle name="Normal 3 35" xfId="29734" xr:uid="{00000000-0005-0000-0000-000011740000}"/>
    <cellStyle name="Normal 3 36" xfId="29735" xr:uid="{00000000-0005-0000-0000-000012740000}"/>
    <cellStyle name="Normal 3 37" xfId="29736" xr:uid="{00000000-0005-0000-0000-000013740000}"/>
    <cellStyle name="Normal 3 38" xfId="29737" xr:uid="{00000000-0005-0000-0000-000014740000}"/>
    <cellStyle name="Normal 3 39" xfId="29738" xr:uid="{00000000-0005-0000-0000-000015740000}"/>
    <cellStyle name="Normal 3 4" xfId="40" xr:uid="{00000000-0005-0000-0000-000016740000}"/>
    <cellStyle name="Normal 3 4 10" xfId="29740" xr:uid="{00000000-0005-0000-0000-000017740000}"/>
    <cellStyle name="Normal 3 4 11" xfId="29741" xr:uid="{00000000-0005-0000-0000-000018740000}"/>
    <cellStyle name="Normal 3 4 12" xfId="29742" xr:uid="{00000000-0005-0000-0000-000019740000}"/>
    <cellStyle name="Normal 3 4 13" xfId="29743" xr:uid="{00000000-0005-0000-0000-00001A740000}"/>
    <cellStyle name="Normal 3 4 14" xfId="29744" xr:uid="{00000000-0005-0000-0000-00001B740000}"/>
    <cellStyle name="Normal 3 4 15" xfId="29745" xr:uid="{00000000-0005-0000-0000-00001C740000}"/>
    <cellStyle name="Normal 3 4 16" xfId="29746" xr:uid="{00000000-0005-0000-0000-00001D740000}"/>
    <cellStyle name="Normal 3 4 17" xfId="29747" xr:uid="{00000000-0005-0000-0000-00001E740000}"/>
    <cellStyle name="Normal 3 4 18" xfId="29748" xr:uid="{00000000-0005-0000-0000-00001F740000}"/>
    <cellStyle name="Normal 3 4 19" xfId="29749" xr:uid="{00000000-0005-0000-0000-000020740000}"/>
    <cellStyle name="Normal 3 4 2" xfId="29750" xr:uid="{00000000-0005-0000-0000-000021740000}"/>
    <cellStyle name="Normal 3 4 2 2" xfId="29751" xr:uid="{00000000-0005-0000-0000-000022740000}"/>
    <cellStyle name="Normal 3 4 20" xfId="29752" xr:uid="{00000000-0005-0000-0000-000023740000}"/>
    <cellStyle name="Normal 3 4 21" xfId="29753" xr:uid="{00000000-0005-0000-0000-000024740000}"/>
    <cellStyle name="Normal 3 4 22" xfId="29754" xr:uid="{00000000-0005-0000-0000-000025740000}"/>
    <cellStyle name="Normal 3 4 23" xfId="29755" xr:uid="{00000000-0005-0000-0000-000026740000}"/>
    <cellStyle name="Normal 3 4 24" xfId="29756" xr:uid="{00000000-0005-0000-0000-000027740000}"/>
    <cellStyle name="Normal 3 4 24 2" xfId="29757" xr:uid="{00000000-0005-0000-0000-000028740000}"/>
    <cellStyle name="Normal 3 4 25" xfId="29739" xr:uid="{00000000-0005-0000-0000-000029740000}"/>
    <cellStyle name="Normal 3 4 3" xfId="29758" xr:uid="{00000000-0005-0000-0000-00002A740000}"/>
    <cellStyle name="Normal 3 4 4" xfId="29759" xr:uid="{00000000-0005-0000-0000-00002B740000}"/>
    <cellStyle name="Normal 3 4 5" xfId="29760" xr:uid="{00000000-0005-0000-0000-00002C740000}"/>
    <cellStyle name="Normal 3 4 6" xfId="29761" xr:uid="{00000000-0005-0000-0000-00002D740000}"/>
    <cellStyle name="Normal 3 4 7" xfId="29762" xr:uid="{00000000-0005-0000-0000-00002E740000}"/>
    <cellStyle name="Normal 3 4 8" xfId="29763" xr:uid="{00000000-0005-0000-0000-00002F740000}"/>
    <cellStyle name="Normal 3 4 9" xfId="29764" xr:uid="{00000000-0005-0000-0000-000030740000}"/>
    <cellStyle name="Normal 3 4_Enlaces" xfId="29765" xr:uid="{00000000-0005-0000-0000-000031740000}"/>
    <cellStyle name="Normal 3 40" xfId="29766" xr:uid="{00000000-0005-0000-0000-000032740000}"/>
    <cellStyle name="Normal 3 41" xfId="29767" xr:uid="{00000000-0005-0000-0000-000033740000}"/>
    <cellStyle name="Normal 3 42" xfId="29768" xr:uid="{00000000-0005-0000-0000-000034740000}"/>
    <cellStyle name="Normal 3 43" xfId="29769" xr:uid="{00000000-0005-0000-0000-000035740000}"/>
    <cellStyle name="Normal 3 44" xfId="29770" xr:uid="{00000000-0005-0000-0000-000036740000}"/>
    <cellStyle name="Normal 3 45" xfId="29771" xr:uid="{00000000-0005-0000-0000-000037740000}"/>
    <cellStyle name="Normal 3 46" xfId="29772" xr:uid="{00000000-0005-0000-0000-000038740000}"/>
    <cellStyle name="Normal 3 47" xfId="29773" xr:uid="{00000000-0005-0000-0000-000039740000}"/>
    <cellStyle name="Normal 3 48" xfId="29774" xr:uid="{00000000-0005-0000-0000-00003A740000}"/>
    <cellStyle name="Normal 3 49" xfId="29775" xr:uid="{00000000-0005-0000-0000-00003B740000}"/>
    <cellStyle name="Normal 3 5" xfId="29776" xr:uid="{00000000-0005-0000-0000-00003C740000}"/>
    <cellStyle name="Normal 3 5 2" xfId="29777" xr:uid="{00000000-0005-0000-0000-00003D740000}"/>
    <cellStyle name="Normal 3 5 3" xfId="29778" xr:uid="{00000000-0005-0000-0000-00003E740000}"/>
    <cellStyle name="Normal 3 5 4" xfId="29779" xr:uid="{00000000-0005-0000-0000-00003F740000}"/>
    <cellStyle name="Normal 3 5_Enlaces" xfId="29780" xr:uid="{00000000-0005-0000-0000-000040740000}"/>
    <cellStyle name="Normal 3 50" xfId="29781" xr:uid="{00000000-0005-0000-0000-000041740000}"/>
    <cellStyle name="Normal 3 51" xfId="29782" xr:uid="{00000000-0005-0000-0000-000042740000}"/>
    <cellStyle name="Normal 3 52" xfId="29783" xr:uid="{00000000-0005-0000-0000-000043740000}"/>
    <cellStyle name="Normal 3 53" xfId="29784" xr:uid="{00000000-0005-0000-0000-000044740000}"/>
    <cellStyle name="Normal 3 54" xfId="29785" xr:uid="{00000000-0005-0000-0000-000045740000}"/>
    <cellStyle name="Normal 3 55" xfId="29786" xr:uid="{00000000-0005-0000-0000-000046740000}"/>
    <cellStyle name="Normal 3 56" xfId="29787" xr:uid="{00000000-0005-0000-0000-000047740000}"/>
    <cellStyle name="Normal 3 57" xfId="29788" xr:uid="{00000000-0005-0000-0000-000048740000}"/>
    <cellStyle name="Normal 3 58" xfId="29789" xr:uid="{00000000-0005-0000-0000-000049740000}"/>
    <cellStyle name="Normal 3 59" xfId="29790" xr:uid="{00000000-0005-0000-0000-00004A740000}"/>
    <cellStyle name="Normal 3 6" xfId="29791" xr:uid="{00000000-0005-0000-0000-00004B740000}"/>
    <cellStyle name="Normal 3 6 2" xfId="29792" xr:uid="{00000000-0005-0000-0000-00004C740000}"/>
    <cellStyle name="Normal 3 6 3" xfId="29793" xr:uid="{00000000-0005-0000-0000-00004D740000}"/>
    <cellStyle name="Normal 3 6 4" xfId="29794" xr:uid="{00000000-0005-0000-0000-00004E740000}"/>
    <cellStyle name="Normal 3 6_Enlaces" xfId="29795" xr:uid="{00000000-0005-0000-0000-00004F740000}"/>
    <cellStyle name="Normal 3 60" xfId="29796" xr:uid="{00000000-0005-0000-0000-000050740000}"/>
    <cellStyle name="Normal 3 61" xfId="29797" xr:uid="{00000000-0005-0000-0000-000051740000}"/>
    <cellStyle name="Normal 3 62" xfId="29798" xr:uid="{00000000-0005-0000-0000-000052740000}"/>
    <cellStyle name="Normal 3 63" xfId="29799" xr:uid="{00000000-0005-0000-0000-000053740000}"/>
    <cellStyle name="Normal 3 64" xfId="29800" xr:uid="{00000000-0005-0000-0000-000054740000}"/>
    <cellStyle name="Normal 3 65" xfId="29801" xr:uid="{00000000-0005-0000-0000-000055740000}"/>
    <cellStyle name="Normal 3 66" xfId="29802" xr:uid="{00000000-0005-0000-0000-000056740000}"/>
    <cellStyle name="Normal 3 67" xfId="29803" xr:uid="{00000000-0005-0000-0000-000057740000}"/>
    <cellStyle name="Normal 3 68" xfId="29804" xr:uid="{00000000-0005-0000-0000-000058740000}"/>
    <cellStyle name="Normal 3 69" xfId="29805" xr:uid="{00000000-0005-0000-0000-000059740000}"/>
    <cellStyle name="Normal 3 7" xfId="29806" xr:uid="{00000000-0005-0000-0000-00005A740000}"/>
    <cellStyle name="Normal 3 7 2" xfId="29807" xr:uid="{00000000-0005-0000-0000-00005B740000}"/>
    <cellStyle name="Normal 3 7 3" xfId="29808" xr:uid="{00000000-0005-0000-0000-00005C740000}"/>
    <cellStyle name="Normal 3 7 4" xfId="29809" xr:uid="{00000000-0005-0000-0000-00005D740000}"/>
    <cellStyle name="Normal 3 7_Enlaces" xfId="29810" xr:uid="{00000000-0005-0000-0000-00005E740000}"/>
    <cellStyle name="Normal 3 70" xfId="29811" xr:uid="{00000000-0005-0000-0000-00005F740000}"/>
    <cellStyle name="Normal 3 71" xfId="29812" xr:uid="{00000000-0005-0000-0000-000060740000}"/>
    <cellStyle name="Normal 3 72" xfId="29813" xr:uid="{00000000-0005-0000-0000-000061740000}"/>
    <cellStyle name="Normal 3 73" xfId="29814" xr:uid="{00000000-0005-0000-0000-000062740000}"/>
    <cellStyle name="Normal 3 74" xfId="29815" xr:uid="{00000000-0005-0000-0000-000063740000}"/>
    <cellStyle name="Normal 3 75" xfId="29816" xr:uid="{00000000-0005-0000-0000-000064740000}"/>
    <cellStyle name="Normal 3 76" xfId="29817" xr:uid="{00000000-0005-0000-0000-000065740000}"/>
    <cellStyle name="Normal 3 77" xfId="29818" xr:uid="{00000000-0005-0000-0000-000066740000}"/>
    <cellStyle name="Normal 3 78" xfId="29819" xr:uid="{00000000-0005-0000-0000-000067740000}"/>
    <cellStyle name="Normal 3 79" xfId="29820" xr:uid="{00000000-0005-0000-0000-000068740000}"/>
    <cellStyle name="Normal 3 8" xfId="29821" xr:uid="{00000000-0005-0000-0000-000069740000}"/>
    <cellStyle name="Normal 3 8 2" xfId="29822" xr:uid="{00000000-0005-0000-0000-00006A740000}"/>
    <cellStyle name="Normal 3 8 3" xfId="29823" xr:uid="{00000000-0005-0000-0000-00006B740000}"/>
    <cellStyle name="Normal 3 8 4" xfId="29824" xr:uid="{00000000-0005-0000-0000-00006C740000}"/>
    <cellStyle name="Normal 3 8_Enlaces" xfId="29825" xr:uid="{00000000-0005-0000-0000-00006D740000}"/>
    <cellStyle name="Normal 3 80" xfId="29826" xr:uid="{00000000-0005-0000-0000-00006E740000}"/>
    <cellStyle name="Normal 3 81" xfId="29827" xr:uid="{00000000-0005-0000-0000-00006F740000}"/>
    <cellStyle name="Normal 3 82" xfId="29828" xr:uid="{00000000-0005-0000-0000-000070740000}"/>
    <cellStyle name="Normal 3 83" xfId="29829" xr:uid="{00000000-0005-0000-0000-000071740000}"/>
    <cellStyle name="Normal 3 84" xfId="29830" xr:uid="{00000000-0005-0000-0000-000072740000}"/>
    <cellStyle name="Normal 3 85" xfId="29831" xr:uid="{00000000-0005-0000-0000-000073740000}"/>
    <cellStyle name="Normal 3 86" xfId="29832" xr:uid="{00000000-0005-0000-0000-000074740000}"/>
    <cellStyle name="Normal 3 87" xfId="29833" xr:uid="{00000000-0005-0000-0000-000075740000}"/>
    <cellStyle name="Normal 3 88" xfId="29834" xr:uid="{00000000-0005-0000-0000-000076740000}"/>
    <cellStyle name="Normal 3 89" xfId="29835" xr:uid="{00000000-0005-0000-0000-000077740000}"/>
    <cellStyle name="Normal 3 9" xfId="29836" xr:uid="{00000000-0005-0000-0000-000078740000}"/>
    <cellStyle name="Normal 3 9 2" xfId="29837" xr:uid="{00000000-0005-0000-0000-000079740000}"/>
    <cellStyle name="Normal 3 9 3" xfId="29838" xr:uid="{00000000-0005-0000-0000-00007A740000}"/>
    <cellStyle name="Normal 3 9 4" xfId="29839" xr:uid="{00000000-0005-0000-0000-00007B740000}"/>
    <cellStyle name="Normal 3 9_Enlaces" xfId="29840" xr:uid="{00000000-0005-0000-0000-00007C740000}"/>
    <cellStyle name="Normal 3 90" xfId="29841" xr:uid="{00000000-0005-0000-0000-00007D740000}"/>
    <cellStyle name="Normal 3 91" xfId="29842" xr:uid="{00000000-0005-0000-0000-00007E740000}"/>
    <cellStyle name="Normal 3 92" xfId="29843" xr:uid="{00000000-0005-0000-0000-00007F740000}"/>
    <cellStyle name="Normal 3 93" xfId="29844" xr:uid="{00000000-0005-0000-0000-000080740000}"/>
    <cellStyle name="Normal 3 94" xfId="29845" xr:uid="{00000000-0005-0000-0000-000081740000}"/>
    <cellStyle name="Normal 3 95" xfId="29846" xr:uid="{00000000-0005-0000-0000-000082740000}"/>
    <cellStyle name="Normal 3 96" xfId="29847" xr:uid="{00000000-0005-0000-0000-000083740000}"/>
    <cellStyle name="Normal 3 97" xfId="29848" xr:uid="{00000000-0005-0000-0000-000084740000}"/>
    <cellStyle name="Normal 3 98" xfId="29849" xr:uid="{00000000-0005-0000-0000-000085740000}"/>
    <cellStyle name="Normal 3 98 2" xfId="29850" xr:uid="{00000000-0005-0000-0000-000086740000}"/>
    <cellStyle name="Normal 3 98 3" xfId="29851" xr:uid="{00000000-0005-0000-0000-000087740000}"/>
    <cellStyle name="Normal 3 98 4" xfId="29852" xr:uid="{00000000-0005-0000-0000-000088740000}"/>
    <cellStyle name="Normal 3 98 5" xfId="29853" xr:uid="{00000000-0005-0000-0000-000089740000}"/>
    <cellStyle name="Normal 3 98 6" xfId="29854" xr:uid="{00000000-0005-0000-0000-00008A740000}"/>
    <cellStyle name="Normal 3 99" xfId="29855" xr:uid="{00000000-0005-0000-0000-00008B740000}"/>
    <cellStyle name="Normal 3 99 2" xfId="29856" xr:uid="{00000000-0005-0000-0000-00008C740000}"/>
    <cellStyle name="Normal 3 99 3" xfId="29857" xr:uid="{00000000-0005-0000-0000-00008D740000}"/>
    <cellStyle name="Normal 3 99 4" xfId="29858" xr:uid="{00000000-0005-0000-0000-00008E740000}"/>
    <cellStyle name="Normal 3 99 5" xfId="29859" xr:uid="{00000000-0005-0000-0000-00008F740000}"/>
    <cellStyle name="Normal 3 99 6" xfId="29860" xr:uid="{00000000-0005-0000-0000-000090740000}"/>
    <cellStyle name="Normal 3_Enlaces" xfId="29861" xr:uid="{00000000-0005-0000-0000-000091740000}"/>
    <cellStyle name="Normal 30" xfId="29862" xr:uid="{00000000-0005-0000-0000-000092740000}"/>
    <cellStyle name="Normal 30 10" xfId="29863" xr:uid="{00000000-0005-0000-0000-000093740000}"/>
    <cellStyle name="Normal 30 11" xfId="29864" xr:uid="{00000000-0005-0000-0000-000094740000}"/>
    <cellStyle name="Normal 30 12" xfId="29865" xr:uid="{00000000-0005-0000-0000-000095740000}"/>
    <cellStyle name="Normal 30 13" xfId="29866" xr:uid="{00000000-0005-0000-0000-000096740000}"/>
    <cellStyle name="Normal 30 14" xfId="29867" xr:uid="{00000000-0005-0000-0000-000097740000}"/>
    <cellStyle name="Normal 30 15" xfId="29868" xr:uid="{00000000-0005-0000-0000-000098740000}"/>
    <cellStyle name="Normal 30 16" xfId="29869" xr:uid="{00000000-0005-0000-0000-000099740000}"/>
    <cellStyle name="Normal 30 17" xfId="29870" xr:uid="{00000000-0005-0000-0000-00009A740000}"/>
    <cellStyle name="Normal 30 18" xfId="29871" xr:uid="{00000000-0005-0000-0000-00009B740000}"/>
    <cellStyle name="Normal 30 19" xfId="29872" xr:uid="{00000000-0005-0000-0000-00009C740000}"/>
    <cellStyle name="Normal 30 2" xfId="29873" xr:uid="{00000000-0005-0000-0000-00009D740000}"/>
    <cellStyle name="Normal 30 2 2" xfId="29874" xr:uid="{00000000-0005-0000-0000-00009E740000}"/>
    <cellStyle name="Normal 30 2 3" xfId="29875" xr:uid="{00000000-0005-0000-0000-00009F740000}"/>
    <cellStyle name="Normal 30 20" xfId="29876" xr:uid="{00000000-0005-0000-0000-0000A0740000}"/>
    <cellStyle name="Normal 30 21" xfId="29877" xr:uid="{00000000-0005-0000-0000-0000A1740000}"/>
    <cellStyle name="Normal 30 22" xfId="29878" xr:uid="{00000000-0005-0000-0000-0000A2740000}"/>
    <cellStyle name="Normal 30 23" xfId="29879" xr:uid="{00000000-0005-0000-0000-0000A3740000}"/>
    <cellStyle name="Normal 30 24" xfId="29880" xr:uid="{00000000-0005-0000-0000-0000A4740000}"/>
    <cellStyle name="Normal 30 25" xfId="29881" xr:uid="{00000000-0005-0000-0000-0000A5740000}"/>
    <cellStyle name="Normal 30 26" xfId="29882" xr:uid="{00000000-0005-0000-0000-0000A6740000}"/>
    <cellStyle name="Normal 30 3" xfId="29883" xr:uid="{00000000-0005-0000-0000-0000A7740000}"/>
    <cellStyle name="Normal 30 3 2" xfId="29884" xr:uid="{00000000-0005-0000-0000-0000A8740000}"/>
    <cellStyle name="Normal 30 3 3" xfId="29885" xr:uid="{00000000-0005-0000-0000-0000A9740000}"/>
    <cellStyle name="Normal 30 3 4" xfId="29886" xr:uid="{00000000-0005-0000-0000-0000AA740000}"/>
    <cellStyle name="Normal 30 3 5" xfId="29887" xr:uid="{00000000-0005-0000-0000-0000AB740000}"/>
    <cellStyle name="Normal 30 4" xfId="29888" xr:uid="{00000000-0005-0000-0000-0000AC740000}"/>
    <cellStyle name="Normal 30 5" xfId="29889" xr:uid="{00000000-0005-0000-0000-0000AD740000}"/>
    <cellStyle name="Normal 30 6" xfId="29890" xr:uid="{00000000-0005-0000-0000-0000AE740000}"/>
    <cellStyle name="Normal 30 7" xfId="29891" xr:uid="{00000000-0005-0000-0000-0000AF740000}"/>
    <cellStyle name="Normal 30 8" xfId="29892" xr:uid="{00000000-0005-0000-0000-0000B0740000}"/>
    <cellStyle name="Normal 30 9" xfId="29893" xr:uid="{00000000-0005-0000-0000-0000B1740000}"/>
    <cellStyle name="Normal 31" xfId="29894" xr:uid="{00000000-0005-0000-0000-0000B2740000}"/>
    <cellStyle name="Normal 31 10" xfId="29895" xr:uid="{00000000-0005-0000-0000-0000B3740000}"/>
    <cellStyle name="Normal 31 11" xfId="29896" xr:uid="{00000000-0005-0000-0000-0000B4740000}"/>
    <cellStyle name="Normal 31 12" xfId="29897" xr:uid="{00000000-0005-0000-0000-0000B5740000}"/>
    <cellStyle name="Normal 31 13" xfId="29898" xr:uid="{00000000-0005-0000-0000-0000B6740000}"/>
    <cellStyle name="Normal 31 14" xfId="29899" xr:uid="{00000000-0005-0000-0000-0000B7740000}"/>
    <cellStyle name="Normal 31 15" xfId="29900" xr:uid="{00000000-0005-0000-0000-0000B8740000}"/>
    <cellStyle name="Normal 31 16" xfId="29901" xr:uid="{00000000-0005-0000-0000-0000B9740000}"/>
    <cellStyle name="Normal 31 17" xfId="29902" xr:uid="{00000000-0005-0000-0000-0000BA740000}"/>
    <cellStyle name="Normal 31 18" xfId="29903" xr:uid="{00000000-0005-0000-0000-0000BB740000}"/>
    <cellStyle name="Normal 31 19" xfId="29904" xr:uid="{00000000-0005-0000-0000-0000BC740000}"/>
    <cellStyle name="Normal 31 2" xfId="29905" xr:uid="{00000000-0005-0000-0000-0000BD740000}"/>
    <cellStyle name="Normal 31 2 2" xfId="29906" xr:uid="{00000000-0005-0000-0000-0000BE740000}"/>
    <cellStyle name="Normal 31 2 3" xfId="29907" xr:uid="{00000000-0005-0000-0000-0000BF740000}"/>
    <cellStyle name="Normal 31 20" xfId="29908" xr:uid="{00000000-0005-0000-0000-0000C0740000}"/>
    <cellStyle name="Normal 31 21" xfId="29909" xr:uid="{00000000-0005-0000-0000-0000C1740000}"/>
    <cellStyle name="Normal 31 22" xfId="29910" xr:uid="{00000000-0005-0000-0000-0000C2740000}"/>
    <cellStyle name="Normal 31 23" xfId="29911" xr:uid="{00000000-0005-0000-0000-0000C3740000}"/>
    <cellStyle name="Normal 31 24" xfId="29912" xr:uid="{00000000-0005-0000-0000-0000C4740000}"/>
    <cellStyle name="Normal 31 25" xfId="29913" xr:uid="{00000000-0005-0000-0000-0000C5740000}"/>
    <cellStyle name="Normal 31 26" xfId="29914" xr:uid="{00000000-0005-0000-0000-0000C6740000}"/>
    <cellStyle name="Normal 31 3" xfId="29915" xr:uid="{00000000-0005-0000-0000-0000C7740000}"/>
    <cellStyle name="Normal 31 3 2" xfId="29916" xr:uid="{00000000-0005-0000-0000-0000C8740000}"/>
    <cellStyle name="Normal 31 3 3" xfId="29917" xr:uid="{00000000-0005-0000-0000-0000C9740000}"/>
    <cellStyle name="Normal 31 4" xfId="29918" xr:uid="{00000000-0005-0000-0000-0000CA740000}"/>
    <cellStyle name="Normal 31 5" xfId="29919" xr:uid="{00000000-0005-0000-0000-0000CB740000}"/>
    <cellStyle name="Normal 31 6" xfId="29920" xr:uid="{00000000-0005-0000-0000-0000CC740000}"/>
    <cellStyle name="Normal 31 7" xfId="29921" xr:uid="{00000000-0005-0000-0000-0000CD740000}"/>
    <cellStyle name="Normal 31 8" xfId="29922" xr:uid="{00000000-0005-0000-0000-0000CE740000}"/>
    <cellStyle name="Normal 31 9" xfId="29923" xr:uid="{00000000-0005-0000-0000-0000CF740000}"/>
    <cellStyle name="Normal 32" xfId="29924" xr:uid="{00000000-0005-0000-0000-0000D0740000}"/>
    <cellStyle name="Normal 32 2" xfId="29925" xr:uid="{00000000-0005-0000-0000-0000D1740000}"/>
    <cellStyle name="Normal 32 3" xfId="29926" xr:uid="{00000000-0005-0000-0000-0000D2740000}"/>
    <cellStyle name="Normal 32 4" xfId="29927" xr:uid="{00000000-0005-0000-0000-0000D3740000}"/>
    <cellStyle name="Normal 32 5" xfId="29928" xr:uid="{00000000-0005-0000-0000-0000D4740000}"/>
    <cellStyle name="Normal 33" xfId="29929" xr:uid="{00000000-0005-0000-0000-0000D5740000}"/>
    <cellStyle name="Normal 33 2" xfId="29930" xr:uid="{00000000-0005-0000-0000-0000D6740000}"/>
    <cellStyle name="Normal 33 3" xfId="29931" xr:uid="{00000000-0005-0000-0000-0000D7740000}"/>
    <cellStyle name="Normal 33 4" xfId="29932" xr:uid="{00000000-0005-0000-0000-0000D8740000}"/>
    <cellStyle name="Normal 33 5" xfId="29933" xr:uid="{00000000-0005-0000-0000-0000D9740000}"/>
    <cellStyle name="Normal 34" xfId="29934" xr:uid="{00000000-0005-0000-0000-0000DA740000}"/>
    <cellStyle name="Normal 34 10" xfId="29935" xr:uid="{00000000-0005-0000-0000-0000DB740000}"/>
    <cellStyle name="Normal 34 11" xfId="29936" xr:uid="{00000000-0005-0000-0000-0000DC740000}"/>
    <cellStyle name="Normal 34 12" xfId="29937" xr:uid="{00000000-0005-0000-0000-0000DD740000}"/>
    <cellStyle name="Normal 34 13" xfId="29938" xr:uid="{00000000-0005-0000-0000-0000DE740000}"/>
    <cellStyle name="Normal 34 14" xfId="29939" xr:uid="{00000000-0005-0000-0000-0000DF740000}"/>
    <cellStyle name="Normal 34 15" xfId="29940" xr:uid="{00000000-0005-0000-0000-0000E0740000}"/>
    <cellStyle name="Normal 34 16" xfId="29941" xr:uid="{00000000-0005-0000-0000-0000E1740000}"/>
    <cellStyle name="Normal 34 17" xfId="29942" xr:uid="{00000000-0005-0000-0000-0000E2740000}"/>
    <cellStyle name="Normal 34 18" xfId="29943" xr:uid="{00000000-0005-0000-0000-0000E3740000}"/>
    <cellStyle name="Normal 34 19" xfId="29944" xr:uid="{00000000-0005-0000-0000-0000E4740000}"/>
    <cellStyle name="Normal 34 2" xfId="29945" xr:uid="{00000000-0005-0000-0000-0000E5740000}"/>
    <cellStyle name="Normal 34 2 2" xfId="29946" xr:uid="{00000000-0005-0000-0000-0000E6740000}"/>
    <cellStyle name="Normal 34 2 3" xfId="29947" xr:uid="{00000000-0005-0000-0000-0000E7740000}"/>
    <cellStyle name="Normal 34 20" xfId="29948" xr:uid="{00000000-0005-0000-0000-0000E8740000}"/>
    <cellStyle name="Normal 34 21" xfId="29949" xr:uid="{00000000-0005-0000-0000-0000E9740000}"/>
    <cellStyle name="Normal 34 22" xfId="29950" xr:uid="{00000000-0005-0000-0000-0000EA740000}"/>
    <cellStyle name="Normal 34 23" xfId="29951" xr:uid="{00000000-0005-0000-0000-0000EB740000}"/>
    <cellStyle name="Normal 34 24" xfId="29952" xr:uid="{00000000-0005-0000-0000-0000EC740000}"/>
    <cellStyle name="Normal 34 25" xfId="29953" xr:uid="{00000000-0005-0000-0000-0000ED740000}"/>
    <cellStyle name="Normal 34 26" xfId="29954" xr:uid="{00000000-0005-0000-0000-0000EE740000}"/>
    <cellStyle name="Normal 34 3" xfId="29955" xr:uid="{00000000-0005-0000-0000-0000EF740000}"/>
    <cellStyle name="Normal 34 3 2" xfId="29956" xr:uid="{00000000-0005-0000-0000-0000F0740000}"/>
    <cellStyle name="Normal 34 3 3" xfId="29957" xr:uid="{00000000-0005-0000-0000-0000F1740000}"/>
    <cellStyle name="Normal 34 3 4" xfId="29958" xr:uid="{00000000-0005-0000-0000-0000F2740000}"/>
    <cellStyle name="Normal 34 3 5" xfId="29959" xr:uid="{00000000-0005-0000-0000-0000F3740000}"/>
    <cellStyle name="Normal 34 4" xfId="29960" xr:uid="{00000000-0005-0000-0000-0000F4740000}"/>
    <cellStyle name="Normal 34 5" xfId="29961" xr:uid="{00000000-0005-0000-0000-0000F5740000}"/>
    <cellStyle name="Normal 34 6" xfId="29962" xr:uid="{00000000-0005-0000-0000-0000F6740000}"/>
    <cellStyle name="Normal 34 7" xfId="29963" xr:uid="{00000000-0005-0000-0000-0000F7740000}"/>
    <cellStyle name="Normal 34 8" xfId="29964" xr:uid="{00000000-0005-0000-0000-0000F8740000}"/>
    <cellStyle name="Normal 34 9" xfId="29965" xr:uid="{00000000-0005-0000-0000-0000F9740000}"/>
    <cellStyle name="Normal 35" xfId="29966" xr:uid="{00000000-0005-0000-0000-0000FA740000}"/>
    <cellStyle name="Normal 35 10" xfId="29967" xr:uid="{00000000-0005-0000-0000-0000FB740000}"/>
    <cellStyle name="Normal 35 11" xfId="29968" xr:uid="{00000000-0005-0000-0000-0000FC740000}"/>
    <cellStyle name="Normal 35 12" xfId="29969" xr:uid="{00000000-0005-0000-0000-0000FD740000}"/>
    <cellStyle name="Normal 35 13" xfId="29970" xr:uid="{00000000-0005-0000-0000-0000FE740000}"/>
    <cellStyle name="Normal 35 14" xfId="29971" xr:uid="{00000000-0005-0000-0000-0000FF740000}"/>
    <cellStyle name="Normal 35 15" xfId="29972" xr:uid="{00000000-0005-0000-0000-000000750000}"/>
    <cellStyle name="Normal 35 16" xfId="29973" xr:uid="{00000000-0005-0000-0000-000001750000}"/>
    <cellStyle name="Normal 35 17" xfId="29974" xr:uid="{00000000-0005-0000-0000-000002750000}"/>
    <cellStyle name="Normal 35 18" xfId="29975" xr:uid="{00000000-0005-0000-0000-000003750000}"/>
    <cellStyle name="Normal 35 19" xfId="29976" xr:uid="{00000000-0005-0000-0000-000004750000}"/>
    <cellStyle name="Normal 35 2" xfId="29977" xr:uid="{00000000-0005-0000-0000-000005750000}"/>
    <cellStyle name="Normal 35 2 2" xfId="29978" xr:uid="{00000000-0005-0000-0000-000006750000}"/>
    <cellStyle name="Normal 35 2 3" xfId="29979" xr:uid="{00000000-0005-0000-0000-000007750000}"/>
    <cellStyle name="Normal 35 20" xfId="29980" xr:uid="{00000000-0005-0000-0000-000008750000}"/>
    <cellStyle name="Normal 35 21" xfId="29981" xr:uid="{00000000-0005-0000-0000-000009750000}"/>
    <cellStyle name="Normal 35 22" xfId="29982" xr:uid="{00000000-0005-0000-0000-00000A750000}"/>
    <cellStyle name="Normal 35 23" xfId="29983" xr:uid="{00000000-0005-0000-0000-00000B750000}"/>
    <cellStyle name="Normal 35 24" xfId="29984" xr:uid="{00000000-0005-0000-0000-00000C750000}"/>
    <cellStyle name="Normal 35 25" xfId="29985" xr:uid="{00000000-0005-0000-0000-00000D750000}"/>
    <cellStyle name="Normal 35 3" xfId="29986" xr:uid="{00000000-0005-0000-0000-00000E750000}"/>
    <cellStyle name="Normal 35 3 2" xfId="29987" xr:uid="{00000000-0005-0000-0000-00000F750000}"/>
    <cellStyle name="Normal 35 3 3" xfId="29988" xr:uid="{00000000-0005-0000-0000-000010750000}"/>
    <cellStyle name="Normal 35 3 4" xfId="29989" xr:uid="{00000000-0005-0000-0000-000011750000}"/>
    <cellStyle name="Normal 35 3 5" xfId="29990" xr:uid="{00000000-0005-0000-0000-000012750000}"/>
    <cellStyle name="Normal 35 4" xfId="29991" xr:uid="{00000000-0005-0000-0000-000013750000}"/>
    <cellStyle name="Normal 35 5" xfId="29992" xr:uid="{00000000-0005-0000-0000-000014750000}"/>
    <cellStyle name="Normal 35 6" xfId="29993" xr:uid="{00000000-0005-0000-0000-000015750000}"/>
    <cellStyle name="Normal 35 7" xfId="29994" xr:uid="{00000000-0005-0000-0000-000016750000}"/>
    <cellStyle name="Normal 35 8" xfId="29995" xr:uid="{00000000-0005-0000-0000-000017750000}"/>
    <cellStyle name="Normal 35 9" xfId="29996" xr:uid="{00000000-0005-0000-0000-000018750000}"/>
    <cellStyle name="Normal 36" xfId="29997" xr:uid="{00000000-0005-0000-0000-000019750000}"/>
    <cellStyle name="Normal 36 2" xfId="29998" xr:uid="{00000000-0005-0000-0000-00001A750000}"/>
    <cellStyle name="Normal 36 3" xfId="29999" xr:uid="{00000000-0005-0000-0000-00001B750000}"/>
    <cellStyle name="Normal 36 4" xfId="30000" xr:uid="{00000000-0005-0000-0000-00001C750000}"/>
    <cellStyle name="Normal 37" xfId="30001" xr:uid="{00000000-0005-0000-0000-00001D750000}"/>
    <cellStyle name="Normal 37 10" xfId="30002" xr:uid="{00000000-0005-0000-0000-00001E750000}"/>
    <cellStyle name="Normal 37 11" xfId="30003" xr:uid="{00000000-0005-0000-0000-00001F750000}"/>
    <cellStyle name="Normal 37 12" xfId="30004" xr:uid="{00000000-0005-0000-0000-000020750000}"/>
    <cellStyle name="Normal 37 13" xfId="30005" xr:uid="{00000000-0005-0000-0000-000021750000}"/>
    <cellStyle name="Normal 37 14" xfId="30006" xr:uid="{00000000-0005-0000-0000-000022750000}"/>
    <cellStyle name="Normal 37 15" xfId="30007" xr:uid="{00000000-0005-0000-0000-000023750000}"/>
    <cellStyle name="Normal 37 16" xfId="30008" xr:uid="{00000000-0005-0000-0000-000024750000}"/>
    <cellStyle name="Normal 37 17" xfId="30009" xr:uid="{00000000-0005-0000-0000-000025750000}"/>
    <cellStyle name="Normal 37 18" xfId="30010" xr:uid="{00000000-0005-0000-0000-000026750000}"/>
    <cellStyle name="Normal 37 19" xfId="30011" xr:uid="{00000000-0005-0000-0000-000027750000}"/>
    <cellStyle name="Normal 37 2" xfId="30012" xr:uid="{00000000-0005-0000-0000-000028750000}"/>
    <cellStyle name="Normal 37 2 2" xfId="30013" xr:uid="{00000000-0005-0000-0000-000029750000}"/>
    <cellStyle name="Normal 37 20" xfId="30014" xr:uid="{00000000-0005-0000-0000-00002A750000}"/>
    <cellStyle name="Normal 37 21" xfId="30015" xr:uid="{00000000-0005-0000-0000-00002B750000}"/>
    <cellStyle name="Normal 37 22" xfId="30016" xr:uid="{00000000-0005-0000-0000-00002C750000}"/>
    <cellStyle name="Normal 37 23" xfId="30017" xr:uid="{00000000-0005-0000-0000-00002D750000}"/>
    <cellStyle name="Normal 37 24" xfId="30018" xr:uid="{00000000-0005-0000-0000-00002E750000}"/>
    <cellStyle name="Normal 37 25" xfId="30019" xr:uid="{00000000-0005-0000-0000-00002F750000}"/>
    <cellStyle name="Normal 37 26" xfId="30020" xr:uid="{00000000-0005-0000-0000-000030750000}"/>
    <cellStyle name="Normal 37 3" xfId="30021" xr:uid="{00000000-0005-0000-0000-000031750000}"/>
    <cellStyle name="Normal 37 3 2" xfId="30022" xr:uid="{00000000-0005-0000-0000-000032750000}"/>
    <cellStyle name="Normal 37 4" xfId="30023" xr:uid="{00000000-0005-0000-0000-000033750000}"/>
    <cellStyle name="Normal 37 4 2" xfId="30024" xr:uid="{00000000-0005-0000-0000-000034750000}"/>
    <cellStyle name="Normal 37 5" xfId="30025" xr:uid="{00000000-0005-0000-0000-000035750000}"/>
    <cellStyle name="Normal 37 5 2" xfId="30026" xr:uid="{00000000-0005-0000-0000-000036750000}"/>
    <cellStyle name="Normal 37 6" xfId="30027" xr:uid="{00000000-0005-0000-0000-000037750000}"/>
    <cellStyle name="Normal 37 7" xfId="30028" xr:uid="{00000000-0005-0000-0000-000038750000}"/>
    <cellStyle name="Normal 37 8" xfId="30029" xr:uid="{00000000-0005-0000-0000-000039750000}"/>
    <cellStyle name="Normal 37 9" xfId="30030" xr:uid="{00000000-0005-0000-0000-00003A750000}"/>
    <cellStyle name="Normal 38" xfId="30031" xr:uid="{00000000-0005-0000-0000-00003B750000}"/>
    <cellStyle name="Normal 38 10" xfId="30032" xr:uid="{00000000-0005-0000-0000-00003C750000}"/>
    <cellStyle name="Normal 38 11" xfId="30033" xr:uid="{00000000-0005-0000-0000-00003D750000}"/>
    <cellStyle name="Normal 38 12" xfId="30034" xr:uid="{00000000-0005-0000-0000-00003E750000}"/>
    <cellStyle name="Normal 38 13" xfId="30035" xr:uid="{00000000-0005-0000-0000-00003F750000}"/>
    <cellStyle name="Normal 38 14" xfId="30036" xr:uid="{00000000-0005-0000-0000-000040750000}"/>
    <cellStyle name="Normal 38 15" xfId="30037" xr:uid="{00000000-0005-0000-0000-000041750000}"/>
    <cellStyle name="Normal 38 16" xfId="30038" xr:uid="{00000000-0005-0000-0000-000042750000}"/>
    <cellStyle name="Normal 38 17" xfId="30039" xr:uid="{00000000-0005-0000-0000-000043750000}"/>
    <cellStyle name="Normal 38 18" xfId="30040" xr:uid="{00000000-0005-0000-0000-000044750000}"/>
    <cellStyle name="Normal 38 19" xfId="30041" xr:uid="{00000000-0005-0000-0000-000045750000}"/>
    <cellStyle name="Normal 38 2" xfId="30042" xr:uid="{00000000-0005-0000-0000-000046750000}"/>
    <cellStyle name="Normal 38 2 2" xfId="30043" xr:uid="{00000000-0005-0000-0000-000047750000}"/>
    <cellStyle name="Normal 38 20" xfId="30044" xr:uid="{00000000-0005-0000-0000-000048750000}"/>
    <cellStyle name="Normal 38 21" xfId="30045" xr:uid="{00000000-0005-0000-0000-000049750000}"/>
    <cellStyle name="Normal 38 22" xfId="30046" xr:uid="{00000000-0005-0000-0000-00004A750000}"/>
    <cellStyle name="Normal 38 23" xfId="30047" xr:uid="{00000000-0005-0000-0000-00004B750000}"/>
    <cellStyle name="Normal 38 24" xfId="30048" xr:uid="{00000000-0005-0000-0000-00004C750000}"/>
    <cellStyle name="Normal 38 25" xfId="30049" xr:uid="{00000000-0005-0000-0000-00004D750000}"/>
    <cellStyle name="Normal 38 26" xfId="30050" xr:uid="{00000000-0005-0000-0000-00004E750000}"/>
    <cellStyle name="Normal 38 3" xfId="30051" xr:uid="{00000000-0005-0000-0000-00004F750000}"/>
    <cellStyle name="Normal 38 3 2" xfId="30052" xr:uid="{00000000-0005-0000-0000-000050750000}"/>
    <cellStyle name="Normal 38 4" xfId="30053" xr:uid="{00000000-0005-0000-0000-000051750000}"/>
    <cellStyle name="Normal 38 4 2" xfId="30054" xr:uid="{00000000-0005-0000-0000-000052750000}"/>
    <cellStyle name="Normal 38 5" xfId="30055" xr:uid="{00000000-0005-0000-0000-000053750000}"/>
    <cellStyle name="Normal 38 5 2" xfId="30056" xr:uid="{00000000-0005-0000-0000-000054750000}"/>
    <cellStyle name="Normal 38 6" xfId="30057" xr:uid="{00000000-0005-0000-0000-000055750000}"/>
    <cellStyle name="Normal 38 7" xfId="30058" xr:uid="{00000000-0005-0000-0000-000056750000}"/>
    <cellStyle name="Normal 38 8" xfId="30059" xr:uid="{00000000-0005-0000-0000-000057750000}"/>
    <cellStyle name="Normal 38 9" xfId="30060" xr:uid="{00000000-0005-0000-0000-000058750000}"/>
    <cellStyle name="Normal 39" xfId="30061" xr:uid="{00000000-0005-0000-0000-000059750000}"/>
    <cellStyle name="Normal 39 10" xfId="30062" xr:uid="{00000000-0005-0000-0000-00005A750000}"/>
    <cellStyle name="Normal 39 11" xfId="30063" xr:uid="{00000000-0005-0000-0000-00005B750000}"/>
    <cellStyle name="Normal 39 12" xfId="30064" xr:uid="{00000000-0005-0000-0000-00005C750000}"/>
    <cellStyle name="Normal 39 13" xfId="30065" xr:uid="{00000000-0005-0000-0000-00005D750000}"/>
    <cellStyle name="Normal 39 14" xfId="30066" xr:uid="{00000000-0005-0000-0000-00005E750000}"/>
    <cellStyle name="Normal 39 15" xfId="30067" xr:uid="{00000000-0005-0000-0000-00005F750000}"/>
    <cellStyle name="Normal 39 16" xfId="30068" xr:uid="{00000000-0005-0000-0000-000060750000}"/>
    <cellStyle name="Normal 39 17" xfId="30069" xr:uid="{00000000-0005-0000-0000-000061750000}"/>
    <cellStyle name="Normal 39 18" xfId="30070" xr:uid="{00000000-0005-0000-0000-000062750000}"/>
    <cellStyle name="Normal 39 19" xfId="30071" xr:uid="{00000000-0005-0000-0000-000063750000}"/>
    <cellStyle name="Normal 39 2" xfId="30072" xr:uid="{00000000-0005-0000-0000-000064750000}"/>
    <cellStyle name="Normal 39 2 2" xfId="30073" xr:uid="{00000000-0005-0000-0000-000065750000}"/>
    <cellStyle name="Normal 39 20" xfId="30074" xr:uid="{00000000-0005-0000-0000-000066750000}"/>
    <cellStyle name="Normal 39 21" xfId="30075" xr:uid="{00000000-0005-0000-0000-000067750000}"/>
    <cellStyle name="Normal 39 22" xfId="30076" xr:uid="{00000000-0005-0000-0000-000068750000}"/>
    <cellStyle name="Normal 39 23" xfId="30077" xr:uid="{00000000-0005-0000-0000-000069750000}"/>
    <cellStyle name="Normal 39 24" xfId="30078" xr:uid="{00000000-0005-0000-0000-00006A750000}"/>
    <cellStyle name="Normal 39 25" xfId="30079" xr:uid="{00000000-0005-0000-0000-00006B750000}"/>
    <cellStyle name="Normal 39 26" xfId="30080" xr:uid="{00000000-0005-0000-0000-00006C750000}"/>
    <cellStyle name="Normal 39 3" xfId="30081" xr:uid="{00000000-0005-0000-0000-00006D750000}"/>
    <cellStyle name="Normal 39 3 2" xfId="30082" xr:uid="{00000000-0005-0000-0000-00006E750000}"/>
    <cellStyle name="Normal 39 4" xfId="30083" xr:uid="{00000000-0005-0000-0000-00006F750000}"/>
    <cellStyle name="Normal 39 4 2" xfId="30084" xr:uid="{00000000-0005-0000-0000-000070750000}"/>
    <cellStyle name="Normal 39 5" xfId="30085" xr:uid="{00000000-0005-0000-0000-000071750000}"/>
    <cellStyle name="Normal 39 5 2" xfId="30086" xr:uid="{00000000-0005-0000-0000-000072750000}"/>
    <cellStyle name="Normal 39 6" xfId="30087" xr:uid="{00000000-0005-0000-0000-000073750000}"/>
    <cellStyle name="Normal 39 7" xfId="30088" xr:uid="{00000000-0005-0000-0000-000074750000}"/>
    <cellStyle name="Normal 39 8" xfId="30089" xr:uid="{00000000-0005-0000-0000-000075750000}"/>
    <cellStyle name="Normal 39 9" xfId="30090" xr:uid="{00000000-0005-0000-0000-000076750000}"/>
    <cellStyle name="Normal 4" xfId="16" xr:uid="{00000000-0005-0000-0000-000077750000}"/>
    <cellStyle name="Normal 4 10" xfId="30092" xr:uid="{00000000-0005-0000-0000-000078750000}"/>
    <cellStyle name="Normal 4 10 2" xfId="30093" xr:uid="{00000000-0005-0000-0000-000079750000}"/>
    <cellStyle name="Normal 4 10 3" xfId="30094" xr:uid="{00000000-0005-0000-0000-00007A750000}"/>
    <cellStyle name="Normal 4 10 4" xfId="30095" xr:uid="{00000000-0005-0000-0000-00007B750000}"/>
    <cellStyle name="Normal 4 10 5" xfId="30096" xr:uid="{00000000-0005-0000-0000-00007C750000}"/>
    <cellStyle name="Normal 4 10_Enlaces" xfId="30097" xr:uid="{00000000-0005-0000-0000-00007D750000}"/>
    <cellStyle name="Normal 4 100" xfId="30098" xr:uid="{00000000-0005-0000-0000-00007E750000}"/>
    <cellStyle name="Normal 4 100 2" xfId="30099" xr:uid="{00000000-0005-0000-0000-00007F750000}"/>
    <cellStyle name="Normal 4 100 3" xfId="30100" xr:uid="{00000000-0005-0000-0000-000080750000}"/>
    <cellStyle name="Normal 4 101" xfId="30101" xr:uid="{00000000-0005-0000-0000-000081750000}"/>
    <cellStyle name="Normal 4 101 2" xfId="30102" xr:uid="{00000000-0005-0000-0000-000082750000}"/>
    <cellStyle name="Normal 4 101 3" xfId="30103" xr:uid="{00000000-0005-0000-0000-000083750000}"/>
    <cellStyle name="Normal 4 102" xfId="30104" xr:uid="{00000000-0005-0000-0000-000084750000}"/>
    <cellStyle name="Normal 4 102 2" xfId="30105" xr:uid="{00000000-0005-0000-0000-000085750000}"/>
    <cellStyle name="Normal 4 102 3" xfId="30106" xr:uid="{00000000-0005-0000-0000-000086750000}"/>
    <cellStyle name="Normal 4 103" xfId="30107" xr:uid="{00000000-0005-0000-0000-000087750000}"/>
    <cellStyle name="Normal 4 103 2" xfId="30108" xr:uid="{00000000-0005-0000-0000-000088750000}"/>
    <cellStyle name="Normal 4 103 3" xfId="30109" xr:uid="{00000000-0005-0000-0000-000089750000}"/>
    <cellStyle name="Normal 4 104" xfId="30110" xr:uid="{00000000-0005-0000-0000-00008A750000}"/>
    <cellStyle name="Normal 4 104 2" xfId="30111" xr:uid="{00000000-0005-0000-0000-00008B750000}"/>
    <cellStyle name="Normal 4 104 3" xfId="30112" xr:uid="{00000000-0005-0000-0000-00008C750000}"/>
    <cellStyle name="Normal 4 105" xfId="30113" xr:uid="{00000000-0005-0000-0000-00008D750000}"/>
    <cellStyle name="Normal 4 105 2" xfId="30114" xr:uid="{00000000-0005-0000-0000-00008E750000}"/>
    <cellStyle name="Normal 4 105 3" xfId="30115" xr:uid="{00000000-0005-0000-0000-00008F750000}"/>
    <cellStyle name="Normal 4 106" xfId="30116" xr:uid="{00000000-0005-0000-0000-000090750000}"/>
    <cellStyle name="Normal 4 106 2" xfId="30117" xr:uid="{00000000-0005-0000-0000-000091750000}"/>
    <cellStyle name="Normal 4 106 3" xfId="30118" xr:uid="{00000000-0005-0000-0000-000092750000}"/>
    <cellStyle name="Normal 4 107" xfId="30119" xr:uid="{00000000-0005-0000-0000-000093750000}"/>
    <cellStyle name="Normal 4 107 2" xfId="30120" xr:uid="{00000000-0005-0000-0000-000094750000}"/>
    <cellStyle name="Normal 4 107 3" xfId="30121" xr:uid="{00000000-0005-0000-0000-000095750000}"/>
    <cellStyle name="Normal 4 108" xfId="30122" xr:uid="{00000000-0005-0000-0000-000096750000}"/>
    <cellStyle name="Normal 4 108 2" xfId="30123" xr:uid="{00000000-0005-0000-0000-000097750000}"/>
    <cellStyle name="Normal 4 108 3" xfId="30124" xr:uid="{00000000-0005-0000-0000-000098750000}"/>
    <cellStyle name="Normal 4 109" xfId="30125" xr:uid="{00000000-0005-0000-0000-000099750000}"/>
    <cellStyle name="Normal 4 109 2" xfId="30126" xr:uid="{00000000-0005-0000-0000-00009A750000}"/>
    <cellStyle name="Normal 4 109 3" xfId="30127" xr:uid="{00000000-0005-0000-0000-00009B750000}"/>
    <cellStyle name="Normal 4 11" xfId="30128" xr:uid="{00000000-0005-0000-0000-00009C750000}"/>
    <cellStyle name="Normal 4 11 2" xfId="30129" xr:uid="{00000000-0005-0000-0000-00009D750000}"/>
    <cellStyle name="Normal 4 11 3" xfId="30130" xr:uid="{00000000-0005-0000-0000-00009E750000}"/>
    <cellStyle name="Normal 4 11 4" xfId="30131" xr:uid="{00000000-0005-0000-0000-00009F750000}"/>
    <cellStyle name="Normal 4 11 5" xfId="30132" xr:uid="{00000000-0005-0000-0000-0000A0750000}"/>
    <cellStyle name="Normal 4 11_Enlaces" xfId="30133" xr:uid="{00000000-0005-0000-0000-0000A1750000}"/>
    <cellStyle name="Normal 4 110" xfId="30134" xr:uid="{00000000-0005-0000-0000-0000A2750000}"/>
    <cellStyle name="Normal 4 110 2" xfId="30135" xr:uid="{00000000-0005-0000-0000-0000A3750000}"/>
    <cellStyle name="Normal 4 110 3" xfId="30136" xr:uid="{00000000-0005-0000-0000-0000A4750000}"/>
    <cellStyle name="Normal 4 111" xfId="30137" xr:uid="{00000000-0005-0000-0000-0000A5750000}"/>
    <cellStyle name="Normal 4 111 2" xfId="30138" xr:uid="{00000000-0005-0000-0000-0000A6750000}"/>
    <cellStyle name="Normal 4 111 3" xfId="30139" xr:uid="{00000000-0005-0000-0000-0000A7750000}"/>
    <cellStyle name="Normal 4 112" xfId="30140" xr:uid="{00000000-0005-0000-0000-0000A8750000}"/>
    <cellStyle name="Normal 4 112 2" xfId="30141" xr:uid="{00000000-0005-0000-0000-0000A9750000}"/>
    <cellStyle name="Normal 4 112 3" xfId="30142" xr:uid="{00000000-0005-0000-0000-0000AA750000}"/>
    <cellStyle name="Normal 4 113" xfId="30143" xr:uid="{00000000-0005-0000-0000-0000AB750000}"/>
    <cellStyle name="Normal 4 113 2" xfId="30144" xr:uid="{00000000-0005-0000-0000-0000AC750000}"/>
    <cellStyle name="Normal 4 113 3" xfId="30145" xr:uid="{00000000-0005-0000-0000-0000AD750000}"/>
    <cellStyle name="Normal 4 114" xfId="30146" xr:uid="{00000000-0005-0000-0000-0000AE750000}"/>
    <cellStyle name="Normal 4 114 2" xfId="30147" xr:uid="{00000000-0005-0000-0000-0000AF750000}"/>
    <cellStyle name="Normal 4 114 3" xfId="30148" xr:uid="{00000000-0005-0000-0000-0000B0750000}"/>
    <cellStyle name="Normal 4 115" xfId="30149" xr:uid="{00000000-0005-0000-0000-0000B1750000}"/>
    <cellStyle name="Normal 4 115 2" xfId="30150" xr:uid="{00000000-0005-0000-0000-0000B2750000}"/>
    <cellStyle name="Normal 4 115 3" xfId="30151" xr:uid="{00000000-0005-0000-0000-0000B3750000}"/>
    <cellStyle name="Normal 4 116" xfId="30152" xr:uid="{00000000-0005-0000-0000-0000B4750000}"/>
    <cellStyle name="Normal 4 116 2" xfId="30153" xr:uid="{00000000-0005-0000-0000-0000B5750000}"/>
    <cellStyle name="Normal 4 116 3" xfId="30154" xr:uid="{00000000-0005-0000-0000-0000B6750000}"/>
    <cellStyle name="Normal 4 117" xfId="30155" xr:uid="{00000000-0005-0000-0000-0000B7750000}"/>
    <cellStyle name="Normal 4 117 2" xfId="30156" xr:uid="{00000000-0005-0000-0000-0000B8750000}"/>
    <cellStyle name="Normal 4 117 3" xfId="30157" xr:uid="{00000000-0005-0000-0000-0000B9750000}"/>
    <cellStyle name="Normal 4 118" xfId="30158" xr:uid="{00000000-0005-0000-0000-0000BA750000}"/>
    <cellStyle name="Normal 4 118 2" xfId="30159" xr:uid="{00000000-0005-0000-0000-0000BB750000}"/>
    <cellStyle name="Normal 4 118 3" xfId="30160" xr:uid="{00000000-0005-0000-0000-0000BC750000}"/>
    <cellStyle name="Normal 4 119" xfId="30161" xr:uid="{00000000-0005-0000-0000-0000BD750000}"/>
    <cellStyle name="Normal 4 119 2" xfId="30162" xr:uid="{00000000-0005-0000-0000-0000BE750000}"/>
    <cellStyle name="Normal 4 119 3" xfId="30163" xr:uid="{00000000-0005-0000-0000-0000BF750000}"/>
    <cellStyle name="Normal 4 12" xfId="30164" xr:uid="{00000000-0005-0000-0000-0000C0750000}"/>
    <cellStyle name="Normal 4 12 2" xfId="30165" xr:uid="{00000000-0005-0000-0000-0000C1750000}"/>
    <cellStyle name="Normal 4 12 3" xfId="30166" xr:uid="{00000000-0005-0000-0000-0000C2750000}"/>
    <cellStyle name="Normal 4 12 4" xfId="30167" xr:uid="{00000000-0005-0000-0000-0000C3750000}"/>
    <cellStyle name="Normal 4 12 5" xfId="30168" xr:uid="{00000000-0005-0000-0000-0000C4750000}"/>
    <cellStyle name="Normal 4 12_Enlaces" xfId="30169" xr:uid="{00000000-0005-0000-0000-0000C5750000}"/>
    <cellStyle name="Normal 4 120" xfId="30170" xr:uid="{00000000-0005-0000-0000-0000C6750000}"/>
    <cellStyle name="Normal 4 120 2" xfId="30171" xr:uid="{00000000-0005-0000-0000-0000C7750000}"/>
    <cellStyle name="Normal 4 120 3" xfId="30172" xr:uid="{00000000-0005-0000-0000-0000C8750000}"/>
    <cellStyle name="Normal 4 121" xfId="30173" xr:uid="{00000000-0005-0000-0000-0000C9750000}"/>
    <cellStyle name="Normal 4 121 2" xfId="30174" xr:uid="{00000000-0005-0000-0000-0000CA750000}"/>
    <cellStyle name="Normal 4 121 3" xfId="30175" xr:uid="{00000000-0005-0000-0000-0000CB750000}"/>
    <cellStyle name="Normal 4 122" xfId="30176" xr:uid="{00000000-0005-0000-0000-0000CC750000}"/>
    <cellStyle name="Normal 4 122 2" xfId="30177" xr:uid="{00000000-0005-0000-0000-0000CD750000}"/>
    <cellStyle name="Normal 4 122 3" xfId="30178" xr:uid="{00000000-0005-0000-0000-0000CE750000}"/>
    <cellStyle name="Normal 4 123" xfId="30179" xr:uid="{00000000-0005-0000-0000-0000CF750000}"/>
    <cellStyle name="Normal 4 123 2" xfId="30180" xr:uid="{00000000-0005-0000-0000-0000D0750000}"/>
    <cellStyle name="Normal 4 123 3" xfId="30181" xr:uid="{00000000-0005-0000-0000-0000D1750000}"/>
    <cellStyle name="Normal 4 124" xfId="30182" xr:uid="{00000000-0005-0000-0000-0000D2750000}"/>
    <cellStyle name="Normal 4 125" xfId="30183" xr:uid="{00000000-0005-0000-0000-0000D3750000}"/>
    <cellStyle name="Normal 4 126" xfId="30184" xr:uid="{00000000-0005-0000-0000-0000D4750000}"/>
    <cellStyle name="Normal 4 127" xfId="30185" xr:uid="{00000000-0005-0000-0000-0000D5750000}"/>
    <cellStyle name="Normal 4 128" xfId="30186" xr:uid="{00000000-0005-0000-0000-0000D6750000}"/>
    <cellStyle name="Normal 4 129" xfId="30187" xr:uid="{00000000-0005-0000-0000-0000D7750000}"/>
    <cellStyle name="Normal 4 13" xfId="30188" xr:uid="{00000000-0005-0000-0000-0000D8750000}"/>
    <cellStyle name="Normal 4 13 2" xfId="30189" xr:uid="{00000000-0005-0000-0000-0000D9750000}"/>
    <cellStyle name="Normal 4 13 3" xfId="30190" xr:uid="{00000000-0005-0000-0000-0000DA750000}"/>
    <cellStyle name="Normal 4 13 4" xfId="30191" xr:uid="{00000000-0005-0000-0000-0000DB750000}"/>
    <cellStyle name="Normal 4 13 5" xfId="30192" xr:uid="{00000000-0005-0000-0000-0000DC750000}"/>
    <cellStyle name="Normal 4 13_Enlaces" xfId="30193" xr:uid="{00000000-0005-0000-0000-0000DD750000}"/>
    <cellStyle name="Normal 4 130" xfId="30194" xr:uid="{00000000-0005-0000-0000-0000DE750000}"/>
    <cellStyle name="Normal 4 131" xfId="30195" xr:uid="{00000000-0005-0000-0000-0000DF750000}"/>
    <cellStyle name="Normal 4 131 2" xfId="30196" xr:uid="{00000000-0005-0000-0000-0000E0750000}"/>
    <cellStyle name="Normal 4 132" xfId="30197" xr:uid="{00000000-0005-0000-0000-0000E1750000}"/>
    <cellStyle name="Normal 4 132 2" xfId="30198" xr:uid="{00000000-0005-0000-0000-0000E2750000}"/>
    <cellStyle name="Normal 4 133" xfId="30199" xr:uid="{00000000-0005-0000-0000-0000E3750000}"/>
    <cellStyle name="Normal 4 133 2" xfId="30200" xr:uid="{00000000-0005-0000-0000-0000E4750000}"/>
    <cellStyle name="Normal 4 134" xfId="30201" xr:uid="{00000000-0005-0000-0000-0000E5750000}"/>
    <cellStyle name="Normal 4 134 2" xfId="30202" xr:uid="{00000000-0005-0000-0000-0000E6750000}"/>
    <cellStyle name="Normal 4 135" xfId="30203" xr:uid="{00000000-0005-0000-0000-0000E7750000}"/>
    <cellStyle name="Normal 4 135 2" xfId="30204" xr:uid="{00000000-0005-0000-0000-0000E8750000}"/>
    <cellStyle name="Normal 4 136" xfId="30205" xr:uid="{00000000-0005-0000-0000-0000E9750000}"/>
    <cellStyle name="Normal 4 136 2" xfId="30206" xr:uid="{00000000-0005-0000-0000-0000EA750000}"/>
    <cellStyle name="Normal 4 137" xfId="30207" xr:uid="{00000000-0005-0000-0000-0000EB750000}"/>
    <cellStyle name="Normal 4 137 2" xfId="30208" xr:uid="{00000000-0005-0000-0000-0000EC750000}"/>
    <cellStyle name="Normal 4 138" xfId="30209" xr:uid="{00000000-0005-0000-0000-0000ED750000}"/>
    <cellStyle name="Normal 4 138 2" xfId="30210" xr:uid="{00000000-0005-0000-0000-0000EE750000}"/>
    <cellStyle name="Normal 4 139" xfId="30211" xr:uid="{00000000-0005-0000-0000-0000EF750000}"/>
    <cellStyle name="Normal 4 139 2" xfId="30212" xr:uid="{00000000-0005-0000-0000-0000F0750000}"/>
    <cellStyle name="Normal 4 14" xfId="30213" xr:uid="{00000000-0005-0000-0000-0000F1750000}"/>
    <cellStyle name="Normal 4 14 2" xfId="30214" xr:uid="{00000000-0005-0000-0000-0000F2750000}"/>
    <cellStyle name="Normal 4 14 3" xfId="30215" xr:uid="{00000000-0005-0000-0000-0000F3750000}"/>
    <cellStyle name="Normal 4 14 4" xfId="30216" xr:uid="{00000000-0005-0000-0000-0000F4750000}"/>
    <cellStyle name="Normal 4 14 5" xfId="30217" xr:uid="{00000000-0005-0000-0000-0000F5750000}"/>
    <cellStyle name="Normal 4 14_Enlaces" xfId="30218" xr:uid="{00000000-0005-0000-0000-0000F6750000}"/>
    <cellStyle name="Normal 4 140" xfId="30219" xr:uid="{00000000-0005-0000-0000-0000F7750000}"/>
    <cellStyle name="Normal 4 140 2" xfId="30220" xr:uid="{00000000-0005-0000-0000-0000F8750000}"/>
    <cellStyle name="Normal 4 141" xfId="30221" xr:uid="{00000000-0005-0000-0000-0000F9750000}"/>
    <cellStyle name="Normal 4 141 2" xfId="30222" xr:uid="{00000000-0005-0000-0000-0000FA750000}"/>
    <cellStyle name="Normal 4 142" xfId="30223" xr:uid="{00000000-0005-0000-0000-0000FB750000}"/>
    <cellStyle name="Normal 4 142 2" xfId="30224" xr:uid="{00000000-0005-0000-0000-0000FC750000}"/>
    <cellStyle name="Normal 4 143" xfId="30225" xr:uid="{00000000-0005-0000-0000-0000FD750000}"/>
    <cellStyle name="Normal 4 143 2" xfId="30226" xr:uid="{00000000-0005-0000-0000-0000FE750000}"/>
    <cellStyle name="Normal 4 144" xfId="30227" xr:uid="{00000000-0005-0000-0000-0000FF750000}"/>
    <cellStyle name="Normal 4 144 2" xfId="30228" xr:uid="{00000000-0005-0000-0000-000000760000}"/>
    <cellStyle name="Normal 4 145" xfId="30229" xr:uid="{00000000-0005-0000-0000-000001760000}"/>
    <cellStyle name="Normal 4 145 2" xfId="30230" xr:uid="{00000000-0005-0000-0000-000002760000}"/>
    <cellStyle name="Normal 4 146" xfId="30231" xr:uid="{00000000-0005-0000-0000-000003760000}"/>
    <cellStyle name="Normal 4 146 2" xfId="30232" xr:uid="{00000000-0005-0000-0000-000004760000}"/>
    <cellStyle name="Normal 4 147" xfId="30233" xr:uid="{00000000-0005-0000-0000-000005760000}"/>
    <cellStyle name="Normal 4 147 2" xfId="30234" xr:uid="{00000000-0005-0000-0000-000006760000}"/>
    <cellStyle name="Normal 4 148" xfId="30235" xr:uid="{00000000-0005-0000-0000-000007760000}"/>
    <cellStyle name="Normal 4 148 2" xfId="30236" xr:uid="{00000000-0005-0000-0000-000008760000}"/>
    <cellStyle name="Normal 4 148 3" xfId="30237" xr:uid="{00000000-0005-0000-0000-000009760000}"/>
    <cellStyle name="Normal 4 149" xfId="30238" xr:uid="{00000000-0005-0000-0000-00000A760000}"/>
    <cellStyle name="Normal 4 149 2" xfId="30239" xr:uid="{00000000-0005-0000-0000-00000B760000}"/>
    <cellStyle name="Normal 4 149 3" xfId="30240" xr:uid="{00000000-0005-0000-0000-00000C760000}"/>
    <cellStyle name="Normal 4 15" xfId="30241" xr:uid="{00000000-0005-0000-0000-00000D760000}"/>
    <cellStyle name="Normal 4 15 2" xfId="30242" xr:uid="{00000000-0005-0000-0000-00000E760000}"/>
    <cellStyle name="Normal 4 15 3" xfId="30243" xr:uid="{00000000-0005-0000-0000-00000F760000}"/>
    <cellStyle name="Normal 4 15 4" xfId="30244" xr:uid="{00000000-0005-0000-0000-000010760000}"/>
    <cellStyle name="Normal 4 15 5" xfId="30245" xr:uid="{00000000-0005-0000-0000-000011760000}"/>
    <cellStyle name="Normal 4 15_Enlaces" xfId="30246" xr:uid="{00000000-0005-0000-0000-000012760000}"/>
    <cellStyle name="Normal 4 150" xfId="30247" xr:uid="{00000000-0005-0000-0000-000013760000}"/>
    <cellStyle name="Normal 4 150 2" xfId="30248" xr:uid="{00000000-0005-0000-0000-000014760000}"/>
    <cellStyle name="Normal 4 150 3" xfId="30249" xr:uid="{00000000-0005-0000-0000-000015760000}"/>
    <cellStyle name="Normal 4 151" xfId="30250" xr:uid="{00000000-0005-0000-0000-000016760000}"/>
    <cellStyle name="Normal 4 151 2" xfId="30251" xr:uid="{00000000-0005-0000-0000-000017760000}"/>
    <cellStyle name="Normal 4 151 3" xfId="30252" xr:uid="{00000000-0005-0000-0000-000018760000}"/>
    <cellStyle name="Normal 4 152" xfId="30253" xr:uid="{00000000-0005-0000-0000-000019760000}"/>
    <cellStyle name="Normal 4 152 2" xfId="30254" xr:uid="{00000000-0005-0000-0000-00001A760000}"/>
    <cellStyle name="Normal 4 152 3" xfId="30255" xr:uid="{00000000-0005-0000-0000-00001B760000}"/>
    <cellStyle name="Normal 4 153" xfId="30256" xr:uid="{00000000-0005-0000-0000-00001C760000}"/>
    <cellStyle name="Normal 4 153 2" xfId="30257" xr:uid="{00000000-0005-0000-0000-00001D760000}"/>
    <cellStyle name="Normal 4 154" xfId="30258" xr:uid="{00000000-0005-0000-0000-00001E760000}"/>
    <cellStyle name="Normal 4 155" xfId="30259" xr:uid="{00000000-0005-0000-0000-00001F760000}"/>
    <cellStyle name="Normal 4 156" xfId="30260" xr:uid="{00000000-0005-0000-0000-000020760000}"/>
    <cellStyle name="Normal 4 157" xfId="30261" xr:uid="{00000000-0005-0000-0000-000021760000}"/>
    <cellStyle name="Normal 4 158" xfId="30262" xr:uid="{00000000-0005-0000-0000-000022760000}"/>
    <cellStyle name="Normal 4 159" xfId="30263" xr:uid="{00000000-0005-0000-0000-000023760000}"/>
    <cellStyle name="Normal 4 16" xfId="30264" xr:uid="{00000000-0005-0000-0000-000024760000}"/>
    <cellStyle name="Normal 4 16 2" xfId="30265" xr:uid="{00000000-0005-0000-0000-000025760000}"/>
    <cellStyle name="Normal 4 16 3" xfId="30266" xr:uid="{00000000-0005-0000-0000-000026760000}"/>
    <cellStyle name="Normal 4 16 4" xfId="30267" xr:uid="{00000000-0005-0000-0000-000027760000}"/>
    <cellStyle name="Normal 4 16 5" xfId="30268" xr:uid="{00000000-0005-0000-0000-000028760000}"/>
    <cellStyle name="Normal 4 16_Enlaces" xfId="30269" xr:uid="{00000000-0005-0000-0000-000029760000}"/>
    <cellStyle name="Normal 4 160" xfId="30270" xr:uid="{00000000-0005-0000-0000-00002A760000}"/>
    <cellStyle name="Normal 4 161" xfId="30271" xr:uid="{00000000-0005-0000-0000-00002B760000}"/>
    <cellStyle name="Normal 4 162" xfId="30272" xr:uid="{00000000-0005-0000-0000-00002C760000}"/>
    <cellStyle name="Normal 4 163" xfId="30273" xr:uid="{00000000-0005-0000-0000-00002D760000}"/>
    <cellStyle name="Normal 4 164" xfId="30274" xr:uid="{00000000-0005-0000-0000-00002E760000}"/>
    <cellStyle name="Normal 4 165" xfId="30275" xr:uid="{00000000-0005-0000-0000-00002F760000}"/>
    <cellStyle name="Normal 4 166" xfId="30276" xr:uid="{00000000-0005-0000-0000-000030760000}"/>
    <cellStyle name="Normal 4 167" xfId="30277" xr:uid="{00000000-0005-0000-0000-000031760000}"/>
    <cellStyle name="Normal 4 168" xfId="30278" xr:uid="{00000000-0005-0000-0000-000032760000}"/>
    <cellStyle name="Normal 4 169" xfId="30279" xr:uid="{00000000-0005-0000-0000-000033760000}"/>
    <cellStyle name="Normal 4 17" xfId="30280" xr:uid="{00000000-0005-0000-0000-000034760000}"/>
    <cellStyle name="Normal 4 17 2" xfId="30281" xr:uid="{00000000-0005-0000-0000-000035760000}"/>
    <cellStyle name="Normal 4 17 3" xfId="30282" xr:uid="{00000000-0005-0000-0000-000036760000}"/>
    <cellStyle name="Normal 4 17 4" xfId="30283" xr:uid="{00000000-0005-0000-0000-000037760000}"/>
    <cellStyle name="Normal 4 17 5" xfId="30284" xr:uid="{00000000-0005-0000-0000-000038760000}"/>
    <cellStyle name="Normal 4 17_Enlaces" xfId="30285" xr:uid="{00000000-0005-0000-0000-000039760000}"/>
    <cellStyle name="Normal 4 170" xfId="30286" xr:uid="{00000000-0005-0000-0000-00003A760000}"/>
    <cellStyle name="Normal 4 171" xfId="30287" xr:uid="{00000000-0005-0000-0000-00003B760000}"/>
    <cellStyle name="Normal 4 172" xfId="30091" xr:uid="{00000000-0005-0000-0000-00003C760000}"/>
    <cellStyle name="Normal 4 18" xfId="30288" xr:uid="{00000000-0005-0000-0000-00003D760000}"/>
    <cellStyle name="Normal 4 18 2" xfId="30289" xr:uid="{00000000-0005-0000-0000-00003E760000}"/>
    <cellStyle name="Normal 4 18 3" xfId="30290" xr:uid="{00000000-0005-0000-0000-00003F760000}"/>
    <cellStyle name="Normal 4 18 4" xfId="30291" xr:uid="{00000000-0005-0000-0000-000040760000}"/>
    <cellStyle name="Normal 4 18 5" xfId="30292" xr:uid="{00000000-0005-0000-0000-000041760000}"/>
    <cellStyle name="Normal 4 18_Enlaces" xfId="30293" xr:uid="{00000000-0005-0000-0000-000042760000}"/>
    <cellStyle name="Normal 4 19" xfId="30294" xr:uid="{00000000-0005-0000-0000-000043760000}"/>
    <cellStyle name="Normal 4 19 2" xfId="30295" xr:uid="{00000000-0005-0000-0000-000044760000}"/>
    <cellStyle name="Normal 4 19 3" xfId="30296" xr:uid="{00000000-0005-0000-0000-000045760000}"/>
    <cellStyle name="Normal 4 19 4" xfId="30297" xr:uid="{00000000-0005-0000-0000-000046760000}"/>
    <cellStyle name="Normal 4 19 5" xfId="30298" xr:uid="{00000000-0005-0000-0000-000047760000}"/>
    <cellStyle name="Normal 4 19_Enlaces" xfId="30299" xr:uid="{00000000-0005-0000-0000-000048760000}"/>
    <cellStyle name="Normal 4 2" xfId="60" xr:uid="{00000000-0005-0000-0000-000049760000}"/>
    <cellStyle name="Normal 4 2 10" xfId="30301" xr:uid="{00000000-0005-0000-0000-00004A760000}"/>
    <cellStyle name="Normal 4 2 10 2" xfId="30302" xr:uid="{00000000-0005-0000-0000-00004B760000}"/>
    <cellStyle name="Normal 4 2 11" xfId="30303" xr:uid="{00000000-0005-0000-0000-00004C760000}"/>
    <cellStyle name="Normal 4 2 11 2" xfId="30304" xr:uid="{00000000-0005-0000-0000-00004D760000}"/>
    <cellStyle name="Normal 4 2 12" xfId="30305" xr:uid="{00000000-0005-0000-0000-00004E760000}"/>
    <cellStyle name="Normal 4 2 12 2" xfId="30306" xr:uid="{00000000-0005-0000-0000-00004F760000}"/>
    <cellStyle name="Normal 4 2 13" xfId="30307" xr:uid="{00000000-0005-0000-0000-000050760000}"/>
    <cellStyle name="Normal 4 2 13 2" xfId="30308" xr:uid="{00000000-0005-0000-0000-000051760000}"/>
    <cellStyle name="Normal 4 2 14" xfId="30309" xr:uid="{00000000-0005-0000-0000-000052760000}"/>
    <cellStyle name="Normal 4 2 14 2" xfId="30310" xr:uid="{00000000-0005-0000-0000-000053760000}"/>
    <cellStyle name="Normal 4 2 15" xfId="30311" xr:uid="{00000000-0005-0000-0000-000054760000}"/>
    <cellStyle name="Normal 4 2 15 2" xfId="30312" xr:uid="{00000000-0005-0000-0000-000055760000}"/>
    <cellStyle name="Normal 4 2 16" xfId="30313" xr:uid="{00000000-0005-0000-0000-000056760000}"/>
    <cellStyle name="Normal 4 2 16 2" xfId="30314" xr:uid="{00000000-0005-0000-0000-000057760000}"/>
    <cellStyle name="Normal 4 2 17" xfId="30315" xr:uid="{00000000-0005-0000-0000-000058760000}"/>
    <cellStyle name="Normal 4 2 17 2" xfId="30316" xr:uid="{00000000-0005-0000-0000-000059760000}"/>
    <cellStyle name="Normal 4 2 18" xfId="30317" xr:uid="{00000000-0005-0000-0000-00005A760000}"/>
    <cellStyle name="Normal 4 2 18 2" xfId="30318" xr:uid="{00000000-0005-0000-0000-00005B760000}"/>
    <cellStyle name="Normal 4 2 19" xfId="30319" xr:uid="{00000000-0005-0000-0000-00005C760000}"/>
    <cellStyle name="Normal 4 2 19 2" xfId="30320" xr:uid="{00000000-0005-0000-0000-00005D760000}"/>
    <cellStyle name="Normal 4 2 2" xfId="30321" xr:uid="{00000000-0005-0000-0000-00005E760000}"/>
    <cellStyle name="Normal 4 2 2 2" xfId="30322" xr:uid="{00000000-0005-0000-0000-00005F760000}"/>
    <cellStyle name="Normal 4 2 20" xfId="30323" xr:uid="{00000000-0005-0000-0000-000060760000}"/>
    <cellStyle name="Normal 4 2 20 2" xfId="30324" xr:uid="{00000000-0005-0000-0000-000061760000}"/>
    <cellStyle name="Normal 4 2 21" xfId="30325" xr:uid="{00000000-0005-0000-0000-000062760000}"/>
    <cellStyle name="Normal 4 2 21 2" xfId="30326" xr:uid="{00000000-0005-0000-0000-000063760000}"/>
    <cellStyle name="Normal 4 2 22" xfId="30327" xr:uid="{00000000-0005-0000-0000-000064760000}"/>
    <cellStyle name="Normal 4 2 22 2" xfId="30328" xr:uid="{00000000-0005-0000-0000-000065760000}"/>
    <cellStyle name="Normal 4 2 23" xfId="30329" xr:uid="{00000000-0005-0000-0000-000066760000}"/>
    <cellStyle name="Normal 4 2 23 2" xfId="30330" xr:uid="{00000000-0005-0000-0000-000067760000}"/>
    <cellStyle name="Normal 4 2 24" xfId="30331" xr:uid="{00000000-0005-0000-0000-000068760000}"/>
    <cellStyle name="Normal 4 2 25" xfId="30332" xr:uid="{00000000-0005-0000-0000-000069760000}"/>
    <cellStyle name="Normal 4 2 26" xfId="30333" xr:uid="{00000000-0005-0000-0000-00006A760000}"/>
    <cellStyle name="Normal 4 2 27" xfId="30334" xr:uid="{00000000-0005-0000-0000-00006B760000}"/>
    <cellStyle name="Normal 4 2 28" xfId="30335" xr:uid="{00000000-0005-0000-0000-00006C760000}"/>
    <cellStyle name="Normal 4 2 29" xfId="30336" xr:uid="{00000000-0005-0000-0000-00006D760000}"/>
    <cellStyle name="Normal 4 2 3" xfId="30337" xr:uid="{00000000-0005-0000-0000-00006E760000}"/>
    <cellStyle name="Normal 4 2 3 2" xfId="30338" xr:uid="{00000000-0005-0000-0000-00006F760000}"/>
    <cellStyle name="Normal 4 2 30" xfId="30339" xr:uid="{00000000-0005-0000-0000-000070760000}"/>
    <cellStyle name="Normal 4 2 31" xfId="30340" xr:uid="{00000000-0005-0000-0000-000071760000}"/>
    <cellStyle name="Normal 4 2 32" xfId="30341" xr:uid="{00000000-0005-0000-0000-000072760000}"/>
    <cellStyle name="Normal 4 2 33" xfId="30342" xr:uid="{00000000-0005-0000-0000-000073760000}"/>
    <cellStyle name="Normal 4 2 34" xfId="30343" xr:uid="{00000000-0005-0000-0000-000074760000}"/>
    <cellStyle name="Normal 4 2 35" xfId="30344" xr:uid="{00000000-0005-0000-0000-000075760000}"/>
    <cellStyle name="Normal 4 2 36" xfId="30345" xr:uid="{00000000-0005-0000-0000-000076760000}"/>
    <cellStyle name="Normal 4 2 37" xfId="30346" xr:uid="{00000000-0005-0000-0000-000077760000}"/>
    <cellStyle name="Normal 4 2 38" xfId="30347" xr:uid="{00000000-0005-0000-0000-000078760000}"/>
    <cellStyle name="Normal 4 2 39" xfId="30348" xr:uid="{00000000-0005-0000-0000-000079760000}"/>
    <cellStyle name="Normal 4 2 4" xfId="30349" xr:uid="{00000000-0005-0000-0000-00007A760000}"/>
    <cellStyle name="Normal 4 2 4 2" xfId="30350" xr:uid="{00000000-0005-0000-0000-00007B760000}"/>
    <cellStyle name="Normal 4 2 40" xfId="30351" xr:uid="{00000000-0005-0000-0000-00007C760000}"/>
    <cellStyle name="Normal 4 2 41" xfId="30352" xr:uid="{00000000-0005-0000-0000-00007D760000}"/>
    <cellStyle name="Normal 4 2 42" xfId="30353" xr:uid="{00000000-0005-0000-0000-00007E760000}"/>
    <cellStyle name="Normal 4 2 43" xfId="30354" xr:uid="{00000000-0005-0000-0000-00007F760000}"/>
    <cellStyle name="Normal 4 2 44" xfId="30355" xr:uid="{00000000-0005-0000-0000-000080760000}"/>
    <cellStyle name="Normal 4 2 45" xfId="30356" xr:uid="{00000000-0005-0000-0000-000081760000}"/>
    <cellStyle name="Normal 4 2 46" xfId="30357" xr:uid="{00000000-0005-0000-0000-000082760000}"/>
    <cellStyle name="Normal 4 2 47" xfId="30358" xr:uid="{00000000-0005-0000-0000-000083760000}"/>
    <cellStyle name="Normal 4 2 48" xfId="30359" xr:uid="{00000000-0005-0000-0000-000084760000}"/>
    <cellStyle name="Normal 4 2 49" xfId="30360" xr:uid="{00000000-0005-0000-0000-000085760000}"/>
    <cellStyle name="Normal 4 2 5" xfId="30361" xr:uid="{00000000-0005-0000-0000-000086760000}"/>
    <cellStyle name="Normal 4 2 5 2" xfId="30362" xr:uid="{00000000-0005-0000-0000-000087760000}"/>
    <cellStyle name="Normal 4 2 50" xfId="30363" xr:uid="{00000000-0005-0000-0000-000088760000}"/>
    <cellStyle name="Normal 4 2 51" xfId="30364" xr:uid="{00000000-0005-0000-0000-000089760000}"/>
    <cellStyle name="Normal 4 2 52" xfId="30365" xr:uid="{00000000-0005-0000-0000-00008A760000}"/>
    <cellStyle name="Normal 4 2 53" xfId="30366" xr:uid="{00000000-0005-0000-0000-00008B760000}"/>
    <cellStyle name="Normal 4 2 54" xfId="30367" xr:uid="{00000000-0005-0000-0000-00008C760000}"/>
    <cellStyle name="Normal 4 2 55" xfId="30368" xr:uid="{00000000-0005-0000-0000-00008D760000}"/>
    <cellStyle name="Normal 4 2 56" xfId="30369" xr:uid="{00000000-0005-0000-0000-00008E760000}"/>
    <cellStyle name="Normal 4 2 57" xfId="30370" xr:uid="{00000000-0005-0000-0000-00008F760000}"/>
    <cellStyle name="Normal 4 2 58" xfId="30371" xr:uid="{00000000-0005-0000-0000-000090760000}"/>
    <cellStyle name="Normal 4 2 59" xfId="30372" xr:uid="{00000000-0005-0000-0000-000091760000}"/>
    <cellStyle name="Normal 4 2 6" xfId="30373" xr:uid="{00000000-0005-0000-0000-000092760000}"/>
    <cellStyle name="Normal 4 2 6 2" xfId="30374" xr:uid="{00000000-0005-0000-0000-000093760000}"/>
    <cellStyle name="Normal 4 2 60" xfId="30375" xr:uid="{00000000-0005-0000-0000-000094760000}"/>
    <cellStyle name="Normal 4 2 61" xfId="30376" xr:uid="{00000000-0005-0000-0000-000095760000}"/>
    <cellStyle name="Normal 4 2 62" xfId="30377" xr:uid="{00000000-0005-0000-0000-000096760000}"/>
    <cellStyle name="Normal 4 2 63" xfId="30378" xr:uid="{00000000-0005-0000-0000-000097760000}"/>
    <cellStyle name="Normal 4 2 64" xfId="30379" xr:uid="{00000000-0005-0000-0000-000098760000}"/>
    <cellStyle name="Normal 4 2 65" xfId="30380" xr:uid="{00000000-0005-0000-0000-000099760000}"/>
    <cellStyle name="Normal 4 2 66" xfId="30381" xr:uid="{00000000-0005-0000-0000-00009A760000}"/>
    <cellStyle name="Normal 4 2 67" xfId="30382" xr:uid="{00000000-0005-0000-0000-00009B760000}"/>
    <cellStyle name="Normal 4 2 68" xfId="30383" xr:uid="{00000000-0005-0000-0000-00009C760000}"/>
    <cellStyle name="Normal 4 2 69" xfId="30384" xr:uid="{00000000-0005-0000-0000-00009D760000}"/>
    <cellStyle name="Normal 4 2 7" xfId="30385" xr:uid="{00000000-0005-0000-0000-00009E760000}"/>
    <cellStyle name="Normal 4 2 7 2" xfId="30386" xr:uid="{00000000-0005-0000-0000-00009F760000}"/>
    <cellStyle name="Normal 4 2 70" xfId="30387" xr:uid="{00000000-0005-0000-0000-0000A0760000}"/>
    <cellStyle name="Normal 4 2 71" xfId="30388" xr:uid="{00000000-0005-0000-0000-0000A1760000}"/>
    <cellStyle name="Normal 4 2 72" xfId="30389" xr:uid="{00000000-0005-0000-0000-0000A2760000}"/>
    <cellStyle name="Normal 4 2 73" xfId="30390" xr:uid="{00000000-0005-0000-0000-0000A3760000}"/>
    <cellStyle name="Normal 4 2 74" xfId="30391" xr:uid="{00000000-0005-0000-0000-0000A4760000}"/>
    <cellStyle name="Normal 4 2 75" xfId="30392" xr:uid="{00000000-0005-0000-0000-0000A5760000}"/>
    <cellStyle name="Normal 4 2 76" xfId="30393" xr:uid="{00000000-0005-0000-0000-0000A6760000}"/>
    <cellStyle name="Normal 4 2 77" xfId="30394" xr:uid="{00000000-0005-0000-0000-0000A7760000}"/>
    <cellStyle name="Normal 4 2 78" xfId="30395" xr:uid="{00000000-0005-0000-0000-0000A8760000}"/>
    <cellStyle name="Normal 4 2 79" xfId="30396" xr:uid="{00000000-0005-0000-0000-0000A9760000}"/>
    <cellStyle name="Normal 4 2 8" xfId="30397" xr:uid="{00000000-0005-0000-0000-0000AA760000}"/>
    <cellStyle name="Normal 4 2 8 2" xfId="30398" xr:uid="{00000000-0005-0000-0000-0000AB760000}"/>
    <cellStyle name="Normal 4 2 80" xfId="30399" xr:uid="{00000000-0005-0000-0000-0000AC760000}"/>
    <cellStyle name="Normal 4 2 81" xfId="30400" xr:uid="{00000000-0005-0000-0000-0000AD760000}"/>
    <cellStyle name="Normal 4 2 82" xfId="30401" xr:uid="{00000000-0005-0000-0000-0000AE760000}"/>
    <cellStyle name="Normal 4 2 83" xfId="30402" xr:uid="{00000000-0005-0000-0000-0000AF760000}"/>
    <cellStyle name="Normal 4 2 84" xfId="30403" xr:uid="{00000000-0005-0000-0000-0000B0760000}"/>
    <cellStyle name="Normal 4 2 85" xfId="30404" xr:uid="{00000000-0005-0000-0000-0000B1760000}"/>
    <cellStyle name="Normal 4 2 86" xfId="30405" xr:uid="{00000000-0005-0000-0000-0000B2760000}"/>
    <cellStyle name="Normal 4 2 87" xfId="30406" xr:uid="{00000000-0005-0000-0000-0000B3760000}"/>
    <cellStyle name="Normal 4 2 87 2" xfId="30407" xr:uid="{00000000-0005-0000-0000-0000B4760000}"/>
    <cellStyle name="Normal 4 2 88" xfId="30300" xr:uid="{00000000-0005-0000-0000-0000B5760000}"/>
    <cellStyle name="Normal 4 2 9" xfId="30408" xr:uid="{00000000-0005-0000-0000-0000B6760000}"/>
    <cellStyle name="Normal 4 2 9 2" xfId="30409" xr:uid="{00000000-0005-0000-0000-0000B7760000}"/>
    <cellStyle name="Normal 4 2_Xa Parametrización de Usuarios" xfId="30410" xr:uid="{00000000-0005-0000-0000-0000B8760000}"/>
    <cellStyle name="Normal 4 20" xfId="30411" xr:uid="{00000000-0005-0000-0000-0000B9760000}"/>
    <cellStyle name="Normal 4 20 2" xfId="30412" xr:uid="{00000000-0005-0000-0000-0000BA760000}"/>
    <cellStyle name="Normal 4 20 3" xfId="30413" xr:uid="{00000000-0005-0000-0000-0000BB760000}"/>
    <cellStyle name="Normal 4 20 4" xfId="30414" xr:uid="{00000000-0005-0000-0000-0000BC760000}"/>
    <cellStyle name="Normal 4 20_Enlaces" xfId="30415" xr:uid="{00000000-0005-0000-0000-0000BD760000}"/>
    <cellStyle name="Normal 4 21" xfId="30416" xr:uid="{00000000-0005-0000-0000-0000BE760000}"/>
    <cellStyle name="Normal 4 21 2" xfId="30417" xr:uid="{00000000-0005-0000-0000-0000BF760000}"/>
    <cellStyle name="Normal 4 21 3" xfId="30418" xr:uid="{00000000-0005-0000-0000-0000C0760000}"/>
    <cellStyle name="Normal 4 21 4" xfId="30419" xr:uid="{00000000-0005-0000-0000-0000C1760000}"/>
    <cellStyle name="Normal 4 21_Enlaces" xfId="30420" xr:uid="{00000000-0005-0000-0000-0000C2760000}"/>
    <cellStyle name="Normal 4 22" xfId="30421" xr:uid="{00000000-0005-0000-0000-0000C3760000}"/>
    <cellStyle name="Normal 4 22 2" xfId="30422" xr:uid="{00000000-0005-0000-0000-0000C4760000}"/>
    <cellStyle name="Normal 4 22 3" xfId="30423" xr:uid="{00000000-0005-0000-0000-0000C5760000}"/>
    <cellStyle name="Normal 4 22 4" xfId="30424" xr:uid="{00000000-0005-0000-0000-0000C6760000}"/>
    <cellStyle name="Normal 4 22_Enlaces" xfId="30425" xr:uid="{00000000-0005-0000-0000-0000C7760000}"/>
    <cellStyle name="Normal 4 23" xfId="30426" xr:uid="{00000000-0005-0000-0000-0000C8760000}"/>
    <cellStyle name="Normal 4 23 2" xfId="30427" xr:uid="{00000000-0005-0000-0000-0000C9760000}"/>
    <cellStyle name="Normal 4 23 3" xfId="30428" xr:uid="{00000000-0005-0000-0000-0000CA760000}"/>
    <cellStyle name="Normal 4 23 4" xfId="30429" xr:uid="{00000000-0005-0000-0000-0000CB760000}"/>
    <cellStyle name="Normal 4 23_Enlaces" xfId="30430" xr:uid="{00000000-0005-0000-0000-0000CC760000}"/>
    <cellStyle name="Normal 4 24" xfId="30431" xr:uid="{00000000-0005-0000-0000-0000CD760000}"/>
    <cellStyle name="Normal 4 24 2" xfId="30432" xr:uid="{00000000-0005-0000-0000-0000CE760000}"/>
    <cellStyle name="Normal 4 24 3" xfId="30433" xr:uid="{00000000-0005-0000-0000-0000CF760000}"/>
    <cellStyle name="Normal 4 24 4" xfId="30434" xr:uid="{00000000-0005-0000-0000-0000D0760000}"/>
    <cellStyle name="Normal 4 24_Enlaces" xfId="30435" xr:uid="{00000000-0005-0000-0000-0000D1760000}"/>
    <cellStyle name="Normal 4 25" xfId="30436" xr:uid="{00000000-0005-0000-0000-0000D2760000}"/>
    <cellStyle name="Normal 4 25 2" xfId="30437" xr:uid="{00000000-0005-0000-0000-0000D3760000}"/>
    <cellStyle name="Normal 4 25 3" xfId="30438" xr:uid="{00000000-0005-0000-0000-0000D4760000}"/>
    <cellStyle name="Normal 4 25 4" xfId="30439" xr:uid="{00000000-0005-0000-0000-0000D5760000}"/>
    <cellStyle name="Normal 4 25_Enlaces" xfId="30440" xr:uid="{00000000-0005-0000-0000-0000D6760000}"/>
    <cellStyle name="Normal 4 26" xfId="30441" xr:uid="{00000000-0005-0000-0000-0000D7760000}"/>
    <cellStyle name="Normal 4 26 2" xfId="30442" xr:uid="{00000000-0005-0000-0000-0000D8760000}"/>
    <cellStyle name="Normal 4 26 3" xfId="30443" xr:uid="{00000000-0005-0000-0000-0000D9760000}"/>
    <cellStyle name="Normal 4 26 4" xfId="30444" xr:uid="{00000000-0005-0000-0000-0000DA760000}"/>
    <cellStyle name="Normal 4 26_Enlaces" xfId="30445" xr:uid="{00000000-0005-0000-0000-0000DB760000}"/>
    <cellStyle name="Normal 4 27" xfId="30446" xr:uid="{00000000-0005-0000-0000-0000DC760000}"/>
    <cellStyle name="Normal 4 27 2" xfId="30447" xr:uid="{00000000-0005-0000-0000-0000DD760000}"/>
    <cellStyle name="Normal 4 27 3" xfId="30448" xr:uid="{00000000-0005-0000-0000-0000DE760000}"/>
    <cellStyle name="Normal 4 28" xfId="30449" xr:uid="{00000000-0005-0000-0000-0000DF760000}"/>
    <cellStyle name="Normal 4 28 2" xfId="30450" xr:uid="{00000000-0005-0000-0000-0000E0760000}"/>
    <cellStyle name="Normal 4 28 3" xfId="30451" xr:uid="{00000000-0005-0000-0000-0000E1760000}"/>
    <cellStyle name="Normal 4 29" xfId="30452" xr:uid="{00000000-0005-0000-0000-0000E2760000}"/>
    <cellStyle name="Normal 4 29 2" xfId="30453" xr:uid="{00000000-0005-0000-0000-0000E3760000}"/>
    <cellStyle name="Normal 4 29 3" xfId="30454" xr:uid="{00000000-0005-0000-0000-0000E4760000}"/>
    <cellStyle name="Normal 4 3" xfId="41" xr:uid="{00000000-0005-0000-0000-0000E5760000}"/>
    <cellStyle name="Normal 4 3 10" xfId="30456" xr:uid="{00000000-0005-0000-0000-0000E6760000}"/>
    <cellStyle name="Normal 4 3 11" xfId="30457" xr:uid="{00000000-0005-0000-0000-0000E7760000}"/>
    <cellStyle name="Normal 4 3 12" xfId="30458" xr:uid="{00000000-0005-0000-0000-0000E8760000}"/>
    <cellStyle name="Normal 4 3 13" xfId="30459" xr:uid="{00000000-0005-0000-0000-0000E9760000}"/>
    <cellStyle name="Normal 4 3 14" xfId="30460" xr:uid="{00000000-0005-0000-0000-0000EA760000}"/>
    <cellStyle name="Normal 4 3 15" xfId="30461" xr:uid="{00000000-0005-0000-0000-0000EB760000}"/>
    <cellStyle name="Normal 4 3 16" xfId="30462" xr:uid="{00000000-0005-0000-0000-0000EC760000}"/>
    <cellStyle name="Normal 4 3 17" xfId="30463" xr:uid="{00000000-0005-0000-0000-0000ED760000}"/>
    <cellStyle name="Normal 4 3 18" xfId="30464" xr:uid="{00000000-0005-0000-0000-0000EE760000}"/>
    <cellStyle name="Normal 4 3 19" xfId="30465" xr:uid="{00000000-0005-0000-0000-0000EF760000}"/>
    <cellStyle name="Normal 4 3 2" xfId="30466" xr:uid="{00000000-0005-0000-0000-0000F0760000}"/>
    <cellStyle name="Normal 4 3 2 2" xfId="30467" xr:uid="{00000000-0005-0000-0000-0000F1760000}"/>
    <cellStyle name="Normal 4 3 20" xfId="30468" xr:uid="{00000000-0005-0000-0000-0000F2760000}"/>
    <cellStyle name="Normal 4 3 21" xfId="30469" xr:uid="{00000000-0005-0000-0000-0000F3760000}"/>
    <cellStyle name="Normal 4 3 22" xfId="30470" xr:uid="{00000000-0005-0000-0000-0000F4760000}"/>
    <cellStyle name="Normal 4 3 23" xfId="30471" xr:uid="{00000000-0005-0000-0000-0000F5760000}"/>
    <cellStyle name="Normal 4 3 24" xfId="30472" xr:uid="{00000000-0005-0000-0000-0000F6760000}"/>
    <cellStyle name="Normal 4 3 25" xfId="30473" xr:uid="{00000000-0005-0000-0000-0000F7760000}"/>
    <cellStyle name="Normal 4 3 26" xfId="30474" xr:uid="{00000000-0005-0000-0000-0000F8760000}"/>
    <cellStyle name="Normal 4 3 27" xfId="30475" xr:uid="{00000000-0005-0000-0000-0000F9760000}"/>
    <cellStyle name="Normal 4 3 28" xfId="30476" xr:uid="{00000000-0005-0000-0000-0000FA760000}"/>
    <cellStyle name="Normal 4 3 29" xfId="30477" xr:uid="{00000000-0005-0000-0000-0000FB760000}"/>
    <cellStyle name="Normal 4 3 3" xfId="30478" xr:uid="{00000000-0005-0000-0000-0000FC760000}"/>
    <cellStyle name="Normal 4 3 30" xfId="30479" xr:uid="{00000000-0005-0000-0000-0000FD760000}"/>
    <cellStyle name="Normal 4 3 31" xfId="30480" xr:uid="{00000000-0005-0000-0000-0000FE760000}"/>
    <cellStyle name="Normal 4 3 32" xfId="30481" xr:uid="{00000000-0005-0000-0000-0000FF760000}"/>
    <cellStyle name="Normal 4 3 33" xfId="30482" xr:uid="{00000000-0005-0000-0000-000000770000}"/>
    <cellStyle name="Normal 4 3 34" xfId="30483" xr:uid="{00000000-0005-0000-0000-000001770000}"/>
    <cellStyle name="Normal 4 3 35" xfId="30455" xr:uid="{00000000-0005-0000-0000-000002770000}"/>
    <cellStyle name="Normal 4 3 4" xfId="30484" xr:uid="{00000000-0005-0000-0000-000003770000}"/>
    <cellStyle name="Normal 4 3 5" xfId="30485" xr:uid="{00000000-0005-0000-0000-000004770000}"/>
    <cellStyle name="Normal 4 3 6" xfId="30486" xr:uid="{00000000-0005-0000-0000-000005770000}"/>
    <cellStyle name="Normal 4 3 7" xfId="30487" xr:uid="{00000000-0005-0000-0000-000006770000}"/>
    <cellStyle name="Normal 4 3 8" xfId="30488" xr:uid="{00000000-0005-0000-0000-000007770000}"/>
    <cellStyle name="Normal 4 3 9" xfId="30489" xr:uid="{00000000-0005-0000-0000-000008770000}"/>
    <cellStyle name="Normal 4 3_Enlaces" xfId="30490" xr:uid="{00000000-0005-0000-0000-000009770000}"/>
    <cellStyle name="Normal 4 30" xfId="30491" xr:uid="{00000000-0005-0000-0000-00000A770000}"/>
    <cellStyle name="Normal 4 30 2" xfId="30492" xr:uid="{00000000-0005-0000-0000-00000B770000}"/>
    <cellStyle name="Normal 4 30 3" xfId="30493" xr:uid="{00000000-0005-0000-0000-00000C770000}"/>
    <cellStyle name="Normal 4 31" xfId="30494" xr:uid="{00000000-0005-0000-0000-00000D770000}"/>
    <cellStyle name="Normal 4 31 2" xfId="30495" xr:uid="{00000000-0005-0000-0000-00000E770000}"/>
    <cellStyle name="Normal 4 31 3" xfId="30496" xr:uid="{00000000-0005-0000-0000-00000F770000}"/>
    <cellStyle name="Normal 4 32" xfId="30497" xr:uid="{00000000-0005-0000-0000-000010770000}"/>
    <cellStyle name="Normal 4 32 2" xfId="30498" xr:uid="{00000000-0005-0000-0000-000011770000}"/>
    <cellStyle name="Normal 4 32 3" xfId="30499" xr:uid="{00000000-0005-0000-0000-000012770000}"/>
    <cellStyle name="Normal 4 33" xfId="30500" xr:uid="{00000000-0005-0000-0000-000013770000}"/>
    <cellStyle name="Normal 4 33 2" xfId="30501" xr:uid="{00000000-0005-0000-0000-000014770000}"/>
    <cellStyle name="Normal 4 33 3" xfId="30502" xr:uid="{00000000-0005-0000-0000-000015770000}"/>
    <cellStyle name="Normal 4 34" xfId="30503" xr:uid="{00000000-0005-0000-0000-000016770000}"/>
    <cellStyle name="Normal 4 34 2" xfId="30504" xr:uid="{00000000-0005-0000-0000-000017770000}"/>
    <cellStyle name="Normal 4 34 3" xfId="30505" xr:uid="{00000000-0005-0000-0000-000018770000}"/>
    <cellStyle name="Normal 4 35" xfId="30506" xr:uid="{00000000-0005-0000-0000-000019770000}"/>
    <cellStyle name="Normal 4 35 2" xfId="30507" xr:uid="{00000000-0005-0000-0000-00001A770000}"/>
    <cellStyle name="Normal 4 35 3" xfId="30508" xr:uid="{00000000-0005-0000-0000-00001B770000}"/>
    <cellStyle name="Normal 4 36" xfId="30509" xr:uid="{00000000-0005-0000-0000-00001C770000}"/>
    <cellStyle name="Normal 4 36 2" xfId="30510" xr:uid="{00000000-0005-0000-0000-00001D770000}"/>
    <cellStyle name="Normal 4 36 3" xfId="30511" xr:uid="{00000000-0005-0000-0000-00001E770000}"/>
    <cellStyle name="Normal 4 37" xfId="30512" xr:uid="{00000000-0005-0000-0000-00001F770000}"/>
    <cellStyle name="Normal 4 37 2" xfId="30513" xr:uid="{00000000-0005-0000-0000-000020770000}"/>
    <cellStyle name="Normal 4 37 3" xfId="30514" xr:uid="{00000000-0005-0000-0000-000021770000}"/>
    <cellStyle name="Normal 4 38" xfId="30515" xr:uid="{00000000-0005-0000-0000-000022770000}"/>
    <cellStyle name="Normal 4 38 2" xfId="30516" xr:uid="{00000000-0005-0000-0000-000023770000}"/>
    <cellStyle name="Normal 4 38 3" xfId="30517" xr:uid="{00000000-0005-0000-0000-000024770000}"/>
    <cellStyle name="Normal 4 39" xfId="30518" xr:uid="{00000000-0005-0000-0000-000025770000}"/>
    <cellStyle name="Normal 4 39 2" xfId="30519" xr:uid="{00000000-0005-0000-0000-000026770000}"/>
    <cellStyle name="Normal 4 39 3" xfId="30520" xr:uid="{00000000-0005-0000-0000-000027770000}"/>
    <cellStyle name="Normal 4 4" xfId="30521" xr:uid="{00000000-0005-0000-0000-000028770000}"/>
    <cellStyle name="Normal 4 4 2" xfId="30522" xr:uid="{00000000-0005-0000-0000-000029770000}"/>
    <cellStyle name="Normal 4 4 3" xfId="30523" xr:uid="{00000000-0005-0000-0000-00002A770000}"/>
    <cellStyle name="Normal 4 4 4" xfId="30524" xr:uid="{00000000-0005-0000-0000-00002B770000}"/>
    <cellStyle name="Normal 4 4 5" xfId="30525" xr:uid="{00000000-0005-0000-0000-00002C770000}"/>
    <cellStyle name="Normal 4 4_Enlaces" xfId="30526" xr:uid="{00000000-0005-0000-0000-00002D770000}"/>
    <cellStyle name="Normal 4 40" xfId="30527" xr:uid="{00000000-0005-0000-0000-00002E770000}"/>
    <cellStyle name="Normal 4 40 2" xfId="30528" xr:uid="{00000000-0005-0000-0000-00002F770000}"/>
    <cellStyle name="Normal 4 40 3" xfId="30529" xr:uid="{00000000-0005-0000-0000-000030770000}"/>
    <cellStyle name="Normal 4 41" xfId="30530" xr:uid="{00000000-0005-0000-0000-000031770000}"/>
    <cellStyle name="Normal 4 41 2" xfId="30531" xr:uid="{00000000-0005-0000-0000-000032770000}"/>
    <cellStyle name="Normal 4 41 3" xfId="30532" xr:uid="{00000000-0005-0000-0000-000033770000}"/>
    <cellStyle name="Normal 4 42" xfId="30533" xr:uid="{00000000-0005-0000-0000-000034770000}"/>
    <cellStyle name="Normal 4 42 2" xfId="30534" xr:uid="{00000000-0005-0000-0000-000035770000}"/>
    <cellStyle name="Normal 4 42 3" xfId="30535" xr:uid="{00000000-0005-0000-0000-000036770000}"/>
    <cellStyle name="Normal 4 43" xfId="30536" xr:uid="{00000000-0005-0000-0000-000037770000}"/>
    <cellStyle name="Normal 4 43 2" xfId="30537" xr:uid="{00000000-0005-0000-0000-000038770000}"/>
    <cellStyle name="Normal 4 43 3" xfId="30538" xr:uid="{00000000-0005-0000-0000-000039770000}"/>
    <cellStyle name="Normal 4 44" xfId="30539" xr:uid="{00000000-0005-0000-0000-00003A770000}"/>
    <cellStyle name="Normal 4 44 2" xfId="30540" xr:uid="{00000000-0005-0000-0000-00003B770000}"/>
    <cellStyle name="Normal 4 44 3" xfId="30541" xr:uid="{00000000-0005-0000-0000-00003C770000}"/>
    <cellStyle name="Normal 4 45" xfId="30542" xr:uid="{00000000-0005-0000-0000-00003D770000}"/>
    <cellStyle name="Normal 4 45 2" xfId="30543" xr:uid="{00000000-0005-0000-0000-00003E770000}"/>
    <cellStyle name="Normal 4 45 3" xfId="30544" xr:uid="{00000000-0005-0000-0000-00003F770000}"/>
    <cellStyle name="Normal 4 46" xfId="30545" xr:uid="{00000000-0005-0000-0000-000040770000}"/>
    <cellStyle name="Normal 4 46 2" xfId="30546" xr:uid="{00000000-0005-0000-0000-000041770000}"/>
    <cellStyle name="Normal 4 46 3" xfId="30547" xr:uid="{00000000-0005-0000-0000-000042770000}"/>
    <cellStyle name="Normal 4 47" xfId="30548" xr:uid="{00000000-0005-0000-0000-000043770000}"/>
    <cellStyle name="Normal 4 48" xfId="30549" xr:uid="{00000000-0005-0000-0000-000044770000}"/>
    <cellStyle name="Normal 4 49" xfId="30550" xr:uid="{00000000-0005-0000-0000-000045770000}"/>
    <cellStyle name="Normal 4 5" xfId="30551" xr:uid="{00000000-0005-0000-0000-000046770000}"/>
    <cellStyle name="Normal 4 5 2" xfId="30552" xr:uid="{00000000-0005-0000-0000-000047770000}"/>
    <cellStyle name="Normal 4 5 3" xfId="30553" xr:uid="{00000000-0005-0000-0000-000048770000}"/>
    <cellStyle name="Normal 4 5 4" xfId="30554" xr:uid="{00000000-0005-0000-0000-000049770000}"/>
    <cellStyle name="Normal 4 5 5" xfId="30555" xr:uid="{00000000-0005-0000-0000-00004A770000}"/>
    <cellStyle name="Normal 4 5_Enlaces" xfId="30556" xr:uid="{00000000-0005-0000-0000-00004B770000}"/>
    <cellStyle name="Normal 4 50" xfId="30557" xr:uid="{00000000-0005-0000-0000-00004C770000}"/>
    <cellStyle name="Normal 4 51" xfId="30558" xr:uid="{00000000-0005-0000-0000-00004D770000}"/>
    <cellStyle name="Normal 4 52" xfId="30559" xr:uid="{00000000-0005-0000-0000-00004E770000}"/>
    <cellStyle name="Normal 4 53" xfId="30560" xr:uid="{00000000-0005-0000-0000-00004F770000}"/>
    <cellStyle name="Normal 4 54" xfId="30561" xr:uid="{00000000-0005-0000-0000-000050770000}"/>
    <cellStyle name="Normal 4 55" xfId="30562" xr:uid="{00000000-0005-0000-0000-000051770000}"/>
    <cellStyle name="Normal 4 56" xfId="30563" xr:uid="{00000000-0005-0000-0000-000052770000}"/>
    <cellStyle name="Normal 4 57" xfId="30564" xr:uid="{00000000-0005-0000-0000-000053770000}"/>
    <cellStyle name="Normal 4 58" xfId="30565" xr:uid="{00000000-0005-0000-0000-000054770000}"/>
    <cellStyle name="Normal 4 59" xfId="30566" xr:uid="{00000000-0005-0000-0000-000055770000}"/>
    <cellStyle name="Normal 4 6" xfId="30567" xr:uid="{00000000-0005-0000-0000-000056770000}"/>
    <cellStyle name="Normal 4 6 2" xfId="30568" xr:uid="{00000000-0005-0000-0000-000057770000}"/>
    <cellStyle name="Normal 4 6 3" xfId="30569" xr:uid="{00000000-0005-0000-0000-000058770000}"/>
    <cellStyle name="Normal 4 6 4" xfId="30570" xr:uid="{00000000-0005-0000-0000-000059770000}"/>
    <cellStyle name="Normal 4 6 5" xfId="30571" xr:uid="{00000000-0005-0000-0000-00005A770000}"/>
    <cellStyle name="Normal 4 6_Enlaces" xfId="30572" xr:uid="{00000000-0005-0000-0000-00005B770000}"/>
    <cellStyle name="Normal 4 60" xfId="30573" xr:uid="{00000000-0005-0000-0000-00005C770000}"/>
    <cellStyle name="Normal 4 61" xfId="30574" xr:uid="{00000000-0005-0000-0000-00005D770000}"/>
    <cellStyle name="Normal 4 62" xfId="30575" xr:uid="{00000000-0005-0000-0000-00005E770000}"/>
    <cellStyle name="Normal 4 63" xfId="30576" xr:uid="{00000000-0005-0000-0000-00005F770000}"/>
    <cellStyle name="Normal 4 64" xfId="30577" xr:uid="{00000000-0005-0000-0000-000060770000}"/>
    <cellStyle name="Normal 4 65" xfId="30578" xr:uid="{00000000-0005-0000-0000-000061770000}"/>
    <cellStyle name="Normal 4 66" xfId="30579" xr:uid="{00000000-0005-0000-0000-000062770000}"/>
    <cellStyle name="Normal 4 67" xfId="30580" xr:uid="{00000000-0005-0000-0000-000063770000}"/>
    <cellStyle name="Normal 4 68" xfId="30581" xr:uid="{00000000-0005-0000-0000-000064770000}"/>
    <cellStyle name="Normal 4 69" xfId="30582" xr:uid="{00000000-0005-0000-0000-000065770000}"/>
    <cellStyle name="Normal 4 7" xfId="30583" xr:uid="{00000000-0005-0000-0000-000066770000}"/>
    <cellStyle name="Normal 4 7 2" xfId="30584" xr:uid="{00000000-0005-0000-0000-000067770000}"/>
    <cellStyle name="Normal 4 7 3" xfId="30585" xr:uid="{00000000-0005-0000-0000-000068770000}"/>
    <cellStyle name="Normal 4 7 4" xfId="30586" xr:uid="{00000000-0005-0000-0000-000069770000}"/>
    <cellStyle name="Normal 4 7 5" xfId="30587" xr:uid="{00000000-0005-0000-0000-00006A770000}"/>
    <cellStyle name="Normal 4 7_Enlaces" xfId="30588" xr:uid="{00000000-0005-0000-0000-00006B770000}"/>
    <cellStyle name="Normal 4 70" xfId="30589" xr:uid="{00000000-0005-0000-0000-00006C770000}"/>
    <cellStyle name="Normal 4 71" xfId="30590" xr:uid="{00000000-0005-0000-0000-00006D770000}"/>
    <cellStyle name="Normal 4 72" xfId="30591" xr:uid="{00000000-0005-0000-0000-00006E770000}"/>
    <cellStyle name="Normal 4 73" xfId="30592" xr:uid="{00000000-0005-0000-0000-00006F770000}"/>
    <cellStyle name="Normal 4 74" xfId="30593" xr:uid="{00000000-0005-0000-0000-000070770000}"/>
    <cellStyle name="Normal 4 75" xfId="30594" xr:uid="{00000000-0005-0000-0000-000071770000}"/>
    <cellStyle name="Normal 4 76" xfId="30595" xr:uid="{00000000-0005-0000-0000-000072770000}"/>
    <cellStyle name="Normal 4 77" xfId="30596" xr:uid="{00000000-0005-0000-0000-000073770000}"/>
    <cellStyle name="Normal 4 78" xfId="30597" xr:uid="{00000000-0005-0000-0000-000074770000}"/>
    <cellStyle name="Normal 4 79" xfId="30598" xr:uid="{00000000-0005-0000-0000-000075770000}"/>
    <cellStyle name="Normal 4 8" xfId="30599" xr:uid="{00000000-0005-0000-0000-000076770000}"/>
    <cellStyle name="Normal 4 8 2" xfId="30600" xr:uid="{00000000-0005-0000-0000-000077770000}"/>
    <cellStyle name="Normal 4 8 3" xfId="30601" xr:uid="{00000000-0005-0000-0000-000078770000}"/>
    <cellStyle name="Normal 4 8 4" xfId="30602" xr:uid="{00000000-0005-0000-0000-000079770000}"/>
    <cellStyle name="Normal 4 8 5" xfId="30603" xr:uid="{00000000-0005-0000-0000-00007A770000}"/>
    <cellStyle name="Normal 4 8_Enlaces" xfId="30604" xr:uid="{00000000-0005-0000-0000-00007B770000}"/>
    <cellStyle name="Normal 4 80" xfId="30605" xr:uid="{00000000-0005-0000-0000-00007C770000}"/>
    <cellStyle name="Normal 4 81" xfId="30606" xr:uid="{00000000-0005-0000-0000-00007D770000}"/>
    <cellStyle name="Normal 4 82" xfId="30607" xr:uid="{00000000-0005-0000-0000-00007E770000}"/>
    <cellStyle name="Normal 4 83" xfId="30608" xr:uid="{00000000-0005-0000-0000-00007F770000}"/>
    <cellStyle name="Normal 4 84" xfId="30609" xr:uid="{00000000-0005-0000-0000-000080770000}"/>
    <cellStyle name="Normal 4 85" xfId="30610" xr:uid="{00000000-0005-0000-0000-000081770000}"/>
    <cellStyle name="Normal 4 86" xfId="30611" xr:uid="{00000000-0005-0000-0000-000082770000}"/>
    <cellStyle name="Normal 4 87" xfId="30612" xr:uid="{00000000-0005-0000-0000-000083770000}"/>
    <cellStyle name="Normal 4 88" xfId="30613" xr:uid="{00000000-0005-0000-0000-000084770000}"/>
    <cellStyle name="Normal 4 89" xfId="30614" xr:uid="{00000000-0005-0000-0000-000085770000}"/>
    <cellStyle name="Normal 4 9" xfId="30615" xr:uid="{00000000-0005-0000-0000-000086770000}"/>
    <cellStyle name="Normal 4 9 2" xfId="30616" xr:uid="{00000000-0005-0000-0000-000087770000}"/>
    <cellStyle name="Normal 4 9 3" xfId="30617" xr:uid="{00000000-0005-0000-0000-000088770000}"/>
    <cellStyle name="Normal 4 9 4" xfId="30618" xr:uid="{00000000-0005-0000-0000-000089770000}"/>
    <cellStyle name="Normal 4 9 5" xfId="30619" xr:uid="{00000000-0005-0000-0000-00008A770000}"/>
    <cellStyle name="Normal 4 9_Enlaces" xfId="30620" xr:uid="{00000000-0005-0000-0000-00008B770000}"/>
    <cellStyle name="Normal 4 90" xfId="30621" xr:uid="{00000000-0005-0000-0000-00008C770000}"/>
    <cellStyle name="Normal 4 91" xfId="30622" xr:uid="{00000000-0005-0000-0000-00008D770000}"/>
    <cellStyle name="Normal 4 92" xfId="30623" xr:uid="{00000000-0005-0000-0000-00008E770000}"/>
    <cellStyle name="Normal 4 93" xfId="30624" xr:uid="{00000000-0005-0000-0000-00008F770000}"/>
    <cellStyle name="Normal 4 94" xfId="30625" xr:uid="{00000000-0005-0000-0000-000090770000}"/>
    <cellStyle name="Normal 4 95" xfId="30626" xr:uid="{00000000-0005-0000-0000-000091770000}"/>
    <cellStyle name="Normal 4 96" xfId="30627" xr:uid="{00000000-0005-0000-0000-000092770000}"/>
    <cellStyle name="Normal 4 97" xfId="30628" xr:uid="{00000000-0005-0000-0000-000093770000}"/>
    <cellStyle name="Normal 4 98" xfId="30629" xr:uid="{00000000-0005-0000-0000-000094770000}"/>
    <cellStyle name="Normal 4 98 2" xfId="30630" xr:uid="{00000000-0005-0000-0000-000095770000}"/>
    <cellStyle name="Normal 4 98 3" xfId="30631" xr:uid="{00000000-0005-0000-0000-000096770000}"/>
    <cellStyle name="Normal 4 98 4" xfId="30632" xr:uid="{00000000-0005-0000-0000-000097770000}"/>
    <cellStyle name="Normal 4 98 5" xfId="30633" xr:uid="{00000000-0005-0000-0000-000098770000}"/>
    <cellStyle name="Normal 4 98 6" xfId="30634" xr:uid="{00000000-0005-0000-0000-000099770000}"/>
    <cellStyle name="Normal 4 99" xfId="30635" xr:uid="{00000000-0005-0000-0000-00009A770000}"/>
    <cellStyle name="Normal 4 99 2" xfId="30636" xr:uid="{00000000-0005-0000-0000-00009B770000}"/>
    <cellStyle name="Normal 4 99 3" xfId="30637" xr:uid="{00000000-0005-0000-0000-00009C770000}"/>
    <cellStyle name="Normal 4 99 4" xfId="30638" xr:uid="{00000000-0005-0000-0000-00009D770000}"/>
    <cellStyle name="Normal 4 99 5" xfId="30639" xr:uid="{00000000-0005-0000-0000-00009E770000}"/>
    <cellStyle name="Normal 4 99 6" xfId="30640" xr:uid="{00000000-0005-0000-0000-00009F770000}"/>
    <cellStyle name="Normal 4_Enlaces" xfId="30641" xr:uid="{00000000-0005-0000-0000-0000A0770000}"/>
    <cellStyle name="Normal 40" xfId="30642" xr:uid="{00000000-0005-0000-0000-0000A1770000}"/>
    <cellStyle name="Normal 40 10" xfId="30643" xr:uid="{00000000-0005-0000-0000-0000A2770000}"/>
    <cellStyle name="Normal 40 11" xfId="30644" xr:uid="{00000000-0005-0000-0000-0000A3770000}"/>
    <cellStyle name="Normal 40 12" xfId="30645" xr:uid="{00000000-0005-0000-0000-0000A4770000}"/>
    <cellStyle name="Normal 40 13" xfId="30646" xr:uid="{00000000-0005-0000-0000-0000A5770000}"/>
    <cellStyle name="Normal 40 14" xfId="30647" xr:uid="{00000000-0005-0000-0000-0000A6770000}"/>
    <cellStyle name="Normal 40 15" xfId="30648" xr:uid="{00000000-0005-0000-0000-0000A7770000}"/>
    <cellStyle name="Normal 40 16" xfId="30649" xr:uid="{00000000-0005-0000-0000-0000A8770000}"/>
    <cellStyle name="Normal 40 17" xfId="30650" xr:uid="{00000000-0005-0000-0000-0000A9770000}"/>
    <cellStyle name="Normal 40 18" xfId="30651" xr:uid="{00000000-0005-0000-0000-0000AA770000}"/>
    <cellStyle name="Normal 40 19" xfId="30652" xr:uid="{00000000-0005-0000-0000-0000AB770000}"/>
    <cellStyle name="Normal 40 2" xfId="30653" xr:uid="{00000000-0005-0000-0000-0000AC770000}"/>
    <cellStyle name="Normal 40 2 2" xfId="30654" xr:uid="{00000000-0005-0000-0000-0000AD770000}"/>
    <cellStyle name="Normal 40 20" xfId="30655" xr:uid="{00000000-0005-0000-0000-0000AE770000}"/>
    <cellStyle name="Normal 40 21" xfId="30656" xr:uid="{00000000-0005-0000-0000-0000AF770000}"/>
    <cellStyle name="Normal 40 22" xfId="30657" xr:uid="{00000000-0005-0000-0000-0000B0770000}"/>
    <cellStyle name="Normal 40 23" xfId="30658" xr:uid="{00000000-0005-0000-0000-0000B1770000}"/>
    <cellStyle name="Normal 40 24" xfId="30659" xr:uid="{00000000-0005-0000-0000-0000B2770000}"/>
    <cellStyle name="Normal 40 25" xfId="30660" xr:uid="{00000000-0005-0000-0000-0000B3770000}"/>
    <cellStyle name="Normal 40 26" xfId="30661" xr:uid="{00000000-0005-0000-0000-0000B4770000}"/>
    <cellStyle name="Normal 40 3" xfId="30662" xr:uid="{00000000-0005-0000-0000-0000B5770000}"/>
    <cellStyle name="Normal 40 3 2" xfId="30663" xr:uid="{00000000-0005-0000-0000-0000B6770000}"/>
    <cellStyle name="Normal 40 4" xfId="30664" xr:uid="{00000000-0005-0000-0000-0000B7770000}"/>
    <cellStyle name="Normal 40 4 2" xfId="30665" xr:uid="{00000000-0005-0000-0000-0000B8770000}"/>
    <cellStyle name="Normal 40 5" xfId="30666" xr:uid="{00000000-0005-0000-0000-0000B9770000}"/>
    <cellStyle name="Normal 40 5 2" xfId="30667" xr:uid="{00000000-0005-0000-0000-0000BA770000}"/>
    <cellStyle name="Normal 40 6" xfId="30668" xr:uid="{00000000-0005-0000-0000-0000BB770000}"/>
    <cellStyle name="Normal 40 7" xfId="30669" xr:uid="{00000000-0005-0000-0000-0000BC770000}"/>
    <cellStyle name="Normal 40 8" xfId="30670" xr:uid="{00000000-0005-0000-0000-0000BD770000}"/>
    <cellStyle name="Normal 40 9" xfId="30671" xr:uid="{00000000-0005-0000-0000-0000BE770000}"/>
    <cellStyle name="Normal 41" xfId="30672" xr:uid="{00000000-0005-0000-0000-0000BF770000}"/>
    <cellStyle name="Normal 41 10" xfId="30673" xr:uid="{00000000-0005-0000-0000-0000C0770000}"/>
    <cellStyle name="Normal 41 11" xfId="30674" xr:uid="{00000000-0005-0000-0000-0000C1770000}"/>
    <cellStyle name="Normal 41 12" xfId="30675" xr:uid="{00000000-0005-0000-0000-0000C2770000}"/>
    <cellStyle name="Normal 41 13" xfId="30676" xr:uid="{00000000-0005-0000-0000-0000C3770000}"/>
    <cellStyle name="Normal 41 14" xfId="30677" xr:uid="{00000000-0005-0000-0000-0000C4770000}"/>
    <cellStyle name="Normal 41 15" xfId="30678" xr:uid="{00000000-0005-0000-0000-0000C5770000}"/>
    <cellStyle name="Normal 41 16" xfId="30679" xr:uid="{00000000-0005-0000-0000-0000C6770000}"/>
    <cellStyle name="Normal 41 17" xfId="30680" xr:uid="{00000000-0005-0000-0000-0000C7770000}"/>
    <cellStyle name="Normal 41 18" xfId="30681" xr:uid="{00000000-0005-0000-0000-0000C8770000}"/>
    <cellStyle name="Normal 41 19" xfId="30682" xr:uid="{00000000-0005-0000-0000-0000C9770000}"/>
    <cellStyle name="Normal 41 2" xfId="30683" xr:uid="{00000000-0005-0000-0000-0000CA770000}"/>
    <cellStyle name="Normal 41 2 2" xfId="30684" xr:uid="{00000000-0005-0000-0000-0000CB770000}"/>
    <cellStyle name="Normal 41 20" xfId="30685" xr:uid="{00000000-0005-0000-0000-0000CC770000}"/>
    <cellStyle name="Normal 41 21" xfId="30686" xr:uid="{00000000-0005-0000-0000-0000CD770000}"/>
    <cellStyle name="Normal 41 22" xfId="30687" xr:uid="{00000000-0005-0000-0000-0000CE770000}"/>
    <cellStyle name="Normal 41 23" xfId="30688" xr:uid="{00000000-0005-0000-0000-0000CF770000}"/>
    <cellStyle name="Normal 41 24" xfId="30689" xr:uid="{00000000-0005-0000-0000-0000D0770000}"/>
    <cellStyle name="Normal 41 25" xfId="30690" xr:uid="{00000000-0005-0000-0000-0000D1770000}"/>
    <cellStyle name="Normal 41 26" xfId="30691" xr:uid="{00000000-0005-0000-0000-0000D2770000}"/>
    <cellStyle name="Normal 41 3" xfId="30692" xr:uid="{00000000-0005-0000-0000-0000D3770000}"/>
    <cellStyle name="Normal 41 3 2" xfId="30693" xr:uid="{00000000-0005-0000-0000-0000D4770000}"/>
    <cellStyle name="Normal 41 4" xfId="30694" xr:uid="{00000000-0005-0000-0000-0000D5770000}"/>
    <cellStyle name="Normal 41 4 2" xfId="30695" xr:uid="{00000000-0005-0000-0000-0000D6770000}"/>
    <cellStyle name="Normal 41 5" xfId="30696" xr:uid="{00000000-0005-0000-0000-0000D7770000}"/>
    <cellStyle name="Normal 41 5 2" xfId="30697" xr:uid="{00000000-0005-0000-0000-0000D8770000}"/>
    <cellStyle name="Normal 41 6" xfId="30698" xr:uid="{00000000-0005-0000-0000-0000D9770000}"/>
    <cellStyle name="Normal 41 7" xfId="30699" xr:uid="{00000000-0005-0000-0000-0000DA770000}"/>
    <cellStyle name="Normal 41 8" xfId="30700" xr:uid="{00000000-0005-0000-0000-0000DB770000}"/>
    <cellStyle name="Normal 41 9" xfId="30701" xr:uid="{00000000-0005-0000-0000-0000DC770000}"/>
    <cellStyle name="Normal 42" xfId="30702" xr:uid="{00000000-0005-0000-0000-0000DD770000}"/>
    <cellStyle name="Normal 43" xfId="30703" xr:uid="{00000000-0005-0000-0000-0000DE770000}"/>
    <cellStyle name="Normal 43 10" xfId="30704" xr:uid="{00000000-0005-0000-0000-0000DF770000}"/>
    <cellStyle name="Normal 43 11" xfId="30705" xr:uid="{00000000-0005-0000-0000-0000E0770000}"/>
    <cellStyle name="Normal 43 12" xfId="30706" xr:uid="{00000000-0005-0000-0000-0000E1770000}"/>
    <cellStyle name="Normal 43 13" xfId="30707" xr:uid="{00000000-0005-0000-0000-0000E2770000}"/>
    <cellStyle name="Normal 43 14" xfId="30708" xr:uid="{00000000-0005-0000-0000-0000E3770000}"/>
    <cellStyle name="Normal 43 15" xfId="30709" xr:uid="{00000000-0005-0000-0000-0000E4770000}"/>
    <cellStyle name="Normal 43 16" xfId="30710" xr:uid="{00000000-0005-0000-0000-0000E5770000}"/>
    <cellStyle name="Normal 43 17" xfId="30711" xr:uid="{00000000-0005-0000-0000-0000E6770000}"/>
    <cellStyle name="Normal 43 18" xfId="30712" xr:uid="{00000000-0005-0000-0000-0000E7770000}"/>
    <cellStyle name="Normal 43 19" xfId="30713" xr:uid="{00000000-0005-0000-0000-0000E8770000}"/>
    <cellStyle name="Normal 43 2" xfId="30714" xr:uid="{00000000-0005-0000-0000-0000E9770000}"/>
    <cellStyle name="Normal 43 2 2" xfId="30715" xr:uid="{00000000-0005-0000-0000-0000EA770000}"/>
    <cellStyle name="Normal 43 20" xfId="30716" xr:uid="{00000000-0005-0000-0000-0000EB770000}"/>
    <cellStyle name="Normal 43 21" xfId="30717" xr:uid="{00000000-0005-0000-0000-0000EC770000}"/>
    <cellStyle name="Normal 43 22" xfId="30718" xr:uid="{00000000-0005-0000-0000-0000ED770000}"/>
    <cellStyle name="Normal 43 23" xfId="30719" xr:uid="{00000000-0005-0000-0000-0000EE770000}"/>
    <cellStyle name="Normal 43 24" xfId="30720" xr:uid="{00000000-0005-0000-0000-0000EF770000}"/>
    <cellStyle name="Normal 43 25" xfId="30721" xr:uid="{00000000-0005-0000-0000-0000F0770000}"/>
    <cellStyle name="Normal 43 26" xfId="30722" xr:uid="{00000000-0005-0000-0000-0000F1770000}"/>
    <cellStyle name="Normal 43 27" xfId="30723" xr:uid="{00000000-0005-0000-0000-0000F2770000}"/>
    <cellStyle name="Normal 43 28" xfId="30724" xr:uid="{00000000-0005-0000-0000-0000F3770000}"/>
    <cellStyle name="Normal 43 3" xfId="30725" xr:uid="{00000000-0005-0000-0000-0000F4770000}"/>
    <cellStyle name="Normal 43 3 2" xfId="30726" xr:uid="{00000000-0005-0000-0000-0000F5770000}"/>
    <cellStyle name="Normal 43 4" xfId="30727" xr:uid="{00000000-0005-0000-0000-0000F6770000}"/>
    <cellStyle name="Normal 43 4 2" xfId="30728" xr:uid="{00000000-0005-0000-0000-0000F7770000}"/>
    <cellStyle name="Normal 43 5" xfId="30729" xr:uid="{00000000-0005-0000-0000-0000F8770000}"/>
    <cellStyle name="Normal 43 5 2" xfId="30730" xr:uid="{00000000-0005-0000-0000-0000F9770000}"/>
    <cellStyle name="Normal 43 6" xfId="30731" xr:uid="{00000000-0005-0000-0000-0000FA770000}"/>
    <cellStyle name="Normal 43 7" xfId="30732" xr:uid="{00000000-0005-0000-0000-0000FB770000}"/>
    <cellStyle name="Normal 43 8" xfId="30733" xr:uid="{00000000-0005-0000-0000-0000FC770000}"/>
    <cellStyle name="Normal 43 9" xfId="30734" xr:uid="{00000000-0005-0000-0000-0000FD770000}"/>
    <cellStyle name="Normal 44" xfId="30735" xr:uid="{00000000-0005-0000-0000-0000FE770000}"/>
    <cellStyle name="Normal 44 10" xfId="30736" xr:uid="{00000000-0005-0000-0000-0000FF770000}"/>
    <cellStyle name="Normal 44 11" xfId="30737" xr:uid="{00000000-0005-0000-0000-000000780000}"/>
    <cellStyle name="Normal 44 12" xfId="30738" xr:uid="{00000000-0005-0000-0000-000001780000}"/>
    <cellStyle name="Normal 44 13" xfId="30739" xr:uid="{00000000-0005-0000-0000-000002780000}"/>
    <cellStyle name="Normal 44 14" xfId="30740" xr:uid="{00000000-0005-0000-0000-000003780000}"/>
    <cellStyle name="Normal 44 15" xfId="30741" xr:uid="{00000000-0005-0000-0000-000004780000}"/>
    <cellStyle name="Normal 44 16" xfId="30742" xr:uid="{00000000-0005-0000-0000-000005780000}"/>
    <cellStyle name="Normal 44 17" xfId="30743" xr:uid="{00000000-0005-0000-0000-000006780000}"/>
    <cellStyle name="Normal 44 18" xfId="30744" xr:uid="{00000000-0005-0000-0000-000007780000}"/>
    <cellStyle name="Normal 44 19" xfId="30745" xr:uid="{00000000-0005-0000-0000-000008780000}"/>
    <cellStyle name="Normal 44 2" xfId="30746" xr:uid="{00000000-0005-0000-0000-000009780000}"/>
    <cellStyle name="Normal 44 2 2" xfId="30747" xr:uid="{00000000-0005-0000-0000-00000A780000}"/>
    <cellStyle name="Normal 44 20" xfId="30748" xr:uid="{00000000-0005-0000-0000-00000B780000}"/>
    <cellStyle name="Normal 44 21" xfId="30749" xr:uid="{00000000-0005-0000-0000-00000C780000}"/>
    <cellStyle name="Normal 44 22" xfId="30750" xr:uid="{00000000-0005-0000-0000-00000D780000}"/>
    <cellStyle name="Normal 44 23" xfId="30751" xr:uid="{00000000-0005-0000-0000-00000E780000}"/>
    <cellStyle name="Normal 44 24" xfId="30752" xr:uid="{00000000-0005-0000-0000-00000F780000}"/>
    <cellStyle name="Normal 44 25" xfId="30753" xr:uid="{00000000-0005-0000-0000-000010780000}"/>
    <cellStyle name="Normal 44 26" xfId="30754" xr:uid="{00000000-0005-0000-0000-000011780000}"/>
    <cellStyle name="Normal 44 3" xfId="30755" xr:uid="{00000000-0005-0000-0000-000012780000}"/>
    <cellStyle name="Normal 44 3 2" xfId="30756" xr:uid="{00000000-0005-0000-0000-000013780000}"/>
    <cellStyle name="Normal 44 4" xfId="30757" xr:uid="{00000000-0005-0000-0000-000014780000}"/>
    <cellStyle name="Normal 44 4 2" xfId="30758" xr:uid="{00000000-0005-0000-0000-000015780000}"/>
    <cellStyle name="Normal 44 5" xfId="30759" xr:uid="{00000000-0005-0000-0000-000016780000}"/>
    <cellStyle name="Normal 44 5 2" xfId="30760" xr:uid="{00000000-0005-0000-0000-000017780000}"/>
    <cellStyle name="Normal 44 6" xfId="30761" xr:uid="{00000000-0005-0000-0000-000018780000}"/>
    <cellStyle name="Normal 44 7" xfId="30762" xr:uid="{00000000-0005-0000-0000-000019780000}"/>
    <cellStyle name="Normal 44 8" xfId="30763" xr:uid="{00000000-0005-0000-0000-00001A780000}"/>
    <cellStyle name="Normal 44 9" xfId="30764" xr:uid="{00000000-0005-0000-0000-00001B780000}"/>
    <cellStyle name="Normal 45" xfId="30765" xr:uid="{00000000-0005-0000-0000-00001C780000}"/>
    <cellStyle name="Normal 46" xfId="30766" xr:uid="{00000000-0005-0000-0000-00001D780000}"/>
    <cellStyle name="Normal 47" xfId="30767" xr:uid="{00000000-0005-0000-0000-00001E780000}"/>
    <cellStyle name="Normal 48" xfId="30768" xr:uid="{00000000-0005-0000-0000-00001F780000}"/>
    <cellStyle name="Normal 49" xfId="30769" xr:uid="{00000000-0005-0000-0000-000020780000}"/>
    <cellStyle name="Normal 49 10" xfId="30770" xr:uid="{00000000-0005-0000-0000-000021780000}"/>
    <cellStyle name="Normal 49 11" xfId="30771" xr:uid="{00000000-0005-0000-0000-000022780000}"/>
    <cellStyle name="Normal 49 12" xfId="30772" xr:uid="{00000000-0005-0000-0000-000023780000}"/>
    <cellStyle name="Normal 49 13" xfId="30773" xr:uid="{00000000-0005-0000-0000-000024780000}"/>
    <cellStyle name="Normal 49 14" xfId="30774" xr:uid="{00000000-0005-0000-0000-000025780000}"/>
    <cellStyle name="Normal 49 15" xfId="30775" xr:uid="{00000000-0005-0000-0000-000026780000}"/>
    <cellStyle name="Normal 49 16" xfId="30776" xr:uid="{00000000-0005-0000-0000-000027780000}"/>
    <cellStyle name="Normal 49 17" xfId="30777" xr:uid="{00000000-0005-0000-0000-000028780000}"/>
    <cellStyle name="Normal 49 18" xfId="30778" xr:uid="{00000000-0005-0000-0000-000029780000}"/>
    <cellStyle name="Normal 49 19" xfId="30779" xr:uid="{00000000-0005-0000-0000-00002A780000}"/>
    <cellStyle name="Normal 49 2" xfId="30780" xr:uid="{00000000-0005-0000-0000-00002B780000}"/>
    <cellStyle name="Normal 49 2 2" xfId="30781" xr:uid="{00000000-0005-0000-0000-00002C780000}"/>
    <cellStyle name="Normal 49 20" xfId="30782" xr:uid="{00000000-0005-0000-0000-00002D780000}"/>
    <cellStyle name="Normal 49 21" xfId="30783" xr:uid="{00000000-0005-0000-0000-00002E780000}"/>
    <cellStyle name="Normal 49 22" xfId="30784" xr:uid="{00000000-0005-0000-0000-00002F780000}"/>
    <cellStyle name="Normal 49 23" xfId="30785" xr:uid="{00000000-0005-0000-0000-000030780000}"/>
    <cellStyle name="Normal 49 24" xfId="30786" xr:uid="{00000000-0005-0000-0000-000031780000}"/>
    <cellStyle name="Normal 49 25" xfId="30787" xr:uid="{00000000-0005-0000-0000-000032780000}"/>
    <cellStyle name="Normal 49 26" xfId="30788" xr:uid="{00000000-0005-0000-0000-000033780000}"/>
    <cellStyle name="Normal 49 3" xfId="30789" xr:uid="{00000000-0005-0000-0000-000034780000}"/>
    <cellStyle name="Normal 49 3 2" xfId="30790" xr:uid="{00000000-0005-0000-0000-000035780000}"/>
    <cellStyle name="Normal 49 4" xfId="30791" xr:uid="{00000000-0005-0000-0000-000036780000}"/>
    <cellStyle name="Normal 49 4 2" xfId="30792" xr:uid="{00000000-0005-0000-0000-000037780000}"/>
    <cellStyle name="Normal 49 5" xfId="30793" xr:uid="{00000000-0005-0000-0000-000038780000}"/>
    <cellStyle name="Normal 49 5 2" xfId="30794" xr:uid="{00000000-0005-0000-0000-000039780000}"/>
    <cellStyle name="Normal 49 6" xfId="30795" xr:uid="{00000000-0005-0000-0000-00003A780000}"/>
    <cellStyle name="Normal 49 7" xfId="30796" xr:uid="{00000000-0005-0000-0000-00003B780000}"/>
    <cellStyle name="Normal 49 8" xfId="30797" xr:uid="{00000000-0005-0000-0000-00003C780000}"/>
    <cellStyle name="Normal 49 9" xfId="30798" xr:uid="{00000000-0005-0000-0000-00003D780000}"/>
    <cellStyle name="Normal 5" xfId="24" xr:uid="{00000000-0005-0000-0000-00003E780000}"/>
    <cellStyle name="Normal 5 10" xfId="37" xr:uid="{00000000-0005-0000-0000-00003F780000}"/>
    <cellStyle name="Normal 5 10 10" xfId="30800" xr:uid="{00000000-0005-0000-0000-000040780000}"/>
    <cellStyle name="Normal 5 10 10 10" xfId="30801" xr:uid="{00000000-0005-0000-0000-000041780000}"/>
    <cellStyle name="Normal 5 10 10 11" xfId="30802" xr:uid="{00000000-0005-0000-0000-000042780000}"/>
    <cellStyle name="Normal 5 10 10 12" xfId="30803" xr:uid="{00000000-0005-0000-0000-000043780000}"/>
    <cellStyle name="Normal 5 10 10 13" xfId="30804" xr:uid="{00000000-0005-0000-0000-000044780000}"/>
    <cellStyle name="Normal 5 10 10 14" xfId="30805" xr:uid="{00000000-0005-0000-0000-000045780000}"/>
    <cellStyle name="Normal 5 10 10 2" xfId="30806" xr:uid="{00000000-0005-0000-0000-000046780000}"/>
    <cellStyle name="Normal 5 10 10 2 10" xfId="30807" xr:uid="{00000000-0005-0000-0000-000047780000}"/>
    <cellStyle name="Normal 5 10 10 2 2" xfId="30808" xr:uid="{00000000-0005-0000-0000-000048780000}"/>
    <cellStyle name="Normal 5 10 10 2 3" xfId="30809" xr:uid="{00000000-0005-0000-0000-000049780000}"/>
    <cellStyle name="Normal 5 10 10 2 4" xfId="30810" xr:uid="{00000000-0005-0000-0000-00004A780000}"/>
    <cellStyle name="Normal 5 10 10 2 5" xfId="30811" xr:uid="{00000000-0005-0000-0000-00004B780000}"/>
    <cellStyle name="Normal 5 10 10 2 6" xfId="30812" xr:uid="{00000000-0005-0000-0000-00004C780000}"/>
    <cellStyle name="Normal 5 10 10 2 7" xfId="30813" xr:uid="{00000000-0005-0000-0000-00004D780000}"/>
    <cellStyle name="Normal 5 10 10 2 8" xfId="30814" xr:uid="{00000000-0005-0000-0000-00004E780000}"/>
    <cellStyle name="Normal 5 10 10 2 9" xfId="30815" xr:uid="{00000000-0005-0000-0000-00004F780000}"/>
    <cellStyle name="Normal 5 10 10 3" xfId="30816" xr:uid="{00000000-0005-0000-0000-000050780000}"/>
    <cellStyle name="Normal 5 10 10 3 10" xfId="30817" xr:uid="{00000000-0005-0000-0000-000051780000}"/>
    <cellStyle name="Normal 5 10 10 3 2" xfId="30818" xr:uid="{00000000-0005-0000-0000-000052780000}"/>
    <cellStyle name="Normal 5 10 10 3 3" xfId="30819" xr:uid="{00000000-0005-0000-0000-000053780000}"/>
    <cellStyle name="Normal 5 10 10 3 4" xfId="30820" xr:uid="{00000000-0005-0000-0000-000054780000}"/>
    <cellStyle name="Normal 5 10 10 3 5" xfId="30821" xr:uid="{00000000-0005-0000-0000-000055780000}"/>
    <cellStyle name="Normal 5 10 10 3 6" xfId="30822" xr:uid="{00000000-0005-0000-0000-000056780000}"/>
    <cellStyle name="Normal 5 10 10 3 7" xfId="30823" xr:uid="{00000000-0005-0000-0000-000057780000}"/>
    <cellStyle name="Normal 5 10 10 3 8" xfId="30824" xr:uid="{00000000-0005-0000-0000-000058780000}"/>
    <cellStyle name="Normal 5 10 10 3 9" xfId="30825" xr:uid="{00000000-0005-0000-0000-000059780000}"/>
    <cellStyle name="Normal 5 10 10 4" xfId="30826" xr:uid="{00000000-0005-0000-0000-00005A780000}"/>
    <cellStyle name="Normal 5 10 10 4 10" xfId="30827" xr:uid="{00000000-0005-0000-0000-00005B780000}"/>
    <cellStyle name="Normal 5 10 10 4 2" xfId="30828" xr:uid="{00000000-0005-0000-0000-00005C780000}"/>
    <cellStyle name="Normal 5 10 10 4 3" xfId="30829" xr:uid="{00000000-0005-0000-0000-00005D780000}"/>
    <cellStyle name="Normal 5 10 10 4 4" xfId="30830" xr:uid="{00000000-0005-0000-0000-00005E780000}"/>
    <cellStyle name="Normal 5 10 10 4 5" xfId="30831" xr:uid="{00000000-0005-0000-0000-00005F780000}"/>
    <cellStyle name="Normal 5 10 10 4 6" xfId="30832" xr:uid="{00000000-0005-0000-0000-000060780000}"/>
    <cellStyle name="Normal 5 10 10 4 7" xfId="30833" xr:uid="{00000000-0005-0000-0000-000061780000}"/>
    <cellStyle name="Normal 5 10 10 4 8" xfId="30834" xr:uid="{00000000-0005-0000-0000-000062780000}"/>
    <cellStyle name="Normal 5 10 10 4 9" xfId="30835" xr:uid="{00000000-0005-0000-0000-000063780000}"/>
    <cellStyle name="Normal 5 10 10 5" xfId="30836" xr:uid="{00000000-0005-0000-0000-000064780000}"/>
    <cellStyle name="Normal 5 10 10 5 10" xfId="30837" xr:uid="{00000000-0005-0000-0000-000065780000}"/>
    <cellStyle name="Normal 5 10 10 5 2" xfId="30838" xr:uid="{00000000-0005-0000-0000-000066780000}"/>
    <cellStyle name="Normal 5 10 10 5 3" xfId="30839" xr:uid="{00000000-0005-0000-0000-000067780000}"/>
    <cellStyle name="Normal 5 10 10 5 4" xfId="30840" xr:uid="{00000000-0005-0000-0000-000068780000}"/>
    <cellStyle name="Normal 5 10 10 5 5" xfId="30841" xr:uid="{00000000-0005-0000-0000-000069780000}"/>
    <cellStyle name="Normal 5 10 10 5 6" xfId="30842" xr:uid="{00000000-0005-0000-0000-00006A780000}"/>
    <cellStyle name="Normal 5 10 10 5 7" xfId="30843" xr:uid="{00000000-0005-0000-0000-00006B780000}"/>
    <cellStyle name="Normal 5 10 10 5 8" xfId="30844" xr:uid="{00000000-0005-0000-0000-00006C780000}"/>
    <cellStyle name="Normal 5 10 10 5 9" xfId="30845" xr:uid="{00000000-0005-0000-0000-00006D780000}"/>
    <cellStyle name="Normal 5 10 10 6" xfId="30846" xr:uid="{00000000-0005-0000-0000-00006E780000}"/>
    <cellStyle name="Normal 5 10 10 7" xfId="30847" xr:uid="{00000000-0005-0000-0000-00006F780000}"/>
    <cellStyle name="Normal 5 10 10 8" xfId="30848" xr:uid="{00000000-0005-0000-0000-000070780000}"/>
    <cellStyle name="Normal 5 10 10 9" xfId="30849" xr:uid="{00000000-0005-0000-0000-000071780000}"/>
    <cellStyle name="Normal 5 10 11" xfId="30850" xr:uid="{00000000-0005-0000-0000-000072780000}"/>
    <cellStyle name="Normal 5 10 11 10" xfId="30851" xr:uid="{00000000-0005-0000-0000-000073780000}"/>
    <cellStyle name="Normal 5 10 11 11" xfId="30852" xr:uid="{00000000-0005-0000-0000-000074780000}"/>
    <cellStyle name="Normal 5 10 11 12" xfId="30853" xr:uid="{00000000-0005-0000-0000-000075780000}"/>
    <cellStyle name="Normal 5 10 11 13" xfId="30854" xr:uid="{00000000-0005-0000-0000-000076780000}"/>
    <cellStyle name="Normal 5 10 11 14" xfId="30855" xr:uid="{00000000-0005-0000-0000-000077780000}"/>
    <cellStyle name="Normal 5 10 11 2" xfId="30856" xr:uid="{00000000-0005-0000-0000-000078780000}"/>
    <cellStyle name="Normal 5 10 11 2 10" xfId="30857" xr:uid="{00000000-0005-0000-0000-000079780000}"/>
    <cellStyle name="Normal 5 10 11 2 2" xfId="30858" xr:uid="{00000000-0005-0000-0000-00007A780000}"/>
    <cellStyle name="Normal 5 10 11 2 3" xfId="30859" xr:uid="{00000000-0005-0000-0000-00007B780000}"/>
    <cellStyle name="Normal 5 10 11 2 4" xfId="30860" xr:uid="{00000000-0005-0000-0000-00007C780000}"/>
    <cellStyle name="Normal 5 10 11 2 5" xfId="30861" xr:uid="{00000000-0005-0000-0000-00007D780000}"/>
    <cellStyle name="Normal 5 10 11 2 6" xfId="30862" xr:uid="{00000000-0005-0000-0000-00007E780000}"/>
    <cellStyle name="Normal 5 10 11 2 7" xfId="30863" xr:uid="{00000000-0005-0000-0000-00007F780000}"/>
    <cellStyle name="Normal 5 10 11 2 8" xfId="30864" xr:uid="{00000000-0005-0000-0000-000080780000}"/>
    <cellStyle name="Normal 5 10 11 2 9" xfId="30865" xr:uid="{00000000-0005-0000-0000-000081780000}"/>
    <cellStyle name="Normal 5 10 11 3" xfId="30866" xr:uid="{00000000-0005-0000-0000-000082780000}"/>
    <cellStyle name="Normal 5 10 11 3 10" xfId="30867" xr:uid="{00000000-0005-0000-0000-000083780000}"/>
    <cellStyle name="Normal 5 10 11 3 2" xfId="30868" xr:uid="{00000000-0005-0000-0000-000084780000}"/>
    <cellStyle name="Normal 5 10 11 3 3" xfId="30869" xr:uid="{00000000-0005-0000-0000-000085780000}"/>
    <cellStyle name="Normal 5 10 11 3 4" xfId="30870" xr:uid="{00000000-0005-0000-0000-000086780000}"/>
    <cellStyle name="Normal 5 10 11 3 5" xfId="30871" xr:uid="{00000000-0005-0000-0000-000087780000}"/>
    <cellStyle name="Normal 5 10 11 3 6" xfId="30872" xr:uid="{00000000-0005-0000-0000-000088780000}"/>
    <cellStyle name="Normal 5 10 11 3 7" xfId="30873" xr:uid="{00000000-0005-0000-0000-000089780000}"/>
    <cellStyle name="Normal 5 10 11 3 8" xfId="30874" xr:uid="{00000000-0005-0000-0000-00008A780000}"/>
    <cellStyle name="Normal 5 10 11 3 9" xfId="30875" xr:uid="{00000000-0005-0000-0000-00008B780000}"/>
    <cellStyle name="Normal 5 10 11 4" xfId="30876" xr:uid="{00000000-0005-0000-0000-00008C780000}"/>
    <cellStyle name="Normal 5 10 11 4 10" xfId="30877" xr:uid="{00000000-0005-0000-0000-00008D780000}"/>
    <cellStyle name="Normal 5 10 11 4 2" xfId="30878" xr:uid="{00000000-0005-0000-0000-00008E780000}"/>
    <cellStyle name="Normal 5 10 11 4 3" xfId="30879" xr:uid="{00000000-0005-0000-0000-00008F780000}"/>
    <cellStyle name="Normal 5 10 11 4 4" xfId="30880" xr:uid="{00000000-0005-0000-0000-000090780000}"/>
    <cellStyle name="Normal 5 10 11 4 5" xfId="30881" xr:uid="{00000000-0005-0000-0000-000091780000}"/>
    <cellStyle name="Normal 5 10 11 4 6" xfId="30882" xr:uid="{00000000-0005-0000-0000-000092780000}"/>
    <cellStyle name="Normal 5 10 11 4 7" xfId="30883" xr:uid="{00000000-0005-0000-0000-000093780000}"/>
    <cellStyle name="Normal 5 10 11 4 8" xfId="30884" xr:uid="{00000000-0005-0000-0000-000094780000}"/>
    <cellStyle name="Normal 5 10 11 4 9" xfId="30885" xr:uid="{00000000-0005-0000-0000-000095780000}"/>
    <cellStyle name="Normal 5 10 11 5" xfId="30886" xr:uid="{00000000-0005-0000-0000-000096780000}"/>
    <cellStyle name="Normal 5 10 11 5 10" xfId="30887" xr:uid="{00000000-0005-0000-0000-000097780000}"/>
    <cellStyle name="Normal 5 10 11 5 2" xfId="30888" xr:uid="{00000000-0005-0000-0000-000098780000}"/>
    <cellStyle name="Normal 5 10 11 5 3" xfId="30889" xr:uid="{00000000-0005-0000-0000-000099780000}"/>
    <cellStyle name="Normal 5 10 11 5 4" xfId="30890" xr:uid="{00000000-0005-0000-0000-00009A780000}"/>
    <cellStyle name="Normal 5 10 11 5 5" xfId="30891" xr:uid="{00000000-0005-0000-0000-00009B780000}"/>
    <cellStyle name="Normal 5 10 11 5 6" xfId="30892" xr:uid="{00000000-0005-0000-0000-00009C780000}"/>
    <cellStyle name="Normal 5 10 11 5 7" xfId="30893" xr:uid="{00000000-0005-0000-0000-00009D780000}"/>
    <cellStyle name="Normal 5 10 11 5 8" xfId="30894" xr:uid="{00000000-0005-0000-0000-00009E780000}"/>
    <cellStyle name="Normal 5 10 11 5 9" xfId="30895" xr:uid="{00000000-0005-0000-0000-00009F780000}"/>
    <cellStyle name="Normal 5 10 11 6" xfId="30896" xr:uid="{00000000-0005-0000-0000-0000A0780000}"/>
    <cellStyle name="Normal 5 10 11 7" xfId="30897" xr:uid="{00000000-0005-0000-0000-0000A1780000}"/>
    <cellStyle name="Normal 5 10 11 8" xfId="30898" xr:uid="{00000000-0005-0000-0000-0000A2780000}"/>
    <cellStyle name="Normal 5 10 11 9" xfId="30899" xr:uid="{00000000-0005-0000-0000-0000A3780000}"/>
    <cellStyle name="Normal 5 10 12" xfId="30900" xr:uid="{00000000-0005-0000-0000-0000A4780000}"/>
    <cellStyle name="Normal 5 10 12 10" xfId="30901" xr:uid="{00000000-0005-0000-0000-0000A5780000}"/>
    <cellStyle name="Normal 5 10 12 11" xfId="30902" xr:uid="{00000000-0005-0000-0000-0000A6780000}"/>
    <cellStyle name="Normal 5 10 12 12" xfId="30903" xr:uid="{00000000-0005-0000-0000-0000A7780000}"/>
    <cellStyle name="Normal 5 10 12 13" xfId="30904" xr:uid="{00000000-0005-0000-0000-0000A8780000}"/>
    <cellStyle name="Normal 5 10 12 14" xfId="30905" xr:uid="{00000000-0005-0000-0000-0000A9780000}"/>
    <cellStyle name="Normal 5 10 12 2" xfId="30906" xr:uid="{00000000-0005-0000-0000-0000AA780000}"/>
    <cellStyle name="Normal 5 10 12 2 10" xfId="30907" xr:uid="{00000000-0005-0000-0000-0000AB780000}"/>
    <cellStyle name="Normal 5 10 12 2 2" xfId="30908" xr:uid="{00000000-0005-0000-0000-0000AC780000}"/>
    <cellStyle name="Normal 5 10 12 2 3" xfId="30909" xr:uid="{00000000-0005-0000-0000-0000AD780000}"/>
    <cellStyle name="Normal 5 10 12 2 4" xfId="30910" xr:uid="{00000000-0005-0000-0000-0000AE780000}"/>
    <cellStyle name="Normal 5 10 12 2 5" xfId="30911" xr:uid="{00000000-0005-0000-0000-0000AF780000}"/>
    <cellStyle name="Normal 5 10 12 2 6" xfId="30912" xr:uid="{00000000-0005-0000-0000-0000B0780000}"/>
    <cellStyle name="Normal 5 10 12 2 7" xfId="30913" xr:uid="{00000000-0005-0000-0000-0000B1780000}"/>
    <cellStyle name="Normal 5 10 12 2 8" xfId="30914" xr:uid="{00000000-0005-0000-0000-0000B2780000}"/>
    <cellStyle name="Normal 5 10 12 2 9" xfId="30915" xr:uid="{00000000-0005-0000-0000-0000B3780000}"/>
    <cellStyle name="Normal 5 10 12 3" xfId="30916" xr:uid="{00000000-0005-0000-0000-0000B4780000}"/>
    <cellStyle name="Normal 5 10 12 3 10" xfId="30917" xr:uid="{00000000-0005-0000-0000-0000B5780000}"/>
    <cellStyle name="Normal 5 10 12 3 2" xfId="30918" xr:uid="{00000000-0005-0000-0000-0000B6780000}"/>
    <cellStyle name="Normal 5 10 12 3 3" xfId="30919" xr:uid="{00000000-0005-0000-0000-0000B7780000}"/>
    <cellStyle name="Normal 5 10 12 3 4" xfId="30920" xr:uid="{00000000-0005-0000-0000-0000B8780000}"/>
    <cellStyle name="Normal 5 10 12 3 5" xfId="30921" xr:uid="{00000000-0005-0000-0000-0000B9780000}"/>
    <cellStyle name="Normal 5 10 12 3 6" xfId="30922" xr:uid="{00000000-0005-0000-0000-0000BA780000}"/>
    <cellStyle name="Normal 5 10 12 3 7" xfId="30923" xr:uid="{00000000-0005-0000-0000-0000BB780000}"/>
    <cellStyle name="Normal 5 10 12 3 8" xfId="30924" xr:uid="{00000000-0005-0000-0000-0000BC780000}"/>
    <cellStyle name="Normal 5 10 12 3 9" xfId="30925" xr:uid="{00000000-0005-0000-0000-0000BD780000}"/>
    <cellStyle name="Normal 5 10 12 4" xfId="30926" xr:uid="{00000000-0005-0000-0000-0000BE780000}"/>
    <cellStyle name="Normal 5 10 12 4 10" xfId="30927" xr:uid="{00000000-0005-0000-0000-0000BF780000}"/>
    <cellStyle name="Normal 5 10 12 4 2" xfId="30928" xr:uid="{00000000-0005-0000-0000-0000C0780000}"/>
    <cellStyle name="Normal 5 10 12 4 3" xfId="30929" xr:uid="{00000000-0005-0000-0000-0000C1780000}"/>
    <cellStyle name="Normal 5 10 12 4 4" xfId="30930" xr:uid="{00000000-0005-0000-0000-0000C2780000}"/>
    <cellStyle name="Normal 5 10 12 4 5" xfId="30931" xr:uid="{00000000-0005-0000-0000-0000C3780000}"/>
    <cellStyle name="Normal 5 10 12 4 6" xfId="30932" xr:uid="{00000000-0005-0000-0000-0000C4780000}"/>
    <cellStyle name="Normal 5 10 12 4 7" xfId="30933" xr:uid="{00000000-0005-0000-0000-0000C5780000}"/>
    <cellStyle name="Normal 5 10 12 4 8" xfId="30934" xr:uid="{00000000-0005-0000-0000-0000C6780000}"/>
    <cellStyle name="Normal 5 10 12 4 9" xfId="30935" xr:uid="{00000000-0005-0000-0000-0000C7780000}"/>
    <cellStyle name="Normal 5 10 12 5" xfId="30936" xr:uid="{00000000-0005-0000-0000-0000C8780000}"/>
    <cellStyle name="Normal 5 10 12 5 10" xfId="30937" xr:uid="{00000000-0005-0000-0000-0000C9780000}"/>
    <cellStyle name="Normal 5 10 12 5 2" xfId="30938" xr:uid="{00000000-0005-0000-0000-0000CA780000}"/>
    <cellStyle name="Normal 5 10 12 5 3" xfId="30939" xr:uid="{00000000-0005-0000-0000-0000CB780000}"/>
    <cellStyle name="Normal 5 10 12 5 4" xfId="30940" xr:uid="{00000000-0005-0000-0000-0000CC780000}"/>
    <cellStyle name="Normal 5 10 12 5 5" xfId="30941" xr:uid="{00000000-0005-0000-0000-0000CD780000}"/>
    <cellStyle name="Normal 5 10 12 5 6" xfId="30942" xr:uid="{00000000-0005-0000-0000-0000CE780000}"/>
    <cellStyle name="Normal 5 10 12 5 7" xfId="30943" xr:uid="{00000000-0005-0000-0000-0000CF780000}"/>
    <cellStyle name="Normal 5 10 12 5 8" xfId="30944" xr:uid="{00000000-0005-0000-0000-0000D0780000}"/>
    <cellStyle name="Normal 5 10 12 5 9" xfId="30945" xr:uid="{00000000-0005-0000-0000-0000D1780000}"/>
    <cellStyle name="Normal 5 10 12 6" xfId="30946" xr:uid="{00000000-0005-0000-0000-0000D2780000}"/>
    <cellStyle name="Normal 5 10 12 7" xfId="30947" xr:uid="{00000000-0005-0000-0000-0000D3780000}"/>
    <cellStyle name="Normal 5 10 12 8" xfId="30948" xr:uid="{00000000-0005-0000-0000-0000D4780000}"/>
    <cellStyle name="Normal 5 10 12 9" xfId="30949" xr:uid="{00000000-0005-0000-0000-0000D5780000}"/>
    <cellStyle name="Normal 5 10 13" xfId="30950" xr:uid="{00000000-0005-0000-0000-0000D6780000}"/>
    <cellStyle name="Normal 5 10 13 10" xfId="30951" xr:uid="{00000000-0005-0000-0000-0000D7780000}"/>
    <cellStyle name="Normal 5 10 13 11" xfId="30952" xr:uid="{00000000-0005-0000-0000-0000D8780000}"/>
    <cellStyle name="Normal 5 10 13 12" xfId="30953" xr:uid="{00000000-0005-0000-0000-0000D9780000}"/>
    <cellStyle name="Normal 5 10 13 13" xfId="30954" xr:uid="{00000000-0005-0000-0000-0000DA780000}"/>
    <cellStyle name="Normal 5 10 13 14" xfId="30955" xr:uid="{00000000-0005-0000-0000-0000DB780000}"/>
    <cellStyle name="Normal 5 10 13 2" xfId="30956" xr:uid="{00000000-0005-0000-0000-0000DC780000}"/>
    <cellStyle name="Normal 5 10 13 2 10" xfId="30957" xr:uid="{00000000-0005-0000-0000-0000DD780000}"/>
    <cellStyle name="Normal 5 10 13 2 2" xfId="30958" xr:uid="{00000000-0005-0000-0000-0000DE780000}"/>
    <cellStyle name="Normal 5 10 13 2 3" xfId="30959" xr:uid="{00000000-0005-0000-0000-0000DF780000}"/>
    <cellStyle name="Normal 5 10 13 2 4" xfId="30960" xr:uid="{00000000-0005-0000-0000-0000E0780000}"/>
    <cellStyle name="Normal 5 10 13 2 5" xfId="30961" xr:uid="{00000000-0005-0000-0000-0000E1780000}"/>
    <cellStyle name="Normal 5 10 13 2 6" xfId="30962" xr:uid="{00000000-0005-0000-0000-0000E2780000}"/>
    <cellStyle name="Normal 5 10 13 2 7" xfId="30963" xr:uid="{00000000-0005-0000-0000-0000E3780000}"/>
    <cellStyle name="Normal 5 10 13 2 8" xfId="30964" xr:uid="{00000000-0005-0000-0000-0000E4780000}"/>
    <cellStyle name="Normal 5 10 13 2 9" xfId="30965" xr:uid="{00000000-0005-0000-0000-0000E5780000}"/>
    <cellStyle name="Normal 5 10 13 3" xfId="30966" xr:uid="{00000000-0005-0000-0000-0000E6780000}"/>
    <cellStyle name="Normal 5 10 13 3 10" xfId="30967" xr:uid="{00000000-0005-0000-0000-0000E7780000}"/>
    <cellStyle name="Normal 5 10 13 3 2" xfId="30968" xr:uid="{00000000-0005-0000-0000-0000E8780000}"/>
    <cellStyle name="Normal 5 10 13 3 3" xfId="30969" xr:uid="{00000000-0005-0000-0000-0000E9780000}"/>
    <cellStyle name="Normal 5 10 13 3 4" xfId="30970" xr:uid="{00000000-0005-0000-0000-0000EA780000}"/>
    <cellStyle name="Normal 5 10 13 3 5" xfId="30971" xr:uid="{00000000-0005-0000-0000-0000EB780000}"/>
    <cellStyle name="Normal 5 10 13 3 6" xfId="30972" xr:uid="{00000000-0005-0000-0000-0000EC780000}"/>
    <cellStyle name="Normal 5 10 13 3 7" xfId="30973" xr:uid="{00000000-0005-0000-0000-0000ED780000}"/>
    <cellStyle name="Normal 5 10 13 3 8" xfId="30974" xr:uid="{00000000-0005-0000-0000-0000EE780000}"/>
    <cellStyle name="Normal 5 10 13 3 9" xfId="30975" xr:uid="{00000000-0005-0000-0000-0000EF780000}"/>
    <cellStyle name="Normal 5 10 13 4" xfId="30976" xr:uid="{00000000-0005-0000-0000-0000F0780000}"/>
    <cellStyle name="Normal 5 10 13 4 10" xfId="30977" xr:uid="{00000000-0005-0000-0000-0000F1780000}"/>
    <cellStyle name="Normal 5 10 13 4 2" xfId="30978" xr:uid="{00000000-0005-0000-0000-0000F2780000}"/>
    <cellStyle name="Normal 5 10 13 4 3" xfId="30979" xr:uid="{00000000-0005-0000-0000-0000F3780000}"/>
    <cellStyle name="Normal 5 10 13 4 4" xfId="30980" xr:uid="{00000000-0005-0000-0000-0000F4780000}"/>
    <cellStyle name="Normal 5 10 13 4 5" xfId="30981" xr:uid="{00000000-0005-0000-0000-0000F5780000}"/>
    <cellStyle name="Normal 5 10 13 4 6" xfId="30982" xr:uid="{00000000-0005-0000-0000-0000F6780000}"/>
    <cellStyle name="Normal 5 10 13 4 7" xfId="30983" xr:uid="{00000000-0005-0000-0000-0000F7780000}"/>
    <cellStyle name="Normal 5 10 13 4 8" xfId="30984" xr:uid="{00000000-0005-0000-0000-0000F8780000}"/>
    <cellStyle name="Normal 5 10 13 4 9" xfId="30985" xr:uid="{00000000-0005-0000-0000-0000F9780000}"/>
    <cellStyle name="Normal 5 10 13 5" xfId="30986" xr:uid="{00000000-0005-0000-0000-0000FA780000}"/>
    <cellStyle name="Normal 5 10 13 5 10" xfId="30987" xr:uid="{00000000-0005-0000-0000-0000FB780000}"/>
    <cellStyle name="Normal 5 10 13 5 2" xfId="30988" xr:uid="{00000000-0005-0000-0000-0000FC780000}"/>
    <cellStyle name="Normal 5 10 13 5 3" xfId="30989" xr:uid="{00000000-0005-0000-0000-0000FD780000}"/>
    <cellStyle name="Normal 5 10 13 5 4" xfId="30990" xr:uid="{00000000-0005-0000-0000-0000FE780000}"/>
    <cellStyle name="Normal 5 10 13 5 5" xfId="30991" xr:uid="{00000000-0005-0000-0000-0000FF780000}"/>
    <cellStyle name="Normal 5 10 13 5 6" xfId="30992" xr:uid="{00000000-0005-0000-0000-000000790000}"/>
    <cellStyle name="Normal 5 10 13 5 7" xfId="30993" xr:uid="{00000000-0005-0000-0000-000001790000}"/>
    <cellStyle name="Normal 5 10 13 5 8" xfId="30994" xr:uid="{00000000-0005-0000-0000-000002790000}"/>
    <cellStyle name="Normal 5 10 13 5 9" xfId="30995" xr:uid="{00000000-0005-0000-0000-000003790000}"/>
    <cellStyle name="Normal 5 10 13 6" xfId="30996" xr:uid="{00000000-0005-0000-0000-000004790000}"/>
    <cellStyle name="Normal 5 10 13 7" xfId="30997" xr:uid="{00000000-0005-0000-0000-000005790000}"/>
    <cellStyle name="Normal 5 10 13 8" xfId="30998" xr:uid="{00000000-0005-0000-0000-000006790000}"/>
    <cellStyle name="Normal 5 10 13 9" xfId="30999" xr:uid="{00000000-0005-0000-0000-000007790000}"/>
    <cellStyle name="Normal 5 10 14" xfId="31000" xr:uid="{00000000-0005-0000-0000-000008790000}"/>
    <cellStyle name="Normal 5 10 14 10" xfId="31001" xr:uid="{00000000-0005-0000-0000-000009790000}"/>
    <cellStyle name="Normal 5 10 14 11" xfId="31002" xr:uid="{00000000-0005-0000-0000-00000A790000}"/>
    <cellStyle name="Normal 5 10 14 12" xfId="31003" xr:uid="{00000000-0005-0000-0000-00000B790000}"/>
    <cellStyle name="Normal 5 10 14 13" xfId="31004" xr:uid="{00000000-0005-0000-0000-00000C790000}"/>
    <cellStyle name="Normal 5 10 14 14" xfId="31005" xr:uid="{00000000-0005-0000-0000-00000D790000}"/>
    <cellStyle name="Normal 5 10 14 2" xfId="31006" xr:uid="{00000000-0005-0000-0000-00000E790000}"/>
    <cellStyle name="Normal 5 10 14 2 10" xfId="31007" xr:uid="{00000000-0005-0000-0000-00000F790000}"/>
    <cellStyle name="Normal 5 10 14 2 2" xfId="31008" xr:uid="{00000000-0005-0000-0000-000010790000}"/>
    <cellStyle name="Normal 5 10 14 2 3" xfId="31009" xr:uid="{00000000-0005-0000-0000-000011790000}"/>
    <cellStyle name="Normal 5 10 14 2 4" xfId="31010" xr:uid="{00000000-0005-0000-0000-000012790000}"/>
    <cellStyle name="Normal 5 10 14 2 5" xfId="31011" xr:uid="{00000000-0005-0000-0000-000013790000}"/>
    <cellStyle name="Normal 5 10 14 2 6" xfId="31012" xr:uid="{00000000-0005-0000-0000-000014790000}"/>
    <cellStyle name="Normal 5 10 14 2 7" xfId="31013" xr:uid="{00000000-0005-0000-0000-000015790000}"/>
    <cellStyle name="Normal 5 10 14 2 8" xfId="31014" xr:uid="{00000000-0005-0000-0000-000016790000}"/>
    <cellStyle name="Normal 5 10 14 2 9" xfId="31015" xr:uid="{00000000-0005-0000-0000-000017790000}"/>
    <cellStyle name="Normal 5 10 14 3" xfId="31016" xr:uid="{00000000-0005-0000-0000-000018790000}"/>
    <cellStyle name="Normal 5 10 14 3 10" xfId="31017" xr:uid="{00000000-0005-0000-0000-000019790000}"/>
    <cellStyle name="Normal 5 10 14 3 2" xfId="31018" xr:uid="{00000000-0005-0000-0000-00001A790000}"/>
    <cellStyle name="Normal 5 10 14 3 3" xfId="31019" xr:uid="{00000000-0005-0000-0000-00001B790000}"/>
    <cellStyle name="Normal 5 10 14 3 4" xfId="31020" xr:uid="{00000000-0005-0000-0000-00001C790000}"/>
    <cellStyle name="Normal 5 10 14 3 5" xfId="31021" xr:uid="{00000000-0005-0000-0000-00001D790000}"/>
    <cellStyle name="Normal 5 10 14 3 6" xfId="31022" xr:uid="{00000000-0005-0000-0000-00001E790000}"/>
    <cellStyle name="Normal 5 10 14 3 7" xfId="31023" xr:uid="{00000000-0005-0000-0000-00001F790000}"/>
    <cellStyle name="Normal 5 10 14 3 8" xfId="31024" xr:uid="{00000000-0005-0000-0000-000020790000}"/>
    <cellStyle name="Normal 5 10 14 3 9" xfId="31025" xr:uid="{00000000-0005-0000-0000-000021790000}"/>
    <cellStyle name="Normal 5 10 14 4" xfId="31026" xr:uid="{00000000-0005-0000-0000-000022790000}"/>
    <cellStyle name="Normal 5 10 14 4 10" xfId="31027" xr:uid="{00000000-0005-0000-0000-000023790000}"/>
    <cellStyle name="Normal 5 10 14 4 2" xfId="31028" xr:uid="{00000000-0005-0000-0000-000024790000}"/>
    <cellStyle name="Normal 5 10 14 4 3" xfId="31029" xr:uid="{00000000-0005-0000-0000-000025790000}"/>
    <cellStyle name="Normal 5 10 14 4 4" xfId="31030" xr:uid="{00000000-0005-0000-0000-000026790000}"/>
    <cellStyle name="Normal 5 10 14 4 5" xfId="31031" xr:uid="{00000000-0005-0000-0000-000027790000}"/>
    <cellStyle name="Normal 5 10 14 4 6" xfId="31032" xr:uid="{00000000-0005-0000-0000-000028790000}"/>
    <cellStyle name="Normal 5 10 14 4 7" xfId="31033" xr:uid="{00000000-0005-0000-0000-000029790000}"/>
    <cellStyle name="Normal 5 10 14 4 8" xfId="31034" xr:uid="{00000000-0005-0000-0000-00002A790000}"/>
    <cellStyle name="Normal 5 10 14 4 9" xfId="31035" xr:uid="{00000000-0005-0000-0000-00002B790000}"/>
    <cellStyle name="Normal 5 10 14 5" xfId="31036" xr:uid="{00000000-0005-0000-0000-00002C790000}"/>
    <cellStyle name="Normal 5 10 14 5 10" xfId="31037" xr:uid="{00000000-0005-0000-0000-00002D790000}"/>
    <cellStyle name="Normal 5 10 14 5 2" xfId="31038" xr:uid="{00000000-0005-0000-0000-00002E790000}"/>
    <cellStyle name="Normal 5 10 14 5 3" xfId="31039" xr:uid="{00000000-0005-0000-0000-00002F790000}"/>
    <cellStyle name="Normal 5 10 14 5 4" xfId="31040" xr:uid="{00000000-0005-0000-0000-000030790000}"/>
    <cellStyle name="Normal 5 10 14 5 5" xfId="31041" xr:uid="{00000000-0005-0000-0000-000031790000}"/>
    <cellStyle name="Normal 5 10 14 5 6" xfId="31042" xr:uid="{00000000-0005-0000-0000-000032790000}"/>
    <cellStyle name="Normal 5 10 14 5 7" xfId="31043" xr:uid="{00000000-0005-0000-0000-000033790000}"/>
    <cellStyle name="Normal 5 10 14 5 8" xfId="31044" xr:uid="{00000000-0005-0000-0000-000034790000}"/>
    <cellStyle name="Normal 5 10 14 5 9" xfId="31045" xr:uid="{00000000-0005-0000-0000-000035790000}"/>
    <cellStyle name="Normal 5 10 14 6" xfId="31046" xr:uid="{00000000-0005-0000-0000-000036790000}"/>
    <cellStyle name="Normal 5 10 14 7" xfId="31047" xr:uid="{00000000-0005-0000-0000-000037790000}"/>
    <cellStyle name="Normal 5 10 14 8" xfId="31048" xr:uid="{00000000-0005-0000-0000-000038790000}"/>
    <cellStyle name="Normal 5 10 14 9" xfId="31049" xr:uid="{00000000-0005-0000-0000-000039790000}"/>
    <cellStyle name="Normal 5 10 15" xfId="31050" xr:uid="{00000000-0005-0000-0000-00003A790000}"/>
    <cellStyle name="Normal 5 10 15 10" xfId="31051" xr:uid="{00000000-0005-0000-0000-00003B790000}"/>
    <cellStyle name="Normal 5 10 15 11" xfId="31052" xr:uid="{00000000-0005-0000-0000-00003C790000}"/>
    <cellStyle name="Normal 5 10 15 12" xfId="31053" xr:uid="{00000000-0005-0000-0000-00003D790000}"/>
    <cellStyle name="Normal 5 10 15 13" xfId="31054" xr:uid="{00000000-0005-0000-0000-00003E790000}"/>
    <cellStyle name="Normal 5 10 15 14" xfId="31055" xr:uid="{00000000-0005-0000-0000-00003F790000}"/>
    <cellStyle name="Normal 5 10 15 2" xfId="31056" xr:uid="{00000000-0005-0000-0000-000040790000}"/>
    <cellStyle name="Normal 5 10 15 2 10" xfId="31057" xr:uid="{00000000-0005-0000-0000-000041790000}"/>
    <cellStyle name="Normal 5 10 15 2 2" xfId="31058" xr:uid="{00000000-0005-0000-0000-000042790000}"/>
    <cellStyle name="Normal 5 10 15 2 3" xfId="31059" xr:uid="{00000000-0005-0000-0000-000043790000}"/>
    <cellStyle name="Normal 5 10 15 2 4" xfId="31060" xr:uid="{00000000-0005-0000-0000-000044790000}"/>
    <cellStyle name="Normal 5 10 15 2 5" xfId="31061" xr:uid="{00000000-0005-0000-0000-000045790000}"/>
    <cellStyle name="Normal 5 10 15 2 6" xfId="31062" xr:uid="{00000000-0005-0000-0000-000046790000}"/>
    <cellStyle name="Normal 5 10 15 2 7" xfId="31063" xr:uid="{00000000-0005-0000-0000-000047790000}"/>
    <cellStyle name="Normal 5 10 15 2 8" xfId="31064" xr:uid="{00000000-0005-0000-0000-000048790000}"/>
    <cellStyle name="Normal 5 10 15 2 9" xfId="31065" xr:uid="{00000000-0005-0000-0000-000049790000}"/>
    <cellStyle name="Normal 5 10 15 3" xfId="31066" xr:uid="{00000000-0005-0000-0000-00004A790000}"/>
    <cellStyle name="Normal 5 10 15 3 10" xfId="31067" xr:uid="{00000000-0005-0000-0000-00004B790000}"/>
    <cellStyle name="Normal 5 10 15 3 2" xfId="31068" xr:uid="{00000000-0005-0000-0000-00004C790000}"/>
    <cellStyle name="Normal 5 10 15 3 3" xfId="31069" xr:uid="{00000000-0005-0000-0000-00004D790000}"/>
    <cellStyle name="Normal 5 10 15 3 4" xfId="31070" xr:uid="{00000000-0005-0000-0000-00004E790000}"/>
    <cellStyle name="Normal 5 10 15 3 5" xfId="31071" xr:uid="{00000000-0005-0000-0000-00004F790000}"/>
    <cellStyle name="Normal 5 10 15 3 6" xfId="31072" xr:uid="{00000000-0005-0000-0000-000050790000}"/>
    <cellStyle name="Normal 5 10 15 3 7" xfId="31073" xr:uid="{00000000-0005-0000-0000-000051790000}"/>
    <cellStyle name="Normal 5 10 15 3 8" xfId="31074" xr:uid="{00000000-0005-0000-0000-000052790000}"/>
    <cellStyle name="Normal 5 10 15 3 9" xfId="31075" xr:uid="{00000000-0005-0000-0000-000053790000}"/>
    <cellStyle name="Normal 5 10 15 4" xfId="31076" xr:uid="{00000000-0005-0000-0000-000054790000}"/>
    <cellStyle name="Normal 5 10 15 4 10" xfId="31077" xr:uid="{00000000-0005-0000-0000-000055790000}"/>
    <cellStyle name="Normal 5 10 15 4 2" xfId="31078" xr:uid="{00000000-0005-0000-0000-000056790000}"/>
    <cellStyle name="Normal 5 10 15 4 3" xfId="31079" xr:uid="{00000000-0005-0000-0000-000057790000}"/>
    <cellStyle name="Normal 5 10 15 4 4" xfId="31080" xr:uid="{00000000-0005-0000-0000-000058790000}"/>
    <cellStyle name="Normal 5 10 15 4 5" xfId="31081" xr:uid="{00000000-0005-0000-0000-000059790000}"/>
    <cellStyle name="Normal 5 10 15 4 6" xfId="31082" xr:uid="{00000000-0005-0000-0000-00005A790000}"/>
    <cellStyle name="Normal 5 10 15 4 7" xfId="31083" xr:uid="{00000000-0005-0000-0000-00005B790000}"/>
    <cellStyle name="Normal 5 10 15 4 8" xfId="31084" xr:uid="{00000000-0005-0000-0000-00005C790000}"/>
    <cellStyle name="Normal 5 10 15 4 9" xfId="31085" xr:uid="{00000000-0005-0000-0000-00005D790000}"/>
    <cellStyle name="Normal 5 10 15 5" xfId="31086" xr:uid="{00000000-0005-0000-0000-00005E790000}"/>
    <cellStyle name="Normal 5 10 15 5 10" xfId="31087" xr:uid="{00000000-0005-0000-0000-00005F790000}"/>
    <cellStyle name="Normal 5 10 15 5 2" xfId="31088" xr:uid="{00000000-0005-0000-0000-000060790000}"/>
    <cellStyle name="Normal 5 10 15 5 3" xfId="31089" xr:uid="{00000000-0005-0000-0000-000061790000}"/>
    <cellStyle name="Normal 5 10 15 5 4" xfId="31090" xr:uid="{00000000-0005-0000-0000-000062790000}"/>
    <cellStyle name="Normal 5 10 15 5 5" xfId="31091" xr:uid="{00000000-0005-0000-0000-000063790000}"/>
    <cellStyle name="Normal 5 10 15 5 6" xfId="31092" xr:uid="{00000000-0005-0000-0000-000064790000}"/>
    <cellStyle name="Normal 5 10 15 5 7" xfId="31093" xr:uid="{00000000-0005-0000-0000-000065790000}"/>
    <cellStyle name="Normal 5 10 15 5 8" xfId="31094" xr:uid="{00000000-0005-0000-0000-000066790000}"/>
    <cellStyle name="Normal 5 10 15 5 9" xfId="31095" xr:uid="{00000000-0005-0000-0000-000067790000}"/>
    <cellStyle name="Normal 5 10 15 6" xfId="31096" xr:uid="{00000000-0005-0000-0000-000068790000}"/>
    <cellStyle name="Normal 5 10 15 7" xfId="31097" xr:uid="{00000000-0005-0000-0000-000069790000}"/>
    <cellStyle name="Normal 5 10 15 8" xfId="31098" xr:uid="{00000000-0005-0000-0000-00006A790000}"/>
    <cellStyle name="Normal 5 10 15 9" xfId="31099" xr:uid="{00000000-0005-0000-0000-00006B790000}"/>
    <cellStyle name="Normal 5 10 16" xfId="31100" xr:uid="{00000000-0005-0000-0000-00006C790000}"/>
    <cellStyle name="Normal 5 10 16 10" xfId="31101" xr:uid="{00000000-0005-0000-0000-00006D790000}"/>
    <cellStyle name="Normal 5 10 16 11" xfId="31102" xr:uid="{00000000-0005-0000-0000-00006E790000}"/>
    <cellStyle name="Normal 5 10 16 12" xfId="31103" xr:uid="{00000000-0005-0000-0000-00006F790000}"/>
    <cellStyle name="Normal 5 10 16 13" xfId="31104" xr:uid="{00000000-0005-0000-0000-000070790000}"/>
    <cellStyle name="Normal 5 10 16 14" xfId="31105" xr:uid="{00000000-0005-0000-0000-000071790000}"/>
    <cellStyle name="Normal 5 10 16 2" xfId="31106" xr:uid="{00000000-0005-0000-0000-000072790000}"/>
    <cellStyle name="Normal 5 10 16 2 10" xfId="31107" xr:uid="{00000000-0005-0000-0000-000073790000}"/>
    <cellStyle name="Normal 5 10 16 2 2" xfId="31108" xr:uid="{00000000-0005-0000-0000-000074790000}"/>
    <cellStyle name="Normal 5 10 16 2 3" xfId="31109" xr:uid="{00000000-0005-0000-0000-000075790000}"/>
    <cellStyle name="Normal 5 10 16 2 4" xfId="31110" xr:uid="{00000000-0005-0000-0000-000076790000}"/>
    <cellStyle name="Normal 5 10 16 2 5" xfId="31111" xr:uid="{00000000-0005-0000-0000-000077790000}"/>
    <cellStyle name="Normal 5 10 16 2 6" xfId="31112" xr:uid="{00000000-0005-0000-0000-000078790000}"/>
    <cellStyle name="Normal 5 10 16 2 7" xfId="31113" xr:uid="{00000000-0005-0000-0000-000079790000}"/>
    <cellStyle name="Normal 5 10 16 2 8" xfId="31114" xr:uid="{00000000-0005-0000-0000-00007A790000}"/>
    <cellStyle name="Normal 5 10 16 2 9" xfId="31115" xr:uid="{00000000-0005-0000-0000-00007B790000}"/>
    <cellStyle name="Normal 5 10 16 3" xfId="31116" xr:uid="{00000000-0005-0000-0000-00007C790000}"/>
    <cellStyle name="Normal 5 10 16 3 10" xfId="31117" xr:uid="{00000000-0005-0000-0000-00007D790000}"/>
    <cellStyle name="Normal 5 10 16 3 2" xfId="31118" xr:uid="{00000000-0005-0000-0000-00007E790000}"/>
    <cellStyle name="Normal 5 10 16 3 3" xfId="31119" xr:uid="{00000000-0005-0000-0000-00007F790000}"/>
    <cellStyle name="Normal 5 10 16 3 4" xfId="31120" xr:uid="{00000000-0005-0000-0000-000080790000}"/>
    <cellStyle name="Normal 5 10 16 3 5" xfId="31121" xr:uid="{00000000-0005-0000-0000-000081790000}"/>
    <cellStyle name="Normal 5 10 16 3 6" xfId="31122" xr:uid="{00000000-0005-0000-0000-000082790000}"/>
    <cellStyle name="Normal 5 10 16 3 7" xfId="31123" xr:uid="{00000000-0005-0000-0000-000083790000}"/>
    <cellStyle name="Normal 5 10 16 3 8" xfId="31124" xr:uid="{00000000-0005-0000-0000-000084790000}"/>
    <cellStyle name="Normal 5 10 16 3 9" xfId="31125" xr:uid="{00000000-0005-0000-0000-000085790000}"/>
    <cellStyle name="Normal 5 10 16 4" xfId="31126" xr:uid="{00000000-0005-0000-0000-000086790000}"/>
    <cellStyle name="Normal 5 10 16 4 10" xfId="31127" xr:uid="{00000000-0005-0000-0000-000087790000}"/>
    <cellStyle name="Normal 5 10 16 4 2" xfId="31128" xr:uid="{00000000-0005-0000-0000-000088790000}"/>
    <cellStyle name="Normal 5 10 16 4 3" xfId="31129" xr:uid="{00000000-0005-0000-0000-000089790000}"/>
    <cellStyle name="Normal 5 10 16 4 4" xfId="31130" xr:uid="{00000000-0005-0000-0000-00008A790000}"/>
    <cellStyle name="Normal 5 10 16 4 5" xfId="31131" xr:uid="{00000000-0005-0000-0000-00008B790000}"/>
    <cellStyle name="Normal 5 10 16 4 6" xfId="31132" xr:uid="{00000000-0005-0000-0000-00008C790000}"/>
    <cellStyle name="Normal 5 10 16 4 7" xfId="31133" xr:uid="{00000000-0005-0000-0000-00008D790000}"/>
    <cellStyle name="Normal 5 10 16 4 8" xfId="31134" xr:uid="{00000000-0005-0000-0000-00008E790000}"/>
    <cellStyle name="Normal 5 10 16 4 9" xfId="31135" xr:uid="{00000000-0005-0000-0000-00008F790000}"/>
    <cellStyle name="Normal 5 10 16 5" xfId="31136" xr:uid="{00000000-0005-0000-0000-000090790000}"/>
    <cellStyle name="Normal 5 10 16 5 10" xfId="31137" xr:uid="{00000000-0005-0000-0000-000091790000}"/>
    <cellStyle name="Normal 5 10 16 5 2" xfId="31138" xr:uid="{00000000-0005-0000-0000-000092790000}"/>
    <cellStyle name="Normal 5 10 16 5 3" xfId="31139" xr:uid="{00000000-0005-0000-0000-000093790000}"/>
    <cellStyle name="Normal 5 10 16 5 4" xfId="31140" xr:uid="{00000000-0005-0000-0000-000094790000}"/>
    <cellStyle name="Normal 5 10 16 5 5" xfId="31141" xr:uid="{00000000-0005-0000-0000-000095790000}"/>
    <cellStyle name="Normal 5 10 16 5 6" xfId="31142" xr:uid="{00000000-0005-0000-0000-000096790000}"/>
    <cellStyle name="Normal 5 10 16 5 7" xfId="31143" xr:uid="{00000000-0005-0000-0000-000097790000}"/>
    <cellStyle name="Normal 5 10 16 5 8" xfId="31144" xr:uid="{00000000-0005-0000-0000-000098790000}"/>
    <cellStyle name="Normal 5 10 16 5 9" xfId="31145" xr:uid="{00000000-0005-0000-0000-000099790000}"/>
    <cellStyle name="Normal 5 10 16 6" xfId="31146" xr:uid="{00000000-0005-0000-0000-00009A790000}"/>
    <cellStyle name="Normal 5 10 16 7" xfId="31147" xr:uid="{00000000-0005-0000-0000-00009B790000}"/>
    <cellStyle name="Normal 5 10 16 8" xfId="31148" xr:uid="{00000000-0005-0000-0000-00009C790000}"/>
    <cellStyle name="Normal 5 10 16 9" xfId="31149" xr:uid="{00000000-0005-0000-0000-00009D790000}"/>
    <cellStyle name="Normal 5 10 17" xfId="31150" xr:uid="{00000000-0005-0000-0000-00009E790000}"/>
    <cellStyle name="Normal 5 10 17 10" xfId="31151" xr:uid="{00000000-0005-0000-0000-00009F790000}"/>
    <cellStyle name="Normal 5 10 17 11" xfId="31152" xr:uid="{00000000-0005-0000-0000-0000A0790000}"/>
    <cellStyle name="Normal 5 10 17 12" xfId="31153" xr:uid="{00000000-0005-0000-0000-0000A1790000}"/>
    <cellStyle name="Normal 5 10 17 13" xfId="31154" xr:uid="{00000000-0005-0000-0000-0000A2790000}"/>
    <cellStyle name="Normal 5 10 17 14" xfId="31155" xr:uid="{00000000-0005-0000-0000-0000A3790000}"/>
    <cellStyle name="Normal 5 10 17 2" xfId="31156" xr:uid="{00000000-0005-0000-0000-0000A4790000}"/>
    <cellStyle name="Normal 5 10 17 2 10" xfId="31157" xr:uid="{00000000-0005-0000-0000-0000A5790000}"/>
    <cellStyle name="Normal 5 10 17 2 2" xfId="31158" xr:uid="{00000000-0005-0000-0000-0000A6790000}"/>
    <cellStyle name="Normal 5 10 17 2 3" xfId="31159" xr:uid="{00000000-0005-0000-0000-0000A7790000}"/>
    <cellStyle name="Normal 5 10 17 2 4" xfId="31160" xr:uid="{00000000-0005-0000-0000-0000A8790000}"/>
    <cellStyle name="Normal 5 10 17 2 5" xfId="31161" xr:uid="{00000000-0005-0000-0000-0000A9790000}"/>
    <cellStyle name="Normal 5 10 17 2 6" xfId="31162" xr:uid="{00000000-0005-0000-0000-0000AA790000}"/>
    <cellStyle name="Normal 5 10 17 2 7" xfId="31163" xr:uid="{00000000-0005-0000-0000-0000AB790000}"/>
    <cellStyle name="Normal 5 10 17 2 8" xfId="31164" xr:uid="{00000000-0005-0000-0000-0000AC790000}"/>
    <cellStyle name="Normal 5 10 17 2 9" xfId="31165" xr:uid="{00000000-0005-0000-0000-0000AD790000}"/>
    <cellStyle name="Normal 5 10 17 3" xfId="31166" xr:uid="{00000000-0005-0000-0000-0000AE790000}"/>
    <cellStyle name="Normal 5 10 17 3 10" xfId="31167" xr:uid="{00000000-0005-0000-0000-0000AF790000}"/>
    <cellStyle name="Normal 5 10 17 3 2" xfId="31168" xr:uid="{00000000-0005-0000-0000-0000B0790000}"/>
    <cellStyle name="Normal 5 10 17 3 3" xfId="31169" xr:uid="{00000000-0005-0000-0000-0000B1790000}"/>
    <cellStyle name="Normal 5 10 17 3 4" xfId="31170" xr:uid="{00000000-0005-0000-0000-0000B2790000}"/>
    <cellStyle name="Normal 5 10 17 3 5" xfId="31171" xr:uid="{00000000-0005-0000-0000-0000B3790000}"/>
    <cellStyle name="Normal 5 10 17 3 6" xfId="31172" xr:uid="{00000000-0005-0000-0000-0000B4790000}"/>
    <cellStyle name="Normal 5 10 17 3 7" xfId="31173" xr:uid="{00000000-0005-0000-0000-0000B5790000}"/>
    <cellStyle name="Normal 5 10 17 3 8" xfId="31174" xr:uid="{00000000-0005-0000-0000-0000B6790000}"/>
    <cellStyle name="Normal 5 10 17 3 9" xfId="31175" xr:uid="{00000000-0005-0000-0000-0000B7790000}"/>
    <cellStyle name="Normal 5 10 17 4" xfId="31176" xr:uid="{00000000-0005-0000-0000-0000B8790000}"/>
    <cellStyle name="Normal 5 10 17 4 10" xfId="31177" xr:uid="{00000000-0005-0000-0000-0000B9790000}"/>
    <cellStyle name="Normal 5 10 17 4 2" xfId="31178" xr:uid="{00000000-0005-0000-0000-0000BA790000}"/>
    <cellStyle name="Normal 5 10 17 4 3" xfId="31179" xr:uid="{00000000-0005-0000-0000-0000BB790000}"/>
    <cellStyle name="Normal 5 10 17 4 4" xfId="31180" xr:uid="{00000000-0005-0000-0000-0000BC790000}"/>
    <cellStyle name="Normal 5 10 17 4 5" xfId="31181" xr:uid="{00000000-0005-0000-0000-0000BD790000}"/>
    <cellStyle name="Normal 5 10 17 4 6" xfId="31182" xr:uid="{00000000-0005-0000-0000-0000BE790000}"/>
    <cellStyle name="Normal 5 10 17 4 7" xfId="31183" xr:uid="{00000000-0005-0000-0000-0000BF790000}"/>
    <cellStyle name="Normal 5 10 17 4 8" xfId="31184" xr:uid="{00000000-0005-0000-0000-0000C0790000}"/>
    <cellStyle name="Normal 5 10 17 4 9" xfId="31185" xr:uid="{00000000-0005-0000-0000-0000C1790000}"/>
    <cellStyle name="Normal 5 10 17 5" xfId="31186" xr:uid="{00000000-0005-0000-0000-0000C2790000}"/>
    <cellStyle name="Normal 5 10 17 5 10" xfId="31187" xr:uid="{00000000-0005-0000-0000-0000C3790000}"/>
    <cellStyle name="Normal 5 10 17 5 2" xfId="31188" xr:uid="{00000000-0005-0000-0000-0000C4790000}"/>
    <cellStyle name="Normal 5 10 17 5 3" xfId="31189" xr:uid="{00000000-0005-0000-0000-0000C5790000}"/>
    <cellStyle name="Normal 5 10 17 5 4" xfId="31190" xr:uid="{00000000-0005-0000-0000-0000C6790000}"/>
    <cellStyle name="Normal 5 10 17 5 5" xfId="31191" xr:uid="{00000000-0005-0000-0000-0000C7790000}"/>
    <cellStyle name="Normal 5 10 17 5 6" xfId="31192" xr:uid="{00000000-0005-0000-0000-0000C8790000}"/>
    <cellStyle name="Normal 5 10 17 5 7" xfId="31193" xr:uid="{00000000-0005-0000-0000-0000C9790000}"/>
    <cellStyle name="Normal 5 10 17 5 8" xfId="31194" xr:uid="{00000000-0005-0000-0000-0000CA790000}"/>
    <cellStyle name="Normal 5 10 17 5 9" xfId="31195" xr:uid="{00000000-0005-0000-0000-0000CB790000}"/>
    <cellStyle name="Normal 5 10 17 6" xfId="31196" xr:uid="{00000000-0005-0000-0000-0000CC790000}"/>
    <cellStyle name="Normal 5 10 17 7" xfId="31197" xr:uid="{00000000-0005-0000-0000-0000CD790000}"/>
    <cellStyle name="Normal 5 10 17 8" xfId="31198" xr:uid="{00000000-0005-0000-0000-0000CE790000}"/>
    <cellStyle name="Normal 5 10 17 9" xfId="31199" xr:uid="{00000000-0005-0000-0000-0000CF790000}"/>
    <cellStyle name="Normal 5 10 18" xfId="31200" xr:uid="{00000000-0005-0000-0000-0000D0790000}"/>
    <cellStyle name="Normal 5 10 18 10" xfId="31201" xr:uid="{00000000-0005-0000-0000-0000D1790000}"/>
    <cellStyle name="Normal 5 10 18 11" xfId="31202" xr:uid="{00000000-0005-0000-0000-0000D2790000}"/>
    <cellStyle name="Normal 5 10 18 12" xfId="31203" xr:uid="{00000000-0005-0000-0000-0000D3790000}"/>
    <cellStyle name="Normal 5 10 18 13" xfId="31204" xr:uid="{00000000-0005-0000-0000-0000D4790000}"/>
    <cellStyle name="Normal 5 10 18 14" xfId="31205" xr:uid="{00000000-0005-0000-0000-0000D5790000}"/>
    <cellStyle name="Normal 5 10 18 2" xfId="31206" xr:uid="{00000000-0005-0000-0000-0000D6790000}"/>
    <cellStyle name="Normal 5 10 18 2 10" xfId="31207" xr:uid="{00000000-0005-0000-0000-0000D7790000}"/>
    <cellStyle name="Normal 5 10 18 2 2" xfId="31208" xr:uid="{00000000-0005-0000-0000-0000D8790000}"/>
    <cellStyle name="Normal 5 10 18 2 3" xfId="31209" xr:uid="{00000000-0005-0000-0000-0000D9790000}"/>
    <cellStyle name="Normal 5 10 18 2 4" xfId="31210" xr:uid="{00000000-0005-0000-0000-0000DA790000}"/>
    <cellStyle name="Normal 5 10 18 2 5" xfId="31211" xr:uid="{00000000-0005-0000-0000-0000DB790000}"/>
    <cellStyle name="Normal 5 10 18 2 6" xfId="31212" xr:uid="{00000000-0005-0000-0000-0000DC790000}"/>
    <cellStyle name="Normal 5 10 18 2 7" xfId="31213" xr:uid="{00000000-0005-0000-0000-0000DD790000}"/>
    <cellStyle name="Normal 5 10 18 2 8" xfId="31214" xr:uid="{00000000-0005-0000-0000-0000DE790000}"/>
    <cellStyle name="Normal 5 10 18 2 9" xfId="31215" xr:uid="{00000000-0005-0000-0000-0000DF790000}"/>
    <cellStyle name="Normal 5 10 18 3" xfId="31216" xr:uid="{00000000-0005-0000-0000-0000E0790000}"/>
    <cellStyle name="Normal 5 10 18 3 10" xfId="31217" xr:uid="{00000000-0005-0000-0000-0000E1790000}"/>
    <cellStyle name="Normal 5 10 18 3 2" xfId="31218" xr:uid="{00000000-0005-0000-0000-0000E2790000}"/>
    <cellStyle name="Normal 5 10 18 3 3" xfId="31219" xr:uid="{00000000-0005-0000-0000-0000E3790000}"/>
    <cellStyle name="Normal 5 10 18 3 4" xfId="31220" xr:uid="{00000000-0005-0000-0000-0000E4790000}"/>
    <cellStyle name="Normal 5 10 18 3 5" xfId="31221" xr:uid="{00000000-0005-0000-0000-0000E5790000}"/>
    <cellStyle name="Normal 5 10 18 3 6" xfId="31222" xr:uid="{00000000-0005-0000-0000-0000E6790000}"/>
    <cellStyle name="Normal 5 10 18 3 7" xfId="31223" xr:uid="{00000000-0005-0000-0000-0000E7790000}"/>
    <cellStyle name="Normal 5 10 18 3 8" xfId="31224" xr:uid="{00000000-0005-0000-0000-0000E8790000}"/>
    <cellStyle name="Normal 5 10 18 3 9" xfId="31225" xr:uid="{00000000-0005-0000-0000-0000E9790000}"/>
    <cellStyle name="Normal 5 10 18 4" xfId="31226" xr:uid="{00000000-0005-0000-0000-0000EA790000}"/>
    <cellStyle name="Normal 5 10 18 4 10" xfId="31227" xr:uid="{00000000-0005-0000-0000-0000EB790000}"/>
    <cellStyle name="Normal 5 10 18 4 2" xfId="31228" xr:uid="{00000000-0005-0000-0000-0000EC790000}"/>
    <cellStyle name="Normal 5 10 18 4 3" xfId="31229" xr:uid="{00000000-0005-0000-0000-0000ED790000}"/>
    <cellStyle name="Normal 5 10 18 4 4" xfId="31230" xr:uid="{00000000-0005-0000-0000-0000EE790000}"/>
    <cellStyle name="Normal 5 10 18 4 5" xfId="31231" xr:uid="{00000000-0005-0000-0000-0000EF790000}"/>
    <cellStyle name="Normal 5 10 18 4 6" xfId="31232" xr:uid="{00000000-0005-0000-0000-0000F0790000}"/>
    <cellStyle name="Normal 5 10 18 4 7" xfId="31233" xr:uid="{00000000-0005-0000-0000-0000F1790000}"/>
    <cellStyle name="Normal 5 10 18 4 8" xfId="31234" xr:uid="{00000000-0005-0000-0000-0000F2790000}"/>
    <cellStyle name="Normal 5 10 18 4 9" xfId="31235" xr:uid="{00000000-0005-0000-0000-0000F3790000}"/>
    <cellStyle name="Normal 5 10 18 5" xfId="31236" xr:uid="{00000000-0005-0000-0000-0000F4790000}"/>
    <cellStyle name="Normal 5 10 18 5 10" xfId="31237" xr:uid="{00000000-0005-0000-0000-0000F5790000}"/>
    <cellStyle name="Normal 5 10 18 5 2" xfId="31238" xr:uid="{00000000-0005-0000-0000-0000F6790000}"/>
    <cellStyle name="Normal 5 10 18 5 3" xfId="31239" xr:uid="{00000000-0005-0000-0000-0000F7790000}"/>
    <cellStyle name="Normal 5 10 18 5 4" xfId="31240" xr:uid="{00000000-0005-0000-0000-0000F8790000}"/>
    <cellStyle name="Normal 5 10 18 5 5" xfId="31241" xr:uid="{00000000-0005-0000-0000-0000F9790000}"/>
    <cellStyle name="Normal 5 10 18 5 6" xfId="31242" xr:uid="{00000000-0005-0000-0000-0000FA790000}"/>
    <cellStyle name="Normal 5 10 18 5 7" xfId="31243" xr:uid="{00000000-0005-0000-0000-0000FB790000}"/>
    <cellStyle name="Normal 5 10 18 5 8" xfId="31244" xr:uid="{00000000-0005-0000-0000-0000FC790000}"/>
    <cellStyle name="Normal 5 10 18 5 9" xfId="31245" xr:uid="{00000000-0005-0000-0000-0000FD790000}"/>
    <cellStyle name="Normal 5 10 18 6" xfId="31246" xr:uid="{00000000-0005-0000-0000-0000FE790000}"/>
    <cellStyle name="Normal 5 10 18 7" xfId="31247" xr:uid="{00000000-0005-0000-0000-0000FF790000}"/>
    <cellStyle name="Normal 5 10 18 8" xfId="31248" xr:uid="{00000000-0005-0000-0000-0000007A0000}"/>
    <cellStyle name="Normal 5 10 18 9" xfId="31249" xr:uid="{00000000-0005-0000-0000-0000017A0000}"/>
    <cellStyle name="Normal 5 10 19" xfId="31250" xr:uid="{00000000-0005-0000-0000-0000027A0000}"/>
    <cellStyle name="Normal 5 10 19 10" xfId="31251" xr:uid="{00000000-0005-0000-0000-0000037A0000}"/>
    <cellStyle name="Normal 5 10 19 11" xfId="31252" xr:uid="{00000000-0005-0000-0000-0000047A0000}"/>
    <cellStyle name="Normal 5 10 19 12" xfId="31253" xr:uid="{00000000-0005-0000-0000-0000057A0000}"/>
    <cellStyle name="Normal 5 10 19 13" xfId="31254" xr:uid="{00000000-0005-0000-0000-0000067A0000}"/>
    <cellStyle name="Normal 5 10 19 14" xfId="31255" xr:uid="{00000000-0005-0000-0000-0000077A0000}"/>
    <cellStyle name="Normal 5 10 19 2" xfId="31256" xr:uid="{00000000-0005-0000-0000-0000087A0000}"/>
    <cellStyle name="Normal 5 10 19 2 10" xfId="31257" xr:uid="{00000000-0005-0000-0000-0000097A0000}"/>
    <cellStyle name="Normal 5 10 19 2 2" xfId="31258" xr:uid="{00000000-0005-0000-0000-00000A7A0000}"/>
    <cellStyle name="Normal 5 10 19 2 3" xfId="31259" xr:uid="{00000000-0005-0000-0000-00000B7A0000}"/>
    <cellStyle name="Normal 5 10 19 2 4" xfId="31260" xr:uid="{00000000-0005-0000-0000-00000C7A0000}"/>
    <cellStyle name="Normal 5 10 19 2 5" xfId="31261" xr:uid="{00000000-0005-0000-0000-00000D7A0000}"/>
    <cellStyle name="Normal 5 10 19 2 6" xfId="31262" xr:uid="{00000000-0005-0000-0000-00000E7A0000}"/>
    <cellStyle name="Normal 5 10 19 2 7" xfId="31263" xr:uid="{00000000-0005-0000-0000-00000F7A0000}"/>
    <cellStyle name="Normal 5 10 19 2 8" xfId="31264" xr:uid="{00000000-0005-0000-0000-0000107A0000}"/>
    <cellStyle name="Normal 5 10 19 2 9" xfId="31265" xr:uid="{00000000-0005-0000-0000-0000117A0000}"/>
    <cellStyle name="Normal 5 10 19 3" xfId="31266" xr:uid="{00000000-0005-0000-0000-0000127A0000}"/>
    <cellStyle name="Normal 5 10 19 3 10" xfId="31267" xr:uid="{00000000-0005-0000-0000-0000137A0000}"/>
    <cellStyle name="Normal 5 10 19 3 2" xfId="31268" xr:uid="{00000000-0005-0000-0000-0000147A0000}"/>
    <cellStyle name="Normal 5 10 19 3 3" xfId="31269" xr:uid="{00000000-0005-0000-0000-0000157A0000}"/>
    <cellStyle name="Normal 5 10 19 3 4" xfId="31270" xr:uid="{00000000-0005-0000-0000-0000167A0000}"/>
    <cellStyle name="Normal 5 10 19 3 5" xfId="31271" xr:uid="{00000000-0005-0000-0000-0000177A0000}"/>
    <cellStyle name="Normal 5 10 19 3 6" xfId="31272" xr:uid="{00000000-0005-0000-0000-0000187A0000}"/>
    <cellStyle name="Normal 5 10 19 3 7" xfId="31273" xr:uid="{00000000-0005-0000-0000-0000197A0000}"/>
    <cellStyle name="Normal 5 10 19 3 8" xfId="31274" xr:uid="{00000000-0005-0000-0000-00001A7A0000}"/>
    <cellStyle name="Normal 5 10 19 3 9" xfId="31275" xr:uid="{00000000-0005-0000-0000-00001B7A0000}"/>
    <cellStyle name="Normal 5 10 19 4" xfId="31276" xr:uid="{00000000-0005-0000-0000-00001C7A0000}"/>
    <cellStyle name="Normal 5 10 19 4 10" xfId="31277" xr:uid="{00000000-0005-0000-0000-00001D7A0000}"/>
    <cellStyle name="Normal 5 10 19 4 2" xfId="31278" xr:uid="{00000000-0005-0000-0000-00001E7A0000}"/>
    <cellStyle name="Normal 5 10 19 4 3" xfId="31279" xr:uid="{00000000-0005-0000-0000-00001F7A0000}"/>
    <cellStyle name="Normal 5 10 19 4 4" xfId="31280" xr:uid="{00000000-0005-0000-0000-0000207A0000}"/>
    <cellStyle name="Normal 5 10 19 4 5" xfId="31281" xr:uid="{00000000-0005-0000-0000-0000217A0000}"/>
    <cellStyle name="Normal 5 10 19 4 6" xfId="31282" xr:uid="{00000000-0005-0000-0000-0000227A0000}"/>
    <cellStyle name="Normal 5 10 19 4 7" xfId="31283" xr:uid="{00000000-0005-0000-0000-0000237A0000}"/>
    <cellStyle name="Normal 5 10 19 4 8" xfId="31284" xr:uid="{00000000-0005-0000-0000-0000247A0000}"/>
    <cellStyle name="Normal 5 10 19 4 9" xfId="31285" xr:uid="{00000000-0005-0000-0000-0000257A0000}"/>
    <cellStyle name="Normal 5 10 19 5" xfId="31286" xr:uid="{00000000-0005-0000-0000-0000267A0000}"/>
    <cellStyle name="Normal 5 10 19 5 10" xfId="31287" xr:uid="{00000000-0005-0000-0000-0000277A0000}"/>
    <cellStyle name="Normal 5 10 19 5 2" xfId="31288" xr:uid="{00000000-0005-0000-0000-0000287A0000}"/>
    <cellStyle name="Normal 5 10 19 5 3" xfId="31289" xr:uid="{00000000-0005-0000-0000-0000297A0000}"/>
    <cellStyle name="Normal 5 10 19 5 4" xfId="31290" xr:uid="{00000000-0005-0000-0000-00002A7A0000}"/>
    <cellStyle name="Normal 5 10 19 5 5" xfId="31291" xr:uid="{00000000-0005-0000-0000-00002B7A0000}"/>
    <cellStyle name="Normal 5 10 19 5 6" xfId="31292" xr:uid="{00000000-0005-0000-0000-00002C7A0000}"/>
    <cellStyle name="Normal 5 10 19 5 7" xfId="31293" xr:uid="{00000000-0005-0000-0000-00002D7A0000}"/>
    <cellStyle name="Normal 5 10 19 5 8" xfId="31294" xr:uid="{00000000-0005-0000-0000-00002E7A0000}"/>
    <cellStyle name="Normal 5 10 19 5 9" xfId="31295" xr:uid="{00000000-0005-0000-0000-00002F7A0000}"/>
    <cellStyle name="Normal 5 10 19 6" xfId="31296" xr:uid="{00000000-0005-0000-0000-0000307A0000}"/>
    <cellStyle name="Normal 5 10 19 7" xfId="31297" xr:uid="{00000000-0005-0000-0000-0000317A0000}"/>
    <cellStyle name="Normal 5 10 19 8" xfId="31298" xr:uid="{00000000-0005-0000-0000-0000327A0000}"/>
    <cellStyle name="Normal 5 10 19 9" xfId="31299" xr:uid="{00000000-0005-0000-0000-0000337A0000}"/>
    <cellStyle name="Normal 5 10 2" xfId="61" xr:uid="{00000000-0005-0000-0000-0000347A0000}"/>
    <cellStyle name="Normal 5 10 2 10" xfId="31301" xr:uid="{00000000-0005-0000-0000-0000357A0000}"/>
    <cellStyle name="Normal 5 10 2 10 10" xfId="31302" xr:uid="{00000000-0005-0000-0000-0000367A0000}"/>
    <cellStyle name="Normal 5 10 2 10 11" xfId="31303" xr:uid="{00000000-0005-0000-0000-0000377A0000}"/>
    <cellStyle name="Normal 5 10 2 10 12" xfId="31304" xr:uid="{00000000-0005-0000-0000-0000387A0000}"/>
    <cellStyle name="Normal 5 10 2 10 13" xfId="31305" xr:uid="{00000000-0005-0000-0000-0000397A0000}"/>
    <cellStyle name="Normal 5 10 2 10 14" xfId="31306" xr:uid="{00000000-0005-0000-0000-00003A7A0000}"/>
    <cellStyle name="Normal 5 10 2 10 2" xfId="31307" xr:uid="{00000000-0005-0000-0000-00003B7A0000}"/>
    <cellStyle name="Normal 5 10 2 10 2 10" xfId="31308" xr:uid="{00000000-0005-0000-0000-00003C7A0000}"/>
    <cellStyle name="Normal 5 10 2 10 2 2" xfId="31309" xr:uid="{00000000-0005-0000-0000-00003D7A0000}"/>
    <cellStyle name="Normal 5 10 2 10 2 3" xfId="31310" xr:uid="{00000000-0005-0000-0000-00003E7A0000}"/>
    <cellStyle name="Normal 5 10 2 10 2 4" xfId="31311" xr:uid="{00000000-0005-0000-0000-00003F7A0000}"/>
    <cellStyle name="Normal 5 10 2 10 2 5" xfId="31312" xr:uid="{00000000-0005-0000-0000-0000407A0000}"/>
    <cellStyle name="Normal 5 10 2 10 2 6" xfId="31313" xr:uid="{00000000-0005-0000-0000-0000417A0000}"/>
    <cellStyle name="Normal 5 10 2 10 2 7" xfId="31314" xr:uid="{00000000-0005-0000-0000-0000427A0000}"/>
    <cellStyle name="Normal 5 10 2 10 2 8" xfId="31315" xr:uid="{00000000-0005-0000-0000-0000437A0000}"/>
    <cellStyle name="Normal 5 10 2 10 2 9" xfId="31316" xr:uid="{00000000-0005-0000-0000-0000447A0000}"/>
    <cellStyle name="Normal 5 10 2 10 3" xfId="31317" xr:uid="{00000000-0005-0000-0000-0000457A0000}"/>
    <cellStyle name="Normal 5 10 2 10 3 10" xfId="31318" xr:uid="{00000000-0005-0000-0000-0000467A0000}"/>
    <cellStyle name="Normal 5 10 2 10 3 2" xfId="31319" xr:uid="{00000000-0005-0000-0000-0000477A0000}"/>
    <cellStyle name="Normal 5 10 2 10 3 3" xfId="31320" xr:uid="{00000000-0005-0000-0000-0000487A0000}"/>
    <cellStyle name="Normal 5 10 2 10 3 4" xfId="31321" xr:uid="{00000000-0005-0000-0000-0000497A0000}"/>
    <cellStyle name="Normal 5 10 2 10 3 5" xfId="31322" xr:uid="{00000000-0005-0000-0000-00004A7A0000}"/>
    <cellStyle name="Normal 5 10 2 10 3 6" xfId="31323" xr:uid="{00000000-0005-0000-0000-00004B7A0000}"/>
    <cellStyle name="Normal 5 10 2 10 3 7" xfId="31324" xr:uid="{00000000-0005-0000-0000-00004C7A0000}"/>
    <cellStyle name="Normal 5 10 2 10 3 8" xfId="31325" xr:uid="{00000000-0005-0000-0000-00004D7A0000}"/>
    <cellStyle name="Normal 5 10 2 10 3 9" xfId="31326" xr:uid="{00000000-0005-0000-0000-00004E7A0000}"/>
    <cellStyle name="Normal 5 10 2 10 4" xfId="31327" xr:uid="{00000000-0005-0000-0000-00004F7A0000}"/>
    <cellStyle name="Normal 5 10 2 10 4 10" xfId="31328" xr:uid="{00000000-0005-0000-0000-0000507A0000}"/>
    <cellStyle name="Normal 5 10 2 10 4 2" xfId="31329" xr:uid="{00000000-0005-0000-0000-0000517A0000}"/>
    <cellStyle name="Normal 5 10 2 10 4 3" xfId="31330" xr:uid="{00000000-0005-0000-0000-0000527A0000}"/>
    <cellStyle name="Normal 5 10 2 10 4 4" xfId="31331" xr:uid="{00000000-0005-0000-0000-0000537A0000}"/>
    <cellStyle name="Normal 5 10 2 10 4 5" xfId="31332" xr:uid="{00000000-0005-0000-0000-0000547A0000}"/>
    <cellStyle name="Normal 5 10 2 10 4 6" xfId="31333" xr:uid="{00000000-0005-0000-0000-0000557A0000}"/>
    <cellStyle name="Normal 5 10 2 10 4 7" xfId="31334" xr:uid="{00000000-0005-0000-0000-0000567A0000}"/>
    <cellStyle name="Normal 5 10 2 10 4 8" xfId="31335" xr:uid="{00000000-0005-0000-0000-0000577A0000}"/>
    <cellStyle name="Normal 5 10 2 10 4 9" xfId="31336" xr:uid="{00000000-0005-0000-0000-0000587A0000}"/>
    <cellStyle name="Normal 5 10 2 10 5" xfId="31337" xr:uid="{00000000-0005-0000-0000-0000597A0000}"/>
    <cellStyle name="Normal 5 10 2 10 5 10" xfId="31338" xr:uid="{00000000-0005-0000-0000-00005A7A0000}"/>
    <cellStyle name="Normal 5 10 2 10 5 2" xfId="31339" xr:uid="{00000000-0005-0000-0000-00005B7A0000}"/>
    <cellStyle name="Normal 5 10 2 10 5 3" xfId="31340" xr:uid="{00000000-0005-0000-0000-00005C7A0000}"/>
    <cellStyle name="Normal 5 10 2 10 5 4" xfId="31341" xr:uid="{00000000-0005-0000-0000-00005D7A0000}"/>
    <cellStyle name="Normal 5 10 2 10 5 5" xfId="31342" xr:uid="{00000000-0005-0000-0000-00005E7A0000}"/>
    <cellStyle name="Normal 5 10 2 10 5 6" xfId="31343" xr:uid="{00000000-0005-0000-0000-00005F7A0000}"/>
    <cellStyle name="Normal 5 10 2 10 5 7" xfId="31344" xr:uid="{00000000-0005-0000-0000-0000607A0000}"/>
    <cellStyle name="Normal 5 10 2 10 5 8" xfId="31345" xr:uid="{00000000-0005-0000-0000-0000617A0000}"/>
    <cellStyle name="Normal 5 10 2 10 5 9" xfId="31346" xr:uid="{00000000-0005-0000-0000-0000627A0000}"/>
    <cellStyle name="Normal 5 10 2 10 6" xfId="31347" xr:uid="{00000000-0005-0000-0000-0000637A0000}"/>
    <cellStyle name="Normal 5 10 2 10 7" xfId="31348" xr:uid="{00000000-0005-0000-0000-0000647A0000}"/>
    <cellStyle name="Normal 5 10 2 10 8" xfId="31349" xr:uid="{00000000-0005-0000-0000-0000657A0000}"/>
    <cellStyle name="Normal 5 10 2 10 9" xfId="31350" xr:uid="{00000000-0005-0000-0000-0000667A0000}"/>
    <cellStyle name="Normal 5 10 2 11" xfId="31351" xr:uid="{00000000-0005-0000-0000-0000677A0000}"/>
    <cellStyle name="Normal 5 10 2 11 10" xfId="31352" xr:uid="{00000000-0005-0000-0000-0000687A0000}"/>
    <cellStyle name="Normal 5 10 2 11 11" xfId="31353" xr:uid="{00000000-0005-0000-0000-0000697A0000}"/>
    <cellStyle name="Normal 5 10 2 11 12" xfId="31354" xr:uid="{00000000-0005-0000-0000-00006A7A0000}"/>
    <cellStyle name="Normal 5 10 2 11 13" xfId="31355" xr:uid="{00000000-0005-0000-0000-00006B7A0000}"/>
    <cellStyle name="Normal 5 10 2 11 14" xfId="31356" xr:uid="{00000000-0005-0000-0000-00006C7A0000}"/>
    <cellStyle name="Normal 5 10 2 11 2" xfId="31357" xr:uid="{00000000-0005-0000-0000-00006D7A0000}"/>
    <cellStyle name="Normal 5 10 2 11 2 10" xfId="31358" xr:uid="{00000000-0005-0000-0000-00006E7A0000}"/>
    <cellStyle name="Normal 5 10 2 11 2 2" xfId="31359" xr:uid="{00000000-0005-0000-0000-00006F7A0000}"/>
    <cellStyle name="Normal 5 10 2 11 2 3" xfId="31360" xr:uid="{00000000-0005-0000-0000-0000707A0000}"/>
    <cellStyle name="Normal 5 10 2 11 2 4" xfId="31361" xr:uid="{00000000-0005-0000-0000-0000717A0000}"/>
    <cellStyle name="Normal 5 10 2 11 2 5" xfId="31362" xr:uid="{00000000-0005-0000-0000-0000727A0000}"/>
    <cellStyle name="Normal 5 10 2 11 2 6" xfId="31363" xr:uid="{00000000-0005-0000-0000-0000737A0000}"/>
    <cellStyle name="Normal 5 10 2 11 2 7" xfId="31364" xr:uid="{00000000-0005-0000-0000-0000747A0000}"/>
    <cellStyle name="Normal 5 10 2 11 2 8" xfId="31365" xr:uid="{00000000-0005-0000-0000-0000757A0000}"/>
    <cellStyle name="Normal 5 10 2 11 2 9" xfId="31366" xr:uid="{00000000-0005-0000-0000-0000767A0000}"/>
    <cellStyle name="Normal 5 10 2 11 3" xfId="31367" xr:uid="{00000000-0005-0000-0000-0000777A0000}"/>
    <cellStyle name="Normal 5 10 2 11 3 10" xfId="31368" xr:uid="{00000000-0005-0000-0000-0000787A0000}"/>
    <cellStyle name="Normal 5 10 2 11 3 2" xfId="31369" xr:uid="{00000000-0005-0000-0000-0000797A0000}"/>
    <cellStyle name="Normal 5 10 2 11 3 3" xfId="31370" xr:uid="{00000000-0005-0000-0000-00007A7A0000}"/>
    <cellStyle name="Normal 5 10 2 11 3 4" xfId="31371" xr:uid="{00000000-0005-0000-0000-00007B7A0000}"/>
    <cellStyle name="Normal 5 10 2 11 3 5" xfId="31372" xr:uid="{00000000-0005-0000-0000-00007C7A0000}"/>
    <cellStyle name="Normal 5 10 2 11 3 6" xfId="31373" xr:uid="{00000000-0005-0000-0000-00007D7A0000}"/>
    <cellStyle name="Normal 5 10 2 11 3 7" xfId="31374" xr:uid="{00000000-0005-0000-0000-00007E7A0000}"/>
    <cellStyle name="Normal 5 10 2 11 3 8" xfId="31375" xr:uid="{00000000-0005-0000-0000-00007F7A0000}"/>
    <cellStyle name="Normal 5 10 2 11 3 9" xfId="31376" xr:uid="{00000000-0005-0000-0000-0000807A0000}"/>
    <cellStyle name="Normal 5 10 2 11 4" xfId="31377" xr:uid="{00000000-0005-0000-0000-0000817A0000}"/>
    <cellStyle name="Normal 5 10 2 11 4 10" xfId="31378" xr:uid="{00000000-0005-0000-0000-0000827A0000}"/>
    <cellStyle name="Normal 5 10 2 11 4 2" xfId="31379" xr:uid="{00000000-0005-0000-0000-0000837A0000}"/>
    <cellStyle name="Normal 5 10 2 11 4 3" xfId="31380" xr:uid="{00000000-0005-0000-0000-0000847A0000}"/>
    <cellStyle name="Normal 5 10 2 11 4 4" xfId="31381" xr:uid="{00000000-0005-0000-0000-0000857A0000}"/>
    <cellStyle name="Normal 5 10 2 11 4 5" xfId="31382" xr:uid="{00000000-0005-0000-0000-0000867A0000}"/>
    <cellStyle name="Normal 5 10 2 11 4 6" xfId="31383" xr:uid="{00000000-0005-0000-0000-0000877A0000}"/>
    <cellStyle name="Normal 5 10 2 11 4 7" xfId="31384" xr:uid="{00000000-0005-0000-0000-0000887A0000}"/>
    <cellStyle name="Normal 5 10 2 11 4 8" xfId="31385" xr:uid="{00000000-0005-0000-0000-0000897A0000}"/>
    <cellStyle name="Normal 5 10 2 11 4 9" xfId="31386" xr:uid="{00000000-0005-0000-0000-00008A7A0000}"/>
    <cellStyle name="Normal 5 10 2 11 5" xfId="31387" xr:uid="{00000000-0005-0000-0000-00008B7A0000}"/>
    <cellStyle name="Normal 5 10 2 11 5 10" xfId="31388" xr:uid="{00000000-0005-0000-0000-00008C7A0000}"/>
    <cellStyle name="Normal 5 10 2 11 5 2" xfId="31389" xr:uid="{00000000-0005-0000-0000-00008D7A0000}"/>
    <cellStyle name="Normal 5 10 2 11 5 3" xfId="31390" xr:uid="{00000000-0005-0000-0000-00008E7A0000}"/>
    <cellStyle name="Normal 5 10 2 11 5 4" xfId="31391" xr:uid="{00000000-0005-0000-0000-00008F7A0000}"/>
    <cellStyle name="Normal 5 10 2 11 5 5" xfId="31392" xr:uid="{00000000-0005-0000-0000-0000907A0000}"/>
    <cellStyle name="Normal 5 10 2 11 5 6" xfId="31393" xr:uid="{00000000-0005-0000-0000-0000917A0000}"/>
    <cellStyle name="Normal 5 10 2 11 5 7" xfId="31394" xr:uid="{00000000-0005-0000-0000-0000927A0000}"/>
    <cellStyle name="Normal 5 10 2 11 5 8" xfId="31395" xr:uid="{00000000-0005-0000-0000-0000937A0000}"/>
    <cellStyle name="Normal 5 10 2 11 5 9" xfId="31396" xr:uid="{00000000-0005-0000-0000-0000947A0000}"/>
    <cellStyle name="Normal 5 10 2 11 6" xfId="31397" xr:uid="{00000000-0005-0000-0000-0000957A0000}"/>
    <cellStyle name="Normal 5 10 2 11 7" xfId="31398" xr:uid="{00000000-0005-0000-0000-0000967A0000}"/>
    <cellStyle name="Normal 5 10 2 11 8" xfId="31399" xr:uid="{00000000-0005-0000-0000-0000977A0000}"/>
    <cellStyle name="Normal 5 10 2 11 9" xfId="31400" xr:uid="{00000000-0005-0000-0000-0000987A0000}"/>
    <cellStyle name="Normal 5 10 2 12" xfId="31401" xr:uid="{00000000-0005-0000-0000-0000997A0000}"/>
    <cellStyle name="Normal 5 10 2 12 10" xfId="31402" xr:uid="{00000000-0005-0000-0000-00009A7A0000}"/>
    <cellStyle name="Normal 5 10 2 12 11" xfId="31403" xr:uid="{00000000-0005-0000-0000-00009B7A0000}"/>
    <cellStyle name="Normal 5 10 2 12 12" xfId="31404" xr:uid="{00000000-0005-0000-0000-00009C7A0000}"/>
    <cellStyle name="Normal 5 10 2 12 13" xfId="31405" xr:uid="{00000000-0005-0000-0000-00009D7A0000}"/>
    <cellStyle name="Normal 5 10 2 12 14" xfId="31406" xr:uid="{00000000-0005-0000-0000-00009E7A0000}"/>
    <cellStyle name="Normal 5 10 2 12 2" xfId="31407" xr:uid="{00000000-0005-0000-0000-00009F7A0000}"/>
    <cellStyle name="Normal 5 10 2 12 2 10" xfId="31408" xr:uid="{00000000-0005-0000-0000-0000A07A0000}"/>
    <cellStyle name="Normal 5 10 2 12 2 2" xfId="31409" xr:uid="{00000000-0005-0000-0000-0000A17A0000}"/>
    <cellStyle name="Normal 5 10 2 12 2 3" xfId="31410" xr:uid="{00000000-0005-0000-0000-0000A27A0000}"/>
    <cellStyle name="Normal 5 10 2 12 2 4" xfId="31411" xr:uid="{00000000-0005-0000-0000-0000A37A0000}"/>
    <cellStyle name="Normal 5 10 2 12 2 5" xfId="31412" xr:uid="{00000000-0005-0000-0000-0000A47A0000}"/>
    <cellStyle name="Normal 5 10 2 12 2 6" xfId="31413" xr:uid="{00000000-0005-0000-0000-0000A57A0000}"/>
    <cellStyle name="Normal 5 10 2 12 2 7" xfId="31414" xr:uid="{00000000-0005-0000-0000-0000A67A0000}"/>
    <cellStyle name="Normal 5 10 2 12 2 8" xfId="31415" xr:uid="{00000000-0005-0000-0000-0000A77A0000}"/>
    <cellStyle name="Normal 5 10 2 12 2 9" xfId="31416" xr:uid="{00000000-0005-0000-0000-0000A87A0000}"/>
    <cellStyle name="Normal 5 10 2 12 3" xfId="31417" xr:uid="{00000000-0005-0000-0000-0000A97A0000}"/>
    <cellStyle name="Normal 5 10 2 12 3 10" xfId="31418" xr:uid="{00000000-0005-0000-0000-0000AA7A0000}"/>
    <cellStyle name="Normal 5 10 2 12 3 2" xfId="31419" xr:uid="{00000000-0005-0000-0000-0000AB7A0000}"/>
    <cellStyle name="Normal 5 10 2 12 3 3" xfId="31420" xr:uid="{00000000-0005-0000-0000-0000AC7A0000}"/>
    <cellStyle name="Normal 5 10 2 12 3 4" xfId="31421" xr:uid="{00000000-0005-0000-0000-0000AD7A0000}"/>
    <cellStyle name="Normal 5 10 2 12 3 5" xfId="31422" xr:uid="{00000000-0005-0000-0000-0000AE7A0000}"/>
    <cellStyle name="Normal 5 10 2 12 3 6" xfId="31423" xr:uid="{00000000-0005-0000-0000-0000AF7A0000}"/>
    <cellStyle name="Normal 5 10 2 12 3 7" xfId="31424" xr:uid="{00000000-0005-0000-0000-0000B07A0000}"/>
    <cellStyle name="Normal 5 10 2 12 3 8" xfId="31425" xr:uid="{00000000-0005-0000-0000-0000B17A0000}"/>
    <cellStyle name="Normal 5 10 2 12 3 9" xfId="31426" xr:uid="{00000000-0005-0000-0000-0000B27A0000}"/>
    <cellStyle name="Normal 5 10 2 12 4" xfId="31427" xr:uid="{00000000-0005-0000-0000-0000B37A0000}"/>
    <cellStyle name="Normal 5 10 2 12 4 10" xfId="31428" xr:uid="{00000000-0005-0000-0000-0000B47A0000}"/>
    <cellStyle name="Normal 5 10 2 12 4 2" xfId="31429" xr:uid="{00000000-0005-0000-0000-0000B57A0000}"/>
    <cellStyle name="Normal 5 10 2 12 4 3" xfId="31430" xr:uid="{00000000-0005-0000-0000-0000B67A0000}"/>
    <cellStyle name="Normal 5 10 2 12 4 4" xfId="31431" xr:uid="{00000000-0005-0000-0000-0000B77A0000}"/>
    <cellStyle name="Normal 5 10 2 12 4 5" xfId="31432" xr:uid="{00000000-0005-0000-0000-0000B87A0000}"/>
    <cellStyle name="Normal 5 10 2 12 4 6" xfId="31433" xr:uid="{00000000-0005-0000-0000-0000B97A0000}"/>
    <cellStyle name="Normal 5 10 2 12 4 7" xfId="31434" xr:uid="{00000000-0005-0000-0000-0000BA7A0000}"/>
    <cellStyle name="Normal 5 10 2 12 4 8" xfId="31435" xr:uid="{00000000-0005-0000-0000-0000BB7A0000}"/>
    <cellStyle name="Normal 5 10 2 12 4 9" xfId="31436" xr:uid="{00000000-0005-0000-0000-0000BC7A0000}"/>
    <cellStyle name="Normal 5 10 2 12 5" xfId="31437" xr:uid="{00000000-0005-0000-0000-0000BD7A0000}"/>
    <cellStyle name="Normal 5 10 2 12 5 10" xfId="31438" xr:uid="{00000000-0005-0000-0000-0000BE7A0000}"/>
    <cellStyle name="Normal 5 10 2 12 5 2" xfId="31439" xr:uid="{00000000-0005-0000-0000-0000BF7A0000}"/>
    <cellStyle name="Normal 5 10 2 12 5 3" xfId="31440" xr:uid="{00000000-0005-0000-0000-0000C07A0000}"/>
    <cellStyle name="Normal 5 10 2 12 5 4" xfId="31441" xr:uid="{00000000-0005-0000-0000-0000C17A0000}"/>
    <cellStyle name="Normal 5 10 2 12 5 5" xfId="31442" xr:uid="{00000000-0005-0000-0000-0000C27A0000}"/>
    <cellStyle name="Normal 5 10 2 12 5 6" xfId="31443" xr:uid="{00000000-0005-0000-0000-0000C37A0000}"/>
    <cellStyle name="Normal 5 10 2 12 5 7" xfId="31444" xr:uid="{00000000-0005-0000-0000-0000C47A0000}"/>
    <cellStyle name="Normal 5 10 2 12 5 8" xfId="31445" xr:uid="{00000000-0005-0000-0000-0000C57A0000}"/>
    <cellStyle name="Normal 5 10 2 12 5 9" xfId="31446" xr:uid="{00000000-0005-0000-0000-0000C67A0000}"/>
    <cellStyle name="Normal 5 10 2 12 6" xfId="31447" xr:uid="{00000000-0005-0000-0000-0000C77A0000}"/>
    <cellStyle name="Normal 5 10 2 12 7" xfId="31448" xr:uid="{00000000-0005-0000-0000-0000C87A0000}"/>
    <cellStyle name="Normal 5 10 2 12 8" xfId="31449" xr:uid="{00000000-0005-0000-0000-0000C97A0000}"/>
    <cellStyle name="Normal 5 10 2 12 9" xfId="31450" xr:uid="{00000000-0005-0000-0000-0000CA7A0000}"/>
    <cellStyle name="Normal 5 10 2 13" xfId="31451" xr:uid="{00000000-0005-0000-0000-0000CB7A0000}"/>
    <cellStyle name="Normal 5 10 2 13 10" xfId="31452" xr:uid="{00000000-0005-0000-0000-0000CC7A0000}"/>
    <cellStyle name="Normal 5 10 2 13 11" xfId="31453" xr:uid="{00000000-0005-0000-0000-0000CD7A0000}"/>
    <cellStyle name="Normal 5 10 2 13 12" xfId="31454" xr:uid="{00000000-0005-0000-0000-0000CE7A0000}"/>
    <cellStyle name="Normal 5 10 2 13 13" xfId="31455" xr:uid="{00000000-0005-0000-0000-0000CF7A0000}"/>
    <cellStyle name="Normal 5 10 2 13 14" xfId="31456" xr:uid="{00000000-0005-0000-0000-0000D07A0000}"/>
    <cellStyle name="Normal 5 10 2 13 2" xfId="31457" xr:uid="{00000000-0005-0000-0000-0000D17A0000}"/>
    <cellStyle name="Normal 5 10 2 13 2 10" xfId="31458" xr:uid="{00000000-0005-0000-0000-0000D27A0000}"/>
    <cellStyle name="Normal 5 10 2 13 2 2" xfId="31459" xr:uid="{00000000-0005-0000-0000-0000D37A0000}"/>
    <cellStyle name="Normal 5 10 2 13 2 3" xfId="31460" xr:uid="{00000000-0005-0000-0000-0000D47A0000}"/>
    <cellStyle name="Normal 5 10 2 13 2 4" xfId="31461" xr:uid="{00000000-0005-0000-0000-0000D57A0000}"/>
    <cellStyle name="Normal 5 10 2 13 2 5" xfId="31462" xr:uid="{00000000-0005-0000-0000-0000D67A0000}"/>
    <cellStyle name="Normal 5 10 2 13 2 6" xfId="31463" xr:uid="{00000000-0005-0000-0000-0000D77A0000}"/>
    <cellStyle name="Normal 5 10 2 13 2 7" xfId="31464" xr:uid="{00000000-0005-0000-0000-0000D87A0000}"/>
    <cellStyle name="Normal 5 10 2 13 2 8" xfId="31465" xr:uid="{00000000-0005-0000-0000-0000D97A0000}"/>
    <cellStyle name="Normal 5 10 2 13 2 9" xfId="31466" xr:uid="{00000000-0005-0000-0000-0000DA7A0000}"/>
    <cellStyle name="Normal 5 10 2 13 3" xfId="31467" xr:uid="{00000000-0005-0000-0000-0000DB7A0000}"/>
    <cellStyle name="Normal 5 10 2 13 3 10" xfId="31468" xr:uid="{00000000-0005-0000-0000-0000DC7A0000}"/>
    <cellStyle name="Normal 5 10 2 13 3 2" xfId="31469" xr:uid="{00000000-0005-0000-0000-0000DD7A0000}"/>
    <cellStyle name="Normal 5 10 2 13 3 3" xfId="31470" xr:uid="{00000000-0005-0000-0000-0000DE7A0000}"/>
    <cellStyle name="Normal 5 10 2 13 3 4" xfId="31471" xr:uid="{00000000-0005-0000-0000-0000DF7A0000}"/>
    <cellStyle name="Normal 5 10 2 13 3 5" xfId="31472" xr:uid="{00000000-0005-0000-0000-0000E07A0000}"/>
    <cellStyle name="Normal 5 10 2 13 3 6" xfId="31473" xr:uid="{00000000-0005-0000-0000-0000E17A0000}"/>
    <cellStyle name="Normal 5 10 2 13 3 7" xfId="31474" xr:uid="{00000000-0005-0000-0000-0000E27A0000}"/>
    <cellStyle name="Normal 5 10 2 13 3 8" xfId="31475" xr:uid="{00000000-0005-0000-0000-0000E37A0000}"/>
    <cellStyle name="Normal 5 10 2 13 3 9" xfId="31476" xr:uid="{00000000-0005-0000-0000-0000E47A0000}"/>
    <cellStyle name="Normal 5 10 2 13 4" xfId="31477" xr:uid="{00000000-0005-0000-0000-0000E57A0000}"/>
    <cellStyle name="Normal 5 10 2 13 4 10" xfId="31478" xr:uid="{00000000-0005-0000-0000-0000E67A0000}"/>
    <cellStyle name="Normal 5 10 2 13 4 2" xfId="31479" xr:uid="{00000000-0005-0000-0000-0000E77A0000}"/>
    <cellStyle name="Normal 5 10 2 13 4 3" xfId="31480" xr:uid="{00000000-0005-0000-0000-0000E87A0000}"/>
    <cellStyle name="Normal 5 10 2 13 4 4" xfId="31481" xr:uid="{00000000-0005-0000-0000-0000E97A0000}"/>
    <cellStyle name="Normal 5 10 2 13 4 5" xfId="31482" xr:uid="{00000000-0005-0000-0000-0000EA7A0000}"/>
    <cellStyle name="Normal 5 10 2 13 4 6" xfId="31483" xr:uid="{00000000-0005-0000-0000-0000EB7A0000}"/>
    <cellStyle name="Normal 5 10 2 13 4 7" xfId="31484" xr:uid="{00000000-0005-0000-0000-0000EC7A0000}"/>
    <cellStyle name="Normal 5 10 2 13 4 8" xfId="31485" xr:uid="{00000000-0005-0000-0000-0000ED7A0000}"/>
    <cellStyle name="Normal 5 10 2 13 4 9" xfId="31486" xr:uid="{00000000-0005-0000-0000-0000EE7A0000}"/>
    <cellStyle name="Normal 5 10 2 13 5" xfId="31487" xr:uid="{00000000-0005-0000-0000-0000EF7A0000}"/>
    <cellStyle name="Normal 5 10 2 13 5 10" xfId="31488" xr:uid="{00000000-0005-0000-0000-0000F07A0000}"/>
    <cellStyle name="Normal 5 10 2 13 5 2" xfId="31489" xr:uid="{00000000-0005-0000-0000-0000F17A0000}"/>
    <cellStyle name="Normal 5 10 2 13 5 3" xfId="31490" xr:uid="{00000000-0005-0000-0000-0000F27A0000}"/>
    <cellStyle name="Normal 5 10 2 13 5 4" xfId="31491" xr:uid="{00000000-0005-0000-0000-0000F37A0000}"/>
    <cellStyle name="Normal 5 10 2 13 5 5" xfId="31492" xr:uid="{00000000-0005-0000-0000-0000F47A0000}"/>
    <cellStyle name="Normal 5 10 2 13 5 6" xfId="31493" xr:uid="{00000000-0005-0000-0000-0000F57A0000}"/>
    <cellStyle name="Normal 5 10 2 13 5 7" xfId="31494" xr:uid="{00000000-0005-0000-0000-0000F67A0000}"/>
    <cellStyle name="Normal 5 10 2 13 5 8" xfId="31495" xr:uid="{00000000-0005-0000-0000-0000F77A0000}"/>
    <cellStyle name="Normal 5 10 2 13 5 9" xfId="31496" xr:uid="{00000000-0005-0000-0000-0000F87A0000}"/>
    <cellStyle name="Normal 5 10 2 13 6" xfId="31497" xr:uid="{00000000-0005-0000-0000-0000F97A0000}"/>
    <cellStyle name="Normal 5 10 2 13 7" xfId="31498" xr:uid="{00000000-0005-0000-0000-0000FA7A0000}"/>
    <cellStyle name="Normal 5 10 2 13 8" xfId="31499" xr:uid="{00000000-0005-0000-0000-0000FB7A0000}"/>
    <cellStyle name="Normal 5 10 2 13 9" xfId="31500" xr:uid="{00000000-0005-0000-0000-0000FC7A0000}"/>
    <cellStyle name="Normal 5 10 2 14" xfId="31501" xr:uid="{00000000-0005-0000-0000-0000FD7A0000}"/>
    <cellStyle name="Normal 5 10 2 14 10" xfId="31502" xr:uid="{00000000-0005-0000-0000-0000FE7A0000}"/>
    <cellStyle name="Normal 5 10 2 14 11" xfId="31503" xr:uid="{00000000-0005-0000-0000-0000FF7A0000}"/>
    <cellStyle name="Normal 5 10 2 14 12" xfId="31504" xr:uid="{00000000-0005-0000-0000-0000007B0000}"/>
    <cellStyle name="Normal 5 10 2 14 13" xfId="31505" xr:uid="{00000000-0005-0000-0000-0000017B0000}"/>
    <cellStyle name="Normal 5 10 2 14 14" xfId="31506" xr:uid="{00000000-0005-0000-0000-0000027B0000}"/>
    <cellStyle name="Normal 5 10 2 14 2" xfId="31507" xr:uid="{00000000-0005-0000-0000-0000037B0000}"/>
    <cellStyle name="Normal 5 10 2 14 2 10" xfId="31508" xr:uid="{00000000-0005-0000-0000-0000047B0000}"/>
    <cellStyle name="Normal 5 10 2 14 2 2" xfId="31509" xr:uid="{00000000-0005-0000-0000-0000057B0000}"/>
    <cellStyle name="Normal 5 10 2 14 2 3" xfId="31510" xr:uid="{00000000-0005-0000-0000-0000067B0000}"/>
    <cellStyle name="Normal 5 10 2 14 2 4" xfId="31511" xr:uid="{00000000-0005-0000-0000-0000077B0000}"/>
    <cellStyle name="Normal 5 10 2 14 2 5" xfId="31512" xr:uid="{00000000-0005-0000-0000-0000087B0000}"/>
    <cellStyle name="Normal 5 10 2 14 2 6" xfId="31513" xr:uid="{00000000-0005-0000-0000-0000097B0000}"/>
    <cellStyle name="Normal 5 10 2 14 2 7" xfId="31514" xr:uid="{00000000-0005-0000-0000-00000A7B0000}"/>
    <cellStyle name="Normal 5 10 2 14 2 8" xfId="31515" xr:uid="{00000000-0005-0000-0000-00000B7B0000}"/>
    <cellStyle name="Normal 5 10 2 14 2 9" xfId="31516" xr:uid="{00000000-0005-0000-0000-00000C7B0000}"/>
    <cellStyle name="Normal 5 10 2 14 3" xfId="31517" xr:uid="{00000000-0005-0000-0000-00000D7B0000}"/>
    <cellStyle name="Normal 5 10 2 14 3 10" xfId="31518" xr:uid="{00000000-0005-0000-0000-00000E7B0000}"/>
    <cellStyle name="Normal 5 10 2 14 3 2" xfId="31519" xr:uid="{00000000-0005-0000-0000-00000F7B0000}"/>
    <cellStyle name="Normal 5 10 2 14 3 3" xfId="31520" xr:uid="{00000000-0005-0000-0000-0000107B0000}"/>
    <cellStyle name="Normal 5 10 2 14 3 4" xfId="31521" xr:uid="{00000000-0005-0000-0000-0000117B0000}"/>
    <cellStyle name="Normal 5 10 2 14 3 5" xfId="31522" xr:uid="{00000000-0005-0000-0000-0000127B0000}"/>
    <cellStyle name="Normal 5 10 2 14 3 6" xfId="31523" xr:uid="{00000000-0005-0000-0000-0000137B0000}"/>
    <cellStyle name="Normal 5 10 2 14 3 7" xfId="31524" xr:uid="{00000000-0005-0000-0000-0000147B0000}"/>
    <cellStyle name="Normal 5 10 2 14 3 8" xfId="31525" xr:uid="{00000000-0005-0000-0000-0000157B0000}"/>
    <cellStyle name="Normal 5 10 2 14 3 9" xfId="31526" xr:uid="{00000000-0005-0000-0000-0000167B0000}"/>
    <cellStyle name="Normal 5 10 2 14 4" xfId="31527" xr:uid="{00000000-0005-0000-0000-0000177B0000}"/>
    <cellStyle name="Normal 5 10 2 14 4 10" xfId="31528" xr:uid="{00000000-0005-0000-0000-0000187B0000}"/>
    <cellStyle name="Normal 5 10 2 14 4 2" xfId="31529" xr:uid="{00000000-0005-0000-0000-0000197B0000}"/>
    <cellStyle name="Normal 5 10 2 14 4 3" xfId="31530" xr:uid="{00000000-0005-0000-0000-00001A7B0000}"/>
    <cellStyle name="Normal 5 10 2 14 4 4" xfId="31531" xr:uid="{00000000-0005-0000-0000-00001B7B0000}"/>
    <cellStyle name="Normal 5 10 2 14 4 5" xfId="31532" xr:uid="{00000000-0005-0000-0000-00001C7B0000}"/>
    <cellStyle name="Normal 5 10 2 14 4 6" xfId="31533" xr:uid="{00000000-0005-0000-0000-00001D7B0000}"/>
    <cellStyle name="Normal 5 10 2 14 4 7" xfId="31534" xr:uid="{00000000-0005-0000-0000-00001E7B0000}"/>
    <cellStyle name="Normal 5 10 2 14 4 8" xfId="31535" xr:uid="{00000000-0005-0000-0000-00001F7B0000}"/>
    <cellStyle name="Normal 5 10 2 14 4 9" xfId="31536" xr:uid="{00000000-0005-0000-0000-0000207B0000}"/>
    <cellStyle name="Normal 5 10 2 14 5" xfId="31537" xr:uid="{00000000-0005-0000-0000-0000217B0000}"/>
    <cellStyle name="Normal 5 10 2 14 5 10" xfId="31538" xr:uid="{00000000-0005-0000-0000-0000227B0000}"/>
    <cellStyle name="Normal 5 10 2 14 5 2" xfId="31539" xr:uid="{00000000-0005-0000-0000-0000237B0000}"/>
    <cellStyle name="Normal 5 10 2 14 5 3" xfId="31540" xr:uid="{00000000-0005-0000-0000-0000247B0000}"/>
    <cellStyle name="Normal 5 10 2 14 5 4" xfId="31541" xr:uid="{00000000-0005-0000-0000-0000257B0000}"/>
    <cellStyle name="Normal 5 10 2 14 5 5" xfId="31542" xr:uid="{00000000-0005-0000-0000-0000267B0000}"/>
    <cellStyle name="Normal 5 10 2 14 5 6" xfId="31543" xr:uid="{00000000-0005-0000-0000-0000277B0000}"/>
    <cellStyle name="Normal 5 10 2 14 5 7" xfId="31544" xr:uid="{00000000-0005-0000-0000-0000287B0000}"/>
    <cellStyle name="Normal 5 10 2 14 5 8" xfId="31545" xr:uid="{00000000-0005-0000-0000-0000297B0000}"/>
    <cellStyle name="Normal 5 10 2 14 5 9" xfId="31546" xr:uid="{00000000-0005-0000-0000-00002A7B0000}"/>
    <cellStyle name="Normal 5 10 2 14 6" xfId="31547" xr:uid="{00000000-0005-0000-0000-00002B7B0000}"/>
    <cellStyle name="Normal 5 10 2 14 7" xfId="31548" xr:uid="{00000000-0005-0000-0000-00002C7B0000}"/>
    <cellStyle name="Normal 5 10 2 14 8" xfId="31549" xr:uid="{00000000-0005-0000-0000-00002D7B0000}"/>
    <cellStyle name="Normal 5 10 2 14 9" xfId="31550" xr:uid="{00000000-0005-0000-0000-00002E7B0000}"/>
    <cellStyle name="Normal 5 10 2 15" xfId="31551" xr:uid="{00000000-0005-0000-0000-00002F7B0000}"/>
    <cellStyle name="Normal 5 10 2 15 10" xfId="31552" xr:uid="{00000000-0005-0000-0000-0000307B0000}"/>
    <cellStyle name="Normal 5 10 2 15 11" xfId="31553" xr:uid="{00000000-0005-0000-0000-0000317B0000}"/>
    <cellStyle name="Normal 5 10 2 15 12" xfId="31554" xr:uid="{00000000-0005-0000-0000-0000327B0000}"/>
    <cellStyle name="Normal 5 10 2 15 13" xfId="31555" xr:uid="{00000000-0005-0000-0000-0000337B0000}"/>
    <cellStyle name="Normal 5 10 2 15 14" xfId="31556" xr:uid="{00000000-0005-0000-0000-0000347B0000}"/>
    <cellStyle name="Normal 5 10 2 15 2" xfId="31557" xr:uid="{00000000-0005-0000-0000-0000357B0000}"/>
    <cellStyle name="Normal 5 10 2 15 2 10" xfId="31558" xr:uid="{00000000-0005-0000-0000-0000367B0000}"/>
    <cellStyle name="Normal 5 10 2 15 2 2" xfId="31559" xr:uid="{00000000-0005-0000-0000-0000377B0000}"/>
    <cellStyle name="Normal 5 10 2 15 2 3" xfId="31560" xr:uid="{00000000-0005-0000-0000-0000387B0000}"/>
    <cellStyle name="Normal 5 10 2 15 2 4" xfId="31561" xr:uid="{00000000-0005-0000-0000-0000397B0000}"/>
    <cellStyle name="Normal 5 10 2 15 2 5" xfId="31562" xr:uid="{00000000-0005-0000-0000-00003A7B0000}"/>
    <cellStyle name="Normal 5 10 2 15 2 6" xfId="31563" xr:uid="{00000000-0005-0000-0000-00003B7B0000}"/>
    <cellStyle name="Normal 5 10 2 15 2 7" xfId="31564" xr:uid="{00000000-0005-0000-0000-00003C7B0000}"/>
    <cellStyle name="Normal 5 10 2 15 2 8" xfId="31565" xr:uid="{00000000-0005-0000-0000-00003D7B0000}"/>
    <cellStyle name="Normal 5 10 2 15 2 9" xfId="31566" xr:uid="{00000000-0005-0000-0000-00003E7B0000}"/>
    <cellStyle name="Normal 5 10 2 15 3" xfId="31567" xr:uid="{00000000-0005-0000-0000-00003F7B0000}"/>
    <cellStyle name="Normal 5 10 2 15 3 10" xfId="31568" xr:uid="{00000000-0005-0000-0000-0000407B0000}"/>
    <cellStyle name="Normal 5 10 2 15 3 2" xfId="31569" xr:uid="{00000000-0005-0000-0000-0000417B0000}"/>
    <cellStyle name="Normal 5 10 2 15 3 3" xfId="31570" xr:uid="{00000000-0005-0000-0000-0000427B0000}"/>
    <cellStyle name="Normal 5 10 2 15 3 4" xfId="31571" xr:uid="{00000000-0005-0000-0000-0000437B0000}"/>
    <cellStyle name="Normal 5 10 2 15 3 5" xfId="31572" xr:uid="{00000000-0005-0000-0000-0000447B0000}"/>
    <cellStyle name="Normal 5 10 2 15 3 6" xfId="31573" xr:uid="{00000000-0005-0000-0000-0000457B0000}"/>
    <cellStyle name="Normal 5 10 2 15 3 7" xfId="31574" xr:uid="{00000000-0005-0000-0000-0000467B0000}"/>
    <cellStyle name="Normal 5 10 2 15 3 8" xfId="31575" xr:uid="{00000000-0005-0000-0000-0000477B0000}"/>
    <cellStyle name="Normal 5 10 2 15 3 9" xfId="31576" xr:uid="{00000000-0005-0000-0000-0000487B0000}"/>
    <cellStyle name="Normal 5 10 2 15 4" xfId="31577" xr:uid="{00000000-0005-0000-0000-0000497B0000}"/>
    <cellStyle name="Normal 5 10 2 15 4 10" xfId="31578" xr:uid="{00000000-0005-0000-0000-00004A7B0000}"/>
    <cellStyle name="Normal 5 10 2 15 4 2" xfId="31579" xr:uid="{00000000-0005-0000-0000-00004B7B0000}"/>
    <cellStyle name="Normal 5 10 2 15 4 3" xfId="31580" xr:uid="{00000000-0005-0000-0000-00004C7B0000}"/>
    <cellStyle name="Normal 5 10 2 15 4 4" xfId="31581" xr:uid="{00000000-0005-0000-0000-00004D7B0000}"/>
    <cellStyle name="Normal 5 10 2 15 4 5" xfId="31582" xr:uid="{00000000-0005-0000-0000-00004E7B0000}"/>
    <cellStyle name="Normal 5 10 2 15 4 6" xfId="31583" xr:uid="{00000000-0005-0000-0000-00004F7B0000}"/>
    <cellStyle name="Normal 5 10 2 15 4 7" xfId="31584" xr:uid="{00000000-0005-0000-0000-0000507B0000}"/>
    <cellStyle name="Normal 5 10 2 15 4 8" xfId="31585" xr:uid="{00000000-0005-0000-0000-0000517B0000}"/>
    <cellStyle name="Normal 5 10 2 15 4 9" xfId="31586" xr:uid="{00000000-0005-0000-0000-0000527B0000}"/>
    <cellStyle name="Normal 5 10 2 15 5" xfId="31587" xr:uid="{00000000-0005-0000-0000-0000537B0000}"/>
    <cellStyle name="Normal 5 10 2 15 5 10" xfId="31588" xr:uid="{00000000-0005-0000-0000-0000547B0000}"/>
    <cellStyle name="Normal 5 10 2 15 5 2" xfId="31589" xr:uid="{00000000-0005-0000-0000-0000557B0000}"/>
    <cellStyle name="Normal 5 10 2 15 5 3" xfId="31590" xr:uid="{00000000-0005-0000-0000-0000567B0000}"/>
    <cellStyle name="Normal 5 10 2 15 5 4" xfId="31591" xr:uid="{00000000-0005-0000-0000-0000577B0000}"/>
    <cellStyle name="Normal 5 10 2 15 5 5" xfId="31592" xr:uid="{00000000-0005-0000-0000-0000587B0000}"/>
    <cellStyle name="Normal 5 10 2 15 5 6" xfId="31593" xr:uid="{00000000-0005-0000-0000-0000597B0000}"/>
    <cellStyle name="Normal 5 10 2 15 5 7" xfId="31594" xr:uid="{00000000-0005-0000-0000-00005A7B0000}"/>
    <cellStyle name="Normal 5 10 2 15 5 8" xfId="31595" xr:uid="{00000000-0005-0000-0000-00005B7B0000}"/>
    <cellStyle name="Normal 5 10 2 15 5 9" xfId="31596" xr:uid="{00000000-0005-0000-0000-00005C7B0000}"/>
    <cellStyle name="Normal 5 10 2 15 6" xfId="31597" xr:uid="{00000000-0005-0000-0000-00005D7B0000}"/>
    <cellStyle name="Normal 5 10 2 15 7" xfId="31598" xr:uid="{00000000-0005-0000-0000-00005E7B0000}"/>
    <cellStyle name="Normal 5 10 2 15 8" xfId="31599" xr:uid="{00000000-0005-0000-0000-00005F7B0000}"/>
    <cellStyle name="Normal 5 10 2 15 9" xfId="31600" xr:uid="{00000000-0005-0000-0000-0000607B0000}"/>
    <cellStyle name="Normal 5 10 2 16" xfId="31601" xr:uid="{00000000-0005-0000-0000-0000617B0000}"/>
    <cellStyle name="Normal 5 10 2 16 10" xfId="31602" xr:uid="{00000000-0005-0000-0000-0000627B0000}"/>
    <cellStyle name="Normal 5 10 2 16 11" xfId="31603" xr:uid="{00000000-0005-0000-0000-0000637B0000}"/>
    <cellStyle name="Normal 5 10 2 16 12" xfId="31604" xr:uid="{00000000-0005-0000-0000-0000647B0000}"/>
    <cellStyle name="Normal 5 10 2 16 13" xfId="31605" xr:uid="{00000000-0005-0000-0000-0000657B0000}"/>
    <cellStyle name="Normal 5 10 2 16 14" xfId="31606" xr:uid="{00000000-0005-0000-0000-0000667B0000}"/>
    <cellStyle name="Normal 5 10 2 16 2" xfId="31607" xr:uid="{00000000-0005-0000-0000-0000677B0000}"/>
    <cellStyle name="Normal 5 10 2 16 2 10" xfId="31608" xr:uid="{00000000-0005-0000-0000-0000687B0000}"/>
    <cellStyle name="Normal 5 10 2 16 2 2" xfId="31609" xr:uid="{00000000-0005-0000-0000-0000697B0000}"/>
    <cellStyle name="Normal 5 10 2 16 2 3" xfId="31610" xr:uid="{00000000-0005-0000-0000-00006A7B0000}"/>
    <cellStyle name="Normal 5 10 2 16 2 4" xfId="31611" xr:uid="{00000000-0005-0000-0000-00006B7B0000}"/>
    <cellStyle name="Normal 5 10 2 16 2 5" xfId="31612" xr:uid="{00000000-0005-0000-0000-00006C7B0000}"/>
    <cellStyle name="Normal 5 10 2 16 2 6" xfId="31613" xr:uid="{00000000-0005-0000-0000-00006D7B0000}"/>
    <cellStyle name="Normal 5 10 2 16 2 7" xfId="31614" xr:uid="{00000000-0005-0000-0000-00006E7B0000}"/>
    <cellStyle name="Normal 5 10 2 16 2 8" xfId="31615" xr:uid="{00000000-0005-0000-0000-00006F7B0000}"/>
    <cellStyle name="Normal 5 10 2 16 2 9" xfId="31616" xr:uid="{00000000-0005-0000-0000-0000707B0000}"/>
    <cellStyle name="Normal 5 10 2 16 3" xfId="31617" xr:uid="{00000000-0005-0000-0000-0000717B0000}"/>
    <cellStyle name="Normal 5 10 2 16 3 10" xfId="31618" xr:uid="{00000000-0005-0000-0000-0000727B0000}"/>
    <cellStyle name="Normal 5 10 2 16 3 2" xfId="31619" xr:uid="{00000000-0005-0000-0000-0000737B0000}"/>
    <cellStyle name="Normal 5 10 2 16 3 3" xfId="31620" xr:uid="{00000000-0005-0000-0000-0000747B0000}"/>
    <cellStyle name="Normal 5 10 2 16 3 4" xfId="31621" xr:uid="{00000000-0005-0000-0000-0000757B0000}"/>
    <cellStyle name="Normal 5 10 2 16 3 5" xfId="31622" xr:uid="{00000000-0005-0000-0000-0000767B0000}"/>
    <cellStyle name="Normal 5 10 2 16 3 6" xfId="31623" xr:uid="{00000000-0005-0000-0000-0000777B0000}"/>
    <cellStyle name="Normal 5 10 2 16 3 7" xfId="31624" xr:uid="{00000000-0005-0000-0000-0000787B0000}"/>
    <cellStyle name="Normal 5 10 2 16 3 8" xfId="31625" xr:uid="{00000000-0005-0000-0000-0000797B0000}"/>
    <cellStyle name="Normal 5 10 2 16 3 9" xfId="31626" xr:uid="{00000000-0005-0000-0000-00007A7B0000}"/>
    <cellStyle name="Normal 5 10 2 16 4" xfId="31627" xr:uid="{00000000-0005-0000-0000-00007B7B0000}"/>
    <cellStyle name="Normal 5 10 2 16 4 10" xfId="31628" xr:uid="{00000000-0005-0000-0000-00007C7B0000}"/>
    <cellStyle name="Normal 5 10 2 16 4 2" xfId="31629" xr:uid="{00000000-0005-0000-0000-00007D7B0000}"/>
    <cellStyle name="Normal 5 10 2 16 4 3" xfId="31630" xr:uid="{00000000-0005-0000-0000-00007E7B0000}"/>
    <cellStyle name="Normal 5 10 2 16 4 4" xfId="31631" xr:uid="{00000000-0005-0000-0000-00007F7B0000}"/>
    <cellStyle name="Normal 5 10 2 16 4 5" xfId="31632" xr:uid="{00000000-0005-0000-0000-0000807B0000}"/>
    <cellStyle name="Normal 5 10 2 16 4 6" xfId="31633" xr:uid="{00000000-0005-0000-0000-0000817B0000}"/>
    <cellStyle name="Normal 5 10 2 16 4 7" xfId="31634" xr:uid="{00000000-0005-0000-0000-0000827B0000}"/>
    <cellStyle name="Normal 5 10 2 16 4 8" xfId="31635" xr:uid="{00000000-0005-0000-0000-0000837B0000}"/>
    <cellStyle name="Normal 5 10 2 16 4 9" xfId="31636" xr:uid="{00000000-0005-0000-0000-0000847B0000}"/>
    <cellStyle name="Normal 5 10 2 16 5" xfId="31637" xr:uid="{00000000-0005-0000-0000-0000857B0000}"/>
    <cellStyle name="Normal 5 10 2 16 5 10" xfId="31638" xr:uid="{00000000-0005-0000-0000-0000867B0000}"/>
    <cellStyle name="Normal 5 10 2 16 5 2" xfId="31639" xr:uid="{00000000-0005-0000-0000-0000877B0000}"/>
    <cellStyle name="Normal 5 10 2 16 5 3" xfId="31640" xr:uid="{00000000-0005-0000-0000-0000887B0000}"/>
    <cellStyle name="Normal 5 10 2 16 5 4" xfId="31641" xr:uid="{00000000-0005-0000-0000-0000897B0000}"/>
    <cellStyle name="Normal 5 10 2 16 5 5" xfId="31642" xr:uid="{00000000-0005-0000-0000-00008A7B0000}"/>
    <cellStyle name="Normal 5 10 2 16 5 6" xfId="31643" xr:uid="{00000000-0005-0000-0000-00008B7B0000}"/>
    <cellStyle name="Normal 5 10 2 16 5 7" xfId="31644" xr:uid="{00000000-0005-0000-0000-00008C7B0000}"/>
    <cellStyle name="Normal 5 10 2 16 5 8" xfId="31645" xr:uid="{00000000-0005-0000-0000-00008D7B0000}"/>
    <cellStyle name="Normal 5 10 2 16 5 9" xfId="31646" xr:uid="{00000000-0005-0000-0000-00008E7B0000}"/>
    <cellStyle name="Normal 5 10 2 16 6" xfId="31647" xr:uid="{00000000-0005-0000-0000-00008F7B0000}"/>
    <cellStyle name="Normal 5 10 2 16 7" xfId="31648" xr:uid="{00000000-0005-0000-0000-0000907B0000}"/>
    <cellStyle name="Normal 5 10 2 16 8" xfId="31649" xr:uid="{00000000-0005-0000-0000-0000917B0000}"/>
    <cellStyle name="Normal 5 10 2 16 9" xfId="31650" xr:uid="{00000000-0005-0000-0000-0000927B0000}"/>
    <cellStyle name="Normal 5 10 2 17" xfId="31651" xr:uid="{00000000-0005-0000-0000-0000937B0000}"/>
    <cellStyle name="Normal 5 10 2 17 10" xfId="31652" xr:uid="{00000000-0005-0000-0000-0000947B0000}"/>
    <cellStyle name="Normal 5 10 2 17 11" xfId="31653" xr:uid="{00000000-0005-0000-0000-0000957B0000}"/>
    <cellStyle name="Normal 5 10 2 17 12" xfId="31654" xr:uid="{00000000-0005-0000-0000-0000967B0000}"/>
    <cellStyle name="Normal 5 10 2 17 13" xfId="31655" xr:uid="{00000000-0005-0000-0000-0000977B0000}"/>
    <cellStyle name="Normal 5 10 2 17 14" xfId="31656" xr:uid="{00000000-0005-0000-0000-0000987B0000}"/>
    <cellStyle name="Normal 5 10 2 17 2" xfId="31657" xr:uid="{00000000-0005-0000-0000-0000997B0000}"/>
    <cellStyle name="Normal 5 10 2 17 2 10" xfId="31658" xr:uid="{00000000-0005-0000-0000-00009A7B0000}"/>
    <cellStyle name="Normal 5 10 2 17 2 2" xfId="31659" xr:uid="{00000000-0005-0000-0000-00009B7B0000}"/>
    <cellStyle name="Normal 5 10 2 17 2 3" xfId="31660" xr:uid="{00000000-0005-0000-0000-00009C7B0000}"/>
    <cellStyle name="Normal 5 10 2 17 2 4" xfId="31661" xr:uid="{00000000-0005-0000-0000-00009D7B0000}"/>
    <cellStyle name="Normal 5 10 2 17 2 5" xfId="31662" xr:uid="{00000000-0005-0000-0000-00009E7B0000}"/>
    <cellStyle name="Normal 5 10 2 17 2 6" xfId="31663" xr:uid="{00000000-0005-0000-0000-00009F7B0000}"/>
    <cellStyle name="Normal 5 10 2 17 2 7" xfId="31664" xr:uid="{00000000-0005-0000-0000-0000A07B0000}"/>
    <cellStyle name="Normal 5 10 2 17 2 8" xfId="31665" xr:uid="{00000000-0005-0000-0000-0000A17B0000}"/>
    <cellStyle name="Normal 5 10 2 17 2 9" xfId="31666" xr:uid="{00000000-0005-0000-0000-0000A27B0000}"/>
    <cellStyle name="Normal 5 10 2 17 3" xfId="31667" xr:uid="{00000000-0005-0000-0000-0000A37B0000}"/>
    <cellStyle name="Normal 5 10 2 17 3 10" xfId="31668" xr:uid="{00000000-0005-0000-0000-0000A47B0000}"/>
    <cellStyle name="Normal 5 10 2 17 3 2" xfId="31669" xr:uid="{00000000-0005-0000-0000-0000A57B0000}"/>
    <cellStyle name="Normal 5 10 2 17 3 3" xfId="31670" xr:uid="{00000000-0005-0000-0000-0000A67B0000}"/>
    <cellStyle name="Normal 5 10 2 17 3 4" xfId="31671" xr:uid="{00000000-0005-0000-0000-0000A77B0000}"/>
    <cellStyle name="Normal 5 10 2 17 3 5" xfId="31672" xr:uid="{00000000-0005-0000-0000-0000A87B0000}"/>
    <cellStyle name="Normal 5 10 2 17 3 6" xfId="31673" xr:uid="{00000000-0005-0000-0000-0000A97B0000}"/>
    <cellStyle name="Normal 5 10 2 17 3 7" xfId="31674" xr:uid="{00000000-0005-0000-0000-0000AA7B0000}"/>
    <cellStyle name="Normal 5 10 2 17 3 8" xfId="31675" xr:uid="{00000000-0005-0000-0000-0000AB7B0000}"/>
    <cellStyle name="Normal 5 10 2 17 3 9" xfId="31676" xr:uid="{00000000-0005-0000-0000-0000AC7B0000}"/>
    <cellStyle name="Normal 5 10 2 17 4" xfId="31677" xr:uid="{00000000-0005-0000-0000-0000AD7B0000}"/>
    <cellStyle name="Normal 5 10 2 17 4 10" xfId="31678" xr:uid="{00000000-0005-0000-0000-0000AE7B0000}"/>
    <cellStyle name="Normal 5 10 2 17 4 2" xfId="31679" xr:uid="{00000000-0005-0000-0000-0000AF7B0000}"/>
    <cellStyle name="Normal 5 10 2 17 4 3" xfId="31680" xr:uid="{00000000-0005-0000-0000-0000B07B0000}"/>
    <cellStyle name="Normal 5 10 2 17 4 4" xfId="31681" xr:uid="{00000000-0005-0000-0000-0000B17B0000}"/>
    <cellStyle name="Normal 5 10 2 17 4 5" xfId="31682" xr:uid="{00000000-0005-0000-0000-0000B27B0000}"/>
    <cellStyle name="Normal 5 10 2 17 4 6" xfId="31683" xr:uid="{00000000-0005-0000-0000-0000B37B0000}"/>
    <cellStyle name="Normal 5 10 2 17 4 7" xfId="31684" xr:uid="{00000000-0005-0000-0000-0000B47B0000}"/>
    <cellStyle name="Normal 5 10 2 17 4 8" xfId="31685" xr:uid="{00000000-0005-0000-0000-0000B57B0000}"/>
    <cellStyle name="Normal 5 10 2 17 4 9" xfId="31686" xr:uid="{00000000-0005-0000-0000-0000B67B0000}"/>
    <cellStyle name="Normal 5 10 2 17 5" xfId="31687" xr:uid="{00000000-0005-0000-0000-0000B77B0000}"/>
    <cellStyle name="Normal 5 10 2 17 5 10" xfId="31688" xr:uid="{00000000-0005-0000-0000-0000B87B0000}"/>
    <cellStyle name="Normal 5 10 2 17 5 2" xfId="31689" xr:uid="{00000000-0005-0000-0000-0000B97B0000}"/>
    <cellStyle name="Normal 5 10 2 17 5 3" xfId="31690" xr:uid="{00000000-0005-0000-0000-0000BA7B0000}"/>
    <cellStyle name="Normal 5 10 2 17 5 4" xfId="31691" xr:uid="{00000000-0005-0000-0000-0000BB7B0000}"/>
    <cellStyle name="Normal 5 10 2 17 5 5" xfId="31692" xr:uid="{00000000-0005-0000-0000-0000BC7B0000}"/>
    <cellStyle name="Normal 5 10 2 17 5 6" xfId="31693" xr:uid="{00000000-0005-0000-0000-0000BD7B0000}"/>
    <cellStyle name="Normal 5 10 2 17 5 7" xfId="31694" xr:uid="{00000000-0005-0000-0000-0000BE7B0000}"/>
    <cellStyle name="Normal 5 10 2 17 5 8" xfId="31695" xr:uid="{00000000-0005-0000-0000-0000BF7B0000}"/>
    <cellStyle name="Normal 5 10 2 17 5 9" xfId="31696" xr:uid="{00000000-0005-0000-0000-0000C07B0000}"/>
    <cellStyle name="Normal 5 10 2 17 6" xfId="31697" xr:uid="{00000000-0005-0000-0000-0000C17B0000}"/>
    <cellStyle name="Normal 5 10 2 17 7" xfId="31698" xr:uid="{00000000-0005-0000-0000-0000C27B0000}"/>
    <cellStyle name="Normal 5 10 2 17 8" xfId="31699" xr:uid="{00000000-0005-0000-0000-0000C37B0000}"/>
    <cellStyle name="Normal 5 10 2 17 9" xfId="31700" xr:uid="{00000000-0005-0000-0000-0000C47B0000}"/>
    <cellStyle name="Normal 5 10 2 18" xfId="31701" xr:uid="{00000000-0005-0000-0000-0000C57B0000}"/>
    <cellStyle name="Normal 5 10 2 18 10" xfId="31702" xr:uid="{00000000-0005-0000-0000-0000C67B0000}"/>
    <cellStyle name="Normal 5 10 2 18 11" xfId="31703" xr:uid="{00000000-0005-0000-0000-0000C77B0000}"/>
    <cellStyle name="Normal 5 10 2 18 12" xfId="31704" xr:uid="{00000000-0005-0000-0000-0000C87B0000}"/>
    <cellStyle name="Normal 5 10 2 18 13" xfId="31705" xr:uid="{00000000-0005-0000-0000-0000C97B0000}"/>
    <cellStyle name="Normal 5 10 2 18 14" xfId="31706" xr:uid="{00000000-0005-0000-0000-0000CA7B0000}"/>
    <cellStyle name="Normal 5 10 2 18 2" xfId="31707" xr:uid="{00000000-0005-0000-0000-0000CB7B0000}"/>
    <cellStyle name="Normal 5 10 2 18 2 10" xfId="31708" xr:uid="{00000000-0005-0000-0000-0000CC7B0000}"/>
    <cellStyle name="Normal 5 10 2 18 2 2" xfId="31709" xr:uid="{00000000-0005-0000-0000-0000CD7B0000}"/>
    <cellStyle name="Normal 5 10 2 18 2 3" xfId="31710" xr:uid="{00000000-0005-0000-0000-0000CE7B0000}"/>
    <cellStyle name="Normal 5 10 2 18 2 4" xfId="31711" xr:uid="{00000000-0005-0000-0000-0000CF7B0000}"/>
    <cellStyle name="Normal 5 10 2 18 2 5" xfId="31712" xr:uid="{00000000-0005-0000-0000-0000D07B0000}"/>
    <cellStyle name="Normal 5 10 2 18 2 6" xfId="31713" xr:uid="{00000000-0005-0000-0000-0000D17B0000}"/>
    <cellStyle name="Normal 5 10 2 18 2 7" xfId="31714" xr:uid="{00000000-0005-0000-0000-0000D27B0000}"/>
    <cellStyle name="Normal 5 10 2 18 2 8" xfId="31715" xr:uid="{00000000-0005-0000-0000-0000D37B0000}"/>
    <cellStyle name="Normal 5 10 2 18 2 9" xfId="31716" xr:uid="{00000000-0005-0000-0000-0000D47B0000}"/>
    <cellStyle name="Normal 5 10 2 18 3" xfId="31717" xr:uid="{00000000-0005-0000-0000-0000D57B0000}"/>
    <cellStyle name="Normal 5 10 2 18 3 10" xfId="31718" xr:uid="{00000000-0005-0000-0000-0000D67B0000}"/>
    <cellStyle name="Normal 5 10 2 18 3 2" xfId="31719" xr:uid="{00000000-0005-0000-0000-0000D77B0000}"/>
    <cellStyle name="Normal 5 10 2 18 3 3" xfId="31720" xr:uid="{00000000-0005-0000-0000-0000D87B0000}"/>
    <cellStyle name="Normal 5 10 2 18 3 4" xfId="31721" xr:uid="{00000000-0005-0000-0000-0000D97B0000}"/>
    <cellStyle name="Normal 5 10 2 18 3 5" xfId="31722" xr:uid="{00000000-0005-0000-0000-0000DA7B0000}"/>
    <cellStyle name="Normal 5 10 2 18 3 6" xfId="31723" xr:uid="{00000000-0005-0000-0000-0000DB7B0000}"/>
    <cellStyle name="Normal 5 10 2 18 3 7" xfId="31724" xr:uid="{00000000-0005-0000-0000-0000DC7B0000}"/>
    <cellStyle name="Normal 5 10 2 18 3 8" xfId="31725" xr:uid="{00000000-0005-0000-0000-0000DD7B0000}"/>
    <cellStyle name="Normal 5 10 2 18 3 9" xfId="31726" xr:uid="{00000000-0005-0000-0000-0000DE7B0000}"/>
    <cellStyle name="Normal 5 10 2 18 4" xfId="31727" xr:uid="{00000000-0005-0000-0000-0000DF7B0000}"/>
    <cellStyle name="Normal 5 10 2 18 4 10" xfId="31728" xr:uid="{00000000-0005-0000-0000-0000E07B0000}"/>
    <cellStyle name="Normal 5 10 2 18 4 2" xfId="31729" xr:uid="{00000000-0005-0000-0000-0000E17B0000}"/>
    <cellStyle name="Normal 5 10 2 18 4 3" xfId="31730" xr:uid="{00000000-0005-0000-0000-0000E27B0000}"/>
    <cellStyle name="Normal 5 10 2 18 4 4" xfId="31731" xr:uid="{00000000-0005-0000-0000-0000E37B0000}"/>
    <cellStyle name="Normal 5 10 2 18 4 5" xfId="31732" xr:uid="{00000000-0005-0000-0000-0000E47B0000}"/>
    <cellStyle name="Normal 5 10 2 18 4 6" xfId="31733" xr:uid="{00000000-0005-0000-0000-0000E57B0000}"/>
    <cellStyle name="Normal 5 10 2 18 4 7" xfId="31734" xr:uid="{00000000-0005-0000-0000-0000E67B0000}"/>
    <cellStyle name="Normal 5 10 2 18 4 8" xfId="31735" xr:uid="{00000000-0005-0000-0000-0000E77B0000}"/>
    <cellStyle name="Normal 5 10 2 18 4 9" xfId="31736" xr:uid="{00000000-0005-0000-0000-0000E87B0000}"/>
    <cellStyle name="Normal 5 10 2 18 5" xfId="31737" xr:uid="{00000000-0005-0000-0000-0000E97B0000}"/>
    <cellStyle name="Normal 5 10 2 18 5 10" xfId="31738" xr:uid="{00000000-0005-0000-0000-0000EA7B0000}"/>
    <cellStyle name="Normal 5 10 2 18 5 2" xfId="31739" xr:uid="{00000000-0005-0000-0000-0000EB7B0000}"/>
    <cellStyle name="Normal 5 10 2 18 5 3" xfId="31740" xr:uid="{00000000-0005-0000-0000-0000EC7B0000}"/>
    <cellStyle name="Normal 5 10 2 18 5 4" xfId="31741" xr:uid="{00000000-0005-0000-0000-0000ED7B0000}"/>
    <cellStyle name="Normal 5 10 2 18 5 5" xfId="31742" xr:uid="{00000000-0005-0000-0000-0000EE7B0000}"/>
    <cellStyle name="Normal 5 10 2 18 5 6" xfId="31743" xr:uid="{00000000-0005-0000-0000-0000EF7B0000}"/>
    <cellStyle name="Normal 5 10 2 18 5 7" xfId="31744" xr:uid="{00000000-0005-0000-0000-0000F07B0000}"/>
    <cellStyle name="Normal 5 10 2 18 5 8" xfId="31745" xr:uid="{00000000-0005-0000-0000-0000F17B0000}"/>
    <cellStyle name="Normal 5 10 2 18 5 9" xfId="31746" xr:uid="{00000000-0005-0000-0000-0000F27B0000}"/>
    <cellStyle name="Normal 5 10 2 18 6" xfId="31747" xr:uid="{00000000-0005-0000-0000-0000F37B0000}"/>
    <cellStyle name="Normal 5 10 2 18 7" xfId="31748" xr:uid="{00000000-0005-0000-0000-0000F47B0000}"/>
    <cellStyle name="Normal 5 10 2 18 8" xfId="31749" xr:uid="{00000000-0005-0000-0000-0000F57B0000}"/>
    <cellStyle name="Normal 5 10 2 18 9" xfId="31750" xr:uid="{00000000-0005-0000-0000-0000F67B0000}"/>
    <cellStyle name="Normal 5 10 2 19" xfId="31751" xr:uid="{00000000-0005-0000-0000-0000F77B0000}"/>
    <cellStyle name="Normal 5 10 2 19 10" xfId="31752" xr:uid="{00000000-0005-0000-0000-0000F87B0000}"/>
    <cellStyle name="Normal 5 10 2 19 11" xfId="31753" xr:uid="{00000000-0005-0000-0000-0000F97B0000}"/>
    <cellStyle name="Normal 5 10 2 19 12" xfId="31754" xr:uid="{00000000-0005-0000-0000-0000FA7B0000}"/>
    <cellStyle name="Normal 5 10 2 19 13" xfId="31755" xr:uid="{00000000-0005-0000-0000-0000FB7B0000}"/>
    <cellStyle name="Normal 5 10 2 19 14" xfId="31756" xr:uid="{00000000-0005-0000-0000-0000FC7B0000}"/>
    <cellStyle name="Normal 5 10 2 19 2" xfId="31757" xr:uid="{00000000-0005-0000-0000-0000FD7B0000}"/>
    <cellStyle name="Normal 5 10 2 19 2 10" xfId="31758" xr:uid="{00000000-0005-0000-0000-0000FE7B0000}"/>
    <cellStyle name="Normal 5 10 2 19 2 2" xfId="31759" xr:uid="{00000000-0005-0000-0000-0000FF7B0000}"/>
    <cellStyle name="Normal 5 10 2 19 2 3" xfId="31760" xr:uid="{00000000-0005-0000-0000-0000007C0000}"/>
    <cellStyle name="Normal 5 10 2 19 2 4" xfId="31761" xr:uid="{00000000-0005-0000-0000-0000017C0000}"/>
    <cellStyle name="Normal 5 10 2 19 2 5" xfId="31762" xr:uid="{00000000-0005-0000-0000-0000027C0000}"/>
    <cellStyle name="Normal 5 10 2 19 2 6" xfId="31763" xr:uid="{00000000-0005-0000-0000-0000037C0000}"/>
    <cellStyle name="Normal 5 10 2 19 2 7" xfId="31764" xr:uid="{00000000-0005-0000-0000-0000047C0000}"/>
    <cellStyle name="Normal 5 10 2 19 2 8" xfId="31765" xr:uid="{00000000-0005-0000-0000-0000057C0000}"/>
    <cellStyle name="Normal 5 10 2 19 2 9" xfId="31766" xr:uid="{00000000-0005-0000-0000-0000067C0000}"/>
    <cellStyle name="Normal 5 10 2 19 3" xfId="31767" xr:uid="{00000000-0005-0000-0000-0000077C0000}"/>
    <cellStyle name="Normal 5 10 2 19 3 10" xfId="31768" xr:uid="{00000000-0005-0000-0000-0000087C0000}"/>
    <cellStyle name="Normal 5 10 2 19 3 2" xfId="31769" xr:uid="{00000000-0005-0000-0000-0000097C0000}"/>
    <cellStyle name="Normal 5 10 2 19 3 3" xfId="31770" xr:uid="{00000000-0005-0000-0000-00000A7C0000}"/>
    <cellStyle name="Normal 5 10 2 19 3 4" xfId="31771" xr:uid="{00000000-0005-0000-0000-00000B7C0000}"/>
    <cellStyle name="Normal 5 10 2 19 3 5" xfId="31772" xr:uid="{00000000-0005-0000-0000-00000C7C0000}"/>
    <cellStyle name="Normal 5 10 2 19 3 6" xfId="31773" xr:uid="{00000000-0005-0000-0000-00000D7C0000}"/>
    <cellStyle name="Normal 5 10 2 19 3 7" xfId="31774" xr:uid="{00000000-0005-0000-0000-00000E7C0000}"/>
    <cellStyle name="Normal 5 10 2 19 3 8" xfId="31775" xr:uid="{00000000-0005-0000-0000-00000F7C0000}"/>
    <cellStyle name="Normal 5 10 2 19 3 9" xfId="31776" xr:uid="{00000000-0005-0000-0000-0000107C0000}"/>
    <cellStyle name="Normal 5 10 2 19 4" xfId="31777" xr:uid="{00000000-0005-0000-0000-0000117C0000}"/>
    <cellStyle name="Normal 5 10 2 19 4 10" xfId="31778" xr:uid="{00000000-0005-0000-0000-0000127C0000}"/>
    <cellStyle name="Normal 5 10 2 19 4 2" xfId="31779" xr:uid="{00000000-0005-0000-0000-0000137C0000}"/>
    <cellStyle name="Normal 5 10 2 19 4 3" xfId="31780" xr:uid="{00000000-0005-0000-0000-0000147C0000}"/>
    <cellStyle name="Normal 5 10 2 19 4 4" xfId="31781" xr:uid="{00000000-0005-0000-0000-0000157C0000}"/>
    <cellStyle name="Normal 5 10 2 19 4 5" xfId="31782" xr:uid="{00000000-0005-0000-0000-0000167C0000}"/>
    <cellStyle name="Normal 5 10 2 19 4 6" xfId="31783" xr:uid="{00000000-0005-0000-0000-0000177C0000}"/>
    <cellStyle name="Normal 5 10 2 19 4 7" xfId="31784" xr:uid="{00000000-0005-0000-0000-0000187C0000}"/>
    <cellStyle name="Normal 5 10 2 19 4 8" xfId="31785" xr:uid="{00000000-0005-0000-0000-0000197C0000}"/>
    <cellStyle name="Normal 5 10 2 19 4 9" xfId="31786" xr:uid="{00000000-0005-0000-0000-00001A7C0000}"/>
    <cellStyle name="Normal 5 10 2 19 5" xfId="31787" xr:uid="{00000000-0005-0000-0000-00001B7C0000}"/>
    <cellStyle name="Normal 5 10 2 19 5 10" xfId="31788" xr:uid="{00000000-0005-0000-0000-00001C7C0000}"/>
    <cellStyle name="Normal 5 10 2 19 5 2" xfId="31789" xr:uid="{00000000-0005-0000-0000-00001D7C0000}"/>
    <cellStyle name="Normal 5 10 2 19 5 3" xfId="31790" xr:uid="{00000000-0005-0000-0000-00001E7C0000}"/>
    <cellStyle name="Normal 5 10 2 19 5 4" xfId="31791" xr:uid="{00000000-0005-0000-0000-00001F7C0000}"/>
    <cellStyle name="Normal 5 10 2 19 5 5" xfId="31792" xr:uid="{00000000-0005-0000-0000-0000207C0000}"/>
    <cellStyle name="Normal 5 10 2 19 5 6" xfId="31793" xr:uid="{00000000-0005-0000-0000-0000217C0000}"/>
    <cellStyle name="Normal 5 10 2 19 5 7" xfId="31794" xr:uid="{00000000-0005-0000-0000-0000227C0000}"/>
    <cellStyle name="Normal 5 10 2 19 5 8" xfId="31795" xr:uid="{00000000-0005-0000-0000-0000237C0000}"/>
    <cellStyle name="Normal 5 10 2 19 5 9" xfId="31796" xr:uid="{00000000-0005-0000-0000-0000247C0000}"/>
    <cellStyle name="Normal 5 10 2 19 6" xfId="31797" xr:uid="{00000000-0005-0000-0000-0000257C0000}"/>
    <cellStyle name="Normal 5 10 2 19 7" xfId="31798" xr:uid="{00000000-0005-0000-0000-0000267C0000}"/>
    <cellStyle name="Normal 5 10 2 19 8" xfId="31799" xr:uid="{00000000-0005-0000-0000-0000277C0000}"/>
    <cellStyle name="Normal 5 10 2 19 9" xfId="31800" xr:uid="{00000000-0005-0000-0000-0000287C0000}"/>
    <cellStyle name="Normal 5 10 2 2" xfId="31801" xr:uid="{00000000-0005-0000-0000-0000297C0000}"/>
    <cellStyle name="Normal 5 10 2 2 10" xfId="31802" xr:uid="{00000000-0005-0000-0000-00002A7C0000}"/>
    <cellStyle name="Normal 5 10 2 2 11" xfId="31803" xr:uid="{00000000-0005-0000-0000-00002B7C0000}"/>
    <cellStyle name="Normal 5 10 2 2 12" xfId="31804" xr:uid="{00000000-0005-0000-0000-00002C7C0000}"/>
    <cellStyle name="Normal 5 10 2 2 13" xfId="31805" xr:uid="{00000000-0005-0000-0000-00002D7C0000}"/>
    <cellStyle name="Normal 5 10 2 2 14" xfId="31806" xr:uid="{00000000-0005-0000-0000-00002E7C0000}"/>
    <cellStyle name="Normal 5 10 2 2 15" xfId="31807" xr:uid="{00000000-0005-0000-0000-00002F7C0000}"/>
    <cellStyle name="Normal 5 10 2 2 16" xfId="31808" xr:uid="{00000000-0005-0000-0000-0000307C0000}"/>
    <cellStyle name="Normal 5 10 2 2 2" xfId="31809" xr:uid="{00000000-0005-0000-0000-0000317C0000}"/>
    <cellStyle name="Normal 5 10 2 2 2 10" xfId="31810" xr:uid="{00000000-0005-0000-0000-0000327C0000}"/>
    <cellStyle name="Normal 5 10 2 2 2 2" xfId="31811" xr:uid="{00000000-0005-0000-0000-0000337C0000}"/>
    <cellStyle name="Normal 5 10 2 2 2 3" xfId="31812" xr:uid="{00000000-0005-0000-0000-0000347C0000}"/>
    <cellStyle name="Normal 5 10 2 2 2 4" xfId="31813" xr:uid="{00000000-0005-0000-0000-0000357C0000}"/>
    <cellStyle name="Normal 5 10 2 2 2 5" xfId="31814" xr:uid="{00000000-0005-0000-0000-0000367C0000}"/>
    <cellStyle name="Normal 5 10 2 2 2 6" xfId="31815" xr:uid="{00000000-0005-0000-0000-0000377C0000}"/>
    <cellStyle name="Normal 5 10 2 2 2 7" xfId="31816" xr:uid="{00000000-0005-0000-0000-0000387C0000}"/>
    <cellStyle name="Normal 5 10 2 2 2 8" xfId="31817" xr:uid="{00000000-0005-0000-0000-0000397C0000}"/>
    <cellStyle name="Normal 5 10 2 2 2 9" xfId="31818" xr:uid="{00000000-0005-0000-0000-00003A7C0000}"/>
    <cellStyle name="Normal 5 10 2 2 3" xfId="31819" xr:uid="{00000000-0005-0000-0000-00003B7C0000}"/>
    <cellStyle name="Normal 5 10 2 2 3 10" xfId="31820" xr:uid="{00000000-0005-0000-0000-00003C7C0000}"/>
    <cellStyle name="Normal 5 10 2 2 3 2" xfId="31821" xr:uid="{00000000-0005-0000-0000-00003D7C0000}"/>
    <cellStyle name="Normal 5 10 2 2 3 3" xfId="31822" xr:uid="{00000000-0005-0000-0000-00003E7C0000}"/>
    <cellStyle name="Normal 5 10 2 2 3 4" xfId="31823" xr:uid="{00000000-0005-0000-0000-00003F7C0000}"/>
    <cellStyle name="Normal 5 10 2 2 3 5" xfId="31824" xr:uid="{00000000-0005-0000-0000-0000407C0000}"/>
    <cellStyle name="Normal 5 10 2 2 3 6" xfId="31825" xr:uid="{00000000-0005-0000-0000-0000417C0000}"/>
    <cellStyle name="Normal 5 10 2 2 3 7" xfId="31826" xr:uid="{00000000-0005-0000-0000-0000427C0000}"/>
    <cellStyle name="Normal 5 10 2 2 3 8" xfId="31827" xr:uid="{00000000-0005-0000-0000-0000437C0000}"/>
    <cellStyle name="Normal 5 10 2 2 3 9" xfId="31828" xr:uid="{00000000-0005-0000-0000-0000447C0000}"/>
    <cellStyle name="Normal 5 10 2 2 4" xfId="31829" xr:uid="{00000000-0005-0000-0000-0000457C0000}"/>
    <cellStyle name="Normal 5 10 2 2 4 10" xfId="31830" xr:uid="{00000000-0005-0000-0000-0000467C0000}"/>
    <cellStyle name="Normal 5 10 2 2 4 2" xfId="31831" xr:uid="{00000000-0005-0000-0000-0000477C0000}"/>
    <cellStyle name="Normal 5 10 2 2 4 3" xfId="31832" xr:uid="{00000000-0005-0000-0000-0000487C0000}"/>
    <cellStyle name="Normal 5 10 2 2 4 4" xfId="31833" xr:uid="{00000000-0005-0000-0000-0000497C0000}"/>
    <cellStyle name="Normal 5 10 2 2 4 5" xfId="31834" xr:uid="{00000000-0005-0000-0000-00004A7C0000}"/>
    <cellStyle name="Normal 5 10 2 2 4 6" xfId="31835" xr:uid="{00000000-0005-0000-0000-00004B7C0000}"/>
    <cellStyle name="Normal 5 10 2 2 4 7" xfId="31836" xr:uid="{00000000-0005-0000-0000-00004C7C0000}"/>
    <cellStyle name="Normal 5 10 2 2 4 8" xfId="31837" xr:uid="{00000000-0005-0000-0000-00004D7C0000}"/>
    <cellStyle name="Normal 5 10 2 2 4 9" xfId="31838" xr:uid="{00000000-0005-0000-0000-00004E7C0000}"/>
    <cellStyle name="Normal 5 10 2 2 5" xfId="31839" xr:uid="{00000000-0005-0000-0000-00004F7C0000}"/>
    <cellStyle name="Normal 5 10 2 2 5 10" xfId="31840" xr:uid="{00000000-0005-0000-0000-0000507C0000}"/>
    <cellStyle name="Normal 5 10 2 2 5 2" xfId="31841" xr:uid="{00000000-0005-0000-0000-0000517C0000}"/>
    <cellStyle name="Normal 5 10 2 2 5 3" xfId="31842" xr:uid="{00000000-0005-0000-0000-0000527C0000}"/>
    <cellStyle name="Normal 5 10 2 2 5 4" xfId="31843" xr:uid="{00000000-0005-0000-0000-0000537C0000}"/>
    <cellStyle name="Normal 5 10 2 2 5 5" xfId="31844" xr:uid="{00000000-0005-0000-0000-0000547C0000}"/>
    <cellStyle name="Normal 5 10 2 2 5 6" xfId="31845" xr:uid="{00000000-0005-0000-0000-0000557C0000}"/>
    <cellStyle name="Normal 5 10 2 2 5 7" xfId="31846" xr:uid="{00000000-0005-0000-0000-0000567C0000}"/>
    <cellStyle name="Normal 5 10 2 2 5 8" xfId="31847" xr:uid="{00000000-0005-0000-0000-0000577C0000}"/>
    <cellStyle name="Normal 5 10 2 2 5 9" xfId="31848" xr:uid="{00000000-0005-0000-0000-0000587C0000}"/>
    <cellStyle name="Normal 5 10 2 2 6" xfId="31849" xr:uid="{00000000-0005-0000-0000-0000597C0000}"/>
    <cellStyle name="Normal 5 10 2 2 7" xfId="31850" xr:uid="{00000000-0005-0000-0000-00005A7C0000}"/>
    <cellStyle name="Normal 5 10 2 2 8" xfId="31851" xr:uid="{00000000-0005-0000-0000-00005B7C0000}"/>
    <cellStyle name="Normal 5 10 2 2 9" xfId="31852" xr:uid="{00000000-0005-0000-0000-00005C7C0000}"/>
    <cellStyle name="Normal 5 10 2 20" xfId="31853" xr:uid="{00000000-0005-0000-0000-00005D7C0000}"/>
    <cellStyle name="Normal 5 10 2 20 10" xfId="31854" xr:uid="{00000000-0005-0000-0000-00005E7C0000}"/>
    <cellStyle name="Normal 5 10 2 20 11" xfId="31855" xr:uid="{00000000-0005-0000-0000-00005F7C0000}"/>
    <cellStyle name="Normal 5 10 2 20 12" xfId="31856" xr:uid="{00000000-0005-0000-0000-0000607C0000}"/>
    <cellStyle name="Normal 5 10 2 20 13" xfId="31857" xr:uid="{00000000-0005-0000-0000-0000617C0000}"/>
    <cellStyle name="Normal 5 10 2 20 14" xfId="31858" xr:uid="{00000000-0005-0000-0000-0000627C0000}"/>
    <cellStyle name="Normal 5 10 2 20 2" xfId="31859" xr:uid="{00000000-0005-0000-0000-0000637C0000}"/>
    <cellStyle name="Normal 5 10 2 20 2 10" xfId="31860" xr:uid="{00000000-0005-0000-0000-0000647C0000}"/>
    <cellStyle name="Normal 5 10 2 20 2 2" xfId="31861" xr:uid="{00000000-0005-0000-0000-0000657C0000}"/>
    <cellStyle name="Normal 5 10 2 20 2 3" xfId="31862" xr:uid="{00000000-0005-0000-0000-0000667C0000}"/>
    <cellStyle name="Normal 5 10 2 20 2 4" xfId="31863" xr:uid="{00000000-0005-0000-0000-0000677C0000}"/>
    <cellStyle name="Normal 5 10 2 20 2 5" xfId="31864" xr:uid="{00000000-0005-0000-0000-0000687C0000}"/>
    <cellStyle name="Normal 5 10 2 20 2 6" xfId="31865" xr:uid="{00000000-0005-0000-0000-0000697C0000}"/>
    <cellStyle name="Normal 5 10 2 20 2 7" xfId="31866" xr:uid="{00000000-0005-0000-0000-00006A7C0000}"/>
    <cellStyle name="Normal 5 10 2 20 2 8" xfId="31867" xr:uid="{00000000-0005-0000-0000-00006B7C0000}"/>
    <cellStyle name="Normal 5 10 2 20 2 9" xfId="31868" xr:uid="{00000000-0005-0000-0000-00006C7C0000}"/>
    <cellStyle name="Normal 5 10 2 20 3" xfId="31869" xr:uid="{00000000-0005-0000-0000-00006D7C0000}"/>
    <cellStyle name="Normal 5 10 2 20 3 10" xfId="31870" xr:uid="{00000000-0005-0000-0000-00006E7C0000}"/>
    <cellStyle name="Normal 5 10 2 20 3 2" xfId="31871" xr:uid="{00000000-0005-0000-0000-00006F7C0000}"/>
    <cellStyle name="Normal 5 10 2 20 3 3" xfId="31872" xr:uid="{00000000-0005-0000-0000-0000707C0000}"/>
    <cellStyle name="Normal 5 10 2 20 3 4" xfId="31873" xr:uid="{00000000-0005-0000-0000-0000717C0000}"/>
    <cellStyle name="Normal 5 10 2 20 3 5" xfId="31874" xr:uid="{00000000-0005-0000-0000-0000727C0000}"/>
    <cellStyle name="Normal 5 10 2 20 3 6" xfId="31875" xr:uid="{00000000-0005-0000-0000-0000737C0000}"/>
    <cellStyle name="Normal 5 10 2 20 3 7" xfId="31876" xr:uid="{00000000-0005-0000-0000-0000747C0000}"/>
    <cellStyle name="Normal 5 10 2 20 3 8" xfId="31877" xr:uid="{00000000-0005-0000-0000-0000757C0000}"/>
    <cellStyle name="Normal 5 10 2 20 3 9" xfId="31878" xr:uid="{00000000-0005-0000-0000-0000767C0000}"/>
    <cellStyle name="Normal 5 10 2 20 4" xfId="31879" xr:uid="{00000000-0005-0000-0000-0000777C0000}"/>
    <cellStyle name="Normal 5 10 2 20 4 10" xfId="31880" xr:uid="{00000000-0005-0000-0000-0000787C0000}"/>
    <cellStyle name="Normal 5 10 2 20 4 2" xfId="31881" xr:uid="{00000000-0005-0000-0000-0000797C0000}"/>
    <cellStyle name="Normal 5 10 2 20 4 3" xfId="31882" xr:uid="{00000000-0005-0000-0000-00007A7C0000}"/>
    <cellStyle name="Normal 5 10 2 20 4 4" xfId="31883" xr:uid="{00000000-0005-0000-0000-00007B7C0000}"/>
    <cellStyle name="Normal 5 10 2 20 4 5" xfId="31884" xr:uid="{00000000-0005-0000-0000-00007C7C0000}"/>
    <cellStyle name="Normal 5 10 2 20 4 6" xfId="31885" xr:uid="{00000000-0005-0000-0000-00007D7C0000}"/>
    <cellStyle name="Normal 5 10 2 20 4 7" xfId="31886" xr:uid="{00000000-0005-0000-0000-00007E7C0000}"/>
    <cellStyle name="Normal 5 10 2 20 4 8" xfId="31887" xr:uid="{00000000-0005-0000-0000-00007F7C0000}"/>
    <cellStyle name="Normal 5 10 2 20 4 9" xfId="31888" xr:uid="{00000000-0005-0000-0000-0000807C0000}"/>
    <cellStyle name="Normal 5 10 2 20 5" xfId="31889" xr:uid="{00000000-0005-0000-0000-0000817C0000}"/>
    <cellStyle name="Normal 5 10 2 20 5 10" xfId="31890" xr:uid="{00000000-0005-0000-0000-0000827C0000}"/>
    <cellStyle name="Normal 5 10 2 20 5 2" xfId="31891" xr:uid="{00000000-0005-0000-0000-0000837C0000}"/>
    <cellStyle name="Normal 5 10 2 20 5 3" xfId="31892" xr:uid="{00000000-0005-0000-0000-0000847C0000}"/>
    <cellStyle name="Normal 5 10 2 20 5 4" xfId="31893" xr:uid="{00000000-0005-0000-0000-0000857C0000}"/>
    <cellStyle name="Normal 5 10 2 20 5 5" xfId="31894" xr:uid="{00000000-0005-0000-0000-0000867C0000}"/>
    <cellStyle name="Normal 5 10 2 20 5 6" xfId="31895" xr:uid="{00000000-0005-0000-0000-0000877C0000}"/>
    <cellStyle name="Normal 5 10 2 20 5 7" xfId="31896" xr:uid="{00000000-0005-0000-0000-0000887C0000}"/>
    <cellStyle name="Normal 5 10 2 20 5 8" xfId="31897" xr:uid="{00000000-0005-0000-0000-0000897C0000}"/>
    <cellStyle name="Normal 5 10 2 20 5 9" xfId="31898" xr:uid="{00000000-0005-0000-0000-00008A7C0000}"/>
    <cellStyle name="Normal 5 10 2 20 6" xfId="31899" xr:uid="{00000000-0005-0000-0000-00008B7C0000}"/>
    <cellStyle name="Normal 5 10 2 20 7" xfId="31900" xr:uid="{00000000-0005-0000-0000-00008C7C0000}"/>
    <cellStyle name="Normal 5 10 2 20 8" xfId="31901" xr:uid="{00000000-0005-0000-0000-00008D7C0000}"/>
    <cellStyle name="Normal 5 10 2 20 9" xfId="31902" xr:uid="{00000000-0005-0000-0000-00008E7C0000}"/>
    <cellStyle name="Normal 5 10 2 21" xfId="31903" xr:uid="{00000000-0005-0000-0000-00008F7C0000}"/>
    <cellStyle name="Normal 5 10 2 21 10" xfId="31904" xr:uid="{00000000-0005-0000-0000-0000907C0000}"/>
    <cellStyle name="Normal 5 10 2 21 11" xfId="31905" xr:uid="{00000000-0005-0000-0000-0000917C0000}"/>
    <cellStyle name="Normal 5 10 2 21 12" xfId="31906" xr:uid="{00000000-0005-0000-0000-0000927C0000}"/>
    <cellStyle name="Normal 5 10 2 21 13" xfId="31907" xr:uid="{00000000-0005-0000-0000-0000937C0000}"/>
    <cellStyle name="Normal 5 10 2 21 14" xfId="31908" xr:uid="{00000000-0005-0000-0000-0000947C0000}"/>
    <cellStyle name="Normal 5 10 2 21 2" xfId="31909" xr:uid="{00000000-0005-0000-0000-0000957C0000}"/>
    <cellStyle name="Normal 5 10 2 21 2 10" xfId="31910" xr:uid="{00000000-0005-0000-0000-0000967C0000}"/>
    <cellStyle name="Normal 5 10 2 21 2 2" xfId="31911" xr:uid="{00000000-0005-0000-0000-0000977C0000}"/>
    <cellStyle name="Normal 5 10 2 21 2 3" xfId="31912" xr:uid="{00000000-0005-0000-0000-0000987C0000}"/>
    <cellStyle name="Normal 5 10 2 21 2 4" xfId="31913" xr:uid="{00000000-0005-0000-0000-0000997C0000}"/>
    <cellStyle name="Normal 5 10 2 21 2 5" xfId="31914" xr:uid="{00000000-0005-0000-0000-00009A7C0000}"/>
    <cellStyle name="Normal 5 10 2 21 2 6" xfId="31915" xr:uid="{00000000-0005-0000-0000-00009B7C0000}"/>
    <cellStyle name="Normal 5 10 2 21 2 7" xfId="31916" xr:uid="{00000000-0005-0000-0000-00009C7C0000}"/>
    <cellStyle name="Normal 5 10 2 21 2 8" xfId="31917" xr:uid="{00000000-0005-0000-0000-00009D7C0000}"/>
    <cellStyle name="Normal 5 10 2 21 2 9" xfId="31918" xr:uid="{00000000-0005-0000-0000-00009E7C0000}"/>
    <cellStyle name="Normal 5 10 2 21 3" xfId="31919" xr:uid="{00000000-0005-0000-0000-00009F7C0000}"/>
    <cellStyle name="Normal 5 10 2 21 3 10" xfId="31920" xr:uid="{00000000-0005-0000-0000-0000A07C0000}"/>
    <cellStyle name="Normal 5 10 2 21 3 2" xfId="31921" xr:uid="{00000000-0005-0000-0000-0000A17C0000}"/>
    <cellStyle name="Normal 5 10 2 21 3 3" xfId="31922" xr:uid="{00000000-0005-0000-0000-0000A27C0000}"/>
    <cellStyle name="Normal 5 10 2 21 3 4" xfId="31923" xr:uid="{00000000-0005-0000-0000-0000A37C0000}"/>
    <cellStyle name="Normal 5 10 2 21 3 5" xfId="31924" xr:uid="{00000000-0005-0000-0000-0000A47C0000}"/>
    <cellStyle name="Normal 5 10 2 21 3 6" xfId="31925" xr:uid="{00000000-0005-0000-0000-0000A57C0000}"/>
    <cellStyle name="Normal 5 10 2 21 3 7" xfId="31926" xr:uid="{00000000-0005-0000-0000-0000A67C0000}"/>
    <cellStyle name="Normal 5 10 2 21 3 8" xfId="31927" xr:uid="{00000000-0005-0000-0000-0000A77C0000}"/>
    <cellStyle name="Normal 5 10 2 21 3 9" xfId="31928" xr:uid="{00000000-0005-0000-0000-0000A87C0000}"/>
    <cellStyle name="Normal 5 10 2 21 4" xfId="31929" xr:uid="{00000000-0005-0000-0000-0000A97C0000}"/>
    <cellStyle name="Normal 5 10 2 21 4 10" xfId="31930" xr:uid="{00000000-0005-0000-0000-0000AA7C0000}"/>
    <cellStyle name="Normal 5 10 2 21 4 2" xfId="31931" xr:uid="{00000000-0005-0000-0000-0000AB7C0000}"/>
    <cellStyle name="Normal 5 10 2 21 4 3" xfId="31932" xr:uid="{00000000-0005-0000-0000-0000AC7C0000}"/>
    <cellStyle name="Normal 5 10 2 21 4 4" xfId="31933" xr:uid="{00000000-0005-0000-0000-0000AD7C0000}"/>
    <cellStyle name="Normal 5 10 2 21 4 5" xfId="31934" xr:uid="{00000000-0005-0000-0000-0000AE7C0000}"/>
    <cellStyle name="Normal 5 10 2 21 4 6" xfId="31935" xr:uid="{00000000-0005-0000-0000-0000AF7C0000}"/>
    <cellStyle name="Normal 5 10 2 21 4 7" xfId="31936" xr:uid="{00000000-0005-0000-0000-0000B07C0000}"/>
    <cellStyle name="Normal 5 10 2 21 4 8" xfId="31937" xr:uid="{00000000-0005-0000-0000-0000B17C0000}"/>
    <cellStyle name="Normal 5 10 2 21 4 9" xfId="31938" xr:uid="{00000000-0005-0000-0000-0000B27C0000}"/>
    <cellStyle name="Normal 5 10 2 21 5" xfId="31939" xr:uid="{00000000-0005-0000-0000-0000B37C0000}"/>
    <cellStyle name="Normal 5 10 2 21 5 10" xfId="31940" xr:uid="{00000000-0005-0000-0000-0000B47C0000}"/>
    <cellStyle name="Normal 5 10 2 21 5 2" xfId="31941" xr:uid="{00000000-0005-0000-0000-0000B57C0000}"/>
    <cellStyle name="Normal 5 10 2 21 5 3" xfId="31942" xr:uid="{00000000-0005-0000-0000-0000B67C0000}"/>
    <cellStyle name="Normal 5 10 2 21 5 4" xfId="31943" xr:uid="{00000000-0005-0000-0000-0000B77C0000}"/>
    <cellStyle name="Normal 5 10 2 21 5 5" xfId="31944" xr:uid="{00000000-0005-0000-0000-0000B87C0000}"/>
    <cellStyle name="Normal 5 10 2 21 5 6" xfId="31945" xr:uid="{00000000-0005-0000-0000-0000B97C0000}"/>
    <cellStyle name="Normal 5 10 2 21 5 7" xfId="31946" xr:uid="{00000000-0005-0000-0000-0000BA7C0000}"/>
    <cellStyle name="Normal 5 10 2 21 5 8" xfId="31947" xr:uid="{00000000-0005-0000-0000-0000BB7C0000}"/>
    <cellStyle name="Normal 5 10 2 21 5 9" xfId="31948" xr:uid="{00000000-0005-0000-0000-0000BC7C0000}"/>
    <cellStyle name="Normal 5 10 2 21 6" xfId="31949" xr:uid="{00000000-0005-0000-0000-0000BD7C0000}"/>
    <cellStyle name="Normal 5 10 2 21 7" xfId="31950" xr:uid="{00000000-0005-0000-0000-0000BE7C0000}"/>
    <cellStyle name="Normal 5 10 2 21 8" xfId="31951" xr:uid="{00000000-0005-0000-0000-0000BF7C0000}"/>
    <cellStyle name="Normal 5 10 2 21 9" xfId="31952" xr:uid="{00000000-0005-0000-0000-0000C07C0000}"/>
    <cellStyle name="Normal 5 10 2 22" xfId="31953" xr:uid="{00000000-0005-0000-0000-0000C17C0000}"/>
    <cellStyle name="Normal 5 10 2 22 10" xfId="31954" xr:uid="{00000000-0005-0000-0000-0000C27C0000}"/>
    <cellStyle name="Normal 5 10 2 22 11" xfId="31955" xr:uid="{00000000-0005-0000-0000-0000C37C0000}"/>
    <cellStyle name="Normal 5 10 2 22 12" xfId="31956" xr:uid="{00000000-0005-0000-0000-0000C47C0000}"/>
    <cellStyle name="Normal 5 10 2 22 13" xfId="31957" xr:uid="{00000000-0005-0000-0000-0000C57C0000}"/>
    <cellStyle name="Normal 5 10 2 22 14" xfId="31958" xr:uid="{00000000-0005-0000-0000-0000C67C0000}"/>
    <cellStyle name="Normal 5 10 2 22 2" xfId="31959" xr:uid="{00000000-0005-0000-0000-0000C77C0000}"/>
    <cellStyle name="Normal 5 10 2 22 2 10" xfId="31960" xr:uid="{00000000-0005-0000-0000-0000C87C0000}"/>
    <cellStyle name="Normal 5 10 2 22 2 2" xfId="31961" xr:uid="{00000000-0005-0000-0000-0000C97C0000}"/>
    <cellStyle name="Normal 5 10 2 22 2 3" xfId="31962" xr:uid="{00000000-0005-0000-0000-0000CA7C0000}"/>
    <cellStyle name="Normal 5 10 2 22 2 4" xfId="31963" xr:uid="{00000000-0005-0000-0000-0000CB7C0000}"/>
    <cellStyle name="Normal 5 10 2 22 2 5" xfId="31964" xr:uid="{00000000-0005-0000-0000-0000CC7C0000}"/>
    <cellStyle name="Normal 5 10 2 22 2 6" xfId="31965" xr:uid="{00000000-0005-0000-0000-0000CD7C0000}"/>
    <cellStyle name="Normal 5 10 2 22 2 7" xfId="31966" xr:uid="{00000000-0005-0000-0000-0000CE7C0000}"/>
    <cellStyle name="Normal 5 10 2 22 2 8" xfId="31967" xr:uid="{00000000-0005-0000-0000-0000CF7C0000}"/>
    <cellStyle name="Normal 5 10 2 22 2 9" xfId="31968" xr:uid="{00000000-0005-0000-0000-0000D07C0000}"/>
    <cellStyle name="Normal 5 10 2 22 3" xfId="31969" xr:uid="{00000000-0005-0000-0000-0000D17C0000}"/>
    <cellStyle name="Normal 5 10 2 22 3 10" xfId="31970" xr:uid="{00000000-0005-0000-0000-0000D27C0000}"/>
    <cellStyle name="Normal 5 10 2 22 3 2" xfId="31971" xr:uid="{00000000-0005-0000-0000-0000D37C0000}"/>
    <cellStyle name="Normal 5 10 2 22 3 3" xfId="31972" xr:uid="{00000000-0005-0000-0000-0000D47C0000}"/>
    <cellStyle name="Normal 5 10 2 22 3 4" xfId="31973" xr:uid="{00000000-0005-0000-0000-0000D57C0000}"/>
    <cellStyle name="Normal 5 10 2 22 3 5" xfId="31974" xr:uid="{00000000-0005-0000-0000-0000D67C0000}"/>
    <cellStyle name="Normal 5 10 2 22 3 6" xfId="31975" xr:uid="{00000000-0005-0000-0000-0000D77C0000}"/>
    <cellStyle name="Normal 5 10 2 22 3 7" xfId="31976" xr:uid="{00000000-0005-0000-0000-0000D87C0000}"/>
    <cellStyle name="Normal 5 10 2 22 3 8" xfId="31977" xr:uid="{00000000-0005-0000-0000-0000D97C0000}"/>
    <cellStyle name="Normal 5 10 2 22 3 9" xfId="31978" xr:uid="{00000000-0005-0000-0000-0000DA7C0000}"/>
    <cellStyle name="Normal 5 10 2 22 4" xfId="31979" xr:uid="{00000000-0005-0000-0000-0000DB7C0000}"/>
    <cellStyle name="Normal 5 10 2 22 4 10" xfId="31980" xr:uid="{00000000-0005-0000-0000-0000DC7C0000}"/>
    <cellStyle name="Normal 5 10 2 22 4 2" xfId="31981" xr:uid="{00000000-0005-0000-0000-0000DD7C0000}"/>
    <cellStyle name="Normal 5 10 2 22 4 3" xfId="31982" xr:uid="{00000000-0005-0000-0000-0000DE7C0000}"/>
    <cellStyle name="Normal 5 10 2 22 4 4" xfId="31983" xr:uid="{00000000-0005-0000-0000-0000DF7C0000}"/>
    <cellStyle name="Normal 5 10 2 22 4 5" xfId="31984" xr:uid="{00000000-0005-0000-0000-0000E07C0000}"/>
    <cellStyle name="Normal 5 10 2 22 4 6" xfId="31985" xr:uid="{00000000-0005-0000-0000-0000E17C0000}"/>
    <cellStyle name="Normal 5 10 2 22 4 7" xfId="31986" xr:uid="{00000000-0005-0000-0000-0000E27C0000}"/>
    <cellStyle name="Normal 5 10 2 22 4 8" xfId="31987" xr:uid="{00000000-0005-0000-0000-0000E37C0000}"/>
    <cellStyle name="Normal 5 10 2 22 4 9" xfId="31988" xr:uid="{00000000-0005-0000-0000-0000E47C0000}"/>
    <cellStyle name="Normal 5 10 2 22 5" xfId="31989" xr:uid="{00000000-0005-0000-0000-0000E57C0000}"/>
    <cellStyle name="Normal 5 10 2 22 5 10" xfId="31990" xr:uid="{00000000-0005-0000-0000-0000E67C0000}"/>
    <cellStyle name="Normal 5 10 2 22 5 2" xfId="31991" xr:uid="{00000000-0005-0000-0000-0000E77C0000}"/>
    <cellStyle name="Normal 5 10 2 22 5 3" xfId="31992" xr:uid="{00000000-0005-0000-0000-0000E87C0000}"/>
    <cellStyle name="Normal 5 10 2 22 5 4" xfId="31993" xr:uid="{00000000-0005-0000-0000-0000E97C0000}"/>
    <cellStyle name="Normal 5 10 2 22 5 5" xfId="31994" xr:uid="{00000000-0005-0000-0000-0000EA7C0000}"/>
    <cellStyle name="Normal 5 10 2 22 5 6" xfId="31995" xr:uid="{00000000-0005-0000-0000-0000EB7C0000}"/>
    <cellStyle name="Normal 5 10 2 22 5 7" xfId="31996" xr:uid="{00000000-0005-0000-0000-0000EC7C0000}"/>
    <cellStyle name="Normal 5 10 2 22 5 8" xfId="31997" xr:uid="{00000000-0005-0000-0000-0000ED7C0000}"/>
    <cellStyle name="Normal 5 10 2 22 5 9" xfId="31998" xr:uid="{00000000-0005-0000-0000-0000EE7C0000}"/>
    <cellStyle name="Normal 5 10 2 22 6" xfId="31999" xr:uid="{00000000-0005-0000-0000-0000EF7C0000}"/>
    <cellStyle name="Normal 5 10 2 22 7" xfId="32000" xr:uid="{00000000-0005-0000-0000-0000F07C0000}"/>
    <cellStyle name="Normal 5 10 2 22 8" xfId="32001" xr:uid="{00000000-0005-0000-0000-0000F17C0000}"/>
    <cellStyle name="Normal 5 10 2 22 9" xfId="32002" xr:uid="{00000000-0005-0000-0000-0000F27C0000}"/>
    <cellStyle name="Normal 5 10 2 23" xfId="32003" xr:uid="{00000000-0005-0000-0000-0000F37C0000}"/>
    <cellStyle name="Normal 5 10 2 23 10" xfId="32004" xr:uid="{00000000-0005-0000-0000-0000F47C0000}"/>
    <cellStyle name="Normal 5 10 2 23 11" xfId="32005" xr:uid="{00000000-0005-0000-0000-0000F57C0000}"/>
    <cellStyle name="Normal 5 10 2 23 12" xfId="32006" xr:uid="{00000000-0005-0000-0000-0000F67C0000}"/>
    <cellStyle name="Normal 5 10 2 23 13" xfId="32007" xr:uid="{00000000-0005-0000-0000-0000F77C0000}"/>
    <cellStyle name="Normal 5 10 2 23 14" xfId="32008" xr:uid="{00000000-0005-0000-0000-0000F87C0000}"/>
    <cellStyle name="Normal 5 10 2 23 2" xfId="32009" xr:uid="{00000000-0005-0000-0000-0000F97C0000}"/>
    <cellStyle name="Normal 5 10 2 23 2 10" xfId="32010" xr:uid="{00000000-0005-0000-0000-0000FA7C0000}"/>
    <cellStyle name="Normal 5 10 2 23 2 2" xfId="32011" xr:uid="{00000000-0005-0000-0000-0000FB7C0000}"/>
    <cellStyle name="Normal 5 10 2 23 2 3" xfId="32012" xr:uid="{00000000-0005-0000-0000-0000FC7C0000}"/>
    <cellStyle name="Normal 5 10 2 23 2 4" xfId="32013" xr:uid="{00000000-0005-0000-0000-0000FD7C0000}"/>
    <cellStyle name="Normal 5 10 2 23 2 5" xfId="32014" xr:uid="{00000000-0005-0000-0000-0000FE7C0000}"/>
    <cellStyle name="Normal 5 10 2 23 2 6" xfId="32015" xr:uid="{00000000-0005-0000-0000-0000FF7C0000}"/>
    <cellStyle name="Normal 5 10 2 23 2 7" xfId="32016" xr:uid="{00000000-0005-0000-0000-0000007D0000}"/>
    <cellStyle name="Normal 5 10 2 23 2 8" xfId="32017" xr:uid="{00000000-0005-0000-0000-0000017D0000}"/>
    <cellStyle name="Normal 5 10 2 23 2 9" xfId="32018" xr:uid="{00000000-0005-0000-0000-0000027D0000}"/>
    <cellStyle name="Normal 5 10 2 23 3" xfId="32019" xr:uid="{00000000-0005-0000-0000-0000037D0000}"/>
    <cellStyle name="Normal 5 10 2 23 3 10" xfId="32020" xr:uid="{00000000-0005-0000-0000-0000047D0000}"/>
    <cellStyle name="Normal 5 10 2 23 3 2" xfId="32021" xr:uid="{00000000-0005-0000-0000-0000057D0000}"/>
    <cellStyle name="Normal 5 10 2 23 3 3" xfId="32022" xr:uid="{00000000-0005-0000-0000-0000067D0000}"/>
    <cellStyle name="Normal 5 10 2 23 3 4" xfId="32023" xr:uid="{00000000-0005-0000-0000-0000077D0000}"/>
    <cellStyle name="Normal 5 10 2 23 3 5" xfId="32024" xr:uid="{00000000-0005-0000-0000-0000087D0000}"/>
    <cellStyle name="Normal 5 10 2 23 3 6" xfId="32025" xr:uid="{00000000-0005-0000-0000-0000097D0000}"/>
    <cellStyle name="Normal 5 10 2 23 3 7" xfId="32026" xr:uid="{00000000-0005-0000-0000-00000A7D0000}"/>
    <cellStyle name="Normal 5 10 2 23 3 8" xfId="32027" xr:uid="{00000000-0005-0000-0000-00000B7D0000}"/>
    <cellStyle name="Normal 5 10 2 23 3 9" xfId="32028" xr:uid="{00000000-0005-0000-0000-00000C7D0000}"/>
    <cellStyle name="Normal 5 10 2 23 4" xfId="32029" xr:uid="{00000000-0005-0000-0000-00000D7D0000}"/>
    <cellStyle name="Normal 5 10 2 23 4 10" xfId="32030" xr:uid="{00000000-0005-0000-0000-00000E7D0000}"/>
    <cellStyle name="Normal 5 10 2 23 4 2" xfId="32031" xr:uid="{00000000-0005-0000-0000-00000F7D0000}"/>
    <cellStyle name="Normal 5 10 2 23 4 3" xfId="32032" xr:uid="{00000000-0005-0000-0000-0000107D0000}"/>
    <cellStyle name="Normal 5 10 2 23 4 4" xfId="32033" xr:uid="{00000000-0005-0000-0000-0000117D0000}"/>
    <cellStyle name="Normal 5 10 2 23 4 5" xfId="32034" xr:uid="{00000000-0005-0000-0000-0000127D0000}"/>
    <cellStyle name="Normal 5 10 2 23 4 6" xfId="32035" xr:uid="{00000000-0005-0000-0000-0000137D0000}"/>
    <cellStyle name="Normal 5 10 2 23 4 7" xfId="32036" xr:uid="{00000000-0005-0000-0000-0000147D0000}"/>
    <cellStyle name="Normal 5 10 2 23 4 8" xfId="32037" xr:uid="{00000000-0005-0000-0000-0000157D0000}"/>
    <cellStyle name="Normal 5 10 2 23 4 9" xfId="32038" xr:uid="{00000000-0005-0000-0000-0000167D0000}"/>
    <cellStyle name="Normal 5 10 2 23 5" xfId="32039" xr:uid="{00000000-0005-0000-0000-0000177D0000}"/>
    <cellStyle name="Normal 5 10 2 23 5 10" xfId="32040" xr:uid="{00000000-0005-0000-0000-0000187D0000}"/>
    <cellStyle name="Normal 5 10 2 23 5 2" xfId="32041" xr:uid="{00000000-0005-0000-0000-0000197D0000}"/>
    <cellStyle name="Normal 5 10 2 23 5 3" xfId="32042" xr:uid="{00000000-0005-0000-0000-00001A7D0000}"/>
    <cellStyle name="Normal 5 10 2 23 5 4" xfId="32043" xr:uid="{00000000-0005-0000-0000-00001B7D0000}"/>
    <cellStyle name="Normal 5 10 2 23 5 5" xfId="32044" xr:uid="{00000000-0005-0000-0000-00001C7D0000}"/>
    <cellStyle name="Normal 5 10 2 23 5 6" xfId="32045" xr:uid="{00000000-0005-0000-0000-00001D7D0000}"/>
    <cellStyle name="Normal 5 10 2 23 5 7" xfId="32046" xr:uid="{00000000-0005-0000-0000-00001E7D0000}"/>
    <cellStyle name="Normal 5 10 2 23 5 8" xfId="32047" xr:uid="{00000000-0005-0000-0000-00001F7D0000}"/>
    <cellStyle name="Normal 5 10 2 23 5 9" xfId="32048" xr:uid="{00000000-0005-0000-0000-0000207D0000}"/>
    <cellStyle name="Normal 5 10 2 23 6" xfId="32049" xr:uid="{00000000-0005-0000-0000-0000217D0000}"/>
    <cellStyle name="Normal 5 10 2 23 7" xfId="32050" xr:uid="{00000000-0005-0000-0000-0000227D0000}"/>
    <cellStyle name="Normal 5 10 2 23 8" xfId="32051" xr:uid="{00000000-0005-0000-0000-0000237D0000}"/>
    <cellStyle name="Normal 5 10 2 23 9" xfId="32052" xr:uid="{00000000-0005-0000-0000-0000247D0000}"/>
    <cellStyle name="Normal 5 10 2 24" xfId="32053" xr:uid="{00000000-0005-0000-0000-0000257D0000}"/>
    <cellStyle name="Normal 5 10 2 24 10" xfId="32054" xr:uid="{00000000-0005-0000-0000-0000267D0000}"/>
    <cellStyle name="Normal 5 10 2 24 11" xfId="32055" xr:uid="{00000000-0005-0000-0000-0000277D0000}"/>
    <cellStyle name="Normal 5 10 2 24 12" xfId="32056" xr:uid="{00000000-0005-0000-0000-0000287D0000}"/>
    <cellStyle name="Normal 5 10 2 24 13" xfId="32057" xr:uid="{00000000-0005-0000-0000-0000297D0000}"/>
    <cellStyle name="Normal 5 10 2 24 14" xfId="32058" xr:uid="{00000000-0005-0000-0000-00002A7D0000}"/>
    <cellStyle name="Normal 5 10 2 24 2" xfId="32059" xr:uid="{00000000-0005-0000-0000-00002B7D0000}"/>
    <cellStyle name="Normal 5 10 2 24 2 10" xfId="32060" xr:uid="{00000000-0005-0000-0000-00002C7D0000}"/>
    <cellStyle name="Normal 5 10 2 24 2 2" xfId="32061" xr:uid="{00000000-0005-0000-0000-00002D7D0000}"/>
    <cellStyle name="Normal 5 10 2 24 2 3" xfId="32062" xr:uid="{00000000-0005-0000-0000-00002E7D0000}"/>
    <cellStyle name="Normal 5 10 2 24 2 4" xfId="32063" xr:uid="{00000000-0005-0000-0000-00002F7D0000}"/>
    <cellStyle name="Normal 5 10 2 24 2 5" xfId="32064" xr:uid="{00000000-0005-0000-0000-0000307D0000}"/>
    <cellStyle name="Normal 5 10 2 24 2 6" xfId="32065" xr:uid="{00000000-0005-0000-0000-0000317D0000}"/>
    <cellStyle name="Normal 5 10 2 24 2 7" xfId="32066" xr:uid="{00000000-0005-0000-0000-0000327D0000}"/>
    <cellStyle name="Normal 5 10 2 24 2 8" xfId="32067" xr:uid="{00000000-0005-0000-0000-0000337D0000}"/>
    <cellStyle name="Normal 5 10 2 24 2 9" xfId="32068" xr:uid="{00000000-0005-0000-0000-0000347D0000}"/>
    <cellStyle name="Normal 5 10 2 24 3" xfId="32069" xr:uid="{00000000-0005-0000-0000-0000357D0000}"/>
    <cellStyle name="Normal 5 10 2 24 3 10" xfId="32070" xr:uid="{00000000-0005-0000-0000-0000367D0000}"/>
    <cellStyle name="Normal 5 10 2 24 3 2" xfId="32071" xr:uid="{00000000-0005-0000-0000-0000377D0000}"/>
    <cellStyle name="Normal 5 10 2 24 3 3" xfId="32072" xr:uid="{00000000-0005-0000-0000-0000387D0000}"/>
    <cellStyle name="Normal 5 10 2 24 3 4" xfId="32073" xr:uid="{00000000-0005-0000-0000-0000397D0000}"/>
    <cellStyle name="Normal 5 10 2 24 3 5" xfId="32074" xr:uid="{00000000-0005-0000-0000-00003A7D0000}"/>
    <cellStyle name="Normal 5 10 2 24 3 6" xfId="32075" xr:uid="{00000000-0005-0000-0000-00003B7D0000}"/>
    <cellStyle name="Normal 5 10 2 24 3 7" xfId="32076" xr:uid="{00000000-0005-0000-0000-00003C7D0000}"/>
    <cellStyle name="Normal 5 10 2 24 3 8" xfId="32077" xr:uid="{00000000-0005-0000-0000-00003D7D0000}"/>
    <cellStyle name="Normal 5 10 2 24 3 9" xfId="32078" xr:uid="{00000000-0005-0000-0000-00003E7D0000}"/>
    <cellStyle name="Normal 5 10 2 24 4" xfId="32079" xr:uid="{00000000-0005-0000-0000-00003F7D0000}"/>
    <cellStyle name="Normal 5 10 2 24 4 10" xfId="32080" xr:uid="{00000000-0005-0000-0000-0000407D0000}"/>
    <cellStyle name="Normal 5 10 2 24 4 2" xfId="32081" xr:uid="{00000000-0005-0000-0000-0000417D0000}"/>
    <cellStyle name="Normal 5 10 2 24 4 3" xfId="32082" xr:uid="{00000000-0005-0000-0000-0000427D0000}"/>
    <cellStyle name="Normal 5 10 2 24 4 4" xfId="32083" xr:uid="{00000000-0005-0000-0000-0000437D0000}"/>
    <cellStyle name="Normal 5 10 2 24 4 5" xfId="32084" xr:uid="{00000000-0005-0000-0000-0000447D0000}"/>
    <cellStyle name="Normal 5 10 2 24 4 6" xfId="32085" xr:uid="{00000000-0005-0000-0000-0000457D0000}"/>
    <cellStyle name="Normal 5 10 2 24 4 7" xfId="32086" xr:uid="{00000000-0005-0000-0000-0000467D0000}"/>
    <cellStyle name="Normal 5 10 2 24 4 8" xfId="32087" xr:uid="{00000000-0005-0000-0000-0000477D0000}"/>
    <cellStyle name="Normal 5 10 2 24 4 9" xfId="32088" xr:uid="{00000000-0005-0000-0000-0000487D0000}"/>
    <cellStyle name="Normal 5 10 2 24 5" xfId="32089" xr:uid="{00000000-0005-0000-0000-0000497D0000}"/>
    <cellStyle name="Normal 5 10 2 24 5 10" xfId="32090" xr:uid="{00000000-0005-0000-0000-00004A7D0000}"/>
    <cellStyle name="Normal 5 10 2 24 5 2" xfId="32091" xr:uid="{00000000-0005-0000-0000-00004B7D0000}"/>
    <cellStyle name="Normal 5 10 2 24 5 3" xfId="32092" xr:uid="{00000000-0005-0000-0000-00004C7D0000}"/>
    <cellStyle name="Normal 5 10 2 24 5 4" xfId="32093" xr:uid="{00000000-0005-0000-0000-00004D7D0000}"/>
    <cellStyle name="Normal 5 10 2 24 5 5" xfId="32094" xr:uid="{00000000-0005-0000-0000-00004E7D0000}"/>
    <cellStyle name="Normal 5 10 2 24 5 6" xfId="32095" xr:uid="{00000000-0005-0000-0000-00004F7D0000}"/>
    <cellStyle name="Normal 5 10 2 24 5 7" xfId="32096" xr:uid="{00000000-0005-0000-0000-0000507D0000}"/>
    <cellStyle name="Normal 5 10 2 24 5 8" xfId="32097" xr:uid="{00000000-0005-0000-0000-0000517D0000}"/>
    <cellStyle name="Normal 5 10 2 24 5 9" xfId="32098" xr:uid="{00000000-0005-0000-0000-0000527D0000}"/>
    <cellStyle name="Normal 5 10 2 24 6" xfId="32099" xr:uid="{00000000-0005-0000-0000-0000537D0000}"/>
    <cellStyle name="Normal 5 10 2 24 7" xfId="32100" xr:uid="{00000000-0005-0000-0000-0000547D0000}"/>
    <cellStyle name="Normal 5 10 2 24 8" xfId="32101" xr:uid="{00000000-0005-0000-0000-0000557D0000}"/>
    <cellStyle name="Normal 5 10 2 24 9" xfId="32102" xr:uid="{00000000-0005-0000-0000-0000567D0000}"/>
    <cellStyle name="Normal 5 10 2 25" xfId="32103" xr:uid="{00000000-0005-0000-0000-0000577D0000}"/>
    <cellStyle name="Normal 5 10 2 25 10" xfId="32104" xr:uid="{00000000-0005-0000-0000-0000587D0000}"/>
    <cellStyle name="Normal 5 10 2 25 11" xfId="32105" xr:uid="{00000000-0005-0000-0000-0000597D0000}"/>
    <cellStyle name="Normal 5 10 2 25 12" xfId="32106" xr:uid="{00000000-0005-0000-0000-00005A7D0000}"/>
    <cellStyle name="Normal 5 10 2 25 13" xfId="32107" xr:uid="{00000000-0005-0000-0000-00005B7D0000}"/>
    <cellStyle name="Normal 5 10 2 25 14" xfId="32108" xr:uid="{00000000-0005-0000-0000-00005C7D0000}"/>
    <cellStyle name="Normal 5 10 2 25 2" xfId="32109" xr:uid="{00000000-0005-0000-0000-00005D7D0000}"/>
    <cellStyle name="Normal 5 10 2 25 2 10" xfId="32110" xr:uid="{00000000-0005-0000-0000-00005E7D0000}"/>
    <cellStyle name="Normal 5 10 2 25 2 2" xfId="32111" xr:uid="{00000000-0005-0000-0000-00005F7D0000}"/>
    <cellStyle name="Normal 5 10 2 25 2 3" xfId="32112" xr:uid="{00000000-0005-0000-0000-0000607D0000}"/>
    <cellStyle name="Normal 5 10 2 25 2 4" xfId="32113" xr:uid="{00000000-0005-0000-0000-0000617D0000}"/>
    <cellStyle name="Normal 5 10 2 25 2 5" xfId="32114" xr:uid="{00000000-0005-0000-0000-0000627D0000}"/>
    <cellStyle name="Normal 5 10 2 25 2 6" xfId="32115" xr:uid="{00000000-0005-0000-0000-0000637D0000}"/>
    <cellStyle name="Normal 5 10 2 25 2 7" xfId="32116" xr:uid="{00000000-0005-0000-0000-0000647D0000}"/>
    <cellStyle name="Normal 5 10 2 25 2 8" xfId="32117" xr:uid="{00000000-0005-0000-0000-0000657D0000}"/>
    <cellStyle name="Normal 5 10 2 25 2 9" xfId="32118" xr:uid="{00000000-0005-0000-0000-0000667D0000}"/>
    <cellStyle name="Normal 5 10 2 25 3" xfId="32119" xr:uid="{00000000-0005-0000-0000-0000677D0000}"/>
    <cellStyle name="Normal 5 10 2 25 3 10" xfId="32120" xr:uid="{00000000-0005-0000-0000-0000687D0000}"/>
    <cellStyle name="Normal 5 10 2 25 3 2" xfId="32121" xr:uid="{00000000-0005-0000-0000-0000697D0000}"/>
    <cellStyle name="Normal 5 10 2 25 3 3" xfId="32122" xr:uid="{00000000-0005-0000-0000-00006A7D0000}"/>
    <cellStyle name="Normal 5 10 2 25 3 4" xfId="32123" xr:uid="{00000000-0005-0000-0000-00006B7D0000}"/>
    <cellStyle name="Normal 5 10 2 25 3 5" xfId="32124" xr:uid="{00000000-0005-0000-0000-00006C7D0000}"/>
    <cellStyle name="Normal 5 10 2 25 3 6" xfId="32125" xr:uid="{00000000-0005-0000-0000-00006D7D0000}"/>
    <cellStyle name="Normal 5 10 2 25 3 7" xfId="32126" xr:uid="{00000000-0005-0000-0000-00006E7D0000}"/>
    <cellStyle name="Normal 5 10 2 25 3 8" xfId="32127" xr:uid="{00000000-0005-0000-0000-00006F7D0000}"/>
    <cellStyle name="Normal 5 10 2 25 3 9" xfId="32128" xr:uid="{00000000-0005-0000-0000-0000707D0000}"/>
    <cellStyle name="Normal 5 10 2 25 4" xfId="32129" xr:uid="{00000000-0005-0000-0000-0000717D0000}"/>
    <cellStyle name="Normal 5 10 2 25 4 10" xfId="32130" xr:uid="{00000000-0005-0000-0000-0000727D0000}"/>
    <cellStyle name="Normal 5 10 2 25 4 2" xfId="32131" xr:uid="{00000000-0005-0000-0000-0000737D0000}"/>
    <cellStyle name="Normal 5 10 2 25 4 3" xfId="32132" xr:uid="{00000000-0005-0000-0000-0000747D0000}"/>
    <cellStyle name="Normal 5 10 2 25 4 4" xfId="32133" xr:uid="{00000000-0005-0000-0000-0000757D0000}"/>
    <cellStyle name="Normal 5 10 2 25 4 5" xfId="32134" xr:uid="{00000000-0005-0000-0000-0000767D0000}"/>
    <cellStyle name="Normal 5 10 2 25 4 6" xfId="32135" xr:uid="{00000000-0005-0000-0000-0000777D0000}"/>
    <cellStyle name="Normal 5 10 2 25 4 7" xfId="32136" xr:uid="{00000000-0005-0000-0000-0000787D0000}"/>
    <cellStyle name="Normal 5 10 2 25 4 8" xfId="32137" xr:uid="{00000000-0005-0000-0000-0000797D0000}"/>
    <cellStyle name="Normal 5 10 2 25 4 9" xfId="32138" xr:uid="{00000000-0005-0000-0000-00007A7D0000}"/>
    <cellStyle name="Normal 5 10 2 25 5" xfId="32139" xr:uid="{00000000-0005-0000-0000-00007B7D0000}"/>
    <cellStyle name="Normal 5 10 2 25 5 10" xfId="32140" xr:uid="{00000000-0005-0000-0000-00007C7D0000}"/>
    <cellStyle name="Normal 5 10 2 25 5 2" xfId="32141" xr:uid="{00000000-0005-0000-0000-00007D7D0000}"/>
    <cellStyle name="Normal 5 10 2 25 5 3" xfId="32142" xr:uid="{00000000-0005-0000-0000-00007E7D0000}"/>
    <cellStyle name="Normal 5 10 2 25 5 4" xfId="32143" xr:uid="{00000000-0005-0000-0000-00007F7D0000}"/>
    <cellStyle name="Normal 5 10 2 25 5 5" xfId="32144" xr:uid="{00000000-0005-0000-0000-0000807D0000}"/>
    <cellStyle name="Normal 5 10 2 25 5 6" xfId="32145" xr:uid="{00000000-0005-0000-0000-0000817D0000}"/>
    <cellStyle name="Normal 5 10 2 25 5 7" xfId="32146" xr:uid="{00000000-0005-0000-0000-0000827D0000}"/>
    <cellStyle name="Normal 5 10 2 25 5 8" xfId="32147" xr:uid="{00000000-0005-0000-0000-0000837D0000}"/>
    <cellStyle name="Normal 5 10 2 25 5 9" xfId="32148" xr:uid="{00000000-0005-0000-0000-0000847D0000}"/>
    <cellStyle name="Normal 5 10 2 25 6" xfId="32149" xr:uid="{00000000-0005-0000-0000-0000857D0000}"/>
    <cellStyle name="Normal 5 10 2 25 7" xfId="32150" xr:uid="{00000000-0005-0000-0000-0000867D0000}"/>
    <cellStyle name="Normal 5 10 2 25 8" xfId="32151" xr:uid="{00000000-0005-0000-0000-0000877D0000}"/>
    <cellStyle name="Normal 5 10 2 25 9" xfId="32152" xr:uid="{00000000-0005-0000-0000-0000887D0000}"/>
    <cellStyle name="Normal 5 10 2 26" xfId="32153" xr:uid="{00000000-0005-0000-0000-0000897D0000}"/>
    <cellStyle name="Normal 5 10 2 26 10" xfId="32154" xr:uid="{00000000-0005-0000-0000-00008A7D0000}"/>
    <cellStyle name="Normal 5 10 2 26 11" xfId="32155" xr:uid="{00000000-0005-0000-0000-00008B7D0000}"/>
    <cellStyle name="Normal 5 10 2 26 12" xfId="32156" xr:uid="{00000000-0005-0000-0000-00008C7D0000}"/>
    <cellStyle name="Normal 5 10 2 26 13" xfId="32157" xr:uid="{00000000-0005-0000-0000-00008D7D0000}"/>
    <cellStyle name="Normal 5 10 2 26 14" xfId="32158" xr:uid="{00000000-0005-0000-0000-00008E7D0000}"/>
    <cellStyle name="Normal 5 10 2 26 2" xfId="32159" xr:uid="{00000000-0005-0000-0000-00008F7D0000}"/>
    <cellStyle name="Normal 5 10 2 26 2 10" xfId="32160" xr:uid="{00000000-0005-0000-0000-0000907D0000}"/>
    <cellStyle name="Normal 5 10 2 26 2 2" xfId="32161" xr:uid="{00000000-0005-0000-0000-0000917D0000}"/>
    <cellStyle name="Normal 5 10 2 26 2 3" xfId="32162" xr:uid="{00000000-0005-0000-0000-0000927D0000}"/>
    <cellStyle name="Normal 5 10 2 26 2 4" xfId="32163" xr:uid="{00000000-0005-0000-0000-0000937D0000}"/>
    <cellStyle name="Normal 5 10 2 26 2 5" xfId="32164" xr:uid="{00000000-0005-0000-0000-0000947D0000}"/>
    <cellStyle name="Normal 5 10 2 26 2 6" xfId="32165" xr:uid="{00000000-0005-0000-0000-0000957D0000}"/>
    <cellStyle name="Normal 5 10 2 26 2 7" xfId="32166" xr:uid="{00000000-0005-0000-0000-0000967D0000}"/>
    <cellStyle name="Normal 5 10 2 26 2 8" xfId="32167" xr:uid="{00000000-0005-0000-0000-0000977D0000}"/>
    <cellStyle name="Normal 5 10 2 26 2 9" xfId="32168" xr:uid="{00000000-0005-0000-0000-0000987D0000}"/>
    <cellStyle name="Normal 5 10 2 26 3" xfId="32169" xr:uid="{00000000-0005-0000-0000-0000997D0000}"/>
    <cellStyle name="Normal 5 10 2 26 3 10" xfId="32170" xr:uid="{00000000-0005-0000-0000-00009A7D0000}"/>
    <cellStyle name="Normal 5 10 2 26 3 2" xfId="32171" xr:uid="{00000000-0005-0000-0000-00009B7D0000}"/>
    <cellStyle name="Normal 5 10 2 26 3 3" xfId="32172" xr:uid="{00000000-0005-0000-0000-00009C7D0000}"/>
    <cellStyle name="Normal 5 10 2 26 3 4" xfId="32173" xr:uid="{00000000-0005-0000-0000-00009D7D0000}"/>
    <cellStyle name="Normal 5 10 2 26 3 5" xfId="32174" xr:uid="{00000000-0005-0000-0000-00009E7D0000}"/>
    <cellStyle name="Normal 5 10 2 26 3 6" xfId="32175" xr:uid="{00000000-0005-0000-0000-00009F7D0000}"/>
    <cellStyle name="Normal 5 10 2 26 3 7" xfId="32176" xr:uid="{00000000-0005-0000-0000-0000A07D0000}"/>
    <cellStyle name="Normal 5 10 2 26 3 8" xfId="32177" xr:uid="{00000000-0005-0000-0000-0000A17D0000}"/>
    <cellStyle name="Normal 5 10 2 26 3 9" xfId="32178" xr:uid="{00000000-0005-0000-0000-0000A27D0000}"/>
    <cellStyle name="Normal 5 10 2 26 4" xfId="32179" xr:uid="{00000000-0005-0000-0000-0000A37D0000}"/>
    <cellStyle name="Normal 5 10 2 26 4 10" xfId="32180" xr:uid="{00000000-0005-0000-0000-0000A47D0000}"/>
    <cellStyle name="Normal 5 10 2 26 4 2" xfId="32181" xr:uid="{00000000-0005-0000-0000-0000A57D0000}"/>
    <cellStyle name="Normal 5 10 2 26 4 3" xfId="32182" xr:uid="{00000000-0005-0000-0000-0000A67D0000}"/>
    <cellStyle name="Normal 5 10 2 26 4 4" xfId="32183" xr:uid="{00000000-0005-0000-0000-0000A77D0000}"/>
    <cellStyle name="Normal 5 10 2 26 4 5" xfId="32184" xr:uid="{00000000-0005-0000-0000-0000A87D0000}"/>
    <cellStyle name="Normal 5 10 2 26 4 6" xfId="32185" xr:uid="{00000000-0005-0000-0000-0000A97D0000}"/>
    <cellStyle name="Normal 5 10 2 26 4 7" xfId="32186" xr:uid="{00000000-0005-0000-0000-0000AA7D0000}"/>
    <cellStyle name="Normal 5 10 2 26 4 8" xfId="32187" xr:uid="{00000000-0005-0000-0000-0000AB7D0000}"/>
    <cellStyle name="Normal 5 10 2 26 4 9" xfId="32188" xr:uid="{00000000-0005-0000-0000-0000AC7D0000}"/>
    <cellStyle name="Normal 5 10 2 26 5" xfId="32189" xr:uid="{00000000-0005-0000-0000-0000AD7D0000}"/>
    <cellStyle name="Normal 5 10 2 26 5 10" xfId="32190" xr:uid="{00000000-0005-0000-0000-0000AE7D0000}"/>
    <cellStyle name="Normal 5 10 2 26 5 2" xfId="32191" xr:uid="{00000000-0005-0000-0000-0000AF7D0000}"/>
    <cellStyle name="Normal 5 10 2 26 5 3" xfId="32192" xr:uid="{00000000-0005-0000-0000-0000B07D0000}"/>
    <cellStyle name="Normal 5 10 2 26 5 4" xfId="32193" xr:uid="{00000000-0005-0000-0000-0000B17D0000}"/>
    <cellStyle name="Normal 5 10 2 26 5 5" xfId="32194" xr:uid="{00000000-0005-0000-0000-0000B27D0000}"/>
    <cellStyle name="Normal 5 10 2 26 5 6" xfId="32195" xr:uid="{00000000-0005-0000-0000-0000B37D0000}"/>
    <cellStyle name="Normal 5 10 2 26 5 7" xfId="32196" xr:uid="{00000000-0005-0000-0000-0000B47D0000}"/>
    <cellStyle name="Normal 5 10 2 26 5 8" xfId="32197" xr:uid="{00000000-0005-0000-0000-0000B57D0000}"/>
    <cellStyle name="Normal 5 10 2 26 5 9" xfId="32198" xr:uid="{00000000-0005-0000-0000-0000B67D0000}"/>
    <cellStyle name="Normal 5 10 2 26 6" xfId="32199" xr:uid="{00000000-0005-0000-0000-0000B77D0000}"/>
    <cellStyle name="Normal 5 10 2 26 7" xfId="32200" xr:uid="{00000000-0005-0000-0000-0000B87D0000}"/>
    <cellStyle name="Normal 5 10 2 26 8" xfId="32201" xr:uid="{00000000-0005-0000-0000-0000B97D0000}"/>
    <cellStyle name="Normal 5 10 2 26 9" xfId="32202" xr:uid="{00000000-0005-0000-0000-0000BA7D0000}"/>
    <cellStyle name="Normal 5 10 2 27" xfId="32203" xr:uid="{00000000-0005-0000-0000-0000BB7D0000}"/>
    <cellStyle name="Normal 5 10 2 27 10" xfId="32204" xr:uid="{00000000-0005-0000-0000-0000BC7D0000}"/>
    <cellStyle name="Normal 5 10 2 27 11" xfId="32205" xr:uid="{00000000-0005-0000-0000-0000BD7D0000}"/>
    <cellStyle name="Normal 5 10 2 27 12" xfId="32206" xr:uid="{00000000-0005-0000-0000-0000BE7D0000}"/>
    <cellStyle name="Normal 5 10 2 27 13" xfId="32207" xr:uid="{00000000-0005-0000-0000-0000BF7D0000}"/>
    <cellStyle name="Normal 5 10 2 27 14" xfId="32208" xr:uid="{00000000-0005-0000-0000-0000C07D0000}"/>
    <cellStyle name="Normal 5 10 2 27 2" xfId="32209" xr:uid="{00000000-0005-0000-0000-0000C17D0000}"/>
    <cellStyle name="Normal 5 10 2 27 2 10" xfId="32210" xr:uid="{00000000-0005-0000-0000-0000C27D0000}"/>
    <cellStyle name="Normal 5 10 2 27 2 2" xfId="32211" xr:uid="{00000000-0005-0000-0000-0000C37D0000}"/>
    <cellStyle name="Normal 5 10 2 27 2 3" xfId="32212" xr:uid="{00000000-0005-0000-0000-0000C47D0000}"/>
    <cellStyle name="Normal 5 10 2 27 2 4" xfId="32213" xr:uid="{00000000-0005-0000-0000-0000C57D0000}"/>
    <cellStyle name="Normal 5 10 2 27 2 5" xfId="32214" xr:uid="{00000000-0005-0000-0000-0000C67D0000}"/>
    <cellStyle name="Normal 5 10 2 27 2 6" xfId="32215" xr:uid="{00000000-0005-0000-0000-0000C77D0000}"/>
    <cellStyle name="Normal 5 10 2 27 2 7" xfId="32216" xr:uid="{00000000-0005-0000-0000-0000C87D0000}"/>
    <cellStyle name="Normal 5 10 2 27 2 8" xfId="32217" xr:uid="{00000000-0005-0000-0000-0000C97D0000}"/>
    <cellStyle name="Normal 5 10 2 27 2 9" xfId="32218" xr:uid="{00000000-0005-0000-0000-0000CA7D0000}"/>
    <cellStyle name="Normal 5 10 2 27 3" xfId="32219" xr:uid="{00000000-0005-0000-0000-0000CB7D0000}"/>
    <cellStyle name="Normal 5 10 2 27 3 10" xfId="32220" xr:uid="{00000000-0005-0000-0000-0000CC7D0000}"/>
    <cellStyle name="Normal 5 10 2 27 3 2" xfId="32221" xr:uid="{00000000-0005-0000-0000-0000CD7D0000}"/>
    <cellStyle name="Normal 5 10 2 27 3 3" xfId="32222" xr:uid="{00000000-0005-0000-0000-0000CE7D0000}"/>
    <cellStyle name="Normal 5 10 2 27 3 4" xfId="32223" xr:uid="{00000000-0005-0000-0000-0000CF7D0000}"/>
    <cellStyle name="Normal 5 10 2 27 3 5" xfId="32224" xr:uid="{00000000-0005-0000-0000-0000D07D0000}"/>
    <cellStyle name="Normal 5 10 2 27 3 6" xfId="32225" xr:uid="{00000000-0005-0000-0000-0000D17D0000}"/>
    <cellStyle name="Normal 5 10 2 27 3 7" xfId="32226" xr:uid="{00000000-0005-0000-0000-0000D27D0000}"/>
    <cellStyle name="Normal 5 10 2 27 3 8" xfId="32227" xr:uid="{00000000-0005-0000-0000-0000D37D0000}"/>
    <cellStyle name="Normal 5 10 2 27 3 9" xfId="32228" xr:uid="{00000000-0005-0000-0000-0000D47D0000}"/>
    <cellStyle name="Normal 5 10 2 27 4" xfId="32229" xr:uid="{00000000-0005-0000-0000-0000D57D0000}"/>
    <cellStyle name="Normal 5 10 2 27 4 10" xfId="32230" xr:uid="{00000000-0005-0000-0000-0000D67D0000}"/>
    <cellStyle name="Normal 5 10 2 27 4 2" xfId="32231" xr:uid="{00000000-0005-0000-0000-0000D77D0000}"/>
    <cellStyle name="Normal 5 10 2 27 4 3" xfId="32232" xr:uid="{00000000-0005-0000-0000-0000D87D0000}"/>
    <cellStyle name="Normal 5 10 2 27 4 4" xfId="32233" xr:uid="{00000000-0005-0000-0000-0000D97D0000}"/>
    <cellStyle name="Normal 5 10 2 27 4 5" xfId="32234" xr:uid="{00000000-0005-0000-0000-0000DA7D0000}"/>
    <cellStyle name="Normal 5 10 2 27 4 6" xfId="32235" xr:uid="{00000000-0005-0000-0000-0000DB7D0000}"/>
    <cellStyle name="Normal 5 10 2 27 4 7" xfId="32236" xr:uid="{00000000-0005-0000-0000-0000DC7D0000}"/>
    <cellStyle name="Normal 5 10 2 27 4 8" xfId="32237" xr:uid="{00000000-0005-0000-0000-0000DD7D0000}"/>
    <cellStyle name="Normal 5 10 2 27 4 9" xfId="32238" xr:uid="{00000000-0005-0000-0000-0000DE7D0000}"/>
    <cellStyle name="Normal 5 10 2 27 5" xfId="32239" xr:uid="{00000000-0005-0000-0000-0000DF7D0000}"/>
    <cellStyle name="Normal 5 10 2 27 5 10" xfId="32240" xr:uid="{00000000-0005-0000-0000-0000E07D0000}"/>
    <cellStyle name="Normal 5 10 2 27 5 2" xfId="32241" xr:uid="{00000000-0005-0000-0000-0000E17D0000}"/>
    <cellStyle name="Normal 5 10 2 27 5 3" xfId="32242" xr:uid="{00000000-0005-0000-0000-0000E27D0000}"/>
    <cellStyle name="Normal 5 10 2 27 5 4" xfId="32243" xr:uid="{00000000-0005-0000-0000-0000E37D0000}"/>
    <cellStyle name="Normal 5 10 2 27 5 5" xfId="32244" xr:uid="{00000000-0005-0000-0000-0000E47D0000}"/>
    <cellStyle name="Normal 5 10 2 27 5 6" xfId="32245" xr:uid="{00000000-0005-0000-0000-0000E57D0000}"/>
    <cellStyle name="Normal 5 10 2 27 5 7" xfId="32246" xr:uid="{00000000-0005-0000-0000-0000E67D0000}"/>
    <cellStyle name="Normal 5 10 2 27 5 8" xfId="32247" xr:uid="{00000000-0005-0000-0000-0000E77D0000}"/>
    <cellStyle name="Normal 5 10 2 27 5 9" xfId="32248" xr:uid="{00000000-0005-0000-0000-0000E87D0000}"/>
    <cellStyle name="Normal 5 10 2 27 6" xfId="32249" xr:uid="{00000000-0005-0000-0000-0000E97D0000}"/>
    <cellStyle name="Normal 5 10 2 27 7" xfId="32250" xr:uid="{00000000-0005-0000-0000-0000EA7D0000}"/>
    <cellStyle name="Normal 5 10 2 27 8" xfId="32251" xr:uid="{00000000-0005-0000-0000-0000EB7D0000}"/>
    <cellStyle name="Normal 5 10 2 27 9" xfId="32252" xr:uid="{00000000-0005-0000-0000-0000EC7D0000}"/>
    <cellStyle name="Normal 5 10 2 28" xfId="32253" xr:uid="{00000000-0005-0000-0000-0000ED7D0000}"/>
    <cellStyle name="Normal 5 10 2 28 10" xfId="32254" xr:uid="{00000000-0005-0000-0000-0000EE7D0000}"/>
    <cellStyle name="Normal 5 10 2 28 11" xfId="32255" xr:uid="{00000000-0005-0000-0000-0000EF7D0000}"/>
    <cellStyle name="Normal 5 10 2 28 12" xfId="32256" xr:uid="{00000000-0005-0000-0000-0000F07D0000}"/>
    <cellStyle name="Normal 5 10 2 28 13" xfId="32257" xr:uid="{00000000-0005-0000-0000-0000F17D0000}"/>
    <cellStyle name="Normal 5 10 2 28 14" xfId="32258" xr:uid="{00000000-0005-0000-0000-0000F27D0000}"/>
    <cellStyle name="Normal 5 10 2 28 2" xfId="32259" xr:uid="{00000000-0005-0000-0000-0000F37D0000}"/>
    <cellStyle name="Normal 5 10 2 28 2 10" xfId="32260" xr:uid="{00000000-0005-0000-0000-0000F47D0000}"/>
    <cellStyle name="Normal 5 10 2 28 2 2" xfId="32261" xr:uid="{00000000-0005-0000-0000-0000F57D0000}"/>
    <cellStyle name="Normal 5 10 2 28 2 3" xfId="32262" xr:uid="{00000000-0005-0000-0000-0000F67D0000}"/>
    <cellStyle name="Normal 5 10 2 28 2 4" xfId="32263" xr:uid="{00000000-0005-0000-0000-0000F77D0000}"/>
    <cellStyle name="Normal 5 10 2 28 2 5" xfId="32264" xr:uid="{00000000-0005-0000-0000-0000F87D0000}"/>
    <cellStyle name="Normal 5 10 2 28 2 6" xfId="32265" xr:uid="{00000000-0005-0000-0000-0000F97D0000}"/>
    <cellStyle name="Normal 5 10 2 28 2 7" xfId="32266" xr:uid="{00000000-0005-0000-0000-0000FA7D0000}"/>
    <cellStyle name="Normal 5 10 2 28 2 8" xfId="32267" xr:uid="{00000000-0005-0000-0000-0000FB7D0000}"/>
    <cellStyle name="Normal 5 10 2 28 2 9" xfId="32268" xr:uid="{00000000-0005-0000-0000-0000FC7D0000}"/>
    <cellStyle name="Normal 5 10 2 28 3" xfId="32269" xr:uid="{00000000-0005-0000-0000-0000FD7D0000}"/>
    <cellStyle name="Normal 5 10 2 28 3 10" xfId="32270" xr:uid="{00000000-0005-0000-0000-0000FE7D0000}"/>
    <cellStyle name="Normal 5 10 2 28 3 2" xfId="32271" xr:uid="{00000000-0005-0000-0000-0000FF7D0000}"/>
    <cellStyle name="Normal 5 10 2 28 3 3" xfId="32272" xr:uid="{00000000-0005-0000-0000-0000007E0000}"/>
    <cellStyle name="Normal 5 10 2 28 3 4" xfId="32273" xr:uid="{00000000-0005-0000-0000-0000017E0000}"/>
    <cellStyle name="Normal 5 10 2 28 3 5" xfId="32274" xr:uid="{00000000-0005-0000-0000-0000027E0000}"/>
    <cellStyle name="Normal 5 10 2 28 3 6" xfId="32275" xr:uid="{00000000-0005-0000-0000-0000037E0000}"/>
    <cellStyle name="Normal 5 10 2 28 3 7" xfId="32276" xr:uid="{00000000-0005-0000-0000-0000047E0000}"/>
    <cellStyle name="Normal 5 10 2 28 3 8" xfId="32277" xr:uid="{00000000-0005-0000-0000-0000057E0000}"/>
    <cellStyle name="Normal 5 10 2 28 3 9" xfId="32278" xr:uid="{00000000-0005-0000-0000-0000067E0000}"/>
    <cellStyle name="Normal 5 10 2 28 4" xfId="32279" xr:uid="{00000000-0005-0000-0000-0000077E0000}"/>
    <cellStyle name="Normal 5 10 2 28 4 10" xfId="32280" xr:uid="{00000000-0005-0000-0000-0000087E0000}"/>
    <cellStyle name="Normal 5 10 2 28 4 2" xfId="32281" xr:uid="{00000000-0005-0000-0000-0000097E0000}"/>
    <cellStyle name="Normal 5 10 2 28 4 3" xfId="32282" xr:uid="{00000000-0005-0000-0000-00000A7E0000}"/>
    <cellStyle name="Normal 5 10 2 28 4 4" xfId="32283" xr:uid="{00000000-0005-0000-0000-00000B7E0000}"/>
    <cellStyle name="Normal 5 10 2 28 4 5" xfId="32284" xr:uid="{00000000-0005-0000-0000-00000C7E0000}"/>
    <cellStyle name="Normal 5 10 2 28 4 6" xfId="32285" xr:uid="{00000000-0005-0000-0000-00000D7E0000}"/>
    <cellStyle name="Normal 5 10 2 28 4 7" xfId="32286" xr:uid="{00000000-0005-0000-0000-00000E7E0000}"/>
    <cellStyle name="Normal 5 10 2 28 4 8" xfId="32287" xr:uid="{00000000-0005-0000-0000-00000F7E0000}"/>
    <cellStyle name="Normal 5 10 2 28 4 9" xfId="32288" xr:uid="{00000000-0005-0000-0000-0000107E0000}"/>
    <cellStyle name="Normal 5 10 2 28 5" xfId="32289" xr:uid="{00000000-0005-0000-0000-0000117E0000}"/>
    <cellStyle name="Normal 5 10 2 28 5 10" xfId="32290" xr:uid="{00000000-0005-0000-0000-0000127E0000}"/>
    <cellStyle name="Normal 5 10 2 28 5 2" xfId="32291" xr:uid="{00000000-0005-0000-0000-0000137E0000}"/>
    <cellStyle name="Normal 5 10 2 28 5 3" xfId="32292" xr:uid="{00000000-0005-0000-0000-0000147E0000}"/>
    <cellStyle name="Normal 5 10 2 28 5 4" xfId="32293" xr:uid="{00000000-0005-0000-0000-0000157E0000}"/>
    <cellStyle name="Normal 5 10 2 28 5 5" xfId="32294" xr:uid="{00000000-0005-0000-0000-0000167E0000}"/>
    <cellStyle name="Normal 5 10 2 28 5 6" xfId="32295" xr:uid="{00000000-0005-0000-0000-0000177E0000}"/>
    <cellStyle name="Normal 5 10 2 28 5 7" xfId="32296" xr:uid="{00000000-0005-0000-0000-0000187E0000}"/>
    <cellStyle name="Normal 5 10 2 28 5 8" xfId="32297" xr:uid="{00000000-0005-0000-0000-0000197E0000}"/>
    <cellStyle name="Normal 5 10 2 28 5 9" xfId="32298" xr:uid="{00000000-0005-0000-0000-00001A7E0000}"/>
    <cellStyle name="Normal 5 10 2 28 6" xfId="32299" xr:uid="{00000000-0005-0000-0000-00001B7E0000}"/>
    <cellStyle name="Normal 5 10 2 28 7" xfId="32300" xr:uid="{00000000-0005-0000-0000-00001C7E0000}"/>
    <cellStyle name="Normal 5 10 2 28 8" xfId="32301" xr:uid="{00000000-0005-0000-0000-00001D7E0000}"/>
    <cellStyle name="Normal 5 10 2 28 9" xfId="32302" xr:uid="{00000000-0005-0000-0000-00001E7E0000}"/>
    <cellStyle name="Normal 5 10 2 29" xfId="32303" xr:uid="{00000000-0005-0000-0000-00001F7E0000}"/>
    <cellStyle name="Normal 5 10 2 29 10" xfId="32304" xr:uid="{00000000-0005-0000-0000-0000207E0000}"/>
    <cellStyle name="Normal 5 10 2 29 11" xfId="32305" xr:uid="{00000000-0005-0000-0000-0000217E0000}"/>
    <cellStyle name="Normal 5 10 2 29 12" xfId="32306" xr:uid="{00000000-0005-0000-0000-0000227E0000}"/>
    <cellStyle name="Normal 5 10 2 29 13" xfId="32307" xr:uid="{00000000-0005-0000-0000-0000237E0000}"/>
    <cellStyle name="Normal 5 10 2 29 14" xfId="32308" xr:uid="{00000000-0005-0000-0000-0000247E0000}"/>
    <cellStyle name="Normal 5 10 2 29 2" xfId="32309" xr:uid="{00000000-0005-0000-0000-0000257E0000}"/>
    <cellStyle name="Normal 5 10 2 29 2 10" xfId="32310" xr:uid="{00000000-0005-0000-0000-0000267E0000}"/>
    <cellStyle name="Normal 5 10 2 29 2 2" xfId="32311" xr:uid="{00000000-0005-0000-0000-0000277E0000}"/>
    <cellStyle name="Normal 5 10 2 29 2 3" xfId="32312" xr:uid="{00000000-0005-0000-0000-0000287E0000}"/>
    <cellStyle name="Normal 5 10 2 29 2 4" xfId="32313" xr:uid="{00000000-0005-0000-0000-0000297E0000}"/>
    <cellStyle name="Normal 5 10 2 29 2 5" xfId="32314" xr:uid="{00000000-0005-0000-0000-00002A7E0000}"/>
    <cellStyle name="Normal 5 10 2 29 2 6" xfId="32315" xr:uid="{00000000-0005-0000-0000-00002B7E0000}"/>
    <cellStyle name="Normal 5 10 2 29 2 7" xfId="32316" xr:uid="{00000000-0005-0000-0000-00002C7E0000}"/>
    <cellStyle name="Normal 5 10 2 29 2 8" xfId="32317" xr:uid="{00000000-0005-0000-0000-00002D7E0000}"/>
    <cellStyle name="Normal 5 10 2 29 2 9" xfId="32318" xr:uid="{00000000-0005-0000-0000-00002E7E0000}"/>
    <cellStyle name="Normal 5 10 2 29 3" xfId="32319" xr:uid="{00000000-0005-0000-0000-00002F7E0000}"/>
    <cellStyle name="Normal 5 10 2 29 3 10" xfId="32320" xr:uid="{00000000-0005-0000-0000-0000307E0000}"/>
    <cellStyle name="Normal 5 10 2 29 3 2" xfId="32321" xr:uid="{00000000-0005-0000-0000-0000317E0000}"/>
    <cellStyle name="Normal 5 10 2 29 3 3" xfId="32322" xr:uid="{00000000-0005-0000-0000-0000327E0000}"/>
    <cellStyle name="Normal 5 10 2 29 3 4" xfId="32323" xr:uid="{00000000-0005-0000-0000-0000337E0000}"/>
    <cellStyle name="Normal 5 10 2 29 3 5" xfId="32324" xr:uid="{00000000-0005-0000-0000-0000347E0000}"/>
    <cellStyle name="Normal 5 10 2 29 3 6" xfId="32325" xr:uid="{00000000-0005-0000-0000-0000357E0000}"/>
    <cellStyle name="Normal 5 10 2 29 3 7" xfId="32326" xr:uid="{00000000-0005-0000-0000-0000367E0000}"/>
    <cellStyle name="Normal 5 10 2 29 3 8" xfId="32327" xr:uid="{00000000-0005-0000-0000-0000377E0000}"/>
    <cellStyle name="Normal 5 10 2 29 3 9" xfId="32328" xr:uid="{00000000-0005-0000-0000-0000387E0000}"/>
    <cellStyle name="Normal 5 10 2 29 4" xfId="32329" xr:uid="{00000000-0005-0000-0000-0000397E0000}"/>
    <cellStyle name="Normal 5 10 2 29 4 10" xfId="32330" xr:uid="{00000000-0005-0000-0000-00003A7E0000}"/>
    <cellStyle name="Normal 5 10 2 29 4 2" xfId="32331" xr:uid="{00000000-0005-0000-0000-00003B7E0000}"/>
    <cellStyle name="Normal 5 10 2 29 4 3" xfId="32332" xr:uid="{00000000-0005-0000-0000-00003C7E0000}"/>
    <cellStyle name="Normal 5 10 2 29 4 4" xfId="32333" xr:uid="{00000000-0005-0000-0000-00003D7E0000}"/>
    <cellStyle name="Normal 5 10 2 29 4 5" xfId="32334" xr:uid="{00000000-0005-0000-0000-00003E7E0000}"/>
    <cellStyle name="Normal 5 10 2 29 4 6" xfId="32335" xr:uid="{00000000-0005-0000-0000-00003F7E0000}"/>
    <cellStyle name="Normal 5 10 2 29 4 7" xfId="32336" xr:uid="{00000000-0005-0000-0000-0000407E0000}"/>
    <cellStyle name="Normal 5 10 2 29 4 8" xfId="32337" xr:uid="{00000000-0005-0000-0000-0000417E0000}"/>
    <cellStyle name="Normal 5 10 2 29 4 9" xfId="32338" xr:uid="{00000000-0005-0000-0000-0000427E0000}"/>
    <cellStyle name="Normal 5 10 2 29 5" xfId="32339" xr:uid="{00000000-0005-0000-0000-0000437E0000}"/>
    <cellStyle name="Normal 5 10 2 29 5 10" xfId="32340" xr:uid="{00000000-0005-0000-0000-0000447E0000}"/>
    <cellStyle name="Normal 5 10 2 29 5 2" xfId="32341" xr:uid="{00000000-0005-0000-0000-0000457E0000}"/>
    <cellStyle name="Normal 5 10 2 29 5 3" xfId="32342" xr:uid="{00000000-0005-0000-0000-0000467E0000}"/>
    <cellStyle name="Normal 5 10 2 29 5 4" xfId="32343" xr:uid="{00000000-0005-0000-0000-0000477E0000}"/>
    <cellStyle name="Normal 5 10 2 29 5 5" xfId="32344" xr:uid="{00000000-0005-0000-0000-0000487E0000}"/>
    <cellStyle name="Normal 5 10 2 29 5 6" xfId="32345" xr:uid="{00000000-0005-0000-0000-0000497E0000}"/>
    <cellStyle name="Normal 5 10 2 29 5 7" xfId="32346" xr:uid="{00000000-0005-0000-0000-00004A7E0000}"/>
    <cellStyle name="Normal 5 10 2 29 5 8" xfId="32347" xr:uid="{00000000-0005-0000-0000-00004B7E0000}"/>
    <cellStyle name="Normal 5 10 2 29 5 9" xfId="32348" xr:uid="{00000000-0005-0000-0000-00004C7E0000}"/>
    <cellStyle name="Normal 5 10 2 29 6" xfId="32349" xr:uid="{00000000-0005-0000-0000-00004D7E0000}"/>
    <cellStyle name="Normal 5 10 2 29 7" xfId="32350" xr:uid="{00000000-0005-0000-0000-00004E7E0000}"/>
    <cellStyle name="Normal 5 10 2 29 8" xfId="32351" xr:uid="{00000000-0005-0000-0000-00004F7E0000}"/>
    <cellStyle name="Normal 5 10 2 29 9" xfId="32352" xr:uid="{00000000-0005-0000-0000-0000507E0000}"/>
    <cellStyle name="Normal 5 10 2 3" xfId="32353" xr:uid="{00000000-0005-0000-0000-0000517E0000}"/>
    <cellStyle name="Normal 5 10 2 3 10" xfId="32354" xr:uid="{00000000-0005-0000-0000-0000527E0000}"/>
    <cellStyle name="Normal 5 10 2 3 11" xfId="32355" xr:uid="{00000000-0005-0000-0000-0000537E0000}"/>
    <cellStyle name="Normal 5 10 2 3 12" xfId="32356" xr:uid="{00000000-0005-0000-0000-0000547E0000}"/>
    <cellStyle name="Normal 5 10 2 3 13" xfId="32357" xr:uid="{00000000-0005-0000-0000-0000557E0000}"/>
    <cellStyle name="Normal 5 10 2 3 14" xfId="32358" xr:uid="{00000000-0005-0000-0000-0000567E0000}"/>
    <cellStyle name="Normal 5 10 2 3 2" xfId="32359" xr:uid="{00000000-0005-0000-0000-0000577E0000}"/>
    <cellStyle name="Normal 5 10 2 3 2 10" xfId="32360" xr:uid="{00000000-0005-0000-0000-0000587E0000}"/>
    <cellStyle name="Normal 5 10 2 3 2 2" xfId="32361" xr:uid="{00000000-0005-0000-0000-0000597E0000}"/>
    <cellStyle name="Normal 5 10 2 3 2 3" xfId="32362" xr:uid="{00000000-0005-0000-0000-00005A7E0000}"/>
    <cellStyle name="Normal 5 10 2 3 2 4" xfId="32363" xr:uid="{00000000-0005-0000-0000-00005B7E0000}"/>
    <cellStyle name="Normal 5 10 2 3 2 5" xfId="32364" xr:uid="{00000000-0005-0000-0000-00005C7E0000}"/>
    <cellStyle name="Normal 5 10 2 3 2 6" xfId="32365" xr:uid="{00000000-0005-0000-0000-00005D7E0000}"/>
    <cellStyle name="Normal 5 10 2 3 2 7" xfId="32366" xr:uid="{00000000-0005-0000-0000-00005E7E0000}"/>
    <cellStyle name="Normal 5 10 2 3 2 8" xfId="32367" xr:uid="{00000000-0005-0000-0000-00005F7E0000}"/>
    <cellStyle name="Normal 5 10 2 3 2 9" xfId="32368" xr:uid="{00000000-0005-0000-0000-0000607E0000}"/>
    <cellStyle name="Normal 5 10 2 3 3" xfId="32369" xr:uid="{00000000-0005-0000-0000-0000617E0000}"/>
    <cellStyle name="Normal 5 10 2 3 3 10" xfId="32370" xr:uid="{00000000-0005-0000-0000-0000627E0000}"/>
    <cellStyle name="Normal 5 10 2 3 3 2" xfId="32371" xr:uid="{00000000-0005-0000-0000-0000637E0000}"/>
    <cellStyle name="Normal 5 10 2 3 3 3" xfId="32372" xr:uid="{00000000-0005-0000-0000-0000647E0000}"/>
    <cellStyle name="Normal 5 10 2 3 3 4" xfId="32373" xr:uid="{00000000-0005-0000-0000-0000657E0000}"/>
    <cellStyle name="Normal 5 10 2 3 3 5" xfId="32374" xr:uid="{00000000-0005-0000-0000-0000667E0000}"/>
    <cellStyle name="Normal 5 10 2 3 3 6" xfId="32375" xr:uid="{00000000-0005-0000-0000-0000677E0000}"/>
    <cellStyle name="Normal 5 10 2 3 3 7" xfId="32376" xr:uid="{00000000-0005-0000-0000-0000687E0000}"/>
    <cellStyle name="Normal 5 10 2 3 3 8" xfId="32377" xr:uid="{00000000-0005-0000-0000-0000697E0000}"/>
    <cellStyle name="Normal 5 10 2 3 3 9" xfId="32378" xr:uid="{00000000-0005-0000-0000-00006A7E0000}"/>
    <cellStyle name="Normal 5 10 2 3 4" xfId="32379" xr:uid="{00000000-0005-0000-0000-00006B7E0000}"/>
    <cellStyle name="Normal 5 10 2 3 4 10" xfId="32380" xr:uid="{00000000-0005-0000-0000-00006C7E0000}"/>
    <cellStyle name="Normal 5 10 2 3 4 2" xfId="32381" xr:uid="{00000000-0005-0000-0000-00006D7E0000}"/>
    <cellStyle name="Normal 5 10 2 3 4 3" xfId="32382" xr:uid="{00000000-0005-0000-0000-00006E7E0000}"/>
    <cellStyle name="Normal 5 10 2 3 4 4" xfId="32383" xr:uid="{00000000-0005-0000-0000-00006F7E0000}"/>
    <cellStyle name="Normal 5 10 2 3 4 5" xfId="32384" xr:uid="{00000000-0005-0000-0000-0000707E0000}"/>
    <cellStyle name="Normal 5 10 2 3 4 6" xfId="32385" xr:uid="{00000000-0005-0000-0000-0000717E0000}"/>
    <cellStyle name="Normal 5 10 2 3 4 7" xfId="32386" xr:uid="{00000000-0005-0000-0000-0000727E0000}"/>
    <cellStyle name="Normal 5 10 2 3 4 8" xfId="32387" xr:uid="{00000000-0005-0000-0000-0000737E0000}"/>
    <cellStyle name="Normal 5 10 2 3 4 9" xfId="32388" xr:uid="{00000000-0005-0000-0000-0000747E0000}"/>
    <cellStyle name="Normal 5 10 2 3 5" xfId="32389" xr:uid="{00000000-0005-0000-0000-0000757E0000}"/>
    <cellStyle name="Normal 5 10 2 3 5 10" xfId="32390" xr:uid="{00000000-0005-0000-0000-0000767E0000}"/>
    <cellStyle name="Normal 5 10 2 3 5 2" xfId="32391" xr:uid="{00000000-0005-0000-0000-0000777E0000}"/>
    <cellStyle name="Normal 5 10 2 3 5 3" xfId="32392" xr:uid="{00000000-0005-0000-0000-0000787E0000}"/>
    <cellStyle name="Normal 5 10 2 3 5 4" xfId="32393" xr:uid="{00000000-0005-0000-0000-0000797E0000}"/>
    <cellStyle name="Normal 5 10 2 3 5 5" xfId="32394" xr:uid="{00000000-0005-0000-0000-00007A7E0000}"/>
    <cellStyle name="Normal 5 10 2 3 5 6" xfId="32395" xr:uid="{00000000-0005-0000-0000-00007B7E0000}"/>
    <cellStyle name="Normal 5 10 2 3 5 7" xfId="32396" xr:uid="{00000000-0005-0000-0000-00007C7E0000}"/>
    <cellStyle name="Normal 5 10 2 3 5 8" xfId="32397" xr:uid="{00000000-0005-0000-0000-00007D7E0000}"/>
    <cellStyle name="Normal 5 10 2 3 5 9" xfId="32398" xr:uid="{00000000-0005-0000-0000-00007E7E0000}"/>
    <cellStyle name="Normal 5 10 2 3 6" xfId="32399" xr:uid="{00000000-0005-0000-0000-00007F7E0000}"/>
    <cellStyle name="Normal 5 10 2 3 7" xfId="32400" xr:uid="{00000000-0005-0000-0000-0000807E0000}"/>
    <cellStyle name="Normal 5 10 2 3 8" xfId="32401" xr:uid="{00000000-0005-0000-0000-0000817E0000}"/>
    <cellStyle name="Normal 5 10 2 3 9" xfId="32402" xr:uid="{00000000-0005-0000-0000-0000827E0000}"/>
    <cellStyle name="Normal 5 10 2 30" xfId="32403" xr:uid="{00000000-0005-0000-0000-0000837E0000}"/>
    <cellStyle name="Normal 5 10 2 30 10" xfId="32404" xr:uid="{00000000-0005-0000-0000-0000847E0000}"/>
    <cellStyle name="Normal 5 10 2 30 11" xfId="32405" xr:uid="{00000000-0005-0000-0000-0000857E0000}"/>
    <cellStyle name="Normal 5 10 2 30 12" xfId="32406" xr:uid="{00000000-0005-0000-0000-0000867E0000}"/>
    <cellStyle name="Normal 5 10 2 30 13" xfId="32407" xr:uid="{00000000-0005-0000-0000-0000877E0000}"/>
    <cellStyle name="Normal 5 10 2 30 14" xfId="32408" xr:uid="{00000000-0005-0000-0000-0000887E0000}"/>
    <cellStyle name="Normal 5 10 2 30 2" xfId="32409" xr:uid="{00000000-0005-0000-0000-0000897E0000}"/>
    <cellStyle name="Normal 5 10 2 30 2 10" xfId="32410" xr:uid="{00000000-0005-0000-0000-00008A7E0000}"/>
    <cellStyle name="Normal 5 10 2 30 2 2" xfId="32411" xr:uid="{00000000-0005-0000-0000-00008B7E0000}"/>
    <cellStyle name="Normal 5 10 2 30 2 3" xfId="32412" xr:uid="{00000000-0005-0000-0000-00008C7E0000}"/>
    <cellStyle name="Normal 5 10 2 30 2 4" xfId="32413" xr:uid="{00000000-0005-0000-0000-00008D7E0000}"/>
    <cellStyle name="Normal 5 10 2 30 2 5" xfId="32414" xr:uid="{00000000-0005-0000-0000-00008E7E0000}"/>
    <cellStyle name="Normal 5 10 2 30 2 6" xfId="32415" xr:uid="{00000000-0005-0000-0000-00008F7E0000}"/>
    <cellStyle name="Normal 5 10 2 30 2 7" xfId="32416" xr:uid="{00000000-0005-0000-0000-0000907E0000}"/>
    <cellStyle name="Normal 5 10 2 30 2 8" xfId="32417" xr:uid="{00000000-0005-0000-0000-0000917E0000}"/>
    <cellStyle name="Normal 5 10 2 30 2 9" xfId="32418" xr:uid="{00000000-0005-0000-0000-0000927E0000}"/>
    <cellStyle name="Normal 5 10 2 30 3" xfId="32419" xr:uid="{00000000-0005-0000-0000-0000937E0000}"/>
    <cellStyle name="Normal 5 10 2 30 3 10" xfId="32420" xr:uid="{00000000-0005-0000-0000-0000947E0000}"/>
    <cellStyle name="Normal 5 10 2 30 3 2" xfId="32421" xr:uid="{00000000-0005-0000-0000-0000957E0000}"/>
    <cellStyle name="Normal 5 10 2 30 3 3" xfId="32422" xr:uid="{00000000-0005-0000-0000-0000967E0000}"/>
    <cellStyle name="Normal 5 10 2 30 3 4" xfId="32423" xr:uid="{00000000-0005-0000-0000-0000977E0000}"/>
    <cellStyle name="Normal 5 10 2 30 3 5" xfId="32424" xr:uid="{00000000-0005-0000-0000-0000987E0000}"/>
    <cellStyle name="Normal 5 10 2 30 3 6" xfId="32425" xr:uid="{00000000-0005-0000-0000-0000997E0000}"/>
    <cellStyle name="Normal 5 10 2 30 3 7" xfId="32426" xr:uid="{00000000-0005-0000-0000-00009A7E0000}"/>
    <cellStyle name="Normal 5 10 2 30 3 8" xfId="32427" xr:uid="{00000000-0005-0000-0000-00009B7E0000}"/>
    <cellStyle name="Normal 5 10 2 30 3 9" xfId="32428" xr:uid="{00000000-0005-0000-0000-00009C7E0000}"/>
    <cellStyle name="Normal 5 10 2 30 4" xfId="32429" xr:uid="{00000000-0005-0000-0000-00009D7E0000}"/>
    <cellStyle name="Normal 5 10 2 30 4 10" xfId="32430" xr:uid="{00000000-0005-0000-0000-00009E7E0000}"/>
    <cellStyle name="Normal 5 10 2 30 4 2" xfId="32431" xr:uid="{00000000-0005-0000-0000-00009F7E0000}"/>
    <cellStyle name="Normal 5 10 2 30 4 3" xfId="32432" xr:uid="{00000000-0005-0000-0000-0000A07E0000}"/>
    <cellStyle name="Normal 5 10 2 30 4 4" xfId="32433" xr:uid="{00000000-0005-0000-0000-0000A17E0000}"/>
    <cellStyle name="Normal 5 10 2 30 4 5" xfId="32434" xr:uid="{00000000-0005-0000-0000-0000A27E0000}"/>
    <cellStyle name="Normal 5 10 2 30 4 6" xfId="32435" xr:uid="{00000000-0005-0000-0000-0000A37E0000}"/>
    <cellStyle name="Normal 5 10 2 30 4 7" xfId="32436" xr:uid="{00000000-0005-0000-0000-0000A47E0000}"/>
    <cellStyle name="Normal 5 10 2 30 4 8" xfId="32437" xr:uid="{00000000-0005-0000-0000-0000A57E0000}"/>
    <cellStyle name="Normal 5 10 2 30 4 9" xfId="32438" xr:uid="{00000000-0005-0000-0000-0000A67E0000}"/>
    <cellStyle name="Normal 5 10 2 30 5" xfId="32439" xr:uid="{00000000-0005-0000-0000-0000A77E0000}"/>
    <cellStyle name="Normal 5 10 2 30 5 10" xfId="32440" xr:uid="{00000000-0005-0000-0000-0000A87E0000}"/>
    <cellStyle name="Normal 5 10 2 30 5 2" xfId="32441" xr:uid="{00000000-0005-0000-0000-0000A97E0000}"/>
    <cellStyle name="Normal 5 10 2 30 5 3" xfId="32442" xr:uid="{00000000-0005-0000-0000-0000AA7E0000}"/>
    <cellStyle name="Normal 5 10 2 30 5 4" xfId="32443" xr:uid="{00000000-0005-0000-0000-0000AB7E0000}"/>
    <cellStyle name="Normal 5 10 2 30 5 5" xfId="32444" xr:uid="{00000000-0005-0000-0000-0000AC7E0000}"/>
    <cellStyle name="Normal 5 10 2 30 5 6" xfId="32445" xr:uid="{00000000-0005-0000-0000-0000AD7E0000}"/>
    <cellStyle name="Normal 5 10 2 30 5 7" xfId="32446" xr:uid="{00000000-0005-0000-0000-0000AE7E0000}"/>
    <cellStyle name="Normal 5 10 2 30 5 8" xfId="32447" xr:uid="{00000000-0005-0000-0000-0000AF7E0000}"/>
    <cellStyle name="Normal 5 10 2 30 5 9" xfId="32448" xr:uid="{00000000-0005-0000-0000-0000B07E0000}"/>
    <cellStyle name="Normal 5 10 2 30 6" xfId="32449" xr:uid="{00000000-0005-0000-0000-0000B17E0000}"/>
    <cellStyle name="Normal 5 10 2 30 7" xfId="32450" xr:uid="{00000000-0005-0000-0000-0000B27E0000}"/>
    <cellStyle name="Normal 5 10 2 30 8" xfId="32451" xr:uid="{00000000-0005-0000-0000-0000B37E0000}"/>
    <cellStyle name="Normal 5 10 2 30 9" xfId="32452" xr:uid="{00000000-0005-0000-0000-0000B47E0000}"/>
    <cellStyle name="Normal 5 10 2 31" xfId="32453" xr:uid="{00000000-0005-0000-0000-0000B57E0000}"/>
    <cellStyle name="Normal 5 10 2 31 10" xfId="32454" xr:uid="{00000000-0005-0000-0000-0000B67E0000}"/>
    <cellStyle name="Normal 5 10 2 31 11" xfId="32455" xr:uid="{00000000-0005-0000-0000-0000B77E0000}"/>
    <cellStyle name="Normal 5 10 2 31 12" xfId="32456" xr:uid="{00000000-0005-0000-0000-0000B87E0000}"/>
    <cellStyle name="Normal 5 10 2 31 13" xfId="32457" xr:uid="{00000000-0005-0000-0000-0000B97E0000}"/>
    <cellStyle name="Normal 5 10 2 31 14" xfId="32458" xr:uid="{00000000-0005-0000-0000-0000BA7E0000}"/>
    <cellStyle name="Normal 5 10 2 31 2" xfId="32459" xr:uid="{00000000-0005-0000-0000-0000BB7E0000}"/>
    <cellStyle name="Normal 5 10 2 31 2 10" xfId="32460" xr:uid="{00000000-0005-0000-0000-0000BC7E0000}"/>
    <cellStyle name="Normal 5 10 2 31 2 2" xfId="32461" xr:uid="{00000000-0005-0000-0000-0000BD7E0000}"/>
    <cellStyle name="Normal 5 10 2 31 2 3" xfId="32462" xr:uid="{00000000-0005-0000-0000-0000BE7E0000}"/>
    <cellStyle name="Normal 5 10 2 31 2 4" xfId="32463" xr:uid="{00000000-0005-0000-0000-0000BF7E0000}"/>
    <cellStyle name="Normal 5 10 2 31 2 5" xfId="32464" xr:uid="{00000000-0005-0000-0000-0000C07E0000}"/>
    <cellStyle name="Normal 5 10 2 31 2 6" xfId="32465" xr:uid="{00000000-0005-0000-0000-0000C17E0000}"/>
    <cellStyle name="Normal 5 10 2 31 2 7" xfId="32466" xr:uid="{00000000-0005-0000-0000-0000C27E0000}"/>
    <cellStyle name="Normal 5 10 2 31 2 8" xfId="32467" xr:uid="{00000000-0005-0000-0000-0000C37E0000}"/>
    <cellStyle name="Normal 5 10 2 31 2 9" xfId="32468" xr:uid="{00000000-0005-0000-0000-0000C47E0000}"/>
    <cellStyle name="Normal 5 10 2 31 3" xfId="32469" xr:uid="{00000000-0005-0000-0000-0000C57E0000}"/>
    <cellStyle name="Normal 5 10 2 31 3 10" xfId="32470" xr:uid="{00000000-0005-0000-0000-0000C67E0000}"/>
    <cellStyle name="Normal 5 10 2 31 3 2" xfId="32471" xr:uid="{00000000-0005-0000-0000-0000C77E0000}"/>
    <cellStyle name="Normal 5 10 2 31 3 3" xfId="32472" xr:uid="{00000000-0005-0000-0000-0000C87E0000}"/>
    <cellStyle name="Normal 5 10 2 31 3 4" xfId="32473" xr:uid="{00000000-0005-0000-0000-0000C97E0000}"/>
    <cellStyle name="Normal 5 10 2 31 3 5" xfId="32474" xr:uid="{00000000-0005-0000-0000-0000CA7E0000}"/>
    <cellStyle name="Normal 5 10 2 31 3 6" xfId="32475" xr:uid="{00000000-0005-0000-0000-0000CB7E0000}"/>
    <cellStyle name="Normal 5 10 2 31 3 7" xfId="32476" xr:uid="{00000000-0005-0000-0000-0000CC7E0000}"/>
    <cellStyle name="Normal 5 10 2 31 3 8" xfId="32477" xr:uid="{00000000-0005-0000-0000-0000CD7E0000}"/>
    <cellStyle name="Normal 5 10 2 31 3 9" xfId="32478" xr:uid="{00000000-0005-0000-0000-0000CE7E0000}"/>
    <cellStyle name="Normal 5 10 2 31 4" xfId="32479" xr:uid="{00000000-0005-0000-0000-0000CF7E0000}"/>
    <cellStyle name="Normal 5 10 2 31 4 10" xfId="32480" xr:uid="{00000000-0005-0000-0000-0000D07E0000}"/>
    <cellStyle name="Normal 5 10 2 31 4 2" xfId="32481" xr:uid="{00000000-0005-0000-0000-0000D17E0000}"/>
    <cellStyle name="Normal 5 10 2 31 4 3" xfId="32482" xr:uid="{00000000-0005-0000-0000-0000D27E0000}"/>
    <cellStyle name="Normal 5 10 2 31 4 4" xfId="32483" xr:uid="{00000000-0005-0000-0000-0000D37E0000}"/>
    <cellStyle name="Normal 5 10 2 31 4 5" xfId="32484" xr:uid="{00000000-0005-0000-0000-0000D47E0000}"/>
    <cellStyle name="Normal 5 10 2 31 4 6" xfId="32485" xr:uid="{00000000-0005-0000-0000-0000D57E0000}"/>
    <cellStyle name="Normal 5 10 2 31 4 7" xfId="32486" xr:uid="{00000000-0005-0000-0000-0000D67E0000}"/>
    <cellStyle name="Normal 5 10 2 31 4 8" xfId="32487" xr:uid="{00000000-0005-0000-0000-0000D77E0000}"/>
    <cellStyle name="Normal 5 10 2 31 4 9" xfId="32488" xr:uid="{00000000-0005-0000-0000-0000D87E0000}"/>
    <cellStyle name="Normal 5 10 2 31 5" xfId="32489" xr:uid="{00000000-0005-0000-0000-0000D97E0000}"/>
    <cellStyle name="Normal 5 10 2 31 5 10" xfId="32490" xr:uid="{00000000-0005-0000-0000-0000DA7E0000}"/>
    <cellStyle name="Normal 5 10 2 31 5 2" xfId="32491" xr:uid="{00000000-0005-0000-0000-0000DB7E0000}"/>
    <cellStyle name="Normal 5 10 2 31 5 3" xfId="32492" xr:uid="{00000000-0005-0000-0000-0000DC7E0000}"/>
    <cellStyle name="Normal 5 10 2 31 5 4" xfId="32493" xr:uid="{00000000-0005-0000-0000-0000DD7E0000}"/>
    <cellStyle name="Normal 5 10 2 31 5 5" xfId="32494" xr:uid="{00000000-0005-0000-0000-0000DE7E0000}"/>
    <cellStyle name="Normal 5 10 2 31 5 6" xfId="32495" xr:uid="{00000000-0005-0000-0000-0000DF7E0000}"/>
    <cellStyle name="Normal 5 10 2 31 5 7" xfId="32496" xr:uid="{00000000-0005-0000-0000-0000E07E0000}"/>
    <cellStyle name="Normal 5 10 2 31 5 8" xfId="32497" xr:uid="{00000000-0005-0000-0000-0000E17E0000}"/>
    <cellStyle name="Normal 5 10 2 31 5 9" xfId="32498" xr:uid="{00000000-0005-0000-0000-0000E27E0000}"/>
    <cellStyle name="Normal 5 10 2 31 6" xfId="32499" xr:uid="{00000000-0005-0000-0000-0000E37E0000}"/>
    <cellStyle name="Normal 5 10 2 31 7" xfId="32500" xr:uid="{00000000-0005-0000-0000-0000E47E0000}"/>
    <cellStyle name="Normal 5 10 2 31 8" xfId="32501" xr:uid="{00000000-0005-0000-0000-0000E57E0000}"/>
    <cellStyle name="Normal 5 10 2 31 9" xfId="32502" xr:uid="{00000000-0005-0000-0000-0000E67E0000}"/>
    <cellStyle name="Normal 5 10 2 32" xfId="32503" xr:uid="{00000000-0005-0000-0000-0000E77E0000}"/>
    <cellStyle name="Normal 5 10 2 32 10" xfId="32504" xr:uid="{00000000-0005-0000-0000-0000E87E0000}"/>
    <cellStyle name="Normal 5 10 2 32 11" xfId="32505" xr:uid="{00000000-0005-0000-0000-0000E97E0000}"/>
    <cellStyle name="Normal 5 10 2 32 12" xfId="32506" xr:uid="{00000000-0005-0000-0000-0000EA7E0000}"/>
    <cellStyle name="Normal 5 10 2 32 13" xfId="32507" xr:uid="{00000000-0005-0000-0000-0000EB7E0000}"/>
    <cellStyle name="Normal 5 10 2 32 14" xfId="32508" xr:uid="{00000000-0005-0000-0000-0000EC7E0000}"/>
    <cellStyle name="Normal 5 10 2 32 2" xfId="32509" xr:uid="{00000000-0005-0000-0000-0000ED7E0000}"/>
    <cellStyle name="Normal 5 10 2 32 2 10" xfId="32510" xr:uid="{00000000-0005-0000-0000-0000EE7E0000}"/>
    <cellStyle name="Normal 5 10 2 32 2 2" xfId="32511" xr:uid="{00000000-0005-0000-0000-0000EF7E0000}"/>
    <cellStyle name="Normal 5 10 2 32 2 3" xfId="32512" xr:uid="{00000000-0005-0000-0000-0000F07E0000}"/>
    <cellStyle name="Normal 5 10 2 32 2 4" xfId="32513" xr:uid="{00000000-0005-0000-0000-0000F17E0000}"/>
    <cellStyle name="Normal 5 10 2 32 2 5" xfId="32514" xr:uid="{00000000-0005-0000-0000-0000F27E0000}"/>
    <cellStyle name="Normal 5 10 2 32 2 6" xfId="32515" xr:uid="{00000000-0005-0000-0000-0000F37E0000}"/>
    <cellStyle name="Normal 5 10 2 32 2 7" xfId="32516" xr:uid="{00000000-0005-0000-0000-0000F47E0000}"/>
    <cellStyle name="Normal 5 10 2 32 2 8" xfId="32517" xr:uid="{00000000-0005-0000-0000-0000F57E0000}"/>
    <cellStyle name="Normal 5 10 2 32 2 9" xfId="32518" xr:uid="{00000000-0005-0000-0000-0000F67E0000}"/>
    <cellStyle name="Normal 5 10 2 32 3" xfId="32519" xr:uid="{00000000-0005-0000-0000-0000F77E0000}"/>
    <cellStyle name="Normal 5 10 2 32 3 10" xfId="32520" xr:uid="{00000000-0005-0000-0000-0000F87E0000}"/>
    <cellStyle name="Normal 5 10 2 32 3 2" xfId="32521" xr:uid="{00000000-0005-0000-0000-0000F97E0000}"/>
    <cellStyle name="Normal 5 10 2 32 3 3" xfId="32522" xr:uid="{00000000-0005-0000-0000-0000FA7E0000}"/>
    <cellStyle name="Normal 5 10 2 32 3 4" xfId="32523" xr:uid="{00000000-0005-0000-0000-0000FB7E0000}"/>
    <cellStyle name="Normal 5 10 2 32 3 5" xfId="32524" xr:uid="{00000000-0005-0000-0000-0000FC7E0000}"/>
    <cellStyle name="Normal 5 10 2 32 3 6" xfId="32525" xr:uid="{00000000-0005-0000-0000-0000FD7E0000}"/>
    <cellStyle name="Normal 5 10 2 32 3 7" xfId="32526" xr:uid="{00000000-0005-0000-0000-0000FE7E0000}"/>
    <cellStyle name="Normal 5 10 2 32 3 8" xfId="32527" xr:uid="{00000000-0005-0000-0000-0000FF7E0000}"/>
    <cellStyle name="Normal 5 10 2 32 3 9" xfId="32528" xr:uid="{00000000-0005-0000-0000-0000007F0000}"/>
    <cellStyle name="Normal 5 10 2 32 4" xfId="32529" xr:uid="{00000000-0005-0000-0000-0000017F0000}"/>
    <cellStyle name="Normal 5 10 2 32 4 10" xfId="32530" xr:uid="{00000000-0005-0000-0000-0000027F0000}"/>
    <cellStyle name="Normal 5 10 2 32 4 2" xfId="32531" xr:uid="{00000000-0005-0000-0000-0000037F0000}"/>
    <cellStyle name="Normal 5 10 2 32 4 3" xfId="32532" xr:uid="{00000000-0005-0000-0000-0000047F0000}"/>
    <cellStyle name="Normal 5 10 2 32 4 4" xfId="32533" xr:uid="{00000000-0005-0000-0000-0000057F0000}"/>
    <cellStyle name="Normal 5 10 2 32 4 5" xfId="32534" xr:uid="{00000000-0005-0000-0000-0000067F0000}"/>
    <cellStyle name="Normal 5 10 2 32 4 6" xfId="32535" xr:uid="{00000000-0005-0000-0000-0000077F0000}"/>
    <cellStyle name="Normal 5 10 2 32 4 7" xfId="32536" xr:uid="{00000000-0005-0000-0000-0000087F0000}"/>
    <cellStyle name="Normal 5 10 2 32 4 8" xfId="32537" xr:uid="{00000000-0005-0000-0000-0000097F0000}"/>
    <cellStyle name="Normal 5 10 2 32 4 9" xfId="32538" xr:uid="{00000000-0005-0000-0000-00000A7F0000}"/>
    <cellStyle name="Normal 5 10 2 32 5" xfId="32539" xr:uid="{00000000-0005-0000-0000-00000B7F0000}"/>
    <cellStyle name="Normal 5 10 2 32 5 10" xfId="32540" xr:uid="{00000000-0005-0000-0000-00000C7F0000}"/>
    <cellStyle name="Normal 5 10 2 32 5 2" xfId="32541" xr:uid="{00000000-0005-0000-0000-00000D7F0000}"/>
    <cellStyle name="Normal 5 10 2 32 5 3" xfId="32542" xr:uid="{00000000-0005-0000-0000-00000E7F0000}"/>
    <cellStyle name="Normal 5 10 2 32 5 4" xfId="32543" xr:uid="{00000000-0005-0000-0000-00000F7F0000}"/>
    <cellStyle name="Normal 5 10 2 32 5 5" xfId="32544" xr:uid="{00000000-0005-0000-0000-0000107F0000}"/>
    <cellStyle name="Normal 5 10 2 32 5 6" xfId="32545" xr:uid="{00000000-0005-0000-0000-0000117F0000}"/>
    <cellStyle name="Normal 5 10 2 32 5 7" xfId="32546" xr:uid="{00000000-0005-0000-0000-0000127F0000}"/>
    <cellStyle name="Normal 5 10 2 32 5 8" xfId="32547" xr:uid="{00000000-0005-0000-0000-0000137F0000}"/>
    <cellStyle name="Normal 5 10 2 32 5 9" xfId="32548" xr:uid="{00000000-0005-0000-0000-0000147F0000}"/>
    <cellStyle name="Normal 5 10 2 32 6" xfId="32549" xr:uid="{00000000-0005-0000-0000-0000157F0000}"/>
    <cellStyle name="Normal 5 10 2 32 7" xfId="32550" xr:uid="{00000000-0005-0000-0000-0000167F0000}"/>
    <cellStyle name="Normal 5 10 2 32 8" xfId="32551" xr:uid="{00000000-0005-0000-0000-0000177F0000}"/>
    <cellStyle name="Normal 5 10 2 32 9" xfId="32552" xr:uid="{00000000-0005-0000-0000-0000187F0000}"/>
    <cellStyle name="Normal 5 10 2 33" xfId="32553" xr:uid="{00000000-0005-0000-0000-0000197F0000}"/>
    <cellStyle name="Normal 5 10 2 33 10" xfId="32554" xr:uid="{00000000-0005-0000-0000-00001A7F0000}"/>
    <cellStyle name="Normal 5 10 2 33 11" xfId="32555" xr:uid="{00000000-0005-0000-0000-00001B7F0000}"/>
    <cellStyle name="Normal 5 10 2 33 12" xfId="32556" xr:uid="{00000000-0005-0000-0000-00001C7F0000}"/>
    <cellStyle name="Normal 5 10 2 33 13" xfId="32557" xr:uid="{00000000-0005-0000-0000-00001D7F0000}"/>
    <cellStyle name="Normal 5 10 2 33 14" xfId="32558" xr:uid="{00000000-0005-0000-0000-00001E7F0000}"/>
    <cellStyle name="Normal 5 10 2 33 2" xfId="32559" xr:uid="{00000000-0005-0000-0000-00001F7F0000}"/>
    <cellStyle name="Normal 5 10 2 33 2 10" xfId="32560" xr:uid="{00000000-0005-0000-0000-0000207F0000}"/>
    <cellStyle name="Normal 5 10 2 33 2 2" xfId="32561" xr:uid="{00000000-0005-0000-0000-0000217F0000}"/>
    <cellStyle name="Normal 5 10 2 33 2 3" xfId="32562" xr:uid="{00000000-0005-0000-0000-0000227F0000}"/>
    <cellStyle name="Normal 5 10 2 33 2 4" xfId="32563" xr:uid="{00000000-0005-0000-0000-0000237F0000}"/>
    <cellStyle name="Normal 5 10 2 33 2 5" xfId="32564" xr:uid="{00000000-0005-0000-0000-0000247F0000}"/>
    <cellStyle name="Normal 5 10 2 33 2 6" xfId="32565" xr:uid="{00000000-0005-0000-0000-0000257F0000}"/>
    <cellStyle name="Normal 5 10 2 33 2 7" xfId="32566" xr:uid="{00000000-0005-0000-0000-0000267F0000}"/>
    <cellStyle name="Normal 5 10 2 33 2 8" xfId="32567" xr:uid="{00000000-0005-0000-0000-0000277F0000}"/>
    <cellStyle name="Normal 5 10 2 33 2 9" xfId="32568" xr:uid="{00000000-0005-0000-0000-0000287F0000}"/>
    <cellStyle name="Normal 5 10 2 33 3" xfId="32569" xr:uid="{00000000-0005-0000-0000-0000297F0000}"/>
    <cellStyle name="Normal 5 10 2 33 3 10" xfId="32570" xr:uid="{00000000-0005-0000-0000-00002A7F0000}"/>
    <cellStyle name="Normal 5 10 2 33 3 2" xfId="32571" xr:uid="{00000000-0005-0000-0000-00002B7F0000}"/>
    <cellStyle name="Normal 5 10 2 33 3 3" xfId="32572" xr:uid="{00000000-0005-0000-0000-00002C7F0000}"/>
    <cellStyle name="Normal 5 10 2 33 3 4" xfId="32573" xr:uid="{00000000-0005-0000-0000-00002D7F0000}"/>
    <cellStyle name="Normal 5 10 2 33 3 5" xfId="32574" xr:uid="{00000000-0005-0000-0000-00002E7F0000}"/>
    <cellStyle name="Normal 5 10 2 33 3 6" xfId="32575" xr:uid="{00000000-0005-0000-0000-00002F7F0000}"/>
    <cellStyle name="Normal 5 10 2 33 3 7" xfId="32576" xr:uid="{00000000-0005-0000-0000-0000307F0000}"/>
    <cellStyle name="Normal 5 10 2 33 3 8" xfId="32577" xr:uid="{00000000-0005-0000-0000-0000317F0000}"/>
    <cellStyle name="Normal 5 10 2 33 3 9" xfId="32578" xr:uid="{00000000-0005-0000-0000-0000327F0000}"/>
    <cellStyle name="Normal 5 10 2 33 4" xfId="32579" xr:uid="{00000000-0005-0000-0000-0000337F0000}"/>
    <cellStyle name="Normal 5 10 2 33 4 10" xfId="32580" xr:uid="{00000000-0005-0000-0000-0000347F0000}"/>
    <cellStyle name="Normal 5 10 2 33 4 2" xfId="32581" xr:uid="{00000000-0005-0000-0000-0000357F0000}"/>
    <cellStyle name="Normal 5 10 2 33 4 3" xfId="32582" xr:uid="{00000000-0005-0000-0000-0000367F0000}"/>
    <cellStyle name="Normal 5 10 2 33 4 4" xfId="32583" xr:uid="{00000000-0005-0000-0000-0000377F0000}"/>
    <cellStyle name="Normal 5 10 2 33 4 5" xfId="32584" xr:uid="{00000000-0005-0000-0000-0000387F0000}"/>
    <cellStyle name="Normal 5 10 2 33 4 6" xfId="32585" xr:uid="{00000000-0005-0000-0000-0000397F0000}"/>
    <cellStyle name="Normal 5 10 2 33 4 7" xfId="32586" xr:uid="{00000000-0005-0000-0000-00003A7F0000}"/>
    <cellStyle name="Normal 5 10 2 33 4 8" xfId="32587" xr:uid="{00000000-0005-0000-0000-00003B7F0000}"/>
    <cellStyle name="Normal 5 10 2 33 4 9" xfId="32588" xr:uid="{00000000-0005-0000-0000-00003C7F0000}"/>
    <cellStyle name="Normal 5 10 2 33 5" xfId="32589" xr:uid="{00000000-0005-0000-0000-00003D7F0000}"/>
    <cellStyle name="Normal 5 10 2 33 5 10" xfId="32590" xr:uid="{00000000-0005-0000-0000-00003E7F0000}"/>
    <cellStyle name="Normal 5 10 2 33 5 2" xfId="32591" xr:uid="{00000000-0005-0000-0000-00003F7F0000}"/>
    <cellStyle name="Normal 5 10 2 33 5 3" xfId="32592" xr:uid="{00000000-0005-0000-0000-0000407F0000}"/>
    <cellStyle name="Normal 5 10 2 33 5 4" xfId="32593" xr:uid="{00000000-0005-0000-0000-0000417F0000}"/>
    <cellStyle name="Normal 5 10 2 33 5 5" xfId="32594" xr:uid="{00000000-0005-0000-0000-0000427F0000}"/>
    <cellStyle name="Normal 5 10 2 33 5 6" xfId="32595" xr:uid="{00000000-0005-0000-0000-0000437F0000}"/>
    <cellStyle name="Normal 5 10 2 33 5 7" xfId="32596" xr:uid="{00000000-0005-0000-0000-0000447F0000}"/>
    <cellStyle name="Normal 5 10 2 33 5 8" xfId="32597" xr:uid="{00000000-0005-0000-0000-0000457F0000}"/>
    <cellStyle name="Normal 5 10 2 33 5 9" xfId="32598" xr:uid="{00000000-0005-0000-0000-0000467F0000}"/>
    <cellStyle name="Normal 5 10 2 33 6" xfId="32599" xr:uid="{00000000-0005-0000-0000-0000477F0000}"/>
    <cellStyle name="Normal 5 10 2 33 7" xfId="32600" xr:uid="{00000000-0005-0000-0000-0000487F0000}"/>
    <cellStyle name="Normal 5 10 2 33 8" xfId="32601" xr:uid="{00000000-0005-0000-0000-0000497F0000}"/>
    <cellStyle name="Normal 5 10 2 33 9" xfId="32602" xr:uid="{00000000-0005-0000-0000-00004A7F0000}"/>
    <cellStyle name="Normal 5 10 2 34" xfId="32603" xr:uid="{00000000-0005-0000-0000-00004B7F0000}"/>
    <cellStyle name="Normal 5 10 2 34 10" xfId="32604" xr:uid="{00000000-0005-0000-0000-00004C7F0000}"/>
    <cellStyle name="Normal 5 10 2 34 2" xfId="32605" xr:uid="{00000000-0005-0000-0000-00004D7F0000}"/>
    <cellStyle name="Normal 5 10 2 34 3" xfId="32606" xr:uid="{00000000-0005-0000-0000-00004E7F0000}"/>
    <cellStyle name="Normal 5 10 2 34 4" xfId="32607" xr:uid="{00000000-0005-0000-0000-00004F7F0000}"/>
    <cellStyle name="Normal 5 10 2 34 5" xfId="32608" xr:uid="{00000000-0005-0000-0000-0000507F0000}"/>
    <cellStyle name="Normal 5 10 2 34 6" xfId="32609" xr:uid="{00000000-0005-0000-0000-0000517F0000}"/>
    <cellStyle name="Normal 5 10 2 34 7" xfId="32610" xr:uid="{00000000-0005-0000-0000-0000527F0000}"/>
    <cellStyle name="Normal 5 10 2 34 8" xfId="32611" xr:uid="{00000000-0005-0000-0000-0000537F0000}"/>
    <cellStyle name="Normal 5 10 2 34 9" xfId="32612" xr:uid="{00000000-0005-0000-0000-0000547F0000}"/>
    <cellStyle name="Normal 5 10 2 35" xfId="32613" xr:uid="{00000000-0005-0000-0000-0000557F0000}"/>
    <cellStyle name="Normal 5 10 2 35 10" xfId="32614" xr:uid="{00000000-0005-0000-0000-0000567F0000}"/>
    <cellStyle name="Normal 5 10 2 35 2" xfId="32615" xr:uid="{00000000-0005-0000-0000-0000577F0000}"/>
    <cellStyle name="Normal 5 10 2 35 3" xfId="32616" xr:uid="{00000000-0005-0000-0000-0000587F0000}"/>
    <cellStyle name="Normal 5 10 2 35 4" xfId="32617" xr:uid="{00000000-0005-0000-0000-0000597F0000}"/>
    <cellStyle name="Normal 5 10 2 35 5" xfId="32618" xr:uid="{00000000-0005-0000-0000-00005A7F0000}"/>
    <cellStyle name="Normal 5 10 2 35 6" xfId="32619" xr:uid="{00000000-0005-0000-0000-00005B7F0000}"/>
    <cellStyle name="Normal 5 10 2 35 7" xfId="32620" xr:uid="{00000000-0005-0000-0000-00005C7F0000}"/>
    <cellStyle name="Normal 5 10 2 35 8" xfId="32621" xr:uid="{00000000-0005-0000-0000-00005D7F0000}"/>
    <cellStyle name="Normal 5 10 2 35 9" xfId="32622" xr:uid="{00000000-0005-0000-0000-00005E7F0000}"/>
    <cellStyle name="Normal 5 10 2 36" xfId="32623" xr:uid="{00000000-0005-0000-0000-00005F7F0000}"/>
    <cellStyle name="Normal 5 10 2 36 10" xfId="32624" xr:uid="{00000000-0005-0000-0000-0000607F0000}"/>
    <cellStyle name="Normal 5 10 2 36 2" xfId="32625" xr:uid="{00000000-0005-0000-0000-0000617F0000}"/>
    <cellStyle name="Normal 5 10 2 36 3" xfId="32626" xr:uid="{00000000-0005-0000-0000-0000627F0000}"/>
    <cellStyle name="Normal 5 10 2 36 4" xfId="32627" xr:uid="{00000000-0005-0000-0000-0000637F0000}"/>
    <cellStyle name="Normal 5 10 2 36 5" xfId="32628" xr:uid="{00000000-0005-0000-0000-0000647F0000}"/>
    <cellStyle name="Normal 5 10 2 36 6" xfId="32629" xr:uid="{00000000-0005-0000-0000-0000657F0000}"/>
    <cellStyle name="Normal 5 10 2 36 7" xfId="32630" xr:uid="{00000000-0005-0000-0000-0000667F0000}"/>
    <cellStyle name="Normal 5 10 2 36 8" xfId="32631" xr:uid="{00000000-0005-0000-0000-0000677F0000}"/>
    <cellStyle name="Normal 5 10 2 36 9" xfId="32632" xr:uid="{00000000-0005-0000-0000-0000687F0000}"/>
    <cellStyle name="Normal 5 10 2 37" xfId="32633" xr:uid="{00000000-0005-0000-0000-0000697F0000}"/>
    <cellStyle name="Normal 5 10 2 37 10" xfId="32634" xr:uid="{00000000-0005-0000-0000-00006A7F0000}"/>
    <cellStyle name="Normal 5 10 2 37 2" xfId="32635" xr:uid="{00000000-0005-0000-0000-00006B7F0000}"/>
    <cellStyle name="Normal 5 10 2 37 3" xfId="32636" xr:uid="{00000000-0005-0000-0000-00006C7F0000}"/>
    <cellStyle name="Normal 5 10 2 37 4" xfId="32637" xr:uid="{00000000-0005-0000-0000-00006D7F0000}"/>
    <cellStyle name="Normal 5 10 2 37 5" xfId="32638" xr:uid="{00000000-0005-0000-0000-00006E7F0000}"/>
    <cellStyle name="Normal 5 10 2 37 6" xfId="32639" xr:uid="{00000000-0005-0000-0000-00006F7F0000}"/>
    <cellStyle name="Normal 5 10 2 37 7" xfId="32640" xr:uid="{00000000-0005-0000-0000-0000707F0000}"/>
    <cellStyle name="Normal 5 10 2 37 8" xfId="32641" xr:uid="{00000000-0005-0000-0000-0000717F0000}"/>
    <cellStyle name="Normal 5 10 2 37 9" xfId="32642" xr:uid="{00000000-0005-0000-0000-0000727F0000}"/>
    <cellStyle name="Normal 5 10 2 38" xfId="32643" xr:uid="{00000000-0005-0000-0000-0000737F0000}"/>
    <cellStyle name="Normal 5 10 2 39" xfId="32644" xr:uid="{00000000-0005-0000-0000-0000747F0000}"/>
    <cellStyle name="Normal 5 10 2 4" xfId="32645" xr:uid="{00000000-0005-0000-0000-0000757F0000}"/>
    <cellStyle name="Normal 5 10 2 4 10" xfId="32646" xr:uid="{00000000-0005-0000-0000-0000767F0000}"/>
    <cellStyle name="Normal 5 10 2 4 11" xfId="32647" xr:uid="{00000000-0005-0000-0000-0000777F0000}"/>
    <cellStyle name="Normal 5 10 2 4 12" xfId="32648" xr:uid="{00000000-0005-0000-0000-0000787F0000}"/>
    <cellStyle name="Normal 5 10 2 4 13" xfId="32649" xr:uid="{00000000-0005-0000-0000-0000797F0000}"/>
    <cellStyle name="Normal 5 10 2 4 14" xfId="32650" xr:uid="{00000000-0005-0000-0000-00007A7F0000}"/>
    <cellStyle name="Normal 5 10 2 4 2" xfId="32651" xr:uid="{00000000-0005-0000-0000-00007B7F0000}"/>
    <cellStyle name="Normal 5 10 2 4 2 10" xfId="32652" xr:uid="{00000000-0005-0000-0000-00007C7F0000}"/>
    <cellStyle name="Normal 5 10 2 4 2 2" xfId="32653" xr:uid="{00000000-0005-0000-0000-00007D7F0000}"/>
    <cellStyle name="Normal 5 10 2 4 2 3" xfId="32654" xr:uid="{00000000-0005-0000-0000-00007E7F0000}"/>
    <cellStyle name="Normal 5 10 2 4 2 4" xfId="32655" xr:uid="{00000000-0005-0000-0000-00007F7F0000}"/>
    <cellStyle name="Normal 5 10 2 4 2 5" xfId="32656" xr:uid="{00000000-0005-0000-0000-0000807F0000}"/>
    <cellStyle name="Normal 5 10 2 4 2 6" xfId="32657" xr:uid="{00000000-0005-0000-0000-0000817F0000}"/>
    <cellStyle name="Normal 5 10 2 4 2 7" xfId="32658" xr:uid="{00000000-0005-0000-0000-0000827F0000}"/>
    <cellStyle name="Normal 5 10 2 4 2 8" xfId="32659" xr:uid="{00000000-0005-0000-0000-0000837F0000}"/>
    <cellStyle name="Normal 5 10 2 4 2 9" xfId="32660" xr:uid="{00000000-0005-0000-0000-0000847F0000}"/>
    <cellStyle name="Normal 5 10 2 4 3" xfId="32661" xr:uid="{00000000-0005-0000-0000-0000857F0000}"/>
    <cellStyle name="Normal 5 10 2 4 3 10" xfId="32662" xr:uid="{00000000-0005-0000-0000-0000867F0000}"/>
    <cellStyle name="Normal 5 10 2 4 3 2" xfId="32663" xr:uid="{00000000-0005-0000-0000-0000877F0000}"/>
    <cellStyle name="Normal 5 10 2 4 3 3" xfId="32664" xr:uid="{00000000-0005-0000-0000-0000887F0000}"/>
    <cellStyle name="Normal 5 10 2 4 3 4" xfId="32665" xr:uid="{00000000-0005-0000-0000-0000897F0000}"/>
    <cellStyle name="Normal 5 10 2 4 3 5" xfId="32666" xr:uid="{00000000-0005-0000-0000-00008A7F0000}"/>
    <cellStyle name="Normal 5 10 2 4 3 6" xfId="32667" xr:uid="{00000000-0005-0000-0000-00008B7F0000}"/>
    <cellStyle name="Normal 5 10 2 4 3 7" xfId="32668" xr:uid="{00000000-0005-0000-0000-00008C7F0000}"/>
    <cellStyle name="Normal 5 10 2 4 3 8" xfId="32669" xr:uid="{00000000-0005-0000-0000-00008D7F0000}"/>
    <cellStyle name="Normal 5 10 2 4 3 9" xfId="32670" xr:uid="{00000000-0005-0000-0000-00008E7F0000}"/>
    <cellStyle name="Normal 5 10 2 4 4" xfId="32671" xr:uid="{00000000-0005-0000-0000-00008F7F0000}"/>
    <cellStyle name="Normal 5 10 2 4 4 10" xfId="32672" xr:uid="{00000000-0005-0000-0000-0000907F0000}"/>
    <cellStyle name="Normal 5 10 2 4 4 2" xfId="32673" xr:uid="{00000000-0005-0000-0000-0000917F0000}"/>
    <cellStyle name="Normal 5 10 2 4 4 3" xfId="32674" xr:uid="{00000000-0005-0000-0000-0000927F0000}"/>
    <cellStyle name="Normal 5 10 2 4 4 4" xfId="32675" xr:uid="{00000000-0005-0000-0000-0000937F0000}"/>
    <cellStyle name="Normal 5 10 2 4 4 5" xfId="32676" xr:uid="{00000000-0005-0000-0000-0000947F0000}"/>
    <cellStyle name="Normal 5 10 2 4 4 6" xfId="32677" xr:uid="{00000000-0005-0000-0000-0000957F0000}"/>
    <cellStyle name="Normal 5 10 2 4 4 7" xfId="32678" xr:uid="{00000000-0005-0000-0000-0000967F0000}"/>
    <cellStyle name="Normal 5 10 2 4 4 8" xfId="32679" xr:uid="{00000000-0005-0000-0000-0000977F0000}"/>
    <cellStyle name="Normal 5 10 2 4 4 9" xfId="32680" xr:uid="{00000000-0005-0000-0000-0000987F0000}"/>
    <cellStyle name="Normal 5 10 2 4 5" xfId="32681" xr:uid="{00000000-0005-0000-0000-0000997F0000}"/>
    <cellStyle name="Normal 5 10 2 4 5 10" xfId="32682" xr:uid="{00000000-0005-0000-0000-00009A7F0000}"/>
    <cellStyle name="Normal 5 10 2 4 5 2" xfId="32683" xr:uid="{00000000-0005-0000-0000-00009B7F0000}"/>
    <cellStyle name="Normal 5 10 2 4 5 3" xfId="32684" xr:uid="{00000000-0005-0000-0000-00009C7F0000}"/>
    <cellStyle name="Normal 5 10 2 4 5 4" xfId="32685" xr:uid="{00000000-0005-0000-0000-00009D7F0000}"/>
    <cellStyle name="Normal 5 10 2 4 5 5" xfId="32686" xr:uid="{00000000-0005-0000-0000-00009E7F0000}"/>
    <cellStyle name="Normal 5 10 2 4 5 6" xfId="32687" xr:uid="{00000000-0005-0000-0000-00009F7F0000}"/>
    <cellStyle name="Normal 5 10 2 4 5 7" xfId="32688" xr:uid="{00000000-0005-0000-0000-0000A07F0000}"/>
    <cellStyle name="Normal 5 10 2 4 5 8" xfId="32689" xr:uid="{00000000-0005-0000-0000-0000A17F0000}"/>
    <cellStyle name="Normal 5 10 2 4 5 9" xfId="32690" xr:uid="{00000000-0005-0000-0000-0000A27F0000}"/>
    <cellStyle name="Normal 5 10 2 4 6" xfId="32691" xr:uid="{00000000-0005-0000-0000-0000A37F0000}"/>
    <cellStyle name="Normal 5 10 2 4 7" xfId="32692" xr:uid="{00000000-0005-0000-0000-0000A47F0000}"/>
    <cellStyle name="Normal 5 10 2 4 8" xfId="32693" xr:uid="{00000000-0005-0000-0000-0000A57F0000}"/>
    <cellStyle name="Normal 5 10 2 4 9" xfId="32694" xr:uid="{00000000-0005-0000-0000-0000A67F0000}"/>
    <cellStyle name="Normal 5 10 2 40" xfId="32695" xr:uid="{00000000-0005-0000-0000-0000A77F0000}"/>
    <cellStyle name="Normal 5 10 2 41" xfId="32696" xr:uid="{00000000-0005-0000-0000-0000A87F0000}"/>
    <cellStyle name="Normal 5 10 2 42" xfId="32697" xr:uid="{00000000-0005-0000-0000-0000A97F0000}"/>
    <cellStyle name="Normal 5 10 2 43" xfId="32698" xr:uid="{00000000-0005-0000-0000-0000AA7F0000}"/>
    <cellStyle name="Normal 5 10 2 44" xfId="32699" xr:uid="{00000000-0005-0000-0000-0000AB7F0000}"/>
    <cellStyle name="Normal 5 10 2 45" xfId="32700" xr:uid="{00000000-0005-0000-0000-0000AC7F0000}"/>
    <cellStyle name="Normal 5 10 2 46" xfId="32701" xr:uid="{00000000-0005-0000-0000-0000AD7F0000}"/>
    <cellStyle name="Normal 5 10 2 47" xfId="32702" xr:uid="{00000000-0005-0000-0000-0000AE7F0000}"/>
    <cellStyle name="Normal 5 10 2 48" xfId="32703" xr:uid="{00000000-0005-0000-0000-0000AF7F0000}"/>
    <cellStyle name="Normal 5 10 2 49" xfId="31300" xr:uid="{00000000-0005-0000-0000-0000B07F0000}"/>
    <cellStyle name="Normal 5 10 2 5" xfId="32704" xr:uid="{00000000-0005-0000-0000-0000B17F0000}"/>
    <cellStyle name="Normal 5 10 2 5 10" xfId="32705" xr:uid="{00000000-0005-0000-0000-0000B27F0000}"/>
    <cellStyle name="Normal 5 10 2 5 11" xfId="32706" xr:uid="{00000000-0005-0000-0000-0000B37F0000}"/>
    <cellStyle name="Normal 5 10 2 5 12" xfId="32707" xr:uid="{00000000-0005-0000-0000-0000B47F0000}"/>
    <cellStyle name="Normal 5 10 2 5 13" xfId="32708" xr:uid="{00000000-0005-0000-0000-0000B57F0000}"/>
    <cellStyle name="Normal 5 10 2 5 14" xfId="32709" xr:uid="{00000000-0005-0000-0000-0000B67F0000}"/>
    <cellStyle name="Normal 5 10 2 5 2" xfId="32710" xr:uid="{00000000-0005-0000-0000-0000B77F0000}"/>
    <cellStyle name="Normal 5 10 2 5 2 10" xfId="32711" xr:uid="{00000000-0005-0000-0000-0000B87F0000}"/>
    <cellStyle name="Normal 5 10 2 5 2 2" xfId="32712" xr:uid="{00000000-0005-0000-0000-0000B97F0000}"/>
    <cellStyle name="Normal 5 10 2 5 2 3" xfId="32713" xr:uid="{00000000-0005-0000-0000-0000BA7F0000}"/>
    <cellStyle name="Normal 5 10 2 5 2 4" xfId="32714" xr:uid="{00000000-0005-0000-0000-0000BB7F0000}"/>
    <cellStyle name="Normal 5 10 2 5 2 5" xfId="32715" xr:uid="{00000000-0005-0000-0000-0000BC7F0000}"/>
    <cellStyle name="Normal 5 10 2 5 2 6" xfId="32716" xr:uid="{00000000-0005-0000-0000-0000BD7F0000}"/>
    <cellStyle name="Normal 5 10 2 5 2 7" xfId="32717" xr:uid="{00000000-0005-0000-0000-0000BE7F0000}"/>
    <cellStyle name="Normal 5 10 2 5 2 8" xfId="32718" xr:uid="{00000000-0005-0000-0000-0000BF7F0000}"/>
    <cellStyle name="Normal 5 10 2 5 2 9" xfId="32719" xr:uid="{00000000-0005-0000-0000-0000C07F0000}"/>
    <cellStyle name="Normal 5 10 2 5 3" xfId="32720" xr:uid="{00000000-0005-0000-0000-0000C17F0000}"/>
    <cellStyle name="Normal 5 10 2 5 3 10" xfId="32721" xr:uid="{00000000-0005-0000-0000-0000C27F0000}"/>
    <cellStyle name="Normal 5 10 2 5 3 2" xfId="32722" xr:uid="{00000000-0005-0000-0000-0000C37F0000}"/>
    <cellStyle name="Normal 5 10 2 5 3 3" xfId="32723" xr:uid="{00000000-0005-0000-0000-0000C47F0000}"/>
    <cellStyle name="Normal 5 10 2 5 3 4" xfId="32724" xr:uid="{00000000-0005-0000-0000-0000C57F0000}"/>
    <cellStyle name="Normal 5 10 2 5 3 5" xfId="32725" xr:uid="{00000000-0005-0000-0000-0000C67F0000}"/>
    <cellStyle name="Normal 5 10 2 5 3 6" xfId="32726" xr:uid="{00000000-0005-0000-0000-0000C77F0000}"/>
    <cellStyle name="Normal 5 10 2 5 3 7" xfId="32727" xr:uid="{00000000-0005-0000-0000-0000C87F0000}"/>
    <cellStyle name="Normal 5 10 2 5 3 8" xfId="32728" xr:uid="{00000000-0005-0000-0000-0000C97F0000}"/>
    <cellStyle name="Normal 5 10 2 5 3 9" xfId="32729" xr:uid="{00000000-0005-0000-0000-0000CA7F0000}"/>
    <cellStyle name="Normal 5 10 2 5 4" xfId="32730" xr:uid="{00000000-0005-0000-0000-0000CB7F0000}"/>
    <cellStyle name="Normal 5 10 2 5 4 10" xfId="32731" xr:uid="{00000000-0005-0000-0000-0000CC7F0000}"/>
    <cellStyle name="Normal 5 10 2 5 4 2" xfId="32732" xr:uid="{00000000-0005-0000-0000-0000CD7F0000}"/>
    <cellStyle name="Normal 5 10 2 5 4 3" xfId="32733" xr:uid="{00000000-0005-0000-0000-0000CE7F0000}"/>
    <cellStyle name="Normal 5 10 2 5 4 4" xfId="32734" xr:uid="{00000000-0005-0000-0000-0000CF7F0000}"/>
    <cellStyle name="Normal 5 10 2 5 4 5" xfId="32735" xr:uid="{00000000-0005-0000-0000-0000D07F0000}"/>
    <cellStyle name="Normal 5 10 2 5 4 6" xfId="32736" xr:uid="{00000000-0005-0000-0000-0000D17F0000}"/>
    <cellStyle name="Normal 5 10 2 5 4 7" xfId="32737" xr:uid="{00000000-0005-0000-0000-0000D27F0000}"/>
    <cellStyle name="Normal 5 10 2 5 4 8" xfId="32738" xr:uid="{00000000-0005-0000-0000-0000D37F0000}"/>
    <cellStyle name="Normal 5 10 2 5 4 9" xfId="32739" xr:uid="{00000000-0005-0000-0000-0000D47F0000}"/>
    <cellStyle name="Normal 5 10 2 5 5" xfId="32740" xr:uid="{00000000-0005-0000-0000-0000D57F0000}"/>
    <cellStyle name="Normal 5 10 2 5 5 10" xfId="32741" xr:uid="{00000000-0005-0000-0000-0000D67F0000}"/>
    <cellStyle name="Normal 5 10 2 5 5 2" xfId="32742" xr:uid="{00000000-0005-0000-0000-0000D77F0000}"/>
    <cellStyle name="Normal 5 10 2 5 5 3" xfId="32743" xr:uid="{00000000-0005-0000-0000-0000D87F0000}"/>
    <cellStyle name="Normal 5 10 2 5 5 4" xfId="32744" xr:uid="{00000000-0005-0000-0000-0000D97F0000}"/>
    <cellStyle name="Normal 5 10 2 5 5 5" xfId="32745" xr:uid="{00000000-0005-0000-0000-0000DA7F0000}"/>
    <cellStyle name="Normal 5 10 2 5 5 6" xfId="32746" xr:uid="{00000000-0005-0000-0000-0000DB7F0000}"/>
    <cellStyle name="Normal 5 10 2 5 5 7" xfId="32747" xr:uid="{00000000-0005-0000-0000-0000DC7F0000}"/>
    <cellStyle name="Normal 5 10 2 5 5 8" xfId="32748" xr:uid="{00000000-0005-0000-0000-0000DD7F0000}"/>
    <cellStyle name="Normal 5 10 2 5 5 9" xfId="32749" xr:uid="{00000000-0005-0000-0000-0000DE7F0000}"/>
    <cellStyle name="Normal 5 10 2 5 6" xfId="32750" xr:uid="{00000000-0005-0000-0000-0000DF7F0000}"/>
    <cellStyle name="Normal 5 10 2 5 7" xfId="32751" xr:uid="{00000000-0005-0000-0000-0000E07F0000}"/>
    <cellStyle name="Normal 5 10 2 5 8" xfId="32752" xr:uid="{00000000-0005-0000-0000-0000E17F0000}"/>
    <cellStyle name="Normal 5 10 2 5 9" xfId="32753" xr:uid="{00000000-0005-0000-0000-0000E27F0000}"/>
    <cellStyle name="Normal 5 10 2 6" xfId="32754" xr:uid="{00000000-0005-0000-0000-0000E37F0000}"/>
    <cellStyle name="Normal 5 10 2 6 10" xfId="32755" xr:uid="{00000000-0005-0000-0000-0000E47F0000}"/>
    <cellStyle name="Normal 5 10 2 6 11" xfId="32756" xr:uid="{00000000-0005-0000-0000-0000E57F0000}"/>
    <cellStyle name="Normal 5 10 2 6 12" xfId="32757" xr:uid="{00000000-0005-0000-0000-0000E67F0000}"/>
    <cellStyle name="Normal 5 10 2 6 13" xfId="32758" xr:uid="{00000000-0005-0000-0000-0000E77F0000}"/>
    <cellStyle name="Normal 5 10 2 6 14" xfId="32759" xr:uid="{00000000-0005-0000-0000-0000E87F0000}"/>
    <cellStyle name="Normal 5 10 2 6 2" xfId="32760" xr:uid="{00000000-0005-0000-0000-0000E97F0000}"/>
    <cellStyle name="Normal 5 10 2 6 2 10" xfId="32761" xr:uid="{00000000-0005-0000-0000-0000EA7F0000}"/>
    <cellStyle name="Normal 5 10 2 6 2 2" xfId="32762" xr:uid="{00000000-0005-0000-0000-0000EB7F0000}"/>
    <cellStyle name="Normal 5 10 2 6 2 3" xfId="32763" xr:uid="{00000000-0005-0000-0000-0000EC7F0000}"/>
    <cellStyle name="Normal 5 10 2 6 2 4" xfId="32764" xr:uid="{00000000-0005-0000-0000-0000ED7F0000}"/>
    <cellStyle name="Normal 5 10 2 6 2 5" xfId="32765" xr:uid="{00000000-0005-0000-0000-0000EE7F0000}"/>
    <cellStyle name="Normal 5 10 2 6 2 6" xfId="32766" xr:uid="{00000000-0005-0000-0000-0000EF7F0000}"/>
    <cellStyle name="Normal 5 10 2 6 2 7" xfId="32767" xr:uid="{00000000-0005-0000-0000-0000F07F0000}"/>
    <cellStyle name="Normal 5 10 2 6 2 8" xfId="32768" xr:uid="{00000000-0005-0000-0000-0000F17F0000}"/>
    <cellStyle name="Normal 5 10 2 6 2 9" xfId="32769" xr:uid="{00000000-0005-0000-0000-0000F27F0000}"/>
    <cellStyle name="Normal 5 10 2 6 3" xfId="32770" xr:uid="{00000000-0005-0000-0000-0000F37F0000}"/>
    <cellStyle name="Normal 5 10 2 6 3 10" xfId="32771" xr:uid="{00000000-0005-0000-0000-0000F47F0000}"/>
    <cellStyle name="Normal 5 10 2 6 3 2" xfId="32772" xr:uid="{00000000-0005-0000-0000-0000F57F0000}"/>
    <cellStyle name="Normal 5 10 2 6 3 3" xfId="32773" xr:uid="{00000000-0005-0000-0000-0000F67F0000}"/>
    <cellStyle name="Normal 5 10 2 6 3 4" xfId="32774" xr:uid="{00000000-0005-0000-0000-0000F77F0000}"/>
    <cellStyle name="Normal 5 10 2 6 3 5" xfId="32775" xr:uid="{00000000-0005-0000-0000-0000F87F0000}"/>
    <cellStyle name="Normal 5 10 2 6 3 6" xfId="32776" xr:uid="{00000000-0005-0000-0000-0000F97F0000}"/>
    <cellStyle name="Normal 5 10 2 6 3 7" xfId="32777" xr:uid="{00000000-0005-0000-0000-0000FA7F0000}"/>
    <cellStyle name="Normal 5 10 2 6 3 8" xfId="32778" xr:uid="{00000000-0005-0000-0000-0000FB7F0000}"/>
    <cellStyle name="Normal 5 10 2 6 3 9" xfId="32779" xr:uid="{00000000-0005-0000-0000-0000FC7F0000}"/>
    <cellStyle name="Normal 5 10 2 6 4" xfId="32780" xr:uid="{00000000-0005-0000-0000-0000FD7F0000}"/>
    <cellStyle name="Normal 5 10 2 6 4 10" xfId="32781" xr:uid="{00000000-0005-0000-0000-0000FE7F0000}"/>
    <cellStyle name="Normal 5 10 2 6 4 2" xfId="32782" xr:uid="{00000000-0005-0000-0000-0000FF7F0000}"/>
    <cellStyle name="Normal 5 10 2 6 4 3" xfId="32783" xr:uid="{00000000-0005-0000-0000-000000800000}"/>
    <cellStyle name="Normal 5 10 2 6 4 4" xfId="32784" xr:uid="{00000000-0005-0000-0000-000001800000}"/>
    <cellStyle name="Normal 5 10 2 6 4 5" xfId="32785" xr:uid="{00000000-0005-0000-0000-000002800000}"/>
    <cellStyle name="Normal 5 10 2 6 4 6" xfId="32786" xr:uid="{00000000-0005-0000-0000-000003800000}"/>
    <cellStyle name="Normal 5 10 2 6 4 7" xfId="32787" xr:uid="{00000000-0005-0000-0000-000004800000}"/>
    <cellStyle name="Normal 5 10 2 6 4 8" xfId="32788" xr:uid="{00000000-0005-0000-0000-000005800000}"/>
    <cellStyle name="Normal 5 10 2 6 4 9" xfId="32789" xr:uid="{00000000-0005-0000-0000-000006800000}"/>
    <cellStyle name="Normal 5 10 2 6 5" xfId="32790" xr:uid="{00000000-0005-0000-0000-000007800000}"/>
    <cellStyle name="Normal 5 10 2 6 5 10" xfId="32791" xr:uid="{00000000-0005-0000-0000-000008800000}"/>
    <cellStyle name="Normal 5 10 2 6 5 2" xfId="32792" xr:uid="{00000000-0005-0000-0000-000009800000}"/>
    <cellStyle name="Normal 5 10 2 6 5 3" xfId="32793" xr:uid="{00000000-0005-0000-0000-00000A800000}"/>
    <cellStyle name="Normal 5 10 2 6 5 4" xfId="32794" xr:uid="{00000000-0005-0000-0000-00000B800000}"/>
    <cellStyle name="Normal 5 10 2 6 5 5" xfId="32795" xr:uid="{00000000-0005-0000-0000-00000C800000}"/>
    <cellStyle name="Normal 5 10 2 6 5 6" xfId="32796" xr:uid="{00000000-0005-0000-0000-00000D800000}"/>
    <cellStyle name="Normal 5 10 2 6 5 7" xfId="32797" xr:uid="{00000000-0005-0000-0000-00000E800000}"/>
    <cellStyle name="Normal 5 10 2 6 5 8" xfId="32798" xr:uid="{00000000-0005-0000-0000-00000F800000}"/>
    <cellStyle name="Normal 5 10 2 6 5 9" xfId="32799" xr:uid="{00000000-0005-0000-0000-000010800000}"/>
    <cellStyle name="Normal 5 10 2 6 6" xfId="32800" xr:uid="{00000000-0005-0000-0000-000011800000}"/>
    <cellStyle name="Normal 5 10 2 6 7" xfId="32801" xr:uid="{00000000-0005-0000-0000-000012800000}"/>
    <cellStyle name="Normal 5 10 2 6 8" xfId="32802" xr:uid="{00000000-0005-0000-0000-000013800000}"/>
    <cellStyle name="Normal 5 10 2 6 9" xfId="32803" xr:uid="{00000000-0005-0000-0000-000014800000}"/>
    <cellStyle name="Normal 5 10 2 7" xfId="32804" xr:uid="{00000000-0005-0000-0000-000015800000}"/>
    <cellStyle name="Normal 5 10 2 7 10" xfId="32805" xr:uid="{00000000-0005-0000-0000-000016800000}"/>
    <cellStyle name="Normal 5 10 2 7 11" xfId="32806" xr:uid="{00000000-0005-0000-0000-000017800000}"/>
    <cellStyle name="Normal 5 10 2 7 12" xfId="32807" xr:uid="{00000000-0005-0000-0000-000018800000}"/>
    <cellStyle name="Normal 5 10 2 7 13" xfId="32808" xr:uid="{00000000-0005-0000-0000-000019800000}"/>
    <cellStyle name="Normal 5 10 2 7 14" xfId="32809" xr:uid="{00000000-0005-0000-0000-00001A800000}"/>
    <cellStyle name="Normal 5 10 2 7 2" xfId="32810" xr:uid="{00000000-0005-0000-0000-00001B800000}"/>
    <cellStyle name="Normal 5 10 2 7 2 10" xfId="32811" xr:uid="{00000000-0005-0000-0000-00001C800000}"/>
    <cellStyle name="Normal 5 10 2 7 2 2" xfId="32812" xr:uid="{00000000-0005-0000-0000-00001D800000}"/>
    <cellStyle name="Normal 5 10 2 7 2 3" xfId="32813" xr:uid="{00000000-0005-0000-0000-00001E800000}"/>
    <cellStyle name="Normal 5 10 2 7 2 4" xfId="32814" xr:uid="{00000000-0005-0000-0000-00001F800000}"/>
    <cellStyle name="Normal 5 10 2 7 2 5" xfId="32815" xr:uid="{00000000-0005-0000-0000-000020800000}"/>
    <cellStyle name="Normal 5 10 2 7 2 6" xfId="32816" xr:uid="{00000000-0005-0000-0000-000021800000}"/>
    <cellStyle name="Normal 5 10 2 7 2 7" xfId="32817" xr:uid="{00000000-0005-0000-0000-000022800000}"/>
    <cellStyle name="Normal 5 10 2 7 2 8" xfId="32818" xr:uid="{00000000-0005-0000-0000-000023800000}"/>
    <cellStyle name="Normal 5 10 2 7 2 9" xfId="32819" xr:uid="{00000000-0005-0000-0000-000024800000}"/>
    <cellStyle name="Normal 5 10 2 7 3" xfId="32820" xr:uid="{00000000-0005-0000-0000-000025800000}"/>
    <cellStyle name="Normal 5 10 2 7 3 10" xfId="32821" xr:uid="{00000000-0005-0000-0000-000026800000}"/>
    <cellStyle name="Normal 5 10 2 7 3 2" xfId="32822" xr:uid="{00000000-0005-0000-0000-000027800000}"/>
    <cellStyle name="Normal 5 10 2 7 3 3" xfId="32823" xr:uid="{00000000-0005-0000-0000-000028800000}"/>
    <cellStyle name="Normal 5 10 2 7 3 4" xfId="32824" xr:uid="{00000000-0005-0000-0000-000029800000}"/>
    <cellStyle name="Normal 5 10 2 7 3 5" xfId="32825" xr:uid="{00000000-0005-0000-0000-00002A800000}"/>
    <cellStyle name="Normal 5 10 2 7 3 6" xfId="32826" xr:uid="{00000000-0005-0000-0000-00002B800000}"/>
    <cellStyle name="Normal 5 10 2 7 3 7" xfId="32827" xr:uid="{00000000-0005-0000-0000-00002C800000}"/>
    <cellStyle name="Normal 5 10 2 7 3 8" xfId="32828" xr:uid="{00000000-0005-0000-0000-00002D800000}"/>
    <cellStyle name="Normal 5 10 2 7 3 9" xfId="32829" xr:uid="{00000000-0005-0000-0000-00002E800000}"/>
    <cellStyle name="Normal 5 10 2 7 4" xfId="32830" xr:uid="{00000000-0005-0000-0000-00002F800000}"/>
    <cellStyle name="Normal 5 10 2 7 4 10" xfId="32831" xr:uid="{00000000-0005-0000-0000-000030800000}"/>
    <cellStyle name="Normal 5 10 2 7 4 2" xfId="32832" xr:uid="{00000000-0005-0000-0000-000031800000}"/>
    <cellStyle name="Normal 5 10 2 7 4 3" xfId="32833" xr:uid="{00000000-0005-0000-0000-000032800000}"/>
    <cellStyle name="Normal 5 10 2 7 4 4" xfId="32834" xr:uid="{00000000-0005-0000-0000-000033800000}"/>
    <cellStyle name="Normal 5 10 2 7 4 5" xfId="32835" xr:uid="{00000000-0005-0000-0000-000034800000}"/>
    <cellStyle name="Normal 5 10 2 7 4 6" xfId="32836" xr:uid="{00000000-0005-0000-0000-000035800000}"/>
    <cellStyle name="Normal 5 10 2 7 4 7" xfId="32837" xr:uid="{00000000-0005-0000-0000-000036800000}"/>
    <cellStyle name="Normal 5 10 2 7 4 8" xfId="32838" xr:uid="{00000000-0005-0000-0000-000037800000}"/>
    <cellStyle name="Normal 5 10 2 7 4 9" xfId="32839" xr:uid="{00000000-0005-0000-0000-000038800000}"/>
    <cellStyle name="Normal 5 10 2 7 5" xfId="32840" xr:uid="{00000000-0005-0000-0000-000039800000}"/>
    <cellStyle name="Normal 5 10 2 7 5 10" xfId="32841" xr:uid="{00000000-0005-0000-0000-00003A800000}"/>
    <cellStyle name="Normal 5 10 2 7 5 2" xfId="32842" xr:uid="{00000000-0005-0000-0000-00003B800000}"/>
    <cellStyle name="Normal 5 10 2 7 5 3" xfId="32843" xr:uid="{00000000-0005-0000-0000-00003C800000}"/>
    <cellStyle name="Normal 5 10 2 7 5 4" xfId="32844" xr:uid="{00000000-0005-0000-0000-00003D800000}"/>
    <cellStyle name="Normal 5 10 2 7 5 5" xfId="32845" xr:uid="{00000000-0005-0000-0000-00003E800000}"/>
    <cellStyle name="Normal 5 10 2 7 5 6" xfId="32846" xr:uid="{00000000-0005-0000-0000-00003F800000}"/>
    <cellStyle name="Normal 5 10 2 7 5 7" xfId="32847" xr:uid="{00000000-0005-0000-0000-000040800000}"/>
    <cellStyle name="Normal 5 10 2 7 5 8" xfId="32848" xr:uid="{00000000-0005-0000-0000-000041800000}"/>
    <cellStyle name="Normal 5 10 2 7 5 9" xfId="32849" xr:uid="{00000000-0005-0000-0000-000042800000}"/>
    <cellStyle name="Normal 5 10 2 7 6" xfId="32850" xr:uid="{00000000-0005-0000-0000-000043800000}"/>
    <cellStyle name="Normal 5 10 2 7 7" xfId="32851" xr:uid="{00000000-0005-0000-0000-000044800000}"/>
    <cellStyle name="Normal 5 10 2 7 8" xfId="32852" xr:uid="{00000000-0005-0000-0000-000045800000}"/>
    <cellStyle name="Normal 5 10 2 7 9" xfId="32853" xr:uid="{00000000-0005-0000-0000-000046800000}"/>
    <cellStyle name="Normal 5 10 2 8" xfId="32854" xr:uid="{00000000-0005-0000-0000-000047800000}"/>
    <cellStyle name="Normal 5 10 2 8 10" xfId="32855" xr:uid="{00000000-0005-0000-0000-000048800000}"/>
    <cellStyle name="Normal 5 10 2 8 11" xfId="32856" xr:uid="{00000000-0005-0000-0000-000049800000}"/>
    <cellStyle name="Normal 5 10 2 8 12" xfId="32857" xr:uid="{00000000-0005-0000-0000-00004A800000}"/>
    <cellStyle name="Normal 5 10 2 8 13" xfId="32858" xr:uid="{00000000-0005-0000-0000-00004B800000}"/>
    <cellStyle name="Normal 5 10 2 8 14" xfId="32859" xr:uid="{00000000-0005-0000-0000-00004C800000}"/>
    <cellStyle name="Normal 5 10 2 8 2" xfId="32860" xr:uid="{00000000-0005-0000-0000-00004D800000}"/>
    <cellStyle name="Normal 5 10 2 8 2 10" xfId="32861" xr:uid="{00000000-0005-0000-0000-00004E800000}"/>
    <cellStyle name="Normal 5 10 2 8 2 2" xfId="32862" xr:uid="{00000000-0005-0000-0000-00004F800000}"/>
    <cellStyle name="Normal 5 10 2 8 2 3" xfId="32863" xr:uid="{00000000-0005-0000-0000-000050800000}"/>
    <cellStyle name="Normal 5 10 2 8 2 4" xfId="32864" xr:uid="{00000000-0005-0000-0000-000051800000}"/>
    <cellStyle name="Normal 5 10 2 8 2 5" xfId="32865" xr:uid="{00000000-0005-0000-0000-000052800000}"/>
    <cellStyle name="Normal 5 10 2 8 2 6" xfId="32866" xr:uid="{00000000-0005-0000-0000-000053800000}"/>
    <cellStyle name="Normal 5 10 2 8 2 7" xfId="32867" xr:uid="{00000000-0005-0000-0000-000054800000}"/>
    <cellStyle name="Normal 5 10 2 8 2 8" xfId="32868" xr:uid="{00000000-0005-0000-0000-000055800000}"/>
    <cellStyle name="Normal 5 10 2 8 2 9" xfId="32869" xr:uid="{00000000-0005-0000-0000-000056800000}"/>
    <cellStyle name="Normal 5 10 2 8 3" xfId="32870" xr:uid="{00000000-0005-0000-0000-000057800000}"/>
    <cellStyle name="Normal 5 10 2 8 3 10" xfId="32871" xr:uid="{00000000-0005-0000-0000-000058800000}"/>
    <cellStyle name="Normal 5 10 2 8 3 2" xfId="32872" xr:uid="{00000000-0005-0000-0000-000059800000}"/>
    <cellStyle name="Normal 5 10 2 8 3 3" xfId="32873" xr:uid="{00000000-0005-0000-0000-00005A800000}"/>
    <cellStyle name="Normal 5 10 2 8 3 4" xfId="32874" xr:uid="{00000000-0005-0000-0000-00005B800000}"/>
    <cellStyle name="Normal 5 10 2 8 3 5" xfId="32875" xr:uid="{00000000-0005-0000-0000-00005C800000}"/>
    <cellStyle name="Normal 5 10 2 8 3 6" xfId="32876" xr:uid="{00000000-0005-0000-0000-00005D800000}"/>
    <cellStyle name="Normal 5 10 2 8 3 7" xfId="32877" xr:uid="{00000000-0005-0000-0000-00005E800000}"/>
    <cellStyle name="Normal 5 10 2 8 3 8" xfId="32878" xr:uid="{00000000-0005-0000-0000-00005F800000}"/>
    <cellStyle name="Normal 5 10 2 8 3 9" xfId="32879" xr:uid="{00000000-0005-0000-0000-000060800000}"/>
    <cellStyle name="Normal 5 10 2 8 4" xfId="32880" xr:uid="{00000000-0005-0000-0000-000061800000}"/>
    <cellStyle name="Normal 5 10 2 8 4 10" xfId="32881" xr:uid="{00000000-0005-0000-0000-000062800000}"/>
    <cellStyle name="Normal 5 10 2 8 4 2" xfId="32882" xr:uid="{00000000-0005-0000-0000-000063800000}"/>
    <cellStyle name="Normal 5 10 2 8 4 3" xfId="32883" xr:uid="{00000000-0005-0000-0000-000064800000}"/>
    <cellStyle name="Normal 5 10 2 8 4 4" xfId="32884" xr:uid="{00000000-0005-0000-0000-000065800000}"/>
    <cellStyle name="Normal 5 10 2 8 4 5" xfId="32885" xr:uid="{00000000-0005-0000-0000-000066800000}"/>
    <cellStyle name="Normal 5 10 2 8 4 6" xfId="32886" xr:uid="{00000000-0005-0000-0000-000067800000}"/>
    <cellStyle name="Normal 5 10 2 8 4 7" xfId="32887" xr:uid="{00000000-0005-0000-0000-000068800000}"/>
    <cellStyle name="Normal 5 10 2 8 4 8" xfId="32888" xr:uid="{00000000-0005-0000-0000-000069800000}"/>
    <cellStyle name="Normal 5 10 2 8 4 9" xfId="32889" xr:uid="{00000000-0005-0000-0000-00006A800000}"/>
    <cellStyle name="Normal 5 10 2 8 5" xfId="32890" xr:uid="{00000000-0005-0000-0000-00006B800000}"/>
    <cellStyle name="Normal 5 10 2 8 5 10" xfId="32891" xr:uid="{00000000-0005-0000-0000-00006C800000}"/>
    <cellStyle name="Normal 5 10 2 8 5 2" xfId="32892" xr:uid="{00000000-0005-0000-0000-00006D800000}"/>
    <cellStyle name="Normal 5 10 2 8 5 3" xfId="32893" xr:uid="{00000000-0005-0000-0000-00006E800000}"/>
    <cellStyle name="Normal 5 10 2 8 5 4" xfId="32894" xr:uid="{00000000-0005-0000-0000-00006F800000}"/>
    <cellStyle name="Normal 5 10 2 8 5 5" xfId="32895" xr:uid="{00000000-0005-0000-0000-000070800000}"/>
    <cellStyle name="Normal 5 10 2 8 5 6" xfId="32896" xr:uid="{00000000-0005-0000-0000-000071800000}"/>
    <cellStyle name="Normal 5 10 2 8 5 7" xfId="32897" xr:uid="{00000000-0005-0000-0000-000072800000}"/>
    <cellStyle name="Normal 5 10 2 8 5 8" xfId="32898" xr:uid="{00000000-0005-0000-0000-000073800000}"/>
    <cellStyle name="Normal 5 10 2 8 5 9" xfId="32899" xr:uid="{00000000-0005-0000-0000-000074800000}"/>
    <cellStyle name="Normal 5 10 2 8 6" xfId="32900" xr:uid="{00000000-0005-0000-0000-000075800000}"/>
    <cellStyle name="Normal 5 10 2 8 7" xfId="32901" xr:uid="{00000000-0005-0000-0000-000076800000}"/>
    <cellStyle name="Normal 5 10 2 8 8" xfId="32902" xr:uid="{00000000-0005-0000-0000-000077800000}"/>
    <cellStyle name="Normal 5 10 2 8 9" xfId="32903" xr:uid="{00000000-0005-0000-0000-000078800000}"/>
    <cellStyle name="Normal 5 10 2 9" xfId="32904" xr:uid="{00000000-0005-0000-0000-000079800000}"/>
    <cellStyle name="Normal 5 10 2 9 10" xfId="32905" xr:uid="{00000000-0005-0000-0000-00007A800000}"/>
    <cellStyle name="Normal 5 10 2 9 11" xfId="32906" xr:uid="{00000000-0005-0000-0000-00007B800000}"/>
    <cellStyle name="Normal 5 10 2 9 12" xfId="32907" xr:uid="{00000000-0005-0000-0000-00007C800000}"/>
    <cellStyle name="Normal 5 10 2 9 13" xfId="32908" xr:uid="{00000000-0005-0000-0000-00007D800000}"/>
    <cellStyle name="Normal 5 10 2 9 14" xfId="32909" xr:uid="{00000000-0005-0000-0000-00007E800000}"/>
    <cellStyle name="Normal 5 10 2 9 2" xfId="32910" xr:uid="{00000000-0005-0000-0000-00007F800000}"/>
    <cellStyle name="Normal 5 10 2 9 2 10" xfId="32911" xr:uid="{00000000-0005-0000-0000-000080800000}"/>
    <cellStyle name="Normal 5 10 2 9 2 2" xfId="32912" xr:uid="{00000000-0005-0000-0000-000081800000}"/>
    <cellStyle name="Normal 5 10 2 9 2 3" xfId="32913" xr:uid="{00000000-0005-0000-0000-000082800000}"/>
    <cellStyle name="Normal 5 10 2 9 2 4" xfId="32914" xr:uid="{00000000-0005-0000-0000-000083800000}"/>
    <cellStyle name="Normal 5 10 2 9 2 5" xfId="32915" xr:uid="{00000000-0005-0000-0000-000084800000}"/>
    <cellStyle name="Normal 5 10 2 9 2 6" xfId="32916" xr:uid="{00000000-0005-0000-0000-000085800000}"/>
    <cellStyle name="Normal 5 10 2 9 2 7" xfId="32917" xr:uid="{00000000-0005-0000-0000-000086800000}"/>
    <cellStyle name="Normal 5 10 2 9 2 8" xfId="32918" xr:uid="{00000000-0005-0000-0000-000087800000}"/>
    <cellStyle name="Normal 5 10 2 9 2 9" xfId="32919" xr:uid="{00000000-0005-0000-0000-000088800000}"/>
    <cellStyle name="Normal 5 10 2 9 3" xfId="32920" xr:uid="{00000000-0005-0000-0000-000089800000}"/>
    <cellStyle name="Normal 5 10 2 9 3 10" xfId="32921" xr:uid="{00000000-0005-0000-0000-00008A800000}"/>
    <cellStyle name="Normal 5 10 2 9 3 2" xfId="32922" xr:uid="{00000000-0005-0000-0000-00008B800000}"/>
    <cellStyle name="Normal 5 10 2 9 3 3" xfId="32923" xr:uid="{00000000-0005-0000-0000-00008C800000}"/>
    <cellStyle name="Normal 5 10 2 9 3 4" xfId="32924" xr:uid="{00000000-0005-0000-0000-00008D800000}"/>
    <cellStyle name="Normal 5 10 2 9 3 5" xfId="32925" xr:uid="{00000000-0005-0000-0000-00008E800000}"/>
    <cellStyle name="Normal 5 10 2 9 3 6" xfId="32926" xr:uid="{00000000-0005-0000-0000-00008F800000}"/>
    <cellStyle name="Normal 5 10 2 9 3 7" xfId="32927" xr:uid="{00000000-0005-0000-0000-000090800000}"/>
    <cellStyle name="Normal 5 10 2 9 3 8" xfId="32928" xr:uid="{00000000-0005-0000-0000-000091800000}"/>
    <cellStyle name="Normal 5 10 2 9 3 9" xfId="32929" xr:uid="{00000000-0005-0000-0000-000092800000}"/>
    <cellStyle name="Normal 5 10 2 9 4" xfId="32930" xr:uid="{00000000-0005-0000-0000-000093800000}"/>
    <cellStyle name="Normal 5 10 2 9 4 10" xfId="32931" xr:uid="{00000000-0005-0000-0000-000094800000}"/>
    <cellStyle name="Normal 5 10 2 9 4 2" xfId="32932" xr:uid="{00000000-0005-0000-0000-000095800000}"/>
    <cellStyle name="Normal 5 10 2 9 4 3" xfId="32933" xr:uid="{00000000-0005-0000-0000-000096800000}"/>
    <cellStyle name="Normal 5 10 2 9 4 4" xfId="32934" xr:uid="{00000000-0005-0000-0000-000097800000}"/>
    <cellStyle name="Normal 5 10 2 9 4 5" xfId="32935" xr:uid="{00000000-0005-0000-0000-000098800000}"/>
    <cellStyle name="Normal 5 10 2 9 4 6" xfId="32936" xr:uid="{00000000-0005-0000-0000-000099800000}"/>
    <cellStyle name="Normal 5 10 2 9 4 7" xfId="32937" xr:uid="{00000000-0005-0000-0000-00009A800000}"/>
    <cellStyle name="Normal 5 10 2 9 4 8" xfId="32938" xr:uid="{00000000-0005-0000-0000-00009B800000}"/>
    <cellStyle name="Normal 5 10 2 9 4 9" xfId="32939" xr:uid="{00000000-0005-0000-0000-00009C800000}"/>
    <cellStyle name="Normal 5 10 2 9 5" xfId="32940" xr:uid="{00000000-0005-0000-0000-00009D800000}"/>
    <cellStyle name="Normal 5 10 2 9 5 10" xfId="32941" xr:uid="{00000000-0005-0000-0000-00009E800000}"/>
    <cellStyle name="Normal 5 10 2 9 5 2" xfId="32942" xr:uid="{00000000-0005-0000-0000-00009F800000}"/>
    <cellStyle name="Normal 5 10 2 9 5 3" xfId="32943" xr:uid="{00000000-0005-0000-0000-0000A0800000}"/>
    <cellStyle name="Normal 5 10 2 9 5 4" xfId="32944" xr:uid="{00000000-0005-0000-0000-0000A1800000}"/>
    <cellStyle name="Normal 5 10 2 9 5 5" xfId="32945" xr:uid="{00000000-0005-0000-0000-0000A2800000}"/>
    <cellStyle name="Normal 5 10 2 9 5 6" xfId="32946" xr:uid="{00000000-0005-0000-0000-0000A3800000}"/>
    <cellStyle name="Normal 5 10 2 9 5 7" xfId="32947" xr:uid="{00000000-0005-0000-0000-0000A4800000}"/>
    <cellStyle name="Normal 5 10 2 9 5 8" xfId="32948" xr:uid="{00000000-0005-0000-0000-0000A5800000}"/>
    <cellStyle name="Normal 5 10 2 9 5 9" xfId="32949" xr:uid="{00000000-0005-0000-0000-0000A6800000}"/>
    <cellStyle name="Normal 5 10 2 9 6" xfId="32950" xr:uid="{00000000-0005-0000-0000-0000A7800000}"/>
    <cellStyle name="Normal 5 10 2 9 7" xfId="32951" xr:uid="{00000000-0005-0000-0000-0000A8800000}"/>
    <cellStyle name="Normal 5 10 2 9 8" xfId="32952" xr:uid="{00000000-0005-0000-0000-0000A9800000}"/>
    <cellStyle name="Normal 5 10 2 9 9" xfId="32953" xr:uid="{00000000-0005-0000-0000-0000AA800000}"/>
    <cellStyle name="Normal 5 10 20" xfId="32954" xr:uid="{00000000-0005-0000-0000-0000AB800000}"/>
    <cellStyle name="Normal 5 10 20 10" xfId="32955" xr:uid="{00000000-0005-0000-0000-0000AC800000}"/>
    <cellStyle name="Normal 5 10 20 11" xfId="32956" xr:uid="{00000000-0005-0000-0000-0000AD800000}"/>
    <cellStyle name="Normal 5 10 20 12" xfId="32957" xr:uid="{00000000-0005-0000-0000-0000AE800000}"/>
    <cellStyle name="Normal 5 10 20 13" xfId="32958" xr:uid="{00000000-0005-0000-0000-0000AF800000}"/>
    <cellStyle name="Normal 5 10 20 14" xfId="32959" xr:uid="{00000000-0005-0000-0000-0000B0800000}"/>
    <cellStyle name="Normal 5 10 20 2" xfId="32960" xr:uid="{00000000-0005-0000-0000-0000B1800000}"/>
    <cellStyle name="Normal 5 10 20 2 10" xfId="32961" xr:uid="{00000000-0005-0000-0000-0000B2800000}"/>
    <cellStyle name="Normal 5 10 20 2 2" xfId="32962" xr:uid="{00000000-0005-0000-0000-0000B3800000}"/>
    <cellStyle name="Normal 5 10 20 2 3" xfId="32963" xr:uid="{00000000-0005-0000-0000-0000B4800000}"/>
    <cellStyle name="Normal 5 10 20 2 4" xfId="32964" xr:uid="{00000000-0005-0000-0000-0000B5800000}"/>
    <cellStyle name="Normal 5 10 20 2 5" xfId="32965" xr:uid="{00000000-0005-0000-0000-0000B6800000}"/>
    <cellStyle name="Normal 5 10 20 2 6" xfId="32966" xr:uid="{00000000-0005-0000-0000-0000B7800000}"/>
    <cellStyle name="Normal 5 10 20 2 7" xfId="32967" xr:uid="{00000000-0005-0000-0000-0000B8800000}"/>
    <cellStyle name="Normal 5 10 20 2 8" xfId="32968" xr:uid="{00000000-0005-0000-0000-0000B9800000}"/>
    <cellStyle name="Normal 5 10 20 2 9" xfId="32969" xr:uid="{00000000-0005-0000-0000-0000BA800000}"/>
    <cellStyle name="Normal 5 10 20 3" xfId="32970" xr:uid="{00000000-0005-0000-0000-0000BB800000}"/>
    <cellStyle name="Normal 5 10 20 3 10" xfId="32971" xr:uid="{00000000-0005-0000-0000-0000BC800000}"/>
    <cellStyle name="Normal 5 10 20 3 2" xfId="32972" xr:uid="{00000000-0005-0000-0000-0000BD800000}"/>
    <cellStyle name="Normal 5 10 20 3 3" xfId="32973" xr:uid="{00000000-0005-0000-0000-0000BE800000}"/>
    <cellStyle name="Normal 5 10 20 3 4" xfId="32974" xr:uid="{00000000-0005-0000-0000-0000BF800000}"/>
    <cellStyle name="Normal 5 10 20 3 5" xfId="32975" xr:uid="{00000000-0005-0000-0000-0000C0800000}"/>
    <cellStyle name="Normal 5 10 20 3 6" xfId="32976" xr:uid="{00000000-0005-0000-0000-0000C1800000}"/>
    <cellStyle name="Normal 5 10 20 3 7" xfId="32977" xr:uid="{00000000-0005-0000-0000-0000C2800000}"/>
    <cellStyle name="Normal 5 10 20 3 8" xfId="32978" xr:uid="{00000000-0005-0000-0000-0000C3800000}"/>
    <cellStyle name="Normal 5 10 20 3 9" xfId="32979" xr:uid="{00000000-0005-0000-0000-0000C4800000}"/>
    <cellStyle name="Normal 5 10 20 4" xfId="32980" xr:uid="{00000000-0005-0000-0000-0000C5800000}"/>
    <cellStyle name="Normal 5 10 20 4 10" xfId="32981" xr:uid="{00000000-0005-0000-0000-0000C6800000}"/>
    <cellStyle name="Normal 5 10 20 4 2" xfId="32982" xr:uid="{00000000-0005-0000-0000-0000C7800000}"/>
    <cellStyle name="Normal 5 10 20 4 3" xfId="32983" xr:uid="{00000000-0005-0000-0000-0000C8800000}"/>
    <cellStyle name="Normal 5 10 20 4 4" xfId="32984" xr:uid="{00000000-0005-0000-0000-0000C9800000}"/>
    <cellStyle name="Normal 5 10 20 4 5" xfId="32985" xr:uid="{00000000-0005-0000-0000-0000CA800000}"/>
    <cellStyle name="Normal 5 10 20 4 6" xfId="32986" xr:uid="{00000000-0005-0000-0000-0000CB800000}"/>
    <cellStyle name="Normal 5 10 20 4 7" xfId="32987" xr:uid="{00000000-0005-0000-0000-0000CC800000}"/>
    <cellStyle name="Normal 5 10 20 4 8" xfId="32988" xr:uid="{00000000-0005-0000-0000-0000CD800000}"/>
    <cellStyle name="Normal 5 10 20 4 9" xfId="32989" xr:uid="{00000000-0005-0000-0000-0000CE800000}"/>
    <cellStyle name="Normal 5 10 20 5" xfId="32990" xr:uid="{00000000-0005-0000-0000-0000CF800000}"/>
    <cellStyle name="Normal 5 10 20 5 10" xfId="32991" xr:uid="{00000000-0005-0000-0000-0000D0800000}"/>
    <cellStyle name="Normal 5 10 20 5 2" xfId="32992" xr:uid="{00000000-0005-0000-0000-0000D1800000}"/>
    <cellStyle name="Normal 5 10 20 5 3" xfId="32993" xr:uid="{00000000-0005-0000-0000-0000D2800000}"/>
    <cellStyle name="Normal 5 10 20 5 4" xfId="32994" xr:uid="{00000000-0005-0000-0000-0000D3800000}"/>
    <cellStyle name="Normal 5 10 20 5 5" xfId="32995" xr:uid="{00000000-0005-0000-0000-0000D4800000}"/>
    <cellStyle name="Normal 5 10 20 5 6" xfId="32996" xr:uid="{00000000-0005-0000-0000-0000D5800000}"/>
    <cellStyle name="Normal 5 10 20 5 7" xfId="32997" xr:uid="{00000000-0005-0000-0000-0000D6800000}"/>
    <cellStyle name="Normal 5 10 20 5 8" xfId="32998" xr:uid="{00000000-0005-0000-0000-0000D7800000}"/>
    <cellStyle name="Normal 5 10 20 5 9" xfId="32999" xr:uid="{00000000-0005-0000-0000-0000D8800000}"/>
    <cellStyle name="Normal 5 10 20 6" xfId="33000" xr:uid="{00000000-0005-0000-0000-0000D9800000}"/>
    <cellStyle name="Normal 5 10 20 7" xfId="33001" xr:uid="{00000000-0005-0000-0000-0000DA800000}"/>
    <cellStyle name="Normal 5 10 20 8" xfId="33002" xr:uid="{00000000-0005-0000-0000-0000DB800000}"/>
    <cellStyle name="Normal 5 10 20 9" xfId="33003" xr:uid="{00000000-0005-0000-0000-0000DC800000}"/>
    <cellStyle name="Normal 5 10 21" xfId="33004" xr:uid="{00000000-0005-0000-0000-0000DD800000}"/>
    <cellStyle name="Normal 5 10 21 10" xfId="33005" xr:uid="{00000000-0005-0000-0000-0000DE800000}"/>
    <cellStyle name="Normal 5 10 21 11" xfId="33006" xr:uid="{00000000-0005-0000-0000-0000DF800000}"/>
    <cellStyle name="Normal 5 10 21 12" xfId="33007" xr:uid="{00000000-0005-0000-0000-0000E0800000}"/>
    <cellStyle name="Normal 5 10 21 13" xfId="33008" xr:uid="{00000000-0005-0000-0000-0000E1800000}"/>
    <cellStyle name="Normal 5 10 21 14" xfId="33009" xr:uid="{00000000-0005-0000-0000-0000E2800000}"/>
    <cellStyle name="Normal 5 10 21 2" xfId="33010" xr:uid="{00000000-0005-0000-0000-0000E3800000}"/>
    <cellStyle name="Normal 5 10 21 2 10" xfId="33011" xr:uid="{00000000-0005-0000-0000-0000E4800000}"/>
    <cellStyle name="Normal 5 10 21 2 2" xfId="33012" xr:uid="{00000000-0005-0000-0000-0000E5800000}"/>
    <cellStyle name="Normal 5 10 21 2 3" xfId="33013" xr:uid="{00000000-0005-0000-0000-0000E6800000}"/>
    <cellStyle name="Normal 5 10 21 2 4" xfId="33014" xr:uid="{00000000-0005-0000-0000-0000E7800000}"/>
    <cellStyle name="Normal 5 10 21 2 5" xfId="33015" xr:uid="{00000000-0005-0000-0000-0000E8800000}"/>
    <cellStyle name="Normal 5 10 21 2 6" xfId="33016" xr:uid="{00000000-0005-0000-0000-0000E9800000}"/>
    <cellStyle name="Normal 5 10 21 2 7" xfId="33017" xr:uid="{00000000-0005-0000-0000-0000EA800000}"/>
    <cellStyle name="Normal 5 10 21 2 8" xfId="33018" xr:uid="{00000000-0005-0000-0000-0000EB800000}"/>
    <cellStyle name="Normal 5 10 21 2 9" xfId="33019" xr:uid="{00000000-0005-0000-0000-0000EC800000}"/>
    <cellStyle name="Normal 5 10 21 3" xfId="33020" xr:uid="{00000000-0005-0000-0000-0000ED800000}"/>
    <cellStyle name="Normal 5 10 21 3 10" xfId="33021" xr:uid="{00000000-0005-0000-0000-0000EE800000}"/>
    <cellStyle name="Normal 5 10 21 3 2" xfId="33022" xr:uid="{00000000-0005-0000-0000-0000EF800000}"/>
    <cellStyle name="Normal 5 10 21 3 3" xfId="33023" xr:uid="{00000000-0005-0000-0000-0000F0800000}"/>
    <cellStyle name="Normal 5 10 21 3 4" xfId="33024" xr:uid="{00000000-0005-0000-0000-0000F1800000}"/>
    <cellStyle name="Normal 5 10 21 3 5" xfId="33025" xr:uid="{00000000-0005-0000-0000-0000F2800000}"/>
    <cellStyle name="Normal 5 10 21 3 6" xfId="33026" xr:uid="{00000000-0005-0000-0000-0000F3800000}"/>
    <cellStyle name="Normal 5 10 21 3 7" xfId="33027" xr:uid="{00000000-0005-0000-0000-0000F4800000}"/>
    <cellStyle name="Normal 5 10 21 3 8" xfId="33028" xr:uid="{00000000-0005-0000-0000-0000F5800000}"/>
    <cellStyle name="Normal 5 10 21 3 9" xfId="33029" xr:uid="{00000000-0005-0000-0000-0000F6800000}"/>
    <cellStyle name="Normal 5 10 21 4" xfId="33030" xr:uid="{00000000-0005-0000-0000-0000F7800000}"/>
    <cellStyle name="Normal 5 10 21 4 10" xfId="33031" xr:uid="{00000000-0005-0000-0000-0000F8800000}"/>
    <cellStyle name="Normal 5 10 21 4 2" xfId="33032" xr:uid="{00000000-0005-0000-0000-0000F9800000}"/>
    <cellStyle name="Normal 5 10 21 4 3" xfId="33033" xr:uid="{00000000-0005-0000-0000-0000FA800000}"/>
    <cellStyle name="Normal 5 10 21 4 4" xfId="33034" xr:uid="{00000000-0005-0000-0000-0000FB800000}"/>
    <cellStyle name="Normal 5 10 21 4 5" xfId="33035" xr:uid="{00000000-0005-0000-0000-0000FC800000}"/>
    <cellStyle name="Normal 5 10 21 4 6" xfId="33036" xr:uid="{00000000-0005-0000-0000-0000FD800000}"/>
    <cellStyle name="Normal 5 10 21 4 7" xfId="33037" xr:uid="{00000000-0005-0000-0000-0000FE800000}"/>
    <cellStyle name="Normal 5 10 21 4 8" xfId="33038" xr:uid="{00000000-0005-0000-0000-0000FF800000}"/>
    <cellStyle name="Normal 5 10 21 4 9" xfId="33039" xr:uid="{00000000-0005-0000-0000-000000810000}"/>
    <cellStyle name="Normal 5 10 21 5" xfId="33040" xr:uid="{00000000-0005-0000-0000-000001810000}"/>
    <cellStyle name="Normal 5 10 21 5 10" xfId="33041" xr:uid="{00000000-0005-0000-0000-000002810000}"/>
    <cellStyle name="Normal 5 10 21 5 2" xfId="33042" xr:uid="{00000000-0005-0000-0000-000003810000}"/>
    <cellStyle name="Normal 5 10 21 5 3" xfId="33043" xr:uid="{00000000-0005-0000-0000-000004810000}"/>
    <cellStyle name="Normal 5 10 21 5 4" xfId="33044" xr:uid="{00000000-0005-0000-0000-000005810000}"/>
    <cellStyle name="Normal 5 10 21 5 5" xfId="33045" xr:uid="{00000000-0005-0000-0000-000006810000}"/>
    <cellStyle name="Normal 5 10 21 5 6" xfId="33046" xr:uid="{00000000-0005-0000-0000-000007810000}"/>
    <cellStyle name="Normal 5 10 21 5 7" xfId="33047" xr:uid="{00000000-0005-0000-0000-000008810000}"/>
    <cellStyle name="Normal 5 10 21 5 8" xfId="33048" xr:uid="{00000000-0005-0000-0000-000009810000}"/>
    <cellStyle name="Normal 5 10 21 5 9" xfId="33049" xr:uid="{00000000-0005-0000-0000-00000A810000}"/>
    <cellStyle name="Normal 5 10 21 6" xfId="33050" xr:uid="{00000000-0005-0000-0000-00000B810000}"/>
    <cellStyle name="Normal 5 10 21 7" xfId="33051" xr:uid="{00000000-0005-0000-0000-00000C810000}"/>
    <cellStyle name="Normal 5 10 21 8" xfId="33052" xr:uid="{00000000-0005-0000-0000-00000D810000}"/>
    <cellStyle name="Normal 5 10 21 9" xfId="33053" xr:uid="{00000000-0005-0000-0000-00000E810000}"/>
    <cellStyle name="Normal 5 10 22" xfId="33054" xr:uid="{00000000-0005-0000-0000-00000F810000}"/>
    <cellStyle name="Normal 5 10 22 10" xfId="33055" xr:uid="{00000000-0005-0000-0000-000010810000}"/>
    <cellStyle name="Normal 5 10 22 11" xfId="33056" xr:uid="{00000000-0005-0000-0000-000011810000}"/>
    <cellStyle name="Normal 5 10 22 12" xfId="33057" xr:uid="{00000000-0005-0000-0000-000012810000}"/>
    <cellStyle name="Normal 5 10 22 13" xfId="33058" xr:uid="{00000000-0005-0000-0000-000013810000}"/>
    <cellStyle name="Normal 5 10 22 14" xfId="33059" xr:uid="{00000000-0005-0000-0000-000014810000}"/>
    <cellStyle name="Normal 5 10 22 2" xfId="33060" xr:uid="{00000000-0005-0000-0000-000015810000}"/>
    <cellStyle name="Normal 5 10 22 2 10" xfId="33061" xr:uid="{00000000-0005-0000-0000-000016810000}"/>
    <cellStyle name="Normal 5 10 22 2 2" xfId="33062" xr:uid="{00000000-0005-0000-0000-000017810000}"/>
    <cellStyle name="Normal 5 10 22 2 3" xfId="33063" xr:uid="{00000000-0005-0000-0000-000018810000}"/>
    <cellStyle name="Normal 5 10 22 2 4" xfId="33064" xr:uid="{00000000-0005-0000-0000-000019810000}"/>
    <cellStyle name="Normal 5 10 22 2 5" xfId="33065" xr:uid="{00000000-0005-0000-0000-00001A810000}"/>
    <cellStyle name="Normal 5 10 22 2 6" xfId="33066" xr:uid="{00000000-0005-0000-0000-00001B810000}"/>
    <cellStyle name="Normal 5 10 22 2 7" xfId="33067" xr:uid="{00000000-0005-0000-0000-00001C810000}"/>
    <cellStyle name="Normal 5 10 22 2 8" xfId="33068" xr:uid="{00000000-0005-0000-0000-00001D810000}"/>
    <cellStyle name="Normal 5 10 22 2 9" xfId="33069" xr:uid="{00000000-0005-0000-0000-00001E810000}"/>
    <cellStyle name="Normal 5 10 22 3" xfId="33070" xr:uid="{00000000-0005-0000-0000-00001F810000}"/>
    <cellStyle name="Normal 5 10 22 3 10" xfId="33071" xr:uid="{00000000-0005-0000-0000-000020810000}"/>
    <cellStyle name="Normal 5 10 22 3 2" xfId="33072" xr:uid="{00000000-0005-0000-0000-000021810000}"/>
    <cellStyle name="Normal 5 10 22 3 3" xfId="33073" xr:uid="{00000000-0005-0000-0000-000022810000}"/>
    <cellStyle name="Normal 5 10 22 3 4" xfId="33074" xr:uid="{00000000-0005-0000-0000-000023810000}"/>
    <cellStyle name="Normal 5 10 22 3 5" xfId="33075" xr:uid="{00000000-0005-0000-0000-000024810000}"/>
    <cellStyle name="Normal 5 10 22 3 6" xfId="33076" xr:uid="{00000000-0005-0000-0000-000025810000}"/>
    <cellStyle name="Normal 5 10 22 3 7" xfId="33077" xr:uid="{00000000-0005-0000-0000-000026810000}"/>
    <cellStyle name="Normal 5 10 22 3 8" xfId="33078" xr:uid="{00000000-0005-0000-0000-000027810000}"/>
    <cellStyle name="Normal 5 10 22 3 9" xfId="33079" xr:uid="{00000000-0005-0000-0000-000028810000}"/>
    <cellStyle name="Normal 5 10 22 4" xfId="33080" xr:uid="{00000000-0005-0000-0000-000029810000}"/>
    <cellStyle name="Normal 5 10 22 4 10" xfId="33081" xr:uid="{00000000-0005-0000-0000-00002A810000}"/>
    <cellStyle name="Normal 5 10 22 4 2" xfId="33082" xr:uid="{00000000-0005-0000-0000-00002B810000}"/>
    <cellStyle name="Normal 5 10 22 4 3" xfId="33083" xr:uid="{00000000-0005-0000-0000-00002C810000}"/>
    <cellStyle name="Normal 5 10 22 4 4" xfId="33084" xr:uid="{00000000-0005-0000-0000-00002D810000}"/>
    <cellStyle name="Normal 5 10 22 4 5" xfId="33085" xr:uid="{00000000-0005-0000-0000-00002E810000}"/>
    <cellStyle name="Normal 5 10 22 4 6" xfId="33086" xr:uid="{00000000-0005-0000-0000-00002F810000}"/>
    <cellStyle name="Normal 5 10 22 4 7" xfId="33087" xr:uid="{00000000-0005-0000-0000-000030810000}"/>
    <cellStyle name="Normal 5 10 22 4 8" xfId="33088" xr:uid="{00000000-0005-0000-0000-000031810000}"/>
    <cellStyle name="Normal 5 10 22 4 9" xfId="33089" xr:uid="{00000000-0005-0000-0000-000032810000}"/>
    <cellStyle name="Normal 5 10 22 5" xfId="33090" xr:uid="{00000000-0005-0000-0000-000033810000}"/>
    <cellStyle name="Normal 5 10 22 5 10" xfId="33091" xr:uid="{00000000-0005-0000-0000-000034810000}"/>
    <cellStyle name="Normal 5 10 22 5 2" xfId="33092" xr:uid="{00000000-0005-0000-0000-000035810000}"/>
    <cellStyle name="Normal 5 10 22 5 3" xfId="33093" xr:uid="{00000000-0005-0000-0000-000036810000}"/>
    <cellStyle name="Normal 5 10 22 5 4" xfId="33094" xr:uid="{00000000-0005-0000-0000-000037810000}"/>
    <cellStyle name="Normal 5 10 22 5 5" xfId="33095" xr:uid="{00000000-0005-0000-0000-000038810000}"/>
    <cellStyle name="Normal 5 10 22 5 6" xfId="33096" xr:uid="{00000000-0005-0000-0000-000039810000}"/>
    <cellStyle name="Normal 5 10 22 5 7" xfId="33097" xr:uid="{00000000-0005-0000-0000-00003A810000}"/>
    <cellStyle name="Normal 5 10 22 5 8" xfId="33098" xr:uid="{00000000-0005-0000-0000-00003B810000}"/>
    <cellStyle name="Normal 5 10 22 5 9" xfId="33099" xr:uid="{00000000-0005-0000-0000-00003C810000}"/>
    <cellStyle name="Normal 5 10 22 6" xfId="33100" xr:uid="{00000000-0005-0000-0000-00003D810000}"/>
    <cellStyle name="Normal 5 10 22 7" xfId="33101" xr:uid="{00000000-0005-0000-0000-00003E810000}"/>
    <cellStyle name="Normal 5 10 22 8" xfId="33102" xr:uid="{00000000-0005-0000-0000-00003F810000}"/>
    <cellStyle name="Normal 5 10 22 9" xfId="33103" xr:uid="{00000000-0005-0000-0000-000040810000}"/>
    <cellStyle name="Normal 5 10 23" xfId="33104" xr:uid="{00000000-0005-0000-0000-000041810000}"/>
    <cellStyle name="Normal 5 10 23 10" xfId="33105" xr:uid="{00000000-0005-0000-0000-000042810000}"/>
    <cellStyle name="Normal 5 10 23 11" xfId="33106" xr:uid="{00000000-0005-0000-0000-000043810000}"/>
    <cellStyle name="Normal 5 10 23 12" xfId="33107" xr:uid="{00000000-0005-0000-0000-000044810000}"/>
    <cellStyle name="Normal 5 10 23 13" xfId="33108" xr:uid="{00000000-0005-0000-0000-000045810000}"/>
    <cellStyle name="Normal 5 10 23 14" xfId="33109" xr:uid="{00000000-0005-0000-0000-000046810000}"/>
    <cellStyle name="Normal 5 10 23 2" xfId="33110" xr:uid="{00000000-0005-0000-0000-000047810000}"/>
    <cellStyle name="Normal 5 10 23 2 10" xfId="33111" xr:uid="{00000000-0005-0000-0000-000048810000}"/>
    <cellStyle name="Normal 5 10 23 2 2" xfId="33112" xr:uid="{00000000-0005-0000-0000-000049810000}"/>
    <cellStyle name="Normal 5 10 23 2 3" xfId="33113" xr:uid="{00000000-0005-0000-0000-00004A810000}"/>
    <cellStyle name="Normal 5 10 23 2 4" xfId="33114" xr:uid="{00000000-0005-0000-0000-00004B810000}"/>
    <cellStyle name="Normal 5 10 23 2 5" xfId="33115" xr:uid="{00000000-0005-0000-0000-00004C810000}"/>
    <cellStyle name="Normal 5 10 23 2 6" xfId="33116" xr:uid="{00000000-0005-0000-0000-00004D810000}"/>
    <cellStyle name="Normal 5 10 23 2 7" xfId="33117" xr:uid="{00000000-0005-0000-0000-00004E810000}"/>
    <cellStyle name="Normal 5 10 23 2 8" xfId="33118" xr:uid="{00000000-0005-0000-0000-00004F810000}"/>
    <cellStyle name="Normal 5 10 23 2 9" xfId="33119" xr:uid="{00000000-0005-0000-0000-000050810000}"/>
    <cellStyle name="Normal 5 10 23 3" xfId="33120" xr:uid="{00000000-0005-0000-0000-000051810000}"/>
    <cellStyle name="Normal 5 10 23 3 10" xfId="33121" xr:uid="{00000000-0005-0000-0000-000052810000}"/>
    <cellStyle name="Normal 5 10 23 3 2" xfId="33122" xr:uid="{00000000-0005-0000-0000-000053810000}"/>
    <cellStyle name="Normal 5 10 23 3 3" xfId="33123" xr:uid="{00000000-0005-0000-0000-000054810000}"/>
    <cellStyle name="Normal 5 10 23 3 4" xfId="33124" xr:uid="{00000000-0005-0000-0000-000055810000}"/>
    <cellStyle name="Normal 5 10 23 3 5" xfId="33125" xr:uid="{00000000-0005-0000-0000-000056810000}"/>
    <cellStyle name="Normal 5 10 23 3 6" xfId="33126" xr:uid="{00000000-0005-0000-0000-000057810000}"/>
    <cellStyle name="Normal 5 10 23 3 7" xfId="33127" xr:uid="{00000000-0005-0000-0000-000058810000}"/>
    <cellStyle name="Normal 5 10 23 3 8" xfId="33128" xr:uid="{00000000-0005-0000-0000-000059810000}"/>
    <cellStyle name="Normal 5 10 23 3 9" xfId="33129" xr:uid="{00000000-0005-0000-0000-00005A810000}"/>
    <cellStyle name="Normal 5 10 23 4" xfId="33130" xr:uid="{00000000-0005-0000-0000-00005B810000}"/>
    <cellStyle name="Normal 5 10 23 4 10" xfId="33131" xr:uid="{00000000-0005-0000-0000-00005C810000}"/>
    <cellStyle name="Normal 5 10 23 4 2" xfId="33132" xr:uid="{00000000-0005-0000-0000-00005D810000}"/>
    <cellStyle name="Normal 5 10 23 4 3" xfId="33133" xr:uid="{00000000-0005-0000-0000-00005E810000}"/>
    <cellStyle name="Normal 5 10 23 4 4" xfId="33134" xr:uid="{00000000-0005-0000-0000-00005F810000}"/>
    <cellStyle name="Normal 5 10 23 4 5" xfId="33135" xr:uid="{00000000-0005-0000-0000-000060810000}"/>
    <cellStyle name="Normal 5 10 23 4 6" xfId="33136" xr:uid="{00000000-0005-0000-0000-000061810000}"/>
    <cellStyle name="Normal 5 10 23 4 7" xfId="33137" xr:uid="{00000000-0005-0000-0000-000062810000}"/>
    <cellStyle name="Normal 5 10 23 4 8" xfId="33138" xr:uid="{00000000-0005-0000-0000-000063810000}"/>
    <cellStyle name="Normal 5 10 23 4 9" xfId="33139" xr:uid="{00000000-0005-0000-0000-000064810000}"/>
    <cellStyle name="Normal 5 10 23 5" xfId="33140" xr:uid="{00000000-0005-0000-0000-000065810000}"/>
    <cellStyle name="Normal 5 10 23 5 10" xfId="33141" xr:uid="{00000000-0005-0000-0000-000066810000}"/>
    <cellStyle name="Normal 5 10 23 5 2" xfId="33142" xr:uid="{00000000-0005-0000-0000-000067810000}"/>
    <cellStyle name="Normal 5 10 23 5 3" xfId="33143" xr:uid="{00000000-0005-0000-0000-000068810000}"/>
    <cellStyle name="Normal 5 10 23 5 4" xfId="33144" xr:uid="{00000000-0005-0000-0000-000069810000}"/>
    <cellStyle name="Normal 5 10 23 5 5" xfId="33145" xr:uid="{00000000-0005-0000-0000-00006A810000}"/>
    <cellStyle name="Normal 5 10 23 5 6" xfId="33146" xr:uid="{00000000-0005-0000-0000-00006B810000}"/>
    <cellStyle name="Normal 5 10 23 5 7" xfId="33147" xr:uid="{00000000-0005-0000-0000-00006C810000}"/>
    <cellStyle name="Normal 5 10 23 5 8" xfId="33148" xr:uid="{00000000-0005-0000-0000-00006D810000}"/>
    <cellStyle name="Normal 5 10 23 5 9" xfId="33149" xr:uid="{00000000-0005-0000-0000-00006E810000}"/>
    <cellStyle name="Normal 5 10 23 6" xfId="33150" xr:uid="{00000000-0005-0000-0000-00006F810000}"/>
    <cellStyle name="Normal 5 10 23 7" xfId="33151" xr:uid="{00000000-0005-0000-0000-000070810000}"/>
    <cellStyle name="Normal 5 10 23 8" xfId="33152" xr:uid="{00000000-0005-0000-0000-000071810000}"/>
    <cellStyle name="Normal 5 10 23 9" xfId="33153" xr:uid="{00000000-0005-0000-0000-000072810000}"/>
    <cellStyle name="Normal 5 10 24" xfId="33154" xr:uid="{00000000-0005-0000-0000-000073810000}"/>
    <cellStyle name="Normal 5 10 24 10" xfId="33155" xr:uid="{00000000-0005-0000-0000-000074810000}"/>
    <cellStyle name="Normal 5 10 24 11" xfId="33156" xr:uid="{00000000-0005-0000-0000-000075810000}"/>
    <cellStyle name="Normal 5 10 24 12" xfId="33157" xr:uid="{00000000-0005-0000-0000-000076810000}"/>
    <cellStyle name="Normal 5 10 24 13" xfId="33158" xr:uid="{00000000-0005-0000-0000-000077810000}"/>
    <cellStyle name="Normal 5 10 24 14" xfId="33159" xr:uid="{00000000-0005-0000-0000-000078810000}"/>
    <cellStyle name="Normal 5 10 24 2" xfId="33160" xr:uid="{00000000-0005-0000-0000-000079810000}"/>
    <cellStyle name="Normal 5 10 24 2 10" xfId="33161" xr:uid="{00000000-0005-0000-0000-00007A810000}"/>
    <cellStyle name="Normal 5 10 24 2 2" xfId="33162" xr:uid="{00000000-0005-0000-0000-00007B810000}"/>
    <cellStyle name="Normal 5 10 24 2 3" xfId="33163" xr:uid="{00000000-0005-0000-0000-00007C810000}"/>
    <cellStyle name="Normal 5 10 24 2 4" xfId="33164" xr:uid="{00000000-0005-0000-0000-00007D810000}"/>
    <cellStyle name="Normal 5 10 24 2 5" xfId="33165" xr:uid="{00000000-0005-0000-0000-00007E810000}"/>
    <cellStyle name="Normal 5 10 24 2 6" xfId="33166" xr:uid="{00000000-0005-0000-0000-00007F810000}"/>
    <cellStyle name="Normal 5 10 24 2 7" xfId="33167" xr:uid="{00000000-0005-0000-0000-000080810000}"/>
    <cellStyle name="Normal 5 10 24 2 8" xfId="33168" xr:uid="{00000000-0005-0000-0000-000081810000}"/>
    <cellStyle name="Normal 5 10 24 2 9" xfId="33169" xr:uid="{00000000-0005-0000-0000-000082810000}"/>
    <cellStyle name="Normal 5 10 24 3" xfId="33170" xr:uid="{00000000-0005-0000-0000-000083810000}"/>
    <cellStyle name="Normal 5 10 24 3 10" xfId="33171" xr:uid="{00000000-0005-0000-0000-000084810000}"/>
    <cellStyle name="Normal 5 10 24 3 2" xfId="33172" xr:uid="{00000000-0005-0000-0000-000085810000}"/>
    <cellStyle name="Normal 5 10 24 3 3" xfId="33173" xr:uid="{00000000-0005-0000-0000-000086810000}"/>
    <cellStyle name="Normal 5 10 24 3 4" xfId="33174" xr:uid="{00000000-0005-0000-0000-000087810000}"/>
    <cellStyle name="Normal 5 10 24 3 5" xfId="33175" xr:uid="{00000000-0005-0000-0000-000088810000}"/>
    <cellStyle name="Normal 5 10 24 3 6" xfId="33176" xr:uid="{00000000-0005-0000-0000-000089810000}"/>
    <cellStyle name="Normal 5 10 24 3 7" xfId="33177" xr:uid="{00000000-0005-0000-0000-00008A810000}"/>
    <cellStyle name="Normal 5 10 24 3 8" xfId="33178" xr:uid="{00000000-0005-0000-0000-00008B810000}"/>
    <cellStyle name="Normal 5 10 24 3 9" xfId="33179" xr:uid="{00000000-0005-0000-0000-00008C810000}"/>
    <cellStyle name="Normal 5 10 24 4" xfId="33180" xr:uid="{00000000-0005-0000-0000-00008D810000}"/>
    <cellStyle name="Normal 5 10 24 4 10" xfId="33181" xr:uid="{00000000-0005-0000-0000-00008E810000}"/>
    <cellStyle name="Normal 5 10 24 4 2" xfId="33182" xr:uid="{00000000-0005-0000-0000-00008F810000}"/>
    <cellStyle name="Normal 5 10 24 4 3" xfId="33183" xr:uid="{00000000-0005-0000-0000-000090810000}"/>
    <cellStyle name="Normal 5 10 24 4 4" xfId="33184" xr:uid="{00000000-0005-0000-0000-000091810000}"/>
    <cellStyle name="Normal 5 10 24 4 5" xfId="33185" xr:uid="{00000000-0005-0000-0000-000092810000}"/>
    <cellStyle name="Normal 5 10 24 4 6" xfId="33186" xr:uid="{00000000-0005-0000-0000-000093810000}"/>
    <cellStyle name="Normal 5 10 24 4 7" xfId="33187" xr:uid="{00000000-0005-0000-0000-000094810000}"/>
    <cellStyle name="Normal 5 10 24 4 8" xfId="33188" xr:uid="{00000000-0005-0000-0000-000095810000}"/>
    <cellStyle name="Normal 5 10 24 4 9" xfId="33189" xr:uid="{00000000-0005-0000-0000-000096810000}"/>
    <cellStyle name="Normal 5 10 24 5" xfId="33190" xr:uid="{00000000-0005-0000-0000-000097810000}"/>
    <cellStyle name="Normal 5 10 24 5 10" xfId="33191" xr:uid="{00000000-0005-0000-0000-000098810000}"/>
    <cellStyle name="Normal 5 10 24 5 2" xfId="33192" xr:uid="{00000000-0005-0000-0000-000099810000}"/>
    <cellStyle name="Normal 5 10 24 5 3" xfId="33193" xr:uid="{00000000-0005-0000-0000-00009A810000}"/>
    <cellStyle name="Normal 5 10 24 5 4" xfId="33194" xr:uid="{00000000-0005-0000-0000-00009B810000}"/>
    <cellStyle name="Normal 5 10 24 5 5" xfId="33195" xr:uid="{00000000-0005-0000-0000-00009C810000}"/>
    <cellStyle name="Normal 5 10 24 5 6" xfId="33196" xr:uid="{00000000-0005-0000-0000-00009D810000}"/>
    <cellStyle name="Normal 5 10 24 5 7" xfId="33197" xr:uid="{00000000-0005-0000-0000-00009E810000}"/>
    <cellStyle name="Normal 5 10 24 5 8" xfId="33198" xr:uid="{00000000-0005-0000-0000-00009F810000}"/>
    <cellStyle name="Normal 5 10 24 5 9" xfId="33199" xr:uid="{00000000-0005-0000-0000-0000A0810000}"/>
    <cellStyle name="Normal 5 10 24 6" xfId="33200" xr:uid="{00000000-0005-0000-0000-0000A1810000}"/>
    <cellStyle name="Normal 5 10 24 7" xfId="33201" xr:uid="{00000000-0005-0000-0000-0000A2810000}"/>
    <cellStyle name="Normal 5 10 24 8" xfId="33202" xr:uid="{00000000-0005-0000-0000-0000A3810000}"/>
    <cellStyle name="Normal 5 10 24 9" xfId="33203" xr:uid="{00000000-0005-0000-0000-0000A4810000}"/>
    <cellStyle name="Normal 5 10 25" xfId="33204" xr:uid="{00000000-0005-0000-0000-0000A5810000}"/>
    <cellStyle name="Normal 5 10 25 10" xfId="33205" xr:uid="{00000000-0005-0000-0000-0000A6810000}"/>
    <cellStyle name="Normal 5 10 25 11" xfId="33206" xr:uid="{00000000-0005-0000-0000-0000A7810000}"/>
    <cellStyle name="Normal 5 10 25 12" xfId="33207" xr:uid="{00000000-0005-0000-0000-0000A8810000}"/>
    <cellStyle name="Normal 5 10 25 13" xfId="33208" xr:uid="{00000000-0005-0000-0000-0000A9810000}"/>
    <cellStyle name="Normal 5 10 25 14" xfId="33209" xr:uid="{00000000-0005-0000-0000-0000AA810000}"/>
    <cellStyle name="Normal 5 10 25 2" xfId="33210" xr:uid="{00000000-0005-0000-0000-0000AB810000}"/>
    <cellStyle name="Normal 5 10 25 2 10" xfId="33211" xr:uid="{00000000-0005-0000-0000-0000AC810000}"/>
    <cellStyle name="Normal 5 10 25 2 2" xfId="33212" xr:uid="{00000000-0005-0000-0000-0000AD810000}"/>
    <cellStyle name="Normal 5 10 25 2 3" xfId="33213" xr:uid="{00000000-0005-0000-0000-0000AE810000}"/>
    <cellStyle name="Normal 5 10 25 2 4" xfId="33214" xr:uid="{00000000-0005-0000-0000-0000AF810000}"/>
    <cellStyle name="Normal 5 10 25 2 5" xfId="33215" xr:uid="{00000000-0005-0000-0000-0000B0810000}"/>
    <cellStyle name="Normal 5 10 25 2 6" xfId="33216" xr:uid="{00000000-0005-0000-0000-0000B1810000}"/>
    <cellStyle name="Normal 5 10 25 2 7" xfId="33217" xr:uid="{00000000-0005-0000-0000-0000B2810000}"/>
    <cellStyle name="Normal 5 10 25 2 8" xfId="33218" xr:uid="{00000000-0005-0000-0000-0000B3810000}"/>
    <cellStyle name="Normal 5 10 25 2 9" xfId="33219" xr:uid="{00000000-0005-0000-0000-0000B4810000}"/>
    <cellStyle name="Normal 5 10 25 3" xfId="33220" xr:uid="{00000000-0005-0000-0000-0000B5810000}"/>
    <cellStyle name="Normal 5 10 25 3 10" xfId="33221" xr:uid="{00000000-0005-0000-0000-0000B6810000}"/>
    <cellStyle name="Normal 5 10 25 3 2" xfId="33222" xr:uid="{00000000-0005-0000-0000-0000B7810000}"/>
    <cellStyle name="Normal 5 10 25 3 3" xfId="33223" xr:uid="{00000000-0005-0000-0000-0000B8810000}"/>
    <cellStyle name="Normal 5 10 25 3 4" xfId="33224" xr:uid="{00000000-0005-0000-0000-0000B9810000}"/>
    <cellStyle name="Normal 5 10 25 3 5" xfId="33225" xr:uid="{00000000-0005-0000-0000-0000BA810000}"/>
    <cellStyle name="Normal 5 10 25 3 6" xfId="33226" xr:uid="{00000000-0005-0000-0000-0000BB810000}"/>
    <cellStyle name="Normal 5 10 25 3 7" xfId="33227" xr:uid="{00000000-0005-0000-0000-0000BC810000}"/>
    <cellStyle name="Normal 5 10 25 3 8" xfId="33228" xr:uid="{00000000-0005-0000-0000-0000BD810000}"/>
    <cellStyle name="Normal 5 10 25 3 9" xfId="33229" xr:uid="{00000000-0005-0000-0000-0000BE810000}"/>
    <cellStyle name="Normal 5 10 25 4" xfId="33230" xr:uid="{00000000-0005-0000-0000-0000BF810000}"/>
    <cellStyle name="Normal 5 10 25 4 10" xfId="33231" xr:uid="{00000000-0005-0000-0000-0000C0810000}"/>
    <cellStyle name="Normal 5 10 25 4 2" xfId="33232" xr:uid="{00000000-0005-0000-0000-0000C1810000}"/>
    <cellStyle name="Normal 5 10 25 4 3" xfId="33233" xr:uid="{00000000-0005-0000-0000-0000C2810000}"/>
    <cellStyle name="Normal 5 10 25 4 4" xfId="33234" xr:uid="{00000000-0005-0000-0000-0000C3810000}"/>
    <cellStyle name="Normal 5 10 25 4 5" xfId="33235" xr:uid="{00000000-0005-0000-0000-0000C4810000}"/>
    <cellStyle name="Normal 5 10 25 4 6" xfId="33236" xr:uid="{00000000-0005-0000-0000-0000C5810000}"/>
    <cellStyle name="Normal 5 10 25 4 7" xfId="33237" xr:uid="{00000000-0005-0000-0000-0000C6810000}"/>
    <cellStyle name="Normal 5 10 25 4 8" xfId="33238" xr:uid="{00000000-0005-0000-0000-0000C7810000}"/>
    <cellStyle name="Normal 5 10 25 4 9" xfId="33239" xr:uid="{00000000-0005-0000-0000-0000C8810000}"/>
    <cellStyle name="Normal 5 10 25 5" xfId="33240" xr:uid="{00000000-0005-0000-0000-0000C9810000}"/>
    <cellStyle name="Normal 5 10 25 5 10" xfId="33241" xr:uid="{00000000-0005-0000-0000-0000CA810000}"/>
    <cellStyle name="Normal 5 10 25 5 2" xfId="33242" xr:uid="{00000000-0005-0000-0000-0000CB810000}"/>
    <cellStyle name="Normal 5 10 25 5 3" xfId="33243" xr:uid="{00000000-0005-0000-0000-0000CC810000}"/>
    <cellStyle name="Normal 5 10 25 5 4" xfId="33244" xr:uid="{00000000-0005-0000-0000-0000CD810000}"/>
    <cellStyle name="Normal 5 10 25 5 5" xfId="33245" xr:uid="{00000000-0005-0000-0000-0000CE810000}"/>
    <cellStyle name="Normal 5 10 25 5 6" xfId="33246" xr:uid="{00000000-0005-0000-0000-0000CF810000}"/>
    <cellStyle name="Normal 5 10 25 5 7" xfId="33247" xr:uid="{00000000-0005-0000-0000-0000D0810000}"/>
    <cellStyle name="Normal 5 10 25 5 8" xfId="33248" xr:uid="{00000000-0005-0000-0000-0000D1810000}"/>
    <cellStyle name="Normal 5 10 25 5 9" xfId="33249" xr:uid="{00000000-0005-0000-0000-0000D2810000}"/>
    <cellStyle name="Normal 5 10 25 6" xfId="33250" xr:uid="{00000000-0005-0000-0000-0000D3810000}"/>
    <cellStyle name="Normal 5 10 25 7" xfId="33251" xr:uid="{00000000-0005-0000-0000-0000D4810000}"/>
    <cellStyle name="Normal 5 10 25 8" xfId="33252" xr:uid="{00000000-0005-0000-0000-0000D5810000}"/>
    <cellStyle name="Normal 5 10 25 9" xfId="33253" xr:uid="{00000000-0005-0000-0000-0000D6810000}"/>
    <cellStyle name="Normal 5 10 26" xfId="33254" xr:uid="{00000000-0005-0000-0000-0000D7810000}"/>
    <cellStyle name="Normal 5 10 26 10" xfId="33255" xr:uid="{00000000-0005-0000-0000-0000D8810000}"/>
    <cellStyle name="Normal 5 10 26 11" xfId="33256" xr:uid="{00000000-0005-0000-0000-0000D9810000}"/>
    <cellStyle name="Normal 5 10 26 12" xfId="33257" xr:uid="{00000000-0005-0000-0000-0000DA810000}"/>
    <cellStyle name="Normal 5 10 26 13" xfId="33258" xr:uid="{00000000-0005-0000-0000-0000DB810000}"/>
    <cellStyle name="Normal 5 10 26 14" xfId="33259" xr:uid="{00000000-0005-0000-0000-0000DC810000}"/>
    <cellStyle name="Normal 5 10 26 2" xfId="33260" xr:uid="{00000000-0005-0000-0000-0000DD810000}"/>
    <cellStyle name="Normal 5 10 26 2 10" xfId="33261" xr:uid="{00000000-0005-0000-0000-0000DE810000}"/>
    <cellStyle name="Normal 5 10 26 2 2" xfId="33262" xr:uid="{00000000-0005-0000-0000-0000DF810000}"/>
    <cellStyle name="Normal 5 10 26 2 3" xfId="33263" xr:uid="{00000000-0005-0000-0000-0000E0810000}"/>
    <cellStyle name="Normal 5 10 26 2 4" xfId="33264" xr:uid="{00000000-0005-0000-0000-0000E1810000}"/>
    <cellStyle name="Normal 5 10 26 2 5" xfId="33265" xr:uid="{00000000-0005-0000-0000-0000E2810000}"/>
    <cellStyle name="Normal 5 10 26 2 6" xfId="33266" xr:uid="{00000000-0005-0000-0000-0000E3810000}"/>
    <cellStyle name="Normal 5 10 26 2 7" xfId="33267" xr:uid="{00000000-0005-0000-0000-0000E4810000}"/>
    <cellStyle name="Normal 5 10 26 2 8" xfId="33268" xr:uid="{00000000-0005-0000-0000-0000E5810000}"/>
    <cellStyle name="Normal 5 10 26 2 9" xfId="33269" xr:uid="{00000000-0005-0000-0000-0000E6810000}"/>
    <cellStyle name="Normal 5 10 26 3" xfId="33270" xr:uid="{00000000-0005-0000-0000-0000E7810000}"/>
    <cellStyle name="Normal 5 10 26 3 10" xfId="33271" xr:uid="{00000000-0005-0000-0000-0000E8810000}"/>
    <cellStyle name="Normal 5 10 26 3 2" xfId="33272" xr:uid="{00000000-0005-0000-0000-0000E9810000}"/>
    <cellStyle name="Normal 5 10 26 3 3" xfId="33273" xr:uid="{00000000-0005-0000-0000-0000EA810000}"/>
    <cellStyle name="Normal 5 10 26 3 4" xfId="33274" xr:uid="{00000000-0005-0000-0000-0000EB810000}"/>
    <cellStyle name="Normal 5 10 26 3 5" xfId="33275" xr:uid="{00000000-0005-0000-0000-0000EC810000}"/>
    <cellStyle name="Normal 5 10 26 3 6" xfId="33276" xr:uid="{00000000-0005-0000-0000-0000ED810000}"/>
    <cellStyle name="Normal 5 10 26 3 7" xfId="33277" xr:uid="{00000000-0005-0000-0000-0000EE810000}"/>
    <cellStyle name="Normal 5 10 26 3 8" xfId="33278" xr:uid="{00000000-0005-0000-0000-0000EF810000}"/>
    <cellStyle name="Normal 5 10 26 3 9" xfId="33279" xr:uid="{00000000-0005-0000-0000-0000F0810000}"/>
    <cellStyle name="Normal 5 10 26 4" xfId="33280" xr:uid="{00000000-0005-0000-0000-0000F1810000}"/>
    <cellStyle name="Normal 5 10 26 4 10" xfId="33281" xr:uid="{00000000-0005-0000-0000-0000F2810000}"/>
    <cellStyle name="Normal 5 10 26 4 2" xfId="33282" xr:uid="{00000000-0005-0000-0000-0000F3810000}"/>
    <cellStyle name="Normal 5 10 26 4 3" xfId="33283" xr:uid="{00000000-0005-0000-0000-0000F4810000}"/>
    <cellStyle name="Normal 5 10 26 4 4" xfId="33284" xr:uid="{00000000-0005-0000-0000-0000F5810000}"/>
    <cellStyle name="Normal 5 10 26 4 5" xfId="33285" xr:uid="{00000000-0005-0000-0000-0000F6810000}"/>
    <cellStyle name="Normal 5 10 26 4 6" xfId="33286" xr:uid="{00000000-0005-0000-0000-0000F7810000}"/>
    <cellStyle name="Normal 5 10 26 4 7" xfId="33287" xr:uid="{00000000-0005-0000-0000-0000F8810000}"/>
    <cellStyle name="Normal 5 10 26 4 8" xfId="33288" xr:uid="{00000000-0005-0000-0000-0000F9810000}"/>
    <cellStyle name="Normal 5 10 26 4 9" xfId="33289" xr:uid="{00000000-0005-0000-0000-0000FA810000}"/>
    <cellStyle name="Normal 5 10 26 5" xfId="33290" xr:uid="{00000000-0005-0000-0000-0000FB810000}"/>
    <cellStyle name="Normal 5 10 26 5 10" xfId="33291" xr:uid="{00000000-0005-0000-0000-0000FC810000}"/>
    <cellStyle name="Normal 5 10 26 5 2" xfId="33292" xr:uid="{00000000-0005-0000-0000-0000FD810000}"/>
    <cellStyle name="Normal 5 10 26 5 3" xfId="33293" xr:uid="{00000000-0005-0000-0000-0000FE810000}"/>
    <cellStyle name="Normal 5 10 26 5 4" xfId="33294" xr:uid="{00000000-0005-0000-0000-0000FF810000}"/>
    <cellStyle name="Normal 5 10 26 5 5" xfId="33295" xr:uid="{00000000-0005-0000-0000-000000820000}"/>
    <cellStyle name="Normal 5 10 26 5 6" xfId="33296" xr:uid="{00000000-0005-0000-0000-000001820000}"/>
    <cellStyle name="Normal 5 10 26 5 7" xfId="33297" xr:uid="{00000000-0005-0000-0000-000002820000}"/>
    <cellStyle name="Normal 5 10 26 5 8" xfId="33298" xr:uid="{00000000-0005-0000-0000-000003820000}"/>
    <cellStyle name="Normal 5 10 26 5 9" xfId="33299" xr:uid="{00000000-0005-0000-0000-000004820000}"/>
    <cellStyle name="Normal 5 10 26 6" xfId="33300" xr:uid="{00000000-0005-0000-0000-000005820000}"/>
    <cellStyle name="Normal 5 10 26 7" xfId="33301" xr:uid="{00000000-0005-0000-0000-000006820000}"/>
    <cellStyle name="Normal 5 10 26 8" xfId="33302" xr:uid="{00000000-0005-0000-0000-000007820000}"/>
    <cellStyle name="Normal 5 10 26 9" xfId="33303" xr:uid="{00000000-0005-0000-0000-000008820000}"/>
    <cellStyle name="Normal 5 10 27" xfId="33304" xr:uid="{00000000-0005-0000-0000-000009820000}"/>
    <cellStyle name="Normal 5 10 27 10" xfId="33305" xr:uid="{00000000-0005-0000-0000-00000A820000}"/>
    <cellStyle name="Normal 5 10 27 11" xfId="33306" xr:uid="{00000000-0005-0000-0000-00000B820000}"/>
    <cellStyle name="Normal 5 10 27 12" xfId="33307" xr:uid="{00000000-0005-0000-0000-00000C820000}"/>
    <cellStyle name="Normal 5 10 27 13" xfId="33308" xr:uid="{00000000-0005-0000-0000-00000D820000}"/>
    <cellStyle name="Normal 5 10 27 14" xfId="33309" xr:uid="{00000000-0005-0000-0000-00000E820000}"/>
    <cellStyle name="Normal 5 10 27 2" xfId="33310" xr:uid="{00000000-0005-0000-0000-00000F820000}"/>
    <cellStyle name="Normal 5 10 27 2 10" xfId="33311" xr:uid="{00000000-0005-0000-0000-000010820000}"/>
    <cellStyle name="Normal 5 10 27 2 2" xfId="33312" xr:uid="{00000000-0005-0000-0000-000011820000}"/>
    <cellStyle name="Normal 5 10 27 2 3" xfId="33313" xr:uid="{00000000-0005-0000-0000-000012820000}"/>
    <cellStyle name="Normal 5 10 27 2 4" xfId="33314" xr:uid="{00000000-0005-0000-0000-000013820000}"/>
    <cellStyle name="Normal 5 10 27 2 5" xfId="33315" xr:uid="{00000000-0005-0000-0000-000014820000}"/>
    <cellStyle name="Normal 5 10 27 2 6" xfId="33316" xr:uid="{00000000-0005-0000-0000-000015820000}"/>
    <cellStyle name="Normal 5 10 27 2 7" xfId="33317" xr:uid="{00000000-0005-0000-0000-000016820000}"/>
    <cellStyle name="Normal 5 10 27 2 8" xfId="33318" xr:uid="{00000000-0005-0000-0000-000017820000}"/>
    <cellStyle name="Normal 5 10 27 2 9" xfId="33319" xr:uid="{00000000-0005-0000-0000-000018820000}"/>
    <cellStyle name="Normal 5 10 27 3" xfId="33320" xr:uid="{00000000-0005-0000-0000-000019820000}"/>
    <cellStyle name="Normal 5 10 27 3 10" xfId="33321" xr:uid="{00000000-0005-0000-0000-00001A820000}"/>
    <cellStyle name="Normal 5 10 27 3 2" xfId="33322" xr:uid="{00000000-0005-0000-0000-00001B820000}"/>
    <cellStyle name="Normal 5 10 27 3 3" xfId="33323" xr:uid="{00000000-0005-0000-0000-00001C820000}"/>
    <cellStyle name="Normal 5 10 27 3 4" xfId="33324" xr:uid="{00000000-0005-0000-0000-00001D820000}"/>
    <cellStyle name="Normal 5 10 27 3 5" xfId="33325" xr:uid="{00000000-0005-0000-0000-00001E820000}"/>
    <cellStyle name="Normal 5 10 27 3 6" xfId="33326" xr:uid="{00000000-0005-0000-0000-00001F820000}"/>
    <cellStyle name="Normal 5 10 27 3 7" xfId="33327" xr:uid="{00000000-0005-0000-0000-000020820000}"/>
    <cellStyle name="Normal 5 10 27 3 8" xfId="33328" xr:uid="{00000000-0005-0000-0000-000021820000}"/>
    <cellStyle name="Normal 5 10 27 3 9" xfId="33329" xr:uid="{00000000-0005-0000-0000-000022820000}"/>
    <cellStyle name="Normal 5 10 27 4" xfId="33330" xr:uid="{00000000-0005-0000-0000-000023820000}"/>
    <cellStyle name="Normal 5 10 27 4 10" xfId="33331" xr:uid="{00000000-0005-0000-0000-000024820000}"/>
    <cellStyle name="Normal 5 10 27 4 2" xfId="33332" xr:uid="{00000000-0005-0000-0000-000025820000}"/>
    <cellStyle name="Normal 5 10 27 4 3" xfId="33333" xr:uid="{00000000-0005-0000-0000-000026820000}"/>
    <cellStyle name="Normal 5 10 27 4 4" xfId="33334" xr:uid="{00000000-0005-0000-0000-000027820000}"/>
    <cellStyle name="Normal 5 10 27 4 5" xfId="33335" xr:uid="{00000000-0005-0000-0000-000028820000}"/>
    <cellStyle name="Normal 5 10 27 4 6" xfId="33336" xr:uid="{00000000-0005-0000-0000-000029820000}"/>
    <cellStyle name="Normal 5 10 27 4 7" xfId="33337" xr:uid="{00000000-0005-0000-0000-00002A820000}"/>
    <cellStyle name="Normal 5 10 27 4 8" xfId="33338" xr:uid="{00000000-0005-0000-0000-00002B820000}"/>
    <cellStyle name="Normal 5 10 27 4 9" xfId="33339" xr:uid="{00000000-0005-0000-0000-00002C820000}"/>
    <cellStyle name="Normal 5 10 27 5" xfId="33340" xr:uid="{00000000-0005-0000-0000-00002D820000}"/>
    <cellStyle name="Normal 5 10 27 5 10" xfId="33341" xr:uid="{00000000-0005-0000-0000-00002E820000}"/>
    <cellStyle name="Normal 5 10 27 5 2" xfId="33342" xr:uid="{00000000-0005-0000-0000-00002F820000}"/>
    <cellStyle name="Normal 5 10 27 5 3" xfId="33343" xr:uid="{00000000-0005-0000-0000-000030820000}"/>
    <cellStyle name="Normal 5 10 27 5 4" xfId="33344" xr:uid="{00000000-0005-0000-0000-000031820000}"/>
    <cellStyle name="Normal 5 10 27 5 5" xfId="33345" xr:uid="{00000000-0005-0000-0000-000032820000}"/>
    <cellStyle name="Normal 5 10 27 5 6" xfId="33346" xr:uid="{00000000-0005-0000-0000-000033820000}"/>
    <cellStyle name="Normal 5 10 27 5 7" xfId="33347" xr:uid="{00000000-0005-0000-0000-000034820000}"/>
    <cellStyle name="Normal 5 10 27 5 8" xfId="33348" xr:uid="{00000000-0005-0000-0000-000035820000}"/>
    <cellStyle name="Normal 5 10 27 5 9" xfId="33349" xr:uid="{00000000-0005-0000-0000-000036820000}"/>
    <cellStyle name="Normal 5 10 27 6" xfId="33350" xr:uid="{00000000-0005-0000-0000-000037820000}"/>
    <cellStyle name="Normal 5 10 27 7" xfId="33351" xr:uid="{00000000-0005-0000-0000-000038820000}"/>
    <cellStyle name="Normal 5 10 27 8" xfId="33352" xr:uid="{00000000-0005-0000-0000-000039820000}"/>
    <cellStyle name="Normal 5 10 27 9" xfId="33353" xr:uid="{00000000-0005-0000-0000-00003A820000}"/>
    <cellStyle name="Normal 5 10 28" xfId="33354" xr:uid="{00000000-0005-0000-0000-00003B820000}"/>
    <cellStyle name="Normal 5 10 28 10" xfId="33355" xr:uid="{00000000-0005-0000-0000-00003C820000}"/>
    <cellStyle name="Normal 5 10 28 11" xfId="33356" xr:uid="{00000000-0005-0000-0000-00003D820000}"/>
    <cellStyle name="Normal 5 10 28 12" xfId="33357" xr:uid="{00000000-0005-0000-0000-00003E820000}"/>
    <cellStyle name="Normal 5 10 28 13" xfId="33358" xr:uid="{00000000-0005-0000-0000-00003F820000}"/>
    <cellStyle name="Normal 5 10 28 14" xfId="33359" xr:uid="{00000000-0005-0000-0000-000040820000}"/>
    <cellStyle name="Normal 5 10 28 2" xfId="33360" xr:uid="{00000000-0005-0000-0000-000041820000}"/>
    <cellStyle name="Normal 5 10 28 2 10" xfId="33361" xr:uid="{00000000-0005-0000-0000-000042820000}"/>
    <cellStyle name="Normal 5 10 28 2 2" xfId="33362" xr:uid="{00000000-0005-0000-0000-000043820000}"/>
    <cellStyle name="Normal 5 10 28 2 3" xfId="33363" xr:uid="{00000000-0005-0000-0000-000044820000}"/>
    <cellStyle name="Normal 5 10 28 2 4" xfId="33364" xr:uid="{00000000-0005-0000-0000-000045820000}"/>
    <cellStyle name="Normal 5 10 28 2 5" xfId="33365" xr:uid="{00000000-0005-0000-0000-000046820000}"/>
    <cellStyle name="Normal 5 10 28 2 6" xfId="33366" xr:uid="{00000000-0005-0000-0000-000047820000}"/>
    <cellStyle name="Normal 5 10 28 2 7" xfId="33367" xr:uid="{00000000-0005-0000-0000-000048820000}"/>
    <cellStyle name="Normal 5 10 28 2 8" xfId="33368" xr:uid="{00000000-0005-0000-0000-000049820000}"/>
    <cellStyle name="Normal 5 10 28 2 9" xfId="33369" xr:uid="{00000000-0005-0000-0000-00004A820000}"/>
    <cellStyle name="Normal 5 10 28 3" xfId="33370" xr:uid="{00000000-0005-0000-0000-00004B820000}"/>
    <cellStyle name="Normal 5 10 28 3 10" xfId="33371" xr:uid="{00000000-0005-0000-0000-00004C820000}"/>
    <cellStyle name="Normal 5 10 28 3 2" xfId="33372" xr:uid="{00000000-0005-0000-0000-00004D820000}"/>
    <cellStyle name="Normal 5 10 28 3 3" xfId="33373" xr:uid="{00000000-0005-0000-0000-00004E820000}"/>
    <cellStyle name="Normal 5 10 28 3 4" xfId="33374" xr:uid="{00000000-0005-0000-0000-00004F820000}"/>
    <cellStyle name="Normal 5 10 28 3 5" xfId="33375" xr:uid="{00000000-0005-0000-0000-000050820000}"/>
    <cellStyle name="Normal 5 10 28 3 6" xfId="33376" xr:uid="{00000000-0005-0000-0000-000051820000}"/>
    <cellStyle name="Normal 5 10 28 3 7" xfId="33377" xr:uid="{00000000-0005-0000-0000-000052820000}"/>
    <cellStyle name="Normal 5 10 28 3 8" xfId="33378" xr:uid="{00000000-0005-0000-0000-000053820000}"/>
    <cellStyle name="Normal 5 10 28 3 9" xfId="33379" xr:uid="{00000000-0005-0000-0000-000054820000}"/>
    <cellStyle name="Normal 5 10 28 4" xfId="33380" xr:uid="{00000000-0005-0000-0000-000055820000}"/>
    <cellStyle name="Normal 5 10 28 4 10" xfId="33381" xr:uid="{00000000-0005-0000-0000-000056820000}"/>
    <cellStyle name="Normal 5 10 28 4 2" xfId="33382" xr:uid="{00000000-0005-0000-0000-000057820000}"/>
    <cellStyle name="Normal 5 10 28 4 3" xfId="33383" xr:uid="{00000000-0005-0000-0000-000058820000}"/>
    <cellStyle name="Normal 5 10 28 4 4" xfId="33384" xr:uid="{00000000-0005-0000-0000-000059820000}"/>
    <cellStyle name="Normal 5 10 28 4 5" xfId="33385" xr:uid="{00000000-0005-0000-0000-00005A820000}"/>
    <cellStyle name="Normal 5 10 28 4 6" xfId="33386" xr:uid="{00000000-0005-0000-0000-00005B820000}"/>
    <cellStyle name="Normal 5 10 28 4 7" xfId="33387" xr:uid="{00000000-0005-0000-0000-00005C820000}"/>
    <cellStyle name="Normal 5 10 28 4 8" xfId="33388" xr:uid="{00000000-0005-0000-0000-00005D820000}"/>
    <cellStyle name="Normal 5 10 28 4 9" xfId="33389" xr:uid="{00000000-0005-0000-0000-00005E820000}"/>
    <cellStyle name="Normal 5 10 28 5" xfId="33390" xr:uid="{00000000-0005-0000-0000-00005F820000}"/>
    <cellStyle name="Normal 5 10 28 5 10" xfId="33391" xr:uid="{00000000-0005-0000-0000-000060820000}"/>
    <cellStyle name="Normal 5 10 28 5 2" xfId="33392" xr:uid="{00000000-0005-0000-0000-000061820000}"/>
    <cellStyle name="Normal 5 10 28 5 3" xfId="33393" xr:uid="{00000000-0005-0000-0000-000062820000}"/>
    <cellStyle name="Normal 5 10 28 5 4" xfId="33394" xr:uid="{00000000-0005-0000-0000-000063820000}"/>
    <cellStyle name="Normal 5 10 28 5 5" xfId="33395" xr:uid="{00000000-0005-0000-0000-000064820000}"/>
    <cellStyle name="Normal 5 10 28 5 6" xfId="33396" xr:uid="{00000000-0005-0000-0000-000065820000}"/>
    <cellStyle name="Normal 5 10 28 5 7" xfId="33397" xr:uid="{00000000-0005-0000-0000-000066820000}"/>
    <cellStyle name="Normal 5 10 28 5 8" xfId="33398" xr:uid="{00000000-0005-0000-0000-000067820000}"/>
    <cellStyle name="Normal 5 10 28 5 9" xfId="33399" xr:uid="{00000000-0005-0000-0000-000068820000}"/>
    <cellStyle name="Normal 5 10 28 6" xfId="33400" xr:uid="{00000000-0005-0000-0000-000069820000}"/>
    <cellStyle name="Normal 5 10 28 7" xfId="33401" xr:uid="{00000000-0005-0000-0000-00006A820000}"/>
    <cellStyle name="Normal 5 10 28 8" xfId="33402" xr:uid="{00000000-0005-0000-0000-00006B820000}"/>
    <cellStyle name="Normal 5 10 28 9" xfId="33403" xr:uid="{00000000-0005-0000-0000-00006C820000}"/>
    <cellStyle name="Normal 5 10 29" xfId="33404" xr:uid="{00000000-0005-0000-0000-00006D820000}"/>
    <cellStyle name="Normal 5 10 29 10" xfId="33405" xr:uid="{00000000-0005-0000-0000-00006E820000}"/>
    <cellStyle name="Normal 5 10 29 11" xfId="33406" xr:uid="{00000000-0005-0000-0000-00006F820000}"/>
    <cellStyle name="Normal 5 10 29 12" xfId="33407" xr:uid="{00000000-0005-0000-0000-000070820000}"/>
    <cellStyle name="Normal 5 10 29 13" xfId="33408" xr:uid="{00000000-0005-0000-0000-000071820000}"/>
    <cellStyle name="Normal 5 10 29 14" xfId="33409" xr:uid="{00000000-0005-0000-0000-000072820000}"/>
    <cellStyle name="Normal 5 10 29 2" xfId="33410" xr:uid="{00000000-0005-0000-0000-000073820000}"/>
    <cellStyle name="Normal 5 10 29 2 10" xfId="33411" xr:uid="{00000000-0005-0000-0000-000074820000}"/>
    <cellStyle name="Normal 5 10 29 2 2" xfId="33412" xr:uid="{00000000-0005-0000-0000-000075820000}"/>
    <cellStyle name="Normal 5 10 29 2 3" xfId="33413" xr:uid="{00000000-0005-0000-0000-000076820000}"/>
    <cellStyle name="Normal 5 10 29 2 4" xfId="33414" xr:uid="{00000000-0005-0000-0000-000077820000}"/>
    <cellStyle name="Normal 5 10 29 2 5" xfId="33415" xr:uid="{00000000-0005-0000-0000-000078820000}"/>
    <cellStyle name="Normal 5 10 29 2 6" xfId="33416" xr:uid="{00000000-0005-0000-0000-000079820000}"/>
    <cellStyle name="Normal 5 10 29 2 7" xfId="33417" xr:uid="{00000000-0005-0000-0000-00007A820000}"/>
    <cellStyle name="Normal 5 10 29 2 8" xfId="33418" xr:uid="{00000000-0005-0000-0000-00007B820000}"/>
    <cellStyle name="Normal 5 10 29 2 9" xfId="33419" xr:uid="{00000000-0005-0000-0000-00007C820000}"/>
    <cellStyle name="Normal 5 10 29 3" xfId="33420" xr:uid="{00000000-0005-0000-0000-00007D820000}"/>
    <cellStyle name="Normal 5 10 29 3 10" xfId="33421" xr:uid="{00000000-0005-0000-0000-00007E820000}"/>
    <cellStyle name="Normal 5 10 29 3 2" xfId="33422" xr:uid="{00000000-0005-0000-0000-00007F820000}"/>
    <cellStyle name="Normal 5 10 29 3 3" xfId="33423" xr:uid="{00000000-0005-0000-0000-000080820000}"/>
    <cellStyle name="Normal 5 10 29 3 4" xfId="33424" xr:uid="{00000000-0005-0000-0000-000081820000}"/>
    <cellStyle name="Normal 5 10 29 3 5" xfId="33425" xr:uid="{00000000-0005-0000-0000-000082820000}"/>
    <cellStyle name="Normal 5 10 29 3 6" xfId="33426" xr:uid="{00000000-0005-0000-0000-000083820000}"/>
    <cellStyle name="Normal 5 10 29 3 7" xfId="33427" xr:uid="{00000000-0005-0000-0000-000084820000}"/>
    <cellStyle name="Normal 5 10 29 3 8" xfId="33428" xr:uid="{00000000-0005-0000-0000-000085820000}"/>
    <cellStyle name="Normal 5 10 29 3 9" xfId="33429" xr:uid="{00000000-0005-0000-0000-000086820000}"/>
    <cellStyle name="Normal 5 10 29 4" xfId="33430" xr:uid="{00000000-0005-0000-0000-000087820000}"/>
    <cellStyle name="Normal 5 10 29 4 10" xfId="33431" xr:uid="{00000000-0005-0000-0000-000088820000}"/>
    <cellStyle name="Normal 5 10 29 4 2" xfId="33432" xr:uid="{00000000-0005-0000-0000-000089820000}"/>
    <cellStyle name="Normal 5 10 29 4 3" xfId="33433" xr:uid="{00000000-0005-0000-0000-00008A820000}"/>
    <cellStyle name="Normal 5 10 29 4 4" xfId="33434" xr:uid="{00000000-0005-0000-0000-00008B820000}"/>
    <cellStyle name="Normal 5 10 29 4 5" xfId="33435" xr:uid="{00000000-0005-0000-0000-00008C820000}"/>
    <cellStyle name="Normal 5 10 29 4 6" xfId="33436" xr:uid="{00000000-0005-0000-0000-00008D820000}"/>
    <cellStyle name="Normal 5 10 29 4 7" xfId="33437" xr:uid="{00000000-0005-0000-0000-00008E820000}"/>
    <cellStyle name="Normal 5 10 29 4 8" xfId="33438" xr:uid="{00000000-0005-0000-0000-00008F820000}"/>
    <cellStyle name="Normal 5 10 29 4 9" xfId="33439" xr:uid="{00000000-0005-0000-0000-000090820000}"/>
    <cellStyle name="Normal 5 10 29 5" xfId="33440" xr:uid="{00000000-0005-0000-0000-000091820000}"/>
    <cellStyle name="Normal 5 10 29 5 10" xfId="33441" xr:uid="{00000000-0005-0000-0000-000092820000}"/>
    <cellStyle name="Normal 5 10 29 5 2" xfId="33442" xr:uid="{00000000-0005-0000-0000-000093820000}"/>
    <cellStyle name="Normal 5 10 29 5 3" xfId="33443" xr:uid="{00000000-0005-0000-0000-000094820000}"/>
    <cellStyle name="Normal 5 10 29 5 4" xfId="33444" xr:uid="{00000000-0005-0000-0000-000095820000}"/>
    <cellStyle name="Normal 5 10 29 5 5" xfId="33445" xr:uid="{00000000-0005-0000-0000-000096820000}"/>
    <cellStyle name="Normal 5 10 29 5 6" xfId="33446" xr:uid="{00000000-0005-0000-0000-000097820000}"/>
    <cellStyle name="Normal 5 10 29 5 7" xfId="33447" xr:uid="{00000000-0005-0000-0000-000098820000}"/>
    <cellStyle name="Normal 5 10 29 5 8" xfId="33448" xr:uid="{00000000-0005-0000-0000-000099820000}"/>
    <cellStyle name="Normal 5 10 29 5 9" xfId="33449" xr:uid="{00000000-0005-0000-0000-00009A820000}"/>
    <cellStyle name="Normal 5 10 29 6" xfId="33450" xr:uid="{00000000-0005-0000-0000-00009B820000}"/>
    <cellStyle name="Normal 5 10 29 7" xfId="33451" xr:uid="{00000000-0005-0000-0000-00009C820000}"/>
    <cellStyle name="Normal 5 10 29 8" xfId="33452" xr:uid="{00000000-0005-0000-0000-00009D820000}"/>
    <cellStyle name="Normal 5 10 29 9" xfId="33453" xr:uid="{00000000-0005-0000-0000-00009E820000}"/>
    <cellStyle name="Normal 5 10 3" xfId="33454" xr:uid="{00000000-0005-0000-0000-00009F820000}"/>
    <cellStyle name="Normal 5 10 3 10" xfId="33455" xr:uid="{00000000-0005-0000-0000-0000A0820000}"/>
    <cellStyle name="Normal 5 10 3 11" xfId="33456" xr:uid="{00000000-0005-0000-0000-0000A1820000}"/>
    <cellStyle name="Normal 5 10 3 12" xfId="33457" xr:uid="{00000000-0005-0000-0000-0000A2820000}"/>
    <cellStyle name="Normal 5 10 3 13" xfId="33458" xr:uid="{00000000-0005-0000-0000-0000A3820000}"/>
    <cellStyle name="Normal 5 10 3 14" xfId="33459" xr:uid="{00000000-0005-0000-0000-0000A4820000}"/>
    <cellStyle name="Normal 5 10 3 2" xfId="33460" xr:uid="{00000000-0005-0000-0000-0000A5820000}"/>
    <cellStyle name="Normal 5 10 3 2 10" xfId="33461" xr:uid="{00000000-0005-0000-0000-0000A6820000}"/>
    <cellStyle name="Normal 5 10 3 2 2" xfId="33462" xr:uid="{00000000-0005-0000-0000-0000A7820000}"/>
    <cellStyle name="Normal 5 10 3 2 3" xfId="33463" xr:uid="{00000000-0005-0000-0000-0000A8820000}"/>
    <cellStyle name="Normal 5 10 3 2 4" xfId="33464" xr:uid="{00000000-0005-0000-0000-0000A9820000}"/>
    <cellStyle name="Normal 5 10 3 2 5" xfId="33465" xr:uid="{00000000-0005-0000-0000-0000AA820000}"/>
    <cellStyle name="Normal 5 10 3 2 6" xfId="33466" xr:uid="{00000000-0005-0000-0000-0000AB820000}"/>
    <cellStyle name="Normal 5 10 3 2 7" xfId="33467" xr:uid="{00000000-0005-0000-0000-0000AC820000}"/>
    <cellStyle name="Normal 5 10 3 2 8" xfId="33468" xr:uid="{00000000-0005-0000-0000-0000AD820000}"/>
    <cellStyle name="Normal 5 10 3 2 9" xfId="33469" xr:uid="{00000000-0005-0000-0000-0000AE820000}"/>
    <cellStyle name="Normal 5 10 3 3" xfId="33470" xr:uid="{00000000-0005-0000-0000-0000AF820000}"/>
    <cellStyle name="Normal 5 10 3 3 10" xfId="33471" xr:uid="{00000000-0005-0000-0000-0000B0820000}"/>
    <cellStyle name="Normal 5 10 3 3 2" xfId="33472" xr:uid="{00000000-0005-0000-0000-0000B1820000}"/>
    <cellStyle name="Normal 5 10 3 3 3" xfId="33473" xr:uid="{00000000-0005-0000-0000-0000B2820000}"/>
    <cellStyle name="Normal 5 10 3 3 4" xfId="33474" xr:uid="{00000000-0005-0000-0000-0000B3820000}"/>
    <cellStyle name="Normal 5 10 3 3 5" xfId="33475" xr:uid="{00000000-0005-0000-0000-0000B4820000}"/>
    <cellStyle name="Normal 5 10 3 3 6" xfId="33476" xr:uid="{00000000-0005-0000-0000-0000B5820000}"/>
    <cellStyle name="Normal 5 10 3 3 7" xfId="33477" xr:uid="{00000000-0005-0000-0000-0000B6820000}"/>
    <cellStyle name="Normal 5 10 3 3 8" xfId="33478" xr:uid="{00000000-0005-0000-0000-0000B7820000}"/>
    <cellStyle name="Normal 5 10 3 3 9" xfId="33479" xr:uid="{00000000-0005-0000-0000-0000B8820000}"/>
    <cellStyle name="Normal 5 10 3 4" xfId="33480" xr:uid="{00000000-0005-0000-0000-0000B9820000}"/>
    <cellStyle name="Normal 5 10 3 4 10" xfId="33481" xr:uid="{00000000-0005-0000-0000-0000BA820000}"/>
    <cellStyle name="Normal 5 10 3 4 2" xfId="33482" xr:uid="{00000000-0005-0000-0000-0000BB820000}"/>
    <cellStyle name="Normal 5 10 3 4 3" xfId="33483" xr:uid="{00000000-0005-0000-0000-0000BC820000}"/>
    <cellStyle name="Normal 5 10 3 4 4" xfId="33484" xr:uid="{00000000-0005-0000-0000-0000BD820000}"/>
    <cellStyle name="Normal 5 10 3 4 5" xfId="33485" xr:uid="{00000000-0005-0000-0000-0000BE820000}"/>
    <cellStyle name="Normal 5 10 3 4 6" xfId="33486" xr:uid="{00000000-0005-0000-0000-0000BF820000}"/>
    <cellStyle name="Normal 5 10 3 4 7" xfId="33487" xr:uid="{00000000-0005-0000-0000-0000C0820000}"/>
    <cellStyle name="Normal 5 10 3 4 8" xfId="33488" xr:uid="{00000000-0005-0000-0000-0000C1820000}"/>
    <cellStyle name="Normal 5 10 3 4 9" xfId="33489" xr:uid="{00000000-0005-0000-0000-0000C2820000}"/>
    <cellStyle name="Normal 5 10 3 5" xfId="33490" xr:uid="{00000000-0005-0000-0000-0000C3820000}"/>
    <cellStyle name="Normal 5 10 3 5 10" xfId="33491" xr:uid="{00000000-0005-0000-0000-0000C4820000}"/>
    <cellStyle name="Normal 5 10 3 5 2" xfId="33492" xr:uid="{00000000-0005-0000-0000-0000C5820000}"/>
    <cellStyle name="Normal 5 10 3 5 3" xfId="33493" xr:uid="{00000000-0005-0000-0000-0000C6820000}"/>
    <cellStyle name="Normal 5 10 3 5 4" xfId="33494" xr:uid="{00000000-0005-0000-0000-0000C7820000}"/>
    <cellStyle name="Normal 5 10 3 5 5" xfId="33495" xr:uid="{00000000-0005-0000-0000-0000C8820000}"/>
    <cellStyle name="Normal 5 10 3 5 6" xfId="33496" xr:uid="{00000000-0005-0000-0000-0000C9820000}"/>
    <cellStyle name="Normal 5 10 3 5 7" xfId="33497" xr:uid="{00000000-0005-0000-0000-0000CA820000}"/>
    <cellStyle name="Normal 5 10 3 5 8" xfId="33498" xr:uid="{00000000-0005-0000-0000-0000CB820000}"/>
    <cellStyle name="Normal 5 10 3 5 9" xfId="33499" xr:uid="{00000000-0005-0000-0000-0000CC820000}"/>
    <cellStyle name="Normal 5 10 3 6" xfId="33500" xr:uid="{00000000-0005-0000-0000-0000CD820000}"/>
    <cellStyle name="Normal 5 10 3 7" xfId="33501" xr:uid="{00000000-0005-0000-0000-0000CE820000}"/>
    <cellStyle name="Normal 5 10 3 8" xfId="33502" xr:uid="{00000000-0005-0000-0000-0000CF820000}"/>
    <cellStyle name="Normal 5 10 3 9" xfId="33503" xr:uid="{00000000-0005-0000-0000-0000D0820000}"/>
    <cellStyle name="Normal 5 10 30" xfId="33504" xr:uid="{00000000-0005-0000-0000-0000D1820000}"/>
    <cellStyle name="Normal 5 10 30 10" xfId="33505" xr:uid="{00000000-0005-0000-0000-0000D2820000}"/>
    <cellStyle name="Normal 5 10 30 11" xfId="33506" xr:uid="{00000000-0005-0000-0000-0000D3820000}"/>
    <cellStyle name="Normal 5 10 30 12" xfId="33507" xr:uid="{00000000-0005-0000-0000-0000D4820000}"/>
    <cellStyle name="Normal 5 10 30 13" xfId="33508" xr:uid="{00000000-0005-0000-0000-0000D5820000}"/>
    <cellStyle name="Normal 5 10 30 14" xfId="33509" xr:uid="{00000000-0005-0000-0000-0000D6820000}"/>
    <cellStyle name="Normal 5 10 30 2" xfId="33510" xr:uid="{00000000-0005-0000-0000-0000D7820000}"/>
    <cellStyle name="Normal 5 10 30 2 10" xfId="33511" xr:uid="{00000000-0005-0000-0000-0000D8820000}"/>
    <cellStyle name="Normal 5 10 30 2 2" xfId="33512" xr:uid="{00000000-0005-0000-0000-0000D9820000}"/>
    <cellStyle name="Normal 5 10 30 2 3" xfId="33513" xr:uid="{00000000-0005-0000-0000-0000DA820000}"/>
    <cellStyle name="Normal 5 10 30 2 4" xfId="33514" xr:uid="{00000000-0005-0000-0000-0000DB820000}"/>
    <cellStyle name="Normal 5 10 30 2 5" xfId="33515" xr:uid="{00000000-0005-0000-0000-0000DC820000}"/>
    <cellStyle name="Normal 5 10 30 2 6" xfId="33516" xr:uid="{00000000-0005-0000-0000-0000DD820000}"/>
    <cellStyle name="Normal 5 10 30 2 7" xfId="33517" xr:uid="{00000000-0005-0000-0000-0000DE820000}"/>
    <cellStyle name="Normal 5 10 30 2 8" xfId="33518" xr:uid="{00000000-0005-0000-0000-0000DF820000}"/>
    <cellStyle name="Normal 5 10 30 2 9" xfId="33519" xr:uid="{00000000-0005-0000-0000-0000E0820000}"/>
    <cellStyle name="Normal 5 10 30 3" xfId="33520" xr:uid="{00000000-0005-0000-0000-0000E1820000}"/>
    <cellStyle name="Normal 5 10 30 3 10" xfId="33521" xr:uid="{00000000-0005-0000-0000-0000E2820000}"/>
    <cellStyle name="Normal 5 10 30 3 2" xfId="33522" xr:uid="{00000000-0005-0000-0000-0000E3820000}"/>
    <cellStyle name="Normal 5 10 30 3 3" xfId="33523" xr:uid="{00000000-0005-0000-0000-0000E4820000}"/>
    <cellStyle name="Normal 5 10 30 3 4" xfId="33524" xr:uid="{00000000-0005-0000-0000-0000E5820000}"/>
    <cellStyle name="Normal 5 10 30 3 5" xfId="33525" xr:uid="{00000000-0005-0000-0000-0000E6820000}"/>
    <cellStyle name="Normal 5 10 30 3 6" xfId="33526" xr:uid="{00000000-0005-0000-0000-0000E7820000}"/>
    <cellStyle name="Normal 5 10 30 3 7" xfId="33527" xr:uid="{00000000-0005-0000-0000-0000E8820000}"/>
    <cellStyle name="Normal 5 10 30 3 8" xfId="33528" xr:uid="{00000000-0005-0000-0000-0000E9820000}"/>
    <cellStyle name="Normal 5 10 30 3 9" xfId="33529" xr:uid="{00000000-0005-0000-0000-0000EA820000}"/>
    <cellStyle name="Normal 5 10 30 4" xfId="33530" xr:uid="{00000000-0005-0000-0000-0000EB820000}"/>
    <cellStyle name="Normal 5 10 30 4 10" xfId="33531" xr:uid="{00000000-0005-0000-0000-0000EC820000}"/>
    <cellStyle name="Normal 5 10 30 4 2" xfId="33532" xr:uid="{00000000-0005-0000-0000-0000ED820000}"/>
    <cellStyle name="Normal 5 10 30 4 3" xfId="33533" xr:uid="{00000000-0005-0000-0000-0000EE820000}"/>
    <cellStyle name="Normal 5 10 30 4 4" xfId="33534" xr:uid="{00000000-0005-0000-0000-0000EF820000}"/>
    <cellStyle name="Normal 5 10 30 4 5" xfId="33535" xr:uid="{00000000-0005-0000-0000-0000F0820000}"/>
    <cellStyle name="Normal 5 10 30 4 6" xfId="33536" xr:uid="{00000000-0005-0000-0000-0000F1820000}"/>
    <cellStyle name="Normal 5 10 30 4 7" xfId="33537" xr:uid="{00000000-0005-0000-0000-0000F2820000}"/>
    <cellStyle name="Normal 5 10 30 4 8" xfId="33538" xr:uid="{00000000-0005-0000-0000-0000F3820000}"/>
    <cellStyle name="Normal 5 10 30 4 9" xfId="33539" xr:uid="{00000000-0005-0000-0000-0000F4820000}"/>
    <cellStyle name="Normal 5 10 30 5" xfId="33540" xr:uid="{00000000-0005-0000-0000-0000F5820000}"/>
    <cellStyle name="Normal 5 10 30 5 10" xfId="33541" xr:uid="{00000000-0005-0000-0000-0000F6820000}"/>
    <cellStyle name="Normal 5 10 30 5 2" xfId="33542" xr:uid="{00000000-0005-0000-0000-0000F7820000}"/>
    <cellStyle name="Normal 5 10 30 5 3" xfId="33543" xr:uid="{00000000-0005-0000-0000-0000F8820000}"/>
    <cellStyle name="Normal 5 10 30 5 4" xfId="33544" xr:uid="{00000000-0005-0000-0000-0000F9820000}"/>
    <cellStyle name="Normal 5 10 30 5 5" xfId="33545" xr:uid="{00000000-0005-0000-0000-0000FA820000}"/>
    <cellStyle name="Normal 5 10 30 5 6" xfId="33546" xr:uid="{00000000-0005-0000-0000-0000FB820000}"/>
    <cellStyle name="Normal 5 10 30 5 7" xfId="33547" xr:uid="{00000000-0005-0000-0000-0000FC820000}"/>
    <cellStyle name="Normal 5 10 30 5 8" xfId="33548" xr:uid="{00000000-0005-0000-0000-0000FD820000}"/>
    <cellStyle name="Normal 5 10 30 5 9" xfId="33549" xr:uid="{00000000-0005-0000-0000-0000FE820000}"/>
    <cellStyle name="Normal 5 10 30 6" xfId="33550" xr:uid="{00000000-0005-0000-0000-0000FF820000}"/>
    <cellStyle name="Normal 5 10 30 7" xfId="33551" xr:uid="{00000000-0005-0000-0000-000000830000}"/>
    <cellStyle name="Normal 5 10 30 8" xfId="33552" xr:uid="{00000000-0005-0000-0000-000001830000}"/>
    <cellStyle name="Normal 5 10 30 9" xfId="33553" xr:uid="{00000000-0005-0000-0000-000002830000}"/>
    <cellStyle name="Normal 5 10 31" xfId="33554" xr:uid="{00000000-0005-0000-0000-000003830000}"/>
    <cellStyle name="Normal 5 10 31 10" xfId="33555" xr:uid="{00000000-0005-0000-0000-000004830000}"/>
    <cellStyle name="Normal 5 10 31 11" xfId="33556" xr:uid="{00000000-0005-0000-0000-000005830000}"/>
    <cellStyle name="Normal 5 10 31 12" xfId="33557" xr:uid="{00000000-0005-0000-0000-000006830000}"/>
    <cellStyle name="Normal 5 10 31 13" xfId="33558" xr:uid="{00000000-0005-0000-0000-000007830000}"/>
    <cellStyle name="Normal 5 10 31 14" xfId="33559" xr:uid="{00000000-0005-0000-0000-000008830000}"/>
    <cellStyle name="Normal 5 10 31 2" xfId="33560" xr:uid="{00000000-0005-0000-0000-000009830000}"/>
    <cellStyle name="Normal 5 10 31 2 10" xfId="33561" xr:uid="{00000000-0005-0000-0000-00000A830000}"/>
    <cellStyle name="Normal 5 10 31 2 2" xfId="33562" xr:uid="{00000000-0005-0000-0000-00000B830000}"/>
    <cellStyle name="Normal 5 10 31 2 3" xfId="33563" xr:uid="{00000000-0005-0000-0000-00000C830000}"/>
    <cellStyle name="Normal 5 10 31 2 4" xfId="33564" xr:uid="{00000000-0005-0000-0000-00000D830000}"/>
    <cellStyle name="Normal 5 10 31 2 5" xfId="33565" xr:uid="{00000000-0005-0000-0000-00000E830000}"/>
    <cellStyle name="Normal 5 10 31 2 6" xfId="33566" xr:uid="{00000000-0005-0000-0000-00000F830000}"/>
    <cellStyle name="Normal 5 10 31 2 7" xfId="33567" xr:uid="{00000000-0005-0000-0000-000010830000}"/>
    <cellStyle name="Normal 5 10 31 2 8" xfId="33568" xr:uid="{00000000-0005-0000-0000-000011830000}"/>
    <cellStyle name="Normal 5 10 31 2 9" xfId="33569" xr:uid="{00000000-0005-0000-0000-000012830000}"/>
    <cellStyle name="Normal 5 10 31 3" xfId="33570" xr:uid="{00000000-0005-0000-0000-000013830000}"/>
    <cellStyle name="Normal 5 10 31 3 10" xfId="33571" xr:uid="{00000000-0005-0000-0000-000014830000}"/>
    <cellStyle name="Normal 5 10 31 3 2" xfId="33572" xr:uid="{00000000-0005-0000-0000-000015830000}"/>
    <cellStyle name="Normal 5 10 31 3 3" xfId="33573" xr:uid="{00000000-0005-0000-0000-000016830000}"/>
    <cellStyle name="Normal 5 10 31 3 4" xfId="33574" xr:uid="{00000000-0005-0000-0000-000017830000}"/>
    <cellStyle name="Normal 5 10 31 3 5" xfId="33575" xr:uid="{00000000-0005-0000-0000-000018830000}"/>
    <cellStyle name="Normal 5 10 31 3 6" xfId="33576" xr:uid="{00000000-0005-0000-0000-000019830000}"/>
    <cellStyle name="Normal 5 10 31 3 7" xfId="33577" xr:uid="{00000000-0005-0000-0000-00001A830000}"/>
    <cellStyle name="Normal 5 10 31 3 8" xfId="33578" xr:uid="{00000000-0005-0000-0000-00001B830000}"/>
    <cellStyle name="Normal 5 10 31 3 9" xfId="33579" xr:uid="{00000000-0005-0000-0000-00001C830000}"/>
    <cellStyle name="Normal 5 10 31 4" xfId="33580" xr:uid="{00000000-0005-0000-0000-00001D830000}"/>
    <cellStyle name="Normal 5 10 31 4 10" xfId="33581" xr:uid="{00000000-0005-0000-0000-00001E830000}"/>
    <cellStyle name="Normal 5 10 31 4 2" xfId="33582" xr:uid="{00000000-0005-0000-0000-00001F830000}"/>
    <cellStyle name="Normal 5 10 31 4 3" xfId="33583" xr:uid="{00000000-0005-0000-0000-000020830000}"/>
    <cellStyle name="Normal 5 10 31 4 4" xfId="33584" xr:uid="{00000000-0005-0000-0000-000021830000}"/>
    <cellStyle name="Normal 5 10 31 4 5" xfId="33585" xr:uid="{00000000-0005-0000-0000-000022830000}"/>
    <cellStyle name="Normal 5 10 31 4 6" xfId="33586" xr:uid="{00000000-0005-0000-0000-000023830000}"/>
    <cellStyle name="Normal 5 10 31 4 7" xfId="33587" xr:uid="{00000000-0005-0000-0000-000024830000}"/>
    <cellStyle name="Normal 5 10 31 4 8" xfId="33588" xr:uid="{00000000-0005-0000-0000-000025830000}"/>
    <cellStyle name="Normal 5 10 31 4 9" xfId="33589" xr:uid="{00000000-0005-0000-0000-000026830000}"/>
    <cellStyle name="Normal 5 10 31 5" xfId="33590" xr:uid="{00000000-0005-0000-0000-000027830000}"/>
    <cellStyle name="Normal 5 10 31 5 10" xfId="33591" xr:uid="{00000000-0005-0000-0000-000028830000}"/>
    <cellStyle name="Normal 5 10 31 5 2" xfId="33592" xr:uid="{00000000-0005-0000-0000-000029830000}"/>
    <cellStyle name="Normal 5 10 31 5 3" xfId="33593" xr:uid="{00000000-0005-0000-0000-00002A830000}"/>
    <cellStyle name="Normal 5 10 31 5 4" xfId="33594" xr:uid="{00000000-0005-0000-0000-00002B830000}"/>
    <cellStyle name="Normal 5 10 31 5 5" xfId="33595" xr:uid="{00000000-0005-0000-0000-00002C830000}"/>
    <cellStyle name="Normal 5 10 31 5 6" xfId="33596" xr:uid="{00000000-0005-0000-0000-00002D830000}"/>
    <cellStyle name="Normal 5 10 31 5 7" xfId="33597" xr:uid="{00000000-0005-0000-0000-00002E830000}"/>
    <cellStyle name="Normal 5 10 31 5 8" xfId="33598" xr:uid="{00000000-0005-0000-0000-00002F830000}"/>
    <cellStyle name="Normal 5 10 31 5 9" xfId="33599" xr:uid="{00000000-0005-0000-0000-000030830000}"/>
    <cellStyle name="Normal 5 10 31 6" xfId="33600" xr:uid="{00000000-0005-0000-0000-000031830000}"/>
    <cellStyle name="Normal 5 10 31 7" xfId="33601" xr:uid="{00000000-0005-0000-0000-000032830000}"/>
    <cellStyle name="Normal 5 10 31 8" xfId="33602" xr:uid="{00000000-0005-0000-0000-000033830000}"/>
    <cellStyle name="Normal 5 10 31 9" xfId="33603" xr:uid="{00000000-0005-0000-0000-000034830000}"/>
    <cellStyle name="Normal 5 10 32" xfId="33604" xr:uid="{00000000-0005-0000-0000-000035830000}"/>
    <cellStyle name="Normal 5 10 32 10" xfId="33605" xr:uid="{00000000-0005-0000-0000-000036830000}"/>
    <cellStyle name="Normal 5 10 32 11" xfId="33606" xr:uid="{00000000-0005-0000-0000-000037830000}"/>
    <cellStyle name="Normal 5 10 32 12" xfId="33607" xr:uid="{00000000-0005-0000-0000-000038830000}"/>
    <cellStyle name="Normal 5 10 32 13" xfId="33608" xr:uid="{00000000-0005-0000-0000-000039830000}"/>
    <cellStyle name="Normal 5 10 32 14" xfId="33609" xr:uid="{00000000-0005-0000-0000-00003A830000}"/>
    <cellStyle name="Normal 5 10 32 2" xfId="33610" xr:uid="{00000000-0005-0000-0000-00003B830000}"/>
    <cellStyle name="Normal 5 10 32 2 10" xfId="33611" xr:uid="{00000000-0005-0000-0000-00003C830000}"/>
    <cellStyle name="Normal 5 10 32 2 2" xfId="33612" xr:uid="{00000000-0005-0000-0000-00003D830000}"/>
    <cellStyle name="Normal 5 10 32 2 3" xfId="33613" xr:uid="{00000000-0005-0000-0000-00003E830000}"/>
    <cellStyle name="Normal 5 10 32 2 4" xfId="33614" xr:uid="{00000000-0005-0000-0000-00003F830000}"/>
    <cellStyle name="Normal 5 10 32 2 5" xfId="33615" xr:uid="{00000000-0005-0000-0000-000040830000}"/>
    <cellStyle name="Normal 5 10 32 2 6" xfId="33616" xr:uid="{00000000-0005-0000-0000-000041830000}"/>
    <cellStyle name="Normal 5 10 32 2 7" xfId="33617" xr:uid="{00000000-0005-0000-0000-000042830000}"/>
    <cellStyle name="Normal 5 10 32 2 8" xfId="33618" xr:uid="{00000000-0005-0000-0000-000043830000}"/>
    <cellStyle name="Normal 5 10 32 2 9" xfId="33619" xr:uid="{00000000-0005-0000-0000-000044830000}"/>
    <cellStyle name="Normal 5 10 32 3" xfId="33620" xr:uid="{00000000-0005-0000-0000-000045830000}"/>
    <cellStyle name="Normal 5 10 32 3 10" xfId="33621" xr:uid="{00000000-0005-0000-0000-000046830000}"/>
    <cellStyle name="Normal 5 10 32 3 2" xfId="33622" xr:uid="{00000000-0005-0000-0000-000047830000}"/>
    <cellStyle name="Normal 5 10 32 3 3" xfId="33623" xr:uid="{00000000-0005-0000-0000-000048830000}"/>
    <cellStyle name="Normal 5 10 32 3 4" xfId="33624" xr:uid="{00000000-0005-0000-0000-000049830000}"/>
    <cellStyle name="Normal 5 10 32 3 5" xfId="33625" xr:uid="{00000000-0005-0000-0000-00004A830000}"/>
    <cellStyle name="Normal 5 10 32 3 6" xfId="33626" xr:uid="{00000000-0005-0000-0000-00004B830000}"/>
    <cellStyle name="Normal 5 10 32 3 7" xfId="33627" xr:uid="{00000000-0005-0000-0000-00004C830000}"/>
    <cellStyle name="Normal 5 10 32 3 8" xfId="33628" xr:uid="{00000000-0005-0000-0000-00004D830000}"/>
    <cellStyle name="Normal 5 10 32 3 9" xfId="33629" xr:uid="{00000000-0005-0000-0000-00004E830000}"/>
    <cellStyle name="Normal 5 10 32 4" xfId="33630" xr:uid="{00000000-0005-0000-0000-00004F830000}"/>
    <cellStyle name="Normal 5 10 32 4 10" xfId="33631" xr:uid="{00000000-0005-0000-0000-000050830000}"/>
    <cellStyle name="Normal 5 10 32 4 2" xfId="33632" xr:uid="{00000000-0005-0000-0000-000051830000}"/>
    <cellStyle name="Normal 5 10 32 4 3" xfId="33633" xr:uid="{00000000-0005-0000-0000-000052830000}"/>
    <cellStyle name="Normal 5 10 32 4 4" xfId="33634" xr:uid="{00000000-0005-0000-0000-000053830000}"/>
    <cellStyle name="Normal 5 10 32 4 5" xfId="33635" xr:uid="{00000000-0005-0000-0000-000054830000}"/>
    <cellStyle name="Normal 5 10 32 4 6" xfId="33636" xr:uid="{00000000-0005-0000-0000-000055830000}"/>
    <cellStyle name="Normal 5 10 32 4 7" xfId="33637" xr:uid="{00000000-0005-0000-0000-000056830000}"/>
    <cellStyle name="Normal 5 10 32 4 8" xfId="33638" xr:uid="{00000000-0005-0000-0000-000057830000}"/>
    <cellStyle name="Normal 5 10 32 4 9" xfId="33639" xr:uid="{00000000-0005-0000-0000-000058830000}"/>
    <cellStyle name="Normal 5 10 32 5" xfId="33640" xr:uid="{00000000-0005-0000-0000-000059830000}"/>
    <cellStyle name="Normal 5 10 32 5 10" xfId="33641" xr:uid="{00000000-0005-0000-0000-00005A830000}"/>
    <cellStyle name="Normal 5 10 32 5 2" xfId="33642" xr:uid="{00000000-0005-0000-0000-00005B830000}"/>
    <cellStyle name="Normal 5 10 32 5 3" xfId="33643" xr:uid="{00000000-0005-0000-0000-00005C830000}"/>
    <cellStyle name="Normal 5 10 32 5 4" xfId="33644" xr:uid="{00000000-0005-0000-0000-00005D830000}"/>
    <cellStyle name="Normal 5 10 32 5 5" xfId="33645" xr:uid="{00000000-0005-0000-0000-00005E830000}"/>
    <cellStyle name="Normal 5 10 32 5 6" xfId="33646" xr:uid="{00000000-0005-0000-0000-00005F830000}"/>
    <cellStyle name="Normal 5 10 32 5 7" xfId="33647" xr:uid="{00000000-0005-0000-0000-000060830000}"/>
    <cellStyle name="Normal 5 10 32 5 8" xfId="33648" xr:uid="{00000000-0005-0000-0000-000061830000}"/>
    <cellStyle name="Normal 5 10 32 5 9" xfId="33649" xr:uid="{00000000-0005-0000-0000-000062830000}"/>
    <cellStyle name="Normal 5 10 32 6" xfId="33650" xr:uid="{00000000-0005-0000-0000-000063830000}"/>
    <cellStyle name="Normal 5 10 32 7" xfId="33651" xr:uid="{00000000-0005-0000-0000-000064830000}"/>
    <cellStyle name="Normal 5 10 32 8" xfId="33652" xr:uid="{00000000-0005-0000-0000-000065830000}"/>
    <cellStyle name="Normal 5 10 32 9" xfId="33653" xr:uid="{00000000-0005-0000-0000-000066830000}"/>
    <cellStyle name="Normal 5 10 33" xfId="33654" xr:uid="{00000000-0005-0000-0000-000067830000}"/>
    <cellStyle name="Normal 5 10 33 10" xfId="33655" xr:uid="{00000000-0005-0000-0000-000068830000}"/>
    <cellStyle name="Normal 5 10 33 11" xfId="33656" xr:uid="{00000000-0005-0000-0000-000069830000}"/>
    <cellStyle name="Normal 5 10 33 12" xfId="33657" xr:uid="{00000000-0005-0000-0000-00006A830000}"/>
    <cellStyle name="Normal 5 10 33 13" xfId="33658" xr:uid="{00000000-0005-0000-0000-00006B830000}"/>
    <cellStyle name="Normal 5 10 33 14" xfId="33659" xr:uid="{00000000-0005-0000-0000-00006C830000}"/>
    <cellStyle name="Normal 5 10 33 2" xfId="33660" xr:uid="{00000000-0005-0000-0000-00006D830000}"/>
    <cellStyle name="Normal 5 10 33 2 10" xfId="33661" xr:uid="{00000000-0005-0000-0000-00006E830000}"/>
    <cellStyle name="Normal 5 10 33 2 2" xfId="33662" xr:uid="{00000000-0005-0000-0000-00006F830000}"/>
    <cellStyle name="Normal 5 10 33 2 3" xfId="33663" xr:uid="{00000000-0005-0000-0000-000070830000}"/>
    <cellStyle name="Normal 5 10 33 2 4" xfId="33664" xr:uid="{00000000-0005-0000-0000-000071830000}"/>
    <cellStyle name="Normal 5 10 33 2 5" xfId="33665" xr:uid="{00000000-0005-0000-0000-000072830000}"/>
    <cellStyle name="Normal 5 10 33 2 6" xfId="33666" xr:uid="{00000000-0005-0000-0000-000073830000}"/>
    <cellStyle name="Normal 5 10 33 2 7" xfId="33667" xr:uid="{00000000-0005-0000-0000-000074830000}"/>
    <cellStyle name="Normal 5 10 33 2 8" xfId="33668" xr:uid="{00000000-0005-0000-0000-000075830000}"/>
    <cellStyle name="Normal 5 10 33 2 9" xfId="33669" xr:uid="{00000000-0005-0000-0000-000076830000}"/>
    <cellStyle name="Normal 5 10 33 3" xfId="33670" xr:uid="{00000000-0005-0000-0000-000077830000}"/>
    <cellStyle name="Normal 5 10 33 3 10" xfId="33671" xr:uid="{00000000-0005-0000-0000-000078830000}"/>
    <cellStyle name="Normal 5 10 33 3 2" xfId="33672" xr:uid="{00000000-0005-0000-0000-000079830000}"/>
    <cellStyle name="Normal 5 10 33 3 3" xfId="33673" xr:uid="{00000000-0005-0000-0000-00007A830000}"/>
    <cellStyle name="Normal 5 10 33 3 4" xfId="33674" xr:uid="{00000000-0005-0000-0000-00007B830000}"/>
    <cellStyle name="Normal 5 10 33 3 5" xfId="33675" xr:uid="{00000000-0005-0000-0000-00007C830000}"/>
    <cellStyle name="Normal 5 10 33 3 6" xfId="33676" xr:uid="{00000000-0005-0000-0000-00007D830000}"/>
    <cellStyle name="Normal 5 10 33 3 7" xfId="33677" xr:uid="{00000000-0005-0000-0000-00007E830000}"/>
    <cellStyle name="Normal 5 10 33 3 8" xfId="33678" xr:uid="{00000000-0005-0000-0000-00007F830000}"/>
    <cellStyle name="Normal 5 10 33 3 9" xfId="33679" xr:uid="{00000000-0005-0000-0000-000080830000}"/>
    <cellStyle name="Normal 5 10 33 4" xfId="33680" xr:uid="{00000000-0005-0000-0000-000081830000}"/>
    <cellStyle name="Normal 5 10 33 4 10" xfId="33681" xr:uid="{00000000-0005-0000-0000-000082830000}"/>
    <cellStyle name="Normal 5 10 33 4 2" xfId="33682" xr:uid="{00000000-0005-0000-0000-000083830000}"/>
    <cellStyle name="Normal 5 10 33 4 3" xfId="33683" xr:uid="{00000000-0005-0000-0000-000084830000}"/>
    <cellStyle name="Normal 5 10 33 4 4" xfId="33684" xr:uid="{00000000-0005-0000-0000-000085830000}"/>
    <cellStyle name="Normal 5 10 33 4 5" xfId="33685" xr:uid="{00000000-0005-0000-0000-000086830000}"/>
    <cellStyle name="Normal 5 10 33 4 6" xfId="33686" xr:uid="{00000000-0005-0000-0000-000087830000}"/>
    <cellStyle name="Normal 5 10 33 4 7" xfId="33687" xr:uid="{00000000-0005-0000-0000-000088830000}"/>
    <cellStyle name="Normal 5 10 33 4 8" xfId="33688" xr:uid="{00000000-0005-0000-0000-000089830000}"/>
    <cellStyle name="Normal 5 10 33 4 9" xfId="33689" xr:uid="{00000000-0005-0000-0000-00008A830000}"/>
    <cellStyle name="Normal 5 10 33 5" xfId="33690" xr:uid="{00000000-0005-0000-0000-00008B830000}"/>
    <cellStyle name="Normal 5 10 33 5 10" xfId="33691" xr:uid="{00000000-0005-0000-0000-00008C830000}"/>
    <cellStyle name="Normal 5 10 33 5 2" xfId="33692" xr:uid="{00000000-0005-0000-0000-00008D830000}"/>
    <cellStyle name="Normal 5 10 33 5 3" xfId="33693" xr:uid="{00000000-0005-0000-0000-00008E830000}"/>
    <cellStyle name="Normal 5 10 33 5 4" xfId="33694" xr:uid="{00000000-0005-0000-0000-00008F830000}"/>
    <cellStyle name="Normal 5 10 33 5 5" xfId="33695" xr:uid="{00000000-0005-0000-0000-000090830000}"/>
    <cellStyle name="Normal 5 10 33 5 6" xfId="33696" xr:uid="{00000000-0005-0000-0000-000091830000}"/>
    <cellStyle name="Normal 5 10 33 5 7" xfId="33697" xr:uid="{00000000-0005-0000-0000-000092830000}"/>
    <cellStyle name="Normal 5 10 33 5 8" xfId="33698" xr:uid="{00000000-0005-0000-0000-000093830000}"/>
    <cellStyle name="Normal 5 10 33 5 9" xfId="33699" xr:uid="{00000000-0005-0000-0000-000094830000}"/>
    <cellStyle name="Normal 5 10 33 6" xfId="33700" xr:uid="{00000000-0005-0000-0000-000095830000}"/>
    <cellStyle name="Normal 5 10 33 7" xfId="33701" xr:uid="{00000000-0005-0000-0000-000096830000}"/>
    <cellStyle name="Normal 5 10 33 8" xfId="33702" xr:uid="{00000000-0005-0000-0000-000097830000}"/>
    <cellStyle name="Normal 5 10 33 9" xfId="33703" xr:uid="{00000000-0005-0000-0000-000098830000}"/>
    <cellStyle name="Normal 5 10 34" xfId="33704" xr:uid="{00000000-0005-0000-0000-000099830000}"/>
    <cellStyle name="Normal 5 10 34 10" xfId="33705" xr:uid="{00000000-0005-0000-0000-00009A830000}"/>
    <cellStyle name="Normal 5 10 34 11" xfId="33706" xr:uid="{00000000-0005-0000-0000-00009B830000}"/>
    <cellStyle name="Normal 5 10 34 12" xfId="33707" xr:uid="{00000000-0005-0000-0000-00009C830000}"/>
    <cellStyle name="Normal 5 10 34 13" xfId="33708" xr:uid="{00000000-0005-0000-0000-00009D830000}"/>
    <cellStyle name="Normal 5 10 34 14" xfId="33709" xr:uid="{00000000-0005-0000-0000-00009E830000}"/>
    <cellStyle name="Normal 5 10 34 2" xfId="33710" xr:uid="{00000000-0005-0000-0000-00009F830000}"/>
    <cellStyle name="Normal 5 10 34 2 10" xfId="33711" xr:uid="{00000000-0005-0000-0000-0000A0830000}"/>
    <cellStyle name="Normal 5 10 34 2 2" xfId="33712" xr:uid="{00000000-0005-0000-0000-0000A1830000}"/>
    <cellStyle name="Normal 5 10 34 2 3" xfId="33713" xr:uid="{00000000-0005-0000-0000-0000A2830000}"/>
    <cellStyle name="Normal 5 10 34 2 4" xfId="33714" xr:uid="{00000000-0005-0000-0000-0000A3830000}"/>
    <cellStyle name="Normal 5 10 34 2 5" xfId="33715" xr:uid="{00000000-0005-0000-0000-0000A4830000}"/>
    <cellStyle name="Normal 5 10 34 2 6" xfId="33716" xr:uid="{00000000-0005-0000-0000-0000A5830000}"/>
    <cellStyle name="Normal 5 10 34 2 7" xfId="33717" xr:uid="{00000000-0005-0000-0000-0000A6830000}"/>
    <cellStyle name="Normal 5 10 34 2 8" xfId="33718" xr:uid="{00000000-0005-0000-0000-0000A7830000}"/>
    <cellStyle name="Normal 5 10 34 2 9" xfId="33719" xr:uid="{00000000-0005-0000-0000-0000A8830000}"/>
    <cellStyle name="Normal 5 10 34 3" xfId="33720" xr:uid="{00000000-0005-0000-0000-0000A9830000}"/>
    <cellStyle name="Normal 5 10 34 3 10" xfId="33721" xr:uid="{00000000-0005-0000-0000-0000AA830000}"/>
    <cellStyle name="Normal 5 10 34 3 2" xfId="33722" xr:uid="{00000000-0005-0000-0000-0000AB830000}"/>
    <cellStyle name="Normal 5 10 34 3 3" xfId="33723" xr:uid="{00000000-0005-0000-0000-0000AC830000}"/>
    <cellStyle name="Normal 5 10 34 3 4" xfId="33724" xr:uid="{00000000-0005-0000-0000-0000AD830000}"/>
    <cellStyle name="Normal 5 10 34 3 5" xfId="33725" xr:uid="{00000000-0005-0000-0000-0000AE830000}"/>
    <cellStyle name="Normal 5 10 34 3 6" xfId="33726" xr:uid="{00000000-0005-0000-0000-0000AF830000}"/>
    <cellStyle name="Normal 5 10 34 3 7" xfId="33727" xr:uid="{00000000-0005-0000-0000-0000B0830000}"/>
    <cellStyle name="Normal 5 10 34 3 8" xfId="33728" xr:uid="{00000000-0005-0000-0000-0000B1830000}"/>
    <cellStyle name="Normal 5 10 34 3 9" xfId="33729" xr:uid="{00000000-0005-0000-0000-0000B2830000}"/>
    <cellStyle name="Normal 5 10 34 4" xfId="33730" xr:uid="{00000000-0005-0000-0000-0000B3830000}"/>
    <cellStyle name="Normal 5 10 34 4 10" xfId="33731" xr:uid="{00000000-0005-0000-0000-0000B4830000}"/>
    <cellStyle name="Normal 5 10 34 4 2" xfId="33732" xr:uid="{00000000-0005-0000-0000-0000B5830000}"/>
    <cellStyle name="Normal 5 10 34 4 3" xfId="33733" xr:uid="{00000000-0005-0000-0000-0000B6830000}"/>
    <cellStyle name="Normal 5 10 34 4 4" xfId="33734" xr:uid="{00000000-0005-0000-0000-0000B7830000}"/>
    <cellStyle name="Normal 5 10 34 4 5" xfId="33735" xr:uid="{00000000-0005-0000-0000-0000B8830000}"/>
    <cellStyle name="Normal 5 10 34 4 6" xfId="33736" xr:uid="{00000000-0005-0000-0000-0000B9830000}"/>
    <cellStyle name="Normal 5 10 34 4 7" xfId="33737" xr:uid="{00000000-0005-0000-0000-0000BA830000}"/>
    <cellStyle name="Normal 5 10 34 4 8" xfId="33738" xr:uid="{00000000-0005-0000-0000-0000BB830000}"/>
    <cellStyle name="Normal 5 10 34 4 9" xfId="33739" xr:uid="{00000000-0005-0000-0000-0000BC830000}"/>
    <cellStyle name="Normal 5 10 34 5" xfId="33740" xr:uid="{00000000-0005-0000-0000-0000BD830000}"/>
    <cellStyle name="Normal 5 10 34 5 10" xfId="33741" xr:uid="{00000000-0005-0000-0000-0000BE830000}"/>
    <cellStyle name="Normal 5 10 34 5 2" xfId="33742" xr:uid="{00000000-0005-0000-0000-0000BF830000}"/>
    <cellStyle name="Normal 5 10 34 5 3" xfId="33743" xr:uid="{00000000-0005-0000-0000-0000C0830000}"/>
    <cellStyle name="Normal 5 10 34 5 4" xfId="33744" xr:uid="{00000000-0005-0000-0000-0000C1830000}"/>
    <cellStyle name="Normal 5 10 34 5 5" xfId="33745" xr:uid="{00000000-0005-0000-0000-0000C2830000}"/>
    <cellStyle name="Normal 5 10 34 5 6" xfId="33746" xr:uid="{00000000-0005-0000-0000-0000C3830000}"/>
    <cellStyle name="Normal 5 10 34 5 7" xfId="33747" xr:uid="{00000000-0005-0000-0000-0000C4830000}"/>
    <cellStyle name="Normal 5 10 34 5 8" xfId="33748" xr:uid="{00000000-0005-0000-0000-0000C5830000}"/>
    <cellStyle name="Normal 5 10 34 5 9" xfId="33749" xr:uid="{00000000-0005-0000-0000-0000C6830000}"/>
    <cellStyle name="Normal 5 10 34 6" xfId="33750" xr:uid="{00000000-0005-0000-0000-0000C7830000}"/>
    <cellStyle name="Normal 5 10 34 7" xfId="33751" xr:uid="{00000000-0005-0000-0000-0000C8830000}"/>
    <cellStyle name="Normal 5 10 34 8" xfId="33752" xr:uid="{00000000-0005-0000-0000-0000C9830000}"/>
    <cellStyle name="Normal 5 10 34 9" xfId="33753" xr:uid="{00000000-0005-0000-0000-0000CA830000}"/>
    <cellStyle name="Normal 5 10 35" xfId="33754" xr:uid="{00000000-0005-0000-0000-0000CB830000}"/>
    <cellStyle name="Normal 5 10 35 10" xfId="33755" xr:uid="{00000000-0005-0000-0000-0000CC830000}"/>
    <cellStyle name="Normal 5 10 35 2" xfId="33756" xr:uid="{00000000-0005-0000-0000-0000CD830000}"/>
    <cellStyle name="Normal 5 10 35 3" xfId="33757" xr:uid="{00000000-0005-0000-0000-0000CE830000}"/>
    <cellStyle name="Normal 5 10 35 4" xfId="33758" xr:uid="{00000000-0005-0000-0000-0000CF830000}"/>
    <cellStyle name="Normal 5 10 35 5" xfId="33759" xr:uid="{00000000-0005-0000-0000-0000D0830000}"/>
    <cellStyle name="Normal 5 10 35 6" xfId="33760" xr:uid="{00000000-0005-0000-0000-0000D1830000}"/>
    <cellStyle name="Normal 5 10 35 7" xfId="33761" xr:uid="{00000000-0005-0000-0000-0000D2830000}"/>
    <cellStyle name="Normal 5 10 35 8" xfId="33762" xr:uid="{00000000-0005-0000-0000-0000D3830000}"/>
    <cellStyle name="Normal 5 10 35 9" xfId="33763" xr:uid="{00000000-0005-0000-0000-0000D4830000}"/>
    <cellStyle name="Normal 5 10 36" xfId="33764" xr:uid="{00000000-0005-0000-0000-0000D5830000}"/>
    <cellStyle name="Normal 5 10 36 10" xfId="33765" xr:uid="{00000000-0005-0000-0000-0000D6830000}"/>
    <cellStyle name="Normal 5 10 36 2" xfId="33766" xr:uid="{00000000-0005-0000-0000-0000D7830000}"/>
    <cellStyle name="Normal 5 10 36 3" xfId="33767" xr:uid="{00000000-0005-0000-0000-0000D8830000}"/>
    <cellStyle name="Normal 5 10 36 4" xfId="33768" xr:uid="{00000000-0005-0000-0000-0000D9830000}"/>
    <cellStyle name="Normal 5 10 36 5" xfId="33769" xr:uid="{00000000-0005-0000-0000-0000DA830000}"/>
    <cellStyle name="Normal 5 10 36 6" xfId="33770" xr:uid="{00000000-0005-0000-0000-0000DB830000}"/>
    <cellStyle name="Normal 5 10 36 7" xfId="33771" xr:uid="{00000000-0005-0000-0000-0000DC830000}"/>
    <cellStyle name="Normal 5 10 36 8" xfId="33772" xr:uid="{00000000-0005-0000-0000-0000DD830000}"/>
    <cellStyle name="Normal 5 10 36 9" xfId="33773" xr:uid="{00000000-0005-0000-0000-0000DE830000}"/>
    <cellStyle name="Normal 5 10 37" xfId="33774" xr:uid="{00000000-0005-0000-0000-0000DF830000}"/>
    <cellStyle name="Normal 5 10 37 10" xfId="33775" xr:uid="{00000000-0005-0000-0000-0000E0830000}"/>
    <cellStyle name="Normal 5 10 37 2" xfId="33776" xr:uid="{00000000-0005-0000-0000-0000E1830000}"/>
    <cellStyle name="Normal 5 10 37 3" xfId="33777" xr:uid="{00000000-0005-0000-0000-0000E2830000}"/>
    <cellStyle name="Normal 5 10 37 4" xfId="33778" xr:uid="{00000000-0005-0000-0000-0000E3830000}"/>
    <cellStyle name="Normal 5 10 37 5" xfId="33779" xr:uid="{00000000-0005-0000-0000-0000E4830000}"/>
    <cellStyle name="Normal 5 10 37 6" xfId="33780" xr:uid="{00000000-0005-0000-0000-0000E5830000}"/>
    <cellStyle name="Normal 5 10 37 7" xfId="33781" xr:uid="{00000000-0005-0000-0000-0000E6830000}"/>
    <cellStyle name="Normal 5 10 37 8" xfId="33782" xr:uid="{00000000-0005-0000-0000-0000E7830000}"/>
    <cellStyle name="Normal 5 10 37 9" xfId="33783" xr:uid="{00000000-0005-0000-0000-0000E8830000}"/>
    <cellStyle name="Normal 5 10 38" xfId="33784" xr:uid="{00000000-0005-0000-0000-0000E9830000}"/>
    <cellStyle name="Normal 5 10 38 10" xfId="33785" xr:uid="{00000000-0005-0000-0000-0000EA830000}"/>
    <cellStyle name="Normal 5 10 38 2" xfId="33786" xr:uid="{00000000-0005-0000-0000-0000EB830000}"/>
    <cellStyle name="Normal 5 10 38 3" xfId="33787" xr:uid="{00000000-0005-0000-0000-0000EC830000}"/>
    <cellStyle name="Normal 5 10 38 4" xfId="33788" xr:uid="{00000000-0005-0000-0000-0000ED830000}"/>
    <cellStyle name="Normal 5 10 38 5" xfId="33789" xr:uid="{00000000-0005-0000-0000-0000EE830000}"/>
    <cellStyle name="Normal 5 10 38 6" xfId="33790" xr:uid="{00000000-0005-0000-0000-0000EF830000}"/>
    <cellStyle name="Normal 5 10 38 7" xfId="33791" xr:uid="{00000000-0005-0000-0000-0000F0830000}"/>
    <cellStyle name="Normal 5 10 38 8" xfId="33792" xr:uid="{00000000-0005-0000-0000-0000F1830000}"/>
    <cellStyle name="Normal 5 10 38 9" xfId="33793" xr:uid="{00000000-0005-0000-0000-0000F2830000}"/>
    <cellStyle name="Normal 5 10 39" xfId="33794" xr:uid="{00000000-0005-0000-0000-0000F3830000}"/>
    <cellStyle name="Normal 5 10 4" xfId="33795" xr:uid="{00000000-0005-0000-0000-0000F4830000}"/>
    <cellStyle name="Normal 5 10 4 10" xfId="33796" xr:uid="{00000000-0005-0000-0000-0000F5830000}"/>
    <cellStyle name="Normal 5 10 4 11" xfId="33797" xr:uid="{00000000-0005-0000-0000-0000F6830000}"/>
    <cellStyle name="Normal 5 10 4 12" xfId="33798" xr:uid="{00000000-0005-0000-0000-0000F7830000}"/>
    <cellStyle name="Normal 5 10 4 13" xfId="33799" xr:uid="{00000000-0005-0000-0000-0000F8830000}"/>
    <cellStyle name="Normal 5 10 4 14" xfId="33800" xr:uid="{00000000-0005-0000-0000-0000F9830000}"/>
    <cellStyle name="Normal 5 10 4 2" xfId="33801" xr:uid="{00000000-0005-0000-0000-0000FA830000}"/>
    <cellStyle name="Normal 5 10 4 2 10" xfId="33802" xr:uid="{00000000-0005-0000-0000-0000FB830000}"/>
    <cellStyle name="Normal 5 10 4 2 2" xfId="33803" xr:uid="{00000000-0005-0000-0000-0000FC830000}"/>
    <cellStyle name="Normal 5 10 4 2 3" xfId="33804" xr:uid="{00000000-0005-0000-0000-0000FD830000}"/>
    <cellStyle name="Normal 5 10 4 2 4" xfId="33805" xr:uid="{00000000-0005-0000-0000-0000FE830000}"/>
    <cellStyle name="Normal 5 10 4 2 5" xfId="33806" xr:uid="{00000000-0005-0000-0000-0000FF830000}"/>
    <cellStyle name="Normal 5 10 4 2 6" xfId="33807" xr:uid="{00000000-0005-0000-0000-000000840000}"/>
    <cellStyle name="Normal 5 10 4 2 7" xfId="33808" xr:uid="{00000000-0005-0000-0000-000001840000}"/>
    <cellStyle name="Normal 5 10 4 2 8" xfId="33809" xr:uid="{00000000-0005-0000-0000-000002840000}"/>
    <cellStyle name="Normal 5 10 4 2 9" xfId="33810" xr:uid="{00000000-0005-0000-0000-000003840000}"/>
    <cellStyle name="Normal 5 10 4 3" xfId="33811" xr:uid="{00000000-0005-0000-0000-000004840000}"/>
    <cellStyle name="Normal 5 10 4 3 10" xfId="33812" xr:uid="{00000000-0005-0000-0000-000005840000}"/>
    <cellStyle name="Normal 5 10 4 3 2" xfId="33813" xr:uid="{00000000-0005-0000-0000-000006840000}"/>
    <cellStyle name="Normal 5 10 4 3 3" xfId="33814" xr:uid="{00000000-0005-0000-0000-000007840000}"/>
    <cellStyle name="Normal 5 10 4 3 4" xfId="33815" xr:uid="{00000000-0005-0000-0000-000008840000}"/>
    <cellStyle name="Normal 5 10 4 3 5" xfId="33816" xr:uid="{00000000-0005-0000-0000-000009840000}"/>
    <cellStyle name="Normal 5 10 4 3 6" xfId="33817" xr:uid="{00000000-0005-0000-0000-00000A840000}"/>
    <cellStyle name="Normal 5 10 4 3 7" xfId="33818" xr:uid="{00000000-0005-0000-0000-00000B840000}"/>
    <cellStyle name="Normal 5 10 4 3 8" xfId="33819" xr:uid="{00000000-0005-0000-0000-00000C840000}"/>
    <cellStyle name="Normal 5 10 4 3 9" xfId="33820" xr:uid="{00000000-0005-0000-0000-00000D840000}"/>
    <cellStyle name="Normal 5 10 4 4" xfId="33821" xr:uid="{00000000-0005-0000-0000-00000E840000}"/>
    <cellStyle name="Normal 5 10 4 4 10" xfId="33822" xr:uid="{00000000-0005-0000-0000-00000F840000}"/>
    <cellStyle name="Normal 5 10 4 4 2" xfId="33823" xr:uid="{00000000-0005-0000-0000-000010840000}"/>
    <cellStyle name="Normal 5 10 4 4 3" xfId="33824" xr:uid="{00000000-0005-0000-0000-000011840000}"/>
    <cellStyle name="Normal 5 10 4 4 4" xfId="33825" xr:uid="{00000000-0005-0000-0000-000012840000}"/>
    <cellStyle name="Normal 5 10 4 4 5" xfId="33826" xr:uid="{00000000-0005-0000-0000-000013840000}"/>
    <cellStyle name="Normal 5 10 4 4 6" xfId="33827" xr:uid="{00000000-0005-0000-0000-000014840000}"/>
    <cellStyle name="Normal 5 10 4 4 7" xfId="33828" xr:uid="{00000000-0005-0000-0000-000015840000}"/>
    <cellStyle name="Normal 5 10 4 4 8" xfId="33829" xr:uid="{00000000-0005-0000-0000-000016840000}"/>
    <cellStyle name="Normal 5 10 4 4 9" xfId="33830" xr:uid="{00000000-0005-0000-0000-000017840000}"/>
    <cellStyle name="Normal 5 10 4 5" xfId="33831" xr:uid="{00000000-0005-0000-0000-000018840000}"/>
    <cellStyle name="Normal 5 10 4 5 10" xfId="33832" xr:uid="{00000000-0005-0000-0000-000019840000}"/>
    <cellStyle name="Normal 5 10 4 5 2" xfId="33833" xr:uid="{00000000-0005-0000-0000-00001A840000}"/>
    <cellStyle name="Normal 5 10 4 5 3" xfId="33834" xr:uid="{00000000-0005-0000-0000-00001B840000}"/>
    <cellStyle name="Normal 5 10 4 5 4" xfId="33835" xr:uid="{00000000-0005-0000-0000-00001C840000}"/>
    <cellStyle name="Normal 5 10 4 5 5" xfId="33836" xr:uid="{00000000-0005-0000-0000-00001D840000}"/>
    <cellStyle name="Normal 5 10 4 5 6" xfId="33837" xr:uid="{00000000-0005-0000-0000-00001E840000}"/>
    <cellStyle name="Normal 5 10 4 5 7" xfId="33838" xr:uid="{00000000-0005-0000-0000-00001F840000}"/>
    <cellStyle name="Normal 5 10 4 5 8" xfId="33839" xr:uid="{00000000-0005-0000-0000-000020840000}"/>
    <cellStyle name="Normal 5 10 4 5 9" xfId="33840" xr:uid="{00000000-0005-0000-0000-000021840000}"/>
    <cellStyle name="Normal 5 10 4 6" xfId="33841" xr:uid="{00000000-0005-0000-0000-000022840000}"/>
    <cellStyle name="Normal 5 10 4 7" xfId="33842" xr:uid="{00000000-0005-0000-0000-000023840000}"/>
    <cellStyle name="Normal 5 10 4 8" xfId="33843" xr:uid="{00000000-0005-0000-0000-000024840000}"/>
    <cellStyle name="Normal 5 10 4 9" xfId="33844" xr:uid="{00000000-0005-0000-0000-000025840000}"/>
    <cellStyle name="Normal 5 10 40" xfId="33845" xr:uid="{00000000-0005-0000-0000-000026840000}"/>
    <cellStyle name="Normal 5 10 41" xfId="33846" xr:uid="{00000000-0005-0000-0000-000027840000}"/>
    <cellStyle name="Normal 5 10 42" xfId="33847" xr:uid="{00000000-0005-0000-0000-000028840000}"/>
    <cellStyle name="Normal 5 10 43" xfId="33848" xr:uid="{00000000-0005-0000-0000-000029840000}"/>
    <cellStyle name="Normal 5 10 44" xfId="33849" xr:uid="{00000000-0005-0000-0000-00002A840000}"/>
    <cellStyle name="Normal 5 10 45" xfId="33850" xr:uid="{00000000-0005-0000-0000-00002B840000}"/>
    <cellStyle name="Normal 5 10 46" xfId="33851" xr:uid="{00000000-0005-0000-0000-00002C840000}"/>
    <cellStyle name="Normal 5 10 47" xfId="33852" xr:uid="{00000000-0005-0000-0000-00002D840000}"/>
    <cellStyle name="Normal 5 10 48" xfId="33853" xr:uid="{00000000-0005-0000-0000-00002E840000}"/>
    <cellStyle name="Normal 5 10 49" xfId="33854" xr:uid="{00000000-0005-0000-0000-00002F840000}"/>
    <cellStyle name="Normal 5 10 5" xfId="33855" xr:uid="{00000000-0005-0000-0000-000030840000}"/>
    <cellStyle name="Normal 5 10 5 10" xfId="33856" xr:uid="{00000000-0005-0000-0000-000031840000}"/>
    <cellStyle name="Normal 5 10 5 11" xfId="33857" xr:uid="{00000000-0005-0000-0000-000032840000}"/>
    <cellStyle name="Normal 5 10 5 12" xfId="33858" xr:uid="{00000000-0005-0000-0000-000033840000}"/>
    <cellStyle name="Normal 5 10 5 13" xfId="33859" xr:uid="{00000000-0005-0000-0000-000034840000}"/>
    <cellStyle name="Normal 5 10 5 14" xfId="33860" xr:uid="{00000000-0005-0000-0000-000035840000}"/>
    <cellStyle name="Normal 5 10 5 2" xfId="33861" xr:uid="{00000000-0005-0000-0000-000036840000}"/>
    <cellStyle name="Normal 5 10 5 2 10" xfId="33862" xr:uid="{00000000-0005-0000-0000-000037840000}"/>
    <cellStyle name="Normal 5 10 5 2 2" xfId="33863" xr:uid="{00000000-0005-0000-0000-000038840000}"/>
    <cellStyle name="Normal 5 10 5 2 3" xfId="33864" xr:uid="{00000000-0005-0000-0000-000039840000}"/>
    <cellStyle name="Normal 5 10 5 2 4" xfId="33865" xr:uid="{00000000-0005-0000-0000-00003A840000}"/>
    <cellStyle name="Normal 5 10 5 2 5" xfId="33866" xr:uid="{00000000-0005-0000-0000-00003B840000}"/>
    <cellStyle name="Normal 5 10 5 2 6" xfId="33867" xr:uid="{00000000-0005-0000-0000-00003C840000}"/>
    <cellStyle name="Normal 5 10 5 2 7" xfId="33868" xr:uid="{00000000-0005-0000-0000-00003D840000}"/>
    <cellStyle name="Normal 5 10 5 2 8" xfId="33869" xr:uid="{00000000-0005-0000-0000-00003E840000}"/>
    <cellStyle name="Normal 5 10 5 2 9" xfId="33870" xr:uid="{00000000-0005-0000-0000-00003F840000}"/>
    <cellStyle name="Normal 5 10 5 3" xfId="33871" xr:uid="{00000000-0005-0000-0000-000040840000}"/>
    <cellStyle name="Normal 5 10 5 3 10" xfId="33872" xr:uid="{00000000-0005-0000-0000-000041840000}"/>
    <cellStyle name="Normal 5 10 5 3 2" xfId="33873" xr:uid="{00000000-0005-0000-0000-000042840000}"/>
    <cellStyle name="Normal 5 10 5 3 3" xfId="33874" xr:uid="{00000000-0005-0000-0000-000043840000}"/>
    <cellStyle name="Normal 5 10 5 3 4" xfId="33875" xr:uid="{00000000-0005-0000-0000-000044840000}"/>
    <cellStyle name="Normal 5 10 5 3 5" xfId="33876" xr:uid="{00000000-0005-0000-0000-000045840000}"/>
    <cellStyle name="Normal 5 10 5 3 6" xfId="33877" xr:uid="{00000000-0005-0000-0000-000046840000}"/>
    <cellStyle name="Normal 5 10 5 3 7" xfId="33878" xr:uid="{00000000-0005-0000-0000-000047840000}"/>
    <cellStyle name="Normal 5 10 5 3 8" xfId="33879" xr:uid="{00000000-0005-0000-0000-000048840000}"/>
    <cellStyle name="Normal 5 10 5 3 9" xfId="33880" xr:uid="{00000000-0005-0000-0000-000049840000}"/>
    <cellStyle name="Normal 5 10 5 4" xfId="33881" xr:uid="{00000000-0005-0000-0000-00004A840000}"/>
    <cellStyle name="Normal 5 10 5 4 10" xfId="33882" xr:uid="{00000000-0005-0000-0000-00004B840000}"/>
    <cellStyle name="Normal 5 10 5 4 2" xfId="33883" xr:uid="{00000000-0005-0000-0000-00004C840000}"/>
    <cellStyle name="Normal 5 10 5 4 3" xfId="33884" xr:uid="{00000000-0005-0000-0000-00004D840000}"/>
    <cellStyle name="Normal 5 10 5 4 4" xfId="33885" xr:uid="{00000000-0005-0000-0000-00004E840000}"/>
    <cellStyle name="Normal 5 10 5 4 5" xfId="33886" xr:uid="{00000000-0005-0000-0000-00004F840000}"/>
    <cellStyle name="Normal 5 10 5 4 6" xfId="33887" xr:uid="{00000000-0005-0000-0000-000050840000}"/>
    <cellStyle name="Normal 5 10 5 4 7" xfId="33888" xr:uid="{00000000-0005-0000-0000-000051840000}"/>
    <cellStyle name="Normal 5 10 5 4 8" xfId="33889" xr:uid="{00000000-0005-0000-0000-000052840000}"/>
    <cellStyle name="Normal 5 10 5 4 9" xfId="33890" xr:uid="{00000000-0005-0000-0000-000053840000}"/>
    <cellStyle name="Normal 5 10 5 5" xfId="33891" xr:uid="{00000000-0005-0000-0000-000054840000}"/>
    <cellStyle name="Normal 5 10 5 5 10" xfId="33892" xr:uid="{00000000-0005-0000-0000-000055840000}"/>
    <cellStyle name="Normal 5 10 5 5 2" xfId="33893" xr:uid="{00000000-0005-0000-0000-000056840000}"/>
    <cellStyle name="Normal 5 10 5 5 3" xfId="33894" xr:uid="{00000000-0005-0000-0000-000057840000}"/>
    <cellStyle name="Normal 5 10 5 5 4" xfId="33895" xr:uid="{00000000-0005-0000-0000-000058840000}"/>
    <cellStyle name="Normal 5 10 5 5 5" xfId="33896" xr:uid="{00000000-0005-0000-0000-000059840000}"/>
    <cellStyle name="Normal 5 10 5 5 6" xfId="33897" xr:uid="{00000000-0005-0000-0000-00005A840000}"/>
    <cellStyle name="Normal 5 10 5 5 7" xfId="33898" xr:uid="{00000000-0005-0000-0000-00005B840000}"/>
    <cellStyle name="Normal 5 10 5 5 8" xfId="33899" xr:uid="{00000000-0005-0000-0000-00005C840000}"/>
    <cellStyle name="Normal 5 10 5 5 9" xfId="33900" xr:uid="{00000000-0005-0000-0000-00005D840000}"/>
    <cellStyle name="Normal 5 10 5 6" xfId="33901" xr:uid="{00000000-0005-0000-0000-00005E840000}"/>
    <cellStyle name="Normal 5 10 5 7" xfId="33902" xr:uid="{00000000-0005-0000-0000-00005F840000}"/>
    <cellStyle name="Normal 5 10 5 8" xfId="33903" xr:uid="{00000000-0005-0000-0000-000060840000}"/>
    <cellStyle name="Normal 5 10 5 9" xfId="33904" xr:uid="{00000000-0005-0000-0000-000061840000}"/>
    <cellStyle name="Normal 5 10 50" xfId="30799" xr:uid="{00000000-0005-0000-0000-000062840000}"/>
    <cellStyle name="Normal 5 10 6" xfId="33905" xr:uid="{00000000-0005-0000-0000-000063840000}"/>
    <cellStyle name="Normal 5 10 6 10" xfId="33906" xr:uid="{00000000-0005-0000-0000-000064840000}"/>
    <cellStyle name="Normal 5 10 6 11" xfId="33907" xr:uid="{00000000-0005-0000-0000-000065840000}"/>
    <cellStyle name="Normal 5 10 6 12" xfId="33908" xr:uid="{00000000-0005-0000-0000-000066840000}"/>
    <cellStyle name="Normal 5 10 6 13" xfId="33909" xr:uid="{00000000-0005-0000-0000-000067840000}"/>
    <cellStyle name="Normal 5 10 6 14" xfId="33910" xr:uid="{00000000-0005-0000-0000-000068840000}"/>
    <cellStyle name="Normal 5 10 6 2" xfId="33911" xr:uid="{00000000-0005-0000-0000-000069840000}"/>
    <cellStyle name="Normal 5 10 6 2 10" xfId="33912" xr:uid="{00000000-0005-0000-0000-00006A840000}"/>
    <cellStyle name="Normal 5 10 6 2 2" xfId="33913" xr:uid="{00000000-0005-0000-0000-00006B840000}"/>
    <cellStyle name="Normal 5 10 6 2 3" xfId="33914" xr:uid="{00000000-0005-0000-0000-00006C840000}"/>
    <cellStyle name="Normal 5 10 6 2 4" xfId="33915" xr:uid="{00000000-0005-0000-0000-00006D840000}"/>
    <cellStyle name="Normal 5 10 6 2 5" xfId="33916" xr:uid="{00000000-0005-0000-0000-00006E840000}"/>
    <cellStyle name="Normal 5 10 6 2 6" xfId="33917" xr:uid="{00000000-0005-0000-0000-00006F840000}"/>
    <cellStyle name="Normal 5 10 6 2 7" xfId="33918" xr:uid="{00000000-0005-0000-0000-000070840000}"/>
    <cellStyle name="Normal 5 10 6 2 8" xfId="33919" xr:uid="{00000000-0005-0000-0000-000071840000}"/>
    <cellStyle name="Normal 5 10 6 2 9" xfId="33920" xr:uid="{00000000-0005-0000-0000-000072840000}"/>
    <cellStyle name="Normal 5 10 6 3" xfId="33921" xr:uid="{00000000-0005-0000-0000-000073840000}"/>
    <cellStyle name="Normal 5 10 6 3 10" xfId="33922" xr:uid="{00000000-0005-0000-0000-000074840000}"/>
    <cellStyle name="Normal 5 10 6 3 2" xfId="33923" xr:uid="{00000000-0005-0000-0000-000075840000}"/>
    <cellStyle name="Normal 5 10 6 3 3" xfId="33924" xr:uid="{00000000-0005-0000-0000-000076840000}"/>
    <cellStyle name="Normal 5 10 6 3 4" xfId="33925" xr:uid="{00000000-0005-0000-0000-000077840000}"/>
    <cellStyle name="Normal 5 10 6 3 5" xfId="33926" xr:uid="{00000000-0005-0000-0000-000078840000}"/>
    <cellStyle name="Normal 5 10 6 3 6" xfId="33927" xr:uid="{00000000-0005-0000-0000-000079840000}"/>
    <cellStyle name="Normal 5 10 6 3 7" xfId="33928" xr:uid="{00000000-0005-0000-0000-00007A840000}"/>
    <cellStyle name="Normal 5 10 6 3 8" xfId="33929" xr:uid="{00000000-0005-0000-0000-00007B840000}"/>
    <cellStyle name="Normal 5 10 6 3 9" xfId="33930" xr:uid="{00000000-0005-0000-0000-00007C840000}"/>
    <cellStyle name="Normal 5 10 6 4" xfId="33931" xr:uid="{00000000-0005-0000-0000-00007D840000}"/>
    <cellStyle name="Normal 5 10 6 4 10" xfId="33932" xr:uid="{00000000-0005-0000-0000-00007E840000}"/>
    <cellStyle name="Normal 5 10 6 4 2" xfId="33933" xr:uid="{00000000-0005-0000-0000-00007F840000}"/>
    <cellStyle name="Normal 5 10 6 4 3" xfId="33934" xr:uid="{00000000-0005-0000-0000-000080840000}"/>
    <cellStyle name="Normal 5 10 6 4 4" xfId="33935" xr:uid="{00000000-0005-0000-0000-000081840000}"/>
    <cellStyle name="Normal 5 10 6 4 5" xfId="33936" xr:uid="{00000000-0005-0000-0000-000082840000}"/>
    <cellStyle name="Normal 5 10 6 4 6" xfId="33937" xr:uid="{00000000-0005-0000-0000-000083840000}"/>
    <cellStyle name="Normal 5 10 6 4 7" xfId="33938" xr:uid="{00000000-0005-0000-0000-000084840000}"/>
    <cellStyle name="Normal 5 10 6 4 8" xfId="33939" xr:uid="{00000000-0005-0000-0000-000085840000}"/>
    <cellStyle name="Normal 5 10 6 4 9" xfId="33940" xr:uid="{00000000-0005-0000-0000-000086840000}"/>
    <cellStyle name="Normal 5 10 6 5" xfId="33941" xr:uid="{00000000-0005-0000-0000-000087840000}"/>
    <cellStyle name="Normal 5 10 6 5 10" xfId="33942" xr:uid="{00000000-0005-0000-0000-000088840000}"/>
    <cellStyle name="Normal 5 10 6 5 2" xfId="33943" xr:uid="{00000000-0005-0000-0000-000089840000}"/>
    <cellStyle name="Normal 5 10 6 5 3" xfId="33944" xr:uid="{00000000-0005-0000-0000-00008A840000}"/>
    <cellStyle name="Normal 5 10 6 5 4" xfId="33945" xr:uid="{00000000-0005-0000-0000-00008B840000}"/>
    <cellStyle name="Normal 5 10 6 5 5" xfId="33946" xr:uid="{00000000-0005-0000-0000-00008C840000}"/>
    <cellStyle name="Normal 5 10 6 5 6" xfId="33947" xr:uid="{00000000-0005-0000-0000-00008D840000}"/>
    <cellStyle name="Normal 5 10 6 5 7" xfId="33948" xr:uid="{00000000-0005-0000-0000-00008E840000}"/>
    <cellStyle name="Normal 5 10 6 5 8" xfId="33949" xr:uid="{00000000-0005-0000-0000-00008F840000}"/>
    <cellStyle name="Normal 5 10 6 5 9" xfId="33950" xr:uid="{00000000-0005-0000-0000-000090840000}"/>
    <cellStyle name="Normal 5 10 6 6" xfId="33951" xr:uid="{00000000-0005-0000-0000-000091840000}"/>
    <cellStyle name="Normal 5 10 6 7" xfId="33952" xr:uid="{00000000-0005-0000-0000-000092840000}"/>
    <cellStyle name="Normal 5 10 6 8" xfId="33953" xr:uid="{00000000-0005-0000-0000-000093840000}"/>
    <cellStyle name="Normal 5 10 6 9" xfId="33954" xr:uid="{00000000-0005-0000-0000-000094840000}"/>
    <cellStyle name="Normal 5 10 7" xfId="33955" xr:uid="{00000000-0005-0000-0000-000095840000}"/>
    <cellStyle name="Normal 5 10 7 10" xfId="33956" xr:uid="{00000000-0005-0000-0000-000096840000}"/>
    <cellStyle name="Normal 5 10 7 11" xfId="33957" xr:uid="{00000000-0005-0000-0000-000097840000}"/>
    <cellStyle name="Normal 5 10 7 12" xfId="33958" xr:uid="{00000000-0005-0000-0000-000098840000}"/>
    <cellStyle name="Normal 5 10 7 13" xfId="33959" xr:uid="{00000000-0005-0000-0000-000099840000}"/>
    <cellStyle name="Normal 5 10 7 14" xfId="33960" xr:uid="{00000000-0005-0000-0000-00009A840000}"/>
    <cellStyle name="Normal 5 10 7 2" xfId="33961" xr:uid="{00000000-0005-0000-0000-00009B840000}"/>
    <cellStyle name="Normal 5 10 7 2 10" xfId="33962" xr:uid="{00000000-0005-0000-0000-00009C840000}"/>
    <cellStyle name="Normal 5 10 7 2 2" xfId="33963" xr:uid="{00000000-0005-0000-0000-00009D840000}"/>
    <cellStyle name="Normal 5 10 7 2 3" xfId="33964" xr:uid="{00000000-0005-0000-0000-00009E840000}"/>
    <cellStyle name="Normal 5 10 7 2 4" xfId="33965" xr:uid="{00000000-0005-0000-0000-00009F840000}"/>
    <cellStyle name="Normal 5 10 7 2 5" xfId="33966" xr:uid="{00000000-0005-0000-0000-0000A0840000}"/>
    <cellStyle name="Normal 5 10 7 2 6" xfId="33967" xr:uid="{00000000-0005-0000-0000-0000A1840000}"/>
    <cellStyle name="Normal 5 10 7 2 7" xfId="33968" xr:uid="{00000000-0005-0000-0000-0000A2840000}"/>
    <cellStyle name="Normal 5 10 7 2 8" xfId="33969" xr:uid="{00000000-0005-0000-0000-0000A3840000}"/>
    <cellStyle name="Normal 5 10 7 2 9" xfId="33970" xr:uid="{00000000-0005-0000-0000-0000A4840000}"/>
    <cellStyle name="Normal 5 10 7 3" xfId="33971" xr:uid="{00000000-0005-0000-0000-0000A5840000}"/>
    <cellStyle name="Normal 5 10 7 3 10" xfId="33972" xr:uid="{00000000-0005-0000-0000-0000A6840000}"/>
    <cellStyle name="Normal 5 10 7 3 2" xfId="33973" xr:uid="{00000000-0005-0000-0000-0000A7840000}"/>
    <cellStyle name="Normal 5 10 7 3 3" xfId="33974" xr:uid="{00000000-0005-0000-0000-0000A8840000}"/>
    <cellStyle name="Normal 5 10 7 3 4" xfId="33975" xr:uid="{00000000-0005-0000-0000-0000A9840000}"/>
    <cellStyle name="Normal 5 10 7 3 5" xfId="33976" xr:uid="{00000000-0005-0000-0000-0000AA840000}"/>
    <cellStyle name="Normal 5 10 7 3 6" xfId="33977" xr:uid="{00000000-0005-0000-0000-0000AB840000}"/>
    <cellStyle name="Normal 5 10 7 3 7" xfId="33978" xr:uid="{00000000-0005-0000-0000-0000AC840000}"/>
    <cellStyle name="Normal 5 10 7 3 8" xfId="33979" xr:uid="{00000000-0005-0000-0000-0000AD840000}"/>
    <cellStyle name="Normal 5 10 7 3 9" xfId="33980" xr:uid="{00000000-0005-0000-0000-0000AE840000}"/>
    <cellStyle name="Normal 5 10 7 4" xfId="33981" xr:uid="{00000000-0005-0000-0000-0000AF840000}"/>
    <cellStyle name="Normal 5 10 7 4 10" xfId="33982" xr:uid="{00000000-0005-0000-0000-0000B0840000}"/>
    <cellStyle name="Normal 5 10 7 4 2" xfId="33983" xr:uid="{00000000-0005-0000-0000-0000B1840000}"/>
    <cellStyle name="Normal 5 10 7 4 3" xfId="33984" xr:uid="{00000000-0005-0000-0000-0000B2840000}"/>
    <cellStyle name="Normal 5 10 7 4 4" xfId="33985" xr:uid="{00000000-0005-0000-0000-0000B3840000}"/>
    <cellStyle name="Normal 5 10 7 4 5" xfId="33986" xr:uid="{00000000-0005-0000-0000-0000B4840000}"/>
    <cellStyle name="Normal 5 10 7 4 6" xfId="33987" xr:uid="{00000000-0005-0000-0000-0000B5840000}"/>
    <cellStyle name="Normal 5 10 7 4 7" xfId="33988" xr:uid="{00000000-0005-0000-0000-0000B6840000}"/>
    <cellStyle name="Normal 5 10 7 4 8" xfId="33989" xr:uid="{00000000-0005-0000-0000-0000B7840000}"/>
    <cellStyle name="Normal 5 10 7 4 9" xfId="33990" xr:uid="{00000000-0005-0000-0000-0000B8840000}"/>
    <cellStyle name="Normal 5 10 7 5" xfId="33991" xr:uid="{00000000-0005-0000-0000-0000B9840000}"/>
    <cellStyle name="Normal 5 10 7 5 10" xfId="33992" xr:uid="{00000000-0005-0000-0000-0000BA840000}"/>
    <cellStyle name="Normal 5 10 7 5 2" xfId="33993" xr:uid="{00000000-0005-0000-0000-0000BB840000}"/>
    <cellStyle name="Normal 5 10 7 5 3" xfId="33994" xr:uid="{00000000-0005-0000-0000-0000BC840000}"/>
    <cellStyle name="Normal 5 10 7 5 4" xfId="33995" xr:uid="{00000000-0005-0000-0000-0000BD840000}"/>
    <cellStyle name="Normal 5 10 7 5 5" xfId="33996" xr:uid="{00000000-0005-0000-0000-0000BE840000}"/>
    <cellStyle name="Normal 5 10 7 5 6" xfId="33997" xr:uid="{00000000-0005-0000-0000-0000BF840000}"/>
    <cellStyle name="Normal 5 10 7 5 7" xfId="33998" xr:uid="{00000000-0005-0000-0000-0000C0840000}"/>
    <cellStyle name="Normal 5 10 7 5 8" xfId="33999" xr:uid="{00000000-0005-0000-0000-0000C1840000}"/>
    <cellStyle name="Normal 5 10 7 5 9" xfId="34000" xr:uid="{00000000-0005-0000-0000-0000C2840000}"/>
    <cellStyle name="Normal 5 10 7 6" xfId="34001" xr:uid="{00000000-0005-0000-0000-0000C3840000}"/>
    <cellStyle name="Normal 5 10 7 7" xfId="34002" xr:uid="{00000000-0005-0000-0000-0000C4840000}"/>
    <cellStyle name="Normal 5 10 7 8" xfId="34003" xr:uid="{00000000-0005-0000-0000-0000C5840000}"/>
    <cellStyle name="Normal 5 10 7 9" xfId="34004" xr:uid="{00000000-0005-0000-0000-0000C6840000}"/>
    <cellStyle name="Normal 5 10 8" xfId="34005" xr:uid="{00000000-0005-0000-0000-0000C7840000}"/>
    <cellStyle name="Normal 5 10 8 10" xfId="34006" xr:uid="{00000000-0005-0000-0000-0000C8840000}"/>
    <cellStyle name="Normal 5 10 8 11" xfId="34007" xr:uid="{00000000-0005-0000-0000-0000C9840000}"/>
    <cellStyle name="Normal 5 10 8 12" xfId="34008" xr:uid="{00000000-0005-0000-0000-0000CA840000}"/>
    <cellStyle name="Normal 5 10 8 13" xfId="34009" xr:uid="{00000000-0005-0000-0000-0000CB840000}"/>
    <cellStyle name="Normal 5 10 8 14" xfId="34010" xr:uid="{00000000-0005-0000-0000-0000CC840000}"/>
    <cellStyle name="Normal 5 10 8 2" xfId="34011" xr:uid="{00000000-0005-0000-0000-0000CD840000}"/>
    <cellStyle name="Normal 5 10 8 2 10" xfId="34012" xr:uid="{00000000-0005-0000-0000-0000CE840000}"/>
    <cellStyle name="Normal 5 10 8 2 2" xfId="34013" xr:uid="{00000000-0005-0000-0000-0000CF840000}"/>
    <cellStyle name="Normal 5 10 8 2 3" xfId="34014" xr:uid="{00000000-0005-0000-0000-0000D0840000}"/>
    <cellStyle name="Normal 5 10 8 2 4" xfId="34015" xr:uid="{00000000-0005-0000-0000-0000D1840000}"/>
    <cellStyle name="Normal 5 10 8 2 5" xfId="34016" xr:uid="{00000000-0005-0000-0000-0000D2840000}"/>
    <cellStyle name="Normal 5 10 8 2 6" xfId="34017" xr:uid="{00000000-0005-0000-0000-0000D3840000}"/>
    <cellStyle name="Normal 5 10 8 2 7" xfId="34018" xr:uid="{00000000-0005-0000-0000-0000D4840000}"/>
    <cellStyle name="Normal 5 10 8 2 8" xfId="34019" xr:uid="{00000000-0005-0000-0000-0000D5840000}"/>
    <cellStyle name="Normal 5 10 8 2 9" xfId="34020" xr:uid="{00000000-0005-0000-0000-0000D6840000}"/>
    <cellStyle name="Normal 5 10 8 3" xfId="34021" xr:uid="{00000000-0005-0000-0000-0000D7840000}"/>
    <cellStyle name="Normal 5 10 8 3 10" xfId="34022" xr:uid="{00000000-0005-0000-0000-0000D8840000}"/>
    <cellStyle name="Normal 5 10 8 3 2" xfId="34023" xr:uid="{00000000-0005-0000-0000-0000D9840000}"/>
    <cellStyle name="Normal 5 10 8 3 3" xfId="34024" xr:uid="{00000000-0005-0000-0000-0000DA840000}"/>
    <cellStyle name="Normal 5 10 8 3 4" xfId="34025" xr:uid="{00000000-0005-0000-0000-0000DB840000}"/>
    <cellStyle name="Normal 5 10 8 3 5" xfId="34026" xr:uid="{00000000-0005-0000-0000-0000DC840000}"/>
    <cellStyle name="Normal 5 10 8 3 6" xfId="34027" xr:uid="{00000000-0005-0000-0000-0000DD840000}"/>
    <cellStyle name="Normal 5 10 8 3 7" xfId="34028" xr:uid="{00000000-0005-0000-0000-0000DE840000}"/>
    <cellStyle name="Normal 5 10 8 3 8" xfId="34029" xr:uid="{00000000-0005-0000-0000-0000DF840000}"/>
    <cellStyle name="Normal 5 10 8 3 9" xfId="34030" xr:uid="{00000000-0005-0000-0000-0000E0840000}"/>
    <cellStyle name="Normal 5 10 8 4" xfId="34031" xr:uid="{00000000-0005-0000-0000-0000E1840000}"/>
    <cellStyle name="Normal 5 10 8 4 10" xfId="34032" xr:uid="{00000000-0005-0000-0000-0000E2840000}"/>
    <cellStyle name="Normal 5 10 8 4 2" xfId="34033" xr:uid="{00000000-0005-0000-0000-0000E3840000}"/>
    <cellStyle name="Normal 5 10 8 4 3" xfId="34034" xr:uid="{00000000-0005-0000-0000-0000E4840000}"/>
    <cellStyle name="Normal 5 10 8 4 4" xfId="34035" xr:uid="{00000000-0005-0000-0000-0000E5840000}"/>
    <cellStyle name="Normal 5 10 8 4 5" xfId="34036" xr:uid="{00000000-0005-0000-0000-0000E6840000}"/>
    <cellStyle name="Normal 5 10 8 4 6" xfId="34037" xr:uid="{00000000-0005-0000-0000-0000E7840000}"/>
    <cellStyle name="Normal 5 10 8 4 7" xfId="34038" xr:uid="{00000000-0005-0000-0000-0000E8840000}"/>
    <cellStyle name="Normal 5 10 8 4 8" xfId="34039" xr:uid="{00000000-0005-0000-0000-0000E9840000}"/>
    <cellStyle name="Normal 5 10 8 4 9" xfId="34040" xr:uid="{00000000-0005-0000-0000-0000EA840000}"/>
    <cellStyle name="Normal 5 10 8 5" xfId="34041" xr:uid="{00000000-0005-0000-0000-0000EB840000}"/>
    <cellStyle name="Normal 5 10 8 5 10" xfId="34042" xr:uid="{00000000-0005-0000-0000-0000EC840000}"/>
    <cellStyle name="Normal 5 10 8 5 2" xfId="34043" xr:uid="{00000000-0005-0000-0000-0000ED840000}"/>
    <cellStyle name="Normal 5 10 8 5 3" xfId="34044" xr:uid="{00000000-0005-0000-0000-0000EE840000}"/>
    <cellStyle name="Normal 5 10 8 5 4" xfId="34045" xr:uid="{00000000-0005-0000-0000-0000EF840000}"/>
    <cellStyle name="Normal 5 10 8 5 5" xfId="34046" xr:uid="{00000000-0005-0000-0000-0000F0840000}"/>
    <cellStyle name="Normal 5 10 8 5 6" xfId="34047" xr:uid="{00000000-0005-0000-0000-0000F1840000}"/>
    <cellStyle name="Normal 5 10 8 5 7" xfId="34048" xr:uid="{00000000-0005-0000-0000-0000F2840000}"/>
    <cellStyle name="Normal 5 10 8 5 8" xfId="34049" xr:uid="{00000000-0005-0000-0000-0000F3840000}"/>
    <cellStyle name="Normal 5 10 8 5 9" xfId="34050" xr:uid="{00000000-0005-0000-0000-0000F4840000}"/>
    <cellStyle name="Normal 5 10 8 6" xfId="34051" xr:uid="{00000000-0005-0000-0000-0000F5840000}"/>
    <cellStyle name="Normal 5 10 8 7" xfId="34052" xr:uid="{00000000-0005-0000-0000-0000F6840000}"/>
    <cellStyle name="Normal 5 10 8 8" xfId="34053" xr:uid="{00000000-0005-0000-0000-0000F7840000}"/>
    <cellStyle name="Normal 5 10 8 9" xfId="34054" xr:uid="{00000000-0005-0000-0000-0000F8840000}"/>
    <cellStyle name="Normal 5 10 9" xfId="34055" xr:uid="{00000000-0005-0000-0000-0000F9840000}"/>
    <cellStyle name="Normal 5 10 9 10" xfId="34056" xr:uid="{00000000-0005-0000-0000-0000FA840000}"/>
    <cellStyle name="Normal 5 10 9 11" xfId="34057" xr:uid="{00000000-0005-0000-0000-0000FB840000}"/>
    <cellStyle name="Normal 5 10 9 12" xfId="34058" xr:uid="{00000000-0005-0000-0000-0000FC840000}"/>
    <cellStyle name="Normal 5 10 9 13" xfId="34059" xr:uid="{00000000-0005-0000-0000-0000FD840000}"/>
    <cellStyle name="Normal 5 10 9 14" xfId="34060" xr:uid="{00000000-0005-0000-0000-0000FE840000}"/>
    <cellStyle name="Normal 5 10 9 2" xfId="34061" xr:uid="{00000000-0005-0000-0000-0000FF840000}"/>
    <cellStyle name="Normal 5 10 9 2 10" xfId="34062" xr:uid="{00000000-0005-0000-0000-000000850000}"/>
    <cellStyle name="Normal 5 10 9 2 2" xfId="34063" xr:uid="{00000000-0005-0000-0000-000001850000}"/>
    <cellStyle name="Normal 5 10 9 2 3" xfId="34064" xr:uid="{00000000-0005-0000-0000-000002850000}"/>
    <cellStyle name="Normal 5 10 9 2 4" xfId="34065" xr:uid="{00000000-0005-0000-0000-000003850000}"/>
    <cellStyle name="Normal 5 10 9 2 5" xfId="34066" xr:uid="{00000000-0005-0000-0000-000004850000}"/>
    <cellStyle name="Normal 5 10 9 2 6" xfId="34067" xr:uid="{00000000-0005-0000-0000-000005850000}"/>
    <cellStyle name="Normal 5 10 9 2 7" xfId="34068" xr:uid="{00000000-0005-0000-0000-000006850000}"/>
    <cellStyle name="Normal 5 10 9 2 8" xfId="34069" xr:uid="{00000000-0005-0000-0000-000007850000}"/>
    <cellStyle name="Normal 5 10 9 2 9" xfId="34070" xr:uid="{00000000-0005-0000-0000-000008850000}"/>
    <cellStyle name="Normal 5 10 9 3" xfId="34071" xr:uid="{00000000-0005-0000-0000-000009850000}"/>
    <cellStyle name="Normal 5 10 9 3 10" xfId="34072" xr:uid="{00000000-0005-0000-0000-00000A850000}"/>
    <cellStyle name="Normal 5 10 9 3 2" xfId="34073" xr:uid="{00000000-0005-0000-0000-00000B850000}"/>
    <cellStyle name="Normal 5 10 9 3 3" xfId="34074" xr:uid="{00000000-0005-0000-0000-00000C850000}"/>
    <cellStyle name="Normal 5 10 9 3 4" xfId="34075" xr:uid="{00000000-0005-0000-0000-00000D850000}"/>
    <cellStyle name="Normal 5 10 9 3 5" xfId="34076" xr:uid="{00000000-0005-0000-0000-00000E850000}"/>
    <cellStyle name="Normal 5 10 9 3 6" xfId="34077" xr:uid="{00000000-0005-0000-0000-00000F850000}"/>
    <cellStyle name="Normal 5 10 9 3 7" xfId="34078" xr:uid="{00000000-0005-0000-0000-000010850000}"/>
    <cellStyle name="Normal 5 10 9 3 8" xfId="34079" xr:uid="{00000000-0005-0000-0000-000011850000}"/>
    <cellStyle name="Normal 5 10 9 3 9" xfId="34080" xr:uid="{00000000-0005-0000-0000-000012850000}"/>
    <cellStyle name="Normal 5 10 9 4" xfId="34081" xr:uid="{00000000-0005-0000-0000-000013850000}"/>
    <cellStyle name="Normal 5 10 9 4 10" xfId="34082" xr:uid="{00000000-0005-0000-0000-000014850000}"/>
    <cellStyle name="Normal 5 10 9 4 2" xfId="34083" xr:uid="{00000000-0005-0000-0000-000015850000}"/>
    <cellStyle name="Normal 5 10 9 4 3" xfId="34084" xr:uid="{00000000-0005-0000-0000-000016850000}"/>
    <cellStyle name="Normal 5 10 9 4 4" xfId="34085" xr:uid="{00000000-0005-0000-0000-000017850000}"/>
    <cellStyle name="Normal 5 10 9 4 5" xfId="34086" xr:uid="{00000000-0005-0000-0000-000018850000}"/>
    <cellStyle name="Normal 5 10 9 4 6" xfId="34087" xr:uid="{00000000-0005-0000-0000-000019850000}"/>
    <cellStyle name="Normal 5 10 9 4 7" xfId="34088" xr:uid="{00000000-0005-0000-0000-00001A850000}"/>
    <cellStyle name="Normal 5 10 9 4 8" xfId="34089" xr:uid="{00000000-0005-0000-0000-00001B850000}"/>
    <cellStyle name="Normal 5 10 9 4 9" xfId="34090" xr:uid="{00000000-0005-0000-0000-00001C850000}"/>
    <cellStyle name="Normal 5 10 9 5" xfId="34091" xr:uid="{00000000-0005-0000-0000-00001D850000}"/>
    <cellStyle name="Normal 5 10 9 5 10" xfId="34092" xr:uid="{00000000-0005-0000-0000-00001E850000}"/>
    <cellStyle name="Normal 5 10 9 5 2" xfId="34093" xr:uid="{00000000-0005-0000-0000-00001F850000}"/>
    <cellStyle name="Normal 5 10 9 5 3" xfId="34094" xr:uid="{00000000-0005-0000-0000-000020850000}"/>
    <cellStyle name="Normal 5 10 9 5 4" xfId="34095" xr:uid="{00000000-0005-0000-0000-000021850000}"/>
    <cellStyle name="Normal 5 10 9 5 5" xfId="34096" xr:uid="{00000000-0005-0000-0000-000022850000}"/>
    <cellStyle name="Normal 5 10 9 5 6" xfId="34097" xr:uid="{00000000-0005-0000-0000-000023850000}"/>
    <cellStyle name="Normal 5 10 9 5 7" xfId="34098" xr:uid="{00000000-0005-0000-0000-000024850000}"/>
    <cellStyle name="Normal 5 10 9 5 8" xfId="34099" xr:uid="{00000000-0005-0000-0000-000025850000}"/>
    <cellStyle name="Normal 5 10 9 5 9" xfId="34100" xr:uid="{00000000-0005-0000-0000-000026850000}"/>
    <cellStyle name="Normal 5 10 9 6" xfId="34101" xr:uid="{00000000-0005-0000-0000-000027850000}"/>
    <cellStyle name="Normal 5 10 9 7" xfId="34102" xr:uid="{00000000-0005-0000-0000-000028850000}"/>
    <cellStyle name="Normal 5 10 9 8" xfId="34103" xr:uid="{00000000-0005-0000-0000-000029850000}"/>
    <cellStyle name="Normal 5 10 9 9" xfId="34104" xr:uid="{00000000-0005-0000-0000-00002A850000}"/>
    <cellStyle name="Normal 5 11" xfId="34105" xr:uid="{00000000-0005-0000-0000-00002B850000}"/>
    <cellStyle name="Normal 5 11 2" xfId="34106" xr:uid="{00000000-0005-0000-0000-00002C850000}"/>
    <cellStyle name="Normal 5 11 2 2" xfId="34107" xr:uid="{00000000-0005-0000-0000-00002D850000}"/>
    <cellStyle name="Normal 5 11 3" xfId="34108" xr:uid="{00000000-0005-0000-0000-00002E850000}"/>
    <cellStyle name="Normal 5 11 4" xfId="34109" xr:uid="{00000000-0005-0000-0000-00002F850000}"/>
    <cellStyle name="Normal 5 12" xfId="34110" xr:uid="{00000000-0005-0000-0000-000030850000}"/>
    <cellStyle name="Normal 5 12 2" xfId="34111" xr:uid="{00000000-0005-0000-0000-000031850000}"/>
    <cellStyle name="Normal 5 12 2 2" xfId="34112" xr:uid="{00000000-0005-0000-0000-000032850000}"/>
    <cellStyle name="Normal 5 12 3" xfId="34113" xr:uid="{00000000-0005-0000-0000-000033850000}"/>
    <cellStyle name="Normal 5 12 4" xfId="34114" xr:uid="{00000000-0005-0000-0000-000034850000}"/>
    <cellStyle name="Normal 5 13" xfId="34115" xr:uid="{00000000-0005-0000-0000-000035850000}"/>
    <cellStyle name="Normal 5 13 2" xfId="34116" xr:uid="{00000000-0005-0000-0000-000036850000}"/>
    <cellStyle name="Normal 5 13 2 2" xfId="34117" xr:uid="{00000000-0005-0000-0000-000037850000}"/>
    <cellStyle name="Normal 5 13 3" xfId="34118" xr:uid="{00000000-0005-0000-0000-000038850000}"/>
    <cellStyle name="Normal 5 13 4" xfId="34119" xr:uid="{00000000-0005-0000-0000-000039850000}"/>
    <cellStyle name="Normal 5 14" xfId="34120" xr:uid="{00000000-0005-0000-0000-00003A850000}"/>
    <cellStyle name="Normal 5 14 2" xfId="34121" xr:uid="{00000000-0005-0000-0000-00003B850000}"/>
    <cellStyle name="Normal 5 14 2 2" xfId="34122" xr:uid="{00000000-0005-0000-0000-00003C850000}"/>
    <cellStyle name="Normal 5 14 3" xfId="34123" xr:uid="{00000000-0005-0000-0000-00003D850000}"/>
    <cellStyle name="Normal 5 14 4" xfId="34124" xr:uid="{00000000-0005-0000-0000-00003E850000}"/>
    <cellStyle name="Normal 5 15" xfId="34125" xr:uid="{00000000-0005-0000-0000-00003F850000}"/>
    <cellStyle name="Normal 5 15 2" xfId="34126" xr:uid="{00000000-0005-0000-0000-000040850000}"/>
    <cellStyle name="Normal 5 15 2 2" xfId="34127" xr:uid="{00000000-0005-0000-0000-000041850000}"/>
    <cellStyle name="Normal 5 15 3" xfId="34128" xr:uid="{00000000-0005-0000-0000-000042850000}"/>
    <cellStyle name="Normal 5 15 4" xfId="34129" xr:uid="{00000000-0005-0000-0000-000043850000}"/>
    <cellStyle name="Normal 5 16" xfId="34130" xr:uid="{00000000-0005-0000-0000-000044850000}"/>
    <cellStyle name="Normal 5 16 2" xfId="34131" xr:uid="{00000000-0005-0000-0000-000045850000}"/>
    <cellStyle name="Normal 5 16 2 2" xfId="34132" xr:uid="{00000000-0005-0000-0000-000046850000}"/>
    <cellStyle name="Normal 5 16 3" xfId="34133" xr:uid="{00000000-0005-0000-0000-000047850000}"/>
    <cellStyle name="Normal 5 16 4" xfId="34134" xr:uid="{00000000-0005-0000-0000-000048850000}"/>
    <cellStyle name="Normal 5 17" xfId="34135" xr:uid="{00000000-0005-0000-0000-000049850000}"/>
    <cellStyle name="Normal 5 17 10" xfId="34136" xr:uid="{00000000-0005-0000-0000-00004A850000}"/>
    <cellStyle name="Normal 5 17 10 10" xfId="34137" xr:uid="{00000000-0005-0000-0000-00004B850000}"/>
    <cellStyle name="Normal 5 17 10 11" xfId="34138" xr:uid="{00000000-0005-0000-0000-00004C850000}"/>
    <cellStyle name="Normal 5 17 10 12" xfId="34139" xr:uid="{00000000-0005-0000-0000-00004D850000}"/>
    <cellStyle name="Normal 5 17 10 13" xfId="34140" xr:uid="{00000000-0005-0000-0000-00004E850000}"/>
    <cellStyle name="Normal 5 17 10 14" xfId="34141" xr:uid="{00000000-0005-0000-0000-00004F850000}"/>
    <cellStyle name="Normal 5 17 10 2" xfId="34142" xr:uid="{00000000-0005-0000-0000-000050850000}"/>
    <cellStyle name="Normal 5 17 10 2 10" xfId="34143" xr:uid="{00000000-0005-0000-0000-000051850000}"/>
    <cellStyle name="Normal 5 17 10 2 2" xfId="34144" xr:uid="{00000000-0005-0000-0000-000052850000}"/>
    <cellStyle name="Normal 5 17 10 2 3" xfId="34145" xr:uid="{00000000-0005-0000-0000-000053850000}"/>
    <cellStyle name="Normal 5 17 10 2 4" xfId="34146" xr:uid="{00000000-0005-0000-0000-000054850000}"/>
    <cellStyle name="Normal 5 17 10 2 5" xfId="34147" xr:uid="{00000000-0005-0000-0000-000055850000}"/>
    <cellStyle name="Normal 5 17 10 2 6" xfId="34148" xr:uid="{00000000-0005-0000-0000-000056850000}"/>
    <cellStyle name="Normal 5 17 10 2 7" xfId="34149" xr:uid="{00000000-0005-0000-0000-000057850000}"/>
    <cellStyle name="Normal 5 17 10 2 8" xfId="34150" xr:uid="{00000000-0005-0000-0000-000058850000}"/>
    <cellStyle name="Normal 5 17 10 2 9" xfId="34151" xr:uid="{00000000-0005-0000-0000-000059850000}"/>
    <cellStyle name="Normal 5 17 10 3" xfId="34152" xr:uid="{00000000-0005-0000-0000-00005A850000}"/>
    <cellStyle name="Normal 5 17 10 3 10" xfId="34153" xr:uid="{00000000-0005-0000-0000-00005B850000}"/>
    <cellStyle name="Normal 5 17 10 3 2" xfId="34154" xr:uid="{00000000-0005-0000-0000-00005C850000}"/>
    <cellStyle name="Normal 5 17 10 3 3" xfId="34155" xr:uid="{00000000-0005-0000-0000-00005D850000}"/>
    <cellStyle name="Normal 5 17 10 3 4" xfId="34156" xr:uid="{00000000-0005-0000-0000-00005E850000}"/>
    <cellStyle name="Normal 5 17 10 3 5" xfId="34157" xr:uid="{00000000-0005-0000-0000-00005F850000}"/>
    <cellStyle name="Normal 5 17 10 3 6" xfId="34158" xr:uid="{00000000-0005-0000-0000-000060850000}"/>
    <cellStyle name="Normal 5 17 10 3 7" xfId="34159" xr:uid="{00000000-0005-0000-0000-000061850000}"/>
    <cellStyle name="Normal 5 17 10 3 8" xfId="34160" xr:uid="{00000000-0005-0000-0000-000062850000}"/>
    <cellStyle name="Normal 5 17 10 3 9" xfId="34161" xr:uid="{00000000-0005-0000-0000-000063850000}"/>
    <cellStyle name="Normal 5 17 10 4" xfId="34162" xr:uid="{00000000-0005-0000-0000-000064850000}"/>
    <cellStyle name="Normal 5 17 10 4 10" xfId="34163" xr:uid="{00000000-0005-0000-0000-000065850000}"/>
    <cellStyle name="Normal 5 17 10 4 2" xfId="34164" xr:uid="{00000000-0005-0000-0000-000066850000}"/>
    <cellStyle name="Normal 5 17 10 4 3" xfId="34165" xr:uid="{00000000-0005-0000-0000-000067850000}"/>
    <cellStyle name="Normal 5 17 10 4 4" xfId="34166" xr:uid="{00000000-0005-0000-0000-000068850000}"/>
    <cellStyle name="Normal 5 17 10 4 5" xfId="34167" xr:uid="{00000000-0005-0000-0000-000069850000}"/>
    <cellStyle name="Normal 5 17 10 4 6" xfId="34168" xr:uid="{00000000-0005-0000-0000-00006A850000}"/>
    <cellStyle name="Normal 5 17 10 4 7" xfId="34169" xr:uid="{00000000-0005-0000-0000-00006B850000}"/>
    <cellStyle name="Normal 5 17 10 4 8" xfId="34170" xr:uid="{00000000-0005-0000-0000-00006C850000}"/>
    <cellStyle name="Normal 5 17 10 4 9" xfId="34171" xr:uid="{00000000-0005-0000-0000-00006D850000}"/>
    <cellStyle name="Normal 5 17 10 5" xfId="34172" xr:uid="{00000000-0005-0000-0000-00006E850000}"/>
    <cellStyle name="Normal 5 17 10 5 10" xfId="34173" xr:uid="{00000000-0005-0000-0000-00006F850000}"/>
    <cellStyle name="Normal 5 17 10 5 2" xfId="34174" xr:uid="{00000000-0005-0000-0000-000070850000}"/>
    <cellStyle name="Normal 5 17 10 5 3" xfId="34175" xr:uid="{00000000-0005-0000-0000-000071850000}"/>
    <cellStyle name="Normal 5 17 10 5 4" xfId="34176" xr:uid="{00000000-0005-0000-0000-000072850000}"/>
    <cellStyle name="Normal 5 17 10 5 5" xfId="34177" xr:uid="{00000000-0005-0000-0000-000073850000}"/>
    <cellStyle name="Normal 5 17 10 5 6" xfId="34178" xr:uid="{00000000-0005-0000-0000-000074850000}"/>
    <cellStyle name="Normal 5 17 10 5 7" xfId="34179" xr:uid="{00000000-0005-0000-0000-000075850000}"/>
    <cellStyle name="Normal 5 17 10 5 8" xfId="34180" xr:uid="{00000000-0005-0000-0000-000076850000}"/>
    <cellStyle name="Normal 5 17 10 5 9" xfId="34181" xr:uid="{00000000-0005-0000-0000-000077850000}"/>
    <cellStyle name="Normal 5 17 10 6" xfId="34182" xr:uid="{00000000-0005-0000-0000-000078850000}"/>
    <cellStyle name="Normal 5 17 10 7" xfId="34183" xr:uid="{00000000-0005-0000-0000-000079850000}"/>
    <cellStyle name="Normal 5 17 10 8" xfId="34184" xr:uid="{00000000-0005-0000-0000-00007A850000}"/>
    <cellStyle name="Normal 5 17 10 9" xfId="34185" xr:uid="{00000000-0005-0000-0000-00007B850000}"/>
    <cellStyle name="Normal 5 17 11" xfId="34186" xr:uid="{00000000-0005-0000-0000-00007C850000}"/>
    <cellStyle name="Normal 5 17 11 10" xfId="34187" xr:uid="{00000000-0005-0000-0000-00007D850000}"/>
    <cellStyle name="Normal 5 17 11 11" xfId="34188" xr:uid="{00000000-0005-0000-0000-00007E850000}"/>
    <cellStyle name="Normal 5 17 11 12" xfId="34189" xr:uid="{00000000-0005-0000-0000-00007F850000}"/>
    <cellStyle name="Normal 5 17 11 13" xfId="34190" xr:uid="{00000000-0005-0000-0000-000080850000}"/>
    <cellStyle name="Normal 5 17 11 14" xfId="34191" xr:uid="{00000000-0005-0000-0000-000081850000}"/>
    <cellStyle name="Normal 5 17 11 2" xfId="34192" xr:uid="{00000000-0005-0000-0000-000082850000}"/>
    <cellStyle name="Normal 5 17 11 2 10" xfId="34193" xr:uid="{00000000-0005-0000-0000-000083850000}"/>
    <cellStyle name="Normal 5 17 11 2 2" xfId="34194" xr:uid="{00000000-0005-0000-0000-000084850000}"/>
    <cellStyle name="Normal 5 17 11 2 3" xfId="34195" xr:uid="{00000000-0005-0000-0000-000085850000}"/>
    <cellStyle name="Normal 5 17 11 2 4" xfId="34196" xr:uid="{00000000-0005-0000-0000-000086850000}"/>
    <cellStyle name="Normal 5 17 11 2 5" xfId="34197" xr:uid="{00000000-0005-0000-0000-000087850000}"/>
    <cellStyle name="Normal 5 17 11 2 6" xfId="34198" xr:uid="{00000000-0005-0000-0000-000088850000}"/>
    <cellStyle name="Normal 5 17 11 2 7" xfId="34199" xr:uid="{00000000-0005-0000-0000-000089850000}"/>
    <cellStyle name="Normal 5 17 11 2 8" xfId="34200" xr:uid="{00000000-0005-0000-0000-00008A850000}"/>
    <cellStyle name="Normal 5 17 11 2 9" xfId="34201" xr:uid="{00000000-0005-0000-0000-00008B850000}"/>
    <cellStyle name="Normal 5 17 11 3" xfId="34202" xr:uid="{00000000-0005-0000-0000-00008C850000}"/>
    <cellStyle name="Normal 5 17 11 3 10" xfId="34203" xr:uid="{00000000-0005-0000-0000-00008D850000}"/>
    <cellStyle name="Normal 5 17 11 3 2" xfId="34204" xr:uid="{00000000-0005-0000-0000-00008E850000}"/>
    <cellStyle name="Normal 5 17 11 3 3" xfId="34205" xr:uid="{00000000-0005-0000-0000-00008F850000}"/>
    <cellStyle name="Normal 5 17 11 3 4" xfId="34206" xr:uid="{00000000-0005-0000-0000-000090850000}"/>
    <cellStyle name="Normal 5 17 11 3 5" xfId="34207" xr:uid="{00000000-0005-0000-0000-000091850000}"/>
    <cellStyle name="Normal 5 17 11 3 6" xfId="34208" xr:uid="{00000000-0005-0000-0000-000092850000}"/>
    <cellStyle name="Normal 5 17 11 3 7" xfId="34209" xr:uid="{00000000-0005-0000-0000-000093850000}"/>
    <cellStyle name="Normal 5 17 11 3 8" xfId="34210" xr:uid="{00000000-0005-0000-0000-000094850000}"/>
    <cellStyle name="Normal 5 17 11 3 9" xfId="34211" xr:uid="{00000000-0005-0000-0000-000095850000}"/>
    <cellStyle name="Normal 5 17 11 4" xfId="34212" xr:uid="{00000000-0005-0000-0000-000096850000}"/>
    <cellStyle name="Normal 5 17 11 4 10" xfId="34213" xr:uid="{00000000-0005-0000-0000-000097850000}"/>
    <cellStyle name="Normal 5 17 11 4 2" xfId="34214" xr:uid="{00000000-0005-0000-0000-000098850000}"/>
    <cellStyle name="Normal 5 17 11 4 3" xfId="34215" xr:uid="{00000000-0005-0000-0000-000099850000}"/>
    <cellStyle name="Normal 5 17 11 4 4" xfId="34216" xr:uid="{00000000-0005-0000-0000-00009A850000}"/>
    <cellStyle name="Normal 5 17 11 4 5" xfId="34217" xr:uid="{00000000-0005-0000-0000-00009B850000}"/>
    <cellStyle name="Normal 5 17 11 4 6" xfId="34218" xr:uid="{00000000-0005-0000-0000-00009C850000}"/>
    <cellStyle name="Normal 5 17 11 4 7" xfId="34219" xr:uid="{00000000-0005-0000-0000-00009D850000}"/>
    <cellStyle name="Normal 5 17 11 4 8" xfId="34220" xr:uid="{00000000-0005-0000-0000-00009E850000}"/>
    <cellStyle name="Normal 5 17 11 4 9" xfId="34221" xr:uid="{00000000-0005-0000-0000-00009F850000}"/>
    <cellStyle name="Normal 5 17 11 5" xfId="34222" xr:uid="{00000000-0005-0000-0000-0000A0850000}"/>
    <cellStyle name="Normal 5 17 11 5 10" xfId="34223" xr:uid="{00000000-0005-0000-0000-0000A1850000}"/>
    <cellStyle name="Normal 5 17 11 5 2" xfId="34224" xr:uid="{00000000-0005-0000-0000-0000A2850000}"/>
    <cellStyle name="Normal 5 17 11 5 3" xfId="34225" xr:uid="{00000000-0005-0000-0000-0000A3850000}"/>
    <cellStyle name="Normal 5 17 11 5 4" xfId="34226" xr:uid="{00000000-0005-0000-0000-0000A4850000}"/>
    <cellStyle name="Normal 5 17 11 5 5" xfId="34227" xr:uid="{00000000-0005-0000-0000-0000A5850000}"/>
    <cellStyle name="Normal 5 17 11 5 6" xfId="34228" xr:uid="{00000000-0005-0000-0000-0000A6850000}"/>
    <cellStyle name="Normal 5 17 11 5 7" xfId="34229" xr:uid="{00000000-0005-0000-0000-0000A7850000}"/>
    <cellStyle name="Normal 5 17 11 5 8" xfId="34230" xr:uid="{00000000-0005-0000-0000-0000A8850000}"/>
    <cellStyle name="Normal 5 17 11 5 9" xfId="34231" xr:uid="{00000000-0005-0000-0000-0000A9850000}"/>
    <cellStyle name="Normal 5 17 11 6" xfId="34232" xr:uid="{00000000-0005-0000-0000-0000AA850000}"/>
    <cellStyle name="Normal 5 17 11 7" xfId="34233" xr:uid="{00000000-0005-0000-0000-0000AB850000}"/>
    <cellStyle name="Normal 5 17 11 8" xfId="34234" xr:uid="{00000000-0005-0000-0000-0000AC850000}"/>
    <cellStyle name="Normal 5 17 11 9" xfId="34235" xr:uid="{00000000-0005-0000-0000-0000AD850000}"/>
    <cellStyle name="Normal 5 17 12" xfId="34236" xr:uid="{00000000-0005-0000-0000-0000AE850000}"/>
    <cellStyle name="Normal 5 17 12 10" xfId="34237" xr:uid="{00000000-0005-0000-0000-0000AF850000}"/>
    <cellStyle name="Normal 5 17 12 11" xfId="34238" xr:uid="{00000000-0005-0000-0000-0000B0850000}"/>
    <cellStyle name="Normal 5 17 12 12" xfId="34239" xr:uid="{00000000-0005-0000-0000-0000B1850000}"/>
    <cellStyle name="Normal 5 17 12 13" xfId="34240" xr:uid="{00000000-0005-0000-0000-0000B2850000}"/>
    <cellStyle name="Normal 5 17 12 14" xfId="34241" xr:uid="{00000000-0005-0000-0000-0000B3850000}"/>
    <cellStyle name="Normal 5 17 12 2" xfId="34242" xr:uid="{00000000-0005-0000-0000-0000B4850000}"/>
    <cellStyle name="Normal 5 17 12 2 10" xfId="34243" xr:uid="{00000000-0005-0000-0000-0000B5850000}"/>
    <cellStyle name="Normal 5 17 12 2 2" xfId="34244" xr:uid="{00000000-0005-0000-0000-0000B6850000}"/>
    <cellStyle name="Normal 5 17 12 2 3" xfId="34245" xr:uid="{00000000-0005-0000-0000-0000B7850000}"/>
    <cellStyle name="Normal 5 17 12 2 4" xfId="34246" xr:uid="{00000000-0005-0000-0000-0000B8850000}"/>
    <cellStyle name="Normal 5 17 12 2 5" xfId="34247" xr:uid="{00000000-0005-0000-0000-0000B9850000}"/>
    <cellStyle name="Normal 5 17 12 2 6" xfId="34248" xr:uid="{00000000-0005-0000-0000-0000BA850000}"/>
    <cellStyle name="Normal 5 17 12 2 7" xfId="34249" xr:uid="{00000000-0005-0000-0000-0000BB850000}"/>
    <cellStyle name="Normal 5 17 12 2 8" xfId="34250" xr:uid="{00000000-0005-0000-0000-0000BC850000}"/>
    <cellStyle name="Normal 5 17 12 2 9" xfId="34251" xr:uid="{00000000-0005-0000-0000-0000BD850000}"/>
    <cellStyle name="Normal 5 17 12 3" xfId="34252" xr:uid="{00000000-0005-0000-0000-0000BE850000}"/>
    <cellStyle name="Normal 5 17 12 3 10" xfId="34253" xr:uid="{00000000-0005-0000-0000-0000BF850000}"/>
    <cellStyle name="Normal 5 17 12 3 2" xfId="34254" xr:uid="{00000000-0005-0000-0000-0000C0850000}"/>
    <cellStyle name="Normal 5 17 12 3 3" xfId="34255" xr:uid="{00000000-0005-0000-0000-0000C1850000}"/>
    <cellStyle name="Normal 5 17 12 3 4" xfId="34256" xr:uid="{00000000-0005-0000-0000-0000C2850000}"/>
    <cellStyle name="Normal 5 17 12 3 5" xfId="34257" xr:uid="{00000000-0005-0000-0000-0000C3850000}"/>
    <cellStyle name="Normal 5 17 12 3 6" xfId="34258" xr:uid="{00000000-0005-0000-0000-0000C4850000}"/>
    <cellStyle name="Normal 5 17 12 3 7" xfId="34259" xr:uid="{00000000-0005-0000-0000-0000C5850000}"/>
    <cellStyle name="Normal 5 17 12 3 8" xfId="34260" xr:uid="{00000000-0005-0000-0000-0000C6850000}"/>
    <cellStyle name="Normal 5 17 12 3 9" xfId="34261" xr:uid="{00000000-0005-0000-0000-0000C7850000}"/>
    <cellStyle name="Normal 5 17 12 4" xfId="34262" xr:uid="{00000000-0005-0000-0000-0000C8850000}"/>
    <cellStyle name="Normal 5 17 12 4 10" xfId="34263" xr:uid="{00000000-0005-0000-0000-0000C9850000}"/>
    <cellStyle name="Normal 5 17 12 4 2" xfId="34264" xr:uid="{00000000-0005-0000-0000-0000CA850000}"/>
    <cellStyle name="Normal 5 17 12 4 3" xfId="34265" xr:uid="{00000000-0005-0000-0000-0000CB850000}"/>
    <cellStyle name="Normal 5 17 12 4 4" xfId="34266" xr:uid="{00000000-0005-0000-0000-0000CC850000}"/>
    <cellStyle name="Normal 5 17 12 4 5" xfId="34267" xr:uid="{00000000-0005-0000-0000-0000CD850000}"/>
    <cellStyle name="Normal 5 17 12 4 6" xfId="34268" xr:uid="{00000000-0005-0000-0000-0000CE850000}"/>
    <cellStyle name="Normal 5 17 12 4 7" xfId="34269" xr:uid="{00000000-0005-0000-0000-0000CF850000}"/>
    <cellStyle name="Normal 5 17 12 4 8" xfId="34270" xr:uid="{00000000-0005-0000-0000-0000D0850000}"/>
    <cellStyle name="Normal 5 17 12 4 9" xfId="34271" xr:uid="{00000000-0005-0000-0000-0000D1850000}"/>
    <cellStyle name="Normal 5 17 12 5" xfId="34272" xr:uid="{00000000-0005-0000-0000-0000D2850000}"/>
    <cellStyle name="Normal 5 17 12 5 10" xfId="34273" xr:uid="{00000000-0005-0000-0000-0000D3850000}"/>
    <cellStyle name="Normal 5 17 12 5 2" xfId="34274" xr:uid="{00000000-0005-0000-0000-0000D4850000}"/>
    <cellStyle name="Normal 5 17 12 5 3" xfId="34275" xr:uid="{00000000-0005-0000-0000-0000D5850000}"/>
    <cellStyle name="Normal 5 17 12 5 4" xfId="34276" xr:uid="{00000000-0005-0000-0000-0000D6850000}"/>
    <cellStyle name="Normal 5 17 12 5 5" xfId="34277" xr:uid="{00000000-0005-0000-0000-0000D7850000}"/>
    <cellStyle name="Normal 5 17 12 5 6" xfId="34278" xr:uid="{00000000-0005-0000-0000-0000D8850000}"/>
    <cellStyle name="Normal 5 17 12 5 7" xfId="34279" xr:uid="{00000000-0005-0000-0000-0000D9850000}"/>
    <cellStyle name="Normal 5 17 12 5 8" xfId="34280" xr:uid="{00000000-0005-0000-0000-0000DA850000}"/>
    <cellStyle name="Normal 5 17 12 5 9" xfId="34281" xr:uid="{00000000-0005-0000-0000-0000DB850000}"/>
    <cellStyle name="Normal 5 17 12 6" xfId="34282" xr:uid="{00000000-0005-0000-0000-0000DC850000}"/>
    <cellStyle name="Normal 5 17 12 7" xfId="34283" xr:uid="{00000000-0005-0000-0000-0000DD850000}"/>
    <cellStyle name="Normal 5 17 12 8" xfId="34284" xr:uid="{00000000-0005-0000-0000-0000DE850000}"/>
    <cellStyle name="Normal 5 17 12 9" xfId="34285" xr:uid="{00000000-0005-0000-0000-0000DF850000}"/>
    <cellStyle name="Normal 5 17 13" xfId="34286" xr:uid="{00000000-0005-0000-0000-0000E0850000}"/>
    <cellStyle name="Normal 5 17 13 10" xfId="34287" xr:uid="{00000000-0005-0000-0000-0000E1850000}"/>
    <cellStyle name="Normal 5 17 13 11" xfId="34288" xr:uid="{00000000-0005-0000-0000-0000E2850000}"/>
    <cellStyle name="Normal 5 17 13 12" xfId="34289" xr:uid="{00000000-0005-0000-0000-0000E3850000}"/>
    <cellStyle name="Normal 5 17 13 13" xfId="34290" xr:uid="{00000000-0005-0000-0000-0000E4850000}"/>
    <cellStyle name="Normal 5 17 13 14" xfId="34291" xr:uid="{00000000-0005-0000-0000-0000E5850000}"/>
    <cellStyle name="Normal 5 17 13 2" xfId="34292" xr:uid="{00000000-0005-0000-0000-0000E6850000}"/>
    <cellStyle name="Normal 5 17 13 2 10" xfId="34293" xr:uid="{00000000-0005-0000-0000-0000E7850000}"/>
    <cellStyle name="Normal 5 17 13 2 2" xfId="34294" xr:uid="{00000000-0005-0000-0000-0000E8850000}"/>
    <cellStyle name="Normal 5 17 13 2 3" xfId="34295" xr:uid="{00000000-0005-0000-0000-0000E9850000}"/>
    <cellStyle name="Normal 5 17 13 2 4" xfId="34296" xr:uid="{00000000-0005-0000-0000-0000EA850000}"/>
    <cellStyle name="Normal 5 17 13 2 5" xfId="34297" xr:uid="{00000000-0005-0000-0000-0000EB850000}"/>
    <cellStyle name="Normal 5 17 13 2 6" xfId="34298" xr:uid="{00000000-0005-0000-0000-0000EC850000}"/>
    <cellStyle name="Normal 5 17 13 2 7" xfId="34299" xr:uid="{00000000-0005-0000-0000-0000ED850000}"/>
    <cellStyle name="Normal 5 17 13 2 8" xfId="34300" xr:uid="{00000000-0005-0000-0000-0000EE850000}"/>
    <cellStyle name="Normal 5 17 13 2 9" xfId="34301" xr:uid="{00000000-0005-0000-0000-0000EF850000}"/>
    <cellStyle name="Normal 5 17 13 3" xfId="34302" xr:uid="{00000000-0005-0000-0000-0000F0850000}"/>
    <cellStyle name="Normal 5 17 13 3 10" xfId="34303" xr:uid="{00000000-0005-0000-0000-0000F1850000}"/>
    <cellStyle name="Normal 5 17 13 3 2" xfId="34304" xr:uid="{00000000-0005-0000-0000-0000F2850000}"/>
    <cellStyle name="Normal 5 17 13 3 3" xfId="34305" xr:uid="{00000000-0005-0000-0000-0000F3850000}"/>
    <cellStyle name="Normal 5 17 13 3 4" xfId="34306" xr:uid="{00000000-0005-0000-0000-0000F4850000}"/>
    <cellStyle name="Normal 5 17 13 3 5" xfId="34307" xr:uid="{00000000-0005-0000-0000-0000F5850000}"/>
    <cellStyle name="Normal 5 17 13 3 6" xfId="34308" xr:uid="{00000000-0005-0000-0000-0000F6850000}"/>
    <cellStyle name="Normal 5 17 13 3 7" xfId="34309" xr:uid="{00000000-0005-0000-0000-0000F7850000}"/>
    <cellStyle name="Normal 5 17 13 3 8" xfId="34310" xr:uid="{00000000-0005-0000-0000-0000F8850000}"/>
    <cellStyle name="Normal 5 17 13 3 9" xfId="34311" xr:uid="{00000000-0005-0000-0000-0000F9850000}"/>
    <cellStyle name="Normal 5 17 13 4" xfId="34312" xr:uid="{00000000-0005-0000-0000-0000FA850000}"/>
    <cellStyle name="Normal 5 17 13 4 10" xfId="34313" xr:uid="{00000000-0005-0000-0000-0000FB850000}"/>
    <cellStyle name="Normal 5 17 13 4 2" xfId="34314" xr:uid="{00000000-0005-0000-0000-0000FC850000}"/>
    <cellStyle name="Normal 5 17 13 4 3" xfId="34315" xr:uid="{00000000-0005-0000-0000-0000FD850000}"/>
    <cellStyle name="Normal 5 17 13 4 4" xfId="34316" xr:uid="{00000000-0005-0000-0000-0000FE850000}"/>
    <cellStyle name="Normal 5 17 13 4 5" xfId="34317" xr:uid="{00000000-0005-0000-0000-0000FF850000}"/>
    <cellStyle name="Normal 5 17 13 4 6" xfId="34318" xr:uid="{00000000-0005-0000-0000-000000860000}"/>
    <cellStyle name="Normal 5 17 13 4 7" xfId="34319" xr:uid="{00000000-0005-0000-0000-000001860000}"/>
    <cellStyle name="Normal 5 17 13 4 8" xfId="34320" xr:uid="{00000000-0005-0000-0000-000002860000}"/>
    <cellStyle name="Normal 5 17 13 4 9" xfId="34321" xr:uid="{00000000-0005-0000-0000-000003860000}"/>
    <cellStyle name="Normal 5 17 13 5" xfId="34322" xr:uid="{00000000-0005-0000-0000-000004860000}"/>
    <cellStyle name="Normal 5 17 13 5 10" xfId="34323" xr:uid="{00000000-0005-0000-0000-000005860000}"/>
    <cellStyle name="Normal 5 17 13 5 2" xfId="34324" xr:uid="{00000000-0005-0000-0000-000006860000}"/>
    <cellStyle name="Normal 5 17 13 5 3" xfId="34325" xr:uid="{00000000-0005-0000-0000-000007860000}"/>
    <cellStyle name="Normal 5 17 13 5 4" xfId="34326" xr:uid="{00000000-0005-0000-0000-000008860000}"/>
    <cellStyle name="Normal 5 17 13 5 5" xfId="34327" xr:uid="{00000000-0005-0000-0000-000009860000}"/>
    <cellStyle name="Normal 5 17 13 5 6" xfId="34328" xr:uid="{00000000-0005-0000-0000-00000A860000}"/>
    <cellStyle name="Normal 5 17 13 5 7" xfId="34329" xr:uid="{00000000-0005-0000-0000-00000B860000}"/>
    <cellStyle name="Normal 5 17 13 5 8" xfId="34330" xr:uid="{00000000-0005-0000-0000-00000C860000}"/>
    <cellStyle name="Normal 5 17 13 5 9" xfId="34331" xr:uid="{00000000-0005-0000-0000-00000D860000}"/>
    <cellStyle name="Normal 5 17 13 6" xfId="34332" xr:uid="{00000000-0005-0000-0000-00000E860000}"/>
    <cellStyle name="Normal 5 17 13 7" xfId="34333" xr:uid="{00000000-0005-0000-0000-00000F860000}"/>
    <cellStyle name="Normal 5 17 13 8" xfId="34334" xr:uid="{00000000-0005-0000-0000-000010860000}"/>
    <cellStyle name="Normal 5 17 13 9" xfId="34335" xr:uid="{00000000-0005-0000-0000-000011860000}"/>
    <cellStyle name="Normal 5 17 14" xfId="34336" xr:uid="{00000000-0005-0000-0000-000012860000}"/>
    <cellStyle name="Normal 5 17 14 10" xfId="34337" xr:uid="{00000000-0005-0000-0000-000013860000}"/>
    <cellStyle name="Normal 5 17 14 11" xfId="34338" xr:uid="{00000000-0005-0000-0000-000014860000}"/>
    <cellStyle name="Normal 5 17 14 12" xfId="34339" xr:uid="{00000000-0005-0000-0000-000015860000}"/>
    <cellStyle name="Normal 5 17 14 13" xfId="34340" xr:uid="{00000000-0005-0000-0000-000016860000}"/>
    <cellStyle name="Normal 5 17 14 14" xfId="34341" xr:uid="{00000000-0005-0000-0000-000017860000}"/>
    <cellStyle name="Normal 5 17 14 2" xfId="34342" xr:uid="{00000000-0005-0000-0000-000018860000}"/>
    <cellStyle name="Normal 5 17 14 2 10" xfId="34343" xr:uid="{00000000-0005-0000-0000-000019860000}"/>
    <cellStyle name="Normal 5 17 14 2 2" xfId="34344" xr:uid="{00000000-0005-0000-0000-00001A860000}"/>
    <cellStyle name="Normal 5 17 14 2 3" xfId="34345" xr:uid="{00000000-0005-0000-0000-00001B860000}"/>
    <cellStyle name="Normal 5 17 14 2 4" xfId="34346" xr:uid="{00000000-0005-0000-0000-00001C860000}"/>
    <cellStyle name="Normal 5 17 14 2 5" xfId="34347" xr:uid="{00000000-0005-0000-0000-00001D860000}"/>
    <cellStyle name="Normal 5 17 14 2 6" xfId="34348" xr:uid="{00000000-0005-0000-0000-00001E860000}"/>
    <cellStyle name="Normal 5 17 14 2 7" xfId="34349" xr:uid="{00000000-0005-0000-0000-00001F860000}"/>
    <cellStyle name="Normal 5 17 14 2 8" xfId="34350" xr:uid="{00000000-0005-0000-0000-000020860000}"/>
    <cellStyle name="Normal 5 17 14 2 9" xfId="34351" xr:uid="{00000000-0005-0000-0000-000021860000}"/>
    <cellStyle name="Normal 5 17 14 3" xfId="34352" xr:uid="{00000000-0005-0000-0000-000022860000}"/>
    <cellStyle name="Normal 5 17 14 3 10" xfId="34353" xr:uid="{00000000-0005-0000-0000-000023860000}"/>
    <cellStyle name="Normal 5 17 14 3 2" xfId="34354" xr:uid="{00000000-0005-0000-0000-000024860000}"/>
    <cellStyle name="Normal 5 17 14 3 3" xfId="34355" xr:uid="{00000000-0005-0000-0000-000025860000}"/>
    <cellStyle name="Normal 5 17 14 3 4" xfId="34356" xr:uid="{00000000-0005-0000-0000-000026860000}"/>
    <cellStyle name="Normal 5 17 14 3 5" xfId="34357" xr:uid="{00000000-0005-0000-0000-000027860000}"/>
    <cellStyle name="Normal 5 17 14 3 6" xfId="34358" xr:uid="{00000000-0005-0000-0000-000028860000}"/>
    <cellStyle name="Normal 5 17 14 3 7" xfId="34359" xr:uid="{00000000-0005-0000-0000-000029860000}"/>
    <cellStyle name="Normal 5 17 14 3 8" xfId="34360" xr:uid="{00000000-0005-0000-0000-00002A860000}"/>
    <cellStyle name="Normal 5 17 14 3 9" xfId="34361" xr:uid="{00000000-0005-0000-0000-00002B860000}"/>
    <cellStyle name="Normal 5 17 14 4" xfId="34362" xr:uid="{00000000-0005-0000-0000-00002C860000}"/>
    <cellStyle name="Normal 5 17 14 4 10" xfId="34363" xr:uid="{00000000-0005-0000-0000-00002D860000}"/>
    <cellStyle name="Normal 5 17 14 4 2" xfId="34364" xr:uid="{00000000-0005-0000-0000-00002E860000}"/>
    <cellStyle name="Normal 5 17 14 4 3" xfId="34365" xr:uid="{00000000-0005-0000-0000-00002F860000}"/>
    <cellStyle name="Normal 5 17 14 4 4" xfId="34366" xr:uid="{00000000-0005-0000-0000-000030860000}"/>
    <cellStyle name="Normal 5 17 14 4 5" xfId="34367" xr:uid="{00000000-0005-0000-0000-000031860000}"/>
    <cellStyle name="Normal 5 17 14 4 6" xfId="34368" xr:uid="{00000000-0005-0000-0000-000032860000}"/>
    <cellStyle name="Normal 5 17 14 4 7" xfId="34369" xr:uid="{00000000-0005-0000-0000-000033860000}"/>
    <cellStyle name="Normal 5 17 14 4 8" xfId="34370" xr:uid="{00000000-0005-0000-0000-000034860000}"/>
    <cellStyle name="Normal 5 17 14 4 9" xfId="34371" xr:uid="{00000000-0005-0000-0000-000035860000}"/>
    <cellStyle name="Normal 5 17 14 5" xfId="34372" xr:uid="{00000000-0005-0000-0000-000036860000}"/>
    <cellStyle name="Normal 5 17 14 5 10" xfId="34373" xr:uid="{00000000-0005-0000-0000-000037860000}"/>
    <cellStyle name="Normal 5 17 14 5 2" xfId="34374" xr:uid="{00000000-0005-0000-0000-000038860000}"/>
    <cellStyle name="Normal 5 17 14 5 3" xfId="34375" xr:uid="{00000000-0005-0000-0000-000039860000}"/>
    <cellStyle name="Normal 5 17 14 5 4" xfId="34376" xr:uid="{00000000-0005-0000-0000-00003A860000}"/>
    <cellStyle name="Normal 5 17 14 5 5" xfId="34377" xr:uid="{00000000-0005-0000-0000-00003B860000}"/>
    <cellStyle name="Normal 5 17 14 5 6" xfId="34378" xr:uid="{00000000-0005-0000-0000-00003C860000}"/>
    <cellStyle name="Normal 5 17 14 5 7" xfId="34379" xr:uid="{00000000-0005-0000-0000-00003D860000}"/>
    <cellStyle name="Normal 5 17 14 5 8" xfId="34380" xr:uid="{00000000-0005-0000-0000-00003E860000}"/>
    <cellStyle name="Normal 5 17 14 5 9" xfId="34381" xr:uid="{00000000-0005-0000-0000-00003F860000}"/>
    <cellStyle name="Normal 5 17 14 6" xfId="34382" xr:uid="{00000000-0005-0000-0000-000040860000}"/>
    <cellStyle name="Normal 5 17 14 7" xfId="34383" xr:uid="{00000000-0005-0000-0000-000041860000}"/>
    <cellStyle name="Normal 5 17 14 8" xfId="34384" xr:uid="{00000000-0005-0000-0000-000042860000}"/>
    <cellStyle name="Normal 5 17 14 9" xfId="34385" xr:uid="{00000000-0005-0000-0000-000043860000}"/>
    <cellStyle name="Normal 5 17 15" xfId="34386" xr:uid="{00000000-0005-0000-0000-000044860000}"/>
    <cellStyle name="Normal 5 17 15 10" xfId="34387" xr:uid="{00000000-0005-0000-0000-000045860000}"/>
    <cellStyle name="Normal 5 17 15 11" xfId="34388" xr:uid="{00000000-0005-0000-0000-000046860000}"/>
    <cellStyle name="Normal 5 17 15 12" xfId="34389" xr:uid="{00000000-0005-0000-0000-000047860000}"/>
    <cellStyle name="Normal 5 17 15 13" xfId="34390" xr:uid="{00000000-0005-0000-0000-000048860000}"/>
    <cellStyle name="Normal 5 17 15 14" xfId="34391" xr:uid="{00000000-0005-0000-0000-000049860000}"/>
    <cellStyle name="Normal 5 17 15 2" xfId="34392" xr:uid="{00000000-0005-0000-0000-00004A860000}"/>
    <cellStyle name="Normal 5 17 15 2 10" xfId="34393" xr:uid="{00000000-0005-0000-0000-00004B860000}"/>
    <cellStyle name="Normal 5 17 15 2 2" xfId="34394" xr:uid="{00000000-0005-0000-0000-00004C860000}"/>
    <cellStyle name="Normal 5 17 15 2 3" xfId="34395" xr:uid="{00000000-0005-0000-0000-00004D860000}"/>
    <cellStyle name="Normal 5 17 15 2 4" xfId="34396" xr:uid="{00000000-0005-0000-0000-00004E860000}"/>
    <cellStyle name="Normal 5 17 15 2 5" xfId="34397" xr:uid="{00000000-0005-0000-0000-00004F860000}"/>
    <cellStyle name="Normal 5 17 15 2 6" xfId="34398" xr:uid="{00000000-0005-0000-0000-000050860000}"/>
    <cellStyle name="Normal 5 17 15 2 7" xfId="34399" xr:uid="{00000000-0005-0000-0000-000051860000}"/>
    <cellStyle name="Normal 5 17 15 2 8" xfId="34400" xr:uid="{00000000-0005-0000-0000-000052860000}"/>
    <cellStyle name="Normal 5 17 15 2 9" xfId="34401" xr:uid="{00000000-0005-0000-0000-000053860000}"/>
    <cellStyle name="Normal 5 17 15 3" xfId="34402" xr:uid="{00000000-0005-0000-0000-000054860000}"/>
    <cellStyle name="Normal 5 17 15 3 10" xfId="34403" xr:uid="{00000000-0005-0000-0000-000055860000}"/>
    <cellStyle name="Normal 5 17 15 3 2" xfId="34404" xr:uid="{00000000-0005-0000-0000-000056860000}"/>
    <cellStyle name="Normal 5 17 15 3 3" xfId="34405" xr:uid="{00000000-0005-0000-0000-000057860000}"/>
    <cellStyle name="Normal 5 17 15 3 4" xfId="34406" xr:uid="{00000000-0005-0000-0000-000058860000}"/>
    <cellStyle name="Normal 5 17 15 3 5" xfId="34407" xr:uid="{00000000-0005-0000-0000-000059860000}"/>
    <cellStyle name="Normal 5 17 15 3 6" xfId="34408" xr:uid="{00000000-0005-0000-0000-00005A860000}"/>
    <cellStyle name="Normal 5 17 15 3 7" xfId="34409" xr:uid="{00000000-0005-0000-0000-00005B860000}"/>
    <cellStyle name="Normal 5 17 15 3 8" xfId="34410" xr:uid="{00000000-0005-0000-0000-00005C860000}"/>
    <cellStyle name="Normal 5 17 15 3 9" xfId="34411" xr:uid="{00000000-0005-0000-0000-00005D860000}"/>
    <cellStyle name="Normal 5 17 15 4" xfId="34412" xr:uid="{00000000-0005-0000-0000-00005E860000}"/>
    <cellStyle name="Normal 5 17 15 4 10" xfId="34413" xr:uid="{00000000-0005-0000-0000-00005F860000}"/>
    <cellStyle name="Normal 5 17 15 4 2" xfId="34414" xr:uid="{00000000-0005-0000-0000-000060860000}"/>
    <cellStyle name="Normal 5 17 15 4 3" xfId="34415" xr:uid="{00000000-0005-0000-0000-000061860000}"/>
    <cellStyle name="Normal 5 17 15 4 4" xfId="34416" xr:uid="{00000000-0005-0000-0000-000062860000}"/>
    <cellStyle name="Normal 5 17 15 4 5" xfId="34417" xr:uid="{00000000-0005-0000-0000-000063860000}"/>
    <cellStyle name="Normal 5 17 15 4 6" xfId="34418" xr:uid="{00000000-0005-0000-0000-000064860000}"/>
    <cellStyle name="Normal 5 17 15 4 7" xfId="34419" xr:uid="{00000000-0005-0000-0000-000065860000}"/>
    <cellStyle name="Normal 5 17 15 4 8" xfId="34420" xr:uid="{00000000-0005-0000-0000-000066860000}"/>
    <cellStyle name="Normal 5 17 15 4 9" xfId="34421" xr:uid="{00000000-0005-0000-0000-000067860000}"/>
    <cellStyle name="Normal 5 17 15 5" xfId="34422" xr:uid="{00000000-0005-0000-0000-000068860000}"/>
    <cellStyle name="Normal 5 17 15 5 10" xfId="34423" xr:uid="{00000000-0005-0000-0000-000069860000}"/>
    <cellStyle name="Normal 5 17 15 5 2" xfId="34424" xr:uid="{00000000-0005-0000-0000-00006A860000}"/>
    <cellStyle name="Normal 5 17 15 5 3" xfId="34425" xr:uid="{00000000-0005-0000-0000-00006B860000}"/>
    <cellStyle name="Normal 5 17 15 5 4" xfId="34426" xr:uid="{00000000-0005-0000-0000-00006C860000}"/>
    <cellStyle name="Normal 5 17 15 5 5" xfId="34427" xr:uid="{00000000-0005-0000-0000-00006D860000}"/>
    <cellStyle name="Normal 5 17 15 5 6" xfId="34428" xr:uid="{00000000-0005-0000-0000-00006E860000}"/>
    <cellStyle name="Normal 5 17 15 5 7" xfId="34429" xr:uid="{00000000-0005-0000-0000-00006F860000}"/>
    <cellStyle name="Normal 5 17 15 5 8" xfId="34430" xr:uid="{00000000-0005-0000-0000-000070860000}"/>
    <cellStyle name="Normal 5 17 15 5 9" xfId="34431" xr:uid="{00000000-0005-0000-0000-000071860000}"/>
    <cellStyle name="Normal 5 17 15 6" xfId="34432" xr:uid="{00000000-0005-0000-0000-000072860000}"/>
    <cellStyle name="Normal 5 17 15 7" xfId="34433" xr:uid="{00000000-0005-0000-0000-000073860000}"/>
    <cellStyle name="Normal 5 17 15 8" xfId="34434" xr:uid="{00000000-0005-0000-0000-000074860000}"/>
    <cellStyle name="Normal 5 17 15 9" xfId="34435" xr:uid="{00000000-0005-0000-0000-000075860000}"/>
    <cellStyle name="Normal 5 17 16" xfId="34436" xr:uid="{00000000-0005-0000-0000-000076860000}"/>
    <cellStyle name="Normal 5 17 16 10" xfId="34437" xr:uid="{00000000-0005-0000-0000-000077860000}"/>
    <cellStyle name="Normal 5 17 16 11" xfId="34438" xr:uid="{00000000-0005-0000-0000-000078860000}"/>
    <cellStyle name="Normal 5 17 16 12" xfId="34439" xr:uid="{00000000-0005-0000-0000-000079860000}"/>
    <cellStyle name="Normal 5 17 16 13" xfId="34440" xr:uid="{00000000-0005-0000-0000-00007A860000}"/>
    <cellStyle name="Normal 5 17 16 14" xfId="34441" xr:uid="{00000000-0005-0000-0000-00007B860000}"/>
    <cellStyle name="Normal 5 17 16 2" xfId="34442" xr:uid="{00000000-0005-0000-0000-00007C860000}"/>
    <cellStyle name="Normal 5 17 16 2 10" xfId="34443" xr:uid="{00000000-0005-0000-0000-00007D860000}"/>
    <cellStyle name="Normal 5 17 16 2 2" xfId="34444" xr:uid="{00000000-0005-0000-0000-00007E860000}"/>
    <cellStyle name="Normal 5 17 16 2 3" xfId="34445" xr:uid="{00000000-0005-0000-0000-00007F860000}"/>
    <cellStyle name="Normal 5 17 16 2 4" xfId="34446" xr:uid="{00000000-0005-0000-0000-000080860000}"/>
    <cellStyle name="Normal 5 17 16 2 5" xfId="34447" xr:uid="{00000000-0005-0000-0000-000081860000}"/>
    <cellStyle name="Normal 5 17 16 2 6" xfId="34448" xr:uid="{00000000-0005-0000-0000-000082860000}"/>
    <cellStyle name="Normal 5 17 16 2 7" xfId="34449" xr:uid="{00000000-0005-0000-0000-000083860000}"/>
    <cellStyle name="Normal 5 17 16 2 8" xfId="34450" xr:uid="{00000000-0005-0000-0000-000084860000}"/>
    <cellStyle name="Normal 5 17 16 2 9" xfId="34451" xr:uid="{00000000-0005-0000-0000-000085860000}"/>
    <cellStyle name="Normal 5 17 16 3" xfId="34452" xr:uid="{00000000-0005-0000-0000-000086860000}"/>
    <cellStyle name="Normal 5 17 16 3 10" xfId="34453" xr:uid="{00000000-0005-0000-0000-000087860000}"/>
    <cellStyle name="Normal 5 17 16 3 2" xfId="34454" xr:uid="{00000000-0005-0000-0000-000088860000}"/>
    <cellStyle name="Normal 5 17 16 3 3" xfId="34455" xr:uid="{00000000-0005-0000-0000-000089860000}"/>
    <cellStyle name="Normal 5 17 16 3 4" xfId="34456" xr:uid="{00000000-0005-0000-0000-00008A860000}"/>
    <cellStyle name="Normal 5 17 16 3 5" xfId="34457" xr:uid="{00000000-0005-0000-0000-00008B860000}"/>
    <cellStyle name="Normal 5 17 16 3 6" xfId="34458" xr:uid="{00000000-0005-0000-0000-00008C860000}"/>
    <cellStyle name="Normal 5 17 16 3 7" xfId="34459" xr:uid="{00000000-0005-0000-0000-00008D860000}"/>
    <cellStyle name="Normal 5 17 16 3 8" xfId="34460" xr:uid="{00000000-0005-0000-0000-00008E860000}"/>
    <cellStyle name="Normal 5 17 16 3 9" xfId="34461" xr:uid="{00000000-0005-0000-0000-00008F860000}"/>
    <cellStyle name="Normal 5 17 16 4" xfId="34462" xr:uid="{00000000-0005-0000-0000-000090860000}"/>
    <cellStyle name="Normal 5 17 16 4 10" xfId="34463" xr:uid="{00000000-0005-0000-0000-000091860000}"/>
    <cellStyle name="Normal 5 17 16 4 2" xfId="34464" xr:uid="{00000000-0005-0000-0000-000092860000}"/>
    <cellStyle name="Normal 5 17 16 4 3" xfId="34465" xr:uid="{00000000-0005-0000-0000-000093860000}"/>
    <cellStyle name="Normal 5 17 16 4 4" xfId="34466" xr:uid="{00000000-0005-0000-0000-000094860000}"/>
    <cellStyle name="Normal 5 17 16 4 5" xfId="34467" xr:uid="{00000000-0005-0000-0000-000095860000}"/>
    <cellStyle name="Normal 5 17 16 4 6" xfId="34468" xr:uid="{00000000-0005-0000-0000-000096860000}"/>
    <cellStyle name="Normal 5 17 16 4 7" xfId="34469" xr:uid="{00000000-0005-0000-0000-000097860000}"/>
    <cellStyle name="Normal 5 17 16 4 8" xfId="34470" xr:uid="{00000000-0005-0000-0000-000098860000}"/>
    <cellStyle name="Normal 5 17 16 4 9" xfId="34471" xr:uid="{00000000-0005-0000-0000-000099860000}"/>
    <cellStyle name="Normal 5 17 16 5" xfId="34472" xr:uid="{00000000-0005-0000-0000-00009A860000}"/>
    <cellStyle name="Normal 5 17 16 5 10" xfId="34473" xr:uid="{00000000-0005-0000-0000-00009B860000}"/>
    <cellStyle name="Normal 5 17 16 5 2" xfId="34474" xr:uid="{00000000-0005-0000-0000-00009C860000}"/>
    <cellStyle name="Normal 5 17 16 5 3" xfId="34475" xr:uid="{00000000-0005-0000-0000-00009D860000}"/>
    <cellStyle name="Normal 5 17 16 5 4" xfId="34476" xr:uid="{00000000-0005-0000-0000-00009E860000}"/>
    <cellStyle name="Normal 5 17 16 5 5" xfId="34477" xr:uid="{00000000-0005-0000-0000-00009F860000}"/>
    <cellStyle name="Normal 5 17 16 5 6" xfId="34478" xr:uid="{00000000-0005-0000-0000-0000A0860000}"/>
    <cellStyle name="Normal 5 17 16 5 7" xfId="34479" xr:uid="{00000000-0005-0000-0000-0000A1860000}"/>
    <cellStyle name="Normal 5 17 16 5 8" xfId="34480" xr:uid="{00000000-0005-0000-0000-0000A2860000}"/>
    <cellStyle name="Normal 5 17 16 5 9" xfId="34481" xr:uid="{00000000-0005-0000-0000-0000A3860000}"/>
    <cellStyle name="Normal 5 17 16 6" xfId="34482" xr:uid="{00000000-0005-0000-0000-0000A4860000}"/>
    <cellStyle name="Normal 5 17 16 7" xfId="34483" xr:uid="{00000000-0005-0000-0000-0000A5860000}"/>
    <cellStyle name="Normal 5 17 16 8" xfId="34484" xr:uid="{00000000-0005-0000-0000-0000A6860000}"/>
    <cellStyle name="Normal 5 17 16 9" xfId="34485" xr:uid="{00000000-0005-0000-0000-0000A7860000}"/>
    <cellStyle name="Normal 5 17 17" xfId="34486" xr:uid="{00000000-0005-0000-0000-0000A8860000}"/>
    <cellStyle name="Normal 5 17 17 10" xfId="34487" xr:uid="{00000000-0005-0000-0000-0000A9860000}"/>
    <cellStyle name="Normal 5 17 17 11" xfId="34488" xr:uid="{00000000-0005-0000-0000-0000AA860000}"/>
    <cellStyle name="Normal 5 17 17 12" xfId="34489" xr:uid="{00000000-0005-0000-0000-0000AB860000}"/>
    <cellStyle name="Normal 5 17 17 13" xfId="34490" xr:uid="{00000000-0005-0000-0000-0000AC860000}"/>
    <cellStyle name="Normal 5 17 17 14" xfId="34491" xr:uid="{00000000-0005-0000-0000-0000AD860000}"/>
    <cellStyle name="Normal 5 17 17 2" xfId="34492" xr:uid="{00000000-0005-0000-0000-0000AE860000}"/>
    <cellStyle name="Normal 5 17 17 2 10" xfId="34493" xr:uid="{00000000-0005-0000-0000-0000AF860000}"/>
    <cellStyle name="Normal 5 17 17 2 2" xfId="34494" xr:uid="{00000000-0005-0000-0000-0000B0860000}"/>
    <cellStyle name="Normal 5 17 17 2 3" xfId="34495" xr:uid="{00000000-0005-0000-0000-0000B1860000}"/>
    <cellStyle name="Normal 5 17 17 2 4" xfId="34496" xr:uid="{00000000-0005-0000-0000-0000B2860000}"/>
    <cellStyle name="Normal 5 17 17 2 5" xfId="34497" xr:uid="{00000000-0005-0000-0000-0000B3860000}"/>
    <cellStyle name="Normal 5 17 17 2 6" xfId="34498" xr:uid="{00000000-0005-0000-0000-0000B4860000}"/>
    <cellStyle name="Normal 5 17 17 2 7" xfId="34499" xr:uid="{00000000-0005-0000-0000-0000B5860000}"/>
    <cellStyle name="Normal 5 17 17 2 8" xfId="34500" xr:uid="{00000000-0005-0000-0000-0000B6860000}"/>
    <cellStyle name="Normal 5 17 17 2 9" xfId="34501" xr:uid="{00000000-0005-0000-0000-0000B7860000}"/>
    <cellStyle name="Normal 5 17 17 3" xfId="34502" xr:uid="{00000000-0005-0000-0000-0000B8860000}"/>
    <cellStyle name="Normal 5 17 17 3 10" xfId="34503" xr:uid="{00000000-0005-0000-0000-0000B9860000}"/>
    <cellStyle name="Normal 5 17 17 3 2" xfId="34504" xr:uid="{00000000-0005-0000-0000-0000BA860000}"/>
    <cellStyle name="Normal 5 17 17 3 3" xfId="34505" xr:uid="{00000000-0005-0000-0000-0000BB860000}"/>
    <cellStyle name="Normal 5 17 17 3 4" xfId="34506" xr:uid="{00000000-0005-0000-0000-0000BC860000}"/>
    <cellStyle name="Normal 5 17 17 3 5" xfId="34507" xr:uid="{00000000-0005-0000-0000-0000BD860000}"/>
    <cellStyle name="Normal 5 17 17 3 6" xfId="34508" xr:uid="{00000000-0005-0000-0000-0000BE860000}"/>
    <cellStyle name="Normal 5 17 17 3 7" xfId="34509" xr:uid="{00000000-0005-0000-0000-0000BF860000}"/>
    <cellStyle name="Normal 5 17 17 3 8" xfId="34510" xr:uid="{00000000-0005-0000-0000-0000C0860000}"/>
    <cellStyle name="Normal 5 17 17 3 9" xfId="34511" xr:uid="{00000000-0005-0000-0000-0000C1860000}"/>
    <cellStyle name="Normal 5 17 17 4" xfId="34512" xr:uid="{00000000-0005-0000-0000-0000C2860000}"/>
    <cellStyle name="Normal 5 17 17 4 10" xfId="34513" xr:uid="{00000000-0005-0000-0000-0000C3860000}"/>
    <cellStyle name="Normal 5 17 17 4 2" xfId="34514" xr:uid="{00000000-0005-0000-0000-0000C4860000}"/>
    <cellStyle name="Normal 5 17 17 4 3" xfId="34515" xr:uid="{00000000-0005-0000-0000-0000C5860000}"/>
    <cellStyle name="Normal 5 17 17 4 4" xfId="34516" xr:uid="{00000000-0005-0000-0000-0000C6860000}"/>
    <cellStyle name="Normal 5 17 17 4 5" xfId="34517" xr:uid="{00000000-0005-0000-0000-0000C7860000}"/>
    <cellStyle name="Normal 5 17 17 4 6" xfId="34518" xr:uid="{00000000-0005-0000-0000-0000C8860000}"/>
    <cellStyle name="Normal 5 17 17 4 7" xfId="34519" xr:uid="{00000000-0005-0000-0000-0000C9860000}"/>
    <cellStyle name="Normal 5 17 17 4 8" xfId="34520" xr:uid="{00000000-0005-0000-0000-0000CA860000}"/>
    <cellStyle name="Normal 5 17 17 4 9" xfId="34521" xr:uid="{00000000-0005-0000-0000-0000CB860000}"/>
    <cellStyle name="Normal 5 17 17 5" xfId="34522" xr:uid="{00000000-0005-0000-0000-0000CC860000}"/>
    <cellStyle name="Normal 5 17 17 5 10" xfId="34523" xr:uid="{00000000-0005-0000-0000-0000CD860000}"/>
    <cellStyle name="Normal 5 17 17 5 2" xfId="34524" xr:uid="{00000000-0005-0000-0000-0000CE860000}"/>
    <cellStyle name="Normal 5 17 17 5 3" xfId="34525" xr:uid="{00000000-0005-0000-0000-0000CF860000}"/>
    <cellStyle name="Normal 5 17 17 5 4" xfId="34526" xr:uid="{00000000-0005-0000-0000-0000D0860000}"/>
    <cellStyle name="Normal 5 17 17 5 5" xfId="34527" xr:uid="{00000000-0005-0000-0000-0000D1860000}"/>
    <cellStyle name="Normal 5 17 17 5 6" xfId="34528" xr:uid="{00000000-0005-0000-0000-0000D2860000}"/>
    <cellStyle name="Normal 5 17 17 5 7" xfId="34529" xr:uid="{00000000-0005-0000-0000-0000D3860000}"/>
    <cellStyle name="Normal 5 17 17 5 8" xfId="34530" xr:uid="{00000000-0005-0000-0000-0000D4860000}"/>
    <cellStyle name="Normal 5 17 17 5 9" xfId="34531" xr:uid="{00000000-0005-0000-0000-0000D5860000}"/>
    <cellStyle name="Normal 5 17 17 6" xfId="34532" xr:uid="{00000000-0005-0000-0000-0000D6860000}"/>
    <cellStyle name="Normal 5 17 17 7" xfId="34533" xr:uid="{00000000-0005-0000-0000-0000D7860000}"/>
    <cellStyle name="Normal 5 17 17 8" xfId="34534" xr:uid="{00000000-0005-0000-0000-0000D8860000}"/>
    <cellStyle name="Normal 5 17 17 9" xfId="34535" xr:uid="{00000000-0005-0000-0000-0000D9860000}"/>
    <cellStyle name="Normal 5 17 18" xfId="34536" xr:uid="{00000000-0005-0000-0000-0000DA860000}"/>
    <cellStyle name="Normal 5 17 18 10" xfId="34537" xr:uid="{00000000-0005-0000-0000-0000DB860000}"/>
    <cellStyle name="Normal 5 17 18 11" xfId="34538" xr:uid="{00000000-0005-0000-0000-0000DC860000}"/>
    <cellStyle name="Normal 5 17 18 12" xfId="34539" xr:uid="{00000000-0005-0000-0000-0000DD860000}"/>
    <cellStyle name="Normal 5 17 18 13" xfId="34540" xr:uid="{00000000-0005-0000-0000-0000DE860000}"/>
    <cellStyle name="Normal 5 17 18 14" xfId="34541" xr:uid="{00000000-0005-0000-0000-0000DF860000}"/>
    <cellStyle name="Normal 5 17 18 2" xfId="34542" xr:uid="{00000000-0005-0000-0000-0000E0860000}"/>
    <cellStyle name="Normal 5 17 18 2 10" xfId="34543" xr:uid="{00000000-0005-0000-0000-0000E1860000}"/>
    <cellStyle name="Normal 5 17 18 2 2" xfId="34544" xr:uid="{00000000-0005-0000-0000-0000E2860000}"/>
    <cellStyle name="Normal 5 17 18 2 3" xfId="34545" xr:uid="{00000000-0005-0000-0000-0000E3860000}"/>
    <cellStyle name="Normal 5 17 18 2 4" xfId="34546" xr:uid="{00000000-0005-0000-0000-0000E4860000}"/>
    <cellStyle name="Normal 5 17 18 2 5" xfId="34547" xr:uid="{00000000-0005-0000-0000-0000E5860000}"/>
    <cellStyle name="Normal 5 17 18 2 6" xfId="34548" xr:uid="{00000000-0005-0000-0000-0000E6860000}"/>
    <cellStyle name="Normal 5 17 18 2 7" xfId="34549" xr:uid="{00000000-0005-0000-0000-0000E7860000}"/>
    <cellStyle name="Normal 5 17 18 2 8" xfId="34550" xr:uid="{00000000-0005-0000-0000-0000E8860000}"/>
    <cellStyle name="Normal 5 17 18 2 9" xfId="34551" xr:uid="{00000000-0005-0000-0000-0000E9860000}"/>
    <cellStyle name="Normal 5 17 18 3" xfId="34552" xr:uid="{00000000-0005-0000-0000-0000EA860000}"/>
    <cellStyle name="Normal 5 17 18 3 10" xfId="34553" xr:uid="{00000000-0005-0000-0000-0000EB860000}"/>
    <cellStyle name="Normal 5 17 18 3 2" xfId="34554" xr:uid="{00000000-0005-0000-0000-0000EC860000}"/>
    <cellStyle name="Normal 5 17 18 3 3" xfId="34555" xr:uid="{00000000-0005-0000-0000-0000ED860000}"/>
    <cellStyle name="Normal 5 17 18 3 4" xfId="34556" xr:uid="{00000000-0005-0000-0000-0000EE860000}"/>
    <cellStyle name="Normal 5 17 18 3 5" xfId="34557" xr:uid="{00000000-0005-0000-0000-0000EF860000}"/>
    <cellStyle name="Normal 5 17 18 3 6" xfId="34558" xr:uid="{00000000-0005-0000-0000-0000F0860000}"/>
    <cellStyle name="Normal 5 17 18 3 7" xfId="34559" xr:uid="{00000000-0005-0000-0000-0000F1860000}"/>
    <cellStyle name="Normal 5 17 18 3 8" xfId="34560" xr:uid="{00000000-0005-0000-0000-0000F2860000}"/>
    <cellStyle name="Normal 5 17 18 3 9" xfId="34561" xr:uid="{00000000-0005-0000-0000-0000F3860000}"/>
    <cellStyle name="Normal 5 17 18 4" xfId="34562" xr:uid="{00000000-0005-0000-0000-0000F4860000}"/>
    <cellStyle name="Normal 5 17 18 4 10" xfId="34563" xr:uid="{00000000-0005-0000-0000-0000F5860000}"/>
    <cellStyle name="Normal 5 17 18 4 2" xfId="34564" xr:uid="{00000000-0005-0000-0000-0000F6860000}"/>
    <cellStyle name="Normal 5 17 18 4 3" xfId="34565" xr:uid="{00000000-0005-0000-0000-0000F7860000}"/>
    <cellStyle name="Normal 5 17 18 4 4" xfId="34566" xr:uid="{00000000-0005-0000-0000-0000F8860000}"/>
    <cellStyle name="Normal 5 17 18 4 5" xfId="34567" xr:uid="{00000000-0005-0000-0000-0000F9860000}"/>
    <cellStyle name="Normal 5 17 18 4 6" xfId="34568" xr:uid="{00000000-0005-0000-0000-0000FA860000}"/>
    <cellStyle name="Normal 5 17 18 4 7" xfId="34569" xr:uid="{00000000-0005-0000-0000-0000FB860000}"/>
    <cellStyle name="Normal 5 17 18 4 8" xfId="34570" xr:uid="{00000000-0005-0000-0000-0000FC860000}"/>
    <cellStyle name="Normal 5 17 18 4 9" xfId="34571" xr:uid="{00000000-0005-0000-0000-0000FD860000}"/>
    <cellStyle name="Normal 5 17 18 5" xfId="34572" xr:uid="{00000000-0005-0000-0000-0000FE860000}"/>
    <cellStyle name="Normal 5 17 18 5 10" xfId="34573" xr:uid="{00000000-0005-0000-0000-0000FF860000}"/>
    <cellStyle name="Normal 5 17 18 5 2" xfId="34574" xr:uid="{00000000-0005-0000-0000-000000870000}"/>
    <cellStyle name="Normal 5 17 18 5 3" xfId="34575" xr:uid="{00000000-0005-0000-0000-000001870000}"/>
    <cellStyle name="Normal 5 17 18 5 4" xfId="34576" xr:uid="{00000000-0005-0000-0000-000002870000}"/>
    <cellStyle name="Normal 5 17 18 5 5" xfId="34577" xr:uid="{00000000-0005-0000-0000-000003870000}"/>
    <cellStyle name="Normal 5 17 18 5 6" xfId="34578" xr:uid="{00000000-0005-0000-0000-000004870000}"/>
    <cellStyle name="Normal 5 17 18 5 7" xfId="34579" xr:uid="{00000000-0005-0000-0000-000005870000}"/>
    <cellStyle name="Normal 5 17 18 5 8" xfId="34580" xr:uid="{00000000-0005-0000-0000-000006870000}"/>
    <cellStyle name="Normal 5 17 18 5 9" xfId="34581" xr:uid="{00000000-0005-0000-0000-000007870000}"/>
    <cellStyle name="Normal 5 17 18 6" xfId="34582" xr:uid="{00000000-0005-0000-0000-000008870000}"/>
    <cellStyle name="Normal 5 17 18 7" xfId="34583" xr:uid="{00000000-0005-0000-0000-000009870000}"/>
    <cellStyle name="Normal 5 17 18 8" xfId="34584" xr:uid="{00000000-0005-0000-0000-00000A870000}"/>
    <cellStyle name="Normal 5 17 18 9" xfId="34585" xr:uid="{00000000-0005-0000-0000-00000B870000}"/>
    <cellStyle name="Normal 5 17 19" xfId="34586" xr:uid="{00000000-0005-0000-0000-00000C870000}"/>
    <cellStyle name="Normal 5 17 19 10" xfId="34587" xr:uid="{00000000-0005-0000-0000-00000D870000}"/>
    <cellStyle name="Normal 5 17 19 11" xfId="34588" xr:uid="{00000000-0005-0000-0000-00000E870000}"/>
    <cellStyle name="Normal 5 17 19 12" xfId="34589" xr:uid="{00000000-0005-0000-0000-00000F870000}"/>
    <cellStyle name="Normal 5 17 19 13" xfId="34590" xr:uid="{00000000-0005-0000-0000-000010870000}"/>
    <cellStyle name="Normal 5 17 19 14" xfId="34591" xr:uid="{00000000-0005-0000-0000-000011870000}"/>
    <cellStyle name="Normal 5 17 19 2" xfId="34592" xr:uid="{00000000-0005-0000-0000-000012870000}"/>
    <cellStyle name="Normal 5 17 19 2 10" xfId="34593" xr:uid="{00000000-0005-0000-0000-000013870000}"/>
    <cellStyle name="Normal 5 17 19 2 2" xfId="34594" xr:uid="{00000000-0005-0000-0000-000014870000}"/>
    <cellStyle name="Normal 5 17 19 2 3" xfId="34595" xr:uid="{00000000-0005-0000-0000-000015870000}"/>
    <cellStyle name="Normal 5 17 19 2 4" xfId="34596" xr:uid="{00000000-0005-0000-0000-000016870000}"/>
    <cellStyle name="Normal 5 17 19 2 5" xfId="34597" xr:uid="{00000000-0005-0000-0000-000017870000}"/>
    <cellStyle name="Normal 5 17 19 2 6" xfId="34598" xr:uid="{00000000-0005-0000-0000-000018870000}"/>
    <cellStyle name="Normal 5 17 19 2 7" xfId="34599" xr:uid="{00000000-0005-0000-0000-000019870000}"/>
    <cellStyle name="Normal 5 17 19 2 8" xfId="34600" xr:uid="{00000000-0005-0000-0000-00001A870000}"/>
    <cellStyle name="Normal 5 17 19 2 9" xfId="34601" xr:uid="{00000000-0005-0000-0000-00001B870000}"/>
    <cellStyle name="Normal 5 17 19 3" xfId="34602" xr:uid="{00000000-0005-0000-0000-00001C870000}"/>
    <cellStyle name="Normal 5 17 19 3 10" xfId="34603" xr:uid="{00000000-0005-0000-0000-00001D870000}"/>
    <cellStyle name="Normal 5 17 19 3 2" xfId="34604" xr:uid="{00000000-0005-0000-0000-00001E870000}"/>
    <cellStyle name="Normal 5 17 19 3 3" xfId="34605" xr:uid="{00000000-0005-0000-0000-00001F870000}"/>
    <cellStyle name="Normal 5 17 19 3 4" xfId="34606" xr:uid="{00000000-0005-0000-0000-000020870000}"/>
    <cellStyle name="Normal 5 17 19 3 5" xfId="34607" xr:uid="{00000000-0005-0000-0000-000021870000}"/>
    <cellStyle name="Normal 5 17 19 3 6" xfId="34608" xr:uid="{00000000-0005-0000-0000-000022870000}"/>
    <cellStyle name="Normal 5 17 19 3 7" xfId="34609" xr:uid="{00000000-0005-0000-0000-000023870000}"/>
    <cellStyle name="Normal 5 17 19 3 8" xfId="34610" xr:uid="{00000000-0005-0000-0000-000024870000}"/>
    <cellStyle name="Normal 5 17 19 3 9" xfId="34611" xr:uid="{00000000-0005-0000-0000-000025870000}"/>
    <cellStyle name="Normal 5 17 19 4" xfId="34612" xr:uid="{00000000-0005-0000-0000-000026870000}"/>
    <cellStyle name="Normal 5 17 19 4 10" xfId="34613" xr:uid="{00000000-0005-0000-0000-000027870000}"/>
    <cellStyle name="Normal 5 17 19 4 2" xfId="34614" xr:uid="{00000000-0005-0000-0000-000028870000}"/>
    <cellStyle name="Normal 5 17 19 4 3" xfId="34615" xr:uid="{00000000-0005-0000-0000-000029870000}"/>
    <cellStyle name="Normal 5 17 19 4 4" xfId="34616" xr:uid="{00000000-0005-0000-0000-00002A870000}"/>
    <cellStyle name="Normal 5 17 19 4 5" xfId="34617" xr:uid="{00000000-0005-0000-0000-00002B870000}"/>
    <cellStyle name="Normal 5 17 19 4 6" xfId="34618" xr:uid="{00000000-0005-0000-0000-00002C870000}"/>
    <cellStyle name="Normal 5 17 19 4 7" xfId="34619" xr:uid="{00000000-0005-0000-0000-00002D870000}"/>
    <cellStyle name="Normal 5 17 19 4 8" xfId="34620" xr:uid="{00000000-0005-0000-0000-00002E870000}"/>
    <cellStyle name="Normal 5 17 19 4 9" xfId="34621" xr:uid="{00000000-0005-0000-0000-00002F870000}"/>
    <cellStyle name="Normal 5 17 19 5" xfId="34622" xr:uid="{00000000-0005-0000-0000-000030870000}"/>
    <cellStyle name="Normal 5 17 19 5 10" xfId="34623" xr:uid="{00000000-0005-0000-0000-000031870000}"/>
    <cellStyle name="Normal 5 17 19 5 2" xfId="34624" xr:uid="{00000000-0005-0000-0000-000032870000}"/>
    <cellStyle name="Normal 5 17 19 5 3" xfId="34625" xr:uid="{00000000-0005-0000-0000-000033870000}"/>
    <cellStyle name="Normal 5 17 19 5 4" xfId="34626" xr:uid="{00000000-0005-0000-0000-000034870000}"/>
    <cellStyle name="Normal 5 17 19 5 5" xfId="34627" xr:uid="{00000000-0005-0000-0000-000035870000}"/>
    <cellStyle name="Normal 5 17 19 5 6" xfId="34628" xr:uid="{00000000-0005-0000-0000-000036870000}"/>
    <cellStyle name="Normal 5 17 19 5 7" xfId="34629" xr:uid="{00000000-0005-0000-0000-000037870000}"/>
    <cellStyle name="Normal 5 17 19 5 8" xfId="34630" xr:uid="{00000000-0005-0000-0000-000038870000}"/>
    <cellStyle name="Normal 5 17 19 5 9" xfId="34631" xr:uid="{00000000-0005-0000-0000-000039870000}"/>
    <cellStyle name="Normal 5 17 19 6" xfId="34632" xr:uid="{00000000-0005-0000-0000-00003A870000}"/>
    <cellStyle name="Normal 5 17 19 7" xfId="34633" xr:uid="{00000000-0005-0000-0000-00003B870000}"/>
    <cellStyle name="Normal 5 17 19 8" xfId="34634" xr:uid="{00000000-0005-0000-0000-00003C870000}"/>
    <cellStyle name="Normal 5 17 19 9" xfId="34635" xr:uid="{00000000-0005-0000-0000-00003D870000}"/>
    <cellStyle name="Normal 5 17 2" xfId="34636" xr:uid="{00000000-0005-0000-0000-00003E870000}"/>
    <cellStyle name="Normal 5 17 2 10" xfId="34637" xr:uid="{00000000-0005-0000-0000-00003F870000}"/>
    <cellStyle name="Normal 5 17 2 10 10" xfId="34638" xr:uid="{00000000-0005-0000-0000-000040870000}"/>
    <cellStyle name="Normal 5 17 2 10 11" xfId="34639" xr:uid="{00000000-0005-0000-0000-000041870000}"/>
    <cellStyle name="Normal 5 17 2 10 12" xfId="34640" xr:uid="{00000000-0005-0000-0000-000042870000}"/>
    <cellStyle name="Normal 5 17 2 10 13" xfId="34641" xr:uid="{00000000-0005-0000-0000-000043870000}"/>
    <cellStyle name="Normal 5 17 2 10 14" xfId="34642" xr:uid="{00000000-0005-0000-0000-000044870000}"/>
    <cellStyle name="Normal 5 17 2 10 2" xfId="34643" xr:uid="{00000000-0005-0000-0000-000045870000}"/>
    <cellStyle name="Normal 5 17 2 10 2 10" xfId="34644" xr:uid="{00000000-0005-0000-0000-000046870000}"/>
    <cellStyle name="Normal 5 17 2 10 2 2" xfId="34645" xr:uid="{00000000-0005-0000-0000-000047870000}"/>
    <cellStyle name="Normal 5 17 2 10 2 3" xfId="34646" xr:uid="{00000000-0005-0000-0000-000048870000}"/>
    <cellStyle name="Normal 5 17 2 10 2 4" xfId="34647" xr:uid="{00000000-0005-0000-0000-000049870000}"/>
    <cellStyle name="Normal 5 17 2 10 2 5" xfId="34648" xr:uid="{00000000-0005-0000-0000-00004A870000}"/>
    <cellStyle name="Normal 5 17 2 10 2 6" xfId="34649" xr:uid="{00000000-0005-0000-0000-00004B870000}"/>
    <cellStyle name="Normal 5 17 2 10 2 7" xfId="34650" xr:uid="{00000000-0005-0000-0000-00004C870000}"/>
    <cellStyle name="Normal 5 17 2 10 2 8" xfId="34651" xr:uid="{00000000-0005-0000-0000-00004D870000}"/>
    <cellStyle name="Normal 5 17 2 10 2 9" xfId="34652" xr:uid="{00000000-0005-0000-0000-00004E870000}"/>
    <cellStyle name="Normal 5 17 2 10 3" xfId="34653" xr:uid="{00000000-0005-0000-0000-00004F870000}"/>
    <cellStyle name="Normal 5 17 2 10 3 10" xfId="34654" xr:uid="{00000000-0005-0000-0000-000050870000}"/>
    <cellStyle name="Normal 5 17 2 10 3 2" xfId="34655" xr:uid="{00000000-0005-0000-0000-000051870000}"/>
    <cellStyle name="Normal 5 17 2 10 3 3" xfId="34656" xr:uid="{00000000-0005-0000-0000-000052870000}"/>
    <cellStyle name="Normal 5 17 2 10 3 4" xfId="34657" xr:uid="{00000000-0005-0000-0000-000053870000}"/>
    <cellStyle name="Normal 5 17 2 10 3 5" xfId="34658" xr:uid="{00000000-0005-0000-0000-000054870000}"/>
    <cellStyle name="Normal 5 17 2 10 3 6" xfId="34659" xr:uid="{00000000-0005-0000-0000-000055870000}"/>
    <cellStyle name="Normal 5 17 2 10 3 7" xfId="34660" xr:uid="{00000000-0005-0000-0000-000056870000}"/>
    <cellStyle name="Normal 5 17 2 10 3 8" xfId="34661" xr:uid="{00000000-0005-0000-0000-000057870000}"/>
    <cellStyle name="Normal 5 17 2 10 3 9" xfId="34662" xr:uid="{00000000-0005-0000-0000-000058870000}"/>
    <cellStyle name="Normal 5 17 2 10 4" xfId="34663" xr:uid="{00000000-0005-0000-0000-000059870000}"/>
    <cellStyle name="Normal 5 17 2 10 4 10" xfId="34664" xr:uid="{00000000-0005-0000-0000-00005A870000}"/>
    <cellStyle name="Normal 5 17 2 10 4 2" xfId="34665" xr:uid="{00000000-0005-0000-0000-00005B870000}"/>
    <cellStyle name="Normal 5 17 2 10 4 3" xfId="34666" xr:uid="{00000000-0005-0000-0000-00005C870000}"/>
    <cellStyle name="Normal 5 17 2 10 4 4" xfId="34667" xr:uid="{00000000-0005-0000-0000-00005D870000}"/>
    <cellStyle name="Normal 5 17 2 10 4 5" xfId="34668" xr:uid="{00000000-0005-0000-0000-00005E870000}"/>
    <cellStyle name="Normal 5 17 2 10 4 6" xfId="34669" xr:uid="{00000000-0005-0000-0000-00005F870000}"/>
    <cellStyle name="Normal 5 17 2 10 4 7" xfId="34670" xr:uid="{00000000-0005-0000-0000-000060870000}"/>
    <cellStyle name="Normal 5 17 2 10 4 8" xfId="34671" xr:uid="{00000000-0005-0000-0000-000061870000}"/>
    <cellStyle name="Normal 5 17 2 10 4 9" xfId="34672" xr:uid="{00000000-0005-0000-0000-000062870000}"/>
    <cellStyle name="Normal 5 17 2 10 5" xfId="34673" xr:uid="{00000000-0005-0000-0000-000063870000}"/>
    <cellStyle name="Normal 5 17 2 10 5 10" xfId="34674" xr:uid="{00000000-0005-0000-0000-000064870000}"/>
    <cellStyle name="Normal 5 17 2 10 5 2" xfId="34675" xr:uid="{00000000-0005-0000-0000-000065870000}"/>
    <cellStyle name="Normal 5 17 2 10 5 3" xfId="34676" xr:uid="{00000000-0005-0000-0000-000066870000}"/>
    <cellStyle name="Normal 5 17 2 10 5 4" xfId="34677" xr:uid="{00000000-0005-0000-0000-000067870000}"/>
    <cellStyle name="Normal 5 17 2 10 5 5" xfId="34678" xr:uid="{00000000-0005-0000-0000-000068870000}"/>
    <cellStyle name="Normal 5 17 2 10 5 6" xfId="34679" xr:uid="{00000000-0005-0000-0000-000069870000}"/>
    <cellStyle name="Normal 5 17 2 10 5 7" xfId="34680" xr:uid="{00000000-0005-0000-0000-00006A870000}"/>
    <cellStyle name="Normal 5 17 2 10 5 8" xfId="34681" xr:uid="{00000000-0005-0000-0000-00006B870000}"/>
    <cellStyle name="Normal 5 17 2 10 5 9" xfId="34682" xr:uid="{00000000-0005-0000-0000-00006C870000}"/>
    <cellStyle name="Normal 5 17 2 10 6" xfId="34683" xr:uid="{00000000-0005-0000-0000-00006D870000}"/>
    <cellStyle name="Normal 5 17 2 10 7" xfId="34684" xr:uid="{00000000-0005-0000-0000-00006E870000}"/>
    <cellStyle name="Normal 5 17 2 10 8" xfId="34685" xr:uid="{00000000-0005-0000-0000-00006F870000}"/>
    <cellStyle name="Normal 5 17 2 10 9" xfId="34686" xr:uid="{00000000-0005-0000-0000-000070870000}"/>
    <cellStyle name="Normal 5 17 2 11" xfId="34687" xr:uid="{00000000-0005-0000-0000-000071870000}"/>
    <cellStyle name="Normal 5 17 2 11 10" xfId="34688" xr:uid="{00000000-0005-0000-0000-000072870000}"/>
    <cellStyle name="Normal 5 17 2 11 11" xfId="34689" xr:uid="{00000000-0005-0000-0000-000073870000}"/>
    <cellStyle name="Normal 5 17 2 11 12" xfId="34690" xr:uid="{00000000-0005-0000-0000-000074870000}"/>
    <cellStyle name="Normal 5 17 2 11 13" xfId="34691" xr:uid="{00000000-0005-0000-0000-000075870000}"/>
    <cellStyle name="Normal 5 17 2 11 14" xfId="34692" xr:uid="{00000000-0005-0000-0000-000076870000}"/>
    <cellStyle name="Normal 5 17 2 11 2" xfId="34693" xr:uid="{00000000-0005-0000-0000-000077870000}"/>
    <cellStyle name="Normal 5 17 2 11 2 10" xfId="34694" xr:uid="{00000000-0005-0000-0000-000078870000}"/>
    <cellStyle name="Normal 5 17 2 11 2 2" xfId="34695" xr:uid="{00000000-0005-0000-0000-000079870000}"/>
    <cellStyle name="Normal 5 17 2 11 2 3" xfId="34696" xr:uid="{00000000-0005-0000-0000-00007A870000}"/>
    <cellStyle name="Normal 5 17 2 11 2 4" xfId="34697" xr:uid="{00000000-0005-0000-0000-00007B870000}"/>
    <cellStyle name="Normal 5 17 2 11 2 5" xfId="34698" xr:uid="{00000000-0005-0000-0000-00007C870000}"/>
    <cellStyle name="Normal 5 17 2 11 2 6" xfId="34699" xr:uid="{00000000-0005-0000-0000-00007D870000}"/>
    <cellStyle name="Normal 5 17 2 11 2 7" xfId="34700" xr:uid="{00000000-0005-0000-0000-00007E870000}"/>
    <cellStyle name="Normal 5 17 2 11 2 8" xfId="34701" xr:uid="{00000000-0005-0000-0000-00007F870000}"/>
    <cellStyle name="Normal 5 17 2 11 2 9" xfId="34702" xr:uid="{00000000-0005-0000-0000-000080870000}"/>
    <cellStyle name="Normal 5 17 2 11 3" xfId="34703" xr:uid="{00000000-0005-0000-0000-000081870000}"/>
    <cellStyle name="Normal 5 17 2 11 3 10" xfId="34704" xr:uid="{00000000-0005-0000-0000-000082870000}"/>
    <cellStyle name="Normal 5 17 2 11 3 2" xfId="34705" xr:uid="{00000000-0005-0000-0000-000083870000}"/>
    <cellStyle name="Normal 5 17 2 11 3 3" xfId="34706" xr:uid="{00000000-0005-0000-0000-000084870000}"/>
    <cellStyle name="Normal 5 17 2 11 3 4" xfId="34707" xr:uid="{00000000-0005-0000-0000-000085870000}"/>
    <cellStyle name="Normal 5 17 2 11 3 5" xfId="34708" xr:uid="{00000000-0005-0000-0000-000086870000}"/>
    <cellStyle name="Normal 5 17 2 11 3 6" xfId="34709" xr:uid="{00000000-0005-0000-0000-000087870000}"/>
    <cellStyle name="Normal 5 17 2 11 3 7" xfId="34710" xr:uid="{00000000-0005-0000-0000-000088870000}"/>
    <cellStyle name="Normal 5 17 2 11 3 8" xfId="34711" xr:uid="{00000000-0005-0000-0000-000089870000}"/>
    <cellStyle name="Normal 5 17 2 11 3 9" xfId="34712" xr:uid="{00000000-0005-0000-0000-00008A870000}"/>
    <cellStyle name="Normal 5 17 2 11 4" xfId="34713" xr:uid="{00000000-0005-0000-0000-00008B870000}"/>
    <cellStyle name="Normal 5 17 2 11 4 10" xfId="34714" xr:uid="{00000000-0005-0000-0000-00008C870000}"/>
    <cellStyle name="Normal 5 17 2 11 4 2" xfId="34715" xr:uid="{00000000-0005-0000-0000-00008D870000}"/>
    <cellStyle name="Normal 5 17 2 11 4 3" xfId="34716" xr:uid="{00000000-0005-0000-0000-00008E870000}"/>
    <cellStyle name="Normal 5 17 2 11 4 4" xfId="34717" xr:uid="{00000000-0005-0000-0000-00008F870000}"/>
    <cellStyle name="Normal 5 17 2 11 4 5" xfId="34718" xr:uid="{00000000-0005-0000-0000-000090870000}"/>
    <cellStyle name="Normal 5 17 2 11 4 6" xfId="34719" xr:uid="{00000000-0005-0000-0000-000091870000}"/>
    <cellStyle name="Normal 5 17 2 11 4 7" xfId="34720" xr:uid="{00000000-0005-0000-0000-000092870000}"/>
    <cellStyle name="Normal 5 17 2 11 4 8" xfId="34721" xr:uid="{00000000-0005-0000-0000-000093870000}"/>
    <cellStyle name="Normal 5 17 2 11 4 9" xfId="34722" xr:uid="{00000000-0005-0000-0000-000094870000}"/>
    <cellStyle name="Normal 5 17 2 11 5" xfId="34723" xr:uid="{00000000-0005-0000-0000-000095870000}"/>
    <cellStyle name="Normal 5 17 2 11 5 10" xfId="34724" xr:uid="{00000000-0005-0000-0000-000096870000}"/>
    <cellStyle name="Normal 5 17 2 11 5 2" xfId="34725" xr:uid="{00000000-0005-0000-0000-000097870000}"/>
    <cellStyle name="Normal 5 17 2 11 5 3" xfId="34726" xr:uid="{00000000-0005-0000-0000-000098870000}"/>
    <cellStyle name="Normal 5 17 2 11 5 4" xfId="34727" xr:uid="{00000000-0005-0000-0000-000099870000}"/>
    <cellStyle name="Normal 5 17 2 11 5 5" xfId="34728" xr:uid="{00000000-0005-0000-0000-00009A870000}"/>
    <cellStyle name="Normal 5 17 2 11 5 6" xfId="34729" xr:uid="{00000000-0005-0000-0000-00009B870000}"/>
    <cellStyle name="Normal 5 17 2 11 5 7" xfId="34730" xr:uid="{00000000-0005-0000-0000-00009C870000}"/>
    <cellStyle name="Normal 5 17 2 11 5 8" xfId="34731" xr:uid="{00000000-0005-0000-0000-00009D870000}"/>
    <cellStyle name="Normal 5 17 2 11 5 9" xfId="34732" xr:uid="{00000000-0005-0000-0000-00009E870000}"/>
    <cellStyle name="Normal 5 17 2 11 6" xfId="34733" xr:uid="{00000000-0005-0000-0000-00009F870000}"/>
    <cellStyle name="Normal 5 17 2 11 7" xfId="34734" xr:uid="{00000000-0005-0000-0000-0000A0870000}"/>
    <cellStyle name="Normal 5 17 2 11 8" xfId="34735" xr:uid="{00000000-0005-0000-0000-0000A1870000}"/>
    <cellStyle name="Normal 5 17 2 11 9" xfId="34736" xr:uid="{00000000-0005-0000-0000-0000A2870000}"/>
    <cellStyle name="Normal 5 17 2 12" xfId="34737" xr:uid="{00000000-0005-0000-0000-0000A3870000}"/>
    <cellStyle name="Normal 5 17 2 12 10" xfId="34738" xr:uid="{00000000-0005-0000-0000-0000A4870000}"/>
    <cellStyle name="Normal 5 17 2 12 11" xfId="34739" xr:uid="{00000000-0005-0000-0000-0000A5870000}"/>
    <cellStyle name="Normal 5 17 2 12 12" xfId="34740" xr:uid="{00000000-0005-0000-0000-0000A6870000}"/>
    <cellStyle name="Normal 5 17 2 12 13" xfId="34741" xr:uid="{00000000-0005-0000-0000-0000A7870000}"/>
    <cellStyle name="Normal 5 17 2 12 14" xfId="34742" xr:uid="{00000000-0005-0000-0000-0000A8870000}"/>
    <cellStyle name="Normal 5 17 2 12 2" xfId="34743" xr:uid="{00000000-0005-0000-0000-0000A9870000}"/>
    <cellStyle name="Normal 5 17 2 12 2 10" xfId="34744" xr:uid="{00000000-0005-0000-0000-0000AA870000}"/>
    <cellStyle name="Normal 5 17 2 12 2 2" xfId="34745" xr:uid="{00000000-0005-0000-0000-0000AB870000}"/>
    <cellStyle name="Normal 5 17 2 12 2 3" xfId="34746" xr:uid="{00000000-0005-0000-0000-0000AC870000}"/>
    <cellStyle name="Normal 5 17 2 12 2 4" xfId="34747" xr:uid="{00000000-0005-0000-0000-0000AD870000}"/>
    <cellStyle name="Normal 5 17 2 12 2 5" xfId="34748" xr:uid="{00000000-0005-0000-0000-0000AE870000}"/>
    <cellStyle name="Normal 5 17 2 12 2 6" xfId="34749" xr:uid="{00000000-0005-0000-0000-0000AF870000}"/>
    <cellStyle name="Normal 5 17 2 12 2 7" xfId="34750" xr:uid="{00000000-0005-0000-0000-0000B0870000}"/>
    <cellStyle name="Normal 5 17 2 12 2 8" xfId="34751" xr:uid="{00000000-0005-0000-0000-0000B1870000}"/>
    <cellStyle name="Normal 5 17 2 12 2 9" xfId="34752" xr:uid="{00000000-0005-0000-0000-0000B2870000}"/>
    <cellStyle name="Normal 5 17 2 12 3" xfId="34753" xr:uid="{00000000-0005-0000-0000-0000B3870000}"/>
    <cellStyle name="Normal 5 17 2 12 3 10" xfId="34754" xr:uid="{00000000-0005-0000-0000-0000B4870000}"/>
    <cellStyle name="Normal 5 17 2 12 3 2" xfId="34755" xr:uid="{00000000-0005-0000-0000-0000B5870000}"/>
    <cellStyle name="Normal 5 17 2 12 3 3" xfId="34756" xr:uid="{00000000-0005-0000-0000-0000B6870000}"/>
    <cellStyle name="Normal 5 17 2 12 3 4" xfId="34757" xr:uid="{00000000-0005-0000-0000-0000B7870000}"/>
    <cellStyle name="Normal 5 17 2 12 3 5" xfId="34758" xr:uid="{00000000-0005-0000-0000-0000B8870000}"/>
    <cellStyle name="Normal 5 17 2 12 3 6" xfId="34759" xr:uid="{00000000-0005-0000-0000-0000B9870000}"/>
    <cellStyle name="Normal 5 17 2 12 3 7" xfId="34760" xr:uid="{00000000-0005-0000-0000-0000BA870000}"/>
    <cellStyle name="Normal 5 17 2 12 3 8" xfId="34761" xr:uid="{00000000-0005-0000-0000-0000BB870000}"/>
    <cellStyle name="Normal 5 17 2 12 3 9" xfId="34762" xr:uid="{00000000-0005-0000-0000-0000BC870000}"/>
    <cellStyle name="Normal 5 17 2 12 4" xfId="34763" xr:uid="{00000000-0005-0000-0000-0000BD870000}"/>
    <cellStyle name="Normal 5 17 2 12 4 10" xfId="34764" xr:uid="{00000000-0005-0000-0000-0000BE870000}"/>
    <cellStyle name="Normal 5 17 2 12 4 2" xfId="34765" xr:uid="{00000000-0005-0000-0000-0000BF870000}"/>
    <cellStyle name="Normal 5 17 2 12 4 3" xfId="34766" xr:uid="{00000000-0005-0000-0000-0000C0870000}"/>
    <cellStyle name="Normal 5 17 2 12 4 4" xfId="34767" xr:uid="{00000000-0005-0000-0000-0000C1870000}"/>
    <cellStyle name="Normal 5 17 2 12 4 5" xfId="34768" xr:uid="{00000000-0005-0000-0000-0000C2870000}"/>
    <cellStyle name="Normal 5 17 2 12 4 6" xfId="34769" xr:uid="{00000000-0005-0000-0000-0000C3870000}"/>
    <cellStyle name="Normal 5 17 2 12 4 7" xfId="34770" xr:uid="{00000000-0005-0000-0000-0000C4870000}"/>
    <cellStyle name="Normal 5 17 2 12 4 8" xfId="34771" xr:uid="{00000000-0005-0000-0000-0000C5870000}"/>
    <cellStyle name="Normal 5 17 2 12 4 9" xfId="34772" xr:uid="{00000000-0005-0000-0000-0000C6870000}"/>
    <cellStyle name="Normal 5 17 2 12 5" xfId="34773" xr:uid="{00000000-0005-0000-0000-0000C7870000}"/>
    <cellStyle name="Normal 5 17 2 12 5 10" xfId="34774" xr:uid="{00000000-0005-0000-0000-0000C8870000}"/>
    <cellStyle name="Normal 5 17 2 12 5 2" xfId="34775" xr:uid="{00000000-0005-0000-0000-0000C9870000}"/>
    <cellStyle name="Normal 5 17 2 12 5 3" xfId="34776" xr:uid="{00000000-0005-0000-0000-0000CA870000}"/>
    <cellStyle name="Normal 5 17 2 12 5 4" xfId="34777" xr:uid="{00000000-0005-0000-0000-0000CB870000}"/>
    <cellStyle name="Normal 5 17 2 12 5 5" xfId="34778" xr:uid="{00000000-0005-0000-0000-0000CC870000}"/>
    <cellStyle name="Normal 5 17 2 12 5 6" xfId="34779" xr:uid="{00000000-0005-0000-0000-0000CD870000}"/>
    <cellStyle name="Normal 5 17 2 12 5 7" xfId="34780" xr:uid="{00000000-0005-0000-0000-0000CE870000}"/>
    <cellStyle name="Normal 5 17 2 12 5 8" xfId="34781" xr:uid="{00000000-0005-0000-0000-0000CF870000}"/>
    <cellStyle name="Normal 5 17 2 12 5 9" xfId="34782" xr:uid="{00000000-0005-0000-0000-0000D0870000}"/>
    <cellStyle name="Normal 5 17 2 12 6" xfId="34783" xr:uid="{00000000-0005-0000-0000-0000D1870000}"/>
    <cellStyle name="Normal 5 17 2 12 7" xfId="34784" xr:uid="{00000000-0005-0000-0000-0000D2870000}"/>
    <cellStyle name="Normal 5 17 2 12 8" xfId="34785" xr:uid="{00000000-0005-0000-0000-0000D3870000}"/>
    <cellStyle name="Normal 5 17 2 12 9" xfId="34786" xr:uid="{00000000-0005-0000-0000-0000D4870000}"/>
    <cellStyle name="Normal 5 17 2 13" xfId="34787" xr:uid="{00000000-0005-0000-0000-0000D5870000}"/>
    <cellStyle name="Normal 5 17 2 13 10" xfId="34788" xr:uid="{00000000-0005-0000-0000-0000D6870000}"/>
    <cellStyle name="Normal 5 17 2 13 11" xfId="34789" xr:uid="{00000000-0005-0000-0000-0000D7870000}"/>
    <cellStyle name="Normal 5 17 2 13 12" xfId="34790" xr:uid="{00000000-0005-0000-0000-0000D8870000}"/>
    <cellStyle name="Normal 5 17 2 13 13" xfId="34791" xr:uid="{00000000-0005-0000-0000-0000D9870000}"/>
    <cellStyle name="Normal 5 17 2 13 14" xfId="34792" xr:uid="{00000000-0005-0000-0000-0000DA870000}"/>
    <cellStyle name="Normal 5 17 2 13 2" xfId="34793" xr:uid="{00000000-0005-0000-0000-0000DB870000}"/>
    <cellStyle name="Normal 5 17 2 13 2 10" xfId="34794" xr:uid="{00000000-0005-0000-0000-0000DC870000}"/>
    <cellStyle name="Normal 5 17 2 13 2 2" xfId="34795" xr:uid="{00000000-0005-0000-0000-0000DD870000}"/>
    <cellStyle name="Normal 5 17 2 13 2 3" xfId="34796" xr:uid="{00000000-0005-0000-0000-0000DE870000}"/>
    <cellStyle name="Normal 5 17 2 13 2 4" xfId="34797" xr:uid="{00000000-0005-0000-0000-0000DF870000}"/>
    <cellStyle name="Normal 5 17 2 13 2 5" xfId="34798" xr:uid="{00000000-0005-0000-0000-0000E0870000}"/>
    <cellStyle name="Normal 5 17 2 13 2 6" xfId="34799" xr:uid="{00000000-0005-0000-0000-0000E1870000}"/>
    <cellStyle name="Normal 5 17 2 13 2 7" xfId="34800" xr:uid="{00000000-0005-0000-0000-0000E2870000}"/>
    <cellStyle name="Normal 5 17 2 13 2 8" xfId="34801" xr:uid="{00000000-0005-0000-0000-0000E3870000}"/>
    <cellStyle name="Normal 5 17 2 13 2 9" xfId="34802" xr:uid="{00000000-0005-0000-0000-0000E4870000}"/>
    <cellStyle name="Normal 5 17 2 13 3" xfId="34803" xr:uid="{00000000-0005-0000-0000-0000E5870000}"/>
    <cellStyle name="Normal 5 17 2 13 3 10" xfId="34804" xr:uid="{00000000-0005-0000-0000-0000E6870000}"/>
    <cellStyle name="Normal 5 17 2 13 3 2" xfId="34805" xr:uid="{00000000-0005-0000-0000-0000E7870000}"/>
    <cellStyle name="Normal 5 17 2 13 3 3" xfId="34806" xr:uid="{00000000-0005-0000-0000-0000E8870000}"/>
    <cellStyle name="Normal 5 17 2 13 3 4" xfId="34807" xr:uid="{00000000-0005-0000-0000-0000E9870000}"/>
    <cellStyle name="Normal 5 17 2 13 3 5" xfId="34808" xr:uid="{00000000-0005-0000-0000-0000EA870000}"/>
    <cellStyle name="Normal 5 17 2 13 3 6" xfId="34809" xr:uid="{00000000-0005-0000-0000-0000EB870000}"/>
    <cellStyle name="Normal 5 17 2 13 3 7" xfId="34810" xr:uid="{00000000-0005-0000-0000-0000EC870000}"/>
    <cellStyle name="Normal 5 17 2 13 3 8" xfId="34811" xr:uid="{00000000-0005-0000-0000-0000ED870000}"/>
    <cellStyle name="Normal 5 17 2 13 3 9" xfId="34812" xr:uid="{00000000-0005-0000-0000-0000EE870000}"/>
    <cellStyle name="Normal 5 17 2 13 4" xfId="34813" xr:uid="{00000000-0005-0000-0000-0000EF870000}"/>
    <cellStyle name="Normal 5 17 2 13 4 10" xfId="34814" xr:uid="{00000000-0005-0000-0000-0000F0870000}"/>
    <cellStyle name="Normal 5 17 2 13 4 2" xfId="34815" xr:uid="{00000000-0005-0000-0000-0000F1870000}"/>
    <cellStyle name="Normal 5 17 2 13 4 3" xfId="34816" xr:uid="{00000000-0005-0000-0000-0000F2870000}"/>
    <cellStyle name="Normal 5 17 2 13 4 4" xfId="34817" xr:uid="{00000000-0005-0000-0000-0000F3870000}"/>
    <cellStyle name="Normal 5 17 2 13 4 5" xfId="34818" xr:uid="{00000000-0005-0000-0000-0000F4870000}"/>
    <cellStyle name="Normal 5 17 2 13 4 6" xfId="34819" xr:uid="{00000000-0005-0000-0000-0000F5870000}"/>
    <cellStyle name="Normal 5 17 2 13 4 7" xfId="34820" xr:uid="{00000000-0005-0000-0000-0000F6870000}"/>
    <cellStyle name="Normal 5 17 2 13 4 8" xfId="34821" xr:uid="{00000000-0005-0000-0000-0000F7870000}"/>
    <cellStyle name="Normal 5 17 2 13 4 9" xfId="34822" xr:uid="{00000000-0005-0000-0000-0000F8870000}"/>
    <cellStyle name="Normal 5 17 2 13 5" xfId="34823" xr:uid="{00000000-0005-0000-0000-0000F9870000}"/>
    <cellStyle name="Normal 5 17 2 13 5 10" xfId="34824" xr:uid="{00000000-0005-0000-0000-0000FA870000}"/>
    <cellStyle name="Normal 5 17 2 13 5 2" xfId="34825" xr:uid="{00000000-0005-0000-0000-0000FB870000}"/>
    <cellStyle name="Normal 5 17 2 13 5 3" xfId="34826" xr:uid="{00000000-0005-0000-0000-0000FC870000}"/>
    <cellStyle name="Normal 5 17 2 13 5 4" xfId="34827" xr:uid="{00000000-0005-0000-0000-0000FD870000}"/>
    <cellStyle name="Normal 5 17 2 13 5 5" xfId="34828" xr:uid="{00000000-0005-0000-0000-0000FE870000}"/>
    <cellStyle name="Normal 5 17 2 13 5 6" xfId="34829" xr:uid="{00000000-0005-0000-0000-0000FF870000}"/>
    <cellStyle name="Normal 5 17 2 13 5 7" xfId="34830" xr:uid="{00000000-0005-0000-0000-000000880000}"/>
    <cellStyle name="Normal 5 17 2 13 5 8" xfId="34831" xr:uid="{00000000-0005-0000-0000-000001880000}"/>
    <cellStyle name="Normal 5 17 2 13 5 9" xfId="34832" xr:uid="{00000000-0005-0000-0000-000002880000}"/>
    <cellStyle name="Normal 5 17 2 13 6" xfId="34833" xr:uid="{00000000-0005-0000-0000-000003880000}"/>
    <cellStyle name="Normal 5 17 2 13 7" xfId="34834" xr:uid="{00000000-0005-0000-0000-000004880000}"/>
    <cellStyle name="Normal 5 17 2 13 8" xfId="34835" xr:uid="{00000000-0005-0000-0000-000005880000}"/>
    <cellStyle name="Normal 5 17 2 13 9" xfId="34836" xr:uid="{00000000-0005-0000-0000-000006880000}"/>
    <cellStyle name="Normal 5 17 2 14" xfId="34837" xr:uid="{00000000-0005-0000-0000-000007880000}"/>
    <cellStyle name="Normal 5 17 2 14 10" xfId="34838" xr:uid="{00000000-0005-0000-0000-000008880000}"/>
    <cellStyle name="Normal 5 17 2 14 11" xfId="34839" xr:uid="{00000000-0005-0000-0000-000009880000}"/>
    <cellStyle name="Normal 5 17 2 14 12" xfId="34840" xr:uid="{00000000-0005-0000-0000-00000A880000}"/>
    <cellStyle name="Normal 5 17 2 14 13" xfId="34841" xr:uid="{00000000-0005-0000-0000-00000B880000}"/>
    <cellStyle name="Normal 5 17 2 14 14" xfId="34842" xr:uid="{00000000-0005-0000-0000-00000C880000}"/>
    <cellStyle name="Normal 5 17 2 14 2" xfId="34843" xr:uid="{00000000-0005-0000-0000-00000D880000}"/>
    <cellStyle name="Normal 5 17 2 14 2 10" xfId="34844" xr:uid="{00000000-0005-0000-0000-00000E880000}"/>
    <cellStyle name="Normal 5 17 2 14 2 2" xfId="34845" xr:uid="{00000000-0005-0000-0000-00000F880000}"/>
    <cellStyle name="Normal 5 17 2 14 2 3" xfId="34846" xr:uid="{00000000-0005-0000-0000-000010880000}"/>
    <cellStyle name="Normal 5 17 2 14 2 4" xfId="34847" xr:uid="{00000000-0005-0000-0000-000011880000}"/>
    <cellStyle name="Normal 5 17 2 14 2 5" xfId="34848" xr:uid="{00000000-0005-0000-0000-000012880000}"/>
    <cellStyle name="Normal 5 17 2 14 2 6" xfId="34849" xr:uid="{00000000-0005-0000-0000-000013880000}"/>
    <cellStyle name="Normal 5 17 2 14 2 7" xfId="34850" xr:uid="{00000000-0005-0000-0000-000014880000}"/>
    <cellStyle name="Normal 5 17 2 14 2 8" xfId="34851" xr:uid="{00000000-0005-0000-0000-000015880000}"/>
    <cellStyle name="Normal 5 17 2 14 2 9" xfId="34852" xr:uid="{00000000-0005-0000-0000-000016880000}"/>
    <cellStyle name="Normal 5 17 2 14 3" xfId="34853" xr:uid="{00000000-0005-0000-0000-000017880000}"/>
    <cellStyle name="Normal 5 17 2 14 3 10" xfId="34854" xr:uid="{00000000-0005-0000-0000-000018880000}"/>
    <cellStyle name="Normal 5 17 2 14 3 2" xfId="34855" xr:uid="{00000000-0005-0000-0000-000019880000}"/>
    <cellStyle name="Normal 5 17 2 14 3 3" xfId="34856" xr:uid="{00000000-0005-0000-0000-00001A880000}"/>
    <cellStyle name="Normal 5 17 2 14 3 4" xfId="34857" xr:uid="{00000000-0005-0000-0000-00001B880000}"/>
    <cellStyle name="Normal 5 17 2 14 3 5" xfId="34858" xr:uid="{00000000-0005-0000-0000-00001C880000}"/>
    <cellStyle name="Normal 5 17 2 14 3 6" xfId="34859" xr:uid="{00000000-0005-0000-0000-00001D880000}"/>
    <cellStyle name="Normal 5 17 2 14 3 7" xfId="34860" xr:uid="{00000000-0005-0000-0000-00001E880000}"/>
    <cellStyle name="Normal 5 17 2 14 3 8" xfId="34861" xr:uid="{00000000-0005-0000-0000-00001F880000}"/>
    <cellStyle name="Normal 5 17 2 14 3 9" xfId="34862" xr:uid="{00000000-0005-0000-0000-000020880000}"/>
    <cellStyle name="Normal 5 17 2 14 4" xfId="34863" xr:uid="{00000000-0005-0000-0000-000021880000}"/>
    <cellStyle name="Normal 5 17 2 14 4 10" xfId="34864" xr:uid="{00000000-0005-0000-0000-000022880000}"/>
    <cellStyle name="Normal 5 17 2 14 4 2" xfId="34865" xr:uid="{00000000-0005-0000-0000-000023880000}"/>
    <cellStyle name="Normal 5 17 2 14 4 3" xfId="34866" xr:uid="{00000000-0005-0000-0000-000024880000}"/>
    <cellStyle name="Normal 5 17 2 14 4 4" xfId="34867" xr:uid="{00000000-0005-0000-0000-000025880000}"/>
    <cellStyle name="Normal 5 17 2 14 4 5" xfId="34868" xr:uid="{00000000-0005-0000-0000-000026880000}"/>
    <cellStyle name="Normal 5 17 2 14 4 6" xfId="34869" xr:uid="{00000000-0005-0000-0000-000027880000}"/>
    <cellStyle name="Normal 5 17 2 14 4 7" xfId="34870" xr:uid="{00000000-0005-0000-0000-000028880000}"/>
    <cellStyle name="Normal 5 17 2 14 4 8" xfId="34871" xr:uid="{00000000-0005-0000-0000-000029880000}"/>
    <cellStyle name="Normal 5 17 2 14 4 9" xfId="34872" xr:uid="{00000000-0005-0000-0000-00002A880000}"/>
    <cellStyle name="Normal 5 17 2 14 5" xfId="34873" xr:uid="{00000000-0005-0000-0000-00002B880000}"/>
    <cellStyle name="Normal 5 17 2 14 5 10" xfId="34874" xr:uid="{00000000-0005-0000-0000-00002C880000}"/>
    <cellStyle name="Normal 5 17 2 14 5 2" xfId="34875" xr:uid="{00000000-0005-0000-0000-00002D880000}"/>
    <cellStyle name="Normal 5 17 2 14 5 3" xfId="34876" xr:uid="{00000000-0005-0000-0000-00002E880000}"/>
    <cellStyle name="Normal 5 17 2 14 5 4" xfId="34877" xr:uid="{00000000-0005-0000-0000-00002F880000}"/>
    <cellStyle name="Normal 5 17 2 14 5 5" xfId="34878" xr:uid="{00000000-0005-0000-0000-000030880000}"/>
    <cellStyle name="Normal 5 17 2 14 5 6" xfId="34879" xr:uid="{00000000-0005-0000-0000-000031880000}"/>
    <cellStyle name="Normal 5 17 2 14 5 7" xfId="34880" xr:uid="{00000000-0005-0000-0000-000032880000}"/>
    <cellStyle name="Normal 5 17 2 14 5 8" xfId="34881" xr:uid="{00000000-0005-0000-0000-000033880000}"/>
    <cellStyle name="Normal 5 17 2 14 5 9" xfId="34882" xr:uid="{00000000-0005-0000-0000-000034880000}"/>
    <cellStyle name="Normal 5 17 2 14 6" xfId="34883" xr:uid="{00000000-0005-0000-0000-000035880000}"/>
    <cellStyle name="Normal 5 17 2 14 7" xfId="34884" xr:uid="{00000000-0005-0000-0000-000036880000}"/>
    <cellStyle name="Normal 5 17 2 14 8" xfId="34885" xr:uid="{00000000-0005-0000-0000-000037880000}"/>
    <cellStyle name="Normal 5 17 2 14 9" xfId="34886" xr:uid="{00000000-0005-0000-0000-000038880000}"/>
    <cellStyle name="Normal 5 17 2 15" xfId="34887" xr:uid="{00000000-0005-0000-0000-000039880000}"/>
    <cellStyle name="Normal 5 17 2 15 10" xfId="34888" xr:uid="{00000000-0005-0000-0000-00003A880000}"/>
    <cellStyle name="Normal 5 17 2 15 11" xfId="34889" xr:uid="{00000000-0005-0000-0000-00003B880000}"/>
    <cellStyle name="Normal 5 17 2 15 12" xfId="34890" xr:uid="{00000000-0005-0000-0000-00003C880000}"/>
    <cellStyle name="Normal 5 17 2 15 13" xfId="34891" xr:uid="{00000000-0005-0000-0000-00003D880000}"/>
    <cellStyle name="Normal 5 17 2 15 14" xfId="34892" xr:uid="{00000000-0005-0000-0000-00003E880000}"/>
    <cellStyle name="Normal 5 17 2 15 2" xfId="34893" xr:uid="{00000000-0005-0000-0000-00003F880000}"/>
    <cellStyle name="Normal 5 17 2 15 2 10" xfId="34894" xr:uid="{00000000-0005-0000-0000-000040880000}"/>
    <cellStyle name="Normal 5 17 2 15 2 2" xfId="34895" xr:uid="{00000000-0005-0000-0000-000041880000}"/>
    <cellStyle name="Normal 5 17 2 15 2 3" xfId="34896" xr:uid="{00000000-0005-0000-0000-000042880000}"/>
    <cellStyle name="Normal 5 17 2 15 2 4" xfId="34897" xr:uid="{00000000-0005-0000-0000-000043880000}"/>
    <cellStyle name="Normal 5 17 2 15 2 5" xfId="34898" xr:uid="{00000000-0005-0000-0000-000044880000}"/>
    <cellStyle name="Normal 5 17 2 15 2 6" xfId="34899" xr:uid="{00000000-0005-0000-0000-000045880000}"/>
    <cellStyle name="Normal 5 17 2 15 2 7" xfId="34900" xr:uid="{00000000-0005-0000-0000-000046880000}"/>
    <cellStyle name="Normal 5 17 2 15 2 8" xfId="34901" xr:uid="{00000000-0005-0000-0000-000047880000}"/>
    <cellStyle name="Normal 5 17 2 15 2 9" xfId="34902" xr:uid="{00000000-0005-0000-0000-000048880000}"/>
    <cellStyle name="Normal 5 17 2 15 3" xfId="34903" xr:uid="{00000000-0005-0000-0000-000049880000}"/>
    <cellStyle name="Normal 5 17 2 15 3 10" xfId="34904" xr:uid="{00000000-0005-0000-0000-00004A880000}"/>
    <cellStyle name="Normal 5 17 2 15 3 2" xfId="34905" xr:uid="{00000000-0005-0000-0000-00004B880000}"/>
    <cellStyle name="Normal 5 17 2 15 3 3" xfId="34906" xr:uid="{00000000-0005-0000-0000-00004C880000}"/>
    <cellStyle name="Normal 5 17 2 15 3 4" xfId="34907" xr:uid="{00000000-0005-0000-0000-00004D880000}"/>
    <cellStyle name="Normal 5 17 2 15 3 5" xfId="34908" xr:uid="{00000000-0005-0000-0000-00004E880000}"/>
    <cellStyle name="Normal 5 17 2 15 3 6" xfId="34909" xr:uid="{00000000-0005-0000-0000-00004F880000}"/>
    <cellStyle name="Normal 5 17 2 15 3 7" xfId="34910" xr:uid="{00000000-0005-0000-0000-000050880000}"/>
    <cellStyle name="Normal 5 17 2 15 3 8" xfId="34911" xr:uid="{00000000-0005-0000-0000-000051880000}"/>
    <cellStyle name="Normal 5 17 2 15 3 9" xfId="34912" xr:uid="{00000000-0005-0000-0000-000052880000}"/>
    <cellStyle name="Normal 5 17 2 15 4" xfId="34913" xr:uid="{00000000-0005-0000-0000-000053880000}"/>
    <cellStyle name="Normal 5 17 2 15 4 10" xfId="34914" xr:uid="{00000000-0005-0000-0000-000054880000}"/>
    <cellStyle name="Normal 5 17 2 15 4 2" xfId="34915" xr:uid="{00000000-0005-0000-0000-000055880000}"/>
    <cellStyle name="Normal 5 17 2 15 4 3" xfId="34916" xr:uid="{00000000-0005-0000-0000-000056880000}"/>
    <cellStyle name="Normal 5 17 2 15 4 4" xfId="34917" xr:uid="{00000000-0005-0000-0000-000057880000}"/>
    <cellStyle name="Normal 5 17 2 15 4 5" xfId="34918" xr:uid="{00000000-0005-0000-0000-000058880000}"/>
    <cellStyle name="Normal 5 17 2 15 4 6" xfId="34919" xr:uid="{00000000-0005-0000-0000-000059880000}"/>
    <cellStyle name="Normal 5 17 2 15 4 7" xfId="34920" xr:uid="{00000000-0005-0000-0000-00005A880000}"/>
    <cellStyle name="Normal 5 17 2 15 4 8" xfId="34921" xr:uid="{00000000-0005-0000-0000-00005B880000}"/>
    <cellStyle name="Normal 5 17 2 15 4 9" xfId="34922" xr:uid="{00000000-0005-0000-0000-00005C880000}"/>
    <cellStyle name="Normal 5 17 2 15 5" xfId="34923" xr:uid="{00000000-0005-0000-0000-00005D880000}"/>
    <cellStyle name="Normal 5 17 2 15 5 10" xfId="34924" xr:uid="{00000000-0005-0000-0000-00005E880000}"/>
    <cellStyle name="Normal 5 17 2 15 5 2" xfId="34925" xr:uid="{00000000-0005-0000-0000-00005F880000}"/>
    <cellStyle name="Normal 5 17 2 15 5 3" xfId="34926" xr:uid="{00000000-0005-0000-0000-000060880000}"/>
    <cellStyle name="Normal 5 17 2 15 5 4" xfId="34927" xr:uid="{00000000-0005-0000-0000-000061880000}"/>
    <cellStyle name="Normal 5 17 2 15 5 5" xfId="34928" xr:uid="{00000000-0005-0000-0000-000062880000}"/>
    <cellStyle name="Normal 5 17 2 15 5 6" xfId="34929" xr:uid="{00000000-0005-0000-0000-000063880000}"/>
    <cellStyle name="Normal 5 17 2 15 5 7" xfId="34930" xr:uid="{00000000-0005-0000-0000-000064880000}"/>
    <cellStyle name="Normal 5 17 2 15 5 8" xfId="34931" xr:uid="{00000000-0005-0000-0000-000065880000}"/>
    <cellStyle name="Normal 5 17 2 15 5 9" xfId="34932" xr:uid="{00000000-0005-0000-0000-000066880000}"/>
    <cellStyle name="Normal 5 17 2 15 6" xfId="34933" xr:uid="{00000000-0005-0000-0000-000067880000}"/>
    <cellStyle name="Normal 5 17 2 15 7" xfId="34934" xr:uid="{00000000-0005-0000-0000-000068880000}"/>
    <cellStyle name="Normal 5 17 2 15 8" xfId="34935" xr:uid="{00000000-0005-0000-0000-000069880000}"/>
    <cellStyle name="Normal 5 17 2 15 9" xfId="34936" xr:uid="{00000000-0005-0000-0000-00006A880000}"/>
    <cellStyle name="Normal 5 17 2 16" xfId="34937" xr:uid="{00000000-0005-0000-0000-00006B880000}"/>
    <cellStyle name="Normal 5 17 2 16 10" xfId="34938" xr:uid="{00000000-0005-0000-0000-00006C880000}"/>
    <cellStyle name="Normal 5 17 2 16 11" xfId="34939" xr:uid="{00000000-0005-0000-0000-00006D880000}"/>
    <cellStyle name="Normal 5 17 2 16 12" xfId="34940" xr:uid="{00000000-0005-0000-0000-00006E880000}"/>
    <cellStyle name="Normal 5 17 2 16 13" xfId="34941" xr:uid="{00000000-0005-0000-0000-00006F880000}"/>
    <cellStyle name="Normal 5 17 2 16 14" xfId="34942" xr:uid="{00000000-0005-0000-0000-000070880000}"/>
    <cellStyle name="Normal 5 17 2 16 2" xfId="34943" xr:uid="{00000000-0005-0000-0000-000071880000}"/>
    <cellStyle name="Normal 5 17 2 16 2 10" xfId="34944" xr:uid="{00000000-0005-0000-0000-000072880000}"/>
    <cellStyle name="Normal 5 17 2 16 2 2" xfId="34945" xr:uid="{00000000-0005-0000-0000-000073880000}"/>
    <cellStyle name="Normal 5 17 2 16 2 3" xfId="34946" xr:uid="{00000000-0005-0000-0000-000074880000}"/>
    <cellStyle name="Normal 5 17 2 16 2 4" xfId="34947" xr:uid="{00000000-0005-0000-0000-000075880000}"/>
    <cellStyle name="Normal 5 17 2 16 2 5" xfId="34948" xr:uid="{00000000-0005-0000-0000-000076880000}"/>
    <cellStyle name="Normal 5 17 2 16 2 6" xfId="34949" xr:uid="{00000000-0005-0000-0000-000077880000}"/>
    <cellStyle name="Normal 5 17 2 16 2 7" xfId="34950" xr:uid="{00000000-0005-0000-0000-000078880000}"/>
    <cellStyle name="Normal 5 17 2 16 2 8" xfId="34951" xr:uid="{00000000-0005-0000-0000-000079880000}"/>
    <cellStyle name="Normal 5 17 2 16 2 9" xfId="34952" xr:uid="{00000000-0005-0000-0000-00007A880000}"/>
    <cellStyle name="Normal 5 17 2 16 3" xfId="34953" xr:uid="{00000000-0005-0000-0000-00007B880000}"/>
    <cellStyle name="Normal 5 17 2 16 3 10" xfId="34954" xr:uid="{00000000-0005-0000-0000-00007C880000}"/>
    <cellStyle name="Normal 5 17 2 16 3 2" xfId="34955" xr:uid="{00000000-0005-0000-0000-00007D880000}"/>
    <cellStyle name="Normal 5 17 2 16 3 3" xfId="34956" xr:uid="{00000000-0005-0000-0000-00007E880000}"/>
    <cellStyle name="Normal 5 17 2 16 3 4" xfId="34957" xr:uid="{00000000-0005-0000-0000-00007F880000}"/>
    <cellStyle name="Normal 5 17 2 16 3 5" xfId="34958" xr:uid="{00000000-0005-0000-0000-000080880000}"/>
    <cellStyle name="Normal 5 17 2 16 3 6" xfId="34959" xr:uid="{00000000-0005-0000-0000-000081880000}"/>
    <cellStyle name="Normal 5 17 2 16 3 7" xfId="34960" xr:uid="{00000000-0005-0000-0000-000082880000}"/>
    <cellStyle name="Normal 5 17 2 16 3 8" xfId="34961" xr:uid="{00000000-0005-0000-0000-000083880000}"/>
    <cellStyle name="Normal 5 17 2 16 3 9" xfId="34962" xr:uid="{00000000-0005-0000-0000-000084880000}"/>
    <cellStyle name="Normal 5 17 2 16 4" xfId="34963" xr:uid="{00000000-0005-0000-0000-000085880000}"/>
    <cellStyle name="Normal 5 17 2 16 4 10" xfId="34964" xr:uid="{00000000-0005-0000-0000-000086880000}"/>
    <cellStyle name="Normal 5 17 2 16 4 2" xfId="34965" xr:uid="{00000000-0005-0000-0000-000087880000}"/>
    <cellStyle name="Normal 5 17 2 16 4 3" xfId="34966" xr:uid="{00000000-0005-0000-0000-000088880000}"/>
    <cellStyle name="Normal 5 17 2 16 4 4" xfId="34967" xr:uid="{00000000-0005-0000-0000-000089880000}"/>
    <cellStyle name="Normal 5 17 2 16 4 5" xfId="34968" xr:uid="{00000000-0005-0000-0000-00008A880000}"/>
    <cellStyle name="Normal 5 17 2 16 4 6" xfId="34969" xr:uid="{00000000-0005-0000-0000-00008B880000}"/>
    <cellStyle name="Normal 5 17 2 16 4 7" xfId="34970" xr:uid="{00000000-0005-0000-0000-00008C880000}"/>
    <cellStyle name="Normal 5 17 2 16 4 8" xfId="34971" xr:uid="{00000000-0005-0000-0000-00008D880000}"/>
    <cellStyle name="Normal 5 17 2 16 4 9" xfId="34972" xr:uid="{00000000-0005-0000-0000-00008E880000}"/>
    <cellStyle name="Normal 5 17 2 16 5" xfId="34973" xr:uid="{00000000-0005-0000-0000-00008F880000}"/>
    <cellStyle name="Normal 5 17 2 16 5 10" xfId="34974" xr:uid="{00000000-0005-0000-0000-000090880000}"/>
    <cellStyle name="Normal 5 17 2 16 5 2" xfId="34975" xr:uid="{00000000-0005-0000-0000-000091880000}"/>
    <cellStyle name="Normal 5 17 2 16 5 3" xfId="34976" xr:uid="{00000000-0005-0000-0000-000092880000}"/>
    <cellStyle name="Normal 5 17 2 16 5 4" xfId="34977" xr:uid="{00000000-0005-0000-0000-000093880000}"/>
    <cellStyle name="Normal 5 17 2 16 5 5" xfId="34978" xr:uid="{00000000-0005-0000-0000-000094880000}"/>
    <cellStyle name="Normal 5 17 2 16 5 6" xfId="34979" xr:uid="{00000000-0005-0000-0000-000095880000}"/>
    <cellStyle name="Normal 5 17 2 16 5 7" xfId="34980" xr:uid="{00000000-0005-0000-0000-000096880000}"/>
    <cellStyle name="Normal 5 17 2 16 5 8" xfId="34981" xr:uid="{00000000-0005-0000-0000-000097880000}"/>
    <cellStyle name="Normal 5 17 2 16 5 9" xfId="34982" xr:uid="{00000000-0005-0000-0000-000098880000}"/>
    <cellStyle name="Normal 5 17 2 16 6" xfId="34983" xr:uid="{00000000-0005-0000-0000-000099880000}"/>
    <cellStyle name="Normal 5 17 2 16 7" xfId="34984" xr:uid="{00000000-0005-0000-0000-00009A880000}"/>
    <cellStyle name="Normal 5 17 2 16 8" xfId="34985" xr:uid="{00000000-0005-0000-0000-00009B880000}"/>
    <cellStyle name="Normal 5 17 2 16 9" xfId="34986" xr:uid="{00000000-0005-0000-0000-00009C880000}"/>
    <cellStyle name="Normal 5 17 2 17" xfId="34987" xr:uid="{00000000-0005-0000-0000-00009D880000}"/>
    <cellStyle name="Normal 5 17 2 17 10" xfId="34988" xr:uid="{00000000-0005-0000-0000-00009E880000}"/>
    <cellStyle name="Normal 5 17 2 17 11" xfId="34989" xr:uid="{00000000-0005-0000-0000-00009F880000}"/>
    <cellStyle name="Normal 5 17 2 17 12" xfId="34990" xr:uid="{00000000-0005-0000-0000-0000A0880000}"/>
    <cellStyle name="Normal 5 17 2 17 13" xfId="34991" xr:uid="{00000000-0005-0000-0000-0000A1880000}"/>
    <cellStyle name="Normal 5 17 2 17 14" xfId="34992" xr:uid="{00000000-0005-0000-0000-0000A2880000}"/>
    <cellStyle name="Normal 5 17 2 17 2" xfId="34993" xr:uid="{00000000-0005-0000-0000-0000A3880000}"/>
    <cellStyle name="Normal 5 17 2 17 2 10" xfId="34994" xr:uid="{00000000-0005-0000-0000-0000A4880000}"/>
    <cellStyle name="Normal 5 17 2 17 2 2" xfId="34995" xr:uid="{00000000-0005-0000-0000-0000A5880000}"/>
    <cellStyle name="Normal 5 17 2 17 2 3" xfId="34996" xr:uid="{00000000-0005-0000-0000-0000A6880000}"/>
    <cellStyle name="Normal 5 17 2 17 2 4" xfId="34997" xr:uid="{00000000-0005-0000-0000-0000A7880000}"/>
    <cellStyle name="Normal 5 17 2 17 2 5" xfId="34998" xr:uid="{00000000-0005-0000-0000-0000A8880000}"/>
    <cellStyle name="Normal 5 17 2 17 2 6" xfId="34999" xr:uid="{00000000-0005-0000-0000-0000A9880000}"/>
    <cellStyle name="Normal 5 17 2 17 2 7" xfId="35000" xr:uid="{00000000-0005-0000-0000-0000AA880000}"/>
    <cellStyle name="Normal 5 17 2 17 2 8" xfId="35001" xr:uid="{00000000-0005-0000-0000-0000AB880000}"/>
    <cellStyle name="Normal 5 17 2 17 2 9" xfId="35002" xr:uid="{00000000-0005-0000-0000-0000AC880000}"/>
    <cellStyle name="Normal 5 17 2 17 3" xfId="35003" xr:uid="{00000000-0005-0000-0000-0000AD880000}"/>
    <cellStyle name="Normal 5 17 2 17 3 10" xfId="35004" xr:uid="{00000000-0005-0000-0000-0000AE880000}"/>
    <cellStyle name="Normal 5 17 2 17 3 2" xfId="35005" xr:uid="{00000000-0005-0000-0000-0000AF880000}"/>
    <cellStyle name="Normal 5 17 2 17 3 3" xfId="35006" xr:uid="{00000000-0005-0000-0000-0000B0880000}"/>
    <cellStyle name="Normal 5 17 2 17 3 4" xfId="35007" xr:uid="{00000000-0005-0000-0000-0000B1880000}"/>
    <cellStyle name="Normal 5 17 2 17 3 5" xfId="35008" xr:uid="{00000000-0005-0000-0000-0000B2880000}"/>
    <cellStyle name="Normal 5 17 2 17 3 6" xfId="35009" xr:uid="{00000000-0005-0000-0000-0000B3880000}"/>
    <cellStyle name="Normal 5 17 2 17 3 7" xfId="35010" xr:uid="{00000000-0005-0000-0000-0000B4880000}"/>
    <cellStyle name="Normal 5 17 2 17 3 8" xfId="35011" xr:uid="{00000000-0005-0000-0000-0000B5880000}"/>
    <cellStyle name="Normal 5 17 2 17 3 9" xfId="35012" xr:uid="{00000000-0005-0000-0000-0000B6880000}"/>
    <cellStyle name="Normal 5 17 2 17 4" xfId="35013" xr:uid="{00000000-0005-0000-0000-0000B7880000}"/>
    <cellStyle name="Normal 5 17 2 17 4 10" xfId="35014" xr:uid="{00000000-0005-0000-0000-0000B8880000}"/>
    <cellStyle name="Normal 5 17 2 17 4 2" xfId="35015" xr:uid="{00000000-0005-0000-0000-0000B9880000}"/>
    <cellStyle name="Normal 5 17 2 17 4 3" xfId="35016" xr:uid="{00000000-0005-0000-0000-0000BA880000}"/>
    <cellStyle name="Normal 5 17 2 17 4 4" xfId="35017" xr:uid="{00000000-0005-0000-0000-0000BB880000}"/>
    <cellStyle name="Normal 5 17 2 17 4 5" xfId="35018" xr:uid="{00000000-0005-0000-0000-0000BC880000}"/>
    <cellStyle name="Normal 5 17 2 17 4 6" xfId="35019" xr:uid="{00000000-0005-0000-0000-0000BD880000}"/>
    <cellStyle name="Normal 5 17 2 17 4 7" xfId="35020" xr:uid="{00000000-0005-0000-0000-0000BE880000}"/>
    <cellStyle name="Normal 5 17 2 17 4 8" xfId="35021" xr:uid="{00000000-0005-0000-0000-0000BF880000}"/>
    <cellStyle name="Normal 5 17 2 17 4 9" xfId="35022" xr:uid="{00000000-0005-0000-0000-0000C0880000}"/>
    <cellStyle name="Normal 5 17 2 17 5" xfId="35023" xr:uid="{00000000-0005-0000-0000-0000C1880000}"/>
    <cellStyle name="Normal 5 17 2 17 5 10" xfId="35024" xr:uid="{00000000-0005-0000-0000-0000C2880000}"/>
    <cellStyle name="Normal 5 17 2 17 5 2" xfId="35025" xr:uid="{00000000-0005-0000-0000-0000C3880000}"/>
    <cellStyle name="Normal 5 17 2 17 5 3" xfId="35026" xr:uid="{00000000-0005-0000-0000-0000C4880000}"/>
    <cellStyle name="Normal 5 17 2 17 5 4" xfId="35027" xr:uid="{00000000-0005-0000-0000-0000C5880000}"/>
    <cellStyle name="Normal 5 17 2 17 5 5" xfId="35028" xr:uid="{00000000-0005-0000-0000-0000C6880000}"/>
    <cellStyle name="Normal 5 17 2 17 5 6" xfId="35029" xr:uid="{00000000-0005-0000-0000-0000C7880000}"/>
    <cellStyle name="Normal 5 17 2 17 5 7" xfId="35030" xr:uid="{00000000-0005-0000-0000-0000C8880000}"/>
    <cellStyle name="Normal 5 17 2 17 5 8" xfId="35031" xr:uid="{00000000-0005-0000-0000-0000C9880000}"/>
    <cellStyle name="Normal 5 17 2 17 5 9" xfId="35032" xr:uid="{00000000-0005-0000-0000-0000CA880000}"/>
    <cellStyle name="Normal 5 17 2 17 6" xfId="35033" xr:uid="{00000000-0005-0000-0000-0000CB880000}"/>
    <cellStyle name="Normal 5 17 2 17 7" xfId="35034" xr:uid="{00000000-0005-0000-0000-0000CC880000}"/>
    <cellStyle name="Normal 5 17 2 17 8" xfId="35035" xr:uid="{00000000-0005-0000-0000-0000CD880000}"/>
    <cellStyle name="Normal 5 17 2 17 9" xfId="35036" xr:uid="{00000000-0005-0000-0000-0000CE880000}"/>
    <cellStyle name="Normal 5 17 2 18" xfId="35037" xr:uid="{00000000-0005-0000-0000-0000CF880000}"/>
    <cellStyle name="Normal 5 17 2 18 10" xfId="35038" xr:uid="{00000000-0005-0000-0000-0000D0880000}"/>
    <cellStyle name="Normal 5 17 2 18 11" xfId="35039" xr:uid="{00000000-0005-0000-0000-0000D1880000}"/>
    <cellStyle name="Normal 5 17 2 18 12" xfId="35040" xr:uid="{00000000-0005-0000-0000-0000D2880000}"/>
    <cellStyle name="Normal 5 17 2 18 13" xfId="35041" xr:uid="{00000000-0005-0000-0000-0000D3880000}"/>
    <cellStyle name="Normal 5 17 2 18 14" xfId="35042" xr:uid="{00000000-0005-0000-0000-0000D4880000}"/>
    <cellStyle name="Normal 5 17 2 18 2" xfId="35043" xr:uid="{00000000-0005-0000-0000-0000D5880000}"/>
    <cellStyle name="Normal 5 17 2 18 2 10" xfId="35044" xr:uid="{00000000-0005-0000-0000-0000D6880000}"/>
    <cellStyle name="Normal 5 17 2 18 2 2" xfId="35045" xr:uid="{00000000-0005-0000-0000-0000D7880000}"/>
    <cellStyle name="Normal 5 17 2 18 2 3" xfId="35046" xr:uid="{00000000-0005-0000-0000-0000D8880000}"/>
    <cellStyle name="Normal 5 17 2 18 2 4" xfId="35047" xr:uid="{00000000-0005-0000-0000-0000D9880000}"/>
    <cellStyle name="Normal 5 17 2 18 2 5" xfId="35048" xr:uid="{00000000-0005-0000-0000-0000DA880000}"/>
    <cellStyle name="Normal 5 17 2 18 2 6" xfId="35049" xr:uid="{00000000-0005-0000-0000-0000DB880000}"/>
    <cellStyle name="Normal 5 17 2 18 2 7" xfId="35050" xr:uid="{00000000-0005-0000-0000-0000DC880000}"/>
    <cellStyle name="Normal 5 17 2 18 2 8" xfId="35051" xr:uid="{00000000-0005-0000-0000-0000DD880000}"/>
    <cellStyle name="Normal 5 17 2 18 2 9" xfId="35052" xr:uid="{00000000-0005-0000-0000-0000DE880000}"/>
    <cellStyle name="Normal 5 17 2 18 3" xfId="35053" xr:uid="{00000000-0005-0000-0000-0000DF880000}"/>
    <cellStyle name="Normal 5 17 2 18 3 10" xfId="35054" xr:uid="{00000000-0005-0000-0000-0000E0880000}"/>
    <cellStyle name="Normal 5 17 2 18 3 2" xfId="35055" xr:uid="{00000000-0005-0000-0000-0000E1880000}"/>
    <cellStyle name="Normal 5 17 2 18 3 3" xfId="35056" xr:uid="{00000000-0005-0000-0000-0000E2880000}"/>
    <cellStyle name="Normal 5 17 2 18 3 4" xfId="35057" xr:uid="{00000000-0005-0000-0000-0000E3880000}"/>
    <cellStyle name="Normal 5 17 2 18 3 5" xfId="35058" xr:uid="{00000000-0005-0000-0000-0000E4880000}"/>
    <cellStyle name="Normal 5 17 2 18 3 6" xfId="35059" xr:uid="{00000000-0005-0000-0000-0000E5880000}"/>
    <cellStyle name="Normal 5 17 2 18 3 7" xfId="35060" xr:uid="{00000000-0005-0000-0000-0000E6880000}"/>
    <cellStyle name="Normal 5 17 2 18 3 8" xfId="35061" xr:uid="{00000000-0005-0000-0000-0000E7880000}"/>
    <cellStyle name="Normal 5 17 2 18 3 9" xfId="35062" xr:uid="{00000000-0005-0000-0000-0000E8880000}"/>
    <cellStyle name="Normal 5 17 2 18 4" xfId="35063" xr:uid="{00000000-0005-0000-0000-0000E9880000}"/>
    <cellStyle name="Normal 5 17 2 18 4 10" xfId="35064" xr:uid="{00000000-0005-0000-0000-0000EA880000}"/>
    <cellStyle name="Normal 5 17 2 18 4 2" xfId="35065" xr:uid="{00000000-0005-0000-0000-0000EB880000}"/>
    <cellStyle name="Normal 5 17 2 18 4 3" xfId="35066" xr:uid="{00000000-0005-0000-0000-0000EC880000}"/>
    <cellStyle name="Normal 5 17 2 18 4 4" xfId="35067" xr:uid="{00000000-0005-0000-0000-0000ED880000}"/>
    <cellStyle name="Normal 5 17 2 18 4 5" xfId="35068" xr:uid="{00000000-0005-0000-0000-0000EE880000}"/>
    <cellStyle name="Normal 5 17 2 18 4 6" xfId="35069" xr:uid="{00000000-0005-0000-0000-0000EF880000}"/>
    <cellStyle name="Normal 5 17 2 18 4 7" xfId="35070" xr:uid="{00000000-0005-0000-0000-0000F0880000}"/>
    <cellStyle name="Normal 5 17 2 18 4 8" xfId="35071" xr:uid="{00000000-0005-0000-0000-0000F1880000}"/>
    <cellStyle name="Normal 5 17 2 18 4 9" xfId="35072" xr:uid="{00000000-0005-0000-0000-0000F2880000}"/>
    <cellStyle name="Normal 5 17 2 18 5" xfId="35073" xr:uid="{00000000-0005-0000-0000-0000F3880000}"/>
    <cellStyle name="Normal 5 17 2 18 5 10" xfId="35074" xr:uid="{00000000-0005-0000-0000-0000F4880000}"/>
    <cellStyle name="Normal 5 17 2 18 5 2" xfId="35075" xr:uid="{00000000-0005-0000-0000-0000F5880000}"/>
    <cellStyle name="Normal 5 17 2 18 5 3" xfId="35076" xr:uid="{00000000-0005-0000-0000-0000F6880000}"/>
    <cellStyle name="Normal 5 17 2 18 5 4" xfId="35077" xr:uid="{00000000-0005-0000-0000-0000F7880000}"/>
    <cellStyle name="Normal 5 17 2 18 5 5" xfId="35078" xr:uid="{00000000-0005-0000-0000-0000F8880000}"/>
    <cellStyle name="Normal 5 17 2 18 5 6" xfId="35079" xr:uid="{00000000-0005-0000-0000-0000F9880000}"/>
    <cellStyle name="Normal 5 17 2 18 5 7" xfId="35080" xr:uid="{00000000-0005-0000-0000-0000FA880000}"/>
    <cellStyle name="Normal 5 17 2 18 5 8" xfId="35081" xr:uid="{00000000-0005-0000-0000-0000FB880000}"/>
    <cellStyle name="Normal 5 17 2 18 5 9" xfId="35082" xr:uid="{00000000-0005-0000-0000-0000FC880000}"/>
    <cellStyle name="Normal 5 17 2 18 6" xfId="35083" xr:uid="{00000000-0005-0000-0000-0000FD880000}"/>
    <cellStyle name="Normal 5 17 2 18 7" xfId="35084" xr:uid="{00000000-0005-0000-0000-0000FE880000}"/>
    <cellStyle name="Normal 5 17 2 18 8" xfId="35085" xr:uid="{00000000-0005-0000-0000-0000FF880000}"/>
    <cellStyle name="Normal 5 17 2 18 9" xfId="35086" xr:uid="{00000000-0005-0000-0000-000000890000}"/>
    <cellStyle name="Normal 5 17 2 19" xfId="35087" xr:uid="{00000000-0005-0000-0000-000001890000}"/>
    <cellStyle name="Normal 5 17 2 19 10" xfId="35088" xr:uid="{00000000-0005-0000-0000-000002890000}"/>
    <cellStyle name="Normal 5 17 2 19 11" xfId="35089" xr:uid="{00000000-0005-0000-0000-000003890000}"/>
    <cellStyle name="Normal 5 17 2 19 12" xfId="35090" xr:uid="{00000000-0005-0000-0000-000004890000}"/>
    <cellStyle name="Normal 5 17 2 19 13" xfId="35091" xr:uid="{00000000-0005-0000-0000-000005890000}"/>
    <cellStyle name="Normal 5 17 2 19 14" xfId="35092" xr:uid="{00000000-0005-0000-0000-000006890000}"/>
    <cellStyle name="Normal 5 17 2 19 2" xfId="35093" xr:uid="{00000000-0005-0000-0000-000007890000}"/>
    <cellStyle name="Normal 5 17 2 19 2 10" xfId="35094" xr:uid="{00000000-0005-0000-0000-000008890000}"/>
    <cellStyle name="Normal 5 17 2 19 2 2" xfId="35095" xr:uid="{00000000-0005-0000-0000-000009890000}"/>
    <cellStyle name="Normal 5 17 2 19 2 3" xfId="35096" xr:uid="{00000000-0005-0000-0000-00000A890000}"/>
    <cellStyle name="Normal 5 17 2 19 2 4" xfId="35097" xr:uid="{00000000-0005-0000-0000-00000B890000}"/>
    <cellStyle name="Normal 5 17 2 19 2 5" xfId="35098" xr:uid="{00000000-0005-0000-0000-00000C890000}"/>
    <cellStyle name="Normal 5 17 2 19 2 6" xfId="35099" xr:uid="{00000000-0005-0000-0000-00000D890000}"/>
    <cellStyle name="Normal 5 17 2 19 2 7" xfId="35100" xr:uid="{00000000-0005-0000-0000-00000E890000}"/>
    <cellStyle name="Normal 5 17 2 19 2 8" xfId="35101" xr:uid="{00000000-0005-0000-0000-00000F890000}"/>
    <cellStyle name="Normal 5 17 2 19 2 9" xfId="35102" xr:uid="{00000000-0005-0000-0000-000010890000}"/>
    <cellStyle name="Normal 5 17 2 19 3" xfId="35103" xr:uid="{00000000-0005-0000-0000-000011890000}"/>
    <cellStyle name="Normal 5 17 2 19 3 10" xfId="35104" xr:uid="{00000000-0005-0000-0000-000012890000}"/>
    <cellStyle name="Normal 5 17 2 19 3 2" xfId="35105" xr:uid="{00000000-0005-0000-0000-000013890000}"/>
    <cellStyle name="Normal 5 17 2 19 3 3" xfId="35106" xr:uid="{00000000-0005-0000-0000-000014890000}"/>
    <cellStyle name="Normal 5 17 2 19 3 4" xfId="35107" xr:uid="{00000000-0005-0000-0000-000015890000}"/>
    <cellStyle name="Normal 5 17 2 19 3 5" xfId="35108" xr:uid="{00000000-0005-0000-0000-000016890000}"/>
    <cellStyle name="Normal 5 17 2 19 3 6" xfId="35109" xr:uid="{00000000-0005-0000-0000-000017890000}"/>
    <cellStyle name="Normal 5 17 2 19 3 7" xfId="35110" xr:uid="{00000000-0005-0000-0000-000018890000}"/>
    <cellStyle name="Normal 5 17 2 19 3 8" xfId="35111" xr:uid="{00000000-0005-0000-0000-000019890000}"/>
    <cellStyle name="Normal 5 17 2 19 3 9" xfId="35112" xr:uid="{00000000-0005-0000-0000-00001A890000}"/>
    <cellStyle name="Normal 5 17 2 19 4" xfId="35113" xr:uid="{00000000-0005-0000-0000-00001B890000}"/>
    <cellStyle name="Normal 5 17 2 19 4 10" xfId="35114" xr:uid="{00000000-0005-0000-0000-00001C890000}"/>
    <cellStyle name="Normal 5 17 2 19 4 2" xfId="35115" xr:uid="{00000000-0005-0000-0000-00001D890000}"/>
    <cellStyle name="Normal 5 17 2 19 4 3" xfId="35116" xr:uid="{00000000-0005-0000-0000-00001E890000}"/>
    <cellStyle name="Normal 5 17 2 19 4 4" xfId="35117" xr:uid="{00000000-0005-0000-0000-00001F890000}"/>
    <cellStyle name="Normal 5 17 2 19 4 5" xfId="35118" xr:uid="{00000000-0005-0000-0000-000020890000}"/>
    <cellStyle name="Normal 5 17 2 19 4 6" xfId="35119" xr:uid="{00000000-0005-0000-0000-000021890000}"/>
    <cellStyle name="Normal 5 17 2 19 4 7" xfId="35120" xr:uid="{00000000-0005-0000-0000-000022890000}"/>
    <cellStyle name="Normal 5 17 2 19 4 8" xfId="35121" xr:uid="{00000000-0005-0000-0000-000023890000}"/>
    <cellStyle name="Normal 5 17 2 19 4 9" xfId="35122" xr:uid="{00000000-0005-0000-0000-000024890000}"/>
    <cellStyle name="Normal 5 17 2 19 5" xfId="35123" xr:uid="{00000000-0005-0000-0000-000025890000}"/>
    <cellStyle name="Normal 5 17 2 19 5 10" xfId="35124" xr:uid="{00000000-0005-0000-0000-000026890000}"/>
    <cellStyle name="Normal 5 17 2 19 5 2" xfId="35125" xr:uid="{00000000-0005-0000-0000-000027890000}"/>
    <cellStyle name="Normal 5 17 2 19 5 3" xfId="35126" xr:uid="{00000000-0005-0000-0000-000028890000}"/>
    <cellStyle name="Normal 5 17 2 19 5 4" xfId="35127" xr:uid="{00000000-0005-0000-0000-000029890000}"/>
    <cellStyle name="Normal 5 17 2 19 5 5" xfId="35128" xr:uid="{00000000-0005-0000-0000-00002A890000}"/>
    <cellStyle name="Normal 5 17 2 19 5 6" xfId="35129" xr:uid="{00000000-0005-0000-0000-00002B890000}"/>
    <cellStyle name="Normal 5 17 2 19 5 7" xfId="35130" xr:uid="{00000000-0005-0000-0000-00002C890000}"/>
    <cellStyle name="Normal 5 17 2 19 5 8" xfId="35131" xr:uid="{00000000-0005-0000-0000-00002D890000}"/>
    <cellStyle name="Normal 5 17 2 19 5 9" xfId="35132" xr:uid="{00000000-0005-0000-0000-00002E890000}"/>
    <cellStyle name="Normal 5 17 2 19 6" xfId="35133" xr:uid="{00000000-0005-0000-0000-00002F890000}"/>
    <cellStyle name="Normal 5 17 2 19 7" xfId="35134" xr:uid="{00000000-0005-0000-0000-000030890000}"/>
    <cellStyle name="Normal 5 17 2 19 8" xfId="35135" xr:uid="{00000000-0005-0000-0000-000031890000}"/>
    <cellStyle name="Normal 5 17 2 19 9" xfId="35136" xr:uid="{00000000-0005-0000-0000-000032890000}"/>
    <cellStyle name="Normal 5 17 2 2" xfId="35137" xr:uid="{00000000-0005-0000-0000-000033890000}"/>
    <cellStyle name="Normal 5 17 2 2 10" xfId="35138" xr:uid="{00000000-0005-0000-0000-000034890000}"/>
    <cellStyle name="Normal 5 17 2 2 11" xfId="35139" xr:uid="{00000000-0005-0000-0000-000035890000}"/>
    <cellStyle name="Normal 5 17 2 2 12" xfId="35140" xr:uid="{00000000-0005-0000-0000-000036890000}"/>
    <cellStyle name="Normal 5 17 2 2 13" xfId="35141" xr:uid="{00000000-0005-0000-0000-000037890000}"/>
    <cellStyle name="Normal 5 17 2 2 14" xfId="35142" xr:uid="{00000000-0005-0000-0000-000038890000}"/>
    <cellStyle name="Normal 5 17 2 2 15" xfId="35143" xr:uid="{00000000-0005-0000-0000-000039890000}"/>
    <cellStyle name="Normal 5 17 2 2 16" xfId="35144" xr:uid="{00000000-0005-0000-0000-00003A890000}"/>
    <cellStyle name="Normal 5 17 2 2 2" xfId="35145" xr:uid="{00000000-0005-0000-0000-00003B890000}"/>
    <cellStyle name="Normal 5 17 2 2 2 10" xfId="35146" xr:uid="{00000000-0005-0000-0000-00003C890000}"/>
    <cellStyle name="Normal 5 17 2 2 2 2" xfId="35147" xr:uid="{00000000-0005-0000-0000-00003D890000}"/>
    <cellStyle name="Normal 5 17 2 2 2 3" xfId="35148" xr:uid="{00000000-0005-0000-0000-00003E890000}"/>
    <cellStyle name="Normal 5 17 2 2 2 4" xfId="35149" xr:uid="{00000000-0005-0000-0000-00003F890000}"/>
    <cellStyle name="Normal 5 17 2 2 2 5" xfId="35150" xr:uid="{00000000-0005-0000-0000-000040890000}"/>
    <cellStyle name="Normal 5 17 2 2 2 6" xfId="35151" xr:uid="{00000000-0005-0000-0000-000041890000}"/>
    <cellStyle name="Normal 5 17 2 2 2 7" xfId="35152" xr:uid="{00000000-0005-0000-0000-000042890000}"/>
    <cellStyle name="Normal 5 17 2 2 2 8" xfId="35153" xr:uid="{00000000-0005-0000-0000-000043890000}"/>
    <cellStyle name="Normal 5 17 2 2 2 9" xfId="35154" xr:uid="{00000000-0005-0000-0000-000044890000}"/>
    <cellStyle name="Normal 5 17 2 2 3" xfId="35155" xr:uid="{00000000-0005-0000-0000-000045890000}"/>
    <cellStyle name="Normal 5 17 2 2 3 10" xfId="35156" xr:uid="{00000000-0005-0000-0000-000046890000}"/>
    <cellStyle name="Normal 5 17 2 2 3 2" xfId="35157" xr:uid="{00000000-0005-0000-0000-000047890000}"/>
    <cellStyle name="Normal 5 17 2 2 3 3" xfId="35158" xr:uid="{00000000-0005-0000-0000-000048890000}"/>
    <cellStyle name="Normal 5 17 2 2 3 4" xfId="35159" xr:uid="{00000000-0005-0000-0000-000049890000}"/>
    <cellStyle name="Normal 5 17 2 2 3 5" xfId="35160" xr:uid="{00000000-0005-0000-0000-00004A890000}"/>
    <cellStyle name="Normal 5 17 2 2 3 6" xfId="35161" xr:uid="{00000000-0005-0000-0000-00004B890000}"/>
    <cellStyle name="Normal 5 17 2 2 3 7" xfId="35162" xr:uid="{00000000-0005-0000-0000-00004C890000}"/>
    <cellStyle name="Normal 5 17 2 2 3 8" xfId="35163" xr:uid="{00000000-0005-0000-0000-00004D890000}"/>
    <cellStyle name="Normal 5 17 2 2 3 9" xfId="35164" xr:uid="{00000000-0005-0000-0000-00004E890000}"/>
    <cellStyle name="Normal 5 17 2 2 4" xfId="35165" xr:uid="{00000000-0005-0000-0000-00004F890000}"/>
    <cellStyle name="Normal 5 17 2 2 4 10" xfId="35166" xr:uid="{00000000-0005-0000-0000-000050890000}"/>
    <cellStyle name="Normal 5 17 2 2 4 2" xfId="35167" xr:uid="{00000000-0005-0000-0000-000051890000}"/>
    <cellStyle name="Normal 5 17 2 2 4 3" xfId="35168" xr:uid="{00000000-0005-0000-0000-000052890000}"/>
    <cellStyle name="Normal 5 17 2 2 4 4" xfId="35169" xr:uid="{00000000-0005-0000-0000-000053890000}"/>
    <cellStyle name="Normal 5 17 2 2 4 5" xfId="35170" xr:uid="{00000000-0005-0000-0000-000054890000}"/>
    <cellStyle name="Normal 5 17 2 2 4 6" xfId="35171" xr:uid="{00000000-0005-0000-0000-000055890000}"/>
    <cellStyle name="Normal 5 17 2 2 4 7" xfId="35172" xr:uid="{00000000-0005-0000-0000-000056890000}"/>
    <cellStyle name="Normal 5 17 2 2 4 8" xfId="35173" xr:uid="{00000000-0005-0000-0000-000057890000}"/>
    <cellStyle name="Normal 5 17 2 2 4 9" xfId="35174" xr:uid="{00000000-0005-0000-0000-000058890000}"/>
    <cellStyle name="Normal 5 17 2 2 5" xfId="35175" xr:uid="{00000000-0005-0000-0000-000059890000}"/>
    <cellStyle name="Normal 5 17 2 2 5 10" xfId="35176" xr:uid="{00000000-0005-0000-0000-00005A890000}"/>
    <cellStyle name="Normal 5 17 2 2 5 2" xfId="35177" xr:uid="{00000000-0005-0000-0000-00005B890000}"/>
    <cellStyle name="Normal 5 17 2 2 5 3" xfId="35178" xr:uid="{00000000-0005-0000-0000-00005C890000}"/>
    <cellStyle name="Normal 5 17 2 2 5 4" xfId="35179" xr:uid="{00000000-0005-0000-0000-00005D890000}"/>
    <cellStyle name="Normal 5 17 2 2 5 5" xfId="35180" xr:uid="{00000000-0005-0000-0000-00005E890000}"/>
    <cellStyle name="Normal 5 17 2 2 5 6" xfId="35181" xr:uid="{00000000-0005-0000-0000-00005F890000}"/>
    <cellStyle name="Normal 5 17 2 2 5 7" xfId="35182" xr:uid="{00000000-0005-0000-0000-000060890000}"/>
    <cellStyle name="Normal 5 17 2 2 5 8" xfId="35183" xr:uid="{00000000-0005-0000-0000-000061890000}"/>
    <cellStyle name="Normal 5 17 2 2 5 9" xfId="35184" xr:uid="{00000000-0005-0000-0000-000062890000}"/>
    <cellStyle name="Normal 5 17 2 2 6" xfId="35185" xr:uid="{00000000-0005-0000-0000-000063890000}"/>
    <cellStyle name="Normal 5 17 2 2 7" xfId="35186" xr:uid="{00000000-0005-0000-0000-000064890000}"/>
    <cellStyle name="Normal 5 17 2 2 8" xfId="35187" xr:uid="{00000000-0005-0000-0000-000065890000}"/>
    <cellStyle name="Normal 5 17 2 2 9" xfId="35188" xr:uid="{00000000-0005-0000-0000-000066890000}"/>
    <cellStyle name="Normal 5 17 2 20" xfId="35189" xr:uid="{00000000-0005-0000-0000-000067890000}"/>
    <cellStyle name="Normal 5 17 2 20 10" xfId="35190" xr:uid="{00000000-0005-0000-0000-000068890000}"/>
    <cellStyle name="Normal 5 17 2 20 11" xfId="35191" xr:uid="{00000000-0005-0000-0000-000069890000}"/>
    <cellStyle name="Normal 5 17 2 20 12" xfId="35192" xr:uid="{00000000-0005-0000-0000-00006A890000}"/>
    <cellStyle name="Normal 5 17 2 20 13" xfId="35193" xr:uid="{00000000-0005-0000-0000-00006B890000}"/>
    <cellStyle name="Normal 5 17 2 20 14" xfId="35194" xr:uid="{00000000-0005-0000-0000-00006C890000}"/>
    <cellStyle name="Normal 5 17 2 20 2" xfId="35195" xr:uid="{00000000-0005-0000-0000-00006D890000}"/>
    <cellStyle name="Normal 5 17 2 20 2 10" xfId="35196" xr:uid="{00000000-0005-0000-0000-00006E890000}"/>
    <cellStyle name="Normal 5 17 2 20 2 2" xfId="35197" xr:uid="{00000000-0005-0000-0000-00006F890000}"/>
    <cellStyle name="Normal 5 17 2 20 2 3" xfId="35198" xr:uid="{00000000-0005-0000-0000-000070890000}"/>
    <cellStyle name="Normal 5 17 2 20 2 4" xfId="35199" xr:uid="{00000000-0005-0000-0000-000071890000}"/>
    <cellStyle name="Normal 5 17 2 20 2 5" xfId="35200" xr:uid="{00000000-0005-0000-0000-000072890000}"/>
    <cellStyle name="Normal 5 17 2 20 2 6" xfId="35201" xr:uid="{00000000-0005-0000-0000-000073890000}"/>
    <cellStyle name="Normal 5 17 2 20 2 7" xfId="35202" xr:uid="{00000000-0005-0000-0000-000074890000}"/>
    <cellStyle name="Normal 5 17 2 20 2 8" xfId="35203" xr:uid="{00000000-0005-0000-0000-000075890000}"/>
    <cellStyle name="Normal 5 17 2 20 2 9" xfId="35204" xr:uid="{00000000-0005-0000-0000-000076890000}"/>
    <cellStyle name="Normal 5 17 2 20 3" xfId="35205" xr:uid="{00000000-0005-0000-0000-000077890000}"/>
    <cellStyle name="Normal 5 17 2 20 3 10" xfId="35206" xr:uid="{00000000-0005-0000-0000-000078890000}"/>
    <cellStyle name="Normal 5 17 2 20 3 2" xfId="35207" xr:uid="{00000000-0005-0000-0000-000079890000}"/>
    <cellStyle name="Normal 5 17 2 20 3 3" xfId="35208" xr:uid="{00000000-0005-0000-0000-00007A890000}"/>
    <cellStyle name="Normal 5 17 2 20 3 4" xfId="35209" xr:uid="{00000000-0005-0000-0000-00007B890000}"/>
    <cellStyle name="Normal 5 17 2 20 3 5" xfId="35210" xr:uid="{00000000-0005-0000-0000-00007C890000}"/>
    <cellStyle name="Normal 5 17 2 20 3 6" xfId="35211" xr:uid="{00000000-0005-0000-0000-00007D890000}"/>
    <cellStyle name="Normal 5 17 2 20 3 7" xfId="35212" xr:uid="{00000000-0005-0000-0000-00007E890000}"/>
    <cellStyle name="Normal 5 17 2 20 3 8" xfId="35213" xr:uid="{00000000-0005-0000-0000-00007F890000}"/>
    <cellStyle name="Normal 5 17 2 20 3 9" xfId="35214" xr:uid="{00000000-0005-0000-0000-000080890000}"/>
    <cellStyle name="Normal 5 17 2 20 4" xfId="35215" xr:uid="{00000000-0005-0000-0000-000081890000}"/>
    <cellStyle name="Normal 5 17 2 20 4 10" xfId="35216" xr:uid="{00000000-0005-0000-0000-000082890000}"/>
    <cellStyle name="Normal 5 17 2 20 4 2" xfId="35217" xr:uid="{00000000-0005-0000-0000-000083890000}"/>
    <cellStyle name="Normal 5 17 2 20 4 3" xfId="35218" xr:uid="{00000000-0005-0000-0000-000084890000}"/>
    <cellStyle name="Normal 5 17 2 20 4 4" xfId="35219" xr:uid="{00000000-0005-0000-0000-000085890000}"/>
    <cellStyle name="Normal 5 17 2 20 4 5" xfId="35220" xr:uid="{00000000-0005-0000-0000-000086890000}"/>
    <cellStyle name="Normal 5 17 2 20 4 6" xfId="35221" xr:uid="{00000000-0005-0000-0000-000087890000}"/>
    <cellStyle name="Normal 5 17 2 20 4 7" xfId="35222" xr:uid="{00000000-0005-0000-0000-000088890000}"/>
    <cellStyle name="Normal 5 17 2 20 4 8" xfId="35223" xr:uid="{00000000-0005-0000-0000-000089890000}"/>
    <cellStyle name="Normal 5 17 2 20 4 9" xfId="35224" xr:uid="{00000000-0005-0000-0000-00008A890000}"/>
    <cellStyle name="Normal 5 17 2 20 5" xfId="35225" xr:uid="{00000000-0005-0000-0000-00008B890000}"/>
    <cellStyle name="Normal 5 17 2 20 5 10" xfId="35226" xr:uid="{00000000-0005-0000-0000-00008C890000}"/>
    <cellStyle name="Normal 5 17 2 20 5 2" xfId="35227" xr:uid="{00000000-0005-0000-0000-00008D890000}"/>
    <cellStyle name="Normal 5 17 2 20 5 3" xfId="35228" xr:uid="{00000000-0005-0000-0000-00008E890000}"/>
    <cellStyle name="Normal 5 17 2 20 5 4" xfId="35229" xr:uid="{00000000-0005-0000-0000-00008F890000}"/>
    <cellStyle name="Normal 5 17 2 20 5 5" xfId="35230" xr:uid="{00000000-0005-0000-0000-000090890000}"/>
    <cellStyle name="Normal 5 17 2 20 5 6" xfId="35231" xr:uid="{00000000-0005-0000-0000-000091890000}"/>
    <cellStyle name="Normal 5 17 2 20 5 7" xfId="35232" xr:uid="{00000000-0005-0000-0000-000092890000}"/>
    <cellStyle name="Normal 5 17 2 20 5 8" xfId="35233" xr:uid="{00000000-0005-0000-0000-000093890000}"/>
    <cellStyle name="Normal 5 17 2 20 5 9" xfId="35234" xr:uid="{00000000-0005-0000-0000-000094890000}"/>
    <cellStyle name="Normal 5 17 2 20 6" xfId="35235" xr:uid="{00000000-0005-0000-0000-000095890000}"/>
    <cellStyle name="Normal 5 17 2 20 7" xfId="35236" xr:uid="{00000000-0005-0000-0000-000096890000}"/>
    <cellStyle name="Normal 5 17 2 20 8" xfId="35237" xr:uid="{00000000-0005-0000-0000-000097890000}"/>
    <cellStyle name="Normal 5 17 2 20 9" xfId="35238" xr:uid="{00000000-0005-0000-0000-000098890000}"/>
    <cellStyle name="Normal 5 17 2 21" xfId="35239" xr:uid="{00000000-0005-0000-0000-000099890000}"/>
    <cellStyle name="Normal 5 17 2 21 10" xfId="35240" xr:uid="{00000000-0005-0000-0000-00009A890000}"/>
    <cellStyle name="Normal 5 17 2 21 11" xfId="35241" xr:uid="{00000000-0005-0000-0000-00009B890000}"/>
    <cellStyle name="Normal 5 17 2 21 12" xfId="35242" xr:uid="{00000000-0005-0000-0000-00009C890000}"/>
    <cellStyle name="Normal 5 17 2 21 13" xfId="35243" xr:uid="{00000000-0005-0000-0000-00009D890000}"/>
    <cellStyle name="Normal 5 17 2 21 14" xfId="35244" xr:uid="{00000000-0005-0000-0000-00009E890000}"/>
    <cellStyle name="Normal 5 17 2 21 2" xfId="35245" xr:uid="{00000000-0005-0000-0000-00009F890000}"/>
    <cellStyle name="Normal 5 17 2 21 2 10" xfId="35246" xr:uid="{00000000-0005-0000-0000-0000A0890000}"/>
    <cellStyle name="Normal 5 17 2 21 2 2" xfId="35247" xr:uid="{00000000-0005-0000-0000-0000A1890000}"/>
    <cellStyle name="Normal 5 17 2 21 2 3" xfId="35248" xr:uid="{00000000-0005-0000-0000-0000A2890000}"/>
    <cellStyle name="Normal 5 17 2 21 2 4" xfId="35249" xr:uid="{00000000-0005-0000-0000-0000A3890000}"/>
    <cellStyle name="Normal 5 17 2 21 2 5" xfId="35250" xr:uid="{00000000-0005-0000-0000-0000A4890000}"/>
    <cellStyle name="Normal 5 17 2 21 2 6" xfId="35251" xr:uid="{00000000-0005-0000-0000-0000A5890000}"/>
    <cellStyle name="Normal 5 17 2 21 2 7" xfId="35252" xr:uid="{00000000-0005-0000-0000-0000A6890000}"/>
    <cellStyle name="Normal 5 17 2 21 2 8" xfId="35253" xr:uid="{00000000-0005-0000-0000-0000A7890000}"/>
    <cellStyle name="Normal 5 17 2 21 2 9" xfId="35254" xr:uid="{00000000-0005-0000-0000-0000A8890000}"/>
    <cellStyle name="Normal 5 17 2 21 3" xfId="35255" xr:uid="{00000000-0005-0000-0000-0000A9890000}"/>
    <cellStyle name="Normal 5 17 2 21 3 10" xfId="35256" xr:uid="{00000000-0005-0000-0000-0000AA890000}"/>
    <cellStyle name="Normal 5 17 2 21 3 2" xfId="35257" xr:uid="{00000000-0005-0000-0000-0000AB890000}"/>
    <cellStyle name="Normal 5 17 2 21 3 3" xfId="35258" xr:uid="{00000000-0005-0000-0000-0000AC890000}"/>
    <cellStyle name="Normal 5 17 2 21 3 4" xfId="35259" xr:uid="{00000000-0005-0000-0000-0000AD890000}"/>
    <cellStyle name="Normal 5 17 2 21 3 5" xfId="35260" xr:uid="{00000000-0005-0000-0000-0000AE890000}"/>
    <cellStyle name="Normal 5 17 2 21 3 6" xfId="35261" xr:uid="{00000000-0005-0000-0000-0000AF890000}"/>
    <cellStyle name="Normal 5 17 2 21 3 7" xfId="35262" xr:uid="{00000000-0005-0000-0000-0000B0890000}"/>
    <cellStyle name="Normal 5 17 2 21 3 8" xfId="35263" xr:uid="{00000000-0005-0000-0000-0000B1890000}"/>
    <cellStyle name="Normal 5 17 2 21 3 9" xfId="35264" xr:uid="{00000000-0005-0000-0000-0000B2890000}"/>
    <cellStyle name="Normal 5 17 2 21 4" xfId="35265" xr:uid="{00000000-0005-0000-0000-0000B3890000}"/>
    <cellStyle name="Normal 5 17 2 21 4 10" xfId="35266" xr:uid="{00000000-0005-0000-0000-0000B4890000}"/>
    <cellStyle name="Normal 5 17 2 21 4 2" xfId="35267" xr:uid="{00000000-0005-0000-0000-0000B5890000}"/>
    <cellStyle name="Normal 5 17 2 21 4 3" xfId="35268" xr:uid="{00000000-0005-0000-0000-0000B6890000}"/>
    <cellStyle name="Normal 5 17 2 21 4 4" xfId="35269" xr:uid="{00000000-0005-0000-0000-0000B7890000}"/>
    <cellStyle name="Normal 5 17 2 21 4 5" xfId="35270" xr:uid="{00000000-0005-0000-0000-0000B8890000}"/>
    <cellStyle name="Normal 5 17 2 21 4 6" xfId="35271" xr:uid="{00000000-0005-0000-0000-0000B9890000}"/>
    <cellStyle name="Normal 5 17 2 21 4 7" xfId="35272" xr:uid="{00000000-0005-0000-0000-0000BA890000}"/>
    <cellStyle name="Normal 5 17 2 21 4 8" xfId="35273" xr:uid="{00000000-0005-0000-0000-0000BB890000}"/>
    <cellStyle name="Normal 5 17 2 21 4 9" xfId="35274" xr:uid="{00000000-0005-0000-0000-0000BC890000}"/>
    <cellStyle name="Normal 5 17 2 21 5" xfId="35275" xr:uid="{00000000-0005-0000-0000-0000BD890000}"/>
    <cellStyle name="Normal 5 17 2 21 5 10" xfId="35276" xr:uid="{00000000-0005-0000-0000-0000BE890000}"/>
    <cellStyle name="Normal 5 17 2 21 5 2" xfId="35277" xr:uid="{00000000-0005-0000-0000-0000BF890000}"/>
    <cellStyle name="Normal 5 17 2 21 5 3" xfId="35278" xr:uid="{00000000-0005-0000-0000-0000C0890000}"/>
    <cellStyle name="Normal 5 17 2 21 5 4" xfId="35279" xr:uid="{00000000-0005-0000-0000-0000C1890000}"/>
    <cellStyle name="Normal 5 17 2 21 5 5" xfId="35280" xr:uid="{00000000-0005-0000-0000-0000C2890000}"/>
    <cellStyle name="Normal 5 17 2 21 5 6" xfId="35281" xr:uid="{00000000-0005-0000-0000-0000C3890000}"/>
    <cellStyle name="Normal 5 17 2 21 5 7" xfId="35282" xr:uid="{00000000-0005-0000-0000-0000C4890000}"/>
    <cellStyle name="Normal 5 17 2 21 5 8" xfId="35283" xr:uid="{00000000-0005-0000-0000-0000C5890000}"/>
    <cellStyle name="Normal 5 17 2 21 5 9" xfId="35284" xr:uid="{00000000-0005-0000-0000-0000C6890000}"/>
    <cellStyle name="Normal 5 17 2 21 6" xfId="35285" xr:uid="{00000000-0005-0000-0000-0000C7890000}"/>
    <cellStyle name="Normal 5 17 2 21 7" xfId="35286" xr:uid="{00000000-0005-0000-0000-0000C8890000}"/>
    <cellStyle name="Normal 5 17 2 21 8" xfId="35287" xr:uid="{00000000-0005-0000-0000-0000C9890000}"/>
    <cellStyle name="Normal 5 17 2 21 9" xfId="35288" xr:uid="{00000000-0005-0000-0000-0000CA890000}"/>
    <cellStyle name="Normal 5 17 2 22" xfId="35289" xr:uid="{00000000-0005-0000-0000-0000CB890000}"/>
    <cellStyle name="Normal 5 17 2 22 10" xfId="35290" xr:uid="{00000000-0005-0000-0000-0000CC890000}"/>
    <cellStyle name="Normal 5 17 2 22 11" xfId="35291" xr:uid="{00000000-0005-0000-0000-0000CD890000}"/>
    <cellStyle name="Normal 5 17 2 22 12" xfId="35292" xr:uid="{00000000-0005-0000-0000-0000CE890000}"/>
    <cellStyle name="Normal 5 17 2 22 13" xfId="35293" xr:uid="{00000000-0005-0000-0000-0000CF890000}"/>
    <cellStyle name="Normal 5 17 2 22 14" xfId="35294" xr:uid="{00000000-0005-0000-0000-0000D0890000}"/>
    <cellStyle name="Normal 5 17 2 22 2" xfId="35295" xr:uid="{00000000-0005-0000-0000-0000D1890000}"/>
    <cellStyle name="Normal 5 17 2 22 2 10" xfId="35296" xr:uid="{00000000-0005-0000-0000-0000D2890000}"/>
    <cellStyle name="Normal 5 17 2 22 2 2" xfId="35297" xr:uid="{00000000-0005-0000-0000-0000D3890000}"/>
    <cellStyle name="Normal 5 17 2 22 2 3" xfId="35298" xr:uid="{00000000-0005-0000-0000-0000D4890000}"/>
    <cellStyle name="Normal 5 17 2 22 2 4" xfId="35299" xr:uid="{00000000-0005-0000-0000-0000D5890000}"/>
    <cellStyle name="Normal 5 17 2 22 2 5" xfId="35300" xr:uid="{00000000-0005-0000-0000-0000D6890000}"/>
    <cellStyle name="Normal 5 17 2 22 2 6" xfId="35301" xr:uid="{00000000-0005-0000-0000-0000D7890000}"/>
    <cellStyle name="Normal 5 17 2 22 2 7" xfId="35302" xr:uid="{00000000-0005-0000-0000-0000D8890000}"/>
    <cellStyle name="Normal 5 17 2 22 2 8" xfId="35303" xr:uid="{00000000-0005-0000-0000-0000D9890000}"/>
    <cellStyle name="Normal 5 17 2 22 2 9" xfId="35304" xr:uid="{00000000-0005-0000-0000-0000DA890000}"/>
    <cellStyle name="Normal 5 17 2 22 3" xfId="35305" xr:uid="{00000000-0005-0000-0000-0000DB890000}"/>
    <cellStyle name="Normal 5 17 2 22 3 10" xfId="35306" xr:uid="{00000000-0005-0000-0000-0000DC890000}"/>
    <cellStyle name="Normal 5 17 2 22 3 2" xfId="35307" xr:uid="{00000000-0005-0000-0000-0000DD890000}"/>
    <cellStyle name="Normal 5 17 2 22 3 3" xfId="35308" xr:uid="{00000000-0005-0000-0000-0000DE890000}"/>
    <cellStyle name="Normal 5 17 2 22 3 4" xfId="35309" xr:uid="{00000000-0005-0000-0000-0000DF890000}"/>
    <cellStyle name="Normal 5 17 2 22 3 5" xfId="35310" xr:uid="{00000000-0005-0000-0000-0000E0890000}"/>
    <cellStyle name="Normal 5 17 2 22 3 6" xfId="35311" xr:uid="{00000000-0005-0000-0000-0000E1890000}"/>
    <cellStyle name="Normal 5 17 2 22 3 7" xfId="35312" xr:uid="{00000000-0005-0000-0000-0000E2890000}"/>
    <cellStyle name="Normal 5 17 2 22 3 8" xfId="35313" xr:uid="{00000000-0005-0000-0000-0000E3890000}"/>
    <cellStyle name="Normal 5 17 2 22 3 9" xfId="35314" xr:uid="{00000000-0005-0000-0000-0000E4890000}"/>
    <cellStyle name="Normal 5 17 2 22 4" xfId="35315" xr:uid="{00000000-0005-0000-0000-0000E5890000}"/>
    <cellStyle name="Normal 5 17 2 22 4 10" xfId="35316" xr:uid="{00000000-0005-0000-0000-0000E6890000}"/>
    <cellStyle name="Normal 5 17 2 22 4 2" xfId="35317" xr:uid="{00000000-0005-0000-0000-0000E7890000}"/>
    <cellStyle name="Normal 5 17 2 22 4 3" xfId="35318" xr:uid="{00000000-0005-0000-0000-0000E8890000}"/>
    <cellStyle name="Normal 5 17 2 22 4 4" xfId="35319" xr:uid="{00000000-0005-0000-0000-0000E9890000}"/>
    <cellStyle name="Normal 5 17 2 22 4 5" xfId="35320" xr:uid="{00000000-0005-0000-0000-0000EA890000}"/>
    <cellStyle name="Normal 5 17 2 22 4 6" xfId="35321" xr:uid="{00000000-0005-0000-0000-0000EB890000}"/>
    <cellStyle name="Normal 5 17 2 22 4 7" xfId="35322" xr:uid="{00000000-0005-0000-0000-0000EC890000}"/>
    <cellStyle name="Normal 5 17 2 22 4 8" xfId="35323" xr:uid="{00000000-0005-0000-0000-0000ED890000}"/>
    <cellStyle name="Normal 5 17 2 22 4 9" xfId="35324" xr:uid="{00000000-0005-0000-0000-0000EE890000}"/>
    <cellStyle name="Normal 5 17 2 22 5" xfId="35325" xr:uid="{00000000-0005-0000-0000-0000EF890000}"/>
    <cellStyle name="Normal 5 17 2 22 5 10" xfId="35326" xr:uid="{00000000-0005-0000-0000-0000F0890000}"/>
    <cellStyle name="Normal 5 17 2 22 5 2" xfId="35327" xr:uid="{00000000-0005-0000-0000-0000F1890000}"/>
    <cellStyle name="Normal 5 17 2 22 5 3" xfId="35328" xr:uid="{00000000-0005-0000-0000-0000F2890000}"/>
    <cellStyle name="Normal 5 17 2 22 5 4" xfId="35329" xr:uid="{00000000-0005-0000-0000-0000F3890000}"/>
    <cellStyle name="Normal 5 17 2 22 5 5" xfId="35330" xr:uid="{00000000-0005-0000-0000-0000F4890000}"/>
    <cellStyle name="Normal 5 17 2 22 5 6" xfId="35331" xr:uid="{00000000-0005-0000-0000-0000F5890000}"/>
    <cellStyle name="Normal 5 17 2 22 5 7" xfId="35332" xr:uid="{00000000-0005-0000-0000-0000F6890000}"/>
    <cellStyle name="Normal 5 17 2 22 5 8" xfId="35333" xr:uid="{00000000-0005-0000-0000-0000F7890000}"/>
    <cellStyle name="Normal 5 17 2 22 5 9" xfId="35334" xr:uid="{00000000-0005-0000-0000-0000F8890000}"/>
    <cellStyle name="Normal 5 17 2 22 6" xfId="35335" xr:uid="{00000000-0005-0000-0000-0000F9890000}"/>
    <cellStyle name="Normal 5 17 2 22 7" xfId="35336" xr:uid="{00000000-0005-0000-0000-0000FA890000}"/>
    <cellStyle name="Normal 5 17 2 22 8" xfId="35337" xr:uid="{00000000-0005-0000-0000-0000FB890000}"/>
    <cellStyle name="Normal 5 17 2 22 9" xfId="35338" xr:uid="{00000000-0005-0000-0000-0000FC890000}"/>
    <cellStyle name="Normal 5 17 2 23" xfId="35339" xr:uid="{00000000-0005-0000-0000-0000FD890000}"/>
    <cellStyle name="Normal 5 17 2 23 10" xfId="35340" xr:uid="{00000000-0005-0000-0000-0000FE890000}"/>
    <cellStyle name="Normal 5 17 2 23 11" xfId="35341" xr:uid="{00000000-0005-0000-0000-0000FF890000}"/>
    <cellStyle name="Normal 5 17 2 23 12" xfId="35342" xr:uid="{00000000-0005-0000-0000-0000008A0000}"/>
    <cellStyle name="Normal 5 17 2 23 13" xfId="35343" xr:uid="{00000000-0005-0000-0000-0000018A0000}"/>
    <cellStyle name="Normal 5 17 2 23 14" xfId="35344" xr:uid="{00000000-0005-0000-0000-0000028A0000}"/>
    <cellStyle name="Normal 5 17 2 23 2" xfId="35345" xr:uid="{00000000-0005-0000-0000-0000038A0000}"/>
    <cellStyle name="Normal 5 17 2 23 2 10" xfId="35346" xr:uid="{00000000-0005-0000-0000-0000048A0000}"/>
    <cellStyle name="Normal 5 17 2 23 2 2" xfId="35347" xr:uid="{00000000-0005-0000-0000-0000058A0000}"/>
    <cellStyle name="Normal 5 17 2 23 2 3" xfId="35348" xr:uid="{00000000-0005-0000-0000-0000068A0000}"/>
    <cellStyle name="Normal 5 17 2 23 2 4" xfId="35349" xr:uid="{00000000-0005-0000-0000-0000078A0000}"/>
    <cellStyle name="Normal 5 17 2 23 2 5" xfId="35350" xr:uid="{00000000-0005-0000-0000-0000088A0000}"/>
    <cellStyle name="Normal 5 17 2 23 2 6" xfId="35351" xr:uid="{00000000-0005-0000-0000-0000098A0000}"/>
    <cellStyle name="Normal 5 17 2 23 2 7" xfId="35352" xr:uid="{00000000-0005-0000-0000-00000A8A0000}"/>
    <cellStyle name="Normal 5 17 2 23 2 8" xfId="35353" xr:uid="{00000000-0005-0000-0000-00000B8A0000}"/>
    <cellStyle name="Normal 5 17 2 23 2 9" xfId="35354" xr:uid="{00000000-0005-0000-0000-00000C8A0000}"/>
    <cellStyle name="Normal 5 17 2 23 3" xfId="35355" xr:uid="{00000000-0005-0000-0000-00000D8A0000}"/>
    <cellStyle name="Normal 5 17 2 23 3 10" xfId="35356" xr:uid="{00000000-0005-0000-0000-00000E8A0000}"/>
    <cellStyle name="Normal 5 17 2 23 3 2" xfId="35357" xr:uid="{00000000-0005-0000-0000-00000F8A0000}"/>
    <cellStyle name="Normal 5 17 2 23 3 3" xfId="35358" xr:uid="{00000000-0005-0000-0000-0000108A0000}"/>
    <cellStyle name="Normal 5 17 2 23 3 4" xfId="35359" xr:uid="{00000000-0005-0000-0000-0000118A0000}"/>
    <cellStyle name="Normal 5 17 2 23 3 5" xfId="35360" xr:uid="{00000000-0005-0000-0000-0000128A0000}"/>
    <cellStyle name="Normal 5 17 2 23 3 6" xfId="35361" xr:uid="{00000000-0005-0000-0000-0000138A0000}"/>
    <cellStyle name="Normal 5 17 2 23 3 7" xfId="35362" xr:uid="{00000000-0005-0000-0000-0000148A0000}"/>
    <cellStyle name="Normal 5 17 2 23 3 8" xfId="35363" xr:uid="{00000000-0005-0000-0000-0000158A0000}"/>
    <cellStyle name="Normal 5 17 2 23 3 9" xfId="35364" xr:uid="{00000000-0005-0000-0000-0000168A0000}"/>
    <cellStyle name="Normal 5 17 2 23 4" xfId="35365" xr:uid="{00000000-0005-0000-0000-0000178A0000}"/>
    <cellStyle name="Normal 5 17 2 23 4 10" xfId="35366" xr:uid="{00000000-0005-0000-0000-0000188A0000}"/>
    <cellStyle name="Normal 5 17 2 23 4 2" xfId="35367" xr:uid="{00000000-0005-0000-0000-0000198A0000}"/>
    <cellStyle name="Normal 5 17 2 23 4 3" xfId="35368" xr:uid="{00000000-0005-0000-0000-00001A8A0000}"/>
    <cellStyle name="Normal 5 17 2 23 4 4" xfId="35369" xr:uid="{00000000-0005-0000-0000-00001B8A0000}"/>
    <cellStyle name="Normal 5 17 2 23 4 5" xfId="35370" xr:uid="{00000000-0005-0000-0000-00001C8A0000}"/>
    <cellStyle name="Normal 5 17 2 23 4 6" xfId="35371" xr:uid="{00000000-0005-0000-0000-00001D8A0000}"/>
    <cellStyle name="Normal 5 17 2 23 4 7" xfId="35372" xr:uid="{00000000-0005-0000-0000-00001E8A0000}"/>
    <cellStyle name="Normal 5 17 2 23 4 8" xfId="35373" xr:uid="{00000000-0005-0000-0000-00001F8A0000}"/>
    <cellStyle name="Normal 5 17 2 23 4 9" xfId="35374" xr:uid="{00000000-0005-0000-0000-0000208A0000}"/>
    <cellStyle name="Normal 5 17 2 23 5" xfId="35375" xr:uid="{00000000-0005-0000-0000-0000218A0000}"/>
    <cellStyle name="Normal 5 17 2 23 5 10" xfId="35376" xr:uid="{00000000-0005-0000-0000-0000228A0000}"/>
    <cellStyle name="Normal 5 17 2 23 5 2" xfId="35377" xr:uid="{00000000-0005-0000-0000-0000238A0000}"/>
    <cellStyle name="Normal 5 17 2 23 5 3" xfId="35378" xr:uid="{00000000-0005-0000-0000-0000248A0000}"/>
    <cellStyle name="Normal 5 17 2 23 5 4" xfId="35379" xr:uid="{00000000-0005-0000-0000-0000258A0000}"/>
    <cellStyle name="Normal 5 17 2 23 5 5" xfId="35380" xr:uid="{00000000-0005-0000-0000-0000268A0000}"/>
    <cellStyle name="Normal 5 17 2 23 5 6" xfId="35381" xr:uid="{00000000-0005-0000-0000-0000278A0000}"/>
    <cellStyle name="Normal 5 17 2 23 5 7" xfId="35382" xr:uid="{00000000-0005-0000-0000-0000288A0000}"/>
    <cellStyle name="Normal 5 17 2 23 5 8" xfId="35383" xr:uid="{00000000-0005-0000-0000-0000298A0000}"/>
    <cellStyle name="Normal 5 17 2 23 5 9" xfId="35384" xr:uid="{00000000-0005-0000-0000-00002A8A0000}"/>
    <cellStyle name="Normal 5 17 2 23 6" xfId="35385" xr:uid="{00000000-0005-0000-0000-00002B8A0000}"/>
    <cellStyle name="Normal 5 17 2 23 7" xfId="35386" xr:uid="{00000000-0005-0000-0000-00002C8A0000}"/>
    <cellStyle name="Normal 5 17 2 23 8" xfId="35387" xr:uid="{00000000-0005-0000-0000-00002D8A0000}"/>
    <cellStyle name="Normal 5 17 2 23 9" xfId="35388" xr:uid="{00000000-0005-0000-0000-00002E8A0000}"/>
    <cellStyle name="Normal 5 17 2 24" xfId="35389" xr:uid="{00000000-0005-0000-0000-00002F8A0000}"/>
    <cellStyle name="Normal 5 17 2 24 10" xfId="35390" xr:uid="{00000000-0005-0000-0000-0000308A0000}"/>
    <cellStyle name="Normal 5 17 2 24 11" xfId="35391" xr:uid="{00000000-0005-0000-0000-0000318A0000}"/>
    <cellStyle name="Normal 5 17 2 24 12" xfId="35392" xr:uid="{00000000-0005-0000-0000-0000328A0000}"/>
    <cellStyle name="Normal 5 17 2 24 13" xfId="35393" xr:uid="{00000000-0005-0000-0000-0000338A0000}"/>
    <cellStyle name="Normal 5 17 2 24 14" xfId="35394" xr:uid="{00000000-0005-0000-0000-0000348A0000}"/>
    <cellStyle name="Normal 5 17 2 24 2" xfId="35395" xr:uid="{00000000-0005-0000-0000-0000358A0000}"/>
    <cellStyle name="Normal 5 17 2 24 2 10" xfId="35396" xr:uid="{00000000-0005-0000-0000-0000368A0000}"/>
    <cellStyle name="Normal 5 17 2 24 2 2" xfId="35397" xr:uid="{00000000-0005-0000-0000-0000378A0000}"/>
    <cellStyle name="Normal 5 17 2 24 2 3" xfId="35398" xr:uid="{00000000-0005-0000-0000-0000388A0000}"/>
    <cellStyle name="Normal 5 17 2 24 2 4" xfId="35399" xr:uid="{00000000-0005-0000-0000-0000398A0000}"/>
    <cellStyle name="Normal 5 17 2 24 2 5" xfId="35400" xr:uid="{00000000-0005-0000-0000-00003A8A0000}"/>
    <cellStyle name="Normal 5 17 2 24 2 6" xfId="35401" xr:uid="{00000000-0005-0000-0000-00003B8A0000}"/>
    <cellStyle name="Normal 5 17 2 24 2 7" xfId="35402" xr:uid="{00000000-0005-0000-0000-00003C8A0000}"/>
    <cellStyle name="Normal 5 17 2 24 2 8" xfId="35403" xr:uid="{00000000-0005-0000-0000-00003D8A0000}"/>
    <cellStyle name="Normal 5 17 2 24 2 9" xfId="35404" xr:uid="{00000000-0005-0000-0000-00003E8A0000}"/>
    <cellStyle name="Normal 5 17 2 24 3" xfId="35405" xr:uid="{00000000-0005-0000-0000-00003F8A0000}"/>
    <cellStyle name="Normal 5 17 2 24 3 10" xfId="35406" xr:uid="{00000000-0005-0000-0000-0000408A0000}"/>
    <cellStyle name="Normal 5 17 2 24 3 2" xfId="35407" xr:uid="{00000000-0005-0000-0000-0000418A0000}"/>
    <cellStyle name="Normal 5 17 2 24 3 3" xfId="35408" xr:uid="{00000000-0005-0000-0000-0000428A0000}"/>
    <cellStyle name="Normal 5 17 2 24 3 4" xfId="35409" xr:uid="{00000000-0005-0000-0000-0000438A0000}"/>
    <cellStyle name="Normal 5 17 2 24 3 5" xfId="35410" xr:uid="{00000000-0005-0000-0000-0000448A0000}"/>
    <cellStyle name="Normal 5 17 2 24 3 6" xfId="35411" xr:uid="{00000000-0005-0000-0000-0000458A0000}"/>
    <cellStyle name="Normal 5 17 2 24 3 7" xfId="35412" xr:uid="{00000000-0005-0000-0000-0000468A0000}"/>
    <cellStyle name="Normal 5 17 2 24 3 8" xfId="35413" xr:uid="{00000000-0005-0000-0000-0000478A0000}"/>
    <cellStyle name="Normal 5 17 2 24 3 9" xfId="35414" xr:uid="{00000000-0005-0000-0000-0000488A0000}"/>
    <cellStyle name="Normal 5 17 2 24 4" xfId="35415" xr:uid="{00000000-0005-0000-0000-0000498A0000}"/>
    <cellStyle name="Normal 5 17 2 24 4 10" xfId="35416" xr:uid="{00000000-0005-0000-0000-00004A8A0000}"/>
    <cellStyle name="Normal 5 17 2 24 4 2" xfId="35417" xr:uid="{00000000-0005-0000-0000-00004B8A0000}"/>
    <cellStyle name="Normal 5 17 2 24 4 3" xfId="35418" xr:uid="{00000000-0005-0000-0000-00004C8A0000}"/>
    <cellStyle name="Normal 5 17 2 24 4 4" xfId="35419" xr:uid="{00000000-0005-0000-0000-00004D8A0000}"/>
    <cellStyle name="Normal 5 17 2 24 4 5" xfId="35420" xr:uid="{00000000-0005-0000-0000-00004E8A0000}"/>
    <cellStyle name="Normal 5 17 2 24 4 6" xfId="35421" xr:uid="{00000000-0005-0000-0000-00004F8A0000}"/>
    <cellStyle name="Normal 5 17 2 24 4 7" xfId="35422" xr:uid="{00000000-0005-0000-0000-0000508A0000}"/>
    <cellStyle name="Normal 5 17 2 24 4 8" xfId="35423" xr:uid="{00000000-0005-0000-0000-0000518A0000}"/>
    <cellStyle name="Normal 5 17 2 24 4 9" xfId="35424" xr:uid="{00000000-0005-0000-0000-0000528A0000}"/>
    <cellStyle name="Normal 5 17 2 24 5" xfId="35425" xr:uid="{00000000-0005-0000-0000-0000538A0000}"/>
    <cellStyle name="Normal 5 17 2 24 5 10" xfId="35426" xr:uid="{00000000-0005-0000-0000-0000548A0000}"/>
    <cellStyle name="Normal 5 17 2 24 5 2" xfId="35427" xr:uid="{00000000-0005-0000-0000-0000558A0000}"/>
    <cellStyle name="Normal 5 17 2 24 5 3" xfId="35428" xr:uid="{00000000-0005-0000-0000-0000568A0000}"/>
    <cellStyle name="Normal 5 17 2 24 5 4" xfId="35429" xr:uid="{00000000-0005-0000-0000-0000578A0000}"/>
    <cellStyle name="Normal 5 17 2 24 5 5" xfId="35430" xr:uid="{00000000-0005-0000-0000-0000588A0000}"/>
    <cellStyle name="Normal 5 17 2 24 5 6" xfId="35431" xr:uid="{00000000-0005-0000-0000-0000598A0000}"/>
    <cellStyle name="Normal 5 17 2 24 5 7" xfId="35432" xr:uid="{00000000-0005-0000-0000-00005A8A0000}"/>
    <cellStyle name="Normal 5 17 2 24 5 8" xfId="35433" xr:uid="{00000000-0005-0000-0000-00005B8A0000}"/>
    <cellStyle name="Normal 5 17 2 24 5 9" xfId="35434" xr:uid="{00000000-0005-0000-0000-00005C8A0000}"/>
    <cellStyle name="Normal 5 17 2 24 6" xfId="35435" xr:uid="{00000000-0005-0000-0000-00005D8A0000}"/>
    <cellStyle name="Normal 5 17 2 24 7" xfId="35436" xr:uid="{00000000-0005-0000-0000-00005E8A0000}"/>
    <cellStyle name="Normal 5 17 2 24 8" xfId="35437" xr:uid="{00000000-0005-0000-0000-00005F8A0000}"/>
    <cellStyle name="Normal 5 17 2 24 9" xfId="35438" xr:uid="{00000000-0005-0000-0000-0000608A0000}"/>
    <cellStyle name="Normal 5 17 2 25" xfId="35439" xr:uid="{00000000-0005-0000-0000-0000618A0000}"/>
    <cellStyle name="Normal 5 17 2 25 10" xfId="35440" xr:uid="{00000000-0005-0000-0000-0000628A0000}"/>
    <cellStyle name="Normal 5 17 2 25 11" xfId="35441" xr:uid="{00000000-0005-0000-0000-0000638A0000}"/>
    <cellStyle name="Normal 5 17 2 25 12" xfId="35442" xr:uid="{00000000-0005-0000-0000-0000648A0000}"/>
    <cellStyle name="Normal 5 17 2 25 13" xfId="35443" xr:uid="{00000000-0005-0000-0000-0000658A0000}"/>
    <cellStyle name="Normal 5 17 2 25 14" xfId="35444" xr:uid="{00000000-0005-0000-0000-0000668A0000}"/>
    <cellStyle name="Normal 5 17 2 25 2" xfId="35445" xr:uid="{00000000-0005-0000-0000-0000678A0000}"/>
    <cellStyle name="Normal 5 17 2 25 2 10" xfId="35446" xr:uid="{00000000-0005-0000-0000-0000688A0000}"/>
    <cellStyle name="Normal 5 17 2 25 2 2" xfId="35447" xr:uid="{00000000-0005-0000-0000-0000698A0000}"/>
    <cellStyle name="Normal 5 17 2 25 2 3" xfId="35448" xr:uid="{00000000-0005-0000-0000-00006A8A0000}"/>
    <cellStyle name="Normal 5 17 2 25 2 4" xfId="35449" xr:uid="{00000000-0005-0000-0000-00006B8A0000}"/>
    <cellStyle name="Normal 5 17 2 25 2 5" xfId="35450" xr:uid="{00000000-0005-0000-0000-00006C8A0000}"/>
    <cellStyle name="Normal 5 17 2 25 2 6" xfId="35451" xr:uid="{00000000-0005-0000-0000-00006D8A0000}"/>
    <cellStyle name="Normal 5 17 2 25 2 7" xfId="35452" xr:uid="{00000000-0005-0000-0000-00006E8A0000}"/>
    <cellStyle name="Normal 5 17 2 25 2 8" xfId="35453" xr:uid="{00000000-0005-0000-0000-00006F8A0000}"/>
    <cellStyle name="Normal 5 17 2 25 2 9" xfId="35454" xr:uid="{00000000-0005-0000-0000-0000708A0000}"/>
    <cellStyle name="Normal 5 17 2 25 3" xfId="35455" xr:uid="{00000000-0005-0000-0000-0000718A0000}"/>
    <cellStyle name="Normal 5 17 2 25 3 10" xfId="35456" xr:uid="{00000000-0005-0000-0000-0000728A0000}"/>
    <cellStyle name="Normal 5 17 2 25 3 2" xfId="35457" xr:uid="{00000000-0005-0000-0000-0000738A0000}"/>
    <cellStyle name="Normal 5 17 2 25 3 3" xfId="35458" xr:uid="{00000000-0005-0000-0000-0000748A0000}"/>
    <cellStyle name="Normal 5 17 2 25 3 4" xfId="35459" xr:uid="{00000000-0005-0000-0000-0000758A0000}"/>
    <cellStyle name="Normal 5 17 2 25 3 5" xfId="35460" xr:uid="{00000000-0005-0000-0000-0000768A0000}"/>
    <cellStyle name="Normal 5 17 2 25 3 6" xfId="35461" xr:uid="{00000000-0005-0000-0000-0000778A0000}"/>
    <cellStyle name="Normal 5 17 2 25 3 7" xfId="35462" xr:uid="{00000000-0005-0000-0000-0000788A0000}"/>
    <cellStyle name="Normal 5 17 2 25 3 8" xfId="35463" xr:uid="{00000000-0005-0000-0000-0000798A0000}"/>
    <cellStyle name="Normal 5 17 2 25 3 9" xfId="35464" xr:uid="{00000000-0005-0000-0000-00007A8A0000}"/>
    <cellStyle name="Normal 5 17 2 25 4" xfId="35465" xr:uid="{00000000-0005-0000-0000-00007B8A0000}"/>
    <cellStyle name="Normal 5 17 2 25 4 10" xfId="35466" xr:uid="{00000000-0005-0000-0000-00007C8A0000}"/>
    <cellStyle name="Normal 5 17 2 25 4 2" xfId="35467" xr:uid="{00000000-0005-0000-0000-00007D8A0000}"/>
    <cellStyle name="Normal 5 17 2 25 4 3" xfId="35468" xr:uid="{00000000-0005-0000-0000-00007E8A0000}"/>
    <cellStyle name="Normal 5 17 2 25 4 4" xfId="35469" xr:uid="{00000000-0005-0000-0000-00007F8A0000}"/>
    <cellStyle name="Normal 5 17 2 25 4 5" xfId="35470" xr:uid="{00000000-0005-0000-0000-0000808A0000}"/>
    <cellStyle name="Normal 5 17 2 25 4 6" xfId="35471" xr:uid="{00000000-0005-0000-0000-0000818A0000}"/>
    <cellStyle name="Normal 5 17 2 25 4 7" xfId="35472" xr:uid="{00000000-0005-0000-0000-0000828A0000}"/>
    <cellStyle name="Normal 5 17 2 25 4 8" xfId="35473" xr:uid="{00000000-0005-0000-0000-0000838A0000}"/>
    <cellStyle name="Normal 5 17 2 25 4 9" xfId="35474" xr:uid="{00000000-0005-0000-0000-0000848A0000}"/>
    <cellStyle name="Normal 5 17 2 25 5" xfId="35475" xr:uid="{00000000-0005-0000-0000-0000858A0000}"/>
    <cellStyle name="Normal 5 17 2 25 5 10" xfId="35476" xr:uid="{00000000-0005-0000-0000-0000868A0000}"/>
    <cellStyle name="Normal 5 17 2 25 5 2" xfId="35477" xr:uid="{00000000-0005-0000-0000-0000878A0000}"/>
    <cellStyle name="Normal 5 17 2 25 5 3" xfId="35478" xr:uid="{00000000-0005-0000-0000-0000888A0000}"/>
    <cellStyle name="Normal 5 17 2 25 5 4" xfId="35479" xr:uid="{00000000-0005-0000-0000-0000898A0000}"/>
    <cellStyle name="Normal 5 17 2 25 5 5" xfId="35480" xr:uid="{00000000-0005-0000-0000-00008A8A0000}"/>
    <cellStyle name="Normal 5 17 2 25 5 6" xfId="35481" xr:uid="{00000000-0005-0000-0000-00008B8A0000}"/>
    <cellStyle name="Normal 5 17 2 25 5 7" xfId="35482" xr:uid="{00000000-0005-0000-0000-00008C8A0000}"/>
    <cellStyle name="Normal 5 17 2 25 5 8" xfId="35483" xr:uid="{00000000-0005-0000-0000-00008D8A0000}"/>
    <cellStyle name="Normal 5 17 2 25 5 9" xfId="35484" xr:uid="{00000000-0005-0000-0000-00008E8A0000}"/>
    <cellStyle name="Normal 5 17 2 25 6" xfId="35485" xr:uid="{00000000-0005-0000-0000-00008F8A0000}"/>
    <cellStyle name="Normal 5 17 2 25 7" xfId="35486" xr:uid="{00000000-0005-0000-0000-0000908A0000}"/>
    <cellStyle name="Normal 5 17 2 25 8" xfId="35487" xr:uid="{00000000-0005-0000-0000-0000918A0000}"/>
    <cellStyle name="Normal 5 17 2 25 9" xfId="35488" xr:uid="{00000000-0005-0000-0000-0000928A0000}"/>
    <cellStyle name="Normal 5 17 2 26" xfId="35489" xr:uid="{00000000-0005-0000-0000-0000938A0000}"/>
    <cellStyle name="Normal 5 17 2 26 10" xfId="35490" xr:uid="{00000000-0005-0000-0000-0000948A0000}"/>
    <cellStyle name="Normal 5 17 2 26 11" xfId="35491" xr:uid="{00000000-0005-0000-0000-0000958A0000}"/>
    <cellStyle name="Normal 5 17 2 26 12" xfId="35492" xr:uid="{00000000-0005-0000-0000-0000968A0000}"/>
    <cellStyle name="Normal 5 17 2 26 13" xfId="35493" xr:uid="{00000000-0005-0000-0000-0000978A0000}"/>
    <cellStyle name="Normal 5 17 2 26 14" xfId="35494" xr:uid="{00000000-0005-0000-0000-0000988A0000}"/>
    <cellStyle name="Normal 5 17 2 26 2" xfId="35495" xr:uid="{00000000-0005-0000-0000-0000998A0000}"/>
    <cellStyle name="Normal 5 17 2 26 2 10" xfId="35496" xr:uid="{00000000-0005-0000-0000-00009A8A0000}"/>
    <cellStyle name="Normal 5 17 2 26 2 2" xfId="35497" xr:uid="{00000000-0005-0000-0000-00009B8A0000}"/>
    <cellStyle name="Normal 5 17 2 26 2 3" xfId="35498" xr:uid="{00000000-0005-0000-0000-00009C8A0000}"/>
    <cellStyle name="Normal 5 17 2 26 2 4" xfId="35499" xr:uid="{00000000-0005-0000-0000-00009D8A0000}"/>
    <cellStyle name="Normal 5 17 2 26 2 5" xfId="35500" xr:uid="{00000000-0005-0000-0000-00009E8A0000}"/>
    <cellStyle name="Normal 5 17 2 26 2 6" xfId="35501" xr:uid="{00000000-0005-0000-0000-00009F8A0000}"/>
    <cellStyle name="Normal 5 17 2 26 2 7" xfId="35502" xr:uid="{00000000-0005-0000-0000-0000A08A0000}"/>
    <cellStyle name="Normal 5 17 2 26 2 8" xfId="35503" xr:uid="{00000000-0005-0000-0000-0000A18A0000}"/>
    <cellStyle name="Normal 5 17 2 26 2 9" xfId="35504" xr:uid="{00000000-0005-0000-0000-0000A28A0000}"/>
    <cellStyle name="Normal 5 17 2 26 3" xfId="35505" xr:uid="{00000000-0005-0000-0000-0000A38A0000}"/>
    <cellStyle name="Normal 5 17 2 26 3 10" xfId="35506" xr:uid="{00000000-0005-0000-0000-0000A48A0000}"/>
    <cellStyle name="Normal 5 17 2 26 3 2" xfId="35507" xr:uid="{00000000-0005-0000-0000-0000A58A0000}"/>
    <cellStyle name="Normal 5 17 2 26 3 3" xfId="35508" xr:uid="{00000000-0005-0000-0000-0000A68A0000}"/>
    <cellStyle name="Normal 5 17 2 26 3 4" xfId="35509" xr:uid="{00000000-0005-0000-0000-0000A78A0000}"/>
    <cellStyle name="Normal 5 17 2 26 3 5" xfId="35510" xr:uid="{00000000-0005-0000-0000-0000A88A0000}"/>
    <cellStyle name="Normal 5 17 2 26 3 6" xfId="35511" xr:uid="{00000000-0005-0000-0000-0000A98A0000}"/>
    <cellStyle name="Normal 5 17 2 26 3 7" xfId="35512" xr:uid="{00000000-0005-0000-0000-0000AA8A0000}"/>
    <cellStyle name="Normal 5 17 2 26 3 8" xfId="35513" xr:uid="{00000000-0005-0000-0000-0000AB8A0000}"/>
    <cellStyle name="Normal 5 17 2 26 3 9" xfId="35514" xr:uid="{00000000-0005-0000-0000-0000AC8A0000}"/>
    <cellStyle name="Normal 5 17 2 26 4" xfId="35515" xr:uid="{00000000-0005-0000-0000-0000AD8A0000}"/>
    <cellStyle name="Normal 5 17 2 26 4 10" xfId="35516" xr:uid="{00000000-0005-0000-0000-0000AE8A0000}"/>
    <cellStyle name="Normal 5 17 2 26 4 2" xfId="35517" xr:uid="{00000000-0005-0000-0000-0000AF8A0000}"/>
    <cellStyle name="Normal 5 17 2 26 4 3" xfId="35518" xr:uid="{00000000-0005-0000-0000-0000B08A0000}"/>
    <cellStyle name="Normal 5 17 2 26 4 4" xfId="35519" xr:uid="{00000000-0005-0000-0000-0000B18A0000}"/>
    <cellStyle name="Normal 5 17 2 26 4 5" xfId="35520" xr:uid="{00000000-0005-0000-0000-0000B28A0000}"/>
    <cellStyle name="Normal 5 17 2 26 4 6" xfId="35521" xr:uid="{00000000-0005-0000-0000-0000B38A0000}"/>
    <cellStyle name="Normal 5 17 2 26 4 7" xfId="35522" xr:uid="{00000000-0005-0000-0000-0000B48A0000}"/>
    <cellStyle name="Normal 5 17 2 26 4 8" xfId="35523" xr:uid="{00000000-0005-0000-0000-0000B58A0000}"/>
    <cellStyle name="Normal 5 17 2 26 4 9" xfId="35524" xr:uid="{00000000-0005-0000-0000-0000B68A0000}"/>
    <cellStyle name="Normal 5 17 2 26 5" xfId="35525" xr:uid="{00000000-0005-0000-0000-0000B78A0000}"/>
    <cellStyle name="Normal 5 17 2 26 5 10" xfId="35526" xr:uid="{00000000-0005-0000-0000-0000B88A0000}"/>
    <cellStyle name="Normal 5 17 2 26 5 2" xfId="35527" xr:uid="{00000000-0005-0000-0000-0000B98A0000}"/>
    <cellStyle name="Normal 5 17 2 26 5 3" xfId="35528" xr:uid="{00000000-0005-0000-0000-0000BA8A0000}"/>
    <cellStyle name="Normal 5 17 2 26 5 4" xfId="35529" xr:uid="{00000000-0005-0000-0000-0000BB8A0000}"/>
    <cellStyle name="Normal 5 17 2 26 5 5" xfId="35530" xr:uid="{00000000-0005-0000-0000-0000BC8A0000}"/>
    <cellStyle name="Normal 5 17 2 26 5 6" xfId="35531" xr:uid="{00000000-0005-0000-0000-0000BD8A0000}"/>
    <cellStyle name="Normal 5 17 2 26 5 7" xfId="35532" xr:uid="{00000000-0005-0000-0000-0000BE8A0000}"/>
    <cellStyle name="Normal 5 17 2 26 5 8" xfId="35533" xr:uid="{00000000-0005-0000-0000-0000BF8A0000}"/>
    <cellStyle name="Normal 5 17 2 26 5 9" xfId="35534" xr:uid="{00000000-0005-0000-0000-0000C08A0000}"/>
    <cellStyle name="Normal 5 17 2 26 6" xfId="35535" xr:uid="{00000000-0005-0000-0000-0000C18A0000}"/>
    <cellStyle name="Normal 5 17 2 26 7" xfId="35536" xr:uid="{00000000-0005-0000-0000-0000C28A0000}"/>
    <cellStyle name="Normal 5 17 2 26 8" xfId="35537" xr:uid="{00000000-0005-0000-0000-0000C38A0000}"/>
    <cellStyle name="Normal 5 17 2 26 9" xfId="35538" xr:uid="{00000000-0005-0000-0000-0000C48A0000}"/>
    <cellStyle name="Normal 5 17 2 27" xfId="35539" xr:uid="{00000000-0005-0000-0000-0000C58A0000}"/>
    <cellStyle name="Normal 5 17 2 27 10" xfId="35540" xr:uid="{00000000-0005-0000-0000-0000C68A0000}"/>
    <cellStyle name="Normal 5 17 2 27 11" xfId="35541" xr:uid="{00000000-0005-0000-0000-0000C78A0000}"/>
    <cellStyle name="Normal 5 17 2 27 12" xfId="35542" xr:uid="{00000000-0005-0000-0000-0000C88A0000}"/>
    <cellStyle name="Normal 5 17 2 27 13" xfId="35543" xr:uid="{00000000-0005-0000-0000-0000C98A0000}"/>
    <cellStyle name="Normal 5 17 2 27 14" xfId="35544" xr:uid="{00000000-0005-0000-0000-0000CA8A0000}"/>
    <cellStyle name="Normal 5 17 2 27 2" xfId="35545" xr:uid="{00000000-0005-0000-0000-0000CB8A0000}"/>
    <cellStyle name="Normal 5 17 2 27 2 10" xfId="35546" xr:uid="{00000000-0005-0000-0000-0000CC8A0000}"/>
    <cellStyle name="Normal 5 17 2 27 2 2" xfId="35547" xr:uid="{00000000-0005-0000-0000-0000CD8A0000}"/>
    <cellStyle name="Normal 5 17 2 27 2 3" xfId="35548" xr:uid="{00000000-0005-0000-0000-0000CE8A0000}"/>
    <cellStyle name="Normal 5 17 2 27 2 4" xfId="35549" xr:uid="{00000000-0005-0000-0000-0000CF8A0000}"/>
    <cellStyle name="Normal 5 17 2 27 2 5" xfId="35550" xr:uid="{00000000-0005-0000-0000-0000D08A0000}"/>
    <cellStyle name="Normal 5 17 2 27 2 6" xfId="35551" xr:uid="{00000000-0005-0000-0000-0000D18A0000}"/>
    <cellStyle name="Normal 5 17 2 27 2 7" xfId="35552" xr:uid="{00000000-0005-0000-0000-0000D28A0000}"/>
    <cellStyle name="Normal 5 17 2 27 2 8" xfId="35553" xr:uid="{00000000-0005-0000-0000-0000D38A0000}"/>
    <cellStyle name="Normal 5 17 2 27 2 9" xfId="35554" xr:uid="{00000000-0005-0000-0000-0000D48A0000}"/>
    <cellStyle name="Normal 5 17 2 27 3" xfId="35555" xr:uid="{00000000-0005-0000-0000-0000D58A0000}"/>
    <cellStyle name="Normal 5 17 2 27 3 10" xfId="35556" xr:uid="{00000000-0005-0000-0000-0000D68A0000}"/>
    <cellStyle name="Normal 5 17 2 27 3 2" xfId="35557" xr:uid="{00000000-0005-0000-0000-0000D78A0000}"/>
    <cellStyle name="Normal 5 17 2 27 3 3" xfId="35558" xr:uid="{00000000-0005-0000-0000-0000D88A0000}"/>
    <cellStyle name="Normal 5 17 2 27 3 4" xfId="35559" xr:uid="{00000000-0005-0000-0000-0000D98A0000}"/>
    <cellStyle name="Normal 5 17 2 27 3 5" xfId="35560" xr:uid="{00000000-0005-0000-0000-0000DA8A0000}"/>
    <cellStyle name="Normal 5 17 2 27 3 6" xfId="35561" xr:uid="{00000000-0005-0000-0000-0000DB8A0000}"/>
    <cellStyle name="Normal 5 17 2 27 3 7" xfId="35562" xr:uid="{00000000-0005-0000-0000-0000DC8A0000}"/>
    <cellStyle name="Normal 5 17 2 27 3 8" xfId="35563" xr:uid="{00000000-0005-0000-0000-0000DD8A0000}"/>
    <cellStyle name="Normal 5 17 2 27 3 9" xfId="35564" xr:uid="{00000000-0005-0000-0000-0000DE8A0000}"/>
    <cellStyle name="Normal 5 17 2 27 4" xfId="35565" xr:uid="{00000000-0005-0000-0000-0000DF8A0000}"/>
    <cellStyle name="Normal 5 17 2 27 4 10" xfId="35566" xr:uid="{00000000-0005-0000-0000-0000E08A0000}"/>
    <cellStyle name="Normal 5 17 2 27 4 2" xfId="35567" xr:uid="{00000000-0005-0000-0000-0000E18A0000}"/>
    <cellStyle name="Normal 5 17 2 27 4 3" xfId="35568" xr:uid="{00000000-0005-0000-0000-0000E28A0000}"/>
    <cellStyle name="Normal 5 17 2 27 4 4" xfId="35569" xr:uid="{00000000-0005-0000-0000-0000E38A0000}"/>
    <cellStyle name="Normal 5 17 2 27 4 5" xfId="35570" xr:uid="{00000000-0005-0000-0000-0000E48A0000}"/>
    <cellStyle name="Normal 5 17 2 27 4 6" xfId="35571" xr:uid="{00000000-0005-0000-0000-0000E58A0000}"/>
    <cellStyle name="Normal 5 17 2 27 4 7" xfId="35572" xr:uid="{00000000-0005-0000-0000-0000E68A0000}"/>
    <cellStyle name="Normal 5 17 2 27 4 8" xfId="35573" xr:uid="{00000000-0005-0000-0000-0000E78A0000}"/>
    <cellStyle name="Normal 5 17 2 27 4 9" xfId="35574" xr:uid="{00000000-0005-0000-0000-0000E88A0000}"/>
    <cellStyle name="Normal 5 17 2 27 5" xfId="35575" xr:uid="{00000000-0005-0000-0000-0000E98A0000}"/>
    <cellStyle name="Normal 5 17 2 27 5 10" xfId="35576" xr:uid="{00000000-0005-0000-0000-0000EA8A0000}"/>
    <cellStyle name="Normal 5 17 2 27 5 2" xfId="35577" xr:uid="{00000000-0005-0000-0000-0000EB8A0000}"/>
    <cellStyle name="Normal 5 17 2 27 5 3" xfId="35578" xr:uid="{00000000-0005-0000-0000-0000EC8A0000}"/>
    <cellStyle name="Normal 5 17 2 27 5 4" xfId="35579" xr:uid="{00000000-0005-0000-0000-0000ED8A0000}"/>
    <cellStyle name="Normal 5 17 2 27 5 5" xfId="35580" xr:uid="{00000000-0005-0000-0000-0000EE8A0000}"/>
    <cellStyle name="Normal 5 17 2 27 5 6" xfId="35581" xr:uid="{00000000-0005-0000-0000-0000EF8A0000}"/>
    <cellStyle name="Normal 5 17 2 27 5 7" xfId="35582" xr:uid="{00000000-0005-0000-0000-0000F08A0000}"/>
    <cellStyle name="Normal 5 17 2 27 5 8" xfId="35583" xr:uid="{00000000-0005-0000-0000-0000F18A0000}"/>
    <cellStyle name="Normal 5 17 2 27 5 9" xfId="35584" xr:uid="{00000000-0005-0000-0000-0000F28A0000}"/>
    <cellStyle name="Normal 5 17 2 27 6" xfId="35585" xr:uid="{00000000-0005-0000-0000-0000F38A0000}"/>
    <cellStyle name="Normal 5 17 2 27 7" xfId="35586" xr:uid="{00000000-0005-0000-0000-0000F48A0000}"/>
    <cellStyle name="Normal 5 17 2 27 8" xfId="35587" xr:uid="{00000000-0005-0000-0000-0000F58A0000}"/>
    <cellStyle name="Normal 5 17 2 27 9" xfId="35588" xr:uid="{00000000-0005-0000-0000-0000F68A0000}"/>
    <cellStyle name="Normal 5 17 2 28" xfId="35589" xr:uid="{00000000-0005-0000-0000-0000F78A0000}"/>
    <cellStyle name="Normal 5 17 2 28 10" xfId="35590" xr:uid="{00000000-0005-0000-0000-0000F88A0000}"/>
    <cellStyle name="Normal 5 17 2 28 11" xfId="35591" xr:uid="{00000000-0005-0000-0000-0000F98A0000}"/>
    <cellStyle name="Normal 5 17 2 28 12" xfId="35592" xr:uid="{00000000-0005-0000-0000-0000FA8A0000}"/>
    <cellStyle name="Normal 5 17 2 28 13" xfId="35593" xr:uid="{00000000-0005-0000-0000-0000FB8A0000}"/>
    <cellStyle name="Normal 5 17 2 28 14" xfId="35594" xr:uid="{00000000-0005-0000-0000-0000FC8A0000}"/>
    <cellStyle name="Normal 5 17 2 28 2" xfId="35595" xr:uid="{00000000-0005-0000-0000-0000FD8A0000}"/>
    <cellStyle name="Normal 5 17 2 28 2 10" xfId="35596" xr:uid="{00000000-0005-0000-0000-0000FE8A0000}"/>
    <cellStyle name="Normal 5 17 2 28 2 2" xfId="35597" xr:uid="{00000000-0005-0000-0000-0000FF8A0000}"/>
    <cellStyle name="Normal 5 17 2 28 2 3" xfId="35598" xr:uid="{00000000-0005-0000-0000-0000008B0000}"/>
    <cellStyle name="Normal 5 17 2 28 2 4" xfId="35599" xr:uid="{00000000-0005-0000-0000-0000018B0000}"/>
    <cellStyle name="Normal 5 17 2 28 2 5" xfId="35600" xr:uid="{00000000-0005-0000-0000-0000028B0000}"/>
    <cellStyle name="Normal 5 17 2 28 2 6" xfId="35601" xr:uid="{00000000-0005-0000-0000-0000038B0000}"/>
    <cellStyle name="Normal 5 17 2 28 2 7" xfId="35602" xr:uid="{00000000-0005-0000-0000-0000048B0000}"/>
    <cellStyle name="Normal 5 17 2 28 2 8" xfId="35603" xr:uid="{00000000-0005-0000-0000-0000058B0000}"/>
    <cellStyle name="Normal 5 17 2 28 2 9" xfId="35604" xr:uid="{00000000-0005-0000-0000-0000068B0000}"/>
    <cellStyle name="Normal 5 17 2 28 3" xfId="35605" xr:uid="{00000000-0005-0000-0000-0000078B0000}"/>
    <cellStyle name="Normal 5 17 2 28 3 10" xfId="35606" xr:uid="{00000000-0005-0000-0000-0000088B0000}"/>
    <cellStyle name="Normal 5 17 2 28 3 2" xfId="35607" xr:uid="{00000000-0005-0000-0000-0000098B0000}"/>
    <cellStyle name="Normal 5 17 2 28 3 3" xfId="35608" xr:uid="{00000000-0005-0000-0000-00000A8B0000}"/>
    <cellStyle name="Normal 5 17 2 28 3 4" xfId="35609" xr:uid="{00000000-0005-0000-0000-00000B8B0000}"/>
    <cellStyle name="Normal 5 17 2 28 3 5" xfId="35610" xr:uid="{00000000-0005-0000-0000-00000C8B0000}"/>
    <cellStyle name="Normal 5 17 2 28 3 6" xfId="35611" xr:uid="{00000000-0005-0000-0000-00000D8B0000}"/>
    <cellStyle name="Normal 5 17 2 28 3 7" xfId="35612" xr:uid="{00000000-0005-0000-0000-00000E8B0000}"/>
    <cellStyle name="Normal 5 17 2 28 3 8" xfId="35613" xr:uid="{00000000-0005-0000-0000-00000F8B0000}"/>
    <cellStyle name="Normal 5 17 2 28 3 9" xfId="35614" xr:uid="{00000000-0005-0000-0000-0000108B0000}"/>
    <cellStyle name="Normal 5 17 2 28 4" xfId="35615" xr:uid="{00000000-0005-0000-0000-0000118B0000}"/>
    <cellStyle name="Normal 5 17 2 28 4 10" xfId="35616" xr:uid="{00000000-0005-0000-0000-0000128B0000}"/>
    <cellStyle name="Normal 5 17 2 28 4 2" xfId="35617" xr:uid="{00000000-0005-0000-0000-0000138B0000}"/>
    <cellStyle name="Normal 5 17 2 28 4 3" xfId="35618" xr:uid="{00000000-0005-0000-0000-0000148B0000}"/>
    <cellStyle name="Normal 5 17 2 28 4 4" xfId="35619" xr:uid="{00000000-0005-0000-0000-0000158B0000}"/>
    <cellStyle name="Normal 5 17 2 28 4 5" xfId="35620" xr:uid="{00000000-0005-0000-0000-0000168B0000}"/>
    <cellStyle name="Normal 5 17 2 28 4 6" xfId="35621" xr:uid="{00000000-0005-0000-0000-0000178B0000}"/>
    <cellStyle name="Normal 5 17 2 28 4 7" xfId="35622" xr:uid="{00000000-0005-0000-0000-0000188B0000}"/>
    <cellStyle name="Normal 5 17 2 28 4 8" xfId="35623" xr:uid="{00000000-0005-0000-0000-0000198B0000}"/>
    <cellStyle name="Normal 5 17 2 28 4 9" xfId="35624" xr:uid="{00000000-0005-0000-0000-00001A8B0000}"/>
    <cellStyle name="Normal 5 17 2 28 5" xfId="35625" xr:uid="{00000000-0005-0000-0000-00001B8B0000}"/>
    <cellStyle name="Normal 5 17 2 28 5 10" xfId="35626" xr:uid="{00000000-0005-0000-0000-00001C8B0000}"/>
    <cellStyle name="Normal 5 17 2 28 5 2" xfId="35627" xr:uid="{00000000-0005-0000-0000-00001D8B0000}"/>
    <cellStyle name="Normal 5 17 2 28 5 3" xfId="35628" xr:uid="{00000000-0005-0000-0000-00001E8B0000}"/>
    <cellStyle name="Normal 5 17 2 28 5 4" xfId="35629" xr:uid="{00000000-0005-0000-0000-00001F8B0000}"/>
    <cellStyle name="Normal 5 17 2 28 5 5" xfId="35630" xr:uid="{00000000-0005-0000-0000-0000208B0000}"/>
    <cellStyle name="Normal 5 17 2 28 5 6" xfId="35631" xr:uid="{00000000-0005-0000-0000-0000218B0000}"/>
    <cellStyle name="Normal 5 17 2 28 5 7" xfId="35632" xr:uid="{00000000-0005-0000-0000-0000228B0000}"/>
    <cellStyle name="Normal 5 17 2 28 5 8" xfId="35633" xr:uid="{00000000-0005-0000-0000-0000238B0000}"/>
    <cellStyle name="Normal 5 17 2 28 5 9" xfId="35634" xr:uid="{00000000-0005-0000-0000-0000248B0000}"/>
    <cellStyle name="Normal 5 17 2 28 6" xfId="35635" xr:uid="{00000000-0005-0000-0000-0000258B0000}"/>
    <cellStyle name="Normal 5 17 2 28 7" xfId="35636" xr:uid="{00000000-0005-0000-0000-0000268B0000}"/>
    <cellStyle name="Normal 5 17 2 28 8" xfId="35637" xr:uid="{00000000-0005-0000-0000-0000278B0000}"/>
    <cellStyle name="Normal 5 17 2 28 9" xfId="35638" xr:uid="{00000000-0005-0000-0000-0000288B0000}"/>
    <cellStyle name="Normal 5 17 2 29" xfId="35639" xr:uid="{00000000-0005-0000-0000-0000298B0000}"/>
    <cellStyle name="Normal 5 17 2 29 10" xfId="35640" xr:uid="{00000000-0005-0000-0000-00002A8B0000}"/>
    <cellStyle name="Normal 5 17 2 29 11" xfId="35641" xr:uid="{00000000-0005-0000-0000-00002B8B0000}"/>
    <cellStyle name="Normal 5 17 2 29 12" xfId="35642" xr:uid="{00000000-0005-0000-0000-00002C8B0000}"/>
    <cellStyle name="Normal 5 17 2 29 13" xfId="35643" xr:uid="{00000000-0005-0000-0000-00002D8B0000}"/>
    <cellStyle name="Normal 5 17 2 29 14" xfId="35644" xr:uid="{00000000-0005-0000-0000-00002E8B0000}"/>
    <cellStyle name="Normal 5 17 2 29 2" xfId="35645" xr:uid="{00000000-0005-0000-0000-00002F8B0000}"/>
    <cellStyle name="Normal 5 17 2 29 2 10" xfId="35646" xr:uid="{00000000-0005-0000-0000-0000308B0000}"/>
    <cellStyle name="Normal 5 17 2 29 2 2" xfId="35647" xr:uid="{00000000-0005-0000-0000-0000318B0000}"/>
    <cellStyle name="Normal 5 17 2 29 2 3" xfId="35648" xr:uid="{00000000-0005-0000-0000-0000328B0000}"/>
    <cellStyle name="Normal 5 17 2 29 2 4" xfId="35649" xr:uid="{00000000-0005-0000-0000-0000338B0000}"/>
    <cellStyle name="Normal 5 17 2 29 2 5" xfId="35650" xr:uid="{00000000-0005-0000-0000-0000348B0000}"/>
    <cellStyle name="Normal 5 17 2 29 2 6" xfId="35651" xr:uid="{00000000-0005-0000-0000-0000358B0000}"/>
    <cellStyle name="Normal 5 17 2 29 2 7" xfId="35652" xr:uid="{00000000-0005-0000-0000-0000368B0000}"/>
    <cellStyle name="Normal 5 17 2 29 2 8" xfId="35653" xr:uid="{00000000-0005-0000-0000-0000378B0000}"/>
    <cellStyle name="Normal 5 17 2 29 2 9" xfId="35654" xr:uid="{00000000-0005-0000-0000-0000388B0000}"/>
    <cellStyle name="Normal 5 17 2 29 3" xfId="35655" xr:uid="{00000000-0005-0000-0000-0000398B0000}"/>
    <cellStyle name="Normal 5 17 2 29 3 10" xfId="35656" xr:uid="{00000000-0005-0000-0000-00003A8B0000}"/>
    <cellStyle name="Normal 5 17 2 29 3 2" xfId="35657" xr:uid="{00000000-0005-0000-0000-00003B8B0000}"/>
    <cellStyle name="Normal 5 17 2 29 3 3" xfId="35658" xr:uid="{00000000-0005-0000-0000-00003C8B0000}"/>
    <cellStyle name="Normal 5 17 2 29 3 4" xfId="35659" xr:uid="{00000000-0005-0000-0000-00003D8B0000}"/>
    <cellStyle name="Normal 5 17 2 29 3 5" xfId="35660" xr:uid="{00000000-0005-0000-0000-00003E8B0000}"/>
    <cellStyle name="Normal 5 17 2 29 3 6" xfId="35661" xr:uid="{00000000-0005-0000-0000-00003F8B0000}"/>
    <cellStyle name="Normal 5 17 2 29 3 7" xfId="35662" xr:uid="{00000000-0005-0000-0000-0000408B0000}"/>
    <cellStyle name="Normal 5 17 2 29 3 8" xfId="35663" xr:uid="{00000000-0005-0000-0000-0000418B0000}"/>
    <cellStyle name="Normal 5 17 2 29 3 9" xfId="35664" xr:uid="{00000000-0005-0000-0000-0000428B0000}"/>
    <cellStyle name="Normal 5 17 2 29 4" xfId="35665" xr:uid="{00000000-0005-0000-0000-0000438B0000}"/>
    <cellStyle name="Normal 5 17 2 29 4 10" xfId="35666" xr:uid="{00000000-0005-0000-0000-0000448B0000}"/>
    <cellStyle name="Normal 5 17 2 29 4 2" xfId="35667" xr:uid="{00000000-0005-0000-0000-0000458B0000}"/>
    <cellStyle name="Normal 5 17 2 29 4 3" xfId="35668" xr:uid="{00000000-0005-0000-0000-0000468B0000}"/>
    <cellStyle name="Normal 5 17 2 29 4 4" xfId="35669" xr:uid="{00000000-0005-0000-0000-0000478B0000}"/>
    <cellStyle name="Normal 5 17 2 29 4 5" xfId="35670" xr:uid="{00000000-0005-0000-0000-0000488B0000}"/>
    <cellStyle name="Normal 5 17 2 29 4 6" xfId="35671" xr:uid="{00000000-0005-0000-0000-0000498B0000}"/>
    <cellStyle name="Normal 5 17 2 29 4 7" xfId="35672" xr:uid="{00000000-0005-0000-0000-00004A8B0000}"/>
    <cellStyle name="Normal 5 17 2 29 4 8" xfId="35673" xr:uid="{00000000-0005-0000-0000-00004B8B0000}"/>
    <cellStyle name="Normal 5 17 2 29 4 9" xfId="35674" xr:uid="{00000000-0005-0000-0000-00004C8B0000}"/>
    <cellStyle name="Normal 5 17 2 29 5" xfId="35675" xr:uid="{00000000-0005-0000-0000-00004D8B0000}"/>
    <cellStyle name="Normal 5 17 2 29 5 10" xfId="35676" xr:uid="{00000000-0005-0000-0000-00004E8B0000}"/>
    <cellStyle name="Normal 5 17 2 29 5 2" xfId="35677" xr:uid="{00000000-0005-0000-0000-00004F8B0000}"/>
    <cellStyle name="Normal 5 17 2 29 5 3" xfId="35678" xr:uid="{00000000-0005-0000-0000-0000508B0000}"/>
    <cellStyle name="Normal 5 17 2 29 5 4" xfId="35679" xr:uid="{00000000-0005-0000-0000-0000518B0000}"/>
    <cellStyle name="Normal 5 17 2 29 5 5" xfId="35680" xr:uid="{00000000-0005-0000-0000-0000528B0000}"/>
    <cellStyle name="Normal 5 17 2 29 5 6" xfId="35681" xr:uid="{00000000-0005-0000-0000-0000538B0000}"/>
    <cellStyle name="Normal 5 17 2 29 5 7" xfId="35682" xr:uid="{00000000-0005-0000-0000-0000548B0000}"/>
    <cellStyle name="Normal 5 17 2 29 5 8" xfId="35683" xr:uid="{00000000-0005-0000-0000-0000558B0000}"/>
    <cellStyle name="Normal 5 17 2 29 5 9" xfId="35684" xr:uid="{00000000-0005-0000-0000-0000568B0000}"/>
    <cellStyle name="Normal 5 17 2 29 6" xfId="35685" xr:uid="{00000000-0005-0000-0000-0000578B0000}"/>
    <cellStyle name="Normal 5 17 2 29 7" xfId="35686" xr:uid="{00000000-0005-0000-0000-0000588B0000}"/>
    <cellStyle name="Normal 5 17 2 29 8" xfId="35687" xr:uid="{00000000-0005-0000-0000-0000598B0000}"/>
    <cellStyle name="Normal 5 17 2 29 9" xfId="35688" xr:uid="{00000000-0005-0000-0000-00005A8B0000}"/>
    <cellStyle name="Normal 5 17 2 3" xfId="35689" xr:uid="{00000000-0005-0000-0000-00005B8B0000}"/>
    <cellStyle name="Normal 5 17 2 3 10" xfId="35690" xr:uid="{00000000-0005-0000-0000-00005C8B0000}"/>
    <cellStyle name="Normal 5 17 2 3 11" xfId="35691" xr:uid="{00000000-0005-0000-0000-00005D8B0000}"/>
    <cellStyle name="Normal 5 17 2 3 12" xfId="35692" xr:uid="{00000000-0005-0000-0000-00005E8B0000}"/>
    <cellStyle name="Normal 5 17 2 3 13" xfId="35693" xr:uid="{00000000-0005-0000-0000-00005F8B0000}"/>
    <cellStyle name="Normal 5 17 2 3 14" xfId="35694" xr:uid="{00000000-0005-0000-0000-0000608B0000}"/>
    <cellStyle name="Normal 5 17 2 3 2" xfId="35695" xr:uid="{00000000-0005-0000-0000-0000618B0000}"/>
    <cellStyle name="Normal 5 17 2 3 2 10" xfId="35696" xr:uid="{00000000-0005-0000-0000-0000628B0000}"/>
    <cellStyle name="Normal 5 17 2 3 2 2" xfId="35697" xr:uid="{00000000-0005-0000-0000-0000638B0000}"/>
    <cellStyle name="Normal 5 17 2 3 2 3" xfId="35698" xr:uid="{00000000-0005-0000-0000-0000648B0000}"/>
    <cellStyle name="Normal 5 17 2 3 2 4" xfId="35699" xr:uid="{00000000-0005-0000-0000-0000658B0000}"/>
    <cellStyle name="Normal 5 17 2 3 2 5" xfId="35700" xr:uid="{00000000-0005-0000-0000-0000668B0000}"/>
    <cellStyle name="Normal 5 17 2 3 2 6" xfId="35701" xr:uid="{00000000-0005-0000-0000-0000678B0000}"/>
    <cellStyle name="Normal 5 17 2 3 2 7" xfId="35702" xr:uid="{00000000-0005-0000-0000-0000688B0000}"/>
    <cellStyle name="Normal 5 17 2 3 2 8" xfId="35703" xr:uid="{00000000-0005-0000-0000-0000698B0000}"/>
    <cellStyle name="Normal 5 17 2 3 2 9" xfId="35704" xr:uid="{00000000-0005-0000-0000-00006A8B0000}"/>
    <cellStyle name="Normal 5 17 2 3 3" xfId="35705" xr:uid="{00000000-0005-0000-0000-00006B8B0000}"/>
    <cellStyle name="Normal 5 17 2 3 3 10" xfId="35706" xr:uid="{00000000-0005-0000-0000-00006C8B0000}"/>
    <cellStyle name="Normal 5 17 2 3 3 2" xfId="35707" xr:uid="{00000000-0005-0000-0000-00006D8B0000}"/>
    <cellStyle name="Normal 5 17 2 3 3 3" xfId="35708" xr:uid="{00000000-0005-0000-0000-00006E8B0000}"/>
    <cellStyle name="Normal 5 17 2 3 3 4" xfId="35709" xr:uid="{00000000-0005-0000-0000-00006F8B0000}"/>
    <cellStyle name="Normal 5 17 2 3 3 5" xfId="35710" xr:uid="{00000000-0005-0000-0000-0000708B0000}"/>
    <cellStyle name="Normal 5 17 2 3 3 6" xfId="35711" xr:uid="{00000000-0005-0000-0000-0000718B0000}"/>
    <cellStyle name="Normal 5 17 2 3 3 7" xfId="35712" xr:uid="{00000000-0005-0000-0000-0000728B0000}"/>
    <cellStyle name="Normal 5 17 2 3 3 8" xfId="35713" xr:uid="{00000000-0005-0000-0000-0000738B0000}"/>
    <cellStyle name="Normal 5 17 2 3 3 9" xfId="35714" xr:uid="{00000000-0005-0000-0000-0000748B0000}"/>
    <cellStyle name="Normal 5 17 2 3 4" xfId="35715" xr:uid="{00000000-0005-0000-0000-0000758B0000}"/>
    <cellStyle name="Normal 5 17 2 3 4 10" xfId="35716" xr:uid="{00000000-0005-0000-0000-0000768B0000}"/>
    <cellStyle name="Normal 5 17 2 3 4 2" xfId="35717" xr:uid="{00000000-0005-0000-0000-0000778B0000}"/>
    <cellStyle name="Normal 5 17 2 3 4 3" xfId="35718" xr:uid="{00000000-0005-0000-0000-0000788B0000}"/>
    <cellStyle name="Normal 5 17 2 3 4 4" xfId="35719" xr:uid="{00000000-0005-0000-0000-0000798B0000}"/>
    <cellStyle name="Normal 5 17 2 3 4 5" xfId="35720" xr:uid="{00000000-0005-0000-0000-00007A8B0000}"/>
    <cellStyle name="Normal 5 17 2 3 4 6" xfId="35721" xr:uid="{00000000-0005-0000-0000-00007B8B0000}"/>
    <cellStyle name="Normal 5 17 2 3 4 7" xfId="35722" xr:uid="{00000000-0005-0000-0000-00007C8B0000}"/>
    <cellStyle name="Normal 5 17 2 3 4 8" xfId="35723" xr:uid="{00000000-0005-0000-0000-00007D8B0000}"/>
    <cellStyle name="Normal 5 17 2 3 4 9" xfId="35724" xr:uid="{00000000-0005-0000-0000-00007E8B0000}"/>
    <cellStyle name="Normal 5 17 2 3 5" xfId="35725" xr:uid="{00000000-0005-0000-0000-00007F8B0000}"/>
    <cellStyle name="Normal 5 17 2 3 5 10" xfId="35726" xr:uid="{00000000-0005-0000-0000-0000808B0000}"/>
    <cellStyle name="Normal 5 17 2 3 5 2" xfId="35727" xr:uid="{00000000-0005-0000-0000-0000818B0000}"/>
    <cellStyle name="Normal 5 17 2 3 5 3" xfId="35728" xr:uid="{00000000-0005-0000-0000-0000828B0000}"/>
    <cellStyle name="Normal 5 17 2 3 5 4" xfId="35729" xr:uid="{00000000-0005-0000-0000-0000838B0000}"/>
    <cellStyle name="Normal 5 17 2 3 5 5" xfId="35730" xr:uid="{00000000-0005-0000-0000-0000848B0000}"/>
    <cellStyle name="Normal 5 17 2 3 5 6" xfId="35731" xr:uid="{00000000-0005-0000-0000-0000858B0000}"/>
    <cellStyle name="Normal 5 17 2 3 5 7" xfId="35732" xr:uid="{00000000-0005-0000-0000-0000868B0000}"/>
    <cellStyle name="Normal 5 17 2 3 5 8" xfId="35733" xr:uid="{00000000-0005-0000-0000-0000878B0000}"/>
    <cellStyle name="Normal 5 17 2 3 5 9" xfId="35734" xr:uid="{00000000-0005-0000-0000-0000888B0000}"/>
    <cellStyle name="Normal 5 17 2 3 6" xfId="35735" xr:uid="{00000000-0005-0000-0000-0000898B0000}"/>
    <cellStyle name="Normal 5 17 2 3 7" xfId="35736" xr:uid="{00000000-0005-0000-0000-00008A8B0000}"/>
    <cellStyle name="Normal 5 17 2 3 8" xfId="35737" xr:uid="{00000000-0005-0000-0000-00008B8B0000}"/>
    <cellStyle name="Normal 5 17 2 3 9" xfId="35738" xr:uid="{00000000-0005-0000-0000-00008C8B0000}"/>
    <cellStyle name="Normal 5 17 2 30" xfId="35739" xr:uid="{00000000-0005-0000-0000-00008D8B0000}"/>
    <cellStyle name="Normal 5 17 2 30 10" xfId="35740" xr:uid="{00000000-0005-0000-0000-00008E8B0000}"/>
    <cellStyle name="Normal 5 17 2 30 11" xfId="35741" xr:uid="{00000000-0005-0000-0000-00008F8B0000}"/>
    <cellStyle name="Normal 5 17 2 30 12" xfId="35742" xr:uid="{00000000-0005-0000-0000-0000908B0000}"/>
    <cellStyle name="Normal 5 17 2 30 13" xfId="35743" xr:uid="{00000000-0005-0000-0000-0000918B0000}"/>
    <cellStyle name="Normal 5 17 2 30 14" xfId="35744" xr:uid="{00000000-0005-0000-0000-0000928B0000}"/>
    <cellStyle name="Normal 5 17 2 30 2" xfId="35745" xr:uid="{00000000-0005-0000-0000-0000938B0000}"/>
    <cellStyle name="Normal 5 17 2 30 2 10" xfId="35746" xr:uid="{00000000-0005-0000-0000-0000948B0000}"/>
    <cellStyle name="Normal 5 17 2 30 2 2" xfId="35747" xr:uid="{00000000-0005-0000-0000-0000958B0000}"/>
    <cellStyle name="Normal 5 17 2 30 2 3" xfId="35748" xr:uid="{00000000-0005-0000-0000-0000968B0000}"/>
    <cellStyle name="Normal 5 17 2 30 2 4" xfId="35749" xr:uid="{00000000-0005-0000-0000-0000978B0000}"/>
    <cellStyle name="Normal 5 17 2 30 2 5" xfId="35750" xr:uid="{00000000-0005-0000-0000-0000988B0000}"/>
    <cellStyle name="Normal 5 17 2 30 2 6" xfId="35751" xr:uid="{00000000-0005-0000-0000-0000998B0000}"/>
    <cellStyle name="Normal 5 17 2 30 2 7" xfId="35752" xr:uid="{00000000-0005-0000-0000-00009A8B0000}"/>
    <cellStyle name="Normal 5 17 2 30 2 8" xfId="35753" xr:uid="{00000000-0005-0000-0000-00009B8B0000}"/>
    <cellStyle name="Normal 5 17 2 30 2 9" xfId="35754" xr:uid="{00000000-0005-0000-0000-00009C8B0000}"/>
    <cellStyle name="Normal 5 17 2 30 3" xfId="35755" xr:uid="{00000000-0005-0000-0000-00009D8B0000}"/>
    <cellStyle name="Normal 5 17 2 30 3 10" xfId="35756" xr:uid="{00000000-0005-0000-0000-00009E8B0000}"/>
    <cellStyle name="Normal 5 17 2 30 3 2" xfId="35757" xr:uid="{00000000-0005-0000-0000-00009F8B0000}"/>
    <cellStyle name="Normal 5 17 2 30 3 3" xfId="35758" xr:uid="{00000000-0005-0000-0000-0000A08B0000}"/>
    <cellStyle name="Normal 5 17 2 30 3 4" xfId="35759" xr:uid="{00000000-0005-0000-0000-0000A18B0000}"/>
    <cellStyle name="Normal 5 17 2 30 3 5" xfId="35760" xr:uid="{00000000-0005-0000-0000-0000A28B0000}"/>
    <cellStyle name="Normal 5 17 2 30 3 6" xfId="35761" xr:uid="{00000000-0005-0000-0000-0000A38B0000}"/>
    <cellStyle name="Normal 5 17 2 30 3 7" xfId="35762" xr:uid="{00000000-0005-0000-0000-0000A48B0000}"/>
    <cellStyle name="Normal 5 17 2 30 3 8" xfId="35763" xr:uid="{00000000-0005-0000-0000-0000A58B0000}"/>
    <cellStyle name="Normal 5 17 2 30 3 9" xfId="35764" xr:uid="{00000000-0005-0000-0000-0000A68B0000}"/>
    <cellStyle name="Normal 5 17 2 30 4" xfId="35765" xr:uid="{00000000-0005-0000-0000-0000A78B0000}"/>
    <cellStyle name="Normal 5 17 2 30 4 10" xfId="35766" xr:uid="{00000000-0005-0000-0000-0000A88B0000}"/>
    <cellStyle name="Normal 5 17 2 30 4 2" xfId="35767" xr:uid="{00000000-0005-0000-0000-0000A98B0000}"/>
    <cellStyle name="Normal 5 17 2 30 4 3" xfId="35768" xr:uid="{00000000-0005-0000-0000-0000AA8B0000}"/>
    <cellStyle name="Normal 5 17 2 30 4 4" xfId="35769" xr:uid="{00000000-0005-0000-0000-0000AB8B0000}"/>
    <cellStyle name="Normal 5 17 2 30 4 5" xfId="35770" xr:uid="{00000000-0005-0000-0000-0000AC8B0000}"/>
    <cellStyle name="Normal 5 17 2 30 4 6" xfId="35771" xr:uid="{00000000-0005-0000-0000-0000AD8B0000}"/>
    <cellStyle name="Normal 5 17 2 30 4 7" xfId="35772" xr:uid="{00000000-0005-0000-0000-0000AE8B0000}"/>
    <cellStyle name="Normal 5 17 2 30 4 8" xfId="35773" xr:uid="{00000000-0005-0000-0000-0000AF8B0000}"/>
    <cellStyle name="Normal 5 17 2 30 4 9" xfId="35774" xr:uid="{00000000-0005-0000-0000-0000B08B0000}"/>
    <cellStyle name="Normal 5 17 2 30 5" xfId="35775" xr:uid="{00000000-0005-0000-0000-0000B18B0000}"/>
    <cellStyle name="Normal 5 17 2 30 5 10" xfId="35776" xr:uid="{00000000-0005-0000-0000-0000B28B0000}"/>
    <cellStyle name="Normal 5 17 2 30 5 2" xfId="35777" xr:uid="{00000000-0005-0000-0000-0000B38B0000}"/>
    <cellStyle name="Normal 5 17 2 30 5 3" xfId="35778" xr:uid="{00000000-0005-0000-0000-0000B48B0000}"/>
    <cellStyle name="Normal 5 17 2 30 5 4" xfId="35779" xr:uid="{00000000-0005-0000-0000-0000B58B0000}"/>
    <cellStyle name="Normal 5 17 2 30 5 5" xfId="35780" xr:uid="{00000000-0005-0000-0000-0000B68B0000}"/>
    <cellStyle name="Normal 5 17 2 30 5 6" xfId="35781" xr:uid="{00000000-0005-0000-0000-0000B78B0000}"/>
    <cellStyle name="Normal 5 17 2 30 5 7" xfId="35782" xr:uid="{00000000-0005-0000-0000-0000B88B0000}"/>
    <cellStyle name="Normal 5 17 2 30 5 8" xfId="35783" xr:uid="{00000000-0005-0000-0000-0000B98B0000}"/>
    <cellStyle name="Normal 5 17 2 30 5 9" xfId="35784" xr:uid="{00000000-0005-0000-0000-0000BA8B0000}"/>
    <cellStyle name="Normal 5 17 2 30 6" xfId="35785" xr:uid="{00000000-0005-0000-0000-0000BB8B0000}"/>
    <cellStyle name="Normal 5 17 2 30 7" xfId="35786" xr:uid="{00000000-0005-0000-0000-0000BC8B0000}"/>
    <cellStyle name="Normal 5 17 2 30 8" xfId="35787" xr:uid="{00000000-0005-0000-0000-0000BD8B0000}"/>
    <cellStyle name="Normal 5 17 2 30 9" xfId="35788" xr:uid="{00000000-0005-0000-0000-0000BE8B0000}"/>
    <cellStyle name="Normal 5 17 2 31" xfId="35789" xr:uid="{00000000-0005-0000-0000-0000BF8B0000}"/>
    <cellStyle name="Normal 5 17 2 31 10" xfId="35790" xr:uid="{00000000-0005-0000-0000-0000C08B0000}"/>
    <cellStyle name="Normal 5 17 2 31 11" xfId="35791" xr:uid="{00000000-0005-0000-0000-0000C18B0000}"/>
    <cellStyle name="Normal 5 17 2 31 12" xfId="35792" xr:uid="{00000000-0005-0000-0000-0000C28B0000}"/>
    <cellStyle name="Normal 5 17 2 31 13" xfId="35793" xr:uid="{00000000-0005-0000-0000-0000C38B0000}"/>
    <cellStyle name="Normal 5 17 2 31 14" xfId="35794" xr:uid="{00000000-0005-0000-0000-0000C48B0000}"/>
    <cellStyle name="Normal 5 17 2 31 2" xfId="35795" xr:uid="{00000000-0005-0000-0000-0000C58B0000}"/>
    <cellStyle name="Normal 5 17 2 31 2 10" xfId="35796" xr:uid="{00000000-0005-0000-0000-0000C68B0000}"/>
    <cellStyle name="Normal 5 17 2 31 2 2" xfId="35797" xr:uid="{00000000-0005-0000-0000-0000C78B0000}"/>
    <cellStyle name="Normal 5 17 2 31 2 3" xfId="35798" xr:uid="{00000000-0005-0000-0000-0000C88B0000}"/>
    <cellStyle name="Normal 5 17 2 31 2 4" xfId="35799" xr:uid="{00000000-0005-0000-0000-0000C98B0000}"/>
    <cellStyle name="Normal 5 17 2 31 2 5" xfId="35800" xr:uid="{00000000-0005-0000-0000-0000CA8B0000}"/>
    <cellStyle name="Normal 5 17 2 31 2 6" xfId="35801" xr:uid="{00000000-0005-0000-0000-0000CB8B0000}"/>
    <cellStyle name="Normal 5 17 2 31 2 7" xfId="35802" xr:uid="{00000000-0005-0000-0000-0000CC8B0000}"/>
    <cellStyle name="Normal 5 17 2 31 2 8" xfId="35803" xr:uid="{00000000-0005-0000-0000-0000CD8B0000}"/>
    <cellStyle name="Normal 5 17 2 31 2 9" xfId="35804" xr:uid="{00000000-0005-0000-0000-0000CE8B0000}"/>
    <cellStyle name="Normal 5 17 2 31 3" xfId="35805" xr:uid="{00000000-0005-0000-0000-0000CF8B0000}"/>
    <cellStyle name="Normal 5 17 2 31 3 10" xfId="35806" xr:uid="{00000000-0005-0000-0000-0000D08B0000}"/>
    <cellStyle name="Normal 5 17 2 31 3 2" xfId="35807" xr:uid="{00000000-0005-0000-0000-0000D18B0000}"/>
    <cellStyle name="Normal 5 17 2 31 3 3" xfId="35808" xr:uid="{00000000-0005-0000-0000-0000D28B0000}"/>
    <cellStyle name="Normal 5 17 2 31 3 4" xfId="35809" xr:uid="{00000000-0005-0000-0000-0000D38B0000}"/>
    <cellStyle name="Normal 5 17 2 31 3 5" xfId="35810" xr:uid="{00000000-0005-0000-0000-0000D48B0000}"/>
    <cellStyle name="Normal 5 17 2 31 3 6" xfId="35811" xr:uid="{00000000-0005-0000-0000-0000D58B0000}"/>
    <cellStyle name="Normal 5 17 2 31 3 7" xfId="35812" xr:uid="{00000000-0005-0000-0000-0000D68B0000}"/>
    <cellStyle name="Normal 5 17 2 31 3 8" xfId="35813" xr:uid="{00000000-0005-0000-0000-0000D78B0000}"/>
    <cellStyle name="Normal 5 17 2 31 3 9" xfId="35814" xr:uid="{00000000-0005-0000-0000-0000D88B0000}"/>
    <cellStyle name="Normal 5 17 2 31 4" xfId="35815" xr:uid="{00000000-0005-0000-0000-0000D98B0000}"/>
    <cellStyle name="Normal 5 17 2 31 4 10" xfId="35816" xr:uid="{00000000-0005-0000-0000-0000DA8B0000}"/>
    <cellStyle name="Normal 5 17 2 31 4 2" xfId="35817" xr:uid="{00000000-0005-0000-0000-0000DB8B0000}"/>
    <cellStyle name="Normal 5 17 2 31 4 3" xfId="35818" xr:uid="{00000000-0005-0000-0000-0000DC8B0000}"/>
    <cellStyle name="Normal 5 17 2 31 4 4" xfId="35819" xr:uid="{00000000-0005-0000-0000-0000DD8B0000}"/>
    <cellStyle name="Normal 5 17 2 31 4 5" xfId="35820" xr:uid="{00000000-0005-0000-0000-0000DE8B0000}"/>
    <cellStyle name="Normal 5 17 2 31 4 6" xfId="35821" xr:uid="{00000000-0005-0000-0000-0000DF8B0000}"/>
    <cellStyle name="Normal 5 17 2 31 4 7" xfId="35822" xr:uid="{00000000-0005-0000-0000-0000E08B0000}"/>
    <cellStyle name="Normal 5 17 2 31 4 8" xfId="35823" xr:uid="{00000000-0005-0000-0000-0000E18B0000}"/>
    <cellStyle name="Normal 5 17 2 31 4 9" xfId="35824" xr:uid="{00000000-0005-0000-0000-0000E28B0000}"/>
    <cellStyle name="Normal 5 17 2 31 5" xfId="35825" xr:uid="{00000000-0005-0000-0000-0000E38B0000}"/>
    <cellStyle name="Normal 5 17 2 31 5 10" xfId="35826" xr:uid="{00000000-0005-0000-0000-0000E48B0000}"/>
    <cellStyle name="Normal 5 17 2 31 5 2" xfId="35827" xr:uid="{00000000-0005-0000-0000-0000E58B0000}"/>
    <cellStyle name="Normal 5 17 2 31 5 3" xfId="35828" xr:uid="{00000000-0005-0000-0000-0000E68B0000}"/>
    <cellStyle name="Normal 5 17 2 31 5 4" xfId="35829" xr:uid="{00000000-0005-0000-0000-0000E78B0000}"/>
    <cellStyle name="Normal 5 17 2 31 5 5" xfId="35830" xr:uid="{00000000-0005-0000-0000-0000E88B0000}"/>
    <cellStyle name="Normal 5 17 2 31 5 6" xfId="35831" xr:uid="{00000000-0005-0000-0000-0000E98B0000}"/>
    <cellStyle name="Normal 5 17 2 31 5 7" xfId="35832" xr:uid="{00000000-0005-0000-0000-0000EA8B0000}"/>
    <cellStyle name="Normal 5 17 2 31 5 8" xfId="35833" xr:uid="{00000000-0005-0000-0000-0000EB8B0000}"/>
    <cellStyle name="Normal 5 17 2 31 5 9" xfId="35834" xr:uid="{00000000-0005-0000-0000-0000EC8B0000}"/>
    <cellStyle name="Normal 5 17 2 31 6" xfId="35835" xr:uid="{00000000-0005-0000-0000-0000ED8B0000}"/>
    <cellStyle name="Normal 5 17 2 31 7" xfId="35836" xr:uid="{00000000-0005-0000-0000-0000EE8B0000}"/>
    <cellStyle name="Normal 5 17 2 31 8" xfId="35837" xr:uid="{00000000-0005-0000-0000-0000EF8B0000}"/>
    <cellStyle name="Normal 5 17 2 31 9" xfId="35838" xr:uid="{00000000-0005-0000-0000-0000F08B0000}"/>
    <cellStyle name="Normal 5 17 2 32" xfId="35839" xr:uid="{00000000-0005-0000-0000-0000F18B0000}"/>
    <cellStyle name="Normal 5 17 2 32 10" xfId="35840" xr:uid="{00000000-0005-0000-0000-0000F28B0000}"/>
    <cellStyle name="Normal 5 17 2 32 11" xfId="35841" xr:uid="{00000000-0005-0000-0000-0000F38B0000}"/>
    <cellStyle name="Normal 5 17 2 32 12" xfId="35842" xr:uid="{00000000-0005-0000-0000-0000F48B0000}"/>
    <cellStyle name="Normal 5 17 2 32 13" xfId="35843" xr:uid="{00000000-0005-0000-0000-0000F58B0000}"/>
    <cellStyle name="Normal 5 17 2 32 14" xfId="35844" xr:uid="{00000000-0005-0000-0000-0000F68B0000}"/>
    <cellStyle name="Normal 5 17 2 32 2" xfId="35845" xr:uid="{00000000-0005-0000-0000-0000F78B0000}"/>
    <cellStyle name="Normal 5 17 2 32 2 10" xfId="35846" xr:uid="{00000000-0005-0000-0000-0000F88B0000}"/>
    <cellStyle name="Normal 5 17 2 32 2 2" xfId="35847" xr:uid="{00000000-0005-0000-0000-0000F98B0000}"/>
    <cellStyle name="Normal 5 17 2 32 2 3" xfId="35848" xr:uid="{00000000-0005-0000-0000-0000FA8B0000}"/>
    <cellStyle name="Normal 5 17 2 32 2 4" xfId="35849" xr:uid="{00000000-0005-0000-0000-0000FB8B0000}"/>
    <cellStyle name="Normal 5 17 2 32 2 5" xfId="35850" xr:uid="{00000000-0005-0000-0000-0000FC8B0000}"/>
    <cellStyle name="Normal 5 17 2 32 2 6" xfId="35851" xr:uid="{00000000-0005-0000-0000-0000FD8B0000}"/>
    <cellStyle name="Normal 5 17 2 32 2 7" xfId="35852" xr:uid="{00000000-0005-0000-0000-0000FE8B0000}"/>
    <cellStyle name="Normal 5 17 2 32 2 8" xfId="35853" xr:uid="{00000000-0005-0000-0000-0000FF8B0000}"/>
    <cellStyle name="Normal 5 17 2 32 2 9" xfId="35854" xr:uid="{00000000-0005-0000-0000-0000008C0000}"/>
    <cellStyle name="Normal 5 17 2 32 3" xfId="35855" xr:uid="{00000000-0005-0000-0000-0000018C0000}"/>
    <cellStyle name="Normal 5 17 2 32 3 10" xfId="35856" xr:uid="{00000000-0005-0000-0000-0000028C0000}"/>
    <cellStyle name="Normal 5 17 2 32 3 2" xfId="35857" xr:uid="{00000000-0005-0000-0000-0000038C0000}"/>
    <cellStyle name="Normal 5 17 2 32 3 3" xfId="35858" xr:uid="{00000000-0005-0000-0000-0000048C0000}"/>
    <cellStyle name="Normal 5 17 2 32 3 4" xfId="35859" xr:uid="{00000000-0005-0000-0000-0000058C0000}"/>
    <cellStyle name="Normal 5 17 2 32 3 5" xfId="35860" xr:uid="{00000000-0005-0000-0000-0000068C0000}"/>
    <cellStyle name="Normal 5 17 2 32 3 6" xfId="35861" xr:uid="{00000000-0005-0000-0000-0000078C0000}"/>
    <cellStyle name="Normal 5 17 2 32 3 7" xfId="35862" xr:uid="{00000000-0005-0000-0000-0000088C0000}"/>
    <cellStyle name="Normal 5 17 2 32 3 8" xfId="35863" xr:uid="{00000000-0005-0000-0000-0000098C0000}"/>
    <cellStyle name="Normal 5 17 2 32 3 9" xfId="35864" xr:uid="{00000000-0005-0000-0000-00000A8C0000}"/>
    <cellStyle name="Normal 5 17 2 32 4" xfId="35865" xr:uid="{00000000-0005-0000-0000-00000B8C0000}"/>
    <cellStyle name="Normal 5 17 2 32 4 10" xfId="35866" xr:uid="{00000000-0005-0000-0000-00000C8C0000}"/>
    <cellStyle name="Normal 5 17 2 32 4 2" xfId="35867" xr:uid="{00000000-0005-0000-0000-00000D8C0000}"/>
    <cellStyle name="Normal 5 17 2 32 4 3" xfId="35868" xr:uid="{00000000-0005-0000-0000-00000E8C0000}"/>
    <cellStyle name="Normal 5 17 2 32 4 4" xfId="35869" xr:uid="{00000000-0005-0000-0000-00000F8C0000}"/>
    <cellStyle name="Normal 5 17 2 32 4 5" xfId="35870" xr:uid="{00000000-0005-0000-0000-0000108C0000}"/>
    <cellStyle name="Normal 5 17 2 32 4 6" xfId="35871" xr:uid="{00000000-0005-0000-0000-0000118C0000}"/>
    <cellStyle name="Normal 5 17 2 32 4 7" xfId="35872" xr:uid="{00000000-0005-0000-0000-0000128C0000}"/>
    <cellStyle name="Normal 5 17 2 32 4 8" xfId="35873" xr:uid="{00000000-0005-0000-0000-0000138C0000}"/>
    <cellStyle name="Normal 5 17 2 32 4 9" xfId="35874" xr:uid="{00000000-0005-0000-0000-0000148C0000}"/>
    <cellStyle name="Normal 5 17 2 32 5" xfId="35875" xr:uid="{00000000-0005-0000-0000-0000158C0000}"/>
    <cellStyle name="Normal 5 17 2 32 5 10" xfId="35876" xr:uid="{00000000-0005-0000-0000-0000168C0000}"/>
    <cellStyle name="Normal 5 17 2 32 5 2" xfId="35877" xr:uid="{00000000-0005-0000-0000-0000178C0000}"/>
    <cellStyle name="Normal 5 17 2 32 5 3" xfId="35878" xr:uid="{00000000-0005-0000-0000-0000188C0000}"/>
    <cellStyle name="Normal 5 17 2 32 5 4" xfId="35879" xr:uid="{00000000-0005-0000-0000-0000198C0000}"/>
    <cellStyle name="Normal 5 17 2 32 5 5" xfId="35880" xr:uid="{00000000-0005-0000-0000-00001A8C0000}"/>
    <cellStyle name="Normal 5 17 2 32 5 6" xfId="35881" xr:uid="{00000000-0005-0000-0000-00001B8C0000}"/>
    <cellStyle name="Normal 5 17 2 32 5 7" xfId="35882" xr:uid="{00000000-0005-0000-0000-00001C8C0000}"/>
    <cellStyle name="Normal 5 17 2 32 5 8" xfId="35883" xr:uid="{00000000-0005-0000-0000-00001D8C0000}"/>
    <cellStyle name="Normal 5 17 2 32 5 9" xfId="35884" xr:uid="{00000000-0005-0000-0000-00001E8C0000}"/>
    <cellStyle name="Normal 5 17 2 32 6" xfId="35885" xr:uid="{00000000-0005-0000-0000-00001F8C0000}"/>
    <cellStyle name="Normal 5 17 2 32 7" xfId="35886" xr:uid="{00000000-0005-0000-0000-0000208C0000}"/>
    <cellStyle name="Normal 5 17 2 32 8" xfId="35887" xr:uid="{00000000-0005-0000-0000-0000218C0000}"/>
    <cellStyle name="Normal 5 17 2 32 9" xfId="35888" xr:uid="{00000000-0005-0000-0000-0000228C0000}"/>
    <cellStyle name="Normal 5 17 2 33" xfId="35889" xr:uid="{00000000-0005-0000-0000-0000238C0000}"/>
    <cellStyle name="Normal 5 17 2 33 10" xfId="35890" xr:uid="{00000000-0005-0000-0000-0000248C0000}"/>
    <cellStyle name="Normal 5 17 2 33 11" xfId="35891" xr:uid="{00000000-0005-0000-0000-0000258C0000}"/>
    <cellStyle name="Normal 5 17 2 33 12" xfId="35892" xr:uid="{00000000-0005-0000-0000-0000268C0000}"/>
    <cellStyle name="Normal 5 17 2 33 13" xfId="35893" xr:uid="{00000000-0005-0000-0000-0000278C0000}"/>
    <cellStyle name="Normal 5 17 2 33 14" xfId="35894" xr:uid="{00000000-0005-0000-0000-0000288C0000}"/>
    <cellStyle name="Normal 5 17 2 33 2" xfId="35895" xr:uid="{00000000-0005-0000-0000-0000298C0000}"/>
    <cellStyle name="Normal 5 17 2 33 2 10" xfId="35896" xr:uid="{00000000-0005-0000-0000-00002A8C0000}"/>
    <cellStyle name="Normal 5 17 2 33 2 2" xfId="35897" xr:uid="{00000000-0005-0000-0000-00002B8C0000}"/>
    <cellStyle name="Normal 5 17 2 33 2 3" xfId="35898" xr:uid="{00000000-0005-0000-0000-00002C8C0000}"/>
    <cellStyle name="Normal 5 17 2 33 2 4" xfId="35899" xr:uid="{00000000-0005-0000-0000-00002D8C0000}"/>
    <cellStyle name="Normal 5 17 2 33 2 5" xfId="35900" xr:uid="{00000000-0005-0000-0000-00002E8C0000}"/>
    <cellStyle name="Normal 5 17 2 33 2 6" xfId="35901" xr:uid="{00000000-0005-0000-0000-00002F8C0000}"/>
    <cellStyle name="Normal 5 17 2 33 2 7" xfId="35902" xr:uid="{00000000-0005-0000-0000-0000308C0000}"/>
    <cellStyle name="Normal 5 17 2 33 2 8" xfId="35903" xr:uid="{00000000-0005-0000-0000-0000318C0000}"/>
    <cellStyle name="Normal 5 17 2 33 2 9" xfId="35904" xr:uid="{00000000-0005-0000-0000-0000328C0000}"/>
    <cellStyle name="Normal 5 17 2 33 3" xfId="35905" xr:uid="{00000000-0005-0000-0000-0000338C0000}"/>
    <cellStyle name="Normal 5 17 2 33 3 10" xfId="35906" xr:uid="{00000000-0005-0000-0000-0000348C0000}"/>
    <cellStyle name="Normal 5 17 2 33 3 2" xfId="35907" xr:uid="{00000000-0005-0000-0000-0000358C0000}"/>
    <cellStyle name="Normal 5 17 2 33 3 3" xfId="35908" xr:uid="{00000000-0005-0000-0000-0000368C0000}"/>
    <cellStyle name="Normal 5 17 2 33 3 4" xfId="35909" xr:uid="{00000000-0005-0000-0000-0000378C0000}"/>
    <cellStyle name="Normal 5 17 2 33 3 5" xfId="35910" xr:uid="{00000000-0005-0000-0000-0000388C0000}"/>
    <cellStyle name="Normal 5 17 2 33 3 6" xfId="35911" xr:uid="{00000000-0005-0000-0000-0000398C0000}"/>
    <cellStyle name="Normal 5 17 2 33 3 7" xfId="35912" xr:uid="{00000000-0005-0000-0000-00003A8C0000}"/>
    <cellStyle name="Normal 5 17 2 33 3 8" xfId="35913" xr:uid="{00000000-0005-0000-0000-00003B8C0000}"/>
    <cellStyle name="Normal 5 17 2 33 3 9" xfId="35914" xr:uid="{00000000-0005-0000-0000-00003C8C0000}"/>
    <cellStyle name="Normal 5 17 2 33 4" xfId="35915" xr:uid="{00000000-0005-0000-0000-00003D8C0000}"/>
    <cellStyle name="Normal 5 17 2 33 4 10" xfId="35916" xr:uid="{00000000-0005-0000-0000-00003E8C0000}"/>
    <cellStyle name="Normal 5 17 2 33 4 2" xfId="35917" xr:uid="{00000000-0005-0000-0000-00003F8C0000}"/>
    <cellStyle name="Normal 5 17 2 33 4 3" xfId="35918" xr:uid="{00000000-0005-0000-0000-0000408C0000}"/>
    <cellStyle name="Normal 5 17 2 33 4 4" xfId="35919" xr:uid="{00000000-0005-0000-0000-0000418C0000}"/>
    <cellStyle name="Normal 5 17 2 33 4 5" xfId="35920" xr:uid="{00000000-0005-0000-0000-0000428C0000}"/>
    <cellStyle name="Normal 5 17 2 33 4 6" xfId="35921" xr:uid="{00000000-0005-0000-0000-0000438C0000}"/>
    <cellStyle name="Normal 5 17 2 33 4 7" xfId="35922" xr:uid="{00000000-0005-0000-0000-0000448C0000}"/>
    <cellStyle name="Normal 5 17 2 33 4 8" xfId="35923" xr:uid="{00000000-0005-0000-0000-0000458C0000}"/>
    <cellStyle name="Normal 5 17 2 33 4 9" xfId="35924" xr:uid="{00000000-0005-0000-0000-0000468C0000}"/>
    <cellStyle name="Normal 5 17 2 33 5" xfId="35925" xr:uid="{00000000-0005-0000-0000-0000478C0000}"/>
    <cellStyle name="Normal 5 17 2 33 5 10" xfId="35926" xr:uid="{00000000-0005-0000-0000-0000488C0000}"/>
    <cellStyle name="Normal 5 17 2 33 5 2" xfId="35927" xr:uid="{00000000-0005-0000-0000-0000498C0000}"/>
    <cellStyle name="Normal 5 17 2 33 5 3" xfId="35928" xr:uid="{00000000-0005-0000-0000-00004A8C0000}"/>
    <cellStyle name="Normal 5 17 2 33 5 4" xfId="35929" xr:uid="{00000000-0005-0000-0000-00004B8C0000}"/>
    <cellStyle name="Normal 5 17 2 33 5 5" xfId="35930" xr:uid="{00000000-0005-0000-0000-00004C8C0000}"/>
    <cellStyle name="Normal 5 17 2 33 5 6" xfId="35931" xr:uid="{00000000-0005-0000-0000-00004D8C0000}"/>
    <cellStyle name="Normal 5 17 2 33 5 7" xfId="35932" xr:uid="{00000000-0005-0000-0000-00004E8C0000}"/>
    <cellStyle name="Normal 5 17 2 33 5 8" xfId="35933" xr:uid="{00000000-0005-0000-0000-00004F8C0000}"/>
    <cellStyle name="Normal 5 17 2 33 5 9" xfId="35934" xr:uid="{00000000-0005-0000-0000-0000508C0000}"/>
    <cellStyle name="Normal 5 17 2 33 6" xfId="35935" xr:uid="{00000000-0005-0000-0000-0000518C0000}"/>
    <cellStyle name="Normal 5 17 2 33 7" xfId="35936" xr:uid="{00000000-0005-0000-0000-0000528C0000}"/>
    <cellStyle name="Normal 5 17 2 33 8" xfId="35937" xr:uid="{00000000-0005-0000-0000-0000538C0000}"/>
    <cellStyle name="Normal 5 17 2 33 9" xfId="35938" xr:uid="{00000000-0005-0000-0000-0000548C0000}"/>
    <cellStyle name="Normal 5 17 2 34" xfId="35939" xr:uid="{00000000-0005-0000-0000-0000558C0000}"/>
    <cellStyle name="Normal 5 17 2 34 10" xfId="35940" xr:uid="{00000000-0005-0000-0000-0000568C0000}"/>
    <cellStyle name="Normal 5 17 2 34 2" xfId="35941" xr:uid="{00000000-0005-0000-0000-0000578C0000}"/>
    <cellStyle name="Normal 5 17 2 34 3" xfId="35942" xr:uid="{00000000-0005-0000-0000-0000588C0000}"/>
    <cellStyle name="Normal 5 17 2 34 4" xfId="35943" xr:uid="{00000000-0005-0000-0000-0000598C0000}"/>
    <cellStyle name="Normal 5 17 2 34 5" xfId="35944" xr:uid="{00000000-0005-0000-0000-00005A8C0000}"/>
    <cellStyle name="Normal 5 17 2 34 6" xfId="35945" xr:uid="{00000000-0005-0000-0000-00005B8C0000}"/>
    <cellStyle name="Normal 5 17 2 34 7" xfId="35946" xr:uid="{00000000-0005-0000-0000-00005C8C0000}"/>
    <cellStyle name="Normal 5 17 2 34 8" xfId="35947" xr:uid="{00000000-0005-0000-0000-00005D8C0000}"/>
    <cellStyle name="Normal 5 17 2 34 9" xfId="35948" xr:uid="{00000000-0005-0000-0000-00005E8C0000}"/>
    <cellStyle name="Normal 5 17 2 35" xfId="35949" xr:uid="{00000000-0005-0000-0000-00005F8C0000}"/>
    <cellStyle name="Normal 5 17 2 35 10" xfId="35950" xr:uid="{00000000-0005-0000-0000-0000608C0000}"/>
    <cellStyle name="Normal 5 17 2 35 2" xfId="35951" xr:uid="{00000000-0005-0000-0000-0000618C0000}"/>
    <cellStyle name="Normal 5 17 2 35 3" xfId="35952" xr:uid="{00000000-0005-0000-0000-0000628C0000}"/>
    <cellStyle name="Normal 5 17 2 35 4" xfId="35953" xr:uid="{00000000-0005-0000-0000-0000638C0000}"/>
    <cellStyle name="Normal 5 17 2 35 5" xfId="35954" xr:uid="{00000000-0005-0000-0000-0000648C0000}"/>
    <cellStyle name="Normal 5 17 2 35 6" xfId="35955" xr:uid="{00000000-0005-0000-0000-0000658C0000}"/>
    <cellStyle name="Normal 5 17 2 35 7" xfId="35956" xr:uid="{00000000-0005-0000-0000-0000668C0000}"/>
    <cellStyle name="Normal 5 17 2 35 8" xfId="35957" xr:uid="{00000000-0005-0000-0000-0000678C0000}"/>
    <cellStyle name="Normal 5 17 2 35 9" xfId="35958" xr:uid="{00000000-0005-0000-0000-0000688C0000}"/>
    <cellStyle name="Normal 5 17 2 36" xfId="35959" xr:uid="{00000000-0005-0000-0000-0000698C0000}"/>
    <cellStyle name="Normal 5 17 2 36 10" xfId="35960" xr:uid="{00000000-0005-0000-0000-00006A8C0000}"/>
    <cellStyle name="Normal 5 17 2 36 2" xfId="35961" xr:uid="{00000000-0005-0000-0000-00006B8C0000}"/>
    <cellStyle name="Normal 5 17 2 36 3" xfId="35962" xr:uid="{00000000-0005-0000-0000-00006C8C0000}"/>
    <cellStyle name="Normal 5 17 2 36 4" xfId="35963" xr:uid="{00000000-0005-0000-0000-00006D8C0000}"/>
    <cellStyle name="Normal 5 17 2 36 5" xfId="35964" xr:uid="{00000000-0005-0000-0000-00006E8C0000}"/>
    <cellStyle name="Normal 5 17 2 36 6" xfId="35965" xr:uid="{00000000-0005-0000-0000-00006F8C0000}"/>
    <cellStyle name="Normal 5 17 2 36 7" xfId="35966" xr:uid="{00000000-0005-0000-0000-0000708C0000}"/>
    <cellStyle name="Normal 5 17 2 36 8" xfId="35967" xr:uid="{00000000-0005-0000-0000-0000718C0000}"/>
    <cellStyle name="Normal 5 17 2 36 9" xfId="35968" xr:uid="{00000000-0005-0000-0000-0000728C0000}"/>
    <cellStyle name="Normal 5 17 2 37" xfId="35969" xr:uid="{00000000-0005-0000-0000-0000738C0000}"/>
    <cellStyle name="Normal 5 17 2 37 10" xfId="35970" xr:uid="{00000000-0005-0000-0000-0000748C0000}"/>
    <cellStyle name="Normal 5 17 2 37 2" xfId="35971" xr:uid="{00000000-0005-0000-0000-0000758C0000}"/>
    <cellStyle name="Normal 5 17 2 37 3" xfId="35972" xr:uid="{00000000-0005-0000-0000-0000768C0000}"/>
    <cellStyle name="Normal 5 17 2 37 4" xfId="35973" xr:uid="{00000000-0005-0000-0000-0000778C0000}"/>
    <cellStyle name="Normal 5 17 2 37 5" xfId="35974" xr:uid="{00000000-0005-0000-0000-0000788C0000}"/>
    <cellStyle name="Normal 5 17 2 37 6" xfId="35975" xr:uid="{00000000-0005-0000-0000-0000798C0000}"/>
    <cellStyle name="Normal 5 17 2 37 7" xfId="35976" xr:uid="{00000000-0005-0000-0000-00007A8C0000}"/>
    <cellStyle name="Normal 5 17 2 37 8" xfId="35977" xr:uid="{00000000-0005-0000-0000-00007B8C0000}"/>
    <cellStyle name="Normal 5 17 2 37 9" xfId="35978" xr:uid="{00000000-0005-0000-0000-00007C8C0000}"/>
    <cellStyle name="Normal 5 17 2 38" xfId="35979" xr:uid="{00000000-0005-0000-0000-00007D8C0000}"/>
    <cellStyle name="Normal 5 17 2 39" xfId="35980" xr:uid="{00000000-0005-0000-0000-00007E8C0000}"/>
    <cellStyle name="Normal 5 17 2 4" xfId="35981" xr:uid="{00000000-0005-0000-0000-00007F8C0000}"/>
    <cellStyle name="Normal 5 17 2 4 10" xfId="35982" xr:uid="{00000000-0005-0000-0000-0000808C0000}"/>
    <cellStyle name="Normal 5 17 2 4 11" xfId="35983" xr:uid="{00000000-0005-0000-0000-0000818C0000}"/>
    <cellStyle name="Normal 5 17 2 4 12" xfId="35984" xr:uid="{00000000-0005-0000-0000-0000828C0000}"/>
    <cellStyle name="Normal 5 17 2 4 13" xfId="35985" xr:uid="{00000000-0005-0000-0000-0000838C0000}"/>
    <cellStyle name="Normal 5 17 2 4 14" xfId="35986" xr:uid="{00000000-0005-0000-0000-0000848C0000}"/>
    <cellStyle name="Normal 5 17 2 4 2" xfId="35987" xr:uid="{00000000-0005-0000-0000-0000858C0000}"/>
    <cellStyle name="Normal 5 17 2 4 2 10" xfId="35988" xr:uid="{00000000-0005-0000-0000-0000868C0000}"/>
    <cellStyle name="Normal 5 17 2 4 2 2" xfId="35989" xr:uid="{00000000-0005-0000-0000-0000878C0000}"/>
    <cellStyle name="Normal 5 17 2 4 2 3" xfId="35990" xr:uid="{00000000-0005-0000-0000-0000888C0000}"/>
    <cellStyle name="Normal 5 17 2 4 2 4" xfId="35991" xr:uid="{00000000-0005-0000-0000-0000898C0000}"/>
    <cellStyle name="Normal 5 17 2 4 2 5" xfId="35992" xr:uid="{00000000-0005-0000-0000-00008A8C0000}"/>
    <cellStyle name="Normal 5 17 2 4 2 6" xfId="35993" xr:uid="{00000000-0005-0000-0000-00008B8C0000}"/>
    <cellStyle name="Normal 5 17 2 4 2 7" xfId="35994" xr:uid="{00000000-0005-0000-0000-00008C8C0000}"/>
    <cellStyle name="Normal 5 17 2 4 2 8" xfId="35995" xr:uid="{00000000-0005-0000-0000-00008D8C0000}"/>
    <cellStyle name="Normal 5 17 2 4 2 9" xfId="35996" xr:uid="{00000000-0005-0000-0000-00008E8C0000}"/>
    <cellStyle name="Normal 5 17 2 4 3" xfId="35997" xr:uid="{00000000-0005-0000-0000-00008F8C0000}"/>
    <cellStyle name="Normal 5 17 2 4 3 10" xfId="35998" xr:uid="{00000000-0005-0000-0000-0000908C0000}"/>
    <cellStyle name="Normal 5 17 2 4 3 2" xfId="35999" xr:uid="{00000000-0005-0000-0000-0000918C0000}"/>
    <cellStyle name="Normal 5 17 2 4 3 3" xfId="36000" xr:uid="{00000000-0005-0000-0000-0000928C0000}"/>
    <cellStyle name="Normal 5 17 2 4 3 4" xfId="36001" xr:uid="{00000000-0005-0000-0000-0000938C0000}"/>
    <cellStyle name="Normal 5 17 2 4 3 5" xfId="36002" xr:uid="{00000000-0005-0000-0000-0000948C0000}"/>
    <cellStyle name="Normal 5 17 2 4 3 6" xfId="36003" xr:uid="{00000000-0005-0000-0000-0000958C0000}"/>
    <cellStyle name="Normal 5 17 2 4 3 7" xfId="36004" xr:uid="{00000000-0005-0000-0000-0000968C0000}"/>
    <cellStyle name="Normal 5 17 2 4 3 8" xfId="36005" xr:uid="{00000000-0005-0000-0000-0000978C0000}"/>
    <cellStyle name="Normal 5 17 2 4 3 9" xfId="36006" xr:uid="{00000000-0005-0000-0000-0000988C0000}"/>
    <cellStyle name="Normal 5 17 2 4 4" xfId="36007" xr:uid="{00000000-0005-0000-0000-0000998C0000}"/>
    <cellStyle name="Normal 5 17 2 4 4 10" xfId="36008" xr:uid="{00000000-0005-0000-0000-00009A8C0000}"/>
    <cellStyle name="Normal 5 17 2 4 4 2" xfId="36009" xr:uid="{00000000-0005-0000-0000-00009B8C0000}"/>
    <cellStyle name="Normal 5 17 2 4 4 3" xfId="36010" xr:uid="{00000000-0005-0000-0000-00009C8C0000}"/>
    <cellStyle name="Normal 5 17 2 4 4 4" xfId="36011" xr:uid="{00000000-0005-0000-0000-00009D8C0000}"/>
    <cellStyle name="Normal 5 17 2 4 4 5" xfId="36012" xr:uid="{00000000-0005-0000-0000-00009E8C0000}"/>
    <cellStyle name="Normal 5 17 2 4 4 6" xfId="36013" xr:uid="{00000000-0005-0000-0000-00009F8C0000}"/>
    <cellStyle name="Normal 5 17 2 4 4 7" xfId="36014" xr:uid="{00000000-0005-0000-0000-0000A08C0000}"/>
    <cellStyle name="Normal 5 17 2 4 4 8" xfId="36015" xr:uid="{00000000-0005-0000-0000-0000A18C0000}"/>
    <cellStyle name="Normal 5 17 2 4 4 9" xfId="36016" xr:uid="{00000000-0005-0000-0000-0000A28C0000}"/>
    <cellStyle name="Normal 5 17 2 4 5" xfId="36017" xr:uid="{00000000-0005-0000-0000-0000A38C0000}"/>
    <cellStyle name="Normal 5 17 2 4 5 10" xfId="36018" xr:uid="{00000000-0005-0000-0000-0000A48C0000}"/>
    <cellStyle name="Normal 5 17 2 4 5 2" xfId="36019" xr:uid="{00000000-0005-0000-0000-0000A58C0000}"/>
    <cellStyle name="Normal 5 17 2 4 5 3" xfId="36020" xr:uid="{00000000-0005-0000-0000-0000A68C0000}"/>
    <cellStyle name="Normal 5 17 2 4 5 4" xfId="36021" xr:uid="{00000000-0005-0000-0000-0000A78C0000}"/>
    <cellStyle name="Normal 5 17 2 4 5 5" xfId="36022" xr:uid="{00000000-0005-0000-0000-0000A88C0000}"/>
    <cellStyle name="Normal 5 17 2 4 5 6" xfId="36023" xr:uid="{00000000-0005-0000-0000-0000A98C0000}"/>
    <cellStyle name="Normal 5 17 2 4 5 7" xfId="36024" xr:uid="{00000000-0005-0000-0000-0000AA8C0000}"/>
    <cellStyle name="Normal 5 17 2 4 5 8" xfId="36025" xr:uid="{00000000-0005-0000-0000-0000AB8C0000}"/>
    <cellStyle name="Normal 5 17 2 4 5 9" xfId="36026" xr:uid="{00000000-0005-0000-0000-0000AC8C0000}"/>
    <cellStyle name="Normal 5 17 2 4 6" xfId="36027" xr:uid="{00000000-0005-0000-0000-0000AD8C0000}"/>
    <cellStyle name="Normal 5 17 2 4 7" xfId="36028" xr:uid="{00000000-0005-0000-0000-0000AE8C0000}"/>
    <cellStyle name="Normal 5 17 2 4 8" xfId="36029" xr:uid="{00000000-0005-0000-0000-0000AF8C0000}"/>
    <cellStyle name="Normal 5 17 2 4 9" xfId="36030" xr:uid="{00000000-0005-0000-0000-0000B08C0000}"/>
    <cellStyle name="Normal 5 17 2 40" xfId="36031" xr:uid="{00000000-0005-0000-0000-0000B18C0000}"/>
    <cellStyle name="Normal 5 17 2 41" xfId="36032" xr:uid="{00000000-0005-0000-0000-0000B28C0000}"/>
    <cellStyle name="Normal 5 17 2 42" xfId="36033" xr:uid="{00000000-0005-0000-0000-0000B38C0000}"/>
    <cellStyle name="Normal 5 17 2 43" xfId="36034" xr:uid="{00000000-0005-0000-0000-0000B48C0000}"/>
    <cellStyle name="Normal 5 17 2 44" xfId="36035" xr:uid="{00000000-0005-0000-0000-0000B58C0000}"/>
    <cellStyle name="Normal 5 17 2 45" xfId="36036" xr:uid="{00000000-0005-0000-0000-0000B68C0000}"/>
    <cellStyle name="Normal 5 17 2 46" xfId="36037" xr:uid="{00000000-0005-0000-0000-0000B78C0000}"/>
    <cellStyle name="Normal 5 17 2 47" xfId="36038" xr:uid="{00000000-0005-0000-0000-0000B88C0000}"/>
    <cellStyle name="Normal 5 17 2 48" xfId="36039" xr:uid="{00000000-0005-0000-0000-0000B98C0000}"/>
    <cellStyle name="Normal 5 17 2 5" xfId="36040" xr:uid="{00000000-0005-0000-0000-0000BA8C0000}"/>
    <cellStyle name="Normal 5 17 2 5 10" xfId="36041" xr:uid="{00000000-0005-0000-0000-0000BB8C0000}"/>
    <cellStyle name="Normal 5 17 2 5 11" xfId="36042" xr:uid="{00000000-0005-0000-0000-0000BC8C0000}"/>
    <cellStyle name="Normal 5 17 2 5 12" xfId="36043" xr:uid="{00000000-0005-0000-0000-0000BD8C0000}"/>
    <cellStyle name="Normal 5 17 2 5 13" xfId="36044" xr:uid="{00000000-0005-0000-0000-0000BE8C0000}"/>
    <cellStyle name="Normal 5 17 2 5 14" xfId="36045" xr:uid="{00000000-0005-0000-0000-0000BF8C0000}"/>
    <cellStyle name="Normal 5 17 2 5 2" xfId="36046" xr:uid="{00000000-0005-0000-0000-0000C08C0000}"/>
    <cellStyle name="Normal 5 17 2 5 2 10" xfId="36047" xr:uid="{00000000-0005-0000-0000-0000C18C0000}"/>
    <cellStyle name="Normal 5 17 2 5 2 2" xfId="36048" xr:uid="{00000000-0005-0000-0000-0000C28C0000}"/>
    <cellStyle name="Normal 5 17 2 5 2 3" xfId="36049" xr:uid="{00000000-0005-0000-0000-0000C38C0000}"/>
    <cellStyle name="Normal 5 17 2 5 2 4" xfId="36050" xr:uid="{00000000-0005-0000-0000-0000C48C0000}"/>
    <cellStyle name="Normal 5 17 2 5 2 5" xfId="36051" xr:uid="{00000000-0005-0000-0000-0000C58C0000}"/>
    <cellStyle name="Normal 5 17 2 5 2 6" xfId="36052" xr:uid="{00000000-0005-0000-0000-0000C68C0000}"/>
    <cellStyle name="Normal 5 17 2 5 2 7" xfId="36053" xr:uid="{00000000-0005-0000-0000-0000C78C0000}"/>
    <cellStyle name="Normal 5 17 2 5 2 8" xfId="36054" xr:uid="{00000000-0005-0000-0000-0000C88C0000}"/>
    <cellStyle name="Normal 5 17 2 5 2 9" xfId="36055" xr:uid="{00000000-0005-0000-0000-0000C98C0000}"/>
    <cellStyle name="Normal 5 17 2 5 3" xfId="36056" xr:uid="{00000000-0005-0000-0000-0000CA8C0000}"/>
    <cellStyle name="Normal 5 17 2 5 3 10" xfId="36057" xr:uid="{00000000-0005-0000-0000-0000CB8C0000}"/>
    <cellStyle name="Normal 5 17 2 5 3 2" xfId="36058" xr:uid="{00000000-0005-0000-0000-0000CC8C0000}"/>
    <cellStyle name="Normal 5 17 2 5 3 3" xfId="36059" xr:uid="{00000000-0005-0000-0000-0000CD8C0000}"/>
    <cellStyle name="Normal 5 17 2 5 3 4" xfId="36060" xr:uid="{00000000-0005-0000-0000-0000CE8C0000}"/>
    <cellStyle name="Normal 5 17 2 5 3 5" xfId="36061" xr:uid="{00000000-0005-0000-0000-0000CF8C0000}"/>
    <cellStyle name="Normal 5 17 2 5 3 6" xfId="36062" xr:uid="{00000000-0005-0000-0000-0000D08C0000}"/>
    <cellStyle name="Normal 5 17 2 5 3 7" xfId="36063" xr:uid="{00000000-0005-0000-0000-0000D18C0000}"/>
    <cellStyle name="Normal 5 17 2 5 3 8" xfId="36064" xr:uid="{00000000-0005-0000-0000-0000D28C0000}"/>
    <cellStyle name="Normal 5 17 2 5 3 9" xfId="36065" xr:uid="{00000000-0005-0000-0000-0000D38C0000}"/>
    <cellStyle name="Normal 5 17 2 5 4" xfId="36066" xr:uid="{00000000-0005-0000-0000-0000D48C0000}"/>
    <cellStyle name="Normal 5 17 2 5 4 10" xfId="36067" xr:uid="{00000000-0005-0000-0000-0000D58C0000}"/>
    <cellStyle name="Normal 5 17 2 5 4 2" xfId="36068" xr:uid="{00000000-0005-0000-0000-0000D68C0000}"/>
    <cellStyle name="Normal 5 17 2 5 4 3" xfId="36069" xr:uid="{00000000-0005-0000-0000-0000D78C0000}"/>
    <cellStyle name="Normal 5 17 2 5 4 4" xfId="36070" xr:uid="{00000000-0005-0000-0000-0000D88C0000}"/>
    <cellStyle name="Normal 5 17 2 5 4 5" xfId="36071" xr:uid="{00000000-0005-0000-0000-0000D98C0000}"/>
    <cellStyle name="Normal 5 17 2 5 4 6" xfId="36072" xr:uid="{00000000-0005-0000-0000-0000DA8C0000}"/>
    <cellStyle name="Normal 5 17 2 5 4 7" xfId="36073" xr:uid="{00000000-0005-0000-0000-0000DB8C0000}"/>
    <cellStyle name="Normal 5 17 2 5 4 8" xfId="36074" xr:uid="{00000000-0005-0000-0000-0000DC8C0000}"/>
    <cellStyle name="Normal 5 17 2 5 4 9" xfId="36075" xr:uid="{00000000-0005-0000-0000-0000DD8C0000}"/>
    <cellStyle name="Normal 5 17 2 5 5" xfId="36076" xr:uid="{00000000-0005-0000-0000-0000DE8C0000}"/>
    <cellStyle name="Normal 5 17 2 5 5 10" xfId="36077" xr:uid="{00000000-0005-0000-0000-0000DF8C0000}"/>
    <cellStyle name="Normal 5 17 2 5 5 2" xfId="36078" xr:uid="{00000000-0005-0000-0000-0000E08C0000}"/>
    <cellStyle name="Normal 5 17 2 5 5 3" xfId="36079" xr:uid="{00000000-0005-0000-0000-0000E18C0000}"/>
    <cellStyle name="Normal 5 17 2 5 5 4" xfId="36080" xr:uid="{00000000-0005-0000-0000-0000E28C0000}"/>
    <cellStyle name="Normal 5 17 2 5 5 5" xfId="36081" xr:uid="{00000000-0005-0000-0000-0000E38C0000}"/>
    <cellStyle name="Normal 5 17 2 5 5 6" xfId="36082" xr:uid="{00000000-0005-0000-0000-0000E48C0000}"/>
    <cellStyle name="Normal 5 17 2 5 5 7" xfId="36083" xr:uid="{00000000-0005-0000-0000-0000E58C0000}"/>
    <cellStyle name="Normal 5 17 2 5 5 8" xfId="36084" xr:uid="{00000000-0005-0000-0000-0000E68C0000}"/>
    <cellStyle name="Normal 5 17 2 5 5 9" xfId="36085" xr:uid="{00000000-0005-0000-0000-0000E78C0000}"/>
    <cellStyle name="Normal 5 17 2 5 6" xfId="36086" xr:uid="{00000000-0005-0000-0000-0000E88C0000}"/>
    <cellStyle name="Normal 5 17 2 5 7" xfId="36087" xr:uid="{00000000-0005-0000-0000-0000E98C0000}"/>
    <cellStyle name="Normal 5 17 2 5 8" xfId="36088" xr:uid="{00000000-0005-0000-0000-0000EA8C0000}"/>
    <cellStyle name="Normal 5 17 2 5 9" xfId="36089" xr:uid="{00000000-0005-0000-0000-0000EB8C0000}"/>
    <cellStyle name="Normal 5 17 2 6" xfId="36090" xr:uid="{00000000-0005-0000-0000-0000EC8C0000}"/>
    <cellStyle name="Normal 5 17 2 6 10" xfId="36091" xr:uid="{00000000-0005-0000-0000-0000ED8C0000}"/>
    <cellStyle name="Normal 5 17 2 6 11" xfId="36092" xr:uid="{00000000-0005-0000-0000-0000EE8C0000}"/>
    <cellStyle name="Normal 5 17 2 6 12" xfId="36093" xr:uid="{00000000-0005-0000-0000-0000EF8C0000}"/>
    <cellStyle name="Normal 5 17 2 6 13" xfId="36094" xr:uid="{00000000-0005-0000-0000-0000F08C0000}"/>
    <cellStyle name="Normal 5 17 2 6 14" xfId="36095" xr:uid="{00000000-0005-0000-0000-0000F18C0000}"/>
    <cellStyle name="Normal 5 17 2 6 2" xfId="36096" xr:uid="{00000000-0005-0000-0000-0000F28C0000}"/>
    <cellStyle name="Normal 5 17 2 6 2 10" xfId="36097" xr:uid="{00000000-0005-0000-0000-0000F38C0000}"/>
    <cellStyle name="Normal 5 17 2 6 2 2" xfId="36098" xr:uid="{00000000-0005-0000-0000-0000F48C0000}"/>
    <cellStyle name="Normal 5 17 2 6 2 3" xfId="36099" xr:uid="{00000000-0005-0000-0000-0000F58C0000}"/>
    <cellStyle name="Normal 5 17 2 6 2 4" xfId="36100" xr:uid="{00000000-0005-0000-0000-0000F68C0000}"/>
    <cellStyle name="Normal 5 17 2 6 2 5" xfId="36101" xr:uid="{00000000-0005-0000-0000-0000F78C0000}"/>
    <cellStyle name="Normal 5 17 2 6 2 6" xfId="36102" xr:uid="{00000000-0005-0000-0000-0000F88C0000}"/>
    <cellStyle name="Normal 5 17 2 6 2 7" xfId="36103" xr:uid="{00000000-0005-0000-0000-0000F98C0000}"/>
    <cellStyle name="Normal 5 17 2 6 2 8" xfId="36104" xr:uid="{00000000-0005-0000-0000-0000FA8C0000}"/>
    <cellStyle name="Normal 5 17 2 6 2 9" xfId="36105" xr:uid="{00000000-0005-0000-0000-0000FB8C0000}"/>
    <cellStyle name="Normal 5 17 2 6 3" xfId="36106" xr:uid="{00000000-0005-0000-0000-0000FC8C0000}"/>
    <cellStyle name="Normal 5 17 2 6 3 10" xfId="36107" xr:uid="{00000000-0005-0000-0000-0000FD8C0000}"/>
    <cellStyle name="Normal 5 17 2 6 3 2" xfId="36108" xr:uid="{00000000-0005-0000-0000-0000FE8C0000}"/>
    <cellStyle name="Normal 5 17 2 6 3 3" xfId="36109" xr:uid="{00000000-0005-0000-0000-0000FF8C0000}"/>
    <cellStyle name="Normal 5 17 2 6 3 4" xfId="36110" xr:uid="{00000000-0005-0000-0000-0000008D0000}"/>
    <cellStyle name="Normal 5 17 2 6 3 5" xfId="36111" xr:uid="{00000000-0005-0000-0000-0000018D0000}"/>
    <cellStyle name="Normal 5 17 2 6 3 6" xfId="36112" xr:uid="{00000000-0005-0000-0000-0000028D0000}"/>
    <cellStyle name="Normal 5 17 2 6 3 7" xfId="36113" xr:uid="{00000000-0005-0000-0000-0000038D0000}"/>
    <cellStyle name="Normal 5 17 2 6 3 8" xfId="36114" xr:uid="{00000000-0005-0000-0000-0000048D0000}"/>
    <cellStyle name="Normal 5 17 2 6 3 9" xfId="36115" xr:uid="{00000000-0005-0000-0000-0000058D0000}"/>
    <cellStyle name="Normal 5 17 2 6 4" xfId="36116" xr:uid="{00000000-0005-0000-0000-0000068D0000}"/>
    <cellStyle name="Normal 5 17 2 6 4 10" xfId="36117" xr:uid="{00000000-0005-0000-0000-0000078D0000}"/>
    <cellStyle name="Normal 5 17 2 6 4 2" xfId="36118" xr:uid="{00000000-0005-0000-0000-0000088D0000}"/>
    <cellStyle name="Normal 5 17 2 6 4 3" xfId="36119" xr:uid="{00000000-0005-0000-0000-0000098D0000}"/>
    <cellStyle name="Normal 5 17 2 6 4 4" xfId="36120" xr:uid="{00000000-0005-0000-0000-00000A8D0000}"/>
    <cellStyle name="Normal 5 17 2 6 4 5" xfId="36121" xr:uid="{00000000-0005-0000-0000-00000B8D0000}"/>
    <cellStyle name="Normal 5 17 2 6 4 6" xfId="36122" xr:uid="{00000000-0005-0000-0000-00000C8D0000}"/>
    <cellStyle name="Normal 5 17 2 6 4 7" xfId="36123" xr:uid="{00000000-0005-0000-0000-00000D8D0000}"/>
    <cellStyle name="Normal 5 17 2 6 4 8" xfId="36124" xr:uid="{00000000-0005-0000-0000-00000E8D0000}"/>
    <cellStyle name="Normal 5 17 2 6 4 9" xfId="36125" xr:uid="{00000000-0005-0000-0000-00000F8D0000}"/>
    <cellStyle name="Normal 5 17 2 6 5" xfId="36126" xr:uid="{00000000-0005-0000-0000-0000108D0000}"/>
    <cellStyle name="Normal 5 17 2 6 5 10" xfId="36127" xr:uid="{00000000-0005-0000-0000-0000118D0000}"/>
    <cellStyle name="Normal 5 17 2 6 5 2" xfId="36128" xr:uid="{00000000-0005-0000-0000-0000128D0000}"/>
    <cellStyle name="Normal 5 17 2 6 5 3" xfId="36129" xr:uid="{00000000-0005-0000-0000-0000138D0000}"/>
    <cellStyle name="Normal 5 17 2 6 5 4" xfId="36130" xr:uid="{00000000-0005-0000-0000-0000148D0000}"/>
    <cellStyle name="Normal 5 17 2 6 5 5" xfId="36131" xr:uid="{00000000-0005-0000-0000-0000158D0000}"/>
    <cellStyle name="Normal 5 17 2 6 5 6" xfId="36132" xr:uid="{00000000-0005-0000-0000-0000168D0000}"/>
    <cellStyle name="Normal 5 17 2 6 5 7" xfId="36133" xr:uid="{00000000-0005-0000-0000-0000178D0000}"/>
    <cellStyle name="Normal 5 17 2 6 5 8" xfId="36134" xr:uid="{00000000-0005-0000-0000-0000188D0000}"/>
    <cellStyle name="Normal 5 17 2 6 5 9" xfId="36135" xr:uid="{00000000-0005-0000-0000-0000198D0000}"/>
    <cellStyle name="Normal 5 17 2 6 6" xfId="36136" xr:uid="{00000000-0005-0000-0000-00001A8D0000}"/>
    <cellStyle name="Normal 5 17 2 6 7" xfId="36137" xr:uid="{00000000-0005-0000-0000-00001B8D0000}"/>
    <cellStyle name="Normal 5 17 2 6 8" xfId="36138" xr:uid="{00000000-0005-0000-0000-00001C8D0000}"/>
    <cellStyle name="Normal 5 17 2 6 9" xfId="36139" xr:uid="{00000000-0005-0000-0000-00001D8D0000}"/>
    <cellStyle name="Normal 5 17 2 7" xfId="36140" xr:uid="{00000000-0005-0000-0000-00001E8D0000}"/>
    <cellStyle name="Normal 5 17 2 7 10" xfId="36141" xr:uid="{00000000-0005-0000-0000-00001F8D0000}"/>
    <cellStyle name="Normal 5 17 2 7 11" xfId="36142" xr:uid="{00000000-0005-0000-0000-0000208D0000}"/>
    <cellStyle name="Normal 5 17 2 7 12" xfId="36143" xr:uid="{00000000-0005-0000-0000-0000218D0000}"/>
    <cellStyle name="Normal 5 17 2 7 13" xfId="36144" xr:uid="{00000000-0005-0000-0000-0000228D0000}"/>
    <cellStyle name="Normal 5 17 2 7 14" xfId="36145" xr:uid="{00000000-0005-0000-0000-0000238D0000}"/>
    <cellStyle name="Normal 5 17 2 7 2" xfId="36146" xr:uid="{00000000-0005-0000-0000-0000248D0000}"/>
    <cellStyle name="Normal 5 17 2 7 2 10" xfId="36147" xr:uid="{00000000-0005-0000-0000-0000258D0000}"/>
    <cellStyle name="Normal 5 17 2 7 2 2" xfId="36148" xr:uid="{00000000-0005-0000-0000-0000268D0000}"/>
    <cellStyle name="Normal 5 17 2 7 2 3" xfId="36149" xr:uid="{00000000-0005-0000-0000-0000278D0000}"/>
    <cellStyle name="Normal 5 17 2 7 2 4" xfId="36150" xr:uid="{00000000-0005-0000-0000-0000288D0000}"/>
    <cellStyle name="Normal 5 17 2 7 2 5" xfId="36151" xr:uid="{00000000-0005-0000-0000-0000298D0000}"/>
    <cellStyle name="Normal 5 17 2 7 2 6" xfId="36152" xr:uid="{00000000-0005-0000-0000-00002A8D0000}"/>
    <cellStyle name="Normal 5 17 2 7 2 7" xfId="36153" xr:uid="{00000000-0005-0000-0000-00002B8D0000}"/>
    <cellStyle name="Normal 5 17 2 7 2 8" xfId="36154" xr:uid="{00000000-0005-0000-0000-00002C8D0000}"/>
    <cellStyle name="Normal 5 17 2 7 2 9" xfId="36155" xr:uid="{00000000-0005-0000-0000-00002D8D0000}"/>
    <cellStyle name="Normal 5 17 2 7 3" xfId="36156" xr:uid="{00000000-0005-0000-0000-00002E8D0000}"/>
    <cellStyle name="Normal 5 17 2 7 3 10" xfId="36157" xr:uid="{00000000-0005-0000-0000-00002F8D0000}"/>
    <cellStyle name="Normal 5 17 2 7 3 2" xfId="36158" xr:uid="{00000000-0005-0000-0000-0000308D0000}"/>
    <cellStyle name="Normal 5 17 2 7 3 3" xfId="36159" xr:uid="{00000000-0005-0000-0000-0000318D0000}"/>
    <cellStyle name="Normal 5 17 2 7 3 4" xfId="36160" xr:uid="{00000000-0005-0000-0000-0000328D0000}"/>
    <cellStyle name="Normal 5 17 2 7 3 5" xfId="36161" xr:uid="{00000000-0005-0000-0000-0000338D0000}"/>
    <cellStyle name="Normal 5 17 2 7 3 6" xfId="36162" xr:uid="{00000000-0005-0000-0000-0000348D0000}"/>
    <cellStyle name="Normal 5 17 2 7 3 7" xfId="36163" xr:uid="{00000000-0005-0000-0000-0000358D0000}"/>
    <cellStyle name="Normal 5 17 2 7 3 8" xfId="36164" xr:uid="{00000000-0005-0000-0000-0000368D0000}"/>
    <cellStyle name="Normal 5 17 2 7 3 9" xfId="36165" xr:uid="{00000000-0005-0000-0000-0000378D0000}"/>
    <cellStyle name="Normal 5 17 2 7 4" xfId="36166" xr:uid="{00000000-0005-0000-0000-0000388D0000}"/>
    <cellStyle name="Normal 5 17 2 7 4 10" xfId="36167" xr:uid="{00000000-0005-0000-0000-0000398D0000}"/>
    <cellStyle name="Normal 5 17 2 7 4 2" xfId="36168" xr:uid="{00000000-0005-0000-0000-00003A8D0000}"/>
    <cellStyle name="Normal 5 17 2 7 4 3" xfId="36169" xr:uid="{00000000-0005-0000-0000-00003B8D0000}"/>
    <cellStyle name="Normal 5 17 2 7 4 4" xfId="36170" xr:uid="{00000000-0005-0000-0000-00003C8D0000}"/>
    <cellStyle name="Normal 5 17 2 7 4 5" xfId="36171" xr:uid="{00000000-0005-0000-0000-00003D8D0000}"/>
    <cellStyle name="Normal 5 17 2 7 4 6" xfId="36172" xr:uid="{00000000-0005-0000-0000-00003E8D0000}"/>
    <cellStyle name="Normal 5 17 2 7 4 7" xfId="36173" xr:uid="{00000000-0005-0000-0000-00003F8D0000}"/>
    <cellStyle name="Normal 5 17 2 7 4 8" xfId="36174" xr:uid="{00000000-0005-0000-0000-0000408D0000}"/>
    <cellStyle name="Normal 5 17 2 7 4 9" xfId="36175" xr:uid="{00000000-0005-0000-0000-0000418D0000}"/>
    <cellStyle name="Normal 5 17 2 7 5" xfId="36176" xr:uid="{00000000-0005-0000-0000-0000428D0000}"/>
    <cellStyle name="Normal 5 17 2 7 5 10" xfId="36177" xr:uid="{00000000-0005-0000-0000-0000438D0000}"/>
    <cellStyle name="Normal 5 17 2 7 5 2" xfId="36178" xr:uid="{00000000-0005-0000-0000-0000448D0000}"/>
    <cellStyle name="Normal 5 17 2 7 5 3" xfId="36179" xr:uid="{00000000-0005-0000-0000-0000458D0000}"/>
    <cellStyle name="Normal 5 17 2 7 5 4" xfId="36180" xr:uid="{00000000-0005-0000-0000-0000468D0000}"/>
    <cellStyle name="Normal 5 17 2 7 5 5" xfId="36181" xr:uid="{00000000-0005-0000-0000-0000478D0000}"/>
    <cellStyle name="Normal 5 17 2 7 5 6" xfId="36182" xr:uid="{00000000-0005-0000-0000-0000488D0000}"/>
    <cellStyle name="Normal 5 17 2 7 5 7" xfId="36183" xr:uid="{00000000-0005-0000-0000-0000498D0000}"/>
    <cellStyle name="Normal 5 17 2 7 5 8" xfId="36184" xr:uid="{00000000-0005-0000-0000-00004A8D0000}"/>
    <cellStyle name="Normal 5 17 2 7 5 9" xfId="36185" xr:uid="{00000000-0005-0000-0000-00004B8D0000}"/>
    <cellStyle name="Normal 5 17 2 7 6" xfId="36186" xr:uid="{00000000-0005-0000-0000-00004C8D0000}"/>
    <cellStyle name="Normal 5 17 2 7 7" xfId="36187" xr:uid="{00000000-0005-0000-0000-00004D8D0000}"/>
    <cellStyle name="Normal 5 17 2 7 8" xfId="36188" xr:uid="{00000000-0005-0000-0000-00004E8D0000}"/>
    <cellStyle name="Normal 5 17 2 7 9" xfId="36189" xr:uid="{00000000-0005-0000-0000-00004F8D0000}"/>
    <cellStyle name="Normal 5 17 2 8" xfId="36190" xr:uid="{00000000-0005-0000-0000-0000508D0000}"/>
    <cellStyle name="Normal 5 17 2 8 10" xfId="36191" xr:uid="{00000000-0005-0000-0000-0000518D0000}"/>
    <cellStyle name="Normal 5 17 2 8 11" xfId="36192" xr:uid="{00000000-0005-0000-0000-0000528D0000}"/>
    <cellStyle name="Normal 5 17 2 8 12" xfId="36193" xr:uid="{00000000-0005-0000-0000-0000538D0000}"/>
    <cellStyle name="Normal 5 17 2 8 13" xfId="36194" xr:uid="{00000000-0005-0000-0000-0000548D0000}"/>
    <cellStyle name="Normal 5 17 2 8 14" xfId="36195" xr:uid="{00000000-0005-0000-0000-0000558D0000}"/>
    <cellStyle name="Normal 5 17 2 8 2" xfId="36196" xr:uid="{00000000-0005-0000-0000-0000568D0000}"/>
    <cellStyle name="Normal 5 17 2 8 2 10" xfId="36197" xr:uid="{00000000-0005-0000-0000-0000578D0000}"/>
    <cellStyle name="Normal 5 17 2 8 2 2" xfId="36198" xr:uid="{00000000-0005-0000-0000-0000588D0000}"/>
    <cellStyle name="Normal 5 17 2 8 2 3" xfId="36199" xr:uid="{00000000-0005-0000-0000-0000598D0000}"/>
    <cellStyle name="Normal 5 17 2 8 2 4" xfId="36200" xr:uid="{00000000-0005-0000-0000-00005A8D0000}"/>
    <cellStyle name="Normal 5 17 2 8 2 5" xfId="36201" xr:uid="{00000000-0005-0000-0000-00005B8D0000}"/>
    <cellStyle name="Normal 5 17 2 8 2 6" xfId="36202" xr:uid="{00000000-0005-0000-0000-00005C8D0000}"/>
    <cellStyle name="Normal 5 17 2 8 2 7" xfId="36203" xr:uid="{00000000-0005-0000-0000-00005D8D0000}"/>
    <cellStyle name="Normal 5 17 2 8 2 8" xfId="36204" xr:uid="{00000000-0005-0000-0000-00005E8D0000}"/>
    <cellStyle name="Normal 5 17 2 8 2 9" xfId="36205" xr:uid="{00000000-0005-0000-0000-00005F8D0000}"/>
    <cellStyle name="Normal 5 17 2 8 3" xfId="36206" xr:uid="{00000000-0005-0000-0000-0000608D0000}"/>
    <cellStyle name="Normal 5 17 2 8 3 10" xfId="36207" xr:uid="{00000000-0005-0000-0000-0000618D0000}"/>
    <cellStyle name="Normal 5 17 2 8 3 2" xfId="36208" xr:uid="{00000000-0005-0000-0000-0000628D0000}"/>
    <cellStyle name="Normal 5 17 2 8 3 3" xfId="36209" xr:uid="{00000000-0005-0000-0000-0000638D0000}"/>
    <cellStyle name="Normal 5 17 2 8 3 4" xfId="36210" xr:uid="{00000000-0005-0000-0000-0000648D0000}"/>
    <cellStyle name="Normal 5 17 2 8 3 5" xfId="36211" xr:uid="{00000000-0005-0000-0000-0000658D0000}"/>
    <cellStyle name="Normal 5 17 2 8 3 6" xfId="36212" xr:uid="{00000000-0005-0000-0000-0000668D0000}"/>
    <cellStyle name="Normal 5 17 2 8 3 7" xfId="36213" xr:uid="{00000000-0005-0000-0000-0000678D0000}"/>
    <cellStyle name="Normal 5 17 2 8 3 8" xfId="36214" xr:uid="{00000000-0005-0000-0000-0000688D0000}"/>
    <cellStyle name="Normal 5 17 2 8 3 9" xfId="36215" xr:uid="{00000000-0005-0000-0000-0000698D0000}"/>
    <cellStyle name="Normal 5 17 2 8 4" xfId="36216" xr:uid="{00000000-0005-0000-0000-00006A8D0000}"/>
    <cellStyle name="Normal 5 17 2 8 4 10" xfId="36217" xr:uid="{00000000-0005-0000-0000-00006B8D0000}"/>
    <cellStyle name="Normal 5 17 2 8 4 2" xfId="36218" xr:uid="{00000000-0005-0000-0000-00006C8D0000}"/>
    <cellStyle name="Normal 5 17 2 8 4 3" xfId="36219" xr:uid="{00000000-0005-0000-0000-00006D8D0000}"/>
    <cellStyle name="Normal 5 17 2 8 4 4" xfId="36220" xr:uid="{00000000-0005-0000-0000-00006E8D0000}"/>
    <cellStyle name="Normal 5 17 2 8 4 5" xfId="36221" xr:uid="{00000000-0005-0000-0000-00006F8D0000}"/>
    <cellStyle name="Normal 5 17 2 8 4 6" xfId="36222" xr:uid="{00000000-0005-0000-0000-0000708D0000}"/>
    <cellStyle name="Normal 5 17 2 8 4 7" xfId="36223" xr:uid="{00000000-0005-0000-0000-0000718D0000}"/>
    <cellStyle name="Normal 5 17 2 8 4 8" xfId="36224" xr:uid="{00000000-0005-0000-0000-0000728D0000}"/>
    <cellStyle name="Normal 5 17 2 8 4 9" xfId="36225" xr:uid="{00000000-0005-0000-0000-0000738D0000}"/>
    <cellStyle name="Normal 5 17 2 8 5" xfId="36226" xr:uid="{00000000-0005-0000-0000-0000748D0000}"/>
    <cellStyle name="Normal 5 17 2 8 5 10" xfId="36227" xr:uid="{00000000-0005-0000-0000-0000758D0000}"/>
    <cellStyle name="Normal 5 17 2 8 5 2" xfId="36228" xr:uid="{00000000-0005-0000-0000-0000768D0000}"/>
    <cellStyle name="Normal 5 17 2 8 5 3" xfId="36229" xr:uid="{00000000-0005-0000-0000-0000778D0000}"/>
    <cellStyle name="Normal 5 17 2 8 5 4" xfId="36230" xr:uid="{00000000-0005-0000-0000-0000788D0000}"/>
    <cellStyle name="Normal 5 17 2 8 5 5" xfId="36231" xr:uid="{00000000-0005-0000-0000-0000798D0000}"/>
    <cellStyle name="Normal 5 17 2 8 5 6" xfId="36232" xr:uid="{00000000-0005-0000-0000-00007A8D0000}"/>
    <cellStyle name="Normal 5 17 2 8 5 7" xfId="36233" xr:uid="{00000000-0005-0000-0000-00007B8D0000}"/>
    <cellStyle name="Normal 5 17 2 8 5 8" xfId="36234" xr:uid="{00000000-0005-0000-0000-00007C8D0000}"/>
    <cellStyle name="Normal 5 17 2 8 5 9" xfId="36235" xr:uid="{00000000-0005-0000-0000-00007D8D0000}"/>
    <cellStyle name="Normal 5 17 2 8 6" xfId="36236" xr:uid="{00000000-0005-0000-0000-00007E8D0000}"/>
    <cellStyle name="Normal 5 17 2 8 7" xfId="36237" xr:uid="{00000000-0005-0000-0000-00007F8D0000}"/>
    <cellStyle name="Normal 5 17 2 8 8" xfId="36238" xr:uid="{00000000-0005-0000-0000-0000808D0000}"/>
    <cellStyle name="Normal 5 17 2 8 9" xfId="36239" xr:uid="{00000000-0005-0000-0000-0000818D0000}"/>
    <cellStyle name="Normal 5 17 2 9" xfId="36240" xr:uid="{00000000-0005-0000-0000-0000828D0000}"/>
    <cellStyle name="Normal 5 17 2 9 10" xfId="36241" xr:uid="{00000000-0005-0000-0000-0000838D0000}"/>
    <cellStyle name="Normal 5 17 2 9 11" xfId="36242" xr:uid="{00000000-0005-0000-0000-0000848D0000}"/>
    <cellStyle name="Normal 5 17 2 9 12" xfId="36243" xr:uid="{00000000-0005-0000-0000-0000858D0000}"/>
    <cellStyle name="Normal 5 17 2 9 13" xfId="36244" xr:uid="{00000000-0005-0000-0000-0000868D0000}"/>
    <cellStyle name="Normal 5 17 2 9 14" xfId="36245" xr:uid="{00000000-0005-0000-0000-0000878D0000}"/>
    <cellStyle name="Normal 5 17 2 9 2" xfId="36246" xr:uid="{00000000-0005-0000-0000-0000888D0000}"/>
    <cellStyle name="Normal 5 17 2 9 2 10" xfId="36247" xr:uid="{00000000-0005-0000-0000-0000898D0000}"/>
    <cellStyle name="Normal 5 17 2 9 2 2" xfId="36248" xr:uid="{00000000-0005-0000-0000-00008A8D0000}"/>
    <cellStyle name="Normal 5 17 2 9 2 3" xfId="36249" xr:uid="{00000000-0005-0000-0000-00008B8D0000}"/>
    <cellStyle name="Normal 5 17 2 9 2 4" xfId="36250" xr:uid="{00000000-0005-0000-0000-00008C8D0000}"/>
    <cellStyle name="Normal 5 17 2 9 2 5" xfId="36251" xr:uid="{00000000-0005-0000-0000-00008D8D0000}"/>
    <cellStyle name="Normal 5 17 2 9 2 6" xfId="36252" xr:uid="{00000000-0005-0000-0000-00008E8D0000}"/>
    <cellStyle name="Normal 5 17 2 9 2 7" xfId="36253" xr:uid="{00000000-0005-0000-0000-00008F8D0000}"/>
    <cellStyle name="Normal 5 17 2 9 2 8" xfId="36254" xr:uid="{00000000-0005-0000-0000-0000908D0000}"/>
    <cellStyle name="Normal 5 17 2 9 2 9" xfId="36255" xr:uid="{00000000-0005-0000-0000-0000918D0000}"/>
    <cellStyle name="Normal 5 17 2 9 3" xfId="36256" xr:uid="{00000000-0005-0000-0000-0000928D0000}"/>
    <cellStyle name="Normal 5 17 2 9 3 10" xfId="36257" xr:uid="{00000000-0005-0000-0000-0000938D0000}"/>
    <cellStyle name="Normal 5 17 2 9 3 2" xfId="36258" xr:uid="{00000000-0005-0000-0000-0000948D0000}"/>
    <cellStyle name="Normal 5 17 2 9 3 3" xfId="36259" xr:uid="{00000000-0005-0000-0000-0000958D0000}"/>
    <cellStyle name="Normal 5 17 2 9 3 4" xfId="36260" xr:uid="{00000000-0005-0000-0000-0000968D0000}"/>
    <cellStyle name="Normal 5 17 2 9 3 5" xfId="36261" xr:uid="{00000000-0005-0000-0000-0000978D0000}"/>
    <cellStyle name="Normal 5 17 2 9 3 6" xfId="36262" xr:uid="{00000000-0005-0000-0000-0000988D0000}"/>
    <cellStyle name="Normal 5 17 2 9 3 7" xfId="36263" xr:uid="{00000000-0005-0000-0000-0000998D0000}"/>
    <cellStyle name="Normal 5 17 2 9 3 8" xfId="36264" xr:uid="{00000000-0005-0000-0000-00009A8D0000}"/>
    <cellStyle name="Normal 5 17 2 9 3 9" xfId="36265" xr:uid="{00000000-0005-0000-0000-00009B8D0000}"/>
    <cellStyle name="Normal 5 17 2 9 4" xfId="36266" xr:uid="{00000000-0005-0000-0000-00009C8D0000}"/>
    <cellStyle name="Normal 5 17 2 9 4 10" xfId="36267" xr:uid="{00000000-0005-0000-0000-00009D8D0000}"/>
    <cellStyle name="Normal 5 17 2 9 4 2" xfId="36268" xr:uid="{00000000-0005-0000-0000-00009E8D0000}"/>
    <cellStyle name="Normal 5 17 2 9 4 3" xfId="36269" xr:uid="{00000000-0005-0000-0000-00009F8D0000}"/>
    <cellStyle name="Normal 5 17 2 9 4 4" xfId="36270" xr:uid="{00000000-0005-0000-0000-0000A08D0000}"/>
    <cellStyle name="Normal 5 17 2 9 4 5" xfId="36271" xr:uid="{00000000-0005-0000-0000-0000A18D0000}"/>
    <cellStyle name="Normal 5 17 2 9 4 6" xfId="36272" xr:uid="{00000000-0005-0000-0000-0000A28D0000}"/>
    <cellStyle name="Normal 5 17 2 9 4 7" xfId="36273" xr:uid="{00000000-0005-0000-0000-0000A38D0000}"/>
    <cellStyle name="Normal 5 17 2 9 4 8" xfId="36274" xr:uid="{00000000-0005-0000-0000-0000A48D0000}"/>
    <cellStyle name="Normal 5 17 2 9 4 9" xfId="36275" xr:uid="{00000000-0005-0000-0000-0000A58D0000}"/>
    <cellStyle name="Normal 5 17 2 9 5" xfId="36276" xr:uid="{00000000-0005-0000-0000-0000A68D0000}"/>
    <cellStyle name="Normal 5 17 2 9 5 10" xfId="36277" xr:uid="{00000000-0005-0000-0000-0000A78D0000}"/>
    <cellStyle name="Normal 5 17 2 9 5 2" xfId="36278" xr:uid="{00000000-0005-0000-0000-0000A88D0000}"/>
    <cellStyle name="Normal 5 17 2 9 5 3" xfId="36279" xr:uid="{00000000-0005-0000-0000-0000A98D0000}"/>
    <cellStyle name="Normal 5 17 2 9 5 4" xfId="36280" xr:uid="{00000000-0005-0000-0000-0000AA8D0000}"/>
    <cellStyle name="Normal 5 17 2 9 5 5" xfId="36281" xr:uid="{00000000-0005-0000-0000-0000AB8D0000}"/>
    <cellStyle name="Normal 5 17 2 9 5 6" xfId="36282" xr:uid="{00000000-0005-0000-0000-0000AC8D0000}"/>
    <cellStyle name="Normal 5 17 2 9 5 7" xfId="36283" xr:uid="{00000000-0005-0000-0000-0000AD8D0000}"/>
    <cellStyle name="Normal 5 17 2 9 5 8" xfId="36284" xr:uid="{00000000-0005-0000-0000-0000AE8D0000}"/>
    <cellStyle name="Normal 5 17 2 9 5 9" xfId="36285" xr:uid="{00000000-0005-0000-0000-0000AF8D0000}"/>
    <cellStyle name="Normal 5 17 2 9 6" xfId="36286" xr:uid="{00000000-0005-0000-0000-0000B08D0000}"/>
    <cellStyle name="Normal 5 17 2 9 7" xfId="36287" xr:uid="{00000000-0005-0000-0000-0000B18D0000}"/>
    <cellStyle name="Normal 5 17 2 9 8" xfId="36288" xr:uid="{00000000-0005-0000-0000-0000B28D0000}"/>
    <cellStyle name="Normal 5 17 2 9 9" xfId="36289" xr:uid="{00000000-0005-0000-0000-0000B38D0000}"/>
    <cellStyle name="Normal 5 17 20" xfId="36290" xr:uid="{00000000-0005-0000-0000-0000B48D0000}"/>
    <cellStyle name="Normal 5 17 20 10" xfId="36291" xr:uid="{00000000-0005-0000-0000-0000B58D0000}"/>
    <cellStyle name="Normal 5 17 20 11" xfId="36292" xr:uid="{00000000-0005-0000-0000-0000B68D0000}"/>
    <cellStyle name="Normal 5 17 20 12" xfId="36293" xr:uid="{00000000-0005-0000-0000-0000B78D0000}"/>
    <cellStyle name="Normal 5 17 20 13" xfId="36294" xr:uid="{00000000-0005-0000-0000-0000B88D0000}"/>
    <cellStyle name="Normal 5 17 20 14" xfId="36295" xr:uid="{00000000-0005-0000-0000-0000B98D0000}"/>
    <cellStyle name="Normal 5 17 20 2" xfId="36296" xr:uid="{00000000-0005-0000-0000-0000BA8D0000}"/>
    <cellStyle name="Normal 5 17 20 2 10" xfId="36297" xr:uid="{00000000-0005-0000-0000-0000BB8D0000}"/>
    <cellStyle name="Normal 5 17 20 2 2" xfId="36298" xr:uid="{00000000-0005-0000-0000-0000BC8D0000}"/>
    <cellStyle name="Normal 5 17 20 2 3" xfId="36299" xr:uid="{00000000-0005-0000-0000-0000BD8D0000}"/>
    <cellStyle name="Normal 5 17 20 2 4" xfId="36300" xr:uid="{00000000-0005-0000-0000-0000BE8D0000}"/>
    <cellStyle name="Normal 5 17 20 2 5" xfId="36301" xr:uid="{00000000-0005-0000-0000-0000BF8D0000}"/>
    <cellStyle name="Normal 5 17 20 2 6" xfId="36302" xr:uid="{00000000-0005-0000-0000-0000C08D0000}"/>
    <cellStyle name="Normal 5 17 20 2 7" xfId="36303" xr:uid="{00000000-0005-0000-0000-0000C18D0000}"/>
    <cellStyle name="Normal 5 17 20 2 8" xfId="36304" xr:uid="{00000000-0005-0000-0000-0000C28D0000}"/>
    <cellStyle name="Normal 5 17 20 2 9" xfId="36305" xr:uid="{00000000-0005-0000-0000-0000C38D0000}"/>
    <cellStyle name="Normal 5 17 20 3" xfId="36306" xr:uid="{00000000-0005-0000-0000-0000C48D0000}"/>
    <cellStyle name="Normal 5 17 20 3 10" xfId="36307" xr:uid="{00000000-0005-0000-0000-0000C58D0000}"/>
    <cellStyle name="Normal 5 17 20 3 2" xfId="36308" xr:uid="{00000000-0005-0000-0000-0000C68D0000}"/>
    <cellStyle name="Normal 5 17 20 3 3" xfId="36309" xr:uid="{00000000-0005-0000-0000-0000C78D0000}"/>
    <cellStyle name="Normal 5 17 20 3 4" xfId="36310" xr:uid="{00000000-0005-0000-0000-0000C88D0000}"/>
    <cellStyle name="Normal 5 17 20 3 5" xfId="36311" xr:uid="{00000000-0005-0000-0000-0000C98D0000}"/>
    <cellStyle name="Normal 5 17 20 3 6" xfId="36312" xr:uid="{00000000-0005-0000-0000-0000CA8D0000}"/>
    <cellStyle name="Normal 5 17 20 3 7" xfId="36313" xr:uid="{00000000-0005-0000-0000-0000CB8D0000}"/>
    <cellStyle name="Normal 5 17 20 3 8" xfId="36314" xr:uid="{00000000-0005-0000-0000-0000CC8D0000}"/>
    <cellStyle name="Normal 5 17 20 3 9" xfId="36315" xr:uid="{00000000-0005-0000-0000-0000CD8D0000}"/>
    <cellStyle name="Normal 5 17 20 4" xfId="36316" xr:uid="{00000000-0005-0000-0000-0000CE8D0000}"/>
    <cellStyle name="Normal 5 17 20 4 10" xfId="36317" xr:uid="{00000000-0005-0000-0000-0000CF8D0000}"/>
    <cellStyle name="Normal 5 17 20 4 2" xfId="36318" xr:uid="{00000000-0005-0000-0000-0000D08D0000}"/>
    <cellStyle name="Normal 5 17 20 4 3" xfId="36319" xr:uid="{00000000-0005-0000-0000-0000D18D0000}"/>
    <cellStyle name="Normal 5 17 20 4 4" xfId="36320" xr:uid="{00000000-0005-0000-0000-0000D28D0000}"/>
    <cellStyle name="Normal 5 17 20 4 5" xfId="36321" xr:uid="{00000000-0005-0000-0000-0000D38D0000}"/>
    <cellStyle name="Normal 5 17 20 4 6" xfId="36322" xr:uid="{00000000-0005-0000-0000-0000D48D0000}"/>
    <cellStyle name="Normal 5 17 20 4 7" xfId="36323" xr:uid="{00000000-0005-0000-0000-0000D58D0000}"/>
    <cellStyle name="Normal 5 17 20 4 8" xfId="36324" xr:uid="{00000000-0005-0000-0000-0000D68D0000}"/>
    <cellStyle name="Normal 5 17 20 4 9" xfId="36325" xr:uid="{00000000-0005-0000-0000-0000D78D0000}"/>
    <cellStyle name="Normal 5 17 20 5" xfId="36326" xr:uid="{00000000-0005-0000-0000-0000D88D0000}"/>
    <cellStyle name="Normal 5 17 20 5 10" xfId="36327" xr:uid="{00000000-0005-0000-0000-0000D98D0000}"/>
    <cellStyle name="Normal 5 17 20 5 2" xfId="36328" xr:uid="{00000000-0005-0000-0000-0000DA8D0000}"/>
    <cellStyle name="Normal 5 17 20 5 3" xfId="36329" xr:uid="{00000000-0005-0000-0000-0000DB8D0000}"/>
    <cellStyle name="Normal 5 17 20 5 4" xfId="36330" xr:uid="{00000000-0005-0000-0000-0000DC8D0000}"/>
    <cellStyle name="Normal 5 17 20 5 5" xfId="36331" xr:uid="{00000000-0005-0000-0000-0000DD8D0000}"/>
    <cellStyle name="Normal 5 17 20 5 6" xfId="36332" xr:uid="{00000000-0005-0000-0000-0000DE8D0000}"/>
    <cellStyle name="Normal 5 17 20 5 7" xfId="36333" xr:uid="{00000000-0005-0000-0000-0000DF8D0000}"/>
    <cellStyle name="Normal 5 17 20 5 8" xfId="36334" xr:uid="{00000000-0005-0000-0000-0000E08D0000}"/>
    <cellStyle name="Normal 5 17 20 5 9" xfId="36335" xr:uid="{00000000-0005-0000-0000-0000E18D0000}"/>
    <cellStyle name="Normal 5 17 20 6" xfId="36336" xr:uid="{00000000-0005-0000-0000-0000E28D0000}"/>
    <cellStyle name="Normal 5 17 20 7" xfId="36337" xr:uid="{00000000-0005-0000-0000-0000E38D0000}"/>
    <cellStyle name="Normal 5 17 20 8" xfId="36338" xr:uid="{00000000-0005-0000-0000-0000E48D0000}"/>
    <cellStyle name="Normal 5 17 20 9" xfId="36339" xr:uid="{00000000-0005-0000-0000-0000E58D0000}"/>
    <cellStyle name="Normal 5 17 21" xfId="36340" xr:uid="{00000000-0005-0000-0000-0000E68D0000}"/>
    <cellStyle name="Normal 5 17 21 10" xfId="36341" xr:uid="{00000000-0005-0000-0000-0000E78D0000}"/>
    <cellStyle name="Normal 5 17 21 11" xfId="36342" xr:uid="{00000000-0005-0000-0000-0000E88D0000}"/>
    <cellStyle name="Normal 5 17 21 12" xfId="36343" xr:uid="{00000000-0005-0000-0000-0000E98D0000}"/>
    <cellStyle name="Normal 5 17 21 13" xfId="36344" xr:uid="{00000000-0005-0000-0000-0000EA8D0000}"/>
    <cellStyle name="Normal 5 17 21 14" xfId="36345" xr:uid="{00000000-0005-0000-0000-0000EB8D0000}"/>
    <cellStyle name="Normal 5 17 21 2" xfId="36346" xr:uid="{00000000-0005-0000-0000-0000EC8D0000}"/>
    <cellStyle name="Normal 5 17 21 2 10" xfId="36347" xr:uid="{00000000-0005-0000-0000-0000ED8D0000}"/>
    <cellStyle name="Normal 5 17 21 2 2" xfId="36348" xr:uid="{00000000-0005-0000-0000-0000EE8D0000}"/>
    <cellStyle name="Normal 5 17 21 2 3" xfId="36349" xr:uid="{00000000-0005-0000-0000-0000EF8D0000}"/>
    <cellStyle name="Normal 5 17 21 2 4" xfId="36350" xr:uid="{00000000-0005-0000-0000-0000F08D0000}"/>
    <cellStyle name="Normal 5 17 21 2 5" xfId="36351" xr:uid="{00000000-0005-0000-0000-0000F18D0000}"/>
    <cellStyle name="Normal 5 17 21 2 6" xfId="36352" xr:uid="{00000000-0005-0000-0000-0000F28D0000}"/>
    <cellStyle name="Normal 5 17 21 2 7" xfId="36353" xr:uid="{00000000-0005-0000-0000-0000F38D0000}"/>
    <cellStyle name="Normal 5 17 21 2 8" xfId="36354" xr:uid="{00000000-0005-0000-0000-0000F48D0000}"/>
    <cellStyle name="Normal 5 17 21 2 9" xfId="36355" xr:uid="{00000000-0005-0000-0000-0000F58D0000}"/>
    <cellStyle name="Normal 5 17 21 3" xfId="36356" xr:uid="{00000000-0005-0000-0000-0000F68D0000}"/>
    <cellStyle name="Normal 5 17 21 3 10" xfId="36357" xr:uid="{00000000-0005-0000-0000-0000F78D0000}"/>
    <cellStyle name="Normal 5 17 21 3 2" xfId="36358" xr:uid="{00000000-0005-0000-0000-0000F88D0000}"/>
    <cellStyle name="Normal 5 17 21 3 3" xfId="36359" xr:uid="{00000000-0005-0000-0000-0000F98D0000}"/>
    <cellStyle name="Normal 5 17 21 3 4" xfId="36360" xr:uid="{00000000-0005-0000-0000-0000FA8D0000}"/>
    <cellStyle name="Normal 5 17 21 3 5" xfId="36361" xr:uid="{00000000-0005-0000-0000-0000FB8D0000}"/>
    <cellStyle name="Normal 5 17 21 3 6" xfId="36362" xr:uid="{00000000-0005-0000-0000-0000FC8D0000}"/>
    <cellStyle name="Normal 5 17 21 3 7" xfId="36363" xr:uid="{00000000-0005-0000-0000-0000FD8D0000}"/>
    <cellStyle name="Normal 5 17 21 3 8" xfId="36364" xr:uid="{00000000-0005-0000-0000-0000FE8D0000}"/>
    <cellStyle name="Normal 5 17 21 3 9" xfId="36365" xr:uid="{00000000-0005-0000-0000-0000FF8D0000}"/>
    <cellStyle name="Normal 5 17 21 4" xfId="36366" xr:uid="{00000000-0005-0000-0000-0000008E0000}"/>
    <cellStyle name="Normal 5 17 21 4 10" xfId="36367" xr:uid="{00000000-0005-0000-0000-0000018E0000}"/>
    <cellStyle name="Normal 5 17 21 4 2" xfId="36368" xr:uid="{00000000-0005-0000-0000-0000028E0000}"/>
    <cellStyle name="Normal 5 17 21 4 3" xfId="36369" xr:uid="{00000000-0005-0000-0000-0000038E0000}"/>
    <cellStyle name="Normal 5 17 21 4 4" xfId="36370" xr:uid="{00000000-0005-0000-0000-0000048E0000}"/>
    <cellStyle name="Normal 5 17 21 4 5" xfId="36371" xr:uid="{00000000-0005-0000-0000-0000058E0000}"/>
    <cellStyle name="Normal 5 17 21 4 6" xfId="36372" xr:uid="{00000000-0005-0000-0000-0000068E0000}"/>
    <cellStyle name="Normal 5 17 21 4 7" xfId="36373" xr:uid="{00000000-0005-0000-0000-0000078E0000}"/>
    <cellStyle name="Normal 5 17 21 4 8" xfId="36374" xr:uid="{00000000-0005-0000-0000-0000088E0000}"/>
    <cellStyle name="Normal 5 17 21 4 9" xfId="36375" xr:uid="{00000000-0005-0000-0000-0000098E0000}"/>
    <cellStyle name="Normal 5 17 21 5" xfId="36376" xr:uid="{00000000-0005-0000-0000-00000A8E0000}"/>
    <cellStyle name="Normal 5 17 21 5 10" xfId="36377" xr:uid="{00000000-0005-0000-0000-00000B8E0000}"/>
    <cellStyle name="Normal 5 17 21 5 2" xfId="36378" xr:uid="{00000000-0005-0000-0000-00000C8E0000}"/>
    <cellStyle name="Normal 5 17 21 5 3" xfId="36379" xr:uid="{00000000-0005-0000-0000-00000D8E0000}"/>
    <cellStyle name="Normal 5 17 21 5 4" xfId="36380" xr:uid="{00000000-0005-0000-0000-00000E8E0000}"/>
    <cellStyle name="Normal 5 17 21 5 5" xfId="36381" xr:uid="{00000000-0005-0000-0000-00000F8E0000}"/>
    <cellStyle name="Normal 5 17 21 5 6" xfId="36382" xr:uid="{00000000-0005-0000-0000-0000108E0000}"/>
    <cellStyle name="Normal 5 17 21 5 7" xfId="36383" xr:uid="{00000000-0005-0000-0000-0000118E0000}"/>
    <cellStyle name="Normal 5 17 21 5 8" xfId="36384" xr:uid="{00000000-0005-0000-0000-0000128E0000}"/>
    <cellStyle name="Normal 5 17 21 5 9" xfId="36385" xr:uid="{00000000-0005-0000-0000-0000138E0000}"/>
    <cellStyle name="Normal 5 17 21 6" xfId="36386" xr:uid="{00000000-0005-0000-0000-0000148E0000}"/>
    <cellStyle name="Normal 5 17 21 7" xfId="36387" xr:uid="{00000000-0005-0000-0000-0000158E0000}"/>
    <cellStyle name="Normal 5 17 21 8" xfId="36388" xr:uid="{00000000-0005-0000-0000-0000168E0000}"/>
    <cellStyle name="Normal 5 17 21 9" xfId="36389" xr:uid="{00000000-0005-0000-0000-0000178E0000}"/>
    <cellStyle name="Normal 5 17 22" xfId="36390" xr:uid="{00000000-0005-0000-0000-0000188E0000}"/>
    <cellStyle name="Normal 5 17 22 10" xfId="36391" xr:uid="{00000000-0005-0000-0000-0000198E0000}"/>
    <cellStyle name="Normal 5 17 22 11" xfId="36392" xr:uid="{00000000-0005-0000-0000-00001A8E0000}"/>
    <cellStyle name="Normal 5 17 22 12" xfId="36393" xr:uid="{00000000-0005-0000-0000-00001B8E0000}"/>
    <cellStyle name="Normal 5 17 22 13" xfId="36394" xr:uid="{00000000-0005-0000-0000-00001C8E0000}"/>
    <cellStyle name="Normal 5 17 22 14" xfId="36395" xr:uid="{00000000-0005-0000-0000-00001D8E0000}"/>
    <cellStyle name="Normal 5 17 22 2" xfId="36396" xr:uid="{00000000-0005-0000-0000-00001E8E0000}"/>
    <cellStyle name="Normal 5 17 22 2 10" xfId="36397" xr:uid="{00000000-0005-0000-0000-00001F8E0000}"/>
    <cellStyle name="Normal 5 17 22 2 2" xfId="36398" xr:uid="{00000000-0005-0000-0000-0000208E0000}"/>
    <cellStyle name="Normal 5 17 22 2 3" xfId="36399" xr:uid="{00000000-0005-0000-0000-0000218E0000}"/>
    <cellStyle name="Normal 5 17 22 2 4" xfId="36400" xr:uid="{00000000-0005-0000-0000-0000228E0000}"/>
    <cellStyle name="Normal 5 17 22 2 5" xfId="36401" xr:uid="{00000000-0005-0000-0000-0000238E0000}"/>
    <cellStyle name="Normal 5 17 22 2 6" xfId="36402" xr:uid="{00000000-0005-0000-0000-0000248E0000}"/>
    <cellStyle name="Normal 5 17 22 2 7" xfId="36403" xr:uid="{00000000-0005-0000-0000-0000258E0000}"/>
    <cellStyle name="Normal 5 17 22 2 8" xfId="36404" xr:uid="{00000000-0005-0000-0000-0000268E0000}"/>
    <cellStyle name="Normal 5 17 22 2 9" xfId="36405" xr:uid="{00000000-0005-0000-0000-0000278E0000}"/>
    <cellStyle name="Normal 5 17 22 3" xfId="36406" xr:uid="{00000000-0005-0000-0000-0000288E0000}"/>
    <cellStyle name="Normal 5 17 22 3 10" xfId="36407" xr:uid="{00000000-0005-0000-0000-0000298E0000}"/>
    <cellStyle name="Normal 5 17 22 3 2" xfId="36408" xr:uid="{00000000-0005-0000-0000-00002A8E0000}"/>
    <cellStyle name="Normal 5 17 22 3 3" xfId="36409" xr:uid="{00000000-0005-0000-0000-00002B8E0000}"/>
    <cellStyle name="Normal 5 17 22 3 4" xfId="36410" xr:uid="{00000000-0005-0000-0000-00002C8E0000}"/>
    <cellStyle name="Normal 5 17 22 3 5" xfId="36411" xr:uid="{00000000-0005-0000-0000-00002D8E0000}"/>
    <cellStyle name="Normal 5 17 22 3 6" xfId="36412" xr:uid="{00000000-0005-0000-0000-00002E8E0000}"/>
    <cellStyle name="Normal 5 17 22 3 7" xfId="36413" xr:uid="{00000000-0005-0000-0000-00002F8E0000}"/>
    <cellStyle name="Normal 5 17 22 3 8" xfId="36414" xr:uid="{00000000-0005-0000-0000-0000308E0000}"/>
    <cellStyle name="Normal 5 17 22 3 9" xfId="36415" xr:uid="{00000000-0005-0000-0000-0000318E0000}"/>
    <cellStyle name="Normal 5 17 22 4" xfId="36416" xr:uid="{00000000-0005-0000-0000-0000328E0000}"/>
    <cellStyle name="Normal 5 17 22 4 10" xfId="36417" xr:uid="{00000000-0005-0000-0000-0000338E0000}"/>
    <cellStyle name="Normal 5 17 22 4 2" xfId="36418" xr:uid="{00000000-0005-0000-0000-0000348E0000}"/>
    <cellStyle name="Normal 5 17 22 4 3" xfId="36419" xr:uid="{00000000-0005-0000-0000-0000358E0000}"/>
    <cellStyle name="Normal 5 17 22 4 4" xfId="36420" xr:uid="{00000000-0005-0000-0000-0000368E0000}"/>
    <cellStyle name="Normal 5 17 22 4 5" xfId="36421" xr:uid="{00000000-0005-0000-0000-0000378E0000}"/>
    <cellStyle name="Normal 5 17 22 4 6" xfId="36422" xr:uid="{00000000-0005-0000-0000-0000388E0000}"/>
    <cellStyle name="Normal 5 17 22 4 7" xfId="36423" xr:uid="{00000000-0005-0000-0000-0000398E0000}"/>
    <cellStyle name="Normal 5 17 22 4 8" xfId="36424" xr:uid="{00000000-0005-0000-0000-00003A8E0000}"/>
    <cellStyle name="Normal 5 17 22 4 9" xfId="36425" xr:uid="{00000000-0005-0000-0000-00003B8E0000}"/>
    <cellStyle name="Normal 5 17 22 5" xfId="36426" xr:uid="{00000000-0005-0000-0000-00003C8E0000}"/>
    <cellStyle name="Normal 5 17 22 5 10" xfId="36427" xr:uid="{00000000-0005-0000-0000-00003D8E0000}"/>
    <cellStyle name="Normal 5 17 22 5 2" xfId="36428" xr:uid="{00000000-0005-0000-0000-00003E8E0000}"/>
    <cellStyle name="Normal 5 17 22 5 3" xfId="36429" xr:uid="{00000000-0005-0000-0000-00003F8E0000}"/>
    <cellStyle name="Normal 5 17 22 5 4" xfId="36430" xr:uid="{00000000-0005-0000-0000-0000408E0000}"/>
    <cellStyle name="Normal 5 17 22 5 5" xfId="36431" xr:uid="{00000000-0005-0000-0000-0000418E0000}"/>
    <cellStyle name="Normal 5 17 22 5 6" xfId="36432" xr:uid="{00000000-0005-0000-0000-0000428E0000}"/>
    <cellStyle name="Normal 5 17 22 5 7" xfId="36433" xr:uid="{00000000-0005-0000-0000-0000438E0000}"/>
    <cellStyle name="Normal 5 17 22 5 8" xfId="36434" xr:uid="{00000000-0005-0000-0000-0000448E0000}"/>
    <cellStyle name="Normal 5 17 22 5 9" xfId="36435" xr:uid="{00000000-0005-0000-0000-0000458E0000}"/>
    <cellStyle name="Normal 5 17 22 6" xfId="36436" xr:uid="{00000000-0005-0000-0000-0000468E0000}"/>
    <cellStyle name="Normal 5 17 22 7" xfId="36437" xr:uid="{00000000-0005-0000-0000-0000478E0000}"/>
    <cellStyle name="Normal 5 17 22 8" xfId="36438" xr:uid="{00000000-0005-0000-0000-0000488E0000}"/>
    <cellStyle name="Normal 5 17 22 9" xfId="36439" xr:uid="{00000000-0005-0000-0000-0000498E0000}"/>
    <cellStyle name="Normal 5 17 23" xfId="36440" xr:uid="{00000000-0005-0000-0000-00004A8E0000}"/>
    <cellStyle name="Normal 5 17 23 10" xfId="36441" xr:uid="{00000000-0005-0000-0000-00004B8E0000}"/>
    <cellStyle name="Normal 5 17 23 11" xfId="36442" xr:uid="{00000000-0005-0000-0000-00004C8E0000}"/>
    <cellStyle name="Normal 5 17 23 12" xfId="36443" xr:uid="{00000000-0005-0000-0000-00004D8E0000}"/>
    <cellStyle name="Normal 5 17 23 13" xfId="36444" xr:uid="{00000000-0005-0000-0000-00004E8E0000}"/>
    <cellStyle name="Normal 5 17 23 14" xfId="36445" xr:uid="{00000000-0005-0000-0000-00004F8E0000}"/>
    <cellStyle name="Normal 5 17 23 2" xfId="36446" xr:uid="{00000000-0005-0000-0000-0000508E0000}"/>
    <cellStyle name="Normal 5 17 23 2 10" xfId="36447" xr:uid="{00000000-0005-0000-0000-0000518E0000}"/>
    <cellStyle name="Normal 5 17 23 2 2" xfId="36448" xr:uid="{00000000-0005-0000-0000-0000528E0000}"/>
    <cellStyle name="Normal 5 17 23 2 3" xfId="36449" xr:uid="{00000000-0005-0000-0000-0000538E0000}"/>
    <cellStyle name="Normal 5 17 23 2 4" xfId="36450" xr:uid="{00000000-0005-0000-0000-0000548E0000}"/>
    <cellStyle name="Normal 5 17 23 2 5" xfId="36451" xr:uid="{00000000-0005-0000-0000-0000558E0000}"/>
    <cellStyle name="Normal 5 17 23 2 6" xfId="36452" xr:uid="{00000000-0005-0000-0000-0000568E0000}"/>
    <cellStyle name="Normal 5 17 23 2 7" xfId="36453" xr:uid="{00000000-0005-0000-0000-0000578E0000}"/>
    <cellStyle name="Normal 5 17 23 2 8" xfId="36454" xr:uid="{00000000-0005-0000-0000-0000588E0000}"/>
    <cellStyle name="Normal 5 17 23 2 9" xfId="36455" xr:uid="{00000000-0005-0000-0000-0000598E0000}"/>
    <cellStyle name="Normal 5 17 23 3" xfId="36456" xr:uid="{00000000-0005-0000-0000-00005A8E0000}"/>
    <cellStyle name="Normal 5 17 23 3 10" xfId="36457" xr:uid="{00000000-0005-0000-0000-00005B8E0000}"/>
    <cellStyle name="Normal 5 17 23 3 2" xfId="36458" xr:uid="{00000000-0005-0000-0000-00005C8E0000}"/>
    <cellStyle name="Normal 5 17 23 3 3" xfId="36459" xr:uid="{00000000-0005-0000-0000-00005D8E0000}"/>
    <cellStyle name="Normal 5 17 23 3 4" xfId="36460" xr:uid="{00000000-0005-0000-0000-00005E8E0000}"/>
    <cellStyle name="Normal 5 17 23 3 5" xfId="36461" xr:uid="{00000000-0005-0000-0000-00005F8E0000}"/>
    <cellStyle name="Normal 5 17 23 3 6" xfId="36462" xr:uid="{00000000-0005-0000-0000-0000608E0000}"/>
    <cellStyle name="Normal 5 17 23 3 7" xfId="36463" xr:uid="{00000000-0005-0000-0000-0000618E0000}"/>
    <cellStyle name="Normal 5 17 23 3 8" xfId="36464" xr:uid="{00000000-0005-0000-0000-0000628E0000}"/>
    <cellStyle name="Normal 5 17 23 3 9" xfId="36465" xr:uid="{00000000-0005-0000-0000-0000638E0000}"/>
    <cellStyle name="Normal 5 17 23 4" xfId="36466" xr:uid="{00000000-0005-0000-0000-0000648E0000}"/>
    <cellStyle name="Normal 5 17 23 4 10" xfId="36467" xr:uid="{00000000-0005-0000-0000-0000658E0000}"/>
    <cellStyle name="Normal 5 17 23 4 2" xfId="36468" xr:uid="{00000000-0005-0000-0000-0000668E0000}"/>
    <cellStyle name="Normal 5 17 23 4 3" xfId="36469" xr:uid="{00000000-0005-0000-0000-0000678E0000}"/>
    <cellStyle name="Normal 5 17 23 4 4" xfId="36470" xr:uid="{00000000-0005-0000-0000-0000688E0000}"/>
    <cellStyle name="Normal 5 17 23 4 5" xfId="36471" xr:uid="{00000000-0005-0000-0000-0000698E0000}"/>
    <cellStyle name="Normal 5 17 23 4 6" xfId="36472" xr:uid="{00000000-0005-0000-0000-00006A8E0000}"/>
    <cellStyle name="Normal 5 17 23 4 7" xfId="36473" xr:uid="{00000000-0005-0000-0000-00006B8E0000}"/>
    <cellStyle name="Normal 5 17 23 4 8" xfId="36474" xr:uid="{00000000-0005-0000-0000-00006C8E0000}"/>
    <cellStyle name="Normal 5 17 23 4 9" xfId="36475" xr:uid="{00000000-0005-0000-0000-00006D8E0000}"/>
    <cellStyle name="Normal 5 17 23 5" xfId="36476" xr:uid="{00000000-0005-0000-0000-00006E8E0000}"/>
    <cellStyle name="Normal 5 17 23 5 10" xfId="36477" xr:uid="{00000000-0005-0000-0000-00006F8E0000}"/>
    <cellStyle name="Normal 5 17 23 5 2" xfId="36478" xr:uid="{00000000-0005-0000-0000-0000708E0000}"/>
    <cellStyle name="Normal 5 17 23 5 3" xfId="36479" xr:uid="{00000000-0005-0000-0000-0000718E0000}"/>
    <cellStyle name="Normal 5 17 23 5 4" xfId="36480" xr:uid="{00000000-0005-0000-0000-0000728E0000}"/>
    <cellStyle name="Normal 5 17 23 5 5" xfId="36481" xr:uid="{00000000-0005-0000-0000-0000738E0000}"/>
    <cellStyle name="Normal 5 17 23 5 6" xfId="36482" xr:uid="{00000000-0005-0000-0000-0000748E0000}"/>
    <cellStyle name="Normal 5 17 23 5 7" xfId="36483" xr:uid="{00000000-0005-0000-0000-0000758E0000}"/>
    <cellStyle name="Normal 5 17 23 5 8" xfId="36484" xr:uid="{00000000-0005-0000-0000-0000768E0000}"/>
    <cellStyle name="Normal 5 17 23 5 9" xfId="36485" xr:uid="{00000000-0005-0000-0000-0000778E0000}"/>
    <cellStyle name="Normal 5 17 23 6" xfId="36486" xr:uid="{00000000-0005-0000-0000-0000788E0000}"/>
    <cellStyle name="Normal 5 17 23 7" xfId="36487" xr:uid="{00000000-0005-0000-0000-0000798E0000}"/>
    <cellStyle name="Normal 5 17 23 8" xfId="36488" xr:uid="{00000000-0005-0000-0000-00007A8E0000}"/>
    <cellStyle name="Normal 5 17 23 9" xfId="36489" xr:uid="{00000000-0005-0000-0000-00007B8E0000}"/>
    <cellStyle name="Normal 5 17 24" xfId="36490" xr:uid="{00000000-0005-0000-0000-00007C8E0000}"/>
    <cellStyle name="Normal 5 17 24 10" xfId="36491" xr:uid="{00000000-0005-0000-0000-00007D8E0000}"/>
    <cellStyle name="Normal 5 17 24 11" xfId="36492" xr:uid="{00000000-0005-0000-0000-00007E8E0000}"/>
    <cellStyle name="Normal 5 17 24 12" xfId="36493" xr:uid="{00000000-0005-0000-0000-00007F8E0000}"/>
    <cellStyle name="Normal 5 17 24 13" xfId="36494" xr:uid="{00000000-0005-0000-0000-0000808E0000}"/>
    <cellStyle name="Normal 5 17 24 14" xfId="36495" xr:uid="{00000000-0005-0000-0000-0000818E0000}"/>
    <cellStyle name="Normal 5 17 24 2" xfId="36496" xr:uid="{00000000-0005-0000-0000-0000828E0000}"/>
    <cellStyle name="Normal 5 17 24 2 10" xfId="36497" xr:uid="{00000000-0005-0000-0000-0000838E0000}"/>
    <cellStyle name="Normal 5 17 24 2 2" xfId="36498" xr:uid="{00000000-0005-0000-0000-0000848E0000}"/>
    <cellStyle name="Normal 5 17 24 2 3" xfId="36499" xr:uid="{00000000-0005-0000-0000-0000858E0000}"/>
    <cellStyle name="Normal 5 17 24 2 4" xfId="36500" xr:uid="{00000000-0005-0000-0000-0000868E0000}"/>
    <cellStyle name="Normal 5 17 24 2 5" xfId="36501" xr:uid="{00000000-0005-0000-0000-0000878E0000}"/>
    <cellStyle name="Normal 5 17 24 2 6" xfId="36502" xr:uid="{00000000-0005-0000-0000-0000888E0000}"/>
    <cellStyle name="Normal 5 17 24 2 7" xfId="36503" xr:uid="{00000000-0005-0000-0000-0000898E0000}"/>
    <cellStyle name="Normal 5 17 24 2 8" xfId="36504" xr:uid="{00000000-0005-0000-0000-00008A8E0000}"/>
    <cellStyle name="Normal 5 17 24 2 9" xfId="36505" xr:uid="{00000000-0005-0000-0000-00008B8E0000}"/>
    <cellStyle name="Normal 5 17 24 3" xfId="36506" xr:uid="{00000000-0005-0000-0000-00008C8E0000}"/>
    <cellStyle name="Normal 5 17 24 3 10" xfId="36507" xr:uid="{00000000-0005-0000-0000-00008D8E0000}"/>
    <cellStyle name="Normal 5 17 24 3 2" xfId="36508" xr:uid="{00000000-0005-0000-0000-00008E8E0000}"/>
    <cellStyle name="Normal 5 17 24 3 3" xfId="36509" xr:uid="{00000000-0005-0000-0000-00008F8E0000}"/>
    <cellStyle name="Normal 5 17 24 3 4" xfId="36510" xr:uid="{00000000-0005-0000-0000-0000908E0000}"/>
    <cellStyle name="Normal 5 17 24 3 5" xfId="36511" xr:uid="{00000000-0005-0000-0000-0000918E0000}"/>
    <cellStyle name="Normal 5 17 24 3 6" xfId="36512" xr:uid="{00000000-0005-0000-0000-0000928E0000}"/>
    <cellStyle name="Normal 5 17 24 3 7" xfId="36513" xr:uid="{00000000-0005-0000-0000-0000938E0000}"/>
    <cellStyle name="Normal 5 17 24 3 8" xfId="36514" xr:uid="{00000000-0005-0000-0000-0000948E0000}"/>
    <cellStyle name="Normal 5 17 24 3 9" xfId="36515" xr:uid="{00000000-0005-0000-0000-0000958E0000}"/>
    <cellStyle name="Normal 5 17 24 4" xfId="36516" xr:uid="{00000000-0005-0000-0000-0000968E0000}"/>
    <cellStyle name="Normal 5 17 24 4 10" xfId="36517" xr:uid="{00000000-0005-0000-0000-0000978E0000}"/>
    <cellStyle name="Normal 5 17 24 4 2" xfId="36518" xr:uid="{00000000-0005-0000-0000-0000988E0000}"/>
    <cellStyle name="Normal 5 17 24 4 3" xfId="36519" xr:uid="{00000000-0005-0000-0000-0000998E0000}"/>
    <cellStyle name="Normal 5 17 24 4 4" xfId="36520" xr:uid="{00000000-0005-0000-0000-00009A8E0000}"/>
    <cellStyle name="Normal 5 17 24 4 5" xfId="36521" xr:uid="{00000000-0005-0000-0000-00009B8E0000}"/>
    <cellStyle name="Normal 5 17 24 4 6" xfId="36522" xr:uid="{00000000-0005-0000-0000-00009C8E0000}"/>
    <cellStyle name="Normal 5 17 24 4 7" xfId="36523" xr:uid="{00000000-0005-0000-0000-00009D8E0000}"/>
    <cellStyle name="Normal 5 17 24 4 8" xfId="36524" xr:uid="{00000000-0005-0000-0000-00009E8E0000}"/>
    <cellStyle name="Normal 5 17 24 4 9" xfId="36525" xr:uid="{00000000-0005-0000-0000-00009F8E0000}"/>
    <cellStyle name="Normal 5 17 24 5" xfId="36526" xr:uid="{00000000-0005-0000-0000-0000A08E0000}"/>
    <cellStyle name="Normal 5 17 24 5 10" xfId="36527" xr:uid="{00000000-0005-0000-0000-0000A18E0000}"/>
    <cellStyle name="Normal 5 17 24 5 2" xfId="36528" xr:uid="{00000000-0005-0000-0000-0000A28E0000}"/>
    <cellStyle name="Normal 5 17 24 5 3" xfId="36529" xr:uid="{00000000-0005-0000-0000-0000A38E0000}"/>
    <cellStyle name="Normal 5 17 24 5 4" xfId="36530" xr:uid="{00000000-0005-0000-0000-0000A48E0000}"/>
    <cellStyle name="Normal 5 17 24 5 5" xfId="36531" xr:uid="{00000000-0005-0000-0000-0000A58E0000}"/>
    <cellStyle name="Normal 5 17 24 5 6" xfId="36532" xr:uid="{00000000-0005-0000-0000-0000A68E0000}"/>
    <cellStyle name="Normal 5 17 24 5 7" xfId="36533" xr:uid="{00000000-0005-0000-0000-0000A78E0000}"/>
    <cellStyle name="Normal 5 17 24 5 8" xfId="36534" xr:uid="{00000000-0005-0000-0000-0000A88E0000}"/>
    <cellStyle name="Normal 5 17 24 5 9" xfId="36535" xr:uid="{00000000-0005-0000-0000-0000A98E0000}"/>
    <cellStyle name="Normal 5 17 24 6" xfId="36536" xr:uid="{00000000-0005-0000-0000-0000AA8E0000}"/>
    <cellStyle name="Normal 5 17 24 7" xfId="36537" xr:uid="{00000000-0005-0000-0000-0000AB8E0000}"/>
    <cellStyle name="Normal 5 17 24 8" xfId="36538" xr:uid="{00000000-0005-0000-0000-0000AC8E0000}"/>
    <cellStyle name="Normal 5 17 24 9" xfId="36539" xr:uid="{00000000-0005-0000-0000-0000AD8E0000}"/>
    <cellStyle name="Normal 5 17 25" xfId="36540" xr:uid="{00000000-0005-0000-0000-0000AE8E0000}"/>
    <cellStyle name="Normal 5 17 25 10" xfId="36541" xr:uid="{00000000-0005-0000-0000-0000AF8E0000}"/>
    <cellStyle name="Normal 5 17 25 11" xfId="36542" xr:uid="{00000000-0005-0000-0000-0000B08E0000}"/>
    <cellStyle name="Normal 5 17 25 12" xfId="36543" xr:uid="{00000000-0005-0000-0000-0000B18E0000}"/>
    <cellStyle name="Normal 5 17 25 13" xfId="36544" xr:uid="{00000000-0005-0000-0000-0000B28E0000}"/>
    <cellStyle name="Normal 5 17 25 14" xfId="36545" xr:uid="{00000000-0005-0000-0000-0000B38E0000}"/>
    <cellStyle name="Normal 5 17 25 2" xfId="36546" xr:uid="{00000000-0005-0000-0000-0000B48E0000}"/>
    <cellStyle name="Normal 5 17 25 2 10" xfId="36547" xr:uid="{00000000-0005-0000-0000-0000B58E0000}"/>
    <cellStyle name="Normal 5 17 25 2 2" xfId="36548" xr:uid="{00000000-0005-0000-0000-0000B68E0000}"/>
    <cellStyle name="Normal 5 17 25 2 3" xfId="36549" xr:uid="{00000000-0005-0000-0000-0000B78E0000}"/>
    <cellStyle name="Normal 5 17 25 2 4" xfId="36550" xr:uid="{00000000-0005-0000-0000-0000B88E0000}"/>
    <cellStyle name="Normal 5 17 25 2 5" xfId="36551" xr:uid="{00000000-0005-0000-0000-0000B98E0000}"/>
    <cellStyle name="Normal 5 17 25 2 6" xfId="36552" xr:uid="{00000000-0005-0000-0000-0000BA8E0000}"/>
    <cellStyle name="Normal 5 17 25 2 7" xfId="36553" xr:uid="{00000000-0005-0000-0000-0000BB8E0000}"/>
    <cellStyle name="Normal 5 17 25 2 8" xfId="36554" xr:uid="{00000000-0005-0000-0000-0000BC8E0000}"/>
    <cellStyle name="Normal 5 17 25 2 9" xfId="36555" xr:uid="{00000000-0005-0000-0000-0000BD8E0000}"/>
    <cellStyle name="Normal 5 17 25 3" xfId="36556" xr:uid="{00000000-0005-0000-0000-0000BE8E0000}"/>
    <cellStyle name="Normal 5 17 25 3 10" xfId="36557" xr:uid="{00000000-0005-0000-0000-0000BF8E0000}"/>
    <cellStyle name="Normal 5 17 25 3 2" xfId="36558" xr:uid="{00000000-0005-0000-0000-0000C08E0000}"/>
    <cellStyle name="Normal 5 17 25 3 3" xfId="36559" xr:uid="{00000000-0005-0000-0000-0000C18E0000}"/>
    <cellStyle name="Normal 5 17 25 3 4" xfId="36560" xr:uid="{00000000-0005-0000-0000-0000C28E0000}"/>
    <cellStyle name="Normal 5 17 25 3 5" xfId="36561" xr:uid="{00000000-0005-0000-0000-0000C38E0000}"/>
    <cellStyle name="Normal 5 17 25 3 6" xfId="36562" xr:uid="{00000000-0005-0000-0000-0000C48E0000}"/>
    <cellStyle name="Normal 5 17 25 3 7" xfId="36563" xr:uid="{00000000-0005-0000-0000-0000C58E0000}"/>
    <cellStyle name="Normal 5 17 25 3 8" xfId="36564" xr:uid="{00000000-0005-0000-0000-0000C68E0000}"/>
    <cellStyle name="Normal 5 17 25 3 9" xfId="36565" xr:uid="{00000000-0005-0000-0000-0000C78E0000}"/>
    <cellStyle name="Normal 5 17 25 4" xfId="36566" xr:uid="{00000000-0005-0000-0000-0000C88E0000}"/>
    <cellStyle name="Normal 5 17 25 4 10" xfId="36567" xr:uid="{00000000-0005-0000-0000-0000C98E0000}"/>
    <cellStyle name="Normal 5 17 25 4 2" xfId="36568" xr:uid="{00000000-0005-0000-0000-0000CA8E0000}"/>
    <cellStyle name="Normal 5 17 25 4 3" xfId="36569" xr:uid="{00000000-0005-0000-0000-0000CB8E0000}"/>
    <cellStyle name="Normal 5 17 25 4 4" xfId="36570" xr:uid="{00000000-0005-0000-0000-0000CC8E0000}"/>
    <cellStyle name="Normal 5 17 25 4 5" xfId="36571" xr:uid="{00000000-0005-0000-0000-0000CD8E0000}"/>
    <cellStyle name="Normal 5 17 25 4 6" xfId="36572" xr:uid="{00000000-0005-0000-0000-0000CE8E0000}"/>
    <cellStyle name="Normal 5 17 25 4 7" xfId="36573" xr:uid="{00000000-0005-0000-0000-0000CF8E0000}"/>
    <cellStyle name="Normal 5 17 25 4 8" xfId="36574" xr:uid="{00000000-0005-0000-0000-0000D08E0000}"/>
    <cellStyle name="Normal 5 17 25 4 9" xfId="36575" xr:uid="{00000000-0005-0000-0000-0000D18E0000}"/>
    <cellStyle name="Normal 5 17 25 5" xfId="36576" xr:uid="{00000000-0005-0000-0000-0000D28E0000}"/>
    <cellStyle name="Normal 5 17 25 5 10" xfId="36577" xr:uid="{00000000-0005-0000-0000-0000D38E0000}"/>
    <cellStyle name="Normal 5 17 25 5 2" xfId="36578" xr:uid="{00000000-0005-0000-0000-0000D48E0000}"/>
    <cellStyle name="Normal 5 17 25 5 3" xfId="36579" xr:uid="{00000000-0005-0000-0000-0000D58E0000}"/>
    <cellStyle name="Normal 5 17 25 5 4" xfId="36580" xr:uid="{00000000-0005-0000-0000-0000D68E0000}"/>
    <cellStyle name="Normal 5 17 25 5 5" xfId="36581" xr:uid="{00000000-0005-0000-0000-0000D78E0000}"/>
    <cellStyle name="Normal 5 17 25 5 6" xfId="36582" xr:uid="{00000000-0005-0000-0000-0000D88E0000}"/>
    <cellStyle name="Normal 5 17 25 5 7" xfId="36583" xr:uid="{00000000-0005-0000-0000-0000D98E0000}"/>
    <cellStyle name="Normal 5 17 25 5 8" xfId="36584" xr:uid="{00000000-0005-0000-0000-0000DA8E0000}"/>
    <cellStyle name="Normal 5 17 25 5 9" xfId="36585" xr:uid="{00000000-0005-0000-0000-0000DB8E0000}"/>
    <cellStyle name="Normal 5 17 25 6" xfId="36586" xr:uid="{00000000-0005-0000-0000-0000DC8E0000}"/>
    <cellStyle name="Normal 5 17 25 7" xfId="36587" xr:uid="{00000000-0005-0000-0000-0000DD8E0000}"/>
    <cellStyle name="Normal 5 17 25 8" xfId="36588" xr:uid="{00000000-0005-0000-0000-0000DE8E0000}"/>
    <cellStyle name="Normal 5 17 25 9" xfId="36589" xr:uid="{00000000-0005-0000-0000-0000DF8E0000}"/>
    <cellStyle name="Normal 5 17 26" xfId="36590" xr:uid="{00000000-0005-0000-0000-0000E08E0000}"/>
    <cellStyle name="Normal 5 17 26 10" xfId="36591" xr:uid="{00000000-0005-0000-0000-0000E18E0000}"/>
    <cellStyle name="Normal 5 17 26 11" xfId="36592" xr:uid="{00000000-0005-0000-0000-0000E28E0000}"/>
    <cellStyle name="Normal 5 17 26 12" xfId="36593" xr:uid="{00000000-0005-0000-0000-0000E38E0000}"/>
    <cellStyle name="Normal 5 17 26 13" xfId="36594" xr:uid="{00000000-0005-0000-0000-0000E48E0000}"/>
    <cellStyle name="Normal 5 17 26 14" xfId="36595" xr:uid="{00000000-0005-0000-0000-0000E58E0000}"/>
    <cellStyle name="Normal 5 17 26 2" xfId="36596" xr:uid="{00000000-0005-0000-0000-0000E68E0000}"/>
    <cellStyle name="Normal 5 17 26 2 10" xfId="36597" xr:uid="{00000000-0005-0000-0000-0000E78E0000}"/>
    <cellStyle name="Normal 5 17 26 2 2" xfId="36598" xr:uid="{00000000-0005-0000-0000-0000E88E0000}"/>
    <cellStyle name="Normal 5 17 26 2 3" xfId="36599" xr:uid="{00000000-0005-0000-0000-0000E98E0000}"/>
    <cellStyle name="Normal 5 17 26 2 4" xfId="36600" xr:uid="{00000000-0005-0000-0000-0000EA8E0000}"/>
    <cellStyle name="Normal 5 17 26 2 5" xfId="36601" xr:uid="{00000000-0005-0000-0000-0000EB8E0000}"/>
    <cellStyle name="Normal 5 17 26 2 6" xfId="36602" xr:uid="{00000000-0005-0000-0000-0000EC8E0000}"/>
    <cellStyle name="Normal 5 17 26 2 7" xfId="36603" xr:uid="{00000000-0005-0000-0000-0000ED8E0000}"/>
    <cellStyle name="Normal 5 17 26 2 8" xfId="36604" xr:uid="{00000000-0005-0000-0000-0000EE8E0000}"/>
    <cellStyle name="Normal 5 17 26 2 9" xfId="36605" xr:uid="{00000000-0005-0000-0000-0000EF8E0000}"/>
    <cellStyle name="Normal 5 17 26 3" xfId="36606" xr:uid="{00000000-0005-0000-0000-0000F08E0000}"/>
    <cellStyle name="Normal 5 17 26 3 10" xfId="36607" xr:uid="{00000000-0005-0000-0000-0000F18E0000}"/>
    <cellStyle name="Normal 5 17 26 3 2" xfId="36608" xr:uid="{00000000-0005-0000-0000-0000F28E0000}"/>
    <cellStyle name="Normal 5 17 26 3 3" xfId="36609" xr:uid="{00000000-0005-0000-0000-0000F38E0000}"/>
    <cellStyle name="Normal 5 17 26 3 4" xfId="36610" xr:uid="{00000000-0005-0000-0000-0000F48E0000}"/>
    <cellStyle name="Normal 5 17 26 3 5" xfId="36611" xr:uid="{00000000-0005-0000-0000-0000F58E0000}"/>
    <cellStyle name="Normal 5 17 26 3 6" xfId="36612" xr:uid="{00000000-0005-0000-0000-0000F68E0000}"/>
    <cellStyle name="Normal 5 17 26 3 7" xfId="36613" xr:uid="{00000000-0005-0000-0000-0000F78E0000}"/>
    <cellStyle name="Normal 5 17 26 3 8" xfId="36614" xr:uid="{00000000-0005-0000-0000-0000F88E0000}"/>
    <cellStyle name="Normal 5 17 26 3 9" xfId="36615" xr:uid="{00000000-0005-0000-0000-0000F98E0000}"/>
    <cellStyle name="Normal 5 17 26 4" xfId="36616" xr:uid="{00000000-0005-0000-0000-0000FA8E0000}"/>
    <cellStyle name="Normal 5 17 26 4 10" xfId="36617" xr:uid="{00000000-0005-0000-0000-0000FB8E0000}"/>
    <cellStyle name="Normal 5 17 26 4 2" xfId="36618" xr:uid="{00000000-0005-0000-0000-0000FC8E0000}"/>
    <cellStyle name="Normal 5 17 26 4 3" xfId="36619" xr:uid="{00000000-0005-0000-0000-0000FD8E0000}"/>
    <cellStyle name="Normal 5 17 26 4 4" xfId="36620" xr:uid="{00000000-0005-0000-0000-0000FE8E0000}"/>
    <cellStyle name="Normal 5 17 26 4 5" xfId="36621" xr:uid="{00000000-0005-0000-0000-0000FF8E0000}"/>
    <cellStyle name="Normal 5 17 26 4 6" xfId="36622" xr:uid="{00000000-0005-0000-0000-0000008F0000}"/>
    <cellStyle name="Normal 5 17 26 4 7" xfId="36623" xr:uid="{00000000-0005-0000-0000-0000018F0000}"/>
    <cellStyle name="Normal 5 17 26 4 8" xfId="36624" xr:uid="{00000000-0005-0000-0000-0000028F0000}"/>
    <cellStyle name="Normal 5 17 26 4 9" xfId="36625" xr:uid="{00000000-0005-0000-0000-0000038F0000}"/>
    <cellStyle name="Normal 5 17 26 5" xfId="36626" xr:uid="{00000000-0005-0000-0000-0000048F0000}"/>
    <cellStyle name="Normal 5 17 26 5 10" xfId="36627" xr:uid="{00000000-0005-0000-0000-0000058F0000}"/>
    <cellStyle name="Normal 5 17 26 5 2" xfId="36628" xr:uid="{00000000-0005-0000-0000-0000068F0000}"/>
    <cellStyle name="Normal 5 17 26 5 3" xfId="36629" xr:uid="{00000000-0005-0000-0000-0000078F0000}"/>
    <cellStyle name="Normal 5 17 26 5 4" xfId="36630" xr:uid="{00000000-0005-0000-0000-0000088F0000}"/>
    <cellStyle name="Normal 5 17 26 5 5" xfId="36631" xr:uid="{00000000-0005-0000-0000-0000098F0000}"/>
    <cellStyle name="Normal 5 17 26 5 6" xfId="36632" xr:uid="{00000000-0005-0000-0000-00000A8F0000}"/>
    <cellStyle name="Normal 5 17 26 5 7" xfId="36633" xr:uid="{00000000-0005-0000-0000-00000B8F0000}"/>
    <cellStyle name="Normal 5 17 26 5 8" xfId="36634" xr:uid="{00000000-0005-0000-0000-00000C8F0000}"/>
    <cellStyle name="Normal 5 17 26 5 9" xfId="36635" xr:uid="{00000000-0005-0000-0000-00000D8F0000}"/>
    <cellStyle name="Normal 5 17 26 6" xfId="36636" xr:uid="{00000000-0005-0000-0000-00000E8F0000}"/>
    <cellStyle name="Normal 5 17 26 7" xfId="36637" xr:uid="{00000000-0005-0000-0000-00000F8F0000}"/>
    <cellStyle name="Normal 5 17 26 8" xfId="36638" xr:uid="{00000000-0005-0000-0000-0000108F0000}"/>
    <cellStyle name="Normal 5 17 26 9" xfId="36639" xr:uid="{00000000-0005-0000-0000-0000118F0000}"/>
    <cellStyle name="Normal 5 17 27" xfId="36640" xr:uid="{00000000-0005-0000-0000-0000128F0000}"/>
    <cellStyle name="Normal 5 17 27 10" xfId="36641" xr:uid="{00000000-0005-0000-0000-0000138F0000}"/>
    <cellStyle name="Normal 5 17 27 11" xfId="36642" xr:uid="{00000000-0005-0000-0000-0000148F0000}"/>
    <cellStyle name="Normal 5 17 27 12" xfId="36643" xr:uid="{00000000-0005-0000-0000-0000158F0000}"/>
    <cellStyle name="Normal 5 17 27 13" xfId="36644" xr:uid="{00000000-0005-0000-0000-0000168F0000}"/>
    <cellStyle name="Normal 5 17 27 14" xfId="36645" xr:uid="{00000000-0005-0000-0000-0000178F0000}"/>
    <cellStyle name="Normal 5 17 27 2" xfId="36646" xr:uid="{00000000-0005-0000-0000-0000188F0000}"/>
    <cellStyle name="Normal 5 17 27 2 10" xfId="36647" xr:uid="{00000000-0005-0000-0000-0000198F0000}"/>
    <cellStyle name="Normal 5 17 27 2 2" xfId="36648" xr:uid="{00000000-0005-0000-0000-00001A8F0000}"/>
    <cellStyle name="Normal 5 17 27 2 3" xfId="36649" xr:uid="{00000000-0005-0000-0000-00001B8F0000}"/>
    <cellStyle name="Normal 5 17 27 2 4" xfId="36650" xr:uid="{00000000-0005-0000-0000-00001C8F0000}"/>
    <cellStyle name="Normal 5 17 27 2 5" xfId="36651" xr:uid="{00000000-0005-0000-0000-00001D8F0000}"/>
    <cellStyle name="Normal 5 17 27 2 6" xfId="36652" xr:uid="{00000000-0005-0000-0000-00001E8F0000}"/>
    <cellStyle name="Normal 5 17 27 2 7" xfId="36653" xr:uid="{00000000-0005-0000-0000-00001F8F0000}"/>
    <cellStyle name="Normal 5 17 27 2 8" xfId="36654" xr:uid="{00000000-0005-0000-0000-0000208F0000}"/>
    <cellStyle name="Normal 5 17 27 2 9" xfId="36655" xr:uid="{00000000-0005-0000-0000-0000218F0000}"/>
    <cellStyle name="Normal 5 17 27 3" xfId="36656" xr:uid="{00000000-0005-0000-0000-0000228F0000}"/>
    <cellStyle name="Normal 5 17 27 3 10" xfId="36657" xr:uid="{00000000-0005-0000-0000-0000238F0000}"/>
    <cellStyle name="Normal 5 17 27 3 2" xfId="36658" xr:uid="{00000000-0005-0000-0000-0000248F0000}"/>
    <cellStyle name="Normal 5 17 27 3 3" xfId="36659" xr:uid="{00000000-0005-0000-0000-0000258F0000}"/>
    <cellStyle name="Normal 5 17 27 3 4" xfId="36660" xr:uid="{00000000-0005-0000-0000-0000268F0000}"/>
    <cellStyle name="Normal 5 17 27 3 5" xfId="36661" xr:uid="{00000000-0005-0000-0000-0000278F0000}"/>
    <cellStyle name="Normal 5 17 27 3 6" xfId="36662" xr:uid="{00000000-0005-0000-0000-0000288F0000}"/>
    <cellStyle name="Normal 5 17 27 3 7" xfId="36663" xr:uid="{00000000-0005-0000-0000-0000298F0000}"/>
    <cellStyle name="Normal 5 17 27 3 8" xfId="36664" xr:uid="{00000000-0005-0000-0000-00002A8F0000}"/>
    <cellStyle name="Normal 5 17 27 3 9" xfId="36665" xr:uid="{00000000-0005-0000-0000-00002B8F0000}"/>
    <cellStyle name="Normal 5 17 27 4" xfId="36666" xr:uid="{00000000-0005-0000-0000-00002C8F0000}"/>
    <cellStyle name="Normal 5 17 27 4 10" xfId="36667" xr:uid="{00000000-0005-0000-0000-00002D8F0000}"/>
    <cellStyle name="Normal 5 17 27 4 2" xfId="36668" xr:uid="{00000000-0005-0000-0000-00002E8F0000}"/>
    <cellStyle name="Normal 5 17 27 4 3" xfId="36669" xr:uid="{00000000-0005-0000-0000-00002F8F0000}"/>
    <cellStyle name="Normal 5 17 27 4 4" xfId="36670" xr:uid="{00000000-0005-0000-0000-0000308F0000}"/>
    <cellStyle name="Normal 5 17 27 4 5" xfId="36671" xr:uid="{00000000-0005-0000-0000-0000318F0000}"/>
    <cellStyle name="Normal 5 17 27 4 6" xfId="36672" xr:uid="{00000000-0005-0000-0000-0000328F0000}"/>
    <cellStyle name="Normal 5 17 27 4 7" xfId="36673" xr:uid="{00000000-0005-0000-0000-0000338F0000}"/>
    <cellStyle name="Normal 5 17 27 4 8" xfId="36674" xr:uid="{00000000-0005-0000-0000-0000348F0000}"/>
    <cellStyle name="Normal 5 17 27 4 9" xfId="36675" xr:uid="{00000000-0005-0000-0000-0000358F0000}"/>
    <cellStyle name="Normal 5 17 27 5" xfId="36676" xr:uid="{00000000-0005-0000-0000-0000368F0000}"/>
    <cellStyle name="Normal 5 17 27 5 10" xfId="36677" xr:uid="{00000000-0005-0000-0000-0000378F0000}"/>
    <cellStyle name="Normal 5 17 27 5 2" xfId="36678" xr:uid="{00000000-0005-0000-0000-0000388F0000}"/>
    <cellStyle name="Normal 5 17 27 5 3" xfId="36679" xr:uid="{00000000-0005-0000-0000-0000398F0000}"/>
    <cellStyle name="Normal 5 17 27 5 4" xfId="36680" xr:uid="{00000000-0005-0000-0000-00003A8F0000}"/>
    <cellStyle name="Normal 5 17 27 5 5" xfId="36681" xr:uid="{00000000-0005-0000-0000-00003B8F0000}"/>
    <cellStyle name="Normal 5 17 27 5 6" xfId="36682" xr:uid="{00000000-0005-0000-0000-00003C8F0000}"/>
    <cellStyle name="Normal 5 17 27 5 7" xfId="36683" xr:uid="{00000000-0005-0000-0000-00003D8F0000}"/>
    <cellStyle name="Normal 5 17 27 5 8" xfId="36684" xr:uid="{00000000-0005-0000-0000-00003E8F0000}"/>
    <cellStyle name="Normal 5 17 27 5 9" xfId="36685" xr:uid="{00000000-0005-0000-0000-00003F8F0000}"/>
    <cellStyle name="Normal 5 17 27 6" xfId="36686" xr:uid="{00000000-0005-0000-0000-0000408F0000}"/>
    <cellStyle name="Normal 5 17 27 7" xfId="36687" xr:uid="{00000000-0005-0000-0000-0000418F0000}"/>
    <cellStyle name="Normal 5 17 27 8" xfId="36688" xr:uid="{00000000-0005-0000-0000-0000428F0000}"/>
    <cellStyle name="Normal 5 17 27 9" xfId="36689" xr:uid="{00000000-0005-0000-0000-0000438F0000}"/>
    <cellStyle name="Normal 5 17 28" xfId="36690" xr:uid="{00000000-0005-0000-0000-0000448F0000}"/>
    <cellStyle name="Normal 5 17 28 10" xfId="36691" xr:uid="{00000000-0005-0000-0000-0000458F0000}"/>
    <cellStyle name="Normal 5 17 28 11" xfId="36692" xr:uid="{00000000-0005-0000-0000-0000468F0000}"/>
    <cellStyle name="Normal 5 17 28 12" xfId="36693" xr:uid="{00000000-0005-0000-0000-0000478F0000}"/>
    <cellStyle name="Normal 5 17 28 13" xfId="36694" xr:uid="{00000000-0005-0000-0000-0000488F0000}"/>
    <cellStyle name="Normal 5 17 28 14" xfId="36695" xr:uid="{00000000-0005-0000-0000-0000498F0000}"/>
    <cellStyle name="Normal 5 17 28 2" xfId="36696" xr:uid="{00000000-0005-0000-0000-00004A8F0000}"/>
    <cellStyle name="Normal 5 17 28 2 10" xfId="36697" xr:uid="{00000000-0005-0000-0000-00004B8F0000}"/>
    <cellStyle name="Normal 5 17 28 2 2" xfId="36698" xr:uid="{00000000-0005-0000-0000-00004C8F0000}"/>
    <cellStyle name="Normal 5 17 28 2 3" xfId="36699" xr:uid="{00000000-0005-0000-0000-00004D8F0000}"/>
    <cellStyle name="Normal 5 17 28 2 4" xfId="36700" xr:uid="{00000000-0005-0000-0000-00004E8F0000}"/>
    <cellStyle name="Normal 5 17 28 2 5" xfId="36701" xr:uid="{00000000-0005-0000-0000-00004F8F0000}"/>
    <cellStyle name="Normal 5 17 28 2 6" xfId="36702" xr:uid="{00000000-0005-0000-0000-0000508F0000}"/>
    <cellStyle name="Normal 5 17 28 2 7" xfId="36703" xr:uid="{00000000-0005-0000-0000-0000518F0000}"/>
    <cellStyle name="Normal 5 17 28 2 8" xfId="36704" xr:uid="{00000000-0005-0000-0000-0000528F0000}"/>
    <cellStyle name="Normal 5 17 28 2 9" xfId="36705" xr:uid="{00000000-0005-0000-0000-0000538F0000}"/>
    <cellStyle name="Normal 5 17 28 3" xfId="36706" xr:uid="{00000000-0005-0000-0000-0000548F0000}"/>
    <cellStyle name="Normal 5 17 28 3 10" xfId="36707" xr:uid="{00000000-0005-0000-0000-0000558F0000}"/>
    <cellStyle name="Normal 5 17 28 3 2" xfId="36708" xr:uid="{00000000-0005-0000-0000-0000568F0000}"/>
    <cellStyle name="Normal 5 17 28 3 3" xfId="36709" xr:uid="{00000000-0005-0000-0000-0000578F0000}"/>
    <cellStyle name="Normal 5 17 28 3 4" xfId="36710" xr:uid="{00000000-0005-0000-0000-0000588F0000}"/>
    <cellStyle name="Normal 5 17 28 3 5" xfId="36711" xr:uid="{00000000-0005-0000-0000-0000598F0000}"/>
    <cellStyle name="Normal 5 17 28 3 6" xfId="36712" xr:uid="{00000000-0005-0000-0000-00005A8F0000}"/>
    <cellStyle name="Normal 5 17 28 3 7" xfId="36713" xr:uid="{00000000-0005-0000-0000-00005B8F0000}"/>
    <cellStyle name="Normal 5 17 28 3 8" xfId="36714" xr:uid="{00000000-0005-0000-0000-00005C8F0000}"/>
    <cellStyle name="Normal 5 17 28 3 9" xfId="36715" xr:uid="{00000000-0005-0000-0000-00005D8F0000}"/>
    <cellStyle name="Normal 5 17 28 4" xfId="36716" xr:uid="{00000000-0005-0000-0000-00005E8F0000}"/>
    <cellStyle name="Normal 5 17 28 4 10" xfId="36717" xr:uid="{00000000-0005-0000-0000-00005F8F0000}"/>
    <cellStyle name="Normal 5 17 28 4 2" xfId="36718" xr:uid="{00000000-0005-0000-0000-0000608F0000}"/>
    <cellStyle name="Normal 5 17 28 4 3" xfId="36719" xr:uid="{00000000-0005-0000-0000-0000618F0000}"/>
    <cellStyle name="Normal 5 17 28 4 4" xfId="36720" xr:uid="{00000000-0005-0000-0000-0000628F0000}"/>
    <cellStyle name="Normal 5 17 28 4 5" xfId="36721" xr:uid="{00000000-0005-0000-0000-0000638F0000}"/>
    <cellStyle name="Normal 5 17 28 4 6" xfId="36722" xr:uid="{00000000-0005-0000-0000-0000648F0000}"/>
    <cellStyle name="Normal 5 17 28 4 7" xfId="36723" xr:uid="{00000000-0005-0000-0000-0000658F0000}"/>
    <cellStyle name="Normal 5 17 28 4 8" xfId="36724" xr:uid="{00000000-0005-0000-0000-0000668F0000}"/>
    <cellStyle name="Normal 5 17 28 4 9" xfId="36725" xr:uid="{00000000-0005-0000-0000-0000678F0000}"/>
    <cellStyle name="Normal 5 17 28 5" xfId="36726" xr:uid="{00000000-0005-0000-0000-0000688F0000}"/>
    <cellStyle name="Normal 5 17 28 5 10" xfId="36727" xr:uid="{00000000-0005-0000-0000-0000698F0000}"/>
    <cellStyle name="Normal 5 17 28 5 2" xfId="36728" xr:uid="{00000000-0005-0000-0000-00006A8F0000}"/>
    <cellStyle name="Normal 5 17 28 5 3" xfId="36729" xr:uid="{00000000-0005-0000-0000-00006B8F0000}"/>
    <cellStyle name="Normal 5 17 28 5 4" xfId="36730" xr:uid="{00000000-0005-0000-0000-00006C8F0000}"/>
    <cellStyle name="Normal 5 17 28 5 5" xfId="36731" xr:uid="{00000000-0005-0000-0000-00006D8F0000}"/>
    <cellStyle name="Normal 5 17 28 5 6" xfId="36732" xr:uid="{00000000-0005-0000-0000-00006E8F0000}"/>
    <cellStyle name="Normal 5 17 28 5 7" xfId="36733" xr:uid="{00000000-0005-0000-0000-00006F8F0000}"/>
    <cellStyle name="Normal 5 17 28 5 8" xfId="36734" xr:uid="{00000000-0005-0000-0000-0000708F0000}"/>
    <cellStyle name="Normal 5 17 28 5 9" xfId="36735" xr:uid="{00000000-0005-0000-0000-0000718F0000}"/>
    <cellStyle name="Normal 5 17 28 6" xfId="36736" xr:uid="{00000000-0005-0000-0000-0000728F0000}"/>
    <cellStyle name="Normal 5 17 28 7" xfId="36737" xr:uid="{00000000-0005-0000-0000-0000738F0000}"/>
    <cellStyle name="Normal 5 17 28 8" xfId="36738" xr:uid="{00000000-0005-0000-0000-0000748F0000}"/>
    <cellStyle name="Normal 5 17 28 9" xfId="36739" xr:uid="{00000000-0005-0000-0000-0000758F0000}"/>
    <cellStyle name="Normal 5 17 29" xfId="36740" xr:uid="{00000000-0005-0000-0000-0000768F0000}"/>
    <cellStyle name="Normal 5 17 29 10" xfId="36741" xr:uid="{00000000-0005-0000-0000-0000778F0000}"/>
    <cellStyle name="Normal 5 17 29 11" xfId="36742" xr:uid="{00000000-0005-0000-0000-0000788F0000}"/>
    <cellStyle name="Normal 5 17 29 12" xfId="36743" xr:uid="{00000000-0005-0000-0000-0000798F0000}"/>
    <cellStyle name="Normal 5 17 29 13" xfId="36744" xr:uid="{00000000-0005-0000-0000-00007A8F0000}"/>
    <cellStyle name="Normal 5 17 29 14" xfId="36745" xr:uid="{00000000-0005-0000-0000-00007B8F0000}"/>
    <cellStyle name="Normal 5 17 29 2" xfId="36746" xr:uid="{00000000-0005-0000-0000-00007C8F0000}"/>
    <cellStyle name="Normal 5 17 29 2 10" xfId="36747" xr:uid="{00000000-0005-0000-0000-00007D8F0000}"/>
    <cellStyle name="Normal 5 17 29 2 2" xfId="36748" xr:uid="{00000000-0005-0000-0000-00007E8F0000}"/>
    <cellStyle name="Normal 5 17 29 2 3" xfId="36749" xr:uid="{00000000-0005-0000-0000-00007F8F0000}"/>
    <cellStyle name="Normal 5 17 29 2 4" xfId="36750" xr:uid="{00000000-0005-0000-0000-0000808F0000}"/>
    <cellStyle name="Normal 5 17 29 2 5" xfId="36751" xr:uid="{00000000-0005-0000-0000-0000818F0000}"/>
    <cellStyle name="Normal 5 17 29 2 6" xfId="36752" xr:uid="{00000000-0005-0000-0000-0000828F0000}"/>
    <cellStyle name="Normal 5 17 29 2 7" xfId="36753" xr:uid="{00000000-0005-0000-0000-0000838F0000}"/>
    <cellStyle name="Normal 5 17 29 2 8" xfId="36754" xr:uid="{00000000-0005-0000-0000-0000848F0000}"/>
    <cellStyle name="Normal 5 17 29 2 9" xfId="36755" xr:uid="{00000000-0005-0000-0000-0000858F0000}"/>
    <cellStyle name="Normal 5 17 29 3" xfId="36756" xr:uid="{00000000-0005-0000-0000-0000868F0000}"/>
    <cellStyle name="Normal 5 17 29 3 10" xfId="36757" xr:uid="{00000000-0005-0000-0000-0000878F0000}"/>
    <cellStyle name="Normal 5 17 29 3 2" xfId="36758" xr:uid="{00000000-0005-0000-0000-0000888F0000}"/>
    <cellStyle name="Normal 5 17 29 3 3" xfId="36759" xr:uid="{00000000-0005-0000-0000-0000898F0000}"/>
    <cellStyle name="Normal 5 17 29 3 4" xfId="36760" xr:uid="{00000000-0005-0000-0000-00008A8F0000}"/>
    <cellStyle name="Normal 5 17 29 3 5" xfId="36761" xr:uid="{00000000-0005-0000-0000-00008B8F0000}"/>
    <cellStyle name="Normal 5 17 29 3 6" xfId="36762" xr:uid="{00000000-0005-0000-0000-00008C8F0000}"/>
    <cellStyle name="Normal 5 17 29 3 7" xfId="36763" xr:uid="{00000000-0005-0000-0000-00008D8F0000}"/>
    <cellStyle name="Normal 5 17 29 3 8" xfId="36764" xr:uid="{00000000-0005-0000-0000-00008E8F0000}"/>
    <cellStyle name="Normal 5 17 29 3 9" xfId="36765" xr:uid="{00000000-0005-0000-0000-00008F8F0000}"/>
    <cellStyle name="Normal 5 17 29 4" xfId="36766" xr:uid="{00000000-0005-0000-0000-0000908F0000}"/>
    <cellStyle name="Normal 5 17 29 4 10" xfId="36767" xr:uid="{00000000-0005-0000-0000-0000918F0000}"/>
    <cellStyle name="Normal 5 17 29 4 2" xfId="36768" xr:uid="{00000000-0005-0000-0000-0000928F0000}"/>
    <cellStyle name="Normal 5 17 29 4 3" xfId="36769" xr:uid="{00000000-0005-0000-0000-0000938F0000}"/>
    <cellStyle name="Normal 5 17 29 4 4" xfId="36770" xr:uid="{00000000-0005-0000-0000-0000948F0000}"/>
    <cellStyle name="Normal 5 17 29 4 5" xfId="36771" xr:uid="{00000000-0005-0000-0000-0000958F0000}"/>
    <cellStyle name="Normal 5 17 29 4 6" xfId="36772" xr:uid="{00000000-0005-0000-0000-0000968F0000}"/>
    <cellStyle name="Normal 5 17 29 4 7" xfId="36773" xr:uid="{00000000-0005-0000-0000-0000978F0000}"/>
    <cellStyle name="Normal 5 17 29 4 8" xfId="36774" xr:uid="{00000000-0005-0000-0000-0000988F0000}"/>
    <cellStyle name="Normal 5 17 29 4 9" xfId="36775" xr:uid="{00000000-0005-0000-0000-0000998F0000}"/>
    <cellStyle name="Normal 5 17 29 5" xfId="36776" xr:uid="{00000000-0005-0000-0000-00009A8F0000}"/>
    <cellStyle name="Normal 5 17 29 5 10" xfId="36777" xr:uid="{00000000-0005-0000-0000-00009B8F0000}"/>
    <cellStyle name="Normal 5 17 29 5 2" xfId="36778" xr:uid="{00000000-0005-0000-0000-00009C8F0000}"/>
    <cellStyle name="Normal 5 17 29 5 3" xfId="36779" xr:uid="{00000000-0005-0000-0000-00009D8F0000}"/>
    <cellStyle name="Normal 5 17 29 5 4" xfId="36780" xr:uid="{00000000-0005-0000-0000-00009E8F0000}"/>
    <cellStyle name="Normal 5 17 29 5 5" xfId="36781" xr:uid="{00000000-0005-0000-0000-00009F8F0000}"/>
    <cellStyle name="Normal 5 17 29 5 6" xfId="36782" xr:uid="{00000000-0005-0000-0000-0000A08F0000}"/>
    <cellStyle name="Normal 5 17 29 5 7" xfId="36783" xr:uid="{00000000-0005-0000-0000-0000A18F0000}"/>
    <cellStyle name="Normal 5 17 29 5 8" xfId="36784" xr:uid="{00000000-0005-0000-0000-0000A28F0000}"/>
    <cellStyle name="Normal 5 17 29 5 9" xfId="36785" xr:uid="{00000000-0005-0000-0000-0000A38F0000}"/>
    <cellStyle name="Normal 5 17 29 6" xfId="36786" xr:uid="{00000000-0005-0000-0000-0000A48F0000}"/>
    <cellStyle name="Normal 5 17 29 7" xfId="36787" xr:uid="{00000000-0005-0000-0000-0000A58F0000}"/>
    <cellStyle name="Normal 5 17 29 8" xfId="36788" xr:uid="{00000000-0005-0000-0000-0000A68F0000}"/>
    <cellStyle name="Normal 5 17 29 9" xfId="36789" xr:uid="{00000000-0005-0000-0000-0000A78F0000}"/>
    <cellStyle name="Normal 5 17 3" xfId="36790" xr:uid="{00000000-0005-0000-0000-0000A88F0000}"/>
    <cellStyle name="Normal 5 17 3 10" xfId="36791" xr:uid="{00000000-0005-0000-0000-0000A98F0000}"/>
    <cellStyle name="Normal 5 17 3 11" xfId="36792" xr:uid="{00000000-0005-0000-0000-0000AA8F0000}"/>
    <cellStyle name="Normal 5 17 3 12" xfId="36793" xr:uid="{00000000-0005-0000-0000-0000AB8F0000}"/>
    <cellStyle name="Normal 5 17 3 13" xfId="36794" xr:uid="{00000000-0005-0000-0000-0000AC8F0000}"/>
    <cellStyle name="Normal 5 17 3 14" xfId="36795" xr:uid="{00000000-0005-0000-0000-0000AD8F0000}"/>
    <cellStyle name="Normal 5 17 3 2" xfId="36796" xr:uid="{00000000-0005-0000-0000-0000AE8F0000}"/>
    <cellStyle name="Normal 5 17 3 2 10" xfId="36797" xr:uid="{00000000-0005-0000-0000-0000AF8F0000}"/>
    <cellStyle name="Normal 5 17 3 2 2" xfId="36798" xr:uid="{00000000-0005-0000-0000-0000B08F0000}"/>
    <cellStyle name="Normal 5 17 3 2 3" xfId="36799" xr:uid="{00000000-0005-0000-0000-0000B18F0000}"/>
    <cellStyle name="Normal 5 17 3 2 4" xfId="36800" xr:uid="{00000000-0005-0000-0000-0000B28F0000}"/>
    <cellStyle name="Normal 5 17 3 2 5" xfId="36801" xr:uid="{00000000-0005-0000-0000-0000B38F0000}"/>
    <cellStyle name="Normal 5 17 3 2 6" xfId="36802" xr:uid="{00000000-0005-0000-0000-0000B48F0000}"/>
    <cellStyle name="Normal 5 17 3 2 7" xfId="36803" xr:uid="{00000000-0005-0000-0000-0000B58F0000}"/>
    <cellStyle name="Normal 5 17 3 2 8" xfId="36804" xr:uid="{00000000-0005-0000-0000-0000B68F0000}"/>
    <cellStyle name="Normal 5 17 3 2 9" xfId="36805" xr:uid="{00000000-0005-0000-0000-0000B78F0000}"/>
    <cellStyle name="Normal 5 17 3 3" xfId="36806" xr:uid="{00000000-0005-0000-0000-0000B88F0000}"/>
    <cellStyle name="Normal 5 17 3 3 10" xfId="36807" xr:uid="{00000000-0005-0000-0000-0000B98F0000}"/>
    <cellStyle name="Normal 5 17 3 3 2" xfId="36808" xr:uid="{00000000-0005-0000-0000-0000BA8F0000}"/>
    <cellStyle name="Normal 5 17 3 3 3" xfId="36809" xr:uid="{00000000-0005-0000-0000-0000BB8F0000}"/>
    <cellStyle name="Normal 5 17 3 3 4" xfId="36810" xr:uid="{00000000-0005-0000-0000-0000BC8F0000}"/>
    <cellStyle name="Normal 5 17 3 3 5" xfId="36811" xr:uid="{00000000-0005-0000-0000-0000BD8F0000}"/>
    <cellStyle name="Normal 5 17 3 3 6" xfId="36812" xr:uid="{00000000-0005-0000-0000-0000BE8F0000}"/>
    <cellStyle name="Normal 5 17 3 3 7" xfId="36813" xr:uid="{00000000-0005-0000-0000-0000BF8F0000}"/>
    <cellStyle name="Normal 5 17 3 3 8" xfId="36814" xr:uid="{00000000-0005-0000-0000-0000C08F0000}"/>
    <cellStyle name="Normal 5 17 3 3 9" xfId="36815" xr:uid="{00000000-0005-0000-0000-0000C18F0000}"/>
    <cellStyle name="Normal 5 17 3 4" xfId="36816" xr:uid="{00000000-0005-0000-0000-0000C28F0000}"/>
    <cellStyle name="Normal 5 17 3 4 10" xfId="36817" xr:uid="{00000000-0005-0000-0000-0000C38F0000}"/>
    <cellStyle name="Normal 5 17 3 4 2" xfId="36818" xr:uid="{00000000-0005-0000-0000-0000C48F0000}"/>
    <cellStyle name="Normal 5 17 3 4 3" xfId="36819" xr:uid="{00000000-0005-0000-0000-0000C58F0000}"/>
    <cellStyle name="Normal 5 17 3 4 4" xfId="36820" xr:uid="{00000000-0005-0000-0000-0000C68F0000}"/>
    <cellStyle name="Normal 5 17 3 4 5" xfId="36821" xr:uid="{00000000-0005-0000-0000-0000C78F0000}"/>
    <cellStyle name="Normal 5 17 3 4 6" xfId="36822" xr:uid="{00000000-0005-0000-0000-0000C88F0000}"/>
    <cellStyle name="Normal 5 17 3 4 7" xfId="36823" xr:uid="{00000000-0005-0000-0000-0000C98F0000}"/>
    <cellStyle name="Normal 5 17 3 4 8" xfId="36824" xr:uid="{00000000-0005-0000-0000-0000CA8F0000}"/>
    <cellStyle name="Normal 5 17 3 4 9" xfId="36825" xr:uid="{00000000-0005-0000-0000-0000CB8F0000}"/>
    <cellStyle name="Normal 5 17 3 5" xfId="36826" xr:uid="{00000000-0005-0000-0000-0000CC8F0000}"/>
    <cellStyle name="Normal 5 17 3 5 10" xfId="36827" xr:uid="{00000000-0005-0000-0000-0000CD8F0000}"/>
    <cellStyle name="Normal 5 17 3 5 2" xfId="36828" xr:uid="{00000000-0005-0000-0000-0000CE8F0000}"/>
    <cellStyle name="Normal 5 17 3 5 3" xfId="36829" xr:uid="{00000000-0005-0000-0000-0000CF8F0000}"/>
    <cellStyle name="Normal 5 17 3 5 4" xfId="36830" xr:uid="{00000000-0005-0000-0000-0000D08F0000}"/>
    <cellStyle name="Normal 5 17 3 5 5" xfId="36831" xr:uid="{00000000-0005-0000-0000-0000D18F0000}"/>
    <cellStyle name="Normal 5 17 3 5 6" xfId="36832" xr:uid="{00000000-0005-0000-0000-0000D28F0000}"/>
    <cellStyle name="Normal 5 17 3 5 7" xfId="36833" xr:uid="{00000000-0005-0000-0000-0000D38F0000}"/>
    <cellStyle name="Normal 5 17 3 5 8" xfId="36834" xr:uid="{00000000-0005-0000-0000-0000D48F0000}"/>
    <cellStyle name="Normal 5 17 3 5 9" xfId="36835" xr:uid="{00000000-0005-0000-0000-0000D58F0000}"/>
    <cellStyle name="Normal 5 17 3 6" xfId="36836" xr:uid="{00000000-0005-0000-0000-0000D68F0000}"/>
    <cellStyle name="Normal 5 17 3 7" xfId="36837" xr:uid="{00000000-0005-0000-0000-0000D78F0000}"/>
    <cellStyle name="Normal 5 17 3 8" xfId="36838" xr:uid="{00000000-0005-0000-0000-0000D88F0000}"/>
    <cellStyle name="Normal 5 17 3 9" xfId="36839" xr:uid="{00000000-0005-0000-0000-0000D98F0000}"/>
    <cellStyle name="Normal 5 17 30" xfId="36840" xr:uid="{00000000-0005-0000-0000-0000DA8F0000}"/>
    <cellStyle name="Normal 5 17 30 10" xfId="36841" xr:uid="{00000000-0005-0000-0000-0000DB8F0000}"/>
    <cellStyle name="Normal 5 17 30 11" xfId="36842" xr:uid="{00000000-0005-0000-0000-0000DC8F0000}"/>
    <cellStyle name="Normal 5 17 30 12" xfId="36843" xr:uid="{00000000-0005-0000-0000-0000DD8F0000}"/>
    <cellStyle name="Normal 5 17 30 13" xfId="36844" xr:uid="{00000000-0005-0000-0000-0000DE8F0000}"/>
    <cellStyle name="Normal 5 17 30 14" xfId="36845" xr:uid="{00000000-0005-0000-0000-0000DF8F0000}"/>
    <cellStyle name="Normal 5 17 30 2" xfId="36846" xr:uid="{00000000-0005-0000-0000-0000E08F0000}"/>
    <cellStyle name="Normal 5 17 30 2 10" xfId="36847" xr:uid="{00000000-0005-0000-0000-0000E18F0000}"/>
    <cellStyle name="Normal 5 17 30 2 2" xfId="36848" xr:uid="{00000000-0005-0000-0000-0000E28F0000}"/>
    <cellStyle name="Normal 5 17 30 2 3" xfId="36849" xr:uid="{00000000-0005-0000-0000-0000E38F0000}"/>
    <cellStyle name="Normal 5 17 30 2 4" xfId="36850" xr:uid="{00000000-0005-0000-0000-0000E48F0000}"/>
    <cellStyle name="Normal 5 17 30 2 5" xfId="36851" xr:uid="{00000000-0005-0000-0000-0000E58F0000}"/>
    <cellStyle name="Normal 5 17 30 2 6" xfId="36852" xr:uid="{00000000-0005-0000-0000-0000E68F0000}"/>
    <cellStyle name="Normal 5 17 30 2 7" xfId="36853" xr:uid="{00000000-0005-0000-0000-0000E78F0000}"/>
    <cellStyle name="Normal 5 17 30 2 8" xfId="36854" xr:uid="{00000000-0005-0000-0000-0000E88F0000}"/>
    <cellStyle name="Normal 5 17 30 2 9" xfId="36855" xr:uid="{00000000-0005-0000-0000-0000E98F0000}"/>
    <cellStyle name="Normal 5 17 30 3" xfId="36856" xr:uid="{00000000-0005-0000-0000-0000EA8F0000}"/>
    <cellStyle name="Normal 5 17 30 3 10" xfId="36857" xr:uid="{00000000-0005-0000-0000-0000EB8F0000}"/>
    <cellStyle name="Normal 5 17 30 3 2" xfId="36858" xr:uid="{00000000-0005-0000-0000-0000EC8F0000}"/>
    <cellStyle name="Normal 5 17 30 3 3" xfId="36859" xr:uid="{00000000-0005-0000-0000-0000ED8F0000}"/>
    <cellStyle name="Normal 5 17 30 3 4" xfId="36860" xr:uid="{00000000-0005-0000-0000-0000EE8F0000}"/>
    <cellStyle name="Normal 5 17 30 3 5" xfId="36861" xr:uid="{00000000-0005-0000-0000-0000EF8F0000}"/>
    <cellStyle name="Normal 5 17 30 3 6" xfId="36862" xr:uid="{00000000-0005-0000-0000-0000F08F0000}"/>
    <cellStyle name="Normal 5 17 30 3 7" xfId="36863" xr:uid="{00000000-0005-0000-0000-0000F18F0000}"/>
    <cellStyle name="Normal 5 17 30 3 8" xfId="36864" xr:uid="{00000000-0005-0000-0000-0000F28F0000}"/>
    <cellStyle name="Normal 5 17 30 3 9" xfId="36865" xr:uid="{00000000-0005-0000-0000-0000F38F0000}"/>
    <cellStyle name="Normal 5 17 30 4" xfId="36866" xr:uid="{00000000-0005-0000-0000-0000F48F0000}"/>
    <cellStyle name="Normal 5 17 30 4 10" xfId="36867" xr:uid="{00000000-0005-0000-0000-0000F58F0000}"/>
    <cellStyle name="Normal 5 17 30 4 2" xfId="36868" xr:uid="{00000000-0005-0000-0000-0000F68F0000}"/>
    <cellStyle name="Normal 5 17 30 4 3" xfId="36869" xr:uid="{00000000-0005-0000-0000-0000F78F0000}"/>
    <cellStyle name="Normal 5 17 30 4 4" xfId="36870" xr:uid="{00000000-0005-0000-0000-0000F88F0000}"/>
    <cellStyle name="Normal 5 17 30 4 5" xfId="36871" xr:uid="{00000000-0005-0000-0000-0000F98F0000}"/>
    <cellStyle name="Normal 5 17 30 4 6" xfId="36872" xr:uid="{00000000-0005-0000-0000-0000FA8F0000}"/>
    <cellStyle name="Normal 5 17 30 4 7" xfId="36873" xr:uid="{00000000-0005-0000-0000-0000FB8F0000}"/>
    <cellStyle name="Normal 5 17 30 4 8" xfId="36874" xr:uid="{00000000-0005-0000-0000-0000FC8F0000}"/>
    <cellStyle name="Normal 5 17 30 4 9" xfId="36875" xr:uid="{00000000-0005-0000-0000-0000FD8F0000}"/>
    <cellStyle name="Normal 5 17 30 5" xfId="36876" xr:uid="{00000000-0005-0000-0000-0000FE8F0000}"/>
    <cellStyle name="Normal 5 17 30 5 10" xfId="36877" xr:uid="{00000000-0005-0000-0000-0000FF8F0000}"/>
    <cellStyle name="Normal 5 17 30 5 2" xfId="36878" xr:uid="{00000000-0005-0000-0000-000000900000}"/>
    <cellStyle name="Normal 5 17 30 5 3" xfId="36879" xr:uid="{00000000-0005-0000-0000-000001900000}"/>
    <cellStyle name="Normal 5 17 30 5 4" xfId="36880" xr:uid="{00000000-0005-0000-0000-000002900000}"/>
    <cellStyle name="Normal 5 17 30 5 5" xfId="36881" xr:uid="{00000000-0005-0000-0000-000003900000}"/>
    <cellStyle name="Normal 5 17 30 5 6" xfId="36882" xr:uid="{00000000-0005-0000-0000-000004900000}"/>
    <cellStyle name="Normal 5 17 30 5 7" xfId="36883" xr:uid="{00000000-0005-0000-0000-000005900000}"/>
    <cellStyle name="Normal 5 17 30 5 8" xfId="36884" xr:uid="{00000000-0005-0000-0000-000006900000}"/>
    <cellStyle name="Normal 5 17 30 5 9" xfId="36885" xr:uid="{00000000-0005-0000-0000-000007900000}"/>
    <cellStyle name="Normal 5 17 30 6" xfId="36886" xr:uid="{00000000-0005-0000-0000-000008900000}"/>
    <cellStyle name="Normal 5 17 30 7" xfId="36887" xr:uid="{00000000-0005-0000-0000-000009900000}"/>
    <cellStyle name="Normal 5 17 30 8" xfId="36888" xr:uid="{00000000-0005-0000-0000-00000A900000}"/>
    <cellStyle name="Normal 5 17 30 9" xfId="36889" xr:uid="{00000000-0005-0000-0000-00000B900000}"/>
    <cellStyle name="Normal 5 17 31" xfId="36890" xr:uid="{00000000-0005-0000-0000-00000C900000}"/>
    <cellStyle name="Normal 5 17 31 10" xfId="36891" xr:uid="{00000000-0005-0000-0000-00000D900000}"/>
    <cellStyle name="Normal 5 17 31 11" xfId="36892" xr:uid="{00000000-0005-0000-0000-00000E900000}"/>
    <cellStyle name="Normal 5 17 31 12" xfId="36893" xr:uid="{00000000-0005-0000-0000-00000F900000}"/>
    <cellStyle name="Normal 5 17 31 13" xfId="36894" xr:uid="{00000000-0005-0000-0000-000010900000}"/>
    <cellStyle name="Normal 5 17 31 14" xfId="36895" xr:uid="{00000000-0005-0000-0000-000011900000}"/>
    <cellStyle name="Normal 5 17 31 2" xfId="36896" xr:uid="{00000000-0005-0000-0000-000012900000}"/>
    <cellStyle name="Normal 5 17 31 2 10" xfId="36897" xr:uid="{00000000-0005-0000-0000-000013900000}"/>
    <cellStyle name="Normal 5 17 31 2 2" xfId="36898" xr:uid="{00000000-0005-0000-0000-000014900000}"/>
    <cellStyle name="Normal 5 17 31 2 3" xfId="36899" xr:uid="{00000000-0005-0000-0000-000015900000}"/>
    <cellStyle name="Normal 5 17 31 2 4" xfId="36900" xr:uid="{00000000-0005-0000-0000-000016900000}"/>
    <cellStyle name="Normal 5 17 31 2 5" xfId="36901" xr:uid="{00000000-0005-0000-0000-000017900000}"/>
    <cellStyle name="Normal 5 17 31 2 6" xfId="36902" xr:uid="{00000000-0005-0000-0000-000018900000}"/>
    <cellStyle name="Normal 5 17 31 2 7" xfId="36903" xr:uid="{00000000-0005-0000-0000-000019900000}"/>
    <cellStyle name="Normal 5 17 31 2 8" xfId="36904" xr:uid="{00000000-0005-0000-0000-00001A900000}"/>
    <cellStyle name="Normal 5 17 31 2 9" xfId="36905" xr:uid="{00000000-0005-0000-0000-00001B900000}"/>
    <cellStyle name="Normal 5 17 31 3" xfId="36906" xr:uid="{00000000-0005-0000-0000-00001C900000}"/>
    <cellStyle name="Normal 5 17 31 3 10" xfId="36907" xr:uid="{00000000-0005-0000-0000-00001D900000}"/>
    <cellStyle name="Normal 5 17 31 3 2" xfId="36908" xr:uid="{00000000-0005-0000-0000-00001E900000}"/>
    <cellStyle name="Normal 5 17 31 3 3" xfId="36909" xr:uid="{00000000-0005-0000-0000-00001F900000}"/>
    <cellStyle name="Normal 5 17 31 3 4" xfId="36910" xr:uid="{00000000-0005-0000-0000-000020900000}"/>
    <cellStyle name="Normal 5 17 31 3 5" xfId="36911" xr:uid="{00000000-0005-0000-0000-000021900000}"/>
    <cellStyle name="Normal 5 17 31 3 6" xfId="36912" xr:uid="{00000000-0005-0000-0000-000022900000}"/>
    <cellStyle name="Normal 5 17 31 3 7" xfId="36913" xr:uid="{00000000-0005-0000-0000-000023900000}"/>
    <cellStyle name="Normal 5 17 31 3 8" xfId="36914" xr:uid="{00000000-0005-0000-0000-000024900000}"/>
    <cellStyle name="Normal 5 17 31 3 9" xfId="36915" xr:uid="{00000000-0005-0000-0000-000025900000}"/>
    <cellStyle name="Normal 5 17 31 4" xfId="36916" xr:uid="{00000000-0005-0000-0000-000026900000}"/>
    <cellStyle name="Normal 5 17 31 4 10" xfId="36917" xr:uid="{00000000-0005-0000-0000-000027900000}"/>
    <cellStyle name="Normal 5 17 31 4 2" xfId="36918" xr:uid="{00000000-0005-0000-0000-000028900000}"/>
    <cellStyle name="Normal 5 17 31 4 3" xfId="36919" xr:uid="{00000000-0005-0000-0000-000029900000}"/>
    <cellStyle name="Normal 5 17 31 4 4" xfId="36920" xr:uid="{00000000-0005-0000-0000-00002A900000}"/>
    <cellStyle name="Normal 5 17 31 4 5" xfId="36921" xr:uid="{00000000-0005-0000-0000-00002B900000}"/>
    <cellStyle name="Normal 5 17 31 4 6" xfId="36922" xr:uid="{00000000-0005-0000-0000-00002C900000}"/>
    <cellStyle name="Normal 5 17 31 4 7" xfId="36923" xr:uid="{00000000-0005-0000-0000-00002D900000}"/>
    <cellStyle name="Normal 5 17 31 4 8" xfId="36924" xr:uid="{00000000-0005-0000-0000-00002E900000}"/>
    <cellStyle name="Normal 5 17 31 4 9" xfId="36925" xr:uid="{00000000-0005-0000-0000-00002F900000}"/>
    <cellStyle name="Normal 5 17 31 5" xfId="36926" xr:uid="{00000000-0005-0000-0000-000030900000}"/>
    <cellStyle name="Normal 5 17 31 5 10" xfId="36927" xr:uid="{00000000-0005-0000-0000-000031900000}"/>
    <cellStyle name="Normal 5 17 31 5 2" xfId="36928" xr:uid="{00000000-0005-0000-0000-000032900000}"/>
    <cellStyle name="Normal 5 17 31 5 3" xfId="36929" xr:uid="{00000000-0005-0000-0000-000033900000}"/>
    <cellStyle name="Normal 5 17 31 5 4" xfId="36930" xr:uid="{00000000-0005-0000-0000-000034900000}"/>
    <cellStyle name="Normal 5 17 31 5 5" xfId="36931" xr:uid="{00000000-0005-0000-0000-000035900000}"/>
    <cellStyle name="Normal 5 17 31 5 6" xfId="36932" xr:uid="{00000000-0005-0000-0000-000036900000}"/>
    <cellStyle name="Normal 5 17 31 5 7" xfId="36933" xr:uid="{00000000-0005-0000-0000-000037900000}"/>
    <cellStyle name="Normal 5 17 31 5 8" xfId="36934" xr:uid="{00000000-0005-0000-0000-000038900000}"/>
    <cellStyle name="Normal 5 17 31 5 9" xfId="36935" xr:uid="{00000000-0005-0000-0000-000039900000}"/>
    <cellStyle name="Normal 5 17 31 6" xfId="36936" xr:uid="{00000000-0005-0000-0000-00003A900000}"/>
    <cellStyle name="Normal 5 17 31 7" xfId="36937" xr:uid="{00000000-0005-0000-0000-00003B900000}"/>
    <cellStyle name="Normal 5 17 31 8" xfId="36938" xr:uid="{00000000-0005-0000-0000-00003C900000}"/>
    <cellStyle name="Normal 5 17 31 9" xfId="36939" xr:uid="{00000000-0005-0000-0000-00003D900000}"/>
    <cellStyle name="Normal 5 17 32" xfId="36940" xr:uid="{00000000-0005-0000-0000-00003E900000}"/>
    <cellStyle name="Normal 5 17 32 10" xfId="36941" xr:uid="{00000000-0005-0000-0000-00003F900000}"/>
    <cellStyle name="Normal 5 17 32 11" xfId="36942" xr:uid="{00000000-0005-0000-0000-000040900000}"/>
    <cellStyle name="Normal 5 17 32 12" xfId="36943" xr:uid="{00000000-0005-0000-0000-000041900000}"/>
    <cellStyle name="Normal 5 17 32 13" xfId="36944" xr:uid="{00000000-0005-0000-0000-000042900000}"/>
    <cellStyle name="Normal 5 17 32 14" xfId="36945" xr:uid="{00000000-0005-0000-0000-000043900000}"/>
    <cellStyle name="Normal 5 17 32 2" xfId="36946" xr:uid="{00000000-0005-0000-0000-000044900000}"/>
    <cellStyle name="Normal 5 17 32 2 10" xfId="36947" xr:uid="{00000000-0005-0000-0000-000045900000}"/>
    <cellStyle name="Normal 5 17 32 2 2" xfId="36948" xr:uid="{00000000-0005-0000-0000-000046900000}"/>
    <cellStyle name="Normal 5 17 32 2 3" xfId="36949" xr:uid="{00000000-0005-0000-0000-000047900000}"/>
    <cellStyle name="Normal 5 17 32 2 4" xfId="36950" xr:uid="{00000000-0005-0000-0000-000048900000}"/>
    <cellStyle name="Normal 5 17 32 2 5" xfId="36951" xr:uid="{00000000-0005-0000-0000-000049900000}"/>
    <cellStyle name="Normal 5 17 32 2 6" xfId="36952" xr:uid="{00000000-0005-0000-0000-00004A900000}"/>
    <cellStyle name="Normal 5 17 32 2 7" xfId="36953" xr:uid="{00000000-0005-0000-0000-00004B900000}"/>
    <cellStyle name="Normal 5 17 32 2 8" xfId="36954" xr:uid="{00000000-0005-0000-0000-00004C900000}"/>
    <cellStyle name="Normal 5 17 32 2 9" xfId="36955" xr:uid="{00000000-0005-0000-0000-00004D900000}"/>
    <cellStyle name="Normal 5 17 32 3" xfId="36956" xr:uid="{00000000-0005-0000-0000-00004E900000}"/>
    <cellStyle name="Normal 5 17 32 3 10" xfId="36957" xr:uid="{00000000-0005-0000-0000-00004F900000}"/>
    <cellStyle name="Normal 5 17 32 3 2" xfId="36958" xr:uid="{00000000-0005-0000-0000-000050900000}"/>
    <cellStyle name="Normal 5 17 32 3 3" xfId="36959" xr:uid="{00000000-0005-0000-0000-000051900000}"/>
    <cellStyle name="Normal 5 17 32 3 4" xfId="36960" xr:uid="{00000000-0005-0000-0000-000052900000}"/>
    <cellStyle name="Normal 5 17 32 3 5" xfId="36961" xr:uid="{00000000-0005-0000-0000-000053900000}"/>
    <cellStyle name="Normal 5 17 32 3 6" xfId="36962" xr:uid="{00000000-0005-0000-0000-000054900000}"/>
    <cellStyle name="Normal 5 17 32 3 7" xfId="36963" xr:uid="{00000000-0005-0000-0000-000055900000}"/>
    <cellStyle name="Normal 5 17 32 3 8" xfId="36964" xr:uid="{00000000-0005-0000-0000-000056900000}"/>
    <cellStyle name="Normal 5 17 32 3 9" xfId="36965" xr:uid="{00000000-0005-0000-0000-000057900000}"/>
    <cellStyle name="Normal 5 17 32 4" xfId="36966" xr:uid="{00000000-0005-0000-0000-000058900000}"/>
    <cellStyle name="Normal 5 17 32 4 10" xfId="36967" xr:uid="{00000000-0005-0000-0000-000059900000}"/>
    <cellStyle name="Normal 5 17 32 4 2" xfId="36968" xr:uid="{00000000-0005-0000-0000-00005A900000}"/>
    <cellStyle name="Normal 5 17 32 4 3" xfId="36969" xr:uid="{00000000-0005-0000-0000-00005B900000}"/>
    <cellStyle name="Normal 5 17 32 4 4" xfId="36970" xr:uid="{00000000-0005-0000-0000-00005C900000}"/>
    <cellStyle name="Normal 5 17 32 4 5" xfId="36971" xr:uid="{00000000-0005-0000-0000-00005D900000}"/>
    <cellStyle name="Normal 5 17 32 4 6" xfId="36972" xr:uid="{00000000-0005-0000-0000-00005E900000}"/>
    <cellStyle name="Normal 5 17 32 4 7" xfId="36973" xr:uid="{00000000-0005-0000-0000-00005F900000}"/>
    <cellStyle name="Normal 5 17 32 4 8" xfId="36974" xr:uid="{00000000-0005-0000-0000-000060900000}"/>
    <cellStyle name="Normal 5 17 32 4 9" xfId="36975" xr:uid="{00000000-0005-0000-0000-000061900000}"/>
    <cellStyle name="Normal 5 17 32 5" xfId="36976" xr:uid="{00000000-0005-0000-0000-000062900000}"/>
    <cellStyle name="Normal 5 17 32 5 10" xfId="36977" xr:uid="{00000000-0005-0000-0000-000063900000}"/>
    <cellStyle name="Normal 5 17 32 5 2" xfId="36978" xr:uid="{00000000-0005-0000-0000-000064900000}"/>
    <cellStyle name="Normal 5 17 32 5 3" xfId="36979" xr:uid="{00000000-0005-0000-0000-000065900000}"/>
    <cellStyle name="Normal 5 17 32 5 4" xfId="36980" xr:uid="{00000000-0005-0000-0000-000066900000}"/>
    <cellStyle name="Normal 5 17 32 5 5" xfId="36981" xr:uid="{00000000-0005-0000-0000-000067900000}"/>
    <cellStyle name="Normal 5 17 32 5 6" xfId="36982" xr:uid="{00000000-0005-0000-0000-000068900000}"/>
    <cellStyle name="Normal 5 17 32 5 7" xfId="36983" xr:uid="{00000000-0005-0000-0000-000069900000}"/>
    <cellStyle name="Normal 5 17 32 5 8" xfId="36984" xr:uid="{00000000-0005-0000-0000-00006A900000}"/>
    <cellStyle name="Normal 5 17 32 5 9" xfId="36985" xr:uid="{00000000-0005-0000-0000-00006B900000}"/>
    <cellStyle name="Normal 5 17 32 6" xfId="36986" xr:uid="{00000000-0005-0000-0000-00006C900000}"/>
    <cellStyle name="Normal 5 17 32 7" xfId="36987" xr:uid="{00000000-0005-0000-0000-00006D900000}"/>
    <cellStyle name="Normal 5 17 32 8" xfId="36988" xr:uid="{00000000-0005-0000-0000-00006E900000}"/>
    <cellStyle name="Normal 5 17 32 9" xfId="36989" xr:uid="{00000000-0005-0000-0000-00006F900000}"/>
    <cellStyle name="Normal 5 17 33" xfId="36990" xr:uid="{00000000-0005-0000-0000-000070900000}"/>
    <cellStyle name="Normal 5 17 33 10" xfId="36991" xr:uid="{00000000-0005-0000-0000-000071900000}"/>
    <cellStyle name="Normal 5 17 33 11" xfId="36992" xr:uid="{00000000-0005-0000-0000-000072900000}"/>
    <cellStyle name="Normal 5 17 33 12" xfId="36993" xr:uid="{00000000-0005-0000-0000-000073900000}"/>
    <cellStyle name="Normal 5 17 33 13" xfId="36994" xr:uid="{00000000-0005-0000-0000-000074900000}"/>
    <cellStyle name="Normal 5 17 33 14" xfId="36995" xr:uid="{00000000-0005-0000-0000-000075900000}"/>
    <cellStyle name="Normal 5 17 33 2" xfId="36996" xr:uid="{00000000-0005-0000-0000-000076900000}"/>
    <cellStyle name="Normal 5 17 33 2 10" xfId="36997" xr:uid="{00000000-0005-0000-0000-000077900000}"/>
    <cellStyle name="Normal 5 17 33 2 2" xfId="36998" xr:uid="{00000000-0005-0000-0000-000078900000}"/>
    <cellStyle name="Normal 5 17 33 2 3" xfId="36999" xr:uid="{00000000-0005-0000-0000-000079900000}"/>
    <cellStyle name="Normal 5 17 33 2 4" xfId="37000" xr:uid="{00000000-0005-0000-0000-00007A900000}"/>
    <cellStyle name="Normal 5 17 33 2 5" xfId="37001" xr:uid="{00000000-0005-0000-0000-00007B900000}"/>
    <cellStyle name="Normal 5 17 33 2 6" xfId="37002" xr:uid="{00000000-0005-0000-0000-00007C900000}"/>
    <cellStyle name="Normal 5 17 33 2 7" xfId="37003" xr:uid="{00000000-0005-0000-0000-00007D900000}"/>
    <cellStyle name="Normal 5 17 33 2 8" xfId="37004" xr:uid="{00000000-0005-0000-0000-00007E900000}"/>
    <cellStyle name="Normal 5 17 33 2 9" xfId="37005" xr:uid="{00000000-0005-0000-0000-00007F900000}"/>
    <cellStyle name="Normal 5 17 33 3" xfId="37006" xr:uid="{00000000-0005-0000-0000-000080900000}"/>
    <cellStyle name="Normal 5 17 33 3 10" xfId="37007" xr:uid="{00000000-0005-0000-0000-000081900000}"/>
    <cellStyle name="Normal 5 17 33 3 2" xfId="37008" xr:uid="{00000000-0005-0000-0000-000082900000}"/>
    <cellStyle name="Normal 5 17 33 3 3" xfId="37009" xr:uid="{00000000-0005-0000-0000-000083900000}"/>
    <cellStyle name="Normal 5 17 33 3 4" xfId="37010" xr:uid="{00000000-0005-0000-0000-000084900000}"/>
    <cellStyle name="Normal 5 17 33 3 5" xfId="37011" xr:uid="{00000000-0005-0000-0000-000085900000}"/>
    <cellStyle name="Normal 5 17 33 3 6" xfId="37012" xr:uid="{00000000-0005-0000-0000-000086900000}"/>
    <cellStyle name="Normal 5 17 33 3 7" xfId="37013" xr:uid="{00000000-0005-0000-0000-000087900000}"/>
    <cellStyle name="Normal 5 17 33 3 8" xfId="37014" xr:uid="{00000000-0005-0000-0000-000088900000}"/>
    <cellStyle name="Normal 5 17 33 3 9" xfId="37015" xr:uid="{00000000-0005-0000-0000-000089900000}"/>
    <cellStyle name="Normal 5 17 33 4" xfId="37016" xr:uid="{00000000-0005-0000-0000-00008A900000}"/>
    <cellStyle name="Normal 5 17 33 4 10" xfId="37017" xr:uid="{00000000-0005-0000-0000-00008B900000}"/>
    <cellStyle name="Normal 5 17 33 4 2" xfId="37018" xr:uid="{00000000-0005-0000-0000-00008C900000}"/>
    <cellStyle name="Normal 5 17 33 4 3" xfId="37019" xr:uid="{00000000-0005-0000-0000-00008D900000}"/>
    <cellStyle name="Normal 5 17 33 4 4" xfId="37020" xr:uid="{00000000-0005-0000-0000-00008E900000}"/>
    <cellStyle name="Normal 5 17 33 4 5" xfId="37021" xr:uid="{00000000-0005-0000-0000-00008F900000}"/>
    <cellStyle name="Normal 5 17 33 4 6" xfId="37022" xr:uid="{00000000-0005-0000-0000-000090900000}"/>
    <cellStyle name="Normal 5 17 33 4 7" xfId="37023" xr:uid="{00000000-0005-0000-0000-000091900000}"/>
    <cellStyle name="Normal 5 17 33 4 8" xfId="37024" xr:uid="{00000000-0005-0000-0000-000092900000}"/>
    <cellStyle name="Normal 5 17 33 4 9" xfId="37025" xr:uid="{00000000-0005-0000-0000-000093900000}"/>
    <cellStyle name="Normal 5 17 33 5" xfId="37026" xr:uid="{00000000-0005-0000-0000-000094900000}"/>
    <cellStyle name="Normal 5 17 33 5 10" xfId="37027" xr:uid="{00000000-0005-0000-0000-000095900000}"/>
    <cellStyle name="Normal 5 17 33 5 2" xfId="37028" xr:uid="{00000000-0005-0000-0000-000096900000}"/>
    <cellStyle name="Normal 5 17 33 5 3" xfId="37029" xr:uid="{00000000-0005-0000-0000-000097900000}"/>
    <cellStyle name="Normal 5 17 33 5 4" xfId="37030" xr:uid="{00000000-0005-0000-0000-000098900000}"/>
    <cellStyle name="Normal 5 17 33 5 5" xfId="37031" xr:uid="{00000000-0005-0000-0000-000099900000}"/>
    <cellStyle name="Normal 5 17 33 5 6" xfId="37032" xr:uid="{00000000-0005-0000-0000-00009A900000}"/>
    <cellStyle name="Normal 5 17 33 5 7" xfId="37033" xr:uid="{00000000-0005-0000-0000-00009B900000}"/>
    <cellStyle name="Normal 5 17 33 5 8" xfId="37034" xr:uid="{00000000-0005-0000-0000-00009C900000}"/>
    <cellStyle name="Normal 5 17 33 5 9" xfId="37035" xr:uid="{00000000-0005-0000-0000-00009D900000}"/>
    <cellStyle name="Normal 5 17 33 6" xfId="37036" xr:uid="{00000000-0005-0000-0000-00009E900000}"/>
    <cellStyle name="Normal 5 17 33 7" xfId="37037" xr:uid="{00000000-0005-0000-0000-00009F900000}"/>
    <cellStyle name="Normal 5 17 33 8" xfId="37038" xr:uid="{00000000-0005-0000-0000-0000A0900000}"/>
    <cellStyle name="Normal 5 17 33 9" xfId="37039" xr:uid="{00000000-0005-0000-0000-0000A1900000}"/>
    <cellStyle name="Normal 5 17 34" xfId="37040" xr:uid="{00000000-0005-0000-0000-0000A2900000}"/>
    <cellStyle name="Normal 5 17 34 10" xfId="37041" xr:uid="{00000000-0005-0000-0000-0000A3900000}"/>
    <cellStyle name="Normal 5 17 34 11" xfId="37042" xr:uid="{00000000-0005-0000-0000-0000A4900000}"/>
    <cellStyle name="Normal 5 17 34 12" xfId="37043" xr:uid="{00000000-0005-0000-0000-0000A5900000}"/>
    <cellStyle name="Normal 5 17 34 13" xfId="37044" xr:uid="{00000000-0005-0000-0000-0000A6900000}"/>
    <cellStyle name="Normal 5 17 34 14" xfId="37045" xr:uid="{00000000-0005-0000-0000-0000A7900000}"/>
    <cellStyle name="Normal 5 17 34 2" xfId="37046" xr:uid="{00000000-0005-0000-0000-0000A8900000}"/>
    <cellStyle name="Normal 5 17 34 2 10" xfId="37047" xr:uid="{00000000-0005-0000-0000-0000A9900000}"/>
    <cellStyle name="Normal 5 17 34 2 2" xfId="37048" xr:uid="{00000000-0005-0000-0000-0000AA900000}"/>
    <cellStyle name="Normal 5 17 34 2 3" xfId="37049" xr:uid="{00000000-0005-0000-0000-0000AB900000}"/>
    <cellStyle name="Normal 5 17 34 2 4" xfId="37050" xr:uid="{00000000-0005-0000-0000-0000AC900000}"/>
    <cellStyle name="Normal 5 17 34 2 5" xfId="37051" xr:uid="{00000000-0005-0000-0000-0000AD900000}"/>
    <cellStyle name="Normal 5 17 34 2 6" xfId="37052" xr:uid="{00000000-0005-0000-0000-0000AE900000}"/>
    <cellStyle name="Normal 5 17 34 2 7" xfId="37053" xr:uid="{00000000-0005-0000-0000-0000AF900000}"/>
    <cellStyle name="Normal 5 17 34 2 8" xfId="37054" xr:uid="{00000000-0005-0000-0000-0000B0900000}"/>
    <cellStyle name="Normal 5 17 34 2 9" xfId="37055" xr:uid="{00000000-0005-0000-0000-0000B1900000}"/>
    <cellStyle name="Normal 5 17 34 3" xfId="37056" xr:uid="{00000000-0005-0000-0000-0000B2900000}"/>
    <cellStyle name="Normal 5 17 34 3 10" xfId="37057" xr:uid="{00000000-0005-0000-0000-0000B3900000}"/>
    <cellStyle name="Normal 5 17 34 3 2" xfId="37058" xr:uid="{00000000-0005-0000-0000-0000B4900000}"/>
    <cellStyle name="Normal 5 17 34 3 3" xfId="37059" xr:uid="{00000000-0005-0000-0000-0000B5900000}"/>
    <cellStyle name="Normal 5 17 34 3 4" xfId="37060" xr:uid="{00000000-0005-0000-0000-0000B6900000}"/>
    <cellStyle name="Normal 5 17 34 3 5" xfId="37061" xr:uid="{00000000-0005-0000-0000-0000B7900000}"/>
    <cellStyle name="Normal 5 17 34 3 6" xfId="37062" xr:uid="{00000000-0005-0000-0000-0000B8900000}"/>
    <cellStyle name="Normal 5 17 34 3 7" xfId="37063" xr:uid="{00000000-0005-0000-0000-0000B9900000}"/>
    <cellStyle name="Normal 5 17 34 3 8" xfId="37064" xr:uid="{00000000-0005-0000-0000-0000BA900000}"/>
    <cellStyle name="Normal 5 17 34 3 9" xfId="37065" xr:uid="{00000000-0005-0000-0000-0000BB900000}"/>
    <cellStyle name="Normal 5 17 34 4" xfId="37066" xr:uid="{00000000-0005-0000-0000-0000BC900000}"/>
    <cellStyle name="Normal 5 17 34 4 10" xfId="37067" xr:uid="{00000000-0005-0000-0000-0000BD900000}"/>
    <cellStyle name="Normal 5 17 34 4 2" xfId="37068" xr:uid="{00000000-0005-0000-0000-0000BE900000}"/>
    <cellStyle name="Normal 5 17 34 4 3" xfId="37069" xr:uid="{00000000-0005-0000-0000-0000BF900000}"/>
    <cellStyle name="Normal 5 17 34 4 4" xfId="37070" xr:uid="{00000000-0005-0000-0000-0000C0900000}"/>
    <cellStyle name="Normal 5 17 34 4 5" xfId="37071" xr:uid="{00000000-0005-0000-0000-0000C1900000}"/>
    <cellStyle name="Normal 5 17 34 4 6" xfId="37072" xr:uid="{00000000-0005-0000-0000-0000C2900000}"/>
    <cellStyle name="Normal 5 17 34 4 7" xfId="37073" xr:uid="{00000000-0005-0000-0000-0000C3900000}"/>
    <cellStyle name="Normal 5 17 34 4 8" xfId="37074" xr:uid="{00000000-0005-0000-0000-0000C4900000}"/>
    <cellStyle name="Normal 5 17 34 4 9" xfId="37075" xr:uid="{00000000-0005-0000-0000-0000C5900000}"/>
    <cellStyle name="Normal 5 17 34 5" xfId="37076" xr:uid="{00000000-0005-0000-0000-0000C6900000}"/>
    <cellStyle name="Normal 5 17 34 5 10" xfId="37077" xr:uid="{00000000-0005-0000-0000-0000C7900000}"/>
    <cellStyle name="Normal 5 17 34 5 2" xfId="37078" xr:uid="{00000000-0005-0000-0000-0000C8900000}"/>
    <cellStyle name="Normal 5 17 34 5 3" xfId="37079" xr:uid="{00000000-0005-0000-0000-0000C9900000}"/>
    <cellStyle name="Normal 5 17 34 5 4" xfId="37080" xr:uid="{00000000-0005-0000-0000-0000CA900000}"/>
    <cellStyle name="Normal 5 17 34 5 5" xfId="37081" xr:uid="{00000000-0005-0000-0000-0000CB900000}"/>
    <cellStyle name="Normal 5 17 34 5 6" xfId="37082" xr:uid="{00000000-0005-0000-0000-0000CC900000}"/>
    <cellStyle name="Normal 5 17 34 5 7" xfId="37083" xr:uid="{00000000-0005-0000-0000-0000CD900000}"/>
    <cellStyle name="Normal 5 17 34 5 8" xfId="37084" xr:uid="{00000000-0005-0000-0000-0000CE900000}"/>
    <cellStyle name="Normal 5 17 34 5 9" xfId="37085" xr:uid="{00000000-0005-0000-0000-0000CF900000}"/>
    <cellStyle name="Normal 5 17 34 6" xfId="37086" xr:uid="{00000000-0005-0000-0000-0000D0900000}"/>
    <cellStyle name="Normal 5 17 34 7" xfId="37087" xr:uid="{00000000-0005-0000-0000-0000D1900000}"/>
    <cellStyle name="Normal 5 17 34 8" xfId="37088" xr:uid="{00000000-0005-0000-0000-0000D2900000}"/>
    <cellStyle name="Normal 5 17 34 9" xfId="37089" xr:uid="{00000000-0005-0000-0000-0000D3900000}"/>
    <cellStyle name="Normal 5 17 35" xfId="37090" xr:uid="{00000000-0005-0000-0000-0000D4900000}"/>
    <cellStyle name="Normal 5 17 35 10" xfId="37091" xr:uid="{00000000-0005-0000-0000-0000D5900000}"/>
    <cellStyle name="Normal 5 17 35 2" xfId="37092" xr:uid="{00000000-0005-0000-0000-0000D6900000}"/>
    <cellStyle name="Normal 5 17 35 3" xfId="37093" xr:uid="{00000000-0005-0000-0000-0000D7900000}"/>
    <cellStyle name="Normal 5 17 35 4" xfId="37094" xr:uid="{00000000-0005-0000-0000-0000D8900000}"/>
    <cellStyle name="Normal 5 17 35 5" xfId="37095" xr:uid="{00000000-0005-0000-0000-0000D9900000}"/>
    <cellStyle name="Normal 5 17 35 6" xfId="37096" xr:uid="{00000000-0005-0000-0000-0000DA900000}"/>
    <cellStyle name="Normal 5 17 35 7" xfId="37097" xr:uid="{00000000-0005-0000-0000-0000DB900000}"/>
    <cellStyle name="Normal 5 17 35 8" xfId="37098" xr:uid="{00000000-0005-0000-0000-0000DC900000}"/>
    <cellStyle name="Normal 5 17 35 9" xfId="37099" xr:uid="{00000000-0005-0000-0000-0000DD900000}"/>
    <cellStyle name="Normal 5 17 36" xfId="37100" xr:uid="{00000000-0005-0000-0000-0000DE900000}"/>
    <cellStyle name="Normal 5 17 36 10" xfId="37101" xr:uid="{00000000-0005-0000-0000-0000DF900000}"/>
    <cellStyle name="Normal 5 17 36 2" xfId="37102" xr:uid="{00000000-0005-0000-0000-0000E0900000}"/>
    <cellStyle name="Normal 5 17 36 3" xfId="37103" xr:uid="{00000000-0005-0000-0000-0000E1900000}"/>
    <cellStyle name="Normal 5 17 36 4" xfId="37104" xr:uid="{00000000-0005-0000-0000-0000E2900000}"/>
    <cellStyle name="Normal 5 17 36 5" xfId="37105" xr:uid="{00000000-0005-0000-0000-0000E3900000}"/>
    <cellStyle name="Normal 5 17 36 6" xfId="37106" xr:uid="{00000000-0005-0000-0000-0000E4900000}"/>
    <cellStyle name="Normal 5 17 36 7" xfId="37107" xr:uid="{00000000-0005-0000-0000-0000E5900000}"/>
    <cellStyle name="Normal 5 17 36 8" xfId="37108" xr:uid="{00000000-0005-0000-0000-0000E6900000}"/>
    <cellStyle name="Normal 5 17 36 9" xfId="37109" xr:uid="{00000000-0005-0000-0000-0000E7900000}"/>
    <cellStyle name="Normal 5 17 37" xfId="37110" xr:uid="{00000000-0005-0000-0000-0000E8900000}"/>
    <cellStyle name="Normal 5 17 37 10" xfId="37111" xr:uid="{00000000-0005-0000-0000-0000E9900000}"/>
    <cellStyle name="Normal 5 17 37 2" xfId="37112" xr:uid="{00000000-0005-0000-0000-0000EA900000}"/>
    <cellStyle name="Normal 5 17 37 3" xfId="37113" xr:uid="{00000000-0005-0000-0000-0000EB900000}"/>
    <cellStyle name="Normal 5 17 37 4" xfId="37114" xr:uid="{00000000-0005-0000-0000-0000EC900000}"/>
    <cellStyle name="Normal 5 17 37 5" xfId="37115" xr:uid="{00000000-0005-0000-0000-0000ED900000}"/>
    <cellStyle name="Normal 5 17 37 6" xfId="37116" xr:uid="{00000000-0005-0000-0000-0000EE900000}"/>
    <cellStyle name="Normal 5 17 37 7" xfId="37117" xr:uid="{00000000-0005-0000-0000-0000EF900000}"/>
    <cellStyle name="Normal 5 17 37 8" xfId="37118" xr:uid="{00000000-0005-0000-0000-0000F0900000}"/>
    <cellStyle name="Normal 5 17 37 9" xfId="37119" xr:uid="{00000000-0005-0000-0000-0000F1900000}"/>
    <cellStyle name="Normal 5 17 38" xfId="37120" xr:uid="{00000000-0005-0000-0000-0000F2900000}"/>
    <cellStyle name="Normal 5 17 38 10" xfId="37121" xr:uid="{00000000-0005-0000-0000-0000F3900000}"/>
    <cellStyle name="Normal 5 17 38 2" xfId="37122" xr:uid="{00000000-0005-0000-0000-0000F4900000}"/>
    <cellStyle name="Normal 5 17 38 3" xfId="37123" xr:uid="{00000000-0005-0000-0000-0000F5900000}"/>
    <cellStyle name="Normal 5 17 38 4" xfId="37124" xr:uid="{00000000-0005-0000-0000-0000F6900000}"/>
    <cellStyle name="Normal 5 17 38 5" xfId="37125" xr:uid="{00000000-0005-0000-0000-0000F7900000}"/>
    <cellStyle name="Normal 5 17 38 6" xfId="37126" xr:uid="{00000000-0005-0000-0000-0000F8900000}"/>
    <cellStyle name="Normal 5 17 38 7" xfId="37127" xr:uid="{00000000-0005-0000-0000-0000F9900000}"/>
    <cellStyle name="Normal 5 17 38 8" xfId="37128" xr:uid="{00000000-0005-0000-0000-0000FA900000}"/>
    <cellStyle name="Normal 5 17 38 9" xfId="37129" xr:uid="{00000000-0005-0000-0000-0000FB900000}"/>
    <cellStyle name="Normal 5 17 39" xfId="37130" xr:uid="{00000000-0005-0000-0000-0000FC900000}"/>
    <cellStyle name="Normal 5 17 4" xfId="37131" xr:uid="{00000000-0005-0000-0000-0000FD900000}"/>
    <cellStyle name="Normal 5 17 4 10" xfId="37132" xr:uid="{00000000-0005-0000-0000-0000FE900000}"/>
    <cellStyle name="Normal 5 17 4 11" xfId="37133" xr:uid="{00000000-0005-0000-0000-0000FF900000}"/>
    <cellStyle name="Normal 5 17 4 12" xfId="37134" xr:uid="{00000000-0005-0000-0000-000000910000}"/>
    <cellStyle name="Normal 5 17 4 13" xfId="37135" xr:uid="{00000000-0005-0000-0000-000001910000}"/>
    <cellStyle name="Normal 5 17 4 14" xfId="37136" xr:uid="{00000000-0005-0000-0000-000002910000}"/>
    <cellStyle name="Normal 5 17 4 2" xfId="37137" xr:uid="{00000000-0005-0000-0000-000003910000}"/>
    <cellStyle name="Normal 5 17 4 2 10" xfId="37138" xr:uid="{00000000-0005-0000-0000-000004910000}"/>
    <cellStyle name="Normal 5 17 4 2 2" xfId="37139" xr:uid="{00000000-0005-0000-0000-000005910000}"/>
    <cellStyle name="Normal 5 17 4 2 3" xfId="37140" xr:uid="{00000000-0005-0000-0000-000006910000}"/>
    <cellStyle name="Normal 5 17 4 2 4" xfId="37141" xr:uid="{00000000-0005-0000-0000-000007910000}"/>
    <cellStyle name="Normal 5 17 4 2 5" xfId="37142" xr:uid="{00000000-0005-0000-0000-000008910000}"/>
    <cellStyle name="Normal 5 17 4 2 6" xfId="37143" xr:uid="{00000000-0005-0000-0000-000009910000}"/>
    <cellStyle name="Normal 5 17 4 2 7" xfId="37144" xr:uid="{00000000-0005-0000-0000-00000A910000}"/>
    <cellStyle name="Normal 5 17 4 2 8" xfId="37145" xr:uid="{00000000-0005-0000-0000-00000B910000}"/>
    <cellStyle name="Normal 5 17 4 2 9" xfId="37146" xr:uid="{00000000-0005-0000-0000-00000C910000}"/>
    <cellStyle name="Normal 5 17 4 3" xfId="37147" xr:uid="{00000000-0005-0000-0000-00000D910000}"/>
    <cellStyle name="Normal 5 17 4 3 10" xfId="37148" xr:uid="{00000000-0005-0000-0000-00000E910000}"/>
    <cellStyle name="Normal 5 17 4 3 2" xfId="37149" xr:uid="{00000000-0005-0000-0000-00000F910000}"/>
    <cellStyle name="Normal 5 17 4 3 3" xfId="37150" xr:uid="{00000000-0005-0000-0000-000010910000}"/>
    <cellStyle name="Normal 5 17 4 3 4" xfId="37151" xr:uid="{00000000-0005-0000-0000-000011910000}"/>
    <cellStyle name="Normal 5 17 4 3 5" xfId="37152" xr:uid="{00000000-0005-0000-0000-000012910000}"/>
    <cellStyle name="Normal 5 17 4 3 6" xfId="37153" xr:uid="{00000000-0005-0000-0000-000013910000}"/>
    <cellStyle name="Normal 5 17 4 3 7" xfId="37154" xr:uid="{00000000-0005-0000-0000-000014910000}"/>
    <cellStyle name="Normal 5 17 4 3 8" xfId="37155" xr:uid="{00000000-0005-0000-0000-000015910000}"/>
    <cellStyle name="Normal 5 17 4 3 9" xfId="37156" xr:uid="{00000000-0005-0000-0000-000016910000}"/>
    <cellStyle name="Normal 5 17 4 4" xfId="37157" xr:uid="{00000000-0005-0000-0000-000017910000}"/>
    <cellStyle name="Normal 5 17 4 4 10" xfId="37158" xr:uid="{00000000-0005-0000-0000-000018910000}"/>
    <cellStyle name="Normal 5 17 4 4 2" xfId="37159" xr:uid="{00000000-0005-0000-0000-000019910000}"/>
    <cellStyle name="Normal 5 17 4 4 3" xfId="37160" xr:uid="{00000000-0005-0000-0000-00001A910000}"/>
    <cellStyle name="Normal 5 17 4 4 4" xfId="37161" xr:uid="{00000000-0005-0000-0000-00001B910000}"/>
    <cellStyle name="Normal 5 17 4 4 5" xfId="37162" xr:uid="{00000000-0005-0000-0000-00001C910000}"/>
    <cellStyle name="Normal 5 17 4 4 6" xfId="37163" xr:uid="{00000000-0005-0000-0000-00001D910000}"/>
    <cellStyle name="Normal 5 17 4 4 7" xfId="37164" xr:uid="{00000000-0005-0000-0000-00001E910000}"/>
    <cellStyle name="Normal 5 17 4 4 8" xfId="37165" xr:uid="{00000000-0005-0000-0000-00001F910000}"/>
    <cellStyle name="Normal 5 17 4 4 9" xfId="37166" xr:uid="{00000000-0005-0000-0000-000020910000}"/>
    <cellStyle name="Normal 5 17 4 5" xfId="37167" xr:uid="{00000000-0005-0000-0000-000021910000}"/>
    <cellStyle name="Normal 5 17 4 5 10" xfId="37168" xr:uid="{00000000-0005-0000-0000-000022910000}"/>
    <cellStyle name="Normal 5 17 4 5 2" xfId="37169" xr:uid="{00000000-0005-0000-0000-000023910000}"/>
    <cellStyle name="Normal 5 17 4 5 3" xfId="37170" xr:uid="{00000000-0005-0000-0000-000024910000}"/>
    <cellStyle name="Normal 5 17 4 5 4" xfId="37171" xr:uid="{00000000-0005-0000-0000-000025910000}"/>
    <cellStyle name="Normal 5 17 4 5 5" xfId="37172" xr:uid="{00000000-0005-0000-0000-000026910000}"/>
    <cellStyle name="Normal 5 17 4 5 6" xfId="37173" xr:uid="{00000000-0005-0000-0000-000027910000}"/>
    <cellStyle name="Normal 5 17 4 5 7" xfId="37174" xr:uid="{00000000-0005-0000-0000-000028910000}"/>
    <cellStyle name="Normal 5 17 4 5 8" xfId="37175" xr:uid="{00000000-0005-0000-0000-000029910000}"/>
    <cellStyle name="Normal 5 17 4 5 9" xfId="37176" xr:uid="{00000000-0005-0000-0000-00002A910000}"/>
    <cellStyle name="Normal 5 17 4 6" xfId="37177" xr:uid="{00000000-0005-0000-0000-00002B910000}"/>
    <cellStyle name="Normal 5 17 4 7" xfId="37178" xr:uid="{00000000-0005-0000-0000-00002C910000}"/>
    <cellStyle name="Normal 5 17 4 8" xfId="37179" xr:uid="{00000000-0005-0000-0000-00002D910000}"/>
    <cellStyle name="Normal 5 17 4 9" xfId="37180" xr:uid="{00000000-0005-0000-0000-00002E910000}"/>
    <cellStyle name="Normal 5 17 40" xfId="37181" xr:uid="{00000000-0005-0000-0000-00002F910000}"/>
    <cellStyle name="Normal 5 17 41" xfId="37182" xr:uid="{00000000-0005-0000-0000-000030910000}"/>
    <cellStyle name="Normal 5 17 42" xfId="37183" xr:uid="{00000000-0005-0000-0000-000031910000}"/>
    <cellStyle name="Normal 5 17 43" xfId="37184" xr:uid="{00000000-0005-0000-0000-000032910000}"/>
    <cellStyle name="Normal 5 17 44" xfId="37185" xr:uid="{00000000-0005-0000-0000-000033910000}"/>
    <cellStyle name="Normal 5 17 45" xfId="37186" xr:uid="{00000000-0005-0000-0000-000034910000}"/>
    <cellStyle name="Normal 5 17 46" xfId="37187" xr:uid="{00000000-0005-0000-0000-000035910000}"/>
    <cellStyle name="Normal 5 17 47" xfId="37188" xr:uid="{00000000-0005-0000-0000-000036910000}"/>
    <cellStyle name="Normal 5 17 48" xfId="37189" xr:uid="{00000000-0005-0000-0000-000037910000}"/>
    <cellStyle name="Normal 5 17 49" xfId="37190" xr:uid="{00000000-0005-0000-0000-000038910000}"/>
    <cellStyle name="Normal 5 17 5" xfId="37191" xr:uid="{00000000-0005-0000-0000-000039910000}"/>
    <cellStyle name="Normal 5 17 5 10" xfId="37192" xr:uid="{00000000-0005-0000-0000-00003A910000}"/>
    <cellStyle name="Normal 5 17 5 11" xfId="37193" xr:uid="{00000000-0005-0000-0000-00003B910000}"/>
    <cellStyle name="Normal 5 17 5 12" xfId="37194" xr:uid="{00000000-0005-0000-0000-00003C910000}"/>
    <cellStyle name="Normal 5 17 5 13" xfId="37195" xr:uid="{00000000-0005-0000-0000-00003D910000}"/>
    <cellStyle name="Normal 5 17 5 14" xfId="37196" xr:uid="{00000000-0005-0000-0000-00003E910000}"/>
    <cellStyle name="Normal 5 17 5 2" xfId="37197" xr:uid="{00000000-0005-0000-0000-00003F910000}"/>
    <cellStyle name="Normal 5 17 5 2 10" xfId="37198" xr:uid="{00000000-0005-0000-0000-000040910000}"/>
    <cellStyle name="Normal 5 17 5 2 2" xfId="37199" xr:uid="{00000000-0005-0000-0000-000041910000}"/>
    <cellStyle name="Normal 5 17 5 2 3" xfId="37200" xr:uid="{00000000-0005-0000-0000-000042910000}"/>
    <cellStyle name="Normal 5 17 5 2 4" xfId="37201" xr:uid="{00000000-0005-0000-0000-000043910000}"/>
    <cellStyle name="Normal 5 17 5 2 5" xfId="37202" xr:uid="{00000000-0005-0000-0000-000044910000}"/>
    <cellStyle name="Normal 5 17 5 2 6" xfId="37203" xr:uid="{00000000-0005-0000-0000-000045910000}"/>
    <cellStyle name="Normal 5 17 5 2 7" xfId="37204" xr:uid="{00000000-0005-0000-0000-000046910000}"/>
    <cellStyle name="Normal 5 17 5 2 8" xfId="37205" xr:uid="{00000000-0005-0000-0000-000047910000}"/>
    <cellStyle name="Normal 5 17 5 2 9" xfId="37206" xr:uid="{00000000-0005-0000-0000-000048910000}"/>
    <cellStyle name="Normal 5 17 5 3" xfId="37207" xr:uid="{00000000-0005-0000-0000-000049910000}"/>
    <cellStyle name="Normal 5 17 5 3 10" xfId="37208" xr:uid="{00000000-0005-0000-0000-00004A910000}"/>
    <cellStyle name="Normal 5 17 5 3 2" xfId="37209" xr:uid="{00000000-0005-0000-0000-00004B910000}"/>
    <cellStyle name="Normal 5 17 5 3 3" xfId="37210" xr:uid="{00000000-0005-0000-0000-00004C910000}"/>
    <cellStyle name="Normal 5 17 5 3 4" xfId="37211" xr:uid="{00000000-0005-0000-0000-00004D910000}"/>
    <cellStyle name="Normal 5 17 5 3 5" xfId="37212" xr:uid="{00000000-0005-0000-0000-00004E910000}"/>
    <cellStyle name="Normal 5 17 5 3 6" xfId="37213" xr:uid="{00000000-0005-0000-0000-00004F910000}"/>
    <cellStyle name="Normal 5 17 5 3 7" xfId="37214" xr:uid="{00000000-0005-0000-0000-000050910000}"/>
    <cellStyle name="Normal 5 17 5 3 8" xfId="37215" xr:uid="{00000000-0005-0000-0000-000051910000}"/>
    <cellStyle name="Normal 5 17 5 3 9" xfId="37216" xr:uid="{00000000-0005-0000-0000-000052910000}"/>
    <cellStyle name="Normal 5 17 5 4" xfId="37217" xr:uid="{00000000-0005-0000-0000-000053910000}"/>
    <cellStyle name="Normal 5 17 5 4 10" xfId="37218" xr:uid="{00000000-0005-0000-0000-000054910000}"/>
    <cellStyle name="Normal 5 17 5 4 2" xfId="37219" xr:uid="{00000000-0005-0000-0000-000055910000}"/>
    <cellStyle name="Normal 5 17 5 4 3" xfId="37220" xr:uid="{00000000-0005-0000-0000-000056910000}"/>
    <cellStyle name="Normal 5 17 5 4 4" xfId="37221" xr:uid="{00000000-0005-0000-0000-000057910000}"/>
    <cellStyle name="Normal 5 17 5 4 5" xfId="37222" xr:uid="{00000000-0005-0000-0000-000058910000}"/>
    <cellStyle name="Normal 5 17 5 4 6" xfId="37223" xr:uid="{00000000-0005-0000-0000-000059910000}"/>
    <cellStyle name="Normal 5 17 5 4 7" xfId="37224" xr:uid="{00000000-0005-0000-0000-00005A910000}"/>
    <cellStyle name="Normal 5 17 5 4 8" xfId="37225" xr:uid="{00000000-0005-0000-0000-00005B910000}"/>
    <cellStyle name="Normal 5 17 5 4 9" xfId="37226" xr:uid="{00000000-0005-0000-0000-00005C910000}"/>
    <cellStyle name="Normal 5 17 5 5" xfId="37227" xr:uid="{00000000-0005-0000-0000-00005D910000}"/>
    <cellStyle name="Normal 5 17 5 5 10" xfId="37228" xr:uid="{00000000-0005-0000-0000-00005E910000}"/>
    <cellStyle name="Normal 5 17 5 5 2" xfId="37229" xr:uid="{00000000-0005-0000-0000-00005F910000}"/>
    <cellStyle name="Normal 5 17 5 5 3" xfId="37230" xr:uid="{00000000-0005-0000-0000-000060910000}"/>
    <cellStyle name="Normal 5 17 5 5 4" xfId="37231" xr:uid="{00000000-0005-0000-0000-000061910000}"/>
    <cellStyle name="Normal 5 17 5 5 5" xfId="37232" xr:uid="{00000000-0005-0000-0000-000062910000}"/>
    <cellStyle name="Normal 5 17 5 5 6" xfId="37233" xr:uid="{00000000-0005-0000-0000-000063910000}"/>
    <cellStyle name="Normal 5 17 5 5 7" xfId="37234" xr:uid="{00000000-0005-0000-0000-000064910000}"/>
    <cellStyle name="Normal 5 17 5 5 8" xfId="37235" xr:uid="{00000000-0005-0000-0000-000065910000}"/>
    <cellStyle name="Normal 5 17 5 5 9" xfId="37236" xr:uid="{00000000-0005-0000-0000-000066910000}"/>
    <cellStyle name="Normal 5 17 5 6" xfId="37237" xr:uid="{00000000-0005-0000-0000-000067910000}"/>
    <cellStyle name="Normal 5 17 5 7" xfId="37238" xr:uid="{00000000-0005-0000-0000-000068910000}"/>
    <cellStyle name="Normal 5 17 5 8" xfId="37239" xr:uid="{00000000-0005-0000-0000-000069910000}"/>
    <cellStyle name="Normal 5 17 5 9" xfId="37240" xr:uid="{00000000-0005-0000-0000-00006A910000}"/>
    <cellStyle name="Normal 5 17 6" xfId="37241" xr:uid="{00000000-0005-0000-0000-00006B910000}"/>
    <cellStyle name="Normal 5 17 6 10" xfId="37242" xr:uid="{00000000-0005-0000-0000-00006C910000}"/>
    <cellStyle name="Normal 5 17 6 11" xfId="37243" xr:uid="{00000000-0005-0000-0000-00006D910000}"/>
    <cellStyle name="Normal 5 17 6 12" xfId="37244" xr:uid="{00000000-0005-0000-0000-00006E910000}"/>
    <cellStyle name="Normal 5 17 6 13" xfId="37245" xr:uid="{00000000-0005-0000-0000-00006F910000}"/>
    <cellStyle name="Normal 5 17 6 14" xfId="37246" xr:uid="{00000000-0005-0000-0000-000070910000}"/>
    <cellStyle name="Normal 5 17 6 2" xfId="37247" xr:uid="{00000000-0005-0000-0000-000071910000}"/>
    <cellStyle name="Normal 5 17 6 2 10" xfId="37248" xr:uid="{00000000-0005-0000-0000-000072910000}"/>
    <cellStyle name="Normal 5 17 6 2 2" xfId="37249" xr:uid="{00000000-0005-0000-0000-000073910000}"/>
    <cellStyle name="Normal 5 17 6 2 3" xfId="37250" xr:uid="{00000000-0005-0000-0000-000074910000}"/>
    <cellStyle name="Normal 5 17 6 2 4" xfId="37251" xr:uid="{00000000-0005-0000-0000-000075910000}"/>
    <cellStyle name="Normal 5 17 6 2 5" xfId="37252" xr:uid="{00000000-0005-0000-0000-000076910000}"/>
    <cellStyle name="Normal 5 17 6 2 6" xfId="37253" xr:uid="{00000000-0005-0000-0000-000077910000}"/>
    <cellStyle name="Normal 5 17 6 2 7" xfId="37254" xr:uid="{00000000-0005-0000-0000-000078910000}"/>
    <cellStyle name="Normal 5 17 6 2 8" xfId="37255" xr:uid="{00000000-0005-0000-0000-000079910000}"/>
    <cellStyle name="Normal 5 17 6 2 9" xfId="37256" xr:uid="{00000000-0005-0000-0000-00007A910000}"/>
    <cellStyle name="Normal 5 17 6 3" xfId="37257" xr:uid="{00000000-0005-0000-0000-00007B910000}"/>
    <cellStyle name="Normal 5 17 6 3 10" xfId="37258" xr:uid="{00000000-0005-0000-0000-00007C910000}"/>
    <cellStyle name="Normal 5 17 6 3 2" xfId="37259" xr:uid="{00000000-0005-0000-0000-00007D910000}"/>
    <cellStyle name="Normal 5 17 6 3 3" xfId="37260" xr:uid="{00000000-0005-0000-0000-00007E910000}"/>
    <cellStyle name="Normal 5 17 6 3 4" xfId="37261" xr:uid="{00000000-0005-0000-0000-00007F910000}"/>
    <cellStyle name="Normal 5 17 6 3 5" xfId="37262" xr:uid="{00000000-0005-0000-0000-000080910000}"/>
    <cellStyle name="Normal 5 17 6 3 6" xfId="37263" xr:uid="{00000000-0005-0000-0000-000081910000}"/>
    <cellStyle name="Normal 5 17 6 3 7" xfId="37264" xr:uid="{00000000-0005-0000-0000-000082910000}"/>
    <cellStyle name="Normal 5 17 6 3 8" xfId="37265" xr:uid="{00000000-0005-0000-0000-000083910000}"/>
    <cellStyle name="Normal 5 17 6 3 9" xfId="37266" xr:uid="{00000000-0005-0000-0000-000084910000}"/>
    <cellStyle name="Normal 5 17 6 4" xfId="37267" xr:uid="{00000000-0005-0000-0000-000085910000}"/>
    <cellStyle name="Normal 5 17 6 4 10" xfId="37268" xr:uid="{00000000-0005-0000-0000-000086910000}"/>
    <cellStyle name="Normal 5 17 6 4 2" xfId="37269" xr:uid="{00000000-0005-0000-0000-000087910000}"/>
    <cellStyle name="Normal 5 17 6 4 3" xfId="37270" xr:uid="{00000000-0005-0000-0000-000088910000}"/>
    <cellStyle name="Normal 5 17 6 4 4" xfId="37271" xr:uid="{00000000-0005-0000-0000-000089910000}"/>
    <cellStyle name="Normal 5 17 6 4 5" xfId="37272" xr:uid="{00000000-0005-0000-0000-00008A910000}"/>
    <cellStyle name="Normal 5 17 6 4 6" xfId="37273" xr:uid="{00000000-0005-0000-0000-00008B910000}"/>
    <cellStyle name="Normal 5 17 6 4 7" xfId="37274" xr:uid="{00000000-0005-0000-0000-00008C910000}"/>
    <cellStyle name="Normal 5 17 6 4 8" xfId="37275" xr:uid="{00000000-0005-0000-0000-00008D910000}"/>
    <cellStyle name="Normal 5 17 6 4 9" xfId="37276" xr:uid="{00000000-0005-0000-0000-00008E910000}"/>
    <cellStyle name="Normal 5 17 6 5" xfId="37277" xr:uid="{00000000-0005-0000-0000-00008F910000}"/>
    <cellStyle name="Normal 5 17 6 5 10" xfId="37278" xr:uid="{00000000-0005-0000-0000-000090910000}"/>
    <cellStyle name="Normal 5 17 6 5 2" xfId="37279" xr:uid="{00000000-0005-0000-0000-000091910000}"/>
    <cellStyle name="Normal 5 17 6 5 3" xfId="37280" xr:uid="{00000000-0005-0000-0000-000092910000}"/>
    <cellStyle name="Normal 5 17 6 5 4" xfId="37281" xr:uid="{00000000-0005-0000-0000-000093910000}"/>
    <cellStyle name="Normal 5 17 6 5 5" xfId="37282" xr:uid="{00000000-0005-0000-0000-000094910000}"/>
    <cellStyle name="Normal 5 17 6 5 6" xfId="37283" xr:uid="{00000000-0005-0000-0000-000095910000}"/>
    <cellStyle name="Normal 5 17 6 5 7" xfId="37284" xr:uid="{00000000-0005-0000-0000-000096910000}"/>
    <cellStyle name="Normal 5 17 6 5 8" xfId="37285" xr:uid="{00000000-0005-0000-0000-000097910000}"/>
    <cellStyle name="Normal 5 17 6 5 9" xfId="37286" xr:uid="{00000000-0005-0000-0000-000098910000}"/>
    <cellStyle name="Normal 5 17 6 6" xfId="37287" xr:uid="{00000000-0005-0000-0000-000099910000}"/>
    <cellStyle name="Normal 5 17 6 7" xfId="37288" xr:uid="{00000000-0005-0000-0000-00009A910000}"/>
    <cellStyle name="Normal 5 17 6 8" xfId="37289" xr:uid="{00000000-0005-0000-0000-00009B910000}"/>
    <cellStyle name="Normal 5 17 6 9" xfId="37290" xr:uid="{00000000-0005-0000-0000-00009C910000}"/>
    <cellStyle name="Normal 5 17 7" xfId="37291" xr:uid="{00000000-0005-0000-0000-00009D910000}"/>
    <cellStyle name="Normal 5 17 7 10" xfId="37292" xr:uid="{00000000-0005-0000-0000-00009E910000}"/>
    <cellStyle name="Normal 5 17 7 11" xfId="37293" xr:uid="{00000000-0005-0000-0000-00009F910000}"/>
    <cellStyle name="Normal 5 17 7 12" xfId="37294" xr:uid="{00000000-0005-0000-0000-0000A0910000}"/>
    <cellStyle name="Normal 5 17 7 13" xfId="37295" xr:uid="{00000000-0005-0000-0000-0000A1910000}"/>
    <cellStyle name="Normal 5 17 7 14" xfId="37296" xr:uid="{00000000-0005-0000-0000-0000A2910000}"/>
    <cellStyle name="Normal 5 17 7 2" xfId="37297" xr:uid="{00000000-0005-0000-0000-0000A3910000}"/>
    <cellStyle name="Normal 5 17 7 2 10" xfId="37298" xr:uid="{00000000-0005-0000-0000-0000A4910000}"/>
    <cellStyle name="Normal 5 17 7 2 2" xfId="37299" xr:uid="{00000000-0005-0000-0000-0000A5910000}"/>
    <cellStyle name="Normal 5 17 7 2 3" xfId="37300" xr:uid="{00000000-0005-0000-0000-0000A6910000}"/>
    <cellStyle name="Normal 5 17 7 2 4" xfId="37301" xr:uid="{00000000-0005-0000-0000-0000A7910000}"/>
    <cellStyle name="Normal 5 17 7 2 5" xfId="37302" xr:uid="{00000000-0005-0000-0000-0000A8910000}"/>
    <cellStyle name="Normal 5 17 7 2 6" xfId="37303" xr:uid="{00000000-0005-0000-0000-0000A9910000}"/>
    <cellStyle name="Normal 5 17 7 2 7" xfId="37304" xr:uid="{00000000-0005-0000-0000-0000AA910000}"/>
    <cellStyle name="Normal 5 17 7 2 8" xfId="37305" xr:uid="{00000000-0005-0000-0000-0000AB910000}"/>
    <cellStyle name="Normal 5 17 7 2 9" xfId="37306" xr:uid="{00000000-0005-0000-0000-0000AC910000}"/>
    <cellStyle name="Normal 5 17 7 3" xfId="37307" xr:uid="{00000000-0005-0000-0000-0000AD910000}"/>
    <cellStyle name="Normal 5 17 7 3 10" xfId="37308" xr:uid="{00000000-0005-0000-0000-0000AE910000}"/>
    <cellStyle name="Normal 5 17 7 3 2" xfId="37309" xr:uid="{00000000-0005-0000-0000-0000AF910000}"/>
    <cellStyle name="Normal 5 17 7 3 3" xfId="37310" xr:uid="{00000000-0005-0000-0000-0000B0910000}"/>
    <cellStyle name="Normal 5 17 7 3 4" xfId="37311" xr:uid="{00000000-0005-0000-0000-0000B1910000}"/>
    <cellStyle name="Normal 5 17 7 3 5" xfId="37312" xr:uid="{00000000-0005-0000-0000-0000B2910000}"/>
    <cellStyle name="Normal 5 17 7 3 6" xfId="37313" xr:uid="{00000000-0005-0000-0000-0000B3910000}"/>
    <cellStyle name="Normal 5 17 7 3 7" xfId="37314" xr:uid="{00000000-0005-0000-0000-0000B4910000}"/>
    <cellStyle name="Normal 5 17 7 3 8" xfId="37315" xr:uid="{00000000-0005-0000-0000-0000B5910000}"/>
    <cellStyle name="Normal 5 17 7 3 9" xfId="37316" xr:uid="{00000000-0005-0000-0000-0000B6910000}"/>
    <cellStyle name="Normal 5 17 7 4" xfId="37317" xr:uid="{00000000-0005-0000-0000-0000B7910000}"/>
    <cellStyle name="Normal 5 17 7 4 10" xfId="37318" xr:uid="{00000000-0005-0000-0000-0000B8910000}"/>
    <cellStyle name="Normal 5 17 7 4 2" xfId="37319" xr:uid="{00000000-0005-0000-0000-0000B9910000}"/>
    <cellStyle name="Normal 5 17 7 4 3" xfId="37320" xr:uid="{00000000-0005-0000-0000-0000BA910000}"/>
    <cellStyle name="Normal 5 17 7 4 4" xfId="37321" xr:uid="{00000000-0005-0000-0000-0000BB910000}"/>
    <cellStyle name="Normal 5 17 7 4 5" xfId="37322" xr:uid="{00000000-0005-0000-0000-0000BC910000}"/>
    <cellStyle name="Normal 5 17 7 4 6" xfId="37323" xr:uid="{00000000-0005-0000-0000-0000BD910000}"/>
    <cellStyle name="Normal 5 17 7 4 7" xfId="37324" xr:uid="{00000000-0005-0000-0000-0000BE910000}"/>
    <cellStyle name="Normal 5 17 7 4 8" xfId="37325" xr:uid="{00000000-0005-0000-0000-0000BF910000}"/>
    <cellStyle name="Normal 5 17 7 4 9" xfId="37326" xr:uid="{00000000-0005-0000-0000-0000C0910000}"/>
    <cellStyle name="Normal 5 17 7 5" xfId="37327" xr:uid="{00000000-0005-0000-0000-0000C1910000}"/>
    <cellStyle name="Normal 5 17 7 5 10" xfId="37328" xr:uid="{00000000-0005-0000-0000-0000C2910000}"/>
    <cellStyle name="Normal 5 17 7 5 2" xfId="37329" xr:uid="{00000000-0005-0000-0000-0000C3910000}"/>
    <cellStyle name="Normal 5 17 7 5 3" xfId="37330" xr:uid="{00000000-0005-0000-0000-0000C4910000}"/>
    <cellStyle name="Normal 5 17 7 5 4" xfId="37331" xr:uid="{00000000-0005-0000-0000-0000C5910000}"/>
    <cellStyle name="Normal 5 17 7 5 5" xfId="37332" xr:uid="{00000000-0005-0000-0000-0000C6910000}"/>
    <cellStyle name="Normal 5 17 7 5 6" xfId="37333" xr:uid="{00000000-0005-0000-0000-0000C7910000}"/>
    <cellStyle name="Normal 5 17 7 5 7" xfId="37334" xr:uid="{00000000-0005-0000-0000-0000C8910000}"/>
    <cellStyle name="Normal 5 17 7 5 8" xfId="37335" xr:uid="{00000000-0005-0000-0000-0000C9910000}"/>
    <cellStyle name="Normal 5 17 7 5 9" xfId="37336" xr:uid="{00000000-0005-0000-0000-0000CA910000}"/>
    <cellStyle name="Normal 5 17 7 6" xfId="37337" xr:uid="{00000000-0005-0000-0000-0000CB910000}"/>
    <cellStyle name="Normal 5 17 7 7" xfId="37338" xr:uid="{00000000-0005-0000-0000-0000CC910000}"/>
    <cellStyle name="Normal 5 17 7 8" xfId="37339" xr:uid="{00000000-0005-0000-0000-0000CD910000}"/>
    <cellStyle name="Normal 5 17 7 9" xfId="37340" xr:uid="{00000000-0005-0000-0000-0000CE910000}"/>
    <cellStyle name="Normal 5 17 8" xfId="37341" xr:uid="{00000000-0005-0000-0000-0000CF910000}"/>
    <cellStyle name="Normal 5 17 8 10" xfId="37342" xr:uid="{00000000-0005-0000-0000-0000D0910000}"/>
    <cellStyle name="Normal 5 17 8 11" xfId="37343" xr:uid="{00000000-0005-0000-0000-0000D1910000}"/>
    <cellStyle name="Normal 5 17 8 12" xfId="37344" xr:uid="{00000000-0005-0000-0000-0000D2910000}"/>
    <cellStyle name="Normal 5 17 8 13" xfId="37345" xr:uid="{00000000-0005-0000-0000-0000D3910000}"/>
    <cellStyle name="Normal 5 17 8 14" xfId="37346" xr:uid="{00000000-0005-0000-0000-0000D4910000}"/>
    <cellStyle name="Normal 5 17 8 2" xfId="37347" xr:uid="{00000000-0005-0000-0000-0000D5910000}"/>
    <cellStyle name="Normal 5 17 8 2 10" xfId="37348" xr:uid="{00000000-0005-0000-0000-0000D6910000}"/>
    <cellStyle name="Normal 5 17 8 2 2" xfId="37349" xr:uid="{00000000-0005-0000-0000-0000D7910000}"/>
    <cellStyle name="Normal 5 17 8 2 3" xfId="37350" xr:uid="{00000000-0005-0000-0000-0000D8910000}"/>
    <cellStyle name="Normal 5 17 8 2 4" xfId="37351" xr:uid="{00000000-0005-0000-0000-0000D9910000}"/>
    <cellStyle name="Normal 5 17 8 2 5" xfId="37352" xr:uid="{00000000-0005-0000-0000-0000DA910000}"/>
    <cellStyle name="Normal 5 17 8 2 6" xfId="37353" xr:uid="{00000000-0005-0000-0000-0000DB910000}"/>
    <cellStyle name="Normal 5 17 8 2 7" xfId="37354" xr:uid="{00000000-0005-0000-0000-0000DC910000}"/>
    <cellStyle name="Normal 5 17 8 2 8" xfId="37355" xr:uid="{00000000-0005-0000-0000-0000DD910000}"/>
    <cellStyle name="Normal 5 17 8 2 9" xfId="37356" xr:uid="{00000000-0005-0000-0000-0000DE910000}"/>
    <cellStyle name="Normal 5 17 8 3" xfId="37357" xr:uid="{00000000-0005-0000-0000-0000DF910000}"/>
    <cellStyle name="Normal 5 17 8 3 10" xfId="37358" xr:uid="{00000000-0005-0000-0000-0000E0910000}"/>
    <cellStyle name="Normal 5 17 8 3 2" xfId="37359" xr:uid="{00000000-0005-0000-0000-0000E1910000}"/>
    <cellStyle name="Normal 5 17 8 3 3" xfId="37360" xr:uid="{00000000-0005-0000-0000-0000E2910000}"/>
    <cellStyle name="Normal 5 17 8 3 4" xfId="37361" xr:uid="{00000000-0005-0000-0000-0000E3910000}"/>
    <cellStyle name="Normal 5 17 8 3 5" xfId="37362" xr:uid="{00000000-0005-0000-0000-0000E4910000}"/>
    <cellStyle name="Normal 5 17 8 3 6" xfId="37363" xr:uid="{00000000-0005-0000-0000-0000E5910000}"/>
    <cellStyle name="Normal 5 17 8 3 7" xfId="37364" xr:uid="{00000000-0005-0000-0000-0000E6910000}"/>
    <cellStyle name="Normal 5 17 8 3 8" xfId="37365" xr:uid="{00000000-0005-0000-0000-0000E7910000}"/>
    <cellStyle name="Normal 5 17 8 3 9" xfId="37366" xr:uid="{00000000-0005-0000-0000-0000E8910000}"/>
    <cellStyle name="Normal 5 17 8 4" xfId="37367" xr:uid="{00000000-0005-0000-0000-0000E9910000}"/>
    <cellStyle name="Normal 5 17 8 4 10" xfId="37368" xr:uid="{00000000-0005-0000-0000-0000EA910000}"/>
    <cellStyle name="Normal 5 17 8 4 2" xfId="37369" xr:uid="{00000000-0005-0000-0000-0000EB910000}"/>
    <cellStyle name="Normal 5 17 8 4 3" xfId="37370" xr:uid="{00000000-0005-0000-0000-0000EC910000}"/>
    <cellStyle name="Normal 5 17 8 4 4" xfId="37371" xr:uid="{00000000-0005-0000-0000-0000ED910000}"/>
    <cellStyle name="Normal 5 17 8 4 5" xfId="37372" xr:uid="{00000000-0005-0000-0000-0000EE910000}"/>
    <cellStyle name="Normal 5 17 8 4 6" xfId="37373" xr:uid="{00000000-0005-0000-0000-0000EF910000}"/>
    <cellStyle name="Normal 5 17 8 4 7" xfId="37374" xr:uid="{00000000-0005-0000-0000-0000F0910000}"/>
    <cellStyle name="Normal 5 17 8 4 8" xfId="37375" xr:uid="{00000000-0005-0000-0000-0000F1910000}"/>
    <cellStyle name="Normal 5 17 8 4 9" xfId="37376" xr:uid="{00000000-0005-0000-0000-0000F2910000}"/>
    <cellStyle name="Normal 5 17 8 5" xfId="37377" xr:uid="{00000000-0005-0000-0000-0000F3910000}"/>
    <cellStyle name="Normal 5 17 8 5 10" xfId="37378" xr:uid="{00000000-0005-0000-0000-0000F4910000}"/>
    <cellStyle name="Normal 5 17 8 5 2" xfId="37379" xr:uid="{00000000-0005-0000-0000-0000F5910000}"/>
    <cellStyle name="Normal 5 17 8 5 3" xfId="37380" xr:uid="{00000000-0005-0000-0000-0000F6910000}"/>
    <cellStyle name="Normal 5 17 8 5 4" xfId="37381" xr:uid="{00000000-0005-0000-0000-0000F7910000}"/>
    <cellStyle name="Normal 5 17 8 5 5" xfId="37382" xr:uid="{00000000-0005-0000-0000-0000F8910000}"/>
    <cellStyle name="Normal 5 17 8 5 6" xfId="37383" xr:uid="{00000000-0005-0000-0000-0000F9910000}"/>
    <cellStyle name="Normal 5 17 8 5 7" xfId="37384" xr:uid="{00000000-0005-0000-0000-0000FA910000}"/>
    <cellStyle name="Normal 5 17 8 5 8" xfId="37385" xr:uid="{00000000-0005-0000-0000-0000FB910000}"/>
    <cellStyle name="Normal 5 17 8 5 9" xfId="37386" xr:uid="{00000000-0005-0000-0000-0000FC910000}"/>
    <cellStyle name="Normal 5 17 8 6" xfId="37387" xr:uid="{00000000-0005-0000-0000-0000FD910000}"/>
    <cellStyle name="Normal 5 17 8 7" xfId="37388" xr:uid="{00000000-0005-0000-0000-0000FE910000}"/>
    <cellStyle name="Normal 5 17 8 8" xfId="37389" xr:uid="{00000000-0005-0000-0000-0000FF910000}"/>
    <cellStyle name="Normal 5 17 8 9" xfId="37390" xr:uid="{00000000-0005-0000-0000-000000920000}"/>
    <cellStyle name="Normal 5 17 9" xfId="37391" xr:uid="{00000000-0005-0000-0000-000001920000}"/>
    <cellStyle name="Normal 5 17 9 10" xfId="37392" xr:uid="{00000000-0005-0000-0000-000002920000}"/>
    <cellStyle name="Normal 5 17 9 11" xfId="37393" xr:uid="{00000000-0005-0000-0000-000003920000}"/>
    <cellStyle name="Normal 5 17 9 12" xfId="37394" xr:uid="{00000000-0005-0000-0000-000004920000}"/>
    <cellStyle name="Normal 5 17 9 13" xfId="37395" xr:uid="{00000000-0005-0000-0000-000005920000}"/>
    <cellStyle name="Normal 5 17 9 14" xfId="37396" xr:uid="{00000000-0005-0000-0000-000006920000}"/>
    <cellStyle name="Normal 5 17 9 2" xfId="37397" xr:uid="{00000000-0005-0000-0000-000007920000}"/>
    <cellStyle name="Normal 5 17 9 2 10" xfId="37398" xr:uid="{00000000-0005-0000-0000-000008920000}"/>
    <cellStyle name="Normal 5 17 9 2 2" xfId="37399" xr:uid="{00000000-0005-0000-0000-000009920000}"/>
    <cellStyle name="Normal 5 17 9 2 3" xfId="37400" xr:uid="{00000000-0005-0000-0000-00000A920000}"/>
    <cellStyle name="Normal 5 17 9 2 4" xfId="37401" xr:uid="{00000000-0005-0000-0000-00000B920000}"/>
    <cellStyle name="Normal 5 17 9 2 5" xfId="37402" xr:uid="{00000000-0005-0000-0000-00000C920000}"/>
    <cellStyle name="Normal 5 17 9 2 6" xfId="37403" xr:uid="{00000000-0005-0000-0000-00000D920000}"/>
    <cellStyle name="Normal 5 17 9 2 7" xfId="37404" xr:uid="{00000000-0005-0000-0000-00000E920000}"/>
    <cellStyle name="Normal 5 17 9 2 8" xfId="37405" xr:uid="{00000000-0005-0000-0000-00000F920000}"/>
    <cellStyle name="Normal 5 17 9 2 9" xfId="37406" xr:uid="{00000000-0005-0000-0000-000010920000}"/>
    <cellStyle name="Normal 5 17 9 3" xfId="37407" xr:uid="{00000000-0005-0000-0000-000011920000}"/>
    <cellStyle name="Normal 5 17 9 3 10" xfId="37408" xr:uid="{00000000-0005-0000-0000-000012920000}"/>
    <cellStyle name="Normal 5 17 9 3 2" xfId="37409" xr:uid="{00000000-0005-0000-0000-000013920000}"/>
    <cellStyle name="Normal 5 17 9 3 3" xfId="37410" xr:uid="{00000000-0005-0000-0000-000014920000}"/>
    <cellStyle name="Normal 5 17 9 3 4" xfId="37411" xr:uid="{00000000-0005-0000-0000-000015920000}"/>
    <cellStyle name="Normal 5 17 9 3 5" xfId="37412" xr:uid="{00000000-0005-0000-0000-000016920000}"/>
    <cellStyle name="Normal 5 17 9 3 6" xfId="37413" xr:uid="{00000000-0005-0000-0000-000017920000}"/>
    <cellStyle name="Normal 5 17 9 3 7" xfId="37414" xr:uid="{00000000-0005-0000-0000-000018920000}"/>
    <cellStyle name="Normal 5 17 9 3 8" xfId="37415" xr:uid="{00000000-0005-0000-0000-000019920000}"/>
    <cellStyle name="Normal 5 17 9 3 9" xfId="37416" xr:uid="{00000000-0005-0000-0000-00001A920000}"/>
    <cellStyle name="Normal 5 17 9 4" xfId="37417" xr:uid="{00000000-0005-0000-0000-00001B920000}"/>
    <cellStyle name="Normal 5 17 9 4 10" xfId="37418" xr:uid="{00000000-0005-0000-0000-00001C920000}"/>
    <cellStyle name="Normal 5 17 9 4 2" xfId="37419" xr:uid="{00000000-0005-0000-0000-00001D920000}"/>
    <cellStyle name="Normal 5 17 9 4 3" xfId="37420" xr:uid="{00000000-0005-0000-0000-00001E920000}"/>
    <cellStyle name="Normal 5 17 9 4 4" xfId="37421" xr:uid="{00000000-0005-0000-0000-00001F920000}"/>
    <cellStyle name="Normal 5 17 9 4 5" xfId="37422" xr:uid="{00000000-0005-0000-0000-000020920000}"/>
    <cellStyle name="Normal 5 17 9 4 6" xfId="37423" xr:uid="{00000000-0005-0000-0000-000021920000}"/>
    <cellStyle name="Normal 5 17 9 4 7" xfId="37424" xr:uid="{00000000-0005-0000-0000-000022920000}"/>
    <cellStyle name="Normal 5 17 9 4 8" xfId="37425" xr:uid="{00000000-0005-0000-0000-000023920000}"/>
    <cellStyle name="Normal 5 17 9 4 9" xfId="37426" xr:uid="{00000000-0005-0000-0000-000024920000}"/>
    <cellStyle name="Normal 5 17 9 5" xfId="37427" xr:uid="{00000000-0005-0000-0000-000025920000}"/>
    <cellStyle name="Normal 5 17 9 5 10" xfId="37428" xr:uid="{00000000-0005-0000-0000-000026920000}"/>
    <cellStyle name="Normal 5 17 9 5 2" xfId="37429" xr:uid="{00000000-0005-0000-0000-000027920000}"/>
    <cellStyle name="Normal 5 17 9 5 3" xfId="37430" xr:uid="{00000000-0005-0000-0000-000028920000}"/>
    <cellStyle name="Normal 5 17 9 5 4" xfId="37431" xr:uid="{00000000-0005-0000-0000-000029920000}"/>
    <cellStyle name="Normal 5 17 9 5 5" xfId="37432" xr:uid="{00000000-0005-0000-0000-00002A920000}"/>
    <cellStyle name="Normal 5 17 9 5 6" xfId="37433" xr:uid="{00000000-0005-0000-0000-00002B920000}"/>
    <cellStyle name="Normal 5 17 9 5 7" xfId="37434" xr:uid="{00000000-0005-0000-0000-00002C920000}"/>
    <cellStyle name="Normal 5 17 9 5 8" xfId="37435" xr:uid="{00000000-0005-0000-0000-00002D920000}"/>
    <cellStyle name="Normal 5 17 9 5 9" xfId="37436" xr:uid="{00000000-0005-0000-0000-00002E920000}"/>
    <cellStyle name="Normal 5 17 9 6" xfId="37437" xr:uid="{00000000-0005-0000-0000-00002F920000}"/>
    <cellStyle name="Normal 5 17 9 7" xfId="37438" xr:uid="{00000000-0005-0000-0000-000030920000}"/>
    <cellStyle name="Normal 5 17 9 8" xfId="37439" xr:uid="{00000000-0005-0000-0000-000031920000}"/>
    <cellStyle name="Normal 5 17 9 9" xfId="37440" xr:uid="{00000000-0005-0000-0000-000032920000}"/>
    <cellStyle name="Normal 5 18" xfId="37441" xr:uid="{00000000-0005-0000-0000-000033920000}"/>
    <cellStyle name="Normal 5 18 2" xfId="37442" xr:uid="{00000000-0005-0000-0000-000034920000}"/>
    <cellStyle name="Normal 5 18 2 2" xfId="37443" xr:uid="{00000000-0005-0000-0000-000035920000}"/>
    <cellStyle name="Normal 5 18 3" xfId="37444" xr:uid="{00000000-0005-0000-0000-000036920000}"/>
    <cellStyle name="Normal 5 18 4" xfId="37445" xr:uid="{00000000-0005-0000-0000-000037920000}"/>
    <cellStyle name="Normal 5 19" xfId="37446" xr:uid="{00000000-0005-0000-0000-000038920000}"/>
    <cellStyle name="Normal 5 19 2" xfId="37447" xr:uid="{00000000-0005-0000-0000-000039920000}"/>
    <cellStyle name="Normal 5 19 2 2" xfId="37448" xr:uid="{00000000-0005-0000-0000-00003A920000}"/>
    <cellStyle name="Normal 5 19 3" xfId="37449" xr:uid="{00000000-0005-0000-0000-00003B920000}"/>
    <cellStyle name="Normal 5 19 4" xfId="37450" xr:uid="{00000000-0005-0000-0000-00003C920000}"/>
    <cellStyle name="Normal 5 2" xfId="28" xr:uid="{00000000-0005-0000-0000-00003D920000}"/>
    <cellStyle name="Normal 5 2 10" xfId="37452" xr:uid="{00000000-0005-0000-0000-00003E920000}"/>
    <cellStyle name="Normal 5 2 11" xfId="37453" xr:uid="{00000000-0005-0000-0000-00003F920000}"/>
    <cellStyle name="Normal 5 2 12" xfId="37454" xr:uid="{00000000-0005-0000-0000-000040920000}"/>
    <cellStyle name="Normal 5 2 13" xfId="37455" xr:uid="{00000000-0005-0000-0000-000041920000}"/>
    <cellStyle name="Normal 5 2 14" xfId="37456" xr:uid="{00000000-0005-0000-0000-000042920000}"/>
    <cellStyle name="Normal 5 2 15" xfId="37457" xr:uid="{00000000-0005-0000-0000-000043920000}"/>
    <cellStyle name="Normal 5 2 16" xfId="37458" xr:uid="{00000000-0005-0000-0000-000044920000}"/>
    <cellStyle name="Normal 5 2 17" xfId="37459" xr:uid="{00000000-0005-0000-0000-000045920000}"/>
    <cellStyle name="Normal 5 2 18" xfId="37460" xr:uid="{00000000-0005-0000-0000-000046920000}"/>
    <cellStyle name="Normal 5 2 19" xfId="37461" xr:uid="{00000000-0005-0000-0000-000047920000}"/>
    <cellStyle name="Normal 5 2 2" xfId="62" xr:uid="{00000000-0005-0000-0000-000048920000}"/>
    <cellStyle name="Normal 5 2 2 2" xfId="37463" xr:uid="{00000000-0005-0000-0000-000049920000}"/>
    <cellStyle name="Normal 5 2 2 2 2" xfId="37464" xr:uid="{00000000-0005-0000-0000-00004A920000}"/>
    <cellStyle name="Normal 5 2 2 3" xfId="37462" xr:uid="{00000000-0005-0000-0000-00004B920000}"/>
    <cellStyle name="Normal 5 2 20" xfId="37465" xr:uid="{00000000-0005-0000-0000-00004C920000}"/>
    <cellStyle name="Normal 5 2 21" xfId="37466" xr:uid="{00000000-0005-0000-0000-00004D920000}"/>
    <cellStyle name="Normal 5 2 22" xfId="37467" xr:uid="{00000000-0005-0000-0000-00004E920000}"/>
    <cellStyle name="Normal 5 2 23" xfId="37468" xr:uid="{00000000-0005-0000-0000-00004F920000}"/>
    <cellStyle name="Normal 5 2 24" xfId="37469" xr:uid="{00000000-0005-0000-0000-000050920000}"/>
    <cellStyle name="Normal 5 2 25" xfId="37470" xr:uid="{00000000-0005-0000-0000-000051920000}"/>
    <cellStyle name="Normal 5 2 26" xfId="37471" xr:uid="{00000000-0005-0000-0000-000052920000}"/>
    <cellStyle name="Normal 5 2 27" xfId="37472" xr:uid="{00000000-0005-0000-0000-000053920000}"/>
    <cellStyle name="Normal 5 2 28" xfId="37473" xr:uid="{00000000-0005-0000-0000-000054920000}"/>
    <cellStyle name="Normal 5 2 29" xfId="37474" xr:uid="{00000000-0005-0000-0000-000055920000}"/>
    <cellStyle name="Normal 5 2 3" xfId="37475" xr:uid="{00000000-0005-0000-0000-000056920000}"/>
    <cellStyle name="Normal 5 2 30" xfId="37476" xr:uid="{00000000-0005-0000-0000-000057920000}"/>
    <cellStyle name="Normal 5 2 31" xfId="37477" xr:uid="{00000000-0005-0000-0000-000058920000}"/>
    <cellStyle name="Normal 5 2 32" xfId="37478" xr:uid="{00000000-0005-0000-0000-000059920000}"/>
    <cellStyle name="Normal 5 2 33" xfId="37479" xr:uid="{00000000-0005-0000-0000-00005A920000}"/>
    <cellStyle name="Normal 5 2 34" xfId="37480" xr:uid="{00000000-0005-0000-0000-00005B920000}"/>
    <cellStyle name="Normal 5 2 35" xfId="37481" xr:uid="{00000000-0005-0000-0000-00005C920000}"/>
    <cellStyle name="Normal 5 2 36" xfId="37482" xr:uid="{00000000-0005-0000-0000-00005D920000}"/>
    <cellStyle name="Normal 5 2 37" xfId="37483" xr:uid="{00000000-0005-0000-0000-00005E920000}"/>
    <cellStyle name="Normal 5 2 38" xfId="37484" xr:uid="{00000000-0005-0000-0000-00005F920000}"/>
    <cellStyle name="Normal 5 2 39" xfId="37485" xr:uid="{00000000-0005-0000-0000-000060920000}"/>
    <cellStyle name="Normal 5 2 4" xfId="37486" xr:uid="{00000000-0005-0000-0000-000061920000}"/>
    <cellStyle name="Normal 5 2 40" xfId="37487" xr:uid="{00000000-0005-0000-0000-000062920000}"/>
    <cellStyle name="Normal 5 2 41" xfId="37488" xr:uid="{00000000-0005-0000-0000-000063920000}"/>
    <cellStyle name="Normal 5 2 42" xfId="37489" xr:uid="{00000000-0005-0000-0000-000064920000}"/>
    <cellStyle name="Normal 5 2 43" xfId="37490" xr:uid="{00000000-0005-0000-0000-000065920000}"/>
    <cellStyle name="Normal 5 2 44" xfId="37491" xr:uid="{00000000-0005-0000-0000-000066920000}"/>
    <cellStyle name="Normal 5 2 45" xfId="37492" xr:uid="{00000000-0005-0000-0000-000067920000}"/>
    <cellStyle name="Normal 5 2 46" xfId="37493" xr:uid="{00000000-0005-0000-0000-000068920000}"/>
    <cellStyle name="Normal 5 2 47" xfId="37494" xr:uid="{00000000-0005-0000-0000-000069920000}"/>
    <cellStyle name="Normal 5 2 48" xfId="37495" xr:uid="{00000000-0005-0000-0000-00006A920000}"/>
    <cellStyle name="Normal 5 2 49" xfId="37496" xr:uid="{00000000-0005-0000-0000-00006B920000}"/>
    <cellStyle name="Normal 5 2 5" xfId="37497" xr:uid="{00000000-0005-0000-0000-00006C920000}"/>
    <cellStyle name="Normal 5 2 50" xfId="37498" xr:uid="{00000000-0005-0000-0000-00006D920000}"/>
    <cellStyle name="Normal 5 2 51" xfId="37499" xr:uid="{00000000-0005-0000-0000-00006E920000}"/>
    <cellStyle name="Normal 5 2 52" xfId="37500" xr:uid="{00000000-0005-0000-0000-00006F920000}"/>
    <cellStyle name="Normal 5 2 53" xfId="37501" xr:uid="{00000000-0005-0000-0000-000070920000}"/>
    <cellStyle name="Normal 5 2 54" xfId="37502" xr:uid="{00000000-0005-0000-0000-000071920000}"/>
    <cellStyle name="Normal 5 2 55" xfId="37503" xr:uid="{00000000-0005-0000-0000-000072920000}"/>
    <cellStyle name="Normal 5 2 56" xfId="37504" xr:uid="{00000000-0005-0000-0000-000073920000}"/>
    <cellStyle name="Normal 5 2 57" xfId="37505" xr:uid="{00000000-0005-0000-0000-000074920000}"/>
    <cellStyle name="Normal 5 2 58" xfId="37506" xr:uid="{00000000-0005-0000-0000-000075920000}"/>
    <cellStyle name="Normal 5 2 59" xfId="37507" xr:uid="{00000000-0005-0000-0000-000076920000}"/>
    <cellStyle name="Normal 5 2 6" xfId="37508" xr:uid="{00000000-0005-0000-0000-000077920000}"/>
    <cellStyle name="Normal 5 2 60" xfId="37509" xr:uid="{00000000-0005-0000-0000-000078920000}"/>
    <cellStyle name="Normal 5 2 61" xfId="37510" xr:uid="{00000000-0005-0000-0000-000079920000}"/>
    <cellStyle name="Normal 5 2 62" xfId="37511" xr:uid="{00000000-0005-0000-0000-00007A920000}"/>
    <cellStyle name="Normal 5 2 63" xfId="37512" xr:uid="{00000000-0005-0000-0000-00007B920000}"/>
    <cellStyle name="Normal 5 2 64" xfId="37513" xr:uid="{00000000-0005-0000-0000-00007C920000}"/>
    <cellStyle name="Normal 5 2 65" xfId="37514" xr:uid="{00000000-0005-0000-0000-00007D920000}"/>
    <cellStyle name="Normal 5 2 66" xfId="37515" xr:uid="{00000000-0005-0000-0000-00007E920000}"/>
    <cellStyle name="Normal 5 2 67" xfId="37516" xr:uid="{00000000-0005-0000-0000-00007F920000}"/>
    <cellStyle name="Normal 5 2 68" xfId="37517" xr:uid="{00000000-0005-0000-0000-000080920000}"/>
    <cellStyle name="Normal 5 2 69" xfId="37518" xr:uid="{00000000-0005-0000-0000-000081920000}"/>
    <cellStyle name="Normal 5 2 7" xfId="37519" xr:uid="{00000000-0005-0000-0000-000082920000}"/>
    <cellStyle name="Normal 5 2 70" xfId="37520" xr:uid="{00000000-0005-0000-0000-000083920000}"/>
    <cellStyle name="Normal 5 2 71" xfId="37521" xr:uid="{00000000-0005-0000-0000-000084920000}"/>
    <cellStyle name="Normal 5 2 72" xfId="37522" xr:uid="{00000000-0005-0000-0000-000085920000}"/>
    <cellStyle name="Normal 5 2 73" xfId="37523" xr:uid="{00000000-0005-0000-0000-000086920000}"/>
    <cellStyle name="Normal 5 2 74" xfId="37524" xr:uid="{00000000-0005-0000-0000-000087920000}"/>
    <cellStyle name="Normal 5 2 75" xfId="37525" xr:uid="{00000000-0005-0000-0000-000088920000}"/>
    <cellStyle name="Normal 5 2 76" xfId="37526" xr:uid="{00000000-0005-0000-0000-000089920000}"/>
    <cellStyle name="Normal 5 2 77" xfId="37527" xr:uid="{00000000-0005-0000-0000-00008A920000}"/>
    <cellStyle name="Normal 5 2 78" xfId="37528" xr:uid="{00000000-0005-0000-0000-00008B920000}"/>
    <cellStyle name="Normal 5 2 79" xfId="37529" xr:uid="{00000000-0005-0000-0000-00008C920000}"/>
    <cellStyle name="Normal 5 2 8" xfId="37530" xr:uid="{00000000-0005-0000-0000-00008D920000}"/>
    <cellStyle name="Normal 5 2 80" xfId="37531" xr:uid="{00000000-0005-0000-0000-00008E920000}"/>
    <cellStyle name="Normal 5 2 81" xfId="37532" xr:uid="{00000000-0005-0000-0000-00008F920000}"/>
    <cellStyle name="Normal 5 2 82" xfId="37533" xr:uid="{00000000-0005-0000-0000-000090920000}"/>
    <cellStyle name="Normal 5 2 83" xfId="37451" xr:uid="{00000000-0005-0000-0000-000091920000}"/>
    <cellStyle name="Normal 5 2 9" xfId="37534" xr:uid="{00000000-0005-0000-0000-000092920000}"/>
    <cellStyle name="Normal 5 2_Enlaces" xfId="37535" xr:uid="{00000000-0005-0000-0000-000093920000}"/>
    <cellStyle name="Normal 5 20" xfId="37536" xr:uid="{00000000-0005-0000-0000-000094920000}"/>
    <cellStyle name="Normal 5 20 2" xfId="37537" xr:uid="{00000000-0005-0000-0000-000095920000}"/>
    <cellStyle name="Normal 5 20 2 2" xfId="37538" xr:uid="{00000000-0005-0000-0000-000096920000}"/>
    <cellStyle name="Normal 5 20 3" xfId="37539" xr:uid="{00000000-0005-0000-0000-000097920000}"/>
    <cellStyle name="Normal 5 20 4" xfId="37540" xr:uid="{00000000-0005-0000-0000-000098920000}"/>
    <cellStyle name="Normal 5 21" xfId="37541" xr:uid="{00000000-0005-0000-0000-000099920000}"/>
    <cellStyle name="Normal 5 21 2" xfId="37542" xr:uid="{00000000-0005-0000-0000-00009A920000}"/>
    <cellStyle name="Normal 5 21 2 2" xfId="37543" xr:uid="{00000000-0005-0000-0000-00009B920000}"/>
    <cellStyle name="Normal 5 21 3" xfId="37544" xr:uid="{00000000-0005-0000-0000-00009C920000}"/>
    <cellStyle name="Normal 5 21 4" xfId="37545" xr:uid="{00000000-0005-0000-0000-00009D920000}"/>
    <cellStyle name="Normal 5 22" xfId="37546" xr:uid="{00000000-0005-0000-0000-00009E920000}"/>
    <cellStyle name="Normal 5 22 2" xfId="37547" xr:uid="{00000000-0005-0000-0000-00009F920000}"/>
    <cellStyle name="Normal 5 22 3" xfId="37548" xr:uid="{00000000-0005-0000-0000-0000A0920000}"/>
    <cellStyle name="Normal 5 23" xfId="37549" xr:uid="{00000000-0005-0000-0000-0000A1920000}"/>
    <cellStyle name="Normal 5 24" xfId="37550" xr:uid="{00000000-0005-0000-0000-0000A2920000}"/>
    <cellStyle name="Normal 5 25" xfId="37551" xr:uid="{00000000-0005-0000-0000-0000A3920000}"/>
    <cellStyle name="Normal 5 26" xfId="37552" xr:uid="{00000000-0005-0000-0000-0000A4920000}"/>
    <cellStyle name="Normal 5 27" xfId="37553" xr:uid="{00000000-0005-0000-0000-0000A5920000}"/>
    <cellStyle name="Normal 5 28" xfId="37554" xr:uid="{00000000-0005-0000-0000-0000A6920000}"/>
    <cellStyle name="Normal 5 29" xfId="37555" xr:uid="{00000000-0005-0000-0000-0000A7920000}"/>
    <cellStyle name="Normal 5 3" xfId="63" xr:uid="{00000000-0005-0000-0000-0000A8920000}"/>
    <cellStyle name="Normal 5 3 10" xfId="37557" xr:uid="{00000000-0005-0000-0000-0000A9920000}"/>
    <cellStyle name="Normal 5 3 11" xfId="37558" xr:uid="{00000000-0005-0000-0000-0000AA920000}"/>
    <cellStyle name="Normal 5 3 12" xfId="37559" xr:uid="{00000000-0005-0000-0000-0000AB920000}"/>
    <cellStyle name="Normal 5 3 13" xfId="37556" xr:uid="{00000000-0005-0000-0000-0000AC920000}"/>
    <cellStyle name="Normal 5 3 2" xfId="37560" xr:uid="{00000000-0005-0000-0000-0000AD920000}"/>
    <cellStyle name="Normal 5 3 3" xfId="37561" xr:uid="{00000000-0005-0000-0000-0000AE920000}"/>
    <cellStyle name="Normal 5 3 4" xfId="37562" xr:uid="{00000000-0005-0000-0000-0000AF920000}"/>
    <cellStyle name="Normal 5 3 4 2" xfId="37563" xr:uid="{00000000-0005-0000-0000-0000B0920000}"/>
    <cellStyle name="Normal 5 3 4 2 2" xfId="37564" xr:uid="{00000000-0005-0000-0000-0000B1920000}"/>
    <cellStyle name="Normal 5 3 4 3" xfId="37565" xr:uid="{00000000-0005-0000-0000-0000B2920000}"/>
    <cellStyle name="Normal 5 3 5" xfId="37566" xr:uid="{00000000-0005-0000-0000-0000B3920000}"/>
    <cellStyle name="Normal 5 3 6" xfId="37567" xr:uid="{00000000-0005-0000-0000-0000B4920000}"/>
    <cellStyle name="Normal 5 3 7" xfId="37568" xr:uid="{00000000-0005-0000-0000-0000B5920000}"/>
    <cellStyle name="Normal 5 3 7 2" xfId="37569" xr:uid="{00000000-0005-0000-0000-0000B6920000}"/>
    <cellStyle name="Normal 5 3 8" xfId="37570" xr:uid="{00000000-0005-0000-0000-0000B7920000}"/>
    <cellStyle name="Normal 5 3 9" xfId="37571" xr:uid="{00000000-0005-0000-0000-0000B8920000}"/>
    <cellStyle name="Normal 5 3_Implem" xfId="37572" xr:uid="{00000000-0005-0000-0000-0000B9920000}"/>
    <cellStyle name="Normal 5 30" xfId="37573" xr:uid="{00000000-0005-0000-0000-0000BA920000}"/>
    <cellStyle name="Normal 5 31" xfId="37574" xr:uid="{00000000-0005-0000-0000-0000BB920000}"/>
    <cellStyle name="Normal 5 32" xfId="37575" xr:uid="{00000000-0005-0000-0000-0000BC920000}"/>
    <cellStyle name="Normal 5 33" xfId="37576" xr:uid="{00000000-0005-0000-0000-0000BD920000}"/>
    <cellStyle name="Normal 5 34" xfId="37577" xr:uid="{00000000-0005-0000-0000-0000BE920000}"/>
    <cellStyle name="Normal 5 35" xfId="37578" xr:uid="{00000000-0005-0000-0000-0000BF920000}"/>
    <cellStyle name="Normal 5 36" xfId="37579" xr:uid="{00000000-0005-0000-0000-0000C0920000}"/>
    <cellStyle name="Normal 5 37" xfId="37580" xr:uid="{00000000-0005-0000-0000-0000C1920000}"/>
    <cellStyle name="Normal 5 38" xfId="37581" xr:uid="{00000000-0005-0000-0000-0000C2920000}"/>
    <cellStyle name="Normal 5 39" xfId="37582" xr:uid="{00000000-0005-0000-0000-0000C3920000}"/>
    <cellStyle name="Normal 5 4" xfId="42" xr:uid="{00000000-0005-0000-0000-0000C4920000}"/>
    <cellStyle name="Normal 5 4 2" xfId="37584" xr:uid="{00000000-0005-0000-0000-0000C5920000}"/>
    <cellStyle name="Normal 5 4 2 2" xfId="37585" xr:uid="{00000000-0005-0000-0000-0000C6920000}"/>
    <cellStyle name="Normal 5 4 3" xfId="37586" xr:uid="{00000000-0005-0000-0000-0000C7920000}"/>
    <cellStyle name="Normal 5 4 4" xfId="37587" xr:uid="{00000000-0005-0000-0000-0000C8920000}"/>
    <cellStyle name="Normal 5 4 5" xfId="37583" xr:uid="{00000000-0005-0000-0000-0000C9920000}"/>
    <cellStyle name="Normal 5 40" xfId="37588" xr:uid="{00000000-0005-0000-0000-0000CA920000}"/>
    <cellStyle name="Normal 5 41" xfId="37589" xr:uid="{00000000-0005-0000-0000-0000CB920000}"/>
    <cellStyle name="Normal 5 42" xfId="37590" xr:uid="{00000000-0005-0000-0000-0000CC920000}"/>
    <cellStyle name="Normal 5 43" xfId="37591" xr:uid="{00000000-0005-0000-0000-0000CD920000}"/>
    <cellStyle name="Normal 5 44" xfId="37592" xr:uid="{00000000-0005-0000-0000-0000CE920000}"/>
    <cellStyle name="Normal 5 45" xfId="37593" xr:uid="{00000000-0005-0000-0000-0000CF920000}"/>
    <cellStyle name="Normal 5 46" xfId="37594" xr:uid="{00000000-0005-0000-0000-0000D0920000}"/>
    <cellStyle name="Normal 5 47" xfId="37595" xr:uid="{00000000-0005-0000-0000-0000D1920000}"/>
    <cellStyle name="Normal 5 48" xfId="37596" xr:uid="{00000000-0005-0000-0000-0000D2920000}"/>
    <cellStyle name="Normal 5 49" xfId="37597" xr:uid="{00000000-0005-0000-0000-0000D3920000}"/>
    <cellStyle name="Normal 5 5" xfId="37598" xr:uid="{00000000-0005-0000-0000-0000D4920000}"/>
    <cellStyle name="Normal 5 5 2" xfId="37599" xr:uid="{00000000-0005-0000-0000-0000D5920000}"/>
    <cellStyle name="Normal 5 5 2 2" xfId="37600" xr:uid="{00000000-0005-0000-0000-0000D6920000}"/>
    <cellStyle name="Normal 5 5 3" xfId="37601" xr:uid="{00000000-0005-0000-0000-0000D7920000}"/>
    <cellStyle name="Normal 5 5 4" xfId="37602" xr:uid="{00000000-0005-0000-0000-0000D8920000}"/>
    <cellStyle name="Normal 5 50" xfId="37603" xr:uid="{00000000-0005-0000-0000-0000D9920000}"/>
    <cellStyle name="Normal 5 51" xfId="37604" xr:uid="{00000000-0005-0000-0000-0000DA920000}"/>
    <cellStyle name="Normal 5 52" xfId="37605" xr:uid="{00000000-0005-0000-0000-0000DB920000}"/>
    <cellStyle name="Normal 5 53" xfId="37606" xr:uid="{00000000-0005-0000-0000-0000DC920000}"/>
    <cellStyle name="Normal 5 54" xfId="37607" xr:uid="{00000000-0005-0000-0000-0000DD920000}"/>
    <cellStyle name="Normal 5 55" xfId="37608" xr:uid="{00000000-0005-0000-0000-0000DE920000}"/>
    <cellStyle name="Normal 5 56" xfId="37609" xr:uid="{00000000-0005-0000-0000-0000DF920000}"/>
    <cellStyle name="Normal 5 57" xfId="37610" xr:uid="{00000000-0005-0000-0000-0000E0920000}"/>
    <cellStyle name="Normal 5 58" xfId="37611" xr:uid="{00000000-0005-0000-0000-0000E1920000}"/>
    <cellStyle name="Normal 5 59" xfId="37612" xr:uid="{00000000-0005-0000-0000-0000E2920000}"/>
    <cellStyle name="Normal 5 6" xfId="37613" xr:uid="{00000000-0005-0000-0000-0000E3920000}"/>
    <cellStyle name="Normal 5 6 2" xfId="37614" xr:uid="{00000000-0005-0000-0000-0000E4920000}"/>
    <cellStyle name="Normal 5 6 2 2" xfId="37615" xr:uid="{00000000-0005-0000-0000-0000E5920000}"/>
    <cellStyle name="Normal 5 6 3" xfId="37616" xr:uid="{00000000-0005-0000-0000-0000E6920000}"/>
    <cellStyle name="Normal 5 6 4" xfId="37617" xr:uid="{00000000-0005-0000-0000-0000E7920000}"/>
    <cellStyle name="Normal 5 60" xfId="37618" xr:uid="{00000000-0005-0000-0000-0000E8920000}"/>
    <cellStyle name="Normal 5 7" xfId="37619" xr:uid="{00000000-0005-0000-0000-0000E9920000}"/>
    <cellStyle name="Normal 5 7 2" xfId="37620" xr:uid="{00000000-0005-0000-0000-0000EA920000}"/>
    <cellStyle name="Normal 5 7 2 2" xfId="37621" xr:uid="{00000000-0005-0000-0000-0000EB920000}"/>
    <cellStyle name="Normal 5 7 3" xfId="37622" xr:uid="{00000000-0005-0000-0000-0000EC920000}"/>
    <cellStyle name="Normal 5 7 4" xfId="37623" xr:uid="{00000000-0005-0000-0000-0000ED920000}"/>
    <cellStyle name="Normal 5 8" xfId="37624" xr:uid="{00000000-0005-0000-0000-0000EE920000}"/>
    <cellStyle name="Normal 5 8 2" xfId="37625" xr:uid="{00000000-0005-0000-0000-0000EF920000}"/>
    <cellStyle name="Normal 5 8 2 2" xfId="37626" xr:uid="{00000000-0005-0000-0000-0000F0920000}"/>
    <cellStyle name="Normal 5 8 3" xfId="37627" xr:uid="{00000000-0005-0000-0000-0000F1920000}"/>
    <cellStyle name="Normal 5 8 4" xfId="37628" xr:uid="{00000000-0005-0000-0000-0000F2920000}"/>
    <cellStyle name="Normal 5 9" xfId="37629" xr:uid="{00000000-0005-0000-0000-0000F3920000}"/>
    <cellStyle name="Normal 5 9 2" xfId="37630" xr:uid="{00000000-0005-0000-0000-0000F4920000}"/>
    <cellStyle name="Normal 5 9 2 2" xfId="37631" xr:uid="{00000000-0005-0000-0000-0000F5920000}"/>
    <cellStyle name="Normal 5 9 3" xfId="37632" xr:uid="{00000000-0005-0000-0000-0000F6920000}"/>
    <cellStyle name="Normal 5 9 4" xfId="37633" xr:uid="{00000000-0005-0000-0000-0000F7920000}"/>
    <cellStyle name="Normal 50" xfId="37634" xr:uid="{00000000-0005-0000-0000-0000F8920000}"/>
    <cellStyle name="Normal 50 10" xfId="37635" xr:uid="{00000000-0005-0000-0000-0000F9920000}"/>
    <cellStyle name="Normal 50 11" xfId="37636" xr:uid="{00000000-0005-0000-0000-0000FA920000}"/>
    <cellStyle name="Normal 50 12" xfId="37637" xr:uid="{00000000-0005-0000-0000-0000FB920000}"/>
    <cellStyle name="Normal 50 13" xfId="37638" xr:uid="{00000000-0005-0000-0000-0000FC920000}"/>
    <cellStyle name="Normal 50 14" xfId="37639" xr:uid="{00000000-0005-0000-0000-0000FD920000}"/>
    <cellStyle name="Normal 50 15" xfId="37640" xr:uid="{00000000-0005-0000-0000-0000FE920000}"/>
    <cellStyle name="Normal 50 16" xfId="37641" xr:uid="{00000000-0005-0000-0000-0000FF920000}"/>
    <cellStyle name="Normal 50 17" xfId="37642" xr:uid="{00000000-0005-0000-0000-000000930000}"/>
    <cellStyle name="Normal 50 18" xfId="37643" xr:uid="{00000000-0005-0000-0000-000001930000}"/>
    <cellStyle name="Normal 50 19" xfId="37644" xr:uid="{00000000-0005-0000-0000-000002930000}"/>
    <cellStyle name="Normal 50 2" xfId="37645" xr:uid="{00000000-0005-0000-0000-000003930000}"/>
    <cellStyle name="Normal 50 2 2" xfId="37646" xr:uid="{00000000-0005-0000-0000-000004930000}"/>
    <cellStyle name="Normal 50 20" xfId="37647" xr:uid="{00000000-0005-0000-0000-000005930000}"/>
    <cellStyle name="Normal 50 21" xfId="37648" xr:uid="{00000000-0005-0000-0000-000006930000}"/>
    <cellStyle name="Normal 50 22" xfId="37649" xr:uid="{00000000-0005-0000-0000-000007930000}"/>
    <cellStyle name="Normal 50 23" xfId="37650" xr:uid="{00000000-0005-0000-0000-000008930000}"/>
    <cellStyle name="Normal 50 24" xfId="37651" xr:uid="{00000000-0005-0000-0000-000009930000}"/>
    <cellStyle name="Normal 50 25" xfId="37652" xr:uid="{00000000-0005-0000-0000-00000A930000}"/>
    <cellStyle name="Normal 50 26" xfId="37653" xr:uid="{00000000-0005-0000-0000-00000B930000}"/>
    <cellStyle name="Normal 50 3" xfId="37654" xr:uid="{00000000-0005-0000-0000-00000C930000}"/>
    <cellStyle name="Normal 50 3 2" xfId="37655" xr:uid="{00000000-0005-0000-0000-00000D930000}"/>
    <cellStyle name="Normal 50 4" xfId="37656" xr:uid="{00000000-0005-0000-0000-00000E930000}"/>
    <cellStyle name="Normal 50 4 2" xfId="37657" xr:uid="{00000000-0005-0000-0000-00000F930000}"/>
    <cellStyle name="Normal 50 5" xfId="37658" xr:uid="{00000000-0005-0000-0000-000010930000}"/>
    <cellStyle name="Normal 50 5 2" xfId="37659" xr:uid="{00000000-0005-0000-0000-000011930000}"/>
    <cellStyle name="Normal 50 6" xfId="37660" xr:uid="{00000000-0005-0000-0000-000012930000}"/>
    <cellStyle name="Normal 50 7" xfId="37661" xr:uid="{00000000-0005-0000-0000-000013930000}"/>
    <cellStyle name="Normal 50 8" xfId="37662" xr:uid="{00000000-0005-0000-0000-000014930000}"/>
    <cellStyle name="Normal 50 9" xfId="37663" xr:uid="{00000000-0005-0000-0000-000015930000}"/>
    <cellStyle name="Normal 51" xfId="37664" xr:uid="{00000000-0005-0000-0000-000016930000}"/>
    <cellStyle name="Normal 52" xfId="37665" xr:uid="{00000000-0005-0000-0000-000017930000}"/>
    <cellStyle name="Normal 53" xfId="37666" xr:uid="{00000000-0005-0000-0000-000018930000}"/>
    <cellStyle name="Normal 54" xfId="37667" xr:uid="{00000000-0005-0000-0000-000019930000}"/>
    <cellStyle name="Normal 55" xfId="37668" xr:uid="{00000000-0005-0000-0000-00001A930000}"/>
    <cellStyle name="Normal 56" xfId="37669" xr:uid="{00000000-0005-0000-0000-00001B930000}"/>
    <cellStyle name="Normal 57" xfId="37670" xr:uid="{00000000-0005-0000-0000-00001C930000}"/>
    <cellStyle name="Normal 58" xfId="37671" xr:uid="{00000000-0005-0000-0000-00001D930000}"/>
    <cellStyle name="Normal 59" xfId="37672" xr:uid="{00000000-0005-0000-0000-00001E930000}"/>
    <cellStyle name="Normal 6" xfId="44" xr:uid="{00000000-0005-0000-0000-00001F930000}"/>
    <cellStyle name="Normal 6 10" xfId="37674" xr:uid="{00000000-0005-0000-0000-000020930000}"/>
    <cellStyle name="Normal 6 11" xfId="37675" xr:uid="{00000000-0005-0000-0000-000021930000}"/>
    <cellStyle name="Normal 6 12" xfId="37676" xr:uid="{00000000-0005-0000-0000-000022930000}"/>
    <cellStyle name="Normal 6 13" xfId="37677" xr:uid="{00000000-0005-0000-0000-000023930000}"/>
    <cellStyle name="Normal 6 14" xfId="37678" xr:uid="{00000000-0005-0000-0000-000024930000}"/>
    <cellStyle name="Normal 6 15" xfId="37679" xr:uid="{00000000-0005-0000-0000-000025930000}"/>
    <cellStyle name="Normal 6 16" xfId="37680" xr:uid="{00000000-0005-0000-0000-000026930000}"/>
    <cellStyle name="Normal 6 17" xfId="37681" xr:uid="{00000000-0005-0000-0000-000027930000}"/>
    <cellStyle name="Normal 6 18" xfId="37682" xr:uid="{00000000-0005-0000-0000-000028930000}"/>
    <cellStyle name="Normal 6 19" xfId="37683" xr:uid="{00000000-0005-0000-0000-000029930000}"/>
    <cellStyle name="Normal 6 2" xfId="37684" xr:uid="{00000000-0005-0000-0000-00002A930000}"/>
    <cellStyle name="Normal 6 2 10" xfId="37685" xr:uid="{00000000-0005-0000-0000-00002B930000}"/>
    <cellStyle name="Normal 6 2 11" xfId="37686" xr:uid="{00000000-0005-0000-0000-00002C930000}"/>
    <cellStyle name="Normal 6 2 12" xfId="37687" xr:uid="{00000000-0005-0000-0000-00002D930000}"/>
    <cellStyle name="Normal 6 2 13" xfId="37688" xr:uid="{00000000-0005-0000-0000-00002E930000}"/>
    <cellStyle name="Normal 6 2 14" xfId="37689" xr:uid="{00000000-0005-0000-0000-00002F930000}"/>
    <cellStyle name="Normal 6 2 15" xfId="37690" xr:uid="{00000000-0005-0000-0000-000030930000}"/>
    <cellStyle name="Normal 6 2 16" xfId="37691" xr:uid="{00000000-0005-0000-0000-000031930000}"/>
    <cellStyle name="Normal 6 2 17" xfId="37692" xr:uid="{00000000-0005-0000-0000-000032930000}"/>
    <cellStyle name="Normal 6 2 18" xfId="37693" xr:uid="{00000000-0005-0000-0000-000033930000}"/>
    <cellStyle name="Normal 6 2 19" xfId="37694" xr:uid="{00000000-0005-0000-0000-000034930000}"/>
    <cellStyle name="Normal 6 2 2" xfId="37695" xr:uid="{00000000-0005-0000-0000-000035930000}"/>
    <cellStyle name="Normal 6 2 20" xfId="37696" xr:uid="{00000000-0005-0000-0000-000036930000}"/>
    <cellStyle name="Normal 6 2 21" xfId="37697" xr:uid="{00000000-0005-0000-0000-000037930000}"/>
    <cellStyle name="Normal 6 2 22" xfId="37698" xr:uid="{00000000-0005-0000-0000-000038930000}"/>
    <cellStyle name="Normal 6 2 23" xfId="37699" xr:uid="{00000000-0005-0000-0000-000039930000}"/>
    <cellStyle name="Normal 6 2 24" xfId="37700" xr:uid="{00000000-0005-0000-0000-00003A930000}"/>
    <cellStyle name="Normal 6 2 25" xfId="37701" xr:uid="{00000000-0005-0000-0000-00003B930000}"/>
    <cellStyle name="Normal 6 2 26" xfId="37702" xr:uid="{00000000-0005-0000-0000-00003C930000}"/>
    <cellStyle name="Normal 6 2 27" xfId="37703" xr:uid="{00000000-0005-0000-0000-00003D930000}"/>
    <cellStyle name="Normal 6 2 28" xfId="37704" xr:uid="{00000000-0005-0000-0000-00003E930000}"/>
    <cellStyle name="Normal 6 2 29" xfId="37705" xr:uid="{00000000-0005-0000-0000-00003F930000}"/>
    <cellStyle name="Normal 6 2 3" xfId="37706" xr:uid="{00000000-0005-0000-0000-000040930000}"/>
    <cellStyle name="Normal 6 2 30" xfId="37707" xr:uid="{00000000-0005-0000-0000-000041930000}"/>
    <cellStyle name="Normal 6 2 31" xfId="37708" xr:uid="{00000000-0005-0000-0000-000042930000}"/>
    <cellStyle name="Normal 6 2 32" xfId="37709" xr:uid="{00000000-0005-0000-0000-000043930000}"/>
    <cellStyle name="Normal 6 2 33" xfId="37710" xr:uid="{00000000-0005-0000-0000-000044930000}"/>
    <cellStyle name="Normal 6 2 34" xfId="37711" xr:uid="{00000000-0005-0000-0000-000045930000}"/>
    <cellStyle name="Normal 6 2 35" xfId="37712" xr:uid="{00000000-0005-0000-0000-000046930000}"/>
    <cellStyle name="Normal 6 2 36" xfId="37713" xr:uid="{00000000-0005-0000-0000-000047930000}"/>
    <cellStyle name="Normal 6 2 37" xfId="37714" xr:uid="{00000000-0005-0000-0000-000048930000}"/>
    <cellStyle name="Normal 6 2 38" xfId="37715" xr:uid="{00000000-0005-0000-0000-000049930000}"/>
    <cellStyle name="Normal 6 2 39" xfId="37716" xr:uid="{00000000-0005-0000-0000-00004A930000}"/>
    <cellStyle name="Normal 6 2 4" xfId="37717" xr:uid="{00000000-0005-0000-0000-00004B930000}"/>
    <cellStyle name="Normal 6 2 40" xfId="37718" xr:uid="{00000000-0005-0000-0000-00004C930000}"/>
    <cellStyle name="Normal 6 2 41" xfId="37719" xr:uid="{00000000-0005-0000-0000-00004D930000}"/>
    <cellStyle name="Normal 6 2 42" xfId="37720" xr:uid="{00000000-0005-0000-0000-00004E930000}"/>
    <cellStyle name="Normal 6 2 43" xfId="37721" xr:uid="{00000000-0005-0000-0000-00004F930000}"/>
    <cellStyle name="Normal 6 2 44" xfId="37722" xr:uid="{00000000-0005-0000-0000-000050930000}"/>
    <cellStyle name="Normal 6 2 45" xfId="37723" xr:uid="{00000000-0005-0000-0000-000051930000}"/>
    <cellStyle name="Normal 6 2 46" xfId="37724" xr:uid="{00000000-0005-0000-0000-000052930000}"/>
    <cellStyle name="Normal 6 2 47" xfId="37725" xr:uid="{00000000-0005-0000-0000-000053930000}"/>
    <cellStyle name="Normal 6 2 48" xfId="37726" xr:uid="{00000000-0005-0000-0000-000054930000}"/>
    <cellStyle name="Normal 6 2 49" xfId="37727" xr:uid="{00000000-0005-0000-0000-000055930000}"/>
    <cellStyle name="Normal 6 2 5" xfId="37728" xr:uid="{00000000-0005-0000-0000-000056930000}"/>
    <cellStyle name="Normal 6 2 50" xfId="37729" xr:uid="{00000000-0005-0000-0000-000057930000}"/>
    <cellStyle name="Normal 6 2 51" xfId="37730" xr:uid="{00000000-0005-0000-0000-000058930000}"/>
    <cellStyle name="Normal 6 2 52" xfId="37731" xr:uid="{00000000-0005-0000-0000-000059930000}"/>
    <cellStyle name="Normal 6 2 53" xfId="37732" xr:uid="{00000000-0005-0000-0000-00005A930000}"/>
    <cellStyle name="Normal 6 2 54" xfId="37733" xr:uid="{00000000-0005-0000-0000-00005B930000}"/>
    <cellStyle name="Normal 6 2 55" xfId="37734" xr:uid="{00000000-0005-0000-0000-00005C930000}"/>
    <cellStyle name="Normal 6 2 56" xfId="37735" xr:uid="{00000000-0005-0000-0000-00005D930000}"/>
    <cellStyle name="Normal 6 2 57" xfId="37736" xr:uid="{00000000-0005-0000-0000-00005E930000}"/>
    <cellStyle name="Normal 6 2 58" xfId="37737" xr:uid="{00000000-0005-0000-0000-00005F930000}"/>
    <cellStyle name="Normal 6 2 59" xfId="37738" xr:uid="{00000000-0005-0000-0000-000060930000}"/>
    <cellStyle name="Normal 6 2 6" xfId="37739" xr:uid="{00000000-0005-0000-0000-000061930000}"/>
    <cellStyle name="Normal 6 2 60" xfId="37740" xr:uid="{00000000-0005-0000-0000-000062930000}"/>
    <cellStyle name="Normal 6 2 61" xfId="37741" xr:uid="{00000000-0005-0000-0000-000063930000}"/>
    <cellStyle name="Normal 6 2 62" xfId="37742" xr:uid="{00000000-0005-0000-0000-000064930000}"/>
    <cellStyle name="Normal 6 2 63" xfId="37743" xr:uid="{00000000-0005-0000-0000-000065930000}"/>
    <cellStyle name="Normal 6 2 64" xfId="37744" xr:uid="{00000000-0005-0000-0000-000066930000}"/>
    <cellStyle name="Normal 6 2 65" xfId="37745" xr:uid="{00000000-0005-0000-0000-000067930000}"/>
    <cellStyle name="Normal 6 2 66" xfId="37746" xr:uid="{00000000-0005-0000-0000-000068930000}"/>
    <cellStyle name="Normal 6 2 67" xfId="37747" xr:uid="{00000000-0005-0000-0000-000069930000}"/>
    <cellStyle name="Normal 6 2 68" xfId="37748" xr:uid="{00000000-0005-0000-0000-00006A930000}"/>
    <cellStyle name="Normal 6 2 69" xfId="37749" xr:uid="{00000000-0005-0000-0000-00006B930000}"/>
    <cellStyle name="Normal 6 2 7" xfId="37750" xr:uid="{00000000-0005-0000-0000-00006C930000}"/>
    <cellStyle name="Normal 6 2 70" xfId="37751" xr:uid="{00000000-0005-0000-0000-00006D930000}"/>
    <cellStyle name="Normal 6 2 71" xfId="37752" xr:uid="{00000000-0005-0000-0000-00006E930000}"/>
    <cellStyle name="Normal 6 2 72" xfId="37753" xr:uid="{00000000-0005-0000-0000-00006F930000}"/>
    <cellStyle name="Normal 6 2 73" xfId="37754" xr:uid="{00000000-0005-0000-0000-000070930000}"/>
    <cellStyle name="Normal 6 2 74" xfId="37755" xr:uid="{00000000-0005-0000-0000-000071930000}"/>
    <cellStyle name="Normal 6 2 75" xfId="37756" xr:uid="{00000000-0005-0000-0000-000072930000}"/>
    <cellStyle name="Normal 6 2 76" xfId="37757" xr:uid="{00000000-0005-0000-0000-000073930000}"/>
    <cellStyle name="Normal 6 2 77" xfId="37758" xr:uid="{00000000-0005-0000-0000-000074930000}"/>
    <cellStyle name="Normal 6 2 78" xfId="37759" xr:uid="{00000000-0005-0000-0000-000075930000}"/>
    <cellStyle name="Normal 6 2 79" xfId="37760" xr:uid="{00000000-0005-0000-0000-000076930000}"/>
    <cellStyle name="Normal 6 2 8" xfId="37761" xr:uid="{00000000-0005-0000-0000-000077930000}"/>
    <cellStyle name="Normal 6 2 80" xfId="37762" xr:uid="{00000000-0005-0000-0000-000078930000}"/>
    <cellStyle name="Normal 6 2 81" xfId="37763" xr:uid="{00000000-0005-0000-0000-000079930000}"/>
    <cellStyle name="Normal 6 2 82" xfId="37764" xr:uid="{00000000-0005-0000-0000-00007A930000}"/>
    <cellStyle name="Normal 6 2 83" xfId="37765" xr:uid="{00000000-0005-0000-0000-00007B930000}"/>
    <cellStyle name="Normal 6 2 84" xfId="37766" xr:uid="{00000000-0005-0000-0000-00007C930000}"/>
    <cellStyle name="Normal 6 2 85" xfId="37767" xr:uid="{00000000-0005-0000-0000-00007D930000}"/>
    <cellStyle name="Normal 6 2 86" xfId="37768" xr:uid="{00000000-0005-0000-0000-00007E930000}"/>
    <cellStyle name="Normal 6 2 9" xfId="37769" xr:uid="{00000000-0005-0000-0000-00007F930000}"/>
    <cellStyle name="Normal 6 2_Xa Parametrización de Usuarios" xfId="37770" xr:uid="{00000000-0005-0000-0000-000080930000}"/>
    <cellStyle name="Normal 6 20" xfId="37771" xr:uid="{00000000-0005-0000-0000-000081930000}"/>
    <cellStyle name="Normal 6 21" xfId="37772" xr:uid="{00000000-0005-0000-0000-000082930000}"/>
    <cellStyle name="Normal 6 22" xfId="37773" xr:uid="{00000000-0005-0000-0000-000083930000}"/>
    <cellStyle name="Normal 6 23" xfId="37774" xr:uid="{00000000-0005-0000-0000-000084930000}"/>
    <cellStyle name="Normal 6 24" xfId="37775" xr:uid="{00000000-0005-0000-0000-000085930000}"/>
    <cellStyle name="Normal 6 25" xfId="37776" xr:uid="{00000000-0005-0000-0000-000086930000}"/>
    <cellStyle name="Normal 6 26" xfId="37777" xr:uid="{00000000-0005-0000-0000-000087930000}"/>
    <cellStyle name="Normal 6 27" xfId="37778" xr:uid="{00000000-0005-0000-0000-000088930000}"/>
    <cellStyle name="Normal 6 28" xfId="37779" xr:uid="{00000000-0005-0000-0000-000089930000}"/>
    <cellStyle name="Normal 6 29" xfId="37780" xr:uid="{00000000-0005-0000-0000-00008A930000}"/>
    <cellStyle name="Normal 6 3" xfId="37781" xr:uid="{00000000-0005-0000-0000-00008B930000}"/>
    <cellStyle name="Normal 6 3 10" xfId="37782" xr:uid="{00000000-0005-0000-0000-00008C930000}"/>
    <cellStyle name="Normal 6 3 11" xfId="37783" xr:uid="{00000000-0005-0000-0000-00008D930000}"/>
    <cellStyle name="Normal 6 3 12" xfId="37784" xr:uid="{00000000-0005-0000-0000-00008E930000}"/>
    <cellStyle name="Normal 6 3 2" xfId="37785" xr:uid="{00000000-0005-0000-0000-00008F930000}"/>
    <cellStyle name="Normal 6 3 3" xfId="37786" xr:uid="{00000000-0005-0000-0000-000090930000}"/>
    <cellStyle name="Normal 6 3 4" xfId="37787" xr:uid="{00000000-0005-0000-0000-000091930000}"/>
    <cellStyle name="Normal 6 3 5" xfId="37788" xr:uid="{00000000-0005-0000-0000-000092930000}"/>
    <cellStyle name="Normal 6 3 6" xfId="37789" xr:uid="{00000000-0005-0000-0000-000093930000}"/>
    <cellStyle name="Normal 6 3 7" xfId="37790" xr:uid="{00000000-0005-0000-0000-000094930000}"/>
    <cellStyle name="Normal 6 3 8" xfId="37791" xr:uid="{00000000-0005-0000-0000-000095930000}"/>
    <cellStyle name="Normal 6 3 9" xfId="37792" xr:uid="{00000000-0005-0000-0000-000096930000}"/>
    <cellStyle name="Normal 6 3_Xa Parametrización de Usuarios" xfId="37793" xr:uid="{00000000-0005-0000-0000-000097930000}"/>
    <cellStyle name="Normal 6 30" xfId="39190" xr:uid="{00000000-0005-0000-0000-000098930000}"/>
    <cellStyle name="Normal 6 31" xfId="37673" xr:uid="{00000000-0005-0000-0000-000099930000}"/>
    <cellStyle name="Normal 6 4" xfId="37794" xr:uid="{00000000-0005-0000-0000-00009A930000}"/>
    <cellStyle name="Normal 6 5" xfId="37795" xr:uid="{00000000-0005-0000-0000-00009B930000}"/>
    <cellStyle name="Normal 6 6" xfId="37796" xr:uid="{00000000-0005-0000-0000-00009C930000}"/>
    <cellStyle name="Normal 6 7" xfId="37797" xr:uid="{00000000-0005-0000-0000-00009D930000}"/>
    <cellStyle name="Normal 6 8" xfId="37798" xr:uid="{00000000-0005-0000-0000-00009E930000}"/>
    <cellStyle name="Normal 6 9" xfId="37799" xr:uid="{00000000-0005-0000-0000-00009F930000}"/>
    <cellStyle name="Normal 60" xfId="37800" xr:uid="{00000000-0005-0000-0000-0000A0930000}"/>
    <cellStyle name="Normal 61" xfId="37801" xr:uid="{00000000-0005-0000-0000-0000A1930000}"/>
    <cellStyle name="Normal 61 2" xfId="37802" xr:uid="{00000000-0005-0000-0000-0000A2930000}"/>
    <cellStyle name="Normal 61 2 2" xfId="37803" xr:uid="{00000000-0005-0000-0000-0000A3930000}"/>
    <cellStyle name="Normal 61 2 3" xfId="37804" xr:uid="{00000000-0005-0000-0000-0000A4930000}"/>
    <cellStyle name="Normal 61 3" xfId="37805" xr:uid="{00000000-0005-0000-0000-0000A5930000}"/>
    <cellStyle name="Normal 62" xfId="37806" xr:uid="{00000000-0005-0000-0000-0000A6930000}"/>
    <cellStyle name="Normal 62 2" xfId="37807" xr:uid="{00000000-0005-0000-0000-0000A7930000}"/>
    <cellStyle name="Normal 62 3" xfId="37808" xr:uid="{00000000-0005-0000-0000-0000A8930000}"/>
    <cellStyle name="Normal 62 4" xfId="39191" xr:uid="{00000000-0005-0000-0000-0000A9930000}"/>
    <cellStyle name="Normal 63" xfId="37809" xr:uid="{00000000-0005-0000-0000-0000AA930000}"/>
    <cellStyle name="Normal 63 2" xfId="37810" xr:uid="{00000000-0005-0000-0000-0000AB930000}"/>
    <cellStyle name="Normal 63 3" xfId="37811" xr:uid="{00000000-0005-0000-0000-0000AC930000}"/>
    <cellStyle name="Normal 63 4" xfId="37812" xr:uid="{00000000-0005-0000-0000-0000AD930000}"/>
    <cellStyle name="Normal 63 5" xfId="39192" xr:uid="{00000000-0005-0000-0000-0000AE930000}"/>
    <cellStyle name="Normal 64" xfId="37813" xr:uid="{00000000-0005-0000-0000-0000AF930000}"/>
    <cellStyle name="Normal 64 2" xfId="37814" xr:uid="{00000000-0005-0000-0000-0000B0930000}"/>
    <cellStyle name="Normal 64 3" xfId="37815" xr:uid="{00000000-0005-0000-0000-0000B1930000}"/>
    <cellStyle name="Normal 64 4" xfId="37816" xr:uid="{00000000-0005-0000-0000-0000B2930000}"/>
    <cellStyle name="Normal 64 5" xfId="39193" xr:uid="{00000000-0005-0000-0000-0000B3930000}"/>
    <cellStyle name="Normal 65" xfId="37817" xr:uid="{00000000-0005-0000-0000-0000B4930000}"/>
    <cellStyle name="Normal 65 2" xfId="37818" xr:uid="{00000000-0005-0000-0000-0000B5930000}"/>
    <cellStyle name="Normal 65 3" xfId="37819" xr:uid="{00000000-0005-0000-0000-0000B6930000}"/>
    <cellStyle name="Normal 66" xfId="37820" xr:uid="{00000000-0005-0000-0000-0000B7930000}"/>
    <cellStyle name="Normal 66 2" xfId="37821" xr:uid="{00000000-0005-0000-0000-0000B8930000}"/>
    <cellStyle name="Normal 66 3" xfId="37822" xr:uid="{00000000-0005-0000-0000-0000B9930000}"/>
    <cellStyle name="Normal 66 4" xfId="39194" xr:uid="{00000000-0005-0000-0000-0000BA930000}"/>
    <cellStyle name="Normal 67" xfId="37823" xr:uid="{00000000-0005-0000-0000-0000BB930000}"/>
    <cellStyle name="Normal 67 2" xfId="37824" xr:uid="{00000000-0005-0000-0000-0000BC930000}"/>
    <cellStyle name="Normal 67 3" xfId="39195" xr:uid="{00000000-0005-0000-0000-0000BD930000}"/>
    <cellStyle name="Normal 68" xfId="37825" xr:uid="{00000000-0005-0000-0000-0000BE930000}"/>
    <cellStyle name="Normal 68 2" xfId="37826" xr:uid="{00000000-0005-0000-0000-0000BF930000}"/>
    <cellStyle name="Normal 68 3" xfId="39196" xr:uid="{00000000-0005-0000-0000-0000C0930000}"/>
    <cellStyle name="Normal 69" xfId="37827" xr:uid="{00000000-0005-0000-0000-0000C1930000}"/>
    <cellStyle name="Normal 69 2" xfId="37828" xr:uid="{00000000-0005-0000-0000-0000C2930000}"/>
    <cellStyle name="Normal 69 3" xfId="37829" xr:uid="{00000000-0005-0000-0000-0000C3930000}"/>
    <cellStyle name="Normal 69 4" xfId="39197" xr:uid="{00000000-0005-0000-0000-0000C4930000}"/>
    <cellStyle name="Normal 7" xfId="2" xr:uid="{00000000-0005-0000-0000-0000C5930000}"/>
    <cellStyle name="Normal 7 10" xfId="64" xr:uid="{00000000-0005-0000-0000-0000C6930000}"/>
    <cellStyle name="Normal 7 11" xfId="37830" xr:uid="{00000000-0005-0000-0000-0000C7930000}"/>
    <cellStyle name="Normal 7 12" xfId="37831" xr:uid="{00000000-0005-0000-0000-0000C8930000}"/>
    <cellStyle name="Normal 7 13" xfId="37832" xr:uid="{00000000-0005-0000-0000-0000C9930000}"/>
    <cellStyle name="Normal 7 14" xfId="37833" xr:uid="{00000000-0005-0000-0000-0000CA930000}"/>
    <cellStyle name="Normal 7 15" xfId="37834" xr:uid="{00000000-0005-0000-0000-0000CB930000}"/>
    <cellStyle name="Normal 7 16" xfId="37835" xr:uid="{00000000-0005-0000-0000-0000CC930000}"/>
    <cellStyle name="Normal 7 17" xfId="37836" xr:uid="{00000000-0005-0000-0000-0000CD930000}"/>
    <cellStyle name="Normal 7 18" xfId="37837" xr:uid="{00000000-0005-0000-0000-0000CE930000}"/>
    <cellStyle name="Normal 7 19" xfId="37838" xr:uid="{00000000-0005-0000-0000-0000CF930000}"/>
    <cellStyle name="Normal 7 2" xfId="7" xr:uid="{00000000-0005-0000-0000-0000D0930000}"/>
    <cellStyle name="Normal 7 2 10" xfId="37839" xr:uid="{00000000-0005-0000-0000-0000D1930000}"/>
    <cellStyle name="Normal 7 2 11" xfId="37840" xr:uid="{00000000-0005-0000-0000-0000D2930000}"/>
    <cellStyle name="Normal 7 2 12" xfId="37841" xr:uid="{00000000-0005-0000-0000-0000D3930000}"/>
    <cellStyle name="Normal 7 2 13" xfId="37842" xr:uid="{00000000-0005-0000-0000-0000D4930000}"/>
    <cellStyle name="Normal 7 2 14" xfId="37843" xr:uid="{00000000-0005-0000-0000-0000D5930000}"/>
    <cellStyle name="Normal 7 2 15" xfId="37844" xr:uid="{00000000-0005-0000-0000-0000D6930000}"/>
    <cellStyle name="Normal 7 2 16" xfId="37845" xr:uid="{00000000-0005-0000-0000-0000D7930000}"/>
    <cellStyle name="Normal 7 2 17" xfId="37846" xr:uid="{00000000-0005-0000-0000-0000D8930000}"/>
    <cellStyle name="Normal 7 2 18" xfId="37847" xr:uid="{00000000-0005-0000-0000-0000D9930000}"/>
    <cellStyle name="Normal 7 2 19" xfId="37848" xr:uid="{00000000-0005-0000-0000-0000DA930000}"/>
    <cellStyle name="Normal 7 2 2" xfId="37849" xr:uid="{00000000-0005-0000-0000-0000DB930000}"/>
    <cellStyle name="Normal 7 2 2 2" xfId="37850" xr:uid="{00000000-0005-0000-0000-0000DC930000}"/>
    <cellStyle name="Normal 7 2 2 2 2" xfId="37851" xr:uid="{00000000-0005-0000-0000-0000DD930000}"/>
    <cellStyle name="Normal 7 2 20" xfId="37852" xr:uid="{00000000-0005-0000-0000-0000DE930000}"/>
    <cellStyle name="Normal 7 2 21" xfId="37853" xr:uid="{00000000-0005-0000-0000-0000DF930000}"/>
    <cellStyle name="Normal 7 2 22" xfId="37854" xr:uid="{00000000-0005-0000-0000-0000E0930000}"/>
    <cellStyle name="Normal 7 2 23" xfId="37855" xr:uid="{00000000-0005-0000-0000-0000E1930000}"/>
    <cellStyle name="Normal 7 2 24" xfId="37856" xr:uid="{00000000-0005-0000-0000-0000E2930000}"/>
    <cellStyle name="Normal 7 2 25" xfId="37857" xr:uid="{00000000-0005-0000-0000-0000E3930000}"/>
    <cellStyle name="Normal 7 2 26" xfId="37858" xr:uid="{00000000-0005-0000-0000-0000E4930000}"/>
    <cellStyle name="Normal 7 2 27" xfId="37859" xr:uid="{00000000-0005-0000-0000-0000E5930000}"/>
    <cellStyle name="Normal 7 2 28" xfId="37860" xr:uid="{00000000-0005-0000-0000-0000E6930000}"/>
    <cellStyle name="Normal 7 2 29" xfId="37861" xr:uid="{00000000-0005-0000-0000-0000E7930000}"/>
    <cellStyle name="Normal 7 2 3" xfId="37862" xr:uid="{00000000-0005-0000-0000-0000E8930000}"/>
    <cellStyle name="Normal 7 2 30" xfId="37863" xr:uid="{00000000-0005-0000-0000-0000E9930000}"/>
    <cellStyle name="Normal 7 2 31" xfId="37864" xr:uid="{00000000-0005-0000-0000-0000EA930000}"/>
    <cellStyle name="Normal 7 2 32" xfId="37865" xr:uid="{00000000-0005-0000-0000-0000EB930000}"/>
    <cellStyle name="Normal 7 2 33" xfId="37866" xr:uid="{00000000-0005-0000-0000-0000EC930000}"/>
    <cellStyle name="Normal 7 2 34" xfId="37867" xr:uid="{00000000-0005-0000-0000-0000ED930000}"/>
    <cellStyle name="Normal 7 2 35" xfId="37868" xr:uid="{00000000-0005-0000-0000-0000EE930000}"/>
    <cellStyle name="Normal 7 2 36" xfId="37869" xr:uid="{00000000-0005-0000-0000-0000EF930000}"/>
    <cellStyle name="Normal 7 2 37" xfId="37870" xr:uid="{00000000-0005-0000-0000-0000F0930000}"/>
    <cellStyle name="Normal 7 2 38" xfId="37871" xr:uid="{00000000-0005-0000-0000-0000F1930000}"/>
    <cellStyle name="Normal 7 2 39" xfId="37872" xr:uid="{00000000-0005-0000-0000-0000F2930000}"/>
    <cellStyle name="Normal 7 2 4" xfId="37873" xr:uid="{00000000-0005-0000-0000-0000F3930000}"/>
    <cellStyle name="Normal 7 2 40" xfId="37874" xr:uid="{00000000-0005-0000-0000-0000F4930000}"/>
    <cellStyle name="Normal 7 2 41" xfId="37875" xr:uid="{00000000-0005-0000-0000-0000F5930000}"/>
    <cellStyle name="Normal 7 2 42" xfId="37876" xr:uid="{00000000-0005-0000-0000-0000F6930000}"/>
    <cellStyle name="Normal 7 2 43" xfId="37877" xr:uid="{00000000-0005-0000-0000-0000F7930000}"/>
    <cellStyle name="Normal 7 2 44" xfId="37878" xr:uid="{00000000-0005-0000-0000-0000F8930000}"/>
    <cellStyle name="Normal 7 2 45" xfId="37879" xr:uid="{00000000-0005-0000-0000-0000F9930000}"/>
    <cellStyle name="Normal 7 2 46" xfId="37880" xr:uid="{00000000-0005-0000-0000-0000FA930000}"/>
    <cellStyle name="Normal 7 2 47" xfId="37881" xr:uid="{00000000-0005-0000-0000-0000FB930000}"/>
    <cellStyle name="Normal 7 2 48" xfId="37882" xr:uid="{00000000-0005-0000-0000-0000FC930000}"/>
    <cellStyle name="Normal 7 2 49" xfId="37883" xr:uid="{00000000-0005-0000-0000-0000FD930000}"/>
    <cellStyle name="Normal 7 2 5" xfId="37884" xr:uid="{00000000-0005-0000-0000-0000FE930000}"/>
    <cellStyle name="Normal 7 2 50" xfId="37885" xr:uid="{00000000-0005-0000-0000-0000FF930000}"/>
    <cellStyle name="Normal 7 2 51" xfId="37886" xr:uid="{00000000-0005-0000-0000-000000940000}"/>
    <cellStyle name="Normal 7 2 52" xfId="37887" xr:uid="{00000000-0005-0000-0000-000001940000}"/>
    <cellStyle name="Normal 7 2 53" xfId="37888" xr:uid="{00000000-0005-0000-0000-000002940000}"/>
    <cellStyle name="Normal 7 2 54" xfId="37889" xr:uid="{00000000-0005-0000-0000-000003940000}"/>
    <cellStyle name="Normal 7 2 55" xfId="37890" xr:uid="{00000000-0005-0000-0000-000004940000}"/>
    <cellStyle name="Normal 7 2 56" xfId="37891" xr:uid="{00000000-0005-0000-0000-000005940000}"/>
    <cellStyle name="Normal 7 2 57" xfId="37892" xr:uid="{00000000-0005-0000-0000-000006940000}"/>
    <cellStyle name="Normal 7 2 58" xfId="37893" xr:uid="{00000000-0005-0000-0000-000007940000}"/>
    <cellStyle name="Normal 7 2 59" xfId="37894" xr:uid="{00000000-0005-0000-0000-000008940000}"/>
    <cellStyle name="Normal 7 2 6" xfId="37895" xr:uid="{00000000-0005-0000-0000-000009940000}"/>
    <cellStyle name="Normal 7 2 60" xfId="37896" xr:uid="{00000000-0005-0000-0000-00000A940000}"/>
    <cellStyle name="Normal 7 2 61" xfId="37897" xr:uid="{00000000-0005-0000-0000-00000B940000}"/>
    <cellStyle name="Normal 7 2 62" xfId="37898" xr:uid="{00000000-0005-0000-0000-00000C940000}"/>
    <cellStyle name="Normal 7 2 63" xfId="37899" xr:uid="{00000000-0005-0000-0000-00000D940000}"/>
    <cellStyle name="Normal 7 2 64" xfId="37900" xr:uid="{00000000-0005-0000-0000-00000E940000}"/>
    <cellStyle name="Normal 7 2 65" xfId="37901" xr:uid="{00000000-0005-0000-0000-00000F940000}"/>
    <cellStyle name="Normal 7 2 66" xfId="37902" xr:uid="{00000000-0005-0000-0000-000010940000}"/>
    <cellStyle name="Normal 7 2 67" xfId="37903" xr:uid="{00000000-0005-0000-0000-000011940000}"/>
    <cellStyle name="Normal 7 2 68" xfId="37904" xr:uid="{00000000-0005-0000-0000-000012940000}"/>
    <cellStyle name="Normal 7 2 69" xfId="37905" xr:uid="{00000000-0005-0000-0000-000013940000}"/>
    <cellStyle name="Normal 7 2 7" xfId="37906" xr:uid="{00000000-0005-0000-0000-000014940000}"/>
    <cellStyle name="Normal 7 2 70" xfId="37907" xr:uid="{00000000-0005-0000-0000-000015940000}"/>
    <cellStyle name="Normal 7 2 71" xfId="37908" xr:uid="{00000000-0005-0000-0000-000016940000}"/>
    <cellStyle name="Normal 7 2 72" xfId="37909" xr:uid="{00000000-0005-0000-0000-000017940000}"/>
    <cellStyle name="Normal 7 2 73" xfId="37910" xr:uid="{00000000-0005-0000-0000-000018940000}"/>
    <cellStyle name="Normal 7 2 74" xfId="37911" xr:uid="{00000000-0005-0000-0000-000019940000}"/>
    <cellStyle name="Normal 7 2 75" xfId="37912" xr:uid="{00000000-0005-0000-0000-00001A940000}"/>
    <cellStyle name="Normal 7 2 76" xfId="37913" xr:uid="{00000000-0005-0000-0000-00001B940000}"/>
    <cellStyle name="Normal 7 2 77" xfId="37914" xr:uid="{00000000-0005-0000-0000-00001C940000}"/>
    <cellStyle name="Normal 7 2 78" xfId="37915" xr:uid="{00000000-0005-0000-0000-00001D940000}"/>
    <cellStyle name="Normal 7 2 79" xfId="37916" xr:uid="{00000000-0005-0000-0000-00001E940000}"/>
    <cellStyle name="Normal 7 2 8" xfId="37917" xr:uid="{00000000-0005-0000-0000-00001F940000}"/>
    <cellStyle name="Normal 7 2 80" xfId="37918" xr:uid="{00000000-0005-0000-0000-000020940000}"/>
    <cellStyle name="Normal 7 2 81" xfId="37919" xr:uid="{00000000-0005-0000-0000-000021940000}"/>
    <cellStyle name="Normal 7 2 9" xfId="37920" xr:uid="{00000000-0005-0000-0000-000022940000}"/>
    <cellStyle name="Normal 7 2_Enlaces" xfId="37921" xr:uid="{00000000-0005-0000-0000-000023940000}"/>
    <cellStyle name="Normal 7 20" xfId="37922" xr:uid="{00000000-0005-0000-0000-000024940000}"/>
    <cellStyle name="Normal 7 21" xfId="37923" xr:uid="{00000000-0005-0000-0000-000025940000}"/>
    <cellStyle name="Normal 7 22" xfId="37924" xr:uid="{00000000-0005-0000-0000-000026940000}"/>
    <cellStyle name="Normal 7 23" xfId="37925" xr:uid="{00000000-0005-0000-0000-000027940000}"/>
    <cellStyle name="Normal 7 24" xfId="37926" xr:uid="{00000000-0005-0000-0000-000028940000}"/>
    <cellStyle name="Normal 7 25" xfId="37927" xr:uid="{00000000-0005-0000-0000-000029940000}"/>
    <cellStyle name="Normal 7 26" xfId="37928" xr:uid="{00000000-0005-0000-0000-00002A940000}"/>
    <cellStyle name="Normal 7 27" xfId="37929" xr:uid="{00000000-0005-0000-0000-00002B940000}"/>
    <cellStyle name="Normal 7 28" xfId="37930" xr:uid="{00000000-0005-0000-0000-00002C940000}"/>
    <cellStyle name="Normal 7 29" xfId="37931" xr:uid="{00000000-0005-0000-0000-00002D940000}"/>
    <cellStyle name="Normal 7 3" xfId="37932" xr:uid="{00000000-0005-0000-0000-00002E940000}"/>
    <cellStyle name="Normal 7 3 2" xfId="37933" xr:uid="{00000000-0005-0000-0000-00002F940000}"/>
    <cellStyle name="Normal 7 3 3" xfId="37934" xr:uid="{00000000-0005-0000-0000-000030940000}"/>
    <cellStyle name="Normal 7 3 4" xfId="37935" xr:uid="{00000000-0005-0000-0000-000031940000}"/>
    <cellStyle name="Normal 7 3 4 2" xfId="37936" xr:uid="{00000000-0005-0000-0000-000032940000}"/>
    <cellStyle name="Normal 7 3 4 2 2" xfId="37937" xr:uid="{00000000-0005-0000-0000-000033940000}"/>
    <cellStyle name="Normal 7 3 4 3" xfId="37938" xr:uid="{00000000-0005-0000-0000-000034940000}"/>
    <cellStyle name="Normal 7 3 5" xfId="37939" xr:uid="{00000000-0005-0000-0000-000035940000}"/>
    <cellStyle name="Normal 7 3 6" xfId="37940" xr:uid="{00000000-0005-0000-0000-000036940000}"/>
    <cellStyle name="Normal 7 3 7" xfId="37941" xr:uid="{00000000-0005-0000-0000-000037940000}"/>
    <cellStyle name="Normal 7 3 7 2" xfId="37942" xr:uid="{00000000-0005-0000-0000-000038940000}"/>
    <cellStyle name="Normal 7 3_Implem" xfId="37943" xr:uid="{00000000-0005-0000-0000-000039940000}"/>
    <cellStyle name="Normal 7 30" xfId="37944" xr:uid="{00000000-0005-0000-0000-00003A940000}"/>
    <cellStyle name="Normal 7 30 2" xfId="37945" xr:uid="{00000000-0005-0000-0000-00003B940000}"/>
    <cellStyle name="Normal 7 31" xfId="37946" xr:uid="{00000000-0005-0000-0000-00003C940000}"/>
    <cellStyle name="Normal 7 32" xfId="37947" xr:uid="{00000000-0005-0000-0000-00003D940000}"/>
    <cellStyle name="Normal 7 33" xfId="37948" xr:uid="{00000000-0005-0000-0000-00003E940000}"/>
    <cellStyle name="Normal 7 34" xfId="37949" xr:uid="{00000000-0005-0000-0000-00003F940000}"/>
    <cellStyle name="Normal 7 35" xfId="37950" xr:uid="{00000000-0005-0000-0000-000040940000}"/>
    <cellStyle name="Normal 7 36" xfId="37951" xr:uid="{00000000-0005-0000-0000-000041940000}"/>
    <cellStyle name="Normal 7 37" xfId="37952" xr:uid="{00000000-0005-0000-0000-000042940000}"/>
    <cellStyle name="Normal 7 38" xfId="37953" xr:uid="{00000000-0005-0000-0000-000043940000}"/>
    <cellStyle name="Normal 7 39" xfId="37954" xr:uid="{00000000-0005-0000-0000-000044940000}"/>
    <cellStyle name="Normal 7 4" xfId="65" xr:uid="{00000000-0005-0000-0000-000045940000}"/>
    <cellStyle name="Normal 7 4 2" xfId="37955" xr:uid="{00000000-0005-0000-0000-000046940000}"/>
    <cellStyle name="Normal 7 40" xfId="37956" xr:uid="{00000000-0005-0000-0000-000047940000}"/>
    <cellStyle name="Normal 7 41" xfId="37957" xr:uid="{00000000-0005-0000-0000-000048940000}"/>
    <cellStyle name="Normal 7 42" xfId="37958" xr:uid="{00000000-0005-0000-0000-000049940000}"/>
    <cellStyle name="Normal 7 43" xfId="37959" xr:uid="{00000000-0005-0000-0000-00004A940000}"/>
    <cellStyle name="Normal 7 44" xfId="37960" xr:uid="{00000000-0005-0000-0000-00004B940000}"/>
    <cellStyle name="Normal 7 45" xfId="37961" xr:uid="{00000000-0005-0000-0000-00004C940000}"/>
    <cellStyle name="Normal 7 46" xfId="37962" xr:uid="{00000000-0005-0000-0000-00004D940000}"/>
    <cellStyle name="Normal 7 5" xfId="37963" xr:uid="{00000000-0005-0000-0000-00004E940000}"/>
    <cellStyle name="Normal 7 6" xfId="37964" xr:uid="{00000000-0005-0000-0000-00004F940000}"/>
    <cellStyle name="Normal 7 7" xfId="37965" xr:uid="{00000000-0005-0000-0000-000050940000}"/>
    <cellStyle name="Normal 7 8" xfId="37966" xr:uid="{00000000-0005-0000-0000-000051940000}"/>
    <cellStyle name="Normal 7 9" xfId="37967" xr:uid="{00000000-0005-0000-0000-000052940000}"/>
    <cellStyle name="Normal 70" xfId="37968" xr:uid="{00000000-0005-0000-0000-000053940000}"/>
    <cellStyle name="Normal 70 2" xfId="37969" xr:uid="{00000000-0005-0000-0000-000054940000}"/>
    <cellStyle name="Normal 71" xfId="37970" xr:uid="{00000000-0005-0000-0000-000055940000}"/>
    <cellStyle name="Normal 71 2" xfId="37971" xr:uid="{00000000-0005-0000-0000-000056940000}"/>
    <cellStyle name="Normal 72" xfId="37972" xr:uid="{00000000-0005-0000-0000-000057940000}"/>
    <cellStyle name="Normal 72 2" xfId="37973" xr:uid="{00000000-0005-0000-0000-000058940000}"/>
    <cellStyle name="Normal 72 3" xfId="37974" xr:uid="{00000000-0005-0000-0000-000059940000}"/>
    <cellStyle name="Normal 72 4" xfId="39198" xr:uid="{00000000-0005-0000-0000-00005A940000}"/>
    <cellStyle name="Normal 73" xfId="37975" xr:uid="{00000000-0005-0000-0000-00005B940000}"/>
    <cellStyle name="Normal 73 2" xfId="37976" xr:uid="{00000000-0005-0000-0000-00005C940000}"/>
    <cellStyle name="Normal 74" xfId="37977" xr:uid="{00000000-0005-0000-0000-00005D940000}"/>
    <cellStyle name="Normal 74 2" xfId="37978" xr:uid="{00000000-0005-0000-0000-00005E940000}"/>
    <cellStyle name="Normal 75" xfId="37979" xr:uid="{00000000-0005-0000-0000-00005F940000}"/>
    <cellStyle name="Normal 75 2" xfId="37980" xr:uid="{00000000-0005-0000-0000-000060940000}"/>
    <cellStyle name="Normal 75 3" xfId="37981" xr:uid="{00000000-0005-0000-0000-000061940000}"/>
    <cellStyle name="Normal 75 4" xfId="39199" xr:uid="{00000000-0005-0000-0000-000062940000}"/>
    <cellStyle name="Normal 76" xfId="37982" xr:uid="{00000000-0005-0000-0000-000063940000}"/>
    <cellStyle name="Normal 76 2" xfId="37983" xr:uid="{00000000-0005-0000-0000-000064940000}"/>
    <cellStyle name="Normal 76 3" xfId="37984" xr:uid="{00000000-0005-0000-0000-000065940000}"/>
    <cellStyle name="Normal 76 4" xfId="39200" xr:uid="{00000000-0005-0000-0000-000066940000}"/>
    <cellStyle name="Normal 77" xfId="37985" xr:uid="{00000000-0005-0000-0000-000067940000}"/>
    <cellStyle name="Normal 77 2" xfId="37986" xr:uid="{00000000-0005-0000-0000-000068940000}"/>
    <cellStyle name="Normal 77 3" xfId="37987" xr:uid="{00000000-0005-0000-0000-000069940000}"/>
    <cellStyle name="Normal 77 4" xfId="39201" xr:uid="{00000000-0005-0000-0000-00006A940000}"/>
    <cellStyle name="Normal 78" xfId="37988" xr:uid="{00000000-0005-0000-0000-00006B940000}"/>
    <cellStyle name="Normal 78 2" xfId="37989" xr:uid="{00000000-0005-0000-0000-00006C940000}"/>
    <cellStyle name="Normal 79" xfId="37990" xr:uid="{00000000-0005-0000-0000-00006D940000}"/>
    <cellStyle name="Normal 79 2" xfId="37991" xr:uid="{00000000-0005-0000-0000-00006E940000}"/>
    <cellStyle name="Normal 8" xfId="1" xr:uid="{00000000-0005-0000-0000-00006F940000}"/>
    <cellStyle name="Normal 8 2" xfId="66" xr:uid="{00000000-0005-0000-0000-000070940000}"/>
    <cellStyle name="Normal 8 2 2" xfId="37994" xr:uid="{00000000-0005-0000-0000-000071940000}"/>
    <cellStyle name="Normal 8 2 2 2" xfId="37995" xr:uid="{00000000-0005-0000-0000-000072940000}"/>
    <cellStyle name="Normal 8 2 3" xfId="37996" xr:uid="{00000000-0005-0000-0000-000073940000}"/>
    <cellStyle name="Normal 8 2 3 2" xfId="37997" xr:uid="{00000000-0005-0000-0000-000074940000}"/>
    <cellStyle name="Normal 8 2 4" xfId="37993" xr:uid="{00000000-0005-0000-0000-000075940000}"/>
    <cellStyle name="Normal 8 3" xfId="38" xr:uid="{00000000-0005-0000-0000-000076940000}"/>
    <cellStyle name="Normal 8 3 2" xfId="37998" xr:uid="{00000000-0005-0000-0000-000077940000}"/>
    <cellStyle name="Normal 8 4" xfId="37999" xr:uid="{00000000-0005-0000-0000-000078940000}"/>
    <cellStyle name="Normal 8 5" xfId="38000" xr:uid="{00000000-0005-0000-0000-000079940000}"/>
    <cellStyle name="Normal 8 6" xfId="38001" xr:uid="{00000000-0005-0000-0000-00007A940000}"/>
    <cellStyle name="Normal 8 7" xfId="38002" xr:uid="{00000000-0005-0000-0000-00007B940000}"/>
    <cellStyle name="Normal 8 8" xfId="38003" xr:uid="{00000000-0005-0000-0000-00007C940000}"/>
    <cellStyle name="Normal 8 8 2" xfId="38004" xr:uid="{00000000-0005-0000-0000-00007D940000}"/>
    <cellStyle name="Normal 8 9" xfId="37992" xr:uid="{00000000-0005-0000-0000-00007E940000}"/>
    <cellStyle name="Normal 80" xfId="38005" xr:uid="{00000000-0005-0000-0000-00007F940000}"/>
    <cellStyle name="Normal 80 2" xfId="38006" xr:uid="{00000000-0005-0000-0000-000080940000}"/>
    <cellStyle name="Normal 80 3" xfId="38007" xr:uid="{00000000-0005-0000-0000-000081940000}"/>
    <cellStyle name="Normal 80 4" xfId="39202" xr:uid="{00000000-0005-0000-0000-000082940000}"/>
    <cellStyle name="Normal 81" xfId="3" xr:uid="{00000000-0005-0000-0000-000083940000}"/>
    <cellStyle name="Normal 81 2" xfId="38009" xr:uid="{00000000-0005-0000-0000-000084940000}"/>
    <cellStyle name="Normal 81 3" xfId="39203" xr:uid="{00000000-0005-0000-0000-000085940000}"/>
    <cellStyle name="Normal 81 4" xfId="38008" xr:uid="{00000000-0005-0000-0000-000086940000}"/>
    <cellStyle name="Normal 82" xfId="38010" xr:uid="{00000000-0005-0000-0000-000087940000}"/>
    <cellStyle name="Normal 82 2" xfId="38011" xr:uid="{00000000-0005-0000-0000-000088940000}"/>
    <cellStyle name="Normal 83" xfId="38012" xr:uid="{00000000-0005-0000-0000-000089940000}"/>
    <cellStyle name="Normal 83 2" xfId="38013" xr:uid="{00000000-0005-0000-0000-00008A940000}"/>
    <cellStyle name="Normal 83 3" xfId="38014" xr:uid="{00000000-0005-0000-0000-00008B940000}"/>
    <cellStyle name="Normal 83 4" xfId="39204" xr:uid="{00000000-0005-0000-0000-00008C940000}"/>
    <cellStyle name="Normal 84" xfId="38015" xr:uid="{00000000-0005-0000-0000-00008D940000}"/>
    <cellStyle name="Normal 84 2" xfId="38016" xr:uid="{00000000-0005-0000-0000-00008E940000}"/>
    <cellStyle name="Normal 85" xfId="38017" xr:uid="{00000000-0005-0000-0000-00008F940000}"/>
    <cellStyle name="Normal 85 2" xfId="38018" xr:uid="{00000000-0005-0000-0000-000090940000}"/>
    <cellStyle name="Normal 85 3" xfId="38019" xr:uid="{00000000-0005-0000-0000-000091940000}"/>
    <cellStyle name="Normal 86" xfId="38020" xr:uid="{00000000-0005-0000-0000-000092940000}"/>
    <cellStyle name="Normal 86 2" xfId="38021" xr:uid="{00000000-0005-0000-0000-000093940000}"/>
    <cellStyle name="Normal 86 3" xfId="38022" xr:uid="{00000000-0005-0000-0000-000094940000}"/>
    <cellStyle name="Normal 86 4" xfId="39205" xr:uid="{00000000-0005-0000-0000-000095940000}"/>
    <cellStyle name="Normal 87" xfId="38023" xr:uid="{00000000-0005-0000-0000-000096940000}"/>
    <cellStyle name="Normal 87 2" xfId="38024" xr:uid="{00000000-0005-0000-0000-000097940000}"/>
    <cellStyle name="Normal 88" xfId="38025" xr:uid="{00000000-0005-0000-0000-000098940000}"/>
    <cellStyle name="Normal 88 2" xfId="38026" xr:uid="{00000000-0005-0000-0000-000099940000}"/>
    <cellStyle name="Normal 88 3" xfId="38027" xr:uid="{00000000-0005-0000-0000-00009A940000}"/>
    <cellStyle name="Normal 88 4" xfId="39206" xr:uid="{00000000-0005-0000-0000-00009B940000}"/>
    <cellStyle name="Normal 89" xfId="38028" xr:uid="{00000000-0005-0000-0000-00009C940000}"/>
    <cellStyle name="Normal 89 2" xfId="38029" xr:uid="{00000000-0005-0000-0000-00009D940000}"/>
    <cellStyle name="Normal 9" xfId="39" xr:uid="{00000000-0005-0000-0000-00009E940000}"/>
    <cellStyle name="Normal 9 10" xfId="38031" xr:uid="{00000000-0005-0000-0000-00009F940000}"/>
    <cellStyle name="Normal 9 11" xfId="38032" xr:uid="{00000000-0005-0000-0000-0000A0940000}"/>
    <cellStyle name="Normal 9 12" xfId="38033" xr:uid="{00000000-0005-0000-0000-0000A1940000}"/>
    <cellStyle name="Normal 9 13" xfId="38034" xr:uid="{00000000-0005-0000-0000-0000A2940000}"/>
    <cellStyle name="Normal 9 14" xfId="38035" xr:uid="{00000000-0005-0000-0000-0000A3940000}"/>
    <cellStyle name="Normal 9 15" xfId="38036" xr:uid="{00000000-0005-0000-0000-0000A4940000}"/>
    <cellStyle name="Normal 9 16" xfId="38037" xr:uid="{00000000-0005-0000-0000-0000A5940000}"/>
    <cellStyle name="Normal 9 17" xfId="38038" xr:uid="{00000000-0005-0000-0000-0000A6940000}"/>
    <cellStyle name="Normal 9 18" xfId="38039" xr:uid="{00000000-0005-0000-0000-0000A7940000}"/>
    <cellStyle name="Normal 9 19" xfId="38040" xr:uid="{00000000-0005-0000-0000-0000A8940000}"/>
    <cellStyle name="Normal 9 2" xfId="67" xr:uid="{00000000-0005-0000-0000-0000A9940000}"/>
    <cellStyle name="Normal 9 2 10" xfId="38042" xr:uid="{00000000-0005-0000-0000-0000AA940000}"/>
    <cellStyle name="Normal 9 2 11" xfId="38043" xr:uid="{00000000-0005-0000-0000-0000AB940000}"/>
    <cellStyle name="Normal 9 2 12" xfId="38044" xr:uid="{00000000-0005-0000-0000-0000AC940000}"/>
    <cellStyle name="Normal 9 2 13" xfId="38045" xr:uid="{00000000-0005-0000-0000-0000AD940000}"/>
    <cellStyle name="Normal 9 2 14" xfId="38046" xr:uid="{00000000-0005-0000-0000-0000AE940000}"/>
    <cellStyle name="Normal 9 2 15" xfId="38047" xr:uid="{00000000-0005-0000-0000-0000AF940000}"/>
    <cellStyle name="Normal 9 2 16" xfId="38048" xr:uid="{00000000-0005-0000-0000-0000B0940000}"/>
    <cellStyle name="Normal 9 2 17" xfId="38049" xr:uid="{00000000-0005-0000-0000-0000B1940000}"/>
    <cellStyle name="Normal 9 2 18" xfId="38050" xr:uid="{00000000-0005-0000-0000-0000B2940000}"/>
    <cellStyle name="Normal 9 2 19" xfId="38051" xr:uid="{00000000-0005-0000-0000-0000B3940000}"/>
    <cellStyle name="Normal 9 2 2" xfId="38052" xr:uid="{00000000-0005-0000-0000-0000B4940000}"/>
    <cellStyle name="Normal 9 2 2 2" xfId="38053" xr:uid="{00000000-0005-0000-0000-0000B5940000}"/>
    <cellStyle name="Normal 9 2 2 2 2" xfId="38054" xr:uid="{00000000-0005-0000-0000-0000B6940000}"/>
    <cellStyle name="Normal 9 2 20" xfId="38055" xr:uid="{00000000-0005-0000-0000-0000B7940000}"/>
    <cellStyle name="Normal 9 2 21" xfId="38056" xr:uid="{00000000-0005-0000-0000-0000B8940000}"/>
    <cellStyle name="Normal 9 2 22" xfId="38057" xr:uid="{00000000-0005-0000-0000-0000B9940000}"/>
    <cellStyle name="Normal 9 2 23" xfId="38058" xr:uid="{00000000-0005-0000-0000-0000BA940000}"/>
    <cellStyle name="Normal 9 2 24" xfId="38059" xr:uid="{00000000-0005-0000-0000-0000BB940000}"/>
    <cellStyle name="Normal 9 2 25" xfId="38060" xr:uid="{00000000-0005-0000-0000-0000BC940000}"/>
    <cellStyle name="Normal 9 2 26" xfId="38061" xr:uid="{00000000-0005-0000-0000-0000BD940000}"/>
    <cellStyle name="Normal 9 2 27" xfId="38062" xr:uid="{00000000-0005-0000-0000-0000BE940000}"/>
    <cellStyle name="Normal 9 2 28" xfId="38063" xr:uid="{00000000-0005-0000-0000-0000BF940000}"/>
    <cellStyle name="Normal 9 2 29" xfId="38064" xr:uid="{00000000-0005-0000-0000-0000C0940000}"/>
    <cellStyle name="Normal 9 2 3" xfId="38065" xr:uid="{00000000-0005-0000-0000-0000C1940000}"/>
    <cellStyle name="Normal 9 2 30" xfId="38066" xr:uid="{00000000-0005-0000-0000-0000C2940000}"/>
    <cellStyle name="Normal 9 2 31" xfId="38067" xr:uid="{00000000-0005-0000-0000-0000C3940000}"/>
    <cellStyle name="Normal 9 2 32" xfId="38068" xr:uid="{00000000-0005-0000-0000-0000C4940000}"/>
    <cellStyle name="Normal 9 2 33" xfId="38069" xr:uid="{00000000-0005-0000-0000-0000C5940000}"/>
    <cellStyle name="Normal 9 2 34" xfId="38070" xr:uid="{00000000-0005-0000-0000-0000C6940000}"/>
    <cellStyle name="Normal 9 2 35" xfId="38071" xr:uid="{00000000-0005-0000-0000-0000C7940000}"/>
    <cellStyle name="Normal 9 2 36" xfId="38072" xr:uid="{00000000-0005-0000-0000-0000C8940000}"/>
    <cellStyle name="Normal 9 2 37" xfId="38073" xr:uid="{00000000-0005-0000-0000-0000C9940000}"/>
    <cellStyle name="Normal 9 2 38" xfId="38074" xr:uid="{00000000-0005-0000-0000-0000CA940000}"/>
    <cellStyle name="Normal 9 2 39" xfId="38075" xr:uid="{00000000-0005-0000-0000-0000CB940000}"/>
    <cellStyle name="Normal 9 2 4" xfId="38076" xr:uid="{00000000-0005-0000-0000-0000CC940000}"/>
    <cellStyle name="Normal 9 2 40" xfId="38077" xr:uid="{00000000-0005-0000-0000-0000CD940000}"/>
    <cellStyle name="Normal 9 2 41" xfId="38078" xr:uid="{00000000-0005-0000-0000-0000CE940000}"/>
    <cellStyle name="Normal 9 2 42" xfId="38079" xr:uid="{00000000-0005-0000-0000-0000CF940000}"/>
    <cellStyle name="Normal 9 2 43" xfId="38080" xr:uid="{00000000-0005-0000-0000-0000D0940000}"/>
    <cellStyle name="Normal 9 2 44" xfId="38081" xr:uid="{00000000-0005-0000-0000-0000D1940000}"/>
    <cellStyle name="Normal 9 2 45" xfId="38082" xr:uid="{00000000-0005-0000-0000-0000D2940000}"/>
    <cellStyle name="Normal 9 2 46" xfId="38083" xr:uid="{00000000-0005-0000-0000-0000D3940000}"/>
    <cellStyle name="Normal 9 2 47" xfId="38084" xr:uid="{00000000-0005-0000-0000-0000D4940000}"/>
    <cellStyle name="Normal 9 2 48" xfId="38085" xr:uid="{00000000-0005-0000-0000-0000D5940000}"/>
    <cellStyle name="Normal 9 2 49" xfId="38086" xr:uid="{00000000-0005-0000-0000-0000D6940000}"/>
    <cellStyle name="Normal 9 2 5" xfId="38087" xr:uid="{00000000-0005-0000-0000-0000D7940000}"/>
    <cellStyle name="Normal 9 2 50" xfId="38088" xr:uid="{00000000-0005-0000-0000-0000D8940000}"/>
    <cellStyle name="Normal 9 2 51" xfId="38089" xr:uid="{00000000-0005-0000-0000-0000D9940000}"/>
    <cellStyle name="Normal 9 2 52" xfId="38090" xr:uid="{00000000-0005-0000-0000-0000DA940000}"/>
    <cellStyle name="Normal 9 2 53" xfId="38091" xr:uid="{00000000-0005-0000-0000-0000DB940000}"/>
    <cellStyle name="Normal 9 2 54" xfId="38092" xr:uid="{00000000-0005-0000-0000-0000DC940000}"/>
    <cellStyle name="Normal 9 2 55" xfId="38093" xr:uid="{00000000-0005-0000-0000-0000DD940000}"/>
    <cellStyle name="Normal 9 2 56" xfId="38094" xr:uid="{00000000-0005-0000-0000-0000DE940000}"/>
    <cellStyle name="Normal 9 2 57" xfId="38095" xr:uid="{00000000-0005-0000-0000-0000DF940000}"/>
    <cellStyle name="Normal 9 2 58" xfId="38096" xr:uid="{00000000-0005-0000-0000-0000E0940000}"/>
    <cellStyle name="Normal 9 2 59" xfId="38097" xr:uid="{00000000-0005-0000-0000-0000E1940000}"/>
    <cellStyle name="Normal 9 2 6" xfId="38098" xr:uid="{00000000-0005-0000-0000-0000E2940000}"/>
    <cellStyle name="Normal 9 2 60" xfId="38099" xr:uid="{00000000-0005-0000-0000-0000E3940000}"/>
    <cellStyle name="Normal 9 2 61" xfId="38100" xr:uid="{00000000-0005-0000-0000-0000E4940000}"/>
    <cellStyle name="Normal 9 2 62" xfId="38101" xr:uid="{00000000-0005-0000-0000-0000E5940000}"/>
    <cellStyle name="Normal 9 2 63" xfId="38102" xr:uid="{00000000-0005-0000-0000-0000E6940000}"/>
    <cellStyle name="Normal 9 2 64" xfId="38103" xr:uid="{00000000-0005-0000-0000-0000E7940000}"/>
    <cellStyle name="Normal 9 2 65" xfId="38104" xr:uid="{00000000-0005-0000-0000-0000E8940000}"/>
    <cellStyle name="Normal 9 2 66" xfId="38105" xr:uid="{00000000-0005-0000-0000-0000E9940000}"/>
    <cellStyle name="Normal 9 2 67" xfId="38106" xr:uid="{00000000-0005-0000-0000-0000EA940000}"/>
    <cellStyle name="Normal 9 2 68" xfId="38107" xr:uid="{00000000-0005-0000-0000-0000EB940000}"/>
    <cellStyle name="Normal 9 2 69" xfId="38108" xr:uid="{00000000-0005-0000-0000-0000EC940000}"/>
    <cellStyle name="Normal 9 2 7" xfId="38109" xr:uid="{00000000-0005-0000-0000-0000ED940000}"/>
    <cellStyle name="Normal 9 2 70" xfId="38110" xr:uid="{00000000-0005-0000-0000-0000EE940000}"/>
    <cellStyle name="Normal 9 2 71" xfId="38111" xr:uid="{00000000-0005-0000-0000-0000EF940000}"/>
    <cellStyle name="Normal 9 2 72" xfId="38112" xr:uid="{00000000-0005-0000-0000-0000F0940000}"/>
    <cellStyle name="Normal 9 2 73" xfId="38113" xr:uid="{00000000-0005-0000-0000-0000F1940000}"/>
    <cellStyle name="Normal 9 2 74" xfId="38114" xr:uid="{00000000-0005-0000-0000-0000F2940000}"/>
    <cellStyle name="Normal 9 2 75" xfId="38115" xr:uid="{00000000-0005-0000-0000-0000F3940000}"/>
    <cellStyle name="Normal 9 2 76" xfId="38116" xr:uid="{00000000-0005-0000-0000-0000F4940000}"/>
    <cellStyle name="Normal 9 2 77" xfId="38117" xr:uid="{00000000-0005-0000-0000-0000F5940000}"/>
    <cellStyle name="Normal 9 2 78" xfId="38118" xr:uid="{00000000-0005-0000-0000-0000F6940000}"/>
    <cellStyle name="Normal 9 2 79" xfId="38119" xr:uid="{00000000-0005-0000-0000-0000F7940000}"/>
    <cellStyle name="Normal 9 2 8" xfId="38120" xr:uid="{00000000-0005-0000-0000-0000F8940000}"/>
    <cellStyle name="Normal 9 2 80" xfId="38041" xr:uid="{00000000-0005-0000-0000-0000F9940000}"/>
    <cellStyle name="Normal 9 2 9" xfId="38121" xr:uid="{00000000-0005-0000-0000-0000FA940000}"/>
    <cellStyle name="Normal 9 2_Enlaces" xfId="38122" xr:uid="{00000000-0005-0000-0000-0000FB940000}"/>
    <cellStyle name="Normal 9 20" xfId="38123" xr:uid="{00000000-0005-0000-0000-0000FC940000}"/>
    <cellStyle name="Normal 9 20 2" xfId="38124" xr:uid="{00000000-0005-0000-0000-0000FD940000}"/>
    <cellStyle name="Normal 9 20 2 2" xfId="38125" xr:uid="{00000000-0005-0000-0000-0000FE940000}"/>
    <cellStyle name="Normal 9 20 2 3" xfId="38126" xr:uid="{00000000-0005-0000-0000-0000FF940000}"/>
    <cellStyle name="Normal 9 20 3" xfId="38127" xr:uid="{00000000-0005-0000-0000-000000950000}"/>
    <cellStyle name="Normal 9 20 4" xfId="38128" xr:uid="{00000000-0005-0000-0000-000001950000}"/>
    <cellStyle name="Normal 9 21" xfId="38129" xr:uid="{00000000-0005-0000-0000-000002950000}"/>
    <cellStyle name="Normal 9 21 2" xfId="38130" xr:uid="{00000000-0005-0000-0000-000003950000}"/>
    <cellStyle name="Normal 9 21 2 2" xfId="38131" xr:uid="{00000000-0005-0000-0000-000004950000}"/>
    <cellStyle name="Normal 9 21 2 3" xfId="38132" xr:uid="{00000000-0005-0000-0000-000005950000}"/>
    <cellStyle name="Normal 9 21 3" xfId="38133" xr:uid="{00000000-0005-0000-0000-000006950000}"/>
    <cellStyle name="Normal 9 21 4" xfId="38134" xr:uid="{00000000-0005-0000-0000-000007950000}"/>
    <cellStyle name="Normal 9 22" xfId="38135" xr:uid="{00000000-0005-0000-0000-000008950000}"/>
    <cellStyle name="Normal 9 22 2" xfId="38136" xr:uid="{00000000-0005-0000-0000-000009950000}"/>
    <cellStyle name="Normal 9 22 2 2" xfId="38137" xr:uid="{00000000-0005-0000-0000-00000A950000}"/>
    <cellStyle name="Normal 9 22 2 3" xfId="38138" xr:uid="{00000000-0005-0000-0000-00000B950000}"/>
    <cellStyle name="Normal 9 22 3" xfId="38139" xr:uid="{00000000-0005-0000-0000-00000C950000}"/>
    <cellStyle name="Normal 9 22 4" xfId="38140" xr:uid="{00000000-0005-0000-0000-00000D950000}"/>
    <cellStyle name="Normal 9 23" xfId="38141" xr:uid="{00000000-0005-0000-0000-00000E950000}"/>
    <cellStyle name="Normal 9 23 2" xfId="38142" xr:uid="{00000000-0005-0000-0000-00000F950000}"/>
    <cellStyle name="Normal 9 23 2 2" xfId="38143" xr:uid="{00000000-0005-0000-0000-000010950000}"/>
    <cellStyle name="Normal 9 23 2 3" xfId="38144" xr:uid="{00000000-0005-0000-0000-000011950000}"/>
    <cellStyle name="Normal 9 23 3" xfId="38145" xr:uid="{00000000-0005-0000-0000-000012950000}"/>
    <cellStyle name="Normal 9 23 4" xfId="38146" xr:uid="{00000000-0005-0000-0000-000013950000}"/>
    <cellStyle name="Normal 9 24" xfId="38147" xr:uid="{00000000-0005-0000-0000-000014950000}"/>
    <cellStyle name="Normal 9 24 2" xfId="38148" xr:uid="{00000000-0005-0000-0000-000015950000}"/>
    <cellStyle name="Normal 9 24 2 2" xfId="38149" xr:uid="{00000000-0005-0000-0000-000016950000}"/>
    <cellStyle name="Normal 9 24 2 3" xfId="38150" xr:uid="{00000000-0005-0000-0000-000017950000}"/>
    <cellStyle name="Normal 9 24 3" xfId="38151" xr:uid="{00000000-0005-0000-0000-000018950000}"/>
    <cellStyle name="Normal 9 24 4" xfId="38152" xr:uid="{00000000-0005-0000-0000-000019950000}"/>
    <cellStyle name="Normal 9 25" xfId="38153" xr:uid="{00000000-0005-0000-0000-00001A950000}"/>
    <cellStyle name="Normal 9 25 2" xfId="38154" xr:uid="{00000000-0005-0000-0000-00001B950000}"/>
    <cellStyle name="Normal 9 25 2 2" xfId="38155" xr:uid="{00000000-0005-0000-0000-00001C950000}"/>
    <cellStyle name="Normal 9 25 2 3" xfId="38156" xr:uid="{00000000-0005-0000-0000-00001D950000}"/>
    <cellStyle name="Normal 9 25 3" xfId="38157" xr:uid="{00000000-0005-0000-0000-00001E950000}"/>
    <cellStyle name="Normal 9 25 4" xfId="38158" xr:uid="{00000000-0005-0000-0000-00001F950000}"/>
    <cellStyle name="Normal 9 26" xfId="38159" xr:uid="{00000000-0005-0000-0000-000020950000}"/>
    <cellStyle name="Normal 9 26 2" xfId="38160" xr:uid="{00000000-0005-0000-0000-000021950000}"/>
    <cellStyle name="Normal 9 26 2 2" xfId="38161" xr:uid="{00000000-0005-0000-0000-000022950000}"/>
    <cellStyle name="Normal 9 26 2 3" xfId="38162" xr:uid="{00000000-0005-0000-0000-000023950000}"/>
    <cellStyle name="Normal 9 26 3" xfId="38163" xr:uid="{00000000-0005-0000-0000-000024950000}"/>
    <cellStyle name="Normal 9 26 4" xfId="38164" xr:uid="{00000000-0005-0000-0000-000025950000}"/>
    <cellStyle name="Normal 9 27" xfId="38165" xr:uid="{00000000-0005-0000-0000-000026950000}"/>
    <cellStyle name="Normal 9 27 2" xfId="38166" xr:uid="{00000000-0005-0000-0000-000027950000}"/>
    <cellStyle name="Normal 9 27 2 2" xfId="38167" xr:uid="{00000000-0005-0000-0000-000028950000}"/>
    <cellStyle name="Normal 9 27 2 3" xfId="38168" xr:uid="{00000000-0005-0000-0000-000029950000}"/>
    <cellStyle name="Normal 9 27 3" xfId="38169" xr:uid="{00000000-0005-0000-0000-00002A950000}"/>
    <cellStyle name="Normal 9 27 4" xfId="38170" xr:uid="{00000000-0005-0000-0000-00002B950000}"/>
    <cellStyle name="Normal 9 28" xfId="38171" xr:uid="{00000000-0005-0000-0000-00002C950000}"/>
    <cellStyle name="Normal 9 28 2" xfId="38172" xr:uid="{00000000-0005-0000-0000-00002D950000}"/>
    <cellStyle name="Normal 9 28 2 2" xfId="38173" xr:uid="{00000000-0005-0000-0000-00002E950000}"/>
    <cellStyle name="Normal 9 28 2 3" xfId="38174" xr:uid="{00000000-0005-0000-0000-00002F950000}"/>
    <cellStyle name="Normal 9 28 3" xfId="38175" xr:uid="{00000000-0005-0000-0000-000030950000}"/>
    <cellStyle name="Normal 9 28 4" xfId="38176" xr:uid="{00000000-0005-0000-0000-000031950000}"/>
    <cellStyle name="Normal 9 29" xfId="38177" xr:uid="{00000000-0005-0000-0000-000032950000}"/>
    <cellStyle name="Normal 9 29 2" xfId="38178" xr:uid="{00000000-0005-0000-0000-000033950000}"/>
    <cellStyle name="Normal 9 29 2 2" xfId="38179" xr:uid="{00000000-0005-0000-0000-000034950000}"/>
    <cellStyle name="Normal 9 29 2 3" xfId="38180" xr:uid="{00000000-0005-0000-0000-000035950000}"/>
    <cellStyle name="Normal 9 29 3" xfId="38181" xr:uid="{00000000-0005-0000-0000-000036950000}"/>
    <cellStyle name="Normal 9 29 4" xfId="38182" xr:uid="{00000000-0005-0000-0000-000037950000}"/>
    <cellStyle name="Normal 9 3" xfId="38183" xr:uid="{00000000-0005-0000-0000-000038950000}"/>
    <cellStyle name="Normal 9 3 2" xfId="38184" xr:uid="{00000000-0005-0000-0000-000039950000}"/>
    <cellStyle name="Normal 9 3 2 2" xfId="38185" xr:uid="{00000000-0005-0000-0000-00003A950000}"/>
    <cellStyle name="Normal 9 3 2 2 2" xfId="38186" xr:uid="{00000000-0005-0000-0000-00003B950000}"/>
    <cellStyle name="Normal 9 3 2 2 3" xfId="38187" xr:uid="{00000000-0005-0000-0000-00003C950000}"/>
    <cellStyle name="Normal 9 3 2 3" xfId="38188" xr:uid="{00000000-0005-0000-0000-00003D950000}"/>
    <cellStyle name="Normal 9 3 2 4" xfId="38189" xr:uid="{00000000-0005-0000-0000-00003E950000}"/>
    <cellStyle name="Normal 9 3 3" xfId="38190" xr:uid="{00000000-0005-0000-0000-00003F950000}"/>
    <cellStyle name="Normal 9 3 3 2" xfId="38191" xr:uid="{00000000-0005-0000-0000-000040950000}"/>
    <cellStyle name="Normal 9 3 3 2 2" xfId="38192" xr:uid="{00000000-0005-0000-0000-000041950000}"/>
    <cellStyle name="Normal 9 3 3 2 3" xfId="38193" xr:uid="{00000000-0005-0000-0000-000042950000}"/>
    <cellStyle name="Normal 9 3 3 3" xfId="38194" xr:uid="{00000000-0005-0000-0000-000043950000}"/>
    <cellStyle name="Normal 9 3 3 4" xfId="38195" xr:uid="{00000000-0005-0000-0000-000044950000}"/>
    <cellStyle name="Normal 9 3 4" xfId="38196" xr:uid="{00000000-0005-0000-0000-000045950000}"/>
    <cellStyle name="Normal 9 3 4 2" xfId="38197" xr:uid="{00000000-0005-0000-0000-000046950000}"/>
    <cellStyle name="Normal 9 3 4 2 2" xfId="38198" xr:uid="{00000000-0005-0000-0000-000047950000}"/>
    <cellStyle name="Normal 9 3 4 2 2 2" xfId="38199" xr:uid="{00000000-0005-0000-0000-000048950000}"/>
    <cellStyle name="Normal 9 3 4 2 2 2 2" xfId="38200" xr:uid="{00000000-0005-0000-0000-000049950000}"/>
    <cellStyle name="Normal 9 3 4 2 2 2 3" xfId="38201" xr:uid="{00000000-0005-0000-0000-00004A950000}"/>
    <cellStyle name="Normal 9 3 4 2 2 3" xfId="38202" xr:uid="{00000000-0005-0000-0000-00004B950000}"/>
    <cellStyle name="Normal 9 3 4 2 2 4" xfId="38203" xr:uid="{00000000-0005-0000-0000-00004C950000}"/>
    <cellStyle name="Normal 9 3 4 3" xfId="38204" xr:uid="{00000000-0005-0000-0000-00004D950000}"/>
    <cellStyle name="Normal 9 3 4 3 2" xfId="38205" xr:uid="{00000000-0005-0000-0000-00004E950000}"/>
    <cellStyle name="Normal 9 3 4 3 2 2" xfId="38206" xr:uid="{00000000-0005-0000-0000-00004F950000}"/>
    <cellStyle name="Normal 9 3 4 3 2 3" xfId="38207" xr:uid="{00000000-0005-0000-0000-000050950000}"/>
    <cellStyle name="Normal 9 3 4 3 3" xfId="38208" xr:uid="{00000000-0005-0000-0000-000051950000}"/>
    <cellStyle name="Normal 9 3 4 3 4" xfId="38209" xr:uid="{00000000-0005-0000-0000-000052950000}"/>
    <cellStyle name="Normal 9 3 4 4" xfId="38210" xr:uid="{00000000-0005-0000-0000-000053950000}"/>
    <cellStyle name="Normal 9 3 4 4 2" xfId="38211" xr:uid="{00000000-0005-0000-0000-000054950000}"/>
    <cellStyle name="Normal 9 3 4 4 3" xfId="38212" xr:uid="{00000000-0005-0000-0000-000055950000}"/>
    <cellStyle name="Normal 9 3 4 5" xfId="38213" xr:uid="{00000000-0005-0000-0000-000056950000}"/>
    <cellStyle name="Normal 9 3 5" xfId="38214" xr:uid="{00000000-0005-0000-0000-000057950000}"/>
    <cellStyle name="Normal 9 3 5 2" xfId="38215" xr:uid="{00000000-0005-0000-0000-000058950000}"/>
    <cellStyle name="Normal 9 3 5 2 2" xfId="38216" xr:uid="{00000000-0005-0000-0000-000059950000}"/>
    <cellStyle name="Normal 9 3 5 2 3" xfId="38217" xr:uid="{00000000-0005-0000-0000-00005A950000}"/>
    <cellStyle name="Normal 9 3 5 3" xfId="38218" xr:uid="{00000000-0005-0000-0000-00005B950000}"/>
    <cellStyle name="Normal 9 3 5 4" xfId="38219" xr:uid="{00000000-0005-0000-0000-00005C950000}"/>
    <cellStyle name="Normal 9 3 6" xfId="38220" xr:uid="{00000000-0005-0000-0000-00005D950000}"/>
    <cellStyle name="Normal 9 3 6 2" xfId="38221" xr:uid="{00000000-0005-0000-0000-00005E950000}"/>
    <cellStyle name="Normal 9 3 6 2 2" xfId="38222" xr:uid="{00000000-0005-0000-0000-00005F950000}"/>
    <cellStyle name="Normal 9 3 6 2 3" xfId="38223" xr:uid="{00000000-0005-0000-0000-000060950000}"/>
    <cellStyle name="Normal 9 3 6 3" xfId="38224" xr:uid="{00000000-0005-0000-0000-000061950000}"/>
    <cellStyle name="Normal 9 3 6 4" xfId="38225" xr:uid="{00000000-0005-0000-0000-000062950000}"/>
    <cellStyle name="Normal 9 3 7" xfId="38226" xr:uid="{00000000-0005-0000-0000-000063950000}"/>
    <cellStyle name="Normal 9 3 7 2" xfId="38227" xr:uid="{00000000-0005-0000-0000-000064950000}"/>
    <cellStyle name="Normal 9 3 7 3" xfId="38228" xr:uid="{00000000-0005-0000-0000-000065950000}"/>
    <cellStyle name="Normal 9 3 7 3 2" xfId="38229" xr:uid="{00000000-0005-0000-0000-000066950000}"/>
    <cellStyle name="Normal 9 3 7 3 3" xfId="38230" xr:uid="{00000000-0005-0000-0000-000067950000}"/>
    <cellStyle name="Normal 9 3 7 4" xfId="38231" xr:uid="{00000000-0005-0000-0000-000068950000}"/>
    <cellStyle name="Normal 9 3 8" xfId="38232" xr:uid="{00000000-0005-0000-0000-000069950000}"/>
    <cellStyle name="Normal 9 3 9" xfId="38233" xr:uid="{00000000-0005-0000-0000-00006A950000}"/>
    <cellStyle name="Normal 9 3 9 2" xfId="38234" xr:uid="{00000000-0005-0000-0000-00006B950000}"/>
    <cellStyle name="Normal 9 3 9 2 2" xfId="38235" xr:uid="{00000000-0005-0000-0000-00006C950000}"/>
    <cellStyle name="Normal 9 3 9 2 3" xfId="38236" xr:uid="{00000000-0005-0000-0000-00006D950000}"/>
    <cellStyle name="Normal 9 3 9 3" xfId="38237" xr:uid="{00000000-0005-0000-0000-00006E950000}"/>
    <cellStyle name="Normal 9 3 9 4" xfId="38238" xr:uid="{00000000-0005-0000-0000-00006F950000}"/>
    <cellStyle name="Normal 9 3_Implem" xfId="38239" xr:uid="{00000000-0005-0000-0000-000070950000}"/>
    <cellStyle name="Normal 9 30" xfId="39189" xr:uid="{00000000-0005-0000-0000-000071950000}"/>
    <cellStyle name="Normal 9 31" xfId="38030" xr:uid="{00000000-0005-0000-0000-000072950000}"/>
    <cellStyle name="Normal 9 4" xfId="38240" xr:uid="{00000000-0005-0000-0000-000073950000}"/>
    <cellStyle name="Normal 9 4 2" xfId="38241" xr:uid="{00000000-0005-0000-0000-000074950000}"/>
    <cellStyle name="Normal 9 4 2 2" xfId="38242" xr:uid="{00000000-0005-0000-0000-000075950000}"/>
    <cellStyle name="Normal 9 4 2 3" xfId="38243" xr:uid="{00000000-0005-0000-0000-000076950000}"/>
    <cellStyle name="Normal 9 4 3" xfId="38244" xr:uid="{00000000-0005-0000-0000-000077950000}"/>
    <cellStyle name="Normal 9 4 4" xfId="38245" xr:uid="{00000000-0005-0000-0000-000078950000}"/>
    <cellStyle name="Normal 9 5" xfId="38246" xr:uid="{00000000-0005-0000-0000-000079950000}"/>
    <cellStyle name="Normal 9 5 2" xfId="38247" xr:uid="{00000000-0005-0000-0000-00007A950000}"/>
    <cellStyle name="Normal 9 5 2 2" xfId="38248" xr:uid="{00000000-0005-0000-0000-00007B950000}"/>
    <cellStyle name="Normal 9 5 2 3" xfId="38249" xr:uid="{00000000-0005-0000-0000-00007C950000}"/>
    <cellStyle name="Normal 9 5 3" xfId="38250" xr:uid="{00000000-0005-0000-0000-00007D950000}"/>
    <cellStyle name="Normal 9 5 4" xfId="38251" xr:uid="{00000000-0005-0000-0000-00007E950000}"/>
    <cellStyle name="Normal 9 6" xfId="38252" xr:uid="{00000000-0005-0000-0000-00007F950000}"/>
    <cellStyle name="Normal 9 6 2" xfId="38253" xr:uid="{00000000-0005-0000-0000-000080950000}"/>
    <cellStyle name="Normal 9 6 2 2" xfId="38254" xr:uid="{00000000-0005-0000-0000-000081950000}"/>
    <cellStyle name="Normal 9 6 2 3" xfId="38255" xr:uid="{00000000-0005-0000-0000-000082950000}"/>
    <cellStyle name="Normal 9 6 3" xfId="38256" xr:uid="{00000000-0005-0000-0000-000083950000}"/>
    <cellStyle name="Normal 9 6 4" xfId="38257" xr:uid="{00000000-0005-0000-0000-000084950000}"/>
    <cellStyle name="Normal 9 7" xfId="38258" xr:uid="{00000000-0005-0000-0000-000085950000}"/>
    <cellStyle name="Normal 9 7 2" xfId="38259" xr:uid="{00000000-0005-0000-0000-000086950000}"/>
    <cellStyle name="Normal 9 7 2 2" xfId="38260" xr:uid="{00000000-0005-0000-0000-000087950000}"/>
    <cellStyle name="Normal 9 7 2 3" xfId="38261" xr:uid="{00000000-0005-0000-0000-000088950000}"/>
    <cellStyle name="Normal 9 7 3" xfId="38262" xr:uid="{00000000-0005-0000-0000-000089950000}"/>
    <cellStyle name="Normal 9 7 4" xfId="38263" xr:uid="{00000000-0005-0000-0000-00008A950000}"/>
    <cellStyle name="Normal 9 8" xfId="38264" xr:uid="{00000000-0005-0000-0000-00008B950000}"/>
    <cellStyle name="Normal 9 8 2" xfId="38265" xr:uid="{00000000-0005-0000-0000-00008C950000}"/>
    <cellStyle name="Normal 9 8 2 2" xfId="38266" xr:uid="{00000000-0005-0000-0000-00008D950000}"/>
    <cellStyle name="Normal 9 8 2 3" xfId="38267" xr:uid="{00000000-0005-0000-0000-00008E950000}"/>
    <cellStyle name="Normal 9 8 3" xfId="38268" xr:uid="{00000000-0005-0000-0000-00008F950000}"/>
    <cellStyle name="Normal 9 8 4" xfId="38269" xr:uid="{00000000-0005-0000-0000-000090950000}"/>
    <cellStyle name="Normal 9 9" xfId="38270" xr:uid="{00000000-0005-0000-0000-000091950000}"/>
    <cellStyle name="Normal 9 9 2" xfId="38271" xr:uid="{00000000-0005-0000-0000-000092950000}"/>
    <cellStyle name="Normal 9 9 2 2" xfId="38272" xr:uid="{00000000-0005-0000-0000-000093950000}"/>
    <cellStyle name="Normal 9 9 2 3" xfId="38273" xr:uid="{00000000-0005-0000-0000-000094950000}"/>
    <cellStyle name="Normal 9 9 3" xfId="38274" xr:uid="{00000000-0005-0000-0000-000095950000}"/>
    <cellStyle name="Normal 9 9 4" xfId="38275" xr:uid="{00000000-0005-0000-0000-000096950000}"/>
    <cellStyle name="Normal 90" xfId="38276" xr:uid="{00000000-0005-0000-0000-000097950000}"/>
    <cellStyle name="Normal 90 2" xfId="38277" xr:uid="{00000000-0005-0000-0000-000098950000}"/>
    <cellStyle name="Normal 90 2 2" xfId="38278" xr:uid="{00000000-0005-0000-0000-000099950000}"/>
    <cellStyle name="Normal 90 2 2 2" xfId="38279" xr:uid="{00000000-0005-0000-0000-00009A950000}"/>
    <cellStyle name="Normal 90 2 2 3" xfId="38280" xr:uid="{00000000-0005-0000-0000-00009B950000}"/>
    <cellStyle name="Normal 90 2 3" xfId="38281" xr:uid="{00000000-0005-0000-0000-00009C950000}"/>
    <cellStyle name="Normal 90 2 4" xfId="38282" xr:uid="{00000000-0005-0000-0000-00009D950000}"/>
    <cellStyle name="Normal 90 3" xfId="38283" xr:uid="{00000000-0005-0000-0000-00009E950000}"/>
    <cellStyle name="Normal 90 3 2" xfId="38284" xr:uid="{00000000-0005-0000-0000-00009F950000}"/>
    <cellStyle name="Normal 90 3 3" xfId="38285" xr:uid="{00000000-0005-0000-0000-0000A0950000}"/>
    <cellStyle name="Normal 90 4" xfId="38286" xr:uid="{00000000-0005-0000-0000-0000A1950000}"/>
    <cellStyle name="Normal 90 5" xfId="38287" xr:uid="{00000000-0005-0000-0000-0000A2950000}"/>
    <cellStyle name="Normal 91" xfId="38288" xr:uid="{00000000-0005-0000-0000-0000A3950000}"/>
    <cellStyle name="Normal 91 2" xfId="38289" xr:uid="{00000000-0005-0000-0000-0000A4950000}"/>
    <cellStyle name="Normal 91 2 2" xfId="38290" xr:uid="{00000000-0005-0000-0000-0000A5950000}"/>
    <cellStyle name="Normal 91 2 2 2" xfId="38291" xr:uid="{00000000-0005-0000-0000-0000A6950000}"/>
    <cellStyle name="Normal 91 2 2 3" xfId="38292" xr:uid="{00000000-0005-0000-0000-0000A7950000}"/>
    <cellStyle name="Normal 91 2 3" xfId="38293" xr:uid="{00000000-0005-0000-0000-0000A8950000}"/>
    <cellStyle name="Normal 91 2 4" xfId="38294" xr:uid="{00000000-0005-0000-0000-0000A9950000}"/>
    <cellStyle name="Normal 91 3" xfId="38295" xr:uid="{00000000-0005-0000-0000-0000AA950000}"/>
    <cellStyle name="Normal 91 3 2" xfId="38296" xr:uid="{00000000-0005-0000-0000-0000AB950000}"/>
    <cellStyle name="Normal 91 3 3" xfId="38297" xr:uid="{00000000-0005-0000-0000-0000AC950000}"/>
    <cellStyle name="Normal 91 4" xfId="38298" xr:uid="{00000000-0005-0000-0000-0000AD950000}"/>
    <cellStyle name="Normal 91 5" xfId="38299" xr:uid="{00000000-0005-0000-0000-0000AE950000}"/>
    <cellStyle name="Normal 92" xfId="38300" xr:uid="{00000000-0005-0000-0000-0000AF950000}"/>
    <cellStyle name="Normal 92 2" xfId="38301" xr:uid="{00000000-0005-0000-0000-0000B0950000}"/>
    <cellStyle name="Normal 92 2 2" xfId="38302" xr:uid="{00000000-0005-0000-0000-0000B1950000}"/>
    <cellStyle name="Normal 92 2 2 2" xfId="38303" xr:uid="{00000000-0005-0000-0000-0000B2950000}"/>
    <cellStyle name="Normal 92 2 2 3" xfId="38304" xr:uid="{00000000-0005-0000-0000-0000B3950000}"/>
    <cellStyle name="Normal 92 2 3" xfId="38305" xr:uid="{00000000-0005-0000-0000-0000B4950000}"/>
    <cellStyle name="Normal 92 2 4" xfId="38306" xr:uid="{00000000-0005-0000-0000-0000B5950000}"/>
    <cellStyle name="Normal 92 3" xfId="38307" xr:uid="{00000000-0005-0000-0000-0000B6950000}"/>
    <cellStyle name="Normal 92 3 2" xfId="38308" xr:uid="{00000000-0005-0000-0000-0000B7950000}"/>
    <cellStyle name="Normal 92 3 3" xfId="38309" xr:uid="{00000000-0005-0000-0000-0000B8950000}"/>
    <cellStyle name="Normal 92 4" xfId="38310" xr:uid="{00000000-0005-0000-0000-0000B9950000}"/>
    <cellStyle name="Normal 92 5" xfId="38311" xr:uid="{00000000-0005-0000-0000-0000BA950000}"/>
    <cellStyle name="Normal 92 6" xfId="38312" xr:uid="{00000000-0005-0000-0000-0000BB950000}"/>
    <cellStyle name="Normal 92 7" xfId="39207" xr:uid="{00000000-0005-0000-0000-0000BC950000}"/>
    <cellStyle name="Normal 93" xfId="38313" xr:uid="{00000000-0005-0000-0000-0000BD950000}"/>
    <cellStyle name="Normal 93 2" xfId="38314" xr:uid="{00000000-0005-0000-0000-0000BE950000}"/>
    <cellStyle name="Normal 93 2 2" xfId="38315" xr:uid="{00000000-0005-0000-0000-0000BF950000}"/>
    <cellStyle name="Normal 93 2 2 2" xfId="38316" xr:uid="{00000000-0005-0000-0000-0000C0950000}"/>
    <cellStyle name="Normal 93 2 2 3" xfId="38317" xr:uid="{00000000-0005-0000-0000-0000C1950000}"/>
    <cellStyle name="Normal 93 2 3" xfId="38318" xr:uid="{00000000-0005-0000-0000-0000C2950000}"/>
    <cellStyle name="Normal 93 2 4" xfId="38319" xr:uid="{00000000-0005-0000-0000-0000C3950000}"/>
    <cellStyle name="Normal 93 3" xfId="38320" xr:uid="{00000000-0005-0000-0000-0000C4950000}"/>
    <cellStyle name="Normal 93 3 2" xfId="38321" xr:uid="{00000000-0005-0000-0000-0000C5950000}"/>
    <cellStyle name="Normal 93 3 3" xfId="38322" xr:uid="{00000000-0005-0000-0000-0000C6950000}"/>
    <cellStyle name="Normal 93 4" xfId="38323" xr:uid="{00000000-0005-0000-0000-0000C7950000}"/>
    <cellStyle name="Normal 93 5" xfId="38324" xr:uid="{00000000-0005-0000-0000-0000C8950000}"/>
    <cellStyle name="Normal 93 6" xfId="38325" xr:uid="{00000000-0005-0000-0000-0000C9950000}"/>
    <cellStyle name="Normal 93 7" xfId="39208" xr:uid="{00000000-0005-0000-0000-0000CA950000}"/>
    <cellStyle name="Normal 94" xfId="38326" xr:uid="{00000000-0005-0000-0000-0000CB950000}"/>
    <cellStyle name="Normal 94 2" xfId="38327" xr:uid="{00000000-0005-0000-0000-0000CC950000}"/>
    <cellStyle name="Normal 94 2 2" xfId="38328" xr:uid="{00000000-0005-0000-0000-0000CD950000}"/>
    <cellStyle name="Normal 94 2 2 2" xfId="38329" xr:uid="{00000000-0005-0000-0000-0000CE950000}"/>
    <cellStyle name="Normal 94 2 2 3" xfId="38330" xr:uid="{00000000-0005-0000-0000-0000CF950000}"/>
    <cellStyle name="Normal 94 2 3" xfId="38331" xr:uid="{00000000-0005-0000-0000-0000D0950000}"/>
    <cellStyle name="Normal 94 2 4" xfId="38332" xr:uid="{00000000-0005-0000-0000-0000D1950000}"/>
    <cellStyle name="Normal 94 3" xfId="38333" xr:uid="{00000000-0005-0000-0000-0000D2950000}"/>
    <cellStyle name="Normal 94 3 2" xfId="38334" xr:uid="{00000000-0005-0000-0000-0000D3950000}"/>
    <cellStyle name="Normal 94 3 3" xfId="38335" xr:uid="{00000000-0005-0000-0000-0000D4950000}"/>
    <cellStyle name="Normal 94 4" xfId="38336" xr:uid="{00000000-0005-0000-0000-0000D5950000}"/>
    <cellStyle name="Normal 94 5" xfId="38337" xr:uid="{00000000-0005-0000-0000-0000D6950000}"/>
    <cellStyle name="Normal 94 6" xfId="38338" xr:uid="{00000000-0005-0000-0000-0000D7950000}"/>
    <cellStyle name="Normal 95" xfId="38339" xr:uid="{00000000-0005-0000-0000-0000D8950000}"/>
    <cellStyle name="Normal 95 2" xfId="38340" xr:uid="{00000000-0005-0000-0000-0000D9950000}"/>
    <cellStyle name="Normal 95 2 2" xfId="38341" xr:uid="{00000000-0005-0000-0000-0000DA950000}"/>
    <cellStyle name="Normal 95 2 2 2" xfId="38342" xr:uid="{00000000-0005-0000-0000-0000DB950000}"/>
    <cellStyle name="Normal 95 2 2 3" xfId="38343" xr:uid="{00000000-0005-0000-0000-0000DC950000}"/>
    <cellStyle name="Normal 95 2 3" xfId="38344" xr:uid="{00000000-0005-0000-0000-0000DD950000}"/>
    <cellStyle name="Normal 95 2 4" xfId="38345" xr:uid="{00000000-0005-0000-0000-0000DE950000}"/>
    <cellStyle name="Normal 95 3" xfId="38346" xr:uid="{00000000-0005-0000-0000-0000DF950000}"/>
    <cellStyle name="Normal 95 3 2" xfId="38347" xr:uid="{00000000-0005-0000-0000-0000E0950000}"/>
    <cellStyle name="Normal 95 3 3" xfId="38348" xr:uid="{00000000-0005-0000-0000-0000E1950000}"/>
    <cellStyle name="Normal 95 4" xfId="38349" xr:uid="{00000000-0005-0000-0000-0000E2950000}"/>
    <cellStyle name="Normal 95 5" xfId="38350" xr:uid="{00000000-0005-0000-0000-0000E3950000}"/>
    <cellStyle name="Normal 96" xfId="38351" xr:uid="{00000000-0005-0000-0000-0000E4950000}"/>
    <cellStyle name="Normal 96 2" xfId="38352" xr:uid="{00000000-0005-0000-0000-0000E5950000}"/>
    <cellStyle name="Normal 96 2 2" xfId="38353" xr:uid="{00000000-0005-0000-0000-0000E6950000}"/>
    <cellStyle name="Normal 96 2 2 2" xfId="38354" xr:uid="{00000000-0005-0000-0000-0000E7950000}"/>
    <cellStyle name="Normal 96 2 2 3" xfId="38355" xr:uid="{00000000-0005-0000-0000-0000E8950000}"/>
    <cellStyle name="Normal 96 2 3" xfId="38356" xr:uid="{00000000-0005-0000-0000-0000E9950000}"/>
    <cellStyle name="Normal 96 2 4" xfId="38357" xr:uid="{00000000-0005-0000-0000-0000EA950000}"/>
    <cellStyle name="Normal 96 3" xfId="38358" xr:uid="{00000000-0005-0000-0000-0000EB950000}"/>
    <cellStyle name="Normal 96 3 2" xfId="38359" xr:uid="{00000000-0005-0000-0000-0000EC950000}"/>
    <cellStyle name="Normal 96 3 3" xfId="38360" xr:uid="{00000000-0005-0000-0000-0000ED950000}"/>
    <cellStyle name="Normal 96 4" xfId="38361" xr:uid="{00000000-0005-0000-0000-0000EE950000}"/>
    <cellStyle name="Normal 96 5" xfId="38362" xr:uid="{00000000-0005-0000-0000-0000EF950000}"/>
    <cellStyle name="Normal 96 6" xfId="38363" xr:uid="{00000000-0005-0000-0000-0000F0950000}"/>
    <cellStyle name="Normal 97" xfId="38364" xr:uid="{00000000-0005-0000-0000-0000F1950000}"/>
    <cellStyle name="Normal 97 2" xfId="38365" xr:uid="{00000000-0005-0000-0000-0000F2950000}"/>
    <cellStyle name="Normal 97 2 2" xfId="38366" xr:uid="{00000000-0005-0000-0000-0000F3950000}"/>
    <cellStyle name="Normal 97 2 2 2" xfId="38367" xr:uid="{00000000-0005-0000-0000-0000F4950000}"/>
    <cellStyle name="Normal 97 2 2 3" xfId="38368" xr:uid="{00000000-0005-0000-0000-0000F5950000}"/>
    <cellStyle name="Normal 97 2 3" xfId="38369" xr:uid="{00000000-0005-0000-0000-0000F6950000}"/>
    <cellStyle name="Normal 97 2 4" xfId="38370" xr:uid="{00000000-0005-0000-0000-0000F7950000}"/>
    <cellStyle name="Normal 97 3" xfId="38371" xr:uid="{00000000-0005-0000-0000-0000F8950000}"/>
    <cellStyle name="Normal 97 3 2" xfId="38372" xr:uid="{00000000-0005-0000-0000-0000F9950000}"/>
    <cellStyle name="Normal 97 3 3" xfId="38373" xr:uid="{00000000-0005-0000-0000-0000FA950000}"/>
    <cellStyle name="Normal 97 4" xfId="38374" xr:uid="{00000000-0005-0000-0000-0000FB950000}"/>
    <cellStyle name="Normal 97 5" xfId="38375" xr:uid="{00000000-0005-0000-0000-0000FC950000}"/>
    <cellStyle name="Normal 98" xfId="38376" xr:uid="{00000000-0005-0000-0000-0000FD950000}"/>
    <cellStyle name="Normal 98 2" xfId="38377" xr:uid="{00000000-0005-0000-0000-0000FE950000}"/>
    <cellStyle name="Normal 98 2 2" xfId="38378" xr:uid="{00000000-0005-0000-0000-0000FF950000}"/>
    <cellStyle name="Normal 98 2 2 2" xfId="38379" xr:uid="{00000000-0005-0000-0000-000000960000}"/>
    <cellStyle name="Normal 98 2 2 3" xfId="38380" xr:uid="{00000000-0005-0000-0000-000001960000}"/>
    <cellStyle name="Normal 98 2 3" xfId="38381" xr:uid="{00000000-0005-0000-0000-000002960000}"/>
    <cellStyle name="Normal 98 2 4" xfId="38382" xr:uid="{00000000-0005-0000-0000-000003960000}"/>
    <cellStyle name="Normal 98 3" xfId="38383" xr:uid="{00000000-0005-0000-0000-000004960000}"/>
    <cellStyle name="Normal 98 3 2" xfId="38384" xr:uid="{00000000-0005-0000-0000-000005960000}"/>
    <cellStyle name="Normal 98 3 3" xfId="38385" xr:uid="{00000000-0005-0000-0000-000006960000}"/>
    <cellStyle name="Normal 98 4" xfId="38386" xr:uid="{00000000-0005-0000-0000-000007960000}"/>
    <cellStyle name="Normal 98 5" xfId="38387" xr:uid="{00000000-0005-0000-0000-000008960000}"/>
    <cellStyle name="Normal 99" xfId="38388" xr:uid="{00000000-0005-0000-0000-000009960000}"/>
    <cellStyle name="Normal 99 2" xfId="38389" xr:uid="{00000000-0005-0000-0000-00000A960000}"/>
    <cellStyle name="Normal 99 2 2" xfId="38390" xr:uid="{00000000-0005-0000-0000-00000B960000}"/>
    <cellStyle name="Normal 99 2 2 2" xfId="38391" xr:uid="{00000000-0005-0000-0000-00000C960000}"/>
    <cellStyle name="Normal 99 2 2 3" xfId="38392" xr:uid="{00000000-0005-0000-0000-00000D960000}"/>
    <cellStyle name="Normal 99 2 3" xfId="38393" xr:uid="{00000000-0005-0000-0000-00000E960000}"/>
    <cellStyle name="Normal 99 2 4" xfId="38394" xr:uid="{00000000-0005-0000-0000-00000F960000}"/>
    <cellStyle name="Normal 99 3" xfId="38395" xr:uid="{00000000-0005-0000-0000-000010960000}"/>
    <cellStyle name="Normal 99 3 2" xfId="38396" xr:uid="{00000000-0005-0000-0000-000011960000}"/>
    <cellStyle name="Normal 99 3 3" xfId="38397" xr:uid="{00000000-0005-0000-0000-000012960000}"/>
    <cellStyle name="Normal 99 4" xfId="38398" xr:uid="{00000000-0005-0000-0000-000013960000}"/>
    <cellStyle name="Normal 99 5" xfId="38399" xr:uid="{00000000-0005-0000-0000-000014960000}"/>
    <cellStyle name="Normal 99 6" xfId="38400" xr:uid="{00000000-0005-0000-0000-000015960000}"/>
    <cellStyle name="Notas 10" xfId="38401" xr:uid="{00000000-0005-0000-0000-000016960000}"/>
    <cellStyle name="Notas 2" xfId="38402" xr:uid="{00000000-0005-0000-0000-000017960000}"/>
    <cellStyle name="Notas 2 2" xfId="38403" xr:uid="{00000000-0005-0000-0000-000018960000}"/>
    <cellStyle name="Notas 2 2 2" xfId="38404" xr:uid="{00000000-0005-0000-0000-000019960000}"/>
    <cellStyle name="Notas 2 2 2 2" xfId="38405" xr:uid="{00000000-0005-0000-0000-00001A960000}"/>
    <cellStyle name="Notas 2 2 2 2 2" xfId="38406" xr:uid="{00000000-0005-0000-0000-00001B960000}"/>
    <cellStyle name="Notas 2 2 2 2 2 2" xfId="38407" xr:uid="{00000000-0005-0000-0000-00001C960000}"/>
    <cellStyle name="Notas 2 2 2 2 2 2 2" xfId="38408" xr:uid="{00000000-0005-0000-0000-00001D960000}"/>
    <cellStyle name="Notas 2 2 2 2 2 2 3" xfId="38409" xr:uid="{00000000-0005-0000-0000-00001E960000}"/>
    <cellStyle name="Notas 2 2 2 2 2 3" xfId="38410" xr:uid="{00000000-0005-0000-0000-00001F960000}"/>
    <cellStyle name="Notas 2 2 2 2 2 4" xfId="38411" xr:uid="{00000000-0005-0000-0000-000020960000}"/>
    <cellStyle name="Notas 2 2 2 2 3" xfId="38412" xr:uid="{00000000-0005-0000-0000-000021960000}"/>
    <cellStyle name="Notas 2 2 2 2 3 2" xfId="38413" xr:uid="{00000000-0005-0000-0000-000022960000}"/>
    <cellStyle name="Notas 2 2 2 2 3 3" xfId="38414" xr:uid="{00000000-0005-0000-0000-000023960000}"/>
    <cellStyle name="Notas 2 2 2 2 4" xfId="38415" xr:uid="{00000000-0005-0000-0000-000024960000}"/>
    <cellStyle name="Notas 2 2 2 2 5" xfId="38416" xr:uid="{00000000-0005-0000-0000-000025960000}"/>
    <cellStyle name="Notas 2 2 2 3" xfId="38417" xr:uid="{00000000-0005-0000-0000-000026960000}"/>
    <cellStyle name="Notas 2 2 2 3 2" xfId="38418" xr:uid="{00000000-0005-0000-0000-000027960000}"/>
    <cellStyle name="Notas 2 2 2 3 3" xfId="38419" xr:uid="{00000000-0005-0000-0000-000028960000}"/>
    <cellStyle name="Notas 2 2 2 4" xfId="38420" xr:uid="{00000000-0005-0000-0000-000029960000}"/>
    <cellStyle name="Notas 2 2 2 5" xfId="38421" xr:uid="{00000000-0005-0000-0000-00002A960000}"/>
    <cellStyle name="Notas 2 2 3" xfId="38422" xr:uid="{00000000-0005-0000-0000-00002B960000}"/>
    <cellStyle name="Notas 2 2 3 2" xfId="38423" xr:uid="{00000000-0005-0000-0000-00002C960000}"/>
    <cellStyle name="Notas 2 2 3 2 2" xfId="38424" xr:uid="{00000000-0005-0000-0000-00002D960000}"/>
    <cellStyle name="Notas 2 2 3 2 3" xfId="38425" xr:uid="{00000000-0005-0000-0000-00002E960000}"/>
    <cellStyle name="Notas 2 2 3 3" xfId="38426" xr:uid="{00000000-0005-0000-0000-00002F960000}"/>
    <cellStyle name="Notas 2 2 3 4" xfId="38427" xr:uid="{00000000-0005-0000-0000-000030960000}"/>
    <cellStyle name="Notas 2 2 4" xfId="38428" xr:uid="{00000000-0005-0000-0000-000031960000}"/>
    <cellStyle name="Notas 2 2 4 2" xfId="38429" xr:uid="{00000000-0005-0000-0000-000032960000}"/>
    <cellStyle name="Notas 2 2 4 2 2" xfId="38430" xr:uid="{00000000-0005-0000-0000-000033960000}"/>
    <cellStyle name="Notas 2 2 4 2 3" xfId="38431" xr:uid="{00000000-0005-0000-0000-000034960000}"/>
    <cellStyle name="Notas 2 2 4 3" xfId="38432" xr:uid="{00000000-0005-0000-0000-000035960000}"/>
    <cellStyle name="Notas 2 2 4 4" xfId="38433" xr:uid="{00000000-0005-0000-0000-000036960000}"/>
    <cellStyle name="Notas 2 2 5" xfId="38434" xr:uid="{00000000-0005-0000-0000-000037960000}"/>
    <cellStyle name="Notas 2 2 5 2" xfId="38435" xr:uid="{00000000-0005-0000-0000-000038960000}"/>
    <cellStyle name="Notas 2 2 5 3" xfId="38436" xr:uid="{00000000-0005-0000-0000-000039960000}"/>
    <cellStyle name="Notas 2 2 6" xfId="38437" xr:uid="{00000000-0005-0000-0000-00003A960000}"/>
    <cellStyle name="Notas 2 2 7" xfId="38438" xr:uid="{00000000-0005-0000-0000-00003B960000}"/>
    <cellStyle name="Notas 2 3" xfId="38439" xr:uid="{00000000-0005-0000-0000-00003C960000}"/>
    <cellStyle name="Notas 2 3 2" xfId="38440" xr:uid="{00000000-0005-0000-0000-00003D960000}"/>
    <cellStyle name="Notas 2 3 2 2" xfId="38441" xr:uid="{00000000-0005-0000-0000-00003E960000}"/>
    <cellStyle name="Notas 2 3 2 3" xfId="38442" xr:uid="{00000000-0005-0000-0000-00003F960000}"/>
    <cellStyle name="Notas 2 3 3" xfId="38443" xr:uid="{00000000-0005-0000-0000-000040960000}"/>
    <cellStyle name="Notas 2 3 4" xfId="38444" xr:uid="{00000000-0005-0000-0000-000041960000}"/>
    <cellStyle name="Notas 2 4" xfId="38445" xr:uid="{00000000-0005-0000-0000-000042960000}"/>
    <cellStyle name="Notas 2 4 2" xfId="38446" xr:uid="{00000000-0005-0000-0000-000043960000}"/>
    <cellStyle name="Notas 2 4 2 2" xfId="38447" xr:uid="{00000000-0005-0000-0000-000044960000}"/>
    <cellStyle name="Notas 2 4 2 3" xfId="38448" xr:uid="{00000000-0005-0000-0000-000045960000}"/>
    <cellStyle name="Notas 2 4 3" xfId="38449" xr:uid="{00000000-0005-0000-0000-000046960000}"/>
    <cellStyle name="Notas 2 4 4" xfId="38450" xr:uid="{00000000-0005-0000-0000-000047960000}"/>
    <cellStyle name="Notas 2 5" xfId="38451" xr:uid="{00000000-0005-0000-0000-000048960000}"/>
    <cellStyle name="Notas 2 5 2" xfId="38452" xr:uid="{00000000-0005-0000-0000-000049960000}"/>
    <cellStyle name="Notas 2 5 2 2" xfId="38453" xr:uid="{00000000-0005-0000-0000-00004A960000}"/>
    <cellStyle name="Notas 2 5 2 3" xfId="38454" xr:uid="{00000000-0005-0000-0000-00004B960000}"/>
    <cellStyle name="Notas 2 5 3" xfId="38455" xr:uid="{00000000-0005-0000-0000-00004C960000}"/>
    <cellStyle name="Notas 2 5 4" xfId="38456" xr:uid="{00000000-0005-0000-0000-00004D960000}"/>
    <cellStyle name="Notas 2 6" xfId="38457" xr:uid="{00000000-0005-0000-0000-00004E960000}"/>
    <cellStyle name="Notas 2 6 2" xfId="38458" xr:uid="{00000000-0005-0000-0000-00004F960000}"/>
    <cellStyle name="Notas 2 6 3" xfId="38459" xr:uid="{00000000-0005-0000-0000-000050960000}"/>
    <cellStyle name="Notas 2 7" xfId="38460" xr:uid="{00000000-0005-0000-0000-000051960000}"/>
    <cellStyle name="Notas 2 8" xfId="38461" xr:uid="{00000000-0005-0000-0000-000052960000}"/>
    <cellStyle name="Notas 3" xfId="38462" xr:uid="{00000000-0005-0000-0000-000053960000}"/>
    <cellStyle name="Notas 3 2" xfId="38463" xr:uid="{00000000-0005-0000-0000-000054960000}"/>
    <cellStyle name="Notas 3 2 2" xfId="38464" xr:uid="{00000000-0005-0000-0000-000055960000}"/>
    <cellStyle name="Notas 3 2 2 2" xfId="38465" xr:uid="{00000000-0005-0000-0000-000056960000}"/>
    <cellStyle name="Notas 3 2 2 3" xfId="38466" xr:uid="{00000000-0005-0000-0000-000057960000}"/>
    <cellStyle name="Notas 3 2 3" xfId="38467" xr:uid="{00000000-0005-0000-0000-000058960000}"/>
    <cellStyle name="Notas 3 2 4" xfId="38468" xr:uid="{00000000-0005-0000-0000-000059960000}"/>
    <cellStyle name="Notas 3 2 5" xfId="38469" xr:uid="{00000000-0005-0000-0000-00005A960000}"/>
    <cellStyle name="Notas 3 3" xfId="38470" xr:uid="{00000000-0005-0000-0000-00005B960000}"/>
    <cellStyle name="Notas 3 3 2" xfId="38471" xr:uid="{00000000-0005-0000-0000-00005C960000}"/>
    <cellStyle name="Notas 3 3 3" xfId="38472" xr:uid="{00000000-0005-0000-0000-00005D960000}"/>
    <cellStyle name="Notas 3 4" xfId="38473" xr:uid="{00000000-0005-0000-0000-00005E960000}"/>
    <cellStyle name="Notas 3 5" xfId="38474" xr:uid="{00000000-0005-0000-0000-00005F960000}"/>
    <cellStyle name="Notas 4" xfId="38475" xr:uid="{00000000-0005-0000-0000-000060960000}"/>
    <cellStyle name="Notas 4 2" xfId="38476" xr:uid="{00000000-0005-0000-0000-000061960000}"/>
    <cellStyle name="Notas 4 2 2" xfId="38477" xr:uid="{00000000-0005-0000-0000-000062960000}"/>
    <cellStyle name="Notas 4 2 3" xfId="38478" xr:uid="{00000000-0005-0000-0000-000063960000}"/>
    <cellStyle name="Notas 4 3" xfId="38479" xr:uid="{00000000-0005-0000-0000-000064960000}"/>
    <cellStyle name="Notas 4 4" xfId="38480" xr:uid="{00000000-0005-0000-0000-000065960000}"/>
    <cellStyle name="Notas 5" xfId="38481" xr:uid="{00000000-0005-0000-0000-000066960000}"/>
    <cellStyle name="Notas 5 2" xfId="38482" xr:uid="{00000000-0005-0000-0000-000067960000}"/>
    <cellStyle name="Notas 5 2 2" xfId="38483" xr:uid="{00000000-0005-0000-0000-000068960000}"/>
    <cellStyle name="Notas 5 2 3" xfId="38484" xr:uid="{00000000-0005-0000-0000-000069960000}"/>
    <cellStyle name="Notas 5 3" xfId="38485" xr:uid="{00000000-0005-0000-0000-00006A960000}"/>
    <cellStyle name="Notas 5 4" xfId="38486" xr:uid="{00000000-0005-0000-0000-00006B960000}"/>
    <cellStyle name="Notas 6" xfId="38487" xr:uid="{00000000-0005-0000-0000-00006C960000}"/>
    <cellStyle name="Notas 6 2" xfId="38488" xr:uid="{00000000-0005-0000-0000-00006D960000}"/>
    <cellStyle name="Notas 6 2 2" xfId="38489" xr:uid="{00000000-0005-0000-0000-00006E960000}"/>
    <cellStyle name="Notas 6 2 3" xfId="38490" xr:uid="{00000000-0005-0000-0000-00006F960000}"/>
    <cellStyle name="Notas 6 3" xfId="38491" xr:uid="{00000000-0005-0000-0000-000070960000}"/>
    <cellStyle name="Notas 6 4" xfId="38492" xr:uid="{00000000-0005-0000-0000-000071960000}"/>
    <cellStyle name="Notas 7" xfId="38493" xr:uid="{00000000-0005-0000-0000-000072960000}"/>
    <cellStyle name="Notas 7 2" xfId="38494" xr:uid="{00000000-0005-0000-0000-000073960000}"/>
    <cellStyle name="Notas 7 2 2" xfId="38495" xr:uid="{00000000-0005-0000-0000-000074960000}"/>
    <cellStyle name="Notas 7 2 3" xfId="38496" xr:uid="{00000000-0005-0000-0000-000075960000}"/>
    <cellStyle name="Notas 7 3" xfId="38497" xr:uid="{00000000-0005-0000-0000-000076960000}"/>
    <cellStyle name="Notas 7 4" xfId="38498" xr:uid="{00000000-0005-0000-0000-000077960000}"/>
    <cellStyle name="Notas 8" xfId="38499" xr:uid="{00000000-0005-0000-0000-000078960000}"/>
    <cellStyle name="Notas 8 2" xfId="38500" xr:uid="{00000000-0005-0000-0000-000079960000}"/>
    <cellStyle name="Notas 8 2 2" xfId="38501" xr:uid="{00000000-0005-0000-0000-00007A960000}"/>
    <cellStyle name="Notas 8 2 3" xfId="38502" xr:uid="{00000000-0005-0000-0000-00007B960000}"/>
    <cellStyle name="Notas 8 3" xfId="38503" xr:uid="{00000000-0005-0000-0000-00007C960000}"/>
    <cellStyle name="Notas 8 4" xfId="38504" xr:uid="{00000000-0005-0000-0000-00007D960000}"/>
    <cellStyle name="Notas 9" xfId="38505" xr:uid="{00000000-0005-0000-0000-00007E960000}"/>
    <cellStyle name="Notas 9 2" xfId="38506" xr:uid="{00000000-0005-0000-0000-00007F960000}"/>
    <cellStyle name="Notas 9 2 2" xfId="38507" xr:uid="{00000000-0005-0000-0000-000080960000}"/>
    <cellStyle name="Notas 9 2 3" xfId="38508" xr:uid="{00000000-0005-0000-0000-000081960000}"/>
    <cellStyle name="Notas 9 3" xfId="38509" xr:uid="{00000000-0005-0000-0000-000082960000}"/>
    <cellStyle name="Notas 9 4" xfId="38510" xr:uid="{00000000-0005-0000-0000-000083960000}"/>
    <cellStyle name="Note" xfId="38511" xr:uid="{00000000-0005-0000-0000-000084960000}"/>
    <cellStyle name="Note 10" xfId="38512" xr:uid="{00000000-0005-0000-0000-000085960000}"/>
    <cellStyle name="Note 11" xfId="38513" xr:uid="{00000000-0005-0000-0000-000086960000}"/>
    <cellStyle name="Note 2" xfId="38514" xr:uid="{00000000-0005-0000-0000-000087960000}"/>
    <cellStyle name="Note 2 2" xfId="38515" xr:uid="{00000000-0005-0000-0000-000088960000}"/>
    <cellStyle name="Note 2 2 2" xfId="38516" xr:uid="{00000000-0005-0000-0000-000089960000}"/>
    <cellStyle name="Note 2 2 2 2" xfId="38517" xr:uid="{00000000-0005-0000-0000-00008A960000}"/>
    <cellStyle name="Note 2 2 2 3" xfId="38518" xr:uid="{00000000-0005-0000-0000-00008B960000}"/>
    <cellStyle name="Note 2 2 3" xfId="38519" xr:uid="{00000000-0005-0000-0000-00008C960000}"/>
    <cellStyle name="Note 2 2 4" xfId="38520" xr:uid="{00000000-0005-0000-0000-00008D960000}"/>
    <cellStyle name="Note 2 3" xfId="38521" xr:uid="{00000000-0005-0000-0000-00008E960000}"/>
    <cellStyle name="Note 2 3 2" xfId="38522" xr:uid="{00000000-0005-0000-0000-00008F960000}"/>
    <cellStyle name="Note 2 3 2 2" xfId="38523" xr:uid="{00000000-0005-0000-0000-000090960000}"/>
    <cellStyle name="Note 2 3 2 3" xfId="38524" xr:uid="{00000000-0005-0000-0000-000091960000}"/>
    <cellStyle name="Note 2 3 3" xfId="38525" xr:uid="{00000000-0005-0000-0000-000092960000}"/>
    <cellStyle name="Note 2 3 4" xfId="38526" xr:uid="{00000000-0005-0000-0000-000093960000}"/>
    <cellStyle name="Note 2 4" xfId="38527" xr:uid="{00000000-0005-0000-0000-000094960000}"/>
    <cellStyle name="Note 2 4 2" xfId="38528" xr:uid="{00000000-0005-0000-0000-000095960000}"/>
    <cellStyle name="Note 2 4 2 2" xfId="38529" xr:uid="{00000000-0005-0000-0000-000096960000}"/>
    <cellStyle name="Note 2 4 2 3" xfId="38530" xr:uid="{00000000-0005-0000-0000-000097960000}"/>
    <cellStyle name="Note 2 4 3" xfId="38531" xr:uid="{00000000-0005-0000-0000-000098960000}"/>
    <cellStyle name="Note 2 4 4" xfId="38532" xr:uid="{00000000-0005-0000-0000-000099960000}"/>
    <cellStyle name="Note 2 5" xfId="38533" xr:uid="{00000000-0005-0000-0000-00009A960000}"/>
    <cellStyle name="Note 2 5 2" xfId="38534" xr:uid="{00000000-0005-0000-0000-00009B960000}"/>
    <cellStyle name="Note 2 5 3" xfId="38535" xr:uid="{00000000-0005-0000-0000-00009C960000}"/>
    <cellStyle name="Note 2 6" xfId="38536" xr:uid="{00000000-0005-0000-0000-00009D960000}"/>
    <cellStyle name="Note 2 7" xfId="38537" xr:uid="{00000000-0005-0000-0000-00009E960000}"/>
    <cellStyle name="Note 3" xfId="38538" xr:uid="{00000000-0005-0000-0000-00009F960000}"/>
    <cellStyle name="Note 3 2" xfId="38539" xr:uid="{00000000-0005-0000-0000-0000A0960000}"/>
    <cellStyle name="Note 3 2 2" xfId="38540" xr:uid="{00000000-0005-0000-0000-0000A1960000}"/>
    <cellStyle name="Note 3 2 2 2" xfId="38541" xr:uid="{00000000-0005-0000-0000-0000A2960000}"/>
    <cellStyle name="Note 3 2 2 3" xfId="38542" xr:uid="{00000000-0005-0000-0000-0000A3960000}"/>
    <cellStyle name="Note 3 2 3" xfId="38543" xr:uid="{00000000-0005-0000-0000-0000A4960000}"/>
    <cellStyle name="Note 3 2 4" xfId="38544" xr:uid="{00000000-0005-0000-0000-0000A5960000}"/>
    <cellStyle name="Note 3 3" xfId="38545" xr:uid="{00000000-0005-0000-0000-0000A6960000}"/>
    <cellStyle name="Note 3 3 2" xfId="38546" xr:uid="{00000000-0005-0000-0000-0000A7960000}"/>
    <cellStyle name="Note 3 3 2 2" xfId="38547" xr:uid="{00000000-0005-0000-0000-0000A8960000}"/>
    <cellStyle name="Note 3 3 2 3" xfId="38548" xr:uid="{00000000-0005-0000-0000-0000A9960000}"/>
    <cellStyle name="Note 3 3 3" xfId="38549" xr:uid="{00000000-0005-0000-0000-0000AA960000}"/>
    <cellStyle name="Note 3 3 4" xfId="38550" xr:uid="{00000000-0005-0000-0000-0000AB960000}"/>
    <cellStyle name="Note 3 4" xfId="38551" xr:uid="{00000000-0005-0000-0000-0000AC960000}"/>
    <cellStyle name="Note 3 4 2" xfId="38552" xr:uid="{00000000-0005-0000-0000-0000AD960000}"/>
    <cellStyle name="Note 3 4 2 2" xfId="38553" xr:uid="{00000000-0005-0000-0000-0000AE960000}"/>
    <cellStyle name="Note 3 4 2 3" xfId="38554" xr:uid="{00000000-0005-0000-0000-0000AF960000}"/>
    <cellStyle name="Note 3 4 3" xfId="38555" xr:uid="{00000000-0005-0000-0000-0000B0960000}"/>
    <cellStyle name="Note 3 4 4" xfId="38556" xr:uid="{00000000-0005-0000-0000-0000B1960000}"/>
    <cellStyle name="Note 3 5" xfId="38557" xr:uid="{00000000-0005-0000-0000-0000B2960000}"/>
    <cellStyle name="Note 3 5 2" xfId="38558" xr:uid="{00000000-0005-0000-0000-0000B3960000}"/>
    <cellStyle name="Note 3 5 3" xfId="38559" xr:uid="{00000000-0005-0000-0000-0000B4960000}"/>
    <cellStyle name="Note 3 6" xfId="38560" xr:uid="{00000000-0005-0000-0000-0000B5960000}"/>
    <cellStyle name="Note 3 7" xfId="38561" xr:uid="{00000000-0005-0000-0000-0000B6960000}"/>
    <cellStyle name="Note 4" xfId="38562" xr:uid="{00000000-0005-0000-0000-0000B7960000}"/>
    <cellStyle name="Note 4 2" xfId="38563" xr:uid="{00000000-0005-0000-0000-0000B8960000}"/>
    <cellStyle name="Note 4 2 2" xfId="38564" xr:uid="{00000000-0005-0000-0000-0000B9960000}"/>
    <cellStyle name="Note 4 2 2 2" xfId="38565" xr:uid="{00000000-0005-0000-0000-0000BA960000}"/>
    <cellStyle name="Note 4 2 2 3" xfId="38566" xr:uid="{00000000-0005-0000-0000-0000BB960000}"/>
    <cellStyle name="Note 4 2 3" xfId="38567" xr:uid="{00000000-0005-0000-0000-0000BC960000}"/>
    <cellStyle name="Note 4 2 4" xfId="38568" xr:uid="{00000000-0005-0000-0000-0000BD960000}"/>
    <cellStyle name="Note 4 3" xfId="38569" xr:uid="{00000000-0005-0000-0000-0000BE960000}"/>
    <cellStyle name="Note 4 3 2" xfId="38570" xr:uid="{00000000-0005-0000-0000-0000BF960000}"/>
    <cellStyle name="Note 4 3 2 2" xfId="38571" xr:uid="{00000000-0005-0000-0000-0000C0960000}"/>
    <cellStyle name="Note 4 3 2 3" xfId="38572" xr:uid="{00000000-0005-0000-0000-0000C1960000}"/>
    <cellStyle name="Note 4 3 3" xfId="38573" xr:uid="{00000000-0005-0000-0000-0000C2960000}"/>
    <cellStyle name="Note 4 3 4" xfId="38574" xr:uid="{00000000-0005-0000-0000-0000C3960000}"/>
    <cellStyle name="Note 4 4" xfId="38575" xr:uid="{00000000-0005-0000-0000-0000C4960000}"/>
    <cellStyle name="Note 4 4 2" xfId="38576" xr:uid="{00000000-0005-0000-0000-0000C5960000}"/>
    <cellStyle name="Note 4 4 2 2" xfId="38577" xr:uid="{00000000-0005-0000-0000-0000C6960000}"/>
    <cellStyle name="Note 4 4 2 3" xfId="38578" xr:uid="{00000000-0005-0000-0000-0000C7960000}"/>
    <cellStyle name="Note 4 4 3" xfId="38579" xr:uid="{00000000-0005-0000-0000-0000C8960000}"/>
    <cellStyle name="Note 4 4 4" xfId="38580" xr:uid="{00000000-0005-0000-0000-0000C9960000}"/>
    <cellStyle name="Note 4 5" xfId="38581" xr:uid="{00000000-0005-0000-0000-0000CA960000}"/>
    <cellStyle name="Note 4 5 2" xfId="38582" xr:uid="{00000000-0005-0000-0000-0000CB960000}"/>
    <cellStyle name="Note 4 5 3" xfId="38583" xr:uid="{00000000-0005-0000-0000-0000CC960000}"/>
    <cellStyle name="Note 4 6" xfId="38584" xr:uid="{00000000-0005-0000-0000-0000CD960000}"/>
    <cellStyle name="Note 4 7" xfId="38585" xr:uid="{00000000-0005-0000-0000-0000CE960000}"/>
    <cellStyle name="Note 5" xfId="38586" xr:uid="{00000000-0005-0000-0000-0000CF960000}"/>
    <cellStyle name="Note 5 2" xfId="38587" xr:uid="{00000000-0005-0000-0000-0000D0960000}"/>
    <cellStyle name="Note 5 2 2" xfId="38588" xr:uid="{00000000-0005-0000-0000-0000D1960000}"/>
    <cellStyle name="Note 5 2 2 2" xfId="38589" xr:uid="{00000000-0005-0000-0000-0000D2960000}"/>
    <cellStyle name="Note 5 2 2 3" xfId="38590" xr:uid="{00000000-0005-0000-0000-0000D3960000}"/>
    <cellStyle name="Note 5 2 3" xfId="38591" xr:uid="{00000000-0005-0000-0000-0000D4960000}"/>
    <cellStyle name="Note 5 2 4" xfId="38592" xr:uid="{00000000-0005-0000-0000-0000D5960000}"/>
    <cellStyle name="Note 5 3" xfId="38593" xr:uid="{00000000-0005-0000-0000-0000D6960000}"/>
    <cellStyle name="Note 5 3 2" xfId="38594" xr:uid="{00000000-0005-0000-0000-0000D7960000}"/>
    <cellStyle name="Note 5 3 2 2" xfId="38595" xr:uid="{00000000-0005-0000-0000-0000D8960000}"/>
    <cellStyle name="Note 5 3 2 3" xfId="38596" xr:uid="{00000000-0005-0000-0000-0000D9960000}"/>
    <cellStyle name="Note 5 3 3" xfId="38597" xr:uid="{00000000-0005-0000-0000-0000DA960000}"/>
    <cellStyle name="Note 5 3 4" xfId="38598" xr:uid="{00000000-0005-0000-0000-0000DB960000}"/>
    <cellStyle name="Note 5 4" xfId="38599" xr:uid="{00000000-0005-0000-0000-0000DC960000}"/>
    <cellStyle name="Note 5 4 2" xfId="38600" xr:uid="{00000000-0005-0000-0000-0000DD960000}"/>
    <cellStyle name="Note 5 4 2 2" xfId="38601" xr:uid="{00000000-0005-0000-0000-0000DE960000}"/>
    <cellStyle name="Note 5 4 2 3" xfId="38602" xr:uid="{00000000-0005-0000-0000-0000DF960000}"/>
    <cellStyle name="Note 5 4 3" xfId="38603" xr:uid="{00000000-0005-0000-0000-0000E0960000}"/>
    <cellStyle name="Note 5 4 4" xfId="38604" xr:uid="{00000000-0005-0000-0000-0000E1960000}"/>
    <cellStyle name="Note 5 5" xfId="38605" xr:uid="{00000000-0005-0000-0000-0000E2960000}"/>
    <cellStyle name="Note 5 5 2" xfId="38606" xr:uid="{00000000-0005-0000-0000-0000E3960000}"/>
    <cellStyle name="Note 5 5 3" xfId="38607" xr:uid="{00000000-0005-0000-0000-0000E4960000}"/>
    <cellStyle name="Note 5 6" xfId="38608" xr:uid="{00000000-0005-0000-0000-0000E5960000}"/>
    <cellStyle name="Note 5 7" xfId="38609" xr:uid="{00000000-0005-0000-0000-0000E6960000}"/>
    <cellStyle name="Note 6" xfId="38610" xr:uid="{00000000-0005-0000-0000-0000E7960000}"/>
    <cellStyle name="Note 6 2" xfId="38611" xr:uid="{00000000-0005-0000-0000-0000E8960000}"/>
    <cellStyle name="Note 6 2 2" xfId="38612" xr:uid="{00000000-0005-0000-0000-0000E9960000}"/>
    <cellStyle name="Note 6 2 3" xfId="38613" xr:uid="{00000000-0005-0000-0000-0000EA960000}"/>
    <cellStyle name="Note 6 3" xfId="38614" xr:uid="{00000000-0005-0000-0000-0000EB960000}"/>
    <cellStyle name="Note 6 4" xfId="38615" xr:uid="{00000000-0005-0000-0000-0000EC960000}"/>
    <cellStyle name="Note 7" xfId="38616" xr:uid="{00000000-0005-0000-0000-0000ED960000}"/>
    <cellStyle name="Note 7 2" xfId="38617" xr:uid="{00000000-0005-0000-0000-0000EE960000}"/>
    <cellStyle name="Note 7 2 2" xfId="38618" xr:uid="{00000000-0005-0000-0000-0000EF960000}"/>
    <cellStyle name="Note 7 2 3" xfId="38619" xr:uid="{00000000-0005-0000-0000-0000F0960000}"/>
    <cellStyle name="Note 7 3" xfId="38620" xr:uid="{00000000-0005-0000-0000-0000F1960000}"/>
    <cellStyle name="Note 7 4" xfId="38621" xr:uid="{00000000-0005-0000-0000-0000F2960000}"/>
    <cellStyle name="Note 8" xfId="38622" xr:uid="{00000000-0005-0000-0000-0000F3960000}"/>
    <cellStyle name="Note 8 2" xfId="38623" xr:uid="{00000000-0005-0000-0000-0000F4960000}"/>
    <cellStyle name="Note 8 2 2" xfId="38624" xr:uid="{00000000-0005-0000-0000-0000F5960000}"/>
    <cellStyle name="Note 8 2 3" xfId="38625" xr:uid="{00000000-0005-0000-0000-0000F6960000}"/>
    <cellStyle name="Note 8 3" xfId="38626" xr:uid="{00000000-0005-0000-0000-0000F7960000}"/>
    <cellStyle name="Note 8 4" xfId="38627" xr:uid="{00000000-0005-0000-0000-0000F8960000}"/>
    <cellStyle name="Note 9" xfId="38628" xr:uid="{00000000-0005-0000-0000-0000F9960000}"/>
    <cellStyle name="Note 9 2" xfId="38629" xr:uid="{00000000-0005-0000-0000-0000FA960000}"/>
    <cellStyle name="Note 9 3" xfId="38630" xr:uid="{00000000-0005-0000-0000-0000FB960000}"/>
    <cellStyle name="Output" xfId="38631" xr:uid="{00000000-0005-0000-0000-0000FC960000}"/>
    <cellStyle name="Output 2" xfId="38632" xr:uid="{00000000-0005-0000-0000-0000FD960000}"/>
    <cellStyle name="Output 2 2" xfId="38633" xr:uid="{00000000-0005-0000-0000-0000FE960000}"/>
    <cellStyle name="Output 2 2 2" xfId="38634" xr:uid="{00000000-0005-0000-0000-0000FF960000}"/>
    <cellStyle name="Output 2 2 3" xfId="38635" xr:uid="{00000000-0005-0000-0000-000000970000}"/>
    <cellStyle name="Output 2 3" xfId="38636" xr:uid="{00000000-0005-0000-0000-000001970000}"/>
    <cellStyle name="Output 2 4" xfId="38637" xr:uid="{00000000-0005-0000-0000-000002970000}"/>
    <cellStyle name="Output 3" xfId="38638" xr:uid="{00000000-0005-0000-0000-000003970000}"/>
    <cellStyle name="Output 3 2" xfId="38639" xr:uid="{00000000-0005-0000-0000-000004970000}"/>
    <cellStyle name="Output 3 2 2" xfId="38640" xr:uid="{00000000-0005-0000-0000-000005970000}"/>
    <cellStyle name="Output 3 2 3" xfId="38641" xr:uid="{00000000-0005-0000-0000-000006970000}"/>
    <cellStyle name="Output 3 3" xfId="38642" xr:uid="{00000000-0005-0000-0000-000007970000}"/>
    <cellStyle name="Output 3 4" xfId="38643" xr:uid="{00000000-0005-0000-0000-000008970000}"/>
    <cellStyle name="Output 4" xfId="38644" xr:uid="{00000000-0005-0000-0000-000009970000}"/>
    <cellStyle name="Output 4 2" xfId="38645" xr:uid="{00000000-0005-0000-0000-00000A970000}"/>
    <cellStyle name="Output 4 2 2" xfId="38646" xr:uid="{00000000-0005-0000-0000-00000B970000}"/>
    <cellStyle name="Output 4 2 3" xfId="38647" xr:uid="{00000000-0005-0000-0000-00000C970000}"/>
    <cellStyle name="Output 4 3" xfId="38648" xr:uid="{00000000-0005-0000-0000-00000D970000}"/>
    <cellStyle name="Output 4 4" xfId="38649" xr:uid="{00000000-0005-0000-0000-00000E970000}"/>
    <cellStyle name="Output 5" xfId="38650" xr:uid="{00000000-0005-0000-0000-00000F970000}"/>
    <cellStyle name="Output 5 2" xfId="38651" xr:uid="{00000000-0005-0000-0000-000010970000}"/>
    <cellStyle name="Output 5 2 2" xfId="38652" xr:uid="{00000000-0005-0000-0000-000011970000}"/>
    <cellStyle name="Output 5 2 3" xfId="38653" xr:uid="{00000000-0005-0000-0000-000012970000}"/>
    <cellStyle name="Output 5 3" xfId="38654" xr:uid="{00000000-0005-0000-0000-000013970000}"/>
    <cellStyle name="Output 5 4" xfId="38655" xr:uid="{00000000-0005-0000-0000-000014970000}"/>
    <cellStyle name="Output 6" xfId="38656" xr:uid="{00000000-0005-0000-0000-000015970000}"/>
    <cellStyle name="Output 6 2" xfId="38657" xr:uid="{00000000-0005-0000-0000-000016970000}"/>
    <cellStyle name="Output 6 3" xfId="38658" xr:uid="{00000000-0005-0000-0000-000017970000}"/>
    <cellStyle name="Output 7" xfId="38659" xr:uid="{00000000-0005-0000-0000-000018970000}"/>
    <cellStyle name="Output 8" xfId="38660" xr:uid="{00000000-0005-0000-0000-000019970000}"/>
    <cellStyle name="Porcentaje 2" xfId="38661" xr:uid="{00000000-0005-0000-0000-00001A970000}"/>
    <cellStyle name="Porcentual 2" xfId="38662" xr:uid="{00000000-0005-0000-0000-00001B970000}"/>
    <cellStyle name="Porcentual 2 2" xfId="38663" xr:uid="{00000000-0005-0000-0000-00001C970000}"/>
    <cellStyle name="Porcentual 2 2 2" xfId="38664" xr:uid="{00000000-0005-0000-0000-00001D970000}"/>
    <cellStyle name="Porcentual 2 2 2 2" xfId="38665" xr:uid="{00000000-0005-0000-0000-00001E970000}"/>
    <cellStyle name="Porcentual 2 2 2 3" xfId="38666" xr:uid="{00000000-0005-0000-0000-00001F970000}"/>
    <cellStyle name="Porcentual 2 2 3" xfId="38667" xr:uid="{00000000-0005-0000-0000-000020970000}"/>
    <cellStyle name="Porcentual 2 2 4" xfId="38668" xr:uid="{00000000-0005-0000-0000-000021970000}"/>
    <cellStyle name="Porcentual 2 3" xfId="38669" xr:uid="{00000000-0005-0000-0000-000022970000}"/>
    <cellStyle name="Porcentual 2 3 2" xfId="38670" xr:uid="{00000000-0005-0000-0000-000023970000}"/>
    <cellStyle name="Porcentual 2 3 2 2" xfId="38671" xr:uid="{00000000-0005-0000-0000-000024970000}"/>
    <cellStyle name="Porcentual 2 3 2 3" xfId="38672" xr:uid="{00000000-0005-0000-0000-000025970000}"/>
    <cellStyle name="Porcentual 2 3 3" xfId="38673" xr:uid="{00000000-0005-0000-0000-000026970000}"/>
    <cellStyle name="Porcentual 2 3 4" xfId="38674" xr:uid="{00000000-0005-0000-0000-000027970000}"/>
    <cellStyle name="Porcentual 2 4" xfId="38675" xr:uid="{00000000-0005-0000-0000-000028970000}"/>
    <cellStyle name="Porcentual 2 4 2" xfId="38676" xr:uid="{00000000-0005-0000-0000-000029970000}"/>
    <cellStyle name="Porcentual 2 4 2 2" xfId="38677" xr:uid="{00000000-0005-0000-0000-00002A970000}"/>
    <cellStyle name="Porcentual 2 4 2 3" xfId="38678" xr:uid="{00000000-0005-0000-0000-00002B970000}"/>
    <cellStyle name="Porcentual 2 4 3" xfId="38679" xr:uid="{00000000-0005-0000-0000-00002C970000}"/>
    <cellStyle name="Porcentual 2 4 4" xfId="38680" xr:uid="{00000000-0005-0000-0000-00002D970000}"/>
    <cellStyle name="Porcentual 2 5" xfId="38681" xr:uid="{00000000-0005-0000-0000-00002E970000}"/>
    <cellStyle name="Porcentual 2 5 2" xfId="38682" xr:uid="{00000000-0005-0000-0000-00002F970000}"/>
    <cellStyle name="Porcentual 2 5 2 2" xfId="38683" xr:uid="{00000000-0005-0000-0000-000030970000}"/>
    <cellStyle name="Porcentual 2 5 2 3" xfId="38684" xr:uid="{00000000-0005-0000-0000-000031970000}"/>
    <cellStyle name="Porcentual 2 5 3" xfId="38685" xr:uid="{00000000-0005-0000-0000-000032970000}"/>
    <cellStyle name="Porcentual 2 5 4" xfId="38686" xr:uid="{00000000-0005-0000-0000-000033970000}"/>
    <cellStyle name="Salida 10" xfId="38687" xr:uid="{00000000-0005-0000-0000-000034970000}"/>
    <cellStyle name="Salida 11" xfId="38688" xr:uid="{00000000-0005-0000-0000-000035970000}"/>
    <cellStyle name="Salida 2" xfId="38689" xr:uid="{00000000-0005-0000-0000-000036970000}"/>
    <cellStyle name="Salida 2 2" xfId="38690" xr:uid="{00000000-0005-0000-0000-000037970000}"/>
    <cellStyle name="Salida 2 2 2" xfId="38691" xr:uid="{00000000-0005-0000-0000-000038970000}"/>
    <cellStyle name="Salida 2 2 3" xfId="38692" xr:uid="{00000000-0005-0000-0000-000039970000}"/>
    <cellStyle name="Salida 2 2 4" xfId="38693" xr:uid="{00000000-0005-0000-0000-00003A970000}"/>
    <cellStyle name="Salida 2 3" xfId="38694" xr:uid="{00000000-0005-0000-0000-00003B970000}"/>
    <cellStyle name="Salida 2 4" xfId="38695" xr:uid="{00000000-0005-0000-0000-00003C970000}"/>
    <cellStyle name="Salida 3" xfId="38696" xr:uid="{00000000-0005-0000-0000-00003D970000}"/>
    <cellStyle name="Salida 3 2" xfId="38697" xr:uid="{00000000-0005-0000-0000-00003E970000}"/>
    <cellStyle name="Salida 3 2 2" xfId="38698" xr:uid="{00000000-0005-0000-0000-00003F970000}"/>
    <cellStyle name="Salida 3 2 3" xfId="38699" xr:uid="{00000000-0005-0000-0000-000040970000}"/>
    <cellStyle name="Salida 3 3" xfId="38700" xr:uid="{00000000-0005-0000-0000-000041970000}"/>
    <cellStyle name="Salida 3 4" xfId="38701" xr:uid="{00000000-0005-0000-0000-000042970000}"/>
    <cellStyle name="Salida 4" xfId="38702" xr:uid="{00000000-0005-0000-0000-000043970000}"/>
    <cellStyle name="Salida 4 2" xfId="38703" xr:uid="{00000000-0005-0000-0000-000044970000}"/>
    <cellStyle name="Salida 4 2 2" xfId="38704" xr:uid="{00000000-0005-0000-0000-000045970000}"/>
    <cellStyle name="Salida 4 2 3" xfId="38705" xr:uid="{00000000-0005-0000-0000-000046970000}"/>
    <cellStyle name="Salida 4 3" xfId="38706" xr:uid="{00000000-0005-0000-0000-000047970000}"/>
    <cellStyle name="Salida 4 4" xfId="38707" xr:uid="{00000000-0005-0000-0000-000048970000}"/>
    <cellStyle name="Salida 5" xfId="38708" xr:uid="{00000000-0005-0000-0000-000049970000}"/>
    <cellStyle name="Salida 5 2" xfId="38709" xr:uid="{00000000-0005-0000-0000-00004A970000}"/>
    <cellStyle name="Salida 5 2 2" xfId="38710" xr:uid="{00000000-0005-0000-0000-00004B970000}"/>
    <cellStyle name="Salida 5 2 3" xfId="38711" xr:uid="{00000000-0005-0000-0000-00004C970000}"/>
    <cellStyle name="Salida 5 3" xfId="38712" xr:uid="{00000000-0005-0000-0000-00004D970000}"/>
    <cellStyle name="Salida 5 4" xfId="38713" xr:uid="{00000000-0005-0000-0000-00004E970000}"/>
    <cellStyle name="Salida 6" xfId="38714" xr:uid="{00000000-0005-0000-0000-00004F970000}"/>
    <cellStyle name="Salida 6 2" xfId="38715" xr:uid="{00000000-0005-0000-0000-000050970000}"/>
    <cellStyle name="Salida 6 2 2" xfId="38716" xr:uid="{00000000-0005-0000-0000-000051970000}"/>
    <cellStyle name="Salida 6 2 3" xfId="38717" xr:uid="{00000000-0005-0000-0000-000052970000}"/>
    <cellStyle name="Salida 6 3" xfId="38718" xr:uid="{00000000-0005-0000-0000-000053970000}"/>
    <cellStyle name="Salida 6 4" xfId="38719" xr:uid="{00000000-0005-0000-0000-000054970000}"/>
    <cellStyle name="Salida 7" xfId="38720" xr:uid="{00000000-0005-0000-0000-000055970000}"/>
    <cellStyle name="Salida 7 2" xfId="38721" xr:uid="{00000000-0005-0000-0000-000056970000}"/>
    <cellStyle name="Salida 7 2 2" xfId="38722" xr:uid="{00000000-0005-0000-0000-000057970000}"/>
    <cellStyle name="Salida 7 2 3" xfId="38723" xr:uid="{00000000-0005-0000-0000-000058970000}"/>
    <cellStyle name="Salida 7 3" xfId="38724" xr:uid="{00000000-0005-0000-0000-000059970000}"/>
    <cellStyle name="Salida 7 4" xfId="38725" xr:uid="{00000000-0005-0000-0000-00005A970000}"/>
    <cellStyle name="Salida 8" xfId="38726" xr:uid="{00000000-0005-0000-0000-00005B970000}"/>
    <cellStyle name="Salida 8 2" xfId="38727" xr:uid="{00000000-0005-0000-0000-00005C970000}"/>
    <cellStyle name="Salida 8 2 2" xfId="38728" xr:uid="{00000000-0005-0000-0000-00005D970000}"/>
    <cellStyle name="Salida 8 2 3" xfId="38729" xr:uid="{00000000-0005-0000-0000-00005E970000}"/>
    <cellStyle name="Salida 8 3" xfId="38730" xr:uid="{00000000-0005-0000-0000-00005F970000}"/>
    <cellStyle name="Salida 8 4" xfId="38731" xr:uid="{00000000-0005-0000-0000-000060970000}"/>
    <cellStyle name="Salida 9" xfId="38732" xr:uid="{00000000-0005-0000-0000-000061970000}"/>
    <cellStyle name="Salida 9 2" xfId="38733" xr:uid="{00000000-0005-0000-0000-000062970000}"/>
    <cellStyle name="Salida 9 3" xfId="38734" xr:uid="{00000000-0005-0000-0000-000063970000}"/>
    <cellStyle name="TableStyleLight1" xfId="38735" xr:uid="{00000000-0005-0000-0000-000064970000}"/>
    <cellStyle name="TableStyleLight1 2" xfId="38736" xr:uid="{00000000-0005-0000-0000-000065970000}"/>
    <cellStyle name="TableStyleLight1 2 2" xfId="38737" xr:uid="{00000000-0005-0000-0000-000066970000}"/>
    <cellStyle name="TableStyleLight1 2 3" xfId="38738" xr:uid="{00000000-0005-0000-0000-000067970000}"/>
    <cellStyle name="TableStyleLight1 3" xfId="38739" xr:uid="{00000000-0005-0000-0000-000068970000}"/>
    <cellStyle name="TableStyleLight1 4" xfId="38740" xr:uid="{00000000-0005-0000-0000-000069970000}"/>
    <cellStyle name="Texto de advertencia 10" xfId="38741" xr:uid="{00000000-0005-0000-0000-00006A970000}"/>
    <cellStyle name="Texto de advertencia 10 2" xfId="38742" xr:uid="{00000000-0005-0000-0000-00006B970000}"/>
    <cellStyle name="Texto de advertencia 10 3" xfId="38743" xr:uid="{00000000-0005-0000-0000-00006C970000}"/>
    <cellStyle name="Texto de advertencia 11" xfId="38744" xr:uid="{00000000-0005-0000-0000-00006D970000}"/>
    <cellStyle name="Texto de advertencia 12" xfId="38745" xr:uid="{00000000-0005-0000-0000-00006E970000}"/>
    <cellStyle name="Texto de advertencia 2" xfId="38746" xr:uid="{00000000-0005-0000-0000-00006F970000}"/>
    <cellStyle name="Texto de advertencia 2 2" xfId="38747" xr:uid="{00000000-0005-0000-0000-000070970000}"/>
    <cellStyle name="Texto de advertencia 2 2 2" xfId="38748" xr:uid="{00000000-0005-0000-0000-000071970000}"/>
    <cellStyle name="Texto de advertencia 2 2 2 2" xfId="38749" xr:uid="{00000000-0005-0000-0000-000072970000}"/>
    <cellStyle name="Texto de advertencia 2 2 2 2 2" xfId="38750" xr:uid="{00000000-0005-0000-0000-000073970000}"/>
    <cellStyle name="Texto de advertencia 2 2 2 2 2 2" xfId="38751" xr:uid="{00000000-0005-0000-0000-000074970000}"/>
    <cellStyle name="Texto de advertencia 2 2 2 2 2 2 2" xfId="38752" xr:uid="{00000000-0005-0000-0000-000075970000}"/>
    <cellStyle name="Texto de advertencia 2 2 2 2 2 2 3" xfId="38753" xr:uid="{00000000-0005-0000-0000-000076970000}"/>
    <cellStyle name="Texto de advertencia 2 2 2 2 2 3" xfId="38754" xr:uid="{00000000-0005-0000-0000-000077970000}"/>
    <cellStyle name="Texto de advertencia 2 2 2 2 2 4" xfId="38755" xr:uid="{00000000-0005-0000-0000-000078970000}"/>
    <cellStyle name="Texto de advertencia 2 2 2 2 3" xfId="38756" xr:uid="{00000000-0005-0000-0000-000079970000}"/>
    <cellStyle name="Texto de advertencia 2 2 2 2 3 2" xfId="38757" xr:uid="{00000000-0005-0000-0000-00007A970000}"/>
    <cellStyle name="Texto de advertencia 2 2 2 2 3 3" xfId="38758" xr:uid="{00000000-0005-0000-0000-00007B970000}"/>
    <cellStyle name="Texto de advertencia 2 2 2 2 4" xfId="38759" xr:uid="{00000000-0005-0000-0000-00007C970000}"/>
    <cellStyle name="Texto de advertencia 2 2 2 2 5" xfId="38760" xr:uid="{00000000-0005-0000-0000-00007D970000}"/>
    <cellStyle name="Texto de advertencia 2 2 2 3" xfId="38761" xr:uid="{00000000-0005-0000-0000-00007E970000}"/>
    <cellStyle name="Texto de advertencia 2 2 2 3 2" xfId="38762" xr:uid="{00000000-0005-0000-0000-00007F970000}"/>
    <cellStyle name="Texto de advertencia 2 2 2 3 3" xfId="38763" xr:uid="{00000000-0005-0000-0000-000080970000}"/>
    <cellStyle name="Texto de advertencia 2 2 2 4" xfId="38764" xr:uid="{00000000-0005-0000-0000-000081970000}"/>
    <cellStyle name="Texto de advertencia 2 2 2 5" xfId="38765" xr:uid="{00000000-0005-0000-0000-000082970000}"/>
    <cellStyle name="Texto de advertencia 2 2 3" xfId="38766" xr:uid="{00000000-0005-0000-0000-000083970000}"/>
    <cellStyle name="Texto de advertencia 2 2 3 2" xfId="38767" xr:uid="{00000000-0005-0000-0000-000084970000}"/>
    <cellStyle name="Texto de advertencia 2 2 3 2 2" xfId="38768" xr:uid="{00000000-0005-0000-0000-000085970000}"/>
    <cellStyle name="Texto de advertencia 2 2 3 2 3" xfId="38769" xr:uid="{00000000-0005-0000-0000-000086970000}"/>
    <cellStyle name="Texto de advertencia 2 2 3 3" xfId="38770" xr:uid="{00000000-0005-0000-0000-000087970000}"/>
    <cellStyle name="Texto de advertencia 2 2 3 4" xfId="38771" xr:uid="{00000000-0005-0000-0000-000088970000}"/>
    <cellStyle name="Texto de advertencia 2 2 4" xfId="38772" xr:uid="{00000000-0005-0000-0000-000089970000}"/>
    <cellStyle name="Texto de advertencia 2 2 4 2" xfId="38773" xr:uid="{00000000-0005-0000-0000-00008A970000}"/>
    <cellStyle name="Texto de advertencia 2 2 4 2 2" xfId="38774" xr:uid="{00000000-0005-0000-0000-00008B970000}"/>
    <cellStyle name="Texto de advertencia 2 2 4 2 3" xfId="38775" xr:uid="{00000000-0005-0000-0000-00008C970000}"/>
    <cellStyle name="Texto de advertencia 2 2 4 3" xfId="38776" xr:uid="{00000000-0005-0000-0000-00008D970000}"/>
    <cellStyle name="Texto de advertencia 2 2 4 4" xfId="38777" xr:uid="{00000000-0005-0000-0000-00008E970000}"/>
    <cellStyle name="Texto de advertencia 2 2 5" xfId="38778" xr:uid="{00000000-0005-0000-0000-00008F970000}"/>
    <cellStyle name="Texto de advertencia 2 2 5 2" xfId="38779" xr:uid="{00000000-0005-0000-0000-000090970000}"/>
    <cellStyle name="Texto de advertencia 2 2 5 3" xfId="38780" xr:uid="{00000000-0005-0000-0000-000091970000}"/>
    <cellStyle name="Texto de advertencia 2 2 6" xfId="38781" xr:uid="{00000000-0005-0000-0000-000092970000}"/>
    <cellStyle name="Texto de advertencia 2 2 7" xfId="38782" xr:uid="{00000000-0005-0000-0000-000093970000}"/>
    <cellStyle name="Texto de advertencia 2 3" xfId="38783" xr:uid="{00000000-0005-0000-0000-000094970000}"/>
    <cellStyle name="Texto de advertencia 2 3 2" xfId="38784" xr:uid="{00000000-0005-0000-0000-000095970000}"/>
    <cellStyle name="Texto de advertencia 2 3 2 2" xfId="38785" xr:uid="{00000000-0005-0000-0000-000096970000}"/>
    <cellStyle name="Texto de advertencia 2 3 2 3" xfId="38786" xr:uid="{00000000-0005-0000-0000-000097970000}"/>
    <cellStyle name="Texto de advertencia 2 3 3" xfId="38787" xr:uid="{00000000-0005-0000-0000-000098970000}"/>
    <cellStyle name="Texto de advertencia 2 3 4" xfId="38788" xr:uid="{00000000-0005-0000-0000-000099970000}"/>
    <cellStyle name="Texto de advertencia 2 4" xfId="38789" xr:uid="{00000000-0005-0000-0000-00009A970000}"/>
    <cellStyle name="Texto de advertencia 2 4 2" xfId="38790" xr:uid="{00000000-0005-0000-0000-00009B970000}"/>
    <cellStyle name="Texto de advertencia 2 4 2 2" xfId="38791" xr:uid="{00000000-0005-0000-0000-00009C970000}"/>
    <cellStyle name="Texto de advertencia 2 4 2 3" xfId="38792" xr:uid="{00000000-0005-0000-0000-00009D970000}"/>
    <cellStyle name="Texto de advertencia 2 4 3" xfId="38793" xr:uid="{00000000-0005-0000-0000-00009E970000}"/>
    <cellStyle name="Texto de advertencia 2 4 4" xfId="38794" xr:uid="{00000000-0005-0000-0000-00009F970000}"/>
    <cellStyle name="Texto de advertencia 2 5" xfId="38795" xr:uid="{00000000-0005-0000-0000-0000A0970000}"/>
    <cellStyle name="Texto de advertencia 2 5 2" xfId="38796" xr:uid="{00000000-0005-0000-0000-0000A1970000}"/>
    <cellStyle name="Texto de advertencia 2 5 3" xfId="38797" xr:uid="{00000000-0005-0000-0000-0000A2970000}"/>
    <cellStyle name="Texto de advertencia 2 6" xfId="38798" xr:uid="{00000000-0005-0000-0000-0000A3970000}"/>
    <cellStyle name="Texto de advertencia 2 7" xfId="38799" xr:uid="{00000000-0005-0000-0000-0000A4970000}"/>
    <cellStyle name="Texto de advertencia 3" xfId="38800" xr:uid="{00000000-0005-0000-0000-0000A5970000}"/>
    <cellStyle name="Texto de advertencia 3 2" xfId="38801" xr:uid="{00000000-0005-0000-0000-0000A6970000}"/>
    <cellStyle name="Texto de advertencia 3 2 2" xfId="38802" xr:uid="{00000000-0005-0000-0000-0000A7970000}"/>
    <cellStyle name="Texto de advertencia 3 2 3" xfId="38803" xr:uid="{00000000-0005-0000-0000-0000A8970000}"/>
    <cellStyle name="Texto de advertencia 3 3" xfId="38804" xr:uid="{00000000-0005-0000-0000-0000A9970000}"/>
    <cellStyle name="Texto de advertencia 3 4" xfId="38805" xr:uid="{00000000-0005-0000-0000-0000AA970000}"/>
    <cellStyle name="Texto de advertencia 4" xfId="38806" xr:uid="{00000000-0005-0000-0000-0000AB970000}"/>
    <cellStyle name="Texto de advertencia 4 2" xfId="38807" xr:uid="{00000000-0005-0000-0000-0000AC970000}"/>
    <cellStyle name="Texto de advertencia 4 2 2" xfId="38808" xr:uid="{00000000-0005-0000-0000-0000AD970000}"/>
    <cellStyle name="Texto de advertencia 4 2 3" xfId="38809" xr:uid="{00000000-0005-0000-0000-0000AE970000}"/>
    <cellStyle name="Texto de advertencia 4 3" xfId="38810" xr:uid="{00000000-0005-0000-0000-0000AF970000}"/>
    <cellStyle name="Texto de advertencia 4 4" xfId="38811" xr:uid="{00000000-0005-0000-0000-0000B0970000}"/>
    <cellStyle name="Texto de advertencia 5" xfId="38812" xr:uid="{00000000-0005-0000-0000-0000B1970000}"/>
    <cellStyle name="Texto de advertencia 5 2" xfId="38813" xr:uid="{00000000-0005-0000-0000-0000B2970000}"/>
    <cellStyle name="Texto de advertencia 5 2 2" xfId="38814" xr:uid="{00000000-0005-0000-0000-0000B3970000}"/>
    <cellStyle name="Texto de advertencia 5 2 3" xfId="38815" xr:uid="{00000000-0005-0000-0000-0000B4970000}"/>
    <cellStyle name="Texto de advertencia 5 3" xfId="38816" xr:uid="{00000000-0005-0000-0000-0000B5970000}"/>
    <cellStyle name="Texto de advertencia 5 4" xfId="38817" xr:uid="{00000000-0005-0000-0000-0000B6970000}"/>
    <cellStyle name="Texto de advertencia 6" xfId="38818" xr:uid="{00000000-0005-0000-0000-0000B7970000}"/>
    <cellStyle name="Texto de advertencia 6 2" xfId="38819" xr:uid="{00000000-0005-0000-0000-0000B8970000}"/>
    <cellStyle name="Texto de advertencia 6 2 2" xfId="38820" xr:uid="{00000000-0005-0000-0000-0000B9970000}"/>
    <cellStyle name="Texto de advertencia 6 2 3" xfId="38821" xr:uid="{00000000-0005-0000-0000-0000BA970000}"/>
    <cellStyle name="Texto de advertencia 6 3" xfId="38822" xr:uid="{00000000-0005-0000-0000-0000BB970000}"/>
    <cellStyle name="Texto de advertencia 6 4" xfId="38823" xr:uid="{00000000-0005-0000-0000-0000BC970000}"/>
    <cellStyle name="Texto de advertencia 7" xfId="38824" xr:uid="{00000000-0005-0000-0000-0000BD970000}"/>
    <cellStyle name="Texto de advertencia 7 2" xfId="38825" xr:uid="{00000000-0005-0000-0000-0000BE970000}"/>
    <cellStyle name="Texto de advertencia 7 2 2" xfId="38826" xr:uid="{00000000-0005-0000-0000-0000BF970000}"/>
    <cellStyle name="Texto de advertencia 7 2 3" xfId="38827" xr:uid="{00000000-0005-0000-0000-0000C0970000}"/>
    <cellStyle name="Texto de advertencia 7 3" xfId="38828" xr:uid="{00000000-0005-0000-0000-0000C1970000}"/>
    <cellStyle name="Texto de advertencia 7 4" xfId="38829" xr:uid="{00000000-0005-0000-0000-0000C2970000}"/>
    <cellStyle name="Texto de advertencia 8" xfId="38830" xr:uid="{00000000-0005-0000-0000-0000C3970000}"/>
    <cellStyle name="Texto de advertencia 8 2" xfId="38831" xr:uid="{00000000-0005-0000-0000-0000C4970000}"/>
    <cellStyle name="Texto de advertencia 8 2 2" xfId="38832" xr:uid="{00000000-0005-0000-0000-0000C5970000}"/>
    <cellStyle name="Texto de advertencia 8 2 3" xfId="38833" xr:uid="{00000000-0005-0000-0000-0000C6970000}"/>
    <cellStyle name="Texto de advertencia 8 3" xfId="38834" xr:uid="{00000000-0005-0000-0000-0000C7970000}"/>
    <cellStyle name="Texto de advertencia 8 4" xfId="38835" xr:uid="{00000000-0005-0000-0000-0000C8970000}"/>
    <cellStyle name="Texto de advertencia 9" xfId="38836" xr:uid="{00000000-0005-0000-0000-0000C9970000}"/>
    <cellStyle name="Texto de advertencia 9 2" xfId="38837" xr:uid="{00000000-0005-0000-0000-0000CA970000}"/>
    <cellStyle name="Texto de advertencia 9 2 2" xfId="38838" xr:uid="{00000000-0005-0000-0000-0000CB970000}"/>
    <cellStyle name="Texto de advertencia 9 2 3" xfId="38839" xr:uid="{00000000-0005-0000-0000-0000CC970000}"/>
    <cellStyle name="Texto de advertencia 9 3" xfId="38840" xr:uid="{00000000-0005-0000-0000-0000CD970000}"/>
    <cellStyle name="Texto de advertencia 9 4" xfId="38841" xr:uid="{00000000-0005-0000-0000-0000CE970000}"/>
    <cellStyle name="Texto explicativo 10" xfId="38842" xr:uid="{00000000-0005-0000-0000-0000CF970000}"/>
    <cellStyle name="Texto explicativo 11" xfId="38843" xr:uid="{00000000-0005-0000-0000-0000D0970000}"/>
    <cellStyle name="Texto explicativo 2" xfId="38844" xr:uid="{00000000-0005-0000-0000-0000D1970000}"/>
    <cellStyle name="Texto explicativo 2 2" xfId="38845" xr:uid="{00000000-0005-0000-0000-0000D2970000}"/>
    <cellStyle name="Texto explicativo 2 2 2" xfId="38846" xr:uid="{00000000-0005-0000-0000-0000D3970000}"/>
    <cellStyle name="Texto explicativo 2 2 3" xfId="38847" xr:uid="{00000000-0005-0000-0000-0000D4970000}"/>
    <cellStyle name="Texto explicativo 2 2 4" xfId="38848" xr:uid="{00000000-0005-0000-0000-0000D5970000}"/>
    <cellStyle name="Texto explicativo 2 3" xfId="38849" xr:uid="{00000000-0005-0000-0000-0000D6970000}"/>
    <cellStyle name="Texto explicativo 2 4" xfId="38850" xr:uid="{00000000-0005-0000-0000-0000D7970000}"/>
    <cellStyle name="Texto explicativo 3" xfId="38851" xr:uid="{00000000-0005-0000-0000-0000D8970000}"/>
    <cellStyle name="Texto explicativo 3 2" xfId="38852" xr:uid="{00000000-0005-0000-0000-0000D9970000}"/>
    <cellStyle name="Texto explicativo 3 2 2" xfId="38853" xr:uid="{00000000-0005-0000-0000-0000DA970000}"/>
    <cellStyle name="Texto explicativo 3 2 3" xfId="38854" xr:uid="{00000000-0005-0000-0000-0000DB970000}"/>
    <cellStyle name="Texto explicativo 3 3" xfId="38855" xr:uid="{00000000-0005-0000-0000-0000DC970000}"/>
    <cellStyle name="Texto explicativo 3 4" xfId="38856" xr:uid="{00000000-0005-0000-0000-0000DD970000}"/>
    <cellStyle name="Texto explicativo 4" xfId="38857" xr:uid="{00000000-0005-0000-0000-0000DE970000}"/>
    <cellStyle name="Texto explicativo 4 2" xfId="38858" xr:uid="{00000000-0005-0000-0000-0000DF970000}"/>
    <cellStyle name="Texto explicativo 4 2 2" xfId="38859" xr:uid="{00000000-0005-0000-0000-0000E0970000}"/>
    <cellStyle name="Texto explicativo 4 2 3" xfId="38860" xr:uid="{00000000-0005-0000-0000-0000E1970000}"/>
    <cellStyle name="Texto explicativo 4 3" xfId="38861" xr:uid="{00000000-0005-0000-0000-0000E2970000}"/>
    <cellStyle name="Texto explicativo 4 4" xfId="38862" xr:uid="{00000000-0005-0000-0000-0000E3970000}"/>
    <cellStyle name="Texto explicativo 5" xfId="38863" xr:uid="{00000000-0005-0000-0000-0000E4970000}"/>
    <cellStyle name="Texto explicativo 5 2" xfId="38864" xr:uid="{00000000-0005-0000-0000-0000E5970000}"/>
    <cellStyle name="Texto explicativo 5 2 2" xfId="38865" xr:uid="{00000000-0005-0000-0000-0000E6970000}"/>
    <cellStyle name="Texto explicativo 5 2 3" xfId="38866" xr:uid="{00000000-0005-0000-0000-0000E7970000}"/>
    <cellStyle name="Texto explicativo 5 3" xfId="38867" xr:uid="{00000000-0005-0000-0000-0000E8970000}"/>
    <cellStyle name="Texto explicativo 5 4" xfId="38868" xr:uid="{00000000-0005-0000-0000-0000E9970000}"/>
    <cellStyle name="Texto explicativo 6" xfId="38869" xr:uid="{00000000-0005-0000-0000-0000EA970000}"/>
    <cellStyle name="Texto explicativo 6 2" xfId="38870" xr:uid="{00000000-0005-0000-0000-0000EB970000}"/>
    <cellStyle name="Texto explicativo 6 2 2" xfId="38871" xr:uid="{00000000-0005-0000-0000-0000EC970000}"/>
    <cellStyle name="Texto explicativo 6 2 3" xfId="38872" xr:uid="{00000000-0005-0000-0000-0000ED970000}"/>
    <cellStyle name="Texto explicativo 6 3" xfId="38873" xr:uid="{00000000-0005-0000-0000-0000EE970000}"/>
    <cellStyle name="Texto explicativo 6 4" xfId="38874" xr:uid="{00000000-0005-0000-0000-0000EF970000}"/>
    <cellStyle name="Texto explicativo 7" xfId="38875" xr:uid="{00000000-0005-0000-0000-0000F0970000}"/>
    <cellStyle name="Texto explicativo 7 2" xfId="38876" xr:uid="{00000000-0005-0000-0000-0000F1970000}"/>
    <cellStyle name="Texto explicativo 7 2 2" xfId="38877" xr:uid="{00000000-0005-0000-0000-0000F2970000}"/>
    <cellStyle name="Texto explicativo 7 2 3" xfId="38878" xr:uid="{00000000-0005-0000-0000-0000F3970000}"/>
    <cellStyle name="Texto explicativo 7 3" xfId="38879" xr:uid="{00000000-0005-0000-0000-0000F4970000}"/>
    <cellStyle name="Texto explicativo 7 4" xfId="38880" xr:uid="{00000000-0005-0000-0000-0000F5970000}"/>
    <cellStyle name="Texto explicativo 8" xfId="38881" xr:uid="{00000000-0005-0000-0000-0000F6970000}"/>
    <cellStyle name="Texto explicativo 8 2" xfId="38882" xr:uid="{00000000-0005-0000-0000-0000F7970000}"/>
    <cellStyle name="Texto explicativo 8 2 2" xfId="38883" xr:uid="{00000000-0005-0000-0000-0000F8970000}"/>
    <cellStyle name="Texto explicativo 8 2 3" xfId="38884" xr:uid="{00000000-0005-0000-0000-0000F9970000}"/>
    <cellStyle name="Texto explicativo 8 3" xfId="38885" xr:uid="{00000000-0005-0000-0000-0000FA970000}"/>
    <cellStyle name="Texto explicativo 8 4" xfId="38886" xr:uid="{00000000-0005-0000-0000-0000FB970000}"/>
    <cellStyle name="Texto explicativo 9" xfId="38887" xr:uid="{00000000-0005-0000-0000-0000FC970000}"/>
    <cellStyle name="Texto explicativo 9 2" xfId="38888" xr:uid="{00000000-0005-0000-0000-0000FD970000}"/>
    <cellStyle name="Texto explicativo 9 3" xfId="38889" xr:uid="{00000000-0005-0000-0000-0000FE970000}"/>
    <cellStyle name="Title" xfId="38890" xr:uid="{00000000-0005-0000-0000-0000FF970000}"/>
    <cellStyle name="Title 2" xfId="38891" xr:uid="{00000000-0005-0000-0000-000000980000}"/>
    <cellStyle name="Title 2 2" xfId="38892" xr:uid="{00000000-0005-0000-0000-000001980000}"/>
    <cellStyle name="Title 2 2 2" xfId="38893" xr:uid="{00000000-0005-0000-0000-000002980000}"/>
    <cellStyle name="Title 2 2 3" xfId="38894" xr:uid="{00000000-0005-0000-0000-000003980000}"/>
    <cellStyle name="Title 2 3" xfId="38895" xr:uid="{00000000-0005-0000-0000-000004980000}"/>
    <cellStyle name="Title 2 4" xfId="38896" xr:uid="{00000000-0005-0000-0000-000005980000}"/>
    <cellStyle name="Title 3" xfId="38897" xr:uid="{00000000-0005-0000-0000-000006980000}"/>
    <cellStyle name="Title 3 2" xfId="38898" xr:uid="{00000000-0005-0000-0000-000007980000}"/>
    <cellStyle name="Title 3 2 2" xfId="38899" xr:uid="{00000000-0005-0000-0000-000008980000}"/>
    <cellStyle name="Title 3 2 3" xfId="38900" xr:uid="{00000000-0005-0000-0000-000009980000}"/>
    <cellStyle name="Title 3 3" xfId="38901" xr:uid="{00000000-0005-0000-0000-00000A980000}"/>
    <cellStyle name="Title 3 4" xfId="38902" xr:uid="{00000000-0005-0000-0000-00000B980000}"/>
    <cellStyle name="Title 4" xfId="38903" xr:uid="{00000000-0005-0000-0000-00000C980000}"/>
    <cellStyle name="Title 4 2" xfId="38904" xr:uid="{00000000-0005-0000-0000-00000D980000}"/>
    <cellStyle name="Title 4 2 2" xfId="38905" xr:uid="{00000000-0005-0000-0000-00000E980000}"/>
    <cellStyle name="Title 4 2 3" xfId="38906" xr:uid="{00000000-0005-0000-0000-00000F980000}"/>
    <cellStyle name="Title 4 3" xfId="38907" xr:uid="{00000000-0005-0000-0000-000010980000}"/>
    <cellStyle name="Title 4 4" xfId="38908" xr:uid="{00000000-0005-0000-0000-000011980000}"/>
    <cellStyle name="Title 5" xfId="38909" xr:uid="{00000000-0005-0000-0000-000012980000}"/>
    <cellStyle name="Title 5 2" xfId="38910" xr:uid="{00000000-0005-0000-0000-000013980000}"/>
    <cellStyle name="Title 5 2 2" xfId="38911" xr:uid="{00000000-0005-0000-0000-000014980000}"/>
    <cellStyle name="Title 5 2 3" xfId="38912" xr:uid="{00000000-0005-0000-0000-000015980000}"/>
    <cellStyle name="Title 5 3" xfId="38913" xr:uid="{00000000-0005-0000-0000-000016980000}"/>
    <cellStyle name="Title 5 4" xfId="38914" xr:uid="{00000000-0005-0000-0000-000017980000}"/>
    <cellStyle name="Title 6" xfId="38915" xr:uid="{00000000-0005-0000-0000-000018980000}"/>
    <cellStyle name="Title 6 2" xfId="38916" xr:uid="{00000000-0005-0000-0000-000019980000}"/>
    <cellStyle name="Title 6 3" xfId="38917" xr:uid="{00000000-0005-0000-0000-00001A980000}"/>
    <cellStyle name="Title 7" xfId="38918" xr:uid="{00000000-0005-0000-0000-00001B980000}"/>
    <cellStyle name="Title 8" xfId="38919" xr:uid="{00000000-0005-0000-0000-00001C980000}"/>
    <cellStyle name="Título 1 10" xfId="38920" xr:uid="{00000000-0005-0000-0000-00001D980000}"/>
    <cellStyle name="Título 1 11" xfId="38921" xr:uid="{00000000-0005-0000-0000-00001E980000}"/>
    <cellStyle name="Título 1 2" xfId="38922" xr:uid="{00000000-0005-0000-0000-00001F980000}"/>
    <cellStyle name="Título 1 2 2" xfId="38923" xr:uid="{00000000-0005-0000-0000-000020980000}"/>
    <cellStyle name="Título 1 2 2 2" xfId="38924" xr:uid="{00000000-0005-0000-0000-000021980000}"/>
    <cellStyle name="Título 1 2 2 3" xfId="38925" xr:uid="{00000000-0005-0000-0000-000022980000}"/>
    <cellStyle name="Título 1 2 3" xfId="38926" xr:uid="{00000000-0005-0000-0000-000023980000}"/>
    <cellStyle name="Título 1 2 4" xfId="38927" xr:uid="{00000000-0005-0000-0000-000024980000}"/>
    <cellStyle name="Título 1 3" xfId="38928" xr:uid="{00000000-0005-0000-0000-000025980000}"/>
    <cellStyle name="Título 1 3 2" xfId="38929" xr:uid="{00000000-0005-0000-0000-000026980000}"/>
    <cellStyle name="Título 1 3 2 2" xfId="38930" xr:uid="{00000000-0005-0000-0000-000027980000}"/>
    <cellStyle name="Título 1 3 2 3" xfId="38931" xr:uid="{00000000-0005-0000-0000-000028980000}"/>
    <cellStyle name="Título 1 3 3" xfId="38932" xr:uid="{00000000-0005-0000-0000-000029980000}"/>
    <cellStyle name="Título 1 3 4" xfId="38933" xr:uid="{00000000-0005-0000-0000-00002A980000}"/>
    <cellStyle name="Título 1 4" xfId="38934" xr:uid="{00000000-0005-0000-0000-00002B980000}"/>
    <cellStyle name="Título 1 4 2" xfId="38935" xr:uid="{00000000-0005-0000-0000-00002C980000}"/>
    <cellStyle name="Título 1 4 2 2" xfId="38936" xr:uid="{00000000-0005-0000-0000-00002D980000}"/>
    <cellStyle name="Título 1 4 2 3" xfId="38937" xr:uid="{00000000-0005-0000-0000-00002E980000}"/>
    <cellStyle name="Título 1 4 3" xfId="38938" xr:uid="{00000000-0005-0000-0000-00002F980000}"/>
    <cellStyle name="Título 1 4 4" xfId="38939" xr:uid="{00000000-0005-0000-0000-000030980000}"/>
    <cellStyle name="Título 1 5" xfId="38940" xr:uid="{00000000-0005-0000-0000-000031980000}"/>
    <cellStyle name="Título 1 5 2" xfId="38941" xr:uid="{00000000-0005-0000-0000-000032980000}"/>
    <cellStyle name="Título 1 5 2 2" xfId="38942" xr:uid="{00000000-0005-0000-0000-000033980000}"/>
    <cellStyle name="Título 1 5 2 3" xfId="38943" xr:uid="{00000000-0005-0000-0000-000034980000}"/>
    <cellStyle name="Título 1 5 3" xfId="38944" xr:uid="{00000000-0005-0000-0000-000035980000}"/>
    <cellStyle name="Título 1 5 4" xfId="38945" xr:uid="{00000000-0005-0000-0000-000036980000}"/>
    <cellStyle name="Título 1 6" xfId="38946" xr:uid="{00000000-0005-0000-0000-000037980000}"/>
    <cellStyle name="Título 1 6 2" xfId="38947" xr:uid="{00000000-0005-0000-0000-000038980000}"/>
    <cellStyle name="Título 1 6 2 2" xfId="38948" xr:uid="{00000000-0005-0000-0000-000039980000}"/>
    <cellStyle name="Título 1 6 2 3" xfId="38949" xr:uid="{00000000-0005-0000-0000-00003A980000}"/>
    <cellStyle name="Título 1 6 3" xfId="38950" xr:uid="{00000000-0005-0000-0000-00003B980000}"/>
    <cellStyle name="Título 1 6 4" xfId="38951" xr:uid="{00000000-0005-0000-0000-00003C980000}"/>
    <cellStyle name="Título 1 7" xfId="38952" xr:uid="{00000000-0005-0000-0000-00003D980000}"/>
    <cellStyle name="Título 1 7 2" xfId="38953" xr:uid="{00000000-0005-0000-0000-00003E980000}"/>
    <cellStyle name="Título 1 7 2 2" xfId="38954" xr:uid="{00000000-0005-0000-0000-00003F980000}"/>
    <cellStyle name="Título 1 7 2 3" xfId="38955" xr:uid="{00000000-0005-0000-0000-000040980000}"/>
    <cellStyle name="Título 1 7 3" xfId="38956" xr:uid="{00000000-0005-0000-0000-000041980000}"/>
    <cellStyle name="Título 1 7 4" xfId="38957" xr:uid="{00000000-0005-0000-0000-000042980000}"/>
    <cellStyle name="Título 1 8" xfId="38958" xr:uid="{00000000-0005-0000-0000-000043980000}"/>
    <cellStyle name="Título 1 8 2" xfId="38959" xr:uid="{00000000-0005-0000-0000-000044980000}"/>
    <cellStyle name="Título 1 8 2 2" xfId="38960" xr:uid="{00000000-0005-0000-0000-000045980000}"/>
    <cellStyle name="Título 1 8 2 3" xfId="38961" xr:uid="{00000000-0005-0000-0000-000046980000}"/>
    <cellStyle name="Título 1 8 3" xfId="38962" xr:uid="{00000000-0005-0000-0000-000047980000}"/>
    <cellStyle name="Título 1 8 4" xfId="38963" xr:uid="{00000000-0005-0000-0000-000048980000}"/>
    <cellStyle name="Título 1 9" xfId="38964" xr:uid="{00000000-0005-0000-0000-000049980000}"/>
    <cellStyle name="Título 1 9 2" xfId="38965" xr:uid="{00000000-0005-0000-0000-00004A980000}"/>
    <cellStyle name="Título 1 9 3" xfId="38966" xr:uid="{00000000-0005-0000-0000-00004B980000}"/>
    <cellStyle name="Título 10" xfId="38967" xr:uid="{00000000-0005-0000-0000-00004C980000}"/>
    <cellStyle name="Título 10 2" xfId="38968" xr:uid="{00000000-0005-0000-0000-00004D980000}"/>
    <cellStyle name="Título 10 2 2" xfId="38969" xr:uid="{00000000-0005-0000-0000-00004E980000}"/>
    <cellStyle name="Título 10 2 3" xfId="38970" xr:uid="{00000000-0005-0000-0000-00004F980000}"/>
    <cellStyle name="Título 10 3" xfId="38971" xr:uid="{00000000-0005-0000-0000-000050980000}"/>
    <cellStyle name="Título 10 4" xfId="38972" xr:uid="{00000000-0005-0000-0000-000051980000}"/>
    <cellStyle name="Título 11" xfId="38973" xr:uid="{00000000-0005-0000-0000-000052980000}"/>
    <cellStyle name="Título 11 2" xfId="38974" xr:uid="{00000000-0005-0000-0000-000053980000}"/>
    <cellStyle name="Título 11 3" xfId="38975" xr:uid="{00000000-0005-0000-0000-000054980000}"/>
    <cellStyle name="Título 12" xfId="38976" xr:uid="{00000000-0005-0000-0000-000055980000}"/>
    <cellStyle name="Título 13" xfId="38977" xr:uid="{00000000-0005-0000-0000-000056980000}"/>
    <cellStyle name="Título 2 10" xfId="38978" xr:uid="{00000000-0005-0000-0000-000057980000}"/>
    <cellStyle name="Título 2 11" xfId="38979" xr:uid="{00000000-0005-0000-0000-000058980000}"/>
    <cellStyle name="Título 2 2" xfId="38980" xr:uid="{00000000-0005-0000-0000-000059980000}"/>
    <cellStyle name="Título 2 2 2" xfId="38981" xr:uid="{00000000-0005-0000-0000-00005A980000}"/>
    <cellStyle name="Título 2 2 2 2" xfId="38982" xr:uid="{00000000-0005-0000-0000-00005B980000}"/>
    <cellStyle name="Título 2 2 2 3" xfId="38983" xr:uid="{00000000-0005-0000-0000-00005C980000}"/>
    <cellStyle name="Título 2 2 2 4" xfId="38984" xr:uid="{00000000-0005-0000-0000-00005D980000}"/>
    <cellStyle name="Título 2 2 3" xfId="38985" xr:uid="{00000000-0005-0000-0000-00005E980000}"/>
    <cellStyle name="Título 2 2 4" xfId="38986" xr:uid="{00000000-0005-0000-0000-00005F980000}"/>
    <cellStyle name="Título 2 3" xfId="38987" xr:uid="{00000000-0005-0000-0000-000060980000}"/>
    <cellStyle name="Título 2 3 2" xfId="38988" xr:uid="{00000000-0005-0000-0000-000061980000}"/>
    <cellStyle name="Título 2 3 2 2" xfId="38989" xr:uid="{00000000-0005-0000-0000-000062980000}"/>
    <cellStyle name="Título 2 3 2 3" xfId="38990" xr:uid="{00000000-0005-0000-0000-000063980000}"/>
    <cellStyle name="Título 2 3 3" xfId="38991" xr:uid="{00000000-0005-0000-0000-000064980000}"/>
    <cellStyle name="Título 2 3 4" xfId="38992" xr:uid="{00000000-0005-0000-0000-000065980000}"/>
    <cellStyle name="Título 2 4" xfId="38993" xr:uid="{00000000-0005-0000-0000-000066980000}"/>
    <cellStyle name="Título 2 4 2" xfId="38994" xr:uid="{00000000-0005-0000-0000-000067980000}"/>
    <cellStyle name="Título 2 4 2 2" xfId="38995" xr:uid="{00000000-0005-0000-0000-000068980000}"/>
    <cellStyle name="Título 2 4 2 3" xfId="38996" xr:uid="{00000000-0005-0000-0000-000069980000}"/>
    <cellStyle name="Título 2 4 3" xfId="38997" xr:uid="{00000000-0005-0000-0000-00006A980000}"/>
    <cellStyle name="Título 2 4 4" xfId="38998" xr:uid="{00000000-0005-0000-0000-00006B980000}"/>
    <cellStyle name="Título 2 5" xfId="38999" xr:uid="{00000000-0005-0000-0000-00006C980000}"/>
    <cellStyle name="Título 2 5 2" xfId="39000" xr:uid="{00000000-0005-0000-0000-00006D980000}"/>
    <cellStyle name="Título 2 5 2 2" xfId="39001" xr:uid="{00000000-0005-0000-0000-00006E980000}"/>
    <cellStyle name="Título 2 5 2 3" xfId="39002" xr:uid="{00000000-0005-0000-0000-00006F980000}"/>
    <cellStyle name="Título 2 5 3" xfId="39003" xr:uid="{00000000-0005-0000-0000-000070980000}"/>
    <cellStyle name="Título 2 5 4" xfId="39004" xr:uid="{00000000-0005-0000-0000-000071980000}"/>
    <cellStyle name="Título 2 6" xfId="39005" xr:uid="{00000000-0005-0000-0000-000072980000}"/>
    <cellStyle name="Título 2 6 2" xfId="39006" xr:uid="{00000000-0005-0000-0000-000073980000}"/>
    <cellStyle name="Título 2 6 2 2" xfId="39007" xr:uid="{00000000-0005-0000-0000-000074980000}"/>
    <cellStyle name="Título 2 6 2 3" xfId="39008" xr:uid="{00000000-0005-0000-0000-000075980000}"/>
    <cellStyle name="Título 2 6 3" xfId="39009" xr:uid="{00000000-0005-0000-0000-000076980000}"/>
    <cellStyle name="Título 2 6 4" xfId="39010" xr:uid="{00000000-0005-0000-0000-000077980000}"/>
    <cellStyle name="Título 2 7" xfId="39011" xr:uid="{00000000-0005-0000-0000-000078980000}"/>
    <cellStyle name="Título 2 7 2" xfId="39012" xr:uid="{00000000-0005-0000-0000-000079980000}"/>
    <cellStyle name="Título 2 7 2 2" xfId="39013" xr:uid="{00000000-0005-0000-0000-00007A980000}"/>
    <cellStyle name="Título 2 7 2 3" xfId="39014" xr:uid="{00000000-0005-0000-0000-00007B980000}"/>
    <cellStyle name="Título 2 7 3" xfId="39015" xr:uid="{00000000-0005-0000-0000-00007C980000}"/>
    <cellStyle name="Título 2 7 4" xfId="39016" xr:uid="{00000000-0005-0000-0000-00007D980000}"/>
    <cellStyle name="Título 2 8" xfId="39017" xr:uid="{00000000-0005-0000-0000-00007E980000}"/>
    <cellStyle name="Título 2 8 2" xfId="39018" xr:uid="{00000000-0005-0000-0000-00007F980000}"/>
    <cellStyle name="Título 2 8 2 2" xfId="39019" xr:uid="{00000000-0005-0000-0000-000080980000}"/>
    <cellStyle name="Título 2 8 2 3" xfId="39020" xr:uid="{00000000-0005-0000-0000-000081980000}"/>
    <cellStyle name="Título 2 8 3" xfId="39021" xr:uid="{00000000-0005-0000-0000-000082980000}"/>
    <cellStyle name="Título 2 8 4" xfId="39022" xr:uid="{00000000-0005-0000-0000-000083980000}"/>
    <cellStyle name="Título 2 9" xfId="39023" xr:uid="{00000000-0005-0000-0000-000084980000}"/>
    <cellStyle name="Título 2 9 2" xfId="39024" xr:uid="{00000000-0005-0000-0000-000085980000}"/>
    <cellStyle name="Título 2 9 3" xfId="39025" xr:uid="{00000000-0005-0000-0000-000086980000}"/>
    <cellStyle name="Título 3 10" xfId="39026" xr:uid="{00000000-0005-0000-0000-000087980000}"/>
    <cellStyle name="Título 3 11" xfId="39027" xr:uid="{00000000-0005-0000-0000-000088980000}"/>
    <cellStyle name="Título 3 2" xfId="39028" xr:uid="{00000000-0005-0000-0000-000089980000}"/>
    <cellStyle name="Título 3 2 2" xfId="39029" xr:uid="{00000000-0005-0000-0000-00008A980000}"/>
    <cellStyle name="Título 3 2 2 2" xfId="39030" xr:uid="{00000000-0005-0000-0000-00008B980000}"/>
    <cellStyle name="Título 3 2 2 3" xfId="39031" xr:uid="{00000000-0005-0000-0000-00008C980000}"/>
    <cellStyle name="Título 3 2 2 4" xfId="39032" xr:uid="{00000000-0005-0000-0000-00008D980000}"/>
    <cellStyle name="Título 3 2 3" xfId="39033" xr:uid="{00000000-0005-0000-0000-00008E980000}"/>
    <cellStyle name="Título 3 2 4" xfId="39034" xr:uid="{00000000-0005-0000-0000-00008F980000}"/>
    <cellStyle name="Título 3 3" xfId="39035" xr:uid="{00000000-0005-0000-0000-000090980000}"/>
    <cellStyle name="Título 3 3 2" xfId="39036" xr:uid="{00000000-0005-0000-0000-000091980000}"/>
    <cellStyle name="Título 3 3 2 2" xfId="39037" xr:uid="{00000000-0005-0000-0000-000092980000}"/>
    <cellStyle name="Título 3 3 2 3" xfId="39038" xr:uid="{00000000-0005-0000-0000-000093980000}"/>
    <cellStyle name="Título 3 3 3" xfId="39039" xr:uid="{00000000-0005-0000-0000-000094980000}"/>
    <cellStyle name="Título 3 3 4" xfId="39040" xr:uid="{00000000-0005-0000-0000-000095980000}"/>
    <cellStyle name="Título 3 4" xfId="39041" xr:uid="{00000000-0005-0000-0000-000096980000}"/>
    <cellStyle name="Título 3 4 2" xfId="39042" xr:uid="{00000000-0005-0000-0000-000097980000}"/>
    <cellStyle name="Título 3 4 2 2" xfId="39043" xr:uid="{00000000-0005-0000-0000-000098980000}"/>
    <cellStyle name="Título 3 4 2 3" xfId="39044" xr:uid="{00000000-0005-0000-0000-000099980000}"/>
    <cellStyle name="Título 3 4 3" xfId="39045" xr:uid="{00000000-0005-0000-0000-00009A980000}"/>
    <cellStyle name="Título 3 4 4" xfId="39046" xr:uid="{00000000-0005-0000-0000-00009B980000}"/>
    <cellStyle name="Título 3 5" xfId="39047" xr:uid="{00000000-0005-0000-0000-00009C980000}"/>
    <cellStyle name="Título 3 5 2" xfId="39048" xr:uid="{00000000-0005-0000-0000-00009D980000}"/>
    <cellStyle name="Título 3 5 2 2" xfId="39049" xr:uid="{00000000-0005-0000-0000-00009E980000}"/>
    <cellStyle name="Título 3 5 2 3" xfId="39050" xr:uid="{00000000-0005-0000-0000-00009F980000}"/>
    <cellStyle name="Título 3 5 3" xfId="39051" xr:uid="{00000000-0005-0000-0000-0000A0980000}"/>
    <cellStyle name="Título 3 5 4" xfId="39052" xr:uid="{00000000-0005-0000-0000-0000A1980000}"/>
    <cellStyle name="Título 3 6" xfId="39053" xr:uid="{00000000-0005-0000-0000-0000A2980000}"/>
    <cellStyle name="Título 3 6 2" xfId="39054" xr:uid="{00000000-0005-0000-0000-0000A3980000}"/>
    <cellStyle name="Título 3 6 2 2" xfId="39055" xr:uid="{00000000-0005-0000-0000-0000A4980000}"/>
    <cellStyle name="Título 3 6 2 3" xfId="39056" xr:uid="{00000000-0005-0000-0000-0000A5980000}"/>
    <cellStyle name="Título 3 6 3" xfId="39057" xr:uid="{00000000-0005-0000-0000-0000A6980000}"/>
    <cellStyle name="Título 3 6 4" xfId="39058" xr:uid="{00000000-0005-0000-0000-0000A7980000}"/>
    <cellStyle name="Título 3 7" xfId="39059" xr:uid="{00000000-0005-0000-0000-0000A8980000}"/>
    <cellStyle name="Título 3 7 2" xfId="39060" xr:uid="{00000000-0005-0000-0000-0000A9980000}"/>
    <cellStyle name="Título 3 7 2 2" xfId="39061" xr:uid="{00000000-0005-0000-0000-0000AA980000}"/>
    <cellStyle name="Título 3 7 2 3" xfId="39062" xr:uid="{00000000-0005-0000-0000-0000AB980000}"/>
    <cellStyle name="Título 3 7 3" xfId="39063" xr:uid="{00000000-0005-0000-0000-0000AC980000}"/>
    <cellStyle name="Título 3 7 4" xfId="39064" xr:uid="{00000000-0005-0000-0000-0000AD980000}"/>
    <cellStyle name="Título 3 8" xfId="39065" xr:uid="{00000000-0005-0000-0000-0000AE980000}"/>
    <cellStyle name="Título 3 8 2" xfId="39066" xr:uid="{00000000-0005-0000-0000-0000AF980000}"/>
    <cellStyle name="Título 3 8 2 2" xfId="39067" xr:uid="{00000000-0005-0000-0000-0000B0980000}"/>
    <cellStyle name="Título 3 8 2 3" xfId="39068" xr:uid="{00000000-0005-0000-0000-0000B1980000}"/>
    <cellStyle name="Título 3 8 3" xfId="39069" xr:uid="{00000000-0005-0000-0000-0000B2980000}"/>
    <cellStyle name="Título 3 8 4" xfId="39070" xr:uid="{00000000-0005-0000-0000-0000B3980000}"/>
    <cellStyle name="Título 3 9" xfId="39071" xr:uid="{00000000-0005-0000-0000-0000B4980000}"/>
    <cellStyle name="Título 3 9 2" xfId="39072" xr:uid="{00000000-0005-0000-0000-0000B5980000}"/>
    <cellStyle name="Título 3 9 3" xfId="39073" xr:uid="{00000000-0005-0000-0000-0000B6980000}"/>
    <cellStyle name="Título 4" xfId="39074" xr:uid="{00000000-0005-0000-0000-0000B7980000}"/>
    <cellStyle name="Título 4 2" xfId="39075" xr:uid="{00000000-0005-0000-0000-0000B8980000}"/>
    <cellStyle name="Título 4 2 2" xfId="39076" xr:uid="{00000000-0005-0000-0000-0000B9980000}"/>
    <cellStyle name="Título 4 2 3" xfId="39077" xr:uid="{00000000-0005-0000-0000-0000BA980000}"/>
    <cellStyle name="Título 4 2 4" xfId="39078" xr:uid="{00000000-0005-0000-0000-0000BB980000}"/>
    <cellStyle name="Título 4 3" xfId="39079" xr:uid="{00000000-0005-0000-0000-0000BC980000}"/>
    <cellStyle name="Título 4 4" xfId="39080" xr:uid="{00000000-0005-0000-0000-0000BD980000}"/>
    <cellStyle name="Título 5" xfId="39081" xr:uid="{00000000-0005-0000-0000-0000BE980000}"/>
    <cellStyle name="Título 5 2" xfId="39082" xr:uid="{00000000-0005-0000-0000-0000BF980000}"/>
    <cellStyle name="Título 5 2 2" xfId="39083" xr:uid="{00000000-0005-0000-0000-0000C0980000}"/>
    <cellStyle name="Título 5 2 3" xfId="39084" xr:uid="{00000000-0005-0000-0000-0000C1980000}"/>
    <cellStyle name="Título 5 2 4" xfId="39085" xr:uid="{00000000-0005-0000-0000-0000C2980000}"/>
    <cellStyle name="Título 5 3" xfId="39086" xr:uid="{00000000-0005-0000-0000-0000C3980000}"/>
    <cellStyle name="Título 5 4" xfId="39087" xr:uid="{00000000-0005-0000-0000-0000C4980000}"/>
    <cellStyle name="Título 6" xfId="39088" xr:uid="{00000000-0005-0000-0000-0000C5980000}"/>
    <cellStyle name="Título 6 2" xfId="39089" xr:uid="{00000000-0005-0000-0000-0000C6980000}"/>
    <cellStyle name="Título 6 2 2" xfId="39090" xr:uid="{00000000-0005-0000-0000-0000C7980000}"/>
    <cellStyle name="Título 6 2 3" xfId="39091" xr:uid="{00000000-0005-0000-0000-0000C8980000}"/>
    <cellStyle name="Título 6 3" xfId="39092" xr:uid="{00000000-0005-0000-0000-0000C9980000}"/>
    <cellStyle name="Título 6 4" xfId="39093" xr:uid="{00000000-0005-0000-0000-0000CA980000}"/>
    <cellStyle name="Título 7" xfId="39094" xr:uid="{00000000-0005-0000-0000-0000CB980000}"/>
    <cellStyle name="Título 7 2" xfId="39095" xr:uid="{00000000-0005-0000-0000-0000CC980000}"/>
    <cellStyle name="Título 7 2 2" xfId="39096" xr:uid="{00000000-0005-0000-0000-0000CD980000}"/>
    <cellStyle name="Título 7 2 3" xfId="39097" xr:uid="{00000000-0005-0000-0000-0000CE980000}"/>
    <cellStyle name="Título 7 3" xfId="39098" xr:uid="{00000000-0005-0000-0000-0000CF980000}"/>
    <cellStyle name="Título 7 4" xfId="39099" xr:uid="{00000000-0005-0000-0000-0000D0980000}"/>
    <cellStyle name="Título 8" xfId="39100" xr:uid="{00000000-0005-0000-0000-0000D1980000}"/>
    <cellStyle name="Título 8 2" xfId="39101" xr:uid="{00000000-0005-0000-0000-0000D2980000}"/>
    <cellStyle name="Título 8 2 2" xfId="39102" xr:uid="{00000000-0005-0000-0000-0000D3980000}"/>
    <cellStyle name="Título 8 2 3" xfId="39103" xr:uid="{00000000-0005-0000-0000-0000D4980000}"/>
    <cellStyle name="Título 8 3" xfId="39104" xr:uid="{00000000-0005-0000-0000-0000D5980000}"/>
    <cellStyle name="Título 8 4" xfId="39105" xr:uid="{00000000-0005-0000-0000-0000D6980000}"/>
    <cellStyle name="Título 9" xfId="39106" xr:uid="{00000000-0005-0000-0000-0000D7980000}"/>
    <cellStyle name="Título 9 2" xfId="39107" xr:uid="{00000000-0005-0000-0000-0000D8980000}"/>
    <cellStyle name="Título 9 2 2" xfId="39108" xr:uid="{00000000-0005-0000-0000-0000D9980000}"/>
    <cellStyle name="Título 9 2 3" xfId="39109" xr:uid="{00000000-0005-0000-0000-0000DA980000}"/>
    <cellStyle name="Título 9 3" xfId="39110" xr:uid="{00000000-0005-0000-0000-0000DB980000}"/>
    <cellStyle name="Título 9 4" xfId="39111" xr:uid="{00000000-0005-0000-0000-0000DC980000}"/>
    <cellStyle name="Total 2" xfId="39112" xr:uid="{00000000-0005-0000-0000-0000DD980000}"/>
    <cellStyle name="Total 2 2" xfId="39113" xr:uid="{00000000-0005-0000-0000-0000DE980000}"/>
    <cellStyle name="Total 2 2 2" xfId="39114" xr:uid="{00000000-0005-0000-0000-0000DF980000}"/>
    <cellStyle name="Total 2 2 3" xfId="39115" xr:uid="{00000000-0005-0000-0000-0000E0980000}"/>
    <cellStyle name="Total 2 3" xfId="39116" xr:uid="{00000000-0005-0000-0000-0000E1980000}"/>
    <cellStyle name="Total 2 4" xfId="39117" xr:uid="{00000000-0005-0000-0000-0000E2980000}"/>
    <cellStyle name="Total 3" xfId="39118" xr:uid="{00000000-0005-0000-0000-0000E3980000}"/>
    <cellStyle name="Total 3 2" xfId="39119" xr:uid="{00000000-0005-0000-0000-0000E4980000}"/>
    <cellStyle name="Total 3 2 2" xfId="39120" xr:uid="{00000000-0005-0000-0000-0000E5980000}"/>
    <cellStyle name="Total 3 2 3" xfId="39121" xr:uid="{00000000-0005-0000-0000-0000E6980000}"/>
    <cellStyle name="Total 3 3" xfId="39122" xr:uid="{00000000-0005-0000-0000-0000E7980000}"/>
    <cellStyle name="Total 3 4" xfId="39123" xr:uid="{00000000-0005-0000-0000-0000E8980000}"/>
    <cellStyle name="Total 4" xfId="39124" xr:uid="{00000000-0005-0000-0000-0000E9980000}"/>
    <cellStyle name="Total 4 2" xfId="39125" xr:uid="{00000000-0005-0000-0000-0000EA980000}"/>
    <cellStyle name="Total 4 2 2" xfId="39126" xr:uid="{00000000-0005-0000-0000-0000EB980000}"/>
    <cellStyle name="Total 4 2 3" xfId="39127" xr:uid="{00000000-0005-0000-0000-0000EC980000}"/>
    <cellStyle name="Total 4 3" xfId="39128" xr:uid="{00000000-0005-0000-0000-0000ED980000}"/>
    <cellStyle name="Total 4 4" xfId="39129" xr:uid="{00000000-0005-0000-0000-0000EE980000}"/>
    <cellStyle name="Total 5" xfId="39130" xr:uid="{00000000-0005-0000-0000-0000EF980000}"/>
    <cellStyle name="Total 5 2" xfId="39131" xr:uid="{00000000-0005-0000-0000-0000F0980000}"/>
    <cellStyle name="Total 5 3" xfId="39132" xr:uid="{00000000-0005-0000-0000-0000F1980000}"/>
    <cellStyle name="Total 6" xfId="39133" xr:uid="{00000000-0005-0000-0000-0000F2980000}"/>
    <cellStyle name="Total 7" xfId="39134" xr:uid="{00000000-0005-0000-0000-0000F3980000}"/>
    <cellStyle name="Warning Text" xfId="39135" xr:uid="{00000000-0005-0000-0000-0000F4980000}"/>
    <cellStyle name="Warning Text 2" xfId="39136" xr:uid="{00000000-0005-0000-0000-0000F5980000}"/>
    <cellStyle name="Warning Text 2 2" xfId="39137" xr:uid="{00000000-0005-0000-0000-0000F6980000}"/>
    <cellStyle name="Warning Text 2 2 2" xfId="39138" xr:uid="{00000000-0005-0000-0000-0000F7980000}"/>
    <cellStyle name="Warning Text 2 2 3" xfId="39139" xr:uid="{00000000-0005-0000-0000-0000F8980000}"/>
    <cellStyle name="Warning Text 2 3" xfId="39140" xr:uid="{00000000-0005-0000-0000-0000F9980000}"/>
    <cellStyle name="Warning Text 2 4" xfId="39141" xr:uid="{00000000-0005-0000-0000-0000FA980000}"/>
    <cellStyle name="Warning Text 3" xfId="39142" xr:uid="{00000000-0005-0000-0000-0000FB980000}"/>
    <cellStyle name="Warning Text 3 2" xfId="39143" xr:uid="{00000000-0005-0000-0000-0000FC980000}"/>
    <cellStyle name="Warning Text 3 2 2" xfId="39144" xr:uid="{00000000-0005-0000-0000-0000FD980000}"/>
    <cellStyle name="Warning Text 3 2 3" xfId="39145" xr:uid="{00000000-0005-0000-0000-0000FE980000}"/>
    <cellStyle name="Warning Text 3 3" xfId="39146" xr:uid="{00000000-0005-0000-0000-0000FF980000}"/>
    <cellStyle name="Warning Text 3 4" xfId="39147" xr:uid="{00000000-0005-0000-0000-000000990000}"/>
    <cellStyle name="Warning Text 4" xfId="39148" xr:uid="{00000000-0005-0000-0000-000001990000}"/>
    <cellStyle name="Warning Text 4 2" xfId="39149" xr:uid="{00000000-0005-0000-0000-000002990000}"/>
    <cellStyle name="Warning Text 4 2 2" xfId="39150" xr:uid="{00000000-0005-0000-0000-000003990000}"/>
    <cellStyle name="Warning Text 4 2 3" xfId="39151" xr:uid="{00000000-0005-0000-0000-000004990000}"/>
    <cellStyle name="Warning Text 4 3" xfId="39152" xr:uid="{00000000-0005-0000-0000-000005990000}"/>
    <cellStyle name="Warning Text 4 4" xfId="39153" xr:uid="{00000000-0005-0000-0000-000006990000}"/>
    <cellStyle name="Warning Text 5" xfId="39154" xr:uid="{00000000-0005-0000-0000-000007990000}"/>
    <cellStyle name="Warning Text 5 2" xfId="39155" xr:uid="{00000000-0005-0000-0000-000008990000}"/>
    <cellStyle name="Warning Text 5 2 2" xfId="39156" xr:uid="{00000000-0005-0000-0000-000009990000}"/>
    <cellStyle name="Warning Text 5 2 3" xfId="39157" xr:uid="{00000000-0005-0000-0000-00000A990000}"/>
    <cellStyle name="Warning Text 5 3" xfId="39158" xr:uid="{00000000-0005-0000-0000-00000B990000}"/>
    <cellStyle name="Warning Text 5 4" xfId="39159" xr:uid="{00000000-0005-0000-0000-00000C990000}"/>
    <cellStyle name="Warning Text 6" xfId="39160" xr:uid="{00000000-0005-0000-0000-00000D990000}"/>
    <cellStyle name="Warning Text 6 2" xfId="39161" xr:uid="{00000000-0005-0000-0000-00000E990000}"/>
    <cellStyle name="Warning Text 6 3" xfId="39162" xr:uid="{00000000-0005-0000-0000-00000F990000}"/>
    <cellStyle name="Warning Text 7" xfId="39163" xr:uid="{00000000-0005-0000-0000-000010990000}"/>
    <cellStyle name="Warning Text 8" xfId="39164" xr:uid="{00000000-0005-0000-0000-000011990000}"/>
    <cellStyle name="好" xfId="39165" xr:uid="{00000000-0005-0000-0000-000012990000}"/>
    <cellStyle name="差" xfId="39166" xr:uid="{00000000-0005-0000-0000-000013990000}"/>
    <cellStyle name="强调文字颜色 1" xfId="39167" xr:uid="{00000000-0005-0000-0000-000014990000}"/>
    <cellStyle name="强调文字颜色 2" xfId="39168" xr:uid="{00000000-0005-0000-0000-000015990000}"/>
    <cellStyle name="强调文字颜色 3" xfId="39169" xr:uid="{00000000-0005-0000-0000-000016990000}"/>
    <cellStyle name="强调文字颜色 4" xfId="39170" xr:uid="{00000000-0005-0000-0000-000017990000}"/>
    <cellStyle name="强调文字颜色 5" xfId="39171" xr:uid="{00000000-0005-0000-0000-000018990000}"/>
    <cellStyle name="强调文字颜色 6" xfId="39172" xr:uid="{00000000-0005-0000-0000-000019990000}"/>
    <cellStyle name="标题" xfId="39173" xr:uid="{00000000-0005-0000-0000-00001A990000}"/>
    <cellStyle name="标题 1" xfId="39174" xr:uid="{00000000-0005-0000-0000-00001B990000}"/>
    <cellStyle name="标题 2" xfId="39175" xr:uid="{00000000-0005-0000-0000-00001C990000}"/>
    <cellStyle name="标题 3" xfId="39176" xr:uid="{00000000-0005-0000-0000-00001D990000}"/>
    <cellStyle name="标题 4" xfId="39177" xr:uid="{00000000-0005-0000-0000-00001E990000}"/>
    <cellStyle name="检查单元格" xfId="39178" xr:uid="{00000000-0005-0000-0000-00001F990000}"/>
    <cellStyle name="汇总" xfId="39179" xr:uid="{00000000-0005-0000-0000-000020990000}"/>
    <cellStyle name="注释" xfId="39180" xr:uid="{00000000-0005-0000-0000-000021990000}"/>
    <cellStyle name="解释性文本" xfId="39181" xr:uid="{00000000-0005-0000-0000-000022990000}"/>
    <cellStyle name="警告文本" xfId="39182" xr:uid="{00000000-0005-0000-0000-000023990000}"/>
    <cellStyle name="计算" xfId="39183" xr:uid="{00000000-0005-0000-0000-000024990000}"/>
    <cellStyle name="输入" xfId="39184" xr:uid="{00000000-0005-0000-0000-000025990000}"/>
    <cellStyle name="输出" xfId="39185" xr:uid="{00000000-0005-0000-0000-000026990000}"/>
    <cellStyle name="适中" xfId="39186" xr:uid="{00000000-0005-0000-0000-000027990000}"/>
    <cellStyle name="链接单元格" xfId="39187" xr:uid="{00000000-0005-0000-0000-000028990000}"/>
  </cellStyles>
  <dxfs count="9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F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32" formatCode="_-&quot;$&quot;\ * #,##0_-;\-&quot;$&quot;\ * #,##0_-;_-&quot;$&quot;\ * &quot;-&quot;_-;_-@_-"/>
    </dxf>
  </dxfs>
  <tableStyles count="0" defaultTableStyle="TableStyleMedium9" defaultPivotStyle="PivotStyleLight16"/>
  <colors>
    <mruColors>
      <color rgb="FFBAF50A"/>
      <color rgb="FF9B9B9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5.xml"/><Relationship Id="rId18" Type="http://schemas.openxmlformats.org/officeDocument/2006/relationships/externalLink" Target="externalLinks/externalLink10.xml"/><Relationship Id="rId26" Type="http://schemas.openxmlformats.org/officeDocument/2006/relationships/pivotCacheDefinition" Target="pivotCache/pivotCacheDefinition4.xml"/><Relationship Id="rId3" Type="http://schemas.openxmlformats.org/officeDocument/2006/relationships/worksheet" Target="worksheets/sheet3.xml"/><Relationship Id="rId21" Type="http://schemas.openxmlformats.org/officeDocument/2006/relationships/externalLink" Target="externalLinks/externalLink13.xml"/><Relationship Id="rId7" Type="http://schemas.openxmlformats.org/officeDocument/2006/relationships/worksheet" Target="worksheets/sheet7.xml"/><Relationship Id="rId12" Type="http://schemas.openxmlformats.org/officeDocument/2006/relationships/externalLink" Target="externalLinks/externalLink4.xml"/><Relationship Id="rId17" Type="http://schemas.openxmlformats.org/officeDocument/2006/relationships/externalLink" Target="externalLinks/externalLink9.xml"/><Relationship Id="rId25" Type="http://schemas.openxmlformats.org/officeDocument/2006/relationships/pivotCacheDefinition" Target="pivotCache/pivotCacheDefinition3.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externalLink" Target="externalLinks/externalLink8.xml"/><Relationship Id="rId20" Type="http://schemas.openxmlformats.org/officeDocument/2006/relationships/externalLink" Target="externalLinks/externalLink12.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24" Type="http://schemas.openxmlformats.org/officeDocument/2006/relationships/pivotCacheDefinition" Target="pivotCache/pivotCacheDefinition2.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externalLink" Target="externalLinks/externalLink7.xml"/><Relationship Id="rId23" Type="http://schemas.openxmlformats.org/officeDocument/2006/relationships/pivotCacheDefinition" Target="pivotCache/pivotCacheDefinition1.xml"/><Relationship Id="rId28" Type="http://schemas.openxmlformats.org/officeDocument/2006/relationships/styles" Target="styles.xml"/><Relationship Id="rId10" Type="http://schemas.openxmlformats.org/officeDocument/2006/relationships/externalLink" Target="externalLinks/externalLink2.xml"/><Relationship Id="rId19" Type="http://schemas.openxmlformats.org/officeDocument/2006/relationships/externalLink" Target="externalLinks/externalLink11.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externalLink" Target="externalLinks/externalLink6.xml"/><Relationship Id="rId22" Type="http://schemas.openxmlformats.org/officeDocument/2006/relationships/externalLink" Target="externalLinks/externalLink14.xml"/><Relationship Id="rId27" Type="http://schemas.openxmlformats.org/officeDocument/2006/relationships/theme" Target="theme/theme1.xml"/><Relationship Id="rId30" Type="http://schemas.openxmlformats.org/officeDocument/2006/relationships/calcChain" Target="calcChain.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14</xdr:col>
      <xdr:colOff>752475</xdr:colOff>
      <xdr:row>0</xdr:row>
      <xdr:rowOff>0</xdr:rowOff>
    </xdr:from>
    <xdr:to>
      <xdr:col>15</xdr:col>
      <xdr:colOff>0</xdr:colOff>
      <xdr:row>0</xdr:row>
      <xdr:rowOff>76200</xdr:rowOff>
    </xdr:to>
    <xdr:sp macro="" textlink="">
      <xdr:nvSpPr>
        <xdr:cNvPr id="2" name="ComboBox1" hidden="1">
          <a:extLst>
            <a:ext uri="{63B3BB69-23CF-44E3-9099-C40C66FF867C}">
              <a14:compatExt xmlns:a14="http://schemas.microsoft.com/office/drawing/2010/main" spid="_x0000_s1028"/>
            </a:ext>
            <a:ext uri="{FF2B5EF4-FFF2-40B4-BE49-F238E27FC236}">
              <a16:creationId xmlns:a16="http://schemas.microsoft.com/office/drawing/2014/main" id="{699AD928-0736-45A9-9FC6-EA474280D3DA}"/>
            </a:ext>
          </a:extLst>
        </xdr:cNvPr>
        <xdr:cNvSpPr/>
      </xdr:nvSpPr>
      <xdr:spPr bwMode="auto">
        <a:xfrm>
          <a:off x="3800475" y="0"/>
          <a:ext cx="952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14</xdr:col>
      <xdr:colOff>752475</xdr:colOff>
      <xdr:row>0</xdr:row>
      <xdr:rowOff>0</xdr:rowOff>
    </xdr:from>
    <xdr:to>
      <xdr:col>15</xdr:col>
      <xdr:colOff>0</xdr:colOff>
      <xdr:row>0</xdr:row>
      <xdr:rowOff>76200</xdr:rowOff>
    </xdr:to>
    <xdr:pic>
      <xdr:nvPicPr>
        <xdr:cNvPr id="3" name="Picture 3">
          <a:extLst>
            <a:ext uri="{FF2B5EF4-FFF2-40B4-BE49-F238E27FC236}">
              <a16:creationId xmlns:a16="http://schemas.microsoft.com/office/drawing/2014/main" id="{639B13D9-0940-4F7F-8997-BC8F5D56346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00475" y="0"/>
          <a:ext cx="952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14</xdr:col>
      <xdr:colOff>752475</xdr:colOff>
      <xdr:row>0</xdr:row>
      <xdr:rowOff>0</xdr:rowOff>
    </xdr:from>
    <xdr:to>
      <xdr:col>15</xdr:col>
      <xdr:colOff>0</xdr:colOff>
      <xdr:row>0</xdr:row>
      <xdr:rowOff>76200</xdr:rowOff>
    </xdr:to>
    <xdr:pic>
      <xdr:nvPicPr>
        <xdr:cNvPr id="4" name="Picture 4">
          <a:extLst>
            <a:ext uri="{FF2B5EF4-FFF2-40B4-BE49-F238E27FC236}">
              <a16:creationId xmlns:a16="http://schemas.microsoft.com/office/drawing/2014/main" id="{CC912BB6-997D-4872-A40C-721CEEFE35DA}"/>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00475" y="0"/>
          <a:ext cx="952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14</xdr:col>
      <xdr:colOff>752475</xdr:colOff>
      <xdr:row>0</xdr:row>
      <xdr:rowOff>0</xdr:rowOff>
    </xdr:from>
    <xdr:to>
      <xdr:col>15</xdr:col>
      <xdr:colOff>0</xdr:colOff>
      <xdr:row>0</xdr:row>
      <xdr:rowOff>76200</xdr:rowOff>
    </xdr:to>
    <xdr:pic>
      <xdr:nvPicPr>
        <xdr:cNvPr id="5" name="ComboBox1">
          <a:extLst>
            <a:ext uri="{FF2B5EF4-FFF2-40B4-BE49-F238E27FC236}">
              <a16:creationId xmlns:a16="http://schemas.microsoft.com/office/drawing/2014/main" id="{4604447A-8D91-455B-A54B-C3CDE537CF35}"/>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00475" y="0"/>
          <a:ext cx="952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14</xdr:col>
      <xdr:colOff>752475</xdr:colOff>
      <xdr:row>2</xdr:row>
      <xdr:rowOff>0</xdr:rowOff>
    </xdr:from>
    <xdr:to>
      <xdr:col>15</xdr:col>
      <xdr:colOff>0</xdr:colOff>
      <xdr:row>2</xdr:row>
      <xdr:rowOff>76200</xdr:rowOff>
    </xdr:to>
    <xdr:sp macro="" textlink="">
      <xdr:nvSpPr>
        <xdr:cNvPr id="6" name="ComboBox1" hidden="1">
          <a:extLst>
            <a:ext uri="{63B3BB69-23CF-44E3-9099-C40C66FF867C}">
              <a14:compatExt xmlns:a14="http://schemas.microsoft.com/office/drawing/2010/main" spid="_x0000_s1028"/>
            </a:ext>
            <a:ext uri="{FF2B5EF4-FFF2-40B4-BE49-F238E27FC236}">
              <a16:creationId xmlns:a16="http://schemas.microsoft.com/office/drawing/2014/main" id="{4E270EAF-A3A9-482B-8F33-551B802BA1BF}"/>
            </a:ext>
          </a:extLst>
        </xdr:cNvPr>
        <xdr:cNvSpPr/>
      </xdr:nvSpPr>
      <xdr:spPr bwMode="auto">
        <a:xfrm>
          <a:off x="3859090" y="644769"/>
          <a:ext cx="952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14</xdr:col>
      <xdr:colOff>752475</xdr:colOff>
      <xdr:row>0</xdr:row>
      <xdr:rowOff>0</xdr:rowOff>
    </xdr:from>
    <xdr:to>
      <xdr:col>14</xdr:col>
      <xdr:colOff>754380</xdr:colOff>
      <xdr:row>0</xdr:row>
      <xdr:rowOff>76200</xdr:rowOff>
    </xdr:to>
    <xdr:sp macro="" textlink="">
      <xdr:nvSpPr>
        <xdr:cNvPr id="7" name="ComboBox1" hidden="1">
          <a:extLst>
            <a:ext uri="{63B3BB69-23CF-44E3-9099-C40C66FF867C}">
              <a14:compatExt xmlns:a14="http://schemas.microsoft.com/office/drawing/2010/main" spid="_x0000_s1028"/>
            </a:ext>
            <a:ext uri="{FF2B5EF4-FFF2-40B4-BE49-F238E27FC236}">
              <a16:creationId xmlns:a16="http://schemas.microsoft.com/office/drawing/2014/main" id="{4F697C57-BD8B-47BA-B7AB-B880A855854A}"/>
            </a:ext>
          </a:extLst>
        </xdr:cNvPr>
        <xdr:cNvSpPr/>
      </xdr:nvSpPr>
      <xdr:spPr bwMode="auto">
        <a:xfrm>
          <a:off x="1633537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14</xdr:col>
      <xdr:colOff>752475</xdr:colOff>
      <xdr:row>0</xdr:row>
      <xdr:rowOff>0</xdr:rowOff>
    </xdr:from>
    <xdr:to>
      <xdr:col>14</xdr:col>
      <xdr:colOff>754380</xdr:colOff>
      <xdr:row>0</xdr:row>
      <xdr:rowOff>76200</xdr:rowOff>
    </xdr:to>
    <xdr:pic>
      <xdr:nvPicPr>
        <xdr:cNvPr id="8" name="Picture 3">
          <a:extLst>
            <a:ext uri="{FF2B5EF4-FFF2-40B4-BE49-F238E27FC236}">
              <a16:creationId xmlns:a16="http://schemas.microsoft.com/office/drawing/2014/main" id="{F46DA1F9-8C03-4CFE-B12C-437B065B8723}"/>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3537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14</xdr:col>
      <xdr:colOff>752475</xdr:colOff>
      <xdr:row>0</xdr:row>
      <xdr:rowOff>0</xdr:rowOff>
    </xdr:from>
    <xdr:to>
      <xdr:col>14</xdr:col>
      <xdr:colOff>754380</xdr:colOff>
      <xdr:row>0</xdr:row>
      <xdr:rowOff>76200</xdr:rowOff>
    </xdr:to>
    <xdr:pic>
      <xdr:nvPicPr>
        <xdr:cNvPr id="9" name="Picture 4">
          <a:extLst>
            <a:ext uri="{FF2B5EF4-FFF2-40B4-BE49-F238E27FC236}">
              <a16:creationId xmlns:a16="http://schemas.microsoft.com/office/drawing/2014/main" id="{DCBFF065-EF3B-4DB0-94C8-35FBAE7193CA}"/>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3537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14</xdr:col>
      <xdr:colOff>752475</xdr:colOff>
      <xdr:row>0</xdr:row>
      <xdr:rowOff>0</xdr:rowOff>
    </xdr:from>
    <xdr:to>
      <xdr:col>14</xdr:col>
      <xdr:colOff>754380</xdr:colOff>
      <xdr:row>0</xdr:row>
      <xdr:rowOff>76200</xdr:rowOff>
    </xdr:to>
    <xdr:pic>
      <xdr:nvPicPr>
        <xdr:cNvPr id="10" name="ComboBox1">
          <a:extLst>
            <a:ext uri="{FF2B5EF4-FFF2-40B4-BE49-F238E27FC236}">
              <a16:creationId xmlns:a16="http://schemas.microsoft.com/office/drawing/2014/main" id="{2AB2D9FB-564C-4383-988E-219758D46C54}"/>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3537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14</xdr:col>
      <xdr:colOff>752475</xdr:colOff>
      <xdr:row>0</xdr:row>
      <xdr:rowOff>0</xdr:rowOff>
    </xdr:from>
    <xdr:to>
      <xdr:col>14</xdr:col>
      <xdr:colOff>754380</xdr:colOff>
      <xdr:row>0</xdr:row>
      <xdr:rowOff>76200</xdr:rowOff>
    </xdr:to>
    <xdr:sp macro="" textlink="">
      <xdr:nvSpPr>
        <xdr:cNvPr id="11" name="ComboBox1" hidden="1">
          <a:extLst>
            <a:ext uri="{63B3BB69-23CF-44E3-9099-C40C66FF867C}">
              <a14:compatExt xmlns:a14="http://schemas.microsoft.com/office/drawing/2010/main" spid="_x0000_s1028"/>
            </a:ext>
            <a:ext uri="{FF2B5EF4-FFF2-40B4-BE49-F238E27FC236}">
              <a16:creationId xmlns:a16="http://schemas.microsoft.com/office/drawing/2014/main" id="{4CC92376-D5F2-44BE-9CBB-EAE5FFC0C516}"/>
            </a:ext>
          </a:extLst>
        </xdr:cNvPr>
        <xdr:cNvSpPr/>
      </xdr:nvSpPr>
      <xdr:spPr bwMode="auto">
        <a:xfrm>
          <a:off x="1633537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oneCellAnchor>
    <xdr:from>
      <xdr:col>14</xdr:col>
      <xdr:colOff>752475</xdr:colOff>
      <xdr:row>0</xdr:row>
      <xdr:rowOff>0</xdr:rowOff>
    </xdr:from>
    <xdr:ext cx="32385" cy="76200"/>
    <xdr:sp macro="" textlink="">
      <xdr:nvSpPr>
        <xdr:cNvPr id="12" name="ComboBox1" hidden="1">
          <a:extLst>
            <a:ext uri="{63B3BB69-23CF-44E3-9099-C40C66FF867C}">
              <a14:compatExt xmlns:a14="http://schemas.microsoft.com/office/drawing/2010/main" spid="_x0000_s1028"/>
            </a:ext>
            <a:ext uri="{FF2B5EF4-FFF2-40B4-BE49-F238E27FC236}">
              <a16:creationId xmlns:a16="http://schemas.microsoft.com/office/drawing/2014/main" id="{D433DFED-370C-4308-AD43-77F921211551}"/>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14</xdr:col>
      <xdr:colOff>752475</xdr:colOff>
      <xdr:row>0</xdr:row>
      <xdr:rowOff>0</xdr:rowOff>
    </xdr:from>
    <xdr:ext cx="32385" cy="76200"/>
    <xdr:sp macro="" textlink="">
      <xdr:nvSpPr>
        <xdr:cNvPr id="13" name="ComboBox1" hidden="1">
          <a:extLst>
            <a:ext uri="{63B3BB69-23CF-44E3-9099-C40C66FF867C}">
              <a14:compatExt xmlns:a14="http://schemas.microsoft.com/office/drawing/2010/main" spid="_x0000_s1028"/>
            </a:ext>
            <a:ext uri="{FF2B5EF4-FFF2-40B4-BE49-F238E27FC236}">
              <a16:creationId xmlns:a16="http://schemas.microsoft.com/office/drawing/2014/main" id="{2EB819AA-17CB-4D21-A673-297A7463E11A}"/>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14</xdr:col>
      <xdr:colOff>752475</xdr:colOff>
      <xdr:row>0</xdr:row>
      <xdr:rowOff>0</xdr:rowOff>
    </xdr:from>
    <xdr:ext cx="32385" cy="76200"/>
    <xdr:sp macro="" textlink="">
      <xdr:nvSpPr>
        <xdr:cNvPr id="14" name="ComboBox1" hidden="1">
          <a:extLst>
            <a:ext uri="{63B3BB69-23CF-44E3-9099-C40C66FF867C}">
              <a14:compatExt xmlns:a14="http://schemas.microsoft.com/office/drawing/2010/main" spid="_x0000_s1028"/>
            </a:ext>
            <a:ext uri="{FF2B5EF4-FFF2-40B4-BE49-F238E27FC236}">
              <a16:creationId xmlns:a16="http://schemas.microsoft.com/office/drawing/2014/main" id="{F0E892FF-19C6-4ABA-BD75-D0D5B2B4DE4B}"/>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13</xdr:col>
      <xdr:colOff>752475</xdr:colOff>
      <xdr:row>0</xdr:row>
      <xdr:rowOff>0</xdr:rowOff>
    </xdr:from>
    <xdr:to>
      <xdr:col>13</xdr:col>
      <xdr:colOff>752475</xdr:colOff>
      <xdr:row>0</xdr:row>
      <xdr:rowOff>76200</xdr:rowOff>
    </xdr:to>
    <xdr:sp macro="" textlink="">
      <xdr:nvSpPr>
        <xdr:cNvPr id="2" name="ComboBox1" hidden="1">
          <a:extLst>
            <a:ext uri="{63B3BB69-23CF-44E3-9099-C40C66FF867C}">
              <a14:compatExt xmlns:a14="http://schemas.microsoft.com/office/drawing/2010/main" spid="_x0000_s1028"/>
            </a:ext>
            <a:ext uri="{FF2B5EF4-FFF2-40B4-BE49-F238E27FC236}">
              <a16:creationId xmlns:a16="http://schemas.microsoft.com/office/drawing/2014/main" id="{6CE5105A-B11E-4150-AC10-A89F34283BAD}"/>
            </a:ext>
          </a:extLst>
        </xdr:cNvPr>
        <xdr:cNvSpPr/>
      </xdr:nvSpPr>
      <xdr:spPr bwMode="auto">
        <a:xfrm>
          <a:off x="1633537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13</xdr:col>
      <xdr:colOff>752475</xdr:colOff>
      <xdr:row>0</xdr:row>
      <xdr:rowOff>0</xdr:rowOff>
    </xdr:from>
    <xdr:to>
      <xdr:col>13</xdr:col>
      <xdr:colOff>752475</xdr:colOff>
      <xdr:row>0</xdr:row>
      <xdr:rowOff>76200</xdr:rowOff>
    </xdr:to>
    <xdr:pic>
      <xdr:nvPicPr>
        <xdr:cNvPr id="3" name="Picture 3">
          <a:extLst>
            <a:ext uri="{FF2B5EF4-FFF2-40B4-BE49-F238E27FC236}">
              <a16:creationId xmlns:a16="http://schemas.microsoft.com/office/drawing/2014/main" id="{8C34B49A-05B9-4DBB-9873-1658DBB0E2AE}"/>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3537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13</xdr:col>
      <xdr:colOff>752475</xdr:colOff>
      <xdr:row>0</xdr:row>
      <xdr:rowOff>0</xdr:rowOff>
    </xdr:from>
    <xdr:to>
      <xdr:col>13</xdr:col>
      <xdr:colOff>752475</xdr:colOff>
      <xdr:row>0</xdr:row>
      <xdr:rowOff>76200</xdr:rowOff>
    </xdr:to>
    <xdr:pic>
      <xdr:nvPicPr>
        <xdr:cNvPr id="4" name="Picture 4">
          <a:extLst>
            <a:ext uri="{FF2B5EF4-FFF2-40B4-BE49-F238E27FC236}">
              <a16:creationId xmlns:a16="http://schemas.microsoft.com/office/drawing/2014/main" id="{C92BCDD8-79E6-4BF0-9262-A0876081DFD4}"/>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3537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13</xdr:col>
      <xdr:colOff>752475</xdr:colOff>
      <xdr:row>0</xdr:row>
      <xdr:rowOff>0</xdr:rowOff>
    </xdr:from>
    <xdr:to>
      <xdr:col>13</xdr:col>
      <xdr:colOff>752475</xdr:colOff>
      <xdr:row>0</xdr:row>
      <xdr:rowOff>76200</xdr:rowOff>
    </xdr:to>
    <xdr:pic>
      <xdr:nvPicPr>
        <xdr:cNvPr id="5" name="ComboBox1">
          <a:extLst>
            <a:ext uri="{FF2B5EF4-FFF2-40B4-BE49-F238E27FC236}">
              <a16:creationId xmlns:a16="http://schemas.microsoft.com/office/drawing/2014/main" id="{EA1DACF1-C938-4205-B65D-71D32D3D3FF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3537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13</xdr:col>
      <xdr:colOff>752475</xdr:colOff>
      <xdr:row>0</xdr:row>
      <xdr:rowOff>0</xdr:rowOff>
    </xdr:from>
    <xdr:to>
      <xdr:col>13</xdr:col>
      <xdr:colOff>752475</xdr:colOff>
      <xdr:row>0</xdr:row>
      <xdr:rowOff>76200</xdr:rowOff>
    </xdr:to>
    <xdr:sp macro="" textlink="">
      <xdr:nvSpPr>
        <xdr:cNvPr id="6" name="ComboBox1" hidden="1">
          <a:extLst>
            <a:ext uri="{63B3BB69-23CF-44E3-9099-C40C66FF867C}">
              <a14:compatExt xmlns:a14="http://schemas.microsoft.com/office/drawing/2010/main" spid="_x0000_s1028"/>
            </a:ext>
            <a:ext uri="{FF2B5EF4-FFF2-40B4-BE49-F238E27FC236}">
              <a16:creationId xmlns:a16="http://schemas.microsoft.com/office/drawing/2014/main" id="{933B2825-A7E8-4786-B322-1C137E52C1DF}"/>
            </a:ext>
          </a:extLst>
        </xdr:cNvPr>
        <xdr:cNvSpPr/>
      </xdr:nvSpPr>
      <xdr:spPr bwMode="auto">
        <a:xfrm>
          <a:off x="1633537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oneCellAnchor>
    <xdr:from>
      <xdr:col>13</xdr:col>
      <xdr:colOff>752475</xdr:colOff>
      <xdr:row>0</xdr:row>
      <xdr:rowOff>0</xdr:rowOff>
    </xdr:from>
    <xdr:ext cx="32385" cy="76200"/>
    <xdr:sp macro="" textlink="">
      <xdr:nvSpPr>
        <xdr:cNvPr id="7" name="ComboBox1" hidden="1">
          <a:extLst>
            <a:ext uri="{63B3BB69-23CF-44E3-9099-C40C66FF867C}">
              <a14:compatExt xmlns:a14="http://schemas.microsoft.com/office/drawing/2010/main" spid="_x0000_s1028"/>
            </a:ext>
            <a:ext uri="{FF2B5EF4-FFF2-40B4-BE49-F238E27FC236}">
              <a16:creationId xmlns:a16="http://schemas.microsoft.com/office/drawing/2014/main" id="{56DD9924-1051-4ED2-B589-041835665C80}"/>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13</xdr:col>
      <xdr:colOff>752475</xdr:colOff>
      <xdr:row>0</xdr:row>
      <xdr:rowOff>0</xdr:rowOff>
    </xdr:from>
    <xdr:ext cx="32385" cy="76200"/>
    <xdr:sp macro="" textlink="">
      <xdr:nvSpPr>
        <xdr:cNvPr id="8" name="ComboBox1" hidden="1">
          <a:extLst>
            <a:ext uri="{63B3BB69-23CF-44E3-9099-C40C66FF867C}">
              <a14:compatExt xmlns:a14="http://schemas.microsoft.com/office/drawing/2010/main" spid="_x0000_s1028"/>
            </a:ext>
            <a:ext uri="{FF2B5EF4-FFF2-40B4-BE49-F238E27FC236}">
              <a16:creationId xmlns:a16="http://schemas.microsoft.com/office/drawing/2014/main" id="{8244DD94-F7B9-42D5-A6BE-0BC043D589FE}"/>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13</xdr:col>
      <xdr:colOff>752475</xdr:colOff>
      <xdr:row>0</xdr:row>
      <xdr:rowOff>0</xdr:rowOff>
    </xdr:from>
    <xdr:ext cx="32385" cy="76200"/>
    <xdr:sp macro="" textlink="">
      <xdr:nvSpPr>
        <xdr:cNvPr id="9" name="ComboBox1" hidden="1">
          <a:extLst>
            <a:ext uri="{63B3BB69-23CF-44E3-9099-C40C66FF867C}">
              <a14:compatExt xmlns:a14="http://schemas.microsoft.com/office/drawing/2010/main" spid="_x0000_s1028"/>
            </a:ext>
            <a:ext uri="{FF2B5EF4-FFF2-40B4-BE49-F238E27FC236}">
              <a16:creationId xmlns:a16="http://schemas.microsoft.com/office/drawing/2014/main" id="{F8EA7147-64FA-487E-B973-4B4495DB5B6A}"/>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13</xdr:col>
      <xdr:colOff>752475</xdr:colOff>
      <xdr:row>0</xdr:row>
      <xdr:rowOff>0</xdr:rowOff>
    </xdr:from>
    <xdr:ext cx="32385" cy="76200"/>
    <xdr:sp macro="" textlink="">
      <xdr:nvSpPr>
        <xdr:cNvPr id="10" name="ComboBox1" hidden="1">
          <a:extLst>
            <a:ext uri="{63B3BB69-23CF-44E3-9099-C40C66FF867C}">
              <a14:compatExt xmlns:a14="http://schemas.microsoft.com/office/drawing/2010/main" spid="_x0000_s1028"/>
            </a:ext>
            <a:ext uri="{FF2B5EF4-FFF2-40B4-BE49-F238E27FC236}">
              <a16:creationId xmlns:a16="http://schemas.microsoft.com/office/drawing/2014/main" id="{392837EC-6F05-49BF-9A1A-F2AE3CD128C3}"/>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13</xdr:col>
      <xdr:colOff>752475</xdr:colOff>
      <xdr:row>0</xdr:row>
      <xdr:rowOff>0</xdr:rowOff>
    </xdr:from>
    <xdr:ext cx="32385" cy="76200"/>
    <xdr:sp macro="" textlink="">
      <xdr:nvSpPr>
        <xdr:cNvPr id="11" name="ComboBox1" hidden="1">
          <a:extLst>
            <a:ext uri="{63B3BB69-23CF-44E3-9099-C40C66FF867C}">
              <a14:compatExt xmlns:a14="http://schemas.microsoft.com/office/drawing/2010/main" spid="_x0000_s1028"/>
            </a:ext>
            <a:ext uri="{FF2B5EF4-FFF2-40B4-BE49-F238E27FC236}">
              <a16:creationId xmlns:a16="http://schemas.microsoft.com/office/drawing/2014/main" id="{CAEB2274-D46F-4152-AAEB-927CF9CBF67B}"/>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twoCellAnchor editAs="oneCell">
    <xdr:from>
      <xdr:col>11</xdr:col>
      <xdr:colOff>0</xdr:colOff>
      <xdr:row>0</xdr:row>
      <xdr:rowOff>0</xdr:rowOff>
    </xdr:from>
    <xdr:to>
      <xdr:col>11</xdr:col>
      <xdr:colOff>17145</xdr:colOff>
      <xdr:row>0</xdr:row>
      <xdr:rowOff>76200</xdr:rowOff>
    </xdr:to>
    <xdr:sp macro="" textlink="">
      <xdr:nvSpPr>
        <xdr:cNvPr id="12" name="ComboBox1" hidden="1">
          <a:extLst>
            <a:ext uri="{63B3BB69-23CF-44E3-9099-C40C66FF867C}">
              <a14:compatExt xmlns:a14="http://schemas.microsoft.com/office/drawing/2010/main" spid="_x0000_s1028"/>
            </a:ext>
            <a:ext uri="{FF2B5EF4-FFF2-40B4-BE49-F238E27FC236}">
              <a16:creationId xmlns:a16="http://schemas.microsoft.com/office/drawing/2014/main" id="{AA57D175-07BE-4455-8DE0-5E81B81EB163}"/>
            </a:ext>
          </a:extLst>
        </xdr:cNvPr>
        <xdr:cNvSpPr/>
      </xdr:nvSpPr>
      <xdr:spPr bwMode="auto">
        <a:xfrm>
          <a:off x="14013180" y="182880"/>
          <a:ext cx="1714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11</xdr:col>
      <xdr:colOff>0</xdr:colOff>
      <xdr:row>0</xdr:row>
      <xdr:rowOff>0</xdr:rowOff>
    </xdr:from>
    <xdr:to>
      <xdr:col>11</xdr:col>
      <xdr:colOff>17145</xdr:colOff>
      <xdr:row>0</xdr:row>
      <xdr:rowOff>76200</xdr:rowOff>
    </xdr:to>
    <xdr:pic>
      <xdr:nvPicPr>
        <xdr:cNvPr id="13" name="Picture 3">
          <a:extLst>
            <a:ext uri="{FF2B5EF4-FFF2-40B4-BE49-F238E27FC236}">
              <a16:creationId xmlns:a16="http://schemas.microsoft.com/office/drawing/2014/main" id="{C9B1AC99-A1CD-41CF-A11D-8C156E814C52}"/>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13180" y="182880"/>
          <a:ext cx="1714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11</xdr:col>
      <xdr:colOff>0</xdr:colOff>
      <xdr:row>0</xdr:row>
      <xdr:rowOff>0</xdr:rowOff>
    </xdr:from>
    <xdr:to>
      <xdr:col>11</xdr:col>
      <xdr:colOff>17145</xdr:colOff>
      <xdr:row>0</xdr:row>
      <xdr:rowOff>76200</xdr:rowOff>
    </xdr:to>
    <xdr:pic>
      <xdr:nvPicPr>
        <xdr:cNvPr id="14" name="Picture 4">
          <a:extLst>
            <a:ext uri="{FF2B5EF4-FFF2-40B4-BE49-F238E27FC236}">
              <a16:creationId xmlns:a16="http://schemas.microsoft.com/office/drawing/2014/main" id="{E6770868-8501-4A83-856F-7206D58C9D4C}"/>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13180" y="182880"/>
          <a:ext cx="1714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11</xdr:col>
      <xdr:colOff>0</xdr:colOff>
      <xdr:row>0</xdr:row>
      <xdr:rowOff>0</xdr:rowOff>
    </xdr:from>
    <xdr:to>
      <xdr:col>11</xdr:col>
      <xdr:colOff>17145</xdr:colOff>
      <xdr:row>0</xdr:row>
      <xdr:rowOff>76200</xdr:rowOff>
    </xdr:to>
    <xdr:pic>
      <xdr:nvPicPr>
        <xdr:cNvPr id="15" name="ComboBox1">
          <a:extLst>
            <a:ext uri="{FF2B5EF4-FFF2-40B4-BE49-F238E27FC236}">
              <a16:creationId xmlns:a16="http://schemas.microsoft.com/office/drawing/2014/main" id="{2083C7F7-9BD1-4CF7-9EBE-0EE893F858BB}"/>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13180" y="182880"/>
          <a:ext cx="1714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11</xdr:col>
      <xdr:colOff>0</xdr:colOff>
      <xdr:row>0</xdr:row>
      <xdr:rowOff>0</xdr:rowOff>
    </xdr:from>
    <xdr:to>
      <xdr:col>11</xdr:col>
      <xdr:colOff>17145</xdr:colOff>
      <xdr:row>0</xdr:row>
      <xdr:rowOff>76200</xdr:rowOff>
    </xdr:to>
    <xdr:sp macro="" textlink="">
      <xdr:nvSpPr>
        <xdr:cNvPr id="16" name="ComboBox1" hidden="1">
          <a:extLst>
            <a:ext uri="{63B3BB69-23CF-44E3-9099-C40C66FF867C}">
              <a14:compatExt xmlns:a14="http://schemas.microsoft.com/office/drawing/2010/main" spid="_x0000_s1028"/>
            </a:ext>
            <a:ext uri="{FF2B5EF4-FFF2-40B4-BE49-F238E27FC236}">
              <a16:creationId xmlns:a16="http://schemas.microsoft.com/office/drawing/2014/main" id="{F9231C24-8D1F-4953-BC0D-1E37876FB1AC}"/>
            </a:ext>
          </a:extLst>
        </xdr:cNvPr>
        <xdr:cNvSpPr/>
      </xdr:nvSpPr>
      <xdr:spPr bwMode="auto">
        <a:xfrm>
          <a:off x="14013180" y="182880"/>
          <a:ext cx="1714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0</xdr:colOff>
      <xdr:row>0</xdr:row>
      <xdr:rowOff>0</xdr:rowOff>
    </xdr:from>
    <xdr:to>
      <xdr:col>8</xdr:col>
      <xdr:colOff>304800</xdr:colOff>
      <xdr:row>0</xdr:row>
      <xdr:rowOff>777946</xdr:rowOff>
    </xdr:to>
    <xdr:sp macro="" textlink="">
      <xdr:nvSpPr>
        <xdr:cNvPr id="2" name="AutoShape 1" descr="image.png">
          <a:extLst>
            <a:ext uri="{FF2B5EF4-FFF2-40B4-BE49-F238E27FC236}">
              <a16:creationId xmlns:a16="http://schemas.microsoft.com/office/drawing/2014/main" id="{8E103D70-9614-4799-949E-623F9247EA3E}"/>
            </a:ext>
          </a:extLst>
        </xdr:cNvPr>
        <xdr:cNvSpPr>
          <a:spLocks noChangeAspect="1" noChangeArrowheads="1"/>
        </xdr:cNvSpPr>
      </xdr:nvSpPr>
      <xdr:spPr bwMode="auto">
        <a:xfrm>
          <a:off x="11658600" y="182880"/>
          <a:ext cx="304800" cy="76842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11</xdr:col>
      <xdr:colOff>0</xdr:colOff>
      <xdr:row>0</xdr:row>
      <xdr:rowOff>0</xdr:rowOff>
    </xdr:from>
    <xdr:to>
      <xdr:col>11</xdr:col>
      <xdr:colOff>17145</xdr:colOff>
      <xdr:row>0</xdr:row>
      <xdr:rowOff>76200</xdr:rowOff>
    </xdr:to>
    <xdr:sp macro="" textlink="">
      <xdr:nvSpPr>
        <xdr:cNvPr id="3" name="ComboBox1" hidden="1">
          <a:extLst>
            <a:ext uri="{63B3BB69-23CF-44E3-9099-C40C66FF867C}">
              <a14:compatExt xmlns:a14="http://schemas.microsoft.com/office/drawing/2010/main" spid="_x0000_s1028"/>
            </a:ext>
            <a:ext uri="{FF2B5EF4-FFF2-40B4-BE49-F238E27FC236}">
              <a16:creationId xmlns:a16="http://schemas.microsoft.com/office/drawing/2014/main" id="{1BD657FE-59E5-4458-89B1-4172DD46AC44}"/>
            </a:ext>
          </a:extLst>
        </xdr:cNvPr>
        <xdr:cNvSpPr/>
      </xdr:nvSpPr>
      <xdr:spPr bwMode="auto">
        <a:xfrm>
          <a:off x="14013180" y="182880"/>
          <a:ext cx="1714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11</xdr:col>
      <xdr:colOff>0</xdr:colOff>
      <xdr:row>0</xdr:row>
      <xdr:rowOff>0</xdr:rowOff>
    </xdr:from>
    <xdr:to>
      <xdr:col>11</xdr:col>
      <xdr:colOff>17145</xdr:colOff>
      <xdr:row>0</xdr:row>
      <xdr:rowOff>76200</xdr:rowOff>
    </xdr:to>
    <xdr:pic>
      <xdr:nvPicPr>
        <xdr:cNvPr id="4" name="Picture 3">
          <a:extLst>
            <a:ext uri="{FF2B5EF4-FFF2-40B4-BE49-F238E27FC236}">
              <a16:creationId xmlns:a16="http://schemas.microsoft.com/office/drawing/2014/main" id="{3FB3D62E-C5D9-48E8-A64B-C7948DE858D2}"/>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13180" y="182880"/>
          <a:ext cx="1714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11</xdr:col>
      <xdr:colOff>0</xdr:colOff>
      <xdr:row>0</xdr:row>
      <xdr:rowOff>0</xdr:rowOff>
    </xdr:from>
    <xdr:to>
      <xdr:col>11</xdr:col>
      <xdr:colOff>17145</xdr:colOff>
      <xdr:row>0</xdr:row>
      <xdr:rowOff>76200</xdr:rowOff>
    </xdr:to>
    <xdr:pic>
      <xdr:nvPicPr>
        <xdr:cNvPr id="5" name="Picture 4">
          <a:extLst>
            <a:ext uri="{FF2B5EF4-FFF2-40B4-BE49-F238E27FC236}">
              <a16:creationId xmlns:a16="http://schemas.microsoft.com/office/drawing/2014/main" id="{56510E09-EFAD-4B29-8F6D-3E791D1D78A6}"/>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13180" y="182880"/>
          <a:ext cx="1714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11</xdr:col>
      <xdr:colOff>0</xdr:colOff>
      <xdr:row>0</xdr:row>
      <xdr:rowOff>0</xdr:rowOff>
    </xdr:from>
    <xdr:to>
      <xdr:col>11</xdr:col>
      <xdr:colOff>17145</xdr:colOff>
      <xdr:row>0</xdr:row>
      <xdr:rowOff>76200</xdr:rowOff>
    </xdr:to>
    <xdr:pic>
      <xdr:nvPicPr>
        <xdr:cNvPr id="6" name="ComboBox1">
          <a:extLst>
            <a:ext uri="{FF2B5EF4-FFF2-40B4-BE49-F238E27FC236}">
              <a16:creationId xmlns:a16="http://schemas.microsoft.com/office/drawing/2014/main" id="{E842630E-75E3-4DB6-8192-9F35A93D0BEB}"/>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13180" y="182880"/>
          <a:ext cx="1714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11</xdr:col>
      <xdr:colOff>0</xdr:colOff>
      <xdr:row>0</xdr:row>
      <xdr:rowOff>0</xdr:rowOff>
    </xdr:from>
    <xdr:to>
      <xdr:col>11</xdr:col>
      <xdr:colOff>17145</xdr:colOff>
      <xdr:row>0</xdr:row>
      <xdr:rowOff>76200</xdr:rowOff>
    </xdr:to>
    <xdr:sp macro="" textlink="">
      <xdr:nvSpPr>
        <xdr:cNvPr id="7" name="ComboBox1" hidden="1">
          <a:extLst>
            <a:ext uri="{63B3BB69-23CF-44E3-9099-C40C66FF867C}">
              <a14:compatExt xmlns:a14="http://schemas.microsoft.com/office/drawing/2010/main" spid="_x0000_s1028"/>
            </a:ext>
            <a:ext uri="{FF2B5EF4-FFF2-40B4-BE49-F238E27FC236}">
              <a16:creationId xmlns:a16="http://schemas.microsoft.com/office/drawing/2014/main" id="{D74AD8E2-E397-4090-BA74-456BA307CC70}"/>
            </a:ext>
          </a:extLst>
        </xdr:cNvPr>
        <xdr:cNvSpPr/>
      </xdr:nvSpPr>
      <xdr:spPr bwMode="auto">
        <a:xfrm>
          <a:off x="14013180" y="182880"/>
          <a:ext cx="1714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oneCellAnchor>
    <xdr:from>
      <xdr:col>10</xdr:col>
      <xdr:colOff>0</xdr:colOff>
      <xdr:row>0</xdr:row>
      <xdr:rowOff>0</xdr:rowOff>
    </xdr:from>
    <xdr:ext cx="304800" cy="772443"/>
    <xdr:sp macro="" textlink="">
      <xdr:nvSpPr>
        <xdr:cNvPr id="8" name="AutoShape 1" descr="image.png">
          <a:extLst>
            <a:ext uri="{FF2B5EF4-FFF2-40B4-BE49-F238E27FC236}">
              <a16:creationId xmlns:a16="http://schemas.microsoft.com/office/drawing/2014/main" id="{840FBA1C-E1F5-4844-AB4F-48C272C66199}"/>
            </a:ext>
          </a:extLst>
        </xdr:cNvPr>
        <xdr:cNvSpPr>
          <a:spLocks noChangeAspect="1" noChangeArrowheads="1"/>
        </xdr:cNvSpPr>
      </xdr:nvSpPr>
      <xdr:spPr bwMode="auto">
        <a:xfrm>
          <a:off x="13228320" y="182880"/>
          <a:ext cx="304800" cy="77244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13</xdr:col>
      <xdr:colOff>752475</xdr:colOff>
      <xdr:row>0</xdr:row>
      <xdr:rowOff>0</xdr:rowOff>
    </xdr:from>
    <xdr:to>
      <xdr:col>13</xdr:col>
      <xdr:colOff>754380</xdr:colOff>
      <xdr:row>0</xdr:row>
      <xdr:rowOff>76200</xdr:rowOff>
    </xdr:to>
    <xdr:sp macro="" textlink="">
      <xdr:nvSpPr>
        <xdr:cNvPr id="9" name="ComboBox1" hidden="1">
          <a:extLst>
            <a:ext uri="{63B3BB69-23CF-44E3-9099-C40C66FF867C}">
              <a14:compatExt xmlns:a14="http://schemas.microsoft.com/office/drawing/2010/main" spid="_x0000_s1028"/>
            </a:ext>
            <a:ext uri="{FF2B5EF4-FFF2-40B4-BE49-F238E27FC236}">
              <a16:creationId xmlns:a16="http://schemas.microsoft.com/office/drawing/2014/main" id="{79C52303-BE27-4C3C-BD3B-631FD6035009}"/>
            </a:ext>
          </a:extLst>
        </xdr:cNvPr>
        <xdr:cNvSpPr/>
      </xdr:nvSpPr>
      <xdr:spPr bwMode="auto">
        <a:xfrm>
          <a:off x="1633537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13</xdr:col>
      <xdr:colOff>752475</xdr:colOff>
      <xdr:row>0</xdr:row>
      <xdr:rowOff>0</xdr:rowOff>
    </xdr:from>
    <xdr:to>
      <xdr:col>13</xdr:col>
      <xdr:colOff>754380</xdr:colOff>
      <xdr:row>0</xdr:row>
      <xdr:rowOff>76200</xdr:rowOff>
    </xdr:to>
    <xdr:pic>
      <xdr:nvPicPr>
        <xdr:cNvPr id="10" name="Picture 3">
          <a:extLst>
            <a:ext uri="{FF2B5EF4-FFF2-40B4-BE49-F238E27FC236}">
              <a16:creationId xmlns:a16="http://schemas.microsoft.com/office/drawing/2014/main" id="{4C407814-7728-4951-97F8-FEA7EB96F023}"/>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3537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13</xdr:col>
      <xdr:colOff>752475</xdr:colOff>
      <xdr:row>0</xdr:row>
      <xdr:rowOff>0</xdr:rowOff>
    </xdr:from>
    <xdr:to>
      <xdr:col>13</xdr:col>
      <xdr:colOff>754380</xdr:colOff>
      <xdr:row>0</xdr:row>
      <xdr:rowOff>76200</xdr:rowOff>
    </xdr:to>
    <xdr:pic>
      <xdr:nvPicPr>
        <xdr:cNvPr id="11" name="Picture 4">
          <a:extLst>
            <a:ext uri="{FF2B5EF4-FFF2-40B4-BE49-F238E27FC236}">
              <a16:creationId xmlns:a16="http://schemas.microsoft.com/office/drawing/2014/main" id="{E50CD8D1-2C84-438B-B814-2CED6ECA0028}"/>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3537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13</xdr:col>
      <xdr:colOff>752475</xdr:colOff>
      <xdr:row>0</xdr:row>
      <xdr:rowOff>0</xdr:rowOff>
    </xdr:from>
    <xdr:to>
      <xdr:col>13</xdr:col>
      <xdr:colOff>754380</xdr:colOff>
      <xdr:row>0</xdr:row>
      <xdr:rowOff>76200</xdr:rowOff>
    </xdr:to>
    <xdr:pic>
      <xdr:nvPicPr>
        <xdr:cNvPr id="12" name="ComboBox1">
          <a:extLst>
            <a:ext uri="{FF2B5EF4-FFF2-40B4-BE49-F238E27FC236}">
              <a16:creationId xmlns:a16="http://schemas.microsoft.com/office/drawing/2014/main" id="{3D520CC6-B35C-4886-B63E-8E4C6FC3459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3537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13</xdr:col>
      <xdr:colOff>752475</xdr:colOff>
      <xdr:row>0</xdr:row>
      <xdr:rowOff>0</xdr:rowOff>
    </xdr:from>
    <xdr:to>
      <xdr:col>13</xdr:col>
      <xdr:colOff>754380</xdr:colOff>
      <xdr:row>0</xdr:row>
      <xdr:rowOff>76200</xdr:rowOff>
    </xdr:to>
    <xdr:sp macro="" textlink="">
      <xdr:nvSpPr>
        <xdr:cNvPr id="13" name="ComboBox1" hidden="1">
          <a:extLst>
            <a:ext uri="{63B3BB69-23CF-44E3-9099-C40C66FF867C}">
              <a14:compatExt xmlns:a14="http://schemas.microsoft.com/office/drawing/2010/main" spid="_x0000_s1028"/>
            </a:ext>
            <a:ext uri="{FF2B5EF4-FFF2-40B4-BE49-F238E27FC236}">
              <a16:creationId xmlns:a16="http://schemas.microsoft.com/office/drawing/2014/main" id="{759192F1-BECC-4DEE-85F5-0709DC7242AF}"/>
            </a:ext>
          </a:extLst>
        </xdr:cNvPr>
        <xdr:cNvSpPr/>
      </xdr:nvSpPr>
      <xdr:spPr bwMode="auto">
        <a:xfrm>
          <a:off x="1633537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oneCellAnchor>
    <xdr:from>
      <xdr:col>13</xdr:col>
      <xdr:colOff>752475</xdr:colOff>
      <xdr:row>0</xdr:row>
      <xdr:rowOff>0</xdr:rowOff>
    </xdr:from>
    <xdr:ext cx="32385" cy="76200"/>
    <xdr:sp macro="" textlink="">
      <xdr:nvSpPr>
        <xdr:cNvPr id="14" name="ComboBox1" hidden="1">
          <a:extLst>
            <a:ext uri="{63B3BB69-23CF-44E3-9099-C40C66FF867C}">
              <a14:compatExt xmlns:a14="http://schemas.microsoft.com/office/drawing/2010/main" spid="_x0000_s1028"/>
            </a:ext>
            <a:ext uri="{FF2B5EF4-FFF2-40B4-BE49-F238E27FC236}">
              <a16:creationId xmlns:a16="http://schemas.microsoft.com/office/drawing/2014/main" id="{68587C6A-21AC-4E47-90E3-DDB7B0D81387}"/>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13</xdr:col>
      <xdr:colOff>752475</xdr:colOff>
      <xdr:row>0</xdr:row>
      <xdr:rowOff>0</xdr:rowOff>
    </xdr:from>
    <xdr:ext cx="32385" cy="76200"/>
    <xdr:sp macro="" textlink="">
      <xdr:nvSpPr>
        <xdr:cNvPr id="15" name="ComboBox1" hidden="1">
          <a:extLst>
            <a:ext uri="{63B3BB69-23CF-44E3-9099-C40C66FF867C}">
              <a14:compatExt xmlns:a14="http://schemas.microsoft.com/office/drawing/2010/main" spid="_x0000_s1028"/>
            </a:ext>
            <a:ext uri="{FF2B5EF4-FFF2-40B4-BE49-F238E27FC236}">
              <a16:creationId xmlns:a16="http://schemas.microsoft.com/office/drawing/2014/main" id="{474B4908-8269-462F-965A-350221F3C0EA}"/>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13</xdr:col>
      <xdr:colOff>752475</xdr:colOff>
      <xdr:row>0</xdr:row>
      <xdr:rowOff>0</xdr:rowOff>
    </xdr:from>
    <xdr:ext cx="32385" cy="76200"/>
    <xdr:sp macro="" textlink="">
      <xdr:nvSpPr>
        <xdr:cNvPr id="16" name="ComboBox1" hidden="1">
          <a:extLst>
            <a:ext uri="{63B3BB69-23CF-44E3-9099-C40C66FF867C}">
              <a14:compatExt xmlns:a14="http://schemas.microsoft.com/office/drawing/2010/main" spid="_x0000_s1028"/>
            </a:ext>
            <a:ext uri="{FF2B5EF4-FFF2-40B4-BE49-F238E27FC236}">
              <a16:creationId xmlns:a16="http://schemas.microsoft.com/office/drawing/2014/main" id="{2E2EAB3E-C335-477D-8DCF-D129E8344418}"/>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13</xdr:col>
      <xdr:colOff>752475</xdr:colOff>
      <xdr:row>0</xdr:row>
      <xdr:rowOff>0</xdr:rowOff>
    </xdr:from>
    <xdr:ext cx="32385" cy="76200"/>
    <xdr:sp macro="" textlink="">
      <xdr:nvSpPr>
        <xdr:cNvPr id="17" name="ComboBox1" hidden="1">
          <a:extLst>
            <a:ext uri="{63B3BB69-23CF-44E3-9099-C40C66FF867C}">
              <a14:compatExt xmlns:a14="http://schemas.microsoft.com/office/drawing/2010/main" spid="_x0000_s1028"/>
            </a:ext>
            <a:ext uri="{FF2B5EF4-FFF2-40B4-BE49-F238E27FC236}">
              <a16:creationId xmlns:a16="http://schemas.microsoft.com/office/drawing/2014/main" id="{F2B7BC47-C775-4D6A-AEEB-1E40930F3533}"/>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13</xdr:col>
      <xdr:colOff>752475</xdr:colOff>
      <xdr:row>0</xdr:row>
      <xdr:rowOff>0</xdr:rowOff>
    </xdr:from>
    <xdr:ext cx="32385" cy="76200"/>
    <xdr:sp macro="" textlink="">
      <xdr:nvSpPr>
        <xdr:cNvPr id="18" name="ComboBox1" hidden="1">
          <a:extLst>
            <a:ext uri="{63B3BB69-23CF-44E3-9099-C40C66FF867C}">
              <a14:compatExt xmlns:a14="http://schemas.microsoft.com/office/drawing/2010/main" spid="_x0000_s1028"/>
            </a:ext>
            <a:ext uri="{FF2B5EF4-FFF2-40B4-BE49-F238E27FC236}">
              <a16:creationId xmlns:a16="http://schemas.microsoft.com/office/drawing/2014/main" id="{51E0278C-367B-43D1-B850-1FF2FBF8BDB6}"/>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twoCellAnchor editAs="oneCell">
    <xdr:from>
      <xdr:col>19</xdr:col>
      <xdr:colOff>752475</xdr:colOff>
      <xdr:row>0</xdr:row>
      <xdr:rowOff>0</xdr:rowOff>
    </xdr:from>
    <xdr:to>
      <xdr:col>19</xdr:col>
      <xdr:colOff>752475</xdr:colOff>
      <xdr:row>0</xdr:row>
      <xdr:rowOff>76200</xdr:rowOff>
    </xdr:to>
    <xdr:sp macro="" textlink="">
      <xdr:nvSpPr>
        <xdr:cNvPr id="19" name="ComboBox1" hidden="1">
          <a:extLst>
            <a:ext uri="{63B3BB69-23CF-44E3-9099-C40C66FF867C}">
              <a14:compatExt xmlns:a14="http://schemas.microsoft.com/office/drawing/2010/main" spid="_x0000_s1028"/>
            </a:ext>
            <a:ext uri="{FF2B5EF4-FFF2-40B4-BE49-F238E27FC236}">
              <a16:creationId xmlns:a16="http://schemas.microsoft.com/office/drawing/2014/main" id="{DD609B43-9617-4C92-9E56-C1A02164A183}"/>
            </a:ext>
          </a:extLst>
        </xdr:cNvPr>
        <xdr:cNvSpPr/>
      </xdr:nvSpPr>
      <xdr:spPr bwMode="auto">
        <a:xfrm>
          <a:off x="2182939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19</xdr:col>
      <xdr:colOff>752475</xdr:colOff>
      <xdr:row>0</xdr:row>
      <xdr:rowOff>0</xdr:rowOff>
    </xdr:from>
    <xdr:to>
      <xdr:col>19</xdr:col>
      <xdr:colOff>752475</xdr:colOff>
      <xdr:row>0</xdr:row>
      <xdr:rowOff>76200</xdr:rowOff>
    </xdr:to>
    <xdr:pic>
      <xdr:nvPicPr>
        <xdr:cNvPr id="20" name="Picture 3">
          <a:extLst>
            <a:ext uri="{FF2B5EF4-FFF2-40B4-BE49-F238E27FC236}">
              <a16:creationId xmlns:a16="http://schemas.microsoft.com/office/drawing/2014/main" id="{57A71F44-7DE4-44EB-BD16-4469CEA7E788}"/>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82939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19</xdr:col>
      <xdr:colOff>752475</xdr:colOff>
      <xdr:row>0</xdr:row>
      <xdr:rowOff>0</xdr:rowOff>
    </xdr:from>
    <xdr:to>
      <xdr:col>19</xdr:col>
      <xdr:colOff>752475</xdr:colOff>
      <xdr:row>0</xdr:row>
      <xdr:rowOff>76200</xdr:rowOff>
    </xdr:to>
    <xdr:pic>
      <xdr:nvPicPr>
        <xdr:cNvPr id="21" name="Picture 4">
          <a:extLst>
            <a:ext uri="{FF2B5EF4-FFF2-40B4-BE49-F238E27FC236}">
              <a16:creationId xmlns:a16="http://schemas.microsoft.com/office/drawing/2014/main" id="{2C59FFD8-2446-4694-AEC6-DEB1CF4993E1}"/>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82939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19</xdr:col>
      <xdr:colOff>752475</xdr:colOff>
      <xdr:row>0</xdr:row>
      <xdr:rowOff>0</xdr:rowOff>
    </xdr:from>
    <xdr:to>
      <xdr:col>19</xdr:col>
      <xdr:colOff>752475</xdr:colOff>
      <xdr:row>0</xdr:row>
      <xdr:rowOff>76200</xdr:rowOff>
    </xdr:to>
    <xdr:pic>
      <xdr:nvPicPr>
        <xdr:cNvPr id="22" name="ComboBox1">
          <a:extLst>
            <a:ext uri="{FF2B5EF4-FFF2-40B4-BE49-F238E27FC236}">
              <a16:creationId xmlns:a16="http://schemas.microsoft.com/office/drawing/2014/main" id="{10337D78-A566-47B2-8E9B-7B39BEB17B1E}"/>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82939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19</xdr:col>
      <xdr:colOff>752475</xdr:colOff>
      <xdr:row>0</xdr:row>
      <xdr:rowOff>0</xdr:rowOff>
    </xdr:from>
    <xdr:to>
      <xdr:col>19</xdr:col>
      <xdr:colOff>752475</xdr:colOff>
      <xdr:row>0</xdr:row>
      <xdr:rowOff>76200</xdr:rowOff>
    </xdr:to>
    <xdr:sp macro="" textlink="">
      <xdr:nvSpPr>
        <xdr:cNvPr id="23" name="ComboBox1" hidden="1">
          <a:extLst>
            <a:ext uri="{63B3BB69-23CF-44E3-9099-C40C66FF867C}">
              <a14:compatExt xmlns:a14="http://schemas.microsoft.com/office/drawing/2010/main" spid="_x0000_s1028"/>
            </a:ext>
            <a:ext uri="{FF2B5EF4-FFF2-40B4-BE49-F238E27FC236}">
              <a16:creationId xmlns:a16="http://schemas.microsoft.com/office/drawing/2014/main" id="{3AFD2717-80C8-4203-B239-AF1A98D705D7}"/>
            </a:ext>
          </a:extLst>
        </xdr:cNvPr>
        <xdr:cNvSpPr/>
      </xdr:nvSpPr>
      <xdr:spPr bwMode="auto">
        <a:xfrm>
          <a:off x="2182939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Adriana/AppData/Local/Microsoft/Windows/INetCache/Content.Outlook/CTVKRU3D/Entregables%20atraso%202015%20(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ENTREGA%20GERENCIA%20PROYECTO%20BANCO\FACTURACION\2016\FEBRERO%202016\JESSICA\Matriz%20Formato%20Estado%20Diario%20Zonas%20Remotas%20Juli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E:\Google%20Drive\Linea%20Comunicaciones\CB%20Proyecto%20Incidentes\2016\Agosto\31%20ago\Informe%20Gesti&#243;n%20Incidentes%20CB%20Bancolombia,%20con%20corte%2031%20agosto.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ENTREGA%20GERENCIA%20PROYECTO%20BANCO/FACTURACION/AGOSTO/JESSICA/Matriz%20Formato%20Estado%20Diario%20Zonas%20Remotas%20Julio.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ANCA/COORDINACION%20ZONA%20NOROCCIDENTE/ESTADO%20DIARIO/Estado%20Diario%20Diciembre/Copia%20de%20Matriz%20Formato%20Estado%20Diario%20DICIEMBRE.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Aleja\Downloads\Informe%20Gesti&#243;n%20Incidentes%20CB%20Bancolombia%20V4%20(7).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ersonal/lini_hernandez_lineacom_co/Documents/DESCARGAS%207%20DE%20JULIO/FACTURACI&#211;N%202022/OCTUBRE/DATA%20V2/Informe%20Gestion%20CB%20BANCOLOMBIA%202022%20-%20ORDENES%20DE%20CAMBIO%20(12).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Users\JuliethTatiana\Downloads\Informe%20Gesti&#243;n%20Ordenes%20Cambio%20CB%20Bancolombia%20V6%20(2).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Users\Lenovo\AppData\Local\Microsoft\Windows\Temporary%20Internet%20Files\Content.Outlook\I8UJS5CV\Informe%20Gesti&#243;n%20Incidentes%20CB%20Bancolombia%20con%20corte%20al%2030%20septiembre%202014.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Users\lini.hernandez\Downloads\Informe%20Gesti&#243;n%20Incidentes%20CB%20Bancolombia%20Marzo%202021%20(1).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C:\Google%20Drive\Linea%20Comunicaciones\CB%20Proyecto%20Incidentes\2016\Agosto\31%20ago\Informe%20Gesti&#243;n%20Incidentes%20CB%20Bancolombia,%20con%20corte%2031%20agosto.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Q:\CARPETA%20COMPARTIDA%20CNB%20CON%20OTRAS%20AREAS\MACRO%20PROCESO%20SELECCION%20E%20IMPLEMENTACION%20CNB\Seleccion%20vinculacion%20y%20apertura%20de%20CNB.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Users\Mauricio\Documents\LINEA%20COMUNICACIONES\Informes\Matriz%20Formato%20Estado%20Diario%20%20Costa%20New%201.xlsm"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C:\ENTREGA%20GERENCIA%20PROYECTO%20BANCO\FACTURACION\2016\FEBRERO%202016\INCIDENTES\Informe%20Gesti&#243;n%20OC%20CB%20Redeban,%20con%20corte%20al%2030%20abri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ERTURAS ATRASO"/>
      <sheetName val="OTRAS ACTIVIDADES ATRASO"/>
      <sheetName val="Hoja2"/>
      <sheetName val="ENTREGADOS"/>
    </sheetNames>
    <sheetDataSet>
      <sheetData sheetId="0" refreshError="1"/>
      <sheetData sheetId="1" refreshError="1"/>
      <sheetData sheetId="2"/>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ato Estado Diario"/>
      <sheetName val="Coordinadores"/>
      <sheetName val="Tecnicos"/>
      <sheetName val="Clientes"/>
      <sheetName val="CAPACIDAD"/>
      <sheetName val="Puntos"/>
      <sheetName val="Formulas"/>
      <sheetName val="PERSONAL"/>
      <sheetName val="EVALUAR"/>
      <sheetName val="Hoja1"/>
      <sheetName val="PLANILLAS"/>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iertos RBM"/>
      <sheetName val="Cerrados  RBM"/>
      <sheetName val="Estadísticas RBM"/>
      <sheetName val="Listas desplegables"/>
      <sheetName val="Abiertos CCO"/>
      <sheetName val="Cerrados CCO"/>
      <sheetName val="BCS"/>
      <sheetName val="Gestión de IM (ATH-BBVA-BANCOL)"/>
    </sheetNames>
    <sheetDataSet>
      <sheetData sheetId="0" refreshError="1"/>
      <sheetData sheetId="1"/>
      <sheetData sheetId="2" refreshError="1"/>
      <sheetData sheetId="3"/>
      <sheetData sheetId="4" refreshError="1"/>
      <sheetData sheetId="5"/>
      <sheetData sheetId="6" refreshError="1"/>
      <sheetData sheetId="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ato Estado Diario"/>
      <sheetName val="Coordinadores"/>
      <sheetName val="Tecnicos"/>
      <sheetName val="Clientes"/>
      <sheetName val="CAPACIDAD"/>
      <sheetName val="Puntos"/>
      <sheetName val="Formulas"/>
      <sheetName val="PERSONAL"/>
      <sheetName val="EVALUAR"/>
      <sheetName val="Hoja1"/>
      <sheetName val="PLANILLA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ato Estado Diario"/>
      <sheetName val="Hoja1"/>
      <sheetName val="Coordinadores"/>
      <sheetName val="Tecnicos"/>
      <sheetName val="Puntos"/>
      <sheetName val="Formulas"/>
      <sheetName val="Clientes"/>
    </sheetNames>
    <sheetDataSet>
      <sheetData sheetId="0"/>
      <sheetData sheetId="1"/>
      <sheetData sheetId="2"/>
      <sheetData sheetId="3"/>
      <sheetData sheetId="4"/>
      <sheetData sheetId="5"/>
      <sheetData sheetId="6"/>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cidentes - Abiertos"/>
      <sheetName val="Version Rbm"/>
      <sheetName val="Listas desplegables"/>
      <sheetName val="Cerrados Mayo"/>
      <sheetName val="CCO Abiertos"/>
      <sheetName val="CCO Cerrados Mayo"/>
      <sheetName val="CCO Cerrados Abril"/>
      <sheetName val="Matriz"/>
      <sheetName val="Cerrados Abril"/>
    </sheetNames>
    <sheetDataSet>
      <sheetData sheetId="0"/>
      <sheetData sheetId="1"/>
      <sheetData sheetId="2"/>
      <sheetData sheetId="3"/>
      <sheetData sheetId="4"/>
      <sheetData sheetId="5"/>
      <sheetData sheetId="6"/>
      <sheetData sheetId="7"/>
      <sheetData sheetId="8"/>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riz BANCOLOMBIA"/>
      <sheetName val="INCIDENTES RBM-ABIERTOS"/>
      <sheetName val="TIPOLOGIAS"/>
      <sheetName val="OTRAS OC"/>
      <sheetName val="CIERRES"/>
      <sheetName val="ROLLOS"/>
      <sheetName val="lista desplegable"/>
    </sheetNames>
    <sheetDataSet>
      <sheetData sheetId="0"/>
      <sheetData sheetId="1"/>
      <sheetData sheetId="2"/>
      <sheetData sheetId="3"/>
      <sheetData sheetId="4"/>
      <sheetData sheetId="5"/>
      <sheetData sheetId="6"/>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ollos RBM"/>
      <sheetName val="Cierre"/>
      <sheetName val="OC Abiertas"/>
      <sheetName val="Cerrados Marzo"/>
      <sheetName val="Febre"/>
      <sheetName val="Listas desplegables"/>
      <sheetName val="UCCORP"/>
      <sheetName val="TIPOLOGÍAS REALES"/>
      <sheetName val="Matriz"/>
      <sheetName val="Cerrados Febrero"/>
      <sheetName val="Ene"/>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porte"/>
      <sheetName val="Estadística"/>
      <sheetName val="Hoja2"/>
      <sheetName val="Consolidado Incidentes "/>
      <sheetName val="Hoja3"/>
      <sheetName val="Matriz"/>
      <sheetName val="Listas desplegables"/>
      <sheetName val="Actualización de Versión CCO"/>
    </sheetNames>
    <sheetDataSet>
      <sheetData sheetId="0"/>
      <sheetData sheetId="1"/>
      <sheetData sheetId="2"/>
      <sheetData sheetId="3"/>
      <sheetData sheetId="4"/>
      <sheetData sheetId="5"/>
      <sheetData sheetId="6"/>
      <sheetData sheetId="7"/>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errados RBM Febrero"/>
      <sheetName val="Matriz1"/>
      <sheetName val=" Cerrados RBM Marzo"/>
      <sheetName val="Abiertos RBM"/>
      <sheetName val="Abiertos CCO"/>
      <sheetName val="Abiertos AVAL"/>
      <sheetName val="Cerrados CCO Marzo"/>
      <sheetName val="Cerrados AVAL Febrero"/>
      <sheetName val="Cerrados CCO Febrero"/>
      <sheetName val="Cerrados Aval MARZO"/>
      <sheetName val="Gestión de IM(ATH BBVA)"/>
      <sheetName val="Listas Desplegables"/>
      <sheetName val="TIPOLOGÍAS"/>
      <sheetName val="Cerrados MARZO"/>
      <sheetName val="Informe Gestión Incidentes CB B"/>
    </sheetNames>
    <sheetDataSet>
      <sheetData sheetId="0"/>
      <sheetData sheetId="1"/>
      <sheetData sheetId="2"/>
      <sheetData sheetId="3" refreshError="1"/>
      <sheetData sheetId="4" refreshError="1"/>
      <sheetData sheetId="5" refreshError="1"/>
      <sheetData sheetId="6"/>
      <sheetData sheetId="7" refreshError="1"/>
      <sheetData sheetId="8" refreshError="1"/>
      <sheetData sheetId="9"/>
      <sheetData sheetId="10" refreshError="1"/>
      <sheetData sheetId="11"/>
      <sheetData sheetId="12" refreshError="1"/>
      <sheetData sheetId="13" refreshError="1"/>
      <sheetData sheetId="14"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iertos RBM"/>
      <sheetName val="Cerrados  RBM"/>
      <sheetName val="Estadísticas RBM"/>
      <sheetName val="Listas desplegables"/>
      <sheetName val="Abiertos CCO"/>
      <sheetName val="Cerrados CCO"/>
      <sheetName val="BCS"/>
      <sheetName val="Gestión de IM (ATH-BBVA-BANCOL)"/>
    </sheetNames>
    <sheetDataSet>
      <sheetData sheetId="0" refreshError="1"/>
      <sheetData sheetId="1"/>
      <sheetData sheetId="2" refreshError="1"/>
      <sheetData sheetId="3"/>
      <sheetData sheetId="4" refreshError="1"/>
      <sheetData sheetId="5"/>
      <sheetData sheetId="6" refreshError="1"/>
      <sheetData sheetId="7"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Expansión"/>
      <sheetName val="Negociación"/>
      <sheetName val="Xa Factibilidad"/>
      <sheetName val="Xa Elaboración Contrato"/>
      <sheetName val="Xa Parametrización de Usuarios"/>
      <sheetName val="Xa Implementación"/>
      <sheetName val="Dptos"/>
      <sheetName val="Seleccion vinculacion y apertur"/>
      <sheetName val="Hoja2"/>
      <sheetName val="Hoja3"/>
      <sheetName val="tipificacion"/>
      <sheetName val="Hoja1"/>
      <sheetName val="ESTADO"/>
      <sheetName val="VALORES CB"/>
      <sheetName val="ACTIVIDAD"/>
      <sheetName val="Listas"/>
      <sheetName val="Lista"/>
      <sheetName val="EJEMPLO"/>
      <sheetName val="INCIDENTES"/>
      <sheetName val="ESTADISTICAS"/>
      <sheetName val="Anexo 2. H. tipologías"/>
      <sheetName val="BASE BANCOLOMBIA"/>
      <sheetName val="SUCURSALES"/>
      <sheetName val="Causales"/>
      <sheetName val="Listas desplegables"/>
      <sheetName val="Causas"/>
      <sheetName val="Dpt_x0002_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refreshError="1"/>
      <sheetData sheetId="25" refreshError="1"/>
      <sheetData sheetId="26" refreshError="1"/>
      <sheetData sheetId="27"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ato Estado Diario"/>
      <sheetName val="Hoja1"/>
      <sheetName val="Coordinadores"/>
      <sheetName val="Tecnicos"/>
      <sheetName val="Clientes"/>
      <sheetName val="Puntos"/>
      <sheetName val="Formulas"/>
    </sheetNames>
    <sheetDataSet>
      <sheetData sheetId="0"/>
      <sheetData sheetId="1"/>
      <sheetData sheetId="2"/>
      <sheetData sheetId="3"/>
      <sheetData sheetId="4"/>
      <sheetData sheetId="5"/>
      <sheetData sheetId="6"/>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as desplegables"/>
      <sheetName val="Consolidado"/>
    </sheetNames>
    <sheetDataSet>
      <sheetData sheetId="0"/>
      <sheetData sheetId="1"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36.664658680558" createdVersion="8" refreshedVersion="8" minRefreshableVersion="3" recordCount="11" xr:uid="{49401B00-3E50-4015-9A0C-BE1FAC138DCB}">
  <cacheSource type="worksheet">
    <worksheetSource ref="A1:AE1048576" sheet="ADECUACIONES"/>
  </cacheSource>
  <cacheFields count="31">
    <cacheField name="CIUDAD SEDE" numFmtId="0">
      <sharedItems containsBlank="1"/>
    </cacheField>
    <cacheField name="COORDINADOR" numFmtId="0">
      <sharedItems containsBlank="1" count="7">
        <s v="DIEGO FERNANDO HENAO CARDONA"/>
        <s v="KEVIN ALEXIS CORZO BUSTOS"/>
        <s v="MIGUEL JULIÁN HERNÁNDEZ GUARÍN"/>
        <s v="JUAN SEBASTIÁN RÍOS CASTRILLÓN"/>
        <s v="WILLIAM ASDRUBAL ROZO ROZO"/>
        <m/>
        <s v="JOSE MAURICIO HERNANDEZ ROJAS" u="1"/>
      </sharedItems>
    </cacheField>
    <cacheField name="CENTRO DE COSTOS LÍNEACOM" numFmtId="0">
      <sharedItems containsBlank="1" count="8">
        <s v="0004-0003"/>
        <s v="0004-0007"/>
        <s v="0004-0008"/>
        <s v="0004-0005"/>
        <s v="0004-0004"/>
        <m/>
        <s v="0004-0002" u="1"/>
        <s v="0004-0001" u="1"/>
      </sharedItems>
    </cacheField>
    <cacheField name="CÓDIGO DANE" numFmtId="0">
      <sharedItems containsString="0" containsBlank="1" containsNumber="1" containsInteger="1" minValue="5604" maxValue="68307"/>
    </cacheField>
    <cacheField name="TA/CODIGO ACTIVIDAD" numFmtId="0">
      <sharedItems containsBlank="1"/>
    </cacheField>
    <cacheField name="CODIGO CB" numFmtId="0">
      <sharedItems containsString="0" containsBlank="1" containsNumber="1" containsInteger="1" minValue="81230" maxValue="81695"/>
    </cacheField>
    <cacheField name="ACTIVIDAD" numFmtId="0">
      <sharedItems containsBlank="1"/>
    </cacheField>
    <cacheField name="TIPO DE APERTURA" numFmtId="0">
      <sharedItems containsBlank="1"/>
    </cacheField>
    <cacheField name="DEPARTAMENTO" numFmtId="0">
      <sharedItems containsBlank="1"/>
    </cacheField>
    <cacheField name="CIUDAD" numFmtId="0">
      <sharedItems containsBlank="1"/>
    </cacheField>
    <cacheField name="NOMBRE  DEL CB " numFmtId="0">
      <sharedItems containsBlank="1"/>
    </cacheField>
    <cacheField name="RED" numFmtId="0">
      <sharedItems containsBlank="1"/>
    </cacheField>
    <cacheField name="FO" numFmtId="0">
      <sharedItems containsBlank="1"/>
    </cacheField>
    <cacheField name="FECHA LISTA" numFmtId="0">
      <sharedItems containsNonDate="0" containsDate="1" containsString="0" containsBlank="1" minDate="2025-08-27T00:00:00" maxDate="2025-09-25T00:00:00"/>
    </cacheField>
    <cacheField name="FECHA ULTIMA ACTUALIZACION" numFmtId="14">
      <sharedItems containsNonDate="0" containsDate="1" containsString="0" containsBlank="1" minDate="2025-09-01T00:00:00" maxDate="2025-09-30T00:00:00"/>
    </cacheField>
    <cacheField name="FORMATO" numFmtId="0">
      <sharedItems containsBlank="1"/>
    </cacheField>
    <cacheField name="CADENA" numFmtId="0">
      <sharedItems containsBlank="1"/>
    </cacheField>
    <cacheField name="ESTADO" numFmtId="0">
      <sharedItems containsBlank="1"/>
    </cacheField>
    <cacheField name="OBSERVACIONES CLIENTE" numFmtId="0">
      <sharedItems containsBlank="1" longText="1"/>
    </cacheField>
    <cacheField name="FORMA DE ATENCIÓN" numFmtId="0">
      <sharedItems containsBlank="1"/>
    </cacheField>
    <cacheField name="TERMINALES" numFmtId="0">
      <sharedItems containsBlank="1"/>
    </cacheField>
    <cacheField name="TIPIFICACION" numFmtId="0">
      <sharedItems containsBlank="1"/>
    </cacheField>
    <cacheField name="TIPO DE TRAYECTO" numFmtId="0">
      <sharedItems containsBlank="1"/>
    </cacheField>
    <cacheField name="NOMBRE DEL TECNICO " numFmtId="0">
      <sharedItems containsBlank="1"/>
    </cacheField>
    <cacheField name="ACOMETIDA DATOS_x000a_" numFmtId="0">
      <sharedItems containsString="0" containsBlank="1" containsNumber="1" containsInteger="1" minValue="0" maxValue="0"/>
    </cacheField>
    <cacheField name="ACOMETIDA ELECTRICA " numFmtId="0">
      <sharedItems containsString="0" containsBlank="1" containsNumber="1" containsInteger="1" minValue="0" maxValue="0"/>
    </cacheField>
    <cacheField name="SWITCH" numFmtId="0">
      <sharedItems containsString="0" containsBlank="1" containsNumber="1" containsInteger="1" minValue="0" maxValue="0"/>
    </cacheField>
    <cacheField name="ROUTER" numFmtId="0">
      <sharedItems containsString="0" containsBlank="1" containsNumber="1" containsInteger="1" minValue="0" maxValue="0"/>
    </cacheField>
    <cacheField name="VALOR DIAS ACTIVIDAD FACTURABLES" numFmtId="0">
      <sharedItems containsString="0" containsBlank="1" containsNumber="1" containsInteger="1" minValue="1" maxValue="1"/>
    </cacheField>
    <cacheField name="DIAS ACTIVIDAD FACTURABLES" numFmtId="0">
      <sharedItems containsString="0" containsBlank="1" containsNumber="1" minValue="44559.984800000006" maxValue="464809.03136000002"/>
    </cacheField>
    <cacheField name="VALOR TOTAL INSTALACION DE PUBLICIDAD" numFmtId="0">
      <sharedItems containsString="0" containsBlank="1" containsNumber="1" minValue="44559.984800000006" maxValue="1511089.170600000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36.664658680558" createdVersion="8" refreshedVersion="8" minRefreshableVersion="3" recordCount="212" xr:uid="{35502586-7CEF-44AA-82D1-AD22BB84D56F}">
  <cacheSource type="worksheet">
    <worksheetSource ref="A1:AG1048576" sheet="INCIDENTES"/>
  </cacheSource>
  <cacheFields count="33">
    <cacheField name="CIUDAD SEDE" numFmtId="0">
      <sharedItems containsBlank="1"/>
    </cacheField>
    <cacheField name="COORDINADOR" numFmtId="0">
      <sharedItems containsBlank="1" count="7">
        <s v="DIEGO FERNANDO HENAO CARDONA"/>
        <s v="MIGUEL JULIÁN HERNÁNDEZ GUARÍN"/>
        <s v="JUAN SEBASTIÁN RÍOS CASTRILLÓN"/>
        <s v="KEVIN ALEXIS CORZO BUSTOS"/>
        <s v="JOSE MAURICIO HERNANDEZ ROJAS"/>
        <s v="WILLIAM ASDRUBAL ROZO ROZO"/>
        <m/>
      </sharedItems>
    </cacheField>
    <cacheField name="CENTRO DE COSTOS LÍNEACOM" numFmtId="0">
      <sharedItems containsBlank="1" count="8">
        <s v="0004-0003"/>
        <s v="0004-0008"/>
        <s v="0004-0005"/>
        <s v="0004-0007"/>
        <s v="0004-0001"/>
        <s v="0004-0002"/>
        <s v="0004-0004"/>
        <m/>
      </sharedItems>
    </cacheField>
    <cacheField name="CÓDIGO DANE" numFmtId="0">
      <sharedItems containsString="0" containsBlank="1" containsNumber="1" containsInteger="1" minValue="5001" maxValue="99001"/>
    </cacheField>
    <cacheField name="TA/CODIGO ACTIVIDAD" numFmtId="0">
      <sharedItems containsBlank="1" containsMixedTypes="1" containsNumber="1" containsInteger="1" minValue="2662204" maxValue="2811808"/>
    </cacheField>
    <cacheField name="CODIGO CB" numFmtId="0">
      <sharedItems containsString="0" containsBlank="1" containsNumber="1" containsInteger="1" minValue="10155" maxValue="81679"/>
    </cacheField>
    <cacheField name="ACTIVIDAD" numFmtId="0">
      <sharedItems containsBlank="1"/>
    </cacheField>
    <cacheField name="DEPARTAMENTO" numFmtId="0">
      <sharedItems containsBlank="1"/>
    </cacheField>
    <cacheField name="CIUDAD" numFmtId="0">
      <sharedItems containsBlank="1"/>
    </cacheField>
    <cacheField name="NOMBRE  DEL CB " numFmtId="0">
      <sharedItems containsBlank="1"/>
    </cacheField>
    <cacheField name="RED" numFmtId="0">
      <sharedItems containsBlank="1"/>
    </cacheField>
    <cacheField name="FO" numFmtId="0">
      <sharedItems containsBlank="1"/>
    </cacheField>
    <cacheField name="FECHA ASIGNACIÓN A LÍNEA COMUNICACIONES (DD/MM/AAAA HH:MM)" numFmtId="0">
      <sharedItems containsNonDate="0" containsDate="1" containsString="0" containsBlank="1" minDate="2025-08-29T08:12:00" maxDate="2025-09-30T08:00:00"/>
    </cacheField>
    <cacheField name="FECHA CIERRE DEL TICKET (DD/MM/AAAA HH:MM)" numFmtId="0">
      <sharedItems containsNonDate="0" containsDate="1" containsString="0" containsBlank="1" minDate="2025-09-01T11:39:00" maxDate="2025-09-30T17:58:00"/>
    </cacheField>
    <cacheField name="ACOMETIDA" numFmtId="0">
      <sharedItems containsBlank="1"/>
    </cacheField>
    <cacheField name="GRUPO_FALLA" numFmtId="0">
      <sharedItems containsBlank="1"/>
    </cacheField>
    <cacheField name="CATEGORÍA" numFmtId="0">
      <sharedItems containsBlank="1"/>
    </cacheField>
    <cacheField name="FALLA" numFmtId="0">
      <sharedItems containsBlank="1"/>
    </cacheField>
    <cacheField name="FORMATO" numFmtId="0">
      <sharedItems containsNonDate="0" containsString="0" containsBlank="1"/>
    </cacheField>
    <cacheField name="CADENA" numFmtId="0">
      <sharedItems containsNonDate="0" containsString="0" containsBlank="1"/>
    </cacheField>
    <cacheField name="ESTADO" numFmtId="0">
      <sharedItems containsBlank="1"/>
    </cacheField>
    <cacheField name="OBSERVACION" numFmtId="0">
      <sharedItems containsBlank="1" longText="1"/>
    </cacheField>
    <cacheField name="FORMA DE ATENCIÓN" numFmtId="0">
      <sharedItems containsBlank="1"/>
    </cacheField>
    <cacheField name="TERMINAL" numFmtId="0">
      <sharedItems containsBlank="1" containsMixedTypes="1" containsNumber="1" containsInteger="1" minValue="0" maxValue="99991001"/>
    </cacheField>
    <cacheField name="TIPIFICACION" numFmtId="0">
      <sharedItems containsBlank="1"/>
    </cacheField>
    <cacheField name="TIPO DE TRAYECTO" numFmtId="0">
      <sharedItems containsBlank="1"/>
    </cacheField>
    <cacheField name="NOMBRE DEL TECNICO " numFmtId="0">
      <sharedItems containsBlank="1"/>
    </cacheField>
    <cacheField name="DIAS DE VISITA" numFmtId="0">
      <sharedItems containsString="0" containsBlank="1" containsNumber="1" containsInteger="1" minValue="0" maxValue="1"/>
    </cacheField>
    <cacheField name="ACOMETIDA DATOS" numFmtId="0">
      <sharedItems containsString="0" containsBlank="1" containsNumber="1" containsInteger="1" minValue="0" maxValue="0"/>
    </cacheField>
    <cacheField name="ACOMETIDA ELÉCTRICA" numFmtId="0">
      <sharedItems containsString="0" containsBlank="1" containsNumber="1" containsInteger="1" minValue="0" maxValue="0"/>
    </cacheField>
    <cacheField name="SWITCH" numFmtId="0">
      <sharedItems containsString="0" containsBlank="1" containsNumber="1" containsInteger="1" minValue="0" maxValue="0"/>
    </cacheField>
    <cacheField name="VALOR DIAS ACTIVIDAD FACTURABLES" numFmtId="0">
      <sharedItems containsString="0" containsBlank="1" containsNumber="1" minValue="37904.65408" maxValue="479589.73656000005"/>
    </cacheField>
    <cacheField name="VALOR DIAS ACOMPAÑAMIENTO FACTURABLES" numFmtId="0">
      <sharedItems containsString="0" containsBlank="1" containsNumber="1" minValue="37904.65408" maxValue="20457073.923520003"/>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36.664658912036" createdVersion="8" refreshedVersion="8" minRefreshableVersion="3" recordCount="14" xr:uid="{275F2F00-0B0C-411E-8F7C-4EE0420A037A}">
  <cacheSource type="worksheet">
    <worksheetSource ref="A1:AG1048576" sheet="OC"/>
  </cacheSource>
  <cacheFields count="33">
    <cacheField name="CIUDAD SEDE" numFmtId="0">
      <sharedItems containsBlank="1"/>
    </cacheField>
    <cacheField name="COORDINADOR" numFmtId="0">
      <sharedItems containsBlank="1" count="7">
        <s v="KEVIN ALEXIS CORZO BUSTOS"/>
        <s v="JUAN SEBASTIÁN RÍOS CASTRILLÓN"/>
        <s v="JOSE MAURICIO HERNANDEZ ROJAS"/>
        <s v="WILLIAM ASDRUBAL ROZO ROZO"/>
        <s v="MIGUEL JULIÁN HERNÁNDEZ GUARÍN"/>
        <s v="DIEGO FERNANDO HENAO CARDONA"/>
        <m/>
      </sharedItems>
    </cacheField>
    <cacheField name="CENTRO DE COSTOS LÍNEACOM" numFmtId="0">
      <sharedItems containsBlank="1" count="8">
        <s v="0004-0007"/>
        <s v="0004-0005"/>
        <s v="0004-0001"/>
        <s v="0004-0004"/>
        <s v="0004-0008"/>
        <s v="0004-0003"/>
        <m/>
        <s v="0004-0002" u="1"/>
      </sharedItems>
    </cacheField>
    <cacheField name="CÓDIGO DANE" numFmtId="0">
      <sharedItems containsString="0" containsBlank="1" containsNumber="1" containsInteger="1" minValue="5001" maxValue="85001"/>
    </cacheField>
    <cacheField name="TA/CODIGO ACTIVIDAD" numFmtId="0">
      <sharedItems containsString="0" containsBlank="1" containsNumber="1" containsInteger="1" minValue="13963693" maxValue="14097142"/>
    </cacheField>
    <cacheField name="CODIGO CB" numFmtId="0">
      <sharedItems containsString="0" containsBlank="1" containsNumber="1" containsInteger="1" minValue="32053" maxValue="80793"/>
    </cacheField>
    <cacheField name="ACTIVIDAD" numFmtId="0">
      <sharedItems containsBlank="1"/>
    </cacheField>
    <cacheField name="DEPARTAMENTO" numFmtId="0">
      <sharedItems containsBlank="1"/>
    </cacheField>
    <cacheField name="CIUDAD" numFmtId="0">
      <sharedItems containsBlank="1"/>
    </cacheField>
    <cacheField name="NOMBRE  DEL CB " numFmtId="0">
      <sharedItems containsBlank="1"/>
    </cacheField>
    <cacheField name="RED" numFmtId="0">
      <sharedItems containsBlank="1"/>
    </cacheField>
    <cacheField name="FO" numFmtId="0">
      <sharedItems containsBlank="1"/>
    </cacheField>
    <cacheField name="FECHA ASIGNACION A LINEA COMUNICACIONES" numFmtId="0">
      <sharedItems containsNonDate="0" containsDate="1" containsString="0" containsBlank="1" minDate="2025-09-01T10:55:00" maxDate="2025-09-23T08:00:00"/>
    </cacheField>
    <cacheField name="FECHA DEL CIERRE DEL TICKET (DD/MM/AAAA)" numFmtId="0">
      <sharedItems containsNonDate="0" containsDate="1" containsString="0" containsBlank="1" minDate="2025-09-02T13:13:00" maxDate="2025-09-29T17:20:00"/>
    </cacheField>
    <cacheField name="ACOMETIDA" numFmtId="0">
      <sharedItems containsNonDate="0" containsString="0" containsBlank="1"/>
    </cacheField>
    <cacheField name="SOLICITUD" numFmtId="0">
      <sharedItems containsBlank="1"/>
    </cacheField>
    <cacheField name="DESCRIPCIÓN" numFmtId="0">
      <sharedItems containsBlank="1"/>
    </cacheField>
    <cacheField name="FORMATO" numFmtId="0">
      <sharedItems containsBlank="1"/>
    </cacheField>
    <cacheField name="CADENA" numFmtId="0">
      <sharedItems containsBlank="1"/>
    </cacheField>
    <cacheField name="ESTADO" numFmtId="0">
      <sharedItems containsBlank="1"/>
    </cacheField>
    <cacheField name="CAUSAL ESTADO" numFmtId="0">
      <sharedItems containsBlank="1"/>
    </cacheField>
    <cacheField name="OBSERVACION" numFmtId="0">
      <sharedItems containsBlank="1" longText="1"/>
    </cacheField>
    <cacheField name="FORMA DE ATENCIÓN" numFmtId="0">
      <sharedItems containsBlank="1"/>
    </cacheField>
    <cacheField name="TERMINAL " numFmtId="0">
      <sharedItems containsString="0" containsBlank="1" containsNumber="1" containsInteger="1" minValue="0" maxValue="0"/>
    </cacheField>
    <cacheField name="TIPIFICACION" numFmtId="0">
      <sharedItems containsBlank="1"/>
    </cacheField>
    <cacheField name="TIPO DE TRAYECTO" numFmtId="0">
      <sharedItems containsBlank="1"/>
    </cacheField>
    <cacheField name="NOMBRE DEL TECNICO " numFmtId="0">
      <sharedItems containsBlank="1"/>
    </cacheField>
    <cacheField name="DIAS DE VISITA" numFmtId="0">
      <sharedItems containsString="0" containsBlank="1" containsNumber="1" containsInteger="1" minValue="0" maxValue="1"/>
    </cacheField>
    <cacheField name="SWITCH" numFmtId="0">
      <sharedItems containsString="0" containsBlank="1" containsNumber="1" containsInteger="1" minValue="0" maxValue="0"/>
    </cacheField>
    <cacheField name="ACOMETIDA DATOS" numFmtId="0">
      <sharedItems containsString="0" containsBlank="1" containsNumber="1" containsInteger="1" minValue="0" maxValue="0"/>
    </cacheField>
    <cacheField name="ACOMETIDA ELECTRICA" numFmtId="0">
      <sharedItems containsString="0" containsBlank="1" containsNumber="1" containsInteger="1" minValue="0" maxValue="0"/>
    </cacheField>
    <cacheField name="VALOR ACTIVIDAD" numFmtId="0">
      <sharedItems containsString="0" containsBlank="1" containsNumber="1" minValue="37904.65408" maxValue="479589.73656000005"/>
    </cacheField>
    <cacheField name="VALOR TOTAL" numFmtId="0">
      <sharedItems containsString="0" containsBlank="1" containsNumber="1" minValue="37904.65408" maxValue="1484720.11732"/>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36.664658912036" createdVersion="8" refreshedVersion="8" minRefreshableVersion="3" recordCount="34" xr:uid="{AEC258F5-244D-474F-81AB-196A67CC0BEE}">
  <cacheSource type="worksheet">
    <worksheetSource ref="E3:F37" sheet="Tablas dinámicas"/>
  </cacheSource>
  <cacheFields count="2">
    <cacheField name="NOMBRE CC" numFmtId="0">
      <sharedItems containsBlank="1" count="10">
        <s v="Redeban Suroccidente (Cali)"/>
        <s v="Redeban Noroccidente (Medellín)"/>
        <s v="Redeban Oriente (Otros)"/>
        <s v="Redeban Santander"/>
        <s v="Redeban Centro ( Bogotá)"/>
        <m/>
        <e v="#N/A"/>
        <s v="NOMBRE CC"/>
        <s v="Redeban Eje Cafetero (Pereira)"/>
        <s v="Redeban Costa (Barranqullla)"/>
      </sharedItems>
    </cacheField>
    <cacheField name="VALOR" numFmtId="0">
      <sharedItems containsString="0" containsBlank="1" containsNumber="1" minValue="0" maxValue="4596939.2121599987"/>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
  <r>
    <s v="PASTO"/>
    <x v="0"/>
    <x v="0"/>
    <n v="52687"/>
    <s v="TA-25-1034011"/>
    <n v="81249"/>
    <s v="APERTURA"/>
    <s v="CB CRECIMIENTO - NUEVO"/>
    <s v="NARIÑO"/>
    <s v="SAN LORENZO"/>
    <s v="BARRIO EL CENTRO SAN LORENZO"/>
    <s v="REDEBAN"/>
    <s v="FO-25-1433131"/>
    <d v="2025-08-27T00:00:00"/>
    <d v="2025-09-03T00:00:00"/>
    <s v="UNO A UNO"/>
    <s v="UNO A UNO"/>
    <s v="EJECUTADO/CANCELADO"/>
    <s v="27-08-2025 SE REALIZA LLAMADA AL CLIENTE, SE HABLA CON EL SR HECTOR ROSENDO ESPAÑA RODRIGUEZ  SE VALIDA DIRECCIÓN OK, CANAL OK, DISPONIBILIDAD TOTAL, LLAMAR EL DÍA LA INSTALACIÓN PARA CONFIRMAR VISITA, AVISO EXTERIOR ALTURA APROX 3 METROS; TOMACORRIENTE CERCANO: SI; TIENE CABINA DE SEGURIDAD: NO 28-09 SE REALIZÓ COMUNICACIÓN TELEFÓNICA CON USUARIO E INFORMA QUE DEBIDO A CELEBRACIÓN DE FIESTAS EN EL MUNICIPIO ES COMPLICADO EL TRANSPORTE Y LA ATENCIÓN DE LA VISITA. SOLICITA QUE ESTA SEA REALIZADA EN LA SIGUIENTE SEMANA CUANDO YA SE HAYA NORMALIZADO TODO. 3/09/2025 SE VISITA EL COMERCIO PARA REALIZAR APERTURA PERO NO ES POSIBLE YA QUE EN EL COMERCIO FUNCIONA CORRESPONSAL DE BANCO AGRARIO POR LO QUE NO SE APERTURA YA QUE SE ESTARÍA VIOLANDO PRINCIPIO DE EXCLUSIVIDAD DE BANCOLOMBIA."/>
    <s v="VISITA _TECNICA"/>
    <s v="FKZZZ662"/>
    <s v="TIPO II"/>
    <s v="TERRESTRE"/>
    <s v="GUERRERO RAMIREZ OSCAR DARIO"/>
    <n v="0"/>
    <n v="0"/>
    <n v="0"/>
    <n v="0"/>
    <n v="1"/>
    <n v="134410.38956000001"/>
    <n v="134410.38956000001"/>
  </r>
  <r>
    <s v="NEIVA"/>
    <x v="1"/>
    <x v="1"/>
    <n v="18753"/>
    <s v="TA-25-1034461"/>
    <n v="81230"/>
    <s v="APERTURA"/>
    <s v="CB CRECIMIENTO ALIANZA - NUEVO"/>
    <s v="CAQUETA"/>
    <s v="SAN VICENTE DEL CAGUAN"/>
    <s v="DISTRICOL SURTICELL EMILY"/>
    <s v="REDEBAN"/>
    <s v="FO-25-1433896"/>
    <d v="2025-08-27T00:00:00"/>
    <d v="2025-09-05T00:00:00"/>
    <s v="AGREGADOR"/>
    <s v="DISTRICOL"/>
    <s v="EJECUTADO/CANCELADO"/>
    <s v="27-08 PROGRAMACIÓN REALIZADA POR LA ALIANZA 5/09/2025 SE REALIZA VISITA PARA IMPLEMENTACIÓN CB DISTRICOL 81230, PERO SE EVIDENCIA QUE APROXIMADAMENTE A 40MTS HAY UN CB AGREGADOR PTM SAN VICENTE DEL CAGUAN 50792, POR FAVOR NOS INDICA COMO PROCEDER. / ENTIDAD SOLICITA CANCELAR ACTIVIDAD"/>
    <s v="VISITA _TECNICA"/>
    <s v="FKZZZ688"/>
    <s v="TIPO IV ESPECIAL"/>
    <s v="TERRESTRE / AEREO"/>
    <s v="BERMUDEZ SANCHEZ JOSE NEYBER"/>
    <n v="0"/>
    <n v="0"/>
    <n v="0"/>
    <n v="0"/>
    <n v="1"/>
    <n v="464809.03136000002"/>
    <n v="464809.03136000002"/>
  </r>
  <r>
    <s v="TUNJA"/>
    <x v="2"/>
    <x v="2"/>
    <n v="15001"/>
    <s v="TA-25-1040108"/>
    <n v="81267"/>
    <s v="APERTURA"/>
    <s v="CB CRECIMIENTO ALIANZA - NUEVO"/>
    <s v="BOYACA"/>
    <s v="TUNJA"/>
    <s v="DISTRICOL TIENDA KEVINS"/>
    <s v="REDEBAN"/>
    <s v="FO-25-1444565"/>
    <d v="2025-08-29T00:00:00"/>
    <d v="2025-09-01T00:00:00"/>
    <s v="AGREGADOR"/>
    <s v="DISTRICOL"/>
    <s v="EJECUTADO/CANCELADO"/>
    <s v="29-08 PROGRAMACIÓN REALIZADA POR LA ALIANZA 1/09/2025 SE ESCALA NOVEDAD DE IMPLEMENTACIÓN. SE IDENTIFICA EL PUNTO DE CORRESPONSAL CON AVAL 90117612. SE PROCEDE A CANCELAR EL PUNTO DE INSTALACIÓN."/>
    <s v="VISITA _TECNICA"/>
    <s v="SKZZZ569"/>
    <s v="TIPO I"/>
    <s v="TERRESTRE"/>
    <s v="SOLER HOYOS CRISTIAN LEONARDO"/>
    <n v="0"/>
    <n v="0"/>
    <n v="0"/>
    <n v="0"/>
    <n v="1"/>
    <n v="44559.984800000006"/>
    <n v="44559.984800000006"/>
  </r>
  <r>
    <s v="BUCARAMANGA"/>
    <x v="2"/>
    <x v="2"/>
    <n v="68307"/>
    <s v="TA-25-1054855"/>
    <n v="81327"/>
    <s v="APERTURA"/>
    <s v="CB CRECIMIENTO ALIANZA - NUEVO"/>
    <s v="SANTANDER"/>
    <s v="GIRON"/>
    <s v="PTM GIRON MULTISERVICIOS LOS C"/>
    <s v="REDEBAN"/>
    <s v="FO-25-1467930"/>
    <d v="2025-09-03T00:00:00"/>
    <d v="2025-09-04T00:00:00"/>
    <s v="AGREGADOR"/>
    <s v="COMCARD - PTM"/>
    <s v="EJECUTADO/CANCELADO"/>
    <s v="03-09  PROGRAMACIÓN REALIZADA POR LA ALIANZA4/09/2025 NOS PERMITIMOS INFORMARLE QUE, TRAS REALIZAR LA RESPECTIVA VERIFICACIÓN EN CAMPO, IDENTIFICAMOS QUE EL PUNTO A INSTALAR EN LA DIRECCIÓN CRA 19A NO 25-11 LC 1, BARRIO VILLA CAMPESTRE 1 (CÓDIGO 81327), SE ENCUENTRA A UNA DISTANCIA APROXIMADA DE 50 METROS DEL PUNTO YA INSTALADO EN LA DIRECCIÓN CAR 21 #22-124, VILLA CAMPESTRE 3ª ETAPA (CÓDIGO 77310). TENIENDO EN CUENTA LA CERCANÍA ENTRE AMBOS PUNTOS, SOLICITAMOS SU AUTORIZACIÓN PARA PROCEDER CON LA IMPLEMENTACIÓN EN LA DIRECCIÓN MENCIONADA, GARANTIZANDO QUE SE PARÁMETROS TÉCNICOS Y OPERATIVOS ESTABLECIDOS. / ENTIDAD SOLICITAN CANCELAR INSTALACIÓN"/>
    <s v="VISITA _TECNICA"/>
    <s v="SMZZZ288"/>
    <s v="TIPO I"/>
    <s v="TERRESTRE"/>
    <s v="SANTOS GONZALEZ JOHAN FABIAN"/>
    <n v="0"/>
    <n v="0"/>
    <n v="0"/>
    <n v="0"/>
    <n v="1"/>
    <n v="44559.984800000006"/>
    <n v="44559.984800000006"/>
  </r>
  <r>
    <s v="APARTADO"/>
    <x v="3"/>
    <x v="3"/>
    <n v="5837"/>
    <s v="TA-25-1117897"/>
    <n v="81501"/>
    <s v="APERTURA"/>
    <s v="CB CRECIMIENTO ALIANZA - NUEVO"/>
    <s v="ANTIOQUIA"/>
    <s v="TURBO"/>
    <s v="DISTRICOL TIENDA GINES ROPA Y ACCESORIOS"/>
    <s v="REDEBAN"/>
    <s v="FO-25-1543491"/>
    <d v="2025-09-17T00:00:00"/>
    <d v="2025-09-19T00:00:00"/>
    <s v="AGREGADOR"/>
    <s v="DISTRICOL"/>
    <s v="EJECUTADO/CANCELADO"/>
    <s v="17-09 PROGRAMACIÓN REALIZADA POR LA ALIANZA 19/09/2025 VISITAMOS DIRECCIÓN RELACIONADA EN CUADRO ENCONTRANDO QUE NO HAY COMERCIO EN ESTA. SEGÚN VALIDACIONES DE PERSONAL TÉCNICO EL COMERCIO ESTÁ UBICADO REALMENTE EN DIRECCIÓN CARRERA 30 # 22-30 COMO MUESTRA UN RECIBO DE SERVICIOS PÚBLICOS."/>
    <s v="VISITA _TECNICA"/>
    <s v="FSZZZ877"/>
    <s v="TIPO II"/>
    <s v="TERRESTRE"/>
    <s v="CASTRO HENAO DANIEL ESTEBAN"/>
    <n v="0"/>
    <n v="0"/>
    <n v="0"/>
    <n v="0"/>
    <n v="1"/>
    <n v="134410.38956000001"/>
    <n v="134410.38956000001"/>
  </r>
  <r>
    <s v="PASTO"/>
    <x v="0"/>
    <x v="0"/>
    <n v="52356"/>
    <s v="TA-25-1118001"/>
    <n v="81502"/>
    <s v="APERTURA"/>
    <s v="CB CRECIMIENTO ALIANZA - NUEVO"/>
    <s v="NARIÑO"/>
    <s v="IPIALES"/>
    <s v="DISTRICOL VAR SEBASTIAN JM"/>
    <s v="REDEBAN"/>
    <s v="FO-25-1543540"/>
    <d v="2025-09-17T00:00:00"/>
    <d v="2025-09-18T00:00:00"/>
    <s v="AGREGADOR"/>
    <s v="DISTRICOL"/>
    <s v="EJECUTADO/CANCELADO"/>
    <s v="17-09 PROGRAMACIÓN REALIZADA POR LA ALIANZA 18/09/2025 SE REALIZÓ VISITA AL COMERCIO PARA LA APERTURA DEL CB PERO NO ES POSIBLE YA QUE EL COMERCIO NO CUENTA CON CONEXIÓN A INTERNET, QUEDA PENDIENTE QUE EL USUARIO ADQUIERA EL SERVICIO PARA PODER INSTALAR EL CB"/>
    <s v="VISITA _TECNICA"/>
    <s v="FSZZZ885"/>
    <s v="TIPO II"/>
    <s v="TERRESTRE"/>
    <s v="GUERRERO RAMIREZ OSCAR DARIO"/>
    <n v="0"/>
    <n v="0"/>
    <n v="0"/>
    <n v="0"/>
    <n v="1"/>
    <n v="134410.38956000001"/>
    <n v="134410.38956000001"/>
  </r>
  <r>
    <s v="MEDELLIN"/>
    <x v="3"/>
    <x v="3"/>
    <n v="5604"/>
    <s v="TA-25-1145368"/>
    <n v="81673"/>
    <s v="APERTURA"/>
    <s v="CB CRECIMIENTO ALIANZA - NUEVO"/>
    <s v="ANTIOQUIA"/>
    <s v="REMEDIOS"/>
    <s v="DISTRICOL MUNDO PELUQUERO R"/>
    <s v="REDEBAN"/>
    <s v="FO-25-1585234"/>
    <d v="2025-09-24T00:00:00"/>
    <d v="2025-09-25T00:00:00"/>
    <s v="AGREGADOR"/>
    <s v="DISTRICOL"/>
    <s v="EJECUTADO/CANCELADO"/>
    <s v="24-09 PROGRAMACIÓN REALIZADA POR LA ALIANZA 25/09/2025 VISITAMOS PUNTO ENCONTRANDO QUE COMERCIO ESTÁ EN DIRECCIÓN DISTINTA A LA RELACIONADA EN LISTA DE CHEQUEO. LA DIRECCIÓN REAL EN LA QUE ESTÁ EL COMERCIO ES CALLE 11 # 13 – 86. ESCALAMOS POR NOVEDAD DE DIRECCIÓN. 25/09/2025 POR FAVOR PROCEDER CON LA CANCELACIÓN DE LA IMPLEMENTACIÓN, YA QUE EL CB NO SE ENCUENTRA EN LA DIRECCIÓN REGISTRADA EN LA LISTA DE CHEQUEO."/>
    <s v="VISITA _TECNICA"/>
    <s v="FWZZZ437"/>
    <s v="TIPO IV"/>
    <s v="TERRESTRE"/>
    <s v="DIAZ ZABALA FRANCIS DUBAN"/>
    <n v="0"/>
    <n v="0"/>
    <n v="0"/>
    <n v="0"/>
    <n v="1"/>
    <n v="464809.03136000002"/>
    <n v="464809.03136000002"/>
  </r>
  <r>
    <s v="VILLAVICENCIO"/>
    <x v="1"/>
    <x v="1"/>
    <n v="50001"/>
    <s v="TA-25-1145459"/>
    <n v="81695"/>
    <s v="APERTURA"/>
    <s v="CB CRECIMIENTO ALIANZA - NUEVO"/>
    <s v="META"/>
    <s v="VILLAVICENCIO"/>
    <s v="PTM VILLAVICENCIO  DROGAS VILL"/>
    <s v="REDEBAN"/>
    <s v="FO-25-1577404"/>
    <d v="2025-09-24T00:00:00"/>
    <d v="2025-09-26T00:00:00"/>
    <s v="AGREGADOR"/>
    <s v="COMCARD - PTM"/>
    <s v="EJECUTADO/CANCELADO"/>
    <s v="24-09 PROGRAMACIÓN REALIZADA POR LA ALIANZA 26/09/2025 SE ESCALA CASO DE APERTURA CB 3007081695 - PTM VILLAVICENCIO DROGAS VILLAVICENCIO CB A INSTALAR PTM 81695 - CALLE 10 NO 12 C - 111 ESTERO CB INSTALADO WOMPI 77610 - CALLE 10 NO 12 C – 112 BARRIO ESTERO / ENTIDAD SOLICITA CANCELAR INSTALACIÓN"/>
    <s v="VISITA _TECNICA"/>
    <s v="FWZZZ460"/>
    <s v="TIPO I"/>
    <s v="TERRESTRE"/>
    <s v="CASTRILLON URREA LONDIER LEANDRO"/>
    <n v="0"/>
    <n v="0"/>
    <n v="0"/>
    <n v="0"/>
    <n v="1"/>
    <n v="44559.984800000006"/>
    <n v="44559.984800000006"/>
  </r>
  <r>
    <s v="BOGOTA"/>
    <x v="4"/>
    <x v="4"/>
    <n v="11001"/>
    <s v="TA-25-1145952"/>
    <n v="81630"/>
    <s v="APERTURA"/>
    <s v="CB CRECIMIENTO ALIANZA - NUEVO"/>
    <s v="CUNDINAMARCA"/>
    <s v="BOGOTA"/>
    <s v="PTM BOGOTA TIENDA SANTI LA SEP"/>
    <s v="REDEBAN"/>
    <s v="FO-25-1589721"/>
    <d v="2025-09-24T00:00:00"/>
    <d v="2025-09-29T00:00:00"/>
    <s v="AGREGADOR"/>
    <s v="COMCARD - PTM"/>
    <s v="EJECUTADO"/>
    <s v="24-09 PROGRAMACIÓN REALIZADA POR LA ALIANZA 26/09/2025 SE LLEGA A SITIO, SE VERIFICA Y NO AHI PUNTO CABLEADO, NI PUERTO DISPONIBLE PARA LA CONEXIÓN DEL DATAFONO, CLIENTE SE NIEGA A DESCONECTAR DISPOSITIVOS PARA REALIZAR LA INSTALACIÓN. SE REPROGRAMA YA QUE INDICA QUE SE VA A CONSEGUIR UN SWITCH O REPETIDOR. SE ESCALA CON COORDINADOR QUIEN INDICA SE REALIZARA  REPROGRAMACION  PARA VISITAR NUEVAMENTE EL PUNTO. 29/09/2025 SE REALIZA INSTALACIÓN DE CORRESPONSAL, SE INSTALAN EQUIPOS CON PRUEBAS EXITOSAS, SE CAPACITA Y SE EVALÚA AL CLIENTE, SE INSTALA PUBLICIDAD COMPLETA, CB QUEDA OPERATIVO. USUARIO SOMOS BANCOLOMBIA ACTIVO"/>
    <s v="VISITA _TECNICA"/>
    <s v="FWZZZ506"/>
    <s v="TIPO I"/>
    <s v="TERRESTRE"/>
    <s v="ARIAS QUILINDO JULIAN"/>
    <n v="0"/>
    <n v="0"/>
    <n v="0"/>
    <n v="0"/>
    <n v="1"/>
    <n v="44559.984800000006"/>
    <n v="44559.984800000006"/>
  </r>
  <r>
    <m/>
    <x v="5"/>
    <x v="5"/>
    <m/>
    <m/>
    <m/>
    <m/>
    <m/>
    <m/>
    <m/>
    <m/>
    <m/>
    <m/>
    <m/>
    <m/>
    <m/>
    <m/>
    <m/>
    <m/>
    <m/>
    <m/>
    <m/>
    <m/>
    <m/>
    <m/>
    <m/>
    <m/>
    <m/>
    <m/>
    <m/>
    <n v="1511089.1706000001"/>
  </r>
  <r>
    <m/>
    <x v="5"/>
    <x v="5"/>
    <m/>
    <m/>
    <m/>
    <m/>
    <m/>
    <m/>
    <m/>
    <m/>
    <m/>
    <m/>
    <m/>
    <m/>
    <m/>
    <m/>
    <m/>
    <m/>
    <m/>
    <m/>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2">
  <r>
    <s v="CALI"/>
    <x v="0"/>
    <x v="0"/>
    <n v="76001"/>
    <n v="2811808"/>
    <n v="65776"/>
    <s v="INCIDENTE "/>
    <s v="VALLE DEL CAUCA"/>
    <s v="CALI"/>
    <s v="REDY CASA DEL TENDERO"/>
    <s v="REDEBAN"/>
    <s v="FO-25-1601530"/>
    <d v="2025-09-30T08:00:00"/>
    <d v="2025-09-30T10:14:00"/>
    <s v="NO"/>
    <s v="USUARIO"/>
    <s v="USUARIOS"/>
    <s v="USUARIOS BLOQUEADOS"/>
    <m/>
    <m/>
    <s v="CERRADO"/>
    <s v="30/09/2025 SE ESCALA PARA VISITA. LLAMAR ANTES DE VISITAR, CONFIRMAR FALLA Y DATOS | 30/09/2025 SE HABLA CON EL CLIENTE QUIEN ME INCIDA QUE DESPUES DEL CAMBIO DE EQUIPO, FUERON A SACAR UN DUPLICADO Y LA CLAVE 1526 NO LE FUNCIONO , PERO QUE EN LA NOCHE CUANDO FUERON A SACAR EL CIERRE, YA PUDIERON OPERARLO NORMAL , EL DATAFONO ESTA FUNCIONAL"/>
    <s v="SOPORTE_TELEFÓNICO"/>
    <n v="0"/>
    <s v="TIPO I"/>
    <s v="TERRESTRE"/>
    <s v="HENAO CARDONA DIEGO FERNANDO"/>
    <n v="0"/>
    <n v="0"/>
    <n v="0"/>
    <n v="0"/>
    <n v="37904.65408"/>
    <n v="37904.65408"/>
  </r>
  <r>
    <s v="TUNJA"/>
    <x v="1"/>
    <x v="1"/>
    <n v="15238"/>
    <n v="2811639"/>
    <n v="65128"/>
    <s v="INCIDENTE "/>
    <s v="BOYACA"/>
    <s v="DUITAMA"/>
    <s v="BARRIO VATICANO DUITAMA 1"/>
    <s v="REDEBAN"/>
    <s v="FO-25-1601034"/>
    <d v="2025-09-29T17:53:00"/>
    <d v="2025-09-30T14:21:00"/>
    <s v="NO"/>
    <s v="USUARIO"/>
    <s v="CIERRE"/>
    <s v="COMERCIO NO REALIZA CIERRE"/>
    <m/>
    <m/>
    <s v="CERRADO"/>
    <s v="29/09/2025 SE ESCALA PARA VISITA. LLAMAR ANTES DE VISITAR, CONFIRMAR FALLA Y DATOS | 30/09/2025 SE REALIZAN VALIDACIONES DE COMUNICACION CORRESPONSAL OPERATIVO SE EVIDENCIA QUE EL EQUIPO SE ENCUENTRA CON LA MEMORIA ACOMULADA CLIENTE AUTORIZA RELIZAR BORRADO AL EQUIPO SE LE INDICA LA FORMA CORRECTA DE REALIZAR LOS CIERRES DIARIOS PRUEBAS OK CLIENTE CONFORME"/>
    <s v="VISITA_TÉCNICA"/>
    <s v="1A007838"/>
    <s v="TIPO II"/>
    <s v="TERRESTRE"/>
    <s v="RODRIGUEZ MURCIA YERSON IVAN"/>
    <n v="1"/>
    <n v="0"/>
    <n v="0"/>
    <n v="0"/>
    <n v="163813.55812"/>
    <n v="163813.55812"/>
  </r>
  <r>
    <s v="APARTADO"/>
    <x v="2"/>
    <x v="2"/>
    <n v="5045"/>
    <n v="2810861"/>
    <n v="32309"/>
    <s v="INCIDENTE "/>
    <s v="ANTIOQUIA"/>
    <s v="APARTADO"/>
    <s v="CHINITA APARTADO ANTIOQUIA"/>
    <s v="REDEBAN"/>
    <s v="FO-25-1600699"/>
    <d v="2025-09-29T16:23:00"/>
    <d v="2025-09-30T11:13:00"/>
    <s v="NO"/>
    <s v="USUARIO"/>
    <s v="COMUNICACION"/>
    <s v="CANAL DEL COMERCIO"/>
    <m/>
    <m/>
    <s v="CERRADO"/>
    <s v="29/09/2025 SE ESCALA PARA VISITA. LLAMAR ANTES DE VISITAR, CONFIRMAR FALLA Y DATOS | 30/09/2025 SE REALIZA BORRADO DE MEMORIA, CLIENTE INDICA REINICIOS, SE VERIFICA CABLEADO Y SE ENCUENTRA DATAFONO EN BUENAS CONDICIONES"/>
    <s v="VISITA_TÉCNICA"/>
    <s v="NN00M741"/>
    <s v="TIPO I"/>
    <s v="TERRESTRE"/>
    <s v="CASTRO HENAO DANIEL ESTEBAN"/>
    <n v="1"/>
    <n v="0"/>
    <n v="0"/>
    <n v="0"/>
    <n v="65960.473639999997"/>
    <n v="65960.473639999997"/>
  </r>
  <r>
    <s v="CALI"/>
    <x v="0"/>
    <x v="0"/>
    <n v="76109"/>
    <n v="2808683"/>
    <n v="63162"/>
    <s v="INCIDENTE "/>
    <s v="VALLE DEL CAUCA"/>
    <s v="BUENAVENTURA"/>
    <s v="BARRIO CENTRO BUENAVENTURA 9"/>
    <s v="REDEBAN"/>
    <s v="FO-25-1598975"/>
    <d v="2025-09-29T12:59:00"/>
    <d v="2025-09-30T14:16:00"/>
    <s v="NO"/>
    <s v="USUARIO"/>
    <s v="COMUNICACION"/>
    <s v="CONEXIONES DE COMERCIO"/>
    <m/>
    <m/>
    <s v="CERRADO"/>
    <s v="29/09/2025 SE ESCALA PARA VISITA. LLAMAR ANTES DE VISITAR, CONFIRMAR FALLA Y DATOS | 30/09/2025 DATAFONO SIN INTERNET SE REVISA CABLEADO SE REINICIA ROUTER Y QUEDA FUNCIONANDO CORRECTAMENTE"/>
    <s v="VISITA_TÉCNICA"/>
    <s v="JA00T600"/>
    <s v="TIPO III"/>
    <s v="TERRESTRE"/>
    <s v="CUERO RUIZ JHONNY"/>
    <n v="1"/>
    <n v="0"/>
    <n v="0"/>
    <n v="0"/>
    <n v="275728.37943999999"/>
    <n v="275728.37943999999"/>
  </r>
  <r>
    <s v="TUNJA"/>
    <x v="1"/>
    <x v="1"/>
    <n v="15755"/>
    <n v="2808716"/>
    <n v="50614"/>
    <s v="INCIDENTE "/>
    <s v="BOYACA"/>
    <s v="SOCOTA"/>
    <s v="BARRIO SAN CAYETANO SOCOTA"/>
    <s v="REDEBAN"/>
    <s v="FO-25-1598991"/>
    <d v="2025-09-29T12:49:00"/>
    <d v="2025-09-30T17:58:00"/>
    <s v="NO"/>
    <s v="USUARIO"/>
    <s v="COMUNICACION"/>
    <s v="CANAL DEL COMERCIO"/>
    <m/>
    <m/>
    <s v="CERRADO"/>
    <s v="29/09/2025 SE ESCALA PARA VISITA. LLAMAR ANTES DE VISITAR, CONFIRMAR FALLA Y DATOS | 30/09/2025 SE ESTABLECE COMUNICACIÓN CON LA SEÑORA SANDRA OJEDA BELLO PARA VALIDACIÓN DE LA FALLA AL NÚMERO DE CONTACTO 3143427809 CLIENTE INDICA QUE LA FALLA REPORTADA SE DEBIÓ A UNA FALLA DEL INTERNET DEL COMERCIO EL CUAL YA FUE SOLUCIONADO ADICIONAL INDICA QUE SE COMUNICO EL DÍA DE AYER A LA LÍNEA 018000953344 PARA CANCELAR LA VISITA TECNICA YA QUE EL CORRESPONSAL ESTA FUNCIONANDO CORRECTAMENTE CLIENTE COMPARTE EVIDENCIA EVIDENCIANDO QUE EL CORRESPONSAL BANCARIO SE ENCUENTRA OPERATIVO SE LE INDICA QUE SE PROCEDERÁ CON EL CIERRE DE LA ORDEN DE TRABAJO CLIENTE CONFORME"/>
    <s v="SOPORTE_TELEFÓNICO"/>
    <n v="0"/>
    <s v="TIPO III"/>
    <s v="TERRESTRE"/>
    <s v="RODRIGUEZ MURCIA YERSON IVAN"/>
    <n v="0"/>
    <n v="0"/>
    <n v="0"/>
    <n v="0"/>
    <n v="37904.65408"/>
    <n v="37904.65408"/>
  </r>
  <r>
    <s v="VILLAVICENCIO"/>
    <x v="3"/>
    <x v="3"/>
    <n v="85440"/>
    <n v="2808162"/>
    <n v="79156"/>
    <s v="INCIDENTE "/>
    <s v="CASANARE"/>
    <s v="VILLANUEVA"/>
    <s v="BARRIO CENTRO VILLANUEVA 10"/>
    <s v="REDEBAN"/>
    <s v="FO-25-1598679"/>
    <d v="2025-09-29T11:52:00"/>
    <d v="2025-09-30T11:22:00"/>
    <s v="NO"/>
    <s v="USUARIO"/>
    <s v="LECTOR DE BARRAS"/>
    <s v="ERROR PAGOS PARCIALES DE FACTURAS"/>
    <m/>
    <m/>
    <s v="CERRADO"/>
    <s v="29/09/2025 SE ESCALA PARA VISITA. LLAMAR ANTES DE VISITAR, CONFIRMAR FALLA Y DATOS SE COMUNICA CON EL SR JUAN  3132227029 PARA REPORTAR PROBLEMA CON DATÁFONO, MANIFIESTA: NO LEE LOS CÓDIGOS DE BARRA, ALUMBRA Y SUENA COMO SI LEYERA, PERO NO FUNCIONA, SE QUEDA AHÍ LEYÉNDOLO HASTA QUE UNO LE DÉ CANCELAR | 30/09/2025 SE REALIZA VISTA AL CB POR SOLICITUD DE LECTORA NO LEE LOS CÓDIGOS, REINICIAMOS EL DISPOSITIVO Y REALIZAMOS LA PRUEBA Y FUNCIONÓ LA LECTORA LEYÓ LOS CÓDIGOS, REALIZÓ PRUEBA DE CONSULTA DE SALDO  PARA VERIFICAR EL  FUNCIONAMIENTO Y FUE  EXITOSA"/>
    <s v="VISITA_TÉCNICA"/>
    <s v="SASZZ731"/>
    <s v="TIPO III"/>
    <s v="TERRESTRE"/>
    <s v="MOLINA CASTRO JAVIER ALBERTO"/>
    <n v="1"/>
    <n v="0"/>
    <n v="0"/>
    <n v="0"/>
    <n v="275728.37943999999"/>
    <n v="275728.37943999999"/>
  </r>
  <r>
    <s v="VILLAVICENCIO"/>
    <x v="3"/>
    <x v="3"/>
    <n v="50001"/>
    <n v="2806560"/>
    <n v="76214"/>
    <s v="INCIDENTE "/>
    <s v="META"/>
    <s v="VILLAVICENCIO"/>
    <s v="BARRIO SERRAMONTE 2 VILLAVICEN"/>
    <s v="REDEBAN"/>
    <s v="FO-25-1597610"/>
    <d v="2025-09-29T10:00:00"/>
    <d v="2025-09-30T08:37:00"/>
    <s v="NO"/>
    <s v="USUARIO"/>
    <s v="COMUNICACION"/>
    <s v="CANAL DEL COMERCIO"/>
    <m/>
    <m/>
    <s v="CERRADO"/>
    <s v="29/09/2025 SE ESCALA PARA VISITA. LLAMAR ANTES DE VISITAR, CONFIRMAR FALLA Y DATOS | 30/09/2025 SE LLEGA AL COMERCIO SE VÁLIDAD CONEXIONES SE ENTREGA OPERATIVO SIN NOVEDA"/>
    <s v="VISITA_TÉCNICA"/>
    <s v="FA0GZ506"/>
    <s v="TIPO I"/>
    <s v="TERRESTRE"/>
    <s v="ROZO JIMENEZ EDGAR ARMANDO"/>
    <n v="1"/>
    <n v="0"/>
    <n v="0"/>
    <n v="0"/>
    <n v="65960.473639999997"/>
    <n v="65960.473639999997"/>
  </r>
  <r>
    <s v="TUNJA"/>
    <x v="1"/>
    <x v="1"/>
    <n v="15806"/>
    <n v="2803981"/>
    <n v="29530"/>
    <s v="INCIDENTE "/>
    <s v="BOYACA"/>
    <s v="TIBASOSA"/>
    <s v="BARRIO VDA PATROCINIO TIBASOSA"/>
    <s v="REDEBAN"/>
    <s v="FO-25-1594943"/>
    <d v="2025-09-28T11:00:00"/>
    <d v="2025-09-30T14:07:00"/>
    <s v="NO"/>
    <s v="USUARIO"/>
    <s v="COMUNICACION"/>
    <s v="CANAL DEL COMERCIO"/>
    <m/>
    <m/>
    <s v="CERRADO"/>
    <s v="28/09/2025 SE ESCALA PARA VISITA. LLAMAR ANTES DE VISITAR, CONFIRMAR FALLA Y DATOS | 29/09/2025 SE ESTABLECE COMUNICACIÓN CON EL CLIENTE  AL NÚMERO CELULAR 3118205832  SE CONTACTA A LA SEÑORA SANDRA BONILA , LA SEÑORA SANDRA COMPARTE NÚMERO TELEFONICO DE LA PARSONA ENCARGADA DEL COMERCIO AL NÚMERO 3144341413 SEÑORA YURI PARA CONFIRMAR SI PUEDE ATENDER Y NO HA CERRADO EL COMERCIO EL CUAL LA LLAMADA ES FALLIDA BUZON DE VOZ , SE SEGUIRA HACIENDO GESTIÓN PARA CONFIRMAR VISITA. | 30/09/2025 POR TEMAS DE DESPLAZAMIENTO YA ME ENCUENTRO EN SITIO , ESTOY EN LA ESPERA DE  AUTORIZACIÓN DE INGRESO AL PUNTO CLIENTE SE ENCUENTRA VALIDANDO IDENTIDAD DEL TÉCNICO Y  SALDO PARA EL INGRESO Y VALIDAR FALLA Y PODER CERRA ORDEN , CLIENTE CONFORME | 30/09/2025 AL REALIZAR GESTION TELÉFONICA  NO HUBO COMUNICACIÓN CON EL CLIENTE , SE REALIZA VISITA EN FRIO , SE VALIDA QUE EL CORRESPONSAL ESTA OPERATIVO SE VÁLIDA CONEXIONES  SE CAMBIA CABLE PACTH CORD 3 METROS POR MANTENIMIENTO PREVENTIVO DEJANDO PRUEBAS OK SIN TELECARGA "/>
    <s v="VISITA_TÉCNICA"/>
    <s v="9A003382"/>
    <s v="TIPO II"/>
    <s v="TERRESTRE"/>
    <s v="ALVARADO MORENO CRISTHIAN"/>
    <n v="1"/>
    <n v="0"/>
    <n v="0"/>
    <n v="0"/>
    <n v="163813.55812"/>
    <n v="163813.55812"/>
  </r>
  <r>
    <s v="BUCARAMANGA"/>
    <x v="1"/>
    <x v="1"/>
    <n v="68755"/>
    <n v="2803348"/>
    <n v="64390"/>
    <s v="INCIDENTE "/>
    <s v="SANTANDER"/>
    <s v="SOCORRO"/>
    <s v="DISTRICOL CASETA SAN VICTORINO"/>
    <s v="REDEBAN"/>
    <s v="FO-25-1594655"/>
    <d v="2025-09-27T17:12:00"/>
    <d v="2025-09-29T11:31:00"/>
    <s v="NO"/>
    <s v="USUARIO"/>
    <s v="CIERRE"/>
    <s v="COMERCIO NO REALIZA CIERRE"/>
    <m/>
    <m/>
    <s v="CERRADO"/>
    <s v="28/09/2025 SE ESCALA PARA VISITA. LLAMAR ANTES DE VISITAR, CONFIRMAR FALLA Y DATOS | 29/09/2025 SE ESTABLECE CONTACTO TELEFÓNICOAL NÚMERO 3173031803 CON LA USUARIA LILY SAAVEDRA HOLGUIN IDENTIFICADA CON CÉDULA _x000a_37941988 QUIEN NOS INDICA QUE SE COMUNICO AL CAC YA QUE NO PODIA REALIZAR EL CIERRE A LO CUAL NOS INDICA QUE MEDIANTE LA GESTIÓN TELEFÓNICA QUE LE HICIERON YA PUEDE REALIZAR LOS CIERRES Y LOS DUPLICADOS SIN NINGÚN INCONVENIENTE NOS ENVIA COMPROBANTE DE QU ESTA OPERANDO NORMAL A LO CUAL NO REQUIERE EL SERVICIO TÉCNICO AGRADECE POR LA ATENCIÓN PRESTADA"/>
    <s v="SOPORTE_TELEFÓNICO"/>
    <n v="0"/>
    <s v="TIPO III"/>
    <s v="TERRESTRE"/>
    <s v="REYES RAMIREZ DIEGO ALEXANDER"/>
    <n v="0"/>
    <n v="0"/>
    <n v="0"/>
    <n v="0"/>
    <n v="37904.65408"/>
    <n v="37904.65408"/>
  </r>
  <r>
    <s v="CARTAGENA"/>
    <x v="4"/>
    <x v="4"/>
    <n v="13052"/>
    <n v="2803201"/>
    <n v="55393"/>
    <s v="INCIDENTE "/>
    <s v="BOLIVAR"/>
    <s v="ARJONA"/>
    <s v="PTM ARJONA EL PUNTO DEL COLOR"/>
    <s v="REDEBAN"/>
    <s v="FO-25-1593456"/>
    <d v="2025-09-27T13:09:00"/>
    <d v="2025-09-29T12:44:00"/>
    <s v="NO"/>
    <s v="USUARIO"/>
    <s v="USUARIOS"/>
    <s v="USUARIOS BLOQUEADOS"/>
    <m/>
    <m/>
    <s v="CERRADO"/>
    <s v="27/09/2025 SE ESCALA PARA VISITA. LLAMAR ANTES DE VISITAR, CONFIRMAR FALLA Y DATOS | 29/09/2025 SE RESTAURA USUARIO SUPERVISOR POR BLOQUEO , SE REALIZAN PRUEBAS Y TODO QUEDA OK"/>
    <s v="VISITA_TÉCNICA"/>
    <s v="TRFZZ018"/>
    <s v="TIPO II"/>
    <s v="TERRESTRE"/>
    <s v="MARTINEZ SALGUEDO ANDRES AUGUSTO"/>
    <n v="1"/>
    <n v="0"/>
    <n v="0"/>
    <n v="0"/>
    <n v="163813.55812"/>
    <n v="163813.55812"/>
  </r>
  <r>
    <s v="MEDELLIN"/>
    <x v="2"/>
    <x v="2"/>
    <n v="5615"/>
    <n v="2803120"/>
    <n v="20701"/>
    <s v="INCIDENTE "/>
    <s v="ANTIOQUIA"/>
    <s v="RIONEGRO"/>
    <s v="COMCARD SAN ANTONIO TELESAN"/>
    <s v="REDEBAN"/>
    <s v="FO-25-1593172"/>
    <d v="2025-09-27T11:48:00"/>
    <d v="2025-09-29T11:41:00"/>
    <s v="NO"/>
    <s v="USUARIO"/>
    <s v="MANTENIMIENTO"/>
    <s v="MANTENIMIENTO GENERAL"/>
    <m/>
    <m/>
    <s v="CERRADO"/>
    <s v="27/09/2025 SE ESCALA PARA VISITA. LLAMAR ANTES DE VISITAR, CONFIRMAR FALLA Y DATOS | 28/09/2025 SE COMUNICA CON CLIENTE AL 3233282900 E INFORMA QUE EL DÍA DE HOY NO ABRE, SE APLAZA VISITA | 29/09/2025 SE LLAMA AL CLIENTE Y NOS INDICA QUE EL DATÁFONO YA FUNCIKNA CORRECTAMENTE"/>
    <s v="SOPORTE_TELEFÓNICO"/>
    <n v="0"/>
    <s v="TIPO II"/>
    <s v="TERRESTRE"/>
    <s v="CARDONA MOLINA BROLIN STIVEN"/>
    <n v="0"/>
    <n v="0"/>
    <n v="0"/>
    <n v="0"/>
    <n v="37904.65408"/>
    <n v="37904.65408"/>
  </r>
  <r>
    <s v="MONTERIA"/>
    <x v="4"/>
    <x v="4"/>
    <n v="23660"/>
    <n v="2802689"/>
    <n v="81679"/>
    <s v="INCIDENTE "/>
    <s v="CORDOBA"/>
    <s v="SAHAGUN"/>
    <s v="DISTRICOL EL ROSARIO"/>
    <s v="REDEBAN"/>
    <s v="FO-25-1592359"/>
    <d v="2025-09-27T09:37:00"/>
    <d v="2025-09-29T09:17:00"/>
    <s v="NO"/>
    <s v="USUARIO"/>
    <s v="COMUNICACION"/>
    <s v="CANAL DEL COMERCIO"/>
    <m/>
    <m/>
    <s v="CERRADO"/>
    <s v="27/09/2025 SE ESCALA PARA VISITA. LLAMAR ANTES DE VISITAR, CONFIRMAR FALLA Y DATOS | 29/09/2025 SE COMUNICA CON EL NÚMERO 3215382774 LUISA SUAREZ, INDICA QUE EL CB SE ENCUENTRA FUNCIONANDO CORRECTAMENTE."/>
    <s v="SOPORTE_TELEFÓNICO"/>
    <n v="0"/>
    <s v="TIPO II"/>
    <s v="TERRESTRE"/>
    <s v="SANTOS GUZMAN CHRISTIAN FELIPE"/>
    <n v="0"/>
    <n v="0"/>
    <n v="0"/>
    <n v="0"/>
    <n v="37904.65408"/>
    <n v="37904.65408"/>
  </r>
  <r>
    <s v="BARRANQUILLA"/>
    <x v="4"/>
    <x v="4"/>
    <n v="8137"/>
    <n v="2802873"/>
    <n v="50862"/>
    <s v="INCIDENTE "/>
    <s v="ATLANTICO"/>
    <s v="CAMPO DE LA CRUZ"/>
    <s v="PTM CAMPO DE LA CRUZ GRANERO E"/>
    <s v="REDEBAN"/>
    <s v="FO-25-1592365"/>
    <d v="2025-09-27T09:33:00"/>
    <d v="2025-09-29T09:14:00"/>
    <s v="NO"/>
    <s v="USUARIO"/>
    <s v="COMUNICACION"/>
    <s v="CANAL DEL COMERCIO"/>
    <m/>
    <m/>
    <s v="CERRADO"/>
    <s v="27/09/2025 SE ESCALA PARA VISITA. LLAMAR ANTES DE VISITAR, CONFIRMAR FALLA Y DATOS | 29/09/2025 COMERCIO NO ATENDÍA DOMINGO Y HOY LUNES SE DESPLAZA COLABORADOR A SITIO, PERO DEBIDO A LA BAJA FRECUENCIA DE SALIDA DE BUSES A MUNICIPIO, SE ATENDERÁ A LAS 11:00M AM APROX | 29/09/2025 SE REALIZA LLAMADA AL CLIENTE EL CUAL NOS DICE QUE YA TIENE INTERNET, QUE DESDE EL SÁBADO EN LA TARDE ESTA LABORANDO NORMALMENTE, POSIBLEMENTE FALLAS DE CONEXIÓN POR SU OPERADOR DE DATOS ,CB OPERATIVO."/>
    <s v="SOPORTE_TELEFÓNICO"/>
    <n v="0"/>
    <s v="TIPO II"/>
    <s v="TERRESTRE"/>
    <s v="PORRAS CASTRO DARLON NASCK"/>
    <n v="0"/>
    <n v="0"/>
    <n v="0"/>
    <n v="0"/>
    <n v="37904.65408"/>
    <n v="37904.65408"/>
  </r>
  <r>
    <s v="PASTO"/>
    <x v="0"/>
    <x v="0"/>
    <n v="52490"/>
    <n v="2802099"/>
    <n v="41691"/>
    <s v="INCIDENTE "/>
    <s v="NARIÑO"/>
    <s v="OLAYA HERRERA"/>
    <s v="BARRIO CENTRO OLAYA HERRERA 2"/>
    <s v="REDEBAN"/>
    <s v="FO-25-1591693"/>
    <d v="2025-09-27T08:00:00"/>
    <d v="2025-09-30T13:45:00"/>
    <s v="NO"/>
    <s v="USUARIO"/>
    <s v="CIERRE"/>
    <s v="COMERCIO NO REALIZA CIERRE"/>
    <m/>
    <m/>
    <s v="CERRADO"/>
    <s v="27/09/2025 EN COMUNICACIÓN CON LA SRA : VICENTA SEGURA PERLAZA AL NÚMERO 3214751285 NOS INFORMA QUE LA FALLA QUE TIENE CON EL DATAFONO ES CON LOS CIERRES, CONFIRMA DATOS E INDICA QUE LA RED ES REDEBAN, SE ESCALA PARA VISITA | 30/09/2025 SE REALIZA VALIDACION CON EL CLIENTE Y SE ENCUENTRA QUE USUARIO NO REALIZABA EL CIERRE GENERAL, SE LE EXPLICA AL CLIENTE LA FORMA CORRECTA DE GENERAR LOS CIERRES, CLIENTE REALIZA EL CIERRE Y SE LE EEXPLICA QUE DESPUES DE REALIZAR EL CIERRE GENERAL DEBE DARLE LA TECLA VERDE PARA QUE EL DATAFONO BORRE LO QUE TENGA EN MEMORIA."/>
    <s v="SOPORTE_TELEFÓNICO"/>
    <n v="0"/>
    <s v="TIPO IV ESPECIAL"/>
    <s v="FLUVIAL"/>
    <s v="HENAO CARDONA DIEGO FERNANDO"/>
    <n v="0"/>
    <n v="0"/>
    <n v="0"/>
    <n v="0"/>
    <n v="37904.65408"/>
    <n v="37904.65408"/>
  </r>
  <r>
    <s v="PEREIRA"/>
    <x v="0"/>
    <x v="5"/>
    <n v="76895"/>
    <n v="2802027"/>
    <n v="77269"/>
    <s v="INCIDENTE "/>
    <s v="VALLE DEL CAUCA"/>
    <s v="ZARZAL"/>
    <s v="BARRIO LOS LAGOS SEGUNDA ETAPA"/>
    <s v="REDEBAN"/>
    <s v="FO-25-1591709"/>
    <d v="2025-09-27T08:00:00"/>
    <d v="2025-09-29T11:18:00"/>
    <s v="NO"/>
    <s v="USUARIO"/>
    <s v="COMUNICACION"/>
    <s v="CANAL DEL COMERCIO"/>
    <m/>
    <m/>
    <s v="CERRADO"/>
    <s v="27/09/2025 SE INTENTA COMUNICACIÓN CON LA SRA FLOR MAYERLY CAICEDO SOLÍS A LOS NÚMEROS  3225098691-3147598029  PARA CONFIRMAR DATOS Y FALLA PERO NO HAY CONTAQCTO, SE ESCALA L COORDINADOR DE ZONA PARA VALIDAR EN SITIO | 29/09/2025 EN COMUNICACIÓN CON LA SEÑORA MAYERLY CAICEDO AL NÚMERO 3147598029 CONFIRMA QUE DATÁFONO SE ENCUENTRA TRABAJANDO SIN NOVEDAD"/>
    <s v="SOPORTE_TELEFÓNICO"/>
    <n v="0"/>
    <s v="TIPO III"/>
    <s v="TERRESTRE"/>
    <s v="LOAIZA LOPEZ JHON FREDDY"/>
    <n v="0"/>
    <n v="0"/>
    <n v="0"/>
    <n v="0"/>
    <n v="37904.65408"/>
    <n v="37904.65408"/>
  </r>
  <r>
    <s v="BARRANQUILLA"/>
    <x v="4"/>
    <x v="4"/>
    <n v="8078"/>
    <n v="2801742"/>
    <n v="62375"/>
    <s v="INCIDENTE "/>
    <s v="ATLANTICO"/>
    <s v="BARANOA"/>
    <s v="BARRIO BARANOA BARANOA 3"/>
    <s v="REDEBAN"/>
    <s v="FO-25-1590888"/>
    <d v="2025-09-26T16:51:00"/>
    <d v="2025-09-27T17:16:00"/>
    <s v="NO"/>
    <s v="USUARIO"/>
    <s v="MANTENIMIENTO"/>
    <s v="MANTENIMIENTO GENERAL"/>
    <m/>
    <m/>
    <s v="CERRADO"/>
    <s v="26/09/2025 SE ESCALA PARA VISITA. LLAMAR ANTES DE VISITAR, CONFIRMAR FALLA Y DATOS | 27/09/2025 SE REALIZA VISITA SE PROCEDE A VALIDAR DATAFONO Y ESTÁ OK, SE LE INDICA AL CLIENTE EL PROCESO DE LA CARGA DE LA BATERÍA PARA QUE TENGA EN CUENTA CUANDO ESTÉ BAJA, SE REALIZA ACOMPAÑAMIENTO QUE LA BATERÍA AGARRE CARGA, SE HACEN PRUEBAS Y TODO OK"/>
    <s v="VISITA_TÉCNICA"/>
    <s v="HA00M871"/>
    <s v="TIPO II"/>
    <s v="TERRESTRE"/>
    <s v="PORRAS CASTRO DARLON NASCK"/>
    <n v="1"/>
    <n v="0"/>
    <n v="0"/>
    <n v="0"/>
    <n v="163813.55812"/>
    <n v="163813.55812"/>
  </r>
  <r>
    <s v="MEDELLIN"/>
    <x v="2"/>
    <x v="2"/>
    <n v="5001"/>
    <n v="2801003"/>
    <n v="70017"/>
    <s v="INCIDENTE "/>
    <s v="ANTIOQUIA"/>
    <s v="MEDELLIN"/>
    <s v="PTM MEDELLIN  SALSAMENTARIA DO"/>
    <s v="REDEBAN"/>
    <s v="FO-25-1589979"/>
    <d v="2025-09-26T14:53:00"/>
    <d v="2025-09-27T12:34:00"/>
    <s v="NO"/>
    <s v="USUARIO"/>
    <s v="MANTENIMIENTO"/>
    <s v="MANTENIMIENTO GENERAL"/>
    <m/>
    <m/>
    <s v="CERRADO"/>
    <s v="26/09/2025 SE ESCALA PARA VISITA. LLAMAR ANTES DE VISITAR, CONFIRMAR FALLA Y DATOS | 27/09/2025 SE INICIALIZA DE NUEVO EL CB YA QUE MOSTRABA EL NOMBRE ANTERIOR, SE ACTUALIZA A VERSIÓN 9.90,  SE REALIZAN PRUEBAS Y  QUEDA CON EL NUEVO NOMBRE, PRUEBAS OK"/>
    <s v="VISITA_TÉCNICA"/>
    <s v="UV001523"/>
    <s v="TIPO I"/>
    <s v="TERRESTRE"/>
    <s v="CARDONA MOLINA BROLIN STIVEN"/>
    <n v="1"/>
    <n v="0"/>
    <n v="0"/>
    <n v="0"/>
    <n v="65960.473639999997"/>
    <n v="65960.473639999997"/>
  </r>
  <r>
    <s v="NEIVA"/>
    <x v="3"/>
    <x v="3"/>
    <n v="41551"/>
    <n v="2800088"/>
    <n v="80538"/>
    <s v="INCIDENTE "/>
    <s v="HUILA"/>
    <s v="PITALITO"/>
    <s v="BARRIO AGUA BLANCA PITALITO 4"/>
    <s v="REDEBAN"/>
    <s v="FO-25-1589312"/>
    <d v="2025-09-26T12:57:00"/>
    <d v="2025-09-29T12:10:00"/>
    <s v="NO"/>
    <s v="ENTIDAD"/>
    <s v="ERROR DE TRANSACCIONES"/>
    <s v="TRANSACCION NO PERMITIDA"/>
    <m/>
    <m/>
    <s v="CERRADO"/>
    <s v="26/09/2025 SE INTENTA COMUNICACIÓN CON LA SRA YESICA TRUJILLO PERDOMO AL NÚMERO 3144434059 PARA CONFRIMAR DATOS Y FALLA PERO NO HAY CONTACTO, SE ESCALA AL COORDINADOR DE ZONA PARA VALIDAR EN SITIO | 29/09/2025 EN COMUNICACIÓN CON EL CLIENTE VIA TELÉFONICA ,LA SEÑORA YESICA TRUJILLO, AL NÚMERO +57 314 4434059, NOS INDICA QUE EL EQUIPO SE ENCUENTRA FUNCIONANDO CORRECTAMENTE YA QUE EL PROBLEMA DE TRANSACCIONES SE DEBIO A UNA CAÍDA DE LA PLATAFORMA DE BANCOLOMBIA LA CUAL YA SE RESTABLECIÓ Y FUNCIONA DE FORMA CORRECTA , CB OPERATIVO M."/>
    <s v="SOPORTE_TELEFÓNICO"/>
    <n v="0"/>
    <s v="TIPO III"/>
    <s v="TERRESTRE"/>
    <s v="DEVIA REINOSO JUAN CARLOS"/>
    <n v="0"/>
    <n v="0"/>
    <n v="0"/>
    <n v="0"/>
    <n v="37904.65408"/>
    <n v="37904.65408"/>
  </r>
  <r>
    <s v="VILLAVICENCIO"/>
    <x v="3"/>
    <x v="3"/>
    <n v="50001"/>
    <n v="2800046"/>
    <n v="80632"/>
    <s v="INCIDENTE "/>
    <s v="META"/>
    <s v="VILLAVICENCIO"/>
    <s v="BARRIO PINILLA VILLAVICENCIO 2"/>
    <s v="REDEBAN"/>
    <s v="FO-25-1589002"/>
    <d v="2025-09-26T12:26:00"/>
    <d v="2025-09-26T17:41:00"/>
    <s v="NO"/>
    <s v="USUARIO"/>
    <s v="NO ENCIENDE"/>
    <s v="CONEXIONES DE COMERCIO"/>
    <m/>
    <m/>
    <s v="CERRADO"/>
    <s v="26/09/2025 SE ESCALA PARA VISITA. LLAMAR ANTES DE VISITAR, CONFIRMAR FALLA Y DATOS | 26/09/2025 SE LLEGA AL COMERCIO E INDICA QUE SE ENCUENTRA FUNCIONANDO SE HABÍA QUEDO BLOQUEADO"/>
    <s v="VISITA_TÉCNICA"/>
    <s v="V6ZZZ816"/>
    <s v="TIPO I"/>
    <s v="TERRESTRE"/>
    <s v="ROZO JIMENEZ EDGAR ARMANDO"/>
    <n v="1"/>
    <n v="0"/>
    <n v="0"/>
    <n v="0"/>
    <n v="65960.473639999997"/>
    <n v="65960.473639999997"/>
  </r>
  <r>
    <s v="CUCUTA"/>
    <x v="1"/>
    <x v="1"/>
    <n v="54001"/>
    <n v="2799185"/>
    <n v="81650"/>
    <s v="INCIDENTE "/>
    <s v="NORTE DE SANTANDER"/>
    <s v="CUCUTA"/>
    <s v="DISTRICOL MARCELAS CHIP STORE"/>
    <s v="REDEBAN"/>
    <s v="FO-25-1588261"/>
    <d v="2025-09-26T11:06:00"/>
    <d v="2025-09-26T17:22:00"/>
    <s v="NO"/>
    <s v="USUARIO"/>
    <s v="COMUNICACION"/>
    <s v="CONEXIONES DE COMERCIO"/>
    <m/>
    <m/>
    <s v="CERRADO"/>
    <s v="26/09/2025 SE ESCALA PARA VISITA. LLAMAR ANTES DE VISITAR, CONFIRMAR FALLA Y DATOS | 26/09/2025 SE COMUNICA CON LA CLIENTE MARCELA SANTOS AL #3222295656, NOS INFORMA QUE EL PROBLEMA YA SE SOLUCIONO YA QUE ERA UNA FALLA INTERNO DEL INTERNET"/>
    <s v="SOPORTE_TELEFÓNICO"/>
    <n v="0"/>
    <s v="TIPO I"/>
    <s v="TERRESTRE"/>
    <s v="NARANJO AFANADOR RUBEN JESUS"/>
    <n v="0"/>
    <n v="0"/>
    <n v="0"/>
    <n v="0"/>
    <n v="37904.65408"/>
    <n v="37904.65408"/>
  </r>
  <r>
    <s v="MONTERIA"/>
    <x v="4"/>
    <x v="4"/>
    <n v="23079"/>
    <n v="2797827"/>
    <n v="27499"/>
    <s v="INCIDENTE "/>
    <s v="CORDOBA"/>
    <s v="BUENAVISTA"/>
    <s v="DISTRICOL PANADERIA Y HELADERI"/>
    <s v="REDEBAN"/>
    <s v="FO-25-1587162"/>
    <d v="2025-09-26T09:10:00"/>
    <d v="2025-09-27T13:23:00"/>
    <s v="NO"/>
    <s v="USUARIO"/>
    <s v="LECTOR DE TARJETAS"/>
    <s v="OBSTRUCCION DEL LECTOR"/>
    <m/>
    <m/>
    <s v="CERRADO"/>
    <s v="26/09/2025 SE ESCALA PARA VISITA. LLAMAR ANTES DE VISITAR, CONFIRMAR FALLA Y DATOS | 27/09/2025 SE VISITA SITIO, SE REALIZA LIMPIEZA DE LECTOR DE TARJETAS EN PINPAD YA QUE SE ENCONTRABA OBSTRUIDO. SE REALIZAN PRUEBAS EXITOSAS"/>
    <s v="VISITA_TÉCNICA"/>
    <s v="99DZZ458"/>
    <s v="TIPO II"/>
    <s v="TERRESTRE"/>
    <s v="COGOLLO VERTEL EDER LUIS"/>
    <n v="1"/>
    <n v="0"/>
    <n v="0"/>
    <n v="0"/>
    <n v="163813.55812"/>
    <n v="163813.55812"/>
  </r>
  <r>
    <s v="MEDELLIN"/>
    <x v="2"/>
    <x v="2"/>
    <n v="5001"/>
    <n v="2797495"/>
    <n v="26225"/>
    <s v="INCIDENTE "/>
    <s v="ANTIOQUIA"/>
    <s v="MEDELLIN"/>
    <s v="COMCARD MED MINUCENTER"/>
    <s v="REDEBAN"/>
    <s v="FO-25-1586779"/>
    <d v="2025-09-26T08:36:00"/>
    <d v="2025-09-26T13:09:00"/>
    <s v="NO"/>
    <s v="USUARIO"/>
    <s v="MANTENIMIENTO"/>
    <s v="MANTENIMIENTO GENERAL"/>
    <m/>
    <m/>
    <s v="CERRADO"/>
    <s v="26/09/2025 SE ESCALA PARA VISITA. LLAMAR ANTES DE VISITAR, CONFIRMAR FALLA Y DATOS | 26/09/2025 SE REALIZA LIMPIEZA DEL TECLADO DEL DATÁFONO Y QUEDA FUNCIONANDO, SE REINICIA Y SE REALIZAN PRUEBAS, TODO OK"/>
    <s v="VISITA_TÉCNICA"/>
    <n v="99991001"/>
    <s v="TIPO I"/>
    <s v="TERRESTRE"/>
    <s v="CARDONA MOLINA BROLIN STIVEN"/>
    <n v="1"/>
    <n v="0"/>
    <n v="0"/>
    <n v="0"/>
    <n v="65960.473639999997"/>
    <n v="65960.473639999997"/>
  </r>
  <r>
    <s v="BOGOTA"/>
    <x v="5"/>
    <x v="6"/>
    <n v="11001"/>
    <n v="2797427"/>
    <n v="64118"/>
    <s v="INCIDENTE "/>
    <s v="CUNDINAMARCA"/>
    <s v="BOGOTA"/>
    <s v="BARRIO BOSA LAURELES BOGOTA 2"/>
    <s v="REDEBAN"/>
    <s v="FO-25-1586787"/>
    <d v="2025-09-26T08:14:00"/>
    <d v="2025-09-26T16:29:00"/>
    <s v="NO"/>
    <s v="USUARIO"/>
    <s v="USUARIOS"/>
    <s v="CREACION DE USUARIOS"/>
    <m/>
    <m/>
    <s v="CERRADO"/>
    <s v="26/09/2025 SE ESCALA PARA VISITA. LLAMAR ANTES DE VISITAR, CONFIRMAR FALLA Y DATOS | 26/09/2025 SE REALIZA CAMBIO DE CLAVE SUPERVISOR ( CIERRES Y DUPLICADO) PRUEBA OK"/>
    <s v="VISITA_TÉCNICA"/>
    <s v="OA00O731"/>
    <s v="TIPO I"/>
    <s v="TERRESTRE"/>
    <s v="ORTIZ MARTINEZ STIVEN"/>
    <n v="1"/>
    <n v="0"/>
    <n v="0"/>
    <n v="0"/>
    <n v="65960.473639999997"/>
    <n v="65960.473639999997"/>
  </r>
  <r>
    <s v="MEDELLIN"/>
    <x v="2"/>
    <x v="2"/>
    <n v="5001"/>
    <n v="2795568"/>
    <n v="80717"/>
    <s v="INCIDENTE "/>
    <s v="ANTIOQUIA"/>
    <s v="MEDELLIN"/>
    <s v="DISTRICOL VARIEDADES Y DETALLE"/>
    <s v="REDEBAN"/>
    <s v="FO-25-1585334"/>
    <d v="2025-09-25T16:06:00"/>
    <d v="2025-09-26T12:39:00"/>
    <s v="NO"/>
    <s v="USUARIO"/>
    <s v="MANTENIMIENTO"/>
    <s v="MANTENIMIENTO GENERAL"/>
    <m/>
    <m/>
    <s v="CERRADO"/>
    <s v="25/09/2025 SE ESCALA PARA VISITA. LLAMAR ANTES DE VISITAR, CONFIRMAR FALLA Y DATOS | 26/09/2025 SE LLAMA AL USUARIO PARA CONFIRMAR VISITA Y NOS COMENTA QUE RETIRÓ EL ROLLO Y REALIZÓ UNA LIMPIEZA Y LA IMPRESORA DEL DATÁFONO VOLVIO A FUNCIONAR CORRECTAMENTE"/>
    <s v="SOPORTE_TELEFÓNICO"/>
    <n v="0"/>
    <s v="TIPO I"/>
    <s v="TERRESTRE"/>
    <s v="CARDONA MOLINA BROLIN STIVEN"/>
    <n v="0"/>
    <n v="0"/>
    <n v="0"/>
    <n v="0"/>
    <n v="37904.65408"/>
    <n v="37904.65408"/>
  </r>
  <r>
    <s v="IBAGUE"/>
    <x v="3"/>
    <x v="3"/>
    <n v="73001"/>
    <n v="2795532"/>
    <n v="80945"/>
    <s v="INCIDENTE "/>
    <s v="TOLIMA"/>
    <s v="IBAGUE"/>
    <s v="BARRIO LA POLA IBAGUE 7"/>
    <s v="REDEBAN"/>
    <s v="FO-25-1585139"/>
    <d v="2025-09-25T15:58:00"/>
    <d v="2025-09-26T09:49:00"/>
    <s v="NO"/>
    <s v="USUARIO"/>
    <s v="MANTENIMIENTO"/>
    <s v="MANTENIMIENTO GENERAL"/>
    <m/>
    <m/>
    <s v="CERRADO"/>
    <s v="25/09/2025 SE ESCALA PARA VISITA. LLAMAR ANTES DE VISITAR, CONFIRMAR FALLA Y DATOS | 26/09/2025 SE LE EXPLICA AL SEÑOR JHONY QUIMBAYO, DE CÓMO APAGAR CORRECTAMENTE EL EQUIPO PARA QUE NO TENGA PROBLEMAS CON LA IMPRESORA DE RECIBOS. SE HACEN PRUEBAS DE TRANSACCIONES TODO OK Y SE VERIFICA LA IMPRESORA."/>
    <s v="VISITA_TÉCNICA"/>
    <s v="FIZZZ331"/>
    <s v="TIPO I"/>
    <s v="TERRESTRE"/>
    <s v="VARGAS HERRERA JHON JAIRO"/>
    <n v="1"/>
    <n v="0"/>
    <n v="0"/>
    <n v="0"/>
    <n v="65960.473639999997"/>
    <n v="65960.473639999997"/>
  </r>
  <r>
    <s v="BOGOTA"/>
    <x v="5"/>
    <x v="6"/>
    <n v="25754"/>
    <n v="2793909"/>
    <n v="80698"/>
    <s v="INCIDENTE "/>
    <s v="CUNDINAMARCA"/>
    <s v="SOACHA"/>
    <s v="BARRIO SAN HUMBERTO SOACHA 3"/>
    <s v="REDEBAN"/>
    <s v="FO-25-1583521"/>
    <d v="2025-09-25T12:10:00"/>
    <d v="2025-09-25T16:33:00"/>
    <s v="NO"/>
    <s v="USUARIO"/>
    <s v="CIERRE"/>
    <s v="COMERCIO NO REALIZA CIERRE"/>
    <m/>
    <m/>
    <s v="CERRADO"/>
    <s v="25/09/2025 SE ESCALA PARA VISITA. LLAMAR ANTES DE VISITAR, CONFIRMAR FALLA Y DATOS | 25/09/2025 DURANTE LA VISITA TECNICA ENCONTRAMOS QUE EL DATÁFONO  NO LE PERMITE REALIZAR EL CIERRE POR ACUMULACIÓN DE TRANSACCIONES SE REALIZA BORRADO DE TRANSACCIONES ADICIONAL SE REALIZAN TRANSACCIONES DE PRUEBA Y SE BRINDA INFORMACIÓN DEL CORRECTO CIERRE QUEDANDO OKAY LA FUNCIONALIDAD DE CIERRE SIN NOVEDAD EN EL INCIDENTE A CONFORMIDAD CORRESPONSAL BANCARIO"/>
    <s v="VISITA_TÉCNICA"/>
    <s v="V8ZZZ365"/>
    <s v="TIPO I"/>
    <s v="TERRESTRE"/>
    <s v="GALEANO SORIANO JUAN DAVID"/>
    <n v="1"/>
    <n v="0"/>
    <n v="0"/>
    <n v="0"/>
    <n v="65960.473639999997"/>
    <n v="65960.473639999997"/>
  </r>
  <r>
    <s v="BUCARAMANGA"/>
    <x v="1"/>
    <x v="1"/>
    <n v="81220"/>
    <n v="2793725"/>
    <n v="25792"/>
    <s v="INCIDENTE "/>
    <s v="ARAUCA"/>
    <s v="CRAVO NORTE"/>
    <s v="SECTOR CRAVO NORTE  ARAUCA"/>
    <s v="REDEBAN"/>
    <s v="FO-25-1583343"/>
    <d v="2025-09-25T11:49:00"/>
    <d v="2025-09-27T10:34:00"/>
    <s v="NO"/>
    <s v="USUARIO"/>
    <s v="COMUNICACION"/>
    <s v="CANAL DEL COMERCIO"/>
    <m/>
    <m/>
    <s v="CERRADO"/>
    <s v="25/09/2025 SE ESCALA PARA VISITA. LLAMAR ANTES DE VISITAR, CONFIRMAR FALLA Y DATOS | 26/09/2025 SE COMUNICA CON EL CLIENTE AL NÚMERO DE TELÉFONO 315 4384521 , SE VALIDA CON EL SEÑOR LUIS DONDE INDICA QUE LA FALLA ES EL INTERNET, QUE DEBIDO A ESTA INTERMITENTE POR FALLAS DE LA ENTIDAD PRESTADORA DE SERVICIO , NOS SOLICITA CANCELAR VISITA TÉCNICA , SE LE INDICA QUE LA ORDEN SE CIERRA, Y DE NECESITAR DEBE COMUNICARSE A LA LÍNEA 018000"/>
    <s v="SOPORTE_TELEFÓNICO"/>
    <n v="0"/>
    <s v="TIPO IV ESPECIAL"/>
    <s v="AEREO"/>
    <s v="HERRERA LUQUE SAUL JAVIER"/>
    <n v="0"/>
    <n v="0"/>
    <n v="0"/>
    <n v="0"/>
    <n v="37904.65408"/>
    <n v="37904.65408"/>
  </r>
  <r>
    <s v="CALI"/>
    <x v="0"/>
    <x v="0"/>
    <n v="76111"/>
    <n v="2793720"/>
    <n v="79848"/>
    <s v="INCIDENTE "/>
    <s v="VALLE DEL CAUCA"/>
    <s v="GUADALAJARA DE BUGA"/>
    <s v="BARRIO CENTRO GUADALAJARA DE BUGA GUADALAJARA DE BUGA"/>
    <s v="REDEBAN"/>
    <s v="FO-25-1583348"/>
    <d v="2025-09-25T11:47:00"/>
    <d v="2025-09-26T13:23:00"/>
    <s v="NO"/>
    <s v="USUARIO"/>
    <s v="MANTENIMIENTO"/>
    <s v="MANTENIMIENTO GENERAL"/>
    <m/>
    <m/>
    <s v="CERRADO"/>
    <s v="25/09/2025 SE ESCALA PARA VISITA. LLAMAR ANTES DE VISITAR, CONFIRMAR FALLA Y DATOS | 26/09/2025 EN LA VISITA TÉCNICA SE REALIZÓ EL PROCESO DE REINICIAR EL DATÁFONO, CONFIGURAR NUEVAMENTE LOS PARÁMETROS Y SE REALIZÓ LA INICIALIZACIÓN OK,SE REALIZARON LAS PRUEBAS DEJANDO EL SERVICIO OPERANDO SIN FALLAS Y SIN NOVEDAD"/>
    <s v="VISITA_TÉCNICA"/>
    <s v="FAUZZ213"/>
    <s v="TIPO II"/>
    <s v="TERRESTRE"/>
    <s v="SANCHEZ URREGO ROBINSON DAVID"/>
    <n v="1"/>
    <n v="0"/>
    <n v="0"/>
    <n v="0"/>
    <n v="163813.55812"/>
    <n v="163813.55812"/>
  </r>
  <r>
    <s v="MEDELLIN"/>
    <x v="2"/>
    <x v="2"/>
    <n v="5088"/>
    <n v="2793492"/>
    <n v="17101"/>
    <s v="INCIDENTE "/>
    <s v="ANTIOQUIA"/>
    <s v="BELLO"/>
    <s v="BARRIO ZAMORA II BELLO"/>
    <s v="REDEBAN"/>
    <s v="FO-25-1583367"/>
    <d v="2025-09-25T11:37:00"/>
    <d v="2025-09-25T17:19:00"/>
    <s v="NO"/>
    <s v="USUARIO"/>
    <s v="USUARIOS"/>
    <s v="MALA MANIPULACION POS"/>
    <m/>
    <m/>
    <s v="CERRADO"/>
    <s v="25/09/2025 SE ESCALA PARA VISITA. LLAMAR ANTES DE VISITAR, CONFIRMAR FALLA Y DATOS | 25/09/2025 SE IDENTIFICA QUE USUARIO BORRO PARÁMETROS DE COMUNICACIÓN, SE CONFIGURA Y SE DEJAN SERVICIOS FUNCIONANDO CORRECTAMENTE"/>
    <s v="VISITA_TÉCNICA"/>
    <s v="A00JZ244"/>
    <s v="TIPO I"/>
    <s v="TERRESTRE"/>
    <s v="BARRIENTOS HERNANDEZ CRISTIAN HORACIO"/>
    <n v="1"/>
    <n v="0"/>
    <n v="0"/>
    <n v="0"/>
    <n v="65960.473639999997"/>
    <n v="65960.473639999997"/>
  </r>
  <r>
    <s v="MONTERIA"/>
    <x v="4"/>
    <x v="4"/>
    <n v="5154"/>
    <n v="2793264"/>
    <n v="75821"/>
    <s v="INCIDENTE "/>
    <s v="ANTIOQUIA"/>
    <s v="CAUCASIA"/>
    <s v="PTM CAUCASIA PAPELERIA G J"/>
    <s v="REDEBAN"/>
    <s v="FO-25-1593008"/>
    <d v="2025-09-25T11:03:00"/>
    <d v="2025-09-27T12:17:00"/>
    <s v="NO"/>
    <s v="USUARIO"/>
    <s v="MANTENIMIENTO"/>
    <s v="MANTENIMIENTO GENERAL"/>
    <m/>
    <m/>
    <s v="CERRADO"/>
    <s v="27/09/2025 EN COMUNICACIÓN CON LA SRA GERALDINE BURGOS AL NÚMERO  3147313658 NOS INFORMA QUE NO PUSO EL DENUNCIO COMO CORRESPONDE, SE LE INFORMA QUE CUANDO TENGA EL NUEVO DENUNCIO LO REPORTE. SE PROCEDE A CERRAR | 27/09/2025 EN COMUNICACIÓN CON LA SRA GERALDINE BURGOS AL NÚMERO  3147313658 NOS INFORMA QUE NO PUSO EL DENUNCIO COMO CORRESPONDE, SE LE INFORMA QUE CUANDO TENGA EL NUEVO DENUNCIO LO REPORTE. SE PROCEDE A CERRAR"/>
    <s v="SOPORTE_TELEFÓNICO"/>
    <n v="0"/>
    <s v="TIPO II"/>
    <s v="TERRESTRE"/>
    <s v="CONTRERAS ROSSI LITZY YULIETH"/>
    <n v="0"/>
    <n v="0"/>
    <n v="0"/>
    <n v="0"/>
    <n v="37904.65408"/>
    <n v="37904.65408"/>
  </r>
  <r>
    <s v="PASTO"/>
    <x v="0"/>
    <x v="0"/>
    <n v="52001"/>
    <n v="2792068"/>
    <n v="56707"/>
    <s v="INCIDENTE "/>
    <s v="NARIÑO"/>
    <s v="PASTO"/>
    <s v="PTM DULCE FANTASIA 10"/>
    <s v="REDEBAN"/>
    <s v="FO-25-1581991"/>
    <d v="2025-09-25T09:25:00"/>
    <d v="2025-09-25T17:03:00"/>
    <s v="NO"/>
    <s v="USUARIO"/>
    <s v="MANTENIMIENTO"/>
    <s v="MANTENIMIENTO GENERAL"/>
    <m/>
    <m/>
    <s v="CERRADO"/>
    <s v="25/09/2025 SE ESCALA PARA VISITA. LLAMAR ANTES DE VISITAR, CONFIRMAR FALLA Y DATOS | 25/09/2025 SE LLEGÓ A SITIO PERO LOCAL SE ENCUENTRA CERRADO, ES DE ACLARAR QUE SE LLAMÓ AL CLIENTE EN HORAS DE LA MAÑANA PERO ESTE NO RESPONDIÓ A LO CUAL SE LLAMÓ NUEVAMENTE Y HASTA LA HORA CONTESTA INFORMANDO QUE NO ESTÁ DISPONIBLE YA QUE SE ENCUENTRA REALIZANDO ACTIVIDADES PERSONA, INFORMA QUE EL EQUIPO YA SE ENCUENTRA FUNCIONANDO DESDE HORAS DE LA MAÑANA AL REALIZAR UN CAMBIO DE ROLLO E INDICA QUE ESTÁ IMPRIMIENDO LOS VOUCHERS SIN INCONVENIENTES Y QUE EL CB SE ENCUENTRA TOTALMENTE OPERATIVO."/>
    <s v="VISITA_TÉCNICA"/>
    <s v="COMERCIO CERRADO, SOLUCIÓN TELEFÓNICA EN SITIO"/>
    <s v="TIPO I"/>
    <s v="TERRESTRE"/>
    <s v="REMICIO AMADO JOHN HEBER"/>
    <n v="1"/>
    <n v="0"/>
    <n v="0"/>
    <n v="0"/>
    <n v="65960.473639999997"/>
    <n v="65960.473639999997"/>
  </r>
  <r>
    <s v="BOGOTA"/>
    <x v="5"/>
    <x v="6"/>
    <n v="25817"/>
    <n v="2791732"/>
    <n v="53108"/>
    <s v="INCIDENTE "/>
    <s v="CUNDINAMARCA"/>
    <s v="TOCANCIPA"/>
    <s v="BARRIO TOCANCIPA TOCANCIPA 3"/>
    <s v="REDEBAN"/>
    <s v="FO-25-1581534"/>
    <d v="2025-09-25T08:39:00"/>
    <d v="2025-09-26T15:31:00"/>
    <s v="NO"/>
    <s v="USUARIO"/>
    <s v="COMUNICACION"/>
    <s v="CANAL DEL COMERCIO"/>
    <m/>
    <m/>
    <s v="CERRADO"/>
    <s v="25/09/2025 SE ESCALA PARA VISITA. LLAMAR ANTES DE VISITAR, CONFIRMAR FALLA Y DATOS | 26/09/2025 DURANTE LA VISITA TECNICA PARA ATENDER INCIDENTE REPORTADO POR CORRESPONSAL BANCARIO, CORRESPONSAL NOS INDICA QUE EL DAÑO YA FUE SOLUCIONADO,  SE HACEN PRUEBAS CONFIRMANDO QUE SERVICIO SE ENCUENTRA FUNCIONAL Y OPERATIVO A CONFORMIDAD DEL CB SIN NOVEDAD EN EL INCIDENTE SALDO OK"/>
    <s v="VISITA_TÉCNICA"/>
    <s v="9C0NZ318"/>
    <s v="TIPO II"/>
    <s v="TERRESTRE"/>
    <s v="GALEANO SORIANO JUAN DAVID"/>
    <n v="1"/>
    <n v="0"/>
    <n v="0"/>
    <n v="0"/>
    <n v="163813.55812"/>
    <n v="163813.55812"/>
  </r>
  <r>
    <s v="PASTO"/>
    <x v="0"/>
    <x v="0"/>
    <n v="52399"/>
    <n v="2791721"/>
    <n v="66057"/>
    <s v="INCIDENTE "/>
    <s v="NARIÑO"/>
    <s v="LA UNION"/>
    <s v="DISTRICOL MERCAHOGAR"/>
    <s v="REDEBAN"/>
    <s v="FO-25-1581549"/>
    <d v="2025-09-25T08:37:00"/>
    <d v="2025-09-26T15:29:00"/>
    <s v="NO"/>
    <s v="USUARIO"/>
    <s v="MANTENIMIENTO"/>
    <s v="MANTENIMIENTO GENERAL"/>
    <m/>
    <m/>
    <s v="CERRADO"/>
    <s v="25/09/2025 EN COMUNICACIÓN CON EL SR  EDGAR MESA AL NÚMERO 3122434896 NOS INFORMA QUE LA FALLA QUE PRESENTA ES CON LA IMPRESION. CONFIRMA DATOS E INDICA QUE LA RED ES REDEBAN, SE ESCALA PARA VISITA | 26/09/2025 SE VISITA CB. SE ENCUENTRA DATAFONO CON FALLA EN LA IMPRESORA, NO IMPRIME ALGUNOS CARACTERES Y PRESENTA UN RUIDO EXTRAÑO. SE REALIZA MANTENIMIENTO, LIMPIEZA Y AJUSTE DE LAS PIEZAS Y LA IMPRESIÓN Y EL RUIDO MEJORAN. SE REALIZA. PRUEBAS TX EXITOSAS. QUEDA OPERATIVO"/>
    <s v="VISITA_TÉCNICA"/>
    <s v="7A00K519"/>
    <s v="TIPO III"/>
    <s v="TERRESTRE"/>
    <s v="CASTILLO HERRERA ALEX RICARDO"/>
    <n v="1"/>
    <n v="0"/>
    <n v="0"/>
    <n v="0"/>
    <n v="275728.37943999999"/>
    <n v="275728.37943999999"/>
  </r>
  <r>
    <s v="APARTADO"/>
    <x v="2"/>
    <x v="2"/>
    <n v="5147"/>
    <n v="2791710"/>
    <n v="79886"/>
    <s v="INCIDENTE "/>
    <s v="ANTIOQUIA"/>
    <s v="CAREPA"/>
    <s v="DISTRICOL COOTRANSCAR"/>
    <s v="REDEBAN"/>
    <s v="FO-25-1581556"/>
    <d v="2025-09-25T08:34:00"/>
    <d v="2025-09-29T17:56:00"/>
    <s v="NO"/>
    <s v="USUARIO"/>
    <s v="COMUNICACION"/>
    <s v="CANAL DEL COMERCIO"/>
    <m/>
    <m/>
    <s v="CERRADO"/>
    <s v="25/09/2025 SE ESCALA PARA VISITA. LLAMAR ANTES DE VISITAR, CONFIRMAR FALLA Y DATOS | 29/09/2025 CLIENTE INDICA QUE INTERNET ESTABA MALO, AL VOLVER SE RECUPERO LA RED DEL DATAFONO. DATAFONO OPERATIVO"/>
    <s v="VISITA_TÉCNICA"/>
    <s v="SAUZZ945"/>
    <s v="TIPO I"/>
    <s v="TERRESTRE"/>
    <s v="CASTRO HENAO DANIEL ESTEBAN"/>
    <n v="1"/>
    <n v="0"/>
    <n v="0"/>
    <n v="0"/>
    <n v="65960.473639999997"/>
    <n v="65960.473639999997"/>
  </r>
  <r>
    <s v="MEDELLIN"/>
    <x v="2"/>
    <x v="2"/>
    <n v="5088"/>
    <n v="2790710"/>
    <n v="33412"/>
    <s v="INCIDENTE "/>
    <s v="ANTIOQUIA"/>
    <s v="BELLO"/>
    <s v="BARRIO NIQUIA EL BURRO BELLO"/>
    <s v="REDEBAN"/>
    <s v="FO-25-1581264"/>
    <d v="2025-09-25T08:00:00"/>
    <d v="2025-09-25T16:46:00"/>
    <s v="NO"/>
    <s v="USUARIO"/>
    <s v="COMUNICACION"/>
    <s v="CONEXIONES DE COMERCIO"/>
    <m/>
    <m/>
    <s v="CERRADO"/>
    <s v="25/09/2025 SE ESCALA PARA VISITA. LLAMAR ANTES DE VISITAR, CONFIRMAR FALLA Y DATOS | 25/09/2025 SE COMUNICA CON EL USUARIO PARA CONFIRMAR LA VISITA, EL USUARIO INFORMA QUE EL DÍA DE HOY HA ESTADO TRABAJANDO PERFECTAMENTE SIN NINGÚN INCONVENIENTE."/>
    <s v="SOPORTE_TELEFÓNICO"/>
    <n v="0"/>
    <s v="TIPO I"/>
    <s v="TERRESTRE"/>
    <s v="ZAPATA LOPEZ EDWARD ASDRUBAL"/>
    <n v="0"/>
    <n v="0"/>
    <n v="0"/>
    <n v="0"/>
    <n v="37904.65408"/>
    <n v="37904.65408"/>
  </r>
  <r>
    <s v="BUCARAMANGA"/>
    <x v="1"/>
    <x v="1"/>
    <n v="68755"/>
    <n v="2790521"/>
    <n v="78892"/>
    <s v="INCIDENTE "/>
    <s v="SANTANDER"/>
    <s v="SOCORRO"/>
    <s v="BARRIO CENTRO SOCORRO SOCORRO"/>
    <s v="REDEBAN"/>
    <s v="FO-25-1580252"/>
    <d v="2025-09-24T17:31:00"/>
    <d v="2025-09-25T13:31:00"/>
    <s v="NO"/>
    <s v="USUARIO"/>
    <s v="COMUNICACION"/>
    <s v="CONEXIONES DE COMERCIO"/>
    <m/>
    <m/>
    <s v="CERRADO"/>
    <s v="24/09/2025 SE ESCALA PARA VISITA. LLAMAR ANTES DE VISITAR, CONFIRMAR FALLA Y DATOS | 25/09/2025 EN COMUNICACIÓN CON LA SEÑORA ESPERANZAAL.NUMERO 3164365720MANIFIESTA , FUE UNA FALLA DEL INTERNET EL DIA DE AYER , INFORMA Q EL DATAFONL YA SE ENCUENTRA OPERATIVO EL DIA DE HOY Y NO NECESITA LA VISITA TECNICA, SE CIERRA ORDEN"/>
    <s v="SOPORTE_TELEFÓNICO"/>
    <n v="0"/>
    <s v="TIPO III"/>
    <s v="TERRESTRE"/>
    <s v="GELVEZ MOGOLLON JOSE ELISEO"/>
    <n v="0"/>
    <n v="0"/>
    <n v="0"/>
    <n v="0"/>
    <n v="37904.65408"/>
    <n v="37904.65408"/>
  </r>
  <r>
    <s v="NEIVA"/>
    <x v="3"/>
    <x v="3"/>
    <n v="18001"/>
    <n v="2789860"/>
    <n v="37490"/>
    <s v="INCIDENTE "/>
    <s v="CAQUETA"/>
    <s v="FLORENCIA"/>
    <s v="BARRIO CENTRO FLORENCIA 1"/>
    <s v="REDEBAN"/>
    <s v="FO-25-1579602"/>
    <d v="2025-09-24T16:14:00"/>
    <d v="2025-09-25T16:25:00"/>
    <s v="NO"/>
    <s v="USUARIO"/>
    <s v="COMUNICACION"/>
    <s v="CONEXIONES DE COMERCIO"/>
    <m/>
    <m/>
    <s v="CERRADO"/>
    <s v="24/09/2025 SE INTENTA COMUNICACIÓN CON EL SR DIEGO CARVAJAL AL NÚMERO 3208358585 PARA CONFIRMAR DATOS Y FALLA PERO NO HAY CONTACTO, SE ESCALA A COORDINADOR DE ZONA PARA VALIDAR EN SITIO | 25/09/2025 SE REALIZA VISITA AL CB Y SE EVIDENCIA QUE LAS CONEXIONES DEL INTERNET ESTÁN MAL ORGANIZADAS, SE ORGANIZA EL CABLE QUE DA INTERNET AL DATAFONO Y QUEDA OPERATIVO, PRUEBAS CB OK."/>
    <s v="VISITA_TÉCNICA"/>
    <s v="AB00O906"/>
    <s v="TIPO IV"/>
    <s v="TERRESTRE"/>
    <s v="BERMUDEZ SANCHEZ JOSE NEYBER"/>
    <n v="1"/>
    <n v="0"/>
    <n v="0"/>
    <n v="0"/>
    <n v="479589.73656000005"/>
    <n v="479589.73656000005"/>
  </r>
  <r>
    <s v="CUCUTA"/>
    <x v="1"/>
    <x v="1"/>
    <n v="54001"/>
    <n v="2789429"/>
    <n v="80565"/>
    <s v="INCIDENTE "/>
    <s v="NORTE DE SANTANDER"/>
    <s v="CUCUTA"/>
    <s v="DISTRICOL SANTIAGO PHARMA PLUS"/>
    <s v="REDEBAN"/>
    <s v="FO-25-1579220"/>
    <d v="2025-09-24T15:30:00"/>
    <d v="2025-09-25T12:28:00"/>
    <s v="NO"/>
    <s v="USUARIO"/>
    <s v="NO ENCIENDE"/>
    <s v="CONEXIONES DE COMERCIO"/>
    <m/>
    <m/>
    <s v="CERRADO"/>
    <s v="24/09/2025 SE ESCALA PARA VISITA. LLAMAR ANTES DE VISITAR, CONFIRMAR FALLA Y DATOS | 25/09/2025 SE COMUNICA CON LA CLIENTE ISABEL SOFIA FUENTES AL # 3156406539, SE DA SOPORTE TELEFONICO REINICIANDO EL  DATAFONO, CLIENTE INFORMA QUE YA ENCIENDE CORRECTAMENTE Y OPERA CON NORMALIDAD, SE ANEXA PRUEBA SOPORTADA POR EL CLIENTE EXITOSA, CB OPERATIVO."/>
    <s v="SOPORTE_TELEFÓNICO"/>
    <n v="0"/>
    <s v="TIPO I"/>
    <s v="TERRESTRE"/>
    <s v="NARANJO AFANADOR RUBEN JESUS"/>
    <n v="0"/>
    <n v="0"/>
    <n v="0"/>
    <n v="0"/>
    <n v="37904.65408"/>
    <n v="37904.65408"/>
  </r>
  <r>
    <s v="TUNJA"/>
    <x v="1"/>
    <x v="1"/>
    <n v="15367"/>
    <n v="2789231"/>
    <n v="80894"/>
    <s v="INCIDENTE "/>
    <s v="BOYACA"/>
    <s v="JENESANO"/>
    <s v="BARRIO CENTRO JENESANO 7"/>
    <s v="REDEBAN"/>
    <s v="FO-25-1579049"/>
    <d v="2025-09-24T15:09:00"/>
    <d v="2025-09-25T16:12:00"/>
    <s v="NO"/>
    <s v="ENTIDAD"/>
    <s v="ERROR DE TRANSACCIONES"/>
    <s v="TRANSACCION NO PERMITIDA"/>
    <m/>
    <m/>
    <s v="CERRADO"/>
    <s v="24/09/2025 SE ESCALA PARA VISITA. LLAMAR ANTES DE VISITAR, CONFIRMAR FALLA Y DATOS | 25/09/2025 SE REALIZA VISITA AL COMERCIO, SE BORRA Y ACTUALIZA EQUIPO A VERSION 10.3N, SE CONFIGURA EQUIPO COMO MIXTO, SE HACEN PRUEBAS OK"/>
    <s v="VISITA_TÉCNICA"/>
    <s v="FGZZZ912"/>
    <s v="TIPO II"/>
    <s v="TERRESTRE"/>
    <s v="SOLER HOYOS CRISTIAN LEONARDO"/>
    <n v="1"/>
    <n v="0"/>
    <n v="0"/>
    <n v="0"/>
    <n v="163813.55812"/>
    <n v="163813.55812"/>
  </r>
  <r>
    <s v="CUCUTA"/>
    <x v="1"/>
    <x v="1"/>
    <n v="54001"/>
    <n v="2788155"/>
    <n v="79861"/>
    <s v="INCIDENTE "/>
    <s v="NORTE DE SANTANDER"/>
    <s v="CUCUTA"/>
    <s v="BARRIO EL CENTRO CUCUTA 83"/>
    <s v="REDEBAN"/>
    <s v="FO-25-1578144"/>
    <d v="2025-09-24T13:19:00"/>
    <d v="2025-09-25T12:09:00"/>
    <s v="NO"/>
    <s v="USUARIO"/>
    <s v="MANTENIMIENTO"/>
    <s v="MANTENIMIENTO GENERAL"/>
    <m/>
    <m/>
    <s v="CERRADO"/>
    <s v="24/09/2025 SE ESCALA PARA VISITA. LLAMAR ANTES DE VISITAR, CONFIRMAR FALLA Y DATOS | 25/09/2025 SE REALIZA VISITA, SE REALIZA MANTENIMIENTO, SE REALIZAN PRUEBAS Y CIERRES OK"/>
    <s v="VISITA_TÉCNICA"/>
    <s v="FAWZZ653"/>
    <s v="TIPO I"/>
    <s v="TERRESTRE"/>
    <s v="PACHECO BUITRAGO JAVIER ALONSO"/>
    <n v="1"/>
    <n v="0"/>
    <n v="0"/>
    <n v="0"/>
    <n v="65960.473639999997"/>
    <n v="65960.473639999997"/>
  </r>
  <r>
    <s v="VALLEDUPAR"/>
    <x v="4"/>
    <x v="4"/>
    <n v="20570"/>
    <n v="2787385"/>
    <n v="70157"/>
    <s v="INCIDENTE "/>
    <s v="CESAR"/>
    <s v="PUEBLO BELLO"/>
    <s v="BARRIO CENTRO PUEBLO 14 BELLO"/>
    <s v="REDEBAN"/>
    <s v="FO-25-1576710"/>
    <d v="2025-09-24T11:20:00"/>
    <d v="2025-09-25T10:24:00"/>
    <s v="NO"/>
    <s v="USUARIO"/>
    <s v="COMUNICACION"/>
    <s v="CONEXIONES DE COMERCIO"/>
    <m/>
    <m/>
    <s v="CERRADO"/>
    <s v="24/09/2025 SE INTENTA COMUNICACIÓN CON LA SRA ANYI DIAZ AL NÚMERO 3164164844 PARA CONFIRMAR DATOS Y FALLA PERO NO HAY CONTACTO, SE ESCALA A COORDINADOR DE ZONA PARA VALIDAR EN SITIO | 25/09/2025 SE REALIZA GESTIÓN TELEFÓNICA ATIENDE LA SRA ANGIE DIAS CON CC: 1094832277, INDICANDONOS QUE EL DIA DE AYER PRESENTABA PROBLEMAS CON EL CABLE DE RED, LA CUAL EL DIA DE AYER LO CAMBIO Y LE QUEDO OPERATIVO"/>
    <s v="SOPORTE_TELEFÓNICO"/>
    <n v="0"/>
    <s v="TIPO III"/>
    <s v="TERRESTRE"/>
    <s v="MAESTRE MENGUAL EDGAR ENRIQUE"/>
    <n v="0"/>
    <n v="0"/>
    <n v="0"/>
    <n v="0"/>
    <n v="37904.65408"/>
    <n v="37904.65408"/>
  </r>
  <r>
    <s v="VILLAVICENCIO"/>
    <x v="3"/>
    <x v="3"/>
    <n v="50226"/>
    <n v="2787115"/>
    <n v="54150"/>
    <s v="INCIDENTE "/>
    <s v="META"/>
    <s v="CUMARAL"/>
    <s v="BARRIO VILLA CLAUDIA CUMARAL"/>
    <s v="REDEBAN"/>
    <s v="FO-25-1576333"/>
    <d v="2025-09-24T10:43:00"/>
    <d v="2025-09-27T09:27:00"/>
    <s v="NO"/>
    <s v="USUARIO"/>
    <s v="COMUNICACION"/>
    <s v="CONEXIONES DE COMERCIO"/>
    <m/>
    <m/>
    <s v="CERRADO"/>
    <s v="24/09/2025 SE ESCALA PARA VISITA. LLAMAR ANTES DE VISITAR, CONFIRMAR FALLA Y DATOS | 26/09/2025 SE REALIZA VISITA AL CB Y EL USUARIO INFORMA QUE YA EL DATÁFONO ESTÁ FUNCIONANDO, ERA POR SEÑAL DEL INTERNET Y YA TODO OK SE REALIZA UNA PRUEBA Y TODO OK"/>
    <s v="VISITA_TÉCNICA"/>
    <s v="XP3ZZ042"/>
    <s v="TIPO II"/>
    <s v="TERRESTRE"/>
    <s v="MOLINA CASTRO JAVIER ALBERTO"/>
    <n v="1"/>
    <n v="0"/>
    <n v="0"/>
    <n v="0"/>
    <n v="163813.55812"/>
    <n v="163813.55812"/>
  </r>
  <r>
    <s v="MEDELLIN"/>
    <x v="2"/>
    <x v="2"/>
    <n v="5001"/>
    <n v="2786290"/>
    <n v="25163"/>
    <s v="INCIDENTE "/>
    <s v="ANTIOQUIA"/>
    <s v="MEDELLIN"/>
    <s v="REDY BELEN LA 33"/>
    <s v="REDEBAN"/>
    <s v="FO-25-1575826"/>
    <d v="2025-09-24T09:53:00"/>
    <d v="2025-09-24T15:51:00"/>
    <s v="NO"/>
    <s v="USUARIO"/>
    <s v="MANTENIMIENTO"/>
    <s v="MANTENIMIENTO GENERAL"/>
    <m/>
    <m/>
    <s v="CERRADO"/>
    <s v="24/09/2025 SE ESCALA PARA VISITA. LLAMAR ANTES DE VISITAR, CONFIRMAR FALLA Y DATOS | 24/09/2025 SE LLEGA COMERCIO Y KA SEÑORA VICKY INDICA QUE YA EL DATÁFONO FUNCIONA CORRECTAMENTE, FUENTE DE PODER MAL CONECTADA"/>
    <s v="VISITA_TÉCNICA"/>
    <s v="999VZ081"/>
    <s v="TIPO I"/>
    <s v="TERRESTRE"/>
    <s v="BADEL ACUÑA LUIS ALBERTO"/>
    <n v="1"/>
    <n v="0"/>
    <n v="0"/>
    <n v="0"/>
    <n v="65960.473639999997"/>
    <n v="65960.473639999997"/>
  </r>
  <r>
    <s v="VALLEDUPAR"/>
    <x v="4"/>
    <x v="4"/>
    <n v="20011"/>
    <n v="2786424"/>
    <n v="39373"/>
    <s v="INCIDENTE "/>
    <s v="CESAR"/>
    <s v="AGUACHICA"/>
    <s v="DISTRICOL TODO MATERIALES JM"/>
    <s v="REDEBAN"/>
    <s v="FO-25-1575835"/>
    <d v="2025-09-24T09:42:00"/>
    <d v="2025-09-27T13:16:00"/>
    <s v="NO"/>
    <s v="USUARIO"/>
    <s v="COMUNICACION"/>
    <s v="CONEXIONES DE COMERCIO"/>
    <m/>
    <m/>
    <s v="CERRADO"/>
    <s v="24/09/2025 SE INTENTA COMUNICACIÓN CON LA SRA YANETH ÁLVAREZ AL NÚMERO  3115143763 PARA CONFIRMAR DATOS Y FALLA PERO NO HAY CONTACTO, SE ESCALA AQ COORDINADOR DE ZONA PARA VALIDAR EN SITIO | 27/09/2025 SE LLEGA A SITIO, Y SE VALIDA QUE LAS CONEXIONES DEL CABLE UTB DEL MODEM AL DATAFONO ESTABAN UN POCO FLOJOS, SE PROCEDE A AJUSTAR EL CABLEADO, SE REALIZAN PRUEBAS DEJANDO SERVICIO FUNCIONAL AL 100 %"/>
    <s v="VISITA_TÉCNICA"/>
    <s v="AA08Z505"/>
    <s v="TIPO IV"/>
    <s v="TERRESTRE"/>
    <s v="MONTES DIAZ JOHN FRED"/>
    <n v="1"/>
    <n v="0"/>
    <n v="0"/>
    <n v="0"/>
    <n v="479589.73656000005"/>
    <n v="479589.73656000005"/>
  </r>
  <r>
    <s v="PASTO"/>
    <x v="0"/>
    <x v="0"/>
    <n v="52001"/>
    <n v="2786212"/>
    <n v="76204"/>
    <s v="INCIDENTE "/>
    <s v="NARIÑO"/>
    <s v="PASTO"/>
    <s v="DISTRICOL DROGUERIA KAFAR"/>
    <s v="REDEBAN"/>
    <s v="FO-25-1575716"/>
    <d v="2025-09-24T09:38:00"/>
    <d v="2025-09-24T15:55:00"/>
    <s v="NO"/>
    <s v="USUARIO"/>
    <s v="COMUNICACION"/>
    <s v="CANAL DEL COMERCIO"/>
    <m/>
    <m/>
    <s v="CERRADO"/>
    <s v="24/09/2025 SE ESCALA PARA VISITA. LLAMAR ANTES DE VISITAR, CONFIRMAR FALLA Y DATOS | 24/09/2025 SE VERIFICÓ FALLA DE COMUNICACIÓN, FALLA DE PARÁMETROS DE COMUNICACIÓN, SE ENCONTRÓ FALLA DEL CANAL DEL COMERCIO EL CUAL NO CONECTA CORRECTAMENTE EL DATÁFONO EL CLIENTE YA REPORTO A SU OPERADOR DE INTERNET, A SU VEZ SE ENCONTRÓ FALLA DE LECTORA SE CAMBIA LECTOR SE EJECUTAN PRUEBAS TX EXITOSAS QUEDA OPERATIVO."/>
    <s v="VISITA_TÉCNICA"/>
    <s v="FA0GZ496"/>
    <s v="TIPO I"/>
    <s v="TERRESTRE"/>
    <s v="REMICIO AMADO JOHN HEBER"/>
    <n v="1"/>
    <n v="0"/>
    <n v="0"/>
    <n v="0"/>
    <n v="65960.473639999997"/>
    <n v="65960.473639999997"/>
  </r>
  <r>
    <s v="VILLAVICENCIO"/>
    <x v="3"/>
    <x v="3"/>
    <n v="25335"/>
    <n v="2786081"/>
    <n v="75234"/>
    <s v="INCIDENTE "/>
    <s v="CUNDINAMARCA"/>
    <s v="GUAYABETAL"/>
    <s v="PTM GUAYABETAL D.VELEZ COMUNIC"/>
    <s v="REDEBAN"/>
    <s v="FO-25-1575647"/>
    <d v="2025-09-24T09:32:00"/>
    <d v="2025-09-25T15:57:00"/>
    <s v="NO"/>
    <s v="USUARIO"/>
    <s v="NO ENCIENDE"/>
    <s v="CONEXIONES DE COMERCIO"/>
    <m/>
    <m/>
    <s v="CERRADO"/>
    <s v="24/09/2025 SE ESCALA PARA VISITA. LLAMAR ANTES DE VISITAR, CONFIRMAR FALLA Y DATOS | 25/09/2025 SE REALIZA CONTACTO CON LA SEÑORA DOLLY LA CUAL INDICA QUE EL DATAFONO SE ENXUENTRA OK, UE EL DAÑO ERA EN EL TOMA CORRIENTE DE COMERCIO"/>
    <s v="SOPORTE_TELEFÓNICO"/>
    <n v="0"/>
    <s v="TIPO II"/>
    <s v="TERRESTRE"/>
    <s v="PEDREROS CONTRERAS MICHAEL STEVENS"/>
    <n v="0"/>
    <n v="0"/>
    <n v="0"/>
    <n v="0"/>
    <n v="37904.65408"/>
    <n v="37904.65408"/>
  </r>
  <r>
    <s v="MEDELLIN"/>
    <x v="2"/>
    <x v="2"/>
    <n v="5501"/>
    <n v="2783837"/>
    <n v="44521"/>
    <s v="INCIDENTE "/>
    <s v="ANTIOQUIA"/>
    <s v="OLAYA"/>
    <s v="DISTRICOL SUPERMERCADO LUBISKY"/>
    <s v="REDEBAN"/>
    <s v="FO-25-1573964"/>
    <d v="2025-09-23T16:39:00"/>
    <d v="2025-09-25T15:47:00"/>
    <s v="NO"/>
    <s v="USUARIO"/>
    <s v="COMUNICACION"/>
    <s v="CANAL DEL COMERCIO"/>
    <m/>
    <m/>
    <s v="CERRADO"/>
    <s v="23/09/2025 SE ESCALA PARA VISITA. LLAMAR ANTES DE VISITAR, CONFIRMAR FALLA Y DATOS | 25/09/2025 SE VÁLIDA POR LLAMADA XON EL USUARIO E INDICA QUE YA ESTA OPERATIVO EL CB SE HACEN PRUEBAS OK SE HABLA CON EL SEÑOR LUBIN JARAMILLO"/>
    <s v="SOPORTE_TELEFÓNICO"/>
    <n v="0"/>
    <s v="TIPO II"/>
    <s v="TERRESTRE"/>
    <s v="MONTOYA VELEZ ANDRES FELIPE"/>
    <n v="0"/>
    <n v="0"/>
    <n v="0"/>
    <n v="0"/>
    <n v="37904.65408"/>
    <n v="37904.65408"/>
  </r>
  <r>
    <s v="APARTADO"/>
    <x v="2"/>
    <x v="2"/>
    <n v="5837"/>
    <n v="2782755"/>
    <n v="81350"/>
    <s v="INCIDENTE "/>
    <s v="ANTIOQUIA"/>
    <s v="TURBO"/>
    <s v="DISTRICOL ELECTRODOMESTICOS"/>
    <s v="REDEBAN"/>
    <s v="FO-25-1579528 | FO-25-1573391"/>
    <d v="2025-09-23T15:16:00"/>
    <d v="2025-09-25T15:15:00"/>
    <s v="NO"/>
    <s v="USUARIO"/>
    <s v="MANTENIMIENTO"/>
    <s v="MANTENIMIENTO GENERAL"/>
    <m/>
    <m/>
    <s v="CERRADO"/>
    <s v="23/09/2025 SE ESCALA PARA VISITA. LLAMAR ANTES DE VISITAR, CONFIRMAR FALLA Y DATOS | 24/09/2025 SE REALIZA CAMBIO DE DATÁFONO POR ALERTA IRRUPTION. CLIENTE TIENE PORTAL CAUTIVO Y DEBE ANEXAR LA DIRECCIÓN MAC DEL DATSFONO AL ROUTER DEL CLIENTE PARA TENER ACCESO A INTERNET. CLIENTE INDICA QUE YA LE INFORMO AL PROVEEDOR DE INTERNET PARA ACEPTAR LA MAC DEL DATAFINO EN SU RED. CLIENTE INDICARA A LINEA BANCOLOMBIA CUANDO PROVEEDOR DE INTERNET LE SOLUCIONE._x000a_25/09/2025 OPERADOR DE INTERNET ARREGLO SU CANAL DEJANDO OPERATIVO EL DATAFONO. CLIENTE INDICA TRANSACCIONES OK"/>
    <s v="VISITA_TÉCNICA"/>
    <n v="0"/>
    <s v="TIPO II"/>
    <s v="TERRESTRE"/>
    <s v="CASTRO HENAO DANIEL ESTEBAN"/>
    <n v="1"/>
    <n v="0"/>
    <n v="0"/>
    <n v="0"/>
    <n v="163813.55812"/>
    <n v="163813.55812"/>
  </r>
  <r>
    <s v="PASTO"/>
    <x v="0"/>
    <x v="0"/>
    <n v="52001"/>
    <n v="2781894"/>
    <n v="56861"/>
    <s v="INCIDENTE "/>
    <s v="NARIÑO"/>
    <s v="PASTO"/>
    <s v="BARRIO TOROBAJO PASTO 1"/>
    <s v="REDEBAN"/>
    <s v="FO-25-1572570"/>
    <d v="2025-09-23T13:52:00"/>
    <d v="2025-09-24T12:16:00"/>
    <s v="NO"/>
    <s v="USUARIO"/>
    <s v="COMUNICACION"/>
    <s v="CONEXIONES DE COMERCIO"/>
    <m/>
    <m/>
    <s v="CERRADO"/>
    <s v="23/09/2025 SE ESCALA PARA VISITA. LLAMAR ANTES DE VISITAR, CONFIRMAR FALLA Y DATOS | 24/09/2025 SE ENCUENTRA DATAFONO SIN CONEXIÓN SE REALIZA MANTENIMIENTO Y REVISIÓN DE CABLES Y SE LOGRA CONEXIÓN EXITOSA CONFIGURACIÓN OK PARÁMETROS OK Y SE REALIZAN PRUEBAS ÉXITOSAS DE TRANSACCIONES"/>
    <s v="VISITA_TÉCNICA"/>
    <s v="IIOZZ209"/>
    <s v="TIPO I"/>
    <s v="TERRESTRE"/>
    <s v="PAZ MARTINEZ RICHARD HUMBERTO"/>
    <n v="1"/>
    <n v="0"/>
    <n v="0"/>
    <n v="0"/>
    <n v="65960.473639999997"/>
    <n v="65960.473639999997"/>
  </r>
  <r>
    <s v="MEDELLIN"/>
    <x v="2"/>
    <x v="2"/>
    <n v="5001"/>
    <n v="2781349"/>
    <n v="38424"/>
    <s v="INCIDENTE "/>
    <s v="ANTIOQUIA"/>
    <s v="MEDELLIN"/>
    <s v="BARRIO SANTA CRUZ MEDELLIN 4"/>
    <s v="REDEBAN"/>
    <s v="FO-25-1571329"/>
    <d v="2025-09-23T11:47:00"/>
    <d v="2025-09-23T15:14:00"/>
    <s v="NO"/>
    <s v="USUARIO"/>
    <s v="MANTENIMIENTO"/>
    <s v="MANTENIMIENTO GENERAL"/>
    <m/>
    <m/>
    <s v="CERRADO"/>
    <s v="23/09/2025 SE ESCALA PARA VISITA. LLAMAR ANTES DE VISITAR, CONFIRMAR FALLA Y DATOS | 23/09/2025 SE HACE VISITA OK EQUIPOS OPERANDO CON NORMALIDAD. SE HACE MANTENIMIENTO OK DE DATÁFONO"/>
    <s v="VISITA_TÉCNICA"/>
    <s v="AA00X490"/>
    <s v="TIPO I"/>
    <s v="TERRESTRE"/>
    <s v="DIAZ ZABALA FRANCIS DUBAN"/>
    <n v="1"/>
    <n v="0"/>
    <n v="0"/>
    <n v="0"/>
    <n v="65960.473639999997"/>
    <n v="65960.473639999997"/>
  </r>
  <r>
    <s v="BOGOTA"/>
    <x v="5"/>
    <x v="6"/>
    <n v="11001"/>
    <n v="2780601"/>
    <n v="80771"/>
    <s v="INCIDENTE "/>
    <s v="CUNDINAMARCA"/>
    <s v="BOGOTA"/>
    <s v="BARRIO LA IGUALDAD BOGOTA 3"/>
    <s v="REDEBAN"/>
    <s v="FO-25-1571099"/>
    <d v="2025-09-23T10:56:00"/>
    <d v="2025-09-24T09:50:00"/>
    <s v="NO"/>
    <s v="ENTIDAD"/>
    <s v="ERROR DE TRANSACCIONES"/>
    <s v="TRANSACCION NO PERMITIDA"/>
    <m/>
    <m/>
    <s v="CERRADO"/>
    <s v="23/09/2025 SE ESCALA PARA VISITA. LLAMAR ANTES DE VISITAR, CONFIRMAR FALLA Y DATOS | 24/09/2025 SE REALIZA VISITA A CB PARA ATENDER INCIDENTE CLIENTE INDICA QUE YA ESTÁ FUNCIONANDO SIN NOVEDAD"/>
    <s v="VISITA_TÉCNICA"/>
    <s v="F8ZZZ025"/>
    <s v="TIPO I"/>
    <s v="TERRESTRE"/>
    <s v="GALINDO ROJAS LUIS FELIPE"/>
    <n v="1"/>
    <n v="0"/>
    <n v="0"/>
    <n v="0"/>
    <n v="65960.473639999997"/>
    <n v="65960.473639999997"/>
  </r>
  <r>
    <s v="BUCARAMANGA"/>
    <x v="1"/>
    <x v="1"/>
    <n v="68895"/>
    <n v="2780328"/>
    <n v="80820"/>
    <s v="INCIDENTE "/>
    <s v="SANTANDER"/>
    <s v="ZAPATOCA"/>
    <s v="BARRIO SANTA BARBARA ZAPATOCA 2"/>
    <s v="REDEBAN"/>
    <s v="FO-25-1571145"/>
    <d v="2025-09-23T10:34:00"/>
    <d v="2025-09-24T17:28:00"/>
    <s v="NO"/>
    <s v="USUARIO"/>
    <s v="COMUNICACION"/>
    <s v="CONEXIONES DE COMERCIO"/>
    <m/>
    <m/>
    <s v="CERRADO"/>
    <s v="23/09/2025 EN COMUNICACIÓN CON LA SRA YOSARY MILENA MANJARRES RODRIGUEZ AL NÚMERO 3008873436 NOS INFORMA QUE LA FALLA ES CABLE DE RED DESCONECTADO, CONFIRMA DATOS E INDICA QUE LA RED ES REDEBAN, SE ESCALA PARA VISITA | 24/09/2025 EN COMUNICACIÓN CON SEÑORA MILENA MANJARREZ NOS INFORMA QUE AYER EN LA TARDE Y EL DÍA DE HOY YA ESTÁ TRABAJANDO NORMALMENTE AL PARECER ERA FALA DEL INTERNET, POR LO ANTERIOR INDICA QUE NO ES NECESARIO YA QUE ESTÁ OPERANDO CORRECTAMENTE"/>
    <s v="SOPORTE_TELEFÓNICO"/>
    <n v="0"/>
    <s v="TIPO III"/>
    <s v="TERRESTRE"/>
    <s v="PEÑA DIAZ IVAN YESID"/>
    <n v="0"/>
    <n v="0"/>
    <n v="0"/>
    <n v="0"/>
    <n v="37904.65408"/>
    <n v="37904.65408"/>
  </r>
  <r>
    <s v="MEDELLIN"/>
    <x v="2"/>
    <x v="2"/>
    <n v="5001"/>
    <n v="2777679"/>
    <n v="31129"/>
    <s v="INCIDENTE "/>
    <s v="ANTIOQUIA"/>
    <s v="MEDELLIN"/>
    <s v="BARRIO MORAVIA 2"/>
    <s v="REDEBAN"/>
    <s v="FO-25-1568225"/>
    <d v="2025-09-23T08:00:00"/>
    <d v="2025-09-23T12:56:00"/>
    <s v="NO"/>
    <s v="USUARIO"/>
    <s v="NO ENCIENDE"/>
    <s v="CONEXIONES DE COMERCIO"/>
    <m/>
    <m/>
    <s v="CERRADO"/>
    <s v="23/09/2025 SE ESCALA PARA VISITA. LLAMAR ANTES DE VISITAR, CONFIRMAR FALLA Y DATOS | 23/09/2025 SE HACE MANTENIMIENTO OK SE VALIDA CABLEDO DEL COMERCIO Y SE ORGÁNICA CABLEADOS"/>
    <s v="VISITA_TÉCNICA"/>
    <s v="BL01B278"/>
    <s v="TIPO I"/>
    <s v="TERRESTRE"/>
    <s v="DIAZ ZABALA FRANCIS DUBAN"/>
    <n v="1"/>
    <n v="0"/>
    <n v="0"/>
    <n v="0"/>
    <n v="65960.473639999997"/>
    <n v="65960.473639999997"/>
  </r>
  <r>
    <s v="PASTO"/>
    <x v="0"/>
    <x v="0"/>
    <n v="52001"/>
    <n v="2777112"/>
    <n v="81018"/>
    <s v="INCIDENTE "/>
    <s v="NARIÑO"/>
    <s v="PASTO"/>
    <s v="DISTRICOL DROG FARMAMEDIC"/>
    <s v="REDEBAN"/>
    <s v="FO-25-1566513"/>
    <d v="2025-09-22T16:19:00"/>
    <d v="2025-09-23T11:31:00"/>
    <s v="NO"/>
    <s v="USUARIO"/>
    <s v="LECTOR DE BARRAS"/>
    <s v="CAPACITACION MANIPULACION DE COMERCIO"/>
    <m/>
    <m/>
    <s v="CERRADO"/>
    <s v="22/09/2025 SE ESCALA PARA VISITA. LLAMAR ANTES DE VISITAR, CONFIRMAR FALLA Y DATOS | 23/09/2025 SE VERIFICÓ FALLA DE LECTOR DE CÓDIGO DE BARRAS NO PERMITE LEER CÓDIGOS DE CEDENAR SE LE DIO EL CÓDIGO DE CONVENIO SE EJECUTAN PRUEBAS TX EXITOSAS, A SU VEZ INDICA FALLA DE IMPRESIÓN SALE ENTRECORTADO LA INFORMACIÓN ESO ES PORQUE NO CIERRA BIEN LA TAPA DEL ROLLOS, SE REALIZÓ PRUEBAS TX EXITOSAS QUEDA OPERATIVO."/>
    <s v="VISITA_TÉCNICA"/>
    <s v="FJZZZ920"/>
    <s v="TIPO I"/>
    <s v="TERRESTRE"/>
    <s v="REMICIO AMADO JOHN HEBER"/>
    <n v="1"/>
    <n v="0"/>
    <n v="0"/>
    <n v="0"/>
    <n v="65960.473639999997"/>
    <n v="65960.473639999997"/>
  </r>
  <r>
    <s v="NEIVA"/>
    <x v="3"/>
    <x v="3"/>
    <n v="41551"/>
    <n v="2774399"/>
    <n v="80538"/>
    <s v="INCIDENTE "/>
    <s v="HUILA"/>
    <s v="PITALITO"/>
    <s v="BARRIO AGUA BLANCA PITALITO 4"/>
    <s v="REDEBAN"/>
    <s v="FO-25-1564206"/>
    <d v="2025-09-22T11:41:00"/>
    <d v="2025-09-24T09:20:00"/>
    <s v="NO"/>
    <s v="USUARIO"/>
    <s v="COMUNICACION"/>
    <s v="CONEXIONES DE COMERCIO"/>
    <m/>
    <m/>
    <s v="CERRADO"/>
    <s v="22/09/2025 SE INTENTA COMUNICACIÓN DESDE EL N. CORPORATIVO A LA SRA YESICA TRUJILLO PERDOMO AL NÚMERO 3144434059  PARA CONFIRMAR DATOS Y FALLAS PERO NO HAY CONTACTO, SE ESCALA A COORDINADOR DE ZONA PARA VALIDAR EN SITIO | 24/09/2025 SE REALIZA VISITA AL PUNTO, SE EVIDENCIA UNA MALA CONEXION DE INTERNET POR PARTE DEL COMERCIO LA CUAL SE CORRIGE , PPRUEBAS OK, CB OPERATIVO."/>
    <s v="VISITA_TÉCNICA"/>
    <s v="SEZZZ144"/>
    <s v="TIPO III"/>
    <s v="TERRESTRE"/>
    <s v="DEVIA REINOSO JUAN CARLOS"/>
    <n v="1"/>
    <n v="0"/>
    <n v="0"/>
    <n v="0"/>
    <n v="275728.37943999999"/>
    <n v="275728.37943999999"/>
  </r>
  <r>
    <s v="TUNJA"/>
    <x v="1"/>
    <x v="1"/>
    <n v="15176"/>
    <n v="2772904"/>
    <n v="81495"/>
    <s v="INCIDENTE "/>
    <s v="BOYACA"/>
    <s v="CHIQUINQUIRA"/>
    <s v="DISTRICOL TECHNOWORLD CHIQUINQ"/>
    <s v="REDEBAN"/>
    <s v="FO-25-1563147"/>
    <d v="2025-09-22T09:34:00"/>
    <d v="2025-09-22T15:05:00"/>
    <s v="NO"/>
    <s v="USUARIO"/>
    <s v="MANTENIMIENTO"/>
    <s v="MANTENIMIENTO GENERAL"/>
    <m/>
    <m/>
    <s v="CERRADO"/>
    <s v="22/09/2025 EN COMUNICACIÓN CON LA SRA KAREN ALEXANDRA BENAVIDEZ  AL NÚMERO 3223543827 NOS INFORMA QUE LA FALLA ES DATAFONO NO IMPRIME VOUCHERS, SE ESCALA A COORDINADOR DE ZONA PARA CONFIRMAR FALLA EN SITIO | 22/09/2025 SE VISITA COMERCIO , SE VALIDA EQUIPO TRABAJANDO CORRECTAMENTE EN LA IMPRESIÓN , SE REALIZA BORRADO DE  EQUIPO CARGANDO NUEVAMENTE S.O Y  VERSIÓN 10.3 N   DEJANDO PRUEBAS OK SIN TELECARGA NO AUTORIZADA"/>
    <s v="VISITA_TÉCNICA"/>
    <s v="FSZZZ882"/>
    <s v="TIPO III"/>
    <s v="TERRESTRE"/>
    <s v="ALVARADO MORENO CRISTHIAN"/>
    <n v="1"/>
    <n v="0"/>
    <n v="0"/>
    <n v="0"/>
    <n v="275728.37943999999"/>
    <n v="275728.37943999999"/>
  </r>
  <r>
    <s v="BOGOTA"/>
    <x v="5"/>
    <x v="6"/>
    <n v="99001"/>
    <n v="2772350"/>
    <n v="37352"/>
    <s v="INCIDENTE "/>
    <s v="VICHADA"/>
    <s v="PUERTO CARREÑO"/>
    <s v="BARRIO LA PLAZUELA PUERTO CARR"/>
    <s v="REDEBAN"/>
    <s v="FO-25-1565018"/>
    <d v="2025-09-22T09:11:00"/>
    <d v="2025-09-22T13:15:00"/>
    <s v="NO"/>
    <s v="USUARIO"/>
    <s v="COMUNICACION"/>
    <s v="CANAL DEL COMERCIO"/>
    <m/>
    <m/>
    <s v="CERRADO"/>
    <s v="0"/>
    <s v="SOPORTE_TELEFÓNICO"/>
    <n v="0"/>
    <s v="TIPO IV ESPECIAL"/>
    <s v="AEREO"/>
    <s v="GOMEZ FERRARO JOHANA"/>
    <n v="0"/>
    <n v="0"/>
    <n v="0"/>
    <n v="0"/>
    <n v="37904.65408"/>
    <n v="37904.65408"/>
  </r>
  <r>
    <s v="VILLAVICENCIO"/>
    <x v="3"/>
    <x v="3"/>
    <n v="50573"/>
    <n v="2772221"/>
    <n v="80563"/>
    <s v="INCIDENTE "/>
    <s v="META"/>
    <s v="PUERTO LOPEZ"/>
    <s v="BARRIO LA SABANA PUERTO LOPEZ"/>
    <s v="REDEBAN"/>
    <s v="FO-25-1563188"/>
    <d v="2025-09-22T09:01:00"/>
    <d v="2025-09-23T10:11:00"/>
    <s v="NO"/>
    <s v="USUARIO"/>
    <s v="CIERRE"/>
    <s v="COMERCIO NO REALIZA CIERRE"/>
    <m/>
    <m/>
    <s v="CERRADO"/>
    <s v="22/09/2025 SE ESCALA PARA VISITA. LLAMAR ANTES DE VISITAR, CONFIRMAR FALLA Y DATOS | 23/09/2025 SE REALIZA CONTACTO TELEFÓNICO 320974056 CON LA SEÑORA MILVIA SE REALIZA BORRADO DE TRANSACCIÓN SE LE BRINDA ASESORÍA SOBRE EL BUEN USO DEL DATÁFONO Y CIERRE DIARIO OK SIN NOVEDAD"/>
    <s v="SOPORTE_TELEFÓNICO"/>
    <n v="0"/>
    <s v="TIPO II"/>
    <s v="TERRESTRE"/>
    <s v="CASTRILLON URREA LONDIER LEANDRO"/>
    <n v="0"/>
    <n v="0"/>
    <n v="0"/>
    <n v="0"/>
    <n v="37904.65408"/>
    <n v="37904.65408"/>
  </r>
  <r>
    <s v="CALI"/>
    <x v="0"/>
    <x v="0"/>
    <n v="76001"/>
    <n v="2772022"/>
    <n v="20915"/>
    <s v="INCIDENTE "/>
    <s v="VALLE DEL CAUCA"/>
    <s v="CALI"/>
    <s v="2AGAFACIL PLAZA CAYCEDO"/>
    <s v="REDEBAN"/>
    <s v="FO-25-1562562"/>
    <d v="2025-09-22T08:54:00"/>
    <d v="2025-09-23T07:56:00"/>
    <s v="NO"/>
    <s v="USUARIO"/>
    <s v="LECTOR DE BARRAS"/>
    <s v="ERROR PAGOS PARCIALES DE FACTURAS"/>
    <m/>
    <m/>
    <s v="CERRADO"/>
    <s v="22/09/2025 SE ESCALA PARA VISITA. LLAMAR ANTES DE VISITAR, CONFIRMAR FALLA Y DATOS | 22/09/2025 SE HABLA CON LA SEÑORA DIANA QUIEN INDICA QUE TIENE UN EQUIPO SIN LECTOR DE BARRAS QUE ELLLA LEGO HACE POCO AL PUNTO Y EL EQUIPO LO ENCONTRO SIN NADA Y REQUIERE LA INSTALACION DE UN NUEVO LECTOR, SE VALIDA INVENTARIO CON REDEBAN PERO EN EL PUNTO HAY 3 DATAFONOS Y FIGURAN 3 LECTORAS DE CODIGO DE BARRAS , SE HABLA CON PAOLA DE REDEBAN QUIEN INDICA QUE NO SE PUEDE INSTALAR EL LECTOR QUE EL CLIENTE DEBE PRIMERO COLOCAR UN DENUNCIO POR PERDIDA PARA REALIZAR EL REMPLAZO DEL MISMO TODA VEZ QUE EL INVENTARIO ESTA COMPLETO, SE LE INFORMA AL CLIENTE"/>
    <s v="SOPORTE_TELEFÓNICO"/>
    <n v="0"/>
    <s v="TIPO I"/>
    <s v="TERRESTRE"/>
    <s v="HENAO CARDONA DIEGO FERNANDO"/>
    <n v="0"/>
    <n v="0"/>
    <n v="0"/>
    <n v="0"/>
    <n v="37904.65408"/>
    <n v="37904.65408"/>
  </r>
  <r>
    <s v="VILLAVICENCIO"/>
    <x v="3"/>
    <x v="3"/>
    <n v="50223"/>
    <n v="2771842"/>
    <n v="80364"/>
    <s v="INCIDENTE "/>
    <s v="META"/>
    <s v="CUBARRAL"/>
    <s v="BARRIO EL JARDIN CUBARRAL"/>
    <s v="REDEBAN"/>
    <s v="FO-25-1562409"/>
    <d v="2025-09-22T08:39:00"/>
    <d v="2025-09-23T13:37:00"/>
    <s v="NO"/>
    <s v="USUARIO"/>
    <s v="USUARIOS"/>
    <s v="TAPA MAL ASEGURADA"/>
    <m/>
    <m/>
    <s v="CERRADO"/>
    <s v="22/09/2025 SE ESCALA PARA VISITA. LLAMAR ANTES DE VISITAR, CONFIRMAR FALLA Y DATOS | 23/09/2025 SE REALIZA VISITA A COMERCIO CLIENTE MANIFIESTA SERVICIO OPERATIVO EL DÍA DE HOY SE ENCUENTRA SIN NOVEDADES OK SE LE BRINDA ASESORÍA PARA EL CORRECTO FUNCIONAMIENTO"/>
    <s v="VISITA_TÉCNICA"/>
    <s v="LBZZZ622"/>
    <s v="TIPO II"/>
    <s v="TERRESTRE"/>
    <s v="CASTRILLON URREA LONDIER LEANDRO"/>
    <n v="1"/>
    <n v="0"/>
    <n v="0"/>
    <n v="0"/>
    <n v="163813.55812"/>
    <n v="163813.55812"/>
  </r>
  <r>
    <s v="NEIVA"/>
    <x v="3"/>
    <x v="3"/>
    <n v="41001"/>
    <n v="2771670"/>
    <n v="80614"/>
    <s v="INCIDENTE "/>
    <s v="HUILA"/>
    <s v="NEIVA"/>
    <s v="BARRIO CALIXTO LEIVA NEIVA 1"/>
    <s v="REDEBAN"/>
    <s v="FO-25-1562465"/>
    <d v="2025-09-22T08:37:00"/>
    <d v="2025-09-22T15:28:00"/>
    <s v="NO"/>
    <s v="USUARIO"/>
    <s v="LECTOR DE BARRAS"/>
    <s v="ERROR PAGOS PARCIALES DE FACTURAS"/>
    <m/>
    <m/>
    <s v="CERRADO"/>
    <s v="22/09/2025 SE ESCALA PARA VISITA. LLAMAR ANTES DE VISITAR, CONFIRMAR FALLA Y DATOS | 22/09/2025 SE REALIZA VISITA AL PUNTO, CLIENTE ÍNDICA QUE EL LECTOR NO LEE LOS  CÓDIGOS DE BARRAS RURALES, SE LE INDICA AL CLIENTE QUE ESA CLASE DE CÓDIGO DE BARRAS NO LAS LEE EL LECTOR POR EL TAMAÑO. DE REALIZAN PRUEBAS CON OTROS CÓDIGOS Y FUNCIONAN OK, CB OPERATIVO"/>
    <s v="VISITA_TÉCNICA"/>
    <s v="V6ZZZ780"/>
    <s v="TIPO I"/>
    <s v="TERRESTRE"/>
    <s v="DEVIA REINOSO JUAN CARLOS"/>
    <n v="1"/>
    <n v="0"/>
    <n v="0"/>
    <n v="0"/>
    <n v="65960.473639999997"/>
    <n v="65960.473639999997"/>
  </r>
  <r>
    <s v="MEDELLIN"/>
    <x v="2"/>
    <x v="2"/>
    <n v="5679"/>
    <n v="2771714"/>
    <n v="37908"/>
    <s v="INCIDENTE "/>
    <s v="ANTIOQUIA"/>
    <s v="SANTA BARBARA"/>
    <s v="BARRIO GALERIA SANTA BARBARA"/>
    <s v="REDEBAN"/>
    <s v="FO-25-1562097"/>
    <d v="2025-09-22T08:15:00"/>
    <d v="2025-09-23T10:10:00"/>
    <s v="NO"/>
    <s v="USUARIO"/>
    <s v="USUARIOS"/>
    <s v="MALA MANIPULACION POS"/>
    <m/>
    <m/>
    <s v="CERRADO"/>
    <s v="22/09/2025 SE ESCALA PARA VISITA. LLAMAR ANTES DE VISITAR, CONFIRMAR FALLA Y DATOS | 22/09/2025 SE EVIDENCIA QUE EL USUARIO USO LA PRIMERA PARTE DEL ROLLO QUE ESTÁBA NUEVO Y  POR ESO NO IMPRIMIÓ BIEN SE HACEN PRUEBAS OK"/>
    <s v="SOPORTE_TELEFÓNICO"/>
    <n v="0"/>
    <s v="TIPO II"/>
    <s v="TERRESTRE"/>
    <s v="MONTOYA VELEZ ANDRES FELIPE"/>
    <n v="0"/>
    <n v="0"/>
    <n v="0"/>
    <n v="0"/>
    <n v="37904.65408"/>
    <n v="37904.65408"/>
  </r>
  <r>
    <s v="BOGOTA"/>
    <x v="5"/>
    <x v="6"/>
    <n v="25286"/>
    <n v="2770696"/>
    <n v="79847"/>
    <s v="INCIDENTE "/>
    <s v="CUNDINAMARCA"/>
    <s v="FUNZA"/>
    <s v="BARRIO CENTRO FUNZA FUNZA"/>
    <s v="REDEBAN"/>
    <s v="FO-25-1561042"/>
    <d v="2025-09-21T13:43:00"/>
    <d v="2025-09-22T15:36:00"/>
    <s v="NO"/>
    <s v="USUARIO"/>
    <s v="CIERRE"/>
    <s v="COMERCIO NO REALIZA CIERRE"/>
    <m/>
    <m/>
    <s v="CERRADO"/>
    <s v="21/09/2025 SE ESCALA PARA VISITA. LLAMAR ANTES DE VISITAR, CONFIRMAR FALLA Y DATOS | 22/09/2025 SE LLAMA AL CLIENTE PARA VALIDAR LA FALLA, SE HABLÁ CON LA SRA DIANA HUERTAS QUIEN INDICA QUE SE LE ACUMULA LA INFORMACIÓN DE TRANSACCIONES DE LOS DÍAS Y AL HACER EL CIERRE NO BORRA LA INFO, SE LE INDAGA COMO REALIZA EL CIERRE Y SE DETECTA QUE LO ESTÁ HACIENDO ERRADAMENTE, POR LO QUE SE LE BRINDAN LOS PASOS PARA HACERLO DE LA MANERA CORRECTA, EL CLIENTE QUEDA SATISFECHO Y SE CIERRA LA ACTIVIDAD EXITOSA"/>
    <s v="SOPORTE_TELEFÓNICO"/>
    <n v="0"/>
    <s v="TIPO II"/>
    <s v="TERRESTRE"/>
    <s v="VEGA MANRIQUE JONATAN MAURICIO"/>
    <n v="0"/>
    <n v="0"/>
    <n v="0"/>
    <n v="0"/>
    <n v="37904.65408"/>
    <n v="37904.65408"/>
  </r>
  <r>
    <s v="MEDELLIN"/>
    <x v="2"/>
    <x v="2"/>
    <n v="5001"/>
    <n v="2770660"/>
    <n v="74979"/>
    <s v="INCIDENTE "/>
    <s v="ANTIOQUIA"/>
    <s v="MEDELLIN"/>
    <s v="PTM MEDELLIN MERCADOS EL TIGRE"/>
    <s v="REDEBAN"/>
    <s v="FO-25-1560803"/>
    <d v="2025-09-21T11:04:00"/>
    <d v="2025-09-22T09:21:00"/>
    <s v="NO"/>
    <s v="USUARIO"/>
    <s v="COMUNICACION"/>
    <s v="CONEXIONES DE COMERCIO"/>
    <m/>
    <m/>
    <s v="CERRADO"/>
    <s v="21/09/2025 SE ESCALA PARA VISITA. LLAMAR ANTES DE VISITAR, CONFIRMAR FALLA Y DATOS | 22/09/2025 SE LLAMA AL CLIENTE Y NOS INDICA QUE HABÍA UNA MALA CONEXIÓN CON CLARO, EL PROBLEMA QUEDÓ RESUELTO"/>
    <s v="SOPORTE_TELEFÓNICO"/>
    <n v="0"/>
    <s v="TIPO I"/>
    <s v="TERRESTRE"/>
    <s v="CARDONA MOLINA BROLIN STIVEN"/>
    <n v="0"/>
    <n v="0"/>
    <n v="0"/>
    <n v="0"/>
    <n v="37904.65408"/>
    <n v="37904.65408"/>
  </r>
  <r>
    <s v="BARRANQUILLA"/>
    <x v="4"/>
    <x v="4"/>
    <n v="8001"/>
    <n v="2769611"/>
    <n v="45896"/>
    <s v="INCIDENTE "/>
    <s v="ATLANTICO"/>
    <s v="BARRANQUILLA"/>
    <s v="BARRIO ALTO PRADO BARRANQUILLA"/>
    <s v="REDEBAN"/>
    <s v="FO-25-1558507"/>
    <d v="2025-09-20T09:57:00"/>
    <d v="2025-09-20T14:09:00"/>
    <s v="NO"/>
    <s v="USUARIO"/>
    <s v="COMUNICACION"/>
    <s v="CONEXIONES DE COMERCIO"/>
    <m/>
    <m/>
    <s v="CERRADO"/>
    <s v="20/09/2025 SE ESCALA PARA VISITA. LLAMAR ANTES DE VISITAR, CONFIRMAR FALLA Y DATOS | 20/09/2025 OKA | 20/09/2025 EN COMUNICACIÓN VÍA WASHAP AL NÚMERO 3004192612, LA SEÑORA LINA RAMÍREZ ME INFORMA QUE ERA UN PROBLEMA CON LA CONEXIÓN INTERNA, PERO QUE YA SOLUCIONARON Y QUE NO ES NECESARIA LA VISITA"/>
    <s v="SOPORTE_TELEFÓNICO"/>
    <n v="0"/>
    <s v="TIPO I"/>
    <s v="TERRESTRE"/>
    <s v="DE AVILA SIADES ALBERTO ENRIQUE"/>
    <n v="0"/>
    <n v="0"/>
    <n v="0"/>
    <n v="0"/>
    <n v="37904.65408"/>
    <n v="37904.65408"/>
  </r>
  <r>
    <s v="BARRANQUILLA"/>
    <x v="4"/>
    <x v="4"/>
    <n v="8296"/>
    <n v="2768866"/>
    <n v="49496"/>
    <s v="INCIDENTE "/>
    <s v="ATLANTICO"/>
    <s v="GALAPA"/>
    <s v="DISTRICOL VARIEDADES KAROLAY"/>
    <s v="REDEBAN"/>
    <s v="FO-25-1557594"/>
    <d v="2025-09-20T08:00:00"/>
    <d v="2025-09-20T13:48:00"/>
    <s v="NO"/>
    <s v="USUARIO"/>
    <s v="COMUNICACION"/>
    <s v="CONEXIONES DE COMERCIO"/>
    <m/>
    <m/>
    <s v="CERRADO"/>
    <s v="20/09/2025 SE ESCALA PARA VISITA. LLAMAR ANTES DE VISITAR, CONFIRMAR FALLA Y DATOS | 20/09/2025 SE REALIZA VISITA SE PROCEDE A VALIDAR DATAFONO Y TODOS OK ,INTERNET OK , SE VALIDA EL CONECTOR DEL CABLE DE RED DEL CLIENTE POSIBLE FRACTURA, SE CAMBIA CONECTOR SE HACEN PRUEBAS Y TODO OK"/>
    <s v="VISITA_TÉCNICA"/>
    <s v="AD00Q073"/>
    <s v="TIPO I"/>
    <s v="TERRESTRE"/>
    <s v="PORRAS CASTRO DARLON NASCK"/>
    <n v="1"/>
    <n v="0"/>
    <n v="0"/>
    <n v="0"/>
    <n v="65960.473639999997"/>
    <n v="65960.473639999997"/>
  </r>
  <r>
    <s v="MEDELLIN"/>
    <x v="2"/>
    <x v="2"/>
    <n v="5001"/>
    <n v="2768860"/>
    <n v="21681"/>
    <s v="INCIDENTE "/>
    <s v="ANTIOQUIA"/>
    <s v="MEDELLIN"/>
    <s v="BARRIO BLANQUIZAL MEDELLIN"/>
    <s v="REDEBAN"/>
    <s v="FO-25-1557598"/>
    <d v="2025-09-20T08:00:00"/>
    <d v="2025-09-20T13:52:00"/>
    <s v="NO"/>
    <s v="USUARIO"/>
    <s v="MANTENIMIENTO"/>
    <s v="MANTENIMIENTO GENERAL"/>
    <m/>
    <m/>
    <s v="CERRADO"/>
    <s v="20/09/2025 SE ESCALA PARA VISITA. LLAMAR ANTES DE VISITAR, CONFIRMAR FALLA Y DATOS | 20/09/2025 SE REALIZA MANTENIMIENTO Y SE EXPLICA AL USUARIO CONO HACER CORRECTAMENTE LOS CIERRES, PRUEBAS OK"/>
    <s v="VISITA_TÉCNICA"/>
    <s v="AAVZZ111"/>
    <s v="TIPO I"/>
    <s v="TERRESTRE"/>
    <s v="CARDONA MOLINA BROLIN STIVEN"/>
    <n v="1"/>
    <n v="0"/>
    <n v="0"/>
    <n v="0"/>
    <n v="65960.473639999997"/>
    <n v="65960.473639999997"/>
  </r>
  <r>
    <s v="MEDELLIN"/>
    <x v="2"/>
    <x v="2"/>
    <n v="5631"/>
    <n v="2766731"/>
    <n v="35686"/>
    <s v="INCIDENTE "/>
    <s v="ANTIOQUIA"/>
    <s v="SABANETA"/>
    <s v="DISTRICOL TIENDA MARIGU"/>
    <s v="REDEBAN"/>
    <s v="FO-25-1554971"/>
    <d v="2025-09-19T12:04:00"/>
    <d v="2025-09-20T13:16:00"/>
    <s v="NO"/>
    <s v="USUARIO"/>
    <s v="LECTOR DE TARJETAS"/>
    <s v="OBSTRUCCION DEL LECTOR"/>
    <m/>
    <m/>
    <s v="CERRADO"/>
    <s v="19/09/2025 SE ESCALA PARA VISITA. LLAMAR ANTES DE VISITAR, CONFIRMAR FALLA Y DATOS | 20/09/2025 SE REALIZÓ GESTIÓN TELEFÓNICA SE HABLÓ CON L SEÑORA MARÍA VÉLEZ NOS INDICA QUE SE ENCUENTRA HACIENDO COMPENSACIÓN EN EL PARQUE DE SABANETA Y NOS PODRÁ ATENDER DESPUÉS DE LAS 12:30 | 20/09/2025 SE REALIZÓ CAMBIO DE EQUIPO POR LECTOR DE CHIP AVERIADO"/>
    <s v="VISITA_TÉCNICA"/>
    <s v="9A005422"/>
    <s v="TIPO I"/>
    <s v="TERRESTRE"/>
    <s v="CASTAÑEDA PALACIO CARLOS FELIPE"/>
    <n v="1"/>
    <n v="0"/>
    <n v="0"/>
    <n v="0"/>
    <n v="65960.473639999997"/>
    <n v="65960.473639999997"/>
  </r>
  <r>
    <s v="TUNJA"/>
    <x v="1"/>
    <x v="1"/>
    <n v="15001"/>
    <n v="2765780"/>
    <n v="66513"/>
    <s v="INCIDENTE "/>
    <s v="BOYACA"/>
    <s v="TUNJA"/>
    <s v="BARRIO LOS MUISCAS TUNJA 5"/>
    <s v="REDEBAN"/>
    <s v="FO-25-1555044"/>
    <d v="2025-09-19T10:53:00"/>
    <d v="2025-09-19T17:55:00"/>
    <s v="NO"/>
    <s v="USUARIO"/>
    <s v="COMUNICACION"/>
    <s v="CONEXIONES DE COMERCIO"/>
    <m/>
    <m/>
    <s v="CERRADO"/>
    <s v="19/09/2025 SE ESCALA PARA VISITA. LLAMAR ANTES DE VISITAR, CONFIRMAR FALLA Y DATOS | 19/09/2025 SE VISITA CB MANTENIMIENTO CONFIGURACIÓN EQUIPO A INTERNET DE CLIENTE PRUEBAS EXITOSAS"/>
    <s v="VISITA_TÉCNICA"/>
    <s v="4A00W933"/>
    <s v="TIPO I"/>
    <s v="TERRESTRE"/>
    <s v="GONZALEZ GONZALEZ MARIO ALBERTO"/>
    <n v="1"/>
    <n v="0"/>
    <n v="0"/>
    <n v="0"/>
    <n v="65960.473639999997"/>
    <n v="65960.473639999997"/>
  </r>
  <r>
    <s v="TUNJA"/>
    <x v="1"/>
    <x v="1"/>
    <n v="15761"/>
    <n v="2765924"/>
    <n v="78180"/>
    <s v="INCIDENTE "/>
    <s v="BOYACA"/>
    <s v="SOMONDOCO"/>
    <s v="BARRIO CENTRO SOMONDOCO 3"/>
    <s v="REDEBAN"/>
    <s v="FO-25-1555081"/>
    <d v="2025-09-19T10:48:00"/>
    <d v="2025-09-22T17:39:00"/>
    <s v="NO"/>
    <s v="USUARIO"/>
    <s v="COMUNICACION"/>
    <s v="CANAL DEL COMERCIO"/>
    <m/>
    <m/>
    <s v="CERRADO"/>
    <s v="19/09/2025 SE ESCALA PARA VISITA. LLAMAR ANTES DE VISITAR, CONFIRMAR FALLA Y DATOS | 20/09/2025 EN COMUNICACIÓN CON LAS LÍNEAS 3167378110 Y 3132447685 NO SE LOGRA ESTABLECER CONTACTO CON EL CLIENTE, SE REALIZAN VARIOS INTENTOS PERO NO SE LOGRA ESTABLECER CONTACTO, SE INTENTARÁ REALIZAR CONTACTO EL DÍA LUNES 20/09 PARA ESTABLECER VISITA | 22/09/2025 EN COMUNICACIÓN CON LA LÍNEA 3167378110 RESPONDE LA SEÑORA DIANA CHIVATA SE LE INFORMA QUE DEBIDO AL TRASPORTE INTERMUNICIPAL SE ESTARÁ LLEGANDO AL MUNICIPIO SOBRE EL MEDIO DÍA 12PM DE HOY 22/09 POS DISPOSICIÓN DE TRASPORTE. CLIENTE ENTIENDE Y CONFIRMA DISPOSICIÓN. SE ATENDERÁ VISITA HOY 22/09 A LAS 12 PM. | 22/09/2025 SE REALIZA INSPECCIÓN DE RED, SE ENCUENTRA ROUTER REPETIDOR DESCONFIGURADO SE PROCEDE A REALIZAR LA CONFIGURACIÓN, PRUEBAS EXITOSAS."/>
    <s v="VISITA_TÉCNICA"/>
    <s v="SXLZZ562"/>
    <s v="TIPO III"/>
    <s v="TERRESTRE"/>
    <s v="HERRERA GARZON JEYSON STEVENT"/>
    <n v="1"/>
    <n v="0"/>
    <n v="0"/>
    <n v="0"/>
    <n v="275728.37943999999"/>
    <n v="275728.37943999999"/>
  </r>
  <r>
    <s v="BOGOTA"/>
    <x v="5"/>
    <x v="6"/>
    <n v="25754"/>
    <n v="2765005"/>
    <n v="34350"/>
    <s v="INCIDENTE "/>
    <s v="CUNDINAMARCA"/>
    <s v="SOACHA"/>
    <s v="COMCARD SOACHA LA 38"/>
    <s v="REDEBAN"/>
    <s v="FO-25-1552895"/>
    <d v="2025-09-19T09:05:00"/>
    <d v="2025-09-19T17:26:00"/>
    <s v="NO"/>
    <s v="USUARIO"/>
    <s v="CIERRE"/>
    <s v="COMERCIO NO REALIZA CIERRE"/>
    <m/>
    <m/>
    <s v="CERRADO"/>
    <s v="19/09/2025 SE ESCALA PARA VISITA. LLAMAR ANTES DE VISITAR, CONFIRMAR FALLA Y DATOS | 19/09/2025 SE LLEGA A DIRECCIÓN PARA ATENDER INCIDENTE LA SEÑORITA ELI LINARES INDICA QUE CANCELO LA VISITA ERA EL ROLLO QUE ESTABA DAÑADO INDICA SERVICIO OPERATIVO NO SE MANIPULA TERMINAL NO FIRMAN CONTROLES"/>
    <s v="VISITA_TÉCNICA"/>
    <n v="0"/>
    <s v="TIPO I"/>
    <s v="TERRESTRE"/>
    <s v="BUSTOS MORA DIEGO MANUEL"/>
    <n v="1"/>
    <n v="0"/>
    <n v="0"/>
    <n v="0"/>
    <n v="65960.473639999997"/>
    <n v="65960.473639999997"/>
  </r>
  <r>
    <s v="MEDELLIN"/>
    <x v="2"/>
    <x v="2"/>
    <n v="5001"/>
    <n v="2764675"/>
    <n v="69720"/>
    <s v="INCIDENTE "/>
    <s v="ANTIOQUIA"/>
    <s v="MEDELLIN"/>
    <s v="DISTRICOL MERCADOS LA ROSA 2"/>
    <s v="REDEBAN"/>
    <s v="FO-25-1552011"/>
    <d v="2025-09-19T08:53:00"/>
    <d v="2025-09-19T17:11:00"/>
    <s v="NO"/>
    <s v="USUARIO"/>
    <s v="MANTENIMIENTO"/>
    <s v="MANTENIMIENTO GENERAL"/>
    <m/>
    <m/>
    <s v="CERRADO"/>
    <s v="19/09/2025 SE ESCALA PARA VISITA. LLAMAR ANTES DE VISITAR, CONFIRMAR FALLA Y DATOS | 19/09/2025 SE ENCENTRA EL EQUIPO CONGELADO CON EL MENSAJE WARNIN KEY, SE REINICIA EL EQUIPO Y SE ACOMODA MAGIC BOX, EQUIPO QUEDA FUNCIONANDO CORRECTAMENTE"/>
    <s v="VISITA_TÉCNICA"/>
    <s v="MN002486"/>
    <s v="TIPO I"/>
    <s v="TERRESTRE"/>
    <s v="CARDONA MOLINA BROLIN STIVEN"/>
    <n v="1"/>
    <n v="0"/>
    <n v="0"/>
    <n v="0"/>
    <n v="65960.473639999997"/>
    <n v="65960.473639999997"/>
  </r>
  <r>
    <s v="CUCUTA"/>
    <x v="1"/>
    <x v="1"/>
    <n v="54001"/>
    <n v="2764373"/>
    <n v="75391"/>
    <s v="INCIDENTE "/>
    <s v="NORTE DE SANTANDER"/>
    <s v="CUCUTA"/>
    <s v="BARRIO ALFONSO LOPEZ CUCUTA  8"/>
    <s v="REDEBAN"/>
    <s v="FO-25-1551745"/>
    <d v="2025-09-19T08:25:00"/>
    <d v="2025-09-19T17:08:00"/>
    <s v="NO"/>
    <s v="USUARIO"/>
    <s v="COMUNICACION"/>
    <s v="CANAL DEL COMERCIO"/>
    <m/>
    <m/>
    <s v="CERRADO"/>
    <s v="19/09/2025 SE VISITA COMERCIO Y SE REALIZAN PRUEBAS SE ENCUENTRAN FUNCIONANDO EL EQUIPO, SE VERIFICAN PARÁMETROS TODO OK."/>
    <s v="VISITA_TÉCNICA"/>
    <s v="V1009447"/>
    <s v="TIPO I"/>
    <s v="TERRESTRE"/>
    <s v="TORRES MANTILLA JOSE DANIEL"/>
    <n v="1"/>
    <n v="0"/>
    <n v="0"/>
    <n v="0"/>
    <n v="65960.473639999997"/>
    <n v="65960.473639999997"/>
  </r>
  <r>
    <s v="PASTO"/>
    <x v="0"/>
    <x v="0"/>
    <n v="52001"/>
    <n v="2764356"/>
    <n v="71539"/>
    <s v="INCIDENTE "/>
    <s v="NARIÑO"/>
    <s v="PASTO"/>
    <s v="DISTRICOL EL CACHORRO REBAJA"/>
    <s v="REDEBAN"/>
    <s v="FO-25-1551567"/>
    <d v="2025-09-19T08:18:00"/>
    <d v="2025-09-19T17:00:00"/>
    <s v="NO"/>
    <s v="ENTIDAD"/>
    <s v="ERROR DE TRANSACCIONES"/>
    <s v="TRANSACCION NO PERMITIDA"/>
    <m/>
    <m/>
    <s v="CERRADO"/>
    <s v="19/09/2025 SE ESCALA PARA VISITA. LLAMAR ANTES DE VISITAR, CONFIRMAR FALLA Y DATOS | 19/09/2025 SE REALIZA VALIDACIÓN CON EL CLIENTE LA SEÑORA PAOLA, QUIEN ME INDICA QUE NO LE SIRVEN LAS CONSIGNACIONES A CUENTAS CORRIENTES, SE REALIZA UNA PRUEBA DE UNA CONSIGNACIÓN A UNA CUENTA CORRIENTE Y LA TRANSACCIÓN SALE SIN PROBLEMA , LA CLIENTE DICE QUE ES QUE CON LA DE UN CLIENTE EN ESPECIFICO NO FUNCIONA, SE LE INDICA QUE NO ES PROBLEMA DEL DATAFONO, SE LE INDICA QUE DEBE REALIZAR LA CONSIGNACIÓN POR CUENTA CONVENIO PERO DEBE TENER LA REFERENCIA PARA PODER REALIZARLA."/>
    <s v="SOPORTE_TELEFÓNICO"/>
    <n v="0"/>
    <s v="TIPO I"/>
    <s v="TERRESTRE"/>
    <s v="HENAO CARDONA DIEGO FERNANDO"/>
    <n v="0"/>
    <n v="0"/>
    <n v="0"/>
    <n v="0"/>
    <n v="37904.65408"/>
    <n v="37904.65408"/>
  </r>
  <r>
    <s v="PEREIRA"/>
    <x v="0"/>
    <x v="5"/>
    <n v="76147"/>
    <n v="2764178"/>
    <n v="59182"/>
    <s v="INCIDENTE "/>
    <s v="VALLE DEL CAUCA"/>
    <s v="CARTAGO"/>
    <s v="BARRIO GUAYACANES CARTAGO"/>
    <s v="REDEBAN"/>
    <s v="FO-25-1551401"/>
    <d v="2025-09-19T08:00:00"/>
    <d v="2025-09-19T16:54:00"/>
    <s v="NO"/>
    <s v="USUARIO"/>
    <s v="MANTENIMIENTO"/>
    <s v="MANTENIMIENTO GENERAL"/>
    <m/>
    <m/>
    <s v="CERRADO"/>
    <s v="19/09/2025 SE ESCALA PARA VISITA. LLAMAR ANTES DE VISITAR, CONFIRMAR FALLA Y DATOS | 19/09/2025 SE ENCUENTRA DATÁFONO EN FUNCIONAMIENTO SIN PROBLEMAS SE LE INDICA AL CLIENTE NO DESCONECTAR DATÁFONO"/>
    <s v="VISITA_TÉCNICA"/>
    <s v="FAZZZ560"/>
    <s v="TIPO I"/>
    <s v="TERRESTRE"/>
    <s v="LOAIZA LOPEZ JHON FREDDY"/>
    <n v="1"/>
    <n v="0"/>
    <n v="0"/>
    <n v="0"/>
    <n v="65960.473639999997"/>
    <n v="65960.473639999997"/>
  </r>
  <r>
    <s v="MEDELLIN"/>
    <x v="2"/>
    <x v="2"/>
    <n v="5001"/>
    <n v="2763823"/>
    <n v="34519"/>
    <s v="INCIDENTE "/>
    <s v="ANTIOQUIA"/>
    <s v="MEDELLIN"/>
    <s v="BARRIO ENCISO MEDELLIN 3"/>
    <s v="REDEBAN"/>
    <s v="FO-25-1551411"/>
    <d v="2025-09-19T08:00:00"/>
    <d v="2025-09-20T07:57:00"/>
    <s v="NO"/>
    <s v="USUARIO"/>
    <s v="USUARIOS"/>
    <s v="CREACION DE USUARIOS"/>
    <m/>
    <m/>
    <s v="CERRADO"/>
    <s v="19/09/2025 SE ESCALA PARA VISITA. LLAMAR ANTES DE VISITAR, CONFIRMAR FALLA Y DATOS | 19/09/2025 SE REALIZA CAMBIO DE USUARIOS POR SEGURIDAD A SOLICITUD CLIENTE PRUEBAS OK NO TELECARGA"/>
    <s v="VISITA_TÉCNICA"/>
    <s v="BL01B406"/>
    <s v="TIPO I"/>
    <s v="TERRESTRE"/>
    <s v="PAREJA ECHAVARRIA JHON DAVID"/>
    <n v="1"/>
    <n v="0"/>
    <n v="0"/>
    <n v="0"/>
    <n v="65960.473639999997"/>
    <n v="65960.473639999997"/>
  </r>
  <r>
    <s v="CUCUTA"/>
    <x v="1"/>
    <x v="1"/>
    <n v="54498"/>
    <n v="2763489"/>
    <n v="79112"/>
    <s v="INCIDENTE "/>
    <s v="NORTE DE SANTANDER"/>
    <s v="OCAÑA"/>
    <s v="BARRIO EL CENTRO OCAÑA 7"/>
    <s v="REDEBAN"/>
    <s v="FO-25-1551437"/>
    <d v="2025-09-19T08:00:00"/>
    <d v="2025-09-22T18:06:00"/>
    <s v="NO"/>
    <s v="USUARIO"/>
    <s v="NO ENCIENDE"/>
    <s v="CONEXIONES DE COMERCIO"/>
    <m/>
    <m/>
    <s v="CERRADO"/>
    <s v="19/09/2025 SE ESCALA PARA VISITA. LLAMAR ANTES DE VISITAR, CONFIRMAR FALLA Y DATOS | 22/09/2025 SE VISITA COMERCIO Y SE REALIZA MANTENIMIENTO PREVENTIVO EL EQUIPO SE ENCUENTRA TRABAJANDO OK, EL CLIENTE MANIFIESTA QUE ES DESPUÉS DE LAS 6:30 PM QUE LE FALLA EL EQUIPO SE LE RECOMIENDA CONECTAR EL EQUIPO A UN ESTABILIZADOR DE VOLTAJE POR POSIBLES CONEXIONES DE CORRIENTE DEFECTUOSAS, SE REALIZAN CIERRES Y PRUEBAS EXITOSOS."/>
    <s v="VISITA_TÉCNICA"/>
    <s v="SASZZ687"/>
    <s v="TIPO IV"/>
    <s v="TERRESTRE"/>
    <s v="TORRES MANTILLA JOSE DANIEL"/>
    <n v="1"/>
    <n v="0"/>
    <n v="0"/>
    <n v="0"/>
    <n v="479589.73656000005"/>
    <n v="479589.73656000005"/>
  </r>
  <r>
    <s v="VALLEDUPAR"/>
    <x v="4"/>
    <x v="4"/>
    <n v="20250"/>
    <n v="2763128"/>
    <n v="64864"/>
    <s v="INCIDENTE "/>
    <s v="CESAR"/>
    <s v="EL PASO"/>
    <s v="PTM EL PASO PAPELERIA MI ANGEL"/>
    <s v="REDEBAN"/>
    <s v="FO-25-1550889"/>
    <d v="2025-09-18T16:54:00"/>
    <d v="2025-09-22T17:46:00"/>
    <s v="NO"/>
    <s v="USUARIO"/>
    <s v="MANTENIMIENTO"/>
    <s v="MANTENIMIENTO GENERAL"/>
    <m/>
    <m/>
    <s v="CERRADO"/>
    <s v="18/09/2025 SE ESCALA PARA VISITA. LLAMAR ANTES DE VISITAR, CONFIRMAR FALLA Y DATOS | 20/09/2025 LA ORDEN REQUIERE CAMBIO DE DATAFONO, Y DEBIDO A QUE NO SE CUENTA CON SOPORTE ACTIVOS DE RBM, SE REAGENDA PARA EL LUNES 22 SEPTIEMBRE | 22/09/2025 SE LLEGA A SITIO PERO NO SE ENCUENTRA EL DATAFONO EN EL LUGAR, YA QUE EL CLIENTE LE DIO A CARGO EL CB Y EL NEGOCIO A UN FAMILIAR Y ESTE MISMO TRASLADÓ TODO PARA EL MUNICIPIO DE SABANALARGA ATLANTICO, POR ENDE NO HAGO INTERVENCION EN NINGUN EQUIPO"/>
    <s v="VISITA_TÉCNICA"/>
    <s v="5A002486"/>
    <s v="TIPO III"/>
    <s v="TERRESTRE"/>
    <s v="MONTES DIAZ JOHN FRED"/>
    <n v="1"/>
    <n v="0"/>
    <n v="0"/>
    <n v="0"/>
    <n v="275728.37943999999"/>
    <n v="275728.37943999999"/>
  </r>
  <r>
    <s v="CUCUTA"/>
    <x v="1"/>
    <x v="1"/>
    <n v="54518"/>
    <n v="2763028"/>
    <n v="77625"/>
    <s v="INCIDENTE "/>
    <s v="NORTE DE SANTANDER"/>
    <s v="PAMPLONA"/>
    <s v="BARRIO SIMON BOLIVAR PARTE ALTA PAMPLONA"/>
    <s v="REDEBAN"/>
    <s v="FO-25-1550892"/>
    <d v="2025-09-18T16:49:00"/>
    <d v="2025-09-19T16:34:00"/>
    <s v="NO"/>
    <s v="USUARIO"/>
    <s v="COMUNICACION"/>
    <s v="CONEXIONES DE COMERCIO"/>
    <m/>
    <m/>
    <s v="CERRADO"/>
    <s v="18/09/2025 SE ESCALA PARA VISITA. LLAMAR ANTES DE VISITAR, CONFIRMAR FALLA Y DATOS | 19/09/2025 SE REALIZÓ VISITA AL COMERCIO Y SE ENCUENTRA CONEXIONES DEL COMERCIO FALLANDO, SE VERIFICAN CONEXIONES, PRUEBAS EXITOSAS"/>
    <s v="VISITA_TÉCNICA"/>
    <s v="F1JZZ374"/>
    <s v="TIPO III"/>
    <s v="TERRESTRE"/>
    <s v="MORA VEGA JEAMPIER"/>
    <n v="1"/>
    <n v="0"/>
    <n v="0"/>
    <n v="0"/>
    <n v="275728.37943999999"/>
    <n v="275728.37943999999"/>
  </r>
  <r>
    <s v="MEDELLIN"/>
    <x v="2"/>
    <x v="2"/>
    <n v="5001"/>
    <n v="2761655"/>
    <n v="31529"/>
    <s v="INCIDENTE "/>
    <s v="ANTIOQUIA"/>
    <s v="MEDELLIN"/>
    <s v="COMCARD MED LUZMAK"/>
    <s v="REDEBAN"/>
    <s v="FO-25-1549590"/>
    <d v="2025-09-18T14:28:00"/>
    <d v="2025-09-19T13:36:00"/>
    <s v="NO"/>
    <s v="USUARIO"/>
    <s v="MANTENIMIENTO"/>
    <s v="MANTENIMIENTO GENERAL"/>
    <m/>
    <m/>
    <s v="CERRADO"/>
    <s v="18/09/2025 SE ESCALA PARA VISITA. LLAMAR ANTES DE VISITAR, CONFIRMAR FALLA Y DATOS | 19/09/2025 SE LLEGA AL PUNTO, CLIENTE INDICA QUE TENÍA LA PANTALLA CONGELADA, NOS DICE QUE REINICIÓ EL DATÁFONO Y QUEDÓ OPERSTIVO, PRUEBAS OK"/>
    <s v="VISITA_TÉCNICA"/>
    <s v="1111G612"/>
    <s v="TIPO I"/>
    <s v="TERRESTRE"/>
    <s v="CARDONA MOLINA BROLIN STIVEN"/>
    <n v="1"/>
    <n v="0"/>
    <n v="0"/>
    <n v="0"/>
    <n v="65960.473639999997"/>
    <n v="65960.473639999997"/>
  </r>
  <r>
    <s v="CALI"/>
    <x v="0"/>
    <x v="0"/>
    <n v="76001"/>
    <n v="2761524"/>
    <n v="80586"/>
    <s v="INCIDENTE "/>
    <s v="VALLE DEL CAUCA"/>
    <s v="CALI"/>
    <s v="BARRIO POTRERO GRANDE CALI 2"/>
    <s v="REDEBAN"/>
    <s v="FO-25-1549243"/>
    <d v="2025-09-18T13:32:00"/>
    <d v="2025-09-19T11:13:00"/>
    <s v="NO"/>
    <s v="USUARIO"/>
    <s v="NO ENCIENDE"/>
    <s v="CONEXIONES DE COMERCIO"/>
    <m/>
    <m/>
    <s v="CERRADO"/>
    <s v="18/09/2025 SE ESCALA PARA VISITA. LLAMAR ANTES DE VISITAR, CONFIRMAR FALLA Y DATOS | 19/09/2025 SE REALIZA GESTIÓN TELEFÓNICA ANTES DE REALIZAR LA VISITA, EL CLIENTE INFORMA QUE EL DATAFONO NO PRENDÍA DESPUÉS DE QUE HUBO UN APAGON EN LA ZONA PERO EN EL MOMENTO YA ESTÁ FUNCIONANDO, CLIENTE REALIZA TRX Y CONFIRMA QUE SALEN OK.."/>
    <s v="SOPORTE_TELEFÓNICO"/>
    <n v="0"/>
    <s v="TIPO I"/>
    <s v="TERRESTRE"/>
    <s v="MONTERO MUESES GIAN CARLO"/>
    <n v="0"/>
    <n v="0"/>
    <n v="0"/>
    <n v="0"/>
    <n v="37904.65408"/>
    <n v="37904.65408"/>
  </r>
  <r>
    <s v="MEDELLIN"/>
    <x v="2"/>
    <x v="2"/>
    <n v="5809"/>
    <n v="2760041"/>
    <n v="57362"/>
    <s v="INCIDENTE "/>
    <s v="ANTIOQUIA"/>
    <s v="TITIRIBI"/>
    <s v="BARRIO VEREDA OTRAMINA TITIRIB"/>
    <s v="REDEBAN"/>
    <s v="FO-25-1548241"/>
    <d v="2025-09-18T10:41:00"/>
    <d v="2025-09-19T11:07:00"/>
    <s v="NO"/>
    <s v="USUARIO"/>
    <s v="COMUNICACION"/>
    <s v="CANAL DEL COMERCIO"/>
    <m/>
    <m/>
    <s v="CERRADO"/>
    <s v="18/09/2025 SE ESCALA PARA VISITA. LLAMAR ANTES DE VISITAR, CONFIRMAR FALLA Y DATOS | 19/09/2025 SE REALIZA EL CAMBIO DE CABLE ENSORTIJADO Y CABLE DE RED SE HACEN PRUEBAS OK"/>
    <s v="VISITA_TÉCNICA"/>
    <s v="IIRZZ834"/>
    <s v="TIPO II"/>
    <s v="TERRESTRE"/>
    <s v="MONTOYA VELEZ ANDRES FELIPE"/>
    <n v="1"/>
    <n v="0"/>
    <n v="0"/>
    <n v="0"/>
    <n v="163813.55812"/>
    <n v="163813.55812"/>
  </r>
  <r>
    <s v="MEDELLIN"/>
    <x v="2"/>
    <x v="2"/>
    <n v="5088"/>
    <n v="2759288"/>
    <n v="30086"/>
    <s v="INCIDENTE "/>
    <s v="ANTIOQUIA"/>
    <s v="BELLO"/>
    <s v="COMCARD BELLO MERCADOS LA CRUZ"/>
    <s v="REDEBAN"/>
    <s v="FO-25-1547602"/>
    <d v="2025-09-18T09:38:00"/>
    <d v="2025-09-18T15:56:00"/>
    <s v="NO"/>
    <s v="USUARIO"/>
    <s v="NO ENCIENDE"/>
    <s v="CONEXIONES DE COMERCIO"/>
    <m/>
    <m/>
    <s v="CERRADO"/>
    <s v="03/10/2025 SE ESCALA PARA VISITA. LLAMAR ANTES DE VISITAR, CONFIRMAR FALLA Y DATOS | 18/09/2025 SE REALIZA CONTACTO TELEFÓNICO CON EL USUARIO PARA VALIDAR EL INCIDENTE PREVIAMENTE REPORTADO RELACIONADO CON EL DATÁFONO DEL CORRESPONSAL BANCOLOMBIA. EL USUARIO INFORMA QUE EL DISPOSITIVO PRESENTÓ UNA PANTALLA AZUL, LO QUE MOTIVÓ SU LLAMADA INMEDIATA A LA LÍNEA DE SOPORTE. SIN EMBARGO, AL REVISAR EL EQUIPO, IDENTIFICÓ QUE EL DATÁFONO NO ESTABA CORRECTAMENTE CONECTADO, LO QUE HABRÍA OCASIONADO LA FALLA VISUAL._x000a__x000a_TRAS CORREGIR LA CONEXIÓN, EL DATÁFONO VOLVIÓ A FUNCIONAR CON NORMALIDAD. EL USUARIO CONFIRMA QUE EL DISPOSITIVO SE ENCUENTRA OPERATIVO Y DESCARTA LA NECESIDAD DE UNA VISITA TÉCNICA."/>
    <s v="SOPORTE_TELEFÓNICO"/>
    <n v="0"/>
    <s v="TIPO I"/>
    <s v="TERRESTRE"/>
    <s v="MARTINEZ TOVAR OSCAR DAVID"/>
    <n v="0"/>
    <n v="0"/>
    <n v="0"/>
    <n v="0"/>
    <n v="37904.65408"/>
    <n v="37904.65408"/>
  </r>
  <r>
    <s v="IBAGUE"/>
    <x v="3"/>
    <x v="3"/>
    <n v="73268"/>
    <n v="2758985"/>
    <n v="19851"/>
    <s v="INCIDENTE "/>
    <s v="TOLIMA"/>
    <s v="ESPINAL"/>
    <s v="REVAL 411 ESPINAL"/>
    <s v="REDEBAN"/>
    <s v="FO-25-1547315"/>
    <d v="2025-09-18T09:11:00"/>
    <d v="2025-09-19T09:09:00"/>
    <s v="NO"/>
    <s v="USUARIO"/>
    <s v="COMUNICACION"/>
    <s v="CONEXIONES DE COMERCIO"/>
    <m/>
    <m/>
    <s v="CERRADO"/>
    <s v="25/09/2025 SE ESCALA PARA VISITA. LLAMAR ANTES DE VISITAR, CONFIRMAR FALLA Y DATOS | 19/09/2025 SE LLEGA AL PUNTO DE ATENCIÓN DEL CB A LA ESPERA DE AUTORIZACIÓN DE INGRESO AL PUNTO POR TEMA DE SEGURIDAD | 19/09/2025 SE REALIZA REVISIÓN DE CONEXIONES,SE CONFIGURAN PARÁMETROS DE COMUNICACIÓN TRANSACCIONES DE PRUEBA O.K"/>
    <s v="VISITA_TÉCNICA"/>
    <s v="1111F657"/>
    <s v="TIPO II"/>
    <s v="TERRESTRE"/>
    <s v="GUTIERREZ  CAMILO ANDRES"/>
    <n v="1"/>
    <n v="0"/>
    <n v="0"/>
    <n v="0"/>
    <n v="163813.55812"/>
    <n v="163813.55812"/>
  </r>
  <r>
    <s v="MEDELLIN"/>
    <x v="2"/>
    <x v="2"/>
    <n v="5001"/>
    <n v="2757070"/>
    <n v="52519"/>
    <s v="INCIDENTE "/>
    <s v="ANTIOQUIA"/>
    <s v="MEDELLIN"/>
    <s v="BARRIO BUENOS AIRES MEDELLIN 1"/>
    <s v="REDEBAN"/>
    <s v="FO-25-1545396"/>
    <d v="2025-09-17T16:47:00"/>
    <d v="2025-09-18T15:19:00"/>
    <s v="NO"/>
    <s v="ENTIDAD"/>
    <s v="ERROR DE TRANSACCIONES"/>
    <s v="TRANSACCION NO PERMITIDA"/>
    <m/>
    <m/>
    <s v="CERRADO"/>
    <s v="17/09/2025 SE ESCALA PARA VISITA. LLAMAR ANTES DE VISITAR, CONFIRMAR FALLA Y DATOS | 18/09/2025 SE ENCUENTRA REVERSO PENDIENTE SE CONFIGURAN PARAMETROS OK PRUEBAS OK"/>
    <s v="VISITA_TÉCNICA"/>
    <s v="SXMZZ318"/>
    <s v="TIPO I"/>
    <s v="TERRESTRE"/>
    <s v="PAREJA ECHAVARRIA JHON DAVID"/>
    <n v="1"/>
    <n v="0"/>
    <n v="0"/>
    <n v="0"/>
    <n v="65960.473639999997"/>
    <n v="65960.473639999997"/>
  </r>
  <r>
    <s v="PASTO"/>
    <x v="0"/>
    <x v="0"/>
    <n v="52356"/>
    <s v="TA-25-1119422"/>
    <n v="25904"/>
    <s v="INCIDENTE "/>
    <s v="NARIÑO"/>
    <s v="IPIALES"/>
    <s v="ALKOSTO 20 DE JULIO"/>
    <s v="REDEBAN"/>
    <s v="FO-25-1544465"/>
    <d v="2025-09-17T15:15:00"/>
    <d v="2025-09-17T17:45:00"/>
    <s v="NO"/>
    <s v="USUARIO"/>
    <s v="COMUNICACION"/>
    <s v="CANAL DEL COMERCIO"/>
    <m/>
    <m/>
    <s v="CERRADO"/>
    <s v="17/09/2025 SE ESCALA POR SOLICITUD DE LA RED | 17/09/2025 EL COMERCIO FUE VISITADO EL DIA DE HOY , YA QUE EL DIA DE AYER NO SE PUDO VISITAR PUES PARA INGRESAR AL PUNTO SE REQUIERE PRIMERO UN PERMISO EL CUAL SE TRAMITO EL DIA DE AYER PARA EL INGRESO EL DIA DE HOY, SE VISITA COMERCIO , SE VALIDA CONECTIVIDAD DE LOS EQUIPOS DE REDEBAN - BANCOLOMBIA Y ESTOS ESTA ACTIVOS EN RED, SE REALIZAN PRUEBAS FUNCIONALES EN CADA UNO, MOSTRANTO OPERATIVIDAD, SE REALIZA BORRADO DE TRANSACCIONES YA QUE EL CLIENTE INDICABA QUE LOS CIERRES LES ESTABAN ARROJANDO TRANSACCIONES DE DIAS ANTERIORES,  CLIENTE QUEDA CONFORME CON LOS EQUIPOS._x000a__x000a__x000a__x000a_SE ATIENDE BAJO LA TA  2745128"/>
    <s v="SOPORTE_TELEFÓNICO"/>
    <n v="0"/>
    <s v="TIPO II"/>
    <s v="TERRESTRE"/>
    <s v="HENAO CARDONA DIEGO FERNANDO"/>
    <n v="0"/>
    <n v="0"/>
    <n v="0"/>
    <n v="0"/>
    <n v="37904.65408"/>
    <n v="37904.65408"/>
  </r>
  <r>
    <s v="MANIZALES"/>
    <x v="0"/>
    <x v="5"/>
    <n v="17001"/>
    <n v="2755850"/>
    <n v="81145"/>
    <s v="INCIDENTE "/>
    <s v="CALDAS"/>
    <s v="MANIZALES"/>
    <s v="BARRIO LOS CAMBULOS MANEIZALES"/>
    <s v="REDEBAN"/>
    <s v="FO-25-1544863"/>
    <d v="2025-09-17T14:58:00"/>
    <d v="2025-09-18T14:36:00"/>
    <s v="NO"/>
    <s v="USUARIO"/>
    <s v="COMUNICACION"/>
    <s v="CONEXIONES DE COMERCIO"/>
    <m/>
    <m/>
    <s v="CERRADO"/>
    <s v="17/09/2025 SE ESCALA PARA VISITA. LLAMAR ANTES DE VISITAR, CONFIRMAR FALLA Y DATOS | 18/09/2025 SE REALIZA LLAMADA CON USUARIO EL CUAL INDICA QUE EL DIA DE AYER NO PUDO HACER TRANSACCIONES PERO YA EL DIA DE HOY SE ENCUENTRA FUNCIONANDO CON NORMALIDAD INDICA QUE EL SERVICIO ESTA OK"/>
    <s v="SOPORTE_TELEFÓNICO"/>
    <n v="0"/>
    <s v="TIPO I"/>
    <s v="TERRESTRE"/>
    <s v="AGUIRRE HENAO RAUL EDUARDO"/>
    <n v="0"/>
    <n v="0"/>
    <n v="0"/>
    <n v="0"/>
    <n v="37904.65408"/>
    <n v="37904.65408"/>
  </r>
  <r>
    <s v="BUCARAMANGA"/>
    <x v="1"/>
    <x v="1"/>
    <n v="68001"/>
    <n v="2755205"/>
    <n v="47890"/>
    <s v="INCIDENTE "/>
    <s v="SANTANDER"/>
    <s v="BUCARAMANGA"/>
    <s v="DISTRICOL MENSAJERIA ZUUUM"/>
    <s v="REDEBAN"/>
    <s v="FO-25-1543687"/>
    <d v="2025-09-17T13:28:00"/>
    <d v="2025-09-18T12:24:00"/>
    <s v="NO"/>
    <s v="USUARIO"/>
    <s v="COMUNICACION"/>
    <s v="CONEXIONES DE COMERCIO"/>
    <m/>
    <m/>
    <s v="CERRADO"/>
    <s v="17/09/2025 SE ESCALA AL COORDINADOR DE ZONA PARA ENTREGA DE ROLLOS EN SITIO | 18/09/2025 SE HACE PRESENCIA EN COMERCIO CLIENTE INFORMA QUE EL DAÑO ESTABA EN EL SWITH PROPIO DE ELLOS, REALIZARON EL CAMBIO DE DICHO SWITH Y YA EL EQUIPO ESTA OPERANDO SIN PROBLEMA SE REALIZA PRUEBA OK Y SE PROCEDE A CERRAR LA ORDEN"/>
    <s v="VISITA_TÉCNICA"/>
    <s v="SIZZZ940"/>
    <s v="TIPO I"/>
    <s v="TERRESTRE"/>
    <s v="BARRERA ORTEGA MARLON STWAR"/>
    <n v="1"/>
    <n v="0"/>
    <n v="0"/>
    <n v="0"/>
    <n v="65960.473639999997"/>
    <n v="65960.473639999997"/>
  </r>
  <r>
    <s v="MEDELLIN"/>
    <x v="2"/>
    <x v="2"/>
    <n v="5088"/>
    <n v="2755121"/>
    <n v="80316"/>
    <s v="INCIDENTE "/>
    <s v="ANTIOQUIA"/>
    <s v="BELLO"/>
    <s v="BARRIO ARAUCARIAS BELLO"/>
    <s v="REDEBAN"/>
    <s v="FO-25-1543355"/>
    <d v="2025-09-17T12:39:00"/>
    <d v="2025-09-18T12:15:00"/>
    <s v="NO"/>
    <s v="USUARIO"/>
    <s v="CIERRE"/>
    <s v="COMERCIO NO REALIZA CIERRE"/>
    <m/>
    <m/>
    <s v="CERRADO"/>
    <s v="17/09/2025 SE ESCALA PARA VISITA. LLAMAR ANTES DE VISITAR, CONFIRMAR FALLA Y DATOS | 18/09/2025 SE REALIZA REVISIÓN DEL DATÁFONO CONFIGURACIÓN Y COMUNICACIÓN Y TODO ESTÁ FUNCIONANDO CORRECTAMENTE, USUARIO MANIFIESTA QUE NO IMPRIME, PERO SE REALIZA EN PRUEBAS Y FUNCIONA CORRECTAMENTE"/>
    <s v="VISITA_TÉCNICA"/>
    <s v="FAZZZ519"/>
    <s v="TIPO I"/>
    <s v="TERRESTRE"/>
    <s v="RAMIREZ TABARES JUAN DIEGO"/>
    <n v="1"/>
    <n v="0"/>
    <n v="0"/>
    <n v="0"/>
    <n v="65960.473639999997"/>
    <n v="65960.473639999997"/>
  </r>
  <r>
    <s v="MEDELLIN"/>
    <x v="2"/>
    <x v="2"/>
    <n v="5607"/>
    <n v="2754158"/>
    <n v="36661"/>
    <s v="INCIDENTE "/>
    <s v="ANTIOQUIA"/>
    <s v="RETIRO"/>
    <s v="BARRIO EL RETIRO RETIRO"/>
    <s v="REDEBAN"/>
    <s v="FO-25-1542488"/>
    <d v="2025-09-17T11:01:00"/>
    <d v="2025-09-18T18:00:00"/>
    <s v="NO"/>
    <s v="USUARIO"/>
    <s v="COMUNICACION"/>
    <s v="CONEXIONES DE COMERCIO"/>
    <m/>
    <m/>
    <s v="CERRADO"/>
    <s v="25/09/2025 SE ESCALA PARA VISITA. LLAMAR ANTES DE VISITAR, CONFIRMAR FALLA Y DATOS | 18/09/2025 SE HACE MANTENIMIENTO SE OK SE HACEN VALIDACIONES DE CABLEADOS OK Y PARÁMETROS DE DATÁFONO."/>
    <s v="VISITA_TÉCNICA"/>
    <s v="AALUZ178"/>
    <s v="TIPO II"/>
    <s v="TERRESTRE"/>
    <s v="DIAZ ZABALA FRANCIS DUBAN"/>
    <n v="1"/>
    <n v="0"/>
    <n v="0"/>
    <n v="0"/>
    <n v="163813.55812"/>
    <n v="163813.55812"/>
  </r>
  <r>
    <s v="VILLAVICENCIO"/>
    <x v="3"/>
    <x v="3"/>
    <n v="50318"/>
    <n v="2753925"/>
    <n v="78805"/>
    <s v="INCIDENTE "/>
    <s v="META"/>
    <s v="GUAMAL"/>
    <s v="BARRIO LAS FERIAS GUAMAL 2"/>
    <s v="REDEBAN"/>
    <s v="FO-25-1542194"/>
    <d v="2025-09-17T10:40:00"/>
    <d v="2025-09-18T13:29:00"/>
    <s v="NO"/>
    <s v="USUARIO"/>
    <s v="COMUNICACION"/>
    <s v="CONEXIONES DE COMERCIO"/>
    <m/>
    <m/>
    <s v="CERRADO"/>
    <s v="21/09/2025 SE ESCALA PARA VISITA. LLAMAR ANTES DE VISITAR, CONFIRMAR FALLA Y DATOS | 18/09/2025 SE REALIZA VISITA Y SE CONFIGURA MEDIO DE COMUNICACIÓN, PRUEBAS OK"/>
    <s v="VISITA_TÉCNICA"/>
    <s v="V1SZZ187"/>
    <s v="TIPO II"/>
    <s v="TERRESTRE"/>
    <s v="PEDREROS CONTRERAS MICHAEL STEVENS"/>
    <n v="1"/>
    <n v="0"/>
    <n v="0"/>
    <n v="0"/>
    <n v="163813.55812"/>
    <n v="163813.55812"/>
  </r>
  <r>
    <s v="VILLAVICENCIO"/>
    <x v="3"/>
    <x v="3"/>
    <n v="50313"/>
    <n v="2753054"/>
    <n v="80529"/>
    <s v="INCIDENTE "/>
    <s v="META"/>
    <s v="GRANADA"/>
    <s v="BARRIO EL PARAISO GRANDA"/>
    <s v="REDEBAN"/>
    <s v="FO-25-1541682"/>
    <d v="2025-09-17T09:34:00"/>
    <d v="2025-09-18T13:14:00"/>
    <s v="NO"/>
    <s v="USUARIO"/>
    <s v="NO ENCIENDE"/>
    <s v="CONEXIONES DE COMERCIO"/>
    <m/>
    <m/>
    <s v="CERRADO"/>
    <s v="19/09/2025 SE ESCALA PARA VISITA. LLAMAR ANTES DE VISITAR, CONFIRMAR FALLA Y DATOS | 18/09/2025 SE REALIZA VISITA AL PUNTO Y COMERCIO YA SE ENCUENTRA OPERANDO OK, EL DAÑO ERA EN LA TOMA CORRIENTE DE COMERCIO"/>
    <s v="VISITA_TÉCNICA"/>
    <s v="SEZZZ158"/>
    <s v="TIPO II"/>
    <s v="TERRESTRE"/>
    <s v="PEDREROS CONTRERAS MICHAEL STEVENS"/>
    <n v="1"/>
    <n v="0"/>
    <n v="0"/>
    <n v="0"/>
    <n v="163813.55812"/>
    <n v="163813.55812"/>
  </r>
  <r>
    <s v="CUCUTA"/>
    <x v="1"/>
    <x v="1"/>
    <n v="54874"/>
    <n v="2752889"/>
    <n v="60354"/>
    <s v="INCIDENTE "/>
    <s v="NORTE DE SANTANDER"/>
    <s v="VILLA DEL ROSARIO"/>
    <s v="BARRIO VEINTE DE JULIO VILLA D"/>
    <s v="REDEBAN"/>
    <s v="FO-25-1541688"/>
    <d v="2025-09-17T09:33:00"/>
    <d v="2025-09-17T17:03:00"/>
    <s v="NO"/>
    <s v="USUARIO"/>
    <s v="COMUNICACION"/>
    <s v="CANAL DEL COMERCIO"/>
    <m/>
    <m/>
    <s v="CERRADO"/>
    <s v="20/09/2025 SE ESCALA PARA VISITA. LLAMAR ANTES DE VISITAR, CONFIRMAR FALLA Y DATOS | 17/09/2025 SE REALIZA VISITA, COMERCIO INDICA QUE EL SERVICIO SE ENCUENTRA OPERATIVO Y NO REQUIERE LA VISITA TÉCNICA. NO SÉ INGRESA AL COMERCIO"/>
    <s v="VISITA_TÉCNICA"/>
    <s v="NONE"/>
    <s v="TIPO I"/>
    <s v="TERRESTRE"/>
    <s v="PACHECO BUITRAGO JAVIER ALONSO"/>
    <n v="1"/>
    <n v="0"/>
    <n v="0"/>
    <n v="0"/>
    <n v="65960.473639999997"/>
    <n v="65960.473639999997"/>
  </r>
  <r>
    <s v="NEIVA"/>
    <x v="3"/>
    <x v="3"/>
    <n v="41001"/>
    <n v="2752973"/>
    <n v="74529"/>
    <s v="INCIDENTE "/>
    <s v="HUILA"/>
    <s v="NEIVA"/>
    <s v="BARRIO CONDOMINIO RESIDENCIAL"/>
    <s v="REDEBAN"/>
    <s v="FO-25-1541697"/>
    <d v="2025-09-17T09:32:00"/>
    <d v="2025-09-17T16:36:00"/>
    <s v="NO"/>
    <s v="USUARIO"/>
    <s v="COMUNICACION"/>
    <s v="CONEXIONES DE COMERCIO"/>
    <m/>
    <m/>
    <s v="CERRADO"/>
    <s v="21/09/2025 SE ESCALA PARA VISITA. LLAMAR ANTES DE VISITAR, CONFIRMAR FALLA Y DATOS | 17/09/2025 SE REALIZA VISITA AL PUNTO, SE ENVÍDENCIA EQUIPI SE ENCUENTRA OPERATIVO. EL DAÑO SE DEBIO A CONEXIONES DEL COMERCIO, PPRUEBAS OK, CB OPERATIVO"/>
    <s v="VISITA_TÉCNICA"/>
    <s v="EFGZZ742"/>
    <s v="TIPO I"/>
    <s v="TERRESTRE"/>
    <s v="DEVIA REINOSO JUAN CARLOS"/>
    <n v="1"/>
    <n v="0"/>
    <n v="0"/>
    <n v="0"/>
    <n v="65960.473639999997"/>
    <n v="65960.473639999997"/>
  </r>
  <r>
    <s v="MEDELLIN"/>
    <x v="2"/>
    <x v="2"/>
    <n v="5088"/>
    <n v="2751447"/>
    <n v="59783"/>
    <s v="INCIDENTE "/>
    <s v="ANTIOQUIA"/>
    <s v="BELLO"/>
    <s v="DISTRICOL TIENDA MIX J"/>
    <s v="REDEBAN"/>
    <s v="FO-25-1540333"/>
    <d v="2025-09-17T08:00:00"/>
    <d v="2025-09-17T09:56:00"/>
    <s v="NO"/>
    <s v="USUARIO"/>
    <s v="USUARIOS"/>
    <s v="USUARIOS BLOQUEADOS"/>
    <m/>
    <m/>
    <s v="CERRADO"/>
    <s v="17/09/2025 SE ESCALA PARA VISITA. LLAMAR ANTES DE VISITAR, CONFIRMAR FALLA Y DATOS | 17/09/2025 SE HABLA CON USUARIO Y COMENTA QUE ESE PROCESO YA LO PUDO REALIZAR, SACÓ UN DUPLICADO Y FUNCIONÓ CORRECTAMENTE LA CLAVE ADMINISTRADOR. SE CIERRA INCIDENTE."/>
    <s v="SOPORTE_TELEFÓNICO"/>
    <n v="0"/>
    <s v="TIPO I"/>
    <s v="TERRESTRE"/>
    <s v="QUINTERO SANCHEZ JUAN SEBASTIAN"/>
    <n v="0"/>
    <n v="0"/>
    <n v="0"/>
    <n v="0"/>
    <n v="37904.65408"/>
    <n v="37904.65408"/>
  </r>
  <r>
    <s v="TUNJA"/>
    <x v="1"/>
    <x v="1"/>
    <n v="15759"/>
    <n v="2751618"/>
    <n v="76327"/>
    <s v="INCIDENTE "/>
    <s v="BOYACA"/>
    <s v="SOGAMOSO"/>
    <s v="BARRIO LA PRADERA SOGAMOSO 1"/>
    <s v="REDEBAN"/>
    <s v="FO-25-1540742"/>
    <d v="2025-09-17T08:00:00"/>
    <d v="2025-09-17T16:01:00"/>
    <s v="NO"/>
    <s v="USUARIO"/>
    <s v="CIERRE"/>
    <s v="COMERCIO NO REALIZA CIERRE"/>
    <m/>
    <m/>
    <s v="CERRADO"/>
    <s v="17/09/2025 EQUIPO CON MEMORIA ACOMULADA NO ARROJA CIERRES CLIENTE AUTORIZA RELIZAR BORRADO SE LE INDICA LA FORMA CORRECTA DE REALIZAR LOS CIERRES DIARIOS PRUEBAS OK CLIENTE CONFORME"/>
    <s v="VISITA_TÉCNICA"/>
    <s v="V10OZ404"/>
    <s v="TIPO II"/>
    <s v="TERRESTRE"/>
    <s v="RODRIGUEZ MURCIA YERSON IVAN"/>
    <n v="1"/>
    <n v="0"/>
    <n v="0"/>
    <n v="0"/>
    <n v="163813.55812"/>
    <n v="163813.55812"/>
  </r>
  <r>
    <s v="PEREIRA"/>
    <x v="0"/>
    <x v="5"/>
    <n v="66170"/>
    <n v="2751369"/>
    <n v="79238"/>
    <s v="INCIDENTE "/>
    <s v="RISARALDA"/>
    <s v="DOSQUEBRADAS"/>
    <s v="DISTRICOL VARIEDADES MIFER"/>
    <s v="REDEBAN"/>
    <s v="FO-25-1540345"/>
    <d v="2025-09-17T08:00:00"/>
    <d v="2025-09-17T15:30:00"/>
    <s v="NO"/>
    <s v="USUARIO"/>
    <s v="LECTOR DE BARRAS"/>
    <s v="CAPACITACION MANIPULACION DE COMERCIO"/>
    <m/>
    <m/>
    <s v="CERRADO"/>
    <s v="17/09/2025 SE ESCALA PARA VISITA. LLAMAR ANTES DE VISITAR, CONFIRMAR FALLA Y DATOS | 17/09/2025 VISITAMOS COMERCIO EL LECTOR DE BARRAS EL DÍA DE AYER NO PRENDIA LO DESCONECTO Y CONECTO EN REPETIDAS OCASIONES PERO NO FUNCIONABA PERO EL DÍA DE HOY YA ESTA FUNCIONANDO SIN NOVEDAD SE REALIZAN PRUEBAS OK."/>
    <s v="VISITA_TÉCNICA"/>
    <s v="A4WZZ115"/>
    <s v="TIPO I"/>
    <s v="TERRESTRE"/>
    <s v="ARROYAVE CANO MANUEL GUILLERMO"/>
    <n v="1"/>
    <n v="0"/>
    <n v="0"/>
    <n v="0"/>
    <n v="65960.473639999997"/>
    <n v="65960.473639999997"/>
  </r>
  <r>
    <s v="TUNJA"/>
    <x v="1"/>
    <x v="1"/>
    <n v="15001"/>
    <n v="2751367"/>
    <n v="59681"/>
    <s v="INCIDENTE "/>
    <s v="BOYACA"/>
    <s v="TUNJA"/>
    <s v="BARRIO ALTAMIRA TUNJA"/>
    <s v="REDEBAN"/>
    <s v="FO-25-1540348"/>
    <d v="2025-09-17T08:00:00"/>
    <d v="2025-09-17T15:51:00"/>
    <s v="NO"/>
    <s v="USUARIO"/>
    <s v="COMUNICACION"/>
    <s v="CONEXIONES DE COMERCIO"/>
    <m/>
    <m/>
    <s v="CERRADO"/>
    <s v="17/09/2025 SE ESCALA PARA VISITA. LLAMAR ANTES DE VISITAR, CONFIRMAR FALLA Y DATOS | 17/09/2025 SE REALIZA INSPECCIÓN DE RED, SE DETECTA MAL CONEXIÓN EN EL MÓDEM DEL USUARIO, SE CONECTA A PUERTO ADECUADO, PRUEBAS OK"/>
    <s v="VISITA_TÉCNICA"/>
    <s v="LA009538"/>
    <s v="TIPO I"/>
    <s v="TERRESTRE"/>
    <s v="HERRERA GARZON JEYSON STEVENT"/>
    <n v="1"/>
    <n v="0"/>
    <n v="0"/>
    <n v="0"/>
    <n v="65960.473639999997"/>
    <n v="65960.473639999997"/>
  </r>
  <r>
    <s v="MEDELLIN"/>
    <x v="2"/>
    <x v="2"/>
    <n v="5306"/>
    <n v="2751101"/>
    <n v="32938"/>
    <s v="INCIDENTE "/>
    <s v="ANTIOQUIA"/>
    <s v="GIRALDO"/>
    <s v="BARRIO CALLE PRINCIPAL VIA AL"/>
    <s v="REDEBAN"/>
    <s v="FO-25-1539436"/>
    <d v="2025-09-16T17:18:00"/>
    <d v="2025-09-18T12:45:00"/>
    <s v="NO"/>
    <s v="USUARIO"/>
    <s v="COMUNICACION"/>
    <s v="CONEXIONES DE COMERCIO"/>
    <m/>
    <m/>
    <s v="CERRADO"/>
    <s v="05/10/2025 SE INTENTA COMUNICACION CON EL CB  AL NUMERO  321113669 *, SE ESCALA PARA VISITA, LLAMAR A CONFIRMAR DATOS | 18/09/2025 SE REALIZA BORRADO Y RECARGA DE VERSION POR LENTITUD, SE CONFIRMA FALLA EN CONEXIÓNES DE PARTE DE COMERCIO, EQUIPO YA FUNCIONA OK"/>
    <s v="VISITA_TÉCNICA"/>
    <s v="11XZZ536"/>
    <s v="TIPO III"/>
    <s v="TERRESTRE"/>
    <s v="QUINTERO SANCHEZ JUAN SEBASTIAN"/>
    <n v="1"/>
    <n v="0"/>
    <n v="0"/>
    <n v="0"/>
    <n v="275728.37943999999"/>
    <n v="275728.37943999999"/>
  </r>
  <r>
    <s v="CUCUTA"/>
    <x v="1"/>
    <x v="1"/>
    <n v="54498"/>
    <n v="2748781"/>
    <n v="55365"/>
    <s v="INCIDENTE "/>
    <s v="NORTE DE SANTANDER"/>
    <s v="OCAÑA"/>
    <s v="DISTRICOL PLASTFE"/>
    <s v="REDEBAN"/>
    <s v="FO-25-1539404"/>
    <d v="2025-09-16T13:42:00"/>
    <d v="2025-09-18T11:26:00"/>
    <s v="NO"/>
    <s v="USUARIO"/>
    <s v="COMUNICACION"/>
    <s v="CONEXIONES DE COMERCIO"/>
    <m/>
    <m/>
    <s v="CERRADO"/>
    <s v="05/10/2025 EN COMUNICACION CON LA SEÑOR/A DAYANA ARIAS AL NUMERO 3107903096  CONFIRMA FALLA, DATOS CORRECTOS. SE ESCALA PARA VISITA | 18/09/2025 SE REALIZA VISITA AL COMERCIO CORRESPONSAL BANCARIO SE VALIDA Y SE ENCUENTRA DATÁFONO SIN CONEXIÓN A LA RED DE INTERNET SE VALIDA Y SE ENCUENTRA QUE EL CABLE PUESTO POR EL CLIENTE ESTÁ DAÑADO PARTIDO EN MAL ESTADO SE LES COMENTA DICHA SITUACIÓN SE LES DEJA CONECTADO EL CABLE QUE NOS DAN EN BODEGA QUE ES DE 3 M Y QUE ELLOS SE ENCARGAN LUEGO DE COMPRAR UN CABLE MUCHO MÁS LARGO PARA QUE NO HAGA ESTORBO EN EL PASILLO DEL COMERCIO SE HACEN LAS RESPECTIVAS PRUEBAS SE OBTIENEN PRUEBAS OKAY"/>
    <s v="VISITA_TÉCNICA"/>
    <s v="EF00B701"/>
    <s v="TIPO IV"/>
    <s v="TERRESTRE"/>
    <s v="GONZALEZ ESTUPIÑAN YEISON WALTER ANTONIO"/>
    <n v="1"/>
    <n v="0"/>
    <n v="0"/>
    <n v="0"/>
    <n v="479589.73656000005"/>
    <n v="479589.73656000005"/>
  </r>
  <r>
    <s v="CALI"/>
    <x v="0"/>
    <x v="0"/>
    <n v="76001"/>
    <n v="2748618"/>
    <n v="80837"/>
    <s v="INCIDENTE "/>
    <s v="VALLE DEL CAUCA"/>
    <s v="CALI"/>
    <s v="PTM CALI MULTISERVICIOS DAOR"/>
    <s v="REDEBAN"/>
    <s v="FO-25-1537570"/>
    <d v="2025-09-16T12:45:00"/>
    <d v="2025-09-16T18:07:00"/>
    <s v="NO"/>
    <s v="USUARIO"/>
    <s v="COMUNICACION"/>
    <s v="CANAL DEL COMERCIO"/>
    <m/>
    <m/>
    <s v="CERRADO"/>
    <s v="16/09/2025 SE ESCALA PARA VISITA. LLAMAR ANTES DE VISITAR, CONFIRMAR FALLA Y DATOS | 16/09/2025 SE HABLA CON LA SRA TATIANA HOLGUÍN E INDICA QUE YA EL CB ESTA OPERATIVO Y QUE AUTORIZA CERRAR LA ORDEN"/>
    <s v="SOPORTE_TELEFÓNICO"/>
    <n v="0"/>
    <s v="TIPO I"/>
    <s v="TERRESTRE"/>
    <s v="PAREDES CASTILLO DIEGO"/>
    <n v="0"/>
    <n v="0"/>
    <n v="0"/>
    <n v="0"/>
    <n v="37904.65408"/>
    <n v="37904.65408"/>
  </r>
  <r>
    <s v="BOGOTA"/>
    <x v="5"/>
    <x v="6"/>
    <n v="11001"/>
    <n v="2748096"/>
    <n v="81188"/>
    <s v="INCIDENTE "/>
    <s v="CUNDINAMARCA"/>
    <s v="BOGOTA"/>
    <s v="BARRIO BARRANCAS BOGOTA 13"/>
    <s v="REDEBAN"/>
    <s v="FO-25-1537345"/>
    <d v="2025-09-16T11:52:00"/>
    <d v="2025-09-17T11:00:00"/>
    <s v="NO"/>
    <s v="USUARIO"/>
    <s v="COMUNICACION"/>
    <s v="CANAL DEL COMERCIO"/>
    <m/>
    <m/>
    <s v="CERRADO"/>
    <s v="17/09/2025 SE VISITA COMERCIO POR FALLA EN DATÁFONO CONECTE CABLE DE RED  , AL LLEGAR AL.COMERCIO.CLIENTE CONFIRMA QUE EL EQUIPO YA SE ENCUENTRA FUNCIONANDO SIN NOVEDADY NO REQUIERE DEL MANTENIMIENTO Y NO SE MANIPULA EQUIPO SE SUBE BOUCHER DE ÚLTIMA TRANSACCIÓN REALIZADA POR EL COMERCIO"/>
    <s v="VISITA_TÉCNICA"/>
    <s v="FKZZZ667"/>
    <s v="TIPO I"/>
    <s v="TERRESTRE"/>
    <s v="ROMERO ROJAS BREIDY JHOHAN"/>
    <n v="1"/>
    <n v="0"/>
    <n v="0"/>
    <n v="0"/>
    <n v="65960.473639999997"/>
    <n v="65960.473639999997"/>
  </r>
  <r>
    <s v="PASTO"/>
    <x v="0"/>
    <x v="0"/>
    <n v="52399"/>
    <n v="2747737"/>
    <n v="80379"/>
    <s v="INCIDENTE "/>
    <s v="NARIÑO"/>
    <s v="LA UNION"/>
    <s v="BARRIO LAS AMERICAS LA UNION 1"/>
    <s v="REDEBAN"/>
    <s v="FO-25-1536743"/>
    <d v="2025-09-16T11:06:00"/>
    <d v="2025-09-17T12:09:00"/>
    <s v="NO"/>
    <s v="USUARIO"/>
    <s v="MANTENIMIENTO"/>
    <s v="MANTENIMIENTO GENERAL"/>
    <m/>
    <m/>
    <s v="CERRADO"/>
    <s v="16/09/2025 EN COMUNICACION CON LA SEÑOR/A CARMEN EUGENIA FERNANDEZ * AL NUMERO 3117282258 , CONFIRMA FALLA, DATOS CORRECTOS. SE ESCALA PARA VISITA | 17/09/2025 SE VISITA EL CB PARA REVISAR FALLA DATAFONO SIN CONEXIÓN, SE REVISA FALLA Y AL HACER BORRADO DE TRANSACCIONES POR PARTE DE LA PERSONA ENCARGADA DEL CB BORRO LOS PARÁMETROS DEL DATÁFONO, POR LO QUE SE REALIZÓ BORRADO DE DATÁFONO SOFTWARE Y VERSIÓN, SE RE INSTALA Y SE HACE PRUEBAS OK, SE INDICA A CB COMO DEBE HACER CIERRE PARA EVITAR BORRADO DE TRX"/>
    <s v="VISITA_TÉCNICA"/>
    <s v="LBZZZ637"/>
    <s v="TIPO III"/>
    <s v="TERRESTRE"/>
    <s v="GUERRERO RAMIREZ OSCAR DARIO"/>
    <n v="1"/>
    <n v="0"/>
    <n v="0"/>
    <n v="0"/>
    <n v="275728.37943999999"/>
    <n v="275728.37943999999"/>
  </r>
  <r>
    <s v="BUCARAMANGA"/>
    <x v="1"/>
    <x v="1"/>
    <n v="68001"/>
    <n v="2745793"/>
    <n v="25140"/>
    <s v="INCIDENTE "/>
    <s v="SANTANDER"/>
    <s v="BUCARAMANGA"/>
    <s v="BARRIO ALARCON II BUCARAMANGA"/>
    <s v="REDEBAN"/>
    <s v="FO-25-1535313"/>
    <d v="2025-09-16T08:31:00"/>
    <d v="2025-09-16T17:08:00"/>
    <s v="NO"/>
    <s v="USUARIO"/>
    <s v="COMUNICACION"/>
    <s v="CONEXIONES DE COMERCIO"/>
    <m/>
    <m/>
    <s v="CERRADO"/>
    <s v="16/09/2025 SE ESCALA PARA VISITA. LLAMAR ANTES DE VISITAR, CONFIRMAR FALLA Y DATOS | 16/09/2025 SE LLEGA A SITIO, CLIENTE INFORMA QUE LA FALLA LA TENÍA EN LAS CONEXIONES DEL COMERCIO QUE EL DATÁFONO YA LE ESTÁ OPERANDO CORRECTAMENTE QUE NO REQUIERE EL MANTENIMIENTO."/>
    <s v="VISITA_TÉCNICA"/>
    <s v="BL06Z840"/>
    <s v="TIPO I"/>
    <s v="TERRESTRE"/>
    <s v="MARTINEZ FLOREZ DONIS ALBERTO"/>
    <n v="1"/>
    <n v="0"/>
    <n v="0"/>
    <n v="0"/>
    <n v="65960.473639999997"/>
    <n v="65960.473639999997"/>
  </r>
  <r>
    <s v="BOGOTA"/>
    <x v="5"/>
    <x v="6"/>
    <n v="11001"/>
    <n v="2745936"/>
    <n v="71496"/>
    <s v="INCIDENTE "/>
    <s v="CUNDINAMARCA"/>
    <s v="BOGOTA"/>
    <s v="PTM BOGOTA PANADERIA CAFETERIA"/>
    <s v="REDEBAN"/>
    <s v="FO-25-1535321"/>
    <d v="2025-09-16T08:28:00"/>
    <d v="2025-09-16T17:04:00"/>
    <s v="NO"/>
    <s v="USUARIO"/>
    <s v="CIERRE"/>
    <s v="COMERCIO NO REALIZA CIERRE"/>
    <m/>
    <m/>
    <s v="CERRADO"/>
    <s v="16/09/2025 SE ESCALA PARA VISITA. LLAMAR ANTES DE VISITAR, CONFIRMAR FALLA Y DATOS | 16/09/2025 SE REALIZA VISITA A CB PARA ATENDER INCIDENTE SE REALIZA BORRADO DE TRANSACCIONES ,SE LE EXPLICA COMO REALIZAR CIERRES DIARIOS ,Y SE REALIZAN PRUEBAS OK"/>
    <s v="VISITA_TÉCNICA"/>
    <s v="UV00B398"/>
    <s v="TIPO I"/>
    <s v="TERRESTRE"/>
    <s v="GALINDO ROJAS LUIS FELIPE"/>
    <n v="1"/>
    <n v="0"/>
    <n v="0"/>
    <n v="0"/>
    <n v="65960.473639999997"/>
    <n v="65960.473639999997"/>
  </r>
  <r>
    <s v="NEIVA"/>
    <x v="3"/>
    <x v="3"/>
    <n v="41524"/>
    <n v="2742563"/>
    <n v="55154"/>
    <s v="INCIDENTE "/>
    <s v="HUILA"/>
    <s v="PALERMO"/>
    <s v="BARRIO EL JUNCAL PALERMO"/>
    <s v="REDEBAN"/>
    <s v="FO-25-1532847"/>
    <d v="2025-09-15T13:39:00"/>
    <d v="2025-09-15T17:15:00"/>
    <s v="NO"/>
    <s v="USUARIO"/>
    <s v="MANTENIMIENTO"/>
    <s v="MANTENIMIENTO GENERAL"/>
    <m/>
    <m/>
    <s v="CERRADO"/>
    <s v="15/09/2025 SE LLEGA AL PUNTO, CLIENTE INDICA PIN PAD QUEDABA CARGANDO Y LECTOR DE BARRAS SUENA PERO NO LEEE, SE REINICIA DATAFONO CON TODOS LOS PERIFÉRICOS CONECTADOS EVIDENCIANDO LA CARGA CORRECTA DE PIN PAD Y LECTOR DE BARRAS , SE REALIZA PRUEBAS OK"/>
    <s v="VISITA_TÉCNICA"/>
    <s v="9BDZZ658"/>
    <s v="TIPO I"/>
    <s v="TERRESTRE"/>
    <s v="ANDRADE HERNANDEZ JUAN CARLOS"/>
    <n v="1"/>
    <n v="0"/>
    <n v="0"/>
    <n v="0"/>
    <n v="65960.473639999997"/>
    <n v="65960.473639999997"/>
  </r>
  <r>
    <s v="MEDELLIN"/>
    <x v="2"/>
    <x v="2"/>
    <n v="5579"/>
    <n v="2740774"/>
    <n v="73705"/>
    <s v="INCIDENTE "/>
    <s v="ANTIOQUIA"/>
    <s v="PUERTO BERRIO"/>
    <s v="BARRIO CENTRO PUERTO BERRIO 7"/>
    <s v="REDEBAN"/>
    <s v="FO-25-1531555"/>
    <d v="2025-09-15T10:19:00"/>
    <d v="2025-09-15T17:52:00"/>
    <s v="NO"/>
    <s v="USUARIO"/>
    <s v="COMUNICACION"/>
    <s v="CANAL DEL COMERCIO"/>
    <m/>
    <m/>
    <s v="CERRADO"/>
    <s v="15/09/2025 EN COMUNICACION CON LA SEÑORA MELISSA MACIAS   AL NUMERO 3103507517 CONFIRMA FALLA, DATOS CORRECTOS. SE ESCALA PARA VISITA | 15/09/2025 SE HABLA CON LA SRA MELISA MASÍAS E INFORMA QUE YA ESTÁ OPERANDO SIN PROBLEMAS DE CONEXIÓN REALIZÓ PRUEBAS Y ESA FUNCIONAL⁷"/>
    <s v="SOPORTE_TELEFÓNICO"/>
    <n v="0"/>
    <s v="TIPO III"/>
    <s v="TERRESTRE"/>
    <s v="PAREJA ECHAVARRIA JHON DAVID"/>
    <n v="0"/>
    <n v="0"/>
    <n v="0"/>
    <n v="0"/>
    <n v="37904.65408"/>
    <n v="37904.65408"/>
  </r>
  <r>
    <s v="MEDELLIN"/>
    <x v="2"/>
    <x v="2"/>
    <n v="5579"/>
    <n v="2739646"/>
    <n v="78930"/>
    <s v="INCIDENTE "/>
    <s v="ANTIOQUIA"/>
    <s v="PUERTO BERRIO"/>
    <s v="DISTRICOL JYM DISTRIBUCIONES P"/>
    <s v="REDEBAN"/>
    <s v="FO-25-1530707"/>
    <d v="2025-09-15T08:59:00"/>
    <d v="2025-09-16T09:09:00"/>
    <s v="NO"/>
    <s v="USUARIO"/>
    <s v="COMUNICACION"/>
    <s v="CANAL DEL COMERCIO"/>
    <m/>
    <m/>
    <s v="CERRADO"/>
    <s v="15/09/2025 SE INTENTA COMUNICACION CON EL CB 78930 AL NUMERO 3135180777   SE ESCALA PARA VISITA, LLAMAR A CONFIRMAR DATOS | 16/09/2025 SE HABLA CON LA SRA LUZ MARINA PARA CONFIRMAR VISITA E INFORMA QUE YA ESTÁ OPERANDO SIN PROBLEMAS NO TIENE NINGÚN INCONVENIENTE"/>
    <s v="SOPORTE_TELEFÓNICO"/>
    <n v="0"/>
    <s v="TIPO III"/>
    <s v="TERRESTRE"/>
    <s v="PAREJA ECHAVARRIA JHON DAVID"/>
    <n v="0"/>
    <n v="0"/>
    <n v="0"/>
    <n v="0"/>
    <n v="37904.65408"/>
    <n v="37904.65408"/>
  </r>
  <r>
    <s v="BOGOTA"/>
    <x v="5"/>
    <x v="6"/>
    <n v="11001"/>
    <n v="2739224"/>
    <n v="61092"/>
    <s v="INCIDENTE "/>
    <s v="CUNDINAMARCA"/>
    <s v="BOGOTA"/>
    <s v="PTM BOGOTA TIENDA EL DRAGON"/>
    <s v="REDEBAN"/>
    <s v="FO-25-1530313"/>
    <d v="2025-09-15T08:18:00"/>
    <d v="2025-09-15T16:11:00"/>
    <s v="NO"/>
    <s v="USUARIO"/>
    <s v="LECTOR DE BARRAS"/>
    <s v="CAPACITACION MANIPULACION DE COMERCIO"/>
    <m/>
    <m/>
    <s v="CERRADO"/>
    <s v="15/09/2025 SE ESCALA PARA VISITA. LLAMAR ANTES DE VISITAR, CONFIRMAR FALLA Y DATOS | 15/09/2025 SE REALIZA VISITA A CB PARA ATENDER INCIDENTE SE REALIZA CONFIGURACIÓN DE LECTORA ,SE REALIZAN PRUEBAS OK"/>
    <s v="VISITA_TÉCNICA"/>
    <s v="NA00F144"/>
    <s v="TIPO I"/>
    <s v="TERRESTRE"/>
    <s v="GALINDO ROJAS LUIS FELIPE"/>
    <n v="1"/>
    <n v="0"/>
    <n v="0"/>
    <n v="0"/>
    <n v="65960.473639999997"/>
    <n v="65960.473639999997"/>
  </r>
  <r>
    <s v="PEREIRA"/>
    <x v="0"/>
    <x v="5"/>
    <n v="63001"/>
    <n v="2739079"/>
    <n v="75677"/>
    <s v="INCIDENTE "/>
    <s v="QUINDIO"/>
    <s v="ARMENIA"/>
    <s v="BARRIO BUENOS AIRES BAJO ARMEN"/>
    <s v="REDEBAN"/>
    <s v="FO-25-1530322"/>
    <d v="2025-09-15T08:17:00"/>
    <d v="2025-09-16T15:15:00"/>
    <s v="NO"/>
    <s v="USUARIO"/>
    <s v="COMUNICACION"/>
    <s v="CANAL DEL COMERCIO"/>
    <m/>
    <m/>
    <s v="CERRADO"/>
    <s v="15/09/2025 SE ESCALA PARA VISITA. LLAMAR ANTES DE VISITAR, CONFIRMAR FALLA Y DATOS | 16/09/2025 EN COMUNICACIÓN CON LA SEÑORA DIANA ESPOSA DE CLIENTE JONATHAN RODRÍGUEZ INDICA QUE EL DATÁFONO SE ENCUENTRA FUNCIONANDO QUE LA SEMANA PASADA ESTUVO PRESENTANDO FALLAS EL INTERNET ACTUALMENTE SE ENCUENTRA TRABAJANDO SIN INCONVENIENTES"/>
    <s v="SOPORTE_TELEFÓNICO"/>
    <n v="0"/>
    <s v="TIPO II"/>
    <s v="TERRESTRE"/>
    <s v="LOAIZA LOPEZ JHON FREDDY"/>
    <n v="0"/>
    <n v="0"/>
    <n v="0"/>
    <n v="0"/>
    <n v="37904.65408"/>
    <n v="37904.65408"/>
  </r>
  <r>
    <s v="MEDELLIN"/>
    <x v="2"/>
    <x v="2"/>
    <n v="5001"/>
    <n v="2739212"/>
    <n v="35794"/>
    <s v="INCIDENTE "/>
    <s v="ANTIOQUIA"/>
    <s v="MEDELLIN"/>
    <s v="DISTRICOL TECNOGAS NATURAL"/>
    <s v="REDEBAN"/>
    <s v="FO-25-1530326"/>
    <d v="2025-09-15T08:15:00"/>
    <d v="2025-09-15T14:17:00"/>
    <s v="NO"/>
    <s v="USUARIO"/>
    <s v="COMUNICACION"/>
    <s v="CONEXIONES DE COMERCIO"/>
    <m/>
    <m/>
    <s v="CERRADO"/>
    <s v="15/09/2025 SE ESCALA PARA VISITA. LLAMAR ANTES DE VISITAR, CONFIRMAR FALLA Y DATOS | 15/09/2025 SE REALIZA CONTACTO TELEFÓNICO CON EL USUARIO PARA VALIDAR EL ESTADO DEL INCIDENTE PREVIAMENTE REPORTADO RELACIONADO CON EL DATÁFONO. EL USUARIO INDICA QUE EL DÍA ANTERIOR EL DISPOSITIVO NO CONTABA CON CONEXIÓN A INTERNET. TRAS REVISIÓN, SE IDENTIFICÓ QUE EL CABLE UTP ESTABA MAL CONECTADO, LO QUE OCASIONABA LA FALTA DE CONECTIVIDAD._x000a__x000a_EL DÍA DE HOY, EL DATÁFONO SE ENCUENTRA OPERATIVO Y FUNCIONANDO CORRECTAMENTE. EL USUARIO CONFIRMA QUE NO ES NECESARIA UNA VISITA TÉCNICA, YA QUE EL INCONVENIENTE FUE RESUELTO LOCALMENTE MEDIANTE LA CORRECTA CONEXIÓN DEL CABLE DE RED."/>
    <s v="SOPORTE_TELEFÓNICO"/>
    <n v="0"/>
    <s v="TIPO I"/>
    <s v="TERRESTRE"/>
    <s v="MARTINEZ TOVAR OSCAR DAVID"/>
    <n v="0"/>
    <n v="0"/>
    <n v="0"/>
    <n v="0"/>
    <n v="37904.65408"/>
    <n v="37904.65408"/>
  </r>
  <r>
    <s v="MEDELLIN"/>
    <x v="2"/>
    <x v="2"/>
    <n v="5001"/>
    <n v="2738098"/>
    <n v="60786"/>
    <s v="INCIDENTE "/>
    <s v="ANTIOQUIA"/>
    <s v="MEDELLIN"/>
    <s v="BARRIO SANTA CRUZ MEDELLIN 14"/>
    <s v="REDEBAN"/>
    <s v="FO-25-1526776"/>
    <d v="2025-09-14T11:17:00"/>
    <d v="2025-09-15T11:09:00"/>
    <s v="NO"/>
    <s v="USUARIO"/>
    <s v="MANTENIMIENTO"/>
    <s v="MANTENIMIENTO GENERAL"/>
    <m/>
    <m/>
    <s v="CERRADO"/>
    <s v="14/09/2025 SE ESCALA PARA VISITA. LLAMAR ANTES DE VISITAR, CONFIRMAR FALLA Y DATOS | 15/09/2025 SE HACE MANTENIMIENTO OK SE VUELVE A PONER PARÁMETROS EN DATÁFONO OK PRUEBAS EXITOSAS"/>
    <s v="VISITA_TÉCNICA"/>
    <s v="FUA0G670"/>
    <s v="TIPO I"/>
    <s v="TERRESTRE"/>
    <s v="DIAZ ZABALA FRANCIS DUBAN"/>
    <n v="1"/>
    <n v="0"/>
    <n v="0"/>
    <n v="0"/>
    <n v="65960.473639999997"/>
    <n v="65960.473639999997"/>
  </r>
  <r>
    <s v="BOGOTA"/>
    <x v="5"/>
    <x v="6"/>
    <n v="11001"/>
    <n v="2737652"/>
    <n v="76110"/>
    <s v="INCIDENTE "/>
    <s v="CUNDINAMARCA"/>
    <s v="BOGOTA"/>
    <s v="PTM BOGOTA HERRAJES E INSUMOS"/>
    <s v="REDEBAN"/>
    <s v="FO-25-1526251"/>
    <d v="2025-09-14T08:00:00"/>
    <d v="2025-09-15T15:27:00"/>
    <s v="NO"/>
    <s v="ENTIDAD"/>
    <s v="ERROR DE TRANSACCIONES"/>
    <s v="TRANSACCION NO PERMITIDA"/>
    <m/>
    <m/>
    <s v="CERRADO"/>
    <s v="14/09/2025 SE ESCALA PARA VISITA. LLAMAR ANTES DE VISITAR, CONFIRMAR FALLA Y DATOS | 14/09/2025 SE REQUIERE CAMBIO DE EQUIPO POR SER FIN DE SEMANA NO HAY SOPORTÉ DE ACTIVOS POR PARTE DE RBM | 15/09/2025 SE LLEGA COMERCIO SE VALIDA CON CLIENTE NO LE PERMITE HACER CONSIGNACIONES A CUENTAS CORRIENTE SE REALIZAN PRUEBAS Y SI PERMITE SE VALIDA CON PAOLA GARZÓN SE LE INDICA CLIENTE QUE EL DAÑO ESTÁ EN LA CUENTA CORRIENTE QUE ESTÁ CONSIGNANDO YA QUE A LAS DEMÁS CUENTAS SI PERMITE"/>
    <s v="VISITA_TÉCNICA"/>
    <s v="SX0GZ261"/>
    <s v="TIPO I"/>
    <s v="TERRESTRE"/>
    <s v="GOMEZ VEGA DAVID SNEYDER"/>
    <n v="1"/>
    <n v="0"/>
    <n v="0"/>
    <n v="0"/>
    <n v="65960.473639999997"/>
    <n v="65960.473639999997"/>
  </r>
  <r>
    <s v="MEDELLIN"/>
    <x v="2"/>
    <x v="2"/>
    <n v="5284"/>
    <n v="2737369"/>
    <n v="10516"/>
    <s v="INCIDENTE "/>
    <s v="ANTIOQUIA"/>
    <s v="FRONTINO"/>
    <s v="FRONTINO II - ANTIOQUIA"/>
    <s v="REDEBAN"/>
    <s v="FO-25-1525527"/>
    <d v="2025-09-13T13:43:00"/>
    <d v="2025-09-15T17:35:00"/>
    <s v="NO"/>
    <s v="USUARIO"/>
    <s v="NO ENCIENDE"/>
    <s v="CONEXIONES DE COMERCIO"/>
    <m/>
    <m/>
    <s v="CERRADO"/>
    <s v="22/09/2025 SE ESCALA PARA VISITA. LLAMAR ANTES DE VISITAR, CONFIRMAR FALLA Y DATOS | 15/09/2025 SE ESTABLECE CONTACTO TELEFÓNICO CON EL USUARIO PARA VERIFICAR EL ESTADO DEL INCIDENTE PREVIAMENTE REPORTADO EN EL DATÁFONO DEL CORRESPONSAL BANCOLOMBIA, IDENTIFICADO POR LA ALERTA “WARNING KEY JAMMED”. DURANTE LA LLAMADA, EL USUARIO CONFIRMA QUE EL EQUIPO YA SE ENCUENTRA OPERATIVO, FUNCIONANDO CON NORMALIDAD Y SIN PRESENTAR NOVEDADES. INDICA ADEMÁS QUE NO REQUIERE VISITA TÉCNICA, DADO QUE EL DISPOSITIVO ESTÁ PRESTANDO SERVICIO CORRECTAMENTE."/>
    <s v="SOPORTE_TELEFÓNICO"/>
    <n v="0"/>
    <s v="TIPO IV"/>
    <s v="TERRESTRE"/>
    <s v="MARTINEZ TOVAR OSCAR DAVID"/>
    <n v="0"/>
    <n v="0"/>
    <n v="0"/>
    <n v="0"/>
    <n v="37904.65408"/>
    <n v="37904.65408"/>
  </r>
  <r>
    <s v="MEDELLIN"/>
    <x v="2"/>
    <x v="2"/>
    <n v="5088"/>
    <n v="2737436"/>
    <n v="56687"/>
    <s v="INCIDENTE "/>
    <s v="ANTIOQUIA"/>
    <s v="BELLO"/>
    <s v="PTM BELLO DEPOSITO Y FERRETERI"/>
    <s v="REDEBAN"/>
    <s v="FO-25-1525073"/>
    <d v="2025-09-13T12:43:00"/>
    <d v="2025-09-15T12:41:00"/>
    <s v="NO"/>
    <s v="USUARIO"/>
    <s v="COMUNICACION"/>
    <s v="CONEXIONES DE COMERCIO"/>
    <m/>
    <m/>
    <s v="CERRADO"/>
    <s v="22/09/2025 SE ESCALA PARA VISITA. LLAMAR ANTES DE VISITAR, CONFIRMAR FALLA Y DATOS | 14/09/2025 CB NO LABORA EL DÍA DOMINGO | 15/09/2025 SE REALIZA CAMBIO DE ENSORTIJADO Y SE REALIZA REPONCHADO DE CABLE DE RED. SE HABILITA NUEVAMENTE LECTOR DE CÓDIGO DE BARRAS. TODO QUEDA FUNCIONANDO OK."/>
    <s v="VISITA_TÉCNICA"/>
    <s v="9CMZZ632"/>
    <s v="TIPO I"/>
    <s v="TERRESTRE"/>
    <s v="DIAZ ZABALA FRANCIS DUBAN"/>
    <n v="1"/>
    <n v="0"/>
    <n v="0"/>
    <n v="0"/>
    <n v="65960.473639999997"/>
    <n v="65960.473639999997"/>
  </r>
  <r>
    <s v="TUNJA"/>
    <x v="1"/>
    <x v="1"/>
    <n v="15763"/>
    <n v="2737320"/>
    <n v="77599"/>
    <s v="INCIDENTE "/>
    <s v="BOYACA"/>
    <s v="SOTAQUIRA"/>
    <s v="BARRIO VEREDA CARREÑO SOTAQUIRA"/>
    <s v="REDEBAN"/>
    <s v="FO-25-1525020"/>
    <d v="2025-09-13T12:00:00"/>
    <d v="2025-09-15T11:17:00"/>
    <s v="NO"/>
    <s v="USUARIO"/>
    <s v="CIERRE"/>
    <s v="COMERCIO NO REALIZA CIERRE"/>
    <m/>
    <m/>
    <s v="CERRADO"/>
    <s v="22/09/2025 SE ESCALA PARA VISITA. LLAMAR ANTES DE VISITAR, CONFIRMAR FALLA Y DATOS | 15/09/2025 SE VISITA PUNTO EVIDENCIANDO QUE EL EQUIPO TIENE LA MEMORIA ACOMULADA NO ARROJA CIERRES CLIENTE AUTORIZA REALIZAR BORRADO DE MEMORIA SE LE INDICA LA FORMA CORRECTA DE REALIZAR LOS CIERRES DIARIOS PRUEBAS OK CLIENTE CONFORME"/>
    <s v="VISITA_TÉCNICA"/>
    <s v="F1JZZ348"/>
    <s v="TIPO II"/>
    <s v="TERRESTRE"/>
    <s v="RODRIGUEZ MURCIA YERSON IVAN"/>
    <n v="1"/>
    <n v="0"/>
    <n v="0"/>
    <n v="0"/>
    <n v="163813.55812"/>
    <n v="163813.55812"/>
  </r>
  <r>
    <s v="MEDELLIN"/>
    <x v="2"/>
    <x v="2"/>
    <n v="5001"/>
    <n v="2736930"/>
    <n v="38948"/>
    <s v="INCIDENTE "/>
    <s v="ANTIOQUIA"/>
    <s v="MEDELLIN"/>
    <s v="DISTRICOL CLASE Y STYLO DEL PE"/>
    <s v="REDEBAN"/>
    <s v="FO-25-1523741"/>
    <d v="2025-09-13T09:12:00"/>
    <d v="2025-09-13T12:12:00"/>
    <s v="NO"/>
    <s v="USUARIO"/>
    <s v="LECTOR DE TARJETAS"/>
    <s v="OBSTRUCCION DEL LECTOR"/>
    <m/>
    <m/>
    <s v="CERRADO"/>
    <s v="13/09/2025 SE ESCALA PARA VISITA. LLAMAR ANTES DE VISITAR, CONFIRMAR FALLA Y DATOS | 13/09/2025 SE REALIZA LIMPIEZA DE LECTOR CHIP CON OBSTRUCCIÓN OK PRUEBAS OK"/>
    <s v="VISITA_TÉCNICA"/>
    <s v="1A00I157"/>
    <s v="TIPO I"/>
    <s v="TERRESTRE"/>
    <s v="PAREJA ECHAVARRIA JHON DAVID"/>
    <n v="1"/>
    <n v="0"/>
    <n v="0"/>
    <n v="0"/>
    <n v="65960.473639999997"/>
    <n v="65960.473639999997"/>
  </r>
  <r>
    <s v="IBAGUE"/>
    <x v="3"/>
    <x v="3"/>
    <n v="73268"/>
    <n v="2737107"/>
    <n v="68077"/>
    <s v="INCIDENTE "/>
    <s v="TOLIMA"/>
    <s v="ESPINAL"/>
    <s v="LIBERTADOR ESPINAL TOLIMA"/>
    <s v="REDEBAN"/>
    <s v="FO-25-1523755"/>
    <d v="2025-09-13T09:09:00"/>
    <d v="2025-09-16T17:34:00"/>
    <s v="NO"/>
    <s v="USUARIO"/>
    <s v="MANTENIMIENTO"/>
    <s v="MANTENIMIENTO GENERAL"/>
    <m/>
    <m/>
    <s v="CERRADO"/>
    <s v="13/09/2025 SE ESCALA PARA VISITA. LLAMAR ANTES DE VISITAR, CONFIRMAR FALLA Y DATOS | 14/09/2025 SIN SOPORTE DE REDEBAN PARA ERROR ENN TRANSACCIONES NEQUI | 16/09/2025 SE  INYECTA VERSIÓN POR USB, CONFIGURA PARÁMETROS DE COMUNICACIÓN E INICIALIZA DATÁFONO TRANSACCIONES DE PRUEBA O.K"/>
    <s v="VISITA_TÉCNICA"/>
    <s v="AAL0V627"/>
    <s v="TIPO II"/>
    <s v="TERRESTRE"/>
    <s v="GUTIERREZ  CAMILO ANDRES"/>
    <n v="1"/>
    <n v="0"/>
    <n v="0"/>
    <n v="0"/>
    <n v="163813.55812"/>
    <n v="163813.55812"/>
  </r>
  <r>
    <s v="MEDELLIN"/>
    <x v="2"/>
    <x v="2"/>
    <n v="5001"/>
    <n v="2736902"/>
    <n v="32283"/>
    <s v="INCIDENTE "/>
    <s v="ANTIOQUIA"/>
    <s v="MEDELLIN"/>
    <s v="BARRIO POPULAR 1 MEDELLIN 1"/>
    <s v="REDEBAN"/>
    <s v="FO-25-1523595"/>
    <d v="2025-09-13T08:28:00"/>
    <d v="2025-09-13T15:40:00"/>
    <s v="NO"/>
    <s v="USUARIO"/>
    <s v="CIERRE"/>
    <s v="COMERCIO NO REALIZA CIERRE"/>
    <m/>
    <m/>
    <s v="CERRADO"/>
    <s v="13/09/2025 SE ESCALA PARA VISITA. LLAMAR ANTES DE VISITAR, CONFIRMAR FALLA Y DATOS | 13/09/2025 SE HABLA CON USUARIA INFORMA QUE YA LOGRÓ SOLUCIONAR NOVEDAD DE CIERRES, REALIZÓ PRUEBAS Y CB ESTÁ OPERATIVO._x000a__x000a_SE CIERRA INCIDENTE."/>
    <s v="SOPORTE_TELEFÓNICO"/>
    <n v="0"/>
    <s v="TIPO I"/>
    <s v="TERRESTRE"/>
    <s v="RAMIREZ TABARES JUAN DIEGO"/>
    <n v="0"/>
    <n v="0"/>
    <n v="0"/>
    <n v="0"/>
    <n v="37904.65408"/>
    <n v="37904.65408"/>
  </r>
  <r>
    <s v="BUCARAMANGA"/>
    <x v="1"/>
    <x v="1"/>
    <n v="68001"/>
    <n v="2736075"/>
    <n v="74645"/>
    <s v="INCIDENTE "/>
    <s v="SANTANDER"/>
    <s v="BUCARAMANGA"/>
    <s v="PTM BUCARAMANGA  PAPELERIA Y V"/>
    <s v="REDEBAN"/>
    <s v="FO-25-1522937"/>
    <d v="2025-09-13T08:00:00"/>
    <d v="2025-09-13T14:48:00"/>
    <s v="NO"/>
    <s v="USUARIO"/>
    <s v="COMUNICACION"/>
    <s v="CONEXIONES DE COMERCIO"/>
    <m/>
    <m/>
    <s v="CERRADO"/>
    <s v="13/09/2025 SE REALIZA VISITA AL COMERCIO CB, SE VALIDA Y SE ENCUENTRA QUE NO ESTABA TOMANDO CONEXIÓN A INTERNET, SE VALIDAN LAS CONEXIONES INTERNAS SE REINICIA MODEM Y SCWITH Y SE VUELVE A HABILITAR LA CONEXIÓN, SE HACEN PRUEBAS DE ADQUIRENCIA Y CB DEJANDO TODO OK FUNCIONANDO"/>
    <s v="VISITA_TÉCNICA"/>
    <s v="NNLZZ178"/>
    <s v="TIPO I"/>
    <s v="TERRESTRE"/>
    <s v="GONZALEZ ESTUPIÑAN YEISON WALTER ANTONIO"/>
    <n v="1"/>
    <n v="0"/>
    <n v="0"/>
    <n v="0"/>
    <n v="65960.473639999997"/>
    <n v="65960.473639999997"/>
  </r>
  <r>
    <s v="BUCARAMANGA"/>
    <x v="1"/>
    <x v="1"/>
    <n v="68001"/>
    <n v="2736005"/>
    <n v="77645"/>
    <s v="INCIDENTE "/>
    <s v="SANTANDER"/>
    <s v="BUCARAMANGA"/>
    <s v="BARRIO ALARCON BUCARAMANGA 4"/>
    <s v="REDEBAN"/>
    <s v="FO-25-1522906"/>
    <d v="2025-09-12T16:55:00"/>
    <d v="2025-09-13T13:07:00"/>
    <s v="NO"/>
    <s v="USUARIO"/>
    <s v="COMUNICACION"/>
    <s v="CANAL DEL COMERCIO"/>
    <m/>
    <m/>
    <s v="CERRADO"/>
    <s v="12/09/2025 SE ESCALA PARA VISITA. LLAMAR ANTES DE VISITAR, CONFIRMAR FALLA Y DATOS | 13/09/2025 SE VISITA COMERCIO , SE REINCIA MODEN DEL CLIENTE Y DATAFONO CONECTA A INTERNET NORMAL, SE HACEN PRUEBAS OK VISITA EXITOSA"/>
    <s v="VISITA_TÉCNICA"/>
    <s v="10LZZ916"/>
    <s v="TIPO I"/>
    <s v="TERRESTRE"/>
    <s v="GELVEZ MOGOLLON JOSE ELISEO"/>
    <n v="1"/>
    <n v="0"/>
    <n v="0"/>
    <n v="0"/>
    <n v="65960.473639999997"/>
    <n v="65960.473639999997"/>
  </r>
  <r>
    <s v="BUCARAMANGA"/>
    <x v="1"/>
    <x v="1"/>
    <n v="68001"/>
    <n v="2735745"/>
    <n v="74340"/>
    <s v="INCIDENTE "/>
    <s v="SANTANDER"/>
    <s v="BUCARAMANGA"/>
    <s v="PTM BUCARAMANGA DESPENSA LA OR"/>
    <s v="REDEBAN"/>
    <s v="FO-25-1522592"/>
    <d v="2025-09-12T16:21:00"/>
    <d v="2025-09-13T12:28:00"/>
    <s v="NO"/>
    <s v="USUARIO"/>
    <s v="COMUNICACION"/>
    <s v="CONEXIONES DE COMERCIO"/>
    <m/>
    <m/>
    <s v="CERRADO"/>
    <s v="12/09/2025 SE ESCALA PARA VISITA. LLAMAR ANTES DE VISITAR, CONFIRMAR FALLA Y DATOS | 13/09/2025 SE REALIZA LLAMADA TELEFÓNICA AL NÚMERO 31276555843127655584  SE HABLA CON SEÑORA ISABEL MENDIETA QUIEN NOS INFORMA QUE EL DÍA DE AYER PRESENTÓ ERROR DE CONEXIÓN Y DEBIDO A ESO LE HICIERON MANTENIMIENTO AL CANAL DE EL COMERCIO AL FINALIZAR LA TARDE Y LE CAMBIARON EL CABLE DE INTERNET Y YA DESPUÉS DEJO DE SALIR EL ERROR Y YA ESTÁ TRABAJANDO CORRECTAMENTE POR LO ANTERIOR INDICA QUE NO ES NECESARIO LA VISITA TÉCNICA"/>
    <s v="SOPORTE_TELEFÓNICO"/>
    <n v="0"/>
    <s v="TIPO I"/>
    <s v="TERRESTRE"/>
    <s v="PEÑA DIAZ IVAN YESID"/>
    <n v="0"/>
    <n v="0"/>
    <n v="0"/>
    <n v="0"/>
    <n v="37904.65408"/>
    <n v="37904.65408"/>
  </r>
  <r>
    <s v="MEDELLIN"/>
    <x v="2"/>
    <x v="2"/>
    <n v="5308"/>
    <n v="2734692"/>
    <n v="18623"/>
    <s v="INCIDENTE "/>
    <s v="ANTIOQUIA"/>
    <s v="GIRARDOTA"/>
    <s v="BARRIO VEREDA PORTACHUELO GIRA"/>
    <s v="REDEBAN"/>
    <s v="FO-25-1521240"/>
    <d v="2025-09-12T14:30:00"/>
    <d v="2025-09-13T11:52:00"/>
    <s v="NO"/>
    <s v="USUARIO"/>
    <s v="COMUNICACION"/>
    <s v="CONEXIONES DE COMERCIO"/>
    <m/>
    <m/>
    <s v="CERRADO"/>
    <s v="12/09/2025 SE ESCALA PARA VISITA. LLAMAR ANTES DE VISITAR, CONFIRMAR FALLA Y DATOS | 13/09/2025 SE LLEGA AL SITIO Y PERSONA QUE ATIENDE INDICA QUE YA LOS SERVICIOS ESTÁN FUNCIONANDO CORRECTAMENTE POR ENDE NO SE MANIPULA DATÁFONO NO HUBO LLAMADA DE CONFIRMACIÓN A LA LÍNEA DE ATENCIÓN"/>
    <s v="VISITA_TÉCNICA"/>
    <s v="9A002986"/>
    <s v="TIPO I"/>
    <s v="TERRESTRE"/>
    <s v="BARRIENTOS HERNANDEZ CRISTIAN HORACIO"/>
    <n v="1"/>
    <n v="0"/>
    <n v="0"/>
    <n v="0"/>
    <n v="65960.473639999997"/>
    <n v="65960.473639999997"/>
  </r>
  <r>
    <s v="BOGOTA"/>
    <x v="5"/>
    <x v="6"/>
    <n v="11001"/>
    <n v="2734544"/>
    <n v="57035"/>
    <s v="INCIDENTE "/>
    <s v="CUNDINAMARCA"/>
    <s v="BOGOTA"/>
    <s v="DISTRICOL REDPAG QUINTAS"/>
    <s v="REDEBAN"/>
    <s v="FO-25-1521258"/>
    <d v="2025-09-12T13:50:00"/>
    <d v="2025-09-13T11:48:00"/>
    <s v="NO"/>
    <s v="USUARIO"/>
    <s v="COMUNICACION"/>
    <s v="CONEXIONES DE COMERCIO"/>
    <m/>
    <m/>
    <s v="CERRADO"/>
    <s v="12/09/2025 SE ESCALA PARA VISITA. LLAMAR ANTES DE VISITAR, CONFIRMAR FALLA Y DATOS | 13/09/2025 SE VISITA COMERCIO POR FALLO EN DATÁFONO NO IMPRIME NO HAY A CONEXIÓN A RED LECTORA NO ENCIENDE , AL LLEGAR AL PUNTO SE EVIDENCIAN CONEXIONES EN MAGICBOX INVERTIDAS POR ENDE NO ESTABA RECIBIENDO NINGUNA SEÑAL EL DATAFONO, SE PROCEDE A CONECTAR ADECUADAMENTE EL MAGICBOX Y SE COLOCA SEGURO DEL MISMO PARA EVITAR FUTURAS MANIPULACIONES ,SE REALIZAN LECTURAS DE PRUEBA OK Y SE COMPLETA ACTIVIDAD SIN MÁS NOVEDAD"/>
    <s v="VISITA_TÉCNICA"/>
    <s v="XPRZZ701"/>
    <s v="TIPO I"/>
    <s v="TERRESTRE"/>
    <s v="ROMERO ROJAS BREIDY JHOHAN"/>
    <n v="1"/>
    <n v="0"/>
    <n v="0"/>
    <n v="0"/>
    <n v="65960.473639999997"/>
    <n v="65960.473639999997"/>
  </r>
  <r>
    <s v="NEIVA"/>
    <x v="3"/>
    <x v="3"/>
    <n v="41001"/>
    <n v="2734189"/>
    <n v="80168"/>
    <s v="INCIDENTE "/>
    <s v="HUILA"/>
    <s v="NEIVA"/>
    <s v="BARRIO SANTA INES NEIVA 4"/>
    <s v="REDEBAN"/>
    <s v="FO-25-1520595"/>
    <d v="2025-09-12T12:41:00"/>
    <d v="2025-09-13T10:41:00"/>
    <s v="NO"/>
    <s v="USUARIO"/>
    <s v="MANTENIMIENTO"/>
    <s v="MANTENIMIENTO GENERAL"/>
    <m/>
    <m/>
    <s v="CERRADO"/>
    <s v="12/09/2025 SE ESCALA PARA VISITA. LLAMAR ANTES DE VISITAR, CONFIRMAR FALLA Y DATOS | 13/09/2025 SE LLEGA AL PUNTO , SE REALIZA INICIALIZACIÓN DATAFONO, SE REALIZA PRUEBAS DE BANCO , DATAFONO OPERATIVO"/>
    <s v="VISITA_TÉCNICA"/>
    <s v="F1ZZZ695"/>
    <s v="TIPO I"/>
    <s v="TERRESTRE"/>
    <s v="ANDRADE HERNANDEZ JUAN CARLOS"/>
    <n v="1"/>
    <n v="0"/>
    <n v="0"/>
    <n v="0"/>
    <n v="65960.473639999997"/>
    <n v="65960.473639999997"/>
  </r>
  <r>
    <s v="CUCUTA"/>
    <x v="1"/>
    <x v="1"/>
    <n v="54874"/>
    <n v="2734249"/>
    <n v="77297"/>
    <s v="INCIDENTE "/>
    <s v="NORTE DE SANTANDER"/>
    <s v="VILLA DEL ROSARIO"/>
    <s v="BARRIO SANTANDER VILLA DEL ROSARIO  3"/>
    <s v="REDEBAN"/>
    <s v="FO-25-1520602"/>
    <d v="2025-09-12T12:34:00"/>
    <d v="2025-09-12T23:49:00"/>
    <s v="NO"/>
    <s v="USUARIO"/>
    <s v="COMUNICACION"/>
    <s v="CANAL DEL COMERCIO"/>
    <m/>
    <m/>
    <s v="CERRADO"/>
    <s v="12/09/2025 SE ESCALA PARA VISITA. LLAMAR ANTES DE VISITAR, CONFIRMAR FALLA Y DATOS | 12/09/2025 SE REALIZA VISITA, SERVICIO SE ENCUENTRA OPERATIVO, COMERCIO CON FALLA DE INTERNET. SE REALIZAN PRUEBAS Y CIERRES OK"/>
    <s v="VISITA_TÉCNICA"/>
    <s v="FACZZ334"/>
    <s v="TIPO I"/>
    <s v="TERRESTRE"/>
    <s v="PACHECO BUITRAGO JAVIER ALONSO"/>
    <n v="1"/>
    <n v="0"/>
    <n v="0"/>
    <n v="0"/>
    <n v="65960.473639999997"/>
    <n v="65960.473639999997"/>
  </r>
  <r>
    <s v="MEDELLIN"/>
    <x v="2"/>
    <x v="2"/>
    <n v="5360"/>
    <n v="2734175"/>
    <n v="32941"/>
    <s v="INCIDENTE "/>
    <s v="ANTIOQUIA"/>
    <s v="ITAGUI"/>
    <s v="COMCARD ITAGUI PAPELERIA ASTUR"/>
    <s v="REDEBAN"/>
    <s v="FO-25-1520605"/>
    <d v="2025-09-12T12:32:00"/>
    <d v="2025-09-13T11:00:00"/>
    <s v="NO"/>
    <s v="ENTIDAD"/>
    <s v="ERROR DE TRANSACCIONES"/>
    <s v="CONVENIOS NO HABILITADOS"/>
    <m/>
    <m/>
    <s v="CERRADO"/>
    <s v="12/09/2025 SE ESCALA PARA VISITA. LLAMAR ANTES DE VISITAR, CONFIRMAR FALLA Y DATOS | 13/09/2025 SE REALIZÓ GESTIÓN TELEFÓNICA SE HABLO CON EL SEÑOR DAVID NOS INDICA QUE EL DATÁFONO SE ENCUENTRA FUNCIONANDO NORMALMENTE SE PROCEDE A CERRAR CASO"/>
    <s v="SOPORTE_TELEFÓNICO"/>
    <n v="0"/>
    <s v="TIPO I"/>
    <s v="TERRESTRE"/>
    <s v="CASTAÑEDA PALACIO CARLOS FELIPE"/>
    <n v="0"/>
    <n v="0"/>
    <n v="0"/>
    <n v="0"/>
    <n v="37904.65408"/>
    <n v="37904.65408"/>
  </r>
  <r>
    <s v="MEDELLIN"/>
    <x v="2"/>
    <x v="2"/>
    <n v="5088"/>
    <n v="2733960"/>
    <n v="75649"/>
    <s v="INCIDENTE "/>
    <s v="ANTIOQUIA"/>
    <s v="BELLO"/>
    <s v="BARRIO BELLO BELLO 21"/>
    <s v="REDEBAN"/>
    <s v="FO-25-1520626"/>
    <d v="2025-09-12T12:01:00"/>
    <d v="2025-09-12T16:17:00"/>
    <s v="NO"/>
    <s v="USUARIO"/>
    <s v="LECTOR DE BARRAS"/>
    <s v="ERROR PAGOS PARCIALES DE FACTURAS"/>
    <m/>
    <m/>
    <s v="CERRADO"/>
    <s v="12/09/2025 SE ESCALA PARA VISITA. LLAMAR ANTES DE VISITAR, CONFIRMAR FALLA Y DATOS | 12/09/2025 USUARIA MANIFIESTA QUE EL SERVICIO YA SE RESTABLECIÓ Y ESTO ERA DEBIDO A UNA FALLA MASIVA."/>
    <s v="VISITA_TÉCNICA"/>
    <s v="1000R467"/>
    <s v="TIPO I"/>
    <s v="TERRESTRE"/>
    <s v="RAMIREZ TABARES JUAN DIEGO"/>
    <n v="1"/>
    <n v="0"/>
    <n v="0"/>
    <n v="0"/>
    <n v="65960.473639999997"/>
    <n v="65960.473639999997"/>
  </r>
  <r>
    <s v="NEIVA"/>
    <x v="3"/>
    <x v="3"/>
    <n v="41001"/>
    <n v="2733650"/>
    <n v="80615"/>
    <s v="INCIDENTE "/>
    <s v="HUILA"/>
    <s v="NEIVA"/>
    <s v="BARRIO LOS CEDROS NEIVA"/>
    <s v="REDEBAN"/>
    <s v="FO-25-1519840"/>
    <d v="2025-09-12T11:22:00"/>
    <d v="2025-09-13T10:06:00"/>
    <s v="NO"/>
    <s v="USUARIO"/>
    <s v="MANTENIMIENTO"/>
    <s v="MANTENIMIENTO GENERAL"/>
    <m/>
    <m/>
    <s v="CERRADO"/>
    <s v="12/09/2025 SE ESCALA PARA VISITA. LLAMAR ANTES DE VISITAR, CONFIRMAR FALLA Y DATOS | 13/09/2025 SE LLEGA AL PUNTO , CLIENTE INDICA DATAFONO ESTÁ OPERANDO NORMAL ."/>
    <s v="VISITA_TÉCNICA"/>
    <s v="V6ZZZ838"/>
    <s v="TIPO I"/>
    <s v="TERRESTRE"/>
    <s v="ANDRADE HERNANDEZ JUAN CARLOS"/>
    <n v="1"/>
    <n v="0"/>
    <n v="0"/>
    <n v="0"/>
    <n v="65960.473639999997"/>
    <n v="65960.473639999997"/>
  </r>
  <r>
    <s v="YOPAL"/>
    <x v="3"/>
    <x v="3"/>
    <n v="85001"/>
    <n v="2732201"/>
    <n v="54058"/>
    <s v="INCIDENTE "/>
    <s v="CASANARE"/>
    <s v="YOPAL"/>
    <s v="DISTRICOL DROGUERIA LA CAMPINA"/>
    <s v="REDEBAN"/>
    <s v="FO-25-1518810"/>
    <d v="2025-09-12T09:28:00"/>
    <d v="2025-09-12T14:28:00"/>
    <s v="NO"/>
    <s v="USUARIO"/>
    <s v="USUARIOS"/>
    <s v="TAPA MAL ASEGURADA"/>
    <m/>
    <m/>
    <s v="CERRADO"/>
    <s v="12/09/2025 SE ESCALA PARA VISITA. LLAMAR ANTES DE VISITAR, CONFIRMAR FALLA Y DATOS | 12/09/2025 EN COMUNICACIÓN CON LA SEÑORA YAMILE GUTIERREZ AL NUMERO 3223750609, SE ORIENTA PARA EL CORRECTO AJUSTE DE LA TAPA DE IMPRESION, SE LE INDICA QUE NO DEBE RETIRAR LA BATERIA Y QUE ESTA DEBE ESTAR SIEMPRE CONECTADA. INDICA OPERATIVO EL SERVICIO."/>
    <s v="SOPORTE_TELEFÓNICO"/>
    <n v="0"/>
    <s v="TIPO I"/>
    <s v="TERRESTRE"/>
    <s v="BERNAL ELAICA EDGAR ALEXIS"/>
    <n v="0"/>
    <n v="0"/>
    <n v="0"/>
    <n v="0"/>
    <n v="37904.65408"/>
    <n v="37904.65408"/>
  </r>
  <r>
    <s v="BUCARAMANGA"/>
    <x v="1"/>
    <x v="1"/>
    <n v="68001"/>
    <n v="2731972"/>
    <n v="74340"/>
    <s v="INCIDENTE "/>
    <s v="SANTANDER"/>
    <s v="BUCARAMANGA"/>
    <s v="PTM BUCARAMANGA DESPENSA LA OR"/>
    <s v="REDEBAN"/>
    <s v="FO-25-1518815"/>
    <d v="2025-09-12T09:18:00"/>
    <d v="2025-09-12T15:02:00"/>
    <s v="NO"/>
    <s v="USUARIO"/>
    <s v="COMUNICACION"/>
    <s v="CANAL DEL COMERCIO"/>
    <m/>
    <m/>
    <s v="CERRADO"/>
    <s v="12/09/2025 SE ESCALA PARA VISITA. LLAMAR ANTES DE VISITAR, CONFIRMAR FALLA Y DATOS | 12/09/2025 EN COMUNICACIÓN CON LA SEÑORA ISABEL MENDIETA AL NÚMERO 3127655584 NOS INDICA QUE NO ES NECESARIO REALIZAR LA VISITA TÉCNICA DEBIDO A QUE ERA UNA FALLA DEL OPERADOR DEL INTERNET ?"/>
    <s v="SOPORTE_TELEFÓNICO"/>
    <n v="0"/>
    <s v="TIPO I"/>
    <s v="TERRESTRE"/>
    <s v="MARIÑO PABON JORGE ENRIQUE"/>
    <n v="0"/>
    <n v="0"/>
    <n v="0"/>
    <n v="0"/>
    <n v="37904.65408"/>
    <n v="37904.65408"/>
  </r>
  <r>
    <s v="IBAGUE"/>
    <x v="3"/>
    <x v="3"/>
    <n v="73001"/>
    <n v="2730447"/>
    <n v="70399"/>
    <s v="INCIDENTE "/>
    <s v="TOLIMA"/>
    <s v="IBAGUE"/>
    <s v="DISTRICOL MASPAGOS"/>
    <s v="REDEBAN"/>
    <s v="FO-25-1517284"/>
    <d v="2025-09-12T08:00:00"/>
    <d v="2025-09-12T14:50:00"/>
    <s v="NO"/>
    <s v="USUARIO"/>
    <s v="USUARIOS"/>
    <s v="MALA MANIPULACION POS"/>
    <m/>
    <m/>
    <s v="CERRADO"/>
    <s v="11/09/2025 SE ESCALA PARA VISITA. LLAMAR ANTES DE VISITAR, CONFIRMAR FALLA Y DATOS | 12/09/2025 SE LLEGA A LA DIRECCIÓN DEL CB Y ESTÁ CERRADO. SE LLAMA AL NÚMERO DE CONTACTO 3167628360 Y ESTÁ APAGADO."/>
    <s v="VISITA_TÉCNICA"/>
    <s v="NONE"/>
    <s v="TIPO I"/>
    <s v="TERRESTRE"/>
    <s v="VARGAS HERRERA JHON JAIRO"/>
    <n v="1"/>
    <n v="0"/>
    <n v="0"/>
    <n v="0"/>
    <n v="65960.473639999997"/>
    <n v="65960.473639999997"/>
  </r>
  <r>
    <s v="MEDELLIN"/>
    <x v="2"/>
    <x v="2"/>
    <n v="5088"/>
    <n v="2729856"/>
    <n v="70364"/>
    <s v="INCIDENTE "/>
    <s v="ANTIOQUIA"/>
    <s v="BELLO"/>
    <s v="BARRIO BELLO BELLO 15"/>
    <s v="REDEBAN"/>
    <s v="FO-25-1517086"/>
    <d v="2025-09-11T16:27:00"/>
    <d v="2025-09-12T15:06:00"/>
    <s v="NO"/>
    <s v="ENTIDAD"/>
    <s v="ERROR DE TRANSACCIONES"/>
    <s v="TRANSACCION NO PERMITIDA"/>
    <m/>
    <m/>
    <s v="CERRADO"/>
    <s v="11/09/2025 SE ESCALA PARA VISITA. LLAMAR ANTES DE VISITAR, CONFIRMAR FALLA Y DATOS | 12/09/2025 SE LLEGA AL SITIO, SE IDENTIFICA QUE CB ESTA MIGRADO A WOMPI, POR LO CUAL INCIDENTE NO APLICA PARA DATAFONO REDEBAN. SE CIERRA INCIDENTE."/>
    <s v="VISITA_TÉCNICA"/>
    <s v="NN006458"/>
    <s v="TIPO I"/>
    <s v="TERRESTRE"/>
    <s v="BARRIENTOS HERNANDEZ CRISTIAN HORACIO"/>
    <n v="1"/>
    <n v="0"/>
    <n v="0"/>
    <n v="0"/>
    <n v="65960.473639999997"/>
    <n v="65960.473639999997"/>
  </r>
  <r>
    <s v="PEREIRA"/>
    <x v="0"/>
    <x v="5"/>
    <n v="66001"/>
    <n v="2727448"/>
    <n v="62027"/>
    <s v="INCIDENTE "/>
    <s v="RISARALDA"/>
    <s v="PEREIRA"/>
    <s v="DISTRICOL EL CORALAZO"/>
    <s v="REDEBAN"/>
    <s v="FO-25-1513818"/>
    <d v="2025-09-11T11:08:00"/>
    <d v="2025-09-11T13:43:00"/>
    <s v="NO"/>
    <s v="USUARIO"/>
    <s v="COMUNICACION"/>
    <s v="CANAL DEL COMERCIO"/>
    <m/>
    <m/>
    <s v="CERRADO"/>
    <s v="11/09/2025 SE ESCALA PARA VISITA. LLAMAR ANTES DE VISITAR, CONFIRMAR FALLA Y DATOS | 11/09/2025 VISITAMOS COMERCIO EL DATÁFONO ARROJA ERROR EN CONEXIÓN VERIFICAMOS DATÁFONO Y CABLEADO Y TODO ESTA BIEN ENCONTRAMOS QUE LOS PUERTOS DEL MÓDEM NO ESTÁ FUNCIONANDO LE EXPLICAMOS AL CLIENTE QUE SE DEBE COMUNICAR CON EL PROVEEDOR DE SERVICIO PARA QUE LE SOLUCIONEN LA FALLA NO ES POSIBLE HACER PRUEBAS EXITOSAS YA QUE NO TIENEN INTERNET."/>
    <s v="VISITA_TÉCNICA"/>
    <s v="KA00M299"/>
    <s v="TIPO I"/>
    <s v="TERRESTRE"/>
    <s v="ARROYAVE CANO MANUEL GUILLERMO"/>
    <n v="1"/>
    <n v="0"/>
    <n v="0"/>
    <n v="0"/>
    <n v="65960.473639999997"/>
    <n v="65960.473639999997"/>
  </r>
  <r>
    <s v="TUNJA"/>
    <x v="1"/>
    <x v="1"/>
    <n v="15176"/>
    <n v="2727055"/>
    <n v="69859"/>
    <s v="INCIDENTE "/>
    <s v="BOYACA"/>
    <s v="CHIQUINQUIRA"/>
    <s v="BARRIO LA ESPERANZA CHIQUINQUI"/>
    <s v="REDEBAN"/>
    <s v="FO-25-1513874"/>
    <d v="2025-09-11T10:35:00"/>
    <d v="2025-09-12T12:50:00"/>
    <s v="NO"/>
    <s v="USUARIO"/>
    <s v="COMUNICACION"/>
    <s v="CANAL DEL COMERCIO"/>
    <m/>
    <m/>
    <s v="CERRADO"/>
    <s v="11/09/2025 SE ESCALA PARA VISITA. LLAMAR ANTES DE VISITAR, CONFIRMAR FALLA Y DATOS | 12/09/2025 COMUNICACION CON LA SEÑORA MARYCELA AL NÚMERO TELEFÓNICO 3107615880 INDICA ATENCION EN HORA A.M YA QUE EN LA TARDE NO TIENE DISPONIBILIDAD | 12/09/2025 SE VISITA CB PARA REALIZAR MANTENIMIENTO A POS...CLIENTE NO CUENTA CON SERVICIO DE INTERNET EN CB"/>
    <s v="VISITA_TÉCNICA"/>
    <s v="SV003245"/>
    <s v="TIPO III"/>
    <s v="TERRESTRE"/>
    <s v="GONZALEZ GONZALEZ MARIO ALBERTO"/>
    <n v="1"/>
    <n v="0"/>
    <n v="0"/>
    <n v="0"/>
    <n v="275728.37943999999"/>
    <n v="275728.37943999999"/>
  </r>
  <r>
    <s v="NEIVA"/>
    <x v="3"/>
    <x v="3"/>
    <n v="41132"/>
    <n v="2726794"/>
    <n v="10939"/>
    <s v="INCIDENTE "/>
    <s v="HUILA"/>
    <s v="CAMPOALEGRE"/>
    <s v="CAMPOALEGRE"/>
    <s v="REDEBAN"/>
    <s v="FO-25-1513363"/>
    <d v="2025-09-11T10:16:00"/>
    <d v="2025-09-12T15:35:00"/>
    <s v="NO"/>
    <s v="USUARIO"/>
    <s v="USUARIOS"/>
    <s v="MALA MANIPULACION POS"/>
    <m/>
    <m/>
    <s v="CERRADO"/>
    <s v="11/09/2025 SE ESCALA PARA VISITA. LLAMAR ANTES DE VISITAR, CONFIRMAR FALLA Y DATOS | 12/09/2025 SE LLEGA A SITIO, CLIENTE ESTABA REALIZANDO EQUIVOCADAMENTE EL PROCESO DE ANULACIÓN, SE LE EXPLICA EL PROCESO."/>
    <s v="VISITA_TÉCNICA"/>
    <s v="A00JZ024"/>
    <s v="TIPO II"/>
    <s v="TERRESTRE"/>
    <s v="DIAZ VARGAS JONATHAN MIGUEL"/>
    <n v="1"/>
    <n v="0"/>
    <n v="0"/>
    <n v="0"/>
    <n v="163813.55812"/>
    <n v="163813.55812"/>
  </r>
  <r>
    <s v="PEREIRA"/>
    <x v="0"/>
    <x v="5"/>
    <n v="66400"/>
    <n v="2726780"/>
    <n v="45949"/>
    <s v="INCIDENTE "/>
    <s v="RISARALDA"/>
    <s v="LA VIRGINIA"/>
    <s v="MULTIPAGAS LA VIRGINIA"/>
    <s v="REDEBAN"/>
    <s v="FO-25-1513369"/>
    <d v="2025-09-11T10:15:00"/>
    <d v="2025-09-11T13:39:00"/>
    <s v="NO"/>
    <s v="USUARIO"/>
    <s v="MANTENIMIENTO"/>
    <s v="MANTENIMIENTO GENERAL"/>
    <m/>
    <m/>
    <s v="CERRADO"/>
    <s v="11/09/2025 SE ESCALA PARA VISITA. LLAMAR ANTES DE VISITAR, CONFIRMAR FALLA Y DATOS | 11/09/2025 VISITAMOS COMERCIO UNO DE LOS PIN PAD NO ENCIENDE REVISAMOS CABLEADO Y ENCONTRAMOS QUE ESTÁN MAL CONECTADOS REALIZAMOS CAMBIO DE HUB YA QUE NO FUNCIONAN LOS PUERTOS."/>
    <s v="VISITA_TÉCNICA"/>
    <s v="TR003885"/>
    <s v="TIPO I"/>
    <s v="TERRESTRE"/>
    <s v="ARROYAVE CANO MANUEL GUILLERMO"/>
    <n v="1"/>
    <n v="0"/>
    <n v="0"/>
    <n v="0"/>
    <n v="65960.473639999997"/>
    <n v="65960.473639999997"/>
  </r>
  <r>
    <s v="BARRANQUILLA"/>
    <x v="4"/>
    <x v="4"/>
    <n v="8433"/>
    <n v="2726710"/>
    <n v="80788"/>
    <s v="INCIDENTE "/>
    <s v="ATLANTICO"/>
    <s v="MALAMBO"/>
    <s v="BARRIO CONCOR MALAMBO 4"/>
    <s v="REDEBAN"/>
    <s v="FO-25-1513396"/>
    <d v="2025-09-11T09:52:00"/>
    <d v="2025-09-11T17:16:00"/>
    <s v="NO"/>
    <s v="USUARIO"/>
    <s v="COMUNICACION"/>
    <s v="CANAL DEL COMERCIO"/>
    <m/>
    <m/>
    <s v="CERRADO"/>
    <s v="11/09/2025 SE ESCALA PARA VISITA. LLAMAR ANTES DE VISITAR, CONFIRMAR FALLA Y DATOS | 11/09/2025 SE LLEGA A AL SITIO PORQUE CLIENTE DICE QUE SE QUEDÓ SIN CONEXIÓN POR 45 MINUTOS, SE HACE REVISIÓN DEL CABLEADO EL DATAFONO Y SE EVIDENCIA QUE TODO ESTÁ OK , SE ESPERA EN SITIO MIENTRAS CLIENTE HACE TRANSACCIONES Y TODO ESTÁ OK_x000a_AL PARECER FUE UNA FALLA DEL CANAL DE COMUNICACIÓN DEL CB"/>
    <s v="VISITA_TÉCNICA"/>
    <s v="F7ZZZ995"/>
    <s v="TIPO II"/>
    <s v="TERRESTRE"/>
    <s v="DE AVILA SIADES ALBERTO ENRIQUE"/>
    <n v="1"/>
    <n v="0"/>
    <n v="0"/>
    <n v="0"/>
    <n v="163813.55812"/>
    <n v="163813.55812"/>
  </r>
  <r>
    <s v="PASTO"/>
    <x v="0"/>
    <x v="0"/>
    <n v="52385"/>
    <n v="2726177"/>
    <n v="79214"/>
    <s v="INCIDENTE "/>
    <s v="NARIÑO"/>
    <s v="LA LLANADA"/>
    <s v="BARRIO SAN FRANCISCO LA LLANAD"/>
    <s v="REDEBAN"/>
    <s v="FO-25-1513417"/>
    <d v="2025-09-11T09:19:00"/>
    <d v="2025-09-13T15:10:00"/>
    <s v="NO"/>
    <s v="USUARIO"/>
    <s v="COMUNICACION"/>
    <s v="CANAL DEL COMERCIO"/>
    <m/>
    <m/>
    <s v="CERRADO"/>
    <s v="11/09/2025 SE ESCALA PARA VISITA. LLAMAR ANTES DE VISITAR, CONFIRMAR FALLA Y DATOS | 13/09/2025 SE VALIDA CON EL CLIENTE Y SE ENCUENTRA QUE ESTABA FALLANDO EL INTERNET DEL CLIENTE,  EL CLIENTE PIDIO REVISION DEL INTERNET , YA LE ARREGLARON Y YA EL DATAFONO ESTA FUNCIONANDO SIN PROBLEMA."/>
    <s v="SOPORTE_TELEFÓNICO"/>
    <n v="0"/>
    <s v="TIPO IV"/>
    <s v="TERRESTRE"/>
    <s v="HENAO CARDONA DIEGO FERNANDO"/>
    <n v="0"/>
    <n v="0"/>
    <n v="0"/>
    <n v="0"/>
    <n v="37904.65408"/>
    <n v="37904.65408"/>
  </r>
  <r>
    <s v="MEDELLIN"/>
    <x v="2"/>
    <x v="2"/>
    <n v="5001"/>
    <n v="2723063"/>
    <n v="80819"/>
    <s v="INCIDENTE "/>
    <s v="ANTIOQUIA"/>
    <s v="MEDELLIN"/>
    <s v="BARRIO CHAGUALO MEDELLIN 4"/>
    <s v="REDEBAN"/>
    <s v="FO-25-1509587"/>
    <d v="2025-09-10T14:50:00"/>
    <d v="2025-09-11T10:37:00"/>
    <s v="NO"/>
    <s v="USUARIO"/>
    <s v="COMUNICACION"/>
    <s v="CANAL DEL COMERCIO"/>
    <m/>
    <m/>
    <s v="CERRADO"/>
    <s v="10/09/2025 SE ESCALA PARA VISITA. LLAMAR ANTES DE VISITAR, CONFIRMAR FALLA Y DATOS | 11/09/2025 SE LLEGA AL SITIO, SE VERIFICAN SERVICIOS Y ESTÁN FUNCIONANDO CORRECTAMENTE, USUARIO INFORMA QUE EL DÍA DE AYER LOS 3 CUADRITOS DE LA PARTE SUPERIOR IZQUIERDA DE LA PANTALLA DEL DATÁFONO ESTABAN EN COLOR NARANJA, LO CUAL INDICA QUE EL DATÁFONO NO ESTÁ RECIBIENDO COMUNICACION DEL INTERNET, SERVICIOS EL DÍAS DE HOY ESTÁN OK"/>
    <s v="VISITA_TÉCNICA"/>
    <s v="F8ZZZ013"/>
    <s v="TIPO I"/>
    <s v="TERRESTRE"/>
    <s v="BARRIENTOS HERNANDEZ CRISTIAN HORACIO"/>
    <n v="1"/>
    <n v="0"/>
    <n v="0"/>
    <n v="0"/>
    <n v="65960.473639999997"/>
    <n v="65960.473639999997"/>
  </r>
  <r>
    <s v="MEDELLIN"/>
    <x v="2"/>
    <x v="2"/>
    <n v="5001"/>
    <n v="2723228"/>
    <n v="56047"/>
    <s v="INCIDENTE "/>
    <s v="ANTIOQUIA"/>
    <s v="MEDELLIN"/>
    <s v="PTM MEDELLIN SENTIR SALUD"/>
    <s v="REDEBAN"/>
    <s v="FO-25-1509599"/>
    <d v="2025-09-10T14:44:00"/>
    <d v="2025-09-11T13:22:00"/>
    <s v="NO"/>
    <s v="USUARIO"/>
    <s v="MANTENIMIENTO"/>
    <s v="MANTENIMIENTO GENERAL"/>
    <m/>
    <m/>
    <s v="CERRADO"/>
    <s v="10/09/2025 SE ESCALA PARA VISITA. LLAMAR ANTES DE VISITAR, CONFIRMAR FALLA Y DATOS | 11/09/2025 SE REALIZÓ REVISIÓN GENERAL DEL DATÁFONO, SE EXPLICA COMO SE UTILIZA CORRECTAMENTE POS FUNCIONANDO NORMALMENTE SE PROCEDE A CERRAR CASO"/>
    <s v="VISITA_TÉCNICA"/>
    <s v="V1ZZZ961"/>
    <s v="TIPO I"/>
    <s v="TERRESTRE"/>
    <s v="CASTAÑEDA PALACIO CARLOS FELIPE"/>
    <n v="1"/>
    <n v="0"/>
    <n v="0"/>
    <n v="0"/>
    <n v="65960.473639999997"/>
    <n v="65960.473639999997"/>
  </r>
  <r>
    <s v="CARTAGENA"/>
    <x v="4"/>
    <x v="4"/>
    <n v="13836"/>
    <n v="2722677"/>
    <n v="25287"/>
    <s v="INCIDENTE "/>
    <s v="BOLIVAR"/>
    <s v="TURBACO"/>
    <s v="ARA0204 TURBACO CALLE REAL"/>
    <s v="REDEBAN"/>
    <s v="FO-25-1508718"/>
    <d v="2025-09-10T13:42:00"/>
    <d v="2025-09-11T12:03:00"/>
    <s v="NO"/>
    <s v="USUARIO"/>
    <s v="MANTENIMIENTO"/>
    <s v="MANTENIMIENTO GENERAL"/>
    <m/>
    <m/>
    <s v="CERRADO"/>
    <s v="10/09/2025 SE ESCALA CASO ARA A LA RED *RESPUESTA DE LA RED: TU SOLICITUD REFERENTE A GENERACIÓN DE CASOS CB ARA BANCOLOMBIA QUEDÓ RADICADA BAJO EL TICKET NÚMERO 5794241 AL ÁREA ENCARGADA. | 11/09/2025 SE ESCALA CASO ARA A LA RED ..SE CIERRA YA QUE NO ATENDEMOS COMERCIOS ARA *RESPUESTA DE LA RED: TU SOLICITUD REFERENTE A GENERACIÓN DE CASOS CB ARA BANCOLOMBIA QUEDÓ RADICADA BAJO EL TICKET NÚMERO 5794241 AL ÁREA ENCARGADA."/>
    <s v="SOPORTE_TELEFÓNICO"/>
    <n v="0"/>
    <s v="TIPO II"/>
    <s v="TERRESTRE"/>
    <s v="AYALA ROMERO MAYKOL DANILO"/>
    <n v="0"/>
    <n v="0"/>
    <n v="0"/>
    <n v="0"/>
    <n v="37904.65408"/>
    <n v="37904.65408"/>
  </r>
  <r>
    <s v="MEDELLIN"/>
    <x v="2"/>
    <x v="2"/>
    <n v="5631"/>
    <n v="2721454"/>
    <n v="31976"/>
    <s v="INCIDENTE "/>
    <s v="ANTIOQUIA"/>
    <s v="SABANETA"/>
    <s v="COMCARD SABANETA HENAYGO"/>
    <s v="REDEBAN"/>
    <s v="FO-25-1508680"/>
    <d v="2025-09-10T11:15:00"/>
    <d v="2025-09-10T14:34:00"/>
    <s v="NO"/>
    <s v="USUARIO"/>
    <s v="MANTENIMIENTO"/>
    <s v="MANTENIMIENTO GENERAL"/>
    <m/>
    <m/>
    <s v="CERRADO"/>
    <s v="10/09/2025 SE REALIZA CONTACTO TELEFÓNICO CON LA SRA TATIANA, QUIEN REPORTA SONIDO INUSUAL EN EL DATÁFONO. SE VALIDA QUE EL EQUIPO OPERA CON NORMALIDAD Y PERMITE REALIZAR TRANSACCIONES SIN INCONVENIENTES. USUARIO CONFIRMA QUE NO ES NECESARIA LA VISITA YA QUE PUEDE TRABAJAR SIN PROBLEMAS"/>
    <s v="SOPORTE_TELEFÓNICO"/>
    <n v="0"/>
    <s v="TIPO I"/>
    <s v="TERRESTRE"/>
    <s v="HERNANDEZ CHAVARRIA JUAN CAMILO"/>
    <n v="0"/>
    <n v="0"/>
    <n v="0"/>
    <n v="0"/>
    <n v="37904.65408"/>
    <n v="37904.65408"/>
  </r>
  <r>
    <s v="TUNJA"/>
    <x v="1"/>
    <x v="1"/>
    <n v="15755"/>
    <n v="2719478"/>
    <n v="50614"/>
    <s v="INCIDENTE "/>
    <s v="BOYACA"/>
    <s v="SOCOTA"/>
    <s v="BARRIO SAN CAYETANO SOCOTA"/>
    <s v="REDEBAN"/>
    <s v="FO-25-1505911"/>
    <d v="2025-09-10T08:20:00"/>
    <d v="2025-09-11T10:03:00"/>
    <s v="NO"/>
    <s v="USUARIO"/>
    <s v="COMUNICACION"/>
    <s v="CANAL DEL COMERCIO"/>
    <m/>
    <m/>
    <s v="CERRADO"/>
    <s v="10/09/2025 SE ESCALA PARA VISITA. LLAMAR ANTES DE VISITAR, CONFIRMAR FALLA Y DATOS | 11/09/2025 SE ESTABLECE COMUNICACIÓN CON LA SEÑORA  SANDRA OJEDA BELLO AL NÚMERO DE CONTACTO REGISTRADO 3143427809 SE LE BRINDA SOPORTE TELEFÓNICO ROUTER DE INTERNET DESCONFIGURADO POR CAMBIO DE CLAVE DEL ROUTER PRINCIPAL DEL COMERCIO SE VALIDA CONEXIÓN TODO OK SIN PRUEBA EXITOSA CB BLOQUEADO POR EL USUARIO POR INACTIVIDAD CLIENTE INDICA QUE EL DÍA DE HOY VA A RELIZAR LA SOLICITUD CON LA ENTIDAD PARA QUE LO ACTIVEN NUEVAMENTE SE LE INDICA QUE SE PROCEDERÁ CON EL CIERRE DE LA ORDEN CLIENTE CONFORME."/>
    <s v="SOPORTE_TELEFÓNICO"/>
    <n v="0"/>
    <s v="TIPO III"/>
    <s v="TERRESTRE"/>
    <s v="RODRIGUEZ MURCIA YERSON IVAN"/>
    <n v="0"/>
    <n v="0"/>
    <n v="0"/>
    <n v="0"/>
    <n v="37904.65408"/>
    <n v="37904.65408"/>
  </r>
  <r>
    <s v="MEDELLIN"/>
    <x v="2"/>
    <x v="2"/>
    <n v="5001"/>
    <n v="2718531"/>
    <n v="70974"/>
    <s v="INCIDENTE "/>
    <s v="ANTIOQUIA"/>
    <s v="MEDELLIN"/>
    <s v="SANTA LUCIA MEDELLIN 2SANTA LU"/>
    <s v="REDEBAN"/>
    <s v="FO-25-1509608"/>
    <d v="2025-09-10T08:00:00"/>
    <d v="2025-09-10T16:49:00"/>
    <s v="NO"/>
    <s v="USUARIO"/>
    <s v="MANTENIMIENTO"/>
    <s v="MANTENIMIENTO GENERAL"/>
    <m/>
    <m/>
    <s v="CERRADO"/>
    <s v="10/09/2025 SE ESCALO EL CASO CON DANIELA CORREA PARA VALIDAR LA RED YA QUE APARECE MIGRADO PERO SEGUN LA FALLA ES RBM, CONFIRMA ATENCION DE RBM A LAS 12:35 PM | 10/09/2025 SE HABLA CON SEÑORA DIANA, SE VERIFICA INGRESO Y REALIZACION DE PRUEBA Y EQUIPO ESTÁ FUNCIONAL, ESTABAN TRABAJANDO CON OTRO EQUIPO Y NO HABÍAN PROBADO ESSTE, SE DA INDICACION PARA PROBAR Y FUNCIONA SIN NOVEDAD. CB OPERATIVO. SE CIERRA INCIDENTE."/>
    <s v="SOPORTE_TELEFÓNICO"/>
    <n v="0"/>
    <s v="TIPO I"/>
    <s v="TERRESTRE"/>
    <s v="CARDONA MOLINA BROLIN STIVEN"/>
    <n v="0"/>
    <n v="0"/>
    <n v="0"/>
    <n v="0"/>
    <n v="37904.65408"/>
    <n v="37904.65408"/>
  </r>
  <r>
    <s v="MEDELLIN"/>
    <x v="2"/>
    <x v="2"/>
    <n v="5079"/>
    <n v="2718363"/>
    <n v="69236"/>
    <s v="INCIDENTE "/>
    <s v="ANTIOQUIA"/>
    <s v="BARBOSA"/>
    <s v="DISTRICOL LA CASA D MASCOTAS W"/>
    <s v="REDEBAN"/>
    <s v="FO-25-1505684"/>
    <d v="2025-09-10T08:00:00"/>
    <d v="2025-09-10T10:00:00"/>
    <s v="NO"/>
    <s v="USUARIO"/>
    <s v="MANTENIMIENTO"/>
    <s v="MANTENIMIENTO GENERAL"/>
    <m/>
    <m/>
    <s v="CERRADO"/>
    <s v="10/09/2025 SE REVISA EQUIPO, YA QUE SE TILDA SE REALIZA MANTENIMIENTO Y LIMPIEZA YA QUE SE ENCUENTRABA CON PONGO DETRÁS DEL EQUIPO SE REALIZA VARIAS PRUEBAS EXITOSAS SERVICIO OPERATIVO"/>
    <s v="VISITA_TÉCNICA"/>
    <s v="A303Z045"/>
    <s v="TIPO II"/>
    <s v="TERRESTRE"/>
    <s v="ZAPATA LOPEZ EDWARD ASDRUBAL"/>
    <n v="1"/>
    <n v="0"/>
    <n v="0"/>
    <n v="0"/>
    <n v="163813.55812"/>
    <n v="163813.55812"/>
  </r>
  <r>
    <s v="BUCARAMANGA"/>
    <x v="1"/>
    <x v="1"/>
    <n v="68001"/>
    <n v="2718160"/>
    <n v="80422"/>
    <s v="INCIDENTE "/>
    <s v="SANTANDER"/>
    <s v="BUCARAMANGA"/>
    <s v="BARRIO LAS AMERICAS BUCARAMANGA"/>
    <s v="REDEBAN"/>
    <s v="FO-25-1505093"/>
    <d v="2025-09-09T17:43:00"/>
    <d v="2025-09-10T09:10:00"/>
    <s v="NO"/>
    <s v="USUARIO"/>
    <s v="COMUNICACION"/>
    <s v="CANAL DEL COMERCIO"/>
    <m/>
    <m/>
    <s v="CERRADO"/>
    <s v="09/09/2025 SE ESCALA PARA VISITA. LLAMAR ANTES DE VISITAR, CONFIRMAR FALLA Y DATOS | 10/09/2025 SE REALIZA VERIFICACIÓN DEL SERVICIO ENCONTRANDO EL SERVICIO OPERATIVO CLIENTA CONFIRMA FALLA CON EL CANAL DE COMUNICACIÓN DEL COMERCIO LO CUAL AFECTA LA OPERATIVIDAD NORMAL DEL COMERCIO CON INTERMITENCIA SERVICIO OPERATIVO"/>
    <s v="VISITA_TÉCNICA"/>
    <s v="LDZZZ368"/>
    <s v="TIPO I"/>
    <s v="TERRESTRE"/>
    <s v="REYES RAMIREZ DIEGO ALEXANDER"/>
    <n v="1"/>
    <n v="0"/>
    <n v="0"/>
    <n v="0"/>
    <n v="65960.473639999997"/>
    <n v="65960.473639999997"/>
  </r>
  <r>
    <s v="PASTO"/>
    <x v="0"/>
    <x v="0"/>
    <n v="52323"/>
    <n v="2717866"/>
    <n v="10155"/>
    <s v="INCIDENTE "/>
    <s v="NARIÑO"/>
    <s v="GUALMATAN"/>
    <s v="GUA MA A   A INO"/>
    <s v="REDEBAN"/>
    <s v="FO-25-1504999"/>
    <d v="2025-09-09T16:52:00"/>
    <d v="2025-09-10T12:05:00"/>
    <s v="NO"/>
    <s v="USUARIO"/>
    <s v="COMUNICACION"/>
    <s v="CANAL DEL COMERCIO"/>
    <m/>
    <m/>
    <s v="CERRADO"/>
    <s v="09/09/2025 SE ESCALA PARA VISITA. LLAMAR ANTES DE VISITAR, CONFIRMAR FALLA Y DATOS | 10/09/2025 SE HABLA TELEFONICAMENTE CON EL CLIENTE QUIEN INDICA QUE EL DAÑO ERA EL INTERENET, QUE DESPUES DE MEDIA HORA EL INTERNET SE RESTABLECIO Y YA ESTA LABORANDO NORMAL"/>
    <s v="SOPORTE_TELEFÓNICO"/>
    <n v="0"/>
    <s v="TIPO II"/>
    <s v="TERRESTRE"/>
    <s v="HENAO CARDONA DIEGO FERNANDO"/>
    <n v="0"/>
    <n v="0"/>
    <n v="0"/>
    <n v="0"/>
    <n v="37904.65408"/>
    <n v="37904.65408"/>
  </r>
  <r>
    <s v="BOGOTA"/>
    <x v="5"/>
    <x v="6"/>
    <n v="11001"/>
    <n v="2717687"/>
    <n v="80240"/>
    <s v="INCIDENTE "/>
    <s v="CUNDINAMARCA"/>
    <s v="BOGOTA"/>
    <s v="BARRIO CARLET BOGOTA"/>
    <s v="REDEBAN"/>
    <s v="FO-25-1505013"/>
    <d v="2025-09-09T16:27:00"/>
    <d v="2025-09-10T12:15:00"/>
    <s v="NO"/>
    <s v="USUARIO"/>
    <s v="LECTOR DE BARRAS"/>
    <s v="CAPACITACION MANIPULACION DE COMERCIO"/>
    <m/>
    <m/>
    <s v="CERRADO"/>
    <s v="09/09/2025 SE ESCALA PARA VISITA. LLAMAR ANTES DE VISITAR, CONFIRMAR FALLA Y DATOS | 10/09/2025 DURANTE LA VISITA TECNICA PARA ATENDER INCIDENTE REPORTADO POR CORRESPONSAL POR LECTOR DE BARRAS, CORRESPONSAL NOS INFORMA QUE LECTOR NO LE PERMITE LA LECTURA DE FACTURAS DE ENEL CODENSA SE BRINDA INFORMACIÓN INDICADOLE QUE ESTE TIPOS DE FACTURAS NO SE ENCUENTRAN HABILITADAS POR EL LECTOR DE BARRAS SI NO DE FORMA MANUAL, CON EL CONVENIO 92707 Y LA REFERENCIA DE PAGO QUE ENCUENTRA EN EL RECIBO DE IGUAL FORMA SE REALIZA CAPACITACIÓN DE LA FORMA CORRECTA PARA PAGAR FACTURAS POR RECIBOS IMPRESOS LOS CUALES DEBEN SER EN LASER O PDF POR EL CELULAR O DE FORMA MANUAL EL CUAL LOS CONVENIOS LOS DEBE INDICAR EL CLIENTE CON LA REFERENCIA Y EL VALOR A PAGAR COMERCIO  SALDO OK A CONFORMIDAD DE CORRESPONSAL"/>
    <s v="VISITA_TÉCNICA"/>
    <s v="FAZZZ493"/>
    <s v="TIPO I"/>
    <s v="TERRESTRE"/>
    <s v="GALEANO SORIANO JUAN DAVID"/>
    <n v="1"/>
    <n v="0"/>
    <n v="0"/>
    <n v="0"/>
    <n v="65960.473639999997"/>
    <n v="65960.473639999997"/>
  </r>
  <r>
    <s v="MEDELLIN"/>
    <x v="2"/>
    <x v="2"/>
    <n v="5001"/>
    <n v="2715992"/>
    <n v="75145"/>
    <s v="INCIDENTE "/>
    <s v="ANTIOQUIA"/>
    <s v="MEDELLIN"/>
    <s v="BARRIO ENCISO MEDELLIN 21"/>
    <s v="REDEBAN"/>
    <s v="FO-25-1503424"/>
    <d v="2025-09-09T13:43:00"/>
    <d v="2025-09-10T13:40:00"/>
    <s v="NO"/>
    <s v="USUARIO"/>
    <s v="COMUNICACION"/>
    <s v="CONEXIONES DE COMERCIO"/>
    <m/>
    <m/>
    <s v="CERRADO"/>
    <s v="09/09/2025 SE ESCALA PARA VISITA. LLAMAR ANTES DE VISITAR, CONFIRMAR FALLA Y DATOS | 10/09/2025 ESTAMOS EN SITIO HACE UNA HORA. OPERARIA INFORMÓ QUE ESTÁN SIN INTERNET DESDE ESTA MAÑANA Y NO HA SUBIDO EL SERVICIO. ESTÁ EN CONFIRMACION CON EL PROVEEDOR PARA SABER SI SOLUCIONAN HOY LA NOVEDAD. | 10/09/2025 SE LLEGA AL PUNTO Y LA CLIENTA INDICA QUE NO HAY RED DESDE LA MAÑANA Y NO SE SABE A QUÉ HORA VUELVE | 10/09/2025 SE LLEGA AL PUNTO Y LA CLIENTA INDICA QUE NO HAY RED DESDE LA MAÑANA Y NO SE SABE A QUÉ HORA VUELVE"/>
    <s v="VISITA_TÉCNICA"/>
    <s v="NONE"/>
    <s v="TIPO I"/>
    <s v="TERRESTRE"/>
    <s v="CARDONA MOLINA BROLIN STIVEN"/>
    <n v="1"/>
    <n v="0"/>
    <n v="0"/>
    <n v="0"/>
    <n v="65960.473639999997"/>
    <n v="65960.473639999997"/>
  </r>
  <r>
    <s v="BOGOTA"/>
    <x v="5"/>
    <x v="6"/>
    <n v="11001"/>
    <n v="2715187"/>
    <n v="80470"/>
    <s v="INCIDENTE "/>
    <s v="CUNDINAMARCA"/>
    <s v="BOGOTA"/>
    <s v="DISTRICOL NIZA COMUNICACIONES"/>
    <s v="REDEBAN"/>
    <s v="FO-25-1502420"/>
    <d v="2025-09-09T11:37:00"/>
    <d v="2025-09-10T11:37:00"/>
    <s v="NO"/>
    <s v="USUARIO"/>
    <s v="USUARIOS"/>
    <s v="MALA MANIPULACION POS"/>
    <m/>
    <m/>
    <s v="CERRADO"/>
    <s v="09/09/2025 SE ESCALA PARA VISITA. LLAMAR ANTES DE VISITAR, CONFIRMAR FALLA Y DATOS | 10/09/2025 EN SITIO DESDE LAS 10:22 COMO SE REGISTRO EN SYTEX, POR INCONSISTENCIAS EN DIRECCIÓN SE REALIZÓ ESCALAMIENTO A REDEBAN, EN SITIO TRABAJANDO EN LA SOLUCIÓN. | 10/09/2025 SE REALIZA EXPLICACIÓN AL CLIENTE DE QUE LOS RECAUDOS DE ENEL SE HACEN POR CONVENIO Y REFERENCIA, SE REALIZA INICIALIZACION DEL DATAFONO PARA ACTUALIZAR DIRECCIÓN DE VOUCHER, PRUEBAS OK, ANTES DE INICIALIZAR SE REALIZA CIERRE PARCIAL Y SALE EN 0, EL CB LLEVABA 12 TX, SE INFORMA A PAOLA DE REDEBAN, LUEGO DE INICIALIZAR EL CB REALIZA UNA TRANSACCIÓN MÁS Y AL REALIZAR CIERRE PARCIAL APARECEN LAS TX INCOMPLETAS, SE REPORTA A PAOLA DE REDEBAN"/>
    <s v="VISITA_TÉCNICA"/>
    <s v="SDZZZ943"/>
    <s v="TIPO I"/>
    <s v="TERRESTRE"/>
    <s v="MURCIA HERNANDEZ HARVEY IGNACIO"/>
    <n v="1"/>
    <n v="0"/>
    <n v="0"/>
    <n v="0"/>
    <n v="65960.473639999997"/>
    <n v="65960.473639999997"/>
  </r>
  <r>
    <s v="MEDELLIN"/>
    <x v="2"/>
    <x v="2"/>
    <n v="5001"/>
    <n v="2715326"/>
    <n v="21681"/>
    <s v="INCIDENTE "/>
    <s v="ANTIOQUIA"/>
    <s v="MEDELLIN"/>
    <s v="BARRIO BLANQUIZAL MEDELLIN"/>
    <s v="REDEBAN"/>
    <s v="FO-25-1502432"/>
    <d v="2025-09-09T11:36:00"/>
    <d v="2025-09-09T13:30:00"/>
    <s v="NO"/>
    <s v="ENTIDAD"/>
    <s v="ERROR DE TRANSACCIONES"/>
    <s v="TRANSACCION NO PERMITIDA"/>
    <m/>
    <m/>
    <s v="CERRADO"/>
    <s v="09/09/2025 SE ESCALA PARA VISITA. LLAMAR ANTES DE VISITAR, CONFIRMAR FALLA Y DATOS | 09/09/2025 SE LLEGA AL PUNTO PERO CLIENTE INDICA QUE FUE UN ERROR Q SE DIÓ SOLO EN LA MAÑANA Y YA NO LE ESTÁ MOLESTANDO Y NO NECESITA VISITA"/>
    <s v="VISITA_TÉCNICA"/>
    <s v="AAVZZ111"/>
    <s v="TIPO I"/>
    <s v="TERRESTRE"/>
    <s v="ALVAREZ ARENAS VICTOR HUGO"/>
    <n v="1"/>
    <n v="0"/>
    <n v="0"/>
    <n v="0"/>
    <n v="65960.473639999997"/>
    <n v="65960.473639999997"/>
  </r>
  <r>
    <s v="MEDELLIN"/>
    <x v="2"/>
    <x v="2"/>
    <n v="5001"/>
    <n v="2713221"/>
    <n v="70040"/>
    <s v="INCIDENTE "/>
    <s v="ANTIOQUIA"/>
    <s v="MEDELLIN"/>
    <s v="REVAL MAYORCA 3"/>
    <s v="REDEBAN"/>
    <s v="FO-25-1500791"/>
    <d v="2025-09-09T08:37:00"/>
    <d v="2025-09-09T13:05:00"/>
    <s v="NO"/>
    <s v="USUARIO"/>
    <s v="COMUNICACION"/>
    <s v="CONEXIONES DE COMERCIO"/>
    <m/>
    <m/>
    <s v="CERRADO"/>
    <s v="09/09/2025 SE CAMBIA MAGIC BOX"/>
    <s v="VISITA_TÉCNICA"/>
    <s v="A30DZ524"/>
    <s v="TIPO I"/>
    <s v="TERRESTRE"/>
    <s v="CASTAÑEDA PALACIO CARLOS FELIPE"/>
    <n v="1"/>
    <n v="0"/>
    <n v="0"/>
    <n v="0"/>
    <n v="65960.473639999997"/>
    <n v="65960.473639999997"/>
  </r>
  <r>
    <s v="MEDELLIN"/>
    <x v="2"/>
    <x v="2"/>
    <n v="5266"/>
    <n v="2712867"/>
    <n v="39183"/>
    <s v="INCIDENTE "/>
    <s v="ANTIOQUIA"/>
    <s v="ENVIGADO"/>
    <s v="PTM ENVIGADO CARRETILLA"/>
    <s v="REDEBAN"/>
    <s v="FO-25-1500197"/>
    <d v="2025-09-09T08:25:00"/>
    <d v="2025-09-09T10:42:00"/>
    <s v="NO"/>
    <s v="USUARIO"/>
    <s v="CIERRE"/>
    <s v="COMERCIO NO REALIZA CIERRE"/>
    <m/>
    <m/>
    <s v="CERRADO"/>
    <s v="09/09/2025 SE ESCALA PARA VISITA. LLAMAR ANTES DE VISITAR, CONFIRMAR FALLA Y DATOS | 09/09/2025 SE LE INDICA AL USUARIO COMO HACER CORRECTAMENTE EL CIERRE"/>
    <s v="VISITA_TÉCNICA"/>
    <s v="GZ05Z881"/>
    <s v="TIPO I"/>
    <s v="TERRESTRE"/>
    <s v="CASTAÑEDA PALACIO CARLOS FELIPE"/>
    <n v="1"/>
    <n v="0"/>
    <n v="0"/>
    <n v="0"/>
    <n v="65960.473639999997"/>
    <n v="65960.473639999997"/>
  </r>
  <r>
    <s v="MONTERIA"/>
    <x v="4"/>
    <x v="4"/>
    <n v="23001"/>
    <n v="2712936"/>
    <n v="36670"/>
    <s v="INCIDENTE "/>
    <s v="CORDOBA"/>
    <s v="MONTERIA"/>
    <s v="BARRIO EDMUNDO LOPEZ MONTERIA"/>
    <s v="REDEBAN"/>
    <s v="FO-25-1500201"/>
    <d v="2025-09-09T08:18:00"/>
    <d v="2025-09-09T14:44:00"/>
    <s v="NO"/>
    <s v="USUARIO"/>
    <s v="MANTENIMIENTO"/>
    <s v="MANTENIMIENTO GENERAL"/>
    <m/>
    <m/>
    <s v="CERRADO"/>
    <s v="09/09/2025 SE ESCALA PARA VISITA. LLAMAR ANTES DE VISITAR, CONFIRMAR FALLA Y DATOS | 09/09/2025 SE REALIZA VISITA AL COMERCIO, SE VERIFICA EL DATAFONO SE ENCUENTRA OPERATIVO ENCARGADO MANIFIESTA EN EL MOMENTO DE COMENZAR LA OPERACIÓN DEL CB SALIO UNA ALERTA EN EL DATAFONO, LA ALERTA SOLO INDICABA TECLADO BLOQUEADO, SE REALIZAN PRUEBAS OK, PRUEBA EN LECTORA OK CB OPERANDO CON NORMALIDAD."/>
    <s v="VISITA_TÉCNICA"/>
    <s v="GZ00X527"/>
    <s v="TIPO I"/>
    <s v="TERRESTRE"/>
    <s v="ARRAZOLA HERNANDEZ NICOLAS AUGUSTO"/>
    <n v="1"/>
    <n v="0"/>
    <n v="0"/>
    <n v="0"/>
    <n v="65960.473639999997"/>
    <n v="65960.473639999997"/>
  </r>
  <r>
    <s v="SINCELEJO"/>
    <x v="4"/>
    <x v="4"/>
    <n v="70001"/>
    <n v="2712334"/>
    <n v="50737"/>
    <s v="INCIDENTE "/>
    <s v="SUCRE"/>
    <s v="SINCELEJO"/>
    <s v="BARRIO BOTERO SINCELEJO"/>
    <s v="REDEBAN"/>
    <s v="FO-25-1499880"/>
    <d v="2025-09-09T08:00:00"/>
    <d v="2025-09-09T14:47:00"/>
    <s v="NO"/>
    <s v="USUARIO"/>
    <s v="COMUNICACION"/>
    <s v="CANAL DEL COMERCIO"/>
    <m/>
    <m/>
    <s v="CERRADO"/>
    <s v="09/09/2025 SE ESCALA PARA VISITA. LLAMAR ANTES DE VISITAR, CONFIRMAR FALLA Y DATOS | 09/09/2025 EN COMUNICACIÓN CON LA SEÑORA ANNY GALEANO ME INFORMA QUE LA FALLA SE DEBÍA AL INTERNET DEL COMERCIO, PERO QUE YA SE ENCUENTRA FUNCIONANDO CORRECTAMENTE."/>
    <s v="SOPORTE_TELEFÓNICO"/>
    <n v="0"/>
    <s v="TIPO I"/>
    <s v="TERRESTRE"/>
    <s v="CACERES HERNANDEZ ANDRES"/>
    <n v="0"/>
    <n v="0"/>
    <n v="0"/>
    <n v="0"/>
    <n v="37904.65408"/>
    <n v="37904.65408"/>
  </r>
  <r>
    <s v="BOGOTA"/>
    <x v="5"/>
    <x v="6"/>
    <n v="25290"/>
    <n v="2712076"/>
    <n v="27783"/>
    <s v="INCIDENTE "/>
    <s v="CUNDINAMARCA"/>
    <s v="FUSAGASUGA"/>
    <s v="DISTRICOL COMUNICACIONES JESAU"/>
    <s v="REDEBAN"/>
    <s v="FO-25-1499888"/>
    <d v="2025-09-09T08:00:00"/>
    <d v="2025-09-10T14:41:00"/>
    <s v="NO"/>
    <s v="USUARIO"/>
    <s v="COMUNICACION"/>
    <s v="CONEXIONES DE COMERCIO"/>
    <m/>
    <m/>
    <s v="CERRADO"/>
    <s v="09/09/2025 SE ESCALA PARA VISITA. LLAMAR ANTES DE VISITAR, CONFIRMAR FALLA Y DATOS | 10/09/2025 DURANTE LA VISITA TECNICA PARA ATENDER INCIDENTE REPORTADO POR CORRESPONSAL BANCARIO, CORRESPONSAL NOS INDICA QUE EL DAÑO YA FUE SOLUCIONADO,  SE HACEN PRUEBAS CONFIRMANDO QUE SERVICIO SE ENCUENTRA FUNCIONAL Y OPERATIVO A CONFORMIDAD DEL CB SIN NOVEDAD EN EL INCIDENTE SALDO OK"/>
    <s v="VISITA_TÉCNICA"/>
    <s v="FFZZZ052"/>
    <s v="TIPO II"/>
    <s v="TERRESTRE"/>
    <s v="GALEANO SORIANO JUAN DAVID"/>
    <n v="1"/>
    <n v="0"/>
    <n v="0"/>
    <n v="0"/>
    <n v="163813.55812"/>
    <n v="163813.55812"/>
  </r>
  <r>
    <s v="SINCELEJO"/>
    <x v="4"/>
    <x v="4"/>
    <n v="70001"/>
    <n v="2710656"/>
    <n v="72633"/>
    <s v="INCIDENTE "/>
    <s v="SUCRE"/>
    <s v="SINCELEJO"/>
    <s v="BARRIO SINCELEJO SUCRE"/>
    <s v="REDEBAN"/>
    <s v="FO-25-1498510"/>
    <d v="2025-09-08T15:16:00"/>
    <d v="2025-09-09T11:10:00"/>
    <s v="NO"/>
    <s v="USUARIO"/>
    <s v="NO ENCIENDE"/>
    <s v="CONEXIONES DE COMERCIO"/>
    <m/>
    <m/>
    <s v="CERRADO"/>
    <s v="08/09/2025 SE ESCALA PARA VISITA. LLAMAR ANTES DE VISITAR, CONFIRMAR FALLA Y DATOS | 09/09/2025 EN COMUNICACIÓN CON LA SEÑORA MARÍA FERNANDA HERRERA ME INFORMA QUE EL DÍA DE AYER NO LE ENCENDÍA EL PIN PAD, VERIFICARON LAS CONEXIONES DEL COMERCIO Y ENCENDIÓ EL EQUIPO, INDICA QUE EL SERVICIO SE ENCUENTRA FUNCIONANDO CORRECTAMENTE."/>
    <s v="SOPORTE_TELEFÓNICO"/>
    <n v="0"/>
    <s v="TIPO I"/>
    <s v="TERRESTRE"/>
    <s v="CACERES HERNANDEZ ANDRES"/>
    <n v="0"/>
    <n v="0"/>
    <n v="0"/>
    <n v="0"/>
    <n v="37904.65408"/>
    <n v="37904.65408"/>
  </r>
  <r>
    <s v="MEDELLIN"/>
    <x v="2"/>
    <x v="2"/>
    <n v="5001"/>
    <n v="2708770"/>
    <n v="35151"/>
    <s v="INCIDENTE "/>
    <s v="ANTIOQUIA"/>
    <s v="MEDELLIN"/>
    <s v="BARRIO BOYACA LAS BRISAS MEDEL"/>
    <s v="REDEBAN"/>
    <s v="FO-25-1495421"/>
    <d v="2025-09-08T11:46:00"/>
    <d v="2025-09-08T14:26:00"/>
    <s v="NO"/>
    <s v="USUARIO"/>
    <s v="USUARIOS"/>
    <s v="MALA MANIPULACION POS"/>
    <m/>
    <m/>
    <s v="CERRADO"/>
    <s v="08/09/2025 SE ESCALA PARA VISITA. LLAMAR ANTES DE VISITAR, CONFIRMAR FALLA Y DATOS | 08/09/2025 SE LLEGA AL PUNTO EL CLIENTE NO PUEDE ATENDER Y SE NIEGA A FIRMAR EL FORMULARIO PORQUE  SALE A UNA CITA MEDEDICA"/>
    <s v="VISITA_TÉCNICA"/>
    <s v="NONE"/>
    <s v="TIPO I"/>
    <s v="TERRESTRE"/>
    <s v="CARDONA MOLINA BROLIN STIVEN"/>
    <n v="1"/>
    <n v="0"/>
    <n v="0"/>
    <n v="0"/>
    <n v="65960.473639999997"/>
    <n v="65960.473639999997"/>
  </r>
  <r>
    <s v="APARTADO"/>
    <x v="2"/>
    <x v="2"/>
    <n v="5045"/>
    <n v="2706736"/>
    <n v="64886"/>
    <s v="INCIDENTE "/>
    <s v="ANTIOQUIA"/>
    <s v="APARTADO"/>
    <s v="DISRICOL PREMIUM CELL LA 97"/>
    <s v="REDEBAN"/>
    <s v="FO-25-1493701"/>
    <d v="2025-09-08T09:24:00"/>
    <d v="2025-09-08T15:36:00"/>
    <s v="NO"/>
    <s v="USUARIO"/>
    <s v="MANTENIMIENTO"/>
    <s v="MANTENIMIENTO GENERAL"/>
    <m/>
    <m/>
    <s v="CERRADO"/>
    <s v="08/09/2025 SE ESCALA PARA VISITA. LLAMAR ANTES DE VISITAR, CONFIRMAR FALLA Y DATOS | 08/09/2025 SE HABLA CON USUARIA, INFORMA QUE DESCONECTÓ EL DATAFONO Y ESTA TRABAJANDO CON EL OTRO, SE LE INDICA CONECTAR EL EQUIPO, SE REALIZA PRUEBA Y FUNCIONA CORRECTAMENTE. CB ESTÁ OPERATIVO, SE CIERRA INCIDENTE."/>
    <s v="SOPORTE_TELEFÓNICO"/>
    <n v="0"/>
    <s v="TIPO I"/>
    <s v="TERRESTRE"/>
    <s v="CARDONA MOLINA BROLIN STIVEN"/>
    <n v="0"/>
    <n v="0"/>
    <n v="0"/>
    <n v="0"/>
    <n v="37904.65408"/>
    <n v="37904.65408"/>
  </r>
  <r>
    <s v="SINCELEJO"/>
    <x v="4"/>
    <x v="4"/>
    <n v="70670"/>
    <n v="2705882"/>
    <n v="24097"/>
    <s v="INCIDENTE "/>
    <s v="SUCRE"/>
    <s v="SAMPUES"/>
    <s v="BARRIO CENTRO III SAMPUES"/>
    <s v="REDEBAN"/>
    <s v="FO-25-1493792"/>
    <d v="2025-09-08T08:26:00"/>
    <d v="2025-09-08T14:21:00"/>
    <s v="NO"/>
    <s v="USUARIO"/>
    <s v="USUARIOS"/>
    <s v="USUARIOS BLOQUEADOS"/>
    <m/>
    <m/>
    <s v="CERRADO"/>
    <s v="08/09/2025 SE ESCALA PARA VISITA. LLAMAR ANTES DE VISITAR, CONFIRMAR FALLA Y DATOS | 08/09/2025 SE VISITA SITIO, SE VERIFICA INFORMACIÓN SE REALIZA PRIMEROS AUXILIOS, SE CAMBIA CLAVE SUPERVISOR, SE REINICIA PARAMETROS Y SE REPISA TERMINAL, TECLADO OK, IMPRESIÓN OK, LECTOR DE CHIP OK, CÓDIGO DE BARRAS OK, PRUEBA TRX EXITOSA."/>
    <s v="VISITA_TÉCNICA"/>
    <s v="ABC0W814"/>
    <s v="TIPO II"/>
    <s v="TERRESTRE"/>
    <s v="SANTOS GUZMAN CHRISTIAN FELIPE"/>
    <n v="1"/>
    <n v="0"/>
    <n v="0"/>
    <n v="0"/>
    <n v="163813.55812"/>
    <n v="163813.55812"/>
  </r>
  <r>
    <s v="BOGOTA"/>
    <x v="5"/>
    <x v="6"/>
    <n v="25386"/>
    <n v="2705778"/>
    <n v="80160"/>
    <s v="INCIDENTE "/>
    <s v="CUNDINAMARCA"/>
    <s v="LA MESA"/>
    <s v="BARRIO RINCON SANTO LA MESA"/>
    <s v="REDEBAN"/>
    <s v="FO-25-1493061"/>
    <d v="2025-09-08T08:15:00"/>
    <d v="2025-09-09T15:31:00"/>
    <s v="NO"/>
    <s v="USUARIO"/>
    <s v="COMUNICACION"/>
    <s v="CANAL DEL COMERCIO"/>
    <m/>
    <m/>
    <s v="CERRADO"/>
    <s v="09/09/2025 SE LLEGA A DIRECCIÓN PARA ATENDER INCIDENTE NOS ATIENDE LA SEÑORITA VALENTINA QUIEN INDICA EL SERVICIO ESTÁ OPERATIVO LA FALLA ERA QUE ESTABAN SUPERANDO EL MONTO DEL CUPO NO SE MANIPULA TERMINAL DE DEJA EVIDENCIA FOTOGRÁFICA"/>
    <s v="VISITA_TÉCNICA"/>
    <s v="F1ZZZ727"/>
    <s v="TIPO II"/>
    <s v="TERRESTRE"/>
    <s v="BUSTOS MORA DIEGO MANUEL"/>
    <n v="1"/>
    <n v="0"/>
    <n v="0"/>
    <n v="0"/>
    <n v="163813.55812"/>
    <n v="163813.55812"/>
  </r>
  <r>
    <s v="MONTERIA"/>
    <x v="4"/>
    <x v="4"/>
    <n v="23555"/>
    <n v="2705236"/>
    <n v="80183"/>
    <s v="INCIDENTE "/>
    <s v="CORDOBA"/>
    <s v="PLANETA RICA"/>
    <s v="BARRIO BRASILIA PLANETA RICA 2"/>
    <s v="REDEBAN"/>
    <s v="FO-25-1492921"/>
    <d v="2025-09-07T17:09:00"/>
    <d v="2025-09-08T15:33:00"/>
    <s v="NO"/>
    <s v="USUARIO"/>
    <s v="MANTENIMIENTO"/>
    <s v="MANTENIMIENTO GENERAL"/>
    <m/>
    <m/>
    <s v="CERRADO"/>
    <s v="08/09/2025 SE ESCALA PARA VISITA. LLAMAR ANTES DE VISITAR, CONFIRMAR FALLA Y DATOS | 08/09/2025 SE ENCUENTRA DATAFONO FUNCIONANDO CORRECTAMENTE, SE REALIZAN PRUEBAS OK"/>
    <s v="VISITA_TÉCNICA"/>
    <s v="F1ZZZ759"/>
    <s v="TIPO II"/>
    <s v="TERRESTRE"/>
    <s v="COGOLLO ROSSO CAMILO ANDRES"/>
    <n v="1"/>
    <n v="0"/>
    <n v="0"/>
    <n v="0"/>
    <n v="163813.55812"/>
    <n v="163813.55812"/>
  </r>
  <r>
    <s v="TUNJA"/>
    <x v="1"/>
    <x v="1"/>
    <n v="15686"/>
    <n v="2705233"/>
    <n v="81025"/>
    <s v="INCIDENTE "/>
    <s v="BOYACA"/>
    <s v="SANTANA"/>
    <s v="DISTRICOL KAROLAY PLATINUM"/>
    <s v="REDEBAN"/>
    <s v="FO-25-1492928"/>
    <d v="2025-09-07T17:06:00"/>
    <d v="2025-09-08T15:27:00"/>
    <s v="NO"/>
    <s v="USUARIO"/>
    <s v="MANTENIMIENTO"/>
    <s v="MANTENIMIENTO GENERAL"/>
    <m/>
    <m/>
    <s v="CERRADO"/>
    <s v="08/09/2025 SE ESCALA PARA VISITA. LLAMAR ANTES DE VISITAR, CONFIRMAR FALLA Y DATOS | 08/09/2025 EN COMUNICACIÓN CON EL CLIENTE AL NÚMERO CELULAR 3102125826 SEÑORA KAROL CIFUENTES INDICA QUE NO REQUIERE VISITA TÉCNICA YA QUE EL PUNTO  CB SE ENCUENTRA TRABAJANDO CORRECTAMENTE Y OPERATIVO, INDICA QUE CUALQUIER NOVEDAD SE COMUNICA NUEVAMENTE CON LA LINEA NACIONAL DE BANCOLOMBIA, CLIENTE COMPARTE BAUCHE DE PRUEBA DEL CORRESPONSAL OPERATIVO"/>
    <s v="SOPORTE_TELEFÓNICO"/>
    <n v="0"/>
    <s v="TIPO III"/>
    <s v="TERRESTRE"/>
    <s v="ALVARADO MORENO CRISTHIAN"/>
    <n v="0"/>
    <n v="0"/>
    <n v="0"/>
    <n v="0"/>
    <n v="37904.65408"/>
    <n v="37904.65408"/>
  </r>
  <r>
    <s v="APARTADO"/>
    <x v="2"/>
    <x v="2"/>
    <n v="5172"/>
    <n v="2705105"/>
    <n v="49598"/>
    <s v="INCIDENTE "/>
    <s v="ANTIOQUIA"/>
    <s v="CHIGORODO"/>
    <s v="DISTRICOL GRANERO CIENTO ONCE"/>
    <s v="REDEBAN"/>
    <s v="FO-25-1492117"/>
    <d v="2025-09-07T13:55:00"/>
    <d v="2025-09-08T12:46:00"/>
    <s v="NO"/>
    <s v="USUARIO"/>
    <s v="MANTENIMIENTO"/>
    <s v="MANTENIMIENTO GENERAL"/>
    <m/>
    <m/>
    <s v="CERRADO"/>
    <s v="09/07/2025 SE ESCALA PARA VISITA. LLAMAR ANTES DE VISITAR, CONFIRMAR FALLA Y DATOS | 08/09/2025 SE LE INFORMA A CLIENTE QUE NO SE LE PUEDE CAMBIAR DATAFONO NUEVO POR EL TECLADO, SE LE EXPLICA QUE CON EL TIEMPO EL TECLADO ABLANDA."/>
    <s v="SOPORTE_TELEFÓNICO"/>
    <n v="0"/>
    <s v="TIPO II"/>
    <s v="TERRESTRE"/>
    <s v="CASTRO HENAO DANIEL ESTEBAN"/>
    <n v="0"/>
    <n v="0"/>
    <n v="0"/>
    <n v="0"/>
    <n v="37904.65408"/>
    <n v="37904.65408"/>
  </r>
  <r>
    <s v="MEDELLIN"/>
    <x v="2"/>
    <x v="2"/>
    <n v="5674"/>
    <n v="2704474"/>
    <n v="47990"/>
    <s v="INCIDENTE "/>
    <s v="ANTIOQUIA"/>
    <s v="SAN VICENTE"/>
    <s v="DISTRICOL EDS AFAS"/>
    <s v="REDEBAN"/>
    <s v="FO-25-1492128"/>
    <d v="2025-09-06T16:54:00"/>
    <d v="2025-09-08T13:19:00"/>
    <s v="NO"/>
    <s v="USUARIO"/>
    <s v="COMUNICACION"/>
    <s v="CANAL DEL COMERCIO"/>
    <m/>
    <m/>
    <s v="CERRADO"/>
    <s v="09/07/2025 SE ESCALA PARA VISITA. LLAMAR ANTES DE VISITAR, CONFIRMAR FALLA Y DATOS | 08/09/2025 SE DETECTA QUE EL DAÑO LO TIENEN EL CANAL DEL COMERCIO SE LE EXPLICA AL CLIENTE EL PROBLEMA EN EL MOMENTO EST A FUNCIONANDO BIEN TODO OK"/>
    <s v="VISITA_TÉCNICA"/>
    <s v="9C00I728"/>
    <s v="TIPO II"/>
    <s v="TERRESTRE"/>
    <s v="ALVAREZ ARENAS VICTOR HUGO"/>
    <n v="1"/>
    <n v="0"/>
    <n v="0"/>
    <n v="0"/>
    <n v="163813.55812"/>
    <n v="163813.55812"/>
  </r>
  <r>
    <s v="PASTO"/>
    <x v="0"/>
    <x v="0"/>
    <n v="52001"/>
    <n v="2704420"/>
    <n v="74774"/>
    <s v="INCIDENTE "/>
    <s v="NARIÑO"/>
    <s v="PASTO"/>
    <s v="DISTRICOL MERAQUI AUTOSERVICIO"/>
    <s v="REDEBAN"/>
    <s v="FO-25-1490396"/>
    <d v="2025-09-06T13:10:00"/>
    <d v="2025-09-08T11:27:00"/>
    <s v="NO"/>
    <s v="USUARIO"/>
    <s v="MANTENIMIENTO"/>
    <s v="MANTENIMIENTO GENERAL"/>
    <m/>
    <m/>
    <s v="CERRADO"/>
    <s v="06/09/2025 SE ESCALA PARA VISITA. LLAMAR ANTES DE VISITAR, CONFIRMAR FALLA Y DATOS | 07/09/2025 SE PROGRAMA VISITA PARA MAÑANA LUNES, YA QUE EL CORRESPONSAL NO LABORA HOY, | 08/09/2025 SE VISITA CB. CLIENTE INFORMA QUE EL DATAFONO DÍAS ANTES NO LE IMPRIMÍA BIEN,PERO LE MOVIÓ ALGO EN LA IMPRESORA Y QUEDÓ OK. CLIENTE INFORMA QUE NO ES NECESARIO REVISAR EQUIPO"/>
    <s v="VISITA_TÉCNICA"/>
    <s v="MNPZZ724"/>
    <s v="TIPO I"/>
    <s v="TERRESTRE"/>
    <s v="CASTILLO HERRERA ALEX RICARDO"/>
    <n v="1"/>
    <n v="0"/>
    <n v="0"/>
    <n v="0"/>
    <n v="65960.473639999997"/>
    <n v="65960.473639999997"/>
  </r>
  <r>
    <s v="MEDELLIN"/>
    <x v="2"/>
    <x v="2"/>
    <n v="5819"/>
    <n v="2704083"/>
    <n v="78282"/>
    <s v="INCIDENTE "/>
    <s v="ANTIOQUIA"/>
    <s v="TOLEDO"/>
    <s v="BARRIO CGT VALLE SECTOR PARQUE"/>
    <s v="REDEBAN"/>
    <s v="FO-25-1489763"/>
    <d v="2025-09-06T11:41:00"/>
    <d v="2025-09-08T09:44:00"/>
    <s v="NO"/>
    <s v="USUARIO"/>
    <s v="CIERRE"/>
    <s v="COMERCIO NO REALIZA CIERRE"/>
    <m/>
    <m/>
    <s v="CERRADO"/>
    <s v="06/09/2025 SE REALIZA CONTACTO TELEFONICO CON LA SRA CAROLINA GOMEZ AL 3103759563 INDICA QUE EL DATAFONO SE DEMORA MUCHO EN IMPRIMIR CIERRES MAS DE UNA HORA, SE HACEN VALIDACIONES Y SE ESCALA PARA VISITA INDICA LLAMAR ANTES DE DESPLAZARSE YA QUE EL CB QUEDA 1 HORA ANTES DE TOLEDO Y POR EL NOMBRE DEL CB PUEDEN PASARSE DE DONDE QUEDA EL PUNTO | 08/09/2025 SE CONVERSA CON LA SEÑORA CAROLINA E INDICA QUE TODOS LOS DIAS HACE CIERRES Y CADA 8 DIAS LLAMA A LA MESA DE APOYO PARA QUE LE AYUDEN CON EL BORRADO DE MEMORIA Y ASÍ FUNCIONA BIEN, SE LE INDICA QUE SIGA ESTE PROCESO"/>
    <s v="SOPORTE_TELEFÓNICO"/>
    <n v="0"/>
    <s v="TIPO IV"/>
    <s v="TERRESTRE"/>
    <s v="BADEL ACUÑA LUIS ALBERTO"/>
    <n v="0"/>
    <n v="0"/>
    <n v="0"/>
    <n v="0"/>
    <n v="37904.65408"/>
    <n v="37904.65408"/>
  </r>
  <r>
    <s v="CUCUTA"/>
    <x v="1"/>
    <x v="1"/>
    <n v="54874"/>
    <n v="2703997"/>
    <n v="26535"/>
    <s v="INCIDENTE "/>
    <s v="NORTE DE SANTANDER"/>
    <s v="VILLA DEL ROSARIO"/>
    <s v="BARRIO SANTA BARBARA 2 VILLA D"/>
    <s v="REDEBAN"/>
    <s v="FO-25-1489772"/>
    <d v="2025-09-06T11:38:00"/>
    <d v="2025-09-08T09:50:00"/>
    <s v="NO"/>
    <s v="USUARIO"/>
    <s v="MANTENIMIENTO"/>
    <s v="MANTENIMIENTO GENERAL"/>
    <m/>
    <m/>
    <s v="CERRADO"/>
    <s v="06/09/2025 SE ESCALA PARA VISITA. LLAMAR ANTES DE VISITAR, CONFIRMAR FALLA Y DATOS | 07/09/2025 SE CONTACTA TELEFÓNICAMENTE AL CLIENTE, SE LE INFORMA A LA SEÑORA JUDITH BLANCO, QUE NO SE CUENTA CON SOPORTE PARA CAMBIO DE EQUIPO Y SE DEBE AGENDAR LA VISITA PARA EL DÍA DE MAÑANA 08/09._x000a__x000a_3114549955 | 08/09/2025 SE REALIZÓ VISITA AL COMERCIO Y SE REALIZA MANTENIMIENTO GENERAL, SE REALIZAN PRUEBAS EXITOSAS"/>
    <s v="VISITA_TÉCNICA"/>
    <s v="BL01Y205"/>
    <s v="TIPO I"/>
    <s v="TERRESTRE"/>
    <s v="MORA VEGA JEAMPIER"/>
    <n v="1"/>
    <n v="0"/>
    <n v="0"/>
    <n v="0"/>
    <n v="65960.473639999997"/>
    <n v="65960.473639999997"/>
  </r>
  <r>
    <s v="BOGOTA"/>
    <x v="5"/>
    <x v="6"/>
    <n v="25899"/>
    <n v="2703875"/>
    <n v="30640"/>
    <s v="INCIDENTE "/>
    <s v="CUNDINAMARCA"/>
    <s v="ZIPAQUIRA"/>
    <s v="BARRIO SAN MIGUEL II"/>
    <s v="REDEBAN"/>
    <s v="FO-25-1488406"/>
    <d v="2025-09-06T08:49:00"/>
    <d v="2025-09-06T13:00:00"/>
    <s v="NO"/>
    <s v="USUARIO"/>
    <s v="USUARIOS"/>
    <s v="USUARIOS BLOQUEADOS"/>
    <m/>
    <m/>
    <s v="CERRADO"/>
    <s v="06/09/2025 SE ESCALA PARA VISITA. LLAMAR ANTES DE VISITAR, CONFIRMAR FALLA Y DATOS | 06/09/2025 SE REALIZA LLAMADA DE VALIDACIÓN PARA ATENCIÓN DE INCIDENTE, SE HABLA CON EL SR. OLVEIN FLÓREZ, SE REALIZA PRUEBAS AL DATAFONO OK, SE VALIDA USUARIOS EXISTENTES Y CON ACCESO A MODULO CB, SE INDICA LA FORMA CORRECTA DE GENERAR DUPLICADOS Y CIERRES, CLAVE SUPERVISOR CORRECTA Y OPERATIVA."/>
    <s v="SOPORTE_TELEFÓNICO"/>
    <n v="0"/>
    <s v="TIPO II"/>
    <s v="TERRESTRE"/>
    <s v="MURCIA HERNANDEZ HARVEY IGNACIO"/>
    <n v="0"/>
    <n v="0"/>
    <n v="0"/>
    <n v="0"/>
    <n v="37904.65408"/>
    <n v="37904.65408"/>
  </r>
  <r>
    <s v="NEIVA"/>
    <x v="3"/>
    <x v="3"/>
    <n v="41001"/>
    <n v="2703094"/>
    <n v="17024"/>
    <s v="INCIDENTE "/>
    <s v="HUILA"/>
    <s v="NEIVA"/>
    <s v="BARRIO CAMBULOS II NEIVA"/>
    <s v="REDEBAN"/>
    <s v="FO-25-1487576"/>
    <d v="2025-09-06T08:00:00"/>
    <d v="2025-09-06T15:41:00"/>
    <s v="NO"/>
    <s v="USUARIO"/>
    <s v="MANTENIMIENTO"/>
    <s v="MANTENIMIENTO GENERAL"/>
    <m/>
    <m/>
    <s v="CERRADO"/>
    <s v="06/09/2025 SE REALIZA CAMBIO FUENTE DE PODER Y CABLE MAGIC BOX , LOS ANTERIORES ESTABA DETERIORADOS , SE REALIZA PRUEBAS OK,SE INSTALAN TORNILLOS A LAS LECTORAS DE BARRAS JUNTO A LAS BASES ."/>
    <s v="VISITA_TÉCNICA"/>
    <s v="GB0HZ778-A00JZ235"/>
    <s v="TIPO I"/>
    <s v="TERRESTRE"/>
    <s v="ANDRADE HERNANDEZ JUAN CARLOS"/>
    <n v="1"/>
    <n v="0"/>
    <n v="0"/>
    <n v="0"/>
    <n v="65960.473639999997"/>
    <n v="65960.473639999997"/>
  </r>
  <r>
    <s v="MEDELLIN"/>
    <x v="2"/>
    <x v="2"/>
    <n v="5541"/>
    <n v="2701586"/>
    <n v="27230"/>
    <s v="INCIDENTE "/>
    <s v="ANTIOQUIA"/>
    <s v="PEÑOL"/>
    <s v="PENOL   ANTIOQUIA 1"/>
    <s v="REDEBAN"/>
    <s v="FO-25-1486338"/>
    <d v="2025-09-05T14:12:00"/>
    <d v="2025-09-06T15:57:00"/>
    <s v="NO"/>
    <s v="USUARIO"/>
    <s v="COMUNICACION"/>
    <s v="CANAL DEL COMERCIO"/>
    <m/>
    <m/>
    <s v="CERRADO"/>
    <s v="05/09/2025 SE ESCALA PARA VISITA. LLAMAR ANTES DE VISITAR, CONFIRMAR FALLA Y DATOS | 06/09/2025 SE COMUNICA CON CLIENTE E INFORMA QUE FALLA PERTENECÍA AL CANAL INTERNO, EQUIPO FUNCIONANDO CORRECTAMENTE, SE CIERRA VISITA"/>
    <s v="SOPORTE_TELEFÓNICO"/>
    <n v="0"/>
    <s v="TIPO II"/>
    <s v="TERRESTRE"/>
    <s v="QUINTERO SANCHEZ JUAN SEBASTIAN"/>
    <n v="0"/>
    <n v="0"/>
    <n v="0"/>
    <n v="0"/>
    <n v="37904.65408"/>
    <n v="37904.65408"/>
  </r>
  <r>
    <s v="CUCUTA"/>
    <x v="1"/>
    <x v="1"/>
    <n v="54874"/>
    <n v="2699812"/>
    <n v="58240"/>
    <s v="INCIDENTE "/>
    <s v="NORTE DE SANTANDER"/>
    <s v="VILLA DEL ROSARIO"/>
    <s v="PTM VILLA DEL ROSARIO TIENDA D"/>
    <s v="REDEBAN"/>
    <s v="FO-25-1484043"/>
    <d v="2025-09-05T10:14:00"/>
    <d v="2025-09-06T09:32:00"/>
    <s v="NO"/>
    <s v="USUARIO"/>
    <s v="COMUNICACION"/>
    <s v="CONEXIONES DE COMERCIO"/>
    <m/>
    <m/>
    <s v="CERRADO"/>
    <s v="06/09/2025 SE REALIZÓ VISITA AL COMERCIO Y DATAFONO SE ENCUENTRA SIN CONEXIÓN A INTERNET, SE VERIFICAN CONEXIONES Y SE ENCUENTRA QUE EL ROUTER TIENE LOS PUERTOS DAÑADOS. QUEDÓ SIN CONEXIÓN A INTERNET, CONEXIONES DEL COMERCIO."/>
    <s v="VISITA_TÉCNICA"/>
    <s v="TWZZZ084"/>
    <s v="TIPO I"/>
    <s v="TERRESTRE"/>
    <s v="MORA VEGA JEAMPIER"/>
    <n v="1"/>
    <n v="0"/>
    <n v="0"/>
    <n v="0"/>
    <n v="65960.473639999997"/>
    <n v="65960.473639999997"/>
  </r>
  <r>
    <s v="MEDELLIN"/>
    <x v="2"/>
    <x v="2"/>
    <n v="5647"/>
    <n v="2698384"/>
    <n v="33583"/>
    <s v="INCIDENTE "/>
    <s v="ANTIOQUIA"/>
    <s v="SAN ANDRES DE CUERQUIA"/>
    <s v="BARRIO CALLE DEL COMERCIO SAN"/>
    <s v="REDEBAN"/>
    <s v="FO-25-1483484"/>
    <d v="2025-09-05T08:23:00"/>
    <d v="2025-09-07T09:06:00"/>
    <s v="NO"/>
    <s v="USUARIO"/>
    <s v="CIERRE"/>
    <s v="COMERCIO NO REALIZA CIERRE"/>
    <m/>
    <m/>
    <s v="CERRADO"/>
    <s v="05/09/2025 SE ESCALA PARA VISITA. LLAMAR ANTES DE VISITAR, CONFIRMAR FALLA Y DATOS | 06/09/2025 SE INDICA A CLIENTE QUE DEBE REALIZAR CIERRE 2 O 3 VECES HASTA QUE EL DATÁFONO DE EL MENSAJE SIN TRANSACCIONES"/>
    <s v="SOPORTE_TELEFÓNICO"/>
    <n v="0"/>
    <s v="TIPO III"/>
    <s v="TERRESTRE"/>
    <s v="BADEL ACUÑA LUIS ALBERTO"/>
    <n v="0"/>
    <n v="0"/>
    <n v="0"/>
    <n v="0"/>
    <n v="37904.65408"/>
    <n v="37904.65408"/>
  </r>
  <r>
    <s v="MONTERIA"/>
    <x v="4"/>
    <x v="4"/>
    <n v="23670"/>
    <n v="2697466"/>
    <n v="76162"/>
    <s v="INCIDENTE "/>
    <s v="CORDOBA"/>
    <s v="SAN ANDRES SOTAVENTO"/>
    <s v="BARRIO OTRO SAN ANDRES DE SOTA"/>
    <s v="REDEBAN"/>
    <s v="FO-25-1480602"/>
    <d v="2025-09-04T17:47:00"/>
    <d v="2025-09-05T13:18:00"/>
    <s v="NO"/>
    <s v="USUARIO"/>
    <s v="USUARIOS"/>
    <s v="USUARIOS BLOQUEADOS"/>
    <m/>
    <m/>
    <s v="CERRADO"/>
    <s v="04/09/2025 SE ESCALA PARA VISITA. LLAMAR ANTES DE VISITAR, CONFIRMAR FALLA Y DATOS | 05/09/2025 SE VISITA SITIO, SE VERIFICA INFORMACIÓN SE REALIZA PRIMEROS AUXILIOS, SE CAMBIA CLAVE SUPERVISOR, SE REINICIA PARAMETROS Y SE REPISA TERMINAL, TECLADO OK, IMPRESIÓN OK, LECTOR DE CHIP OK, CÓDIGO DE BARRAS OK, PRUEBA TRX EXITOSA."/>
    <s v="VISITA_TÉCNICA"/>
    <s v="SX0GZ313"/>
    <s v="TIPO II"/>
    <s v="TERRESTRE"/>
    <s v="SANTOS GUZMAN CHRISTIAN FELIPE"/>
    <n v="1"/>
    <n v="0"/>
    <n v="0"/>
    <n v="0"/>
    <n v="163813.55812"/>
    <n v="163813.55812"/>
  </r>
  <r>
    <s v="APARTADO"/>
    <x v="2"/>
    <x v="2"/>
    <n v="5172"/>
    <n v="2693609"/>
    <n v="38905"/>
    <s v="INCIDENTE "/>
    <s v="ANTIOQUIA"/>
    <s v="CHIGORODO"/>
    <s v="DISTRICOL CELULARES XIMENA"/>
    <s v="REDEBAN"/>
    <s v="FO-25-1480294"/>
    <d v="2025-09-04T09:53:00"/>
    <d v="2025-09-05T13:22:00"/>
    <s v="NO"/>
    <s v="USUARIO"/>
    <s v="MANTENIMIENTO"/>
    <s v="MANTENIMIENTO GENERAL"/>
    <m/>
    <m/>
    <s v="CERRADO"/>
    <s v="04/09/2025 SE ESCALA PARA VISITA. LLAMAR ANTES DE VISITAR, CONFIRMAR FALLA Y DATOS | 05/09/2025 SE LE INFORMA A CLIENTE QUE DATAFONO ESTA BUENO SE REALIZAN PRUEBAS Y TIRILLAS SALEN BIEN."/>
    <s v="VISITA_TÉCNICA"/>
    <s v="HA007027"/>
    <s v="TIPO II"/>
    <s v="TERRESTRE"/>
    <s v="CASTRO HENAO DANIEL ESTEBAN"/>
    <n v="1"/>
    <n v="0"/>
    <n v="0"/>
    <n v="0"/>
    <n v="163813.55812"/>
    <n v="163813.55812"/>
  </r>
  <r>
    <s v="TUNJA"/>
    <x v="1"/>
    <x v="1"/>
    <n v="15238"/>
    <n v="2696258"/>
    <n v="65528"/>
    <s v="INCIDENTE "/>
    <s v="BOYACA"/>
    <s v="DUITAMA"/>
    <s v="DISTRICOL LUXURY TECH HUB"/>
    <s v="REDEBAN"/>
    <s v="FO-25-1479104"/>
    <d v="2025-09-04T15:05:00"/>
    <d v="2025-09-05T09:41:00"/>
    <s v="NO"/>
    <s v="USUARIO"/>
    <s v="COMUNICACION"/>
    <s v="CANAL DEL COMERCIO"/>
    <m/>
    <m/>
    <s v="CERRADO"/>
    <s v="04/09/2025 SE ESCALA PARA VISITA. LLAMAR ANTES DE VISITAR, CONFIRMAR FALLA Y DATOS | 05/09/2025 SE REALIZA COMUNICACION CON CLIENTE AL NÚMERO TELEFÓNICO 3204115523 LA SEÑORA LEIDYA JOHANA PALACIOS MANIFIESTA QUE DESPUÉS DE LLAMAR A PEDIR SOPORTE DATAFONO SE ENCUENTRA FUNCIONANDO CORRECTAMENTE HA HECHO TRANSABILIDAD Y AL DIA DE HOY FUNCIONA CORRECTAMENTE...CANCELA VISITA TÉCNICA YA QUE SOLICITARA MANTENIMIENTO A INTERNET DE LOCAL"/>
    <s v="SOPORTE_TELEFÓNICO"/>
    <n v="0"/>
    <s v="TIPO II"/>
    <s v="TERRESTRE"/>
    <s v="GONZALEZ GONZALEZ MARIO ALBERTO"/>
    <n v="0"/>
    <n v="0"/>
    <n v="0"/>
    <n v="0"/>
    <n v="37904.65408"/>
    <n v="37904.65408"/>
  </r>
  <r>
    <s v="APARTADO"/>
    <x v="2"/>
    <x v="2"/>
    <n v="5172"/>
    <n v="2695654"/>
    <n v="49047"/>
    <s v="INCIDENTE "/>
    <s v="ANTIOQUIA"/>
    <s v="CHIGORODO"/>
    <s v="BARRIO CENTRO CHIGORODO 6"/>
    <s v="REDEBAN"/>
    <s v="FO-25-1478462"/>
    <d v="2025-09-04T14:04:00"/>
    <d v="2025-09-05T14:52:00"/>
    <s v="NO"/>
    <s v="USUARIO"/>
    <s v="USUARIOS"/>
    <s v="TAPA MAL ASEGURADA"/>
    <m/>
    <m/>
    <s v="CERRADO"/>
    <s v="04/09/2025 SE ESCALA PARA VISITA. LLAMAR ANTES DE VISITAR, CONFIRMAR FALLA Y DATOS | 05/09/2025 SE EXPLICA A CLIENTE COMO MANIPULAR EL DATAFONO CON LA TAPA SUELTA, YA QUE NO SE CUENTA CON TAPAS EN STOCK Y NO AMERITA EL CAMBIO DE DATÁFONO."/>
    <s v="VISITA_TÉCNICA"/>
    <s v="AD00O684"/>
    <s v="TIPO II"/>
    <s v="TERRESTRE"/>
    <s v="CASTRO HENAO DANIEL ESTEBAN"/>
    <n v="1"/>
    <n v="0"/>
    <n v="0"/>
    <n v="0"/>
    <n v="163813.55812"/>
    <n v="163813.55812"/>
  </r>
  <r>
    <s v="PASTO"/>
    <x v="0"/>
    <x v="0"/>
    <n v="52356"/>
    <n v="2694796"/>
    <n v="22497"/>
    <s v="INCIDENTE "/>
    <s v="NARIÑO"/>
    <s v="IPIALES"/>
    <s v="MULTIPAGAS IPIALES"/>
    <s v="REDEBAN"/>
    <s v="FO-25-1476183"/>
    <d v="2025-09-04T11:55:00"/>
    <d v="2025-09-05T12:35:00"/>
    <s v="NO"/>
    <s v="USUARIO"/>
    <s v="MANTENIMIENTO"/>
    <s v="MANTENIMIENTO GENERAL"/>
    <m/>
    <m/>
    <s v="CERRADO"/>
    <s v="04/09/2025 SE ESCALA PARA VISITA. LLAMAR ANTES DE VISITAR, CONFIRMAR FALLA Y DATOS | 05/09/2025 POR MOTIVOS DE CIERRE TEMPORAL EN LA VÍA SE DIFICULTA EL TRANSPORTE HACIA LA CIUDAD DESTINO POR LO CUAL SE ATENDERÁ LA ACTIVIDAD EN EL TRANSCURSO DEL DÍA... | 05/09/2025 SE ENCUENTRA DATAFONO DESCONFIGURADO SE REALIZA CONFIGURACIÓN OK Y MANTENIMIENTO PARÁMETROS OK Y SE REALIZAN PRUEBAS EXITOSAS DE TRANSACCIONES"/>
    <s v="VISITA_TÉCNICA"/>
    <s v="AIZZZ120"/>
    <s v="TIPO II"/>
    <s v="TERRESTRE"/>
    <s v="PAZ MARTINEZ RICHARD HUMBERTO"/>
    <n v="1"/>
    <n v="0"/>
    <n v="0"/>
    <n v="0"/>
    <n v="163813.55812"/>
    <n v="163813.55812"/>
  </r>
  <r>
    <s v="NEIVA"/>
    <x v="3"/>
    <x v="3"/>
    <n v="18001"/>
    <n v="2692164"/>
    <n v="67573"/>
    <s v="INCIDENTE "/>
    <s v="CAQUETA"/>
    <s v="FLORENCIA"/>
    <s v="BARRIO ALPES FLORENCIA 1"/>
    <s v="REDEBAN"/>
    <s v="FO-25-1472502"/>
    <d v="2025-09-04T08:00:00"/>
    <d v="2025-09-08T09:31:00"/>
    <s v="NO"/>
    <s v="USUARIO"/>
    <s v="COMUNICACION"/>
    <s v="CONEXIONES DE COMERCIO"/>
    <m/>
    <m/>
    <s v="CERRADO"/>
    <s v="04/09/2025 SE ESCALA PARA VISITA. LLAMAR ANTES DE VISITAR, CONFIRMAR FALLA Y DATOS | 07/09/2025 SIN SOPORTE DE ACTIVOS PARA CAMBIO DE EQUIPOS. | 08/09/2025 SE REALIZA VISITA AL CB Y CLIENTE MANIFIESTA QUE EL DATÁFONO ESTÁ FUNCIONANDO CON NORMALIDAD, MANIFIESTA QUE LE ARROJÓ UN ERROR LLAMO A LINA DE CORRESPONSALES Y LUEGO LE FUNCIONÓ EL DATÁFONO, NO SE TOCA DATÁFONO."/>
    <s v="VISITA_TÉCNICA"/>
    <s v="AAL0P014"/>
    <s v="TIPO IV"/>
    <s v="TERRESTRE"/>
    <s v="BERMUDEZ SANCHEZ JOSE NEYBER"/>
    <n v="1"/>
    <n v="0"/>
    <n v="0"/>
    <n v="0"/>
    <n v="479589.73656000005"/>
    <n v="479589.73656000005"/>
  </r>
  <r>
    <s v="PASTO"/>
    <x v="0"/>
    <x v="0"/>
    <n v="52215"/>
    <n v="2690916"/>
    <n v="46136"/>
    <s v="INCIDENTE "/>
    <s v="NARIÑO"/>
    <s v="CORDOBA"/>
    <s v="BARRIO CENTRO CORDOBA"/>
    <s v="REDEBAN"/>
    <s v="FO-25-1470295"/>
    <d v="2025-09-03T16:40:00"/>
    <d v="2025-09-04T16:43:00"/>
    <s v="NO"/>
    <s v="USUARIO"/>
    <s v="CIERRE"/>
    <s v="COMERCIO NO REALIZA CIERRE"/>
    <m/>
    <m/>
    <s v="CERRADO"/>
    <s v="03/09/2025 SE ESCALA PARA VISITA. LLAMAR ANTES DE VISITAR, CONFIRMAR FALLA Y DATOS | 04/09/2025 SE VERIFICA FALLA DE CIERRE CLIENTE NO REALIZA DE FORMA CORRECTA LOS CIERRES SE LE EXPLICA COMO SE DEBEN REALIZAR TODOS LOS DÍAS, SE CAMBIA A SU VEZ DATÁFONO POR DAÑO EN TECLADO BORROSO, SE EJECUTAN PRUEBAS TX EXITOSAS QUEDA OPERATIVO."/>
    <s v="VISITA_TÉCNICA"/>
    <s v="TR003855"/>
    <s v="TIPO II"/>
    <s v="TERRESTRE"/>
    <s v="REMICIO AMADO JOHN HEBER"/>
    <n v="1"/>
    <n v="0"/>
    <n v="0"/>
    <n v="0"/>
    <n v="163813.55812"/>
    <n v="163813.55812"/>
  </r>
  <r>
    <s v="CARTAGENA"/>
    <x v="4"/>
    <x v="4"/>
    <n v="13001"/>
    <n v="2689283"/>
    <n v="80661"/>
    <s v="INCIDENTE "/>
    <s v="BOLIVAR"/>
    <s v="CARTAGENA"/>
    <s v="BARRIO TORICES CARTAGENA DE INDIAS 7"/>
    <s v="REDEBAN"/>
    <s v="FO-25-1469921"/>
    <d v="2025-09-03T14:20:00"/>
    <d v="2025-09-04T12:24:00"/>
    <s v="NO"/>
    <s v="USUARIO"/>
    <s v="COMUNICACION"/>
    <s v="CONEXIONES DE COMERCIO"/>
    <m/>
    <m/>
    <s v="CERRADO"/>
    <s v="03/09/2025 SE ESCALA PARA VISITA. LLAMAR ANTES DE VISITAR, CONFIRMAR FALLA Y DATOS | 04/09/2025 SE REALIZA REVISIÓN DEL PUNTO TENÍA PROBLEMA DE CONEXIÓN EN EL PUNTO CON EL CABLE SE CONFIGURA EL EQUIPO QUEDA OPERATIVO SE HACE PRUEBAS"/>
    <s v="VISITA_TÉCNICA"/>
    <s v="V8ZZZ376"/>
    <s v="TIPO I"/>
    <s v="TERRESTRE"/>
    <s v="CANEDO HERRERA ALEXANDER"/>
    <n v="1"/>
    <n v="0"/>
    <n v="0"/>
    <n v="0"/>
    <n v="65960.473639999997"/>
    <n v="65960.473639999997"/>
  </r>
  <r>
    <s v="PEREIRA"/>
    <x v="0"/>
    <x v="5"/>
    <n v="76622"/>
    <n v="2686435"/>
    <n v="29596"/>
    <s v="INCIDENTE "/>
    <s v="VALLE DEL CAUCA"/>
    <s v="ROLDANILLO"/>
    <s v="BARRIO CENTRO 6 ROLDANILLO"/>
    <s v="REDEBAN"/>
    <s v="FO-25-1466393"/>
    <d v="2025-09-03T09:42:00"/>
    <d v="2025-09-04T13:36:00"/>
    <s v="NO"/>
    <s v="USUARIO"/>
    <s v="COMUNICACION"/>
    <s v="CONEXIONES DE COMERCIO"/>
    <m/>
    <m/>
    <s v="CERRADO"/>
    <s v="03/09/2025 SE ESCALA PARA VISITA. LLAMAR ANTES DE VISITAR, CONFIRMAR FALLA Y DATOS | 04/09/2025 VISITAMOS COMERCIO EL DATÁFONO NO TIENE INTERNET REALIZAMOS EL DIAGNÓSTICO AL DATÁFONO Y AL CABLEADO Y TODO ESTA BIEN ENCONTRAMOS QUE LOS PUERTOS DEL MÓDEM ESTA FALLANDO LE INDICAMOS AL CLIENTE QUE LA FALLA NO ES DEL DATÁFONO SON LOS PUERTOS DEL MÓDEM LOS INTERCAMBIAMOS REALIZAMOS PRUEBAS OK."/>
    <s v="VISITA_TÉCNICA"/>
    <s v="10RZZ599"/>
    <s v="TIPO III"/>
    <s v="TERRESTRE"/>
    <s v="ARROYAVE CANO MANUEL GUILLERMO"/>
    <n v="1"/>
    <n v="0"/>
    <n v="0"/>
    <n v="0"/>
    <n v="275728.37943999999"/>
    <n v="275728.37943999999"/>
  </r>
  <r>
    <s v="TUNJA"/>
    <x v="1"/>
    <x v="1"/>
    <n v="15238"/>
    <n v="2687002"/>
    <n v="80265"/>
    <s v="INCIDENTE "/>
    <s v="BOYACA"/>
    <s v="DUITAMA"/>
    <s v="BARRIO CANDIDO QUINTERO DUITAMA 2"/>
    <s v="REDEBAN"/>
    <s v="FO-25-1466384"/>
    <d v="2025-09-03T10:17:00"/>
    <d v="2025-09-03T15:28:00"/>
    <s v="NO"/>
    <s v="USUARIO"/>
    <s v="MANTENIMIENTO"/>
    <s v="MANTENIMIENTO GENERAL"/>
    <m/>
    <m/>
    <s v="CERRADO"/>
    <s v="03/09/2025 SE REALIZA BORRADO DE EQUIPO CARGANDO S.O Y VERSIÓN 10.3 N  DEJANDO PRUEBAS DE IMPRESIÓN EXITOSAS , PRUEBAS OK SIN TELECARGA NO AUTORIZADA"/>
    <s v="VISITA_TÉCNICA"/>
    <s v="FAZZZ489"/>
    <s v="TIPO II"/>
    <s v="TERRESTRE"/>
    <s v="ALVARADO MORENO CRISTHIAN"/>
    <n v="1"/>
    <n v="0"/>
    <n v="0"/>
    <n v="0"/>
    <n v="163813.55812"/>
    <n v="163813.55812"/>
  </r>
  <r>
    <s v="YOPAL"/>
    <x v="3"/>
    <x v="3"/>
    <n v="85230"/>
    <n v="2687018"/>
    <n v="54326"/>
    <s v="INCIDENTE "/>
    <s v="CASANARE"/>
    <s v="OROCUE"/>
    <s v="DISTRICOL SUPER DROGAS DEL LLA"/>
    <s v="REDEBAN"/>
    <s v="FO-25-1466378"/>
    <d v="2025-09-03T10:19:00"/>
    <d v="2025-09-04T13:34:00"/>
    <s v="NO"/>
    <s v="USUARIO"/>
    <s v="COMUNICACION"/>
    <s v="CANAL DEL COMERCIO"/>
    <m/>
    <m/>
    <s v="CERRADO"/>
    <s v="03/09/2025 SE ESCALA PARA VISITA. LLAMAR ANTES DE VISITAR, CONFIRMAR FALLA Y DATOS | 04/09/2025 EN COMUNICACIÓN CON EL SEÑOR PEDRO PIÑEROS AL NUMERO 3144080601, INDICA QUE YA SE ENCUENTRA OPERATIVO EL SERVICIO. LA FALLA PRESENTADA ERA POR PARTE DEL PROVEEDOR DE INTERNET."/>
    <s v="SOPORTE_TELEFÓNICO"/>
    <n v="0"/>
    <s v="TIPO IV ESPECIAL"/>
    <s v="TERRESTRE/FLUVIAL"/>
    <s v="BERNAL ELAICA EDGAR ALEXIS"/>
    <n v="0"/>
    <n v="0"/>
    <n v="0"/>
    <n v="0"/>
    <n v="37904.65408"/>
    <n v="37904.65408"/>
  </r>
  <r>
    <s v="BARRANQUILLA"/>
    <x v="4"/>
    <x v="4"/>
    <n v="8638"/>
    <n v="2684174"/>
    <n v="78812"/>
    <s v="INCIDENTE "/>
    <s v="ATLANTICO"/>
    <s v="SABANALARGA"/>
    <s v="BARRIO LA CONCEPCION SABANALAR"/>
    <s v="REDEBAN"/>
    <s v="FO-25-1463883"/>
    <d v="2025-09-02T17:42:00"/>
    <d v="2025-09-04T14:52:00"/>
    <s v="NO"/>
    <s v="USUARIO"/>
    <s v="COMUNICACION"/>
    <s v="CANAL DEL COMERCIO"/>
    <m/>
    <m/>
    <s v="CERRADO"/>
    <s v="02/09/2025 SE ESCALA PARA VISITA. LLAMAR ANTES DE VISITAR, CONFIRMAR FALLA Y DATOS | 04/09/2025 SE LLEGA AL CB POR ERROR DE CONEXIÓN, SE REVISAN LAS CONEXIONES Y SE EVIDENCIA QUE TIENE PROBLEMAS CON LAS DIRECCIÓNES IP, SE LE RECOMIENDA QUE LE CONFIGUREN LA INTERNA DEL COMERCIO PARA QUE ASIGNE MÁS IP, O HABLÉ CON EL PROVEEDOR DE INTERNET, YA QUE TIENE UNO NUEVO DESDE HACE 1 MES, Y DESDE ESA FECHA ESTÁ PRESENTANDO EL INCONVENIENTE _x000a_AL MOMENTO DE HACER LA VISITA ESTABA TRABAJANDO PERFECTAMENTE"/>
    <s v="VISITA_TÉCNICA"/>
    <s v="V1SZZ194"/>
    <s v="TIPO II"/>
    <s v="TERRESTRE"/>
    <s v="DE AVILA SIADES ALBERTO ENRIQUE"/>
    <n v="1"/>
    <n v="0"/>
    <n v="0"/>
    <n v="0"/>
    <n v="163813.55812"/>
    <n v="163813.55812"/>
  </r>
  <r>
    <s v="CALI"/>
    <x v="0"/>
    <x v="0"/>
    <n v="76001"/>
    <n v="2681631"/>
    <n v="35515"/>
    <s v="INCIDENTE "/>
    <s v="VALLE DEL CAUCA"/>
    <s v="CALI"/>
    <s v="REDY LIMONAR"/>
    <s v="REDEBAN"/>
    <s v="FO-25-1461638"/>
    <d v="2025-09-02T13:05:00"/>
    <d v="2025-09-02T17:10:00"/>
    <s v="NO"/>
    <s v="USUARIO"/>
    <s v="USUARIOS"/>
    <s v="MALA MANIPULACION POS"/>
    <m/>
    <m/>
    <s v="CERRADO"/>
    <s v="02/09/2025 SE ESCALA PARA VISITA. LLAMAR ANTES DE VISITAR, CONFIRMAR FALLA Y DATOS | 02/09/2025 SE COMUNICA CON EL CB ANTES DE REALIZAR LA VISITA E INFORMA QUE EL DATAFONO ESTÁ REALIZANDO TODAS LAS TRX CON NORMALIDAD PERO SIENTE QUE EL TECLADO DEL EQUIPO DESK2600 ESTÁ MÁS DURO A COMPARACIÓN DEL DESK3500, SE LE INFORMA QUE NO ES POSIBLE CAMBIAR EL EQUIPO YA QUE NO SE CUENTA YA CON ESA TECNOLOGÍA EN BACKUP."/>
    <s v="SOPORTE_TELEFÓNICO"/>
    <n v="0"/>
    <s v="TIPO I"/>
    <s v="TERRESTRE"/>
    <s v="MONTERO MUESES GIAN CARLO"/>
    <n v="0"/>
    <n v="0"/>
    <n v="0"/>
    <n v="0"/>
    <n v="37904.65408"/>
    <n v="37904.65408"/>
  </r>
  <r>
    <s v="BUCARAMANGA"/>
    <x v="1"/>
    <x v="1"/>
    <n v="68679"/>
    <n v="2681045"/>
    <n v="61382"/>
    <s v="INCIDENTE "/>
    <s v="SANTANDER"/>
    <s v="SAN GIL"/>
    <s v="BARRIO PABLO VI SAN GIL"/>
    <s v="REDEBAN"/>
    <s v="FO-25-1461107"/>
    <d v="2025-09-02T11:43:00"/>
    <d v="2025-09-03T07:56:00"/>
    <s v="NO"/>
    <s v="ENTIDAD"/>
    <s v="ERROR DE TRANSACCIONES"/>
    <s v="CONVENIOS NO HABILITADOS"/>
    <m/>
    <m/>
    <s v="CERRADO"/>
    <s v="02/09/2025 SE ESCALA PARA VISITA. LLAMAR ANTES DE VISITAR, CONFIRMAR FALLA Y DATOS | 02/09/2025 SE LLAMA A LA SEÑORA PAULA AL NUMERO 3204366205 INDICA Q YA NO NECESITA LA VISITA TECNICA QUE EL DATAFONO YA SE ENCUENTRA OPERATIVO, SE PROCEDE A CERRAR ORDEN"/>
    <s v="SOPORTE_TELEFÓNICO"/>
    <n v="0"/>
    <s v="TIPO II"/>
    <s v="TERRESTRE"/>
    <s v="GELVEZ MOGOLLON JOSE ELISEO"/>
    <n v="0"/>
    <n v="0"/>
    <n v="0"/>
    <n v="0"/>
    <n v="37904.65408"/>
    <n v="37904.65408"/>
  </r>
  <r>
    <s v="CALI"/>
    <x v="0"/>
    <x v="0"/>
    <n v="76111"/>
    <n v="2679100"/>
    <n v="16814"/>
    <s v="INCIDENTE "/>
    <s v="VALLE DEL CAUCA"/>
    <s v="GUADALAJARA DE BUGA"/>
    <s v="BARRIO EL CARMELO BUGA"/>
    <s v="REDEBAN"/>
    <s v="FO-25-1459430"/>
    <d v="2025-09-02T09:22:00"/>
    <d v="2025-09-02T12:04:00"/>
    <s v="NO"/>
    <s v="USUARIO"/>
    <s v="MANTENIMIENTO"/>
    <s v="MANTENIMIENTO GENERAL"/>
    <m/>
    <m/>
    <s v="CERRADO"/>
    <s v="02/09/2025 SE ESCALA PARA VISITA. LLAMAR ANTES DE VISITAR, CONFIRMAR FALLA Y DATOS | 02/09/2025 SE VISITA CORRESPONSAL Y SE REALIZA MANTENIMIENTO A EQUIPO. CABLEADO Y EQUIPO  EN BUEN ESTADO. TRANSACCIONES DE PRUEBA EXITOSAS."/>
    <s v="VISITA_TÉCNICA"/>
    <s v="JFZZZ755"/>
    <s v="TIPO II"/>
    <s v="TERRESTRE"/>
    <s v="BOLAÑOS TABORDA JORGE ENRIQUE"/>
    <n v="1"/>
    <n v="0"/>
    <n v="0"/>
    <n v="0"/>
    <n v="163813.55812"/>
    <n v="163813.55812"/>
  </r>
  <r>
    <s v="MEDELLIN"/>
    <x v="2"/>
    <x v="2"/>
    <n v="5001"/>
    <n v="2677278"/>
    <n v="16180"/>
    <s v="INCIDENTE "/>
    <s v="ANTIOQUIA"/>
    <s v="MEDELLIN"/>
    <s v="BARRIO SANTA MONICA MEDELLIN"/>
    <s v="REDEBAN"/>
    <s v="FO-25-1458780"/>
    <d v="2025-09-02T08:00:00"/>
    <d v="2025-09-02T11:10:00"/>
    <s v="NO"/>
    <s v="USUARIO"/>
    <s v="CIERRE"/>
    <s v="COMERCIO NO REALIZA CIERRE"/>
    <m/>
    <m/>
    <s v="CERRADO"/>
    <s v="02/09/2025 SE ESCALA PARA VISITA. LLAMAR ANTES DE VISITAR, CONFIRMAR FALLA Y DATOS | 02/09/2025 SE HABLA CON SEÑOR EDISON, INFORMA QUE YA LOGRÓ GENERAR CIERRE SIN NOVEDADES. SE CIERRA INCIDENTE, CB OPERATIVO."/>
    <s v="SOPORTE_TELEFÓNICO"/>
    <n v="0"/>
    <s v="TIPO I"/>
    <s v="TERRESTRE"/>
    <s v="QUINTERO SANCHEZ JUAN SEBASTIAN"/>
    <n v="0"/>
    <n v="0"/>
    <n v="0"/>
    <n v="0"/>
    <n v="37904.65408"/>
    <n v="37904.65408"/>
  </r>
  <r>
    <s v="MEDELLIN"/>
    <x v="2"/>
    <x v="2"/>
    <n v="5001"/>
    <n v="2677067"/>
    <n v="80084"/>
    <s v="INCIDENTE "/>
    <s v="ANTIOQUIA"/>
    <s v="MEDELLIN"/>
    <s v="BARRIO LA FLORESTA MEDELLIN 3"/>
    <s v="REDEBAN"/>
    <s v="FO-25-1458774"/>
    <d v="2025-09-02T08:00:00"/>
    <d v="2025-09-02T12:07:00"/>
    <s v="NO"/>
    <s v="USUARIO"/>
    <s v="MANTENIMIENTO"/>
    <s v="MANTENIMIENTO GENERAL"/>
    <m/>
    <m/>
    <s v="CERRADO"/>
    <s v="02/09/2025 SE ESCALA PARA VISITA. LLAMAR ANTES DE VISITAR, CONFIRMAR FALLA Y DATOS | 02/09/2025 DATAFONO MAL CONECTADO, SE ORGANIZA, EQUIPOS OPERATIVOS"/>
    <s v="VISITA_TÉCNICA"/>
    <s v="SAXZZ531"/>
    <s v="TIPO I"/>
    <s v="TERRESTRE"/>
    <s v="BADEL ACUÑA LUIS ALBERTO"/>
    <n v="1"/>
    <n v="0"/>
    <n v="0"/>
    <n v="0"/>
    <n v="65960.473639999997"/>
    <n v="65960.473639999997"/>
  </r>
  <r>
    <s v="CARTAGENA"/>
    <x v="4"/>
    <x v="4"/>
    <n v="13001"/>
    <n v="2676817"/>
    <n v="78073"/>
    <s v="INCIDENTE "/>
    <s v="BOLIVAR"/>
    <s v="CARTAGENA"/>
    <s v="BARRIO NELSON MANDELA SEC LOS"/>
    <s v="REDEBAN"/>
    <s v="FO-25-1457615"/>
    <d v="2025-09-01T17:02:00"/>
    <d v="2025-09-02T15:06:00"/>
    <s v="NO"/>
    <s v="USUARIO"/>
    <s v="LECTOR DE TARJETAS"/>
    <s v="OBSTRUCCION DEL LECTOR"/>
    <m/>
    <m/>
    <s v="CERRADO"/>
    <s v="01/09/2025 SE ESCALA PARA VISITA. LLAMAR ANTES DE VISITAR, CONFIRMAR FALLA Y DATOS | 02/09/2025 SE REALIZA LIMPIEZA A LA RANURA TENÍA SUCIO QUEDA FUNCIONANDO SIN PROBLEMAS SE HACEN PRUEBAS TODO OK"/>
    <s v="VISITA_TÉCNICA"/>
    <s v="LMNZZ641"/>
    <s v="TIPO I"/>
    <s v="TERRESTRE"/>
    <s v="CANEDO HERRERA ALEXANDER"/>
    <n v="1"/>
    <n v="0"/>
    <n v="0"/>
    <n v="0"/>
    <n v="65960.473639999997"/>
    <n v="65960.473639999997"/>
  </r>
  <r>
    <s v="MEDELLIN"/>
    <x v="2"/>
    <x v="2"/>
    <n v="5001"/>
    <n v="2676327"/>
    <n v="18302"/>
    <s v="INCIDENTE "/>
    <s v="ANTIOQUIA"/>
    <s v="MEDELLIN"/>
    <s v="REVAL JUMBO CC SANTAFE MEDELLI"/>
    <s v="REDEBAN"/>
    <s v="FO-25-1457473"/>
    <d v="2025-09-01T16:10:00"/>
    <d v="2025-09-02T11:14:00"/>
    <s v="NO"/>
    <s v="USUARIO"/>
    <s v="USUARIOS"/>
    <s v="MALA MANIPULACION POS"/>
    <m/>
    <m/>
    <s v="CERRADO"/>
    <s v="01/09/2025 SE ESCALA PARA VISITA. LLAMAR ANTES DE VISITAR, CONFIRMAR FALLA Y DATOS | 02/09/2025 SE REVISA QUE EL PIN PAD TENÍA MALA CONEXIÓN YA QUE ESTABA MAL CONECTADO Y CAUSABA REINICIOS EN AMBOS EQUIPOS, ADICIONAL SE REALIZA BORRADO DE PARÁMETROS YA QUE NO DABA EL INTERNET, SE REALIZA CONSULTA DE SALDO SERVICIO OK."/>
    <s v="VISITA_TÉCNICA"/>
    <s v="ABOXZ096"/>
    <s v="TIPO I"/>
    <s v="TERRESTRE"/>
    <s v="RAMIREZ TABARES JUAN DIEGO"/>
    <n v="1"/>
    <n v="0"/>
    <n v="0"/>
    <n v="0"/>
    <n v="65960.473639999997"/>
    <n v="65960.473639999997"/>
  </r>
  <r>
    <s v="BOGOTA"/>
    <x v="5"/>
    <x v="6"/>
    <n v="11001"/>
    <n v="2676298"/>
    <n v="78680"/>
    <s v="INCIDENTE "/>
    <s v="CUNDINAMARCA"/>
    <s v="BOGOTA"/>
    <s v="PTM BOGOTA PAPELES Y TODO"/>
    <s v="REDEBAN"/>
    <s v="FO-25-1457466"/>
    <d v="2025-09-01T16:24:00"/>
    <d v="2025-09-02T15:08:00"/>
    <s v="NO"/>
    <s v="USUARIO"/>
    <s v="CIERRE"/>
    <s v="COMERCIO NO REALIZA CIERRE"/>
    <m/>
    <m/>
    <s v="CERRADO"/>
    <s v="01/09/2025 SE ESCALA PARA VISITA. LLAMAR ANTES DE VISITAR, CONFIRMAR FALLA Y DATOS | 02/09/2025 SE VISITA COMERCIO CB BANCOLOMBIA, SE REALIZA BORRADO DE MEMORIA PARA DEJAR EL CB FUNCIONANDO CORRECTAMENTE, SE LE EXPLICA AL CLIENTE COMO DEBE DE REALIZAR LOS CIERRES CORRECTAMENTE, SE REALIZAN PRUEBAS OK, NO SE ALTERNAN USUARIOS."/>
    <s v="VISITA_TÉCNICA"/>
    <s v="10SZZ184"/>
    <s v="TIPO I"/>
    <s v="TERRESTRE"/>
    <s v="VEGA MANRIQUE JONATAN MAURICIO"/>
    <n v="1"/>
    <n v="0"/>
    <n v="0"/>
    <n v="0"/>
    <n v="65960.473639999997"/>
    <n v="65960.473639999997"/>
  </r>
  <r>
    <s v="APARTADO"/>
    <x v="2"/>
    <x v="2"/>
    <n v="5172"/>
    <n v="2676549"/>
    <n v="24683"/>
    <s v="INCIDENTE "/>
    <s v="ANTIOQUIA"/>
    <s v="CHIGORODO"/>
    <s v="ARRIO LINARES II CHIGORODO"/>
    <s v="REDEBAN"/>
    <s v="FO-25-1457453"/>
    <d v="2025-09-01T16:38:00"/>
    <d v="2025-09-02T11:35:00"/>
    <s v="NO"/>
    <s v="USUARIO"/>
    <s v="MANTENIMIENTO"/>
    <s v="MANTENIMIENTO GENERAL"/>
    <m/>
    <m/>
    <s v="CERRADO"/>
    <s v="01/09/2025 SE ESCALA PARA VISITA. LLAMAR ANTES DE VISITAR, CONFIRMAR FALLA Y DATOS | 02/09/2025 SOLUCIÓN FUE ATENDIDA CON RADICADO 2669221. DONDE SE REALIZO CAMBIO DEL DATAFONO QUE TENIA MALO LA LECTORA DE BARRAS."/>
    <s v="SOPORTE_TELEFÓNICO"/>
    <n v="0"/>
    <s v="TIPO II"/>
    <s v="TERRESTRE"/>
    <s v="CASTRO HENAO DANIEL ESTEBAN"/>
    <n v="0"/>
    <n v="0"/>
    <n v="0"/>
    <n v="0"/>
    <n v="37904.65408"/>
    <n v="37904.65408"/>
  </r>
  <r>
    <s v="TUNJA"/>
    <x v="1"/>
    <x v="1"/>
    <n v="15238"/>
    <n v="2674983"/>
    <n v="60168"/>
    <s v="INCIDENTE "/>
    <s v="BOYACA"/>
    <s v="DUITAMA"/>
    <s v="BARRIO SAN LUIS DUITAMA"/>
    <s v="REDEBAN"/>
    <s v="FO-25-1456898"/>
    <d v="2025-09-01T14:35:00"/>
    <d v="2025-09-02T13:29:00"/>
    <s v="NO"/>
    <s v="USUARIO"/>
    <s v="LECTOR DE BARRAS"/>
    <s v="ERROR PAGOS PARCIALES DE FACTURAS"/>
    <m/>
    <m/>
    <s v="CERRADO"/>
    <s v="01/09/2025 SE ESCALA PARA VISITA. LLAMAR ANTES DE VISITAR, CONFIRMAR FALLA Y DATOS | 02/09/2025 SE  REVISA LECTOR DE BARRAS  TRABAJANDO CORRECTAMENTE, SE LE INDICA AL CLIENTE EL PROBLEMA QUE TIENE CON LOS RECIBOS DE LA LUZ NO ES PROBLEMA DEL LECTOR SI NO DE LA  IMPRESIÓN DE LA FACTURA DE LALUZ ,DEBEN VALIDARLOS CON LA ENTIDAD DE LA EBSA , SE VALIDA CON LECTOR NUEVO DE BLACK  Y EL PROBLEMA PERSISTE , YA QUE FACTURAS ANTIGUAS LAS LEE CON FACILIDAD Y LA ACTUAL NO  ,DEJANDO PRUEBAS OK SIN TELECARGA NO AUTORIZADA"/>
    <s v="VISITA_TÉCNICA"/>
    <s v="NA00A479"/>
    <s v="TIPO II"/>
    <s v="TERRESTRE"/>
    <s v="ALVARADO MORENO CRISTHIAN"/>
    <n v="1"/>
    <n v="0"/>
    <n v="0"/>
    <n v="0"/>
    <n v="163813.55812"/>
    <n v="163813.55812"/>
  </r>
  <r>
    <s v="YOPAL"/>
    <x v="3"/>
    <x v="3"/>
    <n v="85001"/>
    <n v="2675354"/>
    <n v="81044"/>
    <s v="INCIDENTE "/>
    <s v="CASANARE"/>
    <s v="YOPAL"/>
    <s v="DISTRICOL COPIDESCUENTOS LA 30"/>
    <s v="REDEBAN"/>
    <s v="FO-25-1456894"/>
    <d v="2025-09-01T14:57:00"/>
    <d v="2025-09-02T09:50:00"/>
    <s v="NO"/>
    <s v="USUARIO"/>
    <s v="COMUNICACION"/>
    <s v="CONEXIONES DE COMERCIO"/>
    <m/>
    <m/>
    <s v="CERRADO"/>
    <s v="01/09/2025 SE ESCALA PARA VISITA. LLAMAR ANTES DE VISITAR, CONFIRMAR FALLA Y DATOS | 02/09/2025 EN COMUNICACIÓN CON LA SEÑORA ALEIDA MARTINEZ AL NUMERO 3219456099, INDICA SE ENCUENTRA OPERATIVO EL SERVICIO. YA FUE RESUELTO CONEXIONES INTERNAS DEL COMERCIO."/>
    <s v="SOPORTE_TELEFÓNICO"/>
    <n v="0"/>
    <s v="TIPO I"/>
    <s v="TERRESTRE"/>
    <s v="BERNAL ELAICA EDGAR ALEXIS"/>
    <n v="0"/>
    <n v="0"/>
    <n v="0"/>
    <n v="0"/>
    <n v="37904.65408"/>
    <n v="37904.65408"/>
  </r>
  <r>
    <s v="MEDELLIN"/>
    <x v="2"/>
    <x v="2"/>
    <n v="5001"/>
    <n v="2671434"/>
    <n v="25711"/>
    <s v="INCIDENTE "/>
    <s v="ANTIOQUIA"/>
    <s v="MEDELLIN"/>
    <s v="BARRIO POPULAR III MEDELLIN"/>
    <s v="REDEBAN"/>
    <s v="FO-25-1454118"/>
    <d v="2025-09-01T09:41:00"/>
    <d v="2025-09-01T15:05:00"/>
    <s v="NO"/>
    <s v="USUARIO"/>
    <s v="LECTOR DE TARJETAS"/>
    <s v="OBSTRUCCION DEL LECTOR"/>
    <m/>
    <m/>
    <s v="CERRADO"/>
    <s v="01/09/2025 SE ESCALA PARA VISITA. LLAMAR ANTES DE VISITAR, CONFIRMAR FALLA Y DATOS | 01/09/2025 LIMPIEZA DE LECTOR CHIP CON OBSTRUCCIÓN OK PRUEBAS OK"/>
    <s v="VISITA_TÉCNICA"/>
    <s v="A00MZ479"/>
    <s v="TIPO I"/>
    <s v="TERRESTRE"/>
    <s v="PAREJA ECHAVARRIA JHON DAVID"/>
    <n v="1"/>
    <n v="0"/>
    <n v="0"/>
    <n v="0"/>
    <n v="65960.473639999997"/>
    <n v="65960.473639999997"/>
  </r>
  <r>
    <s v="IBAGUE"/>
    <x v="3"/>
    <x v="3"/>
    <n v="73001"/>
    <n v="2671981"/>
    <n v="77766"/>
    <s v="INCIDENTE "/>
    <s v="TOLIMA"/>
    <s v="IBAGUE"/>
    <s v="DISTRICOL SKY VARIEDADES"/>
    <s v="REDEBAN"/>
    <s v="FO-25-1454092"/>
    <d v="2025-09-01T10:12:00"/>
    <d v="2025-09-02T09:17:00"/>
    <s v="NO"/>
    <s v="USUARIO"/>
    <s v="COMUNICACION"/>
    <s v="CONEXIONES DE COMERCIO"/>
    <m/>
    <m/>
    <s v="CERRADO"/>
    <s v="01/09/2025 SE ESCALA PARA VISITA. LLAMAR ANTES DE VISITAR, CONFIRMAR FALLA Y DATOS | 02/09/2025 SE VISITA EL SITIO EN LA DIRECCIÓN ASIGNADA, PERO EL COMERCIO NO EXISTE; SE VÁLIDA NÚMERO TELEFÓNICO 3176779937 SIN NINGÚN RESULTADO."/>
    <s v="VISITA_TÉCNICA"/>
    <s v="NONE"/>
    <s v="TIPO I"/>
    <s v="TERRESTRE"/>
    <s v="BARRAGAN TAFUR EDWIN ESTEBAN"/>
    <n v="1"/>
    <n v="0"/>
    <n v="0"/>
    <n v="0"/>
    <n v="65960.473639999997"/>
    <n v="65960.473639999997"/>
  </r>
  <r>
    <s v="BOGOTA"/>
    <x v="5"/>
    <x v="6"/>
    <n v="25326"/>
    <n v="2670989"/>
    <n v="29809"/>
    <s v="INCIDENTE "/>
    <s v="CUNDINAMARCA"/>
    <s v="GUATAVITA"/>
    <s v="BARRIO GUATAVITA CUNDINAMARCA"/>
    <s v="REDEBAN"/>
    <s v="FO-25-1453709"/>
    <d v="2025-09-01T09:20:00"/>
    <d v="2025-09-02T13:27:00"/>
    <s v="NO"/>
    <s v="USUARIO"/>
    <s v="MANTENIMIENTO"/>
    <s v="MANTENIMIENTO GENERAL"/>
    <m/>
    <m/>
    <s v="CERRADO"/>
    <s v="01/09/2025 SE ESCALA PARA VISITA. LLAMAR ANTES DE VISITAR, CONFIRMAR FALLA Y DATOS | 02/09/2025 SE VALIDA FUNCIONAMIENTO DEL DATAFONO SIN NOVEDAD, SE INDICA AL CLIENTE LA FORMA CORRECTA DE REALIZAR EL APAGADO DEL DATAFONO PARA EVITAR LA PERDIDA DE CARGA DE LA BATERÍA."/>
    <s v="VISITA_TÉCNICA"/>
    <s v="111YZ879"/>
    <s v="TIPO II"/>
    <s v="TERRESTRE"/>
    <s v="MURCIA HERNANDEZ HARVEY IGNACIO"/>
    <n v="1"/>
    <n v="0"/>
    <n v="0"/>
    <n v="0"/>
    <n v="163813.55812"/>
    <n v="163813.55812"/>
  </r>
  <r>
    <s v="CALI"/>
    <x v="0"/>
    <x v="0"/>
    <n v="76001"/>
    <n v="2670804"/>
    <n v="70111"/>
    <s v="INCIDENTE "/>
    <s v="VALLE DEL CAUCA"/>
    <s v="CALI"/>
    <s v="PTM CALI  LA OFICINA JC"/>
    <s v="REDEBAN"/>
    <s v="FO-25-1453497"/>
    <d v="2025-09-01T08:58:00"/>
    <d v="2025-09-01T12:25:00"/>
    <s v="NO"/>
    <s v="USUARIO"/>
    <s v="COMUNICACION"/>
    <s v="CONEXIONES DE COMERCIO"/>
    <m/>
    <m/>
    <s v="CERRADO"/>
    <s v="01/09/2025 SE ESCALA PARA VISITA. LLAMAR ANTES DE VISITAR, CONFIRMAR FALLA Y DATOS | 01/09/2025 SE LLAMA AL NÚMERO DE CONTACTO 3187294939 Y CONTESTA LA SEÑORA DIANA OROZCO E INFORMA QUE EL CORRESPONSAL SE ENCUENTRA OPERATIVO Y QUE EL DAÑO FUE POR CABLEADO INTERNO PERO QUE YA LO SOLUCIONARON. PIDE CERRAR CASO."/>
    <s v="SOPORTE_TELEFÓNICO"/>
    <n v="0"/>
    <s v="TIPO I"/>
    <s v="TERRESTRE"/>
    <s v="BOLAÑOS TABORDA JORGE ENRIQUE"/>
    <n v="0"/>
    <n v="0"/>
    <n v="0"/>
    <n v="0"/>
    <n v="37904.65408"/>
    <n v="37904.65408"/>
  </r>
  <r>
    <s v="BUCARAMANGA"/>
    <x v="1"/>
    <x v="1"/>
    <n v="68307"/>
    <n v="2670415"/>
    <n v="26929"/>
    <s v="INCIDENTE "/>
    <s v="SANTANDER"/>
    <s v="GIRON"/>
    <s v="BARRIO VILLAS DE SAN JUAN GIRO"/>
    <s v="REDEBAN"/>
    <s v="FO-25-1453121"/>
    <d v="2025-09-01T08:33:00"/>
    <d v="2025-09-01T14:28:00"/>
    <s v="NO"/>
    <s v="USUARIO"/>
    <s v="COMUNICACION"/>
    <s v="CONEXIONES DE COMERCIO"/>
    <m/>
    <m/>
    <s v="CERRADO"/>
    <s v="01/09/2025 SE ESCALA PARA VISITA. LLAMAR ANTES DE VISITAR, CONFIRMAR FALLA Y DATOS | 01/09/2025 EN COMUNICACIÓN CON AL MOVIL 3168068586, INDICA QUE EL EQUIPO YA ESTÁ OPERANDO CORRECTAMENTE Y NO REQUIERE D E LA VISITA TECNICA, INDICA QUE E O ES NECESARIO EL DESPLAZAMIENTO DEL PERSONAL TECNICO, SE LE INFORMA QUE DE PRESENTAR UNA NUEVA FALLA DEBERÁ LLAMAR AL BANCO Y SOLICITAR UNA NUEVA VISITA TECNICA."/>
    <s v="SOPORTE_TELEFÓNICO"/>
    <n v="0"/>
    <s v="TIPO I"/>
    <s v="TERRESTRE"/>
    <s v="SANTOS GONZALEZ JOHAN FABIAN"/>
    <n v="0"/>
    <n v="0"/>
    <n v="0"/>
    <n v="0"/>
    <n v="37904.65408"/>
    <n v="37904.65408"/>
  </r>
  <r>
    <s v="CARTAGENA"/>
    <x v="4"/>
    <x v="4"/>
    <n v="13052"/>
    <n v="2670529"/>
    <n v="79876"/>
    <s v="INCIDENTE "/>
    <s v="BOLIVAR"/>
    <s v="ARJONA"/>
    <s v="PTM ARJONA VARIEDADES Y PAPELE"/>
    <s v="REDEBAN"/>
    <s v="FO-25-1453093"/>
    <d v="2025-09-01T08:45:00"/>
    <d v="2025-09-02T09:48:00"/>
    <s v="NO"/>
    <s v="USUARIO"/>
    <s v="NO ENCIENDE"/>
    <s v="CONEXIONES DE COMERCIO"/>
    <m/>
    <m/>
    <s v="CERRADO"/>
    <s v="01/09/2025 SE ESCALA PARA VISITA. LLAMAR ANTES DE VISITAR, CONFIRMAR FALLA Y DATOS | 02/09/2025 BUEN DIA CLIENTE TENIA LA LECTORA DESCONECTADA LA CONECTA Y QUEDA OPERANDO"/>
    <s v="SOPORTE_TELEFÓNICO"/>
    <n v="0"/>
    <s v="TIPO II"/>
    <s v="TERRESTRE"/>
    <s v="MARTINEZ SALGUEDO ANDRES AUGUSTO"/>
    <n v="0"/>
    <n v="0"/>
    <n v="0"/>
    <n v="0"/>
    <n v="37904.65408"/>
    <n v="37904.65408"/>
  </r>
  <r>
    <s v="MEDELLIN"/>
    <x v="2"/>
    <x v="2"/>
    <n v="5148"/>
    <n v="2668709"/>
    <n v="62238"/>
    <s v="INCIDENTE "/>
    <s v="ANTIOQUIA"/>
    <s v="EL CARMEN DE VIBORAL"/>
    <s v="DISTRICOL SUPERMERCADO LAS LOM"/>
    <s v="REDEBAN"/>
    <s v="FO-25-1451277"/>
    <d v="2025-08-30T16:04:00"/>
    <d v="2025-09-01T13:29:00"/>
    <s v="NO"/>
    <s v="USUARIO"/>
    <s v="LECTOR DE TARJETAS"/>
    <s v="OBSTRUCCION DEL LECTOR"/>
    <m/>
    <m/>
    <s v="CERRADO"/>
    <s v="31/08/2025 SE ESCALA PARA VISITA. LLAMAR ANTES DE VISITAR, CONFIRMAR FALLA Y DATOS | 01/09/2025 SE REALIZÓ LIMPIEZA DE LECTOR CHIP"/>
    <s v="VISITA_TÉCNICA"/>
    <s v="MA00M514"/>
    <s v="TIPO II"/>
    <s v="TERRESTRE"/>
    <s v="CASTAÑEDA PALACIO CARLOS FELIPE"/>
    <n v="1"/>
    <n v="0"/>
    <n v="0"/>
    <n v="0"/>
    <n v="163813.55812"/>
    <n v="163813.55812"/>
  </r>
  <r>
    <s v="MANIZALES"/>
    <x v="0"/>
    <x v="5"/>
    <n v="17174"/>
    <n v="2668458"/>
    <n v="81128"/>
    <s v="INCIDENTE "/>
    <s v="CALDAS"/>
    <s v="CHINCHINA"/>
    <s v="BARRIO CENTRO CHINCHINA 13"/>
    <s v="REDEBAN"/>
    <s v="FO-25-1449699"/>
    <d v="2025-08-30T12:45:00"/>
    <d v="2025-09-01T12:08:00"/>
    <s v="NO"/>
    <s v="USUARIO"/>
    <s v="NO ENCIENDE"/>
    <s v="CONEXIONES DE COMERCIO"/>
    <m/>
    <m/>
    <s v="CERRADO"/>
    <s v="30/08/2025 SE ESCALA PARA VISITA. LLAMAR ANTES DE VISITAR, CONFIRMAR FALLA Y DATOS | 31/08/2025 SE VALIDA INCONVENIENTE, CLIENTE NO LABORA FIN DE SEMANA, SE VALIDARA VISITA A APARTIR DEL DIA LUNES | 01/09/2025 SE REALIZA VISITA, SE VALIDA QUE USUARIA DESCONECTA EN LAS NOCHES EL DATÁFONO SE LE INDICA A USUARIO QUE DATAFONO DEBE DE PERMANECER CONECTADO A LA ENERGIA YA QUE SI NO ES ASI LA BATERIA SE DESCARGA Y LE PRESENTA ESTAS FALLAS MIENTRAS VUELVE A CARGAR LA BATERIA, SE HACEN PRUEBAS SERVICIO OK"/>
    <s v="VISITA_TÉCNICA"/>
    <s v="SIZZZ887"/>
    <s v="TIPO II"/>
    <s v="TERRESTRE"/>
    <s v="AGUIRRE HENAO RAUL EDUARDO"/>
    <n v="1"/>
    <n v="0"/>
    <n v="0"/>
    <n v="0"/>
    <n v="163813.55812"/>
    <n v="163813.55812"/>
  </r>
  <r>
    <s v="BARRANQUILLA"/>
    <x v="4"/>
    <x v="4"/>
    <n v="8372"/>
    <n v="2668267"/>
    <n v="78958"/>
    <s v="INCIDENTE "/>
    <s v="ATLANTICO"/>
    <s v="JUAN DE ACOSTA"/>
    <s v="BARRIO CENTTRO JUAN DE ACOSTA"/>
    <s v="REDEBAN"/>
    <s v="FO-25-1449693"/>
    <d v="2025-08-30T12:46:00"/>
    <d v="2025-09-01T11:39:00"/>
    <s v="NO"/>
    <s v="USUARIO"/>
    <s v="MANTENIMIENTO"/>
    <s v="MANTENIMIENTO GENERAL"/>
    <m/>
    <m/>
    <s v="CERRADO"/>
    <s v="30/08/2025 SE ESCALA PARA VISITA. LLAMAR ANTES DE VISITAR, CONFIRMAR FALLA Y DATOS | 01/09/2025 CLIENTE MANIFIESTA QUE NO IMPRIME BAUCHER.  SE REALIZAN PRUEBAS DE CORRECTO FUNCIONAMIENTO Y SE LE EXPLICA QUE ESE DÍA S EL COLOR NORMAL DE LA IMPRESIÓN"/>
    <s v="VISITA_TÉCNICA"/>
    <s v="FASZZ028"/>
    <s v="TIPO II"/>
    <s v="TERRESTRE"/>
    <s v="VILLACOB VILLACOB ELKIN EDUARDO"/>
    <n v="1"/>
    <n v="0"/>
    <n v="0"/>
    <n v="0"/>
    <n v="163813.55812"/>
    <n v="163813.55812"/>
  </r>
  <r>
    <s v="NEIVA"/>
    <x v="3"/>
    <x v="3"/>
    <n v="41001"/>
    <n v="2668098"/>
    <n v="81170"/>
    <s v="INCIDENTE "/>
    <s v="HUILA"/>
    <s v="NEIVA"/>
    <s v="BARRIO LOS CAMBULOS NEIVA 1"/>
    <s v="REDEBAN"/>
    <s v="FO-25-1449271"/>
    <d v="2025-08-30T11:10:00"/>
    <d v="2025-09-01T12:37:00"/>
    <s v="NO"/>
    <s v="USUARIO"/>
    <s v="MANTENIMIENTO"/>
    <s v="MANTENIMIENTO GENERAL"/>
    <m/>
    <m/>
    <s v="CERRADO"/>
    <s v="30/08/2025 SE ESCALA PARA VISITA. LLAMAR ANTES DE VISITAR, CONFIRMAR FALLA Y DATOS | 31/08/2025 SIN SOPORTE POR PARTE DE REDEBAN SÁBADO Y DOMINGO._x000a_SE INFORMA A LA CLIENTE COMENTANDO QUE SE DARÁ ATENCIÓN EL DÍA LUNES. | 01/09/2025 SE PIDE REALIZAR CIERRES , SE FORMATEA ,CONFIGURA E INICIALIZA, SE CREA USUARIO Y CLAVE CON EL CLIENTE, SE REALIZA PRUEBAS DE RETIRO OK"/>
    <s v="VISITA_TÉCNICA"/>
    <s v="VBZZZ271"/>
    <s v="TIPO I"/>
    <s v="TERRESTRE"/>
    <s v="ANDRADE HERNANDEZ JUAN CARLOS"/>
    <n v="1"/>
    <n v="0"/>
    <n v="0"/>
    <n v="0"/>
    <n v="65960.473639999997"/>
    <n v="65960.473639999997"/>
  </r>
  <r>
    <s v="CALI"/>
    <x v="0"/>
    <x v="0"/>
    <n v="76126"/>
    <n v="2665925"/>
    <n v="45910"/>
    <s v="INCIDENTE "/>
    <s v="VALLE DEL CAUCA"/>
    <s v="CALIMA"/>
    <s v="BARRIO CENTRO CALIMA 1"/>
    <s v="REDEBAN"/>
    <s v="FO-25-1445737"/>
    <d v="2025-08-29T14:52:00"/>
    <d v="2025-09-01T15:14:00"/>
    <s v="NO"/>
    <s v="USUARIO"/>
    <s v="COMUNICACION"/>
    <s v="CANAL DEL COMERCIO"/>
    <m/>
    <m/>
    <s v="CERRADO"/>
    <s v="29/08/2025 SE ESCALA PARA VISITA. LLAMAR ANTES DE VISITAR, CONFIRMAR FALLA Y DATOS | 30/08/2025 SE REPROGRAMA VISITA POR DISPONIBILIDAD DE TRANSPORTE INTERMUNICIPAL PARA VIAJAR A CALIMA DARIÉN | 01/09/2025 SE ENCONTRÓ EQUIPO CON ERROR DE CONEXION POR CONFIGURACIÓN DE IP, SE DEJA EL EQUIPO POR DHCP Y TODO QUEDA OK, CB BANCOLOMBIA PURO, PRUEBAS OK"/>
    <s v="VISITA_TÉCNICA"/>
    <s v="XRZZZ662"/>
    <s v="TIPO II"/>
    <s v="TERRESTRE"/>
    <s v="PAREDES CASTILLO DIEGO"/>
    <n v="1"/>
    <n v="0"/>
    <n v="0"/>
    <n v="0"/>
    <n v="163813.55812"/>
    <n v="163813.55812"/>
  </r>
  <r>
    <s v="MEDELLIN"/>
    <x v="2"/>
    <x v="2"/>
    <n v="5120"/>
    <n v="2664288"/>
    <n v="71084"/>
    <s v="INCIDENTE "/>
    <s v="ANTIOQUIA"/>
    <s v="CACERES"/>
    <s v="DISTRICOL TIENDA DE SENTIMIENT"/>
    <s v="REDEBAN"/>
    <s v="FO-25-1444245"/>
    <d v="2025-08-29T11:28:00"/>
    <d v="2025-09-01T15:19:00"/>
    <s v="NO"/>
    <s v="USUARIO"/>
    <s v="COMUNICACION"/>
    <s v="CONEXIONES DE COMERCIO"/>
    <m/>
    <m/>
    <s v="CERRADO"/>
    <s v="29/08/2025 SE ESCALA PARA VISITA. LLAMAR ANTES DE VISITAR, CONFIRMAR FALLA Y DATOS | 01/09/2025 SE HABLA CON SEÑOR FERNANDO, NOS INFORMA QUE CB ESTÁ OPERATIVO, PROBLEMA DE CONEXION YA SE SOLUCIONÓ. SE CIERRA INCIDENTE."/>
    <s v="SOPORTE_TELEFÓNICO"/>
    <n v="0"/>
    <s v="TIPO IV"/>
    <s v="TERRESTRE"/>
    <s v="HERNANDEZ CHAVARRIA JUAN CAMILO"/>
    <n v="0"/>
    <n v="0"/>
    <n v="0"/>
    <n v="0"/>
    <n v="37904.65408"/>
    <n v="37904.65408"/>
  </r>
  <r>
    <s v="PASTO"/>
    <x v="0"/>
    <x v="0"/>
    <n v="86865"/>
    <n v="2662204"/>
    <n v="50666"/>
    <s v="INCIDENTE "/>
    <s v="PUTUMAYO"/>
    <s v="VALLE DEL GUAMUEZ"/>
    <s v="PTM  VALLE DEL GUAMUEZ DROGUER"/>
    <s v="REDEBAN"/>
    <s v="FO-25-1442066"/>
    <d v="2025-08-29T08:12:00"/>
    <d v="2025-09-03T09:00:00"/>
    <s v="NO"/>
    <s v="USUARIO"/>
    <s v="CIERRE"/>
    <s v="COMERCIO NO REALIZA CIERRE"/>
    <m/>
    <m/>
    <s v="CERRADO"/>
    <s v="29/08/2025 SE ESCALA PARA VISITA. LLAMAR ANTES DE VISITAR, CONFIRMAR FALLA Y DATOS | 01/09/2025 SE ESTA EN DESPLAZAMIENTO AL SITIO, DADO PROBLEMAS EN LA VIA, CIERRE, SE LOGRA DEPLAZAMIENTO EL DIA DE HOY Y SE ESTA EN TRANSITO AL MUNICIPIO | 03/09/2025 SE REALIZA COMUNICACIÓN TELEFÓNICA CON LA CLIENTE E INFORMA QUE CUANDO SE COMUNICÓ A PEDIR VISITA TÉCNICA LE DIERON UNOS PASOS Y DESDE ESE DÍA EL DATAFONO YA ESTÁ HACIENDO EL CIERRE DE MANERA CORRECTA. CLIENTE INDICA QUE NO ES NECESARIO VISITAR"/>
    <s v="SOPORTE_TELEFÓNICO"/>
    <n v="0"/>
    <s v="TIPO IV"/>
    <s v="TERRESTRE"/>
    <s v="CASTILLO HERRERA ALEX RICARDO"/>
    <n v="0"/>
    <n v="0"/>
    <n v="0"/>
    <n v="0"/>
    <n v="37904.65408"/>
    <n v="37904.65408"/>
  </r>
  <r>
    <m/>
    <x v="6"/>
    <x v="7"/>
    <m/>
    <m/>
    <m/>
    <m/>
    <m/>
    <m/>
    <m/>
    <m/>
    <m/>
    <m/>
    <m/>
    <m/>
    <m/>
    <m/>
    <m/>
    <m/>
    <m/>
    <m/>
    <m/>
    <m/>
    <m/>
    <m/>
    <m/>
    <m/>
    <m/>
    <m/>
    <m/>
    <m/>
    <m/>
    <n v="20457073.923520003"/>
  </r>
  <r>
    <m/>
    <x v="6"/>
    <x v="7"/>
    <m/>
    <m/>
    <m/>
    <m/>
    <m/>
    <m/>
    <m/>
    <m/>
    <m/>
    <m/>
    <m/>
    <m/>
    <m/>
    <m/>
    <m/>
    <m/>
    <m/>
    <m/>
    <m/>
    <m/>
    <m/>
    <m/>
    <m/>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
  <r>
    <s v="YOPAL"/>
    <x v="0"/>
    <x v="0"/>
    <n v="85001"/>
    <n v="14097142"/>
    <n v="62204"/>
    <s v="ORDEN DE CAMBIO"/>
    <s v="CASANARE"/>
    <s v="YOPAL"/>
    <s v="BARRIO 20 DE JULIO YOPAL 1"/>
    <s v="REDEBAN"/>
    <s v="FO-25-1572244"/>
    <d v="2025-09-23T08:00:00"/>
    <d v="2025-09-29T17:20:00"/>
    <m/>
    <s v="TRASLADO"/>
    <s v="TRASLADO EXTERNO"/>
    <s v="CB UNO A UNO"/>
    <s v="CB UNO A UNO"/>
    <s v="EJECUTADO_CANCELADO"/>
    <s v="DIRECCION ERRADA"/>
    <s v="29/09/2025 SE LLEGA AL COMERCIO SE PREGUNTA NO CONOCEN AL CLIENTE SE LLAMA E INDICA DONDE ESTA EL COMERCIO SE VALIDA QUE LA DIRECCIÓN SE ENCUENTRA ERRADA DIRECCIÓN CORRECTA ES CLL 6 # 19 70"/>
    <s v="VISITA_TÉCNICA"/>
    <n v="0"/>
    <s v="TIPO I"/>
    <s v="TERRESTRE"/>
    <s v="ROZO JIMENEZ EDGAR ARMANDO"/>
    <n v="1"/>
    <n v="0"/>
    <n v="0"/>
    <n v="0"/>
    <n v="65960.473639999997"/>
    <n v="65960.473639999997"/>
  </r>
  <r>
    <s v="APARTADO"/>
    <x v="1"/>
    <x v="1"/>
    <n v="5837"/>
    <n v="14066377"/>
    <n v="39220"/>
    <s v="ORDEN DE CAMBIO"/>
    <s v="ANTIOQUIA"/>
    <s v="TURBO"/>
    <s v="BARRIO TURBO TURBO"/>
    <s v="REDEBAN"/>
    <s v="FO-25-1572233"/>
    <d v="2025-09-23T08:00:00"/>
    <d v="2025-09-29T13:25:00"/>
    <m/>
    <s v="TRASLADO"/>
    <s v="TRASLADO EXTERNO"/>
    <s v="CB UNO A UNO"/>
    <s v="CB UNO A UNO"/>
    <s v="EJECUTADO_CANCELADO"/>
    <s v="PETICIÓN USUARIO"/>
    <s v="29/09/2025 CLIENTE NO SE ENCUENTRA EN DIRECCION, EN LLAMADA TELEFÓNICA INDICA QUE ESTARIA NUEVAMENTE EN DIRECCION EL VIERNES YA QUE SE ENCUENTRA EN MEDELLÍN"/>
    <s v="VISITA_TÉCNICA"/>
    <n v="0"/>
    <s v="TIPO II"/>
    <s v="TERRESTRE"/>
    <s v="CASTRO HENAO DANIEL ESTEBAN"/>
    <n v="1"/>
    <n v="0"/>
    <n v="0"/>
    <n v="0"/>
    <n v="163813.55812"/>
    <n v="163813.55812"/>
  </r>
  <r>
    <s v="NEIVA"/>
    <x v="0"/>
    <x v="0"/>
    <n v="41001"/>
    <n v="14028037"/>
    <n v="80793"/>
    <s v="ORDEN DE CAMBIO"/>
    <s v="HUILA"/>
    <s v="NEIVA"/>
    <s v="BARRIO CARACOLI NEIVA"/>
    <s v="REDEBAN"/>
    <s v="FO-25-1546052"/>
    <d v="2025-09-17T17:16:00"/>
    <d v="2025-09-18T15:29:00"/>
    <m/>
    <s v="TRASLADO"/>
    <s v="TRASLADO EXTERNO"/>
    <s v="UNO A UNO"/>
    <s v="UNO A UNO"/>
    <s v="EJECUTADO_CANCELADO"/>
    <s v="CB CON EFECTY"/>
    <s v="18/09/2025 SE REALIZA VISITA A LA DIRECCIÓN A TRASLADAR  SE EVIDENCIA EN PUNTO A TRASLADAR FUNCIONA UN EFECTY , POR POLÍTICAS DE BANCOLOMBIA NO SE REALIZA TRALSADO."/>
    <s v="VISITA_TÉCNICA"/>
    <n v="0"/>
    <s v="TIPO I"/>
    <s v="TERRESTRE"/>
    <s v="DEVIA REINOSO JUAN CARLOS"/>
    <n v="1"/>
    <n v="0"/>
    <n v="0"/>
    <n v="0"/>
    <n v="65960.473639999997"/>
    <n v="65960.473639999997"/>
  </r>
  <r>
    <s v="NEIVA"/>
    <x v="0"/>
    <x v="0"/>
    <n v="41396"/>
    <n v="14055543"/>
    <n v="68222"/>
    <s v="ORDEN DE CAMBIO"/>
    <s v="HUILA"/>
    <s v="LA PLATA"/>
    <s v="DISTRICOL PAGO SERVIS LA POLA"/>
    <s v="REDEBAN"/>
    <s v="FO-25-1542401"/>
    <d v="2025-09-15T12:23:00"/>
    <d v="2025-09-18T13:26:00"/>
    <m/>
    <s v="TRASLADO"/>
    <s v="TRASLADO EXTERNO"/>
    <s v="AGREGADOR"/>
    <s v="DISTRICOL"/>
    <s v="EJECUTADO_CANCELADO"/>
    <s v="PETICIÓN RED"/>
    <s v="18/09/2025 SE LLEGA A LA DIRECCIÓN REPORTADA EN LA ORDEN , NO HAY NADIES EN EL COMERCIO, SE CANCELA ACTIVIDAD UNA VEZ CLIENTE CONFIRMA DIRECCIÓN DEBIDO QUE SE EVIDENCIA MARCA COMPARTIDA ."/>
    <s v="VISITA_TÉCNICA"/>
    <n v="0"/>
    <s v="TIPO III"/>
    <s v="TERRESTRE"/>
    <s v="ANDRADE HERNANDEZ JUAN CARLOS"/>
    <n v="1"/>
    <n v="0"/>
    <n v="0"/>
    <n v="0"/>
    <n v="275728.37943999999"/>
    <n v="275728.37943999999"/>
  </r>
  <r>
    <s v="SINCELEJO"/>
    <x v="2"/>
    <x v="2"/>
    <n v="70001"/>
    <n v="13981662"/>
    <n v="77578"/>
    <s v="ORDEN DE CAMBIO"/>
    <s v="SUCRE"/>
    <s v="SINCELEJO"/>
    <s v="BARRIO CENTRO SINCELEJO 24"/>
    <s v="REDEBAN"/>
    <s v="FO-25-1514035"/>
    <d v="2025-09-10T17:12:00"/>
    <d v="2025-09-17T16:27:00"/>
    <m/>
    <s v="TRASLADO"/>
    <s v="TRASLADO EXTERNO"/>
    <s v="CB UNO A UNO"/>
    <s v="CB UNO A UNO"/>
    <s v="EJECUTADO_CANCELADO"/>
    <s v="DIRECCION ERRADA"/>
    <s v="17/09/2025 SE REALIZA VISITA PARA TRASLADO DEL CB 77578, PERO SE EVIDENCIA EN SITIO QUE EL COMERCIO TIENE FACHADA CON NOMBRE DE OTRO COMERCIO, ADICIONAL LA DIRECCIÓN QUE VIENE EN LA ORDEN Y CÁMARA DE COMERCIO NO COINCIDE CR 21 # 36 - 7 BL 3 TO 1 LC B11 CON LA DE LA CALLE EN LA QUE ESTÁ, PUES SE VALIDA DIRECCIÓN DEL CB 25634 Y ES CL 38 M A B 18 32. SE ESCALÓ CASO A LA RED Y LA RESPUESTA ES CANCELAR EL TRASLADO."/>
    <s v="VISITA_TÉCNICA"/>
    <n v="0"/>
    <s v="TIPO I"/>
    <s v="TERRESTRE"/>
    <s v="SANTOS GUZMAN CHRISTIAN FELIPE"/>
    <n v="1"/>
    <n v="0"/>
    <n v="0"/>
    <n v="0"/>
    <n v="65960.473639999997"/>
    <n v="65960.473639999997"/>
  </r>
  <r>
    <s v="BOGOTA"/>
    <x v="3"/>
    <x v="3"/>
    <n v="11001"/>
    <n v="13984507"/>
    <n v="32053"/>
    <s v="ORDEN DE CAMBIO"/>
    <s v="CUNDINAMARCA"/>
    <s v="BOGOTA"/>
    <s v="BARRIO RESTREPO 13 BOGOTA"/>
    <s v="REDEBAN"/>
    <s v="FO-25-1514047"/>
    <d v="2025-09-10T17:12:00"/>
    <d v="2025-09-13T12:26:00"/>
    <m/>
    <s v="TRASLADO"/>
    <s v="TRASLADO EXTERNO"/>
    <s v="CB UNO A UNO"/>
    <s v="CB UNO A UNO"/>
    <s v="EJECUTADO_CANCELADO"/>
    <s v="PETICIÓN BANCOLOMBIA"/>
    <s v="17/09/2025 DURANTE LA VISITA TÉCNICA PARA REALIZAR TRASLADO DE CORRESPONSAL AL LLEGAR SE EVIDENCIA QUE CORRESPONSAL BANCARIO SE ENCUENTRA CERRADO SE PROCEDE A LLAMAR AL CLIENTE EL CUAL NOS INDICA QUE ESTÁ POR LLEGAR, SE REALIZA DE IGUAL MANERA LA VALIDACIÓN DE CERCANÍA CON OTROS CORRESPONSALES, ENCONTRANDO QUE TENEMOS PROXIMIDAD CON UN CORRESPONSAL DE ALIANZA PTM DE NÚMERO 62060 A MENOS 20 METROS, SE REALIZA ESCALAMIENTO A RBM EN DONDE NOS INDICAN CANCELAR LA ACTIVIDAD A PETICIÓN DE LA ENTIDAD BANCARIA, SE BRINDA INFORMACIÓN A COMERCIO. SE PROCEDE A REALIZAR CIERRE DE LA ACTIVIDAD"/>
    <s v="VISITA_TÉCNICA"/>
    <n v="0"/>
    <s v="TIPO I"/>
    <s v="TERRESTRE"/>
    <s v="GALEANO SORIANO JUAN DAVID"/>
    <n v="1"/>
    <n v="0"/>
    <n v="0"/>
    <n v="0"/>
    <n v="65960.473639999997"/>
    <n v="65960.473639999997"/>
  </r>
  <r>
    <s v="MEDELLIN"/>
    <x v="1"/>
    <x v="1"/>
    <n v="5001"/>
    <n v="14011980"/>
    <n v="76177"/>
    <s v="ORDEN DE CAMBIO"/>
    <s v="ANTIOQUIA"/>
    <s v="MEDELLIN"/>
    <s v="PTM MEDELLIN MYCELL MEDELLIN"/>
    <s v="REDEBAN"/>
    <s v="FO-25-1503416"/>
    <d v="2025-09-09T09:23:00"/>
    <d v="2025-09-10T14:18:00"/>
    <m/>
    <s v="TRASLADO"/>
    <s v="TRASLADO EXTERNO"/>
    <s v="AGREGADOR"/>
    <s v="COMCARD - PTM"/>
    <s v="EJECUTADO_CANCELADO"/>
    <s v="PETICIÓN USUARIO"/>
    <s v="10/09/2025 SE LLEGA PUNTO Y CLIENTE INDICA QUE SE SOLICITÓ EL TRASLADO PERO EL CC AUN NO LE A ENTREGADO EL LOCAL, EL TEMA YA ESTA ESCALADO CON PTM Y SE ESTA A LA ESPERA"/>
    <s v="VISITA_TÉCNICA"/>
    <n v="0"/>
    <s v="TIPO I"/>
    <s v="TERRESTRE"/>
    <s v="BADEL ACUÑA LUIS ALBERTO"/>
    <n v="1"/>
    <n v="0"/>
    <n v="0"/>
    <n v="0"/>
    <n v="65960.473639999997"/>
    <n v="65960.473639999997"/>
  </r>
  <r>
    <s v="BUCARAMANGA"/>
    <x v="4"/>
    <x v="4"/>
    <n v="13688"/>
    <n v="14012829"/>
    <n v="73893"/>
    <s v="ORDEN DE CAMBIO"/>
    <s v="BOLIVAR"/>
    <s v="SANTA ROSA DEL SUR"/>
    <s v="DISTRICOL PENAS BISTRO"/>
    <s v="REDEBAN"/>
    <s v="FO-25-1503431"/>
    <d v="2025-09-09T09:23:00"/>
    <d v="2025-09-12T12:30:00"/>
    <m/>
    <s v="TRASLADO"/>
    <s v="TRASLADO EXTERNO"/>
    <s v="AGREGADOR"/>
    <s v="DISTRICOL"/>
    <s v="EJECUTADO_CANCELADO"/>
    <s v="DIRECCION ERRADA"/>
    <s v="12/09/2025 SE LLEGA AL SITIO POR INDICACIO DE RBM  DIRECCION:CR 12 #11 80 PERO NO CONCUERDA NO EXISTE  , EN COMUNICACIÓN CON LA USUARIA INDICA QUE ES POR LA CALLE 12# 11  ; SE LLEGA AL PUNTO DONDE SE LE INDICA AL CLIENTE QUE ESA DIRECCIÓN NO CONCUERDA CON LA ORDEN , CLIENTE INDICA QUE ESTÁ MAL LA INFORMACIÓN QUE ELLOS SE VAN A COMUNICAR CON LA ALIANZA DISTRICOL PARA QUE ACTUALICEN LA INFORMACIÓN DE LA CAMARA DE COMERCIO, CLIENTE INDICA QUE POR EL MOMENTO CONTINÚA EN LA DIRECCIÓN ANTIGUA Y QUE APENAS TENGA LA AUTORIZACIÓN DE DISTRICOL SE COMUNICA NUEVAMENTE , CASI FUE ESCALADO CON COORDINADOR DE ZONA DONDE INDICA CANCELAR TRASLADO"/>
    <s v="VISITA_TÉCNICA"/>
    <n v="0"/>
    <s v="TIPO IV ESPECIAL"/>
    <s v="TERRESTRE/FLUVIAL"/>
    <s v="HERRERA LUQUE SAUL JAVIER"/>
    <n v="1"/>
    <n v="0"/>
    <n v="0"/>
    <n v="0"/>
    <n v="479589.73656000005"/>
    <n v="479589.73656000005"/>
  </r>
  <r>
    <s v="YOPAL"/>
    <x v="0"/>
    <x v="0"/>
    <n v="85001"/>
    <n v="14012940"/>
    <n v="73661"/>
    <s v="ORDEN DE CAMBIO"/>
    <s v="CASANARE"/>
    <s v="YOPAL"/>
    <s v="DISTRICOL GRUPO GARYED SAS"/>
    <s v="REDEBAN"/>
    <s v="FO-25-1503436"/>
    <d v="2025-09-09T09:23:00"/>
    <d v="2025-09-09T16:17:00"/>
    <m/>
    <s v="TRASLADO"/>
    <s v="TRASLADO EXTERNO"/>
    <s v="AGREGADOR"/>
    <s v="DISTRICOL"/>
    <s v="GESTIÓN_TELEFONICA"/>
    <s v="CANCELADO POR EL USUARIO"/>
    <s v="09/09/2025 SE INTENTA COMUNICACIÓN AL NÚMERO 3103396539 PERO NO HAY RESPUESTA Y TAMPOCO POR WHATSAPP, SE ESCALA PARA VISITA POR FAVOR LLAMAR ANTES DE DESPLAZARSE"/>
    <s v="SOPORTE_TELEFÓNICO"/>
    <n v="0"/>
    <s v="TIPO I"/>
    <s v="TERRESTRE"/>
    <s v="BERNAL ELAICA EDGAR ALEXIS"/>
    <n v="0"/>
    <n v="0"/>
    <n v="0"/>
    <n v="0"/>
    <n v="37904.65408"/>
    <n v="37904.65408"/>
  </r>
  <r>
    <s v="MEDELLIN"/>
    <x v="1"/>
    <x v="1"/>
    <n v="5001"/>
    <n v="13963693"/>
    <n v="51338"/>
    <s v="ORDEN DE CAMBIO"/>
    <s v="ANTIOQUIA"/>
    <s v="MEDELLIN"/>
    <s v="PTM MEDELLIN  MERCADOS SUAREZ"/>
    <s v="REDEBAN"/>
    <s v="FO-25-1456174"/>
    <d v="2025-09-01T10:55:00"/>
    <d v="2025-09-03T11:57:00"/>
    <m/>
    <s v="TRASLADO"/>
    <s v="TRASLADO EXTERNO"/>
    <s v="AGREGADOR"/>
    <s v="COMCARD - PTM"/>
    <s v="EJECUTADO_CANCELADO"/>
    <s v="OC REPETIDA"/>
    <s v="03/09/2025 SE LLEGA AL PUNTO Y SE VERIFICA QUE EL TRASLADO YA FUE REALIZADO ANTERIORMENTE"/>
    <s v="VISITA_TÉCNICA"/>
    <n v="0"/>
    <s v="TIPO I"/>
    <s v="TERRESTRE"/>
    <s v="BADEL ACUÑA LUIS ALBERTO"/>
    <n v="1"/>
    <n v="0"/>
    <n v="0"/>
    <n v="0"/>
    <n v="65960.473639999997"/>
    <n v="65960.473639999997"/>
  </r>
  <r>
    <s v="BOGOTA"/>
    <x v="3"/>
    <x v="3"/>
    <n v="11001"/>
    <n v="13963793"/>
    <n v="78672"/>
    <s v="ORDEN DE CAMBIO"/>
    <s v="CUNDINAMARCA"/>
    <s v="BOGOTA"/>
    <s v="PTM BOGOTA COMERCIALIZADORA Y"/>
    <s v="REDEBAN"/>
    <s v="FO-25-1456154"/>
    <d v="2025-09-01T10:55:00"/>
    <d v="2025-09-02T15:51:00"/>
    <m/>
    <s v="TRASLADO"/>
    <s v="TRASLADO EXTERNO"/>
    <s v="AGREGADOR"/>
    <s v="COMCARD - PTM"/>
    <s v="EJECUTADO_CANCELADO"/>
    <s v="DIRECCION ERRADA"/>
    <s v="02/09/2025 SE VISITA CB POR TRASLADO DE PUNTO AL LLEGAR A LA DIRECCIÓN DE LA ORDEN CR 11 S#40-03 SUR ESTÁ NO EXISTE , SE PROCEDE A CONTACTAR A CLIENTE QUIÉN CONFIRMA DIRECCIÓN REAL COMO CR 11F#40-03 SUR SE INDICA A CLIENTE QUE ES NECESARIO ACTUALIZAR LA INFORMACIÓN Y SOLICITAR NUEVAMENTE EL TRASLADO SE VISITA A CLIENTE EN DIRECCIÓN REAL DONDE DEBE REALIZARSE EL TRASLADO Y SE FINALIZA ACTIVIDAD SMAS NOVEDAD"/>
    <s v="VISITA_TÉCNICA"/>
    <n v="0"/>
    <s v="TIPO I"/>
    <s v="TERRESTRE"/>
    <s v="ROMERO ROJAS BREIDY JHOHAN"/>
    <n v="1"/>
    <n v="0"/>
    <n v="0"/>
    <n v="0"/>
    <n v="65960.473639999997"/>
    <n v="65960.473639999997"/>
  </r>
  <r>
    <s v="CALI"/>
    <x v="5"/>
    <x v="5"/>
    <n v="76001"/>
    <n v="13967173"/>
    <n v="44824"/>
    <s v="ORDEN DE CAMBIO"/>
    <s v="VALLE DEL CAUCA"/>
    <s v="CALI"/>
    <s v="DISTRICOL D Y M INTERCOMUNICAC"/>
    <s v="REDEBAN"/>
    <s v="FO-25-1456172"/>
    <d v="2025-09-01T10:55:00"/>
    <d v="2025-09-02T13:13:00"/>
    <m/>
    <s v="TRASLADO"/>
    <s v="TRASLADO EXTERNO"/>
    <s v="AGREGADOR"/>
    <s v="DISTRICOL"/>
    <s v="EJECUTADO_CANCELADO"/>
    <s v="PETICIÓN BANCOLOMBIA"/>
    <s v="02/09/2025 SE REALIZA VISITA AL COMERCIO PARA REALIZAR EL TRASLADO, PERO SE ENCUENTRA QUE EN EL MISMO COMERCIO SE ENCUENTRA PUBLICIDAD O CB DEL GRUPO AVAL._x000a_‎POR LO QUE NO SE REALIZA EL TRASLADO Y SE LE INFORMA A EL CLIENTE."/>
    <s v="VISITA_TÉCNICA"/>
    <n v="0"/>
    <s v="TIPO I"/>
    <s v="TERRESTRE"/>
    <s v="TORRES GARCIA JENDRY JOSE"/>
    <n v="1"/>
    <n v="0"/>
    <n v="0"/>
    <n v="0"/>
    <n v="65960.473639999997"/>
    <n v="65960.473639999997"/>
  </r>
  <r>
    <m/>
    <x v="6"/>
    <x v="6"/>
    <m/>
    <m/>
    <m/>
    <m/>
    <m/>
    <m/>
    <m/>
    <m/>
    <m/>
    <m/>
    <m/>
    <m/>
    <m/>
    <m/>
    <m/>
    <m/>
    <m/>
    <m/>
    <m/>
    <m/>
    <m/>
    <m/>
    <m/>
    <m/>
    <m/>
    <m/>
    <m/>
    <m/>
    <m/>
    <n v="1484720.11732"/>
  </r>
  <r>
    <m/>
    <x v="6"/>
    <x v="6"/>
    <m/>
    <m/>
    <m/>
    <m/>
    <m/>
    <m/>
    <m/>
    <m/>
    <m/>
    <m/>
    <m/>
    <m/>
    <m/>
    <m/>
    <m/>
    <m/>
    <m/>
    <m/>
    <m/>
    <m/>
    <m/>
    <m/>
    <m/>
    <m/>
    <m/>
    <m/>
    <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
  <r>
    <x v="0"/>
    <n v="268820.77912000002"/>
  </r>
  <r>
    <x v="1"/>
    <n v="599219.42092000006"/>
  </r>
  <r>
    <x v="2"/>
    <n v="509369.01616"/>
  </r>
  <r>
    <x v="3"/>
    <n v="89119.969600000011"/>
  </r>
  <r>
    <x v="4"/>
    <n v="44559.984800000006"/>
  </r>
  <r>
    <x v="5"/>
    <n v="1511089.1706000001"/>
  </r>
  <r>
    <x v="6"/>
    <n v="0"/>
  </r>
  <r>
    <x v="5"/>
    <m/>
  </r>
  <r>
    <x v="5"/>
    <m/>
  </r>
  <r>
    <x v="5"/>
    <m/>
  </r>
  <r>
    <x v="5"/>
    <m/>
  </r>
  <r>
    <x v="5"/>
    <m/>
  </r>
  <r>
    <x v="7"/>
    <m/>
  </r>
  <r>
    <x v="8"/>
    <n v="817097.79435999994"/>
  </r>
  <r>
    <x v="0"/>
    <n v="2430911.1460799999"/>
  </r>
  <r>
    <x v="9"/>
    <n v="2834623.9203600003"/>
  </r>
  <r>
    <x v="1"/>
    <n v="4540723.2251599971"/>
  </r>
  <r>
    <x v="2"/>
    <n v="3676284.7469999995"/>
  </r>
  <r>
    <x v="3"/>
    <n v="4596939.2121599987"/>
  </r>
  <r>
    <x v="4"/>
    <n v="1560493.8783999998"/>
  </r>
  <r>
    <x v="5"/>
    <m/>
  </r>
  <r>
    <x v="5"/>
    <m/>
  </r>
  <r>
    <x v="5"/>
    <m/>
  </r>
  <r>
    <x v="5"/>
    <m/>
  </r>
  <r>
    <x v="5"/>
    <m/>
  </r>
  <r>
    <x v="5"/>
    <m/>
  </r>
  <r>
    <x v="7"/>
    <m/>
  </r>
  <r>
    <x v="0"/>
    <n v="65960.473639999997"/>
  </r>
  <r>
    <x v="9"/>
    <n v="65960.473639999997"/>
  </r>
  <r>
    <x v="1"/>
    <n v="295734.50539999997"/>
  </r>
  <r>
    <x v="2"/>
    <n v="445553.98080000002"/>
  </r>
  <r>
    <x v="3"/>
    <n v="479589.73656000005"/>
  </r>
  <r>
    <x v="4"/>
    <n v="131920.94727999999"/>
  </r>
  <r>
    <x v="5"/>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AE2F163-4274-43E8-BA0A-0AC626286D8D}" name="TablaDinámica1" cacheId="2"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3:D9" firstHeaderRow="0" firstDataRow="1" firstDataCol="2"/>
  <pivotFields count="31">
    <pivotField compact="0" outline="0" showAll="0"/>
    <pivotField axis="axisRow" compact="0" outline="0" showAll="0" defaultSubtotal="0">
      <items count="7">
        <item x="0"/>
        <item m="1" x="6"/>
        <item x="3"/>
        <item x="1"/>
        <item x="2"/>
        <item x="4"/>
        <item h="1" x="5"/>
      </items>
    </pivotField>
    <pivotField axis="axisRow" compact="0" outline="0" showAll="0">
      <items count="9">
        <item m="1" x="7"/>
        <item m="1" x="6"/>
        <item x="0"/>
        <item x="4"/>
        <item x="3"/>
        <item x="1"/>
        <item x="2"/>
        <item x="5"/>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s>
  <rowFields count="2">
    <field x="1"/>
    <field x="2"/>
  </rowFields>
  <rowItems count="6">
    <i>
      <x/>
      <x v="2"/>
    </i>
    <i>
      <x v="2"/>
      <x v="4"/>
    </i>
    <i>
      <x v="3"/>
      <x v="5"/>
    </i>
    <i>
      <x v="4"/>
      <x v="6"/>
    </i>
    <i>
      <x v="5"/>
      <x v="3"/>
    </i>
    <i t="grand">
      <x/>
    </i>
  </rowItems>
  <colFields count="1">
    <field x="-2"/>
  </colFields>
  <colItems count="2">
    <i>
      <x/>
    </i>
    <i i="1">
      <x v="1"/>
    </i>
  </colItems>
  <dataFields count="2">
    <dataField name="%" fld="30" showDataAs="percentOfTotal" baseField="0" baseItem="0" numFmtId="10"/>
    <dataField name="$" fld="3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A0818F6-F47F-4C26-8C5C-CCDB5FE18D8A}" name="TablaDinámica4" cacheId="5"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J2:L10" firstHeaderRow="0" firstDataRow="1" firstDataCol="1"/>
  <pivotFields count="2">
    <pivotField axis="axisRow" compact="0" outline="0" showAll="0">
      <items count="11">
        <item h="1" x="7"/>
        <item x="4"/>
        <item x="9"/>
        <item x="8"/>
        <item x="1"/>
        <item x="2"/>
        <item x="3"/>
        <item x="0"/>
        <item h="1" x="5"/>
        <item h="1" x="6"/>
        <item t="default"/>
      </items>
    </pivotField>
    <pivotField dataField="1" compact="0" outline="0" showAll="0"/>
  </pivotFields>
  <rowFields count="1">
    <field x="0"/>
  </rowFields>
  <rowItems count="8">
    <i>
      <x v="1"/>
    </i>
    <i>
      <x v="2"/>
    </i>
    <i>
      <x v="3"/>
    </i>
    <i>
      <x v="4"/>
    </i>
    <i>
      <x v="5"/>
    </i>
    <i>
      <x v="6"/>
    </i>
    <i>
      <x v="7"/>
    </i>
    <i t="grand">
      <x/>
    </i>
  </rowItems>
  <colFields count="1">
    <field x="-2"/>
  </colFields>
  <colItems count="2">
    <i>
      <x/>
    </i>
    <i i="1">
      <x v="1"/>
    </i>
  </colItems>
  <dataFields count="2">
    <dataField name="Suma de VALOR" fld="1" baseField="0" baseItem="0" numFmtId="42"/>
    <dataField name="Suma de VALOR2" fld="1" showDataAs="percentOfTotal" baseField="0" baseItem="0" numFmtId="10"/>
  </dataFields>
  <formats count="1">
    <format dxfId="95">
      <pivotArea outline="0"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C721691-3EE6-4F05-BF79-99128951D06B}" name="TablaDinámica3" cacheId="4"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30:D37" firstHeaderRow="0" firstDataRow="1" firstDataCol="2"/>
  <pivotFields count="33">
    <pivotField compact="0" outline="0" showAll="0"/>
    <pivotField axis="axisRow" compact="0" outline="0" showAll="0" defaultSubtotal="0">
      <items count="7">
        <item x="5"/>
        <item x="2"/>
        <item x="1"/>
        <item x="0"/>
        <item x="4"/>
        <item x="3"/>
        <item h="1" x="6"/>
      </items>
    </pivotField>
    <pivotField axis="axisRow" compact="0" outline="0" showAll="0">
      <items count="9">
        <item x="2"/>
        <item x="5"/>
        <item x="3"/>
        <item x="1"/>
        <item x="0"/>
        <item x="4"/>
        <item x="6"/>
        <item m="1" x="7"/>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s>
  <rowFields count="2">
    <field x="1"/>
    <field x="2"/>
  </rowFields>
  <rowItems count="7">
    <i>
      <x/>
      <x v="1"/>
    </i>
    <i>
      <x v="1"/>
      <x/>
    </i>
    <i>
      <x v="2"/>
      <x v="3"/>
    </i>
    <i>
      <x v="3"/>
      <x v="4"/>
    </i>
    <i>
      <x v="4"/>
      <x v="5"/>
    </i>
    <i>
      <x v="5"/>
      <x v="2"/>
    </i>
    <i t="grand">
      <x/>
    </i>
  </rowItems>
  <colFields count="1">
    <field x="-2"/>
  </colFields>
  <colItems count="2">
    <i>
      <x/>
    </i>
    <i i="1">
      <x v="1"/>
    </i>
  </colItems>
  <dataFields count="2">
    <dataField name="%" fld="32" showDataAs="percentOfTotal" baseField="0" baseItem="0" numFmtId="10"/>
    <dataField name="$" fld="3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EDBC2C3-47E1-41DC-9381-F513826CFABE}" name="TablaDinámica2" cacheId="3"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16:D24" firstHeaderRow="0" firstDataRow="1" firstDataCol="2"/>
  <pivotFields count="33">
    <pivotField compact="0" outline="0" showAll="0"/>
    <pivotField axis="axisRow" compact="0" outline="0" showAll="0" defaultSubtotal="0">
      <items count="7">
        <item x="0"/>
        <item x="4"/>
        <item x="2"/>
        <item x="3"/>
        <item x="1"/>
        <item x="5"/>
        <item h="1" x="6"/>
      </items>
    </pivotField>
    <pivotField axis="axisRow" compact="0" outline="0" showAll="0">
      <items count="9">
        <item x="4"/>
        <item x="5"/>
        <item x="0"/>
        <item x="6"/>
        <item x="2"/>
        <item x="3"/>
        <item x="1"/>
        <item x="7"/>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s>
  <rowFields count="2">
    <field x="1"/>
    <field x="2"/>
  </rowFields>
  <rowItems count="8">
    <i>
      <x/>
      <x v="1"/>
    </i>
    <i r="1">
      <x v="2"/>
    </i>
    <i>
      <x v="1"/>
      <x/>
    </i>
    <i>
      <x v="2"/>
      <x v="4"/>
    </i>
    <i>
      <x v="3"/>
      <x v="5"/>
    </i>
    <i>
      <x v="4"/>
      <x v="6"/>
    </i>
    <i>
      <x v="5"/>
      <x v="3"/>
    </i>
    <i t="grand">
      <x/>
    </i>
  </rowItems>
  <colFields count="1">
    <field x="-2"/>
  </colFields>
  <colItems count="2">
    <i>
      <x/>
    </i>
    <i i="1">
      <x v="1"/>
    </i>
  </colItems>
  <dataFields count="2">
    <dataField name="%" fld="32" showDataAs="percentOfTotal" baseField="0" baseItem="0" numFmtId="10"/>
    <dataField name="$" fld="3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5"/>
  <sheetViews>
    <sheetView zoomScale="115" zoomScaleNormal="115" workbookViewId="0">
      <selection activeCell="D10" sqref="D10"/>
    </sheetView>
  </sheetViews>
  <sheetFormatPr baseColWidth="10" defaultColWidth="11.42578125" defaultRowHeight="12.75"/>
  <cols>
    <col min="1" max="1" width="22.7109375" style="4" customWidth="1"/>
    <col min="2" max="2" width="11.5703125" style="4" customWidth="1"/>
    <col min="3" max="3" width="17.5703125" style="4" customWidth="1"/>
    <col min="4" max="4" width="14.85546875" style="4" customWidth="1"/>
    <col min="5" max="5" width="18.5703125" style="4" customWidth="1"/>
    <col min="6" max="7" width="23.7109375" style="4" customWidth="1"/>
    <col min="8" max="8" width="11.42578125" style="4"/>
    <col min="9" max="9" width="14.5703125" style="4" bestFit="1" customWidth="1"/>
    <col min="10" max="10" width="11.42578125" style="4"/>
    <col min="11" max="11" width="15.85546875" style="1" customWidth="1"/>
    <col min="12" max="12" width="16.85546875" style="1" customWidth="1"/>
    <col min="13" max="16384" width="11.42578125" style="1"/>
  </cols>
  <sheetData>
    <row r="1" spans="1:10">
      <c r="A1" s="117" t="s">
        <v>0</v>
      </c>
      <c r="B1" s="118"/>
      <c r="C1" s="118"/>
      <c r="D1" s="118"/>
      <c r="F1" s="105" t="s">
        <v>1</v>
      </c>
      <c r="G1" s="106"/>
      <c r="H1" s="106"/>
      <c r="I1" s="106"/>
      <c r="J1" s="107"/>
    </row>
    <row r="2" spans="1:10">
      <c r="A2" s="119" t="s">
        <v>2</v>
      </c>
      <c r="B2" s="119"/>
      <c r="C2" s="119"/>
      <c r="D2" s="119"/>
      <c r="F2" s="108">
        <f>A3</f>
        <v>45930</v>
      </c>
      <c r="G2" s="109"/>
      <c r="H2" s="109"/>
      <c r="I2" s="109"/>
      <c r="J2" s="110"/>
    </row>
    <row r="3" spans="1:10">
      <c r="A3" s="120">
        <v>45930</v>
      </c>
      <c r="B3" s="119"/>
      <c r="C3" s="119"/>
      <c r="D3" s="119"/>
      <c r="F3" s="5"/>
      <c r="G3" s="5"/>
      <c r="H3" s="5"/>
      <c r="I3" s="6"/>
      <c r="J3" s="6"/>
    </row>
    <row r="4" spans="1:10">
      <c r="A4" s="121"/>
      <c r="B4" s="121"/>
      <c r="C4" s="121"/>
      <c r="D4" s="121"/>
      <c r="F4" s="27" t="s">
        <v>3</v>
      </c>
      <c r="G4" s="27" t="s">
        <v>4</v>
      </c>
      <c r="H4" s="52" t="s">
        <v>5</v>
      </c>
      <c r="I4" s="27" t="s">
        <v>6</v>
      </c>
      <c r="J4" s="28" t="s">
        <v>5</v>
      </c>
    </row>
    <row r="5" spans="1:10">
      <c r="A5" s="24" t="s">
        <v>3</v>
      </c>
      <c r="B5" s="23" t="s">
        <v>7</v>
      </c>
      <c r="C5" s="25" t="s">
        <v>8</v>
      </c>
      <c r="D5" s="24" t="s">
        <v>9</v>
      </c>
      <c r="F5" s="74"/>
      <c r="G5" s="74"/>
      <c r="H5" s="51"/>
      <c r="I5" s="51">
        <f t="shared" ref="I5:I6" si="0">H5*0.12</f>
        <v>0</v>
      </c>
      <c r="J5" s="7">
        <f t="shared" ref="J5:J6" si="1">H5+I5</f>
        <v>0</v>
      </c>
    </row>
    <row r="6" spans="1:10">
      <c r="A6" s="8" t="s">
        <v>10</v>
      </c>
      <c r="B6" s="9">
        <f>COUNTA(ADECUACIONES!A:A)-1</f>
        <v>10</v>
      </c>
      <c r="C6" s="10">
        <v>0</v>
      </c>
      <c r="D6" s="11">
        <f>ADECUACIONES!AE12</f>
        <v>1511089.1706000001</v>
      </c>
      <c r="F6" s="74"/>
      <c r="G6" s="74"/>
      <c r="H6" s="51"/>
      <c r="I6" s="51">
        <f t="shared" si="0"/>
        <v>0</v>
      </c>
      <c r="J6" s="7">
        <f t="shared" si="1"/>
        <v>0</v>
      </c>
    </row>
    <row r="7" spans="1:10">
      <c r="A7" s="8" t="s">
        <v>11</v>
      </c>
      <c r="B7" s="9">
        <f>COUNTA(INCIDENTES!A:A)-1</f>
        <v>210</v>
      </c>
      <c r="C7" s="10">
        <v>0</v>
      </c>
      <c r="D7" s="12">
        <f>INCIDENTES!AG212</f>
        <v>20457073.923520003</v>
      </c>
      <c r="F7" s="31"/>
      <c r="G7" s="50"/>
      <c r="H7" s="49"/>
      <c r="I7" s="51">
        <f t="shared" ref="I7" si="2">H7*0.12</f>
        <v>0</v>
      </c>
      <c r="J7" s="7">
        <f t="shared" ref="J7" si="3">H7+I7</f>
        <v>0</v>
      </c>
    </row>
    <row r="8" spans="1:10">
      <c r="A8" s="8" t="s">
        <v>12</v>
      </c>
      <c r="B8" s="9">
        <f>COUNTA(OC!A:A)-1</f>
        <v>12</v>
      </c>
      <c r="C8" s="10">
        <v>0</v>
      </c>
      <c r="D8" s="12">
        <f>OC!AG14</f>
        <v>1484720.11732</v>
      </c>
      <c r="F8" s="31"/>
      <c r="G8" s="50"/>
      <c r="H8" s="49"/>
      <c r="I8" s="51">
        <f t="shared" ref="I8:I9" si="4">H8*0.12</f>
        <v>0</v>
      </c>
      <c r="J8" s="7">
        <f t="shared" ref="J8:J9" si="5">H8+I8</f>
        <v>0</v>
      </c>
    </row>
    <row r="9" spans="1:10">
      <c r="A9" s="8" t="s">
        <v>13</v>
      </c>
      <c r="B9" s="9">
        <v>0</v>
      </c>
      <c r="C9" s="10">
        <v>0</v>
      </c>
      <c r="D9" s="12">
        <f>J12</f>
        <v>0</v>
      </c>
      <c r="F9" s="31"/>
      <c r="G9" s="50"/>
      <c r="H9" s="49"/>
      <c r="I9" s="51">
        <f t="shared" si="4"/>
        <v>0</v>
      </c>
      <c r="J9" s="7">
        <f t="shared" si="5"/>
        <v>0</v>
      </c>
    </row>
    <row r="10" spans="1:10">
      <c r="A10" s="122" t="s">
        <v>14</v>
      </c>
      <c r="B10" s="123"/>
      <c r="C10" s="124"/>
      <c r="D10" s="63">
        <f>SUM(D6:D9)</f>
        <v>23452883.211440004</v>
      </c>
      <c r="F10" s="31"/>
      <c r="G10" s="50"/>
      <c r="H10" s="49"/>
      <c r="I10" s="51">
        <f t="shared" ref="I10" si="6">H10*0.12</f>
        <v>0</v>
      </c>
      <c r="J10" s="7">
        <f t="shared" ref="J10" si="7">H10+I10</f>
        <v>0</v>
      </c>
    </row>
    <row r="11" spans="1:10">
      <c r="A11" s="111" t="s">
        <v>15</v>
      </c>
      <c r="B11" s="112"/>
      <c r="C11" s="113"/>
      <c r="D11" s="14">
        <f>D10*0.19</f>
        <v>4456047.8101736009</v>
      </c>
      <c r="F11" s="31"/>
      <c r="G11" s="50"/>
      <c r="H11" s="49"/>
      <c r="I11" s="51">
        <f t="shared" ref="I11" si="8">H11*0.12</f>
        <v>0</v>
      </c>
      <c r="J11" s="7">
        <f t="shared" ref="J11" si="9">H11+I11</f>
        <v>0</v>
      </c>
    </row>
    <row r="12" spans="1:10">
      <c r="A12" s="114" t="s">
        <v>5</v>
      </c>
      <c r="B12" s="115"/>
      <c r="C12" s="116"/>
      <c r="D12" s="26">
        <f>D10+D11</f>
        <v>27908931.021613605</v>
      </c>
      <c r="F12" s="29" t="s">
        <v>5</v>
      </c>
      <c r="G12" s="30"/>
      <c r="H12" s="48">
        <f>SUM(H5:H11)</f>
        <v>0</v>
      </c>
      <c r="I12" s="48">
        <f>SUM(I5:I11)</f>
        <v>0</v>
      </c>
      <c r="J12" s="48">
        <f>SUM(J5:J11)</f>
        <v>0</v>
      </c>
    </row>
    <row r="14" spans="1:10">
      <c r="F14" s="15"/>
    </row>
    <row r="15" spans="1:10">
      <c r="D15" s="13"/>
    </row>
  </sheetData>
  <mergeCells count="9">
    <mergeCell ref="F1:J1"/>
    <mergeCell ref="F2:J2"/>
    <mergeCell ref="A11:C11"/>
    <mergeCell ref="A12:C12"/>
    <mergeCell ref="A1:D1"/>
    <mergeCell ref="A2:D2"/>
    <mergeCell ref="A3:D3"/>
    <mergeCell ref="A4:D4"/>
    <mergeCell ref="A10:C10"/>
  </mergeCells>
  <conditionalFormatting sqref="F5:F6">
    <cfRule type="duplicateValues" dxfId="94" priority="1"/>
  </conditionalFormatting>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29889-F54C-4F8E-884B-5C7EB47FE05B}">
  <dimension ref="A2:L37"/>
  <sheetViews>
    <sheetView workbookViewId="0">
      <selection activeCell="G30" sqref="G30"/>
    </sheetView>
  </sheetViews>
  <sheetFormatPr baseColWidth="10" defaultColWidth="8.85546875" defaultRowHeight="12.75"/>
  <cols>
    <col min="1" max="1" width="34.7109375" bestFit="1" customWidth="1"/>
    <col min="2" max="2" width="34.28515625" bestFit="1" customWidth="1"/>
    <col min="3" max="3" width="8.42578125" customWidth="1"/>
    <col min="4" max="4" width="12.140625" customWidth="1"/>
    <col min="5" max="5" width="13.5703125" customWidth="1"/>
    <col min="6" max="6" width="16.140625" customWidth="1"/>
    <col min="10" max="10" width="29.42578125" bestFit="1" customWidth="1"/>
    <col min="11" max="11" width="16" bestFit="1" customWidth="1"/>
    <col min="12" max="12" width="17.140625" bestFit="1" customWidth="1"/>
  </cols>
  <sheetData>
    <row r="2" spans="1:12">
      <c r="A2" s="47" t="s">
        <v>39</v>
      </c>
      <c r="J2" s="44" t="s">
        <v>40</v>
      </c>
      <c r="K2" t="s">
        <v>41</v>
      </c>
      <c r="L2" t="s">
        <v>42</v>
      </c>
    </row>
    <row r="3" spans="1:12">
      <c r="A3" s="44" t="s">
        <v>43</v>
      </c>
      <c r="B3" s="44" t="s">
        <v>44</v>
      </c>
      <c r="C3" t="s">
        <v>45</v>
      </c>
      <c r="D3" t="s">
        <v>46</v>
      </c>
      <c r="E3" t="s">
        <v>40</v>
      </c>
      <c r="F3" t="s">
        <v>47</v>
      </c>
      <c r="J3" t="s">
        <v>48</v>
      </c>
      <c r="K3" s="104">
        <v>1736974.8104799998</v>
      </c>
      <c r="L3" s="45">
        <v>7.4062314420801245E-2</v>
      </c>
    </row>
    <row r="4" spans="1:12">
      <c r="A4" t="s">
        <v>49</v>
      </c>
      <c r="B4" t="s">
        <v>50</v>
      </c>
      <c r="C4" s="45">
        <v>0.17789868682154661</v>
      </c>
      <c r="D4">
        <v>268820.77912000002</v>
      </c>
      <c r="E4" t="str">
        <f>VLOOKUP(B4,'CENTRO DE COSTOS'!B:C,2,0)</f>
        <v>Redeban Suroccidente (Cali)</v>
      </c>
      <c r="F4" s="46">
        <f>D4</f>
        <v>268820.77912000002</v>
      </c>
      <c r="J4" t="s">
        <v>51</v>
      </c>
      <c r="K4" s="104">
        <v>2900584.3940000003</v>
      </c>
      <c r="L4" s="45">
        <v>0.12367709197413883</v>
      </c>
    </row>
    <row r="5" spans="1:12">
      <c r="A5" t="s">
        <v>52</v>
      </c>
      <c r="B5" t="s">
        <v>53</v>
      </c>
      <c r="C5" s="45">
        <v>0.39654802150562113</v>
      </c>
      <c r="D5">
        <v>599219.42092000006</v>
      </c>
      <c r="E5" t="str">
        <f>VLOOKUP(B5,'CENTRO DE COSTOS'!B:C,2,0)</f>
        <v>Redeban Noroccidente (Medellín)</v>
      </c>
      <c r="F5" s="46">
        <f t="shared" ref="F5:F7" si="0">D5</f>
        <v>599219.42092000006</v>
      </c>
      <c r="J5" t="s">
        <v>54</v>
      </c>
      <c r="K5" s="104">
        <v>817097.79435999994</v>
      </c>
      <c r="L5" s="45">
        <v>3.4839971998045463E-2</v>
      </c>
    </row>
    <row r="6" spans="1:12">
      <c r="A6" t="s">
        <v>55</v>
      </c>
      <c r="B6" t="s">
        <v>56</v>
      </c>
      <c r="C6" s="45">
        <v>0.33708733148934394</v>
      </c>
      <c r="D6">
        <v>509369.01616</v>
      </c>
      <c r="E6" t="str">
        <f>VLOOKUP(B6,'CENTRO DE COSTOS'!B:C,2,0)</f>
        <v>Redeban Oriente (Otros)</v>
      </c>
      <c r="F6" s="46">
        <f t="shared" si="0"/>
        <v>509369.01616</v>
      </c>
      <c r="J6" t="s">
        <v>57</v>
      </c>
      <c r="K6" s="104">
        <v>5435677.1514799967</v>
      </c>
      <c r="L6" s="45">
        <v>0.23177010274065357</v>
      </c>
    </row>
    <row r="7" spans="1:12">
      <c r="A7" t="s">
        <v>58</v>
      </c>
      <c r="B7" t="s">
        <v>59</v>
      </c>
      <c r="C7" s="45">
        <v>5.8977306788992226E-2</v>
      </c>
      <c r="D7">
        <v>89119.969600000011</v>
      </c>
      <c r="E7" t="str">
        <f>VLOOKUP(B7,'CENTRO DE COSTOS'!B:C,2,0)</f>
        <v>Redeban Santander</v>
      </c>
      <c r="F7" s="46">
        <f t="shared" si="0"/>
        <v>89119.969600000011</v>
      </c>
      <c r="J7" t="s">
        <v>60</v>
      </c>
      <c r="K7" s="104">
        <v>4631207.7439599996</v>
      </c>
      <c r="L7" s="45">
        <v>0.19746858849750978</v>
      </c>
    </row>
    <row r="8" spans="1:12">
      <c r="A8" t="s">
        <v>61</v>
      </c>
      <c r="B8" t="s">
        <v>62</v>
      </c>
      <c r="C8" s="45">
        <v>2.9488653394496113E-2</v>
      </c>
      <c r="D8">
        <v>44559.984800000006</v>
      </c>
      <c r="E8" t="str">
        <f>VLOOKUP(B8,'CENTRO DE COSTOS'!B:C,2,0)</f>
        <v>Redeban Centro ( Bogotá)</v>
      </c>
      <c r="F8" s="46">
        <f t="shared" ref="F8:F10" si="1">D8</f>
        <v>44559.984800000006</v>
      </c>
      <c r="J8" t="s">
        <v>63</v>
      </c>
      <c r="K8" s="104">
        <v>5165648.9183199983</v>
      </c>
      <c r="L8" s="45">
        <v>0.22025645511253242</v>
      </c>
    </row>
    <row r="9" spans="1:12">
      <c r="A9" t="s">
        <v>64</v>
      </c>
      <c r="C9" s="45">
        <v>1</v>
      </c>
      <c r="D9">
        <v>1511089.1706000001</v>
      </c>
      <c r="F9" s="46">
        <f t="shared" si="1"/>
        <v>1511089.1706000001</v>
      </c>
      <c r="J9" t="s">
        <v>65</v>
      </c>
      <c r="K9" s="104">
        <v>2765692.3988399999</v>
      </c>
      <c r="L9" s="45">
        <v>0.11792547525631873</v>
      </c>
    </row>
    <row r="10" spans="1:12">
      <c r="E10" t="e">
        <f>VLOOKUP(B10,'CENTRO DE COSTOS'!B:C,2,0)</f>
        <v>#N/A</v>
      </c>
      <c r="F10" s="46">
        <f t="shared" si="1"/>
        <v>0</v>
      </c>
      <c r="J10" t="s">
        <v>64</v>
      </c>
      <c r="K10" s="104">
        <v>23452883.211439993</v>
      </c>
      <c r="L10" s="45">
        <v>1</v>
      </c>
    </row>
    <row r="15" spans="1:12">
      <c r="A15" s="47" t="s">
        <v>66</v>
      </c>
    </row>
    <row r="16" spans="1:12">
      <c r="A16" s="44" t="s">
        <v>43</v>
      </c>
      <c r="B16" s="44" t="s">
        <v>44</v>
      </c>
      <c r="C16" t="s">
        <v>45</v>
      </c>
      <c r="D16" t="s">
        <v>46</v>
      </c>
      <c r="E16" t="s">
        <v>40</v>
      </c>
    </row>
    <row r="17" spans="1:6">
      <c r="A17" t="s">
        <v>49</v>
      </c>
      <c r="B17" t="s">
        <v>67</v>
      </c>
      <c r="C17" s="45">
        <v>3.9942065879742604E-2</v>
      </c>
      <c r="D17">
        <v>817097.79435999994</v>
      </c>
      <c r="E17" t="str">
        <f>VLOOKUP(B17,'CENTRO DE COSTOS'!B:C,2,0)</f>
        <v>Redeban Eje Cafetero (Pereira)</v>
      </c>
      <c r="F17" s="46">
        <f>D17</f>
        <v>817097.79435999994</v>
      </c>
    </row>
    <row r="18" spans="1:6">
      <c r="B18" t="s">
        <v>50</v>
      </c>
      <c r="C18" s="45">
        <v>0.11882985588105652</v>
      </c>
      <c r="D18">
        <v>2430911.1460799999</v>
      </c>
      <c r="E18" t="str">
        <f>VLOOKUP(B18,'CENTRO DE COSTOS'!B:C,2,0)</f>
        <v>Redeban Suroccidente (Cali)</v>
      </c>
      <c r="F18" s="46">
        <f t="shared" ref="F18:F23" si="2">D18</f>
        <v>2430911.1460799999</v>
      </c>
    </row>
    <row r="19" spans="1:6">
      <c r="A19" t="s">
        <v>68</v>
      </c>
      <c r="B19" t="s">
        <v>69</v>
      </c>
      <c r="C19" s="45">
        <v>0.13856448536860225</v>
      </c>
      <c r="D19">
        <v>2834623.9203600003</v>
      </c>
      <c r="E19" t="str">
        <f>VLOOKUP(B19,'CENTRO DE COSTOS'!B:C,2,0)</f>
        <v>Redeban Costa (Barranqullla)</v>
      </c>
      <c r="F19" s="46">
        <f t="shared" si="2"/>
        <v>2834623.9203600003</v>
      </c>
    </row>
    <row r="20" spans="1:6">
      <c r="A20" t="s">
        <v>52</v>
      </c>
      <c r="B20" t="s">
        <v>53</v>
      </c>
      <c r="C20" s="45">
        <v>0.22196347542839048</v>
      </c>
      <c r="D20">
        <v>4540723.2251599971</v>
      </c>
      <c r="E20" t="str">
        <f>VLOOKUP(B20,'CENTRO DE COSTOS'!B:C,2,0)</f>
        <v>Redeban Noroccidente (Medellín)</v>
      </c>
      <c r="F20" s="46">
        <f t="shared" si="2"/>
        <v>4540723.2251599971</v>
      </c>
    </row>
    <row r="21" spans="1:6">
      <c r="A21" t="s">
        <v>55</v>
      </c>
      <c r="B21" t="s">
        <v>56</v>
      </c>
      <c r="C21" s="45">
        <v>0.17970726217952834</v>
      </c>
      <c r="D21">
        <v>3676284.7469999995</v>
      </c>
      <c r="E21" t="str">
        <f>VLOOKUP(B21,'CENTRO DE COSTOS'!B:C,2,0)</f>
        <v>Redeban Oriente (Otros)</v>
      </c>
      <c r="F21" s="46">
        <f t="shared" si="2"/>
        <v>3676284.7469999995</v>
      </c>
    </row>
    <row r="22" spans="1:6">
      <c r="A22" t="s">
        <v>58</v>
      </c>
      <c r="B22" t="s">
        <v>59</v>
      </c>
      <c r="C22" s="45">
        <v>0.22471147287954935</v>
      </c>
      <c r="D22">
        <v>4596939.2121599987</v>
      </c>
      <c r="E22" t="str">
        <f>VLOOKUP(B22,'CENTRO DE COSTOS'!B:C,2,0)</f>
        <v>Redeban Santander</v>
      </c>
      <c r="F22" s="46">
        <f t="shared" si="2"/>
        <v>4596939.2121599987</v>
      </c>
    </row>
    <row r="23" spans="1:6">
      <c r="A23" t="s">
        <v>61</v>
      </c>
      <c r="B23" t="s">
        <v>62</v>
      </c>
      <c r="C23" s="45">
        <v>7.6281382383130675E-2</v>
      </c>
      <c r="D23">
        <v>1560493.8783999998</v>
      </c>
      <c r="E23" t="str">
        <f>VLOOKUP(B23,'CENTRO DE COSTOS'!B:C,2,0)</f>
        <v>Redeban Centro ( Bogotá)</v>
      </c>
      <c r="F23" s="46">
        <f t="shared" si="2"/>
        <v>1560493.8783999998</v>
      </c>
    </row>
    <row r="24" spans="1:6">
      <c r="A24" t="s">
        <v>64</v>
      </c>
      <c r="C24" s="45">
        <v>1</v>
      </c>
      <c r="D24">
        <v>20457073.923519991</v>
      </c>
    </row>
    <row r="29" spans="1:6">
      <c r="A29" s="47" t="s">
        <v>70</v>
      </c>
    </row>
    <row r="30" spans="1:6">
      <c r="A30" s="44" t="s">
        <v>43</v>
      </c>
      <c r="B30" s="44" t="s">
        <v>44</v>
      </c>
      <c r="C30" t="s">
        <v>45</v>
      </c>
      <c r="D30" t="s">
        <v>46</v>
      </c>
      <c r="E30" t="s">
        <v>40</v>
      </c>
    </row>
    <row r="31" spans="1:6">
      <c r="A31" t="s">
        <v>49</v>
      </c>
      <c r="B31" t="s">
        <v>50</v>
      </c>
      <c r="C31" s="45">
        <v>4.4426200514520016E-2</v>
      </c>
      <c r="D31">
        <v>65960.473639999997</v>
      </c>
      <c r="E31" t="str">
        <f>VLOOKUP(B31,'CENTRO DE COSTOS'!B:C,2,0)</f>
        <v>Redeban Suroccidente (Cali)</v>
      </c>
      <c r="F31" s="46">
        <f>D31</f>
        <v>65960.473639999997</v>
      </c>
    </row>
    <row r="32" spans="1:6">
      <c r="A32" t="s">
        <v>68</v>
      </c>
      <c r="B32" t="s">
        <v>69</v>
      </c>
      <c r="C32" s="45">
        <v>4.4426200514520016E-2</v>
      </c>
      <c r="D32">
        <v>65960.473639999997</v>
      </c>
      <c r="E32" t="str">
        <f>VLOOKUP(B32,'CENTRO DE COSTOS'!B:C,2,0)</f>
        <v>Redeban Costa (Barranqullla)</v>
      </c>
      <c r="F32" s="46">
        <f t="shared" ref="F32:F36" si="3">D32</f>
        <v>65960.473639999997</v>
      </c>
    </row>
    <row r="33" spans="1:6">
      <c r="A33" t="s">
        <v>52</v>
      </c>
      <c r="B33" t="s">
        <v>53</v>
      </c>
      <c r="C33" s="45">
        <v>0.19918535618269706</v>
      </c>
      <c r="D33">
        <v>295734.50539999997</v>
      </c>
      <c r="E33" t="str">
        <f>VLOOKUP(B33,'CENTRO DE COSTOS'!B:C,2,0)</f>
        <v>Redeban Noroccidente (Medellín)</v>
      </c>
      <c r="F33" s="46">
        <f t="shared" si="3"/>
        <v>295734.50539999997</v>
      </c>
    </row>
    <row r="34" spans="1:6">
      <c r="A34" t="s">
        <v>55</v>
      </c>
      <c r="B34" t="s">
        <v>56</v>
      </c>
      <c r="C34" s="45">
        <v>0.30009291017370265</v>
      </c>
      <c r="D34">
        <v>445553.98080000002</v>
      </c>
      <c r="E34" t="str">
        <f>VLOOKUP(B34,'CENTRO DE COSTOS'!B:C,2,0)</f>
        <v>Redeban Oriente (Otros)</v>
      </c>
      <c r="F34" s="46">
        <f t="shared" si="3"/>
        <v>445553.98080000002</v>
      </c>
    </row>
    <row r="35" spans="1:6">
      <c r="A35" t="s">
        <v>58</v>
      </c>
      <c r="B35" t="s">
        <v>59</v>
      </c>
      <c r="C35" s="45">
        <v>0.32301693158552025</v>
      </c>
      <c r="D35">
        <v>479589.73656000005</v>
      </c>
      <c r="E35" t="str">
        <f>VLOOKUP(B35,'CENTRO DE COSTOS'!B:C,2,0)</f>
        <v>Redeban Santander</v>
      </c>
      <c r="F35" s="46">
        <f t="shared" si="3"/>
        <v>479589.73656000005</v>
      </c>
    </row>
    <row r="36" spans="1:6">
      <c r="A36" t="s">
        <v>61</v>
      </c>
      <c r="B36" t="s">
        <v>62</v>
      </c>
      <c r="C36" s="45">
        <v>8.8852401029040032E-2</v>
      </c>
      <c r="D36">
        <v>131920.94727999999</v>
      </c>
      <c r="E36" t="str">
        <f>VLOOKUP(B36,'CENTRO DE COSTOS'!B:C,2,0)</f>
        <v>Redeban Centro ( Bogotá)</v>
      </c>
      <c r="F36" s="46">
        <f t="shared" si="3"/>
        <v>131920.94727999999</v>
      </c>
    </row>
    <row r="37" spans="1:6">
      <c r="A37" t="s">
        <v>64</v>
      </c>
      <c r="C37" s="45">
        <v>1</v>
      </c>
      <c r="D37">
        <v>1484720.11732</v>
      </c>
      <c r="F37" s="4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6"/>
  <sheetViews>
    <sheetView workbookViewId="0">
      <selection activeCell="D4" sqref="D4"/>
    </sheetView>
  </sheetViews>
  <sheetFormatPr baseColWidth="10" defaultColWidth="11.42578125" defaultRowHeight="13.5"/>
  <cols>
    <col min="1" max="1" width="20" style="4" bestFit="1" customWidth="1"/>
    <col min="2" max="2" width="25.42578125" style="4" bestFit="1" customWidth="1"/>
    <col min="3" max="3" width="18.140625" style="4" bestFit="1" customWidth="1"/>
    <col min="4" max="4" width="18" style="4" bestFit="1" customWidth="1"/>
    <col min="5" max="5" width="15.85546875" style="2" customWidth="1"/>
    <col min="6" max="16384" width="11.42578125" style="2"/>
  </cols>
  <sheetData>
    <row r="1" spans="1:7">
      <c r="A1" s="125" t="s">
        <v>16</v>
      </c>
      <c r="B1" s="125"/>
      <c r="C1" s="125"/>
      <c r="D1" s="125"/>
      <c r="E1" s="22" t="s">
        <v>17</v>
      </c>
    </row>
    <row r="2" spans="1:7">
      <c r="A2" s="22" t="s">
        <v>18</v>
      </c>
      <c r="B2" s="22" t="s">
        <v>19</v>
      </c>
      <c r="C2" s="22" t="s">
        <v>20</v>
      </c>
      <c r="D2" s="22" t="s">
        <v>21</v>
      </c>
      <c r="E2" s="53">
        <v>5.1999999999999998E-2</v>
      </c>
    </row>
    <row r="3" spans="1:7">
      <c r="A3" s="16" t="s">
        <v>22</v>
      </c>
      <c r="B3" s="16" t="s">
        <v>23</v>
      </c>
      <c r="C3" s="54">
        <f>62700.07*(1+$E$2)</f>
        <v>65960.473639999997</v>
      </c>
      <c r="D3" s="54">
        <f>42357.4*(1+$E$2)</f>
        <v>44559.984800000006</v>
      </c>
      <c r="E3" s="3"/>
      <c r="F3" s="3"/>
      <c r="G3" s="3"/>
    </row>
    <row r="4" spans="1:7">
      <c r="A4" s="16" t="s">
        <v>24</v>
      </c>
      <c r="B4" s="16" t="s">
        <v>25</v>
      </c>
      <c r="C4" s="54">
        <f>155716.31*(1+$E$2)</f>
        <v>163813.55812</v>
      </c>
      <c r="D4" s="54">
        <f>127766.53*(1+$E$2)</f>
        <v>134410.38956000001</v>
      </c>
      <c r="E4" s="3"/>
      <c r="F4" s="3"/>
      <c r="G4" s="3"/>
    </row>
    <row r="5" spans="1:7">
      <c r="A5" s="16" t="s">
        <v>26</v>
      </c>
      <c r="B5" s="16" t="s">
        <v>27</v>
      </c>
      <c r="C5" s="54">
        <f>262099.22*(1+$E$2)</f>
        <v>275728.37943999999</v>
      </c>
      <c r="D5" s="54">
        <f>211886.19*(1+$E$2)</f>
        <v>222904.27188000001</v>
      </c>
      <c r="E5" s="3"/>
      <c r="F5" s="3"/>
      <c r="G5" s="3"/>
    </row>
    <row r="6" spans="1:7">
      <c r="A6" s="16" t="s">
        <v>28</v>
      </c>
      <c r="B6" s="16" t="s">
        <v>29</v>
      </c>
      <c r="C6" s="54">
        <f>455883.78*(1+$E$2)</f>
        <v>479589.73656000005</v>
      </c>
      <c r="D6" s="54">
        <f>441833.68*(1+$E$2)</f>
        <v>464809.03136000002</v>
      </c>
      <c r="E6" s="3"/>
      <c r="F6" s="3"/>
      <c r="G6" s="3"/>
    </row>
    <row r="7" spans="1:7">
      <c r="A7" s="16" t="s">
        <v>30</v>
      </c>
      <c r="B7" s="16" t="s">
        <v>31</v>
      </c>
      <c r="C7" s="54">
        <f>455883.78*(1+$E$2)</f>
        <v>479589.73656000005</v>
      </c>
      <c r="D7" s="54">
        <f>441833.68*(1+$E$2)</f>
        <v>464809.03136000002</v>
      </c>
      <c r="E7" s="3"/>
      <c r="F7" s="3"/>
      <c r="G7" s="3"/>
    </row>
    <row r="8" spans="1:7" ht="24" customHeight="1">
      <c r="A8" s="126" t="s">
        <v>32</v>
      </c>
      <c r="B8" s="127"/>
      <c r="C8" s="127"/>
      <c r="D8" s="128"/>
      <c r="E8" s="3"/>
    </row>
    <row r="9" spans="1:7">
      <c r="A9" s="17"/>
      <c r="B9" s="18"/>
      <c r="C9" s="18"/>
      <c r="D9" s="19"/>
    </row>
    <row r="10" spans="1:7">
      <c r="A10" s="16" t="s">
        <v>33</v>
      </c>
      <c r="B10" s="54">
        <f>36031.04*(1+$E$2)</f>
        <v>37904.65408</v>
      </c>
      <c r="C10" s="3"/>
      <c r="D10" s="3"/>
    </row>
    <row r="11" spans="1:7">
      <c r="A11" s="16" t="s">
        <v>34</v>
      </c>
      <c r="B11" s="54">
        <f>30182.1*(1+$E$2)</f>
        <v>31751.569199999998</v>
      </c>
      <c r="C11" s="3"/>
      <c r="D11" s="3"/>
    </row>
    <row r="12" spans="1:7">
      <c r="A12" s="16" t="s">
        <v>35</v>
      </c>
      <c r="B12" s="54">
        <f>15432.22*(1+$E$2)</f>
        <v>16234.69544</v>
      </c>
      <c r="C12" s="3"/>
      <c r="D12" s="3"/>
    </row>
    <row r="13" spans="1:7">
      <c r="A13" s="16" t="s">
        <v>36</v>
      </c>
      <c r="B13" s="54">
        <f>244669.03*(1+$E$2)</f>
        <v>257391.81956</v>
      </c>
      <c r="C13" s="3"/>
      <c r="D13" s="3"/>
    </row>
    <row r="14" spans="1:7">
      <c r="A14" s="16" t="s">
        <v>37</v>
      </c>
      <c r="B14" s="54">
        <f>291399.51*(1+$E$2)</f>
        <v>306552.28452000004</v>
      </c>
      <c r="C14" s="3"/>
      <c r="D14" s="3"/>
    </row>
    <row r="15" spans="1:7">
      <c r="A15" s="16" t="s">
        <v>38</v>
      </c>
      <c r="B15" s="55">
        <f>53547.34*(1+$E$2)</f>
        <v>56331.801679999997</v>
      </c>
      <c r="C15" s="3"/>
      <c r="D15" s="3"/>
    </row>
    <row r="16" spans="1:7">
      <c r="E16" s="3"/>
    </row>
  </sheetData>
  <mergeCells count="2">
    <mergeCell ref="A1:D1"/>
    <mergeCell ref="A8:D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22"/>
  <sheetViews>
    <sheetView tabSelected="1" topLeftCell="K1" zoomScaleNormal="100" workbookViewId="0">
      <pane ySplit="1" topLeftCell="A2" activePane="bottomLeft" state="frozen"/>
      <selection pane="bottomLeft" activeCell="K3" sqref="A3:XFD3"/>
    </sheetView>
  </sheetViews>
  <sheetFormatPr baseColWidth="10" defaultColWidth="11.42578125" defaultRowHeight="12.75"/>
  <cols>
    <col min="1" max="1" width="11.42578125" style="4"/>
    <col min="2" max="3" width="15" style="4" customWidth="1"/>
    <col min="4" max="5" width="12.28515625" style="4" customWidth="1"/>
    <col min="6" max="12" width="11.42578125" style="4"/>
    <col min="13" max="14" width="12.28515625" style="4" customWidth="1"/>
    <col min="15" max="15" width="11.42578125" style="95"/>
    <col min="16" max="24" width="11.42578125" style="4"/>
    <col min="25" max="25" width="11.42578125" style="96"/>
    <col min="26" max="26" width="15.5703125" style="96" bestFit="1" customWidth="1"/>
    <col min="27" max="29" width="11.42578125" style="96"/>
    <col min="30" max="30" width="13" style="97" bestFit="1" customWidth="1"/>
    <col min="31" max="31" width="16.42578125" style="97" customWidth="1"/>
    <col min="32" max="16384" width="11.42578125" style="4"/>
  </cols>
  <sheetData>
    <row r="1" spans="1:31" s="98" customFormat="1" ht="51">
      <c r="A1" s="91" t="s">
        <v>71</v>
      </c>
      <c r="B1" s="91" t="s">
        <v>43</v>
      </c>
      <c r="C1" s="91" t="s">
        <v>44</v>
      </c>
      <c r="D1" s="91" t="s">
        <v>72</v>
      </c>
      <c r="E1" s="91" t="s">
        <v>73</v>
      </c>
      <c r="F1" s="91" t="s">
        <v>74</v>
      </c>
      <c r="G1" s="57" t="s">
        <v>75</v>
      </c>
      <c r="H1" s="57" t="s">
        <v>76</v>
      </c>
      <c r="I1" s="91" t="s">
        <v>77</v>
      </c>
      <c r="J1" s="91" t="s">
        <v>78</v>
      </c>
      <c r="K1" s="91" t="s">
        <v>79</v>
      </c>
      <c r="L1" s="91" t="s">
        <v>80</v>
      </c>
      <c r="M1" s="91" t="s">
        <v>81</v>
      </c>
      <c r="N1" s="76" t="s">
        <v>82</v>
      </c>
      <c r="O1" s="76" t="s">
        <v>83</v>
      </c>
      <c r="P1" s="58" t="s">
        <v>84</v>
      </c>
      <c r="Q1" s="58" t="s">
        <v>85</v>
      </c>
      <c r="R1" s="59" t="s">
        <v>86</v>
      </c>
      <c r="S1" s="59" t="s">
        <v>87</v>
      </c>
      <c r="T1" s="91" t="s">
        <v>88</v>
      </c>
      <c r="U1" s="59" t="s">
        <v>89</v>
      </c>
      <c r="V1" s="58" t="s">
        <v>90</v>
      </c>
      <c r="W1" s="58" t="s">
        <v>91</v>
      </c>
      <c r="X1" s="59" t="s">
        <v>92</v>
      </c>
      <c r="Y1" s="60" t="s">
        <v>93</v>
      </c>
      <c r="Z1" s="60" t="s">
        <v>94</v>
      </c>
      <c r="AA1" s="60" t="s">
        <v>95</v>
      </c>
      <c r="AB1" s="60" t="s">
        <v>96</v>
      </c>
      <c r="AC1" s="60" t="s">
        <v>97</v>
      </c>
      <c r="AD1" s="58" t="s">
        <v>98</v>
      </c>
      <c r="AE1" s="60" t="s">
        <v>99</v>
      </c>
    </row>
    <row r="2" spans="1:31" s="98" customFormat="1" ht="15">
      <c r="A2" s="129" t="s">
        <v>71</v>
      </c>
      <c r="B2" s="129" t="s">
        <v>43</v>
      </c>
      <c r="C2" s="129" t="s">
        <v>2170</v>
      </c>
      <c r="D2" s="129" t="s">
        <v>2171</v>
      </c>
      <c r="E2" s="129" t="s">
        <v>73</v>
      </c>
      <c r="F2" s="129" t="s">
        <v>74</v>
      </c>
      <c r="G2" s="129" t="s">
        <v>75</v>
      </c>
      <c r="H2" s="129" t="s">
        <v>76</v>
      </c>
      <c r="I2" s="129" t="s">
        <v>77</v>
      </c>
      <c r="J2" s="129" t="s">
        <v>78</v>
      </c>
      <c r="K2" s="129" t="s">
        <v>79</v>
      </c>
      <c r="L2" s="129" t="s">
        <v>80</v>
      </c>
      <c r="M2" s="129" t="s">
        <v>81</v>
      </c>
      <c r="P2" s="129" t="s">
        <v>84</v>
      </c>
      <c r="Q2" s="129" t="s">
        <v>85</v>
      </c>
      <c r="R2" s="129" t="s">
        <v>86</v>
      </c>
      <c r="S2" s="129" t="s">
        <v>87</v>
      </c>
      <c r="T2" s="129" t="s">
        <v>2172</v>
      </c>
      <c r="V2" s="129" t="s">
        <v>90</v>
      </c>
      <c r="W2" s="129" t="s">
        <v>91</v>
      </c>
      <c r="X2" s="129" t="s">
        <v>92</v>
      </c>
      <c r="Y2" s="129" t="s">
        <v>1247</v>
      </c>
      <c r="Z2" s="129" t="s">
        <v>2114</v>
      </c>
      <c r="AA2" s="129" t="s">
        <v>95</v>
      </c>
      <c r="AB2" s="129" t="s">
        <v>96</v>
      </c>
      <c r="AC2" s="129" t="s">
        <v>97</v>
      </c>
      <c r="AD2" s="129" t="s">
        <v>98</v>
      </c>
      <c r="AE2" s="129" t="s">
        <v>99</v>
      </c>
    </row>
    <row r="3" spans="1:31" s="64" customFormat="1">
      <c r="A3" s="77" t="s">
        <v>100</v>
      </c>
      <c r="B3" s="61" t="str">
        <f>VLOOKUP(A3,'CENTRO DE COSTOS'!A:D,4,FALSE)</f>
        <v>DIEGO FERNANDO HENAO CARDONA</v>
      </c>
      <c r="C3" s="61" t="str">
        <f>VLOOKUP(A3,'CENTRO DE COSTOS'!A:C,2,FALSE)</f>
        <v>0004-0003</v>
      </c>
      <c r="D3" s="77">
        <v>52687</v>
      </c>
      <c r="E3" s="78" t="s">
        <v>101</v>
      </c>
      <c r="F3" s="79">
        <v>81249</v>
      </c>
      <c r="G3" s="84" t="s">
        <v>102</v>
      </c>
      <c r="H3" s="80" t="s">
        <v>103</v>
      </c>
      <c r="I3" s="79" t="s">
        <v>104</v>
      </c>
      <c r="J3" s="85" t="s">
        <v>105</v>
      </c>
      <c r="K3" s="79" t="s">
        <v>106</v>
      </c>
      <c r="L3" s="89" t="s">
        <v>107</v>
      </c>
      <c r="M3" s="56" t="s">
        <v>108</v>
      </c>
      <c r="N3" s="81">
        <v>45896</v>
      </c>
      <c r="O3" s="82">
        <v>45903</v>
      </c>
      <c r="P3" s="86" t="s">
        <v>109</v>
      </c>
      <c r="Q3" s="87" t="s">
        <v>109</v>
      </c>
      <c r="R3" s="77" t="s">
        <v>110</v>
      </c>
      <c r="S3" s="83" t="s">
        <v>111</v>
      </c>
      <c r="T3" s="65" t="s">
        <v>112</v>
      </c>
      <c r="U3" s="77" t="s">
        <v>113</v>
      </c>
      <c r="V3" s="85" t="s">
        <v>114</v>
      </c>
      <c r="W3" s="82" t="s">
        <v>115</v>
      </c>
      <c r="X3" s="84" t="s">
        <v>116</v>
      </c>
      <c r="Y3" s="84">
        <v>0</v>
      </c>
      <c r="Z3" s="84">
        <v>0</v>
      </c>
      <c r="AA3" s="84">
        <v>0</v>
      </c>
      <c r="AB3" s="84">
        <v>0</v>
      </c>
      <c r="AC3" s="84">
        <v>1</v>
      </c>
      <c r="AD3" s="62">
        <f>IF(V3="TIPO I",'BASE LIQUIDACION'!$D$3,IF(V3="TIPO II",'BASE LIQUIDACION'!$D$4,IF(V3="TIPO III",'BASE LIQUIDACION'!$D$5,'BASE LIQUIDACION'!$D$7)))</f>
        <v>134410.38956000001</v>
      </c>
      <c r="AE3" s="62">
        <f>Y3*'BASE LIQUIDACION'!$B$12+Z3*'BASE LIQUIDACION'!$B$11+AA3*'BASE LIQUIDACION'!$B$13+AB3*'BASE LIQUIDACION'!$B$14+AC3*AD3</f>
        <v>134410.38956000001</v>
      </c>
    </row>
    <row r="4" spans="1:31" s="64" customFormat="1">
      <c r="A4" s="77" t="s">
        <v>117</v>
      </c>
      <c r="B4" s="61" t="str">
        <f>VLOOKUP(A4,'CENTRO DE COSTOS'!A:D,4,FALSE)</f>
        <v>KEVIN ALEXIS CORZO BUSTOS</v>
      </c>
      <c r="C4" s="61" t="str">
        <f>VLOOKUP(A4,'CENTRO DE COSTOS'!A:C,2,FALSE)</f>
        <v>0004-0007</v>
      </c>
      <c r="D4" s="77">
        <v>18753</v>
      </c>
      <c r="E4" s="78" t="s">
        <v>118</v>
      </c>
      <c r="F4" s="79">
        <v>81230</v>
      </c>
      <c r="G4" s="84" t="s">
        <v>102</v>
      </c>
      <c r="H4" s="80" t="s">
        <v>119</v>
      </c>
      <c r="I4" s="79" t="s">
        <v>120</v>
      </c>
      <c r="J4" s="85" t="s">
        <v>121</v>
      </c>
      <c r="K4" s="79" t="s">
        <v>122</v>
      </c>
      <c r="L4" s="89" t="s">
        <v>107</v>
      </c>
      <c r="M4" s="56" t="s">
        <v>123</v>
      </c>
      <c r="N4" s="81">
        <v>45896</v>
      </c>
      <c r="O4" s="82">
        <v>45905</v>
      </c>
      <c r="P4" s="86" t="s">
        <v>124</v>
      </c>
      <c r="Q4" s="87" t="s">
        <v>125</v>
      </c>
      <c r="R4" s="77" t="s">
        <v>110</v>
      </c>
      <c r="S4" s="83" t="s">
        <v>126</v>
      </c>
      <c r="T4" s="65" t="s">
        <v>112</v>
      </c>
      <c r="U4" s="77" t="s">
        <v>127</v>
      </c>
      <c r="V4" s="85" t="s">
        <v>128</v>
      </c>
      <c r="W4" s="82" t="s">
        <v>129</v>
      </c>
      <c r="X4" s="84" t="s">
        <v>130</v>
      </c>
      <c r="Y4" s="84">
        <v>0</v>
      </c>
      <c r="Z4" s="84">
        <v>0</v>
      </c>
      <c r="AA4" s="84">
        <v>0</v>
      </c>
      <c r="AB4" s="84">
        <v>0</v>
      </c>
      <c r="AC4" s="84">
        <v>1</v>
      </c>
      <c r="AD4" s="62">
        <f>IF(V4="TIPO I",'BASE LIQUIDACION'!$D$3,IF(V4="TIPO II",'BASE LIQUIDACION'!$D$4,IF(V4="TIPO III",'BASE LIQUIDACION'!$D$5,'BASE LIQUIDACION'!$D$7)))</f>
        <v>464809.03136000002</v>
      </c>
      <c r="AE4" s="62">
        <f>Y4*'BASE LIQUIDACION'!$B$12+Z4*'BASE LIQUIDACION'!$B$11+AA4*'BASE LIQUIDACION'!$B$13+AB4*'BASE LIQUIDACION'!$B$14+AC4*AD4</f>
        <v>464809.03136000002</v>
      </c>
    </row>
    <row r="5" spans="1:31" s="64" customFormat="1">
      <c r="A5" s="77" t="s">
        <v>131</v>
      </c>
      <c r="B5" s="61" t="str">
        <f>VLOOKUP(A5,'CENTRO DE COSTOS'!A:D,4,FALSE)</f>
        <v>MIGUEL JULIÁN HERNÁNDEZ GUARÍN</v>
      </c>
      <c r="C5" s="61" t="str">
        <f>VLOOKUP(A5,'CENTRO DE COSTOS'!A:C,2,FALSE)</f>
        <v>0004-0008</v>
      </c>
      <c r="D5" s="77">
        <v>15001</v>
      </c>
      <c r="E5" s="78" t="s">
        <v>132</v>
      </c>
      <c r="F5" s="79">
        <v>81267</v>
      </c>
      <c r="G5" s="84" t="s">
        <v>102</v>
      </c>
      <c r="H5" s="80" t="s">
        <v>119</v>
      </c>
      <c r="I5" s="79" t="s">
        <v>133</v>
      </c>
      <c r="J5" s="85" t="s">
        <v>131</v>
      </c>
      <c r="K5" s="79" t="s">
        <v>134</v>
      </c>
      <c r="L5" s="89" t="s">
        <v>107</v>
      </c>
      <c r="M5" s="56" t="s">
        <v>135</v>
      </c>
      <c r="N5" s="81">
        <v>45898</v>
      </c>
      <c r="O5" s="82">
        <v>45901</v>
      </c>
      <c r="P5" s="86" t="s">
        <v>124</v>
      </c>
      <c r="Q5" s="87" t="s">
        <v>125</v>
      </c>
      <c r="R5" s="77" t="s">
        <v>110</v>
      </c>
      <c r="S5" s="83" t="s">
        <v>136</v>
      </c>
      <c r="T5" s="65" t="s">
        <v>112</v>
      </c>
      <c r="U5" s="77" t="s">
        <v>137</v>
      </c>
      <c r="V5" s="85" t="s">
        <v>138</v>
      </c>
      <c r="W5" s="82" t="s">
        <v>115</v>
      </c>
      <c r="X5" s="84" t="s">
        <v>139</v>
      </c>
      <c r="Y5" s="84">
        <v>0</v>
      </c>
      <c r="Z5" s="84">
        <v>0</v>
      </c>
      <c r="AA5" s="84">
        <v>0</v>
      </c>
      <c r="AB5" s="84">
        <v>0</v>
      </c>
      <c r="AC5" s="84">
        <v>1</v>
      </c>
      <c r="AD5" s="62">
        <f>IF(V5="TIPO I",'BASE LIQUIDACION'!$D$3,IF(V5="TIPO II",'BASE LIQUIDACION'!$D$4,IF(V5="TIPO III",'BASE LIQUIDACION'!$D$5,'BASE LIQUIDACION'!$D$7)))</f>
        <v>44559.984800000006</v>
      </c>
      <c r="AE5" s="62">
        <f>Y5*'BASE LIQUIDACION'!$B$12+Z5*'BASE LIQUIDACION'!$B$11+AA5*'BASE LIQUIDACION'!$B$13+AB5*'BASE LIQUIDACION'!$B$14+AC5*AD5</f>
        <v>44559.984800000006</v>
      </c>
    </row>
    <row r="6" spans="1:31" s="64" customFormat="1">
      <c r="A6" s="77" t="s">
        <v>140</v>
      </c>
      <c r="B6" s="61" t="str">
        <f>VLOOKUP(A6,'CENTRO DE COSTOS'!A:D,4,FALSE)</f>
        <v>MIGUEL JULIÁN HERNÁNDEZ GUARÍN</v>
      </c>
      <c r="C6" s="61" t="str">
        <f>VLOOKUP(A6,'CENTRO DE COSTOS'!A:C,2,FALSE)</f>
        <v>0004-0008</v>
      </c>
      <c r="D6" s="77">
        <v>68307</v>
      </c>
      <c r="E6" s="78" t="s">
        <v>141</v>
      </c>
      <c r="F6" s="79">
        <v>81327</v>
      </c>
      <c r="G6" s="84" t="s">
        <v>102</v>
      </c>
      <c r="H6" s="80" t="s">
        <v>119</v>
      </c>
      <c r="I6" s="79" t="s">
        <v>142</v>
      </c>
      <c r="J6" s="85" t="s">
        <v>143</v>
      </c>
      <c r="K6" s="79" t="s">
        <v>144</v>
      </c>
      <c r="L6" s="89" t="s">
        <v>107</v>
      </c>
      <c r="M6" s="56" t="s">
        <v>145</v>
      </c>
      <c r="N6" s="81">
        <v>45903</v>
      </c>
      <c r="O6" s="82">
        <v>45904</v>
      </c>
      <c r="P6" s="86" t="s">
        <v>124</v>
      </c>
      <c r="Q6" s="87" t="s">
        <v>146</v>
      </c>
      <c r="R6" s="77" t="s">
        <v>110</v>
      </c>
      <c r="S6" s="83" t="s">
        <v>147</v>
      </c>
      <c r="T6" s="65" t="s">
        <v>112</v>
      </c>
      <c r="U6" s="77" t="s">
        <v>148</v>
      </c>
      <c r="V6" s="85" t="s">
        <v>138</v>
      </c>
      <c r="W6" s="82" t="s">
        <v>115</v>
      </c>
      <c r="X6" s="84" t="s">
        <v>149</v>
      </c>
      <c r="Y6" s="84">
        <v>0</v>
      </c>
      <c r="Z6" s="84">
        <v>0</v>
      </c>
      <c r="AA6" s="84">
        <v>0</v>
      </c>
      <c r="AB6" s="84">
        <v>0</v>
      </c>
      <c r="AC6" s="84">
        <v>1</v>
      </c>
      <c r="AD6" s="62">
        <f>IF(V6="TIPO I",'BASE LIQUIDACION'!$D$3,IF(V6="TIPO II",'BASE LIQUIDACION'!$D$4,IF(V6="TIPO III",'BASE LIQUIDACION'!$D$5,'BASE LIQUIDACION'!$D$7)))</f>
        <v>44559.984800000006</v>
      </c>
      <c r="AE6" s="62">
        <f>Y6*'BASE LIQUIDACION'!$B$12+Z6*'BASE LIQUIDACION'!$B$11+AA6*'BASE LIQUIDACION'!$B$13+AB6*'BASE LIQUIDACION'!$B$14+AC6*AD6</f>
        <v>44559.984800000006</v>
      </c>
    </row>
    <row r="7" spans="1:31" s="64" customFormat="1">
      <c r="A7" s="77" t="s">
        <v>150</v>
      </c>
      <c r="B7" s="61" t="str">
        <f>VLOOKUP(A7,'CENTRO DE COSTOS'!A:D,4,FALSE)</f>
        <v>JUAN SEBASTIÁN RÍOS CASTRILLÓN</v>
      </c>
      <c r="C7" s="61" t="str">
        <f>VLOOKUP(A7,'CENTRO DE COSTOS'!A:C,2,FALSE)</f>
        <v>0004-0005</v>
      </c>
      <c r="D7" s="77">
        <v>5837</v>
      </c>
      <c r="E7" s="78" t="s">
        <v>151</v>
      </c>
      <c r="F7" s="79">
        <v>81501</v>
      </c>
      <c r="G7" s="84" t="s">
        <v>102</v>
      </c>
      <c r="H7" s="80" t="s">
        <v>119</v>
      </c>
      <c r="I7" s="79" t="s">
        <v>152</v>
      </c>
      <c r="J7" s="85" t="s">
        <v>153</v>
      </c>
      <c r="K7" s="79" t="s">
        <v>154</v>
      </c>
      <c r="L7" s="89" t="s">
        <v>107</v>
      </c>
      <c r="M7" s="56" t="s">
        <v>155</v>
      </c>
      <c r="N7" s="81">
        <v>45917</v>
      </c>
      <c r="O7" s="82">
        <v>45919</v>
      </c>
      <c r="P7" s="86" t="s">
        <v>124</v>
      </c>
      <c r="Q7" s="87" t="s">
        <v>125</v>
      </c>
      <c r="R7" s="77" t="s">
        <v>110</v>
      </c>
      <c r="S7" s="83" t="s">
        <v>156</v>
      </c>
      <c r="T7" s="65" t="s">
        <v>112</v>
      </c>
      <c r="U7" s="77" t="s">
        <v>157</v>
      </c>
      <c r="V7" s="85" t="s">
        <v>114</v>
      </c>
      <c r="W7" s="82" t="s">
        <v>115</v>
      </c>
      <c r="X7" s="84" t="s">
        <v>158</v>
      </c>
      <c r="Y7" s="84">
        <v>0</v>
      </c>
      <c r="Z7" s="84">
        <v>0</v>
      </c>
      <c r="AA7" s="84">
        <v>0</v>
      </c>
      <c r="AB7" s="84">
        <v>0</v>
      </c>
      <c r="AC7" s="84">
        <v>1</v>
      </c>
      <c r="AD7" s="62">
        <f>IF(V7="TIPO I",'BASE LIQUIDACION'!$D$3,IF(V7="TIPO II",'BASE LIQUIDACION'!$D$4,IF(V7="TIPO III",'BASE LIQUIDACION'!$D$5,'BASE LIQUIDACION'!$D$7)))</f>
        <v>134410.38956000001</v>
      </c>
      <c r="AE7" s="62">
        <f>Y7*'BASE LIQUIDACION'!$B$12+Z7*'BASE LIQUIDACION'!$B$11+AA7*'BASE LIQUIDACION'!$B$13+AB7*'BASE LIQUIDACION'!$B$14+AC7*AD7</f>
        <v>134410.38956000001</v>
      </c>
    </row>
    <row r="8" spans="1:31" s="64" customFormat="1">
      <c r="A8" s="77" t="s">
        <v>100</v>
      </c>
      <c r="B8" s="61" t="str">
        <f>VLOOKUP(A8,'CENTRO DE COSTOS'!A:D,4,FALSE)</f>
        <v>DIEGO FERNANDO HENAO CARDONA</v>
      </c>
      <c r="C8" s="61" t="str">
        <f>VLOOKUP(A8,'CENTRO DE COSTOS'!A:C,2,FALSE)</f>
        <v>0004-0003</v>
      </c>
      <c r="D8" s="77">
        <v>52356</v>
      </c>
      <c r="E8" s="78" t="s">
        <v>159</v>
      </c>
      <c r="F8" s="79">
        <v>81502</v>
      </c>
      <c r="G8" s="84" t="s">
        <v>102</v>
      </c>
      <c r="H8" s="80" t="s">
        <v>119</v>
      </c>
      <c r="I8" s="79" t="s">
        <v>104</v>
      </c>
      <c r="J8" s="85" t="s">
        <v>160</v>
      </c>
      <c r="K8" s="79" t="s">
        <v>161</v>
      </c>
      <c r="L8" s="89" t="s">
        <v>107</v>
      </c>
      <c r="M8" s="56" t="s">
        <v>162</v>
      </c>
      <c r="N8" s="81">
        <v>45917</v>
      </c>
      <c r="O8" s="82">
        <v>45918</v>
      </c>
      <c r="P8" s="86" t="s">
        <v>124</v>
      </c>
      <c r="Q8" s="87" t="s">
        <v>125</v>
      </c>
      <c r="R8" s="77" t="s">
        <v>110</v>
      </c>
      <c r="S8" s="83" t="s">
        <v>163</v>
      </c>
      <c r="T8" s="65" t="s">
        <v>112</v>
      </c>
      <c r="U8" s="77" t="s">
        <v>164</v>
      </c>
      <c r="V8" s="85" t="s">
        <v>114</v>
      </c>
      <c r="W8" s="82" t="s">
        <v>115</v>
      </c>
      <c r="X8" s="84" t="s">
        <v>116</v>
      </c>
      <c r="Y8" s="84">
        <v>0</v>
      </c>
      <c r="Z8" s="84">
        <v>0</v>
      </c>
      <c r="AA8" s="84">
        <v>0</v>
      </c>
      <c r="AB8" s="84">
        <v>0</v>
      </c>
      <c r="AC8" s="84">
        <v>1</v>
      </c>
      <c r="AD8" s="62">
        <f>IF(V8="TIPO I",'BASE LIQUIDACION'!$D$3,IF(V8="TIPO II",'BASE LIQUIDACION'!$D$4,IF(V8="TIPO III",'BASE LIQUIDACION'!$D$5,'BASE LIQUIDACION'!$D$7)))</f>
        <v>134410.38956000001</v>
      </c>
      <c r="AE8" s="62">
        <f>Y8*'BASE LIQUIDACION'!$B$12+Z8*'BASE LIQUIDACION'!$B$11+AA8*'BASE LIQUIDACION'!$B$13+AB8*'BASE LIQUIDACION'!$B$14+AC8*AD8</f>
        <v>134410.38956000001</v>
      </c>
    </row>
    <row r="9" spans="1:31" s="64" customFormat="1">
      <c r="A9" s="77" t="s">
        <v>165</v>
      </c>
      <c r="B9" s="61" t="str">
        <f>VLOOKUP(A9,'CENTRO DE COSTOS'!A:D,4,FALSE)</f>
        <v>JUAN SEBASTIÁN RÍOS CASTRILLÓN</v>
      </c>
      <c r="C9" s="61" t="str">
        <f>VLOOKUP(A9,'CENTRO DE COSTOS'!A:C,2,FALSE)</f>
        <v>0004-0005</v>
      </c>
      <c r="D9" s="77">
        <v>5604</v>
      </c>
      <c r="E9" s="78" t="s">
        <v>166</v>
      </c>
      <c r="F9" s="79">
        <v>81673</v>
      </c>
      <c r="G9" s="84" t="s">
        <v>102</v>
      </c>
      <c r="H9" s="80" t="s">
        <v>119</v>
      </c>
      <c r="I9" s="79" t="s">
        <v>152</v>
      </c>
      <c r="J9" s="85" t="s">
        <v>167</v>
      </c>
      <c r="K9" s="79" t="s">
        <v>168</v>
      </c>
      <c r="L9" s="89" t="s">
        <v>107</v>
      </c>
      <c r="M9" s="56" t="s">
        <v>169</v>
      </c>
      <c r="N9" s="81">
        <v>45924</v>
      </c>
      <c r="O9" s="82">
        <v>45925</v>
      </c>
      <c r="P9" s="86" t="s">
        <v>124</v>
      </c>
      <c r="Q9" s="87" t="s">
        <v>125</v>
      </c>
      <c r="R9" s="77" t="s">
        <v>110</v>
      </c>
      <c r="S9" s="83" t="s">
        <v>170</v>
      </c>
      <c r="T9" s="65" t="s">
        <v>112</v>
      </c>
      <c r="U9" s="77" t="s">
        <v>171</v>
      </c>
      <c r="V9" s="85" t="s">
        <v>172</v>
      </c>
      <c r="W9" s="82" t="s">
        <v>115</v>
      </c>
      <c r="X9" s="84" t="s">
        <v>173</v>
      </c>
      <c r="Y9" s="84">
        <v>0</v>
      </c>
      <c r="Z9" s="84">
        <v>0</v>
      </c>
      <c r="AA9" s="84">
        <v>0</v>
      </c>
      <c r="AB9" s="84">
        <v>0</v>
      </c>
      <c r="AC9" s="84">
        <v>1</v>
      </c>
      <c r="AD9" s="62">
        <f>IF(V9="TIPO I",'BASE LIQUIDACION'!$D$3,IF(V9="TIPO II",'BASE LIQUIDACION'!$D$4,IF(V9="TIPO III",'BASE LIQUIDACION'!$D$5,'BASE LIQUIDACION'!$D$7)))</f>
        <v>464809.03136000002</v>
      </c>
      <c r="AE9" s="62">
        <f>Y9*'BASE LIQUIDACION'!$B$12+Z9*'BASE LIQUIDACION'!$B$11+AA9*'BASE LIQUIDACION'!$B$13+AB9*'BASE LIQUIDACION'!$B$14+AC9*AD9</f>
        <v>464809.03136000002</v>
      </c>
    </row>
    <row r="10" spans="1:31" s="64" customFormat="1">
      <c r="A10" s="77" t="s">
        <v>174</v>
      </c>
      <c r="B10" s="61" t="str">
        <f>VLOOKUP(A10,'CENTRO DE COSTOS'!A:D,4,FALSE)</f>
        <v>KEVIN ALEXIS CORZO BUSTOS</v>
      </c>
      <c r="C10" s="61" t="str">
        <f>VLOOKUP(A10,'CENTRO DE COSTOS'!A:C,2,FALSE)</f>
        <v>0004-0007</v>
      </c>
      <c r="D10" s="77">
        <v>50001</v>
      </c>
      <c r="E10" s="78" t="s">
        <v>175</v>
      </c>
      <c r="F10" s="83">
        <v>81695</v>
      </c>
      <c r="G10" s="99" t="s">
        <v>102</v>
      </c>
      <c r="H10" s="83" t="s">
        <v>119</v>
      </c>
      <c r="I10" s="83" t="s">
        <v>176</v>
      </c>
      <c r="J10" s="87" t="s">
        <v>174</v>
      </c>
      <c r="K10" s="83" t="s">
        <v>177</v>
      </c>
      <c r="L10" s="100" t="s">
        <v>107</v>
      </c>
      <c r="M10" s="56" t="s">
        <v>178</v>
      </c>
      <c r="N10" s="101">
        <v>45924</v>
      </c>
      <c r="O10" s="102">
        <v>45926</v>
      </c>
      <c r="P10" s="86" t="s">
        <v>124</v>
      </c>
      <c r="Q10" s="87" t="s">
        <v>146</v>
      </c>
      <c r="R10" s="78" t="s">
        <v>110</v>
      </c>
      <c r="S10" s="83" t="s">
        <v>179</v>
      </c>
      <c r="T10" s="61" t="s">
        <v>112</v>
      </c>
      <c r="U10" s="78" t="s">
        <v>180</v>
      </c>
      <c r="V10" s="87" t="s">
        <v>138</v>
      </c>
      <c r="W10" s="102" t="s">
        <v>115</v>
      </c>
      <c r="X10" s="99" t="s">
        <v>181</v>
      </c>
      <c r="Y10" s="84">
        <v>0</v>
      </c>
      <c r="Z10" s="84">
        <v>0</v>
      </c>
      <c r="AA10" s="84">
        <v>0</v>
      </c>
      <c r="AB10" s="84">
        <v>0</v>
      </c>
      <c r="AC10" s="84">
        <v>1</v>
      </c>
      <c r="AD10" s="62">
        <f>IF(V10="TIPO I",'BASE LIQUIDACION'!$D$3,IF(V10="TIPO II",'BASE LIQUIDACION'!$D$4,IF(V10="TIPO III",'BASE LIQUIDACION'!$D$5,'BASE LIQUIDACION'!$D$7)))</f>
        <v>44559.984800000006</v>
      </c>
      <c r="AE10" s="62">
        <f>Y10*'BASE LIQUIDACION'!$B$12+Z10*'BASE LIQUIDACION'!$B$11+AA10*'BASE LIQUIDACION'!$B$13+AB10*'BASE LIQUIDACION'!$B$14+AC10*AD10</f>
        <v>44559.984800000006</v>
      </c>
    </row>
    <row r="11" spans="1:31" s="64" customFormat="1">
      <c r="A11" s="77" t="s">
        <v>182</v>
      </c>
      <c r="B11" s="61" t="str">
        <f>VLOOKUP(A11,'CENTRO DE COSTOS'!A:D,4,FALSE)</f>
        <v>WILLIAM ASDRUBAL ROZO ROZO</v>
      </c>
      <c r="C11" s="61" t="str">
        <f>VLOOKUP(A11,'CENTRO DE COSTOS'!A:C,2,FALSE)</f>
        <v>0004-0004</v>
      </c>
      <c r="D11" s="77">
        <v>11001</v>
      </c>
      <c r="E11" s="78" t="s">
        <v>183</v>
      </c>
      <c r="F11" s="83">
        <v>81630</v>
      </c>
      <c r="G11" s="99" t="s">
        <v>102</v>
      </c>
      <c r="H11" s="83" t="s">
        <v>119</v>
      </c>
      <c r="I11" s="83" t="s">
        <v>184</v>
      </c>
      <c r="J11" s="87" t="s">
        <v>182</v>
      </c>
      <c r="K11" s="83" t="s">
        <v>185</v>
      </c>
      <c r="L11" s="100" t="s">
        <v>107</v>
      </c>
      <c r="M11" s="56" t="s">
        <v>186</v>
      </c>
      <c r="N11" s="101">
        <v>45924</v>
      </c>
      <c r="O11" s="102">
        <v>45929</v>
      </c>
      <c r="P11" s="86" t="s">
        <v>124</v>
      </c>
      <c r="Q11" s="87" t="s">
        <v>146</v>
      </c>
      <c r="R11" s="78" t="s">
        <v>187</v>
      </c>
      <c r="S11" s="83" t="s">
        <v>188</v>
      </c>
      <c r="T11" s="61" t="s">
        <v>112</v>
      </c>
      <c r="U11" s="78" t="s">
        <v>189</v>
      </c>
      <c r="V11" s="87" t="s">
        <v>138</v>
      </c>
      <c r="W11" s="102" t="s">
        <v>115</v>
      </c>
      <c r="X11" s="99" t="s">
        <v>190</v>
      </c>
      <c r="Y11" s="99">
        <v>0</v>
      </c>
      <c r="Z11" s="99">
        <v>0</v>
      </c>
      <c r="AA11" s="99">
        <v>0</v>
      </c>
      <c r="AB11" s="99">
        <v>0</v>
      </c>
      <c r="AC11" s="99">
        <v>1</v>
      </c>
      <c r="AD11" s="62">
        <f>IF(V11="TIPO I",'BASE LIQUIDACION'!$D$3,IF(V11="TIPO II",'BASE LIQUIDACION'!$D$4,IF(V11="TIPO III",'BASE LIQUIDACION'!$D$5,'BASE LIQUIDACION'!$D$7)))</f>
        <v>44559.984800000006</v>
      </c>
      <c r="AE11" s="62">
        <f>Y11*'BASE LIQUIDACION'!$B$12+Z11*'BASE LIQUIDACION'!$B$11+AA11*'BASE LIQUIDACION'!$B$13+AB11*'BASE LIQUIDACION'!$B$14+AC11*AD11</f>
        <v>44559.984800000006</v>
      </c>
    </row>
    <row r="12" spans="1:31">
      <c r="AE12" s="75">
        <f>SUM(AE3:AE11)</f>
        <v>1511089.1706000001</v>
      </c>
    </row>
    <row r="21" spans="26:26">
      <c r="Z21" s="96" t="s">
        <v>2168</v>
      </c>
    </row>
    <row r="22" spans="26:26">
      <c r="Z22" s="96" t="s">
        <v>2169</v>
      </c>
    </row>
  </sheetData>
  <conditionalFormatting sqref="E12:E1048576">
    <cfRule type="duplicateValues" dxfId="93" priority="991"/>
  </conditionalFormatting>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1F77D-E178-4EA9-B086-9B27EF477197}">
  <dimension ref="A1:F1124"/>
  <sheetViews>
    <sheetView workbookViewId="0">
      <selection activeCell="I25" sqref="I25"/>
    </sheetView>
  </sheetViews>
  <sheetFormatPr baseColWidth="10" defaultColWidth="8.85546875" defaultRowHeight="12.75"/>
  <cols>
    <col min="1" max="6" width="15.85546875" customWidth="1"/>
  </cols>
  <sheetData>
    <row r="1" spans="1:6" ht="42.75">
      <c r="A1" s="32" t="s">
        <v>191</v>
      </c>
      <c r="B1" s="33" t="s">
        <v>78</v>
      </c>
      <c r="C1" s="33" t="s">
        <v>77</v>
      </c>
      <c r="D1" s="33" t="s">
        <v>192</v>
      </c>
      <c r="E1" s="34" t="s">
        <v>193</v>
      </c>
      <c r="F1" s="34" t="s">
        <v>194</v>
      </c>
    </row>
    <row r="2" spans="1:6" ht="13.5">
      <c r="A2" s="35">
        <v>91430</v>
      </c>
      <c r="B2" s="36" t="s">
        <v>195</v>
      </c>
      <c r="C2" s="37" t="s">
        <v>196</v>
      </c>
      <c r="D2" s="37" t="s">
        <v>182</v>
      </c>
      <c r="E2" s="37" t="s">
        <v>197</v>
      </c>
      <c r="F2" s="38" t="s">
        <v>128</v>
      </c>
    </row>
    <row r="3" spans="1:6" ht="13.5">
      <c r="A3" s="35">
        <v>91669</v>
      </c>
      <c r="B3" s="36" t="s">
        <v>198</v>
      </c>
      <c r="C3" s="37" t="s">
        <v>196</v>
      </c>
      <c r="D3" s="37" t="s">
        <v>182</v>
      </c>
      <c r="E3" s="37" t="s">
        <v>197</v>
      </c>
      <c r="F3" s="38" t="s">
        <v>128</v>
      </c>
    </row>
    <row r="4" spans="1:6" ht="13.5">
      <c r="A4" s="35">
        <v>91263</v>
      </c>
      <c r="B4" s="37" t="s">
        <v>199</v>
      </c>
      <c r="C4" s="37" t="s">
        <v>196</v>
      </c>
      <c r="D4" s="37" t="s">
        <v>182</v>
      </c>
      <c r="E4" s="37" t="s">
        <v>197</v>
      </c>
      <c r="F4" s="38" t="s">
        <v>128</v>
      </c>
    </row>
    <row r="5" spans="1:6" ht="13.5">
      <c r="A5" s="35">
        <v>91405</v>
      </c>
      <c r="B5" s="37" t="s">
        <v>200</v>
      </c>
      <c r="C5" s="37" t="s">
        <v>196</v>
      </c>
      <c r="D5" s="37" t="s">
        <v>182</v>
      </c>
      <c r="E5" s="37" t="s">
        <v>197</v>
      </c>
      <c r="F5" s="38" t="s">
        <v>128</v>
      </c>
    </row>
    <row r="6" spans="1:6" ht="13.5">
      <c r="A6" s="35">
        <v>91407</v>
      </c>
      <c r="B6" s="37" t="s">
        <v>201</v>
      </c>
      <c r="C6" s="37" t="s">
        <v>196</v>
      </c>
      <c r="D6" s="37" t="s">
        <v>182</v>
      </c>
      <c r="E6" s="37" t="s">
        <v>197</v>
      </c>
      <c r="F6" s="38" t="s">
        <v>128</v>
      </c>
    </row>
    <row r="7" spans="1:6" ht="13.5">
      <c r="A7" s="35">
        <v>91001</v>
      </c>
      <c r="B7" s="37" t="s">
        <v>202</v>
      </c>
      <c r="C7" s="37" t="s">
        <v>196</v>
      </c>
      <c r="D7" s="37" t="s">
        <v>182</v>
      </c>
      <c r="E7" s="37" t="s">
        <v>197</v>
      </c>
      <c r="F7" s="38" t="s">
        <v>128</v>
      </c>
    </row>
    <row r="8" spans="1:6" ht="13.5">
      <c r="A8" s="35">
        <v>91460</v>
      </c>
      <c r="B8" s="37" t="s">
        <v>203</v>
      </c>
      <c r="C8" s="37" t="s">
        <v>196</v>
      </c>
      <c r="D8" s="37" t="s">
        <v>182</v>
      </c>
      <c r="E8" s="37" t="s">
        <v>197</v>
      </c>
      <c r="F8" s="38" t="s">
        <v>128</v>
      </c>
    </row>
    <row r="9" spans="1:6" ht="13.5">
      <c r="A9" s="35">
        <v>91530</v>
      </c>
      <c r="B9" s="37" t="s">
        <v>204</v>
      </c>
      <c r="C9" s="37" t="s">
        <v>196</v>
      </c>
      <c r="D9" s="37" t="s">
        <v>182</v>
      </c>
      <c r="E9" s="37" t="s">
        <v>197</v>
      </c>
      <c r="F9" s="38" t="s">
        <v>128</v>
      </c>
    </row>
    <row r="10" spans="1:6" ht="13.5">
      <c r="A10" s="35">
        <v>91536</v>
      </c>
      <c r="B10" s="37" t="s">
        <v>205</v>
      </c>
      <c r="C10" s="37" t="s">
        <v>196</v>
      </c>
      <c r="D10" s="37" t="s">
        <v>182</v>
      </c>
      <c r="E10" s="37" t="s">
        <v>197</v>
      </c>
      <c r="F10" s="38" t="s">
        <v>128</v>
      </c>
    </row>
    <row r="11" spans="1:6" ht="13.5">
      <c r="A11" s="35">
        <v>91540</v>
      </c>
      <c r="B11" s="37" t="s">
        <v>206</v>
      </c>
      <c r="C11" s="37" t="s">
        <v>196</v>
      </c>
      <c r="D11" s="37" t="s">
        <v>182</v>
      </c>
      <c r="E11" s="37" t="s">
        <v>197</v>
      </c>
      <c r="F11" s="38" t="s">
        <v>128</v>
      </c>
    </row>
    <row r="12" spans="1:6" ht="13.5">
      <c r="A12" s="35">
        <v>91798</v>
      </c>
      <c r="B12" s="37" t="s">
        <v>207</v>
      </c>
      <c r="C12" s="37" t="s">
        <v>196</v>
      </c>
      <c r="D12" s="37" t="s">
        <v>182</v>
      </c>
      <c r="E12" s="37" t="s">
        <v>197</v>
      </c>
      <c r="F12" s="38" t="s">
        <v>128</v>
      </c>
    </row>
    <row r="13" spans="1:6" ht="13.5">
      <c r="A13" s="35">
        <v>5055</v>
      </c>
      <c r="B13" s="36" t="s">
        <v>208</v>
      </c>
      <c r="C13" s="37" t="s">
        <v>152</v>
      </c>
      <c r="D13" s="37" t="s">
        <v>165</v>
      </c>
      <c r="E13" s="37" t="s">
        <v>115</v>
      </c>
      <c r="F13" s="38" t="s">
        <v>172</v>
      </c>
    </row>
    <row r="14" spans="1:6" ht="13.5">
      <c r="A14" s="35">
        <v>5059</v>
      </c>
      <c r="B14" s="36" t="s">
        <v>209</v>
      </c>
      <c r="C14" s="37" t="s">
        <v>152</v>
      </c>
      <c r="D14" s="37" t="s">
        <v>165</v>
      </c>
      <c r="E14" s="37" t="s">
        <v>115</v>
      </c>
      <c r="F14" s="38" t="s">
        <v>114</v>
      </c>
    </row>
    <row r="15" spans="1:6" ht="13.5">
      <c r="A15" s="35">
        <v>5079</v>
      </c>
      <c r="B15" s="36" t="s">
        <v>210</v>
      </c>
      <c r="C15" s="37" t="s">
        <v>152</v>
      </c>
      <c r="D15" s="37" t="s">
        <v>165</v>
      </c>
      <c r="E15" s="37" t="s">
        <v>115</v>
      </c>
      <c r="F15" s="38" t="s">
        <v>114</v>
      </c>
    </row>
    <row r="16" spans="1:6" ht="13.5">
      <c r="A16" s="35">
        <v>5093</v>
      </c>
      <c r="B16" s="36" t="s">
        <v>211</v>
      </c>
      <c r="C16" s="37" t="s">
        <v>152</v>
      </c>
      <c r="D16" s="37" t="s">
        <v>165</v>
      </c>
      <c r="E16" s="37" t="s">
        <v>115</v>
      </c>
      <c r="F16" s="38" t="s">
        <v>212</v>
      </c>
    </row>
    <row r="17" spans="1:6" ht="13.5">
      <c r="A17" s="35">
        <v>5107</v>
      </c>
      <c r="B17" s="36" t="s">
        <v>213</v>
      </c>
      <c r="C17" s="37" t="s">
        <v>152</v>
      </c>
      <c r="D17" s="37" t="s">
        <v>165</v>
      </c>
      <c r="E17" s="37" t="s">
        <v>115</v>
      </c>
      <c r="F17" s="38" t="s">
        <v>212</v>
      </c>
    </row>
    <row r="18" spans="1:6" ht="13.5">
      <c r="A18" s="35">
        <v>5129</v>
      </c>
      <c r="B18" s="36" t="s">
        <v>214</v>
      </c>
      <c r="C18" s="37" t="s">
        <v>152</v>
      </c>
      <c r="D18" s="37" t="s">
        <v>165</v>
      </c>
      <c r="E18" s="37" t="s">
        <v>115</v>
      </c>
      <c r="F18" s="38" t="s">
        <v>138</v>
      </c>
    </row>
    <row r="19" spans="1:6" ht="13.5">
      <c r="A19" s="35">
        <v>5206</v>
      </c>
      <c r="B19" s="36" t="s">
        <v>215</v>
      </c>
      <c r="C19" s="37" t="s">
        <v>152</v>
      </c>
      <c r="D19" s="37" t="s">
        <v>165</v>
      </c>
      <c r="E19" s="37" t="s">
        <v>115</v>
      </c>
      <c r="F19" s="38" t="s">
        <v>114</v>
      </c>
    </row>
    <row r="20" spans="1:6" ht="13.5">
      <c r="A20" s="35">
        <v>5209</v>
      </c>
      <c r="B20" s="36" t="s">
        <v>216</v>
      </c>
      <c r="C20" s="37" t="s">
        <v>152</v>
      </c>
      <c r="D20" s="37" t="s">
        <v>165</v>
      </c>
      <c r="E20" s="37" t="s">
        <v>115</v>
      </c>
      <c r="F20" s="38" t="s">
        <v>212</v>
      </c>
    </row>
    <row r="21" spans="1:6" ht="13.5">
      <c r="A21" s="35">
        <v>5313</v>
      </c>
      <c r="B21" s="36" t="s">
        <v>217</v>
      </c>
      <c r="C21" s="37" t="s">
        <v>152</v>
      </c>
      <c r="D21" s="37" t="s">
        <v>165</v>
      </c>
      <c r="E21" s="37" t="s">
        <v>115</v>
      </c>
      <c r="F21" s="38" t="s">
        <v>114</v>
      </c>
    </row>
    <row r="22" spans="1:6" ht="13.5">
      <c r="A22" s="35">
        <v>5315</v>
      </c>
      <c r="B22" s="36" t="s">
        <v>218</v>
      </c>
      <c r="C22" s="37" t="s">
        <v>152</v>
      </c>
      <c r="D22" s="37" t="s">
        <v>165</v>
      </c>
      <c r="E22" s="37" t="s">
        <v>115</v>
      </c>
      <c r="F22" s="38" t="s">
        <v>212</v>
      </c>
    </row>
    <row r="23" spans="1:6" ht="13.5">
      <c r="A23" s="35">
        <v>5368</v>
      </c>
      <c r="B23" s="36" t="s">
        <v>219</v>
      </c>
      <c r="C23" s="37" t="s">
        <v>152</v>
      </c>
      <c r="D23" s="37" t="s">
        <v>165</v>
      </c>
      <c r="E23" s="37" t="s">
        <v>115</v>
      </c>
      <c r="F23" s="38" t="s">
        <v>212</v>
      </c>
    </row>
    <row r="24" spans="1:6" ht="13.5">
      <c r="A24" s="35">
        <v>5400</v>
      </c>
      <c r="B24" s="36" t="s">
        <v>220</v>
      </c>
      <c r="C24" s="37" t="s">
        <v>152</v>
      </c>
      <c r="D24" s="37" t="s">
        <v>165</v>
      </c>
      <c r="E24" s="37" t="s">
        <v>115</v>
      </c>
      <c r="F24" s="38" t="s">
        <v>114</v>
      </c>
    </row>
    <row r="25" spans="1:6" ht="13.5">
      <c r="A25" s="35">
        <v>5483</v>
      </c>
      <c r="B25" s="36" t="s">
        <v>104</v>
      </c>
      <c r="C25" s="37" t="s">
        <v>152</v>
      </c>
      <c r="D25" s="37" t="s">
        <v>165</v>
      </c>
      <c r="E25" s="37" t="s">
        <v>115</v>
      </c>
      <c r="F25" s="38" t="s">
        <v>172</v>
      </c>
    </row>
    <row r="26" spans="1:6" ht="13.5">
      <c r="A26" s="35">
        <v>5615</v>
      </c>
      <c r="B26" s="36" t="s">
        <v>221</v>
      </c>
      <c r="C26" s="37" t="s">
        <v>152</v>
      </c>
      <c r="D26" s="37" t="s">
        <v>165</v>
      </c>
      <c r="E26" s="37" t="s">
        <v>115</v>
      </c>
      <c r="F26" s="38" t="s">
        <v>114</v>
      </c>
    </row>
    <row r="27" spans="1:6" ht="13.5">
      <c r="A27" s="35">
        <v>5628</v>
      </c>
      <c r="B27" s="36" t="s">
        <v>222</v>
      </c>
      <c r="C27" s="37" t="s">
        <v>152</v>
      </c>
      <c r="D27" s="37" t="s">
        <v>165</v>
      </c>
      <c r="E27" s="37" t="s">
        <v>115</v>
      </c>
      <c r="F27" s="38" t="s">
        <v>212</v>
      </c>
    </row>
    <row r="28" spans="1:6" ht="13.5">
      <c r="A28" s="35">
        <v>5649</v>
      </c>
      <c r="B28" s="36" t="s">
        <v>223</v>
      </c>
      <c r="C28" s="37" t="s">
        <v>152</v>
      </c>
      <c r="D28" s="37" t="s">
        <v>165</v>
      </c>
      <c r="E28" s="37" t="s">
        <v>115</v>
      </c>
      <c r="F28" s="38" t="s">
        <v>212</v>
      </c>
    </row>
    <row r="29" spans="1:6" ht="13.5">
      <c r="A29" s="35">
        <v>5652</v>
      </c>
      <c r="B29" s="36" t="s">
        <v>224</v>
      </c>
      <c r="C29" s="37" t="s">
        <v>152</v>
      </c>
      <c r="D29" s="37" t="s">
        <v>165</v>
      </c>
      <c r="E29" s="37" t="s">
        <v>115</v>
      </c>
      <c r="F29" s="38" t="s">
        <v>212</v>
      </c>
    </row>
    <row r="30" spans="1:6" ht="13.5">
      <c r="A30" s="35">
        <v>5660</v>
      </c>
      <c r="B30" s="36" t="s">
        <v>225</v>
      </c>
      <c r="C30" s="37" t="s">
        <v>152</v>
      </c>
      <c r="D30" s="37" t="s">
        <v>165</v>
      </c>
      <c r="E30" s="37" t="s">
        <v>115</v>
      </c>
      <c r="F30" s="38" t="s">
        <v>212</v>
      </c>
    </row>
    <row r="31" spans="1:6" ht="13.5">
      <c r="A31" s="35">
        <v>5664</v>
      </c>
      <c r="B31" s="36" t="s">
        <v>226</v>
      </c>
      <c r="C31" s="37" t="s">
        <v>152</v>
      </c>
      <c r="D31" s="37" t="s">
        <v>165</v>
      </c>
      <c r="E31" s="37" t="s">
        <v>115</v>
      </c>
      <c r="F31" s="38" t="s">
        <v>114</v>
      </c>
    </row>
    <row r="32" spans="1:6" ht="13.5">
      <c r="A32" s="35">
        <v>5679</v>
      </c>
      <c r="B32" s="36" t="s">
        <v>227</v>
      </c>
      <c r="C32" s="37" t="s">
        <v>152</v>
      </c>
      <c r="D32" s="37" t="s">
        <v>165</v>
      </c>
      <c r="E32" s="37" t="s">
        <v>115</v>
      </c>
      <c r="F32" s="38" t="s">
        <v>114</v>
      </c>
    </row>
    <row r="33" spans="1:6" ht="13.5">
      <c r="A33" s="35">
        <v>5819</v>
      </c>
      <c r="B33" s="36" t="s">
        <v>228</v>
      </c>
      <c r="C33" s="37" t="s">
        <v>152</v>
      </c>
      <c r="D33" s="37" t="s">
        <v>165</v>
      </c>
      <c r="E33" s="37" t="s">
        <v>115</v>
      </c>
      <c r="F33" s="38" t="s">
        <v>172</v>
      </c>
    </row>
    <row r="34" spans="1:6" ht="13.5">
      <c r="A34" s="35">
        <v>5856</v>
      </c>
      <c r="B34" s="36" t="s">
        <v>229</v>
      </c>
      <c r="C34" s="37" t="s">
        <v>152</v>
      </c>
      <c r="D34" s="37" t="s">
        <v>165</v>
      </c>
      <c r="E34" s="37" t="s">
        <v>115</v>
      </c>
      <c r="F34" s="38" t="s">
        <v>212</v>
      </c>
    </row>
    <row r="35" spans="1:6" ht="13.5">
      <c r="A35" s="35">
        <v>5861</v>
      </c>
      <c r="B35" s="36" t="s">
        <v>230</v>
      </c>
      <c r="C35" s="37" t="s">
        <v>152</v>
      </c>
      <c r="D35" s="37" t="s">
        <v>165</v>
      </c>
      <c r="E35" s="37" t="s">
        <v>115</v>
      </c>
      <c r="F35" s="38" t="s">
        <v>114</v>
      </c>
    </row>
    <row r="36" spans="1:6" ht="13.5">
      <c r="A36" s="35">
        <v>5002</v>
      </c>
      <c r="B36" s="37" t="s">
        <v>231</v>
      </c>
      <c r="C36" s="37" t="s">
        <v>152</v>
      </c>
      <c r="D36" s="37" t="s">
        <v>165</v>
      </c>
      <c r="E36" s="37" t="s">
        <v>115</v>
      </c>
      <c r="F36" s="38" t="s">
        <v>212</v>
      </c>
    </row>
    <row r="37" spans="1:6" ht="13.5">
      <c r="A37" s="35">
        <v>5004</v>
      </c>
      <c r="B37" s="37" t="s">
        <v>232</v>
      </c>
      <c r="C37" s="37" t="s">
        <v>152</v>
      </c>
      <c r="D37" s="37" t="s">
        <v>165</v>
      </c>
      <c r="E37" s="37" t="s">
        <v>115</v>
      </c>
      <c r="F37" s="38" t="s">
        <v>172</v>
      </c>
    </row>
    <row r="38" spans="1:6" ht="13.5">
      <c r="A38" s="35">
        <v>5021</v>
      </c>
      <c r="B38" s="37" t="s">
        <v>233</v>
      </c>
      <c r="C38" s="37" t="s">
        <v>152</v>
      </c>
      <c r="D38" s="37" t="s">
        <v>165</v>
      </c>
      <c r="E38" s="37" t="s">
        <v>115</v>
      </c>
      <c r="F38" s="38" t="s">
        <v>212</v>
      </c>
    </row>
    <row r="39" spans="1:6" ht="13.5">
      <c r="A39" s="35">
        <v>5030</v>
      </c>
      <c r="B39" s="37" t="s">
        <v>234</v>
      </c>
      <c r="C39" s="37" t="s">
        <v>152</v>
      </c>
      <c r="D39" s="37" t="s">
        <v>165</v>
      </c>
      <c r="E39" s="37" t="s">
        <v>115</v>
      </c>
      <c r="F39" s="38" t="s">
        <v>114</v>
      </c>
    </row>
    <row r="40" spans="1:6" ht="13.5">
      <c r="A40" s="35">
        <v>5031</v>
      </c>
      <c r="B40" s="37" t="s">
        <v>235</v>
      </c>
      <c r="C40" s="37" t="s">
        <v>152</v>
      </c>
      <c r="D40" s="37" t="s">
        <v>165</v>
      </c>
      <c r="E40" s="37" t="s">
        <v>115</v>
      </c>
      <c r="F40" s="38" t="s">
        <v>172</v>
      </c>
    </row>
    <row r="41" spans="1:6" ht="13.5">
      <c r="A41" s="35">
        <v>5034</v>
      </c>
      <c r="B41" s="37" t="s">
        <v>236</v>
      </c>
      <c r="C41" s="37" t="s">
        <v>152</v>
      </c>
      <c r="D41" s="37" t="s">
        <v>165</v>
      </c>
      <c r="E41" s="37" t="s">
        <v>115</v>
      </c>
      <c r="F41" s="38" t="s">
        <v>212</v>
      </c>
    </row>
    <row r="42" spans="1:6" ht="13.5">
      <c r="A42" s="35">
        <v>5036</v>
      </c>
      <c r="B42" s="37" t="s">
        <v>237</v>
      </c>
      <c r="C42" s="37" t="s">
        <v>152</v>
      </c>
      <c r="D42" s="37" t="s">
        <v>165</v>
      </c>
      <c r="E42" s="37" t="s">
        <v>115</v>
      </c>
      <c r="F42" s="38" t="s">
        <v>114</v>
      </c>
    </row>
    <row r="43" spans="1:6" ht="13.5">
      <c r="A43" s="35">
        <v>5038</v>
      </c>
      <c r="B43" s="37" t="s">
        <v>238</v>
      </c>
      <c r="C43" s="37" t="s">
        <v>152</v>
      </c>
      <c r="D43" s="37" t="s">
        <v>165</v>
      </c>
      <c r="E43" s="37" t="s">
        <v>115</v>
      </c>
      <c r="F43" s="38" t="s">
        <v>212</v>
      </c>
    </row>
    <row r="44" spans="1:6" ht="13.5">
      <c r="A44" s="35">
        <v>5040</v>
      </c>
      <c r="B44" s="37" t="s">
        <v>239</v>
      </c>
      <c r="C44" s="37" t="s">
        <v>152</v>
      </c>
      <c r="D44" s="37" t="s">
        <v>165</v>
      </c>
      <c r="E44" s="37" t="s">
        <v>115</v>
      </c>
      <c r="F44" s="38" t="s">
        <v>172</v>
      </c>
    </row>
    <row r="45" spans="1:6" ht="13.5">
      <c r="A45" s="35">
        <v>5044</v>
      </c>
      <c r="B45" s="37" t="s">
        <v>240</v>
      </c>
      <c r="C45" s="37" t="s">
        <v>152</v>
      </c>
      <c r="D45" s="37" t="s">
        <v>165</v>
      </c>
      <c r="E45" s="37" t="s">
        <v>115</v>
      </c>
      <c r="F45" s="38" t="s">
        <v>212</v>
      </c>
    </row>
    <row r="46" spans="1:6" ht="13.5">
      <c r="A46" s="35">
        <v>5045</v>
      </c>
      <c r="B46" s="37" t="s">
        <v>150</v>
      </c>
      <c r="C46" s="37" t="s">
        <v>152</v>
      </c>
      <c r="D46" s="37" t="s">
        <v>150</v>
      </c>
      <c r="E46" s="37" t="s">
        <v>115</v>
      </c>
      <c r="F46" s="38" t="s">
        <v>138</v>
      </c>
    </row>
    <row r="47" spans="1:6" ht="13.5">
      <c r="A47" s="35">
        <v>5051</v>
      </c>
      <c r="B47" s="37" t="s">
        <v>241</v>
      </c>
      <c r="C47" s="37" t="s">
        <v>152</v>
      </c>
      <c r="D47" s="37" t="s">
        <v>242</v>
      </c>
      <c r="E47" s="37" t="s">
        <v>115</v>
      </c>
      <c r="F47" s="38" t="s">
        <v>114</v>
      </c>
    </row>
    <row r="48" spans="1:6" ht="13.5">
      <c r="A48" s="35">
        <v>5088</v>
      </c>
      <c r="B48" s="37" t="s">
        <v>243</v>
      </c>
      <c r="C48" s="37" t="s">
        <v>152</v>
      </c>
      <c r="D48" s="37" t="s">
        <v>165</v>
      </c>
      <c r="E48" s="37" t="s">
        <v>115</v>
      </c>
      <c r="F48" s="38" t="s">
        <v>138</v>
      </c>
    </row>
    <row r="49" spans="1:6" ht="13.5">
      <c r="A49" s="35">
        <v>5086</v>
      </c>
      <c r="B49" s="37" t="s">
        <v>244</v>
      </c>
      <c r="C49" s="37" t="s">
        <v>152</v>
      </c>
      <c r="D49" s="37" t="s">
        <v>165</v>
      </c>
      <c r="E49" s="37" t="s">
        <v>115</v>
      </c>
      <c r="F49" s="38" t="s">
        <v>114</v>
      </c>
    </row>
    <row r="50" spans="1:6" ht="13.5">
      <c r="A50" s="35">
        <v>5091</v>
      </c>
      <c r="B50" s="37" t="s">
        <v>245</v>
      </c>
      <c r="C50" s="37" t="s">
        <v>152</v>
      </c>
      <c r="D50" s="37" t="s">
        <v>165</v>
      </c>
      <c r="E50" s="37" t="s">
        <v>115</v>
      </c>
      <c r="F50" s="38" t="s">
        <v>212</v>
      </c>
    </row>
    <row r="51" spans="1:6" ht="13.5">
      <c r="A51" s="35">
        <v>5113</v>
      </c>
      <c r="B51" s="37" t="s">
        <v>246</v>
      </c>
      <c r="C51" s="37" t="s">
        <v>152</v>
      </c>
      <c r="D51" s="37" t="s">
        <v>165</v>
      </c>
      <c r="E51" s="37" t="s">
        <v>115</v>
      </c>
      <c r="F51" s="38" t="s">
        <v>172</v>
      </c>
    </row>
    <row r="52" spans="1:6" ht="13.5">
      <c r="A52" s="35">
        <v>5120</v>
      </c>
      <c r="B52" s="37" t="s">
        <v>247</v>
      </c>
      <c r="C52" s="37" t="s">
        <v>152</v>
      </c>
      <c r="D52" s="37" t="s">
        <v>165</v>
      </c>
      <c r="E52" s="37" t="s">
        <v>115</v>
      </c>
      <c r="F52" s="38" t="s">
        <v>172</v>
      </c>
    </row>
    <row r="53" spans="1:6" ht="13.5">
      <c r="A53" s="35">
        <v>5125</v>
      </c>
      <c r="B53" s="37" t="s">
        <v>248</v>
      </c>
      <c r="C53" s="37" t="s">
        <v>152</v>
      </c>
      <c r="D53" s="37" t="s">
        <v>165</v>
      </c>
      <c r="E53" s="37" t="s">
        <v>115</v>
      </c>
      <c r="F53" s="38" t="s">
        <v>212</v>
      </c>
    </row>
    <row r="54" spans="1:6" ht="13.5">
      <c r="A54" s="35">
        <v>5134</v>
      </c>
      <c r="B54" s="37" t="s">
        <v>249</v>
      </c>
      <c r="C54" s="37" t="s">
        <v>152</v>
      </c>
      <c r="D54" s="37" t="s">
        <v>165</v>
      </c>
      <c r="E54" s="37" t="s">
        <v>115</v>
      </c>
      <c r="F54" s="38" t="s">
        <v>212</v>
      </c>
    </row>
    <row r="55" spans="1:6" ht="13.5">
      <c r="A55" s="35">
        <v>5138</v>
      </c>
      <c r="B55" s="37" t="s">
        <v>250</v>
      </c>
      <c r="C55" s="37" t="s">
        <v>152</v>
      </c>
      <c r="D55" s="37" t="s">
        <v>165</v>
      </c>
      <c r="E55" s="37" t="s">
        <v>115</v>
      </c>
      <c r="F55" s="38" t="s">
        <v>212</v>
      </c>
    </row>
    <row r="56" spans="1:6" ht="13.5">
      <c r="A56" s="35">
        <v>5142</v>
      </c>
      <c r="B56" s="37" t="s">
        <v>251</v>
      </c>
      <c r="C56" s="37" t="s">
        <v>152</v>
      </c>
      <c r="D56" s="37" t="s">
        <v>165</v>
      </c>
      <c r="E56" s="37" t="s">
        <v>115</v>
      </c>
      <c r="F56" s="38" t="s">
        <v>212</v>
      </c>
    </row>
    <row r="57" spans="1:6" ht="13.5">
      <c r="A57" s="35">
        <v>5145</v>
      </c>
      <c r="B57" s="37" t="s">
        <v>252</v>
      </c>
      <c r="C57" s="37" t="s">
        <v>152</v>
      </c>
      <c r="D57" s="37" t="s">
        <v>165</v>
      </c>
      <c r="E57" s="37" t="s">
        <v>115</v>
      </c>
      <c r="F57" s="38" t="s">
        <v>212</v>
      </c>
    </row>
    <row r="58" spans="1:6" ht="13.5">
      <c r="A58" s="35">
        <v>5147</v>
      </c>
      <c r="B58" s="37" t="s">
        <v>253</v>
      </c>
      <c r="C58" s="37" t="s">
        <v>152</v>
      </c>
      <c r="D58" s="37" t="s">
        <v>150</v>
      </c>
      <c r="E58" s="37" t="s">
        <v>115</v>
      </c>
      <c r="F58" s="38" t="s">
        <v>138</v>
      </c>
    </row>
    <row r="59" spans="1:6" ht="13.5">
      <c r="A59" s="35">
        <v>5150</v>
      </c>
      <c r="B59" s="37" t="s">
        <v>254</v>
      </c>
      <c r="C59" s="37" t="s">
        <v>152</v>
      </c>
      <c r="D59" s="37" t="s">
        <v>165</v>
      </c>
      <c r="E59" s="37" t="s">
        <v>115</v>
      </c>
      <c r="F59" s="38" t="s">
        <v>212</v>
      </c>
    </row>
    <row r="60" spans="1:6" ht="13.5">
      <c r="A60" s="35">
        <v>5154</v>
      </c>
      <c r="B60" s="37" t="s">
        <v>255</v>
      </c>
      <c r="C60" s="37" t="s">
        <v>152</v>
      </c>
      <c r="D60" s="37" t="s">
        <v>242</v>
      </c>
      <c r="E60" s="37" t="s">
        <v>115</v>
      </c>
      <c r="F60" s="38" t="s">
        <v>114</v>
      </c>
    </row>
    <row r="61" spans="1:6" ht="13.5">
      <c r="A61" s="35">
        <v>5172</v>
      </c>
      <c r="B61" s="37" t="s">
        <v>256</v>
      </c>
      <c r="C61" s="37" t="s">
        <v>152</v>
      </c>
      <c r="D61" s="37" t="s">
        <v>150</v>
      </c>
      <c r="E61" s="37" t="s">
        <v>115</v>
      </c>
      <c r="F61" s="38" t="s">
        <v>114</v>
      </c>
    </row>
    <row r="62" spans="1:6" ht="13.5">
      <c r="A62" s="35">
        <v>5190</v>
      </c>
      <c r="B62" s="37" t="s">
        <v>257</v>
      </c>
      <c r="C62" s="37" t="s">
        <v>152</v>
      </c>
      <c r="D62" s="37" t="s">
        <v>165</v>
      </c>
      <c r="E62" s="37" t="s">
        <v>115</v>
      </c>
      <c r="F62" s="38" t="s">
        <v>114</v>
      </c>
    </row>
    <row r="63" spans="1:6" ht="13.5">
      <c r="A63" s="35">
        <v>5101</v>
      </c>
      <c r="B63" s="37" t="s">
        <v>258</v>
      </c>
      <c r="C63" s="37" t="s">
        <v>152</v>
      </c>
      <c r="D63" s="37" t="s">
        <v>165</v>
      </c>
      <c r="E63" s="37" t="s">
        <v>115</v>
      </c>
      <c r="F63" s="38" t="s">
        <v>114</v>
      </c>
    </row>
    <row r="64" spans="1:6" ht="13.5">
      <c r="A64" s="35">
        <v>5197</v>
      </c>
      <c r="B64" s="37" t="s">
        <v>259</v>
      </c>
      <c r="C64" s="37" t="s">
        <v>152</v>
      </c>
      <c r="D64" s="37" t="s">
        <v>165</v>
      </c>
      <c r="E64" s="37" t="s">
        <v>115</v>
      </c>
      <c r="F64" s="38" t="s">
        <v>114</v>
      </c>
    </row>
    <row r="65" spans="1:6" ht="13.5">
      <c r="A65" s="35">
        <v>5212</v>
      </c>
      <c r="B65" s="37" t="s">
        <v>260</v>
      </c>
      <c r="C65" s="37" t="s">
        <v>152</v>
      </c>
      <c r="D65" s="37" t="s">
        <v>165</v>
      </c>
      <c r="E65" s="37" t="s">
        <v>115</v>
      </c>
      <c r="F65" s="38" t="s">
        <v>138</v>
      </c>
    </row>
    <row r="66" spans="1:6" ht="13.5">
      <c r="A66" s="35">
        <v>5234</v>
      </c>
      <c r="B66" s="37" t="s">
        <v>261</v>
      </c>
      <c r="C66" s="37" t="s">
        <v>152</v>
      </c>
      <c r="D66" s="37" t="s">
        <v>165</v>
      </c>
      <c r="E66" s="37" t="s">
        <v>115</v>
      </c>
      <c r="F66" s="38" t="s">
        <v>172</v>
      </c>
    </row>
    <row r="67" spans="1:6" ht="13.5">
      <c r="A67" s="35">
        <v>5237</v>
      </c>
      <c r="B67" s="37" t="s">
        <v>262</v>
      </c>
      <c r="C67" s="37" t="s">
        <v>152</v>
      </c>
      <c r="D67" s="37" t="s">
        <v>165</v>
      </c>
      <c r="E67" s="37" t="s">
        <v>115</v>
      </c>
      <c r="F67" s="38" t="s">
        <v>114</v>
      </c>
    </row>
    <row r="68" spans="1:6" ht="13.5">
      <c r="A68" s="35">
        <v>5240</v>
      </c>
      <c r="B68" s="37" t="s">
        <v>263</v>
      </c>
      <c r="C68" s="37" t="s">
        <v>152</v>
      </c>
      <c r="D68" s="37" t="s">
        <v>165</v>
      </c>
      <c r="E68" s="37" t="s">
        <v>115</v>
      </c>
      <c r="F68" s="38" t="s">
        <v>114</v>
      </c>
    </row>
    <row r="69" spans="1:6" ht="13.5">
      <c r="A69" s="35">
        <v>5250</v>
      </c>
      <c r="B69" s="37" t="s">
        <v>264</v>
      </c>
      <c r="C69" s="37" t="s">
        <v>152</v>
      </c>
      <c r="D69" s="37" t="s">
        <v>242</v>
      </c>
      <c r="E69" s="37" t="s">
        <v>115</v>
      </c>
      <c r="F69" s="38" t="s">
        <v>172</v>
      </c>
    </row>
    <row r="70" spans="1:6" ht="13.5">
      <c r="A70" s="35">
        <v>5148</v>
      </c>
      <c r="B70" s="37" t="s">
        <v>265</v>
      </c>
      <c r="C70" s="37" t="s">
        <v>152</v>
      </c>
      <c r="D70" s="37" t="s">
        <v>165</v>
      </c>
      <c r="E70" s="37" t="s">
        <v>115</v>
      </c>
      <c r="F70" s="38" t="s">
        <v>114</v>
      </c>
    </row>
    <row r="71" spans="1:6" ht="13.5">
      <c r="A71" s="35">
        <v>5697</v>
      </c>
      <c r="B71" s="37" t="s">
        <v>266</v>
      </c>
      <c r="C71" s="37" t="s">
        <v>152</v>
      </c>
      <c r="D71" s="37" t="s">
        <v>165</v>
      </c>
      <c r="E71" s="37" t="s">
        <v>115</v>
      </c>
      <c r="F71" s="38" t="s">
        <v>114</v>
      </c>
    </row>
    <row r="72" spans="1:6" ht="13.5">
      <c r="A72" s="35">
        <v>5264</v>
      </c>
      <c r="B72" s="37" t="s">
        <v>267</v>
      </c>
      <c r="C72" s="37" t="s">
        <v>152</v>
      </c>
      <c r="D72" s="37" t="s">
        <v>165</v>
      </c>
      <c r="E72" s="37" t="s">
        <v>115</v>
      </c>
      <c r="F72" s="38" t="s">
        <v>114</v>
      </c>
    </row>
    <row r="73" spans="1:6" ht="13.5">
      <c r="A73" s="35">
        <v>5266</v>
      </c>
      <c r="B73" s="37" t="s">
        <v>268</v>
      </c>
      <c r="C73" s="37" t="s">
        <v>152</v>
      </c>
      <c r="D73" s="37" t="s">
        <v>165</v>
      </c>
      <c r="E73" s="37" t="s">
        <v>115</v>
      </c>
      <c r="F73" s="38" t="s">
        <v>138</v>
      </c>
    </row>
    <row r="74" spans="1:6" ht="13.5">
      <c r="A74" s="35">
        <v>5282</v>
      </c>
      <c r="B74" s="37" t="s">
        <v>269</v>
      </c>
      <c r="C74" s="37" t="s">
        <v>152</v>
      </c>
      <c r="D74" s="37" t="s">
        <v>165</v>
      </c>
      <c r="E74" s="37" t="s">
        <v>115</v>
      </c>
      <c r="F74" s="38" t="s">
        <v>114</v>
      </c>
    </row>
    <row r="75" spans="1:6" ht="13.5">
      <c r="A75" s="35">
        <v>5284</v>
      </c>
      <c r="B75" s="37" t="s">
        <v>270</v>
      </c>
      <c r="C75" s="37" t="s">
        <v>152</v>
      </c>
      <c r="D75" s="37" t="s">
        <v>165</v>
      </c>
      <c r="E75" s="37" t="s">
        <v>115</v>
      </c>
      <c r="F75" s="38" t="s">
        <v>172</v>
      </c>
    </row>
    <row r="76" spans="1:6" ht="13.5">
      <c r="A76" s="35">
        <v>5306</v>
      </c>
      <c r="B76" s="37" t="s">
        <v>271</v>
      </c>
      <c r="C76" s="37" t="s">
        <v>152</v>
      </c>
      <c r="D76" s="37" t="s">
        <v>165</v>
      </c>
      <c r="E76" s="37" t="s">
        <v>115</v>
      </c>
      <c r="F76" s="38" t="s">
        <v>212</v>
      </c>
    </row>
    <row r="77" spans="1:6" ht="13.5">
      <c r="A77" s="35">
        <v>5308</v>
      </c>
      <c r="B77" s="37" t="s">
        <v>272</v>
      </c>
      <c r="C77" s="37" t="s">
        <v>152</v>
      </c>
      <c r="D77" s="37" t="s">
        <v>165</v>
      </c>
      <c r="E77" s="37" t="s">
        <v>115</v>
      </c>
      <c r="F77" s="38" t="s">
        <v>138</v>
      </c>
    </row>
    <row r="78" spans="1:6" ht="13.5">
      <c r="A78" s="35">
        <v>5310</v>
      </c>
      <c r="B78" s="37" t="s">
        <v>273</v>
      </c>
      <c r="C78" s="37" t="s">
        <v>152</v>
      </c>
      <c r="D78" s="37" t="s">
        <v>165</v>
      </c>
      <c r="E78" s="37" t="s">
        <v>115</v>
      </c>
      <c r="F78" s="38" t="s">
        <v>114</v>
      </c>
    </row>
    <row r="79" spans="1:6" ht="13.5">
      <c r="A79" s="35">
        <v>5318</v>
      </c>
      <c r="B79" s="37" t="s">
        <v>274</v>
      </c>
      <c r="C79" s="37" t="s">
        <v>152</v>
      </c>
      <c r="D79" s="37" t="s">
        <v>165</v>
      </c>
      <c r="E79" s="37" t="s">
        <v>115</v>
      </c>
      <c r="F79" s="38" t="s">
        <v>114</v>
      </c>
    </row>
    <row r="80" spans="1:6" ht="13.5">
      <c r="A80" s="35">
        <v>5321</v>
      </c>
      <c r="B80" s="37" t="s">
        <v>275</v>
      </c>
      <c r="C80" s="37" t="s">
        <v>152</v>
      </c>
      <c r="D80" s="37" t="s">
        <v>165</v>
      </c>
      <c r="E80" s="37" t="s">
        <v>115</v>
      </c>
      <c r="F80" s="38" t="s">
        <v>114</v>
      </c>
    </row>
    <row r="81" spans="1:6" ht="13.5">
      <c r="A81" s="35">
        <v>5347</v>
      </c>
      <c r="B81" s="37" t="s">
        <v>276</v>
      </c>
      <c r="C81" s="37" t="s">
        <v>152</v>
      </c>
      <c r="D81" s="37" t="s">
        <v>165</v>
      </c>
      <c r="E81" s="37" t="s">
        <v>115</v>
      </c>
      <c r="F81" s="38" t="s">
        <v>114</v>
      </c>
    </row>
    <row r="82" spans="1:6" ht="13.5">
      <c r="A82" s="35">
        <v>5353</v>
      </c>
      <c r="B82" s="37" t="s">
        <v>277</v>
      </c>
      <c r="C82" s="37" t="s">
        <v>152</v>
      </c>
      <c r="D82" s="37" t="s">
        <v>165</v>
      </c>
      <c r="E82" s="37" t="s">
        <v>115</v>
      </c>
      <c r="F82" s="38" t="s">
        <v>212</v>
      </c>
    </row>
    <row r="83" spans="1:6" ht="13.5">
      <c r="A83" s="35">
        <v>5360</v>
      </c>
      <c r="B83" s="37" t="s">
        <v>278</v>
      </c>
      <c r="C83" s="37" t="s">
        <v>152</v>
      </c>
      <c r="D83" s="37" t="s">
        <v>165</v>
      </c>
      <c r="E83" s="37" t="s">
        <v>115</v>
      </c>
      <c r="F83" s="38" t="s">
        <v>138</v>
      </c>
    </row>
    <row r="84" spans="1:6" ht="13.5">
      <c r="A84" s="35">
        <v>5361</v>
      </c>
      <c r="B84" s="37" t="s">
        <v>279</v>
      </c>
      <c r="C84" s="37" t="s">
        <v>152</v>
      </c>
      <c r="D84" s="37" t="s">
        <v>165</v>
      </c>
      <c r="E84" s="37" t="s">
        <v>115</v>
      </c>
      <c r="F84" s="38" t="s">
        <v>172</v>
      </c>
    </row>
    <row r="85" spans="1:6" ht="13.5">
      <c r="A85" s="35">
        <v>5364</v>
      </c>
      <c r="B85" s="37" t="s">
        <v>280</v>
      </c>
      <c r="C85" s="37" t="s">
        <v>152</v>
      </c>
      <c r="D85" s="37" t="s">
        <v>165</v>
      </c>
      <c r="E85" s="37" t="s">
        <v>115</v>
      </c>
      <c r="F85" s="38" t="s">
        <v>212</v>
      </c>
    </row>
    <row r="86" spans="1:6" ht="13.5">
      <c r="A86" s="35">
        <v>5376</v>
      </c>
      <c r="B86" s="37" t="s">
        <v>281</v>
      </c>
      <c r="C86" s="37" t="s">
        <v>152</v>
      </c>
      <c r="D86" s="37" t="s">
        <v>165</v>
      </c>
      <c r="E86" s="37" t="s">
        <v>115</v>
      </c>
      <c r="F86" s="38" t="s">
        <v>114</v>
      </c>
    </row>
    <row r="87" spans="1:6" ht="13.5">
      <c r="A87" s="35">
        <v>5380</v>
      </c>
      <c r="B87" s="37" t="s">
        <v>282</v>
      </c>
      <c r="C87" s="37" t="s">
        <v>152</v>
      </c>
      <c r="D87" s="37" t="s">
        <v>165</v>
      </c>
      <c r="E87" s="37" t="s">
        <v>115</v>
      </c>
      <c r="F87" s="38" t="s">
        <v>138</v>
      </c>
    </row>
    <row r="88" spans="1:6" ht="13.5">
      <c r="A88" s="35">
        <v>5390</v>
      </c>
      <c r="B88" s="37" t="s">
        <v>283</v>
      </c>
      <c r="C88" s="37" t="s">
        <v>152</v>
      </c>
      <c r="D88" s="37" t="s">
        <v>165</v>
      </c>
      <c r="E88" s="37" t="s">
        <v>115</v>
      </c>
      <c r="F88" s="38" t="s">
        <v>114</v>
      </c>
    </row>
    <row r="89" spans="1:6" ht="13.5">
      <c r="A89" s="35">
        <v>5411</v>
      </c>
      <c r="B89" s="37" t="s">
        <v>284</v>
      </c>
      <c r="C89" s="37" t="s">
        <v>152</v>
      </c>
      <c r="D89" s="37" t="s">
        <v>165</v>
      </c>
      <c r="E89" s="37" t="s">
        <v>115</v>
      </c>
      <c r="F89" s="38" t="s">
        <v>212</v>
      </c>
    </row>
    <row r="90" spans="1:6" ht="13.5">
      <c r="A90" s="35">
        <v>5425</v>
      </c>
      <c r="B90" s="37" t="s">
        <v>285</v>
      </c>
      <c r="C90" s="37" t="s">
        <v>152</v>
      </c>
      <c r="D90" s="37" t="s">
        <v>165</v>
      </c>
      <c r="E90" s="37" t="s">
        <v>115</v>
      </c>
      <c r="F90" s="38" t="s">
        <v>212</v>
      </c>
    </row>
    <row r="91" spans="1:6" ht="13.5">
      <c r="A91" s="35">
        <v>5440</v>
      </c>
      <c r="B91" s="37" t="s">
        <v>286</v>
      </c>
      <c r="C91" s="37" t="s">
        <v>152</v>
      </c>
      <c r="D91" s="37" t="s">
        <v>165</v>
      </c>
      <c r="E91" s="37" t="s">
        <v>115</v>
      </c>
      <c r="F91" s="38" t="s">
        <v>114</v>
      </c>
    </row>
    <row r="92" spans="1:6" ht="13.5">
      <c r="A92" s="35">
        <v>5001</v>
      </c>
      <c r="B92" s="37" t="s">
        <v>165</v>
      </c>
      <c r="C92" s="37" t="s">
        <v>152</v>
      </c>
      <c r="D92" s="37" t="s">
        <v>165</v>
      </c>
      <c r="E92" s="37" t="s">
        <v>115</v>
      </c>
      <c r="F92" s="38" t="s">
        <v>138</v>
      </c>
    </row>
    <row r="93" spans="1:6" ht="13.5">
      <c r="A93" s="35">
        <v>5467</v>
      </c>
      <c r="B93" s="37" t="s">
        <v>287</v>
      </c>
      <c r="C93" s="37" t="s">
        <v>152</v>
      </c>
      <c r="D93" s="37" t="s">
        <v>165</v>
      </c>
      <c r="E93" s="37" t="s">
        <v>115</v>
      </c>
      <c r="F93" s="38" t="s">
        <v>114</v>
      </c>
    </row>
    <row r="94" spans="1:6" ht="13.5">
      <c r="A94" s="35">
        <v>5475</v>
      </c>
      <c r="B94" s="37" t="s">
        <v>288</v>
      </c>
      <c r="C94" s="37" t="s">
        <v>152</v>
      </c>
      <c r="D94" s="37" t="s">
        <v>150</v>
      </c>
      <c r="E94" s="37" t="s">
        <v>289</v>
      </c>
      <c r="F94" s="38" t="s">
        <v>128</v>
      </c>
    </row>
    <row r="95" spans="1:6" ht="13.5">
      <c r="A95" s="35">
        <v>5480</v>
      </c>
      <c r="B95" s="37" t="s">
        <v>290</v>
      </c>
      <c r="C95" s="37" t="s">
        <v>152</v>
      </c>
      <c r="D95" s="37" t="s">
        <v>150</v>
      </c>
      <c r="E95" s="37" t="s">
        <v>115</v>
      </c>
      <c r="F95" s="38" t="s">
        <v>114</v>
      </c>
    </row>
    <row r="96" spans="1:6" ht="13.5">
      <c r="A96" s="35">
        <v>5495</v>
      </c>
      <c r="B96" s="37" t="s">
        <v>291</v>
      </c>
      <c r="C96" s="37" t="s">
        <v>152</v>
      </c>
      <c r="D96" s="37" t="s">
        <v>242</v>
      </c>
      <c r="E96" s="37" t="s">
        <v>115</v>
      </c>
      <c r="F96" s="38" t="s">
        <v>212</v>
      </c>
    </row>
    <row r="97" spans="1:6" ht="13.5">
      <c r="A97" s="35">
        <v>5490</v>
      </c>
      <c r="B97" s="37" t="s">
        <v>292</v>
      </c>
      <c r="C97" s="37" t="s">
        <v>152</v>
      </c>
      <c r="D97" s="37" t="s">
        <v>150</v>
      </c>
      <c r="E97" s="37" t="s">
        <v>115</v>
      </c>
      <c r="F97" s="38" t="s">
        <v>114</v>
      </c>
    </row>
    <row r="98" spans="1:6" ht="13.5">
      <c r="A98" s="35">
        <v>5501</v>
      </c>
      <c r="B98" s="37" t="s">
        <v>293</v>
      </c>
      <c r="C98" s="37" t="s">
        <v>152</v>
      </c>
      <c r="D98" s="37" t="s">
        <v>165</v>
      </c>
      <c r="E98" s="37" t="s">
        <v>115</v>
      </c>
      <c r="F98" s="38" t="s">
        <v>114</v>
      </c>
    </row>
    <row r="99" spans="1:6" ht="13.5">
      <c r="A99" s="35">
        <v>5541</v>
      </c>
      <c r="B99" s="37" t="s">
        <v>294</v>
      </c>
      <c r="C99" s="37" t="s">
        <v>152</v>
      </c>
      <c r="D99" s="37" t="s">
        <v>165</v>
      </c>
      <c r="E99" s="37" t="s">
        <v>115</v>
      </c>
      <c r="F99" s="38" t="s">
        <v>114</v>
      </c>
    </row>
    <row r="100" spans="1:6" ht="13.5">
      <c r="A100" s="35">
        <v>5543</v>
      </c>
      <c r="B100" s="37" t="s">
        <v>295</v>
      </c>
      <c r="C100" s="37" t="s">
        <v>152</v>
      </c>
      <c r="D100" s="37" t="s">
        <v>165</v>
      </c>
      <c r="E100" s="37" t="s">
        <v>115</v>
      </c>
      <c r="F100" s="38" t="s">
        <v>172</v>
      </c>
    </row>
    <row r="101" spans="1:6" ht="13.5">
      <c r="A101" s="35">
        <v>5576</v>
      </c>
      <c r="B101" s="37" t="s">
        <v>296</v>
      </c>
      <c r="C101" s="37" t="s">
        <v>152</v>
      </c>
      <c r="D101" s="37" t="s">
        <v>165</v>
      </c>
      <c r="E101" s="37" t="s">
        <v>115</v>
      </c>
      <c r="F101" s="38" t="s">
        <v>212</v>
      </c>
    </row>
    <row r="102" spans="1:6" ht="13.5">
      <c r="A102" s="35">
        <v>5579</v>
      </c>
      <c r="B102" s="37" t="s">
        <v>297</v>
      </c>
      <c r="C102" s="37" t="s">
        <v>152</v>
      </c>
      <c r="D102" s="37" t="s">
        <v>165</v>
      </c>
      <c r="E102" s="37" t="s">
        <v>115</v>
      </c>
      <c r="F102" s="38" t="s">
        <v>212</v>
      </c>
    </row>
    <row r="103" spans="1:6" ht="13.5">
      <c r="A103" s="35">
        <v>5585</v>
      </c>
      <c r="B103" s="37" t="s">
        <v>298</v>
      </c>
      <c r="C103" s="37" t="s">
        <v>152</v>
      </c>
      <c r="D103" s="37" t="s">
        <v>165</v>
      </c>
      <c r="E103" s="37" t="s">
        <v>115</v>
      </c>
      <c r="F103" s="38" t="s">
        <v>172</v>
      </c>
    </row>
    <row r="104" spans="1:6" ht="13.5">
      <c r="A104" s="35">
        <v>5591</v>
      </c>
      <c r="B104" s="37" t="s">
        <v>299</v>
      </c>
      <c r="C104" s="37" t="s">
        <v>152</v>
      </c>
      <c r="D104" s="37" t="s">
        <v>165</v>
      </c>
      <c r="E104" s="37" t="s">
        <v>115</v>
      </c>
      <c r="F104" s="38" t="s">
        <v>172</v>
      </c>
    </row>
    <row r="105" spans="1:6" ht="13.5">
      <c r="A105" s="35">
        <v>5604</v>
      </c>
      <c r="B105" s="37" t="s">
        <v>167</v>
      </c>
      <c r="C105" s="37" t="s">
        <v>152</v>
      </c>
      <c r="D105" s="37" t="s">
        <v>165</v>
      </c>
      <c r="E105" s="37" t="s">
        <v>115</v>
      </c>
      <c r="F105" s="38" t="s">
        <v>172</v>
      </c>
    </row>
    <row r="106" spans="1:6" ht="13.5">
      <c r="A106" s="35">
        <v>5607</v>
      </c>
      <c r="B106" s="37" t="s">
        <v>300</v>
      </c>
      <c r="C106" s="37" t="s">
        <v>152</v>
      </c>
      <c r="D106" s="37" t="s">
        <v>165</v>
      </c>
      <c r="E106" s="37" t="s">
        <v>115</v>
      </c>
      <c r="F106" s="38" t="s">
        <v>114</v>
      </c>
    </row>
    <row r="107" spans="1:6" ht="13.5">
      <c r="A107" s="35">
        <v>5631</v>
      </c>
      <c r="B107" s="37" t="s">
        <v>301</v>
      </c>
      <c r="C107" s="37" t="s">
        <v>152</v>
      </c>
      <c r="D107" s="37" t="s">
        <v>165</v>
      </c>
      <c r="E107" s="37" t="s">
        <v>115</v>
      </c>
      <c r="F107" s="38" t="s">
        <v>138</v>
      </c>
    </row>
    <row r="108" spans="1:6" ht="13.5">
      <c r="A108" s="35">
        <v>5642</v>
      </c>
      <c r="B108" s="37" t="s">
        <v>302</v>
      </c>
      <c r="C108" s="37" t="s">
        <v>152</v>
      </c>
      <c r="D108" s="37" t="s">
        <v>165</v>
      </c>
      <c r="E108" s="37" t="s">
        <v>115</v>
      </c>
      <c r="F108" s="38" t="s">
        <v>114</v>
      </c>
    </row>
    <row r="109" spans="1:6" ht="13.5">
      <c r="A109" s="35">
        <v>5647</v>
      </c>
      <c r="B109" s="37" t="s">
        <v>303</v>
      </c>
      <c r="C109" s="37" t="s">
        <v>152</v>
      </c>
      <c r="D109" s="37" t="s">
        <v>165</v>
      </c>
      <c r="E109" s="37" t="s">
        <v>115</v>
      </c>
      <c r="F109" s="38" t="s">
        <v>212</v>
      </c>
    </row>
    <row r="110" spans="1:6" ht="13.5">
      <c r="A110" s="35">
        <v>5656</v>
      </c>
      <c r="B110" s="37" t="s">
        <v>304</v>
      </c>
      <c r="C110" s="37" t="s">
        <v>152</v>
      </c>
      <c r="D110" s="37" t="s">
        <v>165</v>
      </c>
      <c r="E110" s="37" t="s">
        <v>115</v>
      </c>
      <c r="F110" s="38" t="s">
        <v>114</v>
      </c>
    </row>
    <row r="111" spans="1:6" ht="13.5">
      <c r="A111" s="35">
        <v>5658</v>
      </c>
      <c r="B111" s="37" t="s">
        <v>305</v>
      </c>
      <c r="C111" s="37" t="s">
        <v>152</v>
      </c>
      <c r="D111" s="37" t="s">
        <v>165</v>
      </c>
      <c r="E111" s="37" t="s">
        <v>115</v>
      </c>
      <c r="F111" s="38" t="s">
        <v>212</v>
      </c>
    </row>
    <row r="112" spans="1:6" ht="13.5">
      <c r="A112" s="35">
        <v>5659</v>
      </c>
      <c r="B112" s="37" t="s">
        <v>306</v>
      </c>
      <c r="C112" s="37" t="s">
        <v>152</v>
      </c>
      <c r="D112" s="37" t="s">
        <v>242</v>
      </c>
      <c r="E112" s="37" t="s">
        <v>115</v>
      </c>
      <c r="F112" s="38" t="s">
        <v>114</v>
      </c>
    </row>
    <row r="113" spans="1:6" ht="13.5">
      <c r="A113" s="35">
        <v>5665</v>
      </c>
      <c r="B113" s="37" t="s">
        <v>307</v>
      </c>
      <c r="C113" s="37" t="s">
        <v>152</v>
      </c>
      <c r="D113" s="37" t="s">
        <v>150</v>
      </c>
      <c r="E113" s="37" t="s">
        <v>115</v>
      </c>
      <c r="F113" s="38" t="s">
        <v>212</v>
      </c>
    </row>
    <row r="114" spans="1:6" ht="13.5">
      <c r="A114" s="35">
        <v>5667</v>
      </c>
      <c r="B114" s="37" t="s">
        <v>308</v>
      </c>
      <c r="C114" s="37" t="s">
        <v>152</v>
      </c>
      <c r="D114" s="37" t="s">
        <v>165</v>
      </c>
      <c r="E114" s="37" t="s">
        <v>115</v>
      </c>
      <c r="F114" s="38" t="s">
        <v>212</v>
      </c>
    </row>
    <row r="115" spans="1:6" ht="13.5">
      <c r="A115" s="35">
        <v>5670</v>
      </c>
      <c r="B115" s="37" t="s">
        <v>309</v>
      </c>
      <c r="C115" s="37" t="s">
        <v>152</v>
      </c>
      <c r="D115" s="37" t="s">
        <v>165</v>
      </c>
      <c r="E115" s="37" t="s">
        <v>115</v>
      </c>
      <c r="F115" s="38" t="s">
        <v>212</v>
      </c>
    </row>
    <row r="116" spans="1:6" ht="13.5">
      <c r="A116" s="35">
        <v>5674</v>
      </c>
      <c r="B116" s="37" t="s">
        <v>310</v>
      </c>
      <c r="C116" s="37" t="s">
        <v>152</v>
      </c>
      <c r="D116" s="37" t="s">
        <v>165</v>
      </c>
      <c r="E116" s="37" t="s">
        <v>115</v>
      </c>
      <c r="F116" s="38" t="s">
        <v>114</v>
      </c>
    </row>
    <row r="117" spans="1:6" ht="13.5">
      <c r="A117" s="35">
        <v>5042</v>
      </c>
      <c r="B117" s="37" t="s">
        <v>311</v>
      </c>
      <c r="C117" s="37" t="s">
        <v>152</v>
      </c>
      <c r="D117" s="37" t="s">
        <v>165</v>
      </c>
      <c r="E117" s="37" t="s">
        <v>115</v>
      </c>
      <c r="F117" s="38" t="s">
        <v>114</v>
      </c>
    </row>
    <row r="118" spans="1:6" ht="13.5">
      <c r="A118" s="35">
        <v>5686</v>
      </c>
      <c r="B118" s="37" t="s">
        <v>312</v>
      </c>
      <c r="C118" s="37" t="s">
        <v>152</v>
      </c>
      <c r="D118" s="37" t="s">
        <v>165</v>
      </c>
      <c r="E118" s="37" t="s">
        <v>115</v>
      </c>
      <c r="F118" s="38" t="s">
        <v>114</v>
      </c>
    </row>
    <row r="119" spans="1:6" ht="13.5">
      <c r="A119" s="35">
        <v>5690</v>
      </c>
      <c r="B119" s="37" t="s">
        <v>313</v>
      </c>
      <c r="C119" s="37" t="s">
        <v>152</v>
      </c>
      <c r="D119" s="37" t="s">
        <v>165</v>
      </c>
      <c r="E119" s="37" t="s">
        <v>115</v>
      </c>
      <c r="F119" s="38" t="s">
        <v>114</v>
      </c>
    </row>
    <row r="120" spans="1:6" ht="13.5">
      <c r="A120" s="35">
        <v>5736</v>
      </c>
      <c r="B120" s="37" t="s">
        <v>314</v>
      </c>
      <c r="C120" s="37" t="s">
        <v>152</v>
      </c>
      <c r="D120" s="37" t="s">
        <v>165</v>
      </c>
      <c r="E120" s="37" t="s">
        <v>115</v>
      </c>
      <c r="F120" s="38" t="s">
        <v>172</v>
      </c>
    </row>
    <row r="121" spans="1:6" ht="13.5">
      <c r="A121" s="35">
        <v>5756</v>
      </c>
      <c r="B121" s="37" t="s">
        <v>315</v>
      </c>
      <c r="C121" s="37" t="s">
        <v>152</v>
      </c>
      <c r="D121" s="37" t="s">
        <v>165</v>
      </c>
      <c r="E121" s="37" t="s">
        <v>115</v>
      </c>
      <c r="F121" s="38" t="s">
        <v>212</v>
      </c>
    </row>
    <row r="122" spans="1:6" ht="13.5">
      <c r="A122" s="35">
        <v>5761</v>
      </c>
      <c r="B122" s="37" t="s">
        <v>316</v>
      </c>
      <c r="C122" s="37" t="s">
        <v>152</v>
      </c>
      <c r="D122" s="37" t="s">
        <v>165</v>
      </c>
      <c r="E122" s="37" t="s">
        <v>115</v>
      </c>
      <c r="F122" s="38" t="s">
        <v>114</v>
      </c>
    </row>
    <row r="123" spans="1:6" ht="13.5">
      <c r="A123" s="35">
        <v>5789</v>
      </c>
      <c r="B123" s="37" t="s">
        <v>317</v>
      </c>
      <c r="C123" s="37" t="s">
        <v>152</v>
      </c>
      <c r="D123" s="37" t="s">
        <v>165</v>
      </c>
      <c r="E123" s="37" t="s">
        <v>115</v>
      </c>
      <c r="F123" s="38" t="s">
        <v>212</v>
      </c>
    </row>
    <row r="124" spans="1:6" ht="13.5">
      <c r="A124" s="35">
        <v>5790</v>
      </c>
      <c r="B124" s="37" t="s">
        <v>318</v>
      </c>
      <c r="C124" s="37" t="s">
        <v>152</v>
      </c>
      <c r="D124" s="37" t="s">
        <v>165</v>
      </c>
      <c r="E124" s="37" t="s">
        <v>115</v>
      </c>
      <c r="F124" s="38" t="s">
        <v>172</v>
      </c>
    </row>
    <row r="125" spans="1:6" ht="13.5">
      <c r="A125" s="35">
        <v>5792</v>
      </c>
      <c r="B125" s="37" t="s">
        <v>319</v>
      </c>
      <c r="C125" s="37" t="s">
        <v>152</v>
      </c>
      <c r="D125" s="37" t="s">
        <v>165</v>
      </c>
      <c r="E125" s="37" t="s">
        <v>115</v>
      </c>
      <c r="F125" s="38" t="s">
        <v>212</v>
      </c>
    </row>
    <row r="126" spans="1:6" ht="13.5">
      <c r="A126" s="35">
        <v>5809</v>
      </c>
      <c r="B126" s="37" t="s">
        <v>320</v>
      </c>
      <c r="C126" s="37" t="s">
        <v>152</v>
      </c>
      <c r="D126" s="37" t="s">
        <v>165</v>
      </c>
      <c r="E126" s="37" t="s">
        <v>115</v>
      </c>
      <c r="F126" s="38" t="s">
        <v>114</v>
      </c>
    </row>
    <row r="127" spans="1:6" ht="13.5">
      <c r="A127" s="35">
        <v>5837</v>
      </c>
      <c r="B127" s="37" t="s">
        <v>153</v>
      </c>
      <c r="C127" s="37" t="s">
        <v>152</v>
      </c>
      <c r="D127" s="37" t="s">
        <v>150</v>
      </c>
      <c r="E127" s="37" t="s">
        <v>115</v>
      </c>
      <c r="F127" s="38" t="s">
        <v>114</v>
      </c>
    </row>
    <row r="128" spans="1:6" ht="13.5">
      <c r="A128" s="35">
        <v>5842</v>
      </c>
      <c r="B128" s="37" t="s">
        <v>321</v>
      </c>
      <c r="C128" s="37" t="s">
        <v>152</v>
      </c>
      <c r="D128" s="37" t="s">
        <v>165</v>
      </c>
      <c r="E128" s="37" t="s">
        <v>115</v>
      </c>
      <c r="F128" s="38" t="s">
        <v>172</v>
      </c>
    </row>
    <row r="129" spans="1:6" ht="13.5">
      <c r="A129" s="35">
        <v>5847</v>
      </c>
      <c r="B129" s="37" t="s">
        <v>322</v>
      </c>
      <c r="C129" s="37" t="s">
        <v>152</v>
      </c>
      <c r="D129" s="37" t="s">
        <v>165</v>
      </c>
      <c r="E129" s="37" t="s">
        <v>115</v>
      </c>
      <c r="F129" s="38" t="s">
        <v>172</v>
      </c>
    </row>
    <row r="130" spans="1:6" ht="13.5">
      <c r="A130" s="35">
        <v>5854</v>
      </c>
      <c r="B130" s="37" t="s">
        <v>323</v>
      </c>
      <c r="C130" s="37" t="s">
        <v>152</v>
      </c>
      <c r="D130" s="37" t="s">
        <v>165</v>
      </c>
      <c r="E130" s="37" t="s">
        <v>115</v>
      </c>
      <c r="F130" s="38" t="s">
        <v>212</v>
      </c>
    </row>
    <row r="131" spans="1:6" ht="13.5">
      <c r="A131" s="35">
        <v>5858</v>
      </c>
      <c r="B131" s="37" t="s">
        <v>324</v>
      </c>
      <c r="C131" s="37" t="s">
        <v>152</v>
      </c>
      <c r="D131" s="37" t="s">
        <v>165</v>
      </c>
      <c r="E131" s="37" t="s">
        <v>115</v>
      </c>
      <c r="F131" s="38" t="s">
        <v>212</v>
      </c>
    </row>
    <row r="132" spans="1:6" ht="13.5">
      <c r="A132" s="35">
        <v>5873</v>
      </c>
      <c r="B132" s="37" t="s">
        <v>325</v>
      </c>
      <c r="C132" s="37" t="s">
        <v>152</v>
      </c>
      <c r="D132" s="37" t="s">
        <v>150</v>
      </c>
      <c r="E132" s="37" t="s">
        <v>197</v>
      </c>
      <c r="F132" s="38" t="s">
        <v>128</v>
      </c>
    </row>
    <row r="133" spans="1:6" ht="13.5">
      <c r="A133" s="35">
        <v>5885</v>
      </c>
      <c r="B133" s="37" t="s">
        <v>326</v>
      </c>
      <c r="C133" s="37" t="s">
        <v>152</v>
      </c>
      <c r="D133" s="37" t="s">
        <v>165</v>
      </c>
      <c r="E133" s="37" t="s">
        <v>115</v>
      </c>
      <c r="F133" s="38" t="s">
        <v>114</v>
      </c>
    </row>
    <row r="134" spans="1:6" ht="13.5">
      <c r="A134" s="35">
        <v>5887</v>
      </c>
      <c r="B134" s="37" t="s">
        <v>327</v>
      </c>
      <c r="C134" s="37" t="s">
        <v>152</v>
      </c>
      <c r="D134" s="37" t="s">
        <v>165</v>
      </c>
      <c r="E134" s="37" t="s">
        <v>115</v>
      </c>
      <c r="F134" s="38" t="s">
        <v>212</v>
      </c>
    </row>
    <row r="135" spans="1:6" ht="13.5">
      <c r="A135" s="35">
        <v>5890</v>
      </c>
      <c r="B135" s="37" t="s">
        <v>328</v>
      </c>
      <c r="C135" s="37" t="s">
        <v>152</v>
      </c>
      <c r="D135" s="37" t="s">
        <v>165</v>
      </c>
      <c r="E135" s="37" t="s">
        <v>115</v>
      </c>
      <c r="F135" s="38" t="s">
        <v>114</v>
      </c>
    </row>
    <row r="136" spans="1:6" ht="13.5">
      <c r="A136" s="35">
        <v>5893</v>
      </c>
      <c r="B136" s="37" t="s">
        <v>329</v>
      </c>
      <c r="C136" s="37" t="s">
        <v>152</v>
      </c>
      <c r="D136" s="37" t="s">
        <v>140</v>
      </c>
      <c r="E136" s="37" t="s">
        <v>115</v>
      </c>
      <c r="F136" s="38" t="s">
        <v>172</v>
      </c>
    </row>
    <row r="137" spans="1:6" ht="13.5">
      <c r="A137" s="35">
        <v>5895</v>
      </c>
      <c r="B137" s="37" t="s">
        <v>330</v>
      </c>
      <c r="C137" s="37" t="s">
        <v>152</v>
      </c>
      <c r="D137" s="37" t="s">
        <v>242</v>
      </c>
      <c r="E137" s="37" t="s">
        <v>115</v>
      </c>
      <c r="F137" s="38" t="s">
        <v>172</v>
      </c>
    </row>
    <row r="138" spans="1:6" ht="13.5">
      <c r="A138" s="35">
        <v>81001</v>
      </c>
      <c r="B138" s="37" t="s">
        <v>331</v>
      </c>
      <c r="C138" s="37" t="s">
        <v>331</v>
      </c>
      <c r="D138" s="37" t="s">
        <v>140</v>
      </c>
      <c r="E138" s="37" t="s">
        <v>197</v>
      </c>
      <c r="F138" s="38" t="s">
        <v>128</v>
      </c>
    </row>
    <row r="139" spans="1:6" ht="13.5">
      <c r="A139" s="35">
        <v>81065</v>
      </c>
      <c r="B139" s="37" t="s">
        <v>332</v>
      </c>
      <c r="C139" s="37" t="s">
        <v>331</v>
      </c>
      <c r="D139" s="37" t="s">
        <v>140</v>
      </c>
      <c r="E139" s="37" t="s">
        <v>197</v>
      </c>
      <c r="F139" s="38" t="s">
        <v>128</v>
      </c>
    </row>
    <row r="140" spans="1:6" ht="13.5">
      <c r="A140" s="35">
        <v>81220</v>
      </c>
      <c r="B140" s="37" t="s">
        <v>333</v>
      </c>
      <c r="C140" s="37" t="s">
        <v>331</v>
      </c>
      <c r="D140" s="37" t="s">
        <v>140</v>
      </c>
      <c r="E140" s="37" t="s">
        <v>197</v>
      </c>
      <c r="F140" s="38" t="s">
        <v>128</v>
      </c>
    </row>
    <row r="141" spans="1:6" ht="13.5">
      <c r="A141" s="35">
        <v>81300</v>
      </c>
      <c r="B141" s="37" t="s">
        <v>334</v>
      </c>
      <c r="C141" s="37" t="s">
        <v>331</v>
      </c>
      <c r="D141" s="37" t="s">
        <v>140</v>
      </c>
      <c r="E141" s="37" t="s">
        <v>197</v>
      </c>
      <c r="F141" s="38" t="s">
        <v>128</v>
      </c>
    </row>
    <row r="142" spans="1:6" ht="13.5">
      <c r="A142" s="35">
        <v>81591</v>
      </c>
      <c r="B142" s="37" t="s">
        <v>335</v>
      </c>
      <c r="C142" s="37" t="s">
        <v>331</v>
      </c>
      <c r="D142" s="37" t="s">
        <v>140</v>
      </c>
      <c r="E142" s="37" t="s">
        <v>197</v>
      </c>
      <c r="F142" s="38" t="s">
        <v>128</v>
      </c>
    </row>
    <row r="143" spans="1:6" ht="13.5">
      <c r="A143" s="35">
        <v>81736</v>
      </c>
      <c r="B143" s="37" t="s">
        <v>336</v>
      </c>
      <c r="C143" s="37" t="s">
        <v>331</v>
      </c>
      <c r="D143" s="37" t="s">
        <v>140</v>
      </c>
      <c r="E143" s="37" t="s">
        <v>197</v>
      </c>
      <c r="F143" s="38" t="s">
        <v>128</v>
      </c>
    </row>
    <row r="144" spans="1:6" ht="13.5">
      <c r="A144" s="35">
        <v>81794</v>
      </c>
      <c r="B144" s="37" t="s">
        <v>337</v>
      </c>
      <c r="C144" s="37" t="s">
        <v>331</v>
      </c>
      <c r="D144" s="37" t="s">
        <v>140</v>
      </c>
      <c r="E144" s="37" t="s">
        <v>197</v>
      </c>
      <c r="F144" s="38" t="s">
        <v>128</v>
      </c>
    </row>
    <row r="145" spans="1:6" ht="13.5">
      <c r="A145" s="35">
        <v>8141</v>
      </c>
      <c r="B145" s="36" t="s">
        <v>338</v>
      </c>
      <c r="C145" s="37" t="s">
        <v>339</v>
      </c>
      <c r="D145" s="37" t="s">
        <v>340</v>
      </c>
      <c r="E145" s="37" t="s">
        <v>115</v>
      </c>
      <c r="F145" s="38" t="s">
        <v>114</v>
      </c>
    </row>
    <row r="146" spans="1:6" ht="13.5">
      <c r="A146" s="35">
        <v>8573</v>
      </c>
      <c r="B146" s="36" t="s">
        <v>341</v>
      </c>
      <c r="C146" s="37" t="s">
        <v>339</v>
      </c>
      <c r="D146" s="37" t="s">
        <v>340</v>
      </c>
      <c r="E146" s="37" t="s">
        <v>115</v>
      </c>
      <c r="F146" s="38" t="s">
        <v>114</v>
      </c>
    </row>
    <row r="147" spans="1:6" ht="13.5">
      <c r="A147" s="35">
        <v>8638</v>
      </c>
      <c r="B147" s="36" t="s">
        <v>222</v>
      </c>
      <c r="C147" s="37" t="s">
        <v>339</v>
      </c>
      <c r="D147" s="37" t="s">
        <v>340</v>
      </c>
      <c r="E147" s="37" t="s">
        <v>115</v>
      </c>
      <c r="F147" s="38" t="s">
        <v>114</v>
      </c>
    </row>
    <row r="148" spans="1:6" ht="13.5">
      <c r="A148" s="35">
        <v>8078</v>
      </c>
      <c r="B148" s="37" t="s">
        <v>342</v>
      </c>
      <c r="C148" s="37" t="s">
        <v>339</v>
      </c>
      <c r="D148" s="37" t="s">
        <v>340</v>
      </c>
      <c r="E148" s="37" t="s">
        <v>115</v>
      </c>
      <c r="F148" s="38" t="s">
        <v>114</v>
      </c>
    </row>
    <row r="149" spans="1:6" ht="13.5">
      <c r="A149" s="35">
        <v>8001</v>
      </c>
      <c r="B149" s="37" t="s">
        <v>340</v>
      </c>
      <c r="C149" s="37" t="s">
        <v>339</v>
      </c>
      <c r="D149" s="37" t="s">
        <v>340</v>
      </c>
      <c r="E149" s="37" t="s">
        <v>115</v>
      </c>
      <c r="F149" s="38" t="s">
        <v>138</v>
      </c>
    </row>
    <row r="150" spans="1:6" ht="13.5">
      <c r="A150" s="35">
        <v>8137</v>
      </c>
      <c r="B150" s="37" t="s">
        <v>343</v>
      </c>
      <c r="C150" s="37" t="s">
        <v>339</v>
      </c>
      <c r="D150" s="37" t="s">
        <v>340</v>
      </c>
      <c r="E150" s="37" t="s">
        <v>115</v>
      </c>
      <c r="F150" s="38" t="s">
        <v>114</v>
      </c>
    </row>
    <row r="151" spans="1:6" ht="13.5">
      <c r="A151" s="35">
        <v>8296</v>
      </c>
      <c r="B151" s="37" t="s">
        <v>344</v>
      </c>
      <c r="C151" s="37" t="s">
        <v>339</v>
      </c>
      <c r="D151" s="37" t="s">
        <v>340</v>
      </c>
      <c r="E151" s="37" t="s">
        <v>115</v>
      </c>
      <c r="F151" s="38" t="s">
        <v>138</v>
      </c>
    </row>
    <row r="152" spans="1:6" ht="13.5">
      <c r="A152" s="35">
        <v>8372</v>
      </c>
      <c r="B152" s="37" t="s">
        <v>345</v>
      </c>
      <c r="C152" s="37" t="s">
        <v>339</v>
      </c>
      <c r="D152" s="37" t="s">
        <v>340</v>
      </c>
      <c r="E152" s="37" t="s">
        <v>115</v>
      </c>
      <c r="F152" s="38" t="s">
        <v>114</v>
      </c>
    </row>
    <row r="153" spans="1:6" ht="13.5">
      <c r="A153" s="35">
        <v>8421</v>
      </c>
      <c r="B153" s="37" t="s">
        <v>346</v>
      </c>
      <c r="C153" s="37" t="s">
        <v>339</v>
      </c>
      <c r="D153" s="37" t="s">
        <v>340</v>
      </c>
      <c r="E153" s="37" t="s">
        <v>115</v>
      </c>
      <c r="F153" s="38" t="s">
        <v>114</v>
      </c>
    </row>
    <row r="154" spans="1:6" ht="13.5">
      <c r="A154" s="35">
        <v>8433</v>
      </c>
      <c r="B154" s="37" t="s">
        <v>347</v>
      </c>
      <c r="C154" s="37" t="s">
        <v>339</v>
      </c>
      <c r="D154" s="37" t="s">
        <v>340</v>
      </c>
      <c r="E154" s="37" t="s">
        <v>115</v>
      </c>
      <c r="F154" s="38" t="s">
        <v>114</v>
      </c>
    </row>
    <row r="155" spans="1:6" ht="13.5">
      <c r="A155" s="35">
        <v>8436</v>
      </c>
      <c r="B155" s="37" t="s">
        <v>348</v>
      </c>
      <c r="C155" s="37" t="s">
        <v>339</v>
      </c>
      <c r="D155" s="37" t="s">
        <v>340</v>
      </c>
      <c r="E155" s="37" t="s">
        <v>115</v>
      </c>
      <c r="F155" s="38" t="s">
        <v>114</v>
      </c>
    </row>
    <row r="156" spans="1:6" ht="13.5">
      <c r="A156" s="35">
        <v>8520</v>
      </c>
      <c r="B156" s="37" t="s">
        <v>349</v>
      </c>
      <c r="C156" s="37" t="s">
        <v>339</v>
      </c>
      <c r="D156" s="37" t="s">
        <v>340</v>
      </c>
      <c r="E156" s="37" t="s">
        <v>115</v>
      </c>
      <c r="F156" s="38" t="s">
        <v>114</v>
      </c>
    </row>
    <row r="157" spans="1:6" ht="13.5">
      <c r="A157" s="35">
        <v>8549</v>
      </c>
      <c r="B157" s="37" t="s">
        <v>350</v>
      </c>
      <c r="C157" s="37" t="s">
        <v>339</v>
      </c>
      <c r="D157" s="37" t="s">
        <v>340</v>
      </c>
      <c r="E157" s="37" t="s">
        <v>115</v>
      </c>
      <c r="F157" s="38" t="s">
        <v>114</v>
      </c>
    </row>
    <row r="158" spans="1:6" ht="13.5">
      <c r="A158" s="35">
        <v>8558</v>
      </c>
      <c r="B158" s="37" t="s">
        <v>351</v>
      </c>
      <c r="C158" s="37" t="s">
        <v>339</v>
      </c>
      <c r="D158" s="37" t="s">
        <v>340</v>
      </c>
      <c r="E158" s="37" t="s">
        <v>115</v>
      </c>
      <c r="F158" s="38" t="s">
        <v>114</v>
      </c>
    </row>
    <row r="159" spans="1:6" ht="13.5">
      <c r="A159" s="35">
        <v>8560</v>
      </c>
      <c r="B159" s="37" t="s">
        <v>352</v>
      </c>
      <c r="C159" s="37" t="s">
        <v>339</v>
      </c>
      <c r="D159" s="37" t="s">
        <v>340</v>
      </c>
      <c r="E159" s="37" t="s">
        <v>115</v>
      </c>
      <c r="F159" s="38" t="s">
        <v>114</v>
      </c>
    </row>
    <row r="160" spans="1:6" ht="13.5">
      <c r="A160" s="35">
        <v>8606</v>
      </c>
      <c r="B160" s="37" t="s">
        <v>353</v>
      </c>
      <c r="C160" s="37" t="s">
        <v>339</v>
      </c>
      <c r="D160" s="37" t="s">
        <v>340</v>
      </c>
      <c r="E160" s="37" t="s">
        <v>115</v>
      </c>
      <c r="F160" s="38" t="s">
        <v>114</v>
      </c>
    </row>
    <row r="161" spans="1:6" ht="13.5">
      <c r="A161" s="35">
        <v>8634</v>
      </c>
      <c r="B161" s="37" t="s">
        <v>354</v>
      </c>
      <c r="C161" s="37" t="s">
        <v>339</v>
      </c>
      <c r="D161" s="37" t="s">
        <v>340</v>
      </c>
      <c r="E161" s="37" t="s">
        <v>115</v>
      </c>
      <c r="F161" s="38" t="s">
        <v>114</v>
      </c>
    </row>
    <row r="162" spans="1:6" ht="13.5">
      <c r="A162" s="35">
        <v>8675</v>
      </c>
      <c r="B162" s="37" t="s">
        <v>355</v>
      </c>
      <c r="C162" s="37" t="s">
        <v>339</v>
      </c>
      <c r="D162" s="37" t="s">
        <v>340</v>
      </c>
      <c r="E162" s="37" t="s">
        <v>115</v>
      </c>
      <c r="F162" s="38" t="s">
        <v>114</v>
      </c>
    </row>
    <row r="163" spans="1:6" ht="13.5">
      <c r="A163" s="35">
        <v>8685</v>
      </c>
      <c r="B163" s="37" t="s">
        <v>356</v>
      </c>
      <c r="C163" s="37" t="s">
        <v>339</v>
      </c>
      <c r="D163" s="37" t="s">
        <v>340</v>
      </c>
      <c r="E163" s="37" t="s">
        <v>115</v>
      </c>
      <c r="F163" s="38" t="s">
        <v>114</v>
      </c>
    </row>
    <row r="164" spans="1:6" ht="13.5">
      <c r="A164" s="35">
        <v>8758</v>
      </c>
      <c r="B164" s="37" t="s">
        <v>357</v>
      </c>
      <c r="C164" s="37" t="s">
        <v>339</v>
      </c>
      <c r="D164" s="37" t="s">
        <v>340</v>
      </c>
      <c r="E164" s="37" t="s">
        <v>115</v>
      </c>
      <c r="F164" s="38" t="s">
        <v>138</v>
      </c>
    </row>
    <row r="165" spans="1:6" ht="13.5">
      <c r="A165" s="35">
        <v>8770</v>
      </c>
      <c r="B165" s="37" t="s">
        <v>358</v>
      </c>
      <c r="C165" s="37" t="s">
        <v>339</v>
      </c>
      <c r="D165" s="37" t="s">
        <v>340</v>
      </c>
      <c r="E165" s="37" t="s">
        <v>115</v>
      </c>
      <c r="F165" s="38" t="s">
        <v>114</v>
      </c>
    </row>
    <row r="166" spans="1:6" ht="13.5">
      <c r="A166" s="35">
        <v>8832</v>
      </c>
      <c r="B166" s="37" t="s">
        <v>359</v>
      </c>
      <c r="C166" s="37" t="s">
        <v>339</v>
      </c>
      <c r="D166" s="37" t="s">
        <v>340</v>
      </c>
      <c r="E166" s="37" t="s">
        <v>115</v>
      </c>
      <c r="F166" s="38" t="s">
        <v>114</v>
      </c>
    </row>
    <row r="167" spans="1:6" ht="13.5">
      <c r="A167" s="35">
        <v>8849</v>
      </c>
      <c r="B167" s="37" t="s">
        <v>360</v>
      </c>
      <c r="C167" s="37" t="s">
        <v>339</v>
      </c>
      <c r="D167" s="37" t="s">
        <v>340</v>
      </c>
      <c r="E167" s="37" t="s">
        <v>115</v>
      </c>
      <c r="F167" s="38" t="s">
        <v>114</v>
      </c>
    </row>
    <row r="168" spans="1:6" ht="13.5">
      <c r="A168" s="35">
        <v>13140</v>
      </c>
      <c r="B168" s="36" t="s">
        <v>361</v>
      </c>
      <c r="C168" s="37" t="s">
        <v>362</v>
      </c>
      <c r="D168" s="37" t="s">
        <v>363</v>
      </c>
      <c r="E168" s="37" t="s">
        <v>115</v>
      </c>
      <c r="F168" s="38" t="s">
        <v>114</v>
      </c>
    </row>
    <row r="169" spans="1:6" ht="13.5">
      <c r="A169" s="35">
        <v>13212</v>
      </c>
      <c r="B169" s="36" t="s">
        <v>364</v>
      </c>
      <c r="C169" s="37" t="s">
        <v>362</v>
      </c>
      <c r="D169" s="37" t="s">
        <v>363</v>
      </c>
      <c r="E169" s="37" t="s">
        <v>115</v>
      </c>
      <c r="F169" s="38" t="s">
        <v>172</v>
      </c>
    </row>
    <row r="170" spans="1:6" ht="13.5">
      <c r="A170" s="35">
        <v>13268</v>
      </c>
      <c r="B170" s="36" t="s">
        <v>365</v>
      </c>
      <c r="C170" s="37" t="s">
        <v>362</v>
      </c>
      <c r="D170" s="37" t="s">
        <v>366</v>
      </c>
      <c r="E170" s="37" t="s">
        <v>115</v>
      </c>
      <c r="F170" s="38" t="s">
        <v>172</v>
      </c>
    </row>
    <row r="171" spans="1:6" ht="13.5">
      <c r="A171" s="35">
        <v>13473</v>
      </c>
      <c r="B171" s="36" t="s">
        <v>367</v>
      </c>
      <c r="C171" s="37" t="s">
        <v>362</v>
      </c>
      <c r="D171" s="37" t="s">
        <v>366</v>
      </c>
      <c r="E171" s="37" t="s">
        <v>115</v>
      </c>
      <c r="F171" s="38" t="s">
        <v>172</v>
      </c>
    </row>
    <row r="172" spans="1:6" ht="13.5">
      <c r="A172" s="35">
        <v>13670</v>
      </c>
      <c r="B172" s="36" t="s">
        <v>368</v>
      </c>
      <c r="C172" s="37" t="s">
        <v>362</v>
      </c>
      <c r="D172" s="37" t="s">
        <v>140</v>
      </c>
      <c r="E172" s="37" t="s">
        <v>369</v>
      </c>
      <c r="F172" s="38" t="s">
        <v>128</v>
      </c>
    </row>
    <row r="173" spans="1:6" ht="13.5">
      <c r="A173" s="35">
        <v>13683</v>
      </c>
      <c r="B173" s="36" t="s">
        <v>370</v>
      </c>
      <c r="C173" s="37" t="s">
        <v>362</v>
      </c>
      <c r="D173" s="37" t="s">
        <v>363</v>
      </c>
      <c r="E173" s="37" t="s">
        <v>115</v>
      </c>
      <c r="F173" s="38" t="s">
        <v>114</v>
      </c>
    </row>
    <row r="174" spans="1:6" ht="13.5">
      <c r="A174" s="35">
        <v>13873</v>
      </c>
      <c r="B174" s="36" t="s">
        <v>371</v>
      </c>
      <c r="C174" s="37" t="s">
        <v>362</v>
      </c>
      <c r="D174" s="37" t="s">
        <v>363</v>
      </c>
      <c r="E174" s="37" t="s">
        <v>115</v>
      </c>
      <c r="F174" s="38" t="s">
        <v>114</v>
      </c>
    </row>
    <row r="175" spans="1:6" ht="13.5">
      <c r="A175" s="35">
        <v>13006</v>
      </c>
      <c r="B175" s="37" t="s">
        <v>372</v>
      </c>
      <c r="C175" s="37" t="s">
        <v>362</v>
      </c>
      <c r="D175" s="37" t="s">
        <v>363</v>
      </c>
      <c r="E175" s="37" t="s">
        <v>115</v>
      </c>
      <c r="F175" s="38" t="s">
        <v>172</v>
      </c>
    </row>
    <row r="176" spans="1:6" ht="13.5">
      <c r="A176" s="35">
        <v>13030</v>
      </c>
      <c r="B176" s="37" t="s">
        <v>373</v>
      </c>
      <c r="C176" s="37" t="s">
        <v>362</v>
      </c>
      <c r="D176" s="37" t="s">
        <v>363</v>
      </c>
      <c r="E176" s="37" t="s">
        <v>115</v>
      </c>
      <c r="F176" s="38" t="s">
        <v>172</v>
      </c>
    </row>
    <row r="177" spans="1:6" ht="13.5">
      <c r="A177" s="35">
        <v>13042</v>
      </c>
      <c r="B177" s="37" t="s">
        <v>374</v>
      </c>
      <c r="C177" s="37" t="s">
        <v>362</v>
      </c>
      <c r="D177" s="37" t="s">
        <v>366</v>
      </c>
      <c r="E177" s="37" t="s">
        <v>115</v>
      </c>
      <c r="F177" s="38" t="s">
        <v>172</v>
      </c>
    </row>
    <row r="178" spans="1:6" ht="13.5">
      <c r="A178" s="35">
        <v>13052</v>
      </c>
      <c r="B178" s="37" t="s">
        <v>375</v>
      </c>
      <c r="C178" s="37" t="s">
        <v>362</v>
      </c>
      <c r="D178" s="37" t="s">
        <v>363</v>
      </c>
      <c r="E178" s="37" t="s">
        <v>115</v>
      </c>
      <c r="F178" s="38" t="s">
        <v>114</v>
      </c>
    </row>
    <row r="179" spans="1:6" ht="13.5">
      <c r="A179" s="35">
        <v>13062</v>
      </c>
      <c r="B179" s="37" t="s">
        <v>376</v>
      </c>
      <c r="C179" s="37" t="s">
        <v>362</v>
      </c>
      <c r="D179" s="37" t="s">
        <v>363</v>
      </c>
      <c r="E179" s="37" t="s">
        <v>115</v>
      </c>
      <c r="F179" s="38" t="s">
        <v>114</v>
      </c>
    </row>
    <row r="180" spans="1:6" ht="13.5">
      <c r="A180" s="35">
        <v>13074</v>
      </c>
      <c r="B180" s="37" t="s">
        <v>377</v>
      </c>
      <c r="C180" s="37" t="s">
        <v>362</v>
      </c>
      <c r="D180" s="37" t="s">
        <v>366</v>
      </c>
      <c r="E180" s="37" t="s">
        <v>115</v>
      </c>
      <c r="F180" s="38" t="s">
        <v>172</v>
      </c>
    </row>
    <row r="181" spans="1:6" ht="13.5">
      <c r="A181" s="35">
        <v>13160</v>
      </c>
      <c r="B181" s="37" t="s">
        <v>378</v>
      </c>
      <c r="C181" s="37" t="s">
        <v>362</v>
      </c>
      <c r="D181" s="37" t="s">
        <v>140</v>
      </c>
      <c r="E181" s="37" t="s">
        <v>369</v>
      </c>
      <c r="F181" s="38" t="s">
        <v>128</v>
      </c>
    </row>
    <row r="182" spans="1:6" ht="13.5">
      <c r="A182" s="35">
        <v>13001</v>
      </c>
      <c r="B182" s="37" t="s">
        <v>363</v>
      </c>
      <c r="C182" s="37" t="s">
        <v>362</v>
      </c>
      <c r="D182" s="37" t="s">
        <v>363</v>
      </c>
      <c r="E182" s="37" t="s">
        <v>115</v>
      </c>
      <c r="F182" s="38" t="s">
        <v>138</v>
      </c>
    </row>
    <row r="183" spans="1:6" ht="13.5">
      <c r="A183" s="35">
        <v>13188</v>
      </c>
      <c r="B183" s="37" t="s">
        <v>379</v>
      </c>
      <c r="C183" s="37" t="s">
        <v>362</v>
      </c>
      <c r="D183" s="37" t="s">
        <v>363</v>
      </c>
      <c r="E183" s="37" t="s">
        <v>115</v>
      </c>
      <c r="F183" s="38" t="s">
        <v>172</v>
      </c>
    </row>
    <row r="184" spans="1:6" ht="13.5">
      <c r="A184" s="35">
        <v>13222</v>
      </c>
      <c r="B184" s="37" t="s">
        <v>380</v>
      </c>
      <c r="C184" s="37" t="s">
        <v>362</v>
      </c>
      <c r="D184" s="37" t="s">
        <v>363</v>
      </c>
      <c r="E184" s="37" t="s">
        <v>115</v>
      </c>
      <c r="F184" s="38" t="s">
        <v>114</v>
      </c>
    </row>
    <row r="185" spans="1:6" ht="13.5">
      <c r="A185" s="35">
        <v>13244</v>
      </c>
      <c r="B185" s="37" t="s">
        <v>381</v>
      </c>
      <c r="C185" s="37" t="s">
        <v>362</v>
      </c>
      <c r="D185" s="37" t="s">
        <v>363</v>
      </c>
      <c r="E185" s="37" t="s">
        <v>115</v>
      </c>
      <c r="F185" s="38" t="s">
        <v>212</v>
      </c>
    </row>
    <row r="186" spans="1:6" ht="13.5">
      <c r="A186" s="35">
        <v>13248</v>
      </c>
      <c r="B186" s="37" t="s">
        <v>382</v>
      </c>
      <c r="C186" s="37" t="s">
        <v>362</v>
      </c>
      <c r="D186" s="37" t="s">
        <v>363</v>
      </c>
      <c r="E186" s="37" t="s">
        <v>115</v>
      </c>
      <c r="F186" s="38" t="s">
        <v>172</v>
      </c>
    </row>
    <row r="187" spans="1:6" ht="13.5">
      <c r="A187" s="35">
        <v>13300</v>
      </c>
      <c r="B187" s="37" t="s">
        <v>383</v>
      </c>
      <c r="C187" s="37" t="s">
        <v>362</v>
      </c>
      <c r="D187" s="37" t="s">
        <v>366</v>
      </c>
      <c r="E187" s="37" t="s">
        <v>115</v>
      </c>
      <c r="F187" s="38" t="s">
        <v>172</v>
      </c>
    </row>
    <row r="188" spans="1:6" ht="13.5">
      <c r="A188" s="35">
        <v>13430</v>
      </c>
      <c r="B188" s="37" t="s">
        <v>384</v>
      </c>
      <c r="C188" s="37" t="s">
        <v>362</v>
      </c>
      <c r="D188" s="37" t="s">
        <v>363</v>
      </c>
      <c r="E188" s="37" t="s">
        <v>115</v>
      </c>
      <c r="F188" s="38" t="s">
        <v>172</v>
      </c>
    </row>
    <row r="189" spans="1:6" ht="13.5">
      <c r="A189" s="35">
        <v>13433</v>
      </c>
      <c r="B189" s="37" t="s">
        <v>385</v>
      </c>
      <c r="C189" s="37" t="s">
        <v>362</v>
      </c>
      <c r="D189" s="37" t="s">
        <v>363</v>
      </c>
      <c r="E189" s="37" t="s">
        <v>115</v>
      </c>
      <c r="F189" s="38" t="s">
        <v>114</v>
      </c>
    </row>
    <row r="190" spans="1:6" ht="13.5">
      <c r="A190" s="35">
        <v>13440</v>
      </c>
      <c r="B190" s="37" t="s">
        <v>386</v>
      </c>
      <c r="C190" s="37" t="s">
        <v>362</v>
      </c>
      <c r="D190" s="37" t="s">
        <v>363</v>
      </c>
      <c r="E190" s="37" t="s">
        <v>115</v>
      </c>
      <c r="F190" s="38" t="s">
        <v>172</v>
      </c>
    </row>
    <row r="191" spans="1:6" ht="13.5">
      <c r="A191" s="35">
        <v>13442</v>
      </c>
      <c r="B191" s="37" t="s">
        <v>387</v>
      </c>
      <c r="C191" s="37" t="s">
        <v>362</v>
      </c>
      <c r="D191" s="37" t="s">
        <v>363</v>
      </c>
      <c r="E191" s="37" t="s">
        <v>115</v>
      </c>
      <c r="F191" s="38" t="s">
        <v>114</v>
      </c>
    </row>
    <row r="192" spans="1:6" ht="13.5">
      <c r="A192" s="35">
        <v>13468</v>
      </c>
      <c r="B192" s="37" t="s">
        <v>388</v>
      </c>
      <c r="C192" s="37" t="s">
        <v>362</v>
      </c>
      <c r="D192" s="37" t="s">
        <v>363</v>
      </c>
      <c r="E192" s="37" t="s">
        <v>115</v>
      </c>
      <c r="F192" s="38" t="s">
        <v>172</v>
      </c>
    </row>
    <row r="193" spans="1:6" ht="13.5">
      <c r="A193" s="35">
        <v>13458</v>
      </c>
      <c r="B193" s="37" t="s">
        <v>389</v>
      </c>
      <c r="C193" s="37" t="s">
        <v>362</v>
      </c>
      <c r="D193" s="37" t="s">
        <v>363</v>
      </c>
      <c r="E193" s="37" t="s">
        <v>369</v>
      </c>
      <c r="F193" s="38" t="s">
        <v>128</v>
      </c>
    </row>
    <row r="194" spans="1:6" ht="13.5">
      <c r="A194" s="35">
        <v>13490</v>
      </c>
      <c r="B194" s="37" t="s">
        <v>390</v>
      </c>
      <c r="C194" s="37" t="s">
        <v>362</v>
      </c>
      <c r="D194" s="37" t="s">
        <v>363</v>
      </c>
      <c r="E194" s="37" t="s">
        <v>115</v>
      </c>
      <c r="F194" s="38" t="s">
        <v>172</v>
      </c>
    </row>
    <row r="195" spans="1:6" ht="13.5">
      <c r="A195" s="35">
        <v>13549</v>
      </c>
      <c r="B195" s="37" t="s">
        <v>391</v>
      </c>
      <c r="C195" s="37" t="s">
        <v>362</v>
      </c>
      <c r="D195" s="37" t="s">
        <v>363</v>
      </c>
      <c r="E195" s="37" t="s">
        <v>115</v>
      </c>
      <c r="F195" s="38" t="s">
        <v>172</v>
      </c>
    </row>
    <row r="196" spans="1:6" ht="13.5">
      <c r="A196" s="35">
        <v>13580</v>
      </c>
      <c r="B196" s="37" t="s">
        <v>392</v>
      </c>
      <c r="C196" s="37" t="s">
        <v>362</v>
      </c>
      <c r="D196" s="37" t="s">
        <v>363</v>
      </c>
      <c r="E196" s="37" t="s">
        <v>115</v>
      </c>
      <c r="F196" s="38" t="s">
        <v>172</v>
      </c>
    </row>
    <row r="197" spans="1:6" ht="13.5">
      <c r="A197" s="35">
        <v>13600</v>
      </c>
      <c r="B197" s="37" t="s">
        <v>393</v>
      </c>
      <c r="C197" s="37" t="s">
        <v>362</v>
      </c>
      <c r="D197" s="37" t="s">
        <v>366</v>
      </c>
      <c r="E197" s="37" t="s">
        <v>115</v>
      </c>
      <c r="F197" s="38" t="s">
        <v>172</v>
      </c>
    </row>
    <row r="198" spans="1:6" ht="13.5">
      <c r="A198" s="35">
        <v>13620</v>
      </c>
      <c r="B198" s="37" t="s">
        <v>394</v>
      </c>
      <c r="C198" s="37" t="s">
        <v>362</v>
      </c>
      <c r="D198" s="37" t="s">
        <v>363</v>
      </c>
      <c r="E198" s="37" t="s">
        <v>115</v>
      </c>
      <c r="F198" s="38" t="s">
        <v>212</v>
      </c>
    </row>
    <row r="199" spans="1:6" ht="13.5">
      <c r="A199" s="35">
        <v>13647</v>
      </c>
      <c r="B199" s="37" t="s">
        <v>395</v>
      </c>
      <c r="C199" s="37" t="s">
        <v>362</v>
      </c>
      <c r="D199" s="37" t="s">
        <v>363</v>
      </c>
      <c r="E199" s="37" t="s">
        <v>115</v>
      </c>
      <c r="F199" s="38" t="s">
        <v>114</v>
      </c>
    </row>
    <row r="200" spans="1:6" ht="13.5">
      <c r="A200" s="35">
        <v>13650</v>
      </c>
      <c r="B200" s="37" t="s">
        <v>396</v>
      </c>
      <c r="C200" s="37" t="s">
        <v>362</v>
      </c>
      <c r="D200" s="37" t="s">
        <v>363</v>
      </c>
      <c r="E200" s="37" t="s">
        <v>115</v>
      </c>
      <c r="F200" s="38" t="s">
        <v>172</v>
      </c>
    </row>
    <row r="201" spans="1:6" ht="13.5">
      <c r="A201" s="35">
        <v>13654</v>
      </c>
      <c r="B201" s="37" t="s">
        <v>397</v>
      </c>
      <c r="C201" s="37" t="s">
        <v>362</v>
      </c>
      <c r="D201" s="37" t="s">
        <v>363</v>
      </c>
      <c r="E201" s="37" t="s">
        <v>115</v>
      </c>
      <c r="F201" s="38" t="s">
        <v>212</v>
      </c>
    </row>
    <row r="202" spans="1:6" ht="13.5">
      <c r="A202" s="35">
        <v>13655</v>
      </c>
      <c r="B202" s="37" t="s">
        <v>398</v>
      </c>
      <c r="C202" s="37" t="s">
        <v>362</v>
      </c>
      <c r="D202" s="37" t="s">
        <v>363</v>
      </c>
      <c r="E202" s="37" t="s">
        <v>115</v>
      </c>
      <c r="F202" s="38" t="s">
        <v>172</v>
      </c>
    </row>
    <row r="203" spans="1:6" ht="13.5">
      <c r="A203" s="35">
        <v>13657</v>
      </c>
      <c r="B203" s="37" t="s">
        <v>399</v>
      </c>
      <c r="C203" s="37" t="s">
        <v>362</v>
      </c>
      <c r="D203" s="37" t="s">
        <v>363</v>
      </c>
      <c r="E203" s="37" t="s">
        <v>115</v>
      </c>
      <c r="F203" s="38" t="s">
        <v>114</v>
      </c>
    </row>
    <row r="204" spans="1:6" ht="13.5">
      <c r="A204" s="35">
        <v>13667</v>
      </c>
      <c r="B204" s="37" t="s">
        <v>400</v>
      </c>
      <c r="C204" s="37" t="s">
        <v>362</v>
      </c>
      <c r="D204" s="37" t="s">
        <v>363</v>
      </c>
      <c r="E204" s="37" t="s">
        <v>115</v>
      </c>
      <c r="F204" s="38" t="s">
        <v>172</v>
      </c>
    </row>
    <row r="205" spans="1:6" ht="13.5">
      <c r="A205" s="35">
        <v>13673</v>
      </c>
      <c r="B205" s="37" t="s">
        <v>401</v>
      </c>
      <c r="C205" s="37" t="s">
        <v>362</v>
      </c>
      <c r="D205" s="37" t="s">
        <v>363</v>
      </c>
      <c r="E205" s="37" t="s">
        <v>115</v>
      </c>
      <c r="F205" s="38" t="s">
        <v>114</v>
      </c>
    </row>
    <row r="206" spans="1:6" ht="13.5">
      <c r="A206" s="35">
        <v>13688</v>
      </c>
      <c r="B206" s="37" t="s">
        <v>402</v>
      </c>
      <c r="C206" s="37" t="s">
        <v>362</v>
      </c>
      <c r="D206" s="37" t="s">
        <v>140</v>
      </c>
      <c r="E206" s="37" t="s">
        <v>369</v>
      </c>
      <c r="F206" s="38" t="s">
        <v>128</v>
      </c>
    </row>
    <row r="207" spans="1:6" ht="13.5">
      <c r="A207" s="35">
        <v>13744</v>
      </c>
      <c r="B207" s="37" t="s">
        <v>403</v>
      </c>
      <c r="C207" s="37" t="s">
        <v>362</v>
      </c>
      <c r="D207" s="37" t="s">
        <v>140</v>
      </c>
      <c r="E207" s="37" t="s">
        <v>369</v>
      </c>
      <c r="F207" s="38" t="s">
        <v>128</v>
      </c>
    </row>
    <row r="208" spans="1:6" ht="13.5">
      <c r="A208" s="35">
        <v>13760</v>
      </c>
      <c r="B208" s="37" t="s">
        <v>404</v>
      </c>
      <c r="C208" s="37" t="s">
        <v>362</v>
      </c>
      <c r="D208" s="37" t="s">
        <v>363</v>
      </c>
      <c r="E208" s="37" t="s">
        <v>115</v>
      </c>
      <c r="F208" s="38" t="s">
        <v>212</v>
      </c>
    </row>
    <row r="209" spans="1:6" ht="13.5">
      <c r="A209" s="35">
        <v>13780</v>
      </c>
      <c r="B209" s="37" t="s">
        <v>405</v>
      </c>
      <c r="C209" s="37" t="s">
        <v>362</v>
      </c>
      <c r="D209" s="37" t="s">
        <v>363</v>
      </c>
      <c r="E209" s="37" t="s">
        <v>115</v>
      </c>
      <c r="F209" s="38" t="s">
        <v>172</v>
      </c>
    </row>
    <row r="210" spans="1:6" ht="13.5">
      <c r="A210" s="35">
        <v>13810</v>
      </c>
      <c r="B210" s="37" t="s">
        <v>406</v>
      </c>
      <c r="C210" s="37" t="s">
        <v>362</v>
      </c>
      <c r="D210" s="37" t="s">
        <v>363</v>
      </c>
      <c r="E210" s="37" t="s">
        <v>115</v>
      </c>
      <c r="F210" s="38" t="s">
        <v>172</v>
      </c>
    </row>
    <row r="211" spans="1:6" ht="13.5">
      <c r="A211" s="35">
        <v>13836</v>
      </c>
      <c r="B211" s="37" t="s">
        <v>407</v>
      </c>
      <c r="C211" s="37" t="s">
        <v>362</v>
      </c>
      <c r="D211" s="37" t="s">
        <v>363</v>
      </c>
      <c r="E211" s="37" t="s">
        <v>115</v>
      </c>
      <c r="F211" s="38" t="s">
        <v>114</v>
      </c>
    </row>
    <row r="212" spans="1:6" ht="13.5">
      <c r="A212" s="35">
        <v>13838</v>
      </c>
      <c r="B212" s="37" t="s">
        <v>408</v>
      </c>
      <c r="C212" s="37" t="s">
        <v>362</v>
      </c>
      <c r="D212" s="37" t="s">
        <v>363</v>
      </c>
      <c r="E212" s="37" t="s">
        <v>115</v>
      </c>
      <c r="F212" s="38" t="s">
        <v>114</v>
      </c>
    </row>
    <row r="213" spans="1:6" ht="13.5">
      <c r="A213" s="35">
        <v>13894</v>
      </c>
      <c r="B213" s="37" t="s">
        <v>409</v>
      </c>
      <c r="C213" s="37" t="s">
        <v>362</v>
      </c>
      <c r="D213" s="37" t="s">
        <v>363</v>
      </c>
      <c r="E213" s="37" t="s">
        <v>115</v>
      </c>
      <c r="F213" s="38" t="s">
        <v>172</v>
      </c>
    </row>
    <row r="214" spans="1:6" ht="13.5">
      <c r="A214" s="35">
        <v>15087</v>
      </c>
      <c r="B214" s="36" t="s">
        <v>410</v>
      </c>
      <c r="C214" s="37" t="s">
        <v>133</v>
      </c>
      <c r="D214" s="37" t="s">
        <v>131</v>
      </c>
      <c r="E214" s="37" t="s">
        <v>115</v>
      </c>
      <c r="F214" s="38" t="s">
        <v>114</v>
      </c>
    </row>
    <row r="215" spans="1:6" ht="13.5">
      <c r="A215" s="35">
        <v>15106</v>
      </c>
      <c r="B215" s="36" t="s">
        <v>213</v>
      </c>
      <c r="C215" s="37" t="s">
        <v>133</v>
      </c>
      <c r="D215" s="37" t="s">
        <v>131</v>
      </c>
      <c r="E215" s="37" t="s">
        <v>115</v>
      </c>
      <c r="F215" s="38" t="s">
        <v>212</v>
      </c>
    </row>
    <row r="216" spans="1:6" ht="13.5">
      <c r="A216" s="35">
        <v>15109</v>
      </c>
      <c r="B216" s="36" t="s">
        <v>411</v>
      </c>
      <c r="C216" s="37" t="s">
        <v>133</v>
      </c>
      <c r="D216" s="37" t="s">
        <v>131</v>
      </c>
      <c r="E216" s="37" t="s">
        <v>115</v>
      </c>
      <c r="F216" s="38" t="s">
        <v>172</v>
      </c>
    </row>
    <row r="217" spans="1:6" ht="13.5">
      <c r="A217" s="35">
        <v>15131</v>
      </c>
      <c r="B217" s="36" t="s">
        <v>214</v>
      </c>
      <c r="C217" s="37" t="s">
        <v>133</v>
      </c>
      <c r="D217" s="37" t="s">
        <v>131</v>
      </c>
      <c r="E217" s="37" t="s">
        <v>115</v>
      </c>
      <c r="F217" s="38" t="s">
        <v>114</v>
      </c>
    </row>
    <row r="218" spans="1:6" ht="13.5">
      <c r="A218" s="35">
        <v>15189</v>
      </c>
      <c r="B218" s="36" t="s">
        <v>412</v>
      </c>
      <c r="C218" s="37" t="s">
        <v>133</v>
      </c>
      <c r="D218" s="37" t="s">
        <v>131</v>
      </c>
      <c r="E218" s="37" t="s">
        <v>115</v>
      </c>
      <c r="F218" s="38" t="s">
        <v>114</v>
      </c>
    </row>
    <row r="219" spans="1:6" ht="13.5">
      <c r="A219" s="35">
        <v>15368</v>
      </c>
      <c r="B219" s="36" t="s">
        <v>219</v>
      </c>
      <c r="C219" s="37" t="s">
        <v>133</v>
      </c>
      <c r="D219" s="37" t="s">
        <v>131</v>
      </c>
      <c r="E219" s="37" t="s">
        <v>115</v>
      </c>
      <c r="F219" s="38" t="s">
        <v>172</v>
      </c>
    </row>
    <row r="220" spans="1:6" ht="13.5">
      <c r="A220" s="35">
        <v>15401</v>
      </c>
      <c r="B220" s="36" t="s">
        <v>195</v>
      </c>
      <c r="C220" s="37" t="s">
        <v>133</v>
      </c>
      <c r="D220" s="37" t="s">
        <v>131</v>
      </c>
      <c r="E220" s="37" t="s">
        <v>115</v>
      </c>
      <c r="F220" s="38" t="s">
        <v>172</v>
      </c>
    </row>
    <row r="221" spans="1:6" ht="13.5">
      <c r="A221" s="35">
        <v>15455</v>
      </c>
      <c r="B221" s="36" t="s">
        <v>413</v>
      </c>
      <c r="C221" s="37" t="s">
        <v>133</v>
      </c>
      <c r="D221" s="37" t="s">
        <v>131</v>
      </c>
      <c r="E221" s="37" t="s">
        <v>115</v>
      </c>
      <c r="F221" s="38" t="s">
        <v>172</v>
      </c>
    </row>
    <row r="222" spans="1:6" ht="13.5">
      <c r="A222" s="35">
        <v>15514</v>
      </c>
      <c r="B222" s="36" t="s">
        <v>414</v>
      </c>
      <c r="C222" s="37" t="s">
        <v>133</v>
      </c>
      <c r="D222" s="37" t="s">
        <v>131</v>
      </c>
      <c r="E222" s="37" t="s">
        <v>115</v>
      </c>
      <c r="F222" s="38" t="s">
        <v>172</v>
      </c>
    </row>
    <row r="223" spans="1:6" ht="13.5">
      <c r="A223" s="35">
        <v>15690</v>
      </c>
      <c r="B223" s="36" t="s">
        <v>415</v>
      </c>
      <c r="C223" s="37" t="s">
        <v>133</v>
      </c>
      <c r="D223" s="37" t="s">
        <v>131</v>
      </c>
      <c r="E223" s="37" t="s">
        <v>115</v>
      </c>
      <c r="F223" s="38" t="s">
        <v>212</v>
      </c>
    </row>
    <row r="224" spans="1:6" ht="13.5">
      <c r="A224" s="35">
        <v>15022</v>
      </c>
      <c r="B224" s="37" t="s">
        <v>416</v>
      </c>
      <c r="C224" s="37" t="s">
        <v>133</v>
      </c>
      <c r="D224" s="37" t="s">
        <v>131</v>
      </c>
      <c r="E224" s="37" t="s">
        <v>115</v>
      </c>
      <c r="F224" s="38" t="s">
        <v>212</v>
      </c>
    </row>
    <row r="225" spans="1:6" ht="13.5">
      <c r="A225" s="35">
        <v>15047</v>
      </c>
      <c r="B225" s="37" t="s">
        <v>417</v>
      </c>
      <c r="C225" s="37" t="s">
        <v>133</v>
      </c>
      <c r="D225" s="37" t="s">
        <v>131</v>
      </c>
      <c r="E225" s="37" t="s">
        <v>115</v>
      </c>
      <c r="F225" s="38" t="s">
        <v>212</v>
      </c>
    </row>
    <row r="226" spans="1:6" ht="13.5">
      <c r="A226" s="35">
        <v>15051</v>
      </c>
      <c r="B226" s="37" t="s">
        <v>418</v>
      </c>
      <c r="C226" s="37" t="s">
        <v>133</v>
      </c>
      <c r="D226" s="37" t="s">
        <v>131</v>
      </c>
      <c r="E226" s="37" t="s">
        <v>115</v>
      </c>
      <c r="F226" s="38" t="s">
        <v>114</v>
      </c>
    </row>
    <row r="227" spans="1:6" ht="13.5">
      <c r="A227" s="35">
        <v>15090</v>
      </c>
      <c r="B227" s="37" t="s">
        <v>419</v>
      </c>
      <c r="C227" s="37" t="s">
        <v>133</v>
      </c>
      <c r="D227" s="37" t="s">
        <v>131</v>
      </c>
      <c r="E227" s="37" t="s">
        <v>115</v>
      </c>
      <c r="F227" s="38" t="s">
        <v>212</v>
      </c>
    </row>
    <row r="228" spans="1:6" ht="13.5">
      <c r="A228" s="35">
        <v>15092</v>
      </c>
      <c r="B228" s="37" t="s">
        <v>420</v>
      </c>
      <c r="C228" s="37" t="s">
        <v>133</v>
      </c>
      <c r="D228" s="37" t="s">
        <v>131</v>
      </c>
      <c r="E228" s="37" t="s">
        <v>115</v>
      </c>
      <c r="F228" s="38" t="s">
        <v>212</v>
      </c>
    </row>
    <row r="229" spans="1:6" ht="13.5">
      <c r="A229" s="35">
        <v>15097</v>
      </c>
      <c r="B229" s="37" t="s">
        <v>421</v>
      </c>
      <c r="C229" s="37" t="s">
        <v>133</v>
      </c>
      <c r="D229" s="37" t="s">
        <v>131</v>
      </c>
      <c r="E229" s="37" t="s">
        <v>115</v>
      </c>
      <c r="F229" s="38" t="s">
        <v>172</v>
      </c>
    </row>
    <row r="230" spans="1:6" ht="13.5">
      <c r="A230" s="35">
        <v>15104</v>
      </c>
      <c r="B230" s="37" t="s">
        <v>133</v>
      </c>
      <c r="C230" s="37" t="s">
        <v>133</v>
      </c>
      <c r="D230" s="37" t="s">
        <v>131</v>
      </c>
      <c r="E230" s="37" t="s">
        <v>115</v>
      </c>
      <c r="F230" s="38" t="s">
        <v>114</v>
      </c>
    </row>
    <row r="231" spans="1:6" ht="13.5">
      <c r="A231" s="35">
        <v>15114</v>
      </c>
      <c r="B231" s="37" t="s">
        <v>422</v>
      </c>
      <c r="C231" s="37" t="s">
        <v>133</v>
      </c>
      <c r="D231" s="37" t="s">
        <v>131</v>
      </c>
      <c r="E231" s="37" t="s">
        <v>115</v>
      </c>
      <c r="F231" s="38" t="s">
        <v>114</v>
      </c>
    </row>
    <row r="232" spans="1:6" ht="13.5">
      <c r="A232" s="35">
        <v>15135</v>
      </c>
      <c r="B232" s="37" t="s">
        <v>423</v>
      </c>
      <c r="C232" s="37" t="s">
        <v>133</v>
      </c>
      <c r="D232" s="37" t="s">
        <v>131</v>
      </c>
      <c r="E232" s="37" t="s">
        <v>115</v>
      </c>
      <c r="F232" s="38" t="s">
        <v>172</v>
      </c>
    </row>
    <row r="233" spans="1:6" ht="13.5">
      <c r="A233" s="35">
        <v>15162</v>
      </c>
      <c r="B233" s="37" t="s">
        <v>424</v>
      </c>
      <c r="C233" s="37" t="s">
        <v>133</v>
      </c>
      <c r="D233" s="37" t="s">
        <v>131</v>
      </c>
      <c r="E233" s="37" t="s">
        <v>115</v>
      </c>
      <c r="F233" s="38" t="s">
        <v>114</v>
      </c>
    </row>
    <row r="234" spans="1:6" ht="13.5">
      <c r="A234" s="35">
        <v>15172</v>
      </c>
      <c r="B234" s="37" t="s">
        <v>425</v>
      </c>
      <c r="C234" s="37" t="s">
        <v>133</v>
      </c>
      <c r="D234" s="37" t="s">
        <v>131</v>
      </c>
      <c r="E234" s="37" t="s">
        <v>115</v>
      </c>
      <c r="F234" s="38" t="s">
        <v>212</v>
      </c>
    </row>
    <row r="235" spans="1:6" ht="13.5">
      <c r="A235" s="35">
        <v>15176</v>
      </c>
      <c r="B235" s="37" t="s">
        <v>426</v>
      </c>
      <c r="C235" s="37" t="s">
        <v>133</v>
      </c>
      <c r="D235" s="37" t="s">
        <v>131</v>
      </c>
      <c r="E235" s="37" t="s">
        <v>115</v>
      </c>
      <c r="F235" s="38" t="s">
        <v>212</v>
      </c>
    </row>
    <row r="236" spans="1:6" ht="13.5">
      <c r="A236" s="35">
        <v>15232</v>
      </c>
      <c r="B236" s="37" t="s">
        <v>427</v>
      </c>
      <c r="C236" s="37" t="s">
        <v>133</v>
      </c>
      <c r="D236" s="37" t="s">
        <v>131</v>
      </c>
      <c r="E236" s="37" t="s">
        <v>115</v>
      </c>
      <c r="F236" s="38" t="s">
        <v>114</v>
      </c>
    </row>
    <row r="237" spans="1:6" ht="13.5">
      <c r="A237" s="35">
        <v>15180</v>
      </c>
      <c r="B237" s="37" t="s">
        <v>428</v>
      </c>
      <c r="C237" s="37" t="s">
        <v>133</v>
      </c>
      <c r="D237" s="37" t="s">
        <v>131</v>
      </c>
      <c r="E237" s="37" t="s">
        <v>115</v>
      </c>
      <c r="F237" s="38" t="s">
        <v>172</v>
      </c>
    </row>
    <row r="238" spans="1:6" ht="13.5">
      <c r="A238" s="35">
        <v>15183</v>
      </c>
      <c r="B238" s="37" t="s">
        <v>429</v>
      </c>
      <c r="C238" s="37" t="s">
        <v>133</v>
      </c>
      <c r="D238" s="37" t="s">
        <v>131</v>
      </c>
      <c r="E238" s="37" t="s">
        <v>115</v>
      </c>
      <c r="F238" s="38" t="s">
        <v>172</v>
      </c>
    </row>
    <row r="239" spans="1:6" ht="13.5">
      <c r="A239" s="35">
        <v>15185</v>
      </c>
      <c r="B239" s="37" t="s">
        <v>430</v>
      </c>
      <c r="C239" s="37" t="s">
        <v>133</v>
      </c>
      <c r="D239" s="37" t="s">
        <v>131</v>
      </c>
      <c r="E239" s="37" t="s">
        <v>115</v>
      </c>
      <c r="F239" s="38" t="s">
        <v>114</v>
      </c>
    </row>
    <row r="240" spans="1:6" ht="13.5">
      <c r="A240" s="35">
        <v>15187</v>
      </c>
      <c r="B240" s="37" t="s">
        <v>431</v>
      </c>
      <c r="C240" s="37" t="s">
        <v>133</v>
      </c>
      <c r="D240" s="37" t="s">
        <v>131</v>
      </c>
      <c r="E240" s="37" t="s">
        <v>115</v>
      </c>
      <c r="F240" s="38" t="s">
        <v>114</v>
      </c>
    </row>
    <row r="241" spans="1:6" ht="13.5">
      <c r="A241" s="35">
        <v>15236</v>
      </c>
      <c r="B241" s="37" t="s">
        <v>432</v>
      </c>
      <c r="C241" s="37" t="s">
        <v>133</v>
      </c>
      <c r="D241" s="37" t="s">
        <v>131</v>
      </c>
      <c r="E241" s="37" t="s">
        <v>115</v>
      </c>
      <c r="F241" s="38" t="s">
        <v>212</v>
      </c>
    </row>
    <row r="242" spans="1:6" ht="13.5">
      <c r="A242" s="35">
        <v>15204</v>
      </c>
      <c r="B242" s="37" t="s">
        <v>433</v>
      </c>
      <c r="C242" s="37" t="s">
        <v>133</v>
      </c>
      <c r="D242" s="37" t="s">
        <v>131</v>
      </c>
      <c r="E242" s="37" t="s">
        <v>115</v>
      </c>
      <c r="F242" s="38" t="s">
        <v>114</v>
      </c>
    </row>
    <row r="243" spans="1:6" ht="13.5">
      <c r="A243" s="35">
        <v>15212</v>
      </c>
      <c r="B243" s="37" t="s">
        <v>434</v>
      </c>
      <c r="C243" s="37" t="s">
        <v>133</v>
      </c>
      <c r="D243" s="37" t="s">
        <v>131</v>
      </c>
      <c r="E243" s="37" t="s">
        <v>115</v>
      </c>
      <c r="F243" s="38" t="s">
        <v>212</v>
      </c>
    </row>
    <row r="244" spans="1:6" ht="13.5">
      <c r="A244" s="35">
        <v>15215</v>
      </c>
      <c r="B244" s="37" t="s">
        <v>435</v>
      </c>
      <c r="C244" s="37" t="s">
        <v>133</v>
      </c>
      <c r="D244" s="37" t="s">
        <v>131</v>
      </c>
      <c r="E244" s="37" t="s">
        <v>115</v>
      </c>
      <c r="F244" s="38" t="s">
        <v>114</v>
      </c>
    </row>
    <row r="245" spans="1:6" ht="13.5">
      <c r="A245" s="35">
        <v>15218</v>
      </c>
      <c r="B245" s="37" t="s">
        <v>436</v>
      </c>
      <c r="C245" s="37" t="s">
        <v>133</v>
      </c>
      <c r="D245" s="37" t="s">
        <v>131</v>
      </c>
      <c r="E245" s="37" t="s">
        <v>115</v>
      </c>
      <c r="F245" s="38" t="s">
        <v>172</v>
      </c>
    </row>
    <row r="246" spans="1:6" ht="13.5">
      <c r="A246" s="35">
        <v>15223</v>
      </c>
      <c r="B246" s="37" t="s">
        <v>437</v>
      </c>
      <c r="C246" s="37" t="s">
        <v>133</v>
      </c>
      <c r="D246" s="37" t="s">
        <v>140</v>
      </c>
      <c r="E246" s="37" t="s">
        <v>197</v>
      </c>
      <c r="F246" s="38" t="s">
        <v>128</v>
      </c>
    </row>
    <row r="247" spans="1:6" ht="13.5">
      <c r="A247" s="35">
        <v>15224</v>
      </c>
      <c r="B247" s="37" t="s">
        <v>438</v>
      </c>
      <c r="C247" s="37" t="s">
        <v>133</v>
      </c>
      <c r="D247" s="37" t="s">
        <v>131</v>
      </c>
      <c r="E247" s="37" t="s">
        <v>115</v>
      </c>
      <c r="F247" s="38" t="s">
        <v>114</v>
      </c>
    </row>
    <row r="248" spans="1:6" ht="13.5">
      <c r="A248" s="35">
        <v>15226</v>
      </c>
      <c r="B248" s="37" t="s">
        <v>439</v>
      </c>
      <c r="C248" s="37" t="s">
        <v>133</v>
      </c>
      <c r="D248" s="37" t="s">
        <v>131</v>
      </c>
      <c r="E248" s="37" t="s">
        <v>115</v>
      </c>
      <c r="F248" s="38" t="s">
        <v>114</v>
      </c>
    </row>
    <row r="249" spans="1:6" ht="13.5">
      <c r="A249" s="35">
        <v>15238</v>
      </c>
      <c r="B249" s="37" t="s">
        <v>440</v>
      </c>
      <c r="C249" s="37" t="s">
        <v>133</v>
      </c>
      <c r="D249" s="37" t="s">
        <v>131</v>
      </c>
      <c r="E249" s="37" t="s">
        <v>115</v>
      </c>
      <c r="F249" s="38" t="s">
        <v>114</v>
      </c>
    </row>
    <row r="250" spans="1:6" ht="13.5">
      <c r="A250" s="35">
        <v>15244</v>
      </c>
      <c r="B250" s="37" t="s">
        <v>441</v>
      </c>
      <c r="C250" s="37" t="s">
        <v>133</v>
      </c>
      <c r="D250" s="37" t="s">
        <v>131</v>
      </c>
      <c r="E250" s="37" t="s">
        <v>115</v>
      </c>
      <c r="F250" s="38" t="s">
        <v>172</v>
      </c>
    </row>
    <row r="251" spans="1:6" ht="13.5">
      <c r="A251" s="35">
        <v>15248</v>
      </c>
      <c r="B251" s="37" t="s">
        <v>442</v>
      </c>
      <c r="C251" s="37" t="s">
        <v>133</v>
      </c>
      <c r="D251" s="37" t="s">
        <v>131</v>
      </c>
      <c r="E251" s="37" t="s">
        <v>115</v>
      </c>
      <c r="F251" s="38" t="s">
        <v>172</v>
      </c>
    </row>
    <row r="252" spans="1:6" ht="13.5">
      <c r="A252" s="35">
        <v>15272</v>
      </c>
      <c r="B252" s="37" t="s">
        <v>443</v>
      </c>
      <c r="C252" s="37" t="s">
        <v>133</v>
      </c>
      <c r="D252" s="37" t="s">
        <v>131</v>
      </c>
      <c r="E252" s="37" t="s">
        <v>115</v>
      </c>
      <c r="F252" s="38" t="s">
        <v>114</v>
      </c>
    </row>
    <row r="253" spans="1:6" ht="13.5">
      <c r="A253" s="35">
        <v>15276</v>
      </c>
      <c r="B253" s="37" t="s">
        <v>444</v>
      </c>
      <c r="C253" s="37" t="s">
        <v>133</v>
      </c>
      <c r="D253" s="37" t="s">
        <v>131</v>
      </c>
      <c r="E253" s="37" t="s">
        <v>115</v>
      </c>
      <c r="F253" s="38" t="s">
        <v>114</v>
      </c>
    </row>
    <row r="254" spans="1:6" ht="13.5">
      <c r="A254" s="35">
        <v>15293</v>
      </c>
      <c r="B254" s="37" t="s">
        <v>445</v>
      </c>
      <c r="C254" s="37" t="s">
        <v>133</v>
      </c>
      <c r="D254" s="37" t="s">
        <v>131</v>
      </c>
      <c r="E254" s="37" t="s">
        <v>115</v>
      </c>
      <c r="F254" s="38" t="s">
        <v>114</v>
      </c>
    </row>
    <row r="255" spans="1:6" ht="13.5">
      <c r="A255" s="35">
        <v>15296</v>
      </c>
      <c r="B255" s="37" t="s">
        <v>446</v>
      </c>
      <c r="C255" s="37" t="s">
        <v>133</v>
      </c>
      <c r="D255" s="37" t="s">
        <v>131</v>
      </c>
      <c r="E255" s="37" t="s">
        <v>115</v>
      </c>
      <c r="F255" s="38" t="s">
        <v>212</v>
      </c>
    </row>
    <row r="256" spans="1:6" ht="13.5">
      <c r="A256" s="35">
        <v>15299</v>
      </c>
      <c r="B256" s="37" t="s">
        <v>447</v>
      </c>
      <c r="C256" s="37" t="s">
        <v>133</v>
      </c>
      <c r="D256" s="37" t="s">
        <v>131</v>
      </c>
      <c r="E256" s="37" t="s">
        <v>115</v>
      </c>
      <c r="F256" s="38" t="s">
        <v>212</v>
      </c>
    </row>
    <row r="257" spans="1:6" ht="13.5">
      <c r="A257" s="35">
        <v>15317</v>
      </c>
      <c r="B257" s="37" t="s">
        <v>448</v>
      </c>
      <c r="C257" s="37" t="s">
        <v>133</v>
      </c>
      <c r="D257" s="37" t="s">
        <v>131</v>
      </c>
      <c r="E257" s="37" t="s">
        <v>115</v>
      </c>
      <c r="F257" s="38" t="s">
        <v>172</v>
      </c>
    </row>
    <row r="258" spans="1:6" ht="13.5">
      <c r="A258" s="35">
        <v>15322</v>
      </c>
      <c r="B258" s="37" t="s">
        <v>449</v>
      </c>
      <c r="C258" s="37" t="s">
        <v>133</v>
      </c>
      <c r="D258" s="37" t="s">
        <v>131</v>
      </c>
      <c r="E258" s="37" t="s">
        <v>115</v>
      </c>
      <c r="F258" s="38" t="s">
        <v>114</v>
      </c>
    </row>
    <row r="259" spans="1:6" ht="13.5">
      <c r="A259" s="35">
        <v>15325</v>
      </c>
      <c r="B259" s="37" t="s">
        <v>450</v>
      </c>
      <c r="C259" s="37" t="s">
        <v>133</v>
      </c>
      <c r="D259" s="37" t="s">
        <v>131</v>
      </c>
      <c r="E259" s="37" t="s">
        <v>115</v>
      </c>
      <c r="F259" s="38" t="s">
        <v>212</v>
      </c>
    </row>
    <row r="260" spans="1:6" ht="13.5">
      <c r="A260" s="35">
        <v>15332</v>
      </c>
      <c r="B260" s="37" t="s">
        <v>451</v>
      </c>
      <c r="C260" s="37" t="s">
        <v>133</v>
      </c>
      <c r="D260" s="37" t="s">
        <v>131</v>
      </c>
      <c r="E260" s="37" t="s">
        <v>115</v>
      </c>
      <c r="F260" s="38" t="s">
        <v>172</v>
      </c>
    </row>
    <row r="261" spans="1:6" ht="13.5">
      <c r="A261" s="35">
        <v>15362</v>
      </c>
      <c r="B261" s="37" t="s">
        <v>452</v>
      </c>
      <c r="C261" s="37" t="s">
        <v>133</v>
      </c>
      <c r="D261" s="37" t="s">
        <v>131</v>
      </c>
      <c r="E261" s="37" t="s">
        <v>115</v>
      </c>
      <c r="F261" s="38" t="s">
        <v>114</v>
      </c>
    </row>
    <row r="262" spans="1:6" ht="13.5">
      <c r="A262" s="35">
        <v>15367</v>
      </c>
      <c r="B262" s="37" t="s">
        <v>453</v>
      </c>
      <c r="C262" s="37" t="s">
        <v>133</v>
      </c>
      <c r="D262" s="37" t="s">
        <v>131</v>
      </c>
      <c r="E262" s="37" t="s">
        <v>115</v>
      </c>
      <c r="F262" s="38" t="s">
        <v>114</v>
      </c>
    </row>
    <row r="263" spans="1:6" ht="13.5">
      <c r="A263" s="35">
        <v>15380</v>
      </c>
      <c r="B263" s="37" t="s">
        <v>454</v>
      </c>
      <c r="C263" s="37" t="s">
        <v>133</v>
      </c>
      <c r="D263" s="37" t="s">
        <v>131</v>
      </c>
      <c r="E263" s="37" t="s">
        <v>115</v>
      </c>
      <c r="F263" s="38" t="s">
        <v>212</v>
      </c>
    </row>
    <row r="264" spans="1:6" ht="13.5">
      <c r="A264" s="35">
        <v>15403</v>
      </c>
      <c r="B264" s="37" t="s">
        <v>455</v>
      </c>
      <c r="C264" s="37" t="s">
        <v>133</v>
      </c>
      <c r="D264" s="37" t="s">
        <v>131</v>
      </c>
      <c r="E264" s="37" t="s">
        <v>115</v>
      </c>
      <c r="F264" s="38" t="s">
        <v>172</v>
      </c>
    </row>
    <row r="265" spans="1:6" ht="13.5">
      <c r="A265" s="35">
        <v>15377</v>
      </c>
      <c r="B265" s="37" t="s">
        <v>456</v>
      </c>
      <c r="C265" s="37" t="s">
        <v>133</v>
      </c>
      <c r="D265" s="37" t="s">
        <v>131</v>
      </c>
      <c r="E265" s="37" t="s">
        <v>115</v>
      </c>
      <c r="F265" s="38" t="s">
        <v>172</v>
      </c>
    </row>
    <row r="266" spans="1:6" ht="13.5">
      <c r="A266" s="35">
        <v>15425</v>
      </c>
      <c r="B266" s="37" t="s">
        <v>457</v>
      </c>
      <c r="C266" s="37" t="s">
        <v>133</v>
      </c>
      <c r="D266" s="37" t="s">
        <v>131</v>
      </c>
      <c r="E266" s="37" t="s">
        <v>115</v>
      </c>
      <c r="F266" s="38" t="s">
        <v>212</v>
      </c>
    </row>
    <row r="267" spans="1:6" ht="13.5">
      <c r="A267" s="35">
        <v>15442</v>
      </c>
      <c r="B267" s="37" t="s">
        <v>458</v>
      </c>
      <c r="C267" s="37" t="s">
        <v>133</v>
      </c>
      <c r="D267" s="37" t="s">
        <v>131</v>
      </c>
      <c r="E267" s="37" t="s">
        <v>115</v>
      </c>
      <c r="F267" s="38" t="s">
        <v>172</v>
      </c>
    </row>
    <row r="268" spans="1:6" ht="13.5">
      <c r="A268" s="35">
        <v>15464</v>
      </c>
      <c r="B268" s="37" t="s">
        <v>459</v>
      </c>
      <c r="C268" s="37" t="s">
        <v>133</v>
      </c>
      <c r="D268" s="37" t="s">
        <v>131</v>
      </c>
      <c r="E268" s="37" t="s">
        <v>115</v>
      </c>
      <c r="F268" s="38" t="s">
        <v>114</v>
      </c>
    </row>
    <row r="269" spans="1:6" ht="13.5">
      <c r="A269" s="35">
        <v>15466</v>
      </c>
      <c r="B269" s="37" t="s">
        <v>460</v>
      </c>
      <c r="C269" s="37" t="s">
        <v>133</v>
      </c>
      <c r="D269" s="37" t="s">
        <v>131</v>
      </c>
      <c r="E269" s="37" t="s">
        <v>115</v>
      </c>
      <c r="F269" s="38" t="s">
        <v>212</v>
      </c>
    </row>
    <row r="270" spans="1:6" ht="13.5">
      <c r="A270" s="35">
        <v>15469</v>
      </c>
      <c r="B270" s="37" t="s">
        <v>461</v>
      </c>
      <c r="C270" s="37" t="s">
        <v>133</v>
      </c>
      <c r="D270" s="37" t="s">
        <v>131</v>
      </c>
      <c r="E270" s="37" t="s">
        <v>115</v>
      </c>
      <c r="F270" s="38" t="s">
        <v>114</v>
      </c>
    </row>
    <row r="271" spans="1:6" ht="13.5">
      <c r="A271" s="35">
        <v>15476</v>
      </c>
      <c r="B271" s="37" t="s">
        <v>462</v>
      </c>
      <c r="C271" s="37" t="s">
        <v>133</v>
      </c>
      <c r="D271" s="37" t="s">
        <v>131</v>
      </c>
      <c r="E271" s="37" t="s">
        <v>115</v>
      </c>
      <c r="F271" s="38" t="s">
        <v>138</v>
      </c>
    </row>
    <row r="272" spans="1:6" ht="13.5">
      <c r="A272" s="35">
        <v>15480</v>
      </c>
      <c r="B272" s="37" t="s">
        <v>463</v>
      </c>
      <c r="C272" s="37" t="s">
        <v>133</v>
      </c>
      <c r="D272" s="37" t="s">
        <v>131</v>
      </c>
      <c r="E272" s="37" t="s">
        <v>115</v>
      </c>
      <c r="F272" s="38" t="s">
        <v>172</v>
      </c>
    </row>
    <row r="273" spans="1:6" ht="13.5">
      <c r="A273" s="35">
        <v>15491</v>
      </c>
      <c r="B273" s="37" t="s">
        <v>464</v>
      </c>
      <c r="C273" s="37" t="s">
        <v>133</v>
      </c>
      <c r="D273" s="37" t="s">
        <v>131</v>
      </c>
      <c r="E273" s="37" t="s">
        <v>115</v>
      </c>
      <c r="F273" s="38" t="s">
        <v>114</v>
      </c>
    </row>
    <row r="274" spans="1:6" ht="13.5">
      <c r="A274" s="35">
        <v>15494</v>
      </c>
      <c r="B274" s="37" t="s">
        <v>465</v>
      </c>
      <c r="C274" s="37" t="s">
        <v>133</v>
      </c>
      <c r="D274" s="37" t="s">
        <v>131</v>
      </c>
      <c r="E274" s="37" t="s">
        <v>115</v>
      </c>
      <c r="F274" s="38" t="s">
        <v>114</v>
      </c>
    </row>
    <row r="275" spans="1:6" ht="13.5">
      <c r="A275" s="35">
        <v>15500</v>
      </c>
      <c r="B275" s="37" t="s">
        <v>466</v>
      </c>
      <c r="C275" s="37" t="s">
        <v>133</v>
      </c>
      <c r="D275" s="37" t="s">
        <v>131</v>
      </c>
      <c r="E275" s="37" t="s">
        <v>115</v>
      </c>
      <c r="F275" s="38" t="s">
        <v>114</v>
      </c>
    </row>
    <row r="276" spans="1:6" ht="13.5">
      <c r="A276" s="35">
        <v>15507</v>
      </c>
      <c r="B276" s="37" t="s">
        <v>467</v>
      </c>
      <c r="C276" s="37" t="s">
        <v>133</v>
      </c>
      <c r="D276" s="37" t="s">
        <v>131</v>
      </c>
      <c r="E276" s="37" t="s">
        <v>115</v>
      </c>
      <c r="F276" s="38" t="s">
        <v>172</v>
      </c>
    </row>
    <row r="277" spans="1:6" ht="13.5">
      <c r="A277" s="35">
        <v>15511</v>
      </c>
      <c r="B277" s="37" t="s">
        <v>468</v>
      </c>
      <c r="C277" s="37" t="s">
        <v>133</v>
      </c>
      <c r="D277" s="37" t="s">
        <v>131</v>
      </c>
      <c r="E277" s="37" t="s">
        <v>115</v>
      </c>
      <c r="F277" s="38" t="s">
        <v>212</v>
      </c>
    </row>
    <row r="278" spans="1:6" ht="13.5">
      <c r="A278" s="35">
        <v>15516</v>
      </c>
      <c r="B278" s="37" t="s">
        <v>469</v>
      </c>
      <c r="C278" s="37" t="s">
        <v>133</v>
      </c>
      <c r="D278" s="37" t="s">
        <v>131</v>
      </c>
      <c r="E278" s="37" t="s">
        <v>115</v>
      </c>
      <c r="F278" s="38" t="s">
        <v>114</v>
      </c>
    </row>
    <row r="279" spans="1:6" ht="13.5">
      <c r="A279" s="35">
        <v>15518</v>
      </c>
      <c r="B279" s="37" t="s">
        <v>470</v>
      </c>
      <c r="C279" s="37" t="s">
        <v>133</v>
      </c>
      <c r="D279" s="37" t="s">
        <v>471</v>
      </c>
      <c r="E279" s="37" t="s">
        <v>115</v>
      </c>
      <c r="F279" s="38" t="s">
        <v>212</v>
      </c>
    </row>
    <row r="280" spans="1:6" ht="13.5">
      <c r="A280" s="35">
        <v>15522</v>
      </c>
      <c r="B280" s="37" t="s">
        <v>472</v>
      </c>
      <c r="C280" s="37" t="s">
        <v>133</v>
      </c>
      <c r="D280" s="37" t="s">
        <v>131</v>
      </c>
      <c r="E280" s="37" t="s">
        <v>115</v>
      </c>
      <c r="F280" s="38" t="s">
        <v>172</v>
      </c>
    </row>
    <row r="281" spans="1:6" ht="13.5">
      <c r="A281" s="35">
        <v>15531</v>
      </c>
      <c r="B281" s="37" t="s">
        <v>473</v>
      </c>
      <c r="C281" s="37" t="s">
        <v>133</v>
      </c>
      <c r="D281" s="37" t="s">
        <v>131</v>
      </c>
      <c r="E281" s="37" t="s">
        <v>115</v>
      </c>
      <c r="F281" s="38" t="s">
        <v>212</v>
      </c>
    </row>
    <row r="282" spans="1:6" ht="13.5">
      <c r="A282" s="35">
        <v>15533</v>
      </c>
      <c r="B282" s="37" t="s">
        <v>474</v>
      </c>
      <c r="C282" s="37" t="s">
        <v>133</v>
      </c>
      <c r="D282" s="37" t="s">
        <v>131</v>
      </c>
      <c r="E282" s="37" t="s">
        <v>115</v>
      </c>
      <c r="F282" s="38" t="s">
        <v>172</v>
      </c>
    </row>
    <row r="283" spans="1:6" ht="13.5">
      <c r="A283" s="35">
        <v>15537</v>
      </c>
      <c r="B283" s="37" t="s">
        <v>475</v>
      </c>
      <c r="C283" s="37" t="s">
        <v>133</v>
      </c>
      <c r="D283" s="37" t="s">
        <v>131</v>
      </c>
      <c r="E283" s="37" t="s">
        <v>115</v>
      </c>
      <c r="F283" s="38" t="s">
        <v>114</v>
      </c>
    </row>
    <row r="284" spans="1:6" ht="13.5">
      <c r="A284" s="35">
        <v>15542</v>
      </c>
      <c r="B284" s="37" t="s">
        <v>476</v>
      </c>
      <c r="C284" s="37" t="s">
        <v>133</v>
      </c>
      <c r="D284" s="37" t="s">
        <v>131</v>
      </c>
      <c r="E284" s="37" t="s">
        <v>115</v>
      </c>
      <c r="F284" s="38" t="s">
        <v>212</v>
      </c>
    </row>
    <row r="285" spans="1:6" ht="13.5">
      <c r="A285" s="35">
        <v>15550</v>
      </c>
      <c r="B285" s="37" t="s">
        <v>477</v>
      </c>
      <c r="C285" s="37" t="s">
        <v>133</v>
      </c>
      <c r="D285" s="37" t="s">
        <v>131</v>
      </c>
      <c r="E285" s="37" t="s">
        <v>115</v>
      </c>
      <c r="F285" s="38" t="s">
        <v>172</v>
      </c>
    </row>
    <row r="286" spans="1:6" ht="13.5">
      <c r="A286" s="35">
        <v>15572</v>
      </c>
      <c r="B286" s="37" t="s">
        <v>478</v>
      </c>
      <c r="C286" s="37" t="s">
        <v>133</v>
      </c>
      <c r="D286" s="37" t="s">
        <v>165</v>
      </c>
      <c r="E286" s="37" t="s">
        <v>115</v>
      </c>
      <c r="F286" s="38" t="s">
        <v>172</v>
      </c>
    </row>
    <row r="287" spans="1:6" ht="13.5">
      <c r="A287" s="35">
        <v>15580</v>
      </c>
      <c r="B287" s="37" t="s">
        <v>479</v>
      </c>
      <c r="C287" s="37" t="s">
        <v>133</v>
      </c>
      <c r="D287" s="37" t="s">
        <v>131</v>
      </c>
      <c r="E287" s="37" t="s">
        <v>115</v>
      </c>
      <c r="F287" s="38" t="s">
        <v>172</v>
      </c>
    </row>
    <row r="288" spans="1:6" ht="13.5">
      <c r="A288" s="35">
        <v>15599</v>
      </c>
      <c r="B288" s="37" t="s">
        <v>480</v>
      </c>
      <c r="C288" s="37" t="s">
        <v>133</v>
      </c>
      <c r="D288" s="37" t="s">
        <v>131</v>
      </c>
      <c r="E288" s="37" t="s">
        <v>115</v>
      </c>
      <c r="F288" s="38" t="s">
        <v>114</v>
      </c>
    </row>
    <row r="289" spans="1:6" ht="13.5">
      <c r="A289" s="35">
        <v>15600</v>
      </c>
      <c r="B289" s="37" t="s">
        <v>481</v>
      </c>
      <c r="C289" s="37" t="s">
        <v>133</v>
      </c>
      <c r="D289" s="37" t="s">
        <v>131</v>
      </c>
      <c r="E289" s="37" t="s">
        <v>115</v>
      </c>
      <c r="F289" s="38" t="s">
        <v>114</v>
      </c>
    </row>
    <row r="290" spans="1:6" ht="13.5">
      <c r="A290" s="35">
        <v>15621</v>
      </c>
      <c r="B290" s="37" t="s">
        <v>482</v>
      </c>
      <c r="C290" s="37" t="s">
        <v>133</v>
      </c>
      <c r="D290" s="37" t="s">
        <v>131</v>
      </c>
      <c r="E290" s="37" t="s">
        <v>115</v>
      </c>
      <c r="F290" s="38" t="s">
        <v>212</v>
      </c>
    </row>
    <row r="291" spans="1:6" ht="13.5">
      <c r="A291" s="35">
        <v>15632</v>
      </c>
      <c r="B291" s="37" t="s">
        <v>483</v>
      </c>
      <c r="C291" s="37" t="s">
        <v>133</v>
      </c>
      <c r="D291" s="37" t="s">
        <v>131</v>
      </c>
      <c r="E291" s="37" t="s">
        <v>115</v>
      </c>
      <c r="F291" s="38" t="s">
        <v>114</v>
      </c>
    </row>
    <row r="292" spans="1:6" ht="13.5">
      <c r="A292" s="35">
        <v>15638</v>
      </c>
      <c r="B292" s="37" t="s">
        <v>484</v>
      </c>
      <c r="C292" s="37" t="s">
        <v>133</v>
      </c>
      <c r="D292" s="37" t="s">
        <v>131</v>
      </c>
      <c r="E292" s="37" t="s">
        <v>115</v>
      </c>
      <c r="F292" s="38" t="s">
        <v>114</v>
      </c>
    </row>
    <row r="293" spans="1:6" ht="13.5">
      <c r="A293" s="35">
        <v>15646</v>
      </c>
      <c r="B293" s="37" t="s">
        <v>485</v>
      </c>
      <c r="C293" s="37" t="s">
        <v>133</v>
      </c>
      <c r="D293" s="37" t="s">
        <v>131</v>
      </c>
      <c r="E293" s="37" t="s">
        <v>115</v>
      </c>
      <c r="F293" s="38" t="s">
        <v>114</v>
      </c>
    </row>
    <row r="294" spans="1:6" ht="13.5">
      <c r="A294" s="35">
        <v>15660</v>
      </c>
      <c r="B294" s="37" t="s">
        <v>486</v>
      </c>
      <c r="C294" s="37" t="s">
        <v>133</v>
      </c>
      <c r="D294" s="37" t="s">
        <v>131</v>
      </c>
      <c r="E294" s="37" t="s">
        <v>115</v>
      </c>
      <c r="F294" s="38" t="s">
        <v>172</v>
      </c>
    </row>
    <row r="295" spans="1:6" ht="13.5">
      <c r="A295" s="35">
        <v>15664</v>
      </c>
      <c r="B295" s="37" t="s">
        <v>487</v>
      </c>
      <c r="C295" s="37" t="s">
        <v>133</v>
      </c>
      <c r="D295" s="37" t="s">
        <v>131</v>
      </c>
      <c r="E295" s="37" t="s">
        <v>115</v>
      </c>
      <c r="F295" s="38" t="s">
        <v>114</v>
      </c>
    </row>
    <row r="296" spans="1:6" ht="13.5">
      <c r="A296" s="35">
        <v>15667</v>
      </c>
      <c r="B296" s="37" t="s">
        <v>488</v>
      </c>
      <c r="C296" s="37" t="s">
        <v>133</v>
      </c>
      <c r="D296" s="37" t="s">
        <v>131</v>
      </c>
      <c r="E296" s="37" t="s">
        <v>115</v>
      </c>
      <c r="F296" s="38" t="s">
        <v>212</v>
      </c>
    </row>
    <row r="297" spans="1:6" ht="13.5">
      <c r="A297" s="35">
        <v>15673</v>
      </c>
      <c r="B297" s="37" t="s">
        <v>489</v>
      </c>
      <c r="C297" s="37" t="s">
        <v>133</v>
      </c>
      <c r="D297" s="37" t="s">
        <v>131</v>
      </c>
      <c r="E297" s="37" t="s">
        <v>115</v>
      </c>
      <c r="F297" s="38" t="s">
        <v>172</v>
      </c>
    </row>
    <row r="298" spans="1:6" ht="13.5">
      <c r="A298" s="35">
        <v>15676</v>
      </c>
      <c r="B298" s="37" t="s">
        <v>490</v>
      </c>
      <c r="C298" s="37" t="s">
        <v>133</v>
      </c>
      <c r="D298" s="37" t="s">
        <v>131</v>
      </c>
      <c r="E298" s="37" t="s">
        <v>115</v>
      </c>
      <c r="F298" s="38" t="s">
        <v>212</v>
      </c>
    </row>
    <row r="299" spans="1:6" ht="13.5">
      <c r="A299" s="35">
        <v>15681</v>
      </c>
      <c r="B299" s="37" t="s">
        <v>491</v>
      </c>
      <c r="C299" s="37" t="s">
        <v>133</v>
      </c>
      <c r="D299" s="37" t="s">
        <v>131</v>
      </c>
      <c r="E299" s="37" t="s">
        <v>115</v>
      </c>
      <c r="F299" s="38" t="s">
        <v>172</v>
      </c>
    </row>
    <row r="300" spans="1:6" ht="13.5">
      <c r="A300" s="35">
        <v>15693</v>
      </c>
      <c r="B300" s="37" t="s">
        <v>492</v>
      </c>
      <c r="C300" s="37" t="s">
        <v>133</v>
      </c>
      <c r="D300" s="37" t="s">
        <v>131</v>
      </c>
      <c r="E300" s="37" t="s">
        <v>115</v>
      </c>
      <c r="F300" s="38" t="s">
        <v>114</v>
      </c>
    </row>
    <row r="301" spans="1:6" ht="13.5">
      <c r="A301" s="35">
        <v>15696</v>
      </c>
      <c r="B301" s="37" t="s">
        <v>493</v>
      </c>
      <c r="C301" s="37" t="s">
        <v>133</v>
      </c>
      <c r="D301" s="37" t="s">
        <v>131</v>
      </c>
      <c r="E301" s="37" t="s">
        <v>115</v>
      </c>
      <c r="F301" s="38" t="s">
        <v>114</v>
      </c>
    </row>
    <row r="302" spans="1:6" ht="13.5">
      <c r="A302" s="35">
        <v>15686</v>
      </c>
      <c r="B302" s="37" t="s">
        <v>494</v>
      </c>
      <c r="C302" s="37" t="s">
        <v>133</v>
      </c>
      <c r="D302" s="37" t="s">
        <v>131</v>
      </c>
      <c r="E302" s="37" t="s">
        <v>115</v>
      </c>
      <c r="F302" s="38" t="s">
        <v>212</v>
      </c>
    </row>
    <row r="303" spans="1:6" ht="13.5">
      <c r="A303" s="35">
        <v>15720</v>
      </c>
      <c r="B303" s="37" t="s">
        <v>495</v>
      </c>
      <c r="C303" s="37" t="s">
        <v>133</v>
      </c>
      <c r="D303" s="37" t="s">
        <v>131</v>
      </c>
      <c r="E303" s="37" t="s">
        <v>115</v>
      </c>
      <c r="F303" s="38" t="s">
        <v>212</v>
      </c>
    </row>
    <row r="304" spans="1:6" ht="13.5">
      <c r="A304" s="35">
        <v>15723</v>
      </c>
      <c r="B304" s="37" t="s">
        <v>496</v>
      </c>
      <c r="C304" s="37" t="s">
        <v>133</v>
      </c>
      <c r="D304" s="37" t="s">
        <v>131</v>
      </c>
      <c r="E304" s="37" t="s">
        <v>115</v>
      </c>
      <c r="F304" s="38" t="s">
        <v>212</v>
      </c>
    </row>
    <row r="305" spans="1:6" ht="13.5">
      <c r="A305" s="35">
        <v>15740</v>
      </c>
      <c r="B305" s="37" t="s">
        <v>497</v>
      </c>
      <c r="C305" s="37" t="s">
        <v>133</v>
      </c>
      <c r="D305" s="37" t="s">
        <v>131</v>
      </c>
      <c r="E305" s="37" t="s">
        <v>115</v>
      </c>
      <c r="F305" s="38" t="s">
        <v>114</v>
      </c>
    </row>
    <row r="306" spans="1:6" ht="13.5">
      <c r="A306" s="35">
        <v>15753</v>
      </c>
      <c r="B306" s="37" t="s">
        <v>498</v>
      </c>
      <c r="C306" s="37" t="s">
        <v>133</v>
      </c>
      <c r="D306" s="37" t="s">
        <v>131</v>
      </c>
      <c r="E306" s="37" t="s">
        <v>115</v>
      </c>
      <c r="F306" s="38" t="s">
        <v>212</v>
      </c>
    </row>
    <row r="307" spans="1:6" ht="13.5">
      <c r="A307" s="35">
        <v>15757</v>
      </c>
      <c r="B307" s="37" t="s">
        <v>499</v>
      </c>
      <c r="C307" s="37" t="s">
        <v>133</v>
      </c>
      <c r="D307" s="37" t="s">
        <v>131</v>
      </c>
      <c r="E307" s="37" t="s">
        <v>115</v>
      </c>
      <c r="F307" s="38" t="s">
        <v>212</v>
      </c>
    </row>
    <row r="308" spans="1:6" ht="13.5">
      <c r="A308" s="35">
        <v>15755</v>
      </c>
      <c r="B308" s="37" t="s">
        <v>500</v>
      </c>
      <c r="C308" s="37" t="s">
        <v>133</v>
      </c>
      <c r="D308" s="37" t="s">
        <v>131</v>
      </c>
      <c r="E308" s="37" t="s">
        <v>115</v>
      </c>
      <c r="F308" s="38" t="s">
        <v>212</v>
      </c>
    </row>
    <row r="309" spans="1:6" ht="13.5">
      <c r="A309" s="35">
        <v>15759</v>
      </c>
      <c r="B309" s="37" t="s">
        <v>501</v>
      </c>
      <c r="C309" s="37" t="s">
        <v>133</v>
      </c>
      <c r="D309" s="37" t="s">
        <v>131</v>
      </c>
      <c r="E309" s="37" t="s">
        <v>115</v>
      </c>
      <c r="F309" s="38" t="s">
        <v>114</v>
      </c>
    </row>
    <row r="310" spans="1:6" ht="13.5">
      <c r="A310" s="35">
        <v>15761</v>
      </c>
      <c r="B310" s="37" t="s">
        <v>502</v>
      </c>
      <c r="C310" s="37" t="s">
        <v>133</v>
      </c>
      <c r="D310" s="37" t="s">
        <v>131</v>
      </c>
      <c r="E310" s="37" t="s">
        <v>115</v>
      </c>
      <c r="F310" s="38" t="s">
        <v>212</v>
      </c>
    </row>
    <row r="311" spans="1:6" ht="13.5">
      <c r="A311" s="35">
        <v>15762</v>
      </c>
      <c r="B311" s="37" t="s">
        <v>503</v>
      </c>
      <c r="C311" s="37" t="s">
        <v>133</v>
      </c>
      <c r="D311" s="37" t="s">
        <v>131</v>
      </c>
      <c r="E311" s="37" t="s">
        <v>115</v>
      </c>
      <c r="F311" s="38" t="s">
        <v>114</v>
      </c>
    </row>
    <row r="312" spans="1:6" ht="13.5">
      <c r="A312" s="35">
        <v>15764</v>
      </c>
      <c r="B312" s="37" t="s">
        <v>504</v>
      </c>
      <c r="C312" s="37" t="s">
        <v>133</v>
      </c>
      <c r="D312" s="37" t="s">
        <v>131</v>
      </c>
      <c r="E312" s="37" t="s">
        <v>115</v>
      </c>
      <c r="F312" s="38" t="s">
        <v>138</v>
      </c>
    </row>
    <row r="313" spans="1:6" ht="13.5">
      <c r="A313" s="35">
        <v>15763</v>
      </c>
      <c r="B313" s="37" t="s">
        <v>505</v>
      </c>
      <c r="C313" s="37" t="s">
        <v>133</v>
      </c>
      <c r="D313" s="37" t="s">
        <v>131</v>
      </c>
      <c r="E313" s="37" t="s">
        <v>115</v>
      </c>
      <c r="F313" s="38" t="s">
        <v>114</v>
      </c>
    </row>
    <row r="314" spans="1:6" ht="13.5">
      <c r="A314" s="35">
        <v>15774</v>
      </c>
      <c r="B314" s="37" t="s">
        <v>506</v>
      </c>
      <c r="C314" s="37" t="s">
        <v>133</v>
      </c>
      <c r="D314" s="37" t="s">
        <v>131</v>
      </c>
      <c r="E314" s="37" t="s">
        <v>115</v>
      </c>
      <c r="F314" s="38" t="s">
        <v>212</v>
      </c>
    </row>
    <row r="315" spans="1:6" ht="13.5">
      <c r="A315" s="35">
        <v>15776</v>
      </c>
      <c r="B315" s="37" t="s">
        <v>507</v>
      </c>
      <c r="C315" s="37" t="s">
        <v>133</v>
      </c>
      <c r="D315" s="37" t="s">
        <v>131</v>
      </c>
      <c r="E315" s="37" t="s">
        <v>115</v>
      </c>
      <c r="F315" s="38" t="s">
        <v>114</v>
      </c>
    </row>
    <row r="316" spans="1:6" ht="13.5">
      <c r="A316" s="35">
        <v>15778</v>
      </c>
      <c r="B316" s="37" t="s">
        <v>508</v>
      </c>
      <c r="C316" s="37" t="s">
        <v>133</v>
      </c>
      <c r="D316" s="37" t="s">
        <v>131</v>
      </c>
      <c r="E316" s="37" t="s">
        <v>115</v>
      </c>
      <c r="F316" s="38" t="s">
        <v>212</v>
      </c>
    </row>
    <row r="317" spans="1:6" ht="13.5">
      <c r="A317" s="35">
        <v>15790</v>
      </c>
      <c r="B317" s="37" t="s">
        <v>509</v>
      </c>
      <c r="C317" s="37" t="s">
        <v>133</v>
      </c>
      <c r="D317" s="37" t="s">
        <v>131</v>
      </c>
      <c r="E317" s="37" t="s">
        <v>115</v>
      </c>
      <c r="F317" s="38" t="s">
        <v>212</v>
      </c>
    </row>
    <row r="318" spans="1:6" ht="13.5">
      <c r="A318" s="35">
        <v>15798</v>
      </c>
      <c r="B318" s="37" t="s">
        <v>510</v>
      </c>
      <c r="C318" s="37" t="s">
        <v>133</v>
      </c>
      <c r="D318" s="37" t="s">
        <v>131</v>
      </c>
      <c r="E318" s="37" t="s">
        <v>115</v>
      </c>
      <c r="F318" s="38" t="s">
        <v>212</v>
      </c>
    </row>
    <row r="319" spans="1:6" ht="13.5">
      <c r="A319" s="35">
        <v>15804</v>
      </c>
      <c r="B319" s="37" t="s">
        <v>511</v>
      </c>
      <c r="C319" s="37" t="s">
        <v>133</v>
      </c>
      <c r="D319" s="37" t="s">
        <v>131</v>
      </c>
      <c r="E319" s="37" t="s">
        <v>115</v>
      </c>
      <c r="F319" s="38" t="s">
        <v>114</v>
      </c>
    </row>
    <row r="320" spans="1:6" ht="13.5">
      <c r="A320" s="35">
        <v>15806</v>
      </c>
      <c r="B320" s="37" t="s">
        <v>512</v>
      </c>
      <c r="C320" s="37" t="s">
        <v>133</v>
      </c>
      <c r="D320" s="37" t="s">
        <v>131</v>
      </c>
      <c r="E320" s="37" t="s">
        <v>115</v>
      </c>
      <c r="F320" s="38" t="s">
        <v>114</v>
      </c>
    </row>
    <row r="321" spans="1:6" ht="13.5">
      <c r="A321" s="35">
        <v>15808</v>
      </c>
      <c r="B321" s="37" t="s">
        <v>513</v>
      </c>
      <c r="C321" s="37" t="s">
        <v>133</v>
      </c>
      <c r="D321" s="37" t="s">
        <v>131</v>
      </c>
      <c r="E321" s="37" t="s">
        <v>115</v>
      </c>
      <c r="F321" s="38" t="s">
        <v>114</v>
      </c>
    </row>
    <row r="322" spans="1:6" ht="13.5">
      <c r="A322" s="35">
        <v>15810</v>
      </c>
      <c r="B322" s="37" t="s">
        <v>514</v>
      </c>
      <c r="C322" s="37" t="s">
        <v>133</v>
      </c>
      <c r="D322" s="37" t="s">
        <v>131</v>
      </c>
      <c r="E322" s="37" t="s">
        <v>115</v>
      </c>
      <c r="F322" s="38" t="s">
        <v>212</v>
      </c>
    </row>
    <row r="323" spans="1:6" ht="13.5">
      <c r="A323" s="35">
        <v>15814</v>
      </c>
      <c r="B323" s="37" t="s">
        <v>515</v>
      </c>
      <c r="C323" s="37" t="s">
        <v>133</v>
      </c>
      <c r="D323" s="37" t="s">
        <v>131</v>
      </c>
      <c r="E323" s="37" t="s">
        <v>115</v>
      </c>
      <c r="F323" s="38" t="s">
        <v>114</v>
      </c>
    </row>
    <row r="324" spans="1:6" ht="13.5">
      <c r="A324" s="35">
        <v>15816</v>
      </c>
      <c r="B324" s="37" t="s">
        <v>516</v>
      </c>
      <c r="C324" s="37" t="s">
        <v>133</v>
      </c>
      <c r="D324" s="37" t="s">
        <v>131</v>
      </c>
      <c r="E324" s="37" t="s">
        <v>115</v>
      </c>
      <c r="F324" s="38" t="s">
        <v>114</v>
      </c>
    </row>
    <row r="325" spans="1:6" ht="13.5">
      <c r="A325" s="35">
        <v>15820</v>
      </c>
      <c r="B325" s="37" t="s">
        <v>517</v>
      </c>
      <c r="C325" s="37" t="s">
        <v>133</v>
      </c>
      <c r="D325" s="37" t="s">
        <v>131</v>
      </c>
      <c r="E325" s="37" t="s">
        <v>115</v>
      </c>
      <c r="F325" s="38" t="s">
        <v>212</v>
      </c>
    </row>
    <row r="326" spans="1:6" ht="13.5">
      <c r="A326" s="35">
        <v>15822</v>
      </c>
      <c r="B326" s="37" t="s">
        <v>518</v>
      </c>
      <c r="C326" s="37" t="s">
        <v>133</v>
      </c>
      <c r="D326" s="37" t="s">
        <v>131</v>
      </c>
      <c r="E326" s="37" t="s">
        <v>115</v>
      </c>
      <c r="F326" s="38" t="s">
        <v>114</v>
      </c>
    </row>
    <row r="327" spans="1:6" ht="13.5">
      <c r="A327" s="35">
        <v>15001</v>
      </c>
      <c r="B327" s="37" t="s">
        <v>131</v>
      </c>
      <c r="C327" s="37" t="s">
        <v>133</v>
      </c>
      <c r="D327" s="37" t="s">
        <v>131</v>
      </c>
      <c r="E327" s="37" t="s">
        <v>115</v>
      </c>
      <c r="F327" s="38" t="s">
        <v>138</v>
      </c>
    </row>
    <row r="328" spans="1:6" ht="13.5">
      <c r="A328" s="35">
        <v>15832</v>
      </c>
      <c r="B328" s="37" t="s">
        <v>519</v>
      </c>
      <c r="C328" s="37" t="s">
        <v>133</v>
      </c>
      <c r="D328" s="37" t="s">
        <v>131</v>
      </c>
      <c r="E328" s="37" t="s">
        <v>115</v>
      </c>
      <c r="F328" s="38" t="s">
        <v>212</v>
      </c>
    </row>
    <row r="329" spans="1:6" ht="13.5">
      <c r="A329" s="35">
        <v>15835</v>
      </c>
      <c r="B329" s="37" t="s">
        <v>520</v>
      </c>
      <c r="C329" s="37" t="s">
        <v>133</v>
      </c>
      <c r="D329" s="37" t="s">
        <v>131</v>
      </c>
      <c r="E329" s="37" t="s">
        <v>115</v>
      </c>
      <c r="F329" s="38" t="s">
        <v>114</v>
      </c>
    </row>
    <row r="330" spans="1:6" ht="13.5">
      <c r="A330" s="35">
        <v>15837</v>
      </c>
      <c r="B330" s="37" t="s">
        <v>521</v>
      </c>
      <c r="C330" s="37" t="s">
        <v>133</v>
      </c>
      <c r="D330" s="37" t="s">
        <v>131</v>
      </c>
      <c r="E330" s="37" t="s">
        <v>115</v>
      </c>
      <c r="F330" s="38" t="s">
        <v>114</v>
      </c>
    </row>
    <row r="331" spans="1:6" ht="13.5">
      <c r="A331" s="35">
        <v>15839</v>
      </c>
      <c r="B331" s="37" t="s">
        <v>522</v>
      </c>
      <c r="C331" s="37" t="s">
        <v>133</v>
      </c>
      <c r="D331" s="37" t="s">
        <v>131</v>
      </c>
      <c r="E331" s="37" t="s">
        <v>115</v>
      </c>
      <c r="F331" s="38" t="s">
        <v>114</v>
      </c>
    </row>
    <row r="332" spans="1:6" ht="13.5">
      <c r="A332" s="35">
        <v>15842</v>
      </c>
      <c r="B332" s="37" t="s">
        <v>523</v>
      </c>
      <c r="C332" s="37" t="s">
        <v>133</v>
      </c>
      <c r="D332" s="37" t="s">
        <v>131</v>
      </c>
      <c r="E332" s="37" t="s">
        <v>115</v>
      </c>
      <c r="F332" s="38" t="s">
        <v>114</v>
      </c>
    </row>
    <row r="333" spans="1:6" ht="13.5">
      <c r="A333" s="35">
        <v>15861</v>
      </c>
      <c r="B333" s="37" t="s">
        <v>524</v>
      </c>
      <c r="C333" s="37" t="s">
        <v>133</v>
      </c>
      <c r="D333" s="37" t="s">
        <v>131</v>
      </c>
      <c r="E333" s="37" t="s">
        <v>115</v>
      </c>
      <c r="F333" s="38" t="s">
        <v>114</v>
      </c>
    </row>
    <row r="334" spans="1:6" ht="13.5">
      <c r="A334" s="35">
        <v>15407</v>
      </c>
      <c r="B334" s="37" t="s">
        <v>525</v>
      </c>
      <c r="C334" s="37" t="s">
        <v>133</v>
      </c>
      <c r="D334" s="37" t="s">
        <v>131</v>
      </c>
      <c r="E334" s="37" t="s">
        <v>115</v>
      </c>
      <c r="F334" s="38" t="s">
        <v>114</v>
      </c>
    </row>
    <row r="335" spans="1:6" ht="13.5">
      <c r="A335" s="35">
        <v>15879</v>
      </c>
      <c r="B335" s="37" t="s">
        <v>526</v>
      </c>
      <c r="C335" s="37" t="s">
        <v>133</v>
      </c>
      <c r="D335" s="37" t="s">
        <v>131</v>
      </c>
      <c r="E335" s="37" t="s">
        <v>115</v>
      </c>
      <c r="F335" s="38" t="s">
        <v>114</v>
      </c>
    </row>
    <row r="336" spans="1:6" ht="13.5">
      <c r="A336" s="35">
        <v>15897</v>
      </c>
      <c r="B336" s="37" t="s">
        <v>527</v>
      </c>
      <c r="C336" s="37" t="s">
        <v>133</v>
      </c>
      <c r="D336" s="37" t="s">
        <v>131</v>
      </c>
      <c r="E336" s="37" t="s">
        <v>115</v>
      </c>
      <c r="F336" s="38" t="s">
        <v>212</v>
      </c>
    </row>
    <row r="337" spans="1:6" ht="13.5">
      <c r="A337" s="35">
        <v>17524</v>
      </c>
      <c r="B337" s="36" t="s">
        <v>528</v>
      </c>
      <c r="C337" s="37" t="s">
        <v>214</v>
      </c>
      <c r="D337" s="37" t="s">
        <v>529</v>
      </c>
      <c r="E337" s="37" t="s">
        <v>115</v>
      </c>
      <c r="F337" s="38" t="s">
        <v>114</v>
      </c>
    </row>
    <row r="338" spans="1:6" ht="13.5">
      <c r="A338" s="35">
        <v>17614</v>
      </c>
      <c r="B338" s="36" t="s">
        <v>530</v>
      </c>
      <c r="C338" s="37" t="s">
        <v>214</v>
      </c>
      <c r="D338" s="37" t="s">
        <v>529</v>
      </c>
      <c r="E338" s="37" t="s">
        <v>115</v>
      </c>
      <c r="F338" s="38" t="s">
        <v>114</v>
      </c>
    </row>
    <row r="339" spans="1:6" ht="13.5">
      <c r="A339" s="35">
        <v>17653</v>
      </c>
      <c r="B339" s="36" t="s">
        <v>531</v>
      </c>
      <c r="C339" s="37" t="s">
        <v>214</v>
      </c>
      <c r="D339" s="37" t="s">
        <v>529</v>
      </c>
      <c r="E339" s="37" t="s">
        <v>115</v>
      </c>
      <c r="F339" s="38" t="s">
        <v>114</v>
      </c>
    </row>
    <row r="340" spans="1:6" ht="13.5">
      <c r="A340" s="35">
        <v>17013</v>
      </c>
      <c r="B340" s="37" t="s">
        <v>532</v>
      </c>
      <c r="C340" s="37" t="s">
        <v>214</v>
      </c>
      <c r="D340" s="37" t="s">
        <v>529</v>
      </c>
      <c r="E340" s="37" t="s">
        <v>115</v>
      </c>
      <c r="F340" s="38" t="s">
        <v>212</v>
      </c>
    </row>
    <row r="341" spans="1:6" ht="13.5">
      <c r="A341" s="35">
        <v>17042</v>
      </c>
      <c r="B341" s="37" t="s">
        <v>533</v>
      </c>
      <c r="C341" s="37" t="s">
        <v>214</v>
      </c>
      <c r="D341" s="37" t="s">
        <v>529</v>
      </c>
      <c r="E341" s="37" t="s">
        <v>115</v>
      </c>
      <c r="F341" s="38" t="s">
        <v>114</v>
      </c>
    </row>
    <row r="342" spans="1:6" ht="13.5">
      <c r="A342" s="35">
        <v>17050</v>
      </c>
      <c r="B342" s="37" t="s">
        <v>534</v>
      </c>
      <c r="C342" s="37" t="s">
        <v>214</v>
      </c>
      <c r="D342" s="37" t="s">
        <v>529</v>
      </c>
      <c r="E342" s="37" t="s">
        <v>115</v>
      </c>
      <c r="F342" s="38" t="s">
        <v>114</v>
      </c>
    </row>
    <row r="343" spans="1:6" ht="13.5">
      <c r="A343" s="35">
        <v>17088</v>
      </c>
      <c r="B343" s="37" t="s">
        <v>535</v>
      </c>
      <c r="C343" s="37" t="s">
        <v>214</v>
      </c>
      <c r="D343" s="37" t="s">
        <v>529</v>
      </c>
      <c r="E343" s="37" t="s">
        <v>115</v>
      </c>
      <c r="F343" s="38" t="s">
        <v>114</v>
      </c>
    </row>
    <row r="344" spans="1:6" ht="13.5">
      <c r="A344" s="35">
        <v>17174</v>
      </c>
      <c r="B344" s="37" t="s">
        <v>536</v>
      </c>
      <c r="C344" s="37" t="s">
        <v>214</v>
      </c>
      <c r="D344" s="37" t="s">
        <v>529</v>
      </c>
      <c r="E344" s="37" t="s">
        <v>115</v>
      </c>
      <c r="F344" s="38" t="s">
        <v>114</v>
      </c>
    </row>
    <row r="345" spans="1:6" ht="13.5">
      <c r="A345" s="35">
        <v>17272</v>
      </c>
      <c r="B345" s="37" t="s">
        <v>537</v>
      </c>
      <c r="C345" s="37" t="s">
        <v>214</v>
      </c>
      <c r="D345" s="37" t="s">
        <v>529</v>
      </c>
      <c r="E345" s="37" t="s">
        <v>115</v>
      </c>
      <c r="F345" s="38" t="s">
        <v>114</v>
      </c>
    </row>
    <row r="346" spans="1:6" ht="13.5">
      <c r="A346" s="35">
        <v>17380</v>
      </c>
      <c r="B346" s="37" t="s">
        <v>538</v>
      </c>
      <c r="C346" s="37" t="s">
        <v>214</v>
      </c>
      <c r="D346" s="37" t="s">
        <v>539</v>
      </c>
      <c r="E346" s="37" t="s">
        <v>115</v>
      </c>
      <c r="F346" s="38" t="s">
        <v>212</v>
      </c>
    </row>
    <row r="347" spans="1:6" ht="13.5">
      <c r="A347" s="35">
        <v>17388</v>
      </c>
      <c r="B347" s="37" t="s">
        <v>540</v>
      </c>
      <c r="C347" s="37" t="s">
        <v>214</v>
      </c>
      <c r="D347" s="37" t="s">
        <v>529</v>
      </c>
      <c r="E347" s="37" t="s">
        <v>115</v>
      </c>
      <c r="F347" s="38" t="s">
        <v>114</v>
      </c>
    </row>
    <row r="348" spans="1:6" ht="13.5">
      <c r="A348" s="35">
        <v>17001</v>
      </c>
      <c r="B348" s="37" t="s">
        <v>529</v>
      </c>
      <c r="C348" s="37" t="s">
        <v>214</v>
      </c>
      <c r="D348" s="37" t="s">
        <v>529</v>
      </c>
      <c r="E348" s="37" t="s">
        <v>115</v>
      </c>
      <c r="F348" s="38" t="s">
        <v>138</v>
      </c>
    </row>
    <row r="349" spans="1:6" ht="13.5">
      <c r="A349" s="35">
        <v>17433</v>
      </c>
      <c r="B349" s="37" t="s">
        <v>541</v>
      </c>
      <c r="C349" s="37" t="s">
        <v>214</v>
      </c>
      <c r="D349" s="37" t="s">
        <v>529</v>
      </c>
      <c r="E349" s="37" t="s">
        <v>115</v>
      </c>
      <c r="F349" s="38" t="s">
        <v>212</v>
      </c>
    </row>
    <row r="350" spans="1:6" ht="13.5">
      <c r="A350" s="35">
        <v>17442</v>
      </c>
      <c r="B350" s="37" t="s">
        <v>542</v>
      </c>
      <c r="C350" s="37" t="s">
        <v>214</v>
      </c>
      <c r="D350" s="37" t="s">
        <v>529</v>
      </c>
      <c r="E350" s="37" t="s">
        <v>115</v>
      </c>
      <c r="F350" s="38" t="s">
        <v>114</v>
      </c>
    </row>
    <row r="351" spans="1:6" ht="13.5">
      <c r="A351" s="35">
        <v>17444</v>
      </c>
      <c r="B351" s="37" t="s">
        <v>543</v>
      </c>
      <c r="C351" s="37" t="s">
        <v>214</v>
      </c>
      <c r="D351" s="37" t="s">
        <v>529</v>
      </c>
      <c r="E351" s="37" t="s">
        <v>115</v>
      </c>
      <c r="F351" s="38" t="s">
        <v>212</v>
      </c>
    </row>
    <row r="352" spans="1:6" ht="13.5">
      <c r="A352" s="35">
        <v>17446</v>
      </c>
      <c r="B352" s="37" t="s">
        <v>544</v>
      </c>
      <c r="C352" s="37" t="s">
        <v>214</v>
      </c>
      <c r="D352" s="37" t="s">
        <v>529</v>
      </c>
      <c r="E352" s="37" t="s">
        <v>115</v>
      </c>
      <c r="F352" s="38" t="s">
        <v>212</v>
      </c>
    </row>
    <row r="353" spans="1:6" ht="13.5">
      <c r="A353" s="35">
        <v>17486</v>
      </c>
      <c r="B353" s="37" t="s">
        <v>545</v>
      </c>
      <c r="C353" s="37" t="s">
        <v>214</v>
      </c>
      <c r="D353" s="37" t="s">
        <v>529</v>
      </c>
      <c r="E353" s="37" t="s">
        <v>115</v>
      </c>
      <c r="F353" s="38" t="s">
        <v>114</v>
      </c>
    </row>
    <row r="354" spans="1:6" ht="13.5">
      <c r="A354" s="35">
        <v>17495</v>
      </c>
      <c r="B354" s="37" t="s">
        <v>546</v>
      </c>
      <c r="C354" s="37" t="s">
        <v>214</v>
      </c>
      <c r="D354" s="37" t="s">
        <v>539</v>
      </c>
      <c r="E354" s="37" t="s">
        <v>115</v>
      </c>
      <c r="F354" s="38" t="s">
        <v>172</v>
      </c>
    </row>
    <row r="355" spans="1:6" ht="13.5">
      <c r="A355" s="35">
        <v>17513</v>
      </c>
      <c r="B355" s="37" t="s">
        <v>547</v>
      </c>
      <c r="C355" s="37" t="s">
        <v>214</v>
      </c>
      <c r="D355" s="37" t="s">
        <v>529</v>
      </c>
      <c r="E355" s="37" t="s">
        <v>115</v>
      </c>
      <c r="F355" s="38" t="s">
        <v>212</v>
      </c>
    </row>
    <row r="356" spans="1:6" ht="13.5">
      <c r="A356" s="35">
        <v>17541</v>
      </c>
      <c r="B356" s="37" t="s">
        <v>548</v>
      </c>
      <c r="C356" s="37" t="s">
        <v>214</v>
      </c>
      <c r="D356" s="37" t="s">
        <v>529</v>
      </c>
      <c r="E356" s="37" t="s">
        <v>115</v>
      </c>
      <c r="F356" s="38" t="s">
        <v>212</v>
      </c>
    </row>
    <row r="357" spans="1:6" ht="13.5">
      <c r="A357" s="35">
        <v>17616</v>
      </c>
      <c r="B357" s="37" t="s">
        <v>549</v>
      </c>
      <c r="C357" s="37" t="s">
        <v>214</v>
      </c>
      <c r="D357" s="37" t="s">
        <v>529</v>
      </c>
      <c r="E357" s="37" t="s">
        <v>115</v>
      </c>
      <c r="F357" s="38" t="s">
        <v>114</v>
      </c>
    </row>
    <row r="358" spans="1:6" ht="13.5">
      <c r="A358" s="35">
        <v>17662</v>
      </c>
      <c r="B358" s="37" t="s">
        <v>550</v>
      </c>
      <c r="C358" s="37" t="s">
        <v>214</v>
      </c>
      <c r="D358" s="37" t="s">
        <v>529</v>
      </c>
      <c r="E358" s="37" t="s">
        <v>115</v>
      </c>
      <c r="F358" s="38" t="s">
        <v>172</v>
      </c>
    </row>
    <row r="359" spans="1:6" ht="13.5">
      <c r="A359" s="35">
        <v>17665</v>
      </c>
      <c r="B359" s="37" t="s">
        <v>551</v>
      </c>
      <c r="C359" s="37" t="s">
        <v>214</v>
      </c>
      <c r="D359" s="37" t="s">
        <v>529</v>
      </c>
      <c r="E359" s="37" t="s">
        <v>115</v>
      </c>
      <c r="F359" s="38" t="s">
        <v>114</v>
      </c>
    </row>
    <row r="360" spans="1:6" ht="13.5">
      <c r="A360" s="35">
        <v>17777</v>
      </c>
      <c r="B360" s="37" t="s">
        <v>552</v>
      </c>
      <c r="C360" s="37" t="s">
        <v>214</v>
      </c>
      <c r="D360" s="37" t="s">
        <v>529</v>
      </c>
      <c r="E360" s="37" t="s">
        <v>115</v>
      </c>
      <c r="F360" s="38" t="s">
        <v>114</v>
      </c>
    </row>
    <row r="361" spans="1:6" ht="13.5">
      <c r="A361" s="35">
        <v>17867</v>
      </c>
      <c r="B361" s="37" t="s">
        <v>553</v>
      </c>
      <c r="C361" s="37" t="s">
        <v>214</v>
      </c>
      <c r="D361" s="37" t="s">
        <v>529</v>
      </c>
      <c r="E361" s="37" t="s">
        <v>115</v>
      </c>
      <c r="F361" s="38" t="s">
        <v>212</v>
      </c>
    </row>
    <row r="362" spans="1:6" ht="13.5">
      <c r="A362" s="35">
        <v>17873</v>
      </c>
      <c r="B362" s="37" t="s">
        <v>554</v>
      </c>
      <c r="C362" s="37" t="s">
        <v>214</v>
      </c>
      <c r="D362" s="37" t="s">
        <v>529</v>
      </c>
      <c r="E362" s="37" t="s">
        <v>115</v>
      </c>
      <c r="F362" s="38" t="s">
        <v>138</v>
      </c>
    </row>
    <row r="363" spans="1:6" ht="13.5">
      <c r="A363" s="35">
        <v>17877</v>
      </c>
      <c r="B363" s="37" t="s">
        <v>555</v>
      </c>
      <c r="C363" s="37" t="s">
        <v>214</v>
      </c>
      <c r="D363" s="37" t="s">
        <v>556</v>
      </c>
      <c r="E363" s="37" t="s">
        <v>115</v>
      </c>
      <c r="F363" s="38" t="s">
        <v>114</v>
      </c>
    </row>
    <row r="364" spans="1:6" ht="13.5">
      <c r="A364" s="35">
        <v>18029</v>
      </c>
      <c r="B364" s="36" t="s">
        <v>557</v>
      </c>
      <c r="C364" s="37" t="s">
        <v>120</v>
      </c>
      <c r="D364" s="37" t="s">
        <v>117</v>
      </c>
      <c r="E364" s="37" t="s">
        <v>115</v>
      </c>
      <c r="F364" s="38" t="s">
        <v>172</v>
      </c>
    </row>
    <row r="365" spans="1:6" ht="13.5">
      <c r="A365" s="35">
        <v>18001</v>
      </c>
      <c r="B365" s="36" t="s">
        <v>558</v>
      </c>
      <c r="C365" s="37" t="s">
        <v>120</v>
      </c>
      <c r="D365" s="37" t="s">
        <v>117</v>
      </c>
      <c r="E365" s="37" t="s">
        <v>115</v>
      </c>
      <c r="F365" s="38" t="s">
        <v>172</v>
      </c>
    </row>
    <row r="366" spans="1:6" ht="13.5">
      <c r="A366" s="35">
        <v>18592</v>
      </c>
      <c r="B366" s="36" t="s">
        <v>559</v>
      </c>
      <c r="C366" s="37" t="s">
        <v>120</v>
      </c>
      <c r="D366" s="37" t="s">
        <v>117</v>
      </c>
      <c r="E366" s="37" t="s">
        <v>115</v>
      </c>
      <c r="F366" s="38" t="s">
        <v>128</v>
      </c>
    </row>
    <row r="367" spans="1:6" ht="13.5">
      <c r="A367" s="35">
        <v>18860</v>
      </c>
      <c r="B367" s="36" t="s">
        <v>229</v>
      </c>
      <c r="C367" s="37" t="s">
        <v>120</v>
      </c>
      <c r="D367" s="37" t="s">
        <v>117</v>
      </c>
      <c r="E367" s="37" t="s">
        <v>115</v>
      </c>
      <c r="F367" s="38" t="s">
        <v>172</v>
      </c>
    </row>
    <row r="368" spans="1:6" ht="13.5">
      <c r="A368" s="35">
        <v>18094</v>
      </c>
      <c r="B368" s="37" t="s">
        <v>560</v>
      </c>
      <c r="C368" s="37" t="s">
        <v>120</v>
      </c>
      <c r="D368" s="37" t="s">
        <v>117</v>
      </c>
      <c r="E368" s="37" t="s">
        <v>115</v>
      </c>
      <c r="F368" s="38" t="s">
        <v>172</v>
      </c>
    </row>
    <row r="369" spans="1:6" ht="13.5">
      <c r="A369" s="35">
        <v>18150</v>
      </c>
      <c r="B369" s="37" t="s">
        <v>561</v>
      </c>
      <c r="C369" s="37" t="s">
        <v>120</v>
      </c>
      <c r="D369" s="37" t="s">
        <v>117</v>
      </c>
      <c r="E369" s="37" t="s">
        <v>115</v>
      </c>
      <c r="F369" s="38" t="s">
        <v>128</v>
      </c>
    </row>
    <row r="370" spans="1:6" ht="13.5">
      <c r="A370" s="35">
        <v>18205</v>
      </c>
      <c r="B370" s="37" t="s">
        <v>562</v>
      </c>
      <c r="C370" s="37" t="s">
        <v>120</v>
      </c>
      <c r="D370" s="37" t="s">
        <v>117</v>
      </c>
      <c r="E370" s="37" t="s">
        <v>115</v>
      </c>
      <c r="F370" s="38" t="s">
        <v>172</v>
      </c>
    </row>
    <row r="371" spans="1:6" ht="13.5">
      <c r="A371" s="35">
        <v>18247</v>
      </c>
      <c r="B371" s="37" t="s">
        <v>563</v>
      </c>
      <c r="C371" s="37" t="s">
        <v>120</v>
      </c>
      <c r="D371" s="37" t="s">
        <v>117</v>
      </c>
      <c r="E371" s="37" t="s">
        <v>115</v>
      </c>
      <c r="F371" s="38" t="s">
        <v>172</v>
      </c>
    </row>
    <row r="372" spans="1:6" ht="13.5">
      <c r="A372" s="35">
        <v>18256</v>
      </c>
      <c r="B372" s="37" t="s">
        <v>564</v>
      </c>
      <c r="C372" s="37" t="s">
        <v>120</v>
      </c>
      <c r="D372" s="37" t="s">
        <v>117</v>
      </c>
      <c r="E372" s="37" t="s">
        <v>115</v>
      </c>
      <c r="F372" s="38" t="s">
        <v>172</v>
      </c>
    </row>
    <row r="373" spans="1:6" ht="13.5">
      <c r="A373" s="35">
        <v>18410</v>
      </c>
      <c r="B373" s="37" t="s">
        <v>565</v>
      </c>
      <c r="C373" s="37" t="s">
        <v>120</v>
      </c>
      <c r="D373" s="37" t="s">
        <v>117</v>
      </c>
      <c r="E373" s="37" t="s">
        <v>115</v>
      </c>
      <c r="F373" s="38" t="s">
        <v>172</v>
      </c>
    </row>
    <row r="374" spans="1:6" ht="13.5">
      <c r="A374" s="35">
        <v>18460</v>
      </c>
      <c r="B374" s="37" t="s">
        <v>566</v>
      </c>
      <c r="C374" s="37" t="s">
        <v>120</v>
      </c>
      <c r="D374" s="37" t="s">
        <v>117</v>
      </c>
      <c r="E374" s="37" t="s">
        <v>115</v>
      </c>
      <c r="F374" s="38" t="s">
        <v>172</v>
      </c>
    </row>
    <row r="375" spans="1:6" ht="13.5">
      <c r="A375" s="35">
        <v>18479</v>
      </c>
      <c r="B375" s="37" t="s">
        <v>567</v>
      </c>
      <c r="C375" s="37" t="s">
        <v>120</v>
      </c>
      <c r="D375" s="37" t="s">
        <v>117</v>
      </c>
      <c r="E375" s="37" t="s">
        <v>115</v>
      </c>
      <c r="F375" s="38" t="s">
        <v>172</v>
      </c>
    </row>
    <row r="376" spans="1:6" ht="13.5">
      <c r="A376" s="35">
        <v>18610</v>
      </c>
      <c r="B376" s="37" t="s">
        <v>568</v>
      </c>
      <c r="C376" s="37" t="s">
        <v>120</v>
      </c>
      <c r="D376" s="37" t="s">
        <v>117</v>
      </c>
      <c r="E376" s="37" t="s">
        <v>115</v>
      </c>
      <c r="F376" s="38" t="s">
        <v>172</v>
      </c>
    </row>
    <row r="377" spans="1:6" ht="13.5">
      <c r="A377" s="35">
        <v>18753</v>
      </c>
      <c r="B377" s="37" t="s">
        <v>121</v>
      </c>
      <c r="C377" s="37" t="s">
        <v>120</v>
      </c>
      <c r="D377" s="37" t="s">
        <v>117</v>
      </c>
      <c r="E377" s="37" t="s">
        <v>129</v>
      </c>
      <c r="F377" s="38" t="s">
        <v>128</v>
      </c>
    </row>
    <row r="378" spans="1:6" ht="13.5">
      <c r="A378" s="35">
        <v>18756</v>
      </c>
      <c r="B378" s="37" t="s">
        <v>569</v>
      </c>
      <c r="C378" s="37" t="s">
        <v>120</v>
      </c>
      <c r="D378" s="37" t="s">
        <v>117</v>
      </c>
      <c r="E378" s="37" t="s">
        <v>369</v>
      </c>
      <c r="F378" s="38" t="s">
        <v>128</v>
      </c>
    </row>
    <row r="379" spans="1:6" ht="13.5">
      <c r="A379" s="35">
        <v>18785</v>
      </c>
      <c r="B379" s="37" t="s">
        <v>570</v>
      </c>
      <c r="C379" s="37" t="s">
        <v>120</v>
      </c>
      <c r="D379" s="37" t="s">
        <v>117</v>
      </c>
      <c r="E379" s="37" t="s">
        <v>115</v>
      </c>
      <c r="F379" s="38" t="s">
        <v>172</v>
      </c>
    </row>
    <row r="380" spans="1:6" ht="13.5">
      <c r="A380" s="35">
        <v>85300</v>
      </c>
      <c r="B380" s="36" t="s">
        <v>222</v>
      </c>
      <c r="C380" s="37" t="s">
        <v>571</v>
      </c>
      <c r="D380" s="37" t="s">
        <v>471</v>
      </c>
      <c r="E380" s="37" t="s">
        <v>115</v>
      </c>
      <c r="F380" s="38" t="s">
        <v>212</v>
      </c>
    </row>
    <row r="381" spans="1:6" ht="13.5">
      <c r="A381" s="35">
        <v>85440</v>
      </c>
      <c r="B381" s="36" t="s">
        <v>371</v>
      </c>
      <c r="C381" s="37" t="s">
        <v>571</v>
      </c>
      <c r="D381" s="37" t="s">
        <v>174</v>
      </c>
      <c r="E381" s="37" t="s">
        <v>115</v>
      </c>
      <c r="F381" s="38" t="s">
        <v>212</v>
      </c>
    </row>
    <row r="382" spans="1:6" ht="13.5">
      <c r="A382" s="35">
        <v>85010</v>
      </c>
      <c r="B382" s="37" t="s">
        <v>572</v>
      </c>
      <c r="C382" s="37" t="s">
        <v>571</v>
      </c>
      <c r="D382" s="37" t="s">
        <v>471</v>
      </c>
      <c r="E382" s="37" t="s">
        <v>115</v>
      </c>
      <c r="F382" s="38" t="s">
        <v>114</v>
      </c>
    </row>
    <row r="383" spans="1:6" ht="13.5">
      <c r="A383" s="35">
        <v>85015</v>
      </c>
      <c r="B383" s="37" t="s">
        <v>573</v>
      </c>
      <c r="C383" s="37" t="s">
        <v>571</v>
      </c>
      <c r="D383" s="37" t="s">
        <v>471</v>
      </c>
      <c r="E383" s="37" t="s">
        <v>115</v>
      </c>
      <c r="F383" s="38" t="s">
        <v>172</v>
      </c>
    </row>
    <row r="384" spans="1:6" ht="13.5">
      <c r="A384" s="35">
        <v>85125</v>
      </c>
      <c r="B384" s="37" t="s">
        <v>574</v>
      </c>
      <c r="C384" s="37" t="s">
        <v>571</v>
      </c>
      <c r="D384" s="37" t="s">
        <v>471</v>
      </c>
      <c r="E384" s="37" t="s">
        <v>115</v>
      </c>
      <c r="F384" s="38" t="s">
        <v>212</v>
      </c>
    </row>
    <row r="385" spans="1:6" ht="13.5">
      <c r="A385" s="35">
        <v>85136</v>
      </c>
      <c r="B385" s="37" t="s">
        <v>575</v>
      </c>
      <c r="C385" s="37" t="s">
        <v>571</v>
      </c>
      <c r="D385" s="37" t="s">
        <v>471</v>
      </c>
      <c r="E385" s="37" t="s">
        <v>115</v>
      </c>
      <c r="F385" s="38" t="s">
        <v>172</v>
      </c>
    </row>
    <row r="386" spans="1:6" ht="13.5">
      <c r="A386" s="35">
        <v>85139</v>
      </c>
      <c r="B386" s="37" t="s">
        <v>576</v>
      </c>
      <c r="C386" s="37" t="s">
        <v>571</v>
      </c>
      <c r="D386" s="37" t="s">
        <v>471</v>
      </c>
      <c r="E386" s="37" t="s">
        <v>115</v>
      </c>
      <c r="F386" s="38" t="s">
        <v>114</v>
      </c>
    </row>
    <row r="387" spans="1:6" ht="13.5">
      <c r="A387" s="35">
        <v>85162</v>
      </c>
      <c r="B387" s="37" t="s">
        <v>577</v>
      </c>
      <c r="C387" s="37" t="s">
        <v>571</v>
      </c>
      <c r="D387" s="37" t="s">
        <v>471</v>
      </c>
      <c r="E387" s="37" t="s">
        <v>115</v>
      </c>
      <c r="F387" s="38" t="s">
        <v>114</v>
      </c>
    </row>
    <row r="388" spans="1:6" ht="13.5">
      <c r="A388" s="35">
        <v>85225</v>
      </c>
      <c r="B388" s="37" t="s">
        <v>578</v>
      </c>
      <c r="C388" s="37" t="s">
        <v>571</v>
      </c>
      <c r="D388" s="37" t="s">
        <v>471</v>
      </c>
      <c r="E388" s="37" t="s">
        <v>115</v>
      </c>
      <c r="F388" s="38" t="s">
        <v>114</v>
      </c>
    </row>
    <row r="389" spans="1:6" ht="13.5">
      <c r="A389" s="35">
        <v>85230</v>
      </c>
      <c r="B389" s="37" t="s">
        <v>579</v>
      </c>
      <c r="C389" s="37" t="s">
        <v>571</v>
      </c>
      <c r="D389" s="37" t="s">
        <v>471</v>
      </c>
      <c r="E389" s="37" t="s">
        <v>369</v>
      </c>
      <c r="F389" s="38" t="s">
        <v>128</v>
      </c>
    </row>
    <row r="390" spans="1:6" ht="13.5">
      <c r="A390" s="35">
        <v>85250</v>
      </c>
      <c r="B390" s="37" t="s">
        <v>580</v>
      </c>
      <c r="C390" s="37" t="s">
        <v>571</v>
      </c>
      <c r="D390" s="37" t="s">
        <v>471</v>
      </c>
      <c r="E390" s="37" t="s">
        <v>115</v>
      </c>
      <c r="F390" s="38" t="s">
        <v>114</v>
      </c>
    </row>
    <row r="391" spans="1:6" ht="13.5">
      <c r="A391" s="35">
        <v>85263</v>
      </c>
      <c r="B391" s="37" t="s">
        <v>581</v>
      </c>
      <c r="C391" s="37" t="s">
        <v>571</v>
      </c>
      <c r="D391" s="37" t="s">
        <v>471</v>
      </c>
      <c r="E391" s="37" t="s">
        <v>115</v>
      </c>
      <c r="F391" s="38" t="s">
        <v>114</v>
      </c>
    </row>
    <row r="392" spans="1:6" ht="13.5">
      <c r="A392" s="35">
        <v>85279</v>
      </c>
      <c r="B392" s="37" t="s">
        <v>582</v>
      </c>
      <c r="C392" s="37" t="s">
        <v>571</v>
      </c>
      <c r="D392" s="37" t="s">
        <v>471</v>
      </c>
      <c r="E392" s="37" t="s">
        <v>115</v>
      </c>
      <c r="F392" s="38" t="s">
        <v>212</v>
      </c>
    </row>
    <row r="393" spans="1:6" ht="13.5">
      <c r="A393" s="35">
        <v>85315</v>
      </c>
      <c r="B393" s="37" t="s">
        <v>583</v>
      </c>
      <c r="C393" s="37" t="s">
        <v>571</v>
      </c>
      <c r="D393" s="37" t="s">
        <v>471</v>
      </c>
      <c r="E393" s="37" t="s">
        <v>115</v>
      </c>
      <c r="F393" s="38" t="s">
        <v>172</v>
      </c>
    </row>
    <row r="394" spans="1:6" ht="13.5">
      <c r="A394" s="35">
        <v>85325</v>
      </c>
      <c r="B394" s="37" t="s">
        <v>584</v>
      </c>
      <c r="C394" s="37" t="s">
        <v>571</v>
      </c>
      <c r="D394" s="37" t="s">
        <v>471</v>
      </c>
      <c r="E394" s="37" t="s">
        <v>115</v>
      </c>
      <c r="F394" s="38" t="s">
        <v>114</v>
      </c>
    </row>
    <row r="395" spans="1:6" ht="13.5">
      <c r="A395" s="35">
        <v>85400</v>
      </c>
      <c r="B395" s="37" t="s">
        <v>585</v>
      </c>
      <c r="C395" s="37" t="s">
        <v>571</v>
      </c>
      <c r="D395" s="37" t="s">
        <v>471</v>
      </c>
      <c r="E395" s="37" t="s">
        <v>115</v>
      </c>
      <c r="F395" s="38" t="s">
        <v>212</v>
      </c>
    </row>
    <row r="396" spans="1:6" ht="13.5">
      <c r="A396" s="35">
        <v>85410</v>
      </c>
      <c r="B396" s="37" t="s">
        <v>586</v>
      </c>
      <c r="C396" s="37" t="s">
        <v>571</v>
      </c>
      <c r="D396" s="37" t="s">
        <v>471</v>
      </c>
      <c r="E396" s="37" t="s">
        <v>115</v>
      </c>
      <c r="F396" s="38" t="s">
        <v>114</v>
      </c>
    </row>
    <row r="397" spans="1:6" ht="13.5">
      <c r="A397" s="35">
        <v>85430</v>
      </c>
      <c r="B397" s="37" t="s">
        <v>587</v>
      </c>
      <c r="C397" s="37" t="s">
        <v>571</v>
      </c>
      <c r="D397" s="37" t="s">
        <v>471</v>
      </c>
      <c r="E397" s="37" t="s">
        <v>115</v>
      </c>
      <c r="F397" s="38" t="s">
        <v>114</v>
      </c>
    </row>
    <row r="398" spans="1:6" ht="13.5">
      <c r="A398" s="35">
        <v>85001</v>
      </c>
      <c r="B398" s="37" t="s">
        <v>471</v>
      </c>
      <c r="C398" s="37" t="s">
        <v>571</v>
      </c>
      <c r="D398" s="37" t="s">
        <v>471</v>
      </c>
      <c r="E398" s="37" t="s">
        <v>115</v>
      </c>
      <c r="F398" s="38" t="s">
        <v>138</v>
      </c>
    </row>
    <row r="399" spans="1:6" ht="13.5">
      <c r="A399" s="35">
        <v>19050</v>
      </c>
      <c r="B399" s="36" t="s">
        <v>208</v>
      </c>
      <c r="C399" s="37" t="s">
        <v>588</v>
      </c>
      <c r="D399" s="37" t="s">
        <v>589</v>
      </c>
      <c r="E399" s="37" t="s">
        <v>115</v>
      </c>
      <c r="F399" s="38" t="s">
        <v>172</v>
      </c>
    </row>
    <row r="400" spans="1:6" ht="13.5">
      <c r="A400" s="35">
        <v>19075</v>
      </c>
      <c r="B400" s="36" t="s">
        <v>590</v>
      </c>
      <c r="C400" s="37" t="s">
        <v>588</v>
      </c>
      <c r="D400" s="37" t="s">
        <v>589</v>
      </c>
      <c r="E400" s="37" t="s">
        <v>115</v>
      </c>
      <c r="F400" s="38" t="s">
        <v>172</v>
      </c>
    </row>
    <row r="401" spans="1:6" ht="13.5">
      <c r="A401" s="35">
        <v>19100</v>
      </c>
      <c r="B401" s="36" t="s">
        <v>362</v>
      </c>
      <c r="C401" s="37" t="s">
        <v>588</v>
      </c>
      <c r="D401" s="37" t="s">
        <v>589</v>
      </c>
      <c r="E401" s="37" t="s">
        <v>115</v>
      </c>
      <c r="F401" s="38" t="s">
        <v>172</v>
      </c>
    </row>
    <row r="402" spans="1:6" ht="13.5">
      <c r="A402" s="35">
        <v>19256</v>
      </c>
      <c r="B402" s="36" t="s">
        <v>591</v>
      </c>
      <c r="C402" s="37" t="s">
        <v>588</v>
      </c>
      <c r="D402" s="37" t="s">
        <v>589</v>
      </c>
      <c r="E402" s="37" t="s">
        <v>115</v>
      </c>
      <c r="F402" s="38" t="s">
        <v>212</v>
      </c>
    </row>
    <row r="403" spans="1:6" ht="13.5">
      <c r="A403" s="35">
        <v>19290</v>
      </c>
      <c r="B403" s="36" t="s">
        <v>558</v>
      </c>
      <c r="C403" s="37" t="s">
        <v>588</v>
      </c>
      <c r="D403" s="37" t="s">
        <v>589</v>
      </c>
      <c r="E403" s="37" t="s">
        <v>115</v>
      </c>
      <c r="F403" s="38" t="s">
        <v>172</v>
      </c>
    </row>
    <row r="404" spans="1:6" ht="13.5">
      <c r="A404" s="35">
        <v>19397</v>
      </c>
      <c r="B404" s="36" t="s">
        <v>592</v>
      </c>
      <c r="C404" s="37" t="s">
        <v>588</v>
      </c>
      <c r="D404" s="37" t="s">
        <v>589</v>
      </c>
      <c r="E404" s="37" t="s">
        <v>115</v>
      </c>
      <c r="F404" s="38" t="s">
        <v>172</v>
      </c>
    </row>
    <row r="405" spans="1:6" ht="13.5">
      <c r="A405" s="35">
        <v>19473</v>
      </c>
      <c r="B405" s="36" t="s">
        <v>367</v>
      </c>
      <c r="C405" s="37" t="s">
        <v>588</v>
      </c>
      <c r="D405" s="37" t="s">
        <v>589</v>
      </c>
      <c r="E405" s="37" t="s">
        <v>115</v>
      </c>
      <c r="F405" s="38" t="s">
        <v>212</v>
      </c>
    </row>
    <row r="406" spans="1:6" ht="13.5">
      <c r="A406" s="35">
        <v>19517</v>
      </c>
      <c r="B406" s="36" t="s">
        <v>414</v>
      </c>
      <c r="C406" s="37" t="s">
        <v>588</v>
      </c>
      <c r="D406" s="37" t="s">
        <v>589</v>
      </c>
      <c r="E406" s="37" t="s">
        <v>115</v>
      </c>
      <c r="F406" s="38" t="s">
        <v>172</v>
      </c>
    </row>
    <row r="407" spans="1:6" ht="13.5">
      <c r="A407" s="35">
        <v>19701</v>
      </c>
      <c r="B407" s="36" t="s">
        <v>370</v>
      </c>
      <c r="C407" s="37" t="s">
        <v>588</v>
      </c>
      <c r="D407" s="37" t="s">
        <v>589</v>
      </c>
      <c r="E407" s="37" t="s">
        <v>115</v>
      </c>
      <c r="F407" s="38" t="s">
        <v>172</v>
      </c>
    </row>
    <row r="408" spans="1:6" ht="13.5">
      <c r="A408" s="35">
        <v>19780</v>
      </c>
      <c r="B408" s="36" t="s">
        <v>593</v>
      </c>
      <c r="C408" s="37" t="s">
        <v>588</v>
      </c>
      <c r="D408" s="37" t="s">
        <v>589</v>
      </c>
      <c r="E408" s="37" t="s">
        <v>115</v>
      </c>
      <c r="F408" s="38" t="s">
        <v>212</v>
      </c>
    </row>
    <row r="409" spans="1:6" ht="13.5">
      <c r="A409" s="35">
        <v>19785</v>
      </c>
      <c r="B409" s="36" t="s">
        <v>594</v>
      </c>
      <c r="C409" s="37" t="s">
        <v>588</v>
      </c>
      <c r="D409" s="37" t="s">
        <v>589</v>
      </c>
      <c r="E409" s="37" t="s">
        <v>115</v>
      </c>
      <c r="F409" s="38" t="s">
        <v>172</v>
      </c>
    </row>
    <row r="410" spans="1:6" ht="13.5">
      <c r="A410" s="35">
        <v>19022</v>
      </c>
      <c r="B410" s="37" t="s">
        <v>595</v>
      </c>
      <c r="C410" s="37" t="s">
        <v>588</v>
      </c>
      <c r="D410" s="37" t="s">
        <v>589</v>
      </c>
      <c r="E410" s="37" t="s">
        <v>115</v>
      </c>
      <c r="F410" s="38" t="s">
        <v>172</v>
      </c>
    </row>
    <row r="411" spans="1:6" ht="13.5">
      <c r="A411" s="35">
        <v>19110</v>
      </c>
      <c r="B411" s="37" t="s">
        <v>596</v>
      </c>
      <c r="C411" s="37" t="s">
        <v>588</v>
      </c>
      <c r="D411" s="37" t="s">
        <v>589</v>
      </c>
      <c r="E411" s="37" t="s">
        <v>115</v>
      </c>
      <c r="F411" s="38" t="s">
        <v>114</v>
      </c>
    </row>
    <row r="412" spans="1:6" ht="13.5">
      <c r="A412" s="35">
        <v>19130</v>
      </c>
      <c r="B412" s="37" t="s">
        <v>597</v>
      </c>
      <c r="C412" s="37" t="s">
        <v>588</v>
      </c>
      <c r="D412" s="37" t="s">
        <v>589</v>
      </c>
      <c r="E412" s="37" t="s">
        <v>115</v>
      </c>
      <c r="F412" s="38" t="s">
        <v>212</v>
      </c>
    </row>
    <row r="413" spans="1:6" ht="13.5">
      <c r="A413" s="35">
        <v>19137</v>
      </c>
      <c r="B413" s="37" t="s">
        <v>598</v>
      </c>
      <c r="C413" s="37" t="s">
        <v>588</v>
      </c>
      <c r="D413" s="37" t="s">
        <v>589</v>
      </c>
      <c r="E413" s="37" t="s">
        <v>115</v>
      </c>
      <c r="F413" s="38" t="s">
        <v>212</v>
      </c>
    </row>
    <row r="414" spans="1:6" ht="13.5">
      <c r="A414" s="35">
        <v>19142</v>
      </c>
      <c r="B414" s="37" t="s">
        <v>599</v>
      </c>
      <c r="C414" s="37" t="s">
        <v>588</v>
      </c>
      <c r="D414" s="37" t="s">
        <v>589</v>
      </c>
      <c r="E414" s="37" t="s">
        <v>115</v>
      </c>
      <c r="F414" s="38" t="s">
        <v>114</v>
      </c>
    </row>
    <row r="415" spans="1:6" ht="13.5">
      <c r="A415" s="35">
        <v>19212</v>
      </c>
      <c r="B415" s="37" t="s">
        <v>600</v>
      </c>
      <c r="C415" s="37" t="s">
        <v>588</v>
      </c>
      <c r="D415" s="37" t="s">
        <v>589</v>
      </c>
      <c r="E415" s="37" t="s">
        <v>115</v>
      </c>
      <c r="F415" s="38" t="s">
        <v>212</v>
      </c>
    </row>
    <row r="416" spans="1:6" ht="13.5">
      <c r="A416" s="35">
        <v>19300</v>
      </c>
      <c r="B416" s="37" t="s">
        <v>601</v>
      </c>
      <c r="C416" s="37" t="s">
        <v>588</v>
      </c>
      <c r="D416" s="37" t="s">
        <v>589</v>
      </c>
      <c r="E416" s="37" t="s">
        <v>115</v>
      </c>
      <c r="F416" s="38" t="s">
        <v>114</v>
      </c>
    </row>
    <row r="417" spans="1:6" ht="13.5">
      <c r="A417" s="35">
        <v>19318</v>
      </c>
      <c r="B417" s="37" t="s">
        <v>602</v>
      </c>
      <c r="C417" s="37" t="s">
        <v>588</v>
      </c>
      <c r="D417" s="37" t="s">
        <v>589</v>
      </c>
      <c r="E417" s="37" t="s">
        <v>197</v>
      </c>
      <c r="F417" s="38" t="s">
        <v>128</v>
      </c>
    </row>
    <row r="418" spans="1:6" ht="13.5">
      <c r="A418" s="35">
        <v>19355</v>
      </c>
      <c r="B418" s="37" t="s">
        <v>603</v>
      </c>
      <c r="C418" s="37" t="s">
        <v>588</v>
      </c>
      <c r="D418" s="37" t="s">
        <v>589</v>
      </c>
      <c r="E418" s="37" t="s">
        <v>115</v>
      </c>
      <c r="F418" s="38" t="s">
        <v>172</v>
      </c>
    </row>
    <row r="419" spans="1:6" ht="13.5">
      <c r="A419" s="35">
        <v>19364</v>
      </c>
      <c r="B419" s="37" t="s">
        <v>604</v>
      </c>
      <c r="C419" s="37" t="s">
        <v>588</v>
      </c>
      <c r="D419" s="37" t="s">
        <v>589</v>
      </c>
      <c r="E419" s="37" t="s">
        <v>115</v>
      </c>
      <c r="F419" s="38" t="s">
        <v>212</v>
      </c>
    </row>
    <row r="420" spans="1:6" ht="13.5">
      <c r="A420" s="35">
        <v>19392</v>
      </c>
      <c r="B420" s="37" t="s">
        <v>605</v>
      </c>
      <c r="C420" s="37" t="s">
        <v>588</v>
      </c>
      <c r="D420" s="37" t="s">
        <v>589</v>
      </c>
      <c r="E420" s="37" t="s">
        <v>115</v>
      </c>
      <c r="F420" s="38" t="s">
        <v>212</v>
      </c>
    </row>
    <row r="421" spans="1:6" ht="13.5">
      <c r="A421" s="35">
        <v>19418</v>
      </c>
      <c r="B421" s="37" t="s">
        <v>606</v>
      </c>
      <c r="C421" s="37" t="s">
        <v>588</v>
      </c>
      <c r="D421" s="37" t="s">
        <v>589</v>
      </c>
      <c r="E421" s="37" t="s">
        <v>115</v>
      </c>
      <c r="F421" s="38" t="s">
        <v>172</v>
      </c>
    </row>
    <row r="422" spans="1:6" ht="13.5">
      <c r="A422" s="35">
        <v>19450</v>
      </c>
      <c r="B422" s="37" t="s">
        <v>607</v>
      </c>
      <c r="C422" s="37" t="s">
        <v>588</v>
      </c>
      <c r="D422" s="37" t="s">
        <v>589</v>
      </c>
      <c r="E422" s="37" t="s">
        <v>115</v>
      </c>
      <c r="F422" s="38" t="s">
        <v>172</v>
      </c>
    </row>
    <row r="423" spans="1:6" ht="13.5">
      <c r="A423" s="35">
        <v>19455</v>
      </c>
      <c r="B423" s="37" t="s">
        <v>608</v>
      </c>
      <c r="C423" s="37" t="s">
        <v>588</v>
      </c>
      <c r="D423" s="37" t="s">
        <v>589</v>
      </c>
      <c r="E423" s="37" t="s">
        <v>115</v>
      </c>
      <c r="F423" s="38" t="s">
        <v>212</v>
      </c>
    </row>
    <row r="424" spans="1:6" ht="13.5">
      <c r="A424" s="35">
        <v>19513</v>
      </c>
      <c r="B424" s="37" t="s">
        <v>609</v>
      </c>
      <c r="C424" s="37" t="s">
        <v>588</v>
      </c>
      <c r="D424" s="37" t="s">
        <v>589</v>
      </c>
      <c r="E424" s="37" t="s">
        <v>115</v>
      </c>
      <c r="F424" s="38" t="s">
        <v>114</v>
      </c>
    </row>
    <row r="425" spans="1:6" ht="13.5">
      <c r="A425" s="35">
        <v>19532</v>
      </c>
      <c r="B425" s="37" t="s">
        <v>610</v>
      </c>
      <c r="C425" s="37" t="s">
        <v>588</v>
      </c>
      <c r="D425" s="37" t="s">
        <v>589</v>
      </c>
      <c r="E425" s="37" t="s">
        <v>115</v>
      </c>
      <c r="F425" s="38" t="s">
        <v>172</v>
      </c>
    </row>
    <row r="426" spans="1:6" ht="13.5">
      <c r="A426" s="35">
        <v>19533</v>
      </c>
      <c r="B426" s="37" t="s">
        <v>611</v>
      </c>
      <c r="C426" s="37" t="s">
        <v>588</v>
      </c>
      <c r="D426" s="37" t="s">
        <v>100</v>
      </c>
      <c r="E426" s="37" t="s">
        <v>369</v>
      </c>
      <c r="F426" s="38" t="s">
        <v>128</v>
      </c>
    </row>
    <row r="427" spans="1:6" ht="13.5">
      <c r="A427" s="35">
        <v>19548</v>
      </c>
      <c r="B427" s="37" t="s">
        <v>612</v>
      </c>
      <c r="C427" s="37" t="s">
        <v>588</v>
      </c>
      <c r="D427" s="37" t="s">
        <v>589</v>
      </c>
      <c r="E427" s="37" t="s">
        <v>115</v>
      </c>
      <c r="F427" s="38" t="s">
        <v>212</v>
      </c>
    </row>
    <row r="428" spans="1:6" ht="13.5">
      <c r="A428" s="35">
        <v>19001</v>
      </c>
      <c r="B428" s="37" t="s">
        <v>613</v>
      </c>
      <c r="C428" s="37" t="s">
        <v>588</v>
      </c>
      <c r="D428" s="37" t="s">
        <v>589</v>
      </c>
      <c r="E428" s="37" t="s">
        <v>115</v>
      </c>
      <c r="F428" s="38" t="s">
        <v>212</v>
      </c>
    </row>
    <row r="429" spans="1:6" ht="13.5">
      <c r="A429" s="35">
        <v>19573</v>
      </c>
      <c r="B429" s="37" t="s">
        <v>614</v>
      </c>
      <c r="C429" s="37" t="s">
        <v>588</v>
      </c>
      <c r="D429" s="37" t="s">
        <v>589</v>
      </c>
      <c r="E429" s="37" t="s">
        <v>115</v>
      </c>
      <c r="F429" s="38" t="s">
        <v>114</v>
      </c>
    </row>
    <row r="430" spans="1:6" ht="13.5">
      <c r="A430" s="35">
        <v>19585</v>
      </c>
      <c r="B430" s="37" t="s">
        <v>615</v>
      </c>
      <c r="C430" s="37" t="s">
        <v>588</v>
      </c>
      <c r="D430" s="37" t="s">
        <v>589</v>
      </c>
      <c r="E430" s="37" t="s">
        <v>115</v>
      </c>
      <c r="F430" s="38" t="s">
        <v>172</v>
      </c>
    </row>
    <row r="431" spans="1:6" ht="13.5">
      <c r="A431" s="35">
        <v>19622</v>
      </c>
      <c r="B431" s="37" t="s">
        <v>616</v>
      </c>
      <c r="C431" s="37" t="s">
        <v>588</v>
      </c>
      <c r="D431" s="37" t="s">
        <v>589</v>
      </c>
      <c r="E431" s="37" t="s">
        <v>115</v>
      </c>
      <c r="F431" s="38" t="s">
        <v>212</v>
      </c>
    </row>
    <row r="432" spans="1:6" ht="13.5">
      <c r="A432" s="35">
        <v>19693</v>
      </c>
      <c r="B432" s="37" t="s">
        <v>617</v>
      </c>
      <c r="C432" s="37" t="s">
        <v>588</v>
      </c>
      <c r="D432" s="37" t="s">
        <v>589</v>
      </c>
      <c r="E432" s="37" t="s">
        <v>115</v>
      </c>
      <c r="F432" s="38" t="s">
        <v>172</v>
      </c>
    </row>
    <row r="433" spans="1:6" ht="13.5">
      <c r="A433" s="35">
        <v>19698</v>
      </c>
      <c r="B433" s="37" t="s">
        <v>618</v>
      </c>
      <c r="C433" s="37" t="s">
        <v>588</v>
      </c>
      <c r="D433" s="37" t="s">
        <v>589</v>
      </c>
      <c r="E433" s="37" t="s">
        <v>115</v>
      </c>
      <c r="F433" s="38" t="s">
        <v>114</v>
      </c>
    </row>
    <row r="434" spans="1:6" ht="13.5">
      <c r="A434" s="35">
        <v>19743</v>
      </c>
      <c r="B434" s="37" t="s">
        <v>619</v>
      </c>
      <c r="C434" s="37" t="s">
        <v>588</v>
      </c>
      <c r="D434" s="37" t="s">
        <v>589</v>
      </c>
      <c r="E434" s="37" t="s">
        <v>115</v>
      </c>
      <c r="F434" s="38" t="s">
        <v>212</v>
      </c>
    </row>
    <row r="435" spans="1:6" ht="13.5">
      <c r="A435" s="35">
        <v>19760</v>
      </c>
      <c r="B435" s="37" t="s">
        <v>620</v>
      </c>
      <c r="C435" s="37" t="s">
        <v>588</v>
      </c>
      <c r="D435" s="37" t="s">
        <v>589</v>
      </c>
      <c r="E435" s="37" t="s">
        <v>115</v>
      </c>
      <c r="F435" s="38" t="s">
        <v>212</v>
      </c>
    </row>
    <row r="436" spans="1:6" ht="13.5">
      <c r="A436" s="35">
        <v>19807</v>
      </c>
      <c r="B436" s="37" t="s">
        <v>621</v>
      </c>
      <c r="C436" s="37" t="s">
        <v>588</v>
      </c>
      <c r="D436" s="37" t="s">
        <v>589</v>
      </c>
      <c r="E436" s="37" t="s">
        <v>115</v>
      </c>
      <c r="F436" s="38" t="s">
        <v>212</v>
      </c>
    </row>
    <row r="437" spans="1:6" ht="13.5">
      <c r="A437" s="35">
        <v>19809</v>
      </c>
      <c r="B437" s="37" t="s">
        <v>622</v>
      </c>
      <c r="C437" s="37" t="s">
        <v>588</v>
      </c>
      <c r="D437" s="37" t="s">
        <v>589</v>
      </c>
      <c r="E437" s="37" t="s">
        <v>197</v>
      </c>
      <c r="F437" s="38" t="s">
        <v>128</v>
      </c>
    </row>
    <row r="438" spans="1:6" ht="13.5">
      <c r="A438" s="35">
        <v>19821</v>
      </c>
      <c r="B438" s="37" t="s">
        <v>623</v>
      </c>
      <c r="C438" s="37" t="s">
        <v>588</v>
      </c>
      <c r="D438" s="37" t="s">
        <v>589</v>
      </c>
      <c r="E438" s="37" t="s">
        <v>115</v>
      </c>
      <c r="F438" s="38" t="s">
        <v>212</v>
      </c>
    </row>
    <row r="439" spans="1:6" ht="13.5">
      <c r="A439" s="35">
        <v>19824</v>
      </c>
      <c r="B439" s="37" t="s">
        <v>624</v>
      </c>
      <c r="C439" s="37" t="s">
        <v>588</v>
      </c>
      <c r="D439" s="37" t="s">
        <v>589</v>
      </c>
      <c r="E439" s="37" t="s">
        <v>115</v>
      </c>
      <c r="F439" s="38" t="s">
        <v>212</v>
      </c>
    </row>
    <row r="440" spans="1:6" ht="13.5">
      <c r="A440" s="35">
        <v>19845</v>
      </c>
      <c r="B440" s="37" t="s">
        <v>625</v>
      </c>
      <c r="C440" s="37" t="s">
        <v>588</v>
      </c>
      <c r="D440" s="37" t="s">
        <v>589</v>
      </c>
      <c r="E440" s="37" t="s">
        <v>115</v>
      </c>
      <c r="F440" s="38" t="s">
        <v>172</v>
      </c>
    </row>
    <row r="441" spans="1:6" ht="13.5">
      <c r="A441" s="35">
        <v>20621</v>
      </c>
      <c r="B441" s="36" t="s">
        <v>626</v>
      </c>
      <c r="C441" s="37" t="s">
        <v>627</v>
      </c>
      <c r="D441" s="37" t="s">
        <v>366</v>
      </c>
      <c r="E441" s="37" t="s">
        <v>115</v>
      </c>
      <c r="F441" s="38" t="s">
        <v>114</v>
      </c>
    </row>
    <row r="442" spans="1:6" ht="13.5">
      <c r="A442" s="35">
        <v>20443</v>
      </c>
      <c r="B442" s="36" t="s">
        <v>628</v>
      </c>
      <c r="C442" s="37" t="s">
        <v>627</v>
      </c>
      <c r="D442" s="37" t="s">
        <v>366</v>
      </c>
      <c r="E442" s="37" t="s">
        <v>115</v>
      </c>
      <c r="F442" s="38" t="s">
        <v>114</v>
      </c>
    </row>
    <row r="443" spans="1:6" ht="13.5">
      <c r="A443" s="35">
        <v>20770</v>
      </c>
      <c r="B443" s="36" t="s">
        <v>629</v>
      </c>
      <c r="C443" s="37" t="s">
        <v>627</v>
      </c>
      <c r="D443" s="37" t="s">
        <v>140</v>
      </c>
      <c r="E443" s="37" t="s">
        <v>115</v>
      </c>
      <c r="F443" s="38" t="s">
        <v>212</v>
      </c>
    </row>
    <row r="444" spans="1:6" ht="13.5">
      <c r="A444" s="35">
        <v>20011</v>
      </c>
      <c r="B444" s="37" t="s">
        <v>630</v>
      </c>
      <c r="C444" s="37" t="s">
        <v>627</v>
      </c>
      <c r="D444" s="37" t="s">
        <v>366</v>
      </c>
      <c r="E444" s="37" t="s">
        <v>115</v>
      </c>
      <c r="F444" s="38" t="s">
        <v>172</v>
      </c>
    </row>
    <row r="445" spans="1:6" ht="13.5">
      <c r="A445" s="35">
        <v>20013</v>
      </c>
      <c r="B445" s="37" t="s">
        <v>631</v>
      </c>
      <c r="C445" s="37" t="s">
        <v>627</v>
      </c>
      <c r="D445" s="37" t="s">
        <v>366</v>
      </c>
      <c r="E445" s="37" t="s">
        <v>115</v>
      </c>
      <c r="F445" s="38" t="s">
        <v>114</v>
      </c>
    </row>
    <row r="446" spans="1:6" ht="13.5">
      <c r="A446" s="35">
        <v>20032</v>
      </c>
      <c r="B446" s="37" t="s">
        <v>632</v>
      </c>
      <c r="C446" s="37" t="s">
        <v>627</v>
      </c>
      <c r="D446" s="37" t="s">
        <v>366</v>
      </c>
      <c r="E446" s="37" t="s">
        <v>115</v>
      </c>
      <c r="F446" s="38" t="s">
        <v>212</v>
      </c>
    </row>
    <row r="447" spans="1:6" ht="13.5">
      <c r="A447" s="35">
        <v>20045</v>
      </c>
      <c r="B447" s="37" t="s">
        <v>633</v>
      </c>
      <c r="C447" s="37" t="s">
        <v>627</v>
      </c>
      <c r="D447" s="37" t="s">
        <v>366</v>
      </c>
      <c r="E447" s="37" t="s">
        <v>115</v>
      </c>
      <c r="F447" s="38" t="s">
        <v>114</v>
      </c>
    </row>
    <row r="448" spans="1:6" ht="13.5">
      <c r="A448" s="35">
        <v>20060</v>
      </c>
      <c r="B448" s="37" t="s">
        <v>634</v>
      </c>
      <c r="C448" s="37" t="s">
        <v>627</v>
      </c>
      <c r="D448" s="37" t="s">
        <v>366</v>
      </c>
      <c r="E448" s="37" t="s">
        <v>115</v>
      </c>
      <c r="F448" s="38" t="s">
        <v>114</v>
      </c>
    </row>
    <row r="449" spans="1:6" ht="13.5">
      <c r="A449" s="35">
        <v>20175</v>
      </c>
      <c r="B449" s="37" t="s">
        <v>635</v>
      </c>
      <c r="C449" s="37" t="s">
        <v>627</v>
      </c>
      <c r="D449" s="37" t="s">
        <v>366</v>
      </c>
      <c r="E449" s="37" t="s">
        <v>115</v>
      </c>
      <c r="F449" s="38" t="s">
        <v>172</v>
      </c>
    </row>
    <row r="450" spans="1:6" ht="13.5">
      <c r="A450" s="35">
        <v>20178</v>
      </c>
      <c r="B450" s="37" t="s">
        <v>636</v>
      </c>
      <c r="C450" s="37" t="s">
        <v>627</v>
      </c>
      <c r="D450" s="37" t="s">
        <v>366</v>
      </c>
      <c r="E450" s="37" t="s">
        <v>115</v>
      </c>
      <c r="F450" s="38" t="s">
        <v>212</v>
      </c>
    </row>
    <row r="451" spans="1:6" ht="13.5">
      <c r="A451" s="35">
        <v>20228</v>
      </c>
      <c r="B451" s="37" t="s">
        <v>637</v>
      </c>
      <c r="C451" s="37" t="s">
        <v>627</v>
      </c>
      <c r="D451" s="37" t="s">
        <v>366</v>
      </c>
      <c r="E451" s="37" t="s">
        <v>115</v>
      </c>
      <c r="F451" s="38" t="s">
        <v>212</v>
      </c>
    </row>
    <row r="452" spans="1:6" ht="13.5">
      <c r="A452" s="35">
        <v>20238</v>
      </c>
      <c r="B452" s="37" t="s">
        <v>638</v>
      </c>
      <c r="C452" s="37" t="s">
        <v>627</v>
      </c>
      <c r="D452" s="37" t="s">
        <v>366</v>
      </c>
      <c r="E452" s="37" t="s">
        <v>115</v>
      </c>
      <c r="F452" s="38" t="s">
        <v>114</v>
      </c>
    </row>
    <row r="453" spans="1:6" ht="13.5">
      <c r="A453" s="35">
        <v>20250</v>
      </c>
      <c r="B453" s="37" t="s">
        <v>639</v>
      </c>
      <c r="C453" s="37" t="s">
        <v>627</v>
      </c>
      <c r="D453" s="37" t="s">
        <v>366</v>
      </c>
      <c r="E453" s="37" t="s">
        <v>115</v>
      </c>
      <c r="F453" s="38" t="s">
        <v>212</v>
      </c>
    </row>
    <row r="454" spans="1:6" ht="13.5">
      <c r="A454" s="35">
        <v>20295</v>
      </c>
      <c r="B454" s="37" t="s">
        <v>640</v>
      </c>
      <c r="C454" s="37" t="s">
        <v>627</v>
      </c>
      <c r="D454" s="37" t="s">
        <v>366</v>
      </c>
      <c r="E454" s="37" t="s">
        <v>115</v>
      </c>
      <c r="F454" s="38" t="s">
        <v>172</v>
      </c>
    </row>
    <row r="455" spans="1:6" ht="13.5">
      <c r="A455" s="35">
        <v>20310</v>
      </c>
      <c r="B455" s="37" t="s">
        <v>641</v>
      </c>
      <c r="C455" s="37" t="s">
        <v>627</v>
      </c>
      <c r="D455" s="37" t="s">
        <v>366</v>
      </c>
      <c r="E455" s="37" t="s">
        <v>115</v>
      </c>
      <c r="F455" s="38" t="s">
        <v>172</v>
      </c>
    </row>
    <row r="456" spans="1:6" ht="13.5">
      <c r="A456" s="35">
        <v>20383</v>
      </c>
      <c r="B456" s="37" t="s">
        <v>642</v>
      </c>
      <c r="C456" s="37" t="s">
        <v>627</v>
      </c>
      <c r="D456" s="37" t="s">
        <v>366</v>
      </c>
      <c r="E456" s="37" t="s">
        <v>115</v>
      </c>
      <c r="F456" s="38" t="s">
        <v>172</v>
      </c>
    </row>
    <row r="457" spans="1:6" ht="13.5">
      <c r="A457" s="35">
        <v>20400</v>
      </c>
      <c r="B457" s="37" t="s">
        <v>643</v>
      </c>
      <c r="C457" s="37" t="s">
        <v>627</v>
      </c>
      <c r="D457" s="37" t="s">
        <v>366</v>
      </c>
      <c r="E457" s="37" t="s">
        <v>115</v>
      </c>
      <c r="F457" s="38" t="s">
        <v>212</v>
      </c>
    </row>
    <row r="458" spans="1:6" ht="13.5">
      <c r="A458" s="35">
        <v>20517</v>
      </c>
      <c r="B458" s="37" t="s">
        <v>644</v>
      </c>
      <c r="C458" s="37" t="s">
        <v>627</v>
      </c>
      <c r="D458" s="37" t="s">
        <v>366</v>
      </c>
      <c r="E458" s="37" t="s">
        <v>115</v>
      </c>
      <c r="F458" s="38" t="s">
        <v>172</v>
      </c>
    </row>
    <row r="459" spans="1:6" ht="13.5">
      <c r="A459" s="35">
        <v>20550</v>
      </c>
      <c r="B459" s="37" t="s">
        <v>645</v>
      </c>
      <c r="C459" s="37" t="s">
        <v>627</v>
      </c>
      <c r="D459" s="37" t="s">
        <v>366</v>
      </c>
      <c r="E459" s="37" t="s">
        <v>115</v>
      </c>
      <c r="F459" s="38" t="s">
        <v>172</v>
      </c>
    </row>
    <row r="460" spans="1:6" ht="13.5">
      <c r="A460" s="35">
        <v>20570</v>
      </c>
      <c r="B460" s="37" t="s">
        <v>646</v>
      </c>
      <c r="C460" s="37" t="s">
        <v>627</v>
      </c>
      <c r="D460" s="37" t="s">
        <v>366</v>
      </c>
      <c r="E460" s="37" t="s">
        <v>115</v>
      </c>
      <c r="F460" s="38" t="s">
        <v>212</v>
      </c>
    </row>
    <row r="461" spans="1:6" ht="13.5">
      <c r="A461" s="35">
        <v>20614</v>
      </c>
      <c r="B461" s="37" t="s">
        <v>647</v>
      </c>
      <c r="C461" s="37" t="s">
        <v>627</v>
      </c>
      <c r="D461" s="37" t="s">
        <v>366</v>
      </c>
      <c r="E461" s="37" t="s">
        <v>115</v>
      </c>
      <c r="F461" s="38" t="s">
        <v>172</v>
      </c>
    </row>
    <row r="462" spans="1:6" ht="13.5">
      <c r="A462" s="35">
        <v>20710</v>
      </c>
      <c r="B462" s="37" t="s">
        <v>648</v>
      </c>
      <c r="C462" s="37" t="s">
        <v>627</v>
      </c>
      <c r="D462" s="37" t="s">
        <v>140</v>
      </c>
      <c r="E462" s="37" t="s">
        <v>115</v>
      </c>
      <c r="F462" s="38" t="s">
        <v>212</v>
      </c>
    </row>
    <row r="463" spans="1:6" ht="13.5">
      <c r="A463" s="35">
        <v>20750</v>
      </c>
      <c r="B463" s="37" t="s">
        <v>649</v>
      </c>
      <c r="C463" s="37" t="s">
        <v>627</v>
      </c>
      <c r="D463" s="37" t="s">
        <v>366</v>
      </c>
      <c r="E463" s="37" t="s">
        <v>115</v>
      </c>
      <c r="F463" s="38" t="s">
        <v>114</v>
      </c>
    </row>
    <row r="464" spans="1:6" ht="13.5">
      <c r="A464" s="35">
        <v>20787</v>
      </c>
      <c r="B464" s="37" t="s">
        <v>650</v>
      </c>
      <c r="C464" s="37" t="s">
        <v>627</v>
      </c>
      <c r="D464" s="37" t="s">
        <v>366</v>
      </c>
      <c r="E464" s="37" t="s">
        <v>115</v>
      </c>
      <c r="F464" s="38" t="s">
        <v>172</v>
      </c>
    </row>
    <row r="465" spans="1:6" ht="13.5">
      <c r="A465" s="35">
        <v>20001</v>
      </c>
      <c r="B465" s="37" t="s">
        <v>366</v>
      </c>
      <c r="C465" s="37" t="s">
        <v>627</v>
      </c>
      <c r="D465" s="37" t="s">
        <v>366</v>
      </c>
      <c r="E465" s="37" t="s">
        <v>115</v>
      </c>
      <c r="F465" s="38" t="s">
        <v>138</v>
      </c>
    </row>
    <row r="466" spans="1:6" ht="13.5">
      <c r="A466" s="35">
        <v>27615</v>
      </c>
      <c r="B466" s="36" t="s">
        <v>530</v>
      </c>
      <c r="C466" s="37" t="s">
        <v>651</v>
      </c>
      <c r="D466" s="37" t="s">
        <v>150</v>
      </c>
      <c r="E466" s="37" t="s">
        <v>369</v>
      </c>
      <c r="F466" s="38" t="s">
        <v>128</v>
      </c>
    </row>
    <row r="467" spans="1:6" ht="13.5">
      <c r="A467" s="35">
        <v>27006</v>
      </c>
      <c r="B467" s="37" t="s">
        <v>652</v>
      </c>
      <c r="C467" s="37" t="s">
        <v>651</v>
      </c>
      <c r="D467" s="37" t="s">
        <v>150</v>
      </c>
      <c r="E467" s="37" t="s">
        <v>197</v>
      </c>
      <c r="F467" s="38" t="s">
        <v>128</v>
      </c>
    </row>
    <row r="468" spans="1:6" ht="13.5">
      <c r="A468" s="35">
        <v>27025</v>
      </c>
      <c r="B468" s="37" t="s">
        <v>653</v>
      </c>
      <c r="C468" s="37" t="s">
        <v>651</v>
      </c>
      <c r="D468" s="37" t="s">
        <v>165</v>
      </c>
      <c r="E468" s="37" t="s">
        <v>197</v>
      </c>
      <c r="F468" s="38" t="s">
        <v>128</v>
      </c>
    </row>
    <row r="469" spans="1:6" ht="13.5">
      <c r="A469" s="35">
        <v>27050</v>
      </c>
      <c r="B469" s="37" t="s">
        <v>654</v>
      </c>
      <c r="C469" s="37" t="s">
        <v>651</v>
      </c>
      <c r="D469" s="37" t="s">
        <v>150</v>
      </c>
      <c r="E469" s="37" t="s">
        <v>129</v>
      </c>
      <c r="F469" s="38" t="s">
        <v>128</v>
      </c>
    </row>
    <row r="470" spans="1:6" ht="13.5">
      <c r="A470" s="35">
        <v>27073</v>
      </c>
      <c r="B470" s="37" t="s">
        <v>655</v>
      </c>
      <c r="C470" s="37" t="s">
        <v>651</v>
      </c>
      <c r="D470" s="37" t="s">
        <v>165</v>
      </c>
      <c r="E470" s="37" t="s">
        <v>197</v>
      </c>
      <c r="F470" s="38" t="s">
        <v>128</v>
      </c>
    </row>
    <row r="471" spans="1:6" ht="13.5">
      <c r="A471" s="35">
        <v>27075</v>
      </c>
      <c r="B471" s="37" t="s">
        <v>656</v>
      </c>
      <c r="C471" s="37" t="s">
        <v>651</v>
      </c>
      <c r="D471" s="37" t="s">
        <v>165</v>
      </c>
      <c r="E471" s="37" t="s">
        <v>197</v>
      </c>
      <c r="F471" s="38" t="s">
        <v>128</v>
      </c>
    </row>
    <row r="472" spans="1:6" ht="13.5">
      <c r="A472" s="35">
        <v>27077</v>
      </c>
      <c r="B472" s="37" t="s">
        <v>657</v>
      </c>
      <c r="C472" s="37" t="s">
        <v>651</v>
      </c>
      <c r="D472" s="37" t="s">
        <v>150</v>
      </c>
      <c r="E472" s="37" t="s">
        <v>197</v>
      </c>
      <c r="F472" s="38" t="s">
        <v>128</v>
      </c>
    </row>
    <row r="473" spans="1:6" ht="13.5">
      <c r="A473" s="35">
        <v>27086</v>
      </c>
      <c r="B473" s="37" t="s">
        <v>658</v>
      </c>
      <c r="C473" s="37" t="s">
        <v>651</v>
      </c>
      <c r="D473" s="37" t="s">
        <v>150</v>
      </c>
      <c r="E473" s="37" t="s">
        <v>115</v>
      </c>
      <c r="F473" s="38" t="s">
        <v>172</v>
      </c>
    </row>
    <row r="474" spans="1:6" ht="13.5">
      <c r="A474" s="35">
        <v>27099</v>
      </c>
      <c r="B474" s="37" t="s">
        <v>659</v>
      </c>
      <c r="C474" s="37" t="s">
        <v>651</v>
      </c>
      <c r="D474" s="37" t="s">
        <v>165</v>
      </c>
      <c r="E474" s="37" t="s">
        <v>197</v>
      </c>
      <c r="F474" s="38" t="s">
        <v>128</v>
      </c>
    </row>
    <row r="475" spans="1:6" ht="13.5">
      <c r="A475" s="35">
        <v>27150</v>
      </c>
      <c r="B475" s="37" t="s">
        <v>660</v>
      </c>
      <c r="C475" s="37" t="s">
        <v>651</v>
      </c>
      <c r="D475" s="37" t="s">
        <v>150</v>
      </c>
      <c r="E475" s="37" t="s">
        <v>115</v>
      </c>
      <c r="F475" s="38" t="s">
        <v>172</v>
      </c>
    </row>
    <row r="476" spans="1:6" ht="13.5">
      <c r="A476" s="35">
        <v>27160</v>
      </c>
      <c r="B476" s="37" t="s">
        <v>661</v>
      </c>
      <c r="C476" s="37" t="s">
        <v>651</v>
      </c>
      <c r="D476" s="37" t="s">
        <v>150</v>
      </c>
      <c r="E476" s="37" t="s">
        <v>115</v>
      </c>
      <c r="F476" s="38" t="s">
        <v>172</v>
      </c>
    </row>
    <row r="477" spans="1:6" ht="13.5">
      <c r="A477" s="35">
        <v>27205</v>
      </c>
      <c r="B477" s="37" t="s">
        <v>662</v>
      </c>
      <c r="C477" s="37" t="s">
        <v>651</v>
      </c>
      <c r="D477" s="37" t="s">
        <v>165</v>
      </c>
      <c r="E477" s="37" t="s">
        <v>197</v>
      </c>
      <c r="F477" s="38" t="s">
        <v>128</v>
      </c>
    </row>
    <row r="478" spans="1:6" ht="13.5">
      <c r="A478" s="35">
        <v>27135</v>
      </c>
      <c r="B478" s="37" t="s">
        <v>663</v>
      </c>
      <c r="C478" s="37" t="s">
        <v>651</v>
      </c>
      <c r="D478" s="37" t="s">
        <v>150</v>
      </c>
      <c r="E478" s="37" t="s">
        <v>115</v>
      </c>
      <c r="F478" s="38" t="s">
        <v>172</v>
      </c>
    </row>
    <row r="479" spans="1:6" ht="13.5">
      <c r="A479" s="35">
        <v>27245</v>
      </c>
      <c r="B479" s="37" t="s">
        <v>664</v>
      </c>
      <c r="C479" s="37" t="s">
        <v>651</v>
      </c>
      <c r="D479" s="37" t="s">
        <v>165</v>
      </c>
      <c r="E479" s="37" t="s">
        <v>115</v>
      </c>
      <c r="F479" s="38" t="s">
        <v>172</v>
      </c>
    </row>
    <row r="480" spans="1:6" ht="13.5">
      <c r="A480" s="35">
        <v>27250</v>
      </c>
      <c r="B480" s="37" t="s">
        <v>665</v>
      </c>
      <c r="C480" s="37" t="s">
        <v>651</v>
      </c>
      <c r="D480" s="37" t="s">
        <v>589</v>
      </c>
      <c r="E480" s="37" t="s">
        <v>666</v>
      </c>
      <c r="F480" s="38" t="s">
        <v>128</v>
      </c>
    </row>
    <row r="481" spans="1:6" ht="13.5">
      <c r="A481" s="35">
        <v>27361</v>
      </c>
      <c r="B481" s="37" t="s">
        <v>667</v>
      </c>
      <c r="C481" s="37" t="s">
        <v>651</v>
      </c>
      <c r="D481" s="37" t="s">
        <v>165</v>
      </c>
      <c r="E481" s="37" t="s">
        <v>197</v>
      </c>
      <c r="F481" s="38" t="s">
        <v>128</v>
      </c>
    </row>
    <row r="482" spans="1:6" ht="13.5">
      <c r="A482" s="35">
        <v>27372</v>
      </c>
      <c r="B482" s="37" t="s">
        <v>668</v>
      </c>
      <c r="C482" s="37" t="s">
        <v>651</v>
      </c>
      <c r="D482" s="37" t="s">
        <v>150</v>
      </c>
      <c r="E482" s="37" t="s">
        <v>289</v>
      </c>
      <c r="F482" s="38" t="s">
        <v>128</v>
      </c>
    </row>
    <row r="483" spans="1:6" ht="13.5">
      <c r="A483" s="35">
        <v>27413</v>
      </c>
      <c r="B483" s="37" t="s">
        <v>669</v>
      </c>
      <c r="C483" s="37" t="s">
        <v>651</v>
      </c>
      <c r="D483" s="37" t="s">
        <v>150</v>
      </c>
      <c r="E483" s="37" t="s">
        <v>115</v>
      </c>
      <c r="F483" s="38" t="s">
        <v>172</v>
      </c>
    </row>
    <row r="484" spans="1:6" ht="13.5">
      <c r="A484" s="35">
        <v>27425</v>
      </c>
      <c r="B484" s="37" t="s">
        <v>670</v>
      </c>
      <c r="C484" s="37" t="s">
        <v>651</v>
      </c>
      <c r="D484" s="37" t="s">
        <v>150</v>
      </c>
      <c r="E484" s="37" t="s">
        <v>115</v>
      </c>
      <c r="F484" s="38" t="s">
        <v>172</v>
      </c>
    </row>
    <row r="485" spans="1:6" ht="13.5">
      <c r="A485" s="35">
        <v>27430</v>
      </c>
      <c r="B485" s="37" t="s">
        <v>671</v>
      </c>
      <c r="C485" s="37" t="s">
        <v>651</v>
      </c>
      <c r="D485" s="37" t="s">
        <v>150</v>
      </c>
      <c r="E485" s="37" t="s">
        <v>115</v>
      </c>
      <c r="F485" s="38" t="s">
        <v>172</v>
      </c>
    </row>
    <row r="486" spans="1:6" ht="13.5">
      <c r="A486" s="35">
        <v>27450</v>
      </c>
      <c r="B486" s="37" t="s">
        <v>672</v>
      </c>
      <c r="C486" s="37" t="s">
        <v>651</v>
      </c>
      <c r="D486" s="37" t="s">
        <v>150</v>
      </c>
      <c r="E486" s="37" t="s">
        <v>115</v>
      </c>
      <c r="F486" s="38" t="s">
        <v>172</v>
      </c>
    </row>
    <row r="487" spans="1:6" ht="13.5">
      <c r="A487" s="35">
        <v>27491</v>
      </c>
      <c r="B487" s="37" t="s">
        <v>673</v>
      </c>
      <c r="C487" s="37" t="s">
        <v>651</v>
      </c>
      <c r="D487" s="37" t="s">
        <v>165</v>
      </c>
      <c r="E487" s="37" t="s">
        <v>197</v>
      </c>
      <c r="F487" s="38" t="s">
        <v>128</v>
      </c>
    </row>
    <row r="488" spans="1:6" ht="13.5">
      <c r="A488" s="35">
        <v>27495</v>
      </c>
      <c r="B488" s="37" t="s">
        <v>674</v>
      </c>
      <c r="C488" s="37" t="s">
        <v>651</v>
      </c>
      <c r="D488" s="37" t="s">
        <v>165</v>
      </c>
      <c r="E488" s="37" t="s">
        <v>197</v>
      </c>
      <c r="F488" s="38" t="s">
        <v>128</v>
      </c>
    </row>
    <row r="489" spans="1:6" ht="13.5">
      <c r="A489" s="35">
        <v>27001</v>
      </c>
      <c r="B489" s="37" t="s">
        <v>675</v>
      </c>
      <c r="C489" s="37" t="s">
        <v>651</v>
      </c>
      <c r="D489" s="37" t="s">
        <v>165</v>
      </c>
      <c r="E489" s="37" t="s">
        <v>197</v>
      </c>
      <c r="F489" s="38" t="s">
        <v>128</v>
      </c>
    </row>
    <row r="490" spans="1:6" ht="13.5">
      <c r="A490" s="35">
        <v>27580</v>
      </c>
      <c r="B490" s="37" t="s">
        <v>676</v>
      </c>
      <c r="C490" s="37" t="s">
        <v>651</v>
      </c>
      <c r="D490" s="37" t="s">
        <v>150</v>
      </c>
      <c r="E490" s="37" t="s">
        <v>115</v>
      </c>
      <c r="F490" s="38" t="s">
        <v>172</v>
      </c>
    </row>
    <row r="491" spans="1:6" ht="13.5">
      <c r="A491" s="35">
        <v>27600</v>
      </c>
      <c r="B491" s="37" t="s">
        <v>677</v>
      </c>
      <c r="C491" s="37" t="s">
        <v>651</v>
      </c>
      <c r="D491" s="37" t="s">
        <v>165</v>
      </c>
      <c r="E491" s="37" t="s">
        <v>197</v>
      </c>
      <c r="F491" s="38" t="s">
        <v>128</v>
      </c>
    </row>
    <row r="492" spans="1:6" ht="13.5">
      <c r="A492" s="35">
        <v>27660</v>
      </c>
      <c r="B492" s="37" t="s">
        <v>678</v>
      </c>
      <c r="C492" s="37" t="s">
        <v>651</v>
      </c>
      <c r="D492" s="37" t="s">
        <v>556</v>
      </c>
      <c r="E492" s="37" t="s">
        <v>115</v>
      </c>
      <c r="F492" s="38" t="s">
        <v>172</v>
      </c>
    </row>
    <row r="493" spans="1:6" ht="13.5">
      <c r="A493" s="35">
        <v>27745</v>
      </c>
      <c r="B493" s="37" t="s">
        <v>679</v>
      </c>
      <c r="C493" s="37" t="s">
        <v>651</v>
      </c>
      <c r="D493" s="37" t="s">
        <v>165</v>
      </c>
      <c r="E493" s="37" t="s">
        <v>197</v>
      </c>
      <c r="F493" s="38" t="s">
        <v>128</v>
      </c>
    </row>
    <row r="494" spans="1:6" ht="13.5">
      <c r="A494" s="35">
        <v>27787</v>
      </c>
      <c r="B494" s="37" t="s">
        <v>680</v>
      </c>
      <c r="C494" s="37" t="s">
        <v>651</v>
      </c>
      <c r="D494" s="37" t="s">
        <v>165</v>
      </c>
      <c r="E494" s="37" t="s">
        <v>197</v>
      </c>
      <c r="F494" s="38" t="s">
        <v>128</v>
      </c>
    </row>
    <row r="495" spans="1:6" ht="13.5">
      <c r="A495" s="35">
        <v>27800</v>
      </c>
      <c r="B495" s="37" t="s">
        <v>681</v>
      </c>
      <c r="C495" s="37" t="s">
        <v>651</v>
      </c>
      <c r="D495" s="37" t="s">
        <v>150</v>
      </c>
      <c r="E495" s="37" t="s">
        <v>289</v>
      </c>
      <c r="F495" s="38" t="s">
        <v>128</v>
      </c>
    </row>
    <row r="496" spans="1:6" ht="13.5">
      <c r="A496" s="35">
        <v>27810</v>
      </c>
      <c r="B496" s="37" t="s">
        <v>682</v>
      </c>
      <c r="C496" s="37" t="s">
        <v>651</v>
      </c>
      <c r="D496" s="37" t="s">
        <v>150</v>
      </c>
      <c r="E496" s="37" t="s">
        <v>115</v>
      </c>
      <c r="F496" s="38" t="s">
        <v>172</v>
      </c>
    </row>
    <row r="497" spans="1:6" ht="13.5">
      <c r="A497" s="35">
        <v>23079</v>
      </c>
      <c r="B497" s="36" t="s">
        <v>411</v>
      </c>
      <c r="C497" s="37" t="s">
        <v>364</v>
      </c>
      <c r="D497" s="37" t="s">
        <v>242</v>
      </c>
      <c r="E497" s="37" t="s">
        <v>115</v>
      </c>
      <c r="F497" s="38" t="s">
        <v>114</v>
      </c>
    </row>
    <row r="498" spans="1:6" ht="13.5">
      <c r="A498" s="35">
        <v>23168</v>
      </c>
      <c r="B498" s="36" t="s">
        <v>683</v>
      </c>
      <c r="C498" s="37" t="s">
        <v>364</v>
      </c>
      <c r="D498" s="37" t="s">
        <v>242</v>
      </c>
      <c r="E498" s="37" t="s">
        <v>115</v>
      </c>
      <c r="F498" s="38" t="s">
        <v>212</v>
      </c>
    </row>
    <row r="499" spans="1:6" ht="13.5">
      <c r="A499" s="35">
        <v>23678</v>
      </c>
      <c r="B499" s="36" t="s">
        <v>223</v>
      </c>
      <c r="C499" s="37" t="s">
        <v>364</v>
      </c>
      <c r="D499" s="37" t="s">
        <v>242</v>
      </c>
      <c r="E499" s="37" t="s">
        <v>115</v>
      </c>
      <c r="F499" s="38" t="s">
        <v>114</v>
      </c>
    </row>
    <row r="500" spans="1:6" ht="13.5">
      <c r="A500" s="35">
        <v>23068</v>
      </c>
      <c r="B500" s="37" t="s">
        <v>684</v>
      </c>
      <c r="C500" s="37" t="s">
        <v>364</v>
      </c>
      <c r="D500" s="37" t="s">
        <v>242</v>
      </c>
      <c r="E500" s="37" t="s">
        <v>115</v>
      </c>
      <c r="F500" s="38" t="s">
        <v>212</v>
      </c>
    </row>
    <row r="501" spans="1:6" ht="13.5">
      <c r="A501" s="35">
        <v>23090</v>
      </c>
      <c r="B501" s="37" t="s">
        <v>685</v>
      </c>
      <c r="C501" s="37" t="s">
        <v>364</v>
      </c>
      <c r="D501" s="37" t="s">
        <v>242</v>
      </c>
      <c r="E501" s="37" t="s">
        <v>115</v>
      </c>
      <c r="F501" s="38" t="s">
        <v>114</v>
      </c>
    </row>
    <row r="502" spans="1:6" ht="13.5">
      <c r="A502" s="35">
        <v>23162</v>
      </c>
      <c r="B502" s="37" t="s">
        <v>686</v>
      </c>
      <c r="C502" s="37" t="s">
        <v>364</v>
      </c>
      <c r="D502" s="37" t="s">
        <v>242</v>
      </c>
      <c r="E502" s="37" t="s">
        <v>115</v>
      </c>
      <c r="F502" s="38" t="s">
        <v>138</v>
      </c>
    </row>
    <row r="503" spans="1:6" ht="13.5">
      <c r="A503" s="35">
        <v>23182</v>
      </c>
      <c r="B503" s="37" t="s">
        <v>687</v>
      </c>
      <c r="C503" s="37" t="s">
        <v>364</v>
      </c>
      <c r="D503" s="37" t="s">
        <v>242</v>
      </c>
      <c r="E503" s="37" t="s">
        <v>115</v>
      </c>
      <c r="F503" s="38" t="s">
        <v>114</v>
      </c>
    </row>
    <row r="504" spans="1:6" ht="13.5">
      <c r="A504" s="35">
        <v>23189</v>
      </c>
      <c r="B504" s="37" t="s">
        <v>688</v>
      </c>
      <c r="C504" s="37" t="s">
        <v>364</v>
      </c>
      <c r="D504" s="37" t="s">
        <v>242</v>
      </c>
      <c r="E504" s="37" t="s">
        <v>115</v>
      </c>
      <c r="F504" s="38" t="s">
        <v>114</v>
      </c>
    </row>
    <row r="505" spans="1:6" ht="13.5">
      <c r="A505" s="35">
        <v>23300</v>
      </c>
      <c r="B505" s="37" t="s">
        <v>689</v>
      </c>
      <c r="C505" s="37" t="s">
        <v>364</v>
      </c>
      <c r="D505" s="37" t="s">
        <v>242</v>
      </c>
      <c r="E505" s="37" t="s">
        <v>115</v>
      </c>
      <c r="F505" s="38" t="s">
        <v>114</v>
      </c>
    </row>
    <row r="506" spans="1:6" ht="13.5">
      <c r="A506" s="35">
        <v>23350</v>
      </c>
      <c r="B506" s="37" t="s">
        <v>690</v>
      </c>
      <c r="C506" s="37" t="s">
        <v>364</v>
      </c>
      <c r="D506" s="37" t="s">
        <v>242</v>
      </c>
      <c r="E506" s="37" t="s">
        <v>115</v>
      </c>
      <c r="F506" s="38" t="s">
        <v>114</v>
      </c>
    </row>
    <row r="507" spans="1:6" ht="13.5">
      <c r="A507" s="35">
        <v>23417</v>
      </c>
      <c r="B507" s="37" t="s">
        <v>691</v>
      </c>
      <c r="C507" s="37" t="s">
        <v>364</v>
      </c>
      <c r="D507" s="37" t="s">
        <v>242</v>
      </c>
      <c r="E507" s="37" t="s">
        <v>115</v>
      </c>
      <c r="F507" s="38" t="s">
        <v>114</v>
      </c>
    </row>
    <row r="508" spans="1:6" ht="13.5">
      <c r="A508" s="35">
        <v>23419</v>
      </c>
      <c r="B508" s="37" t="s">
        <v>692</v>
      </c>
      <c r="C508" s="37" t="s">
        <v>364</v>
      </c>
      <c r="D508" s="37" t="s">
        <v>242</v>
      </c>
      <c r="E508" s="37" t="s">
        <v>115</v>
      </c>
      <c r="F508" s="38" t="s">
        <v>114</v>
      </c>
    </row>
    <row r="509" spans="1:6" ht="13.5">
      <c r="A509" s="35">
        <v>23464</v>
      </c>
      <c r="B509" s="37" t="s">
        <v>693</v>
      </c>
      <c r="C509" s="37" t="s">
        <v>364</v>
      </c>
      <c r="D509" s="37" t="s">
        <v>242</v>
      </c>
      <c r="E509" s="37" t="s">
        <v>115</v>
      </c>
      <c r="F509" s="38" t="s">
        <v>114</v>
      </c>
    </row>
    <row r="510" spans="1:6" ht="13.5">
      <c r="A510" s="35">
        <v>23466</v>
      </c>
      <c r="B510" s="37" t="s">
        <v>694</v>
      </c>
      <c r="C510" s="37" t="s">
        <v>364</v>
      </c>
      <c r="D510" s="37" t="s">
        <v>242</v>
      </c>
      <c r="E510" s="37" t="s">
        <v>115</v>
      </c>
      <c r="F510" s="38" t="s">
        <v>172</v>
      </c>
    </row>
    <row r="511" spans="1:6" ht="13.5">
      <c r="A511" s="35">
        <v>23001</v>
      </c>
      <c r="B511" s="37" t="s">
        <v>242</v>
      </c>
      <c r="C511" s="37" t="s">
        <v>364</v>
      </c>
      <c r="D511" s="37" t="s">
        <v>242</v>
      </c>
      <c r="E511" s="37" t="s">
        <v>115</v>
      </c>
      <c r="F511" s="38" t="s">
        <v>138</v>
      </c>
    </row>
    <row r="512" spans="1:6" ht="13.5">
      <c r="A512" s="35">
        <v>23500</v>
      </c>
      <c r="B512" s="37" t="s">
        <v>695</v>
      </c>
      <c r="C512" s="37" t="s">
        <v>364</v>
      </c>
      <c r="D512" s="37" t="s">
        <v>242</v>
      </c>
      <c r="E512" s="37" t="s">
        <v>115</v>
      </c>
      <c r="F512" s="38" t="s">
        <v>212</v>
      </c>
    </row>
    <row r="513" spans="1:6" ht="13.5">
      <c r="A513" s="35">
        <v>23555</v>
      </c>
      <c r="B513" s="37" t="s">
        <v>696</v>
      </c>
      <c r="C513" s="37" t="s">
        <v>364</v>
      </c>
      <c r="D513" s="37" t="s">
        <v>242</v>
      </c>
      <c r="E513" s="37" t="s">
        <v>115</v>
      </c>
      <c r="F513" s="38" t="s">
        <v>114</v>
      </c>
    </row>
    <row r="514" spans="1:6" ht="13.5">
      <c r="A514" s="35">
        <v>23570</v>
      </c>
      <c r="B514" s="37" t="s">
        <v>697</v>
      </c>
      <c r="C514" s="37" t="s">
        <v>364</v>
      </c>
      <c r="D514" s="37" t="s">
        <v>242</v>
      </c>
      <c r="E514" s="37" t="s">
        <v>115</v>
      </c>
      <c r="F514" s="38" t="s">
        <v>114</v>
      </c>
    </row>
    <row r="515" spans="1:6" ht="13.5">
      <c r="A515" s="35">
        <v>23574</v>
      </c>
      <c r="B515" s="37" t="s">
        <v>698</v>
      </c>
      <c r="C515" s="37" t="s">
        <v>364</v>
      </c>
      <c r="D515" s="37" t="s">
        <v>242</v>
      </c>
      <c r="E515" s="37" t="s">
        <v>115</v>
      </c>
      <c r="F515" s="38" t="s">
        <v>212</v>
      </c>
    </row>
    <row r="516" spans="1:6" ht="13.5">
      <c r="A516" s="35">
        <v>23580</v>
      </c>
      <c r="B516" s="37" t="s">
        <v>699</v>
      </c>
      <c r="C516" s="37" t="s">
        <v>364</v>
      </c>
      <c r="D516" s="37" t="s">
        <v>242</v>
      </c>
      <c r="E516" s="37" t="s">
        <v>115</v>
      </c>
      <c r="F516" s="38" t="s">
        <v>172</v>
      </c>
    </row>
    <row r="517" spans="1:6" ht="13.5">
      <c r="A517" s="35">
        <v>23586</v>
      </c>
      <c r="B517" s="37" t="s">
        <v>700</v>
      </c>
      <c r="C517" s="37" t="s">
        <v>364</v>
      </c>
      <c r="D517" s="37" t="s">
        <v>242</v>
      </c>
      <c r="E517" s="37" t="s">
        <v>115</v>
      </c>
      <c r="F517" s="38" t="s">
        <v>114</v>
      </c>
    </row>
    <row r="518" spans="1:6" ht="13.5">
      <c r="A518" s="35">
        <v>23660</v>
      </c>
      <c r="B518" s="37" t="s">
        <v>701</v>
      </c>
      <c r="C518" s="37" t="s">
        <v>364</v>
      </c>
      <c r="D518" s="37" t="s">
        <v>242</v>
      </c>
      <c r="E518" s="37" t="s">
        <v>115</v>
      </c>
      <c r="F518" s="38" t="s">
        <v>114</v>
      </c>
    </row>
    <row r="519" spans="1:6" ht="13.5">
      <c r="A519" s="35">
        <v>23670</v>
      </c>
      <c r="B519" s="37" t="s">
        <v>702</v>
      </c>
      <c r="C519" s="37" t="s">
        <v>364</v>
      </c>
      <c r="D519" s="37" t="s">
        <v>242</v>
      </c>
      <c r="E519" s="37" t="s">
        <v>115</v>
      </c>
      <c r="F519" s="38" t="s">
        <v>114</v>
      </c>
    </row>
    <row r="520" spans="1:6" ht="13.5">
      <c r="A520" s="35">
        <v>23672</v>
      </c>
      <c r="B520" s="37" t="s">
        <v>703</v>
      </c>
      <c r="C520" s="37" t="s">
        <v>364</v>
      </c>
      <c r="D520" s="37" t="s">
        <v>242</v>
      </c>
      <c r="E520" s="37" t="s">
        <v>115</v>
      </c>
      <c r="F520" s="38" t="s">
        <v>114</v>
      </c>
    </row>
    <row r="521" spans="1:6" ht="13.5">
      <c r="A521" s="35">
        <v>23675</v>
      </c>
      <c r="B521" s="37" t="s">
        <v>704</v>
      </c>
      <c r="C521" s="37" t="s">
        <v>364</v>
      </c>
      <c r="D521" s="37" t="s">
        <v>242</v>
      </c>
      <c r="E521" s="37" t="s">
        <v>115</v>
      </c>
      <c r="F521" s="38" t="s">
        <v>114</v>
      </c>
    </row>
    <row r="522" spans="1:6" ht="13.5">
      <c r="A522" s="35">
        <v>23686</v>
      </c>
      <c r="B522" s="37" t="s">
        <v>705</v>
      </c>
      <c r="C522" s="37" t="s">
        <v>364</v>
      </c>
      <c r="D522" s="37" t="s">
        <v>242</v>
      </c>
      <c r="E522" s="37" t="s">
        <v>115</v>
      </c>
      <c r="F522" s="38" t="s">
        <v>114</v>
      </c>
    </row>
    <row r="523" spans="1:6" ht="13.5">
      <c r="A523" s="35">
        <v>23807</v>
      </c>
      <c r="B523" s="37" t="s">
        <v>706</v>
      </c>
      <c r="C523" s="37" t="s">
        <v>364</v>
      </c>
      <c r="D523" s="37" t="s">
        <v>242</v>
      </c>
      <c r="E523" s="37" t="s">
        <v>115</v>
      </c>
      <c r="F523" s="38" t="s">
        <v>212</v>
      </c>
    </row>
    <row r="524" spans="1:6" ht="13.5">
      <c r="A524" s="35">
        <v>23855</v>
      </c>
      <c r="B524" s="37" t="s">
        <v>707</v>
      </c>
      <c r="C524" s="37" t="s">
        <v>364</v>
      </c>
      <c r="D524" s="37" t="s">
        <v>242</v>
      </c>
      <c r="E524" s="37" t="s">
        <v>115</v>
      </c>
      <c r="F524" s="38" t="s">
        <v>212</v>
      </c>
    </row>
    <row r="525" spans="1:6" ht="13.5">
      <c r="A525" s="35">
        <v>25019</v>
      </c>
      <c r="B525" s="36" t="s">
        <v>708</v>
      </c>
      <c r="C525" s="37" t="s">
        <v>184</v>
      </c>
      <c r="D525" s="37" t="s">
        <v>182</v>
      </c>
      <c r="E525" s="37" t="s">
        <v>115</v>
      </c>
      <c r="F525" s="38" t="s">
        <v>114</v>
      </c>
    </row>
    <row r="526" spans="1:6" ht="13.5">
      <c r="A526" s="35">
        <v>25120</v>
      </c>
      <c r="B526" s="36" t="s">
        <v>709</v>
      </c>
      <c r="C526" s="37" t="s">
        <v>184</v>
      </c>
      <c r="D526" s="37" t="s">
        <v>182</v>
      </c>
      <c r="E526" s="37" t="s">
        <v>115</v>
      </c>
      <c r="F526" s="38" t="s">
        <v>212</v>
      </c>
    </row>
    <row r="527" spans="1:6" ht="13.5">
      <c r="A527" s="35">
        <v>25258</v>
      </c>
      <c r="B527" s="36" t="s">
        <v>365</v>
      </c>
      <c r="C527" s="37" t="s">
        <v>184</v>
      </c>
      <c r="D527" s="37" t="s">
        <v>182</v>
      </c>
      <c r="E527" s="37" t="s">
        <v>115</v>
      </c>
      <c r="F527" s="38" t="s">
        <v>212</v>
      </c>
    </row>
    <row r="528" spans="1:6" ht="13.5">
      <c r="A528" s="35">
        <v>25312</v>
      </c>
      <c r="B528" s="36" t="s">
        <v>217</v>
      </c>
      <c r="C528" s="37" t="s">
        <v>184</v>
      </c>
      <c r="D528" s="37" t="s">
        <v>182</v>
      </c>
      <c r="E528" s="37" t="s">
        <v>115</v>
      </c>
      <c r="F528" s="38" t="s">
        <v>114</v>
      </c>
    </row>
    <row r="529" spans="1:6" ht="13.5">
      <c r="A529" s="35">
        <v>25402</v>
      </c>
      <c r="B529" s="36" t="s">
        <v>592</v>
      </c>
      <c r="C529" s="37" t="s">
        <v>184</v>
      </c>
      <c r="D529" s="37" t="s">
        <v>182</v>
      </c>
      <c r="E529" s="37" t="s">
        <v>115</v>
      </c>
      <c r="F529" s="38" t="s">
        <v>114</v>
      </c>
    </row>
    <row r="530" spans="1:6" ht="13.5">
      <c r="A530" s="35">
        <v>25473</v>
      </c>
      <c r="B530" s="36" t="s">
        <v>710</v>
      </c>
      <c r="C530" s="37" t="s">
        <v>184</v>
      </c>
      <c r="D530" s="37" t="s">
        <v>182</v>
      </c>
      <c r="E530" s="37" t="s">
        <v>115</v>
      </c>
      <c r="F530" s="38" t="s">
        <v>138</v>
      </c>
    </row>
    <row r="531" spans="1:6" ht="13.5">
      <c r="A531" s="35">
        <v>25483</v>
      </c>
      <c r="B531" s="36" t="s">
        <v>104</v>
      </c>
      <c r="C531" s="37" t="s">
        <v>184</v>
      </c>
      <c r="D531" s="37" t="s">
        <v>182</v>
      </c>
      <c r="E531" s="37" t="s">
        <v>115</v>
      </c>
      <c r="F531" s="38" t="s">
        <v>212</v>
      </c>
    </row>
    <row r="532" spans="1:6" ht="13.5">
      <c r="A532" s="35">
        <v>25612</v>
      </c>
      <c r="B532" s="36" t="s">
        <v>711</v>
      </c>
      <c r="C532" s="37" t="s">
        <v>184</v>
      </c>
      <c r="D532" s="37" t="s">
        <v>182</v>
      </c>
      <c r="E532" s="37" t="s">
        <v>115</v>
      </c>
      <c r="F532" s="38" t="s">
        <v>212</v>
      </c>
    </row>
    <row r="533" spans="1:6" ht="13.5">
      <c r="A533" s="35">
        <v>25649</v>
      </c>
      <c r="B533" s="36" t="s">
        <v>712</v>
      </c>
      <c r="C533" s="37" t="s">
        <v>184</v>
      </c>
      <c r="D533" s="37" t="s">
        <v>182</v>
      </c>
      <c r="E533" s="37" t="s">
        <v>115</v>
      </c>
      <c r="F533" s="38" t="s">
        <v>212</v>
      </c>
    </row>
    <row r="534" spans="1:6" ht="13.5">
      <c r="A534" s="35">
        <v>25653</v>
      </c>
      <c r="B534" s="36" t="s">
        <v>713</v>
      </c>
      <c r="C534" s="37" t="s">
        <v>184</v>
      </c>
      <c r="D534" s="37" t="s">
        <v>182</v>
      </c>
      <c r="E534" s="37" t="s">
        <v>115</v>
      </c>
      <c r="F534" s="38" t="s">
        <v>212</v>
      </c>
    </row>
    <row r="535" spans="1:6" ht="13.5">
      <c r="A535" s="35">
        <v>25658</v>
      </c>
      <c r="B535" s="36" t="s">
        <v>224</v>
      </c>
      <c r="C535" s="37" t="s">
        <v>184</v>
      </c>
      <c r="D535" s="37" t="s">
        <v>182</v>
      </c>
      <c r="E535" s="37" t="s">
        <v>115</v>
      </c>
      <c r="F535" s="38" t="s">
        <v>114</v>
      </c>
    </row>
    <row r="536" spans="1:6" ht="13.5">
      <c r="A536" s="35">
        <v>25506</v>
      </c>
      <c r="B536" s="36" t="s">
        <v>230</v>
      </c>
      <c r="C536" s="37" t="s">
        <v>184</v>
      </c>
      <c r="D536" s="37" t="s">
        <v>182</v>
      </c>
      <c r="E536" s="37" t="s">
        <v>115</v>
      </c>
      <c r="F536" s="38" t="s">
        <v>212</v>
      </c>
    </row>
    <row r="537" spans="1:6" ht="13.5">
      <c r="A537" s="35">
        <v>25001</v>
      </c>
      <c r="B537" s="37" t="s">
        <v>714</v>
      </c>
      <c r="C537" s="37" t="s">
        <v>184</v>
      </c>
      <c r="D537" s="37" t="s">
        <v>182</v>
      </c>
      <c r="E537" s="37" t="s">
        <v>115</v>
      </c>
      <c r="F537" s="38" t="s">
        <v>212</v>
      </c>
    </row>
    <row r="538" spans="1:6" ht="13.5">
      <c r="A538" s="35">
        <v>25035</v>
      </c>
      <c r="B538" s="37" t="s">
        <v>715</v>
      </c>
      <c r="C538" s="37" t="s">
        <v>184</v>
      </c>
      <c r="D538" s="37" t="s">
        <v>182</v>
      </c>
      <c r="E538" s="37" t="s">
        <v>115</v>
      </c>
      <c r="F538" s="38" t="s">
        <v>114</v>
      </c>
    </row>
    <row r="539" spans="1:6" ht="13.5">
      <c r="A539" s="35">
        <v>25040</v>
      </c>
      <c r="B539" s="37" t="s">
        <v>716</v>
      </c>
      <c r="C539" s="37" t="s">
        <v>184</v>
      </c>
      <c r="D539" s="37" t="s">
        <v>182</v>
      </c>
      <c r="E539" s="37" t="s">
        <v>115</v>
      </c>
      <c r="F539" s="38" t="s">
        <v>114</v>
      </c>
    </row>
    <row r="540" spans="1:6" ht="13.5">
      <c r="A540" s="35">
        <v>25599</v>
      </c>
      <c r="B540" s="37" t="s">
        <v>717</v>
      </c>
      <c r="C540" s="37" t="s">
        <v>184</v>
      </c>
      <c r="D540" s="37" t="s">
        <v>182</v>
      </c>
      <c r="E540" s="37" t="s">
        <v>115</v>
      </c>
      <c r="F540" s="38" t="s">
        <v>212</v>
      </c>
    </row>
    <row r="541" spans="1:6" ht="13.5">
      <c r="A541" s="35">
        <v>25053</v>
      </c>
      <c r="B541" s="37" t="s">
        <v>718</v>
      </c>
      <c r="C541" s="37" t="s">
        <v>184</v>
      </c>
      <c r="D541" s="37" t="s">
        <v>182</v>
      </c>
      <c r="E541" s="37" t="s">
        <v>115</v>
      </c>
      <c r="F541" s="38" t="s">
        <v>114</v>
      </c>
    </row>
    <row r="542" spans="1:6" ht="13.5">
      <c r="A542" s="35">
        <v>25086</v>
      </c>
      <c r="B542" s="37" t="s">
        <v>719</v>
      </c>
      <c r="C542" s="37" t="s">
        <v>184</v>
      </c>
      <c r="D542" s="37" t="s">
        <v>182</v>
      </c>
      <c r="E542" s="37" t="s">
        <v>115</v>
      </c>
      <c r="F542" s="38" t="s">
        <v>212</v>
      </c>
    </row>
    <row r="543" spans="1:6" ht="13.5">
      <c r="A543" s="35">
        <v>25095</v>
      </c>
      <c r="B543" s="37" t="s">
        <v>720</v>
      </c>
      <c r="C543" s="37" t="s">
        <v>184</v>
      </c>
      <c r="D543" s="37" t="s">
        <v>182</v>
      </c>
      <c r="E543" s="37" t="s">
        <v>115</v>
      </c>
      <c r="F543" s="38" t="s">
        <v>212</v>
      </c>
    </row>
    <row r="544" spans="1:6" ht="13.5">
      <c r="A544" s="35">
        <v>11001</v>
      </c>
      <c r="B544" s="37" t="s">
        <v>182</v>
      </c>
      <c r="C544" s="37" t="s">
        <v>184</v>
      </c>
      <c r="D544" s="37" t="s">
        <v>182</v>
      </c>
      <c r="E544" s="37" t="s">
        <v>115</v>
      </c>
      <c r="F544" s="38" t="s">
        <v>138</v>
      </c>
    </row>
    <row r="545" spans="1:6" ht="13.5">
      <c r="A545" s="35">
        <v>25099</v>
      </c>
      <c r="B545" s="37" t="s">
        <v>721</v>
      </c>
      <c r="C545" s="37" t="s">
        <v>184</v>
      </c>
      <c r="D545" s="37" t="s">
        <v>182</v>
      </c>
      <c r="E545" s="37" t="s">
        <v>115</v>
      </c>
      <c r="F545" s="38" t="s">
        <v>114</v>
      </c>
    </row>
    <row r="546" spans="1:6" ht="13.5">
      <c r="A546" s="35">
        <v>25123</v>
      </c>
      <c r="B546" s="37" t="s">
        <v>722</v>
      </c>
      <c r="C546" s="37" t="s">
        <v>184</v>
      </c>
      <c r="D546" s="37" t="s">
        <v>182</v>
      </c>
      <c r="E546" s="37" t="s">
        <v>115</v>
      </c>
      <c r="F546" s="38" t="s">
        <v>114</v>
      </c>
    </row>
    <row r="547" spans="1:6" ht="13.5">
      <c r="A547" s="35">
        <v>25126</v>
      </c>
      <c r="B547" s="37" t="s">
        <v>723</v>
      </c>
      <c r="C547" s="37" t="s">
        <v>184</v>
      </c>
      <c r="D547" s="37" t="s">
        <v>182</v>
      </c>
      <c r="E547" s="37" t="s">
        <v>115</v>
      </c>
      <c r="F547" s="38" t="s">
        <v>114</v>
      </c>
    </row>
    <row r="548" spans="1:6" ht="13.5">
      <c r="A548" s="35">
        <v>25148</v>
      </c>
      <c r="B548" s="37" t="s">
        <v>724</v>
      </c>
      <c r="C548" s="37" t="s">
        <v>184</v>
      </c>
      <c r="D548" s="37" t="s">
        <v>182</v>
      </c>
      <c r="E548" s="37" t="s">
        <v>115</v>
      </c>
      <c r="F548" s="38" t="s">
        <v>212</v>
      </c>
    </row>
    <row r="549" spans="1:6" ht="13.5">
      <c r="A549" s="35">
        <v>25151</v>
      </c>
      <c r="B549" s="37" t="s">
        <v>725</v>
      </c>
      <c r="C549" s="37" t="s">
        <v>184</v>
      </c>
      <c r="D549" s="37" t="s">
        <v>182</v>
      </c>
      <c r="E549" s="37" t="s">
        <v>115</v>
      </c>
      <c r="F549" s="38" t="s">
        <v>114</v>
      </c>
    </row>
    <row r="550" spans="1:6" ht="13.5">
      <c r="A550" s="35">
        <v>25154</v>
      </c>
      <c r="B550" s="37" t="s">
        <v>726</v>
      </c>
      <c r="C550" s="37" t="s">
        <v>184</v>
      </c>
      <c r="D550" s="37" t="s">
        <v>182</v>
      </c>
      <c r="E550" s="37" t="s">
        <v>115</v>
      </c>
      <c r="F550" s="38" t="s">
        <v>212</v>
      </c>
    </row>
    <row r="551" spans="1:6" ht="13.5">
      <c r="A551" s="35">
        <v>25168</v>
      </c>
      <c r="B551" s="37" t="s">
        <v>727</v>
      </c>
      <c r="C551" s="37" t="s">
        <v>184</v>
      </c>
      <c r="D551" s="37" t="s">
        <v>182</v>
      </c>
      <c r="E551" s="37" t="s">
        <v>115</v>
      </c>
      <c r="F551" s="38" t="s">
        <v>212</v>
      </c>
    </row>
    <row r="552" spans="1:6" ht="13.5">
      <c r="A552" s="35">
        <v>25175</v>
      </c>
      <c r="B552" s="37" t="s">
        <v>728</v>
      </c>
      <c r="C552" s="37" t="s">
        <v>184</v>
      </c>
      <c r="D552" s="37" t="s">
        <v>182</v>
      </c>
      <c r="E552" s="37" t="s">
        <v>115</v>
      </c>
      <c r="F552" s="38" t="s">
        <v>114</v>
      </c>
    </row>
    <row r="553" spans="1:6" ht="13.5">
      <c r="A553" s="35">
        <v>25178</v>
      </c>
      <c r="B553" s="37" t="s">
        <v>729</v>
      </c>
      <c r="C553" s="37" t="s">
        <v>184</v>
      </c>
      <c r="D553" s="37" t="s">
        <v>182</v>
      </c>
      <c r="E553" s="37" t="s">
        <v>115</v>
      </c>
      <c r="F553" s="38" t="s">
        <v>114</v>
      </c>
    </row>
    <row r="554" spans="1:6" ht="13.5">
      <c r="A554" s="35">
        <v>25181</v>
      </c>
      <c r="B554" s="37" t="s">
        <v>730</v>
      </c>
      <c r="C554" s="37" t="s">
        <v>184</v>
      </c>
      <c r="D554" s="37" t="s">
        <v>182</v>
      </c>
      <c r="E554" s="37" t="s">
        <v>115</v>
      </c>
      <c r="F554" s="38" t="s">
        <v>114</v>
      </c>
    </row>
    <row r="555" spans="1:6" ht="13.5">
      <c r="A555" s="35">
        <v>25183</v>
      </c>
      <c r="B555" s="37" t="s">
        <v>731</v>
      </c>
      <c r="C555" s="37" t="s">
        <v>184</v>
      </c>
      <c r="D555" s="37" t="s">
        <v>131</v>
      </c>
      <c r="E555" s="37" t="s">
        <v>115</v>
      </c>
      <c r="F555" s="38" t="s">
        <v>114</v>
      </c>
    </row>
    <row r="556" spans="1:6" ht="13.5">
      <c r="A556" s="35">
        <v>25200</v>
      </c>
      <c r="B556" s="37" t="s">
        <v>732</v>
      </c>
      <c r="C556" s="37" t="s">
        <v>184</v>
      </c>
      <c r="D556" s="37" t="s">
        <v>182</v>
      </c>
      <c r="E556" s="37" t="s">
        <v>115</v>
      </c>
      <c r="F556" s="38" t="s">
        <v>114</v>
      </c>
    </row>
    <row r="557" spans="1:6" ht="13.5">
      <c r="A557" s="35">
        <v>25214</v>
      </c>
      <c r="B557" s="37" t="s">
        <v>733</v>
      </c>
      <c r="C557" s="37" t="s">
        <v>184</v>
      </c>
      <c r="D557" s="37" t="s">
        <v>182</v>
      </c>
      <c r="E557" s="37" t="s">
        <v>115</v>
      </c>
      <c r="F557" s="38" t="s">
        <v>114</v>
      </c>
    </row>
    <row r="558" spans="1:6" ht="13.5">
      <c r="A558" s="35">
        <v>25224</v>
      </c>
      <c r="B558" s="37" t="s">
        <v>734</v>
      </c>
      <c r="C558" s="37" t="s">
        <v>184</v>
      </c>
      <c r="D558" s="37" t="s">
        <v>182</v>
      </c>
      <c r="E558" s="37" t="s">
        <v>115</v>
      </c>
      <c r="F558" s="38" t="s">
        <v>212</v>
      </c>
    </row>
    <row r="559" spans="1:6" ht="13.5">
      <c r="A559" s="35">
        <v>25245</v>
      </c>
      <c r="B559" s="37" t="s">
        <v>735</v>
      </c>
      <c r="C559" s="37" t="s">
        <v>184</v>
      </c>
      <c r="D559" s="37" t="s">
        <v>182</v>
      </c>
      <c r="E559" s="37" t="s">
        <v>115</v>
      </c>
      <c r="F559" s="38" t="s">
        <v>114</v>
      </c>
    </row>
    <row r="560" spans="1:6" ht="13.5">
      <c r="A560" s="35">
        <v>25260</v>
      </c>
      <c r="B560" s="37" t="s">
        <v>736</v>
      </c>
      <c r="C560" s="37" t="s">
        <v>184</v>
      </c>
      <c r="D560" s="37" t="s">
        <v>182</v>
      </c>
      <c r="E560" s="37" t="s">
        <v>115</v>
      </c>
      <c r="F560" s="38" t="s">
        <v>114</v>
      </c>
    </row>
    <row r="561" spans="1:6" ht="13.5">
      <c r="A561" s="35">
        <v>25269</v>
      </c>
      <c r="B561" s="37" t="s">
        <v>737</v>
      </c>
      <c r="C561" s="37" t="s">
        <v>184</v>
      </c>
      <c r="D561" s="37" t="s">
        <v>182</v>
      </c>
      <c r="E561" s="37" t="s">
        <v>115</v>
      </c>
      <c r="F561" s="38" t="s">
        <v>114</v>
      </c>
    </row>
    <row r="562" spans="1:6" ht="13.5">
      <c r="A562" s="35">
        <v>25279</v>
      </c>
      <c r="B562" s="37" t="s">
        <v>738</v>
      </c>
      <c r="C562" s="37" t="s">
        <v>184</v>
      </c>
      <c r="D562" s="37" t="s">
        <v>182</v>
      </c>
      <c r="E562" s="37" t="s">
        <v>115</v>
      </c>
      <c r="F562" s="38" t="s">
        <v>114</v>
      </c>
    </row>
    <row r="563" spans="1:6" ht="13.5">
      <c r="A563" s="35">
        <v>25281</v>
      </c>
      <c r="B563" s="37" t="s">
        <v>739</v>
      </c>
      <c r="C563" s="37" t="s">
        <v>184</v>
      </c>
      <c r="D563" s="37" t="s">
        <v>182</v>
      </c>
      <c r="E563" s="37" t="s">
        <v>115</v>
      </c>
      <c r="F563" s="38" t="s">
        <v>114</v>
      </c>
    </row>
    <row r="564" spans="1:6" ht="13.5">
      <c r="A564" s="35">
        <v>25286</v>
      </c>
      <c r="B564" s="37" t="s">
        <v>740</v>
      </c>
      <c r="C564" s="37" t="s">
        <v>184</v>
      </c>
      <c r="D564" s="37" t="s">
        <v>182</v>
      </c>
      <c r="E564" s="37" t="s">
        <v>115</v>
      </c>
      <c r="F564" s="38" t="s">
        <v>114</v>
      </c>
    </row>
    <row r="565" spans="1:6" ht="13.5">
      <c r="A565" s="35">
        <v>25288</v>
      </c>
      <c r="B565" s="37" t="s">
        <v>741</v>
      </c>
      <c r="C565" s="37" t="s">
        <v>184</v>
      </c>
      <c r="D565" s="37" t="s">
        <v>182</v>
      </c>
      <c r="E565" s="37" t="s">
        <v>115</v>
      </c>
      <c r="F565" s="38" t="s">
        <v>212</v>
      </c>
    </row>
    <row r="566" spans="1:6" ht="13.5">
      <c r="A566" s="35">
        <v>25290</v>
      </c>
      <c r="B566" s="37" t="s">
        <v>742</v>
      </c>
      <c r="C566" s="37" t="s">
        <v>184</v>
      </c>
      <c r="D566" s="37" t="s">
        <v>182</v>
      </c>
      <c r="E566" s="37" t="s">
        <v>115</v>
      </c>
      <c r="F566" s="38" t="s">
        <v>114</v>
      </c>
    </row>
    <row r="567" spans="1:6" ht="13.5">
      <c r="A567" s="35">
        <v>25293</v>
      </c>
      <c r="B567" s="37" t="s">
        <v>743</v>
      </c>
      <c r="C567" s="37" t="s">
        <v>184</v>
      </c>
      <c r="D567" s="37" t="s">
        <v>182</v>
      </c>
      <c r="E567" s="37" t="s">
        <v>115</v>
      </c>
      <c r="F567" s="38" t="s">
        <v>212</v>
      </c>
    </row>
    <row r="568" spans="1:6" ht="13.5">
      <c r="A568" s="35">
        <v>25295</v>
      </c>
      <c r="B568" s="37" t="s">
        <v>744</v>
      </c>
      <c r="C568" s="37" t="s">
        <v>184</v>
      </c>
      <c r="D568" s="37" t="s">
        <v>182</v>
      </c>
      <c r="E568" s="37" t="s">
        <v>115</v>
      </c>
      <c r="F568" s="38" t="s">
        <v>114</v>
      </c>
    </row>
    <row r="569" spans="1:6" ht="13.5">
      <c r="A569" s="35">
        <v>25297</v>
      </c>
      <c r="B569" s="37" t="s">
        <v>745</v>
      </c>
      <c r="C569" s="37" t="s">
        <v>184</v>
      </c>
      <c r="D569" s="37" t="s">
        <v>182</v>
      </c>
      <c r="E569" s="37" t="s">
        <v>115</v>
      </c>
      <c r="F569" s="38" t="s">
        <v>212</v>
      </c>
    </row>
    <row r="570" spans="1:6" ht="13.5">
      <c r="A570" s="35">
        <v>25299</v>
      </c>
      <c r="B570" s="37" t="s">
        <v>746</v>
      </c>
      <c r="C570" s="37" t="s">
        <v>184</v>
      </c>
      <c r="D570" s="37" t="s">
        <v>182</v>
      </c>
      <c r="E570" s="37" t="s">
        <v>115</v>
      </c>
      <c r="F570" s="38" t="s">
        <v>212</v>
      </c>
    </row>
    <row r="571" spans="1:6" ht="13.5">
      <c r="A571" s="35">
        <v>25307</v>
      </c>
      <c r="B571" s="37" t="s">
        <v>747</v>
      </c>
      <c r="C571" s="37" t="s">
        <v>184</v>
      </c>
      <c r="D571" s="37" t="s">
        <v>182</v>
      </c>
      <c r="E571" s="37" t="s">
        <v>115</v>
      </c>
      <c r="F571" s="38" t="s">
        <v>212</v>
      </c>
    </row>
    <row r="572" spans="1:6" ht="13.5">
      <c r="A572" s="35">
        <v>25317</v>
      </c>
      <c r="B572" s="37" t="s">
        <v>748</v>
      </c>
      <c r="C572" s="37" t="s">
        <v>184</v>
      </c>
      <c r="D572" s="37" t="s">
        <v>182</v>
      </c>
      <c r="E572" s="37" t="s">
        <v>115</v>
      </c>
      <c r="F572" s="38" t="s">
        <v>212</v>
      </c>
    </row>
    <row r="573" spans="1:6" ht="13.5">
      <c r="A573" s="35">
        <v>25320</v>
      </c>
      <c r="B573" s="37" t="s">
        <v>749</v>
      </c>
      <c r="C573" s="37" t="s">
        <v>184</v>
      </c>
      <c r="D573" s="37" t="s">
        <v>182</v>
      </c>
      <c r="E573" s="37" t="s">
        <v>115</v>
      </c>
      <c r="F573" s="38" t="s">
        <v>212</v>
      </c>
    </row>
    <row r="574" spans="1:6" ht="13.5">
      <c r="A574" s="35">
        <v>25322</v>
      </c>
      <c r="B574" s="37" t="s">
        <v>750</v>
      </c>
      <c r="C574" s="37" t="s">
        <v>184</v>
      </c>
      <c r="D574" s="37" t="s">
        <v>182</v>
      </c>
      <c r="E574" s="37" t="s">
        <v>115</v>
      </c>
      <c r="F574" s="38" t="s">
        <v>114</v>
      </c>
    </row>
    <row r="575" spans="1:6" ht="13.5">
      <c r="A575" s="35">
        <v>25324</v>
      </c>
      <c r="B575" s="37" t="s">
        <v>751</v>
      </c>
      <c r="C575" s="37" t="s">
        <v>184</v>
      </c>
      <c r="D575" s="37" t="s">
        <v>539</v>
      </c>
      <c r="E575" s="37" t="s">
        <v>115</v>
      </c>
      <c r="F575" s="38" t="s">
        <v>212</v>
      </c>
    </row>
    <row r="576" spans="1:6" ht="13.5">
      <c r="A576" s="35">
        <v>25326</v>
      </c>
      <c r="B576" s="37" t="s">
        <v>752</v>
      </c>
      <c r="C576" s="37" t="s">
        <v>184</v>
      </c>
      <c r="D576" s="37" t="s">
        <v>182</v>
      </c>
      <c r="E576" s="37" t="s">
        <v>115</v>
      </c>
      <c r="F576" s="38" t="s">
        <v>114</v>
      </c>
    </row>
    <row r="577" spans="1:6" ht="13.5">
      <c r="A577" s="35">
        <v>25328</v>
      </c>
      <c r="B577" s="37" t="s">
        <v>753</v>
      </c>
      <c r="C577" s="37" t="s">
        <v>184</v>
      </c>
      <c r="D577" s="37" t="s">
        <v>182</v>
      </c>
      <c r="E577" s="37" t="s">
        <v>115</v>
      </c>
      <c r="F577" s="38" t="s">
        <v>212</v>
      </c>
    </row>
    <row r="578" spans="1:6" ht="13.5">
      <c r="A578" s="35">
        <v>25335</v>
      </c>
      <c r="B578" s="37" t="s">
        <v>754</v>
      </c>
      <c r="C578" s="37" t="s">
        <v>184</v>
      </c>
      <c r="D578" s="37" t="s">
        <v>174</v>
      </c>
      <c r="E578" s="37" t="s">
        <v>115</v>
      </c>
      <c r="F578" s="38" t="s">
        <v>114</v>
      </c>
    </row>
    <row r="579" spans="1:6" ht="13.5">
      <c r="A579" s="35">
        <v>25339</v>
      </c>
      <c r="B579" s="37" t="s">
        <v>755</v>
      </c>
      <c r="C579" s="37" t="s">
        <v>184</v>
      </c>
      <c r="D579" s="37" t="s">
        <v>182</v>
      </c>
      <c r="E579" s="37" t="s">
        <v>115</v>
      </c>
      <c r="F579" s="38" t="s">
        <v>212</v>
      </c>
    </row>
    <row r="580" spans="1:6" ht="13.5">
      <c r="A580" s="35">
        <v>25368</v>
      </c>
      <c r="B580" s="37" t="s">
        <v>756</v>
      </c>
      <c r="C580" s="37" t="s">
        <v>184</v>
      </c>
      <c r="D580" s="37" t="s">
        <v>182</v>
      </c>
      <c r="E580" s="37" t="s">
        <v>115</v>
      </c>
      <c r="F580" s="38" t="s">
        <v>212</v>
      </c>
    </row>
    <row r="581" spans="1:6" ht="13.5">
      <c r="A581" s="35">
        <v>25372</v>
      </c>
      <c r="B581" s="37" t="s">
        <v>757</v>
      </c>
      <c r="C581" s="37" t="s">
        <v>184</v>
      </c>
      <c r="D581" s="37" t="s">
        <v>182</v>
      </c>
      <c r="E581" s="37" t="s">
        <v>115</v>
      </c>
      <c r="F581" s="38" t="s">
        <v>212</v>
      </c>
    </row>
    <row r="582" spans="1:6" ht="13.5">
      <c r="A582" s="35">
        <v>25377</v>
      </c>
      <c r="B582" s="37" t="s">
        <v>758</v>
      </c>
      <c r="C582" s="37" t="s">
        <v>184</v>
      </c>
      <c r="D582" s="37" t="s">
        <v>182</v>
      </c>
      <c r="E582" s="37" t="s">
        <v>115</v>
      </c>
      <c r="F582" s="38" t="s">
        <v>114</v>
      </c>
    </row>
    <row r="583" spans="1:6" ht="13.5">
      <c r="A583" s="35">
        <v>25386</v>
      </c>
      <c r="B583" s="37" t="s">
        <v>759</v>
      </c>
      <c r="C583" s="37" t="s">
        <v>184</v>
      </c>
      <c r="D583" s="37" t="s">
        <v>182</v>
      </c>
      <c r="E583" s="37" t="s">
        <v>115</v>
      </c>
      <c r="F583" s="38" t="s">
        <v>114</v>
      </c>
    </row>
    <row r="584" spans="1:6" ht="13.5">
      <c r="A584" s="35">
        <v>25394</v>
      </c>
      <c r="B584" s="37" t="s">
        <v>760</v>
      </c>
      <c r="C584" s="37" t="s">
        <v>184</v>
      </c>
      <c r="D584" s="37" t="s">
        <v>182</v>
      </c>
      <c r="E584" s="37" t="s">
        <v>115</v>
      </c>
      <c r="F584" s="38" t="s">
        <v>212</v>
      </c>
    </row>
    <row r="585" spans="1:6" ht="13.5">
      <c r="A585" s="35">
        <v>25398</v>
      </c>
      <c r="B585" s="37" t="s">
        <v>761</v>
      </c>
      <c r="C585" s="37" t="s">
        <v>184</v>
      </c>
      <c r="D585" s="37" t="s">
        <v>182</v>
      </c>
      <c r="E585" s="37" t="s">
        <v>115</v>
      </c>
      <c r="F585" s="38" t="s">
        <v>212</v>
      </c>
    </row>
    <row r="586" spans="1:6" ht="13.5">
      <c r="A586" s="35">
        <v>25407</v>
      </c>
      <c r="B586" s="37" t="s">
        <v>762</v>
      </c>
      <c r="C586" s="37" t="s">
        <v>184</v>
      </c>
      <c r="D586" s="37" t="s">
        <v>182</v>
      </c>
      <c r="E586" s="37" t="s">
        <v>115</v>
      </c>
      <c r="F586" s="38" t="s">
        <v>212</v>
      </c>
    </row>
    <row r="587" spans="1:6" ht="13.5">
      <c r="A587" s="35">
        <v>25426</v>
      </c>
      <c r="B587" s="37" t="s">
        <v>763</v>
      </c>
      <c r="C587" s="37" t="s">
        <v>184</v>
      </c>
      <c r="D587" s="37" t="s">
        <v>182</v>
      </c>
      <c r="E587" s="37" t="s">
        <v>115</v>
      </c>
      <c r="F587" s="38" t="s">
        <v>212</v>
      </c>
    </row>
    <row r="588" spans="1:6" ht="13.5">
      <c r="A588" s="35">
        <v>25430</v>
      </c>
      <c r="B588" s="37" t="s">
        <v>764</v>
      </c>
      <c r="C588" s="37" t="s">
        <v>184</v>
      </c>
      <c r="D588" s="37" t="s">
        <v>182</v>
      </c>
      <c r="E588" s="37" t="s">
        <v>115</v>
      </c>
      <c r="F588" s="38" t="s">
        <v>114</v>
      </c>
    </row>
    <row r="589" spans="1:6" ht="13.5">
      <c r="A589" s="35">
        <v>25436</v>
      </c>
      <c r="B589" s="37" t="s">
        <v>765</v>
      </c>
      <c r="C589" s="37" t="s">
        <v>184</v>
      </c>
      <c r="D589" s="37" t="s">
        <v>182</v>
      </c>
      <c r="E589" s="37" t="s">
        <v>115</v>
      </c>
      <c r="F589" s="38" t="s">
        <v>212</v>
      </c>
    </row>
    <row r="590" spans="1:6" ht="13.5">
      <c r="A590" s="35">
        <v>25438</v>
      </c>
      <c r="B590" s="37" t="s">
        <v>766</v>
      </c>
      <c r="C590" s="37" t="s">
        <v>184</v>
      </c>
      <c r="D590" s="37" t="s">
        <v>174</v>
      </c>
      <c r="E590" s="37" t="s">
        <v>115</v>
      </c>
      <c r="F590" s="38" t="s">
        <v>172</v>
      </c>
    </row>
    <row r="591" spans="1:6" ht="13.5">
      <c r="A591" s="35">
        <v>25486</v>
      </c>
      <c r="B591" s="37" t="s">
        <v>767</v>
      </c>
      <c r="C591" s="37" t="s">
        <v>184</v>
      </c>
      <c r="D591" s="37" t="s">
        <v>182</v>
      </c>
      <c r="E591" s="37" t="s">
        <v>115</v>
      </c>
      <c r="F591" s="38" t="s">
        <v>114</v>
      </c>
    </row>
    <row r="592" spans="1:6" ht="13.5">
      <c r="A592" s="35">
        <v>25488</v>
      </c>
      <c r="B592" s="37" t="s">
        <v>768</v>
      </c>
      <c r="C592" s="37" t="s">
        <v>184</v>
      </c>
      <c r="D592" s="37" t="s">
        <v>182</v>
      </c>
      <c r="E592" s="37" t="s">
        <v>115</v>
      </c>
      <c r="F592" s="38" t="s">
        <v>212</v>
      </c>
    </row>
    <row r="593" spans="1:6" ht="13.5">
      <c r="A593" s="35">
        <v>25489</v>
      </c>
      <c r="B593" s="37" t="s">
        <v>769</v>
      </c>
      <c r="C593" s="37" t="s">
        <v>184</v>
      </c>
      <c r="D593" s="37" t="s">
        <v>182</v>
      </c>
      <c r="E593" s="37" t="s">
        <v>115</v>
      </c>
      <c r="F593" s="38" t="s">
        <v>212</v>
      </c>
    </row>
    <row r="594" spans="1:6" ht="13.5">
      <c r="A594" s="35">
        <v>25491</v>
      </c>
      <c r="B594" s="37" t="s">
        <v>770</v>
      </c>
      <c r="C594" s="37" t="s">
        <v>184</v>
      </c>
      <c r="D594" s="37" t="s">
        <v>182</v>
      </c>
      <c r="E594" s="37" t="s">
        <v>115</v>
      </c>
      <c r="F594" s="38" t="s">
        <v>212</v>
      </c>
    </row>
    <row r="595" spans="1:6" ht="13.5">
      <c r="A595" s="35">
        <v>25513</v>
      </c>
      <c r="B595" s="37" t="s">
        <v>771</v>
      </c>
      <c r="C595" s="37" t="s">
        <v>184</v>
      </c>
      <c r="D595" s="37" t="s">
        <v>182</v>
      </c>
      <c r="E595" s="37" t="s">
        <v>115</v>
      </c>
      <c r="F595" s="38" t="s">
        <v>212</v>
      </c>
    </row>
    <row r="596" spans="1:6" ht="13.5">
      <c r="A596" s="35">
        <v>25518</v>
      </c>
      <c r="B596" s="37" t="s">
        <v>772</v>
      </c>
      <c r="C596" s="37" t="s">
        <v>184</v>
      </c>
      <c r="D596" s="37" t="s">
        <v>182</v>
      </c>
      <c r="E596" s="37" t="s">
        <v>115</v>
      </c>
      <c r="F596" s="38" t="s">
        <v>172</v>
      </c>
    </row>
    <row r="597" spans="1:6" ht="13.5">
      <c r="A597" s="35">
        <v>25524</v>
      </c>
      <c r="B597" s="37" t="s">
        <v>773</v>
      </c>
      <c r="C597" s="37" t="s">
        <v>184</v>
      </c>
      <c r="D597" s="37" t="s">
        <v>182</v>
      </c>
      <c r="E597" s="37" t="s">
        <v>115</v>
      </c>
      <c r="F597" s="38" t="s">
        <v>212</v>
      </c>
    </row>
    <row r="598" spans="1:6" ht="13.5">
      <c r="A598" s="35">
        <v>25530</v>
      </c>
      <c r="B598" s="37" t="s">
        <v>774</v>
      </c>
      <c r="C598" s="37" t="s">
        <v>184</v>
      </c>
      <c r="D598" s="37" t="s">
        <v>174</v>
      </c>
      <c r="E598" s="37" t="s">
        <v>115</v>
      </c>
      <c r="F598" s="38" t="s">
        <v>212</v>
      </c>
    </row>
    <row r="599" spans="1:6" ht="13.5">
      <c r="A599" s="35">
        <v>25535</v>
      </c>
      <c r="B599" s="37" t="s">
        <v>775</v>
      </c>
      <c r="C599" s="37" t="s">
        <v>184</v>
      </c>
      <c r="D599" s="37" t="s">
        <v>182</v>
      </c>
      <c r="E599" s="37" t="s">
        <v>115</v>
      </c>
      <c r="F599" s="38" t="s">
        <v>114</v>
      </c>
    </row>
    <row r="600" spans="1:6" ht="13.5">
      <c r="A600" s="35">
        <v>25572</v>
      </c>
      <c r="B600" s="37" t="s">
        <v>776</v>
      </c>
      <c r="C600" s="37" t="s">
        <v>184</v>
      </c>
      <c r="D600" s="37" t="s">
        <v>182</v>
      </c>
      <c r="E600" s="37" t="s">
        <v>115</v>
      </c>
      <c r="F600" s="38" t="s">
        <v>172</v>
      </c>
    </row>
    <row r="601" spans="1:6" ht="13.5">
      <c r="A601" s="35">
        <v>25580</v>
      </c>
      <c r="B601" s="37" t="s">
        <v>777</v>
      </c>
      <c r="C601" s="37" t="s">
        <v>184</v>
      </c>
      <c r="D601" s="37" t="s">
        <v>182</v>
      </c>
      <c r="E601" s="37" t="s">
        <v>115</v>
      </c>
      <c r="F601" s="38" t="s">
        <v>212</v>
      </c>
    </row>
    <row r="602" spans="1:6" ht="13.5">
      <c r="A602" s="35">
        <v>25592</v>
      </c>
      <c r="B602" s="37" t="s">
        <v>778</v>
      </c>
      <c r="C602" s="37" t="s">
        <v>184</v>
      </c>
      <c r="D602" s="37" t="s">
        <v>182</v>
      </c>
      <c r="E602" s="37" t="s">
        <v>115</v>
      </c>
      <c r="F602" s="38" t="s">
        <v>212</v>
      </c>
    </row>
    <row r="603" spans="1:6" ht="13.5">
      <c r="A603" s="35">
        <v>25594</v>
      </c>
      <c r="B603" s="37" t="s">
        <v>779</v>
      </c>
      <c r="C603" s="37" t="s">
        <v>184</v>
      </c>
      <c r="D603" s="37" t="s">
        <v>182</v>
      </c>
      <c r="E603" s="37" t="s">
        <v>115</v>
      </c>
      <c r="F603" s="38" t="s">
        <v>212</v>
      </c>
    </row>
    <row r="604" spans="1:6" ht="13.5">
      <c r="A604" s="35">
        <v>25596</v>
      </c>
      <c r="B604" s="37" t="s">
        <v>780</v>
      </c>
      <c r="C604" s="37" t="s">
        <v>184</v>
      </c>
      <c r="D604" s="37" t="s">
        <v>182</v>
      </c>
      <c r="E604" s="37" t="s">
        <v>115</v>
      </c>
      <c r="F604" s="38" t="s">
        <v>212</v>
      </c>
    </row>
    <row r="605" spans="1:6" ht="13.5">
      <c r="A605" s="35">
        <v>25645</v>
      </c>
      <c r="B605" s="37" t="s">
        <v>781</v>
      </c>
      <c r="C605" s="37" t="s">
        <v>184</v>
      </c>
      <c r="D605" s="37" t="s">
        <v>182</v>
      </c>
      <c r="E605" s="37" t="s">
        <v>115</v>
      </c>
      <c r="F605" s="38" t="s">
        <v>114</v>
      </c>
    </row>
    <row r="606" spans="1:6" ht="13.5">
      <c r="A606" s="35">
        <v>25662</v>
      </c>
      <c r="B606" s="37" t="s">
        <v>782</v>
      </c>
      <c r="C606" s="37" t="s">
        <v>184</v>
      </c>
      <c r="D606" s="37" t="s">
        <v>182</v>
      </c>
      <c r="E606" s="37" t="s">
        <v>115</v>
      </c>
      <c r="F606" s="38" t="s">
        <v>212</v>
      </c>
    </row>
    <row r="607" spans="1:6" ht="13.5">
      <c r="A607" s="35">
        <v>25718</v>
      </c>
      <c r="B607" s="37" t="s">
        <v>783</v>
      </c>
      <c r="C607" s="37" t="s">
        <v>184</v>
      </c>
      <c r="D607" s="37" t="s">
        <v>182</v>
      </c>
      <c r="E607" s="37" t="s">
        <v>115</v>
      </c>
      <c r="F607" s="38" t="s">
        <v>114</v>
      </c>
    </row>
    <row r="608" spans="1:6" ht="13.5">
      <c r="A608" s="35">
        <v>25736</v>
      </c>
      <c r="B608" s="37" t="s">
        <v>784</v>
      </c>
      <c r="C608" s="37" t="s">
        <v>184</v>
      </c>
      <c r="D608" s="37" t="s">
        <v>182</v>
      </c>
      <c r="E608" s="37" t="s">
        <v>115</v>
      </c>
      <c r="F608" s="38" t="s">
        <v>114</v>
      </c>
    </row>
    <row r="609" spans="1:6" ht="13.5">
      <c r="A609" s="35">
        <v>25740</v>
      </c>
      <c r="B609" s="37" t="s">
        <v>785</v>
      </c>
      <c r="C609" s="37" t="s">
        <v>184</v>
      </c>
      <c r="D609" s="37" t="s">
        <v>182</v>
      </c>
      <c r="E609" s="37" t="s">
        <v>115</v>
      </c>
      <c r="F609" s="38" t="s">
        <v>114</v>
      </c>
    </row>
    <row r="610" spans="1:6" ht="13.5">
      <c r="A610" s="35">
        <v>25743</v>
      </c>
      <c r="B610" s="37" t="s">
        <v>786</v>
      </c>
      <c r="C610" s="37" t="s">
        <v>184</v>
      </c>
      <c r="D610" s="37" t="s">
        <v>182</v>
      </c>
      <c r="E610" s="37" t="s">
        <v>115</v>
      </c>
      <c r="F610" s="38" t="s">
        <v>114</v>
      </c>
    </row>
    <row r="611" spans="1:6" ht="13.5">
      <c r="A611" s="35">
        <v>25745</v>
      </c>
      <c r="B611" s="37" t="s">
        <v>787</v>
      </c>
      <c r="C611" s="37" t="s">
        <v>184</v>
      </c>
      <c r="D611" s="37" t="s">
        <v>131</v>
      </c>
      <c r="E611" s="37" t="s">
        <v>115</v>
      </c>
      <c r="F611" s="38" t="s">
        <v>212</v>
      </c>
    </row>
    <row r="612" spans="1:6" ht="13.5">
      <c r="A612" s="35">
        <v>25754</v>
      </c>
      <c r="B612" s="37" t="s">
        <v>788</v>
      </c>
      <c r="C612" s="37" t="s">
        <v>184</v>
      </c>
      <c r="D612" s="37" t="s">
        <v>182</v>
      </c>
      <c r="E612" s="37" t="s">
        <v>115</v>
      </c>
      <c r="F612" s="38" t="s">
        <v>138</v>
      </c>
    </row>
    <row r="613" spans="1:6" ht="13.5">
      <c r="A613" s="35">
        <v>25758</v>
      </c>
      <c r="B613" s="37" t="s">
        <v>789</v>
      </c>
      <c r="C613" s="37" t="s">
        <v>184</v>
      </c>
      <c r="D613" s="37" t="s">
        <v>182</v>
      </c>
      <c r="E613" s="37" t="s">
        <v>115</v>
      </c>
      <c r="F613" s="38" t="s">
        <v>114</v>
      </c>
    </row>
    <row r="614" spans="1:6" ht="13.5">
      <c r="A614" s="35">
        <v>25769</v>
      </c>
      <c r="B614" s="37" t="s">
        <v>790</v>
      </c>
      <c r="C614" s="37" t="s">
        <v>184</v>
      </c>
      <c r="D614" s="37" t="s">
        <v>182</v>
      </c>
      <c r="E614" s="37" t="s">
        <v>115</v>
      </c>
      <c r="F614" s="38" t="s">
        <v>114</v>
      </c>
    </row>
    <row r="615" spans="1:6" ht="13.5">
      <c r="A615" s="35">
        <v>25772</v>
      </c>
      <c r="B615" s="37" t="s">
        <v>791</v>
      </c>
      <c r="C615" s="37" t="s">
        <v>184</v>
      </c>
      <c r="D615" s="37" t="s">
        <v>182</v>
      </c>
      <c r="E615" s="37" t="s">
        <v>115</v>
      </c>
      <c r="F615" s="38" t="s">
        <v>114</v>
      </c>
    </row>
    <row r="616" spans="1:6" ht="13.5">
      <c r="A616" s="35">
        <v>25777</v>
      </c>
      <c r="B616" s="37" t="s">
        <v>792</v>
      </c>
      <c r="C616" s="37" t="s">
        <v>184</v>
      </c>
      <c r="D616" s="37" t="s">
        <v>182</v>
      </c>
      <c r="E616" s="37" t="s">
        <v>115</v>
      </c>
      <c r="F616" s="38" t="s">
        <v>114</v>
      </c>
    </row>
    <row r="617" spans="1:6" ht="13.5">
      <c r="A617" s="35">
        <v>25779</v>
      </c>
      <c r="B617" s="37" t="s">
        <v>793</v>
      </c>
      <c r="C617" s="37" t="s">
        <v>184</v>
      </c>
      <c r="D617" s="37" t="s">
        <v>182</v>
      </c>
      <c r="E617" s="37" t="s">
        <v>115</v>
      </c>
      <c r="F617" s="38" t="s">
        <v>212</v>
      </c>
    </row>
    <row r="618" spans="1:6" ht="13.5">
      <c r="A618" s="35">
        <v>25781</v>
      </c>
      <c r="B618" s="37" t="s">
        <v>794</v>
      </c>
      <c r="C618" s="37" t="s">
        <v>184</v>
      </c>
      <c r="D618" s="37" t="s">
        <v>182</v>
      </c>
      <c r="E618" s="37" t="s">
        <v>115</v>
      </c>
      <c r="F618" s="38" t="s">
        <v>114</v>
      </c>
    </row>
    <row r="619" spans="1:6" ht="13.5">
      <c r="A619" s="35">
        <v>25785</v>
      </c>
      <c r="B619" s="37" t="s">
        <v>795</v>
      </c>
      <c r="C619" s="37" t="s">
        <v>184</v>
      </c>
      <c r="D619" s="37" t="s">
        <v>182</v>
      </c>
      <c r="E619" s="37" t="s">
        <v>115</v>
      </c>
      <c r="F619" s="38" t="s">
        <v>114</v>
      </c>
    </row>
    <row r="620" spans="1:6" ht="13.5">
      <c r="A620" s="35">
        <v>25793</v>
      </c>
      <c r="B620" s="37" t="s">
        <v>796</v>
      </c>
      <c r="C620" s="37" t="s">
        <v>184</v>
      </c>
      <c r="D620" s="37" t="s">
        <v>182</v>
      </c>
      <c r="E620" s="37" t="s">
        <v>115</v>
      </c>
      <c r="F620" s="38" t="s">
        <v>114</v>
      </c>
    </row>
    <row r="621" spans="1:6" ht="13.5">
      <c r="A621" s="35">
        <v>25797</v>
      </c>
      <c r="B621" s="37" t="s">
        <v>797</v>
      </c>
      <c r="C621" s="37" t="s">
        <v>184</v>
      </c>
      <c r="D621" s="37" t="s">
        <v>182</v>
      </c>
      <c r="E621" s="37" t="s">
        <v>115</v>
      </c>
      <c r="F621" s="38" t="s">
        <v>114</v>
      </c>
    </row>
    <row r="622" spans="1:6" ht="13.5">
      <c r="A622" s="35">
        <v>25799</v>
      </c>
      <c r="B622" s="37" t="s">
        <v>798</v>
      </c>
      <c r="C622" s="37" t="s">
        <v>184</v>
      </c>
      <c r="D622" s="37" t="s">
        <v>182</v>
      </c>
      <c r="E622" s="37" t="s">
        <v>115</v>
      </c>
      <c r="F622" s="38" t="s">
        <v>114</v>
      </c>
    </row>
    <row r="623" spans="1:6" ht="13.5">
      <c r="A623" s="35">
        <v>25805</v>
      </c>
      <c r="B623" s="37" t="s">
        <v>799</v>
      </c>
      <c r="C623" s="37" t="s">
        <v>184</v>
      </c>
      <c r="D623" s="37" t="s">
        <v>182</v>
      </c>
      <c r="E623" s="37" t="s">
        <v>115</v>
      </c>
      <c r="F623" s="38" t="s">
        <v>114</v>
      </c>
    </row>
    <row r="624" spans="1:6" ht="13.5">
      <c r="A624" s="35">
        <v>25807</v>
      </c>
      <c r="B624" s="37" t="s">
        <v>800</v>
      </c>
      <c r="C624" s="37" t="s">
        <v>184</v>
      </c>
      <c r="D624" s="37" t="s">
        <v>182</v>
      </c>
      <c r="E624" s="37" t="s">
        <v>115</v>
      </c>
      <c r="F624" s="38" t="s">
        <v>212</v>
      </c>
    </row>
    <row r="625" spans="1:6" ht="13.5">
      <c r="A625" s="35">
        <v>25815</v>
      </c>
      <c r="B625" s="37" t="s">
        <v>801</v>
      </c>
      <c r="C625" s="37" t="s">
        <v>184</v>
      </c>
      <c r="D625" s="37" t="s">
        <v>182</v>
      </c>
      <c r="E625" s="37" t="s">
        <v>115</v>
      </c>
      <c r="F625" s="38" t="s">
        <v>212</v>
      </c>
    </row>
    <row r="626" spans="1:6" ht="13.5">
      <c r="A626" s="35">
        <v>25817</v>
      </c>
      <c r="B626" s="37" t="s">
        <v>802</v>
      </c>
      <c r="C626" s="37" t="s">
        <v>184</v>
      </c>
      <c r="D626" s="37" t="s">
        <v>182</v>
      </c>
      <c r="E626" s="37" t="s">
        <v>115</v>
      </c>
      <c r="F626" s="38" t="s">
        <v>114</v>
      </c>
    </row>
    <row r="627" spans="1:6" ht="13.5">
      <c r="A627" s="35">
        <v>25823</v>
      </c>
      <c r="B627" s="37" t="s">
        <v>803</v>
      </c>
      <c r="C627" s="37" t="s">
        <v>184</v>
      </c>
      <c r="D627" s="37" t="s">
        <v>182</v>
      </c>
      <c r="E627" s="37" t="s">
        <v>115</v>
      </c>
      <c r="F627" s="38" t="s">
        <v>212</v>
      </c>
    </row>
    <row r="628" spans="1:6" ht="13.5">
      <c r="A628" s="35">
        <v>25839</v>
      </c>
      <c r="B628" s="37" t="s">
        <v>804</v>
      </c>
      <c r="C628" s="37" t="s">
        <v>184</v>
      </c>
      <c r="D628" s="37" t="s">
        <v>182</v>
      </c>
      <c r="E628" s="37" t="s">
        <v>115</v>
      </c>
      <c r="F628" s="38" t="s">
        <v>212</v>
      </c>
    </row>
    <row r="629" spans="1:6" ht="13.5">
      <c r="A629" s="35">
        <v>25841</v>
      </c>
      <c r="B629" s="37" t="s">
        <v>805</v>
      </c>
      <c r="C629" s="37" t="s">
        <v>184</v>
      </c>
      <c r="D629" s="37" t="s">
        <v>182</v>
      </c>
      <c r="E629" s="37" t="s">
        <v>115</v>
      </c>
      <c r="F629" s="38" t="s">
        <v>114</v>
      </c>
    </row>
    <row r="630" spans="1:6" ht="13.5">
      <c r="A630" s="35">
        <v>25845</v>
      </c>
      <c r="B630" s="37" t="s">
        <v>806</v>
      </c>
      <c r="C630" s="37" t="s">
        <v>184</v>
      </c>
      <c r="D630" s="37" t="s">
        <v>182</v>
      </c>
      <c r="E630" s="37" t="s">
        <v>115</v>
      </c>
      <c r="F630" s="38" t="s">
        <v>114</v>
      </c>
    </row>
    <row r="631" spans="1:6" ht="13.5">
      <c r="A631" s="35">
        <v>25851</v>
      </c>
      <c r="B631" s="37" t="s">
        <v>807</v>
      </c>
      <c r="C631" s="37" t="s">
        <v>184</v>
      </c>
      <c r="D631" s="37" t="s">
        <v>182</v>
      </c>
      <c r="E631" s="37" t="s">
        <v>115</v>
      </c>
      <c r="F631" s="38" t="s">
        <v>212</v>
      </c>
    </row>
    <row r="632" spans="1:6" ht="13.5">
      <c r="A632" s="35">
        <v>25862</v>
      </c>
      <c r="B632" s="37" t="s">
        <v>808</v>
      </c>
      <c r="C632" s="37" t="s">
        <v>184</v>
      </c>
      <c r="D632" s="37" t="s">
        <v>182</v>
      </c>
      <c r="E632" s="37" t="s">
        <v>115</v>
      </c>
      <c r="F632" s="38" t="s">
        <v>212</v>
      </c>
    </row>
    <row r="633" spans="1:6" ht="13.5">
      <c r="A633" s="35">
        <v>25867</v>
      </c>
      <c r="B633" s="37" t="s">
        <v>809</v>
      </c>
      <c r="C633" s="37" t="s">
        <v>184</v>
      </c>
      <c r="D633" s="37" t="s">
        <v>182</v>
      </c>
      <c r="E633" s="37" t="s">
        <v>115</v>
      </c>
      <c r="F633" s="38" t="s">
        <v>212</v>
      </c>
    </row>
    <row r="634" spans="1:6" ht="13.5">
      <c r="A634" s="35">
        <v>25843</v>
      </c>
      <c r="B634" s="37" t="s">
        <v>810</v>
      </c>
      <c r="C634" s="37" t="s">
        <v>184</v>
      </c>
      <c r="D634" s="37" t="s">
        <v>182</v>
      </c>
      <c r="E634" s="37" t="s">
        <v>115</v>
      </c>
      <c r="F634" s="38" t="s">
        <v>114</v>
      </c>
    </row>
    <row r="635" spans="1:6" ht="13.5">
      <c r="A635" s="35">
        <v>25871</v>
      </c>
      <c r="B635" s="37" t="s">
        <v>811</v>
      </c>
      <c r="C635" s="37" t="s">
        <v>184</v>
      </c>
      <c r="D635" s="37" t="s">
        <v>182</v>
      </c>
      <c r="E635" s="37" t="s">
        <v>115</v>
      </c>
      <c r="F635" s="38" t="s">
        <v>212</v>
      </c>
    </row>
    <row r="636" spans="1:6" ht="13.5">
      <c r="A636" s="35">
        <v>25873</v>
      </c>
      <c r="B636" s="37" t="s">
        <v>812</v>
      </c>
      <c r="C636" s="37" t="s">
        <v>184</v>
      </c>
      <c r="D636" s="37" t="s">
        <v>131</v>
      </c>
      <c r="E636" s="37" t="s">
        <v>115</v>
      </c>
      <c r="F636" s="38" t="s">
        <v>114</v>
      </c>
    </row>
    <row r="637" spans="1:6" ht="13.5">
      <c r="A637" s="35">
        <v>25875</v>
      </c>
      <c r="B637" s="37" t="s">
        <v>813</v>
      </c>
      <c r="C637" s="37" t="s">
        <v>184</v>
      </c>
      <c r="D637" s="37" t="s">
        <v>182</v>
      </c>
      <c r="E637" s="37" t="s">
        <v>115</v>
      </c>
      <c r="F637" s="38" t="s">
        <v>114</v>
      </c>
    </row>
    <row r="638" spans="1:6" ht="13.5">
      <c r="A638" s="35">
        <v>25878</v>
      </c>
      <c r="B638" s="37" t="s">
        <v>814</v>
      </c>
      <c r="C638" s="37" t="s">
        <v>184</v>
      </c>
      <c r="D638" s="37" t="s">
        <v>182</v>
      </c>
      <c r="E638" s="37" t="s">
        <v>115</v>
      </c>
      <c r="F638" s="38" t="s">
        <v>212</v>
      </c>
    </row>
    <row r="639" spans="1:6" ht="13.5">
      <c r="A639" s="35">
        <v>25885</v>
      </c>
      <c r="B639" s="37" t="s">
        <v>815</v>
      </c>
      <c r="C639" s="37" t="s">
        <v>184</v>
      </c>
      <c r="D639" s="37" t="s">
        <v>182</v>
      </c>
      <c r="E639" s="37" t="s">
        <v>115</v>
      </c>
      <c r="F639" s="38" t="s">
        <v>172</v>
      </c>
    </row>
    <row r="640" spans="1:6" ht="13.5">
      <c r="A640" s="35">
        <v>25898</v>
      </c>
      <c r="B640" s="37" t="s">
        <v>816</v>
      </c>
      <c r="C640" s="37" t="s">
        <v>184</v>
      </c>
      <c r="D640" s="37" t="s">
        <v>182</v>
      </c>
      <c r="E640" s="37" t="s">
        <v>115</v>
      </c>
      <c r="F640" s="38" t="s">
        <v>114</v>
      </c>
    </row>
    <row r="641" spans="1:6" ht="13.5">
      <c r="A641" s="35">
        <v>25899</v>
      </c>
      <c r="B641" s="37" t="s">
        <v>817</v>
      </c>
      <c r="C641" s="37" t="s">
        <v>184</v>
      </c>
      <c r="D641" s="37" t="s">
        <v>182</v>
      </c>
      <c r="E641" s="37" t="s">
        <v>115</v>
      </c>
      <c r="F641" s="38" t="s">
        <v>114</v>
      </c>
    </row>
    <row r="642" spans="1:6" ht="13.5">
      <c r="A642" s="35">
        <v>94884</v>
      </c>
      <c r="B642" s="36" t="s">
        <v>341</v>
      </c>
      <c r="C642" s="37" t="s">
        <v>818</v>
      </c>
      <c r="D642" s="37" t="s">
        <v>174</v>
      </c>
      <c r="E642" s="37" t="s">
        <v>197</v>
      </c>
      <c r="F642" s="38" t="s">
        <v>128</v>
      </c>
    </row>
    <row r="643" spans="1:6" ht="13.5">
      <c r="A643" s="35">
        <v>94343</v>
      </c>
      <c r="B643" s="37" t="s">
        <v>819</v>
      </c>
      <c r="C643" s="37" t="s">
        <v>818</v>
      </c>
      <c r="D643" s="37" t="s">
        <v>174</v>
      </c>
      <c r="E643" s="37" t="s">
        <v>197</v>
      </c>
      <c r="F643" s="38" t="s">
        <v>128</v>
      </c>
    </row>
    <row r="644" spans="1:6" ht="13.5">
      <c r="A644" s="35">
        <v>94886</v>
      </c>
      <c r="B644" s="37" t="s">
        <v>820</v>
      </c>
      <c r="C644" s="37" t="s">
        <v>818</v>
      </c>
      <c r="D644" s="37" t="s">
        <v>174</v>
      </c>
      <c r="E644" s="37" t="s">
        <v>197</v>
      </c>
      <c r="F644" s="38" t="s">
        <v>128</v>
      </c>
    </row>
    <row r="645" spans="1:6" ht="13.5">
      <c r="A645" s="35">
        <v>94001</v>
      </c>
      <c r="B645" s="37" t="s">
        <v>821</v>
      </c>
      <c r="C645" s="37" t="s">
        <v>818</v>
      </c>
      <c r="D645" s="37" t="s">
        <v>182</v>
      </c>
      <c r="E645" s="37" t="s">
        <v>197</v>
      </c>
      <c r="F645" s="38" t="s">
        <v>128</v>
      </c>
    </row>
    <row r="646" spans="1:6" ht="13.5">
      <c r="A646" s="35">
        <v>94885</v>
      </c>
      <c r="B646" s="37" t="s">
        <v>822</v>
      </c>
      <c r="C646" s="37" t="s">
        <v>818</v>
      </c>
      <c r="D646" s="37" t="s">
        <v>174</v>
      </c>
      <c r="E646" s="37" t="s">
        <v>197</v>
      </c>
      <c r="F646" s="38" t="s">
        <v>128</v>
      </c>
    </row>
    <row r="647" spans="1:6" ht="13.5">
      <c r="A647" s="35">
        <v>94663</v>
      </c>
      <c r="B647" s="37" t="s">
        <v>823</v>
      </c>
      <c r="C647" s="37" t="s">
        <v>818</v>
      </c>
      <c r="D647" s="37" t="s">
        <v>174</v>
      </c>
      <c r="E647" s="37" t="s">
        <v>197</v>
      </c>
      <c r="F647" s="38" t="s">
        <v>128</v>
      </c>
    </row>
    <row r="648" spans="1:6" ht="13.5">
      <c r="A648" s="35">
        <v>94888</v>
      </c>
      <c r="B648" s="37" t="s">
        <v>824</v>
      </c>
      <c r="C648" s="37" t="s">
        <v>818</v>
      </c>
      <c r="D648" s="37" t="s">
        <v>174</v>
      </c>
      <c r="E648" s="37" t="s">
        <v>197</v>
      </c>
      <c r="F648" s="38" t="s">
        <v>128</v>
      </c>
    </row>
    <row r="649" spans="1:6" ht="13.5">
      <c r="A649" s="35">
        <v>94887</v>
      </c>
      <c r="B649" s="37" t="s">
        <v>825</v>
      </c>
      <c r="C649" s="37" t="s">
        <v>818</v>
      </c>
      <c r="D649" s="37" t="s">
        <v>174</v>
      </c>
      <c r="E649" s="37" t="s">
        <v>197</v>
      </c>
      <c r="F649" s="38" t="s">
        <v>128</v>
      </c>
    </row>
    <row r="650" spans="1:6" ht="13.5">
      <c r="A650" s="35">
        <v>94883</v>
      </c>
      <c r="B650" s="37" t="s">
        <v>826</v>
      </c>
      <c r="C650" s="37" t="s">
        <v>818</v>
      </c>
      <c r="D650" s="37" t="s">
        <v>174</v>
      </c>
      <c r="E650" s="37" t="s">
        <v>197</v>
      </c>
      <c r="F650" s="38" t="s">
        <v>128</v>
      </c>
    </row>
    <row r="651" spans="1:6" ht="13.5">
      <c r="A651" s="35">
        <v>95015</v>
      </c>
      <c r="B651" s="36" t="s">
        <v>361</v>
      </c>
      <c r="C651" s="37" t="s">
        <v>827</v>
      </c>
      <c r="D651" s="37" t="s">
        <v>174</v>
      </c>
      <c r="E651" s="37" t="s">
        <v>197</v>
      </c>
      <c r="F651" s="38" t="s">
        <v>128</v>
      </c>
    </row>
    <row r="652" spans="1:6" ht="13.5">
      <c r="A652" s="35">
        <v>95200</v>
      </c>
      <c r="B652" s="36" t="s">
        <v>413</v>
      </c>
      <c r="C652" s="37" t="s">
        <v>827</v>
      </c>
      <c r="D652" s="37" t="s">
        <v>174</v>
      </c>
      <c r="E652" s="37" t="s">
        <v>197</v>
      </c>
      <c r="F652" s="38" t="s">
        <v>128</v>
      </c>
    </row>
    <row r="653" spans="1:6" ht="13.5">
      <c r="A653" s="35">
        <v>95025</v>
      </c>
      <c r="B653" s="37" t="s">
        <v>828</v>
      </c>
      <c r="C653" s="37" t="s">
        <v>827</v>
      </c>
      <c r="D653" s="37" t="s">
        <v>174</v>
      </c>
      <c r="E653" s="37" t="s">
        <v>115</v>
      </c>
      <c r="F653" s="38" t="s">
        <v>172</v>
      </c>
    </row>
    <row r="654" spans="1:6" ht="13.5">
      <c r="A654" s="35">
        <v>95001</v>
      </c>
      <c r="B654" s="37" t="s">
        <v>829</v>
      </c>
      <c r="C654" s="37" t="s">
        <v>827</v>
      </c>
      <c r="D654" s="37" t="s">
        <v>174</v>
      </c>
      <c r="E654" s="37" t="s">
        <v>115</v>
      </c>
      <c r="F654" s="38" t="s">
        <v>172</v>
      </c>
    </row>
    <row r="655" spans="1:6" ht="13.5">
      <c r="A655" s="35">
        <v>41319</v>
      </c>
      <c r="B655" s="36" t="s">
        <v>218</v>
      </c>
      <c r="C655" s="37" t="s">
        <v>830</v>
      </c>
      <c r="D655" s="37" t="s">
        <v>117</v>
      </c>
      <c r="E655" s="37" t="s">
        <v>115</v>
      </c>
      <c r="F655" s="38" t="s">
        <v>212</v>
      </c>
    </row>
    <row r="656" spans="1:6" ht="13.5">
      <c r="A656" s="35">
        <v>41530</v>
      </c>
      <c r="B656" s="36" t="s">
        <v>528</v>
      </c>
      <c r="C656" s="37" t="s">
        <v>830</v>
      </c>
      <c r="D656" s="37" t="s">
        <v>117</v>
      </c>
      <c r="E656" s="37" t="s">
        <v>115</v>
      </c>
      <c r="F656" s="38" t="s">
        <v>172</v>
      </c>
    </row>
    <row r="657" spans="1:6" ht="13.5">
      <c r="A657" s="35">
        <v>41676</v>
      </c>
      <c r="B657" s="36" t="s">
        <v>415</v>
      </c>
      <c r="C657" s="37" t="s">
        <v>830</v>
      </c>
      <c r="D657" s="37" t="s">
        <v>117</v>
      </c>
      <c r="E657" s="37" t="s">
        <v>115</v>
      </c>
      <c r="F657" s="38" t="s">
        <v>212</v>
      </c>
    </row>
    <row r="658" spans="1:6" ht="13.5">
      <c r="A658" s="35">
        <v>41006</v>
      </c>
      <c r="B658" s="37" t="s">
        <v>831</v>
      </c>
      <c r="C658" s="37" t="s">
        <v>830</v>
      </c>
      <c r="D658" s="37" t="s">
        <v>117</v>
      </c>
      <c r="E658" s="37" t="s">
        <v>115</v>
      </c>
      <c r="F658" s="38" t="s">
        <v>212</v>
      </c>
    </row>
    <row r="659" spans="1:6" ht="13.5">
      <c r="A659" s="35">
        <v>41013</v>
      </c>
      <c r="B659" s="37" t="s">
        <v>832</v>
      </c>
      <c r="C659" s="37" t="s">
        <v>830</v>
      </c>
      <c r="D659" s="37" t="s">
        <v>117</v>
      </c>
      <c r="E659" s="37" t="s">
        <v>115</v>
      </c>
      <c r="F659" s="38" t="s">
        <v>212</v>
      </c>
    </row>
    <row r="660" spans="1:6" ht="13.5">
      <c r="A660" s="35">
        <v>41016</v>
      </c>
      <c r="B660" s="37" t="s">
        <v>833</v>
      </c>
      <c r="C660" s="37" t="s">
        <v>830</v>
      </c>
      <c r="D660" s="37" t="s">
        <v>117</v>
      </c>
      <c r="E660" s="37" t="s">
        <v>115</v>
      </c>
      <c r="F660" s="38" t="s">
        <v>114</v>
      </c>
    </row>
    <row r="661" spans="1:6" ht="13.5">
      <c r="A661" s="35">
        <v>41020</v>
      </c>
      <c r="B661" s="37" t="s">
        <v>834</v>
      </c>
      <c r="C661" s="37" t="s">
        <v>830</v>
      </c>
      <c r="D661" s="37" t="s">
        <v>117</v>
      </c>
      <c r="E661" s="37" t="s">
        <v>115</v>
      </c>
      <c r="F661" s="38" t="s">
        <v>114</v>
      </c>
    </row>
    <row r="662" spans="1:6" ht="13.5">
      <c r="A662" s="35">
        <v>41026</v>
      </c>
      <c r="B662" s="37" t="s">
        <v>835</v>
      </c>
      <c r="C662" s="37" t="s">
        <v>830</v>
      </c>
      <c r="D662" s="37" t="s">
        <v>117</v>
      </c>
      <c r="E662" s="37" t="s">
        <v>115</v>
      </c>
      <c r="F662" s="38" t="s">
        <v>212</v>
      </c>
    </row>
    <row r="663" spans="1:6" ht="13.5">
      <c r="A663" s="35">
        <v>41078</v>
      </c>
      <c r="B663" s="37" t="s">
        <v>836</v>
      </c>
      <c r="C663" s="37" t="s">
        <v>830</v>
      </c>
      <c r="D663" s="37" t="s">
        <v>117</v>
      </c>
      <c r="E663" s="37" t="s">
        <v>115</v>
      </c>
      <c r="F663" s="38" t="s">
        <v>114</v>
      </c>
    </row>
    <row r="664" spans="1:6" ht="13.5">
      <c r="A664" s="35">
        <v>41132</v>
      </c>
      <c r="B664" s="37" t="s">
        <v>837</v>
      </c>
      <c r="C664" s="37" t="s">
        <v>830</v>
      </c>
      <c r="D664" s="37" t="s">
        <v>117</v>
      </c>
      <c r="E664" s="37" t="s">
        <v>115</v>
      </c>
      <c r="F664" s="38" t="s">
        <v>114</v>
      </c>
    </row>
    <row r="665" spans="1:6" ht="13.5">
      <c r="A665" s="35">
        <v>41206</v>
      </c>
      <c r="B665" s="37" t="s">
        <v>838</v>
      </c>
      <c r="C665" s="37" t="s">
        <v>830</v>
      </c>
      <c r="D665" s="37" t="s">
        <v>117</v>
      </c>
      <c r="E665" s="37" t="s">
        <v>115</v>
      </c>
      <c r="F665" s="38" t="s">
        <v>212</v>
      </c>
    </row>
    <row r="666" spans="1:6" ht="13.5">
      <c r="A666" s="35">
        <v>41244</v>
      </c>
      <c r="B666" s="37" t="s">
        <v>839</v>
      </c>
      <c r="C666" s="37" t="s">
        <v>830</v>
      </c>
      <c r="D666" s="37" t="s">
        <v>117</v>
      </c>
      <c r="E666" s="37" t="s">
        <v>115</v>
      </c>
      <c r="F666" s="38" t="s">
        <v>212</v>
      </c>
    </row>
    <row r="667" spans="1:6" ht="13.5">
      <c r="A667" s="35">
        <v>41298</v>
      </c>
      <c r="B667" s="37" t="s">
        <v>840</v>
      </c>
      <c r="C667" s="37" t="s">
        <v>830</v>
      </c>
      <c r="D667" s="37" t="s">
        <v>117</v>
      </c>
      <c r="E667" s="37" t="s">
        <v>115</v>
      </c>
      <c r="F667" s="38" t="s">
        <v>212</v>
      </c>
    </row>
    <row r="668" spans="1:6" ht="13.5">
      <c r="A668" s="35">
        <v>41306</v>
      </c>
      <c r="B668" s="37" t="s">
        <v>841</v>
      </c>
      <c r="C668" s="37" t="s">
        <v>830</v>
      </c>
      <c r="D668" s="37" t="s">
        <v>117</v>
      </c>
      <c r="E668" s="37" t="s">
        <v>115</v>
      </c>
      <c r="F668" s="38" t="s">
        <v>114</v>
      </c>
    </row>
    <row r="669" spans="1:6" ht="13.5">
      <c r="A669" s="35">
        <v>41349</v>
      </c>
      <c r="B669" s="37" t="s">
        <v>842</v>
      </c>
      <c r="C669" s="37" t="s">
        <v>830</v>
      </c>
      <c r="D669" s="37" t="s">
        <v>117</v>
      </c>
      <c r="E669" s="37" t="s">
        <v>115</v>
      </c>
      <c r="F669" s="38" t="s">
        <v>114</v>
      </c>
    </row>
    <row r="670" spans="1:6" ht="13.5">
      <c r="A670" s="35">
        <v>41357</v>
      </c>
      <c r="B670" s="37" t="s">
        <v>843</v>
      </c>
      <c r="C670" s="37" t="s">
        <v>830</v>
      </c>
      <c r="D670" s="37" t="s">
        <v>117</v>
      </c>
      <c r="E670" s="37" t="s">
        <v>115</v>
      </c>
      <c r="F670" s="38" t="s">
        <v>114</v>
      </c>
    </row>
    <row r="671" spans="1:6" ht="13.5">
      <c r="A671" s="35">
        <v>41359</v>
      </c>
      <c r="B671" s="37" t="s">
        <v>844</v>
      </c>
      <c r="C671" s="37" t="s">
        <v>830</v>
      </c>
      <c r="D671" s="37" t="s">
        <v>117</v>
      </c>
      <c r="E671" s="37" t="s">
        <v>115</v>
      </c>
      <c r="F671" s="38" t="s">
        <v>172</v>
      </c>
    </row>
    <row r="672" spans="1:6" ht="13.5">
      <c r="A672" s="35">
        <v>41378</v>
      </c>
      <c r="B672" s="37" t="s">
        <v>845</v>
      </c>
      <c r="C672" s="37" t="s">
        <v>830</v>
      </c>
      <c r="D672" s="37" t="s">
        <v>117</v>
      </c>
      <c r="E672" s="37" t="s">
        <v>115</v>
      </c>
      <c r="F672" s="38" t="s">
        <v>212</v>
      </c>
    </row>
    <row r="673" spans="1:6" ht="13.5">
      <c r="A673" s="35">
        <v>41396</v>
      </c>
      <c r="B673" s="37" t="s">
        <v>846</v>
      </c>
      <c r="C673" s="37" t="s">
        <v>830</v>
      </c>
      <c r="D673" s="37" t="s">
        <v>117</v>
      </c>
      <c r="E673" s="37" t="s">
        <v>115</v>
      </c>
      <c r="F673" s="38" t="s">
        <v>212</v>
      </c>
    </row>
    <row r="674" spans="1:6" ht="13.5">
      <c r="A674" s="35">
        <v>41483</v>
      </c>
      <c r="B674" s="37" t="s">
        <v>847</v>
      </c>
      <c r="C674" s="37" t="s">
        <v>830</v>
      </c>
      <c r="D674" s="37" t="s">
        <v>117</v>
      </c>
      <c r="E674" s="37" t="s">
        <v>115</v>
      </c>
      <c r="F674" s="38" t="s">
        <v>212</v>
      </c>
    </row>
    <row r="675" spans="1:6" ht="13.5">
      <c r="A675" s="35">
        <v>41001</v>
      </c>
      <c r="B675" s="37" t="s">
        <v>117</v>
      </c>
      <c r="C675" s="37" t="s">
        <v>830</v>
      </c>
      <c r="D675" s="37" t="s">
        <v>117</v>
      </c>
      <c r="E675" s="37" t="s">
        <v>115</v>
      </c>
      <c r="F675" s="38" t="s">
        <v>138</v>
      </c>
    </row>
    <row r="676" spans="1:6" ht="13.5">
      <c r="A676" s="35">
        <v>41503</v>
      </c>
      <c r="B676" s="37" t="s">
        <v>848</v>
      </c>
      <c r="C676" s="37" t="s">
        <v>830</v>
      </c>
      <c r="D676" s="37" t="s">
        <v>117</v>
      </c>
      <c r="E676" s="37" t="s">
        <v>115</v>
      </c>
      <c r="F676" s="38" t="s">
        <v>172</v>
      </c>
    </row>
    <row r="677" spans="1:6" ht="13.5">
      <c r="A677" s="35">
        <v>41518</v>
      </c>
      <c r="B677" s="37" t="s">
        <v>849</v>
      </c>
      <c r="C677" s="37" t="s">
        <v>830</v>
      </c>
      <c r="D677" s="37" t="s">
        <v>117</v>
      </c>
      <c r="E677" s="37" t="s">
        <v>115</v>
      </c>
      <c r="F677" s="38" t="s">
        <v>114</v>
      </c>
    </row>
    <row r="678" spans="1:6" ht="13.5">
      <c r="A678" s="35">
        <v>41524</v>
      </c>
      <c r="B678" s="37" t="s">
        <v>850</v>
      </c>
      <c r="C678" s="37" t="s">
        <v>830</v>
      </c>
      <c r="D678" s="37" t="s">
        <v>117</v>
      </c>
      <c r="E678" s="37" t="s">
        <v>115</v>
      </c>
      <c r="F678" s="38" t="s">
        <v>138</v>
      </c>
    </row>
    <row r="679" spans="1:6" ht="13.5">
      <c r="A679" s="35">
        <v>41548</v>
      </c>
      <c r="B679" s="37" t="s">
        <v>851</v>
      </c>
      <c r="C679" s="37" t="s">
        <v>830</v>
      </c>
      <c r="D679" s="37" t="s">
        <v>117</v>
      </c>
      <c r="E679" s="37" t="s">
        <v>115</v>
      </c>
      <c r="F679" s="38" t="s">
        <v>212</v>
      </c>
    </row>
    <row r="680" spans="1:6" ht="13.5">
      <c r="A680" s="35">
        <v>41551</v>
      </c>
      <c r="B680" s="37" t="s">
        <v>852</v>
      </c>
      <c r="C680" s="37" t="s">
        <v>830</v>
      </c>
      <c r="D680" s="37" t="s">
        <v>117</v>
      </c>
      <c r="E680" s="37" t="s">
        <v>115</v>
      </c>
      <c r="F680" s="38" t="s">
        <v>212</v>
      </c>
    </row>
    <row r="681" spans="1:6" ht="13.5">
      <c r="A681" s="35">
        <v>41615</v>
      </c>
      <c r="B681" s="37" t="s">
        <v>853</v>
      </c>
      <c r="C681" s="37" t="s">
        <v>830</v>
      </c>
      <c r="D681" s="37" t="s">
        <v>117</v>
      </c>
      <c r="E681" s="37" t="s">
        <v>115</v>
      </c>
      <c r="F681" s="38" t="s">
        <v>138</v>
      </c>
    </row>
    <row r="682" spans="1:6" ht="13.5">
      <c r="A682" s="35">
        <v>41660</v>
      </c>
      <c r="B682" s="37" t="s">
        <v>854</v>
      </c>
      <c r="C682" s="37" t="s">
        <v>830</v>
      </c>
      <c r="D682" s="37" t="s">
        <v>117</v>
      </c>
      <c r="E682" s="37" t="s">
        <v>115</v>
      </c>
      <c r="F682" s="38" t="s">
        <v>172</v>
      </c>
    </row>
    <row r="683" spans="1:6" ht="13.5">
      <c r="A683" s="35">
        <v>41668</v>
      </c>
      <c r="B683" s="37" t="s">
        <v>855</v>
      </c>
      <c r="C683" s="37" t="s">
        <v>830</v>
      </c>
      <c r="D683" s="37" t="s">
        <v>117</v>
      </c>
      <c r="E683" s="37" t="s">
        <v>115</v>
      </c>
      <c r="F683" s="38" t="s">
        <v>172</v>
      </c>
    </row>
    <row r="684" spans="1:6" ht="13.5">
      <c r="A684" s="35">
        <v>41770</v>
      </c>
      <c r="B684" s="37" t="s">
        <v>856</v>
      </c>
      <c r="C684" s="37" t="s">
        <v>830</v>
      </c>
      <c r="D684" s="37" t="s">
        <v>117</v>
      </c>
      <c r="E684" s="37" t="s">
        <v>115</v>
      </c>
      <c r="F684" s="38" t="s">
        <v>212</v>
      </c>
    </row>
    <row r="685" spans="1:6" ht="13.5">
      <c r="A685" s="35">
        <v>41791</v>
      </c>
      <c r="B685" s="37" t="s">
        <v>857</v>
      </c>
      <c r="C685" s="37" t="s">
        <v>830</v>
      </c>
      <c r="D685" s="37" t="s">
        <v>117</v>
      </c>
      <c r="E685" s="37" t="s">
        <v>115</v>
      </c>
      <c r="F685" s="38" t="s">
        <v>212</v>
      </c>
    </row>
    <row r="686" spans="1:6" ht="13.5">
      <c r="A686" s="35">
        <v>41799</v>
      </c>
      <c r="B686" s="37" t="s">
        <v>858</v>
      </c>
      <c r="C686" s="37" t="s">
        <v>830</v>
      </c>
      <c r="D686" s="37" t="s">
        <v>117</v>
      </c>
      <c r="E686" s="37" t="s">
        <v>115</v>
      </c>
      <c r="F686" s="38" t="s">
        <v>114</v>
      </c>
    </row>
    <row r="687" spans="1:6" ht="13.5">
      <c r="A687" s="35">
        <v>41801</v>
      </c>
      <c r="B687" s="37" t="s">
        <v>859</v>
      </c>
      <c r="C687" s="37" t="s">
        <v>830</v>
      </c>
      <c r="D687" s="37" t="s">
        <v>117</v>
      </c>
      <c r="E687" s="37" t="s">
        <v>115</v>
      </c>
      <c r="F687" s="38" t="s">
        <v>114</v>
      </c>
    </row>
    <row r="688" spans="1:6" ht="13.5">
      <c r="A688" s="35">
        <v>41797</v>
      </c>
      <c r="B688" s="37" t="s">
        <v>860</v>
      </c>
      <c r="C688" s="37" t="s">
        <v>830</v>
      </c>
      <c r="D688" s="37" t="s">
        <v>117</v>
      </c>
      <c r="E688" s="37" t="s">
        <v>115</v>
      </c>
      <c r="F688" s="38" t="s">
        <v>114</v>
      </c>
    </row>
    <row r="689" spans="1:6" ht="13.5">
      <c r="A689" s="35">
        <v>41807</v>
      </c>
      <c r="B689" s="37" t="s">
        <v>861</v>
      </c>
      <c r="C689" s="37" t="s">
        <v>830</v>
      </c>
      <c r="D689" s="37" t="s">
        <v>117</v>
      </c>
      <c r="E689" s="37" t="s">
        <v>115</v>
      </c>
      <c r="F689" s="38" t="s">
        <v>212</v>
      </c>
    </row>
    <row r="690" spans="1:6" ht="13.5">
      <c r="A690" s="35">
        <v>41872</v>
      </c>
      <c r="B690" s="37" t="s">
        <v>862</v>
      </c>
      <c r="C690" s="37" t="s">
        <v>830</v>
      </c>
      <c r="D690" s="37" t="s">
        <v>117</v>
      </c>
      <c r="E690" s="37" t="s">
        <v>115</v>
      </c>
      <c r="F690" s="38" t="s">
        <v>114</v>
      </c>
    </row>
    <row r="691" spans="1:6" ht="13.5">
      <c r="A691" s="35">
        <v>41885</v>
      </c>
      <c r="B691" s="37" t="s">
        <v>863</v>
      </c>
      <c r="C691" s="37" t="s">
        <v>830</v>
      </c>
      <c r="D691" s="37" t="s">
        <v>117</v>
      </c>
      <c r="E691" s="37" t="s">
        <v>115</v>
      </c>
      <c r="F691" s="38" t="s">
        <v>114</v>
      </c>
    </row>
    <row r="692" spans="1:6" ht="13.5">
      <c r="A692" s="35">
        <v>44035</v>
      </c>
      <c r="B692" s="36" t="s">
        <v>557</v>
      </c>
      <c r="C692" s="37" t="s">
        <v>864</v>
      </c>
      <c r="D692" s="37" t="s">
        <v>366</v>
      </c>
      <c r="E692" s="37" t="s">
        <v>115</v>
      </c>
      <c r="F692" s="38" t="s">
        <v>212</v>
      </c>
    </row>
    <row r="693" spans="1:6" ht="13.5">
      <c r="A693" s="35">
        <v>44560</v>
      </c>
      <c r="B693" s="36" t="s">
        <v>628</v>
      </c>
      <c r="C693" s="37" t="s">
        <v>864</v>
      </c>
      <c r="D693" s="37" t="s">
        <v>865</v>
      </c>
      <c r="E693" s="37" t="s">
        <v>115</v>
      </c>
      <c r="F693" s="38" t="s">
        <v>172</v>
      </c>
    </row>
    <row r="694" spans="1:6" ht="13.5">
      <c r="A694" s="35">
        <v>44874</v>
      </c>
      <c r="B694" s="36" t="s">
        <v>371</v>
      </c>
      <c r="C694" s="37" t="s">
        <v>864</v>
      </c>
      <c r="D694" s="37" t="s">
        <v>366</v>
      </c>
      <c r="E694" s="37" t="s">
        <v>115</v>
      </c>
      <c r="F694" s="38" t="s">
        <v>114</v>
      </c>
    </row>
    <row r="695" spans="1:6" ht="13.5">
      <c r="A695" s="35">
        <v>44078</v>
      </c>
      <c r="B695" s="37" t="s">
        <v>866</v>
      </c>
      <c r="C695" s="37" t="s">
        <v>864</v>
      </c>
      <c r="D695" s="37" t="s">
        <v>366</v>
      </c>
      <c r="E695" s="37" t="s">
        <v>115</v>
      </c>
      <c r="F695" s="38" t="s">
        <v>114</v>
      </c>
    </row>
    <row r="696" spans="1:6" ht="13.5">
      <c r="A696" s="35">
        <v>44090</v>
      </c>
      <c r="B696" s="37" t="s">
        <v>867</v>
      </c>
      <c r="C696" s="37" t="s">
        <v>864</v>
      </c>
      <c r="D696" s="37" t="s">
        <v>865</v>
      </c>
      <c r="E696" s="37" t="s">
        <v>115</v>
      </c>
      <c r="F696" s="38" t="s">
        <v>212</v>
      </c>
    </row>
    <row r="697" spans="1:6" ht="13.5">
      <c r="A697" s="35">
        <v>44098</v>
      </c>
      <c r="B697" s="37" t="s">
        <v>868</v>
      </c>
      <c r="C697" s="37" t="s">
        <v>864</v>
      </c>
      <c r="D697" s="37" t="s">
        <v>366</v>
      </c>
      <c r="E697" s="37" t="s">
        <v>115</v>
      </c>
      <c r="F697" s="38" t="s">
        <v>114</v>
      </c>
    </row>
    <row r="698" spans="1:6" ht="13.5">
      <c r="A698" s="35">
        <v>44110</v>
      </c>
      <c r="B698" s="37" t="s">
        <v>869</v>
      </c>
      <c r="C698" s="37" t="s">
        <v>864</v>
      </c>
      <c r="D698" s="37" t="s">
        <v>366</v>
      </c>
      <c r="E698" s="37" t="s">
        <v>115</v>
      </c>
      <c r="F698" s="38" t="s">
        <v>114</v>
      </c>
    </row>
    <row r="699" spans="1:6" ht="13.5">
      <c r="A699" s="35">
        <v>44279</v>
      </c>
      <c r="B699" s="37" t="s">
        <v>870</v>
      </c>
      <c r="C699" s="37" t="s">
        <v>864</v>
      </c>
      <c r="D699" s="37" t="s">
        <v>366</v>
      </c>
      <c r="E699" s="37" t="s">
        <v>115</v>
      </c>
      <c r="F699" s="38" t="s">
        <v>114</v>
      </c>
    </row>
    <row r="700" spans="1:6" ht="13.5">
      <c r="A700" s="35">
        <v>44378</v>
      </c>
      <c r="B700" s="37" t="s">
        <v>871</v>
      </c>
      <c r="C700" s="37" t="s">
        <v>864</v>
      </c>
      <c r="D700" s="37" t="s">
        <v>366</v>
      </c>
      <c r="E700" s="37" t="s">
        <v>115</v>
      </c>
      <c r="F700" s="38" t="s">
        <v>212</v>
      </c>
    </row>
    <row r="701" spans="1:6" ht="13.5">
      <c r="A701" s="35">
        <v>44420</v>
      </c>
      <c r="B701" s="37" t="s">
        <v>872</v>
      </c>
      <c r="C701" s="37" t="s">
        <v>864</v>
      </c>
      <c r="D701" s="37" t="s">
        <v>366</v>
      </c>
      <c r="E701" s="37" t="s">
        <v>115</v>
      </c>
      <c r="F701" s="38" t="s">
        <v>114</v>
      </c>
    </row>
    <row r="702" spans="1:6" ht="13.5">
      <c r="A702" s="35">
        <v>44430</v>
      </c>
      <c r="B702" s="37" t="s">
        <v>873</v>
      </c>
      <c r="C702" s="37" t="s">
        <v>864</v>
      </c>
      <c r="D702" s="37" t="s">
        <v>865</v>
      </c>
      <c r="E702" s="37" t="s">
        <v>115</v>
      </c>
      <c r="F702" s="38" t="s">
        <v>172</v>
      </c>
    </row>
    <row r="703" spans="1:6" ht="13.5">
      <c r="A703" s="35">
        <v>44001</v>
      </c>
      <c r="B703" s="37" t="s">
        <v>874</v>
      </c>
      <c r="C703" s="37" t="s">
        <v>864</v>
      </c>
      <c r="D703" s="37" t="s">
        <v>865</v>
      </c>
      <c r="E703" s="37" t="s">
        <v>115</v>
      </c>
      <c r="F703" s="38" t="s">
        <v>212</v>
      </c>
    </row>
    <row r="704" spans="1:6" ht="13.5">
      <c r="A704" s="35">
        <v>44650</v>
      </c>
      <c r="B704" s="37" t="s">
        <v>875</v>
      </c>
      <c r="C704" s="37" t="s">
        <v>864</v>
      </c>
      <c r="D704" s="37" t="s">
        <v>366</v>
      </c>
      <c r="E704" s="37" t="s">
        <v>115</v>
      </c>
      <c r="F704" s="38" t="s">
        <v>114</v>
      </c>
    </row>
    <row r="705" spans="1:6" ht="13.5">
      <c r="A705" s="35">
        <v>44847</v>
      </c>
      <c r="B705" s="37" t="s">
        <v>876</v>
      </c>
      <c r="C705" s="37" t="s">
        <v>864</v>
      </c>
      <c r="D705" s="37" t="s">
        <v>865</v>
      </c>
      <c r="E705" s="37" t="s">
        <v>115</v>
      </c>
      <c r="F705" s="38" t="s">
        <v>172</v>
      </c>
    </row>
    <row r="706" spans="1:6" ht="13.5">
      <c r="A706" s="35">
        <v>44855</v>
      </c>
      <c r="B706" s="37" t="s">
        <v>877</v>
      </c>
      <c r="C706" s="37" t="s">
        <v>864</v>
      </c>
      <c r="D706" s="37" t="s">
        <v>366</v>
      </c>
      <c r="E706" s="37" t="s">
        <v>115</v>
      </c>
      <c r="F706" s="38" t="s">
        <v>114</v>
      </c>
    </row>
    <row r="707" spans="1:6" ht="13.5">
      <c r="A707" s="35">
        <v>47189</v>
      </c>
      <c r="B707" s="36" t="s">
        <v>412</v>
      </c>
      <c r="C707" s="37" t="s">
        <v>878</v>
      </c>
      <c r="D707" s="37" t="s">
        <v>865</v>
      </c>
      <c r="E707" s="37" t="s">
        <v>115</v>
      </c>
      <c r="F707" s="38" t="s">
        <v>114</v>
      </c>
    </row>
    <row r="708" spans="1:6" ht="13.5">
      <c r="A708" s="35">
        <v>47205</v>
      </c>
      <c r="B708" s="36" t="s">
        <v>216</v>
      </c>
      <c r="C708" s="37" t="s">
        <v>878</v>
      </c>
      <c r="D708" s="37" t="s">
        <v>340</v>
      </c>
      <c r="E708" s="37" t="s">
        <v>115</v>
      </c>
      <c r="F708" s="38" t="s">
        <v>212</v>
      </c>
    </row>
    <row r="709" spans="1:6" ht="13.5">
      <c r="A709" s="35">
        <v>47318</v>
      </c>
      <c r="B709" s="36" t="s">
        <v>879</v>
      </c>
      <c r="C709" s="37" t="s">
        <v>878</v>
      </c>
      <c r="D709" s="37" t="s">
        <v>865</v>
      </c>
      <c r="E709" s="37" t="s">
        <v>115</v>
      </c>
      <c r="F709" s="38" t="s">
        <v>172</v>
      </c>
    </row>
    <row r="710" spans="1:6" ht="13.5">
      <c r="A710" s="35">
        <v>47675</v>
      </c>
      <c r="B710" s="36" t="s">
        <v>531</v>
      </c>
      <c r="C710" s="37" t="s">
        <v>878</v>
      </c>
      <c r="D710" s="37" t="s">
        <v>340</v>
      </c>
      <c r="E710" s="37" t="s">
        <v>115</v>
      </c>
      <c r="F710" s="38" t="s">
        <v>114</v>
      </c>
    </row>
    <row r="711" spans="1:6" ht="13.5">
      <c r="A711" s="35">
        <v>47030</v>
      </c>
      <c r="B711" s="37" t="s">
        <v>880</v>
      </c>
      <c r="C711" s="37" t="s">
        <v>878</v>
      </c>
      <c r="D711" s="37" t="s">
        <v>865</v>
      </c>
      <c r="E711" s="37" t="s">
        <v>115</v>
      </c>
      <c r="F711" s="38" t="s">
        <v>172</v>
      </c>
    </row>
    <row r="712" spans="1:6" ht="13.5">
      <c r="A712" s="35">
        <v>47053</v>
      </c>
      <c r="B712" s="37" t="s">
        <v>881</v>
      </c>
      <c r="C712" s="37" t="s">
        <v>878</v>
      </c>
      <c r="D712" s="37" t="s">
        <v>865</v>
      </c>
      <c r="E712" s="37" t="s">
        <v>115</v>
      </c>
      <c r="F712" s="38" t="s">
        <v>212</v>
      </c>
    </row>
    <row r="713" spans="1:6" ht="13.5">
      <c r="A713" s="35">
        <v>47058</v>
      </c>
      <c r="B713" s="37" t="s">
        <v>882</v>
      </c>
      <c r="C713" s="37" t="s">
        <v>878</v>
      </c>
      <c r="D713" s="37" t="s">
        <v>366</v>
      </c>
      <c r="E713" s="37" t="s">
        <v>115</v>
      </c>
      <c r="F713" s="38" t="s">
        <v>212</v>
      </c>
    </row>
    <row r="714" spans="1:6" ht="13.5">
      <c r="A714" s="35">
        <v>47161</v>
      </c>
      <c r="B714" s="37" t="s">
        <v>883</v>
      </c>
      <c r="C714" s="37" t="s">
        <v>878</v>
      </c>
      <c r="D714" s="37" t="s">
        <v>340</v>
      </c>
      <c r="E714" s="37" t="s">
        <v>115</v>
      </c>
      <c r="F714" s="38" t="s">
        <v>172</v>
      </c>
    </row>
    <row r="715" spans="1:6" ht="13.5">
      <c r="A715" s="35">
        <v>47170</v>
      </c>
      <c r="B715" s="37" t="s">
        <v>884</v>
      </c>
      <c r="C715" s="37" t="s">
        <v>878</v>
      </c>
      <c r="D715" s="37" t="s">
        <v>865</v>
      </c>
      <c r="E715" s="37" t="s">
        <v>115</v>
      </c>
      <c r="F715" s="38" t="s">
        <v>172</v>
      </c>
    </row>
    <row r="716" spans="1:6" ht="13.5">
      <c r="A716" s="35">
        <v>47245</v>
      </c>
      <c r="B716" s="37" t="s">
        <v>885</v>
      </c>
      <c r="C716" s="37" t="s">
        <v>878</v>
      </c>
      <c r="D716" s="37" t="s">
        <v>865</v>
      </c>
      <c r="E716" s="37" t="s">
        <v>115</v>
      </c>
      <c r="F716" s="38" t="s">
        <v>172</v>
      </c>
    </row>
    <row r="717" spans="1:6" ht="13.5">
      <c r="A717" s="35">
        <v>47258</v>
      </c>
      <c r="B717" s="37" t="s">
        <v>886</v>
      </c>
      <c r="C717" s="37" t="s">
        <v>878</v>
      </c>
      <c r="D717" s="37" t="s">
        <v>340</v>
      </c>
      <c r="E717" s="37" t="s">
        <v>115</v>
      </c>
      <c r="F717" s="38" t="s">
        <v>212</v>
      </c>
    </row>
    <row r="718" spans="1:6" ht="13.5">
      <c r="A718" s="35">
        <v>47268</v>
      </c>
      <c r="B718" s="37" t="s">
        <v>887</v>
      </c>
      <c r="C718" s="37" t="s">
        <v>878</v>
      </c>
      <c r="D718" s="37" t="s">
        <v>865</v>
      </c>
      <c r="E718" s="37" t="s">
        <v>115</v>
      </c>
      <c r="F718" s="38" t="s">
        <v>212</v>
      </c>
    </row>
    <row r="719" spans="1:6" ht="13.5">
      <c r="A719" s="35">
        <v>47288</v>
      </c>
      <c r="B719" s="37" t="s">
        <v>888</v>
      </c>
      <c r="C719" s="37" t="s">
        <v>878</v>
      </c>
      <c r="D719" s="37" t="s">
        <v>865</v>
      </c>
      <c r="E719" s="37" t="s">
        <v>115</v>
      </c>
      <c r="F719" s="38" t="s">
        <v>212</v>
      </c>
    </row>
    <row r="720" spans="1:6" ht="13.5">
      <c r="A720" s="35">
        <v>47460</v>
      </c>
      <c r="B720" s="37" t="s">
        <v>889</v>
      </c>
      <c r="C720" s="37" t="s">
        <v>878</v>
      </c>
      <c r="D720" s="37" t="s">
        <v>366</v>
      </c>
      <c r="E720" s="37" t="s">
        <v>115</v>
      </c>
      <c r="F720" s="38" t="s">
        <v>172</v>
      </c>
    </row>
    <row r="721" spans="1:6" ht="13.5">
      <c r="A721" s="35">
        <v>47541</v>
      </c>
      <c r="B721" s="37" t="s">
        <v>890</v>
      </c>
      <c r="C721" s="37" t="s">
        <v>878</v>
      </c>
      <c r="D721" s="37" t="s">
        <v>340</v>
      </c>
      <c r="E721" s="37" t="s">
        <v>115</v>
      </c>
      <c r="F721" s="38" t="s">
        <v>212</v>
      </c>
    </row>
    <row r="722" spans="1:6" ht="13.5">
      <c r="A722" s="35">
        <v>47545</v>
      </c>
      <c r="B722" s="37" t="s">
        <v>891</v>
      </c>
      <c r="C722" s="37" t="s">
        <v>878</v>
      </c>
      <c r="D722" s="37" t="s">
        <v>865</v>
      </c>
      <c r="E722" s="37" t="s">
        <v>115</v>
      </c>
      <c r="F722" s="38" t="s">
        <v>172</v>
      </c>
    </row>
    <row r="723" spans="1:6" ht="13.5">
      <c r="A723" s="35">
        <v>47551</v>
      </c>
      <c r="B723" s="37" t="s">
        <v>892</v>
      </c>
      <c r="C723" s="37" t="s">
        <v>878</v>
      </c>
      <c r="D723" s="37" t="s">
        <v>865</v>
      </c>
      <c r="E723" s="37" t="s">
        <v>115</v>
      </c>
      <c r="F723" s="38" t="s">
        <v>172</v>
      </c>
    </row>
    <row r="724" spans="1:6" ht="13.5">
      <c r="A724" s="35">
        <v>47555</v>
      </c>
      <c r="B724" s="37" t="s">
        <v>893</v>
      </c>
      <c r="C724" s="37" t="s">
        <v>878</v>
      </c>
      <c r="D724" s="37" t="s">
        <v>865</v>
      </c>
      <c r="E724" s="37" t="s">
        <v>115</v>
      </c>
      <c r="F724" s="38" t="s">
        <v>172</v>
      </c>
    </row>
    <row r="725" spans="1:6" ht="13.5">
      <c r="A725" s="35">
        <v>47570</v>
      </c>
      <c r="B725" s="37" t="s">
        <v>894</v>
      </c>
      <c r="C725" s="37" t="s">
        <v>878</v>
      </c>
      <c r="D725" s="37" t="s">
        <v>865</v>
      </c>
      <c r="E725" s="37" t="s">
        <v>115</v>
      </c>
      <c r="F725" s="38" t="s">
        <v>114</v>
      </c>
    </row>
    <row r="726" spans="1:6" ht="13.5">
      <c r="A726" s="35">
        <v>47605</v>
      </c>
      <c r="B726" s="37" t="s">
        <v>895</v>
      </c>
      <c r="C726" s="37" t="s">
        <v>878</v>
      </c>
      <c r="D726" s="37" t="s">
        <v>340</v>
      </c>
      <c r="E726" s="37" t="s">
        <v>115</v>
      </c>
      <c r="F726" s="38" t="s">
        <v>212</v>
      </c>
    </row>
    <row r="727" spans="1:6" ht="13.5">
      <c r="A727" s="35">
        <v>47660</v>
      </c>
      <c r="B727" s="37" t="s">
        <v>896</v>
      </c>
      <c r="C727" s="37" t="s">
        <v>878</v>
      </c>
      <c r="D727" s="37" t="s">
        <v>865</v>
      </c>
      <c r="E727" s="37" t="s">
        <v>115</v>
      </c>
      <c r="F727" s="38" t="s">
        <v>172</v>
      </c>
    </row>
    <row r="728" spans="1:6" ht="13.5">
      <c r="A728" s="35">
        <v>47692</v>
      </c>
      <c r="B728" s="37" t="s">
        <v>897</v>
      </c>
      <c r="C728" s="37" t="s">
        <v>878</v>
      </c>
      <c r="D728" s="37" t="s">
        <v>865</v>
      </c>
      <c r="E728" s="37" t="s">
        <v>115</v>
      </c>
      <c r="F728" s="38" t="s">
        <v>172</v>
      </c>
    </row>
    <row r="729" spans="1:6" ht="13.5">
      <c r="A729" s="35">
        <v>47703</v>
      </c>
      <c r="B729" s="37" t="s">
        <v>898</v>
      </c>
      <c r="C729" s="37" t="s">
        <v>878</v>
      </c>
      <c r="D729" s="37" t="s">
        <v>865</v>
      </c>
      <c r="E729" s="37" t="s">
        <v>115</v>
      </c>
      <c r="F729" s="38" t="s">
        <v>172</v>
      </c>
    </row>
    <row r="730" spans="1:6" ht="13.5">
      <c r="A730" s="35">
        <v>47707</v>
      </c>
      <c r="B730" s="37" t="s">
        <v>899</v>
      </c>
      <c r="C730" s="37" t="s">
        <v>878</v>
      </c>
      <c r="D730" s="37" t="s">
        <v>865</v>
      </c>
      <c r="E730" s="37" t="s">
        <v>115</v>
      </c>
      <c r="F730" s="38" t="s">
        <v>172</v>
      </c>
    </row>
    <row r="731" spans="1:6" ht="13.5">
      <c r="A731" s="35">
        <v>47720</v>
      </c>
      <c r="B731" s="37" t="s">
        <v>900</v>
      </c>
      <c r="C731" s="37" t="s">
        <v>878</v>
      </c>
      <c r="D731" s="37" t="s">
        <v>865</v>
      </c>
      <c r="E731" s="37" t="s">
        <v>115</v>
      </c>
      <c r="F731" s="38" t="s">
        <v>172</v>
      </c>
    </row>
    <row r="732" spans="1:6" ht="13.5">
      <c r="A732" s="35">
        <v>47001</v>
      </c>
      <c r="B732" s="37" t="s">
        <v>865</v>
      </c>
      <c r="C732" s="37" t="s">
        <v>878</v>
      </c>
      <c r="D732" s="37" t="s">
        <v>865</v>
      </c>
      <c r="E732" s="37" t="s">
        <v>115</v>
      </c>
      <c r="F732" s="38" t="s">
        <v>138</v>
      </c>
    </row>
    <row r="733" spans="1:6" ht="13.5">
      <c r="A733" s="35">
        <v>47745</v>
      </c>
      <c r="B733" s="37" t="s">
        <v>901</v>
      </c>
      <c r="C733" s="37" t="s">
        <v>878</v>
      </c>
      <c r="D733" s="37" t="s">
        <v>340</v>
      </c>
      <c r="E733" s="37" t="s">
        <v>115</v>
      </c>
      <c r="F733" s="38" t="s">
        <v>114</v>
      </c>
    </row>
    <row r="734" spans="1:6" ht="13.5">
      <c r="A734" s="35">
        <v>47798</v>
      </c>
      <c r="B734" s="37" t="s">
        <v>902</v>
      </c>
      <c r="C734" s="37" t="s">
        <v>878</v>
      </c>
      <c r="D734" s="37" t="s">
        <v>865</v>
      </c>
      <c r="E734" s="37" t="s">
        <v>115</v>
      </c>
      <c r="F734" s="38" t="s">
        <v>172</v>
      </c>
    </row>
    <row r="735" spans="1:6" ht="13.5">
      <c r="A735" s="35">
        <v>47960</v>
      </c>
      <c r="B735" s="37" t="s">
        <v>903</v>
      </c>
      <c r="C735" s="37" t="s">
        <v>878</v>
      </c>
      <c r="D735" s="37" t="s">
        <v>340</v>
      </c>
      <c r="E735" s="37" t="s">
        <v>289</v>
      </c>
      <c r="F735" s="38" t="s">
        <v>128</v>
      </c>
    </row>
    <row r="736" spans="1:6" ht="13.5">
      <c r="A736" s="35">
        <v>47980</v>
      </c>
      <c r="B736" s="37" t="s">
        <v>904</v>
      </c>
      <c r="C736" s="37" t="s">
        <v>878</v>
      </c>
      <c r="D736" s="37" t="s">
        <v>865</v>
      </c>
      <c r="E736" s="37" t="s">
        <v>115</v>
      </c>
      <c r="F736" s="38" t="s">
        <v>114</v>
      </c>
    </row>
    <row r="737" spans="1:6" ht="13.5">
      <c r="A737" s="35">
        <v>50313</v>
      </c>
      <c r="B737" s="36" t="s">
        <v>217</v>
      </c>
      <c r="C737" s="37" t="s">
        <v>176</v>
      </c>
      <c r="D737" s="37" t="s">
        <v>174</v>
      </c>
      <c r="E737" s="37" t="s">
        <v>115</v>
      </c>
      <c r="F737" s="38" t="s">
        <v>114</v>
      </c>
    </row>
    <row r="738" spans="1:6" ht="13.5">
      <c r="A738" s="35">
        <v>50318</v>
      </c>
      <c r="B738" s="36" t="s">
        <v>879</v>
      </c>
      <c r="C738" s="37" t="s">
        <v>176</v>
      </c>
      <c r="D738" s="37" t="s">
        <v>174</v>
      </c>
      <c r="E738" s="37" t="s">
        <v>115</v>
      </c>
      <c r="F738" s="38" t="s">
        <v>114</v>
      </c>
    </row>
    <row r="739" spans="1:6" ht="13.5">
      <c r="A739" s="35">
        <v>50590</v>
      </c>
      <c r="B739" s="36" t="s">
        <v>559</v>
      </c>
      <c r="C739" s="37" t="s">
        <v>176</v>
      </c>
      <c r="D739" s="37" t="s">
        <v>174</v>
      </c>
      <c r="E739" s="37" t="s">
        <v>115</v>
      </c>
      <c r="F739" s="38" t="s">
        <v>172</v>
      </c>
    </row>
    <row r="740" spans="1:6" ht="13.5">
      <c r="A740" s="35">
        <v>50606</v>
      </c>
      <c r="B740" s="36" t="s">
        <v>905</v>
      </c>
      <c r="C740" s="37" t="s">
        <v>176</v>
      </c>
      <c r="D740" s="37" t="s">
        <v>174</v>
      </c>
      <c r="E740" s="37" t="s">
        <v>115</v>
      </c>
      <c r="F740" s="38" t="s">
        <v>114</v>
      </c>
    </row>
    <row r="741" spans="1:6" ht="13.5">
      <c r="A741" s="35">
        <v>50689</v>
      </c>
      <c r="B741" s="36" t="s">
        <v>629</v>
      </c>
      <c r="C741" s="37" t="s">
        <v>176</v>
      </c>
      <c r="D741" s="37" t="s">
        <v>174</v>
      </c>
      <c r="E741" s="37" t="s">
        <v>115</v>
      </c>
      <c r="F741" s="38" t="s">
        <v>114</v>
      </c>
    </row>
    <row r="742" spans="1:6" ht="13.5">
      <c r="A742" s="35">
        <v>50006</v>
      </c>
      <c r="B742" s="37" t="s">
        <v>906</v>
      </c>
      <c r="C742" s="37" t="s">
        <v>176</v>
      </c>
      <c r="D742" s="37" t="s">
        <v>174</v>
      </c>
      <c r="E742" s="37" t="s">
        <v>115</v>
      </c>
      <c r="F742" s="38" t="s">
        <v>114</v>
      </c>
    </row>
    <row r="743" spans="1:6" ht="13.5">
      <c r="A743" s="35">
        <v>50110</v>
      </c>
      <c r="B743" s="37" t="s">
        <v>907</v>
      </c>
      <c r="C743" s="37" t="s">
        <v>176</v>
      </c>
      <c r="D743" s="37" t="s">
        <v>174</v>
      </c>
      <c r="E743" s="37" t="s">
        <v>115</v>
      </c>
      <c r="F743" s="38" t="s">
        <v>114</v>
      </c>
    </row>
    <row r="744" spans="1:6" ht="13.5">
      <c r="A744" s="35">
        <v>50124</v>
      </c>
      <c r="B744" s="37" t="s">
        <v>908</v>
      </c>
      <c r="C744" s="37" t="s">
        <v>176</v>
      </c>
      <c r="D744" s="37" t="s">
        <v>174</v>
      </c>
      <c r="E744" s="37" t="s">
        <v>115</v>
      </c>
      <c r="F744" s="38" t="s">
        <v>212</v>
      </c>
    </row>
    <row r="745" spans="1:6" ht="13.5">
      <c r="A745" s="35">
        <v>50150</v>
      </c>
      <c r="B745" s="37" t="s">
        <v>909</v>
      </c>
      <c r="C745" s="37" t="s">
        <v>176</v>
      </c>
      <c r="D745" s="37" t="s">
        <v>174</v>
      </c>
      <c r="E745" s="37" t="s">
        <v>115</v>
      </c>
      <c r="F745" s="38" t="s">
        <v>114</v>
      </c>
    </row>
    <row r="746" spans="1:6" ht="13.5">
      <c r="A746" s="35">
        <v>50223</v>
      </c>
      <c r="B746" s="37" t="s">
        <v>910</v>
      </c>
      <c r="C746" s="37" t="s">
        <v>176</v>
      </c>
      <c r="D746" s="37" t="s">
        <v>174</v>
      </c>
      <c r="E746" s="37" t="s">
        <v>115</v>
      </c>
      <c r="F746" s="38" t="s">
        <v>114</v>
      </c>
    </row>
    <row r="747" spans="1:6" ht="13.5">
      <c r="A747" s="35">
        <v>50226</v>
      </c>
      <c r="B747" s="37" t="s">
        <v>911</v>
      </c>
      <c r="C747" s="37" t="s">
        <v>176</v>
      </c>
      <c r="D747" s="37" t="s">
        <v>174</v>
      </c>
      <c r="E747" s="37" t="s">
        <v>115</v>
      </c>
      <c r="F747" s="38" t="s">
        <v>114</v>
      </c>
    </row>
    <row r="748" spans="1:6" ht="13.5">
      <c r="A748" s="35">
        <v>50245</v>
      </c>
      <c r="B748" s="37" t="s">
        <v>912</v>
      </c>
      <c r="C748" s="37" t="s">
        <v>176</v>
      </c>
      <c r="D748" s="37" t="s">
        <v>174</v>
      </c>
      <c r="E748" s="37" t="s">
        <v>115</v>
      </c>
      <c r="F748" s="38" t="s">
        <v>172</v>
      </c>
    </row>
    <row r="749" spans="1:6" ht="13.5">
      <c r="A749" s="35">
        <v>50251</v>
      </c>
      <c r="B749" s="37" t="s">
        <v>913</v>
      </c>
      <c r="C749" s="37" t="s">
        <v>176</v>
      </c>
      <c r="D749" s="37" t="s">
        <v>174</v>
      </c>
      <c r="E749" s="37" t="s">
        <v>115</v>
      </c>
      <c r="F749" s="38" t="s">
        <v>114</v>
      </c>
    </row>
    <row r="750" spans="1:6" ht="13.5">
      <c r="A750" s="35">
        <v>50270</v>
      </c>
      <c r="B750" s="37" t="s">
        <v>914</v>
      </c>
      <c r="C750" s="37" t="s">
        <v>176</v>
      </c>
      <c r="D750" s="37" t="s">
        <v>174</v>
      </c>
      <c r="E750" s="37" t="s">
        <v>115</v>
      </c>
      <c r="F750" s="38" t="s">
        <v>114</v>
      </c>
    </row>
    <row r="751" spans="1:6" ht="13.5">
      <c r="A751" s="35">
        <v>50287</v>
      </c>
      <c r="B751" s="37" t="s">
        <v>915</v>
      </c>
      <c r="C751" s="37" t="s">
        <v>176</v>
      </c>
      <c r="D751" s="37" t="s">
        <v>174</v>
      </c>
      <c r="E751" s="37" t="s">
        <v>115</v>
      </c>
      <c r="F751" s="38" t="s">
        <v>212</v>
      </c>
    </row>
    <row r="752" spans="1:6" ht="13.5">
      <c r="A752" s="35">
        <v>50350</v>
      </c>
      <c r="B752" s="37" t="s">
        <v>916</v>
      </c>
      <c r="C752" s="37" t="s">
        <v>176</v>
      </c>
      <c r="D752" s="37" t="s">
        <v>174</v>
      </c>
      <c r="E752" s="37" t="s">
        <v>197</v>
      </c>
      <c r="F752" s="38" t="s">
        <v>128</v>
      </c>
    </row>
    <row r="753" spans="1:6" ht="13.5">
      <c r="A753" s="35">
        <v>50400</v>
      </c>
      <c r="B753" s="37" t="s">
        <v>917</v>
      </c>
      <c r="C753" s="37" t="s">
        <v>176</v>
      </c>
      <c r="D753" s="37" t="s">
        <v>174</v>
      </c>
      <c r="E753" s="37" t="s">
        <v>115</v>
      </c>
      <c r="F753" s="38" t="s">
        <v>212</v>
      </c>
    </row>
    <row r="754" spans="1:6" ht="13.5">
      <c r="A754" s="35">
        <v>50325</v>
      </c>
      <c r="B754" s="37" t="s">
        <v>918</v>
      </c>
      <c r="C754" s="37" t="s">
        <v>176</v>
      </c>
      <c r="D754" s="37" t="s">
        <v>174</v>
      </c>
      <c r="E754" s="37" t="s">
        <v>197</v>
      </c>
      <c r="F754" s="38" t="s">
        <v>128</v>
      </c>
    </row>
    <row r="755" spans="1:6" ht="13.5">
      <c r="A755" s="35">
        <v>50330</v>
      </c>
      <c r="B755" s="37" t="s">
        <v>919</v>
      </c>
      <c r="C755" s="37" t="s">
        <v>176</v>
      </c>
      <c r="D755" s="37" t="s">
        <v>174</v>
      </c>
      <c r="E755" s="37" t="s">
        <v>115</v>
      </c>
      <c r="F755" s="38" t="s">
        <v>212</v>
      </c>
    </row>
    <row r="756" spans="1:6" ht="13.5">
      <c r="A756" s="35">
        <v>50450</v>
      </c>
      <c r="B756" s="37" t="s">
        <v>920</v>
      </c>
      <c r="C756" s="37" t="s">
        <v>176</v>
      </c>
      <c r="D756" s="37" t="s">
        <v>174</v>
      </c>
      <c r="E756" s="37" t="s">
        <v>115</v>
      </c>
      <c r="F756" s="38" t="s">
        <v>172</v>
      </c>
    </row>
    <row r="757" spans="1:6" ht="13.5">
      <c r="A757" s="35">
        <v>50568</v>
      </c>
      <c r="B757" s="37" t="s">
        <v>921</v>
      </c>
      <c r="C757" s="37" t="s">
        <v>176</v>
      </c>
      <c r="D757" s="37" t="s">
        <v>174</v>
      </c>
      <c r="E757" s="37" t="s">
        <v>115</v>
      </c>
      <c r="F757" s="38" t="s">
        <v>212</v>
      </c>
    </row>
    <row r="758" spans="1:6" ht="13.5">
      <c r="A758" s="35">
        <v>50577</v>
      </c>
      <c r="B758" s="37" t="s">
        <v>922</v>
      </c>
      <c r="C758" s="37" t="s">
        <v>176</v>
      </c>
      <c r="D758" s="37" t="s">
        <v>174</v>
      </c>
      <c r="E758" s="37" t="s">
        <v>115</v>
      </c>
      <c r="F758" s="38" t="s">
        <v>212</v>
      </c>
    </row>
    <row r="759" spans="1:6" ht="13.5">
      <c r="A759" s="35">
        <v>50573</v>
      </c>
      <c r="B759" s="37" t="s">
        <v>923</v>
      </c>
      <c r="C759" s="37" t="s">
        <v>176</v>
      </c>
      <c r="D759" s="37" t="s">
        <v>174</v>
      </c>
      <c r="E759" s="37" t="s">
        <v>115</v>
      </c>
      <c r="F759" s="38" t="s">
        <v>114</v>
      </c>
    </row>
    <row r="760" spans="1:6" ht="13.5">
      <c r="A760" s="35">
        <v>50680</v>
      </c>
      <c r="B760" s="37" t="s">
        <v>924</v>
      </c>
      <c r="C760" s="37" t="s">
        <v>176</v>
      </c>
      <c r="D760" s="37" t="s">
        <v>174</v>
      </c>
      <c r="E760" s="37" t="s">
        <v>115</v>
      </c>
      <c r="F760" s="38" t="s">
        <v>114</v>
      </c>
    </row>
    <row r="761" spans="1:6" ht="13.5">
      <c r="A761" s="35">
        <v>50683</v>
      </c>
      <c r="B761" s="37" t="s">
        <v>925</v>
      </c>
      <c r="C761" s="37" t="s">
        <v>176</v>
      </c>
      <c r="D761" s="37" t="s">
        <v>174</v>
      </c>
      <c r="E761" s="37" t="s">
        <v>115</v>
      </c>
      <c r="F761" s="38" t="s">
        <v>212</v>
      </c>
    </row>
    <row r="762" spans="1:6" ht="13.5">
      <c r="A762" s="35">
        <v>50686</v>
      </c>
      <c r="B762" s="37" t="s">
        <v>926</v>
      </c>
      <c r="C762" s="37" t="s">
        <v>176</v>
      </c>
      <c r="D762" s="37" t="s">
        <v>174</v>
      </c>
      <c r="E762" s="37" t="s">
        <v>115</v>
      </c>
      <c r="F762" s="38" t="s">
        <v>172</v>
      </c>
    </row>
    <row r="763" spans="1:6" ht="13.5">
      <c r="A763" s="35">
        <v>50370</v>
      </c>
      <c r="B763" s="37" t="s">
        <v>927</v>
      </c>
      <c r="C763" s="37" t="s">
        <v>176</v>
      </c>
      <c r="D763" s="37" t="s">
        <v>174</v>
      </c>
      <c r="E763" s="37" t="s">
        <v>197</v>
      </c>
      <c r="F763" s="38" t="s">
        <v>128</v>
      </c>
    </row>
    <row r="764" spans="1:6" ht="13.5">
      <c r="A764" s="35">
        <v>50001</v>
      </c>
      <c r="B764" s="37" t="s">
        <v>174</v>
      </c>
      <c r="C764" s="37" t="s">
        <v>176</v>
      </c>
      <c r="D764" s="37" t="s">
        <v>174</v>
      </c>
      <c r="E764" s="37" t="s">
        <v>115</v>
      </c>
      <c r="F764" s="38" t="s">
        <v>138</v>
      </c>
    </row>
    <row r="765" spans="1:6" ht="13.5">
      <c r="A765" s="35">
        <v>50711</v>
      </c>
      <c r="B765" s="37" t="s">
        <v>928</v>
      </c>
      <c r="C765" s="37" t="s">
        <v>176</v>
      </c>
      <c r="D765" s="37" t="s">
        <v>174</v>
      </c>
      <c r="E765" s="37" t="s">
        <v>115</v>
      </c>
      <c r="F765" s="38" t="s">
        <v>212</v>
      </c>
    </row>
    <row r="766" spans="1:6" ht="13.5">
      <c r="A766" s="35">
        <v>52019</v>
      </c>
      <c r="B766" s="36" t="s">
        <v>708</v>
      </c>
      <c r="C766" s="37" t="s">
        <v>104</v>
      </c>
      <c r="D766" s="37" t="s">
        <v>100</v>
      </c>
      <c r="E766" s="37" t="s">
        <v>115</v>
      </c>
      <c r="F766" s="38" t="s">
        <v>114</v>
      </c>
    </row>
    <row r="767" spans="1:6" ht="13.5">
      <c r="A767" s="35">
        <v>52083</v>
      </c>
      <c r="B767" s="36" t="s">
        <v>410</v>
      </c>
      <c r="C767" s="37" t="s">
        <v>104</v>
      </c>
      <c r="D767" s="37" t="s">
        <v>100</v>
      </c>
      <c r="E767" s="37" t="s">
        <v>115</v>
      </c>
      <c r="F767" s="38" t="s">
        <v>212</v>
      </c>
    </row>
    <row r="768" spans="1:6" ht="13.5">
      <c r="A768" s="35">
        <v>52203</v>
      </c>
      <c r="B768" s="36" t="s">
        <v>929</v>
      </c>
      <c r="C768" s="37" t="s">
        <v>104</v>
      </c>
      <c r="D768" s="37" t="s">
        <v>100</v>
      </c>
      <c r="E768" s="37" t="s">
        <v>115</v>
      </c>
      <c r="F768" s="38" t="s">
        <v>172</v>
      </c>
    </row>
    <row r="769" spans="1:6" ht="13.5">
      <c r="A769" s="35">
        <v>52215</v>
      </c>
      <c r="B769" s="36" t="s">
        <v>364</v>
      </c>
      <c r="C769" s="37" t="s">
        <v>104</v>
      </c>
      <c r="D769" s="37" t="s">
        <v>100</v>
      </c>
      <c r="E769" s="37" t="s">
        <v>115</v>
      </c>
      <c r="F769" s="38" t="s">
        <v>114</v>
      </c>
    </row>
    <row r="770" spans="1:6" ht="13.5">
      <c r="A770" s="35">
        <v>52260</v>
      </c>
      <c r="B770" s="36" t="s">
        <v>591</v>
      </c>
      <c r="C770" s="37" t="s">
        <v>104</v>
      </c>
      <c r="D770" s="37" t="s">
        <v>100</v>
      </c>
      <c r="E770" s="37" t="s">
        <v>115</v>
      </c>
      <c r="F770" s="38" t="s">
        <v>114</v>
      </c>
    </row>
    <row r="771" spans="1:6" ht="13.5">
      <c r="A771" s="35">
        <v>52399</v>
      </c>
      <c r="B771" s="36" t="s">
        <v>220</v>
      </c>
      <c r="C771" s="37" t="s">
        <v>104</v>
      </c>
      <c r="D771" s="37" t="s">
        <v>100</v>
      </c>
      <c r="E771" s="37" t="s">
        <v>115</v>
      </c>
      <c r="F771" s="38" t="s">
        <v>212</v>
      </c>
    </row>
    <row r="772" spans="1:6" ht="13.5">
      <c r="A772" s="35">
        <v>52473</v>
      </c>
      <c r="B772" s="36" t="s">
        <v>710</v>
      </c>
      <c r="C772" s="37" t="s">
        <v>104</v>
      </c>
      <c r="D772" s="37" t="s">
        <v>100</v>
      </c>
      <c r="E772" s="37" t="s">
        <v>115</v>
      </c>
      <c r="F772" s="38" t="s">
        <v>172</v>
      </c>
    </row>
    <row r="773" spans="1:6" ht="13.5">
      <c r="A773" s="35">
        <v>52480</v>
      </c>
      <c r="B773" s="36" t="s">
        <v>104</v>
      </c>
      <c r="C773" s="37" t="s">
        <v>104</v>
      </c>
      <c r="D773" s="37" t="s">
        <v>100</v>
      </c>
      <c r="E773" s="37" t="s">
        <v>115</v>
      </c>
      <c r="F773" s="38" t="s">
        <v>114</v>
      </c>
    </row>
    <row r="774" spans="1:6" ht="13.5">
      <c r="A774" s="35">
        <v>52565</v>
      </c>
      <c r="B774" s="36" t="s">
        <v>930</v>
      </c>
      <c r="C774" s="37" t="s">
        <v>104</v>
      </c>
      <c r="D774" s="37" t="s">
        <v>100</v>
      </c>
      <c r="E774" s="37" t="s">
        <v>115</v>
      </c>
      <c r="F774" s="38" t="s">
        <v>212</v>
      </c>
    </row>
    <row r="775" spans="1:6" ht="13.5">
      <c r="A775" s="35">
        <v>52612</v>
      </c>
      <c r="B775" s="36" t="s">
        <v>711</v>
      </c>
      <c r="C775" s="37" t="s">
        <v>104</v>
      </c>
      <c r="D775" s="37" t="s">
        <v>100</v>
      </c>
      <c r="E775" s="37" t="s">
        <v>115</v>
      </c>
      <c r="F775" s="38" t="s">
        <v>212</v>
      </c>
    </row>
    <row r="776" spans="1:6" ht="13.5">
      <c r="A776" s="35">
        <v>52685</v>
      </c>
      <c r="B776" s="36" t="s">
        <v>712</v>
      </c>
      <c r="C776" s="37" t="s">
        <v>104</v>
      </c>
      <c r="D776" s="37" t="s">
        <v>100</v>
      </c>
      <c r="E776" s="37" t="s">
        <v>115</v>
      </c>
      <c r="F776" s="38" t="s">
        <v>114</v>
      </c>
    </row>
    <row r="777" spans="1:6" ht="13.5">
      <c r="A777" s="35">
        <v>52693</v>
      </c>
      <c r="B777" s="36" t="s">
        <v>368</v>
      </c>
      <c r="C777" s="37" t="s">
        <v>104</v>
      </c>
      <c r="D777" s="37" t="s">
        <v>100</v>
      </c>
      <c r="E777" s="37" t="s">
        <v>115</v>
      </c>
      <c r="F777" s="38" t="s">
        <v>172</v>
      </c>
    </row>
    <row r="778" spans="1:6" ht="13.5">
      <c r="A778" s="35">
        <v>52696</v>
      </c>
      <c r="B778" s="36" t="s">
        <v>227</v>
      </c>
      <c r="C778" s="37" t="s">
        <v>104</v>
      </c>
      <c r="D778" s="37" t="s">
        <v>100</v>
      </c>
      <c r="E778" s="37" t="s">
        <v>369</v>
      </c>
      <c r="F778" s="38" t="s">
        <v>128</v>
      </c>
    </row>
    <row r="779" spans="1:6" ht="13.5">
      <c r="A779" s="35">
        <v>52022</v>
      </c>
      <c r="B779" s="37" t="s">
        <v>931</v>
      </c>
      <c r="C779" s="37" t="s">
        <v>104</v>
      </c>
      <c r="D779" s="37" t="s">
        <v>100</v>
      </c>
      <c r="E779" s="37" t="s">
        <v>115</v>
      </c>
      <c r="F779" s="38" t="s">
        <v>114</v>
      </c>
    </row>
    <row r="780" spans="1:6" ht="13.5">
      <c r="A780" s="35">
        <v>52036</v>
      </c>
      <c r="B780" s="37" t="s">
        <v>932</v>
      </c>
      <c r="C780" s="37" t="s">
        <v>104</v>
      </c>
      <c r="D780" s="37" t="s">
        <v>100</v>
      </c>
      <c r="E780" s="37" t="s">
        <v>115</v>
      </c>
      <c r="F780" s="38" t="s">
        <v>114</v>
      </c>
    </row>
    <row r="781" spans="1:6" ht="13.5">
      <c r="A781" s="35">
        <v>52051</v>
      </c>
      <c r="B781" s="37" t="s">
        <v>933</v>
      </c>
      <c r="C781" s="37" t="s">
        <v>104</v>
      </c>
      <c r="D781" s="37" t="s">
        <v>100</v>
      </c>
      <c r="E781" s="37" t="s">
        <v>115</v>
      </c>
      <c r="F781" s="38" t="s">
        <v>114</v>
      </c>
    </row>
    <row r="782" spans="1:6" ht="13.5">
      <c r="A782" s="35">
        <v>52079</v>
      </c>
      <c r="B782" s="37" t="s">
        <v>934</v>
      </c>
      <c r="C782" s="37" t="s">
        <v>104</v>
      </c>
      <c r="D782" s="37" t="s">
        <v>100</v>
      </c>
      <c r="E782" s="37" t="s">
        <v>115</v>
      </c>
      <c r="F782" s="38" t="s">
        <v>172</v>
      </c>
    </row>
    <row r="783" spans="1:6" ht="13.5">
      <c r="A783" s="35">
        <v>52110</v>
      </c>
      <c r="B783" s="37" t="s">
        <v>935</v>
      </c>
      <c r="C783" s="37" t="s">
        <v>104</v>
      </c>
      <c r="D783" s="37" t="s">
        <v>100</v>
      </c>
      <c r="E783" s="37" t="s">
        <v>115</v>
      </c>
      <c r="F783" s="38" t="s">
        <v>114</v>
      </c>
    </row>
    <row r="784" spans="1:6" ht="13.5">
      <c r="A784" s="35">
        <v>52240</v>
      </c>
      <c r="B784" s="37" t="s">
        <v>936</v>
      </c>
      <c r="C784" s="37" t="s">
        <v>104</v>
      </c>
      <c r="D784" s="37" t="s">
        <v>100</v>
      </c>
      <c r="E784" s="37" t="s">
        <v>115</v>
      </c>
      <c r="F784" s="38" t="s">
        <v>114</v>
      </c>
    </row>
    <row r="785" spans="1:6" ht="13.5">
      <c r="A785" s="35">
        <v>52207</v>
      </c>
      <c r="B785" s="37" t="s">
        <v>937</v>
      </c>
      <c r="C785" s="37" t="s">
        <v>104</v>
      </c>
      <c r="D785" s="37" t="s">
        <v>100</v>
      </c>
      <c r="E785" s="37" t="s">
        <v>115</v>
      </c>
      <c r="F785" s="38" t="s">
        <v>114</v>
      </c>
    </row>
    <row r="786" spans="1:6" ht="13.5">
      <c r="A786" s="35">
        <v>52210</v>
      </c>
      <c r="B786" s="37" t="s">
        <v>938</v>
      </c>
      <c r="C786" s="37" t="s">
        <v>104</v>
      </c>
      <c r="D786" s="37" t="s">
        <v>100</v>
      </c>
      <c r="E786" s="37" t="s">
        <v>115</v>
      </c>
      <c r="F786" s="38" t="s">
        <v>114</v>
      </c>
    </row>
    <row r="787" spans="1:6" ht="13.5">
      <c r="A787" s="35">
        <v>52224</v>
      </c>
      <c r="B787" s="37" t="s">
        <v>939</v>
      </c>
      <c r="C787" s="37" t="s">
        <v>104</v>
      </c>
      <c r="D787" s="37" t="s">
        <v>100</v>
      </c>
      <c r="E787" s="37" t="s">
        <v>115</v>
      </c>
      <c r="F787" s="38" t="s">
        <v>114</v>
      </c>
    </row>
    <row r="788" spans="1:6" ht="13.5">
      <c r="A788" s="35">
        <v>52227</v>
      </c>
      <c r="B788" s="37" t="s">
        <v>940</v>
      </c>
      <c r="C788" s="37" t="s">
        <v>104</v>
      </c>
      <c r="D788" s="37" t="s">
        <v>100</v>
      </c>
      <c r="E788" s="37" t="s">
        <v>115</v>
      </c>
      <c r="F788" s="38" t="s">
        <v>212</v>
      </c>
    </row>
    <row r="789" spans="1:6" ht="13.5">
      <c r="A789" s="35">
        <v>52233</v>
      </c>
      <c r="B789" s="37" t="s">
        <v>941</v>
      </c>
      <c r="C789" s="37" t="s">
        <v>104</v>
      </c>
      <c r="D789" s="37" t="s">
        <v>100</v>
      </c>
      <c r="E789" s="37" t="s">
        <v>115</v>
      </c>
      <c r="F789" s="38" t="s">
        <v>114</v>
      </c>
    </row>
    <row r="790" spans="1:6" ht="13.5">
      <c r="A790" s="35">
        <v>52250</v>
      </c>
      <c r="B790" s="37" t="s">
        <v>942</v>
      </c>
      <c r="C790" s="37" t="s">
        <v>104</v>
      </c>
      <c r="D790" s="37" t="s">
        <v>100</v>
      </c>
      <c r="E790" s="37" t="s">
        <v>289</v>
      </c>
      <c r="F790" s="38" t="s">
        <v>128</v>
      </c>
    </row>
    <row r="791" spans="1:6" ht="13.5">
      <c r="A791" s="35">
        <v>52254</v>
      </c>
      <c r="B791" s="37" t="s">
        <v>943</v>
      </c>
      <c r="C791" s="37" t="s">
        <v>104</v>
      </c>
      <c r="D791" s="37" t="s">
        <v>100</v>
      </c>
      <c r="E791" s="37" t="s">
        <v>115</v>
      </c>
      <c r="F791" s="38" t="s">
        <v>114</v>
      </c>
    </row>
    <row r="792" spans="1:6" ht="13.5">
      <c r="A792" s="35">
        <v>52256</v>
      </c>
      <c r="B792" s="37" t="s">
        <v>944</v>
      </c>
      <c r="C792" s="37" t="s">
        <v>104</v>
      </c>
      <c r="D792" s="37" t="s">
        <v>100</v>
      </c>
      <c r="E792" s="37" t="s">
        <v>115</v>
      </c>
      <c r="F792" s="38" t="s">
        <v>114</v>
      </c>
    </row>
    <row r="793" spans="1:6" ht="13.5">
      <c r="A793" s="35">
        <v>52258</v>
      </c>
      <c r="B793" s="37" t="s">
        <v>945</v>
      </c>
      <c r="C793" s="37" t="s">
        <v>104</v>
      </c>
      <c r="D793" s="37" t="s">
        <v>100</v>
      </c>
      <c r="E793" s="37" t="s">
        <v>115</v>
      </c>
      <c r="F793" s="38" t="s">
        <v>114</v>
      </c>
    </row>
    <row r="794" spans="1:6" ht="13.5">
      <c r="A794" s="35">
        <v>52520</v>
      </c>
      <c r="B794" s="37" t="s">
        <v>946</v>
      </c>
      <c r="C794" s="37" t="s">
        <v>104</v>
      </c>
      <c r="D794" s="37" t="s">
        <v>100</v>
      </c>
      <c r="E794" s="37" t="s">
        <v>289</v>
      </c>
      <c r="F794" s="38" t="s">
        <v>128</v>
      </c>
    </row>
    <row r="795" spans="1:6" ht="13.5">
      <c r="A795" s="35">
        <v>52287</v>
      </c>
      <c r="B795" s="37" t="s">
        <v>947</v>
      </c>
      <c r="C795" s="37" t="s">
        <v>104</v>
      </c>
      <c r="D795" s="37" t="s">
        <v>100</v>
      </c>
      <c r="E795" s="37" t="s">
        <v>115</v>
      </c>
      <c r="F795" s="38" t="s">
        <v>114</v>
      </c>
    </row>
    <row r="796" spans="1:6" ht="13.5">
      <c r="A796" s="35">
        <v>52317</v>
      </c>
      <c r="B796" s="37" t="s">
        <v>948</v>
      </c>
      <c r="C796" s="37" t="s">
        <v>104</v>
      </c>
      <c r="D796" s="37" t="s">
        <v>100</v>
      </c>
      <c r="E796" s="37" t="s">
        <v>115</v>
      </c>
      <c r="F796" s="38" t="s">
        <v>114</v>
      </c>
    </row>
    <row r="797" spans="1:6" ht="13.5">
      <c r="A797" s="35">
        <v>52320</v>
      </c>
      <c r="B797" s="37" t="s">
        <v>949</v>
      </c>
      <c r="C797" s="37" t="s">
        <v>104</v>
      </c>
      <c r="D797" s="37" t="s">
        <v>100</v>
      </c>
      <c r="E797" s="37" t="s">
        <v>115</v>
      </c>
      <c r="F797" s="38" t="s">
        <v>114</v>
      </c>
    </row>
    <row r="798" spans="1:6" ht="13.5">
      <c r="A798" s="35">
        <v>52323</v>
      </c>
      <c r="B798" s="37" t="s">
        <v>950</v>
      </c>
      <c r="C798" s="37" t="s">
        <v>104</v>
      </c>
      <c r="D798" s="37" t="s">
        <v>100</v>
      </c>
      <c r="E798" s="37" t="s">
        <v>115</v>
      </c>
      <c r="F798" s="38" t="s">
        <v>114</v>
      </c>
    </row>
    <row r="799" spans="1:6" ht="13.5">
      <c r="A799" s="35">
        <v>52352</v>
      </c>
      <c r="B799" s="37" t="s">
        <v>951</v>
      </c>
      <c r="C799" s="37" t="s">
        <v>104</v>
      </c>
      <c r="D799" s="37" t="s">
        <v>100</v>
      </c>
      <c r="E799" s="37" t="s">
        <v>115</v>
      </c>
      <c r="F799" s="38" t="s">
        <v>114</v>
      </c>
    </row>
    <row r="800" spans="1:6" ht="13.5">
      <c r="A800" s="35">
        <v>52354</v>
      </c>
      <c r="B800" s="37" t="s">
        <v>952</v>
      </c>
      <c r="C800" s="37" t="s">
        <v>104</v>
      </c>
      <c r="D800" s="37" t="s">
        <v>100</v>
      </c>
      <c r="E800" s="37" t="s">
        <v>115</v>
      </c>
      <c r="F800" s="38" t="s">
        <v>114</v>
      </c>
    </row>
    <row r="801" spans="1:6" ht="13.5">
      <c r="A801" s="35">
        <v>52356</v>
      </c>
      <c r="B801" s="37" t="s">
        <v>160</v>
      </c>
      <c r="C801" s="37" t="s">
        <v>104</v>
      </c>
      <c r="D801" s="37" t="s">
        <v>100</v>
      </c>
      <c r="E801" s="37" t="s">
        <v>115</v>
      </c>
      <c r="F801" s="38" t="s">
        <v>114</v>
      </c>
    </row>
    <row r="802" spans="1:6" ht="13.5">
      <c r="A802" s="35">
        <v>52378</v>
      </c>
      <c r="B802" s="37" t="s">
        <v>953</v>
      </c>
      <c r="C802" s="37" t="s">
        <v>104</v>
      </c>
      <c r="D802" s="37" t="s">
        <v>100</v>
      </c>
      <c r="E802" s="37" t="s">
        <v>115</v>
      </c>
      <c r="F802" s="38" t="s">
        <v>212</v>
      </c>
    </row>
    <row r="803" spans="1:6" ht="13.5">
      <c r="A803" s="35">
        <v>52381</v>
      </c>
      <c r="B803" s="37" t="s">
        <v>954</v>
      </c>
      <c r="C803" s="37" t="s">
        <v>104</v>
      </c>
      <c r="D803" s="37" t="s">
        <v>100</v>
      </c>
      <c r="E803" s="37" t="s">
        <v>115</v>
      </c>
      <c r="F803" s="38" t="s">
        <v>114</v>
      </c>
    </row>
    <row r="804" spans="1:6" ht="13.5">
      <c r="A804" s="35">
        <v>52385</v>
      </c>
      <c r="B804" s="37" t="s">
        <v>955</v>
      </c>
      <c r="C804" s="37" t="s">
        <v>104</v>
      </c>
      <c r="D804" s="37" t="s">
        <v>100</v>
      </c>
      <c r="E804" s="37" t="s">
        <v>115</v>
      </c>
      <c r="F804" s="38" t="s">
        <v>172</v>
      </c>
    </row>
    <row r="805" spans="1:6" ht="13.5">
      <c r="A805" s="35">
        <v>52390</v>
      </c>
      <c r="B805" s="37" t="s">
        <v>956</v>
      </c>
      <c r="C805" s="37" t="s">
        <v>104</v>
      </c>
      <c r="D805" s="37" t="s">
        <v>100</v>
      </c>
      <c r="E805" s="37" t="s">
        <v>289</v>
      </c>
      <c r="F805" s="38" t="s">
        <v>128</v>
      </c>
    </row>
    <row r="806" spans="1:6" ht="13.5">
      <c r="A806" s="35">
        <v>52405</v>
      </c>
      <c r="B806" s="37" t="s">
        <v>957</v>
      </c>
      <c r="C806" s="37" t="s">
        <v>104</v>
      </c>
      <c r="D806" s="37" t="s">
        <v>100</v>
      </c>
      <c r="E806" s="37" t="s">
        <v>115</v>
      </c>
      <c r="F806" s="38" t="s">
        <v>212</v>
      </c>
    </row>
    <row r="807" spans="1:6" ht="13.5">
      <c r="A807" s="35">
        <v>52411</v>
      </c>
      <c r="B807" s="37" t="s">
        <v>958</v>
      </c>
      <c r="C807" s="37" t="s">
        <v>104</v>
      </c>
      <c r="D807" s="37" t="s">
        <v>100</v>
      </c>
      <c r="E807" s="37" t="s">
        <v>115</v>
      </c>
      <c r="F807" s="38" t="s">
        <v>212</v>
      </c>
    </row>
    <row r="808" spans="1:6" ht="13.5">
      <c r="A808" s="35">
        <v>52418</v>
      </c>
      <c r="B808" s="37" t="s">
        <v>959</v>
      </c>
      <c r="C808" s="37" t="s">
        <v>104</v>
      </c>
      <c r="D808" s="37" t="s">
        <v>100</v>
      </c>
      <c r="E808" s="37" t="s">
        <v>115</v>
      </c>
      <c r="F808" s="38" t="s">
        <v>212</v>
      </c>
    </row>
    <row r="809" spans="1:6" ht="13.5">
      <c r="A809" s="35">
        <v>52427</v>
      </c>
      <c r="B809" s="37" t="s">
        <v>960</v>
      </c>
      <c r="C809" s="37" t="s">
        <v>104</v>
      </c>
      <c r="D809" s="37" t="s">
        <v>100</v>
      </c>
      <c r="E809" s="37" t="s">
        <v>289</v>
      </c>
      <c r="F809" s="38" t="s">
        <v>128</v>
      </c>
    </row>
    <row r="810" spans="1:6" ht="13.5">
      <c r="A810" s="35">
        <v>52435</v>
      </c>
      <c r="B810" s="37" t="s">
        <v>961</v>
      </c>
      <c r="C810" s="37" t="s">
        <v>104</v>
      </c>
      <c r="D810" s="37" t="s">
        <v>100</v>
      </c>
      <c r="E810" s="37" t="s">
        <v>115</v>
      </c>
      <c r="F810" s="38" t="s">
        <v>212</v>
      </c>
    </row>
    <row r="811" spans="1:6" ht="13.5">
      <c r="A811" s="35">
        <v>52490</v>
      </c>
      <c r="B811" s="37" t="s">
        <v>962</v>
      </c>
      <c r="C811" s="37" t="s">
        <v>104</v>
      </c>
      <c r="D811" s="37" t="s">
        <v>100</v>
      </c>
      <c r="E811" s="37" t="s">
        <v>289</v>
      </c>
      <c r="F811" s="38" t="s">
        <v>128</v>
      </c>
    </row>
    <row r="812" spans="1:6" ht="13.5">
      <c r="A812" s="35">
        <v>52506</v>
      </c>
      <c r="B812" s="37" t="s">
        <v>963</v>
      </c>
      <c r="C812" s="37" t="s">
        <v>104</v>
      </c>
      <c r="D812" s="37" t="s">
        <v>100</v>
      </c>
      <c r="E812" s="37" t="s">
        <v>115</v>
      </c>
      <c r="F812" s="38" t="s">
        <v>114</v>
      </c>
    </row>
    <row r="813" spans="1:6" ht="13.5">
      <c r="A813" s="35">
        <v>52001</v>
      </c>
      <c r="B813" s="37" t="s">
        <v>100</v>
      </c>
      <c r="C813" s="37" t="s">
        <v>104</v>
      </c>
      <c r="D813" s="37" t="s">
        <v>100</v>
      </c>
      <c r="E813" s="37" t="s">
        <v>115</v>
      </c>
      <c r="F813" s="38" t="s">
        <v>138</v>
      </c>
    </row>
    <row r="814" spans="1:6" ht="13.5">
      <c r="A814" s="35">
        <v>52540</v>
      </c>
      <c r="B814" s="37" t="s">
        <v>964</v>
      </c>
      <c r="C814" s="37" t="s">
        <v>104</v>
      </c>
      <c r="D814" s="37" t="s">
        <v>100</v>
      </c>
      <c r="E814" s="37" t="s">
        <v>115</v>
      </c>
      <c r="F814" s="38" t="s">
        <v>172</v>
      </c>
    </row>
    <row r="815" spans="1:6" ht="13.5">
      <c r="A815" s="35">
        <v>52560</v>
      </c>
      <c r="B815" s="37" t="s">
        <v>965</v>
      </c>
      <c r="C815" s="37" t="s">
        <v>104</v>
      </c>
      <c r="D815" s="37" t="s">
        <v>100</v>
      </c>
      <c r="E815" s="37" t="s">
        <v>115</v>
      </c>
      <c r="F815" s="38" t="s">
        <v>114</v>
      </c>
    </row>
    <row r="816" spans="1:6" ht="13.5">
      <c r="A816" s="35">
        <v>52573</v>
      </c>
      <c r="B816" s="37" t="s">
        <v>966</v>
      </c>
      <c r="C816" s="37" t="s">
        <v>104</v>
      </c>
      <c r="D816" s="37" t="s">
        <v>100</v>
      </c>
      <c r="E816" s="37" t="s">
        <v>115</v>
      </c>
      <c r="F816" s="38" t="s">
        <v>114</v>
      </c>
    </row>
    <row r="817" spans="1:6" ht="13.5">
      <c r="A817" s="35">
        <v>52585</v>
      </c>
      <c r="B817" s="37" t="s">
        <v>967</v>
      </c>
      <c r="C817" s="37" t="s">
        <v>104</v>
      </c>
      <c r="D817" s="37" t="s">
        <v>100</v>
      </c>
      <c r="E817" s="37" t="s">
        <v>115</v>
      </c>
      <c r="F817" s="38" t="s">
        <v>114</v>
      </c>
    </row>
    <row r="818" spans="1:6" ht="13.5">
      <c r="A818" s="35">
        <v>52621</v>
      </c>
      <c r="B818" s="37" t="s">
        <v>968</v>
      </c>
      <c r="C818" s="37" t="s">
        <v>104</v>
      </c>
      <c r="D818" s="37" t="s">
        <v>100</v>
      </c>
      <c r="E818" s="37" t="s">
        <v>289</v>
      </c>
      <c r="F818" s="38" t="s">
        <v>128</v>
      </c>
    </row>
    <row r="819" spans="1:6" ht="13.5">
      <c r="A819" s="35">
        <v>52678</v>
      </c>
      <c r="B819" s="37" t="s">
        <v>969</v>
      </c>
      <c r="C819" s="37" t="s">
        <v>104</v>
      </c>
      <c r="D819" s="37" t="s">
        <v>100</v>
      </c>
      <c r="E819" s="37" t="s">
        <v>115</v>
      </c>
      <c r="F819" s="38" t="s">
        <v>212</v>
      </c>
    </row>
    <row r="820" spans="1:6" ht="13.5">
      <c r="A820" s="35">
        <v>52835</v>
      </c>
      <c r="B820" s="37" t="s">
        <v>970</v>
      </c>
      <c r="C820" s="37" t="s">
        <v>104</v>
      </c>
      <c r="D820" s="37" t="s">
        <v>100</v>
      </c>
      <c r="E820" s="37" t="s">
        <v>115</v>
      </c>
      <c r="F820" s="38" t="s">
        <v>172</v>
      </c>
    </row>
    <row r="821" spans="1:6" ht="13.5">
      <c r="A821" s="35">
        <v>52687</v>
      </c>
      <c r="B821" s="37" t="s">
        <v>105</v>
      </c>
      <c r="C821" s="37" t="s">
        <v>104</v>
      </c>
      <c r="D821" s="37" t="s">
        <v>100</v>
      </c>
      <c r="E821" s="37" t="s">
        <v>115</v>
      </c>
      <c r="F821" s="38" t="s">
        <v>114</v>
      </c>
    </row>
    <row r="822" spans="1:6" ht="13.5">
      <c r="A822" s="35">
        <v>52694</v>
      </c>
      <c r="B822" s="37" t="s">
        <v>971</v>
      </c>
      <c r="C822" s="37" t="s">
        <v>104</v>
      </c>
      <c r="D822" s="37" t="s">
        <v>100</v>
      </c>
      <c r="E822" s="37" t="s">
        <v>115</v>
      </c>
      <c r="F822" s="38" t="s">
        <v>114</v>
      </c>
    </row>
    <row r="823" spans="1:6" ht="13.5">
      <c r="A823" s="35">
        <v>52683</v>
      </c>
      <c r="B823" s="37" t="s">
        <v>972</v>
      </c>
      <c r="C823" s="37" t="s">
        <v>104</v>
      </c>
      <c r="D823" s="37" t="s">
        <v>100</v>
      </c>
      <c r="E823" s="37" t="s">
        <v>115</v>
      </c>
      <c r="F823" s="38" t="s">
        <v>114</v>
      </c>
    </row>
    <row r="824" spans="1:6" ht="13.5">
      <c r="A824" s="35">
        <v>52699</v>
      </c>
      <c r="B824" s="37" t="s">
        <v>973</v>
      </c>
      <c r="C824" s="37" t="s">
        <v>104</v>
      </c>
      <c r="D824" s="37" t="s">
        <v>100</v>
      </c>
      <c r="E824" s="37" t="s">
        <v>115</v>
      </c>
      <c r="F824" s="38" t="s">
        <v>172</v>
      </c>
    </row>
    <row r="825" spans="1:6" ht="13.5">
      <c r="A825" s="35">
        <v>52720</v>
      </c>
      <c r="B825" s="37" t="s">
        <v>974</v>
      </c>
      <c r="C825" s="37" t="s">
        <v>104</v>
      </c>
      <c r="D825" s="37" t="s">
        <v>100</v>
      </c>
      <c r="E825" s="37" t="s">
        <v>115</v>
      </c>
      <c r="F825" s="38" t="s">
        <v>114</v>
      </c>
    </row>
    <row r="826" spans="1:6" ht="13.5">
      <c r="A826" s="35">
        <v>52786</v>
      </c>
      <c r="B826" s="37" t="s">
        <v>975</v>
      </c>
      <c r="C826" s="37" t="s">
        <v>104</v>
      </c>
      <c r="D826" s="37" t="s">
        <v>100</v>
      </c>
      <c r="E826" s="37" t="s">
        <v>115</v>
      </c>
      <c r="F826" s="38" t="s">
        <v>114</v>
      </c>
    </row>
    <row r="827" spans="1:6" ht="13.5">
      <c r="A827" s="35">
        <v>52788</v>
      </c>
      <c r="B827" s="37" t="s">
        <v>976</v>
      </c>
      <c r="C827" s="37" t="s">
        <v>104</v>
      </c>
      <c r="D827" s="37" t="s">
        <v>100</v>
      </c>
      <c r="E827" s="37" t="s">
        <v>115</v>
      </c>
      <c r="F827" s="38" t="s">
        <v>114</v>
      </c>
    </row>
    <row r="828" spans="1:6" ht="13.5">
      <c r="A828" s="35">
        <v>52838</v>
      </c>
      <c r="B828" s="37" t="s">
        <v>977</v>
      </c>
      <c r="C828" s="37" t="s">
        <v>104</v>
      </c>
      <c r="D828" s="37" t="s">
        <v>100</v>
      </c>
      <c r="E828" s="37" t="s">
        <v>115</v>
      </c>
      <c r="F828" s="38" t="s">
        <v>114</v>
      </c>
    </row>
    <row r="829" spans="1:6" ht="13.5">
      <c r="A829" s="35">
        <v>52885</v>
      </c>
      <c r="B829" s="37" t="s">
        <v>978</v>
      </c>
      <c r="C829" s="37" t="s">
        <v>104</v>
      </c>
      <c r="D829" s="37" t="s">
        <v>100</v>
      </c>
      <c r="E829" s="37" t="s">
        <v>115</v>
      </c>
      <c r="F829" s="38" t="s">
        <v>114</v>
      </c>
    </row>
    <row r="830" spans="1:6" ht="13.5">
      <c r="A830" s="35">
        <v>54553</v>
      </c>
      <c r="B830" s="36" t="s">
        <v>198</v>
      </c>
      <c r="C830" s="37" t="s">
        <v>979</v>
      </c>
      <c r="D830" s="37" t="s">
        <v>980</v>
      </c>
      <c r="E830" s="37" t="s">
        <v>115</v>
      </c>
      <c r="F830" s="38" t="s">
        <v>114</v>
      </c>
    </row>
    <row r="831" spans="1:6" ht="13.5">
      <c r="A831" s="35">
        <v>54673</v>
      </c>
      <c r="B831" s="36" t="s">
        <v>713</v>
      </c>
      <c r="C831" s="37" t="s">
        <v>979</v>
      </c>
      <c r="D831" s="37" t="s">
        <v>980</v>
      </c>
      <c r="E831" s="37" t="s">
        <v>115</v>
      </c>
      <c r="F831" s="38" t="s">
        <v>114</v>
      </c>
    </row>
    <row r="832" spans="1:6" ht="13.5">
      <c r="A832" s="35">
        <v>54680</v>
      </c>
      <c r="B832" s="36" t="s">
        <v>981</v>
      </c>
      <c r="C832" s="37" t="s">
        <v>979</v>
      </c>
      <c r="D832" s="37" t="s">
        <v>980</v>
      </c>
      <c r="E832" s="37" t="s">
        <v>115</v>
      </c>
      <c r="F832" s="38" t="s">
        <v>114</v>
      </c>
    </row>
    <row r="833" spans="1:6" ht="13.5">
      <c r="A833" s="35">
        <v>54820</v>
      </c>
      <c r="B833" s="36" t="s">
        <v>228</v>
      </c>
      <c r="C833" s="37" t="s">
        <v>979</v>
      </c>
      <c r="D833" s="37" t="s">
        <v>980</v>
      </c>
      <c r="E833" s="37" t="s">
        <v>115</v>
      </c>
      <c r="F833" s="38" t="s">
        <v>172</v>
      </c>
    </row>
    <row r="834" spans="1:6" ht="13.5">
      <c r="A834" s="35">
        <v>54003</v>
      </c>
      <c r="B834" s="37" t="s">
        <v>982</v>
      </c>
      <c r="C834" s="37" t="s">
        <v>979</v>
      </c>
      <c r="D834" s="37" t="s">
        <v>980</v>
      </c>
      <c r="E834" s="37" t="s">
        <v>115</v>
      </c>
      <c r="F834" s="38" t="s">
        <v>212</v>
      </c>
    </row>
    <row r="835" spans="1:6" ht="13.5">
      <c r="A835" s="35">
        <v>54051</v>
      </c>
      <c r="B835" s="37" t="s">
        <v>983</v>
      </c>
      <c r="C835" s="37" t="s">
        <v>979</v>
      </c>
      <c r="D835" s="37" t="s">
        <v>980</v>
      </c>
      <c r="E835" s="37" t="s">
        <v>115</v>
      </c>
      <c r="F835" s="38" t="s">
        <v>172</v>
      </c>
    </row>
    <row r="836" spans="1:6" ht="13.5">
      <c r="A836" s="35">
        <v>54099</v>
      </c>
      <c r="B836" s="37" t="s">
        <v>984</v>
      </c>
      <c r="C836" s="37" t="s">
        <v>979</v>
      </c>
      <c r="D836" s="37" t="s">
        <v>980</v>
      </c>
      <c r="E836" s="37" t="s">
        <v>115</v>
      </c>
      <c r="F836" s="38" t="s">
        <v>114</v>
      </c>
    </row>
    <row r="837" spans="1:6" ht="13.5">
      <c r="A837" s="35">
        <v>54109</v>
      </c>
      <c r="B837" s="37" t="s">
        <v>985</v>
      </c>
      <c r="C837" s="37" t="s">
        <v>979</v>
      </c>
      <c r="D837" s="37" t="s">
        <v>980</v>
      </c>
      <c r="E837" s="37" t="s">
        <v>115</v>
      </c>
      <c r="F837" s="38" t="s">
        <v>212</v>
      </c>
    </row>
    <row r="838" spans="1:6" ht="13.5">
      <c r="A838" s="35">
        <v>54128</v>
      </c>
      <c r="B838" s="37" t="s">
        <v>986</v>
      </c>
      <c r="C838" s="37" t="s">
        <v>979</v>
      </c>
      <c r="D838" s="37" t="s">
        <v>980</v>
      </c>
      <c r="E838" s="37" t="s">
        <v>115</v>
      </c>
      <c r="F838" s="38" t="s">
        <v>172</v>
      </c>
    </row>
    <row r="839" spans="1:6" ht="13.5">
      <c r="A839" s="35">
        <v>54125</v>
      </c>
      <c r="B839" s="37" t="s">
        <v>987</v>
      </c>
      <c r="C839" s="37" t="s">
        <v>979</v>
      </c>
      <c r="D839" s="37" t="s">
        <v>980</v>
      </c>
      <c r="E839" s="37" t="s">
        <v>115</v>
      </c>
      <c r="F839" s="38" t="s">
        <v>212</v>
      </c>
    </row>
    <row r="840" spans="1:6" ht="13.5">
      <c r="A840" s="35">
        <v>54172</v>
      </c>
      <c r="B840" s="37" t="s">
        <v>988</v>
      </c>
      <c r="C840" s="37" t="s">
        <v>979</v>
      </c>
      <c r="D840" s="37" t="s">
        <v>980</v>
      </c>
      <c r="E840" s="37" t="s">
        <v>115</v>
      </c>
      <c r="F840" s="38" t="s">
        <v>114</v>
      </c>
    </row>
    <row r="841" spans="1:6" ht="13.5">
      <c r="A841" s="35">
        <v>54174</v>
      </c>
      <c r="B841" s="37" t="s">
        <v>989</v>
      </c>
      <c r="C841" s="37" t="s">
        <v>979</v>
      </c>
      <c r="D841" s="37" t="s">
        <v>980</v>
      </c>
      <c r="E841" s="37" t="s">
        <v>115</v>
      </c>
      <c r="F841" s="38" t="s">
        <v>172</v>
      </c>
    </row>
    <row r="842" spans="1:6" ht="13.5">
      <c r="A842" s="35">
        <v>54206</v>
      </c>
      <c r="B842" s="37" t="s">
        <v>990</v>
      </c>
      <c r="C842" s="37" t="s">
        <v>979</v>
      </c>
      <c r="D842" s="37" t="s">
        <v>980</v>
      </c>
      <c r="E842" s="37" t="s">
        <v>115</v>
      </c>
      <c r="F842" s="38" t="s">
        <v>172</v>
      </c>
    </row>
    <row r="843" spans="1:6" ht="13.5">
      <c r="A843" s="35">
        <v>54001</v>
      </c>
      <c r="B843" s="37" t="s">
        <v>980</v>
      </c>
      <c r="C843" s="37" t="s">
        <v>979</v>
      </c>
      <c r="D843" s="37" t="s">
        <v>980</v>
      </c>
      <c r="E843" s="37" t="s">
        <v>115</v>
      </c>
      <c r="F843" s="38" t="s">
        <v>138</v>
      </c>
    </row>
    <row r="844" spans="1:6" ht="13.5">
      <c r="A844" s="35">
        <v>54223</v>
      </c>
      <c r="B844" s="37" t="s">
        <v>991</v>
      </c>
      <c r="C844" s="37" t="s">
        <v>979</v>
      </c>
      <c r="D844" s="37" t="s">
        <v>980</v>
      </c>
      <c r="E844" s="37" t="s">
        <v>115</v>
      </c>
      <c r="F844" s="38" t="s">
        <v>172</v>
      </c>
    </row>
    <row r="845" spans="1:6" ht="13.5">
      <c r="A845" s="35">
        <v>54239</v>
      </c>
      <c r="B845" s="37" t="s">
        <v>992</v>
      </c>
      <c r="C845" s="37" t="s">
        <v>979</v>
      </c>
      <c r="D845" s="37" t="s">
        <v>980</v>
      </c>
      <c r="E845" s="37" t="s">
        <v>115</v>
      </c>
      <c r="F845" s="38" t="s">
        <v>114</v>
      </c>
    </row>
    <row r="846" spans="1:6" ht="13.5">
      <c r="A846" s="35">
        <v>54245</v>
      </c>
      <c r="B846" s="37" t="s">
        <v>993</v>
      </c>
      <c r="C846" s="37" t="s">
        <v>979</v>
      </c>
      <c r="D846" s="37" t="s">
        <v>980</v>
      </c>
      <c r="E846" s="37" t="s">
        <v>115</v>
      </c>
      <c r="F846" s="38" t="s">
        <v>172</v>
      </c>
    </row>
    <row r="847" spans="1:6" ht="13.5">
      <c r="A847" s="35">
        <v>54250</v>
      </c>
      <c r="B847" s="37" t="s">
        <v>994</v>
      </c>
      <c r="C847" s="37" t="s">
        <v>979</v>
      </c>
      <c r="D847" s="37" t="s">
        <v>980</v>
      </c>
      <c r="E847" s="37" t="s">
        <v>115</v>
      </c>
      <c r="F847" s="38" t="s">
        <v>172</v>
      </c>
    </row>
    <row r="848" spans="1:6" ht="13.5">
      <c r="A848" s="35">
        <v>54261</v>
      </c>
      <c r="B848" s="37" t="s">
        <v>995</v>
      </c>
      <c r="C848" s="37" t="s">
        <v>979</v>
      </c>
      <c r="D848" s="37" t="s">
        <v>980</v>
      </c>
      <c r="E848" s="37" t="s">
        <v>115</v>
      </c>
      <c r="F848" s="38" t="s">
        <v>114</v>
      </c>
    </row>
    <row r="849" spans="1:6" ht="13.5">
      <c r="A849" s="35">
        <v>54313</v>
      </c>
      <c r="B849" s="37" t="s">
        <v>996</v>
      </c>
      <c r="C849" s="37" t="s">
        <v>979</v>
      </c>
      <c r="D849" s="37" t="s">
        <v>980</v>
      </c>
      <c r="E849" s="37" t="s">
        <v>115</v>
      </c>
      <c r="F849" s="38" t="s">
        <v>114</v>
      </c>
    </row>
    <row r="850" spans="1:6" ht="13.5">
      <c r="A850" s="35">
        <v>54344</v>
      </c>
      <c r="B850" s="37" t="s">
        <v>997</v>
      </c>
      <c r="C850" s="37" t="s">
        <v>979</v>
      </c>
      <c r="D850" s="37" t="s">
        <v>980</v>
      </c>
      <c r="E850" s="37" t="s">
        <v>115</v>
      </c>
      <c r="F850" s="38" t="s">
        <v>172</v>
      </c>
    </row>
    <row r="851" spans="1:6" ht="13.5">
      <c r="A851" s="35">
        <v>54347</v>
      </c>
      <c r="B851" s="37" t="s">
        <v>998</v>
      </c>
      <c r="C851" s="37" t="s">
        <v>979</v>
      </c>
      <c r="D851" s="37" t="s">
        <v>980</v>
      </c>
      <c r="E851" s="37" t="s">
        <v>115</v>
      </c>
      <c r="F851" s="38" t="s">
        <v>212</v>
      </c>
    </row>
    <row r="852" spans="1:6" ht="13.5">
      <c r="A852" s="35">
        <v>54385</v>
      </c>
      <c r="B852" s="37" t="s">
        <v>999</v>
      </c>
      <c r="C852" s="37" t="s">
        <v>979</v>
      </c>
      <c r="D852" s="37" t="s">
        <v>140</v>
      </c>
      <c r="E852" s="37" t="s">
        <v>115</v>
      </c>
      <c r="F852" s="38" t="s">
        <v>212</v>
      </c>
    </row>
    <row r="853" spans="1:6" ht="13.5">
      <c r="A853" s="35">
        <v>54398</v>
      </c>
      <c r="B853" s="37" t="s">
        <v>1000</v>
      </c>
      <c r="C853" s="37" t="s">
        <v>979</v>
      </c>
      <c r="D853" s="37" t="s">
        <v>980</v>
      </c>
      <c r="E853" s="37" t="s">
        <v>115</v>
      </c>
      <c r="F853" s="38" t="s">
        <v>172</v>
      </c>
    </row>
    <row r="854" spans="1:6" ht="13.5">
      <c r="A854" s="35">
        <v>54377</v>
      </c>
      <c r="B854" s="37" t="s">
        <v>1001</v>
      </c>
      <c r="C854" s="37" t="s">
        <v>979</v>
      </c>
      <c r="D854" s="37" t="s">
        <v>980</v>
      </c>
      <c r="E854" s="37" t="s">
        <v>115</v>
      </c>
      <c r="F854" s="38" t="s">
        <v>172</v>
      </c>
    </row>
    <row r="855" spans="1:6" ht="13.5">
      <c r="A855" s="35">
        <v>54405</v>
      </c>
      <c r="B855" s="37" t="s">
        <v>1002</v>
      </c>
      <c r="C855" s="37" t="s">
        <v>979</v>
      </c>
      <c r="D855" s="37" t="s">
        <v>980</v>
      </c>
      <c r="E855" s="37" t="s">
        <v>115</v>
      </c>
      <c r="F855" s="38" t="s">
        <v>138</v>
      </c>
    </row>
    <row r="856" spans="1:6" ht="13.5">
      <c r="A856" s="35">
        <v>54418</v>
      </c>
      <c r="B856" s="37" t="s">
        <v>1003</v>
      </c>
      <c r="C856" s="37" t="s">
        <v>979</v>
      </c>
      <c r="D856" s="37" t="s">
        <v>980</v>
      </c>
      <c r="E856" s="37" t="s">
        <v>115</v>
      </c>
      <c r="F856" s="38" t="s">
        <v>212</v>
      </c>
    </row>
    <row r="857" spans="1:6" ht="13.5">
      <c r="A857" s="35">
        <v>54480</v>
      </c>
      <c r="B857" s="37" t="s">
        <v>1004</v>
      </c>
      <c r="C857" s="37" t="s">
        <v>979</v>
      </c>
      <c r="D857" s="37" t="s">
        <v>980</v>
      </c>
      <c r="E857" s="37" t="s">
        <v>115</v>
      </c>
      <c r="F857" s="38" t="s">
        <v>212</v>
      </c>
    </row>
    <row r="858" spans="1:6" ht="13.5">
      <c r="A858" s="35">
        <v>54498</v>
      </c>
      <c r="B858" s="37" t="s">
        <v>1005</v>
      </c>
      <c r="C858" s="37" t="s">
        <v>979</v>
      </c>
      <c r="D858" s="37" t="s">
        <v>980</v>
      </c>
      <c r="E858" s="37" t="s">
        <v>115</v>
      </c>
      <c r="F858" s="38" t="s">
        <v>172</v>
      </c>
    </row>
    <row r="859" spans="1:6" ht="13.5">
      <c r="A859" s="35">
        <v>54518</v>
      </c>
      <c r="B859" s="37" t="s">
        <v>1006</v>
      </c>
      <c r="C859" s="37" t="s">
        <v>979</v>
      </c>
      <c r="D859" s="37" t="s">
        <v>980</v>
      </c>
      <c r="E859" s="37" t="s">
        <v>115</v>
      </c>
      <c r="F859" s="38" t="s">
        <v>212</v>
      </c>
    </row>
    <row r="860" spans="1:6" ht="13.5">
      <c r="A860" s="35">
        <v>54520</v>
      </c>
      <c r="B860" s="37" t="s">
        <v>1007</v>
      </c>
      <c r="C860" s="37" t="s">
        <v>979</v>
      </c>
      <c r="D860" s="37" t="s">
        <v>980</v>
      </c>
      <c r="E860" s="37" t="s">
        <v>115</v>
      </c>
      <c r="F860" s="38" t="s">
        <v>212</v>
      </c>
    </row>
    <row r="861" spans="1:6" ht="13.5">
      <c r="A861" s="35">
        <v>54599</v>
      </c>
      <c r="B861" s="37" t="s">
        <v>1008</v>
      </c>
      <c r="C861" s="37" t="s">
        <v>979</v>
      </c>
      <c r="D861" s="37" t="s">
        <v>980</v>
      </c>
      <c r="E861" s="37" t="s">
        <v>115</v>
      </c>
      <c r="F861" s="38" t="s">
        <v>212</v>
      </c>
    </row>
    <row r="862" spans="1:6" ht="13.5">
      <c r="A862" s="35">
        <v>54660</v>
      </c>
      <c r="B862" s="37" t="s">
        <v>1009</v>
      </c>
      <c r="C862" s="37" t="s">
        <v>979</v>
      </c>
      <c r="D862" s="37" t="s">
        <v>980</v>
      </c>
      <c r="E862" s="37" t="s">
        <v>115</v>
      </c>
      <c r="F862" s="38" t="s">
        <v>114</v>
      </c>
    </row>
    <row r="863" spans="1:6" ht="13.5">
      <c r="A863" s="35">
        <v>54670</v>
      </c>
      <c r="B863" s="37" t="s">
        <v>1010</v>
      </c>
      <c r="C863" s="37" t="s">
        <v>979</v>
      </c>
      <c r="D863" s="37" t="s">
        <v>980</v>
      </c>
      <c r="E863" s="37" t="s">
        <v>115</v>
      </c>
      <c r="F863" s="38" t="s">
        <v>172</v>
      </c>
    </row>
    <row r="864" spans="1:6" ht="13.5">
      <c r="A864" s="35">
        <v>54720</v>
      </c>
      <c r="B864" s="37" t="s">
        <v>1011</v>
      </c>
      <c r="C864" s="37" t="s">
        <v>979</v>
      </c>
      <c r="D864" s="37" t="s">
        <v>980</v>
      </c>
      <c r="E864" s="37" t="s">
        <v>115</v>
      </c>
      <c r="F864" s="38" t="s">
        <v>114</v>
      </c>
    </row>
    <row r="865" spans="1:6" ht="13.5">
      <c r="A865" s="35">
        <v>54743</v>
      </c>
      <c r="B865" s="37" t="s">
        <v>1012</v>
      </c>
      <c r="C865" s="37" t="s">
        <v>979</v>
      </c>
      <c r="D865" s="37" t="s">
        <v>980</v>
      </c>
      <c r="E865" s="37" t="s">
        <v>115</v>
      </c>
      <c r="F865" s="38" t="s">
        <v>172</v>
      </c>
    </row>
    <row r="866" spans="1:6" ht="13.5">
      <c r="A866" s="35">
        <v>54800</v>
      </c>
      <c r="B866" s="37" t="s">
        <v>1013</v>
      </c>
      <c r="C866" s="37" t="s">
        <v>979</v>
      </c>
      <c r="D866" s="37" t="s">
        <v>980</v>
      </c>
      <c r="E866" s="37" t="s">
        <v>115</v>
      </c>
      <c r="F866" s="38" t="s">
        <v>172</v>
      </c>
    </row>
    <row r="867" spans="1:6" ht="13.5">
      <c r="A867" s="35">
        <v>54810</v>
      </c>
      <c r="B867" s="37" t="s">
        <v>1014</v>
      </c>
      <c r="C867" s="37" t="s">
        <v>979</v>
      </c>
      <c r="D867" s="37" t="s">
        <v>980</v>
      </c>
      <c r="E867" s="37" t="s">
        <v>115</v>
      </c>
      <c r="F867" s="38" t="s">
        <v>128</v>
      </c>
    </row>
    <row r="868" spans="1:6" ht="13.5">
      <c r="A868" s="35">
        <v>54871</v>
      </c>
      <c r="B868" s="37" t="s">
        <v>1015</v>
      </c>
      <c r="C868" s="37" t="s">
        <v>979</v>
      </c>
      <c r="D868" s="37" t="s">
        <v>980</v>
      </c>
      <c r="E868" s="37" t="s">
        <v>115</v>
      </c>
      <c r="F868" s="38" t="s">
        <v>172</v>
      </c>
    </row>
    <row r="869" spans="1:6" ht="13.5">
      <c r="A869" s="35">
        <v>54874</v>
      </c>
      <c r="B869" s="37" t="s">
        <v>1016</v>
      </c>
      <c r="C869" s="37" t="s">
        <v>979</v>
      </c>
      <c r="D869" s="37" t="s">
        <v>980</v>
      </c>
      <c r="E869" s="37" t="s">
        <v>115</v>
      </c>
      <c r="F869" s="38" t="s">
        <v>138</v>
      </c>
    </row>
    <row r="870" spans="1:6" ht="13.5">
      <c r="A870" s="35">
        <v>86219</v>
      </c>
      <c r="B870" s="36" t="s">
        <v>929</v>
      </c>
      <c r="C870" s="37" t="s">
        <v>1017</v>
      </c>
      <c r="D870" s="37" t="s">
        <v>100</v>
      </c>
      <c r="E870" s="37" t="s">
        <v>115</v>
      </c>
      <c r="F870" s="38" t="s">
        <v>114</v>
      </c>
    </row>
    <row r="871" spans="1:6" ht="13.5">
      <c r="A871" s="35">
        <v>86755</v>
      </c>
      <c r="B871" s="36" t="s">
        <v>224</v>
      </c>
      <c r="C871" s="37" t="s">
        <v>1017</v>
      </c>
      <c r="D871" s="37" t="s">
        <v>100</v>
      </c>
      <c r="E871" s="37" t="s">
        <v>115</v>
      </c>
      <c r="F871" s="38" t="s">
        <v>212</v>
      </c>
    </row>
    <row r="872" spans="1:6" ht="13.5">
      <c r="A872" s="35">
        <v>86757</v>
      </c>
      <c r="B872" s="36" t="s">
        <v>1018</v>
      </c>
      <c r="C872" s="37" t="s">
        <v>1017</v>
      </c>
      <c r="D872" s="37" t="s">
        <v>100</v>
      </c>
      <c r="E872" s="37" t="s">
        <v>115</v>
      </c>
      <c r="F872" s="38" t="s">
        <v>172</v>
      </c>
    </row>
    <row r="873" spans="1:6" ht="13.5">
      <c r="A873" s="35">
        <v>86760</v>
      </c>
      <c r="B873" s="36" t="s">
        <v>981</v>
      </c>
      <c r="C873" s="37" t="s">
        <v>1017</v>
      </c>
      <c r="D873" s="37" t="s">
        <v>100</v>
      </c>
      <c r="E873" s="37" t="s">
        <v>115</v>
      </c>
      <c r="F873" s="38" t="s">
        <v>114</v>
      </c>
    </row>
    <row r="874" spans="1:6" ht="13.5">
      <c r="A874" s="35">
        <v>86573</v>
      </c>
      <c r="B874" s="37" t="s">
        <v>1019</v>
      </c>
      <c r="C874" s="37" t="s">
        <v>1017</v>
      </c>
      <c r="D874" s="37" t="s">
        <v>100</v>
      </c>
      <c r="E874" s="39" t="s">
        <v>197</v>
      </c>
      <c r="F874" s="38" t="s">
        <v>172</v>
      </c>
    </row>
    <row r="875" spans="1:6" ht="13.5">
      <c r="A875" s="35">
        <v>86001</v>
      </c>
      <c r="B875" s="37" t="s">
        <v>1020</v>
      </c>
      <c r="C875" s="37" t="s">
        <v>1017</v>
      </c>
      <c r="D875" s="37" t="s">
        <v>100</v>
      </c>
      <c r="E875" s="37" t="s">
        <v>115</v>
      </c>
      <c r="F875" s="38" t="s">
        <v>172</v>
      </c>
    </row>
    <row r="876" spans="1:6" ht="13.5">
      <c r="A876" s="35">
        <v>86320</v>
      </c>
      <c r="B876" s="37" t="s">
        <v>1021</v>
      </c>
      <c r="C876" s="37" t="s">
        <v>1017</v>
      </c>
      <c r="D876" s="37" t="s">
        <v>100</v>
      </c>
      <c r="E876" s="37" t="s">
        <v>115</v>
      </c>
      <c r="F876" s="38" t="s">
        <v>172</v>
      </c>
    </row>
    <row r="877" spans="1:6" ht="13.5">
      <c r="A877" s="35">
        <v>86568</v>
      </c>
      <c r="B877" s="37" t="s">
        <v>1022</v>
      </c>
      <c r="C877" s="37" t="s">
        <v>1017</v>
      </c>
      <c r="D877" s="37" t="s">
        <v>100</v>
      </c>
      <c r="E877" s="37" t="s">
        <v>115</v>
      </c>
      <c r="F877" s="38" t="s">
        <v>172</v>
      </c>
    </row>
    <row r="878" spans="1:6" ht="13.5">
      <c r="A878" s="35">
        <v>86569</v>
      </c>
      <c r="B878" s="37" t="s">
        <v>1023</v>
      </c>
      <c r="C878" s="37" t="s">
        <v>1017</v>
      </c>
      <c r="D878" s="37" t="s">
        <v>100</v>
      </c>
      <c r="E878" s="37" t="s">
        <v>115</v>
      </c>
      <c r="F878" s="38" t="s">
        <v>172</v>
      </c>
    </row>
    <row r="879" spans="1:6" ht="13.5">
      <c r="A879" s="35">
        <v>86571</v>
      </c>
      <c r="B879" s="37" t="s">
        <v>1024</v>
      </c>
      <c r="C879" s="37" t="s">
        <v>1017</v>
      </c>
      <c r="D879" s="37" t="s">
        <v>100</v>
      </c>
      <c r="E879" s="37" t="s">
        <v>115</v>
      </c>
      <c r="F879" s="38" t="s">
        <v>172</v>
      </c>
    </row>
    <row r="880" spans="1:6" ht="13.5">
      <c r="A880" s="35">
        <v>86749</v>
      </c>
      <c r="B880" s="37" t="s">
        <v>1025</v>
      </c>
      <c r="C880" s="37" t="s">
        <v>1017</v>
      </c>
      <c r="D880" s="37" t="s">
        <v>100</v>
      </c>
      <c r="E880" s="37" t="s">
        <v>115</v>
      </c>
      <c r="F880" s="38" t="s">
        <v>212</v>
      </c>
    </row>
    <row r="881" spans="1:6" ht="13.5">
      <c r="A881" s="35">
        <v>86865</v>
      </c>
      <c r="B881" s="37" t="s">
        <v>1026</v>
      </c>
      <c r="C881" s="37" t="s">
        <v>1017</v>
      </c>
      <c r="D881" s="37" t="s">
        <v>100</v>
      </c>
      <c r="E881" s="37" t="s">
        <v>115</v>
      </c>
      <c r="F881" s="38" t="s">
        <v>172</v>
      </c>
    </row>
    <row r="882" spans="1:6" ht="13.5">
      <c r="A882" s="35">
        <v>86885</v>
      </c>
      <c r="B882" s="37" t="s">
        <v>1027</v>
      </c>
      <c r="C882" s="37" t="s">
        <v>1017</v>
      </c>
      <c r="D882" s="37" t="s">
        <v>100</v>
      </c>
      <c r="E882" s="37" t="s">
        <v>115</v>
      </c>
      <c r="F882" s="38" t="s">
        <v>172</v>
      </c>
    </row>
    <row r="883" spans="1:6" ht="13.5">
      <c r="A883" s="35">
        <v>63001</v>
      </c>
      <c r="B883" s="36" t="s">
        <v>209</v>
      </c>
      <c r="C883" s="37" t="s">
        <v>1028</v>
      </c>
      <c r="D883" s="37" t="s">
        <v>556</v>
      </c>
      <c r="E883" s="37" t="s">
        <v>115</v>
      </c>
      <c r="F883" s="38" t="s">
        <v>114</v>
      </c>
    </row>
    <row r="884" spans="1:6" ht="13.5">
      <c r="A884" s="35">
        <v>63111</v>
      </c>
      <c r="B884" s="36" t="s">
        <v>411</v>
      </c>
      <c r="C884" s="37" t="s">
        <v>1028</v>
      </c>
      <c r="D884" s="37" t="s">
        <v>556</v>
      </c>
      <c r="E884" s="37" t="s">
        <v>115</v>
      </c>
      <c r="F884" s="38" t="s">
        <v>114</v>
      </c>
    </row>
    <row r="885" spans="1:6" ht="13.5">
      <c r="A885" s="35">
        <v>63212</v>
      </c>
      <c r="B885" s="36" t="s">
        <v>364</v>
      </c>
      <c r="C885" s="37" t="s">
        <v>1028</v>
      </c>
      <c r="D885" s="37" t="s">
        <v>556</v>
      </c>
      <c r="E885" s="37" t="s">
        <v>115</v>
      </c>
      <c r="F885" s="38" t="s">
        <v>114</v>
      </c>
    </row>
    <row r="886" spans="1:6" ht="13.5">
      <c r="A886" s="35">
        <v>63130</v>
      </c>
      <c r="B886" s="37" t="s">
        <v>1029</v>
      </c>
      <c r="C886" s="37" t="s">
        <v>1028</v>
      </c>
      <c r="D886" s="37" t="s">
        <v>556</v>
      </c>
      <c r="E886" s="37" t="s">
        <v>115</v>
      </c>
      <c r="F886" s="38" t="s">
        <v>114</v>
      </c>
    </row>
    <row r="887" spans="1:6" ht="13.5">
      <c r="A887" s="35">
        <v>63190</v>
      </c>
      <c r="B887" s="37" t="s">
        <v>1030</v>
      </c>
      <c r="C887" s="37" t="s">
        <v>1028</v>
      </c>
      <c r="D887" s="37" t="s">
        <v>556</v>
      </c>
      <c r="E887" s="37" t="s">
        <v>115</v>
      </c>
      <c r="F887" s="38" t="s">
        <v>114</v>
      </c>
    </row>
    <row r="888" spans="1:6" ht="13.5">
      <c r="A888" s="35">
        <v>63272</v>
      </c>
      <c r="B888" s="37" t="s">
        <v>1031</v>
      </c>
      <c r="C888" s="37" t="s">
        <v>1028</v>
      </c>
      <c r="D888" s="37" t="s">
        <v>556</v>
      </c>
      <c r="E888" s="37" t="s">
        <v>115</v>
      </c>
      <c r="F888" s="38" t="s">
        <v>114</v>
      </c>
    </row>
    <row r="889" spans="1:6" ht="13.5">
      <c r="A889" s="35">
        <v>63302</v>
      </c>
      <c r="B889" s="37" t="s">
        <v>1032</v>
      </c>
      <c r="C889" s="37" t="s">
        <v>1028</v>
      </c>
      <c r="D889" s="37" t="s">
        <v>556</v>
      </c>
      <c r="E889" s="37" t="s">
        <v>115</v>
      </c>
      <c r="F889" s="38" t="s">
        <v>212</v>
      </c>
    </row>
    <row r="890" spans="1:6" ht="13.5">
      <c r="A890" s="35">
        <v>63401</v>
      </c>
      <c r="B890" s="37" t="s">
        <v>1033</v>
      </c>
      <c r="C890" s="37" t="s">
        <v>1028</v>
      </c>
      <c r="D890" s="37" t="s">
        <v>556</v>
      </c>
      <c r="E890" s="37" t="s">
        <v>115</v>
      </c>
      <c r="F890" s="38" t="s">
        <v>114</v>
      </c>
    </row>
    <row r="891" spans="1:6" ht="13.5">
      <c r="A891" s="35">
        <v>63470</v>
      </c>
      <c r="B891" s="37" t="s">
        <v>1034</v>
      </c>
      <c r="C891" s="37" t="s">
        <v>1028</v>
      </c>
      <c r="D891" s="37" t="s">
        <v>556</v>
      </c>
      <c r="E891" s="37" t="s">
        <v>115</v>
      </c>
      <c r="F891" s="38" t="s">
        <v>114</v>
      </c>
    </row>
    <row r="892" spans="1:6" ht="13.5">
      <c r="A892" s="35">
        <v>63548</v>
      </c>
      <c r="B892" s="37" t="s">
        <v>1035</v>
      </c>
      <c r="C892" s="37" t="s">
        <v>1028</v>
      </c>
      <c r="D892" s="37" t="s">
        <v>556</v>
      </c>
      <c r="E892" s="37" t="s">
        <v>115</v>
      </c>
      <c r="F892" s="38" t="s">
        <v>212</v>
      </c>
    </row>
    <row r="893" spans="1:6" ht="13.5">
      <c r="A893" s="35">
        <v>63594</v>
      </c>
      <c r="B893" s="37" t="s">
        <v>1036</v>
      </c>
      <c r="C893" s="37" t="s">
        <v>1028</v>
      </c>
      <c r="D893" s="37" t="s">
        <v>556</v>
      </c>
      <c r="E893" s="37" t="s">
        <v>115</v>
      </c>
      <c r="F893" s="38" t="s">
        <v>114</v>
      </c>
    </row>
    <row r="894" spans="1:6" ht="13.5">
      <c r="A894" s="35">
        <v>63690</v>
      </c>
      <c r="B894" s="37" t="s">
        <v>1037</v>
      </c>
      <c r="C894" s="37" t="s">
        <v>1028</v>
      </c>
      <c r="D894" s="37" t="s">
        <v>556</v>
      </c>
      <c r="E894" s="37" t="s">
        <v>115</v>
      </c>
      <c r="F894" s="38" t="s">
        <v>114</v>
      </c>
    </row>
    <row r="895" spans="1:6" ht="13.5">
      <c r="A895" s="35">
        <v>66075</v>
      </c>
      <c r="B895" s="36" t="s">
        <v>590</v>
      </c>
      <c r="C895" s="37" t="s">
        <v>549</v>
      </c>
      <c r="D895" s="37" t="s">
        <v>556</v>
      </c>
      <c r="E895" s="37" t="s">
        <v>115</v>
      </c>
      <c r="F895" s="38" t="s">
        <v>114</v>
      </c>
    </row>
    <row r="896" spans="1:6" ht="13.5">
      <c r="A896" s="35">
        <v>66045</v>
      </c>
      <c r="B896" s="37" t="s">
        <v>1038</v>
      </c>
      <c r="C896" s="37" t="s">
        <v>549</v>
      </c>
      <c r="D896" s="37" t="s">
        <v>556</v>
      </c>
      <c r="E896" s="37" t="s">
        <v>115</v>
      </c>
      <c r="F896" s="38" t="s">
        <v>114</v>
      </c>
    </row>
    <row r="897" spans="1:6" ht="13.5">
      <c r="A897" s="35">
        <v>66088</v>
      </c>
      <c r="B897" s="37" t="s">
        <v>1039</v>
      </c>
      <c r="C897" s="37" t="s">
        <v>549</v>
      </c>
      <c r="D897" s="37" t="s">
        <v>556</v>
      </c>
      <c r="E897" s="37" t="s">
        <v>115</v>
      </c>
      <c r="F897" s="38" t="s">
        <v>114</v>
      </c>
    </row>
    <row r="898" spans="1:6" ht="13.5">
      <c r="A898" s="35">
        <v>66170</v>
      </c>
      <c r="B898" s="37" t="s">
        <v>1040</v>
      </c>
      <c r="C898" s="37" t="s">
        <v>549</v>
      </c>
      <c r="D898" s="37" t="s">
        <v>556</v>
      </c>
      <c r="E898" s="37" t="s">
        <v>115</v>
      </c>
      <c r="F898" s="38" t="s">
        <v>138</v>
      </c>
    </row>
    <row r="899" spans="1:6" ht="13.5">
      <c r="A899" s="35">
        <v>66318</v>
      </c>
      <c r="B899" s="37" t="s">
        <v>1041</v>
      </c>
      <c r="C899" s="37" t="s">
        <v>549</v>
      </c>
      <c r="D899" s="37" t="s">
        <v>556</v>
      </c>
      <c r="E899" s="37" t="s">
        <v>115</v>
      </c>
      <c r="F899" s="38" t="s">
        <v>114</v>
      </c>
    </row>
    <row r="900" spans="1:6" ht="13.5">
      <c r="A900" s="35">
        <v>66383</v>
      </c>
      <c r="B900" s="37" t="s">
        <v>1042</v>
      </c>
      <c r="C900" s="37" t="s">
        <v>549</v>
      </c>
      <c r="D900" s="37" t="s">
        <v>556</v>
      </c>
      <c r="E900" s="37" t="s">
        <v>115</v>
      </c>
      <c r="F900" s="38" t="s">
        <v>114</v>
      </c>
    </row>
    <row r="901" spans="1:6" ht="13.5">
      <c r="A901" s="35">
        <v>66400</v>
      </c>
      <c r="B901" s="37" t="s">
        <v>1043</v>
      </c>
      <c r="C901" s="37" t="s">
        <v>549</v>
      </c>
      <c r="D901" s="37" t="s">
        <v>556</v>
      </c>
      <c r="E901" s="37" t="s">
        <v>115</v>
      </c>
      <c r="F901" s="38" t="s">
        <v>138</v>
      </c>
    </row>
    <row r="902" spans="1:6" ht="13.5">
      <c r="A902" s="35">
        <v>66440</v>
      </c>
      <c r="B902" s="37" t="s">
        <v>1044</v>
      </c>
      <c r="C902" s="37" t="s">
        <v>549</v>
      </c>
      <c r="D902" s="37" t="s">
        <v>556</v>
      </c>
      <c r="E902" s="37" t="s">
        <v>115</v>
      </c>
      <c r="F902" s="38" t="s">
        <v>114</v>
      </c>
    </row>
    <row r="903" spans="1:6" ht="13.5">
      <c r="A903" s="35">
        <v>66456</v>
      </c>
      <c r="B903" s="37" t="s">
        <v>1045</v>
      </c>
      <c r="C903" s="37" t="s">
        <v>549</v>
      </c>
      <c r="D903" s="37" t="s">
        <v>556</v>
      </c>
      <c r="E903" s="37" t="s">
        <v>115</v>
      </c>
      <c r="F903" s="38" t="s">
        <v>114</v>
      </c>
    </row>
    <row r="904" spans="1:6" ht="13.5">
      <c r="A904" s="35">
        <v>66001</v>
      </c>
      <c r="B904" s="37" t="s">
        <v>556</v>
      </c>
      <c r="C904" s="37" t="s">
        <v>549</v>
      </c>
      <c r="D904" s="37" t="s">
        <v>556</v>
      </c>
      <c r="E904" s="37" t="s">
        <v>115</v>
      </c>
      <c r="F904" s="38" t="s">
        <v>138</v>
      </c>
    </row>
    <row r="905" spans="1:6" ht="13.5">
      <c r="A905" s="35">
        <v>66572</v>
      </c>
      <c r="B905" s="37" t="s">
        <v>1046</v>
      </c>
      <c r="C905" s="37" t="s">
        <v>549</v>
      </c>
      <c r="D905" s="37" t="s">
        <v>556</v>
      </c>
      <c r="E905" s="37" t="s">
        <v>115</v>
      </c>
      <c r="F905" s="38" t="s">
        <v>114</v>
      </c>
    </row>
    <row r="906" spans="1:6" ht="13.5">
      <c r="A906" s="35">
        <v>66594</v>
      </c>
      <c r="B906" s="37" t="s">
        <v>1047</v>
      </c>
      <c r="C906" s="37" t="s">
        <v>549</v>
      </c>
      <c r="D906" s="37" t="s">
        <v>556</v>
      </c>
      <c r="E906" s="37" t="s">
        <v>115</v>
      </c>
      <c r="F906" s="38" t="s">
        <v>114</v>
      </c>
    </row>
    <row r="907" spans="1:6" ht="13.5">
      <c r="A907" s="35">
        <v>66682</v>
      </c>
      <c r="B907" s="37" t="s">
        <v>1048</v>
      </c>
      <c r="C907" s="37" t="s">
        <v>549</v>
      </c>
      <c r="D907" s="37" t="s">
        <v>556</v>
      </c>
      <c r="E907" s="37" t="s">
        <v>115</v>
      </c>
      <c r="F907" s="38" t="s">
        <v>138</v>
      </c>
    </row>
    <row r="908" spans="1:6" ht="13.5">
      <c r="A908" s="35">
        <v>66687</v>
      </c>
      <c r="B908" s="37" t="s">
        <v>1049</v>
      </c>
      <c r="C908" s="37" t="s">
        <v>549</v>
      </c>
      <c r="D908" s="37" t="s">
        <v>556</v>
      </c>
      <c r="E908" s="37" t="s">
        <v>115</v>
      </c>
      <c r="F908" s="38" t="s">
        <v>114</v>
      </c>
    </row>
    <row r="909" spans="1:6" ht="13.5">
      <c r="A909" s="35">
        <v>88564</v>
      </c>
      <c r="B909" s="36" t="s">
        <v>930</v>
      </c>
      <c r="C909" s="37" t="s">
        <v>1050</v>
      </c>
      <c r="D909" s="37" t="s">
        <v>340</v>
      </c>
      <c r="E909" s="37" t="s">
        <v>197</v>
      </c>
      <c r="F909" s="38" t="s">
        <v>128</v>
      </c>
    </row>
    <row r="910" spans="1:6" ht="13.5">
      <c r="A910" s="35">
        <v>88001</v>
      </c>
      <c r="B910" s="36" t="s">
        <v>1051</v>
      </c>
      <c r="C910" s="37" t="s">
        <v>1050</v>
      </c>
      <c r="D910" s="37" t="s">
        <v>340</v>
      </c>
      <c r="E910" s="37" t="s">
        <v>197</v>
      </c>
      <c r="F910" s="38" t="s">
        <v>128</v>
      </c>
    </row>
    <row r="911" spans="1:6" ht="13.5">
      <c r="A911" s="35">
        <v>68020</v>
      </c>
      <c r="B911" s="36" t="s">
        <v>557</v>
      </c>
      <c r="C911" s="37" t="s">
        <v>142</v>
      </c>
      <c r="D911" s="37" t="s">
        <v>131</v>
      </c>
      <c r="E911" s="37" t="s">
        <v>115</v>
      </c>
      <c r="F911" s="38" t="s">
        <v>212</v>
      </c>
    </row>
    <row r="912" spans="1:6" ht="13.5">
      <c r="A912" s="35">
        <v>68077</v>
      </c>
      <c r="B912" s="36" t="s">
        <v>210</v>
      </c>
      <c r="C912" s="37" t="s">
        <v>142</v>
      </c>
      <c r="D912" s="37" t="s">
        <v>131</v>
      </c>
      <c r="E912" s="37" t="s">
        <v>115</v>
      </c>
      <c r="F912" s="38" t="s">
        <v>114</v>
      </c>
    </row>
    <row r="913" spans="1:6" ht="13.5">
      <c r="A913" s="35">
        <v>68092</v>
      </c>
      <c r="B913" s="36" t="s">
        <v>211</v>
      </c>
      <c r="C913" s="37" t="s">
        <v>142</v>
      </c>
      <c r="D913" s="37" t="s">
        <v>140</v>
      </c>
      <c r="E913" s="37" t="s">
        <v>115</v>
      </c>
      <c r="F913" s="38" t="s">
        <v>172</v>
      </c>
    </row>
    <row r="914" spans="1:6" ht="13.5">
      <c r="A914" s="35">
        <v>68101</v>
      </c>
      <c r="B914" s="36" t="s">
        <v>362</v>
      </c>
      <c r="C914" s="37" t="s">
        <v>142</v>
      </c>
      <c r="D914" s="37" t="s">
        <v>131</v>
      </c>
      <c r="E914" s="37" t="s">
        <v>115</v>
      </c>
      <c r="F914" s="38" t="s">
        <v>212</v>
      </c>
    </row>
    <row r="915" spans="1:6" ht="13.5">
      <c r="A915" s="35">
        <v>68121</v>
      </c>
      <c r="B915" s="36" t="s">
        <v>709</v>
      </c>
      <c r="C915" s="37" t="s">
        <v>142</v>
      </c>
      <c r="D915" s="37" t="s">
        <v>140</v>
      </c>
      <c r="E915" s="37" t="s">
        <v>115</v>
      </c>
      <c r="F915" s="38" t="s">
        <v>212</v>
      </c>
    </row>
    <row r="916" spans="1:6" ht="13.5">
      <c r="A916" s="35">
        <v>68176</v>
      </c>
      <c r="B916" s="36" t="s">
        <v>683</v>
      </c>
      <c r="C916" s="37" t="s">
        <v>142</v>
      </c>
      <c r="D916" s="37" t="s">
        <v>140</v>
      </c>
      <c r="E916" s="37" t="s">
        <v>115</v>
      </c>
      <c r="F916" s="38" t="s">
        <v>172</v>
      </c>
    </row>
    <row r="917" spans="1:6" ht="13.5">
      <c r="A917" s="35">
        <v>68207</v>
      </c>
      <c r="B917" s="36" t="s">
        <v>215</v>
      </c>
      <c r="C917" s="37" t="s">
        <v>142</v>
      </c>
      <c r="D917" s="37" t="s">
        <v>140</v>
      </c>
      <c r="E917" s="37" t="s">
        <v>115</v>
      </c>
      <c r="F917" s="38" t="s">
        <v>172</v>
      </c>
    </row>
    <row r="918" spans="1:6" ht="13.5">
      <c r="A918" s="35">
        <v>68250</v>
      </c>
      <c r="B918" s="36" t="s">
        <v>365</v>
      </c>
      <c r="C918" s="37" t="s">
        <v>142</v>
      </c>
      <c r="D918" s="37" t="s">
        <v>140</v>
      </c>
      <c r="E918" s="37" t="s">
        <v>115</v>
      </c>
      <c r="F918" s="38" t="s">
        <v>172</v>
      </c>
    </row>
    <row r="919" spans="1:6" ht="13.5">
      <c r="A919" s="35">
        <v>68320</v>
      </c>
      <c r="B919" s="36" t="s">
        <v>218</v>
      </c>
      <c r="C919" s="37" t="s">
        <v>142</v>
      </c>
      <c r="D919" s="37" t="s">
        <v>140</v>
      </c>
      <c r="E919" s="37" t="s">
        <v>115</v>
      </c>
      <c r="F919" s="38" t="s">
        <v>172</v>
      </c>
    </row>
    <row r="920" spans="1:6" ht="13.5">
      <c r="A920" s="35">
        <v>68397</v>
      </c>
      <c r="B920" s="36" t="s">
        <v>626</v>
      </c>
      <c r="C920" s="37" t="s">
        <v>142</v>
      </c>
      <c r="D920" s="37" t="s">
        <v>140</v>
      </c>
      <c r="E920" s="37" t="s">
        <v>115</v>
      </c>
      <c r="F920" s="38" t="s">
        <v>172</v>
      </c>
    </row>
    <row r="921" spans="1:6" ht="13.5">
      <c r="A921" s="35">
        <v>68615</v>
      </c>
      <c r="B921" s="36" t="s">
        <v>221</v>
      </c>
      <c r="C921" s="37" t="s">
        <v>142</v>
      </c>
      <c r="D921" s="37" t="s">
        <v>140</v>
      </c>
      <c r="E921" s="37" t="s">
        <v>115</v>
      </c>
      <c r="F921" s="38" t="s">
        <v>114</v>
      </c>
    </row>
    <row r="922" spans="1:6" ht="13.5">
      <c r="A922" s="35">
        <v>68669</v>
      </c>
      <c r="B922" s="36" t="s">
        <v>1051</v>
      </c>
      <c r="C922" s="37" t="s">
        <v>142</v>
      </c>
      <c r="D922" s="37" t="s">
        <v>140</v>
      </c>
      <c r="E922" s="37" t="s">
        <v>115</v>
      </c>
      <c r="F922" s="38" t="s">
        <v>212</v>
      </c>
    </row>
    <row r="923" spans="1:6" ht="13.5">
      <c r="A923" s="35">
        <v>68686</v>
      </c>
      <c r="B923" s="36" t="s">
        <v>1018</v>
      </c>
      <c r="C923" s="37" t="s">
        <v>142</v>
      </c>
      <c r="D923" s="37" t="s">
        <v>131</v>
      </c>
      <c r="E923" s="37" t="s">
        <v>115</v>
      </c>
      <c r="F923" s="38" t="s">
        <v>172</v>
      </c>
    </row>
    <row r="924" spans="1:6" ht="13.5">
      <c r="A924" s="35">
        <v>68705</v>
      </c>
      <c r="B924" s="36" t="s">
        <v>227</v>
      </c>
      <c r="C924" s="37" t="s">
        <v>142</v>
      </c>
      <c r="D924" s="37" t="s">
        <v>140</v>
      </c>
      <c r="E924" s="37" t="s">
        <v>115</v>
      </c>
      <c r="F924" s="38" t="s">
        <v>114</v>
      </c>
    </row>
    <row r="925" spans="1:6" ht="13.5">
      <c r="A925" s="35">
        <v>68773</v>
      </c>
      <c r="B925" s="36" t="s">
        <v>594</v>
      </c>
      <c r="C925" s="37" t="s">
        <v>142</v>
      </c>
      <c r="D925" s="37" t="s">
        <v>131</v>
      </c>
      <c r="E925" s="37" t="s">
        <v>115</v>
      </c>
      <c r="F925" s="38" t="s">
        <v>212</v>
      </c>
    </row>
    <row r="926" spans="1:6" ht="13.5">
      <c r="A926" s="35">
        <v>68872</v>
      </c>
      <c r="B926" s="36" t="s">
        <v>371</v>
      </c>
      <c r="C926" s="37" t="s">
        <v>142</v>
      </c>
      <c r="D926" s="37" t="s">
        <v>140</v>
      </c>
      <c r="E926" s="37" t="s">
        <v>115</v>
      </c>
      <c r="F926" s="38" t="s">
        <v>212</v>
      </c>
    </row>
    <row r="927" spans="1:6" ht="13.5">
      <c r="A927" s="35">
        <v>68013</v>
      </c>
      <c r="B927" s="37" t="s">
        <v>1052</v>
      </c>
      <c r="C927" s="37" t="s">
        <v>142</v>
      </c>
      <c r="D927" s="37" t="s">
        <v>140</v>
      </c>
      <c r="E927" s="37" t="s">
        <v>115</v>
      </c>
      <c r="F927" s="38" t="s">
        <v>172</v>
      </c>
    </row>
    <row r="928" spans="1:6" ht="13.5">
      <c r="A928" s="35">
        <v>68051</v>
      </c>
      <c r="B928" s="37" t="s">
        <v>1053</v>
      </c>
      <c r="C928" s="37" t="s">
        <v>142</v>
      </c>
      <c r="D928" s="37" t="s">
        <v>140</v>
      </c>
      <c r="E928" s="37" t="s">
        <v>115</v>
      </c>
      <c r="F928" s="38" t="s">
        <v>114</v>
      </c>
    </row>
    <row r="929" spans="1:6" ht="13.5">
      <c r="A929" s="35">
        <v>68079</v>
      </c>
      <c r="B929" s="37" t="s">
        <v>1054</v>
      </c>
      <c r="C929" s="37" t="s">
        <v>142</v>
      </c>
      <c r="D929" s="37" t="s">
        <v>140</v>
      </c>
      <c r="E929" s="37" t="s">
        <v>115</v>
      </c>
      <c r="F929" s="38" t="s">
        <v>212</v>
      </c>
    </row>
    <row r="930" spans="1:6" ht="13.5">
      <c r="A930" s="35">
        <v>68081</v>
      </c>
      <c r="B930" s="37" t="s">
        <v>1055</v>
      </c>
      <c r="C930" s="37" t="s">
        <v>142</v>
      </c>
      <c r="D930" s="37" t="s">
        <v>140</v>
      </c>
      <c r="E930" s="37" t="s">
        <v>115</v>
      </c>
      <c r="F930" s="38" t="s">
        <v>212</v>
      </c>
    </row>
    <row r="931" spans="1:6" ht="13.5">
      <c r="A931" s="35">
        <v>68001</v>
      </c>
      <c r="B931" s="37" t="s">
        <v>140</v>
      </c>
      <c r="C931" s="37" t="s">
        <v>142</v>
      </c>
      <c r="D931" s="37" t="s">
        <v>140</v>
      </c>
      <c r="E931" s="37" t="s">
        <v>115</v>
      </c>
      <c r="F931" s="38" t="s">
        <v>138</v>
      </c>
    </row>
    <row r="932" spans="1:6" ht="13.5">
      <c r="A932" s="35">
        <v>68132</v>
      </c>
      <c r="B932" s="37" t="s">
        <v>1056</v>
      </c>
      <c r="C932" s="37" t="s">
        <v>142</v>
      </c>
      <c r="D932" s="37" t="s">
        <v>140</v>
      </c>
      <c r="E932" s="37" t="s">
        <v>115</v>
      </c>
      <c r="F932" s="38" t="s">
        <v>212</v>
      </c>
    </row>
    <row r="933" spans="1:6" ht="13.5">
      <c r="A933" s="35">
        <v>68147</v>
      </c>
      <c r="B933" s="37" t="s">
        <v>1057</v>
      </c>
      <c r="C933" s="37" t="s">
        <v>142</v>
      </c>
      <c r="D933" s="37" t="s">
        <v>140</v>
      </c>
      <c r="E933" s="37" t="s">
        <v>115</v>
      </c>
      <c r="F933" s="38" t="s">
        <v>172</v>
      </c>
    </row>
    <row r="934" spans="1:6" ht="13.5">
      <c r="A934" s="35">
        <v>68152</v>
      </c>
      <c r="B934" s="37" t="s">
        <v>1058</v>
      </c>
      <c r="C934" s="37" t="s">
        <v>142</v>
      </c>
      <c r="D934" s="37" t="s">
        <v>140</v>
      </c>
      <c r="E934" s="37" t="s">
        <v>115</v>
      </c>
      <c r="F934" s="38" t="s">
        <v>172</v>
      </c>
    </row>
    <row r="935" spans="1:6" ht="13.5">
      <c r="A935" s="35">
        <v>68160</v>
      </c>
      <c r="B935" s="37" t="s">
        <v>1059</v>
      </c>
      <c r="C935" s="37" t="s">
        <v>142</v>
      </c>
      <c r="D935" s="37" t="s">
        <v>140</v>
      </c>
      <c r="E935" s="37" t="s">
        <v>115</v>
      </c>
      <c r="F935" s="38" t="s">
        <v>212</v>
      </c>
    </row>
    <row r="936" spans="1:6" ht="13.5">
      <c r="A936" s="35">
        <v>68162</v>
      </c>
      <c r="B936" s="37" t="s">
        <v>1060</v>
      </c>
      <c r="C936" s="37" t="s">
        <v>142</v>
      </c>
      <c r="D936" s="37" t="s">
        <v>140</v>
      </c>
      <c r="E936" s="37" t="s">
        <v>115</v>
      </c>
      <c r="F936" s="38" t="s">
        <v>172</v>
      </c>
    </row>
    <row r="937" spans="1:6" ht="13.5">
      <c r="A937" s="35">
        <v>68167</v>
      </c>
      <c r="B937" s="37" t="s">
        <v>1061</v>
      </c>
      <c r="C937" s="37" t="s">
        <v>142</v>
      </c>
      <c r="D937" s="37" t="s">
        <v>140</v>
      </c>
      <c r="E937" s="37" t="s">
        <v>115</v>
      </c>
      <c r="F937" s="38" t="s">
        <v>172</v>
      </c>
    </row>
    <row r="938" spans="1:6" ht="13.5">
      <c r="A938" s="35">
        <v>68169</v>
      </c>
      <c r="B938" s="37" t="s">
        <v>1062</v>
      </c>
      <c r="C938" s="37" t="s">
        <v>142</v>
      </c>
      <c r="D938" s="37" t="s">
        <v>140</v>
      </c>
      <c r="E938" s="37" t="s">
        <v>115</v>
      </c>
      <c r="F938" s="38" t="s">
        <v>114</v>
      </c>
    </row>
    <row r="939" spans="1:6" ht="13.5">
      <c r="A939" s="35">
        <v>68179</v>
      </c>
      <c r="B939" s="37" t="s">
        <v>1063</v>
      </c>
      <c r="C939" s="37" t="s">
        <v>142</v>
      </c>
      <c r="D939" s="37" t="s">
        <v>131</v>
      </c>
      <c r="E939" s="37" t="s">
        <v>115</v>
      </c>
      <c r="F939" s="38" t="s">
        <v>172</v>
      </c>
    </row>
    <row r="940" spans="1:6" ht="13.5">
      <c r="A940" s="35">
        <v>68190</v>
      </c>
      <c r="B940" s="37" t="s">
        <v>1064</v>
      </c>
      <c r="C940" s="37" t="s">
        <v>142</v>
      </c>
      <c r="D940" s="37" t="s">
        <v>140</v>
      </c>
      <c r="E940" s="37" t="s">
        <v>115</v>
      </c>
      <c r="F940" s="38" t="s">
        <v>172</v>
      </c>
    </row>
    <row r="941" spans="1:6" ht="13.5">
      <c r="A941" s="35">
        <v>68209</v>
      </c>
      <c r="B941" s="37" t="s">
        <v>1065</v>
      </c>
      <c r="C941" s="37" t="s">
        <v>142</v>
      </c>
      <c r="D941" s="37" t="s">
        <v>140</v>
      </c>
      <c r="E941" s="37" t="s">
        <v>115</v>
      </c>
      <c r="F941" s="38" t="s">
        <v>212</v>
      </c>
    </row>
    <row r="942" spans="1:6" ht="13.5">
      <c r="A942" s="35">
        <v>68211</v>
      </c>
      <c r="B942" s="37" t="s">
        <v>1066</v>
      </c>
      <c r="C942" s="37" t="s">
        <v>142</v>
      </c>
      <c r="D942" s="37" t="s">
        <v>140</v>
      </c>
      <c r="E942" s="37" t="s">
        <v>115</v>
      </c>
      <c r="F942" s="38" t="s">
        <v>172</v>
      </c>
    </row>
    <row r="943" spans="1:6" ht="13.5">
      <c r="A943" s="35">
        <v>68217</v>
      </c>
      <c r="B943" s="37" t="s">
        <v>1067</v>
      </c>
      <c r="C943" s="37" t="s">
        <v>142</v>
      </c>
      <c r="D943" s="37" t="s">
        <v>140</v>
      </c>
      <c r="E943" s="37" t="s">
        <v>115</v>
      </c>
      <c r="F943" s="38" t="s">
        <v>172</v>
      </c>
    </row>
    <row r="944" spans="1:6" ht="13.5">
      <c r="A944" s="35">
        <v>68229</v>
      </c>
      <c r="B944" s="37" t="s">
        <v>1068</v>
      </c>
      <c r="C944" s="37" t="s">
        <v>142</v>
      </c>
      <c r="D944" s="37" t="s">
        <v>140</v>
      </c>
      <c r="E944" s="37" t="s">
        <v>115</v>
      </c>
      <c r="F944" s="38" t="s">
        <v>114</v>
      </c>
    </row>
    <row r="945" spans="1:6" ht="13.5">
      <c r="A945" s="35">
        <v>68235</v>
      </c>
      <c r="B945" s="37" t="s">
        <v>1069</v>
      </c>
      <c r="C945" s="37" t="s">
        <v>142</v>
      </c>
      <c r="D945" s="37" t="s">
        <v>140</v>
      </c>
      <c r="E945" s="37" t="s">
        <v>115</v>
      </c>
      <c r="F945" s="38" t="s">
        <v>172</v>
      </c>
    </row>
    <row r="946" spans="1:6" ht="13.5">
      <c r="A946" s="35">
        <v>68245</v>
      </c>
      <c r="B946" s="37" t="s">
        <v>1070</v>
      </c>
      <c r="C946" s="37" t="s">
        <v>142</v>
      </c>
      <c r="D946" s="37" t="s">
        <v>140</v>
      </c>
      <c r="E946" s="37" t="s">
        <v>115</v>
      </c>
      <c r="F946" s="38" t="s">
        <v>172</v>
      </c>
    </row>
    <row r="947" spans="1:6" ht="13.5">
      <c r="A947" s="35">
        <v>68255</v>
      </c>
      <c r="B947" s="37" t="s">
        <v>1071</v>
      </c>
      <c r="C947" s="37" t="s">
        <v>142</v>
      </c>
      <c r="D947" s="37" t="s">
        <v>140</v>
      </c>
      <c r="E947" s="37" t="s">
        <v>115</v>
      </c>
      <c r="F947" s="38" t="s">
        <v>114</v>
      </c>
    </row>
    <row r="948" spans="1:6" ht="13.5">
      <c r="A948" s="35">
        <v>68264</v>
      </c>
      <c r="B948" s="37" t="s">
        <v>1072</v>
      </c>
      <c r="C948" s="37" t="s">
        <v>142</v>
      </c>
      <c r="D948" s="37" t="s">
        <v>140</v>
      </c>
      <c r="E948" s="37" t="s">
        <v>115</v>
      </c>
      <c r="F948" s="38" t="s">
        <v>172</v>
      </c>
    </row>
    <row r="949" spans="1:6" ht="13.5">
      <c r="A949" s="35">
        <v>68266</v>
      </c>
      <c r="B949" s="37" t="s">
        <v>1073</v>
      </c>
      <c r="C949" s="37" t="s">
        <v>142</v>
      </c>
      <c r="D949" s="37" t="s">
        <v>140</v>
      </c>
      <c r="E949" s="37" t="s">
        <v>115</v>
      </c>
      <c r="F949" s="38" t="s">
        <v>172</v>
      </c>
    </row>
    <row r="950" spans="1:6" ht="13.5">
      <c r="A950" s="35">
        <v>68271</v>
      </c>
      <c r="B950" s="37" t="s">
        <v>1074</v>
      </c>
      <c r="C950" s="37" t="s">
        <v>142</v>
      </c>
      <c r="D950" s="37" t="s">
        <v>131</v>
      </c>
      <c r="E950" s="37" t="s">
        <v>115</v>
      </c>
      <c r="F950" s="38" t="s">
        <v>172</v>
      </c>
    </row>
    <row r="951" spans="1:6" ht="13.5">
      <c r="A951" s="35">
        <v>68276</v>
      </c>
      <c r="B951" s="37" t="s">
        <v>1075</v>
      </c>
      <c r="C951" s="37" t="s">
        <v>142</v>
      </c>
      <c r="D951" s="37" t="s">
        <v>140</v>
      </c>
      <c r="E951" s="37" t="s">
        <v>115</v>
      </c>
      <c r="F951" s="38" t="s">
        <v>138</v>
      </c>
    </row>
    <row r="952" spans="1:6" ht="13.5">
      <c r="A952" s="35">
        <v>68296</v>
      </c>
      <c r="B952" s="37" t="s">
        <v>1076</v>
      </c>
      <c r="C952" s="37" t="s">
        <v>142</v>
      </c>
      <c r="D952" s="37" t="s">
        <v>140</v>
      </c>
      <c r="E952" s="37" t="s">
        <v>115</v>
      </c>
      <c r="F952" s="38" t="s">
        <v>212</v>
      </c>
    </row>
    <row r="953" spans="1:6" ht="13.5">
      <c r="A953" s="35">
        <v>68298</v>
      </c>
      <c r="B953" s="37" t="s">
        <v>1077</v>
      </c>
      <c r="C953" s="37" t="s">
        <v>142</v>
      </c>
      <c r="D953" s="37" t="s">
        <v>140</v>
      </c>
      <c r="E953" s="37" t="s">
        <v>115</v>
      </c>
      <c r="F953" s="38" t="s">
        <v>172</v>
      </c>
    </row>
    <row r="954" spans="1:6" ht="13.5">
      <c r="A954" s="35">
        <v>68307</v>
      </c>
      <c r="B954" s="37" t="s">
        <v>143</v>
      </c>
      <c r="C954" s="37" t="s">
        <v>142</v>
      </c>
      <c r="D954" s="37" t="s">
        <v>140</v>
      </c>
      <c r="E954" s="37" t="s">
        <v>115</v>
      </c>
      <c r="F954" s="38" t="s">
        <v>138</v>
      </c>
    </row>
    <row r="955" spans="1:6" ht="13.5">
      <c r="A955" s="35">
        <v>68318</v>
      </c>
      <c r="B955" s="37" t="s">
        <v>1078</v>
      </c>
      <c r="C955" s="37" t="s">
        <v>142</v>
      </c>
      <c r="D955" s="37" t="s">
        <v>140</v>
      </c>
      <c r="E955" s="37" t="s">
        <v>115</v>
      </c>
      <c r="F955" s="38" t="s">
        <v>212</v>
      </c>
    </row>
    <row r="956" spans="1:6" ht="13.5">
      <c r="A956" s="35">
        <v>68322</v>
      </c>
      <c r="B956" s="37" t="s">
        <v>1079</v>
      </c>
      <c r="C956" s="37" t="s">
        <v>142</v>
      </c>
      <c r="D956" s="37" t="s">
        <v>140</v>
      </c>
      <c r="E956" s="37" t="s">
        <v>115</v>
      </c>
      <c r="F956" s="38" t="s">
        <v>172</v>
      </c>
    </row>
    <row r="957" spans="1:6" ht="13.5">
      <c r="A957" s="35">
        <v>68324</v>
      </c>
      <c r="B957" s="37" t="s">
        <v>1080</v>
      </c>
      <c r="C957" s="37" t="s">
        <v>142</v>
      </c>
      <c r="D957" s="37" t="s">
        <v>140</v>
      </c>
      <c r="E957" s="37" t="s">
        <v>115</v>
      </c>
      <c r="F957" s="38" t="s">
        <v>172</v>
      </c>
    </row>
    <row r="958" spans="1:6" ht="13.5">
      <c r="A958" s="35">
        <v>68327</v>
      </c>
      <c r="B958" s="37" t="s">
        <v>1081</v>
      </c>
      <c r="C958" s="37" t="s">
        <v>142</v>
      </c>
      <c r="D958" s="37" t="s">
        <v>140</v>
      </c>
      <c r="E958" s="37" t="s">
        <v>115</v>
      </c>
      <c r="F958" s="38" t="s">
        <v>212</v>
      </c>
    </row>
    <row r="959" spans="1:6" ht="13.5">
      <c r="A959" s="35">
        <v>68344</v>
      </c>
      <c r="B959" s="37" t="s">
        <v>1082</v>
      </c>
      <c r="C959" s="37" t="s">
        <v>142</v>
      </c>
      <c r="D959" s="37" t="s">
        <v>140</v>
      </c>
      <c r="E959" s="37" t="s">
        <v>115</v>
      </c>
      <c r="F959" s="38" t="s">
        <v>212</v>
      </c>
    </row>
    <row r="960" spans="1:6" ht="13.5">
      <c r="A960" s="35">
        <v>68368</v>
      </c>
      <c r="B960" s="37" t="s">
        <v>1083</v>
      </c>
      <c r="C960" s="37" t="s">
        <v>142</v>
      </c>
      <c r="D960" s="37" t="s">
        <v>131</v>
      </c>
      <c r="E960" s="37" t="s">
        <v>115</v>
      </c>
      <c r="F960" s="38" t="s">
        <v>172</v>
      </c>
    </row>
    <row r="961" spans="1:6" ht="13.5">
      <c r="A961" s="35">
        <v>68370</v>
      </c>
      <c r="B961" s="37" t="s">
        <v>1084</v>
      </c>
      <c r="C961" s="37" t="s">
        <v>142</v>
      </c>
      <c r="D961" s="37" t="s">
        <v>140</v>
      </c>
      <c r="E961" s="37" t="s">
        <v>115</v>
      </c>
      <c r="F961" s="38" t="s">
        <v>212</v>
      </c>
    </row>
    <row r="962" spans="1:6" ht="13.5">
      <c r="A962" s="35">
        <v>68377</v>
      </c>
      <c r="B962" s="37" t="s">
        <v>1085</v>
      </c>
      <c r="C962" s="37" t="s">
        <v>142</v>
      </c>
      <c r="D962" s="37" t="s">
        <v>131</v>
      </c>
      <c r="E962" s="37" t="s">
        <v>115</v>
      </c>
      <c r="F962" s="38" t="s">
        <v>172</v>
      </c>
    </row>
    <row r="963" spans="1:6" ht="13.5">
      <c r="A963" s="35">
        <v>68385</v>
      </c>
      <c r="B963" s="37" t="s">
        <v>1086</v>
      </c>
      <c r="C963" s="37" t="s">
        <v>142</v>
      </c>
      <c r="D963" s="37" t="s">
        <v>131</v>
      </c>
      <c r="E963" s="37" t="s">
        <v>115</v>
      </c>
      <c r="F963" s="38" t="s">
        <v>212</v>
      </c>
    </row>
    <row r="964" spans="1:6" ht="13.5">
      <c r="A964" s="35">
        <v>68406</v>
      </c>
      <c r="B964" s="37" t="s">
        <v>1087</v>
      </c>
      <c r="C964" s="37" t="s">
        <v>142</v>
      </c>
      <c r="D964" s="37" t="s">
        <v>140</v>
      </c>
      <c r="E964" s="37" t="s">
        <v>115</v>
      </c>
      <c r="F964" s="38" t="s">
        <v>114</v>
      </c>
    </row>
    <row r="965" spans="1:6" ht="13.5">
      <c r="A965" s="35">
        <v>68418</v>
      </c>
      <c r="B965" s="37" t="s">
        <v>1088</v>
      </c>
      <c r="C965" s="37" t="s">
        <v>142</v>
      </c>
      <c r="D965" s="37" t="s">
        <v>140</v>
      </c>
      <c r="E965" s="37" t="s">
        <v>115</v>
      </c>
      <c r="F965" s="38" t="s">
        <v>114</v>
      </c>
    </row>
    <row r="966" spans="1:6" ht="13.5">
      <c r="A966" s="35">
        <v>68425</v>
      </c>
      <c r="B966" s="37" t="s">
        <v>1089</v>
      </c>
      <c r="C966" s="37" t="s">
        <v>142</v>
      </c>
      <c r="D966" s="37" t="s">
        <v>140</v>
      </c>
      <c r="E966" s="37" t="s">
        <v>115</v>
      </c>
      <c r="F966" s="38" t="s">
        <v>172</v>
      </c>
    </row>
    <row r="967" spans="1:6" ht="13.5">
      <c r="A967" s="35">
        <v>68432</v>
      </c>
      <c r="B967" s="37" t="s">
        <v>1090</v>
      </c>
      <c r="C967" s="37" t="s">
        <v>142</v>
      </c>
      <c r="D967" s="37" t="s">
        <v>140</v>
      </c>
      <c r="E967" s="37" t="s">
        <v>115</v>
      </c>
      <c r="F967" s="38" t="s">
        <v>172</v>
      </c>
    </row>
    <row r="968" spans="1:6" ht="13.5">
      <c r="A968" s="35">
        <v>68444</v>
      </c>
      <c r="B968" s="37" t="s">
        <v>1091</v>
      </c>
      <c r="C968" s="37" t="s">
        <v>142</v>
      </c>
      <c r="D968" s="37" t="s">
        <v>140</v>
      </c>
      <c r="E968" s="37" t="s">
        <v>115</v>
      </c>
      <c r="F968" s="38" t="s">
        <v>212</v>
      </c>
    </row>
    <row r="969" spans="1:6" ht="13.5">
      <c r="A969" s="35">
        <v>68464</v>
      </c>
      <c r="B969" s="37" t="s">
        <v>1092</v>
      </c>
      <c r="C969" s="37" t="s">
        <v>142</v>
      </c>
      <c r="D969" s="37" t="s">
        <v>140</v>
      </c>
      <c r="E969" s="37" t="s">
        <v>115</v>
      </c>
      <c r="F969" s="38" t="s">
        <v>212</v>
      </c>
    </row>
    <row r="970" spans="1:6" ht="13.5">
      <c r="A970" s="35">
        <v>68468</v>
      </c>
      <c r="B970" s="37" t="s">
        <v>1093</v>
      </c>
      <c r="C970" s="37" t="s">
        <v>142</v>
      </c>
      <c r="D970" s="37" t="s">
        <v>140</v>
      </c>
      <c r="E970" s="37" t="s">
        <v>115</v>
      </c>
      <c r="F970" s="38" t="s">
        <v>172</v>
      </c>
    </row>
    <row r="971" spans="1:6" ht="13.5">
      <c r="A971" s="35">
        <v>68498</v>
      </c>
      <c r="B971" s="37" t="s">
        <v>1094</v>
      </c>
      <c r="C971" s="37" t="s">
        <v>142</v>
      </c>
      <c r="D971" s="37" t="s">
        <v>140</v>
      </c>
      <c r="E971" s="37" t="s">
        <v>115</v>
      </c>
      <c r="F971" s="38" t="s">
        <v>172</v>
      </c>
    </row>
    <row r="972" spans="1:6" ht="13.5">
      <c r="A972" s="35">
        <v>68500</v>
      </c>
      <c r="B972" s="37" t="s">
        <v>1095</v>
      </c>
      <c r="C972" s="37" t="s">
        <v>142</v>
      </c>
      <c r="D972" s="37" t="s">
        <v>140</v>
      </c>
      <c r="E972" s="37" t="s">
        <v>115</v>
      </c>
      <c r="F972" s="38" t="s">
        <v>212</v>
      </c>
    </row>
    <row r="973" spans="1:6" ht="13.5">
      <c r="A973" s="35">
        <v>68502</v>
      </c>
      <c r="B973" s="37" t="s">
        <v>1096</v>
      </c>
      <c r="C973" s="37" t="s">
        <v>142</v>
      </c>
      <c r="D973" s="37" t="s">
        <v>140</v>
      </c>
      <c r="E973" s="37" t="s">
        <v>115</v>
      </c>
      <c r="F973" s="38" t="s">
        <v>172</v>
      </c>
    </row>
    <row r="974" spans="1:6" ht="13.5">
      <c r="A974" s="35">
        <v>68522</v>
      </c>
      <c r="B974" s="37" t="s">
        <v>1097</v>
      </c>
      <c r="C974" s="37" t="s">
        <v>142</v>
      </c>
      <c r="D974" s="37" t="s">
        <v>140</v>
      </c>
      <c r="E974" s="37" t="s">
        <v>115</v>
      </c>
      <c r="F974" s="38" t="s">
        <v>212</v>
      </c>
    </row>
    <row r="975" spans="1:6" ht="13.5">
      <c r="A975" s="35">
        <v>68524</v>
      </c>
      <c r="B975" s="37" t="s">
        <v>1098</v>
      </c>
      <c r="C975" s="37" t="s">
        <v>142</v>
      </c>
      <c r="D975" s="37" t="s">
        <v>140</v>
      </c>
      <c r="E975" s="37" t="s">
        <v>115</v>
      </c>
      <c r="F975" s="38" t="s">
        <v>212</v>
      </c>
    </row>
    <row r="976" spans="1:6" ht="13.5">
      <c r="A976" s="35">
        <v>68533</v>
      </c>
      <c r="B976" s="37" t="s">
        <v>1099</v>
      </c>
      <c r="C976" s="37" t="s">
        <v>142</v>
      </c>
      <c r="D976" s="37" t="s">
        <v>140</v>
      </c>
      <c r="E976" s="37" t="s">
        <v>115</v>
      </c>
      <c r="F976" s="38" t="s">
        <v>212</v>
      </c>
    </row>
    <row r="977" spans="1:6" ht="13.5">
      <c r="A977" s="35">
        <v>68547</v>
      </c>
      <c r="B977" s="37" t="s">
        <v>1100</v>
      </c>
      <c r="C977" s="37" t="s">
        <v>142</v>
      </c>
      <c r="D977" s="37" t="s">
        <v>140</v>
      </c>
      <c r="E977" s="37" t="s">
        <v>115</v>
      </c>
      <c r="F977" s="38" t="s">
        <v>114</v>
      </c>
    </row>
    <row r="978" spans="1:6" ht="13.5">
      <c r="A978" s="35">
        <v>68549</v>
      </c>
      <c r="B978" s="37" t="s">
        <v>1101</v>
      </c>
      <c r="C978" s="37" t="s">
        <v>142</v>
      </c>
      <c r="D978" s="37" t="s">
        <v>140</v>
      </c>
      <c r="E978" s="37" t="s">
        <v>115</v>
      </c>
      <c r="F978" s="38" t="s">
        <v>212</v>
      </c>
    </row>
    <row r="979" spans="1:6" ht="13.5">
      <c r="A979" s="35">
        <v>68572</v>
      </c>
      <c r="B979" s="37" t="s">
        <v>1102</v>
      </c>
      <c r="C979" s="37" t="s">
        <v>142</v>
      </c>
      <c r="D979" s="37" t="s">
        <v>131</v>
      </c>
      <c r="E979" s="37" t="s">
        <v>115</v>
      </c>
      <c r="F979" s="38" t="s">
        <v>114</v>
      </c>
    </row>
    <row r="980" spans="1:6" ht="13.5">
      <c r="A980" s="35">
        <v>68573</v>
      </c>
      <c r="B980" s="37" t="s">
        <v>1103</v>
      </c>
      <c r="C980" s="37" t="s">
        <v>142</v>
      </c>
      <c r="D980" s="37" t="s">
        <v>140</v>
      </c>
      <c r="E980" s="37" t="s">
        <v>115</v>
      </c>
      <c r="F980" s="38" t="s">
        <v>212</v>
      </c>
    </row>
    <row r="981" spans="1:6" ht="13.5">
      <c r="A981" s="35">
        <v>68575</v>
      </c>
      <c r="B981" s="37" t="s">
        <v>1104</v>
      </c>
      <c r="C981" s="37" t="s">
        <v>142</v>
      </c>
      <c r="D981" s="37" t="s">
        <v>140</v>
      </c>
      <c r="E981" s="37" t="s">
        <v>115</v>
      </c>
      <c r="F981" s="38" t="s">
        <v>172</v>
      </c>
    </row>
    <row r="982" spans="1:6" ht="13.5">
      <c r="A982" s="35">
        <v>68655</v>
      </c>
      <c r="B982" s="37" t="s">
        <v>1105</v>
      </c>
      <c r="C982" s="37" t="s">
        <v>142</v>
      </c>
      <c r="D982" s="37" t="s">
        <v>140</v>
      </c>
      <c r="E982" s="37" t="s">
        <v>115</v>
      </c>
      <c r="F982" s="38" t="s">
        <v>212</v>
      </c>
    </row>
    <row r="983" spans="1:6" ht="13.5">
      <c r="A983" s="35">
        <v>68673</v>
      </c>
      <c r="B983" s="37" t="s">
        <v>1106</v>
      </c>
      <c r="C983" s="37" t="s">
        <v>142</v>
      </c>
      <c r="D983" s="37" t="s">
        <v>140</v>
      </c>
      <c r="E983" s="37" t="s">
        <v>115</v>
      </c>
      <c r="F983" s="38" t="s">
        <v>172</v>
      </c>
    </row>
    <row r="984" spans="1:6" ht="13.5">
      <c r="A984" s="35">
        <v>68679</v>
      </c>
      <c r="B984" s="37" t="s">
        <v>1107</v>
      </c>
      <c r="C984" s="37" t="s">
        <v>142</v>
      </c>
      <c r="D984" s="37" t="s">
        <v>140</v>
      </c>
      <c r="E984" s="37" t="s">
        <v>115</v>
      </c>
      <c r="F984" s="38" t="s">
        <v>114</v>
      </c>
    </row>
    <row r="985" spans="1:6" ht="13.5">
      <c r="A985" s="35">
        <v>68682</v>
      </c>
      <c r="B985" s="37" t="s">
        <v>1108</v>
      </c>
      <c r="C985" s="37" t="s">
        <v>142</v>
      </c>
      <c r="D985" s="37" t="s">
        <v>140</v>
      </c>
      <c r="E985" s="37" t="s">
        <v>115</v>
      </c>
      <c r="F985" s="38" t="s">
        <v>172</v>
      </c>
    </row>
    <row r="986" spans="1:6" ht="13.5">
      <c r="A986" s="35">
        <v>68684</v>
      </c>
      <c r="B986" s="37" t="s">
        <v>1109</v>
      </c>
      <c r="C986" s="37" t="s">
        <v>142</v>
      </c>
      <c r="D986" s="37" t="s">
        <v>140</v>
      </c>
      <c r="E986" s="37" t="s">
        <v>115</v>
      </c>
      <c r="F986" s="38" t="s">
        <v>172</v>
      </c>
    </row>
    <row r="987" spans="1:6" ht="13.5">
      <c r="A987" s="35">
        <v>68689</v>
      </c>
      <c r="B987" s="37" t="s">
        <v>1110</v>
      </c>
      <c r="C987" s="37" t="s">
        <v>142</v>
      </c>
      <c r="D987" s="37" t="s">
        <v>140</v>
      </c>
      <c r="E987" s="37" t="s">
        <v>115</v>
      </c>
      <c r="F987" s="38" t="s">
        <v>212</v>
      </c>
    </row>
    <row r="988" spans="1:6" ht="13.5">
      <c r="A988" s="35">
        <v>68720</v>
      </c>
      <c r="B988" s="37" t="s">
        <v>1111</v>
      </c>
      <c r="C988" s="37" t="s">
        <v>142</v>
      </c>
      <c r="D988" s="37" t="s">
        <v>140</v>
      </c>
      <c r="E988" s="37" t="s">
        <v>115</v>
      </c>
      <c r="F988" s="38" t="s">
        <v>172</v>
      </c>
    </row>
    <row r="989" spans="1:6" ht="13.5">
      <c r="A989" s="35">
        <v>68745</v>
      </c>
      <c r="B989" s="37" t="s">
        <v>1112</v>
      </c>
      <c r="C989" s="37" t="s">
        <v>142</v>
      </c>
      <c r="D989" s="37" t="s">
        <v>140</v>
      </c>
      <c r="E989" s="37" t="s">
        <v>115</v>
      </c>
      <c r="F989" s="38" t="s">
        <v>212</v>
      </c>
    </row>
    <row r="990" spans="1:6" ht="13.5">
      <c r="A990" s="35">
        <v>68755</v>
      </c>
      <c r="B990" s="37" t="s">
        <v>1113</v>
      </c>
      <c r="C990" s="37" t="s">
        <v>142</v>
      </c>
      <c r="D990" s="37" t="s">
        <v>140</v>
      </c>
      <c r="E990" s="37" t="s">
        <v>115</v>
      </c>
      <c r="F990" s="38" t="s">
        <v>212</v>
      </c>
    </row>
    <row r="991" spans="1:6" ht="13.5">
      <c r="A991" s="35">
        <v>68770</v>
      </c>
      <c r="B991" s="37" t="s">
        <v>1114</v>
      </c>
      <c r="C991" s="37" t="s">
        <v>142</v>
      </c>
      <c r="D991" s="37" t="s">
        <v>140</v>
      </c>
      <c r="E991" s="37" t="s">
        <v>115</v>
      </c>
      <c r="F991" s="38" t="s">
        <v>212</v>
      </c>
    </row>
    <row r="992" spans="1:6" ht="13.5">
      <c r="A992" s="35">
        <v>68780</v>
      </c>
      <c r="B992" s="37" t="s">
        <v>1115</v>
      </c>
      <c r="C992" s="37" t="s">
        <v>142</v>
      </c>
      <c r="D992" s="37" t="s">
        <v>140</v>
      </c>
      <c r="E992" s="37" t="s">
        <v>115</v>
      </c>
      <c r="F992" s="38" t="s">
        <v>212</v>
      </c>
    </row>
    <row r="993" spans="1:6" ht="13.5">
      <c r="A993" s="35">
        <v>68820</v>
      </c>
      <c r="B993" s="37" t="s">
        <v>1116</v>
      </c>
      <c r="C993" s="37" t="s">
        <v>142</v>
      </c>
      <c r="D993" s="37" t="s">
        <v>140</v>
      </c>
      <c r="E993" s="37" t="s">
        <v>115</v>
      </c>
      <c r="F993" s="38" t="s">
        <v>114</v>
      </c>
    </row>
    <row r="994" spans="1:6" ht="13.5">
      <c r="A994" s="35">
        <v>68855</v>
      </c>
      <c r="B994" s="37" t="s">
        <v>1117</v>
      </c>
      <c r="C994" s="37" t="s">
        <v>142</v>
      </c>
      <c r="D994" s="37" t="s">
        <v>140</v>
      </c>
      <c r="E994" s="37" t="s">
        <v>115</v>
      </c>
      <c r="F994" s="38" t="s">
        <v>212</v>
      </c>
    </row>
    <row r="995" spans="1:6" ht="13.5">
      <c r="A995" s="35">
        <v>68861</v>
      </c>
      <c r="B995" s="37" t="s">
        <v>1118</v>
      </c>
      <c r="C995" s="37" t="s">
        <v>142</v>
      </c>
      <c r="D995" s="37" t="s">
        <v>131</v>
      </c>
      <c r="E995" s="37" t="s">
        <v>115</v>
      </c>
      <c r="F995" s="38" t="s">
        <v>114</v>
      </c>
    </row>
    <row r="996" spans="1:6" ht="13.5">
      <c r="A996" s="35">
        <v>68867</v>
      </c>
      <c r="B996" s="37" t="s">
        <v>1119</v>
      </c>
      <c r="C996" s="37" t="s">
        <v>142</v>
      </c>
      <c r="D996" s="37" t="s">
        <v>980</v>
      </c>
      <c r="E996" s="37" t="s">
        <v>115</v>
      </c>
      <c r="F996" s="38" t="s">
        <v>172</v>
      </c>
    </row>
    <row r="997" spans="1:6" ht="13.5">
      <c r="A997" s="35">
        <v>68895</v>
      </c>
      <c r="B997" s="37" t="s">
        <v>1120</v>
      </c>
      <c r="C997" s="37" t="s">
        <v>142</v>
      </c>
      <c r="D997" s="37" t="s">
        <v>140</v>
      </c>
      <c r="E997" s="37" t="s">
        <v>115</v>
      </c>
      <c r="F997" s="38" t="s">
        <v>212</v>
      </c>
    </row>
    <row r="998" spans="1:6" ht="13.5">
      <c r="A998" s="35">
        <v>70110</v>
      </c>
      <c r="B998" s="36" t="s">
        <v>411</v>
      </c>
      <c r="C998" s="37" t="s">
        <v>594</v>
      </c>
      <c r="D998" s="37" t="s">
        <v>1121</v>
      </c>
      <c r="E998" s="37" t="s">
        <v>115</v>
      </c>
      <c r="F998" s="38" t="s">
        <v>114</v>
      </c>
    </row>
    <row r="999" spans="1:6" ht="13.5">
      <c r="A999" s="35">
        <v>70400</v>
      </c>
      <c r="B999" s="36" t="s">
        <v>220</v>
      </c>
      <c r="C999" s="37" t="s">
        <v>594</v>
      </c>
      <c r="D999" s="37" t="s">
        <v>1121</v>
      </c>
      <c r="E999" s="37" t="s">
        <v>115</v>
      </c>
      <c r="F999" s="38" t="s">
        <v>114</v>
      </c>
    </row>
    <row r="1000" spans="1:6" ht="13.5">
      <c r="A1000" s="35">
        <v>70717</v>
      </c>
      <c r="B1000" s="36" t="s">
        <v>1122</v>
      </c>
      <c r="C1000" s="37" t="s">
        <v>594</v>
      </c>
      <c r="D1000" s="37" t="s">
        <v>1121</v>
      </c>
      <c r="E1000" s="37" t="s">
        <v>115</v>
      </c>
      <c r="F1000" s="38" t="s">
        <v>114</v>
      </c>
    </row>
    <row r="1001" spans="1:6" ht="13.5">
      <c r="A1001" s="35">
        <v>70771</v>
      </c>
      <c r="B1001" s="36" t="s">
        <v>594</v>
      </c>
      <c r="C1001" s="37" t="s">
        <v>594</v>
      </c>
      <c r="D1001" s="37" t="s">
        <v>1121</v>
      </c>
      <c r="E1001" s="37" t="s">
        <v>115</v>
      </c>
      <c r="F1001" s="38" t="s">
        <v>128</v>
      </c>
    </row>
    <row r="1002" spans="1:6" ht="13.5">
      <c r="A1002" s="35">
        <v>70124</v>
      </c>
      <c r="B1002" s="37" t="s">
        <v>1123</v>
      </c>
      <c r="C1002" s="37" t="s">
        <v>594</v>
      </c>
      <c r="D1002" s="37" t="s">
        <v>1121</v>
      </c>
      <c r="E1002" s="37" t="s">
        <v>115</v>
      </c>
      <c r="F1002" s="38" t="s">
        <v>172</v>
      </c>
    </row>
    <row r="1003" spans="1:6" ht="13.5">
      <c r="A1003" s="35">
        <v>70230</v>
      </c>
      <c r="B1003" s="37" t="s">
        <v>1124</v>
      </c>
      <c r="C1003" s="37" t="s">
        <v>594</v>
      </c>
      <c r="D1003" s="37" t="s">
        <v>1121</v>
      </c>
      <c r="E1003" s="37" t="s">
        <v>115</v>
      </c>
      <c r="F1003" s="38" t="s">
        <v>212</v>
      </c>
    </row>
    <row r="1004" spans="1:6" ht="13.5">
      <c r="A1004" s="35">
        <v>70204</v>
      </c>
      <c r="B1004" s="37" t="s">
        <v>1125</v>
      </c>
      <c r="C1004" s="37" t="s">
        <v>594</v>
      </c>
      <c r="D1004" s="37" t="s">
        <v>1121</v>
      </c>
      <c r="E1004" s="37" t="s">
        <v>115</v>
      </c>
      <c r="F1004" s="38" t="s">
        <v>212</v>
      </c>
    </row>
    <row r="1005" spans="1:6" ht="13.5">
      <c r="A1005" s="35">
        <v>70215</v>
      </c>
      <c r="B1005" s="37" t="s">
        <v>1126</v>
      </c>
      <c r="C1005" s="37" t="s">
        <v>594</v>
      </c>
      <c r="D1005" s="37" t="s">
        <v>1121</v>
      </c>
      <c r="E1005" s="37" t="s">
        <v>115</v>
      </c>
      <c r="F1005" s="38" t="s">
        <v>114</v>
      </c>
    </row>
    <row r="1006" spans="1:6" ht="13.5">
      <c r="A1006" s="35">
        <v>70221</v>
      </c>
      <c r="B1006" s="37" t="s">
        <v>1127</v>
      </c>
      <c r="C1006" s="37" t="s">
        <v>594</v>
      </c>
      <c r="D1006" s="37" t="s">
        <v>1121</v>
      </c>
      <c r="E1006" s="37" t="s">
        <v>115</v>
      </c>
      <c r="F1006" s="38" t="s">
        <v>114</v>
      </c>
    </row>
    <row r="1007" spans="1:6" ht="13.5">
      <c r="A1007" s="35">
        <v>70233</v>
      </c>
      <c r="B1007" s="37" t="s">
        <v>1128</v>
      </c>
      <c r="C1007" s="37" t="s">
        <v>594</v>
      </c>
      <c r="D1007" s="37" t="s">
        <v>1121</v>
      </c>
      <c r="E1007" s="37" t="s">
        <v>115</v>
      </c>
      <c r="F1007" s="38" t="s">
        <v>114</v>
      </c>
    </row>
    <row r="1008" spans="1:6" ht="13.5">
      <c r="A1008" s="35">
        <v>70235</v>
      </c>
      <c r="B1008" s="37" t="s">
        <v>1129</v>
      </c>
      <c r="C1008" s="37" t="s">
        <v>594</v>
      </c>
      <c r="D1008" s="37" t="s">
        <v>1121</v>
      </c>
      <c r="E1008" s="37" t="s">
        <v>115</v>
      </c>
      <c r="F1008" s="38" t="s">
        <v>114</v>
      </c>
    </row>
    <row r="1009" spans="1:6" ht="13.5">
      <c r="A1009" s="35">
        <v>70265</v>
      </c>
      <c r="B1009" s="37" t="s">
        <v>1130</v>
      </c>
      <c r="C1009" s="37" t="s">
        <v>594</v>
      </c>
      <c r="D1009" s="37" t="s">
        <v>1121</v>
      </c>
      <c r="E1009" s="37" t="s">
        <v>115</v>
      </c>
      <c r="F1009" s="38" t="s">
        <v>172</v>
      </c>
    </row>
    <row r="1010" spans="1:6" ht="13.5">
      <c r="A1010" s="35">
        <v>70418</v>
      </c>
      <c r="B1010" s="37" t="s">
        <v>1131</v>
      </c>
      <c r="C1010" s="37" t="s">
        <v>594</v>
      </c>
      <c r="D1010" s="37" t="s">
        <v>1121</v>
      </c>
      <c r="E1010" s="37" t="s">
        <v>115</v>
      </c>
      <c r="F1010" s="38" t="s">
        <v>114</v>
      </c>
    </row>
    <row r="1011" spans="1:6" ht="13.5">
      <c r="A1011" s="35">
        <v>70429</v>
      </c>
      <c r="B1011" s="37" t="s">
        <v>1132</v>
      </c>
      <c r="C1011" s="37" t="s">
        <v>594</v>
      </c>
      <c r="D1011" s="37" t="s">
        <v>1121</v>
      </c>
      <c r="E1011" s="37" t="s">
        <v>289</v>
      </c>
      <c r="F1011" s="38" t="s">
        <v>172</v>
      </c>
    </row>
    <row r="1012" spans="1:6" ht="13.5">
      <c r="A1012" s="35">
        <v>70473</v>
      </c>
      <c r="B1012" s="37" t="s">
        <v>1133</v>
      </c>
      <c r="C1012" s="37" t="s">
        <v>594</v>
      </c>
      <c r="D1012" s="37" t="s">
        <v>1121</v>
      </c>
      <c r="E1012" s="37" t="s">
        <v>115</v>
      </c>
      <c r="F1012" s="38" t="s">
        <v>114</v>
      </c>
    </row>
    <row r="1013" spans="1:6" ht="13.5">
      <c r="A1013" s="35">
        <v>70508</v>
      </c>
      <c r="B1013" s="37" t="s">
        <v>1134</v>
      </c>
      <c r="C1013" s="37" t="s">
        <v>594</v>
      </c>
      <c r="D1013" s="37" t="s">
        <v>1121</v>
      </c>
      <c r="E1013" s="37" t="s">
        <v>115</v>
      </c>
      <c r="F1013" s="38" t="s">
        <v>114</v>
      </c>
    </row>
    <row r="1014" spans="1:6" ht="13.5">
      <c r="A1014" s="35">
        <v>70523</v>
      </c>
      <c r="B1014" s="37" t="s">
        <v>1135</v>
      </c>
      <c r="C1014" s="37" t="s">
        <v>594</v>
      </c>
      <c r="D1014" s="37" t="s">
        <v>1121</v>
      </c>
      <c r="E1014" s="37" t="s">
        <v>115</v>
      </c>
      <c r="F1014" s="38" t="s">
        <v>114</v>
      </c>
    </row>
    <row r="1015" spans="1:6" ht="13.5">
      <c r="A1015" s="35">
        <v>70670</v>
      </c>
      <c r="B1015" s="37" t="s">
        <v>1136</v>
      </c>
      <c r="C1015" s="37" t="s">
        <v>594</v>
      </c>
      <c r="D1015" s="37" t="s">
        <v>1121</v>
      </c>
      <c r="E1015" s="37" t="s">
        <v>115</v>
      </c>
      <c r="F1015" s="38" t="s">
        <v>114</v>
      </c>
    </row>
    <row r="1016" spans="1:6" ht="13.5">
      <c r="A1016" s="35">
        <v>70678</v>
      </c>
      <c r="B1016" s="37" t="s">
        <v>1137</v>
      </c>
      <c r="C1016" s="37" t="s">
        <v>594</v>
      </c>
      <c r="D1016" s="37" t="s">
        <v>1121</v>
      </c>
      <c r="E1016" s="37" t="s">
        <v>115</v>
      </c>
      <c r="F1016" s="38" t="s">
        <v>114</v>
      </c>
    </row>
    <row r="1017" spans="1:6" ht="13.5">
      <c r="A1017" s="35">
        <v>70702</v>
      </c>
      <c r="B1017" s="37" t="s">
        <v>1138</v>
      </c>
      <c r="C1017" s="37" t="s">
        <v>594</v>
      </c>
      <c r="D1017" s="37" t="s">
        <v>1121</v>
      </c>
      <c r="E1017" s="37" t="s">
        <v>115</v>
      </c>
      <c r="F1017" s="38" t="s">
        <v>114</v>
      </c>
    </row>
    <row r="1018" spans="1:6" ht="13.5">
      <c r="A1018" s="35">
        <v>70742</v>
      </c>
      <c r="B1018" s="37" t="s">
        <v>1139</v>
      </c>
      <c r="C1018" s="37" t="s">
        <v>594</v>
      </c>
      <c r="D1018" s="37" t="s">
        <v>1121</v>
      </c>
      <c r="E1018" s="37" t="s">
        <v>115</v>
      </c>
      <c r="F1018" s="38" t="s">
        <v>114</v>
      </c>
    </row>
    <row r="1019" spans="1:6" ht="13.5">
      <c r="A1019" s="35">
        <v>70708</v>
      </c>
      <c r="B1019" s="37" t="s">
        <v>1140</v>
      </c>
      <c r="C1019" s="37" t="s">
        <v>594</v>
      </c>
      <c r="D1019" s="37" t="s">
        <v>1121</v>
      </c>
      <c r="E1019" s="37" t="s">
        <v>115</v>
      </c>
      <c r="F1019" s="38" t="s">
        <v>212</v>
      </c>
    </row>
    <row r="1020" spans="1:6" ht="13.5">
      <c r="A1020" s="35">
        <v>70713</v>
      </c>
      <c r="B1020" s="37" t="s">
        <v>1141</v>
      </c>
      <c r="C1020" s="37" t="s">
        <v>594</v>
      </c>
      <c r="D1020" s="37" t="s">
        <v>1121</v>
      </c>
      <c r="E1020" s="37" t="s">
        <v>115</v>
      </c>
      <c r="F1020" s="38" t="s">
        <v>114</v>
      </c>
    </row>
    <row r="1021" spans="1:6" ht="13.5">
      <c r="A1021" s="35">
        <v>70820</v>
      </c>
      <c r="B1021" s="37" t="s">
        <v>1142</v>
      </c>
      <c r="C1021" s="37" t="s">
        <v>594</v>
      </c>
      <c r="D1021" s="37" t="s">
        <v>1121</v>
      </c>
      <c r="E1021" s="37" t="s">
        <v>115</v>
      </c>
      <c r="F1021" s="38" t="s">
        <v>114</v>
      </c>
    </row>
    <row r="1022" spans="1:6" ht="13.5">
      <c r="A1022" s="35">
        <v>70001</v>
      </c>
      <c r="B1022" s="37" t="s">
        <v>1121</v>
      </c>
      <c r="C1022" s="37" t="s">
        <v>594</v>
      </c>
      <c r="D1022" s="37" t="s">
        <v>1121</v>
      </c>
      <c r="E1022" s="37" t="s">
        <v>115</v>
      </c>
      <c r="F1022" s="38" t="s">
        <v>138</v>
      </c>
    </row>
    <row r="1023" spans="1:6" ht="13.5">
      <c r="A1023" s="35">
        <v>70823</v>
      </c>
      <c r="B1023" s="37" t="s">
        <v>1143</v>
      </c>
      <c r="C1023" s="37" t="s">
        <v>594</v>
      </c>
      <c r="D1023" s="37" t="s">
        <v>1121</v>
      </c>
      <c r="E1023" s="37" t="s">
        <v>115</v>
      </c>
      <c r="F1023" s="38" t="s">
        <v>114</v>
      </c>
    </row>
    <row r="1024" spans="1:6" ht="13.5">
      <c r="A1024" s="35">
        <v>73678</v>
      </c>
      <c r="B1024" s="36" t="s">
        <v>225</v>
      </c>
      <c r="C1024" s="37" t="s">
        <v>1144</v>
      </c>
      <c r="D1024" s="37" t="s">
        <v>539</v>
      </c>
      <c r="E1024" s="37" t="s">
        <v>115</v>
      </c>
      <c r="F1024" s="38" t="s">
        <v>114</v>
      </c>
    </row>
    <row r="1025" spans="1:6" ht="13.5">
      <c r="A1025" s="35">
        <v>73770</v>
      </c>
      <c r="B1025" s="36" t="s">
        <v>593</v>
      </c>
      <c r="C1025" s="37" t="s">
        <v>1144</v>
      </c>
      <c r="D1025" s="37" t="s">
        <v>539</v>
      </c>
      <c r="E1025" s="37" t="s">
        <v>115</v>
      </c>
      <c r="F1025" s="38" t="s">
        <v>114</v>
      </c>
    </row>
    <row r="1026" spans="1:6" ht="13.5">
      <c r="A1026" s="35">
        <v>73024</v>
      </c>
      <c r="B1026" s="37" t="s">
        <v>1145</v>
      </c>
      <c r="C1026" s="37" t="s">
        <v>1144</v>
      </c>
      <c r="D1026" s="37" t="s">
        <v>539</v>
      </c>
      <c r="E1026" s="37" t="s">
        <v>115</v>
      </c>
      <c r="F1026" s="38" t="s">
        <v>172</v>
      </c>
    </row>
    <row r="1027" spans="1:6" ht="13.5">
      <c r="A1027" s="35">
        <v>73026</v>
      </c>
      <c r="B1027" s="37" t="s">
        <v>1146</v>
      </c>
      <c r="C1027" s="37" t="s">
        <v>1144</v>
      </c>
      <c r="D1027" s="37" t="s">
        <v>539</v>
      </c>
      <c r="E1027" s="37" t="s">
        <v>115</v>
      </c>
      <c r="F1027" s="38" t="s">
        <v>114</v>
      </c>
    </row>
    <row r="1028" spans="1:6" ht="13.5">
      <c r="A1028" s="35">
        <v>73030</v>
      </c>
      <c r="B1028" s="37" t="s">
        <v>1147</v>
      </c>
      <c r="C1028" s="37" t="s">
        <v>1144</v>
      </c>
      <c r="D1028" s="37" t="s">
        <v>539</v>
      </c>
      <c r="E1028" s="37" t="s">
        <v>115</v>
      </c>
      <c r="F1028" s="38" t="s">
        <v>114</v>
      </c>
    </row>
    <row r="1029" spans="1:6" ht="13.5">
      <c r="A1029" s="35">
        <v>73043</v>
      </c>
      <c r="B1029" s="37" t="s">
        <v>1148</v>
      </c>
      <c r="C1029" s="37" t="s">
        <v>1144</v>
      </c>
      <c r="D1029" s="37" t="s">
        <v>539</v>
      </c>
      <c r="E1029" s="37" t="s">
        <v>115</v>
      </c>
      <c r="F1029" s="38" t="s">
        <v>114</v>
      </c>
    </row>
    <row r="1030" spans="1:6" ht="13.5">
      <c r="A1030" s="35">
        <v>73055</v>
      </c>
      <c r="B1030" s="37" t="s">
        <v>1149</v>
      </c>
      <c r="C1030" s="37" t="s">
        <v>1144</v>
      </c>
      <c r="D1030" s="37" t="s">
        <v>539</v>
      </c>
      <c r="E1030" s="37" t="s">
        <v>115</v>
      </c>
      <c r="F1030" s="38" t="s">
        <v>114</v>
      </c>
    </row>
    <row r="1031" spans="1:6" ht="13.5">
      <c r="A1031" s="35">
        <v>73067</v>
      </c>
      <c r="B1031" s="37" t="s">
        <v>1150</v>
      </c>
      <c r="C1031" s="37" t="s">
        <v>1144</v>
      </c>
      <c r="D1031" s="37" t="s">
        <v>539</v>
      </c>
      <c r="E1031" s="37" t="s">
        <v>115</v>
      </c>
      <c r="F1031" s="38" t="s">
        <v>212</v>
      </c>
    </row>
    <row r="1032" spans="1:6" ht="13.5">
      <c r="A1032" s="35">
        <v>73124</v>
      </c>
      <c r="B1032" s="37" t="s">
        <v>1151</v>
      </c>
      <c r="C1032" s="37" t="s">
        <v>1144</v>
      </c>
      <c r="D1032" s="37" t="s">
        <v>539</v>
      </c>
      <c r="E1032" s="37" t="s">
        <v>115</v>
      </c>
      <c r="F1032" s="38" t="s">
        <v>114</v>
      </c>
    </row>
    <row r="1033" spans="1:6" ht="13.5">
      <c r="A1033" s="35">
        <v>73148</v>
      </c>
      <c r="B1033" s="37" t="s">
        <v>1152</v>
      </c>
      <c r="C1033" s="37" t="s">
        <v>1144</v>
      </c>
      <c r="D1033" s="37" t="s">
        <v>182</v>
      </c>
      <c r="E1033" s="37" t="s">
        <v>115</v>
      </c>
      <c r="F1033" s="38" t="s">
        <v>114</v>
      </c>
    </row>
    <row r="1034" spans="1:6" ht="13.5">
      <c r="A1034" s="35">
        <v>73152</v>
      </c>
      <c r="B1034" s="37" t="s">
        <v>1153</v>
      </c>
      <c r="C1034" s="37" t="s">
        <v>1144</v>
      </c>
      <c r="D1034" s="37" t="s">
        <v>539</v>
      </c>
      <c r="E1034" s="37" t="s">
        <v>115</v>
      </c>
      <c r="F1034" s="38" t="s">
        <v>212</v>
      </c>
    </row>
    <row r="1035" spans="1:6" ht="13.5">
      <c r="A1035" s="35">
        <v>73168</v>
      </c>
      <c r="B1035" s="37" t="s">
        <v>1154</v>
      </c>
      <c r="C1035" s="37" t="s">
        <v>1144</v>
      </c>
      <c r="D1035" s="37" t="s">
        <v>539</v>
      </c>
      <c r="E1035" s="37" t="s">
        <v>115</v>
      </c>
      <c r="F1035" s="38" t="s">
        <v>212</v>
      </c>
    </row>
    <row r="1036" spans="1:6" ht="13.5">
      <c r="A1036" s="35">
        <v>73200</v>
      </c>
      <c r="B1036" s="37" t="s">
        <v>1155</v>
      </c>
      <c r="C1036" s="37" t="s">
        <v>1144</v>
      </c>
      <c r="D1036" s="37" t="s">
        <v>539</v>
      </c>
      <c r="E1036" s="37" t="s">
        <v>115</v>
      </c>
      <c r="F1036" s="38" t="s">
        <v>114</v>
      </c>
    </row>
    <row r="1037" spans="1:6" ht="13.5">
      <c r="A1037" s="35">
        <v>73217</v>
      </c>
      <c r="B1037" s="37" t="s">
        <v>1156</v>
      </c>
      <c r="C1037" s="37" t="s">
        <v>1144</v>
      </c>
      <c r="D1037" s="37" t="s">
        <v>539</v>
      </c>
      <c r="E1037" s="37" t="s">
        <v>115</v>
      </c>
      <c r="F1037" s="38" t="s">
        <v>212</v>
      </c>
    </row>
    <row r="1038" spans="1:6" ht="13.5">
      <c r="A1038" s="35">
        <v>73226</v>
      </c>
      <c r="B1038" s="37" t="s">
        <v>1157</v>
      </c>
      <c r="C1038" s="37" t="s">
        <v>1144</v>
      </c>
      <c r="D1038" s="37" t="s">
        <v>539</v>
      </c>
      <c r="E1038" s="37" t="s">
        <v>115</v>
      </c>
      <c r="F1038" s="38" t="s">
        <v>114</v>
      </c>
    </row>
    <row r="1039" spans="1:6" ht="13.5">
      <c r="A1039" s="35">
        <v>73236</v>
      </c>
      <c r="B1039" s="37" t="s">
        <v>1158</v>
      </c>
      <c r="C1039" s="37" t="s">
        <v>1144</v>
      </c>
      <c r="D1039" s="37" t="s">
        <v>539</v>
      </c>
      <c r="E1039" s="37" t="s">
        <v>115</v>
      </c>
      <c r="F1039" s="38" t="s">
        <v>172</v>
      </c>
    </row>
    <row r="1040" spans="1:6" ht="13.5">
      <c r="A1040" s="35">
        <v>73268</v>
      </c>
      <c r="B1040" s="37" t="s">
        <v>1159</v>
      </c>
      <c r="C1040" s="37" t="s">
        <v>1144</v>
      </c>
      <c r="D1040" s="37" t="s">
        <v>539</v>
      </c>
      <c r="E1040" s="37" t="s">
        <v>115</v>
      </c>
      <c r="F1040" s="38" t="s">
        <v>114</v>
      </c>
    </row>
    <row r="1041" spans="1:6" ht="13.5">
      <c r="A1041" s="35">
        <v>73270</v>
      </c>
      <c r="B1041" s="37" t="s">
        <v>1160</v>
      </c>
      <c r="C1041" s="37" t="s">
        <v>1144</v>
      </c>
      <c r="D1041" s="37" t="s">
        <v>539</v>
      </c>
      <c r="E1041" s="37" t="s">
        <v>115</v>
      </c>
      <c r="F1041" s="38" t="s">
        <v>212</v>
      </c>
    </row>
    <row r="1042" spans="1:6" ht="13.5">
      <c r="A1042" s="35">
        <v>73275</v>
      </c>
      <c r="B1042" s="37" t="s">
        <v>1161</v>
      </c>
      <c r="C1042" s="37" t="s">
        <v>1144</v>
      </c>
      <c r="D1042" s="37" t="s">
        <v>539</v>
      </c>
      <c r="E1042" s="37" t="s">
        <v>115</v>
      </c>
      <c r="F1042" s="38" t="s">
        <v>114</v>
      </c>
    </row>
    <row r="1043" spans="1:6" ht="13.5">
      <c r="A1043" s="35">
        <v>73283</v>
      </c>
      <c r="B1043" s="37" t="s">
        <v>1162</v>
      </c>
      <c r="C1043" s="37" t="s">
        <v>1144</v>
      </c>
      <c r="D1043" s="37" t="s">
        <v>539</v>
      </c>
      <c r="E1043" s="37" t="s">
        <v>115</v>
      </c>
      <c r="F1043" s="38" t="s">
        <v>212</v>
      </c>
    </row>
    <row r="1044" spans="1:6" ht="13.5">
      <c r="A1044" s="35">
        <v>73319</v>
      </c>
      <c r="B1044" s="37" t="s">
        <v>1163</v>
      </c>
      <c r="C1044" s="37" t="s">
        <v>1144</v>
      </c>
      <c r="D1044" s="37" t="s">
        <v>539</v>
      </c>
      <c r="E1044" s="37" t="s">
        <v>115</v>
      </c>
      <c r="F1044" s="38" t="s">
        <v>114</v>
      </c>
    </row>
    <row r="1045" spans="1:6" ht="13.5">
      <c r="A1045" s="35">
        <v>73347</v>
      </c>
      <c r="B1045" s="37" t="s">
        <v>1164</v>
      </c>
      <c r="C1045" s="37" t="s">
        <v>1144</v>
      </c>
      <c r="D1045" s="37" t="s">
        <v>529</v>
      </c>
      <c r="E1045" s="37" t="s">
        <v>115</v>
      </c>
      <c r="F1045" s="38" t="s">
        <v>212</v>
      </c>
    </row>
    <row r="1046" spans="1:6" ht="13.5">
      <c r="A1046" s="35">
        <v>73349</v>
      </c>
      <c r="B1046" s="37" t="s">
        <v>1165</v>
      </c>
      <c r="C1046" s="37" t="s">
        <v>1144</v>
      </c>
      <c r="D1046" s="37" t="s">
        <v>539</v>
      </c>
      <c r="E1046" s="37" t="s">
        <v>115</v>
      </c>
      <c r="F1046" s="38" t="s">
        <v>212</v>
      </c>
    </row>
    <row r="1047" spans="1:6" ht="13.5">
      <c r="A1047" s="35">
        <v>73001</v>
      </c>
      <c r="B1047" s="37" t="s">
        <v>539</v>
      </c>
      <c r="C1047" s="37" t="s">
        <v>1144</v>
      </c>
      <c r="D1047" s="37" t="s">
        <v>539</v>
      </c>
      <c r="E1047" s="37" t="s">
        <v>115</v>
      </c>
      <c r="F1047" s="38" t="s">
        <v>138</v>
      </c>
    </row>
    <row r="1048" spans="1:6" ht="13.5">
      <c r="A1048" s="35">
        <v>73352</v>
      </c>
      <c r="B1048" s="37" t="s">
        <v>1166</v>
      </c>
      <c r="C1048" s="37" t="s">
        <v>1144</v>
      </c>
      <c r="D1048" s="37" t="s">
        <v>539</v>
      </c>
      <c r="E1048" s="37" t="s">
        <v>115</v>
      </c>
      <c r="F1048" s="38" t="s">
        <v>212</v>
      </c>
    </row>
    <row r="1049" spans="1:6" ht="13.5">
      <c r="A1049" s="35">
        <v>73408</v>
      </c>
      <c r="B1049" s="37" t="s">
        <v>1167</v>
      </c>
      <c r="C1049" s="37" t="s">
        <v>1144</v>
      </c>
      <c r="D1049" s="37" t="s">
        <v>539</v>
      </c>
      <c r="E1049" s="37" t="s">
        <v>115</v>
      </c>
      <c r="F1049" s="38" t="s">
        <v>114</v>
      </c>
    </row>
    <row r="1050" spans="1:6" ht="13.5">
      <c r="A1050" s="35">
        <v>73411</v>
      </c>
      <c r="B1050" s="37" t="s">
        <v>1168</v>
      </c>
      <c r="C1050" s="37" t="s">
        <v>1144</v>
      </c>
      <c r="D1050" s="37" t="s">
        <v>539</v>
      </c>
      <c r="E1050" s="37" t="s">
        <v>115</v>
      </c>
      <c r="F1050" s="38" t="s">
        <v>212</v>
      </c>
    </row>
    <row r="1051" spans="1:6" ht="13.5">
      <c r="A1051" s="35">
        <v>73443</v>
      </c>
      <c r="B1051" s="37" t="s">
        <v>1169</v>
      </c>
      <c r="C1051" s="37" t="s">
        <v>1144</v>
      </c>
      <c r="D1051" s="37" t="s">
        <v>539</v>
      </c>
      <c r="E1051" s="37" t="s">
        <v>115</v>
      </c>
      <c r="F1051" s="38" t="s">
        <v>212</v>
      </c>
    </row>
    <row r="1052" spans="1:6" ht="13.5">
      <c r="A1052" s="35">
        <v>73449</v>
      </c>
      <c r="B1052" s="37" t="s">
        <v>1170</v>
      </c>
      <c r="C1052" s="37" t="s">
        <v>1144</v>
      </c>
      <c r="D1052" s="37" t="s">
        <v>182</v>
      </c>
      <c r="E1052" s="37" t="s">
        <v>115</v>
      </c>
      <c r="F1052" s="38" t="s">
        <v>114</v>
      </c>
    </row>
    <row r="1053" spans="1:6" ht="13.5">
      <c r="A1053" s="35">
        <v>73461</v>
      </c>
      <c r="B1053" s="37" t="s">
        <v>1171</v>
      </c>
      <c r="C1053" s="37" t="s">
        <v>1144</v>
      </c>
      <c r="D1053" s="37" t="s">
        <v>539</v>
      </c>
      <c r="E1053" s="37" t="s">
        <v>115</v>
      </c>
      <c r="F1053" s="38" t="s">
        <v>172</v>
      </c>
    </row>
    <row r="1054" spans="1:6" ht="13.5">
      <c r="A1054" s="35">
        <v>73483</v>
      </c>
      <c r="B1054" s="37" t="s">
        <v>1172</v>
      </c>
      <c r="C1054" s="37" t="s">
        <v>1144</v>
      </c>
      <c r="D1054" s="37" t="s">
        <v>117</v>
      </c>
      <c r="E1054" s="37" t="s">
        <v>115</v>
      </c>
      <c r="F1054" s="38" t="s">
        <v>114</v>
      </c>
    </row>
    <row r="1055" spans="1:6" ht="13.5">
      <c r="A1055" s="35">
        <v>73504</v>
      </c>
      <c r="B1055" s="37" t="s">
        <v>1173</v>
      </c>
      <c r="C1055" s="37" t="s">
        <v>1144</v>
      </c>
      <c r="D1055" s="37" t="s">
        <v>539</v>
      </c>
      <c r="E1055" s="37" t="s">
        <v>115</v>
      </c>
      <c r="F1055" s="38" t="s">
        <v>212</v>
      </c>
    </row>
    <row r="1056" spans="1:6" ht="13.5">
      <c r="A1056" s="35">
        <v>73520</v>
      </c>
      <c r="B1056" s="37" t="s">
        <v>1174</v>
      </c>
      <c r="C1056" s="37" t="s">
        <v>1144</v>
      </c>
      <c r="D1056" s="37" t="s">
        <v>539</v>
      </c>
      <c r="E1056" s="37" t="s">
        <v>115</v>
      </c>
      <c r="F1056" s="38" t="s">
        <v>212</v>
      </c>
    </row>
    <row r="1057" spans="1:6" ht="13.5">
      <c r="A1057" s="35">
        <v>73547</v>
      </c>
      <c r="B1057" s="37" t="s">
        <v>1175</v>
      </c>
      <c r="C1057" s="37" t="s">
        <v>1144</v>
      </c>
      <c r="D1057" s="37" t="s">
        <v>539</v>
      </c>
      <c r="E1057" s="37" t="s">
        <v>115</v>
      </c>
      <c r="F1057" s="38" t="s">
        <v>114</v>
      </c>
    </row>
    <row r="1058" spans="1:6" ht="13.5">
      <c r="A1058" s="35">
        <v>73555</v>
      </c>
      <c r="B1058" s="37" t="s">
        <v>1176</v>
      </c>
      <c r="C1058" s="37" t="s">
        <v>1144</v>
      </c>
      <c r="D1058" s="37" t="s">
        <v>539</v>
      </c>
      <c r="E1058" s="37" t="s">
        <v>115</v>
      </c>
      <c r="F1058" s="38" t="s">
        <v>172</v>
      </c>
    </row>
    <row r="1059" spans="1:6" ht="13.5">
      <c r="A1059" s="35">
        <v>73563</v>
      </c>
      <c r="B1059" s="37" t="s">
        <v>1177</v>
      </c>
      <c r="C1059" s="37" t="s">
        <v>1144</v>
      </c>
      <c r="D1059" s="37" t="s">
        <v>539</v>
      </c>
      <c r="E1059" s="37" t="s">
        <v>115</v>
      </c>
      <c r="F1059" s="38" t="s">
        <v>212</v>
      </c>
    </row>
    <row r="1060" spans="1:6" ht="13.5">
      <c r="A1060" s="35">
        <v>73585</v>
      </c>
      <c r="B1060" s="37" t="s">
        <v>1178</v>
      </c>
      <c r="C1060" s="37" t="s">
        <v>1144</v>
      </c>
      <c r="D1060" s="37" t="s">
        <v>539</v>
      </c>
      <c r="E1060" s="37" t="s">
        <v>115</v>
      </c>
      <c r="F1060" s="38" t="s">
        <v>114</v>
      </c>
    </row>
    <row r="1061" spans="1:6" ht="13.5">
      <c r="A1061" s="35">
        <v>73616</v>
      </c>
      <c r="B1061" s="37" t="s">
        <v>1179</v>
      </c>
      <c r="C1061" s="37" t="s">
        <v>1144</v>
      </c>
      <c r="D1061" s="37" t="s">
        <v>539</v>
      </c>
      <c r="E1061" s="37" t="s">
        <v>115</v>
      </c>
      <c r="F1061" s="38" t="s">
        <v>172</v>
      </c>
    </row>
    <row r="1062" spans="1:6" ht="13.5">
      <c r="A1062" s="35">
        <v>73622</v>
      </c>
      <c r="B1062" s="37" t="s">
        <v>1180</v>
      </c>
      <c r="C1062" s="37" t="s">
        <v>1144</v>
      </c>
      <c r="D1062" s="37" t="s">
        <v>539</v>
      </c>
      <c r="E1062" s="37" t="s">
        <v>115</v>
      </c>
      <c r="F1062" s="38" t="s">
        <v>172</v>
      </c>
    </row>
    <row r="1063" spans="1:6" ht="13.5">
      <c r="A1063" s="35">
        <v>73624</v>
      </c>
      <c r="B1063" s="37" t="s">
        <v>1181</v>
      </c>
      <c r="C1063" s="37" t="s">
        <v>1144</v>
      </c>
      <c r="D1063" s="37" t="s">
        <v>539</v>
      </c>
      <c r="E1063" s="37" t="s">
        <v>115</v>
      </c>
      <c r="F1063" s="38" t="s">
        <v>212</v>
      </c>
    </row>
    <row r="1064" spans="1:6" ht="13.5">
      <c r="A1064" s="35">
        <v>73671</v>
      </c>
      <c r="B1064" s="37" t="s">
        <v>1182</v>
      </c>
      <c r="C1064" s="37" t="s">
        <v>1144</v>
      </c>
      <c r="D1064" s="37" t="s">
        <v>539</v>
      </c>
      <c r="E1064" s="37" t="s">
        <v>115</v>
      </c>
      <c r="F1064" s="38" t="s">
        <v>114</v>
      </c>
    </row>
    <row r="1065" spans="1:6" ht="13.5">
      <c r="A1065" s="35">
        <v>73675</v>
      </c>
      <c r="B1065" s="37" t="s">
        <v>1183</v>
      </c>
      <c r="C1065" s="37" t="s">
        <v>1144</v>
      </c>
      <c r="D1065" s="37" t="s">
        <v>539</v>
      </c>
      <c r="E1065" s="37" t="s">
        <v>115</v>
      </c>
      <c r="F1065" s="38" t="s">
        <v>172</v>
      </c>
    </row>
    <row r="1066" spans="1:6" ht="13.5">
      <c r="A1066" s="35">
        <v>73686</v>
      </c>
      <c r="B1066" s="37" t="s">
        <v>1184</v>
      </c>
      <c r="C1066" s="37" t="s">
        <v>1144</v>
      </c>
      <c r="D1066" s="37" t="s">
        <v>539</v>
      </c>
      <c r="E1066" s="37" t="s">
        <v>115</v>
      </c>
      <c r="F1066" s="38" t="s">
        <v>212</v>
      </c>
    </row>
    <row r="1067" spans="1:6" ht="13.5">
      <c r="A1067" s="35">
        <v>73854</v>
      </c>
      <c r="B1067" s="37" t="s">
        <v>1185</v>
      </c>
      <c r="C1067" s="37" t="s">
        <v>1144</v>
      </c>
      <c r="D1067" s="37" t="s">
        <v>539</v>
      </c>
      <c r="E1067" s="37" t="s">
        <v>115</v>
      </c>
      <c r="F1067" s="38" t="s">
        <v>114</v>
      </c>
    </row>
    <row r="1068" spans="1:6" ht="13.5">
      <c r="A1068" s="35">
        <v>73861</v>
      </c>
      <c r="B1068" s="37" t="s">
        <v>1186</v>
      </c>
      <c r="C1068" s="37" t="s">
        <v>1144</v>
      </c>
      <c r="D1068" s="37" t="s">
        <v>539</v>
      </c>
      <c r="E1068" s="37" t="s">
        <v>115</v>
      </c>
      <c r="F1068" s="38" t="s">
        <v>114</v>
      </c>
    </row>
    <row r="1069" spans="1:6" ht="13.5">
      <c r="A1069" s="35">
        <v>73870</v>
      </c>
      <c r="B1069" s="37" t="s">
        <v>1187</v>
      </c>
      <c r="C1069" s="37" t="s">
        <v>1144</v>
      </c>
      <c r="D1069" s="37" t="s">
        <v>539</v>
      </c>
      <c r="E1069" s="37" t="s">
        <v>115</v>
      </c>
      <c r="F1069" s="38" t="s">
        <v>212</v>
      </c>
    </row>
    <row r="1070" spans="1:6" ht="13.5">
      <c r="A1070" s="35">
        <v>73873</v>
      </c>
      <c r="B1070" s="37" t="s">
        <v>1188</v>
      </c>
      <c r="C1070" s="37" t="s">
        <v>1144</v>
      </c>
      <c r="D1070" s="37" t="s">
        <v>539</v>
      </c>
      <c r="E1070" s="37" t="s">
        <v>115</v>
      </c>
      <c r="F1070" s="38" t="s">
        <v>212</v>
      </c>
    </row>
    <row r="1071" spans="1:6" ht="13.5">
      <c r="A1071" s="35">
        <v>76054</v>
      </c>
      <c r="B1071" s="36" t="s">
        <v>208</v>
      </c>
      <c r="C1071" s="37" t="s">
        <v>1189</v>
      </c>
      <c r="D1071" s="37" t="s">
        <v>556</v>
      </c>
      <c r="E1071" s="37" t="s">
        <v>115</v>
      </c>
      <c r="F1071" s="38" t="s">
        <v>212</v>
      </c>
    </row>
    <row r="1072" spans="1:6" ht="13.5">
      <c r="A1072" s="35">
        <v>76100</v>
      </c>
      <c r="B1072" s="36" t="s">
        <v>362</v>
      </c>
      <c r="C1072" s="37" t="s">
        <v>1189</v>
      </c>
      <c r="D1072" s="37" t="s">
        <v>556</v>
      </c>
      <c r="E1072" s="37" t="s">
        <v>115</v>
      </c>
      <c r="F1072" s="38" t="s">
        <v>114</v>
      </c>
    </row>
    <row r="1073" spans="1:6" ht="13.5">
      <c r="A1073" s="35">
        <v>76130</v>
      </c>
      <c r="B1073" s="36" t="s">
        <v>338</v>
      </c>
      <c r="C1073" s="37" t="s">
        <v>1189</v>
      </c>
      <c r="D1073" s="37" t="s">
        <v>589</v>
      </c>
      <c r="E1073" s="37" t="s">
        <v>115</v>
      </c>
      <c r="F1073" s="38" t="s">
        <v>114</v>
      </c>
    </row>
    <row r="1074" spans="1:6" ht="13.5">
      <c r="A1074" s="35">
        <v>76400</v>
      </c>
      <c r="B1074" s="36" t="s">
        <v>220</v>
      </c>
      <c r="C1074" s="37" t="s">
        <v>1189</v>
      </c>
      <c r="D1074" s="37" t="s">
        <v>556</v>
      </c>
      <c r="E1074" s="37" t="s">
        <v>115</v>
      </c>
      <c r="F1074" s="38" t="s">
        <v>114</v>
      </c>
    </row>
    <row r="1075" spans="1:6" ht="13.5">
      <c r="A1075" s="35">
        <v>76403</v>
      </c>
      <c r="B1075" s="36" t="s">
        <v>195</v>
      </c>
      <c r="C1075" s="37" t="s">
        <v>1189</v>
      </c>
      <c r="D1075" s="37" t="s">
        <v>556</v>
      </c>
      <c r="E1075" s="37" t="s">
        <v>115</v>
      </c>
      <c r="F1075" s="38" t="s">
        <v>114</v>
      </c>
    </row>
    <row r="1076" spans="1:6" ht="13.5">
      <c r="A1076" s="35">
        <v>76606</v>
      </c>
      <c r="B1076" s="36" t="s">
        <v>905</v>
      </c>
      <c r="C1076" s="37" t="s">
        <v>1189</v>
      </c>
      <c r="D1076" s="37" t="s">
        <v>589</v>
      </c>
      <c r="E1076" s="37" t="s">
        <v>115</v>
      </c>
      <c r="F1076" s="38" t="s">
        <v>114</v>
      </c>
    </row>
    <row r="1077" spans="1:6" ht="13.5">
      <c r="A1077" s="35">
        <v>76670</v>
      </c>
      <c r="B1077" s="36" t="s">
        <v>1122</v>
      </c>
      <c r="C1077" s="37" t="s">
        <v>1189</v>
      </c>
      <c r="D1077" s="37" t="s">
        <v>589</v>
      </c>
      <c r="E1077" s="37" t="s">
        <v>115</v>
      </c>
      <c r="F1077" s="38" t="s">
        <v>114</v>
      </c>
    </row>
    <row r="1078" spans="1:6" ht="13.5">
      <c r="A1078" s="35">
        <v>76020</v>
      </c>
      <c r="B1078" s="37" t="s">
        <v>1190</v>
      </c>
      <c r="C1078" s="37" t="s">
        <v>1189</v>
      </c>
      <c r="D1078" s="37" t="s">
        <v>556</v>
      </c>
      <c r="E1078" s="37" t="s">
        <v>115</v>
      </c>
      <c r="F1078" s="38" t="s">
        <v>114</v>
      </c>
    </row>
    <row r="1079" spans="1:6" ht="13.5">
      <c r="A1079" s="35">
        <v>76036</v>
      </c>
      <c r="B1079" s="37" t="s">
        <v>1191</v>
      </c>
      <c r="C1079" s="37" t="s">
        <v>1189</v>
      </c>
      <c r="D1079" s="37" t="s">
        <v>589</v>
      </c>
      <c r="E1079" s="37" t="s">
        <v>115</v>
      </c>
      <c r="F1079" s="38" t="s">
        <v>114</v>
      </c>
    </row>
    <row r="1080" spans="1:6" ht="13.5">
      <c r="A1080" s="35">
        <v>76041</v>
      </c>
      <c r="B1080" s="37" t="s">
        <v>1192</v>
      </c>
      <c r="C1080" s="37" t="s">
        <v>1189</v>
      </c>
      <c r="D1080" s="37" t="s">
        <v>556</v>
      </c>
      <c r="E1080" s="37" t="s">
        <v>115</v>
      </c>
      <c r="F1080" s="38" t="s">
        <v>114</v>
      </c>
    </row>
    <row r="1081" spans="1:6" ht="13.5">
      <c r="A1081" s="35">
        <v>76109</v>
      </c>
      <c r="B1081" s="37" t="s">
        <v>1193</v>
      </c>
      <c r="C1081" s="37" t="s">
        <v>1189</v>
      </c>
      <c r="D1081" s="37" t="s">
        <v>589</v>
      </c>
      <c r="E1081" s="37" t="s">
        <v>115</v>
      </c>
      <c r="F1081" s="38" t="s">
        <v>212</v>
      </c>
    </row>
    <row r="1082" spans="1:6" ht="13.5">
      <c r="A1082" s="35">
        <v>76113</v>
      </c>
      <c r="B1082" s="37" t="s">
        <v>1194</v>
      </c>
      <c r="C1082" s="37" t="s">
        <v>1189</v>
      </c>
      <c r="D1082" s="37" t="s">
        <v>589</v>
      </c>
      <c r="E1082" s="37" t="s">
        <v>115</v>
      </c>
      <c r="F1082" s="38" t="s">
        <v>114</v>
      </c>
    </row>
    <row r="1083" spans="1:6" ht="13.5">
      <c r="A1083" s="35">
        <v>76122</v>
      </c>
      <c r="B1083" s="37" t="s">
        <v>1195</v>
      </c>
      <c r="C1083" s="37" t="s">
        <v>1189</v>
      </c>
      <c r="D1083" s="37" t="s">
        <v>556</v>
      </c>
      <c r="E1083" s="37" t="s">
        <v>115</v>
      </c>
      <c r="F1083" s="38" t="s">
        <v>114</v>
      </c>
    </row>
    <row r="1084" spans="1:6" ht="13.5">
      <c r="A1084" s="35">
        <v>76001</v>
      </c>
      <c r="B1084" s="37" t="s">
        <v>589</v>
      </c>
      <c r="C1084" s="37" t="s">
        <v>1189</v>
      </c>
      <c r="D1084" s="37" t="s">
        <v>589</v>
      </c>
      <c r="E1084" s="37" t="s">
        <v>115</v>
      </c>
      <c r="F1084" s="38" t="s">
        <v>138</v>
      </c>
    </row>
    <row r="1085" spans="1:6" ht="13.5">
      <c r="A1085" s="35">
        <v>76126</v>
      </c>
      <c r="B1085" s="37" t="s">
        <v>1196</v>
      </c>
      <c r="C1085" s="37" t="s">
        <v>1189</v>
      </c>
      <c r="D1085" s="37" t="s">
        <v>589</v>
      </c>
      <c r="E1085" s="37" t="s">
        <v>115</v>
      </c>
      <c r="F1085" s="38" t="s">
        <v>114</v>
      </c>
    </row>
    <row r="1086" spans="1:6" ht="13.5">
      <c r="A1086" s="35">
        <v>76147</v>
      </c>
      <c r="B1086" s="37" t="s">
        <v>1197</v>
      </c>
      <c r="C1086" s="37" t="s">
        <v>1189</v>
      </c>
      <c r="D1086" s="37" t="s">
        <v>556</v>
      </c>
      <c r="E1086" s="37" t="s">
        <v>115</v>
      </c>
      <c r="F1086" s="38" t="s">
        <v>138</v>
      </c>
    </row>
    <row r="1087" spans="1:6" ht="13.5">
      <c r="A1087" s="35">
        <v>76233</v>
      </c>
      <c r="B1087" s="37" t="s">
        <v>1198</v>
      </c>
      <c r="C1087" s="37" t="s">
        <v>1189</v>
      </c>
      <c r="D1087" s="37" t="s">
        <v>589</v>
      </c>
      <c r="E1087" s="37" t="s">
        <v>115</v>
      </c>
      <c r="F1087" s="38" t="s">
        <v>114</v>
      </c>
    </row>
    <row r="1088" spans="1:6" ht="13.5">
      <c r="A1088" s="35">
        <v>76243</v>
      </c>
      <c r="B1088" s="37" t="s">
        <v>1199</v>
      </c>
      <c r="C1088" s="37" t="s">
        <v>1189</v>
      </c>
      <c r="D1088" s="37" t="s">
        <v>556</v>
      </c>
      <c r="E1088" s="37" t="s">
        <v>115</v>
      </c>
      <c r="F1088" s="38" t="s">
        <v>212</v>
      </c>
    </row>
    <row r="1089" spans="1:6" ht="13.5">
      <c r="A1089" s="35">
        <v>76246</v>
      </c>
      <c r="B1089" s="37" t="s">
        <v>1200</v>
      </c>
      <c r="C1089" s="37" t="s">
        <v>1189</v>
      </c>
      <c r="D1089" s="37" t="s">
        <v>556</v>
      </c>
      <c r="E1089" s="37" t="s">
        <v>115</v>
      </c>
      <c r="F1089" s="38" t="s">
        <v>212</v>
      </c>
    </row>
    <row r="1090" spans="1:6" ht="13.5">
      <c r="A1090" s="35">
        <v>76248</v>
      </c>
      <c r="B1090" s="37" t="s">
        <v>1201</v>
      </c>
      <c r="C1090" s="37" t="s">
        <v>1189</v>
      </c>
      <c r="D1090" s="37" t="s">
        <v>589</v>
      </c>
      <c r="E1090" s="37" t="s">
        <v>115</v>
      </c>
      <c r="F1090" s="38" t="s">
        <v>114</v>
      </c>
    </row>
    <row r="1091" spans="1:6" ht="13.5">
      <c r="A1091" s="35">
        <v>76250</v>
      </c>
      <c r="B1091" s="37" t="s">
        <v>1202</v>
      </c>
      <c r="C1091" s="37" t="s">
        <v>1189</v>
      </c>
      <c r="D1091" s="37" t="s">
        <v>556</v>
      </c>
      <c r="E1091" s="37" t="s">
        <v>115</v>
      </c>
      <c r="F1091" s="38" t="s">
        <v>114</v>
      </c>
    </row>
    <row r="1092" spans="1:6" ht="13.5">
      <c r="A1092" s="35">
        <v>76275</v>
      </c>
      <c r="B1092" s="37" t="s">
        <v>1203</v>
      </c>
      <c r="C1092" s="37" t="s">
        <v>1189</v>
      </c>
      <c r="D1092" s="37" t="s">
        <v>589</v>
      </c>
      <c r="E1092" s="37" t="s">
        <v>115</v>
      </c>
      <c r="F1092" s="38" t="s">
        <v>114</v>
      </c>
    </row>
    <row r="1093" spans="1:6" ht="13.5">
      <c r="A1093" s="35">
        <v>76306</v>
      </c>
      <c r="B1093" s="37" t="s">
        <v>1204</v>
      </c>
      <c r="C1093" s="37" t="s">
        <v>1189</v>
      </c>
      <c r="D1093" s="37" t="s">
        <v>589</v>
      </c>
      <c r="E1093" s="37" t="s">
        <v>115</v>
      </c>
      <c r="F1093" s="38" t="s">
        <v>114</v>
      </c>
    </row>
    <row r="1094" spans="1:6" ht="13.5">
      <c r="A1094" s="35">
        <v>76318</v>
      </c>
      <c r="B1094" s="37" t="s">
        <v>1205</v>
      </c>
      <c r="C1094" s="37" t="s">
        <v>1189</v>
      </c>
      <c r="D1094" s="37" t="s">
        <v>589</v>
      </c>
      <c r="E1094" s="37" t="s">
        <v>115</v>
      </c>
      <c r="F1094" s="38" t="s">
        <v>114</v>
      </c>
    </row>
    <row r="1095" spans="1:6" ht="13.5">
      <c r="A1095" s="35">
        <v>76111</v>
      </c>
      <c r="B1095" s="37" t="s">
        <v>1206</v>
      </c>
      <c r="C1095" s="37" t="s">
        <v>1189</v>
      </c>
      <c r="D1095" s="37" t="s">
        <v>589</v>
      </c>
      <c r="E1095" s="37" t="s">
        <v>115</v>
      </c>
      <c r="F1095" s="38" t="s">
        <v>114</v>
      </c>
    </row>
    <row r="1096" spans="1:6" ht="13.5">
      <c r="A1096" s="35">
        <v>76364</v>
      </c>
      <c r="B1096" s="37" t="s">
        <v>1207</v>
      </c>
      <c r="C1096" s="37" t="s">
        <v>1189</v>
      </c>
      <c r="D1096" s="37" t="s">
        <v>589</v>
      </c>
      <c r="E1096" s="37" t="s">
        <v>115</v>
      </c>
      <c r="F1096" s="38" t="s">
        <v>114</v>
      </c>
    </row>
    <row r="1097" spans="1:6" ht="13.5">
      <c r="A1097" s="35">
        <v>76377</v>
      </c>
      <c r="B1097" s="37" t="s">
        <v>1208</v>
      </c>
      <c r="C1097" s="37" t="s">
        <v>1189</v>
      </c>
      <c r="D1097" s="37" t="s">
        <v>589</v>
      </c>
      <c r="E1097" s="37" t="s">
        <v>115</v>
      </c>
      <c r="F1097" s="38" t="s">
        <v>114</v>
      </c>
    </row>
    <row r="1098" spans="1:6" ht="13.5">
      <c r="A1098" s="35">
        <v>76497</v>
      </c>
      <c r="B1098" s="37" t="s">
        <v>1209</v>
      </c>
      <c r="C1098" s="37" t="s">
        <v>1189</v>
      </c>
      <c r="D1098" s="37" t="s">
        <v>556</v>
      </c>
      <c r="E1098" s="37" t="s">
        <v>115</v>
      </c>
      <c r="F1098" s="38" t="s">
        <v>114</v>
      </c>
    </row>
    <row r="1099" spans="1:6" ht="13.5">
      <c r="A1099" s="35">
        <v>76520</v>
      </c>
      <c r="B1099" s="37" t="s">
        <v>1210</v>
      </c>
      <c r="C1099" s="37" t="s">
        <v>1189</v>
      </c>
      <c r="D1099" s="37" t="s">
        <v>589</v>
      </c>
      <c r="E1099" s="37" t="s">
        <v>115</v>
      </c>
      <c r="F1099" s="38" t="s">
        <v>138</v>
      </c>
    </row>
    <row r="1100" spans="1:6" ht="13.5">
      <c r="A1100" s="35">
        <v>76563</v>
      </c>
      <c r="B1100" s="37" t="s">
        <v>1211</v>
      </c>
      <c r="C1100" s="37" t="s">
        <v>1189</v>
      </c>
      <c r="D1100" s="37" t="s">
        <v>589</v>
      </c>
      <c r="E1100" s="37" t="s">
        <v>115</v>
      </c>
      <c r="F1100" s="38" t="s">
        <v>114</v>
      </c>
    </row>
    <row r="1101" spans="1:6" ht="13.5">
      <c r="A1101" s="35">
        <v>76616</v>
      </c>
      <c r="B1101" s="37" t="s">
        <v>1212</v>
      </c>
      <c r="C1101" s="37" t="s">
        <v>1189</v>
      </c>
      <c r="D1101" s="37" t="s">
        <v>589</v>
      </c>
      <c r="E1101" s="37" t="s">
        <v>115</v>
      </c>
      <c r="F1101" s="38" t="s">
        <v>114</v>
      </c>
    </row>
    <row r="1102" spans="1:6" ht="13.5">
      <c r="A1102" s="35">
        <v>76622</v>
      </c>
      <c r="B1102" s="37" t="s">
        <v>1213</v>
      </c>
      <c r="C1102" s="37" t="s">
        <v>1189</v>
      </c>
      <c r="D1102" s="37" t="s">
        <v>556</v>
      </c>
      <c r="E1102" s="37" t="s">
        <v>115</v>
      </c>
      <c r="F1102" s="38" t="s">
        <v>212</v>
      </c>
    </row>
    <row r="1103" spans="1:6" ht="13.5">
      <c r="A1103" s="35">
        <v>76736</v>
      </c>
      <c r="B1103" s="37" t="s">
        <v>1214</v>
      </c>
      <c r="C1103" s="37" t="s">
        <v>1189</v>
      </c>
      <c r="D1103" s="37" t="s">
        <v>556</v>
      </c>
      <c r="E1103" s="37" t="s">
        <v>115</v>
      </c>
      <c r="F1103" s="38" t="s">
        <v>114</v>
      </c>
    </row>
    <row r="1104" spans="1:6" ht="13.5">
      <c r="A1104" s="35">
        <v>76823</v>
      </c>
      <c r="B1104" s="37" t="s">
        <v>1215</v>
      </c>
      <c r="C1104" s="37" t="s">
        <v>1189</v>
      </c>
      <c r="D1104" s="37" t="s">
        <v>556</v>
      </c>
      <c r="E1104" s="37" t="s">
        <v>115</v>
      </c>
      <c r="F1104" s="38" t="s">
        <v>114</v>
      </c>
    </row>
    <row r="1105" spans="1:6" ht="13.5">
      <c r="A1105" s="35">
        <v>76828</v>
      </c>
      <c r="B1105" s="37" t="s">
        <v>1216</v>
      </c>
      <c r="C1105" s="37" t="s">
        <v>1189</v>
      </c>
      <c r="D1105" s="37" t="s">
        <v>556</v>
      </c>
      <c r="E1105" s="37" t="s">
        <v>115</v>
      </c>
      <c r="F1105" s="38" t="s">
        <v>114</v>
      </c>
    </row>
    <row r="1106" spans="1:6" ht="13.5">
      <c r="A1106" s="35">
        <v>76834</v>
      </c>
      <c r="B1106" s="37" t="s">
        <v>1217</v>
      </c>
      <c r="C1106" s="37" t="s">
        <v>1189</v>
      </c>
      <c r="D1106" s="37" t="s">
        <v>589</v>
      </c>
      <c r="E1106" s="37" t="s">
        <v>115</v>
      </c>
      <c r="F1106" s="38" t="s">
        <v>114</v>
      </c>
    </row>
    <row r="1107" spans="1:6" ht="13.5">
      <c r="A1107" s="35">
        <v>76845</v>
      </c>
      <c r="B1107" s="37" t="s">
        <v>1218</v>
      </c>
      <c r="C1107" s="37" t="s">
        <v>1189</v>
      </c>
      <c r="D1107" s="37" t="s">
        <v>556</v>
      </c>
      <c r="E1107" s="37" t="s">
        <v>115</v>
      </c>
      <c r="F1107" s="38" t="s">
        <v>114</v>
      </c>
    </row>
    <row r="1108" spans="1:6" ht="13.5">
      <c r="A1108" s="35">
        <v>76863</v>
      </c>
      <c r="B1108" s="37" t="s">
        <v>1219</v>
      </c>
      <c r="C1108" s="37" t="s">
        <v>1189</v>
      </c>
      <c r="D1108" s="37" t="s">
        <v>556</v>
      </c>
      <c r="E1108" s="37" t="s">
        <v>115</v>
      </c>
      <c r="F1108" s="38" t="s">
        <v>212</v>
      </c>
    </row>
    <row r="1109" spans="1:6" ht="13.5">
      <c r="A1109" s="35">
        <v>76869</v>
      </c>
      <c r="B1109" s="37" t="s">
        <v>1220</v>
      </c>
      <c r="C1109" s="37" t="s">
        <v>1189</v>
      </c>
      <c r="D1109" s="37" t="s">
        <v>589</v>
      </c>
      <c r="E1109" s="37" t="s">
        <v>115</v>
      </c>
      <c r="F1109" s="38" t="s">
        <v>114</v>
      </c>
    </row>
    <row r="1110" spans="1:6" ht="13.5">
      <c r="A1110" s="35">
        <v>76890</v>
      </c>
      <c r="B1110" s="37" t="s">
        <v>1221</v>
      </c>
      <c r="C1110" s="37" t="s">
        <v>1189</v>
      </c>
      <c r="D1110" s="37" t="s">
        <v>589</v>
      </c>
      <c r="E1110" s="37" t="s">
        <v>115</v>
      </c>
      <c r="F1110" s="38" t="s">
        <v>114</v>
      </c>
    </row>
    <row r="1111" spans="1:6" ht="13.5">
      <c r="A1111" s="35">
        <v>76892</v>
      </c>
      <c r="B1111" s="37" t="s">
        <v>1222</v>
      </c>
      <c r="C1111" s="37" t="s">
        <v>1189</v>
      </c>
      <c r="D1111" s="37" t="s">
        <v>589</v>
      </c>
      <c r="E1111" s="37" t="s">
        <v>115</v>
      </c>
      <c r="F1111" s="38" t="s">
        <v>138</v>
      </c>
    </row>
    <row r="1112" spans="1:6" ht="13.5">
      <c r="A1112" s="35">
        <v>76895</v>
      </c>
      <c r="B1112" s="37" t="s">
        <v>1223</v>
      </c>
      <c r="C1112" s="37" t="s">
        <v>1189</v>
      </c>
      <c r="D1112" s="37" t="s">
        <v>556</v>
      </c>
      <c r="E1112" s="37" t="s">
        <v>115</v>
      </c>
      <c r="F1112" s="38" t="s">
        <v>212</v>
      </c>
    </row>
    <row r="1113" spans="1:6" ht="13.5">
      <c r="A1113" s="35">
        <v>97161</v>
      </c>
      <c r="B1113" s="37" t="s">
        <v>1224</v>
      </c>
      <c r="C1113" s="37" t="s">
        <v>1225</v>
      </c>
      <c r="D1113" s="37" t="s">
        <v>174</v>
      </c>
      <c r="E1113" s="37" t="s">
        <v>197</v>
      </c>
      <c r="F1113" s="38" t="s">
        <v>128</v>
      </c>
    </row>
    <row r="1114" spans="1:6" ht="13.5">
      <c r="A1114" s="35">
        <v>97001</v>
      </c>
      <c r="B1114" s="37" t="s">
        <v>1226</v>
      </c>
      <c r="C1114" s="37" t="s">
        <v>1225</v>
      </c>
      <c r="D1114" s="37" t="s">
        <v>182</v>
      </c>
      <c r="E1114" s="37" t="s">
        <v>197</v>
      </c>
      <c r="F1114" s="38" t="s">
        <v>128</v>
      </c>
    </row>
    <row r="1115" spans="1:6" ht="13.5">
      <c r="A1115" s="35">
        <v>97511</v>
      </c>
      <c r="B1115" s="37" t="s">
        <v>1227</v>
      </c>
      <c r="C1115" s="37" t="s">
        <v>1225</v>
      </c>
      <c r="D1115" s="37" t="s">
        <v>174</v>
      </c>
      <c r="E1115" s="37" t="s">
        <v>197</v>
      </c>
      <c r="F1115" s="38" t="s">
        <v>128</v>
      </c>
    </row>
    <row r="1116" spans="1:6" ht="13.5">
      <c r="A1116" s="35">
        <v>97777</v>
      </c>
      <c r="B1116" s="37" t="s">
        <v>1228</v>
      </c>
      <c r="C1116" s="37" t="s">
        <v>1225</v>
      </c>
      <c r="D1116" s="37" t="s">
        <v>174</v>
      </c>
      <c r="E1116" s="37" t="s">
        <v>197</v>
      </c>
      <c r="F1116" s="38" t="s">
        <v>128</v>
      </c>
    </row>
    <row r="1117" spans="1:6" ht="13.5">
      <c r="A1117" s="35">
        <v>97666</v>
      </c>
      <c r="B1117" s="37" t="s">
        <v>1229</v>
      </c>
      <c r="C1117" s="37" t="s">
        <v>1225</v>
      </c>
      <c r="D1117" s="37" t="s">
        <v>174</v>
      </c>
      <c r="E1117" s="37" t="s">
        <v>197</v>
      </c>
      <c r="F1117" s="38" t="s">
        <v>128</v>
      </c>
    </row>
    <row r="1118" spans="1:6" ht="13.5">
      <c r="A1118" s="35">
        <v>97889</v>
      </c>
      <c r="B1118" s="37" t="s">
        <v>1230</v>
      </c>
      <c r="C1118" s="37" t="s">
        <v>1225</v>
      </c>
      <c r="D1118" s="37" t="s">
        <v>174</v>
      </c>
      <c r="E1118" s="37" t="s">
        <v>197</v>
      </c>
      <c r="F1118" s="38" t="s">
        <v>128</v>
      </c>
    </row>
    <row r="1119" spans="1:6" ht="13.5">
      <c r="A1119" s="35">
        <v>99773</v>
      </c>
      <c r="B1119" s="37" t="s">
        <v>1231</v>
      </c>
      <c r="C1119" s="37" t="s">
        <v>1232</v>
      </c>
      <c r="D1119" s="37" t="s">
        <v>174</v>
      </c>
      <c r="E1119" s="37" t="s">
        <v>197</v>
      </c>
      <c r="F1119" s="38" t="s">
        <v>128</v>
      </c>
    </row>
    <row r="1120" spans="1:6" ht="13.5">
      <c r="A1120" s="35">
        <v>99524</v>
      </c>
      <c r="B1120" s="37" t="s">
        <v>1233</v>
      </c>
      <c r="C1120" s="37" t="s">
        <v>1232</v>
      </c>
      <c r="D1120" s="37" t="s">
        <v>174</v>
      </c>
      <c r="E1120" s="37" t="s">
        <v>197</v>
      </c>
      <c r="F1120" s="38" t="s">
        <v>128</v>
      </c>
    </row>
    <row r="1121" spans="1:6" ht="13.5">
      <c r="A1121" s="35">
        <v>99001</v>
      </c>
      <c r="B1121" s="37" t="s">
        <v>1234</v>
      </c>
      <c r="C1121" s="37" t="s">
        <v>1232</v>
      </c>
      <c r="D1121" s="37" t="s">
        <v>182</v>
      </c>
      <c r="E1121" s="37" t="s">
        <v>197</v>
      </c>
      <c r="F1121" s="38" t="s">
        <v>128</v>
      </c>
    </row>
    <row r="1122" spans="1:6" ht="13.5">
      <c r="A1122" s="35">
        <v>99624</v>
      </c>
      <c r="B1122" s="37" t="s">
        <v>1235</v>
      </c>
      <c r="C1122" s="37" t="s">
        <v>1232</v>
      </c>
      <c r="D1122" s="37" t="s">
        <v>174</v>
      </c>
      <c r="E1122" s="37" t="s">
        <v>197</v>
      </c>
      <c r="F1122" s="38" t="s">
        <v>128</v>
      </c>
    </row>
    <row r="1123" spans="1:6" ht="13.5">
      <c r="A1123" s="35">
        <v>23815</v>
      </c>
      <c r="B1123" s="37" t="s">
        <v>1236</v>
      </c>
      <c r="C1123" s="37" t="s">
        <v>364</v>
      </c>
      <c r="D1123" s="37" t="s">
        <v>242</v>
      </c>
      <c r="E1123" s="37" t="s">
        <v>115</v>
      </c>
      <c r="F1123" s="38" t="s">
        <v>212</v>
      </c>
    </row>
    <row r="1124" spans="1:6" ht="13.5">
      <c r="A1124" s="35">
        <v>23682</v>
      </c>
      <c r="B1124" s="37" t="s">
        <v>1237</v>
      </c>
      <c r="C1124" s="37" t="s">
        <v>364</v>
      </c>
      <c r="D1124" s="37" t="s">
        <v>242</v>
      </c>
      <c r="E1124" s="37" t="s">
        <v>115</v>
      </c>
      <c r="F1124" s="38" t="s">
        <v>212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G212"/>
  <sheetViews>
    <sheetView topLeftCell="M1" zoomScaleNormal="100" workbookViewId="0">
      <pane ySplit="1" topLeftCell="A83" activePane="bottomLeft" state="frozen"/>
      <selection pane="bottomLeft" activeCell="AE212" sqref="AE212"/>
    </sheetView>
  </sheetViews>
  <sheetFormatPr baseColWidth="10" defaultColWidth="11.42578125" defaultRowHeight="12.75"/>
  <cols>
    <col min="1" max="1" width="15.42578125" style="72" bestFit="1" customWidth="1"/>
    <col min="2" max="3" width="11.42578125" style="72"/>
    <col min="4" max="6" width="11.7109375" style="72" bestFit="1" customWidth="1"/>
    <col min="7" max="7" width="12.7109375" style="72" bestFit="1" customWidth="1"/>
    <col min="8" max="10" width="11.5703125" style="72" bestFit="1" customWidth="1"/>
    <col min="11" max="12" width="11.42578125" style="72"/>
    <col min="13" max="13" width="17.7109375" style="72" bestFit="1" customWidth="1"/>
    <col min="14" max="14" width="17.28515625" style="72" customWidth="1"/>
    <col min="15" max="15" width="11.5703125" style="72" bestFit="1" customWidth="1"/>
    <col min="16" max="18" width="11.42578125" style="72"/>
    <col min="19" max="20" width="11.5703125" style="72" bestFit="1" customWidth="1"/>
    <col min="21" max="21" width="12.7109375" style="72" bestFit="1" customWidth="1"/>
    <col min="22" max="23" width="11.42578125" style="72"/>
    <col min="24" max="24" width="11.5703125" style="72" bestFit="1" customWidth="1"/>
    <col min="25" max="26" width="11.42578125" style="72"/>
    <col min="27" max="31" width="11.7109375" style="72" bestFit="1" customWidth="1"/>
    <col min="32" max="32" width="12.7109375" style="72" bestFit="1" customWidth="1"/>
    <col min="33" max="33" width="13.7109375" style="71" bestFit="1" customWidth="1"/>
    <col min="34" max="16384" width="11.42578125" style="71"/>
  </cols>
  <sheetData>
    <row r="1" spans="1:33" s="92" customFormat="1" ht="76.5">
      <c r="A1" s="91" t="s">
        <v>71</v>
      </c>
      <c r="B1" s="91" t="s">
        <v>43</v>
      </c>
      <c r="C1" s="91" t="s">
        <v>44</v>
      </c>
      <c r="D1" s="91" t="s">
        <v>72</v>
      </c>
      <c r="E1" s="91" t="s">
        <v>73</v>
      </c>
      <c r="F1" s="91" t="s">
        <v>74</v>
      </c>
      <c r="G1" s="57" t="s">
        <v>75</v>
      </c>
      <c r="H1" s="91" t="s">
        <v>77</v>
      </c>
      <c r="I1" s="91" t="s">
        <v>78</v>
      </c>
      <c r="J1" s="91" t="s">
        <v>79</v>
      </c>
      <c r="K1" s="91" t="s">
        <v>80</v>
      </c>
      <c r="L1" s="91" t="s">
        <v>81</v>
      </c>
      <c r="M1" s="88" t="s">
        <v>1238</v>
      </c>
      <c r="N1" s="88" t="s">
        <v>1239</v>
      </c>
      <c r="O1" s="88" t="s">
        <v>1240</v>
      </c>
      <c r="P1" s="60" t="s">
        <v>1241</v>
      </c>
      <c r="Q1" s="60" t="s">
        <v>1242</v>
      </c>
      <c r="R1" s="60" t="s">
        <v>1243</v>
      </c>
      <c r="S1" s="88" t="s">
        <v>84</v>
      </c>
      <c r="T1" s="88" t="s">
        <v>85</v>
      </c>
      <c r="U1" s="59" t="s">
        <v>86</v>
      </c>
      <c r="V1" s="60" t="s">
        <v>1244</v>
      </c>
      <c r="W1" s="91" t="s">
        <v>88</v>
      </c>
      <c r="X1" s="88" t="s">
        <v>1245</v>
      </c>
      <c r="Y1" s="58" t="s">
        <v>90</v>
      </c>
      <c r="Z1" s="58" t="s">
        <v>91</v>
      </c>
      <c r="AA1" s="59" t="s">
        <v>92</v>
      </c>
      <c r="AB1" s="91" t="s">
        <v>1246</v>
      </c>
      <c r="AC1" s="88" t="s">
        <v>1247</v>
      </c>
      <c r="AD1" s="88" t="s">
        <v>1248</v>
      </c>
      <c r="AE1" s="88" t="s">
        <v>95</v>
      </c>
      <c r="AF1" s="58" t="s">
        <v>97</v>
      </c>
      <c r="AG1" s="58" t="s">
        <v>1249</v>
      </c>
    </row>
    <row r="2" spans="1:33" s="70" customFormat="1">
      <c r="A2" s="56" t="s">
        <v>589</v>
      </c>
      <c r="B2" s="56" t="str">
        <f>VLOOKUP(A2,'CENTRO DE COSTOS'!A:D,4,FALSE)</f>
        <v>DIEGO FERNANDO HENAO CARDONA</v>
      </c>
      <c r="C2" s="56" t="str">
        <f>VLOOKUP(A2,'CENTRO DE COSTOS'!A:D,2,FALSE)</f>
        <v>0004-0003</v>
      </c>
      <c r="D2" s="56">
        <v>76001</v>
      </c>
      <c r="E2" s="56">
        <v>2811808</v>
      </c>
      <c r="F2" s="56">
        <v>65776</v>
      </c>
      <c r="G2" s="56" t="s">
        <v>1250</v>
      </c>
      <c r="H2" s="56" t="s">
        <v>1189</v>
      </c>
      <c r="I2" s="56" t="s">
        <v>589</v>
      </c>
      <c r="J2" s="56" t="s">
        <v>1251</v>
      </c>
      <c r="K2" s="56" t="s">
        <v>107</v>
      </c>
      <c r="L2" s="56" t="s">
        <v>1252</v>
      </c>
      <c r="M2" s="103">
        <v>45930.333333333343</v>
      </c>
      <c r="N2" s="103">
        <v>45930.426388888889</v>
      </c>
      <c r="O2" s="56" t="s">
        <v>1253</v>
      </c>
      <c r="P2" s="56" t="s">
        <v>1254</v>
      </c>
      <c r="Q2" s="56" t="s">
        <v>1255</v>
      </c>
      <c r="R2" s="56" t="s">
        <v>1256</v>
      </c>
      <c r="S2" s="78"/>
      <c r="T2" s="78"/>
      <c r="U2" s="56" t="s">
        <v>1257</v>
      </c>
      <c r="V2" s="56" t="s">
        <v>1258</v>
      </c>
      <c r="W2" s="56" t="s">
        <v>1259</v>
      </c>
      <c r="X2" s="56">
        <v>0</v>
      </c>
      <c r="Y2" s="56" t="s">
        <v>138</v>
      </c>
      <c r="Z2" s="56" t="s">
        <v>115</v>
      </c>
      <c r="AA2" s="56" t="s">
        <v>1260</v>
      </c>
      <c r="AB2" s="56">
        <v>0</v>
      </c>
      <c r="AC2" s="56">
        <v>0</v>
      </c>
      <c r="AD2" s="56">
        <v>0</v>
      </c>
      <c r="AE2" s="56">
        <v>0</v>
      </c>
      <c r="AF2" s="69">
        <f>IF(W2="SOPORTE_TELEFÓNICO",'BASE LIQUIDACION'!$B$10,IF(Y2="TIPO I",'BASE LIQUIDACION'!$C$3,IF(Y2="TIPO II",'BASE LIQUIDACION'!$C$4,IF(Y2="TIPO III",'BASE LIQUIDACION'!$C$5,'BASE LIQUIDACION'!$C$7))))</f>
        <v>37904.65408</v>
      </c>
      <c r="AG2" s="90">
        <f>IF(W2="SOPORTE_TELEFÓNICO",'BASE LIQUIDACION'!$B$10,(AB2*AF2+AC2*'BASE LIQUIDACION'!$B$12+AD2*'BASE LIQUIDACION'!$B$11+INCIDENTES!AE2*'BASE LIQUIDACION'!$B$13))</f>
        <v>37904.65408</v>
      </c>
    </row>
    <row r="3" spans="1:33" s="70" customFormat="1">
      <c r="A3" s="56" t="s">
        <v>131</v>
      </c>
      <c r="B3" s="56" t="str">
        <f>VLOOKUP(A3,'CENTRO DE COSTOS'!A:D,4,FALSE)</f>
        <v>MIGUEL JULIÁN HERNÁNDEZ GUARÍN</v>
      </c>
      <c r="C3" s="56" t="str">
        <f>VLOOKUP(A3,'CENTRO DE COSTOS'!A:D,2,FALSE)</f>
        <v>0004-0008</v>
      </c>
      <c r="D3" s="56">
        <v>15238</v>
      </c>
      <c r="E3" s="56">
        <v>2811639</v>
      </c>
      <c r="F3" s="56">
        <v>65128</v>
      </c>
      <c r="G3" s="56" t="s">
        <v>1250</v>
      </c>
      <c r="H3" s="56" t="s">
        <v>133</v>
      </c>
      <c r="I3" s="56" t="s">
        <v>440</v>
      </c>
      <c r="J3" s="56" t="s">
        <v>1261</v>
      </c>
      <c r="K3" s="56" t="s">
        <v>107</v>
      </c>
      <c r="L3" s="56" t="s">
        <v>1262</v>
      </c>
      <c r="M3" s="103">
        <v>45929.745138888888</v>
      </c>
      <c r="N3" s="103">
        <v>45930.597916666673</v>
      </c>
      <c r="O3" s="56" t="s">
        <v>1253</v>
      </c>
      <c r="P3" s="56" t="s">
        <v>1254</v>
      </c>
      <c r="Q3" s="56" t="s">
        <v>1263</v>
      </c>
      <c r="R3" s="56" t="s">
        <v>1264</v>
      </c>
      <c r="S3" s="78"/>
      <c r="T3" s="78"/>
      <c r="U3" s="56" t="s">
        <v>1257</v>
      </c>
      <c r="V3" s="56" t="s">
        <v>1265</v>
      </c>
      <c r="W3" s="56" t="s">
        <v>1266</v>
      </c>
      <c r="X3" s="56" t="s">
        <v>1267</v>
      </c>
      <c r="Y3" s="56" t="s">
        <v>114</v>
      </c>
      <c r="Z3" s="56" t="s">
        <v>115</v>
      </c>
      <c r="AA3" s="56" t="s">
        <v>1268</v>
      </c>
      <c r="AB3" s="56">
        <v>1</v>
      </c>
      <c r="AC3" s="56">
        <v>0</v>
      </c>
      <c r="AD3" s="56">
        <v>0</v>
      </c>
      <c r="AE3" s="56">
        <v>0</v>
      </c>
      <c r="AF3" s="69">
        <f>IF(W3="SOPORTE_TELEFÓNICO",'BASE LIQUIDACION'!$B$10,IF(Y3="TIPO I",'BASE LIQUIDACION'!$C$3,IF(Y3="TIPO II",'BASE LIQUIDACION'!$C$4,IF(Y3="TIPO III",'BASE LIQUIDACION'!$C$5,'BASE LIQUIDACION'!$C$7))))</f>
        <v>163813.55812</v>
      </c>
      <c r="AG3" s="90">
        <f>IF(W3="SOPORTE_TELEFÓNICO",'BASE LIQUIDACION'!$B$10,(AB3*AF3+AC3*'BASE LIQUIDACION'!$B$12+AD3*'BASE LIQUIDACION'!$B$11+INCIDENTES!AE3*'BASE LIQUIDACION'!$B$13))</f>
        <v>163813.55812</v>
      </c>
    </row>
    <row r="4" spans="1:33" s="70" customFormat="1">
      <c r="A4" s="56" t="s">
        <v>150</v>
      </c>
      <c r="B4" s="56" t="str">
        <f>VLOOKUP(A4,'CENTRO DE COSTOS'!A:D,4,FALSE)</f>
        <v>JUAN SEBASTIÁN RÍOS CASTRILLÓN</v>
      </c>
      <c r="C4" s="56" t="str">
        <f>VLOOKUP(A4,'CENTRO DE COSTOS'!A:D,2,FALSE)</f>
        <v>0004-0005</v>
      </c>
      <c r="D4" s="56">
        <v>5045</v>
      </c>
      <c r="E4" s="56">
        <v>2810861</v>
      </c>
      <c r="F4" s="56">
        <v>32309</v>
      </c>
      <c r="G4" s="56" t="s">
        <v>1250</v>
      </c>
      <c r="H4" s="56" t="s">
        <v>152</v>
      </c>
      <c r="I4" s="56" t="s">
        <v>150</v>
      </c>
      <c r="J4" s="56" t="s">
        <v>1269</v>
      </c>
      <c r="K4" s="56" t="s">
        <v>107</v>
      </c>
      <c r="L4" s="56" t="s">
        <v>1270</v>
      </c>
      <c r="M4" s="103">
        <v>45929.682638888888</v>
      </c>
      <c r="N4" s="103">
        <v>45930.467361111107</v>
      </c>
      <c r="O4" s="56" t="s">
        <v>1253</v>
      </c>
      <c r="P4" s="56" t="s">
        <v>1254</v>
      </c>
      <c r="Q4" s="56" t="s">
        <v>1271</v>
      </c>
      <c r="R4" s="56" t="s">
        <v>1272</v>
      </c>
      <c r="S4" s="78"/>
      <c r="T4" s="78"/>
      <c r="U4" s="56" t="s">
        <v>1257</v>
      </c>
      <c r="V4" s="56" t="s">
        <v>1273</v>
      </c>
      <c r="W4" s="56" t="s">
        <v>1266</v>
      </c>
      <c r="X4" s="56" t="s">
        <v>1274</v>
      </c>
      <c r="Y4" s="56" t="s">
        <v>138</v>
      </c>
      <c r="Z4" s="56" t="s">
        <v>115</v>
      </c>
      <c r="AA4" s="56" t="s">
        <v>158</v>
      </c>
      <c r="AB4" s="56">
        <v>1</v>
      </c>
      <c r="AC4" s="56">
        <v>0</v>
      </c>
      <c r="AD4" s="56">
        <v>0</v>
      </c>
      <c r="AE4" s="56">
        <v>0</v>
      </c>
      <c r="AF4" s="69">
        <f>IF(W4="SOPORTE_TELEFÓNICO",'BASE LIQUIDACION'!$B$10,IF(Y4="TIPO I",'BASE LIQUIDACION'!$C$3,IF(Y4="TIPO II",'BASE LIQUIDACION'!$C$4,IF(Y4="TIPO III",'BASE LIQUIDACION'!$C$5,'BASE LIQUIDACION'!$C$7))))</f>
        <v>65960.473639999997</v>
      </c>
      <c r="AG4" s="90">
        <f>IF(W4="SOPORTE_TELEFÓNICO",'BASE LIQUIDACION'!$B$10,(AB4*AF4+AC4*'BASE LIQUIDACION'!$B$12+AD4*'BASE LIQUIDACION'!$B$11+INCIDENTES!AE4*'BASE LIQUIDACION'!$B$13))</f>
        <v>65960.473639999997</v>
      </c>
    </row>
    <row r="5" spans="1:33" s="70" customFormat="1">
      <c r="A5" s="56" t="s">
        <v>589</v>
      </c>
      <c r="B5" s="56" t="str">
        <f>VLOOKUP(A5,'CENTRO DE COSTOS'!A:D,4,FALSE)</f>
        <v>DIEGO FERNANDO HENAO CARDONA</v>
      </c>
      <c r="C5" s="56" t="str">
        <f>VLOOKUP(A5,'CENTRO DE COSTOS'!A:D,2,FALSE)</f>
        <v>0004-0003</v>
      </c>
      <c r="D5" s="56">
        <v>76109</v>
      </c>
      <c r="E5" s="56">
        <v>2808683</v>
      </c>
      <c r="F5" s="56">
        <v>63162</v>
      </c>
      <c r="G5" s="56" t="s">
        <v>1250</v>
      </c>
      <c r="H5" s="56" t="s">
        <v>1189</v>
      </c>
      <c r="I5" s="56" t="s">
        <v>1193</v>
      </c>
      <c r="J5" s="56" t="s">
        <v>1275</v>
      </c>
      <c r="K5" s="56" t="s">
        <v>107</v>
      </c>
      <c r="L5" s="56" t="s">
        <v>1276</v>
      </c>
      <c r="M5" s="103">
        <v>45929.540972222218</v>
      </c>
      <c r="N5" s="103">
        <v>45930.594444444447</v>
      </c>
      <c r="O5" s="56" t="s">
        <v>1253</v>
      </c>
      <c r="P5" s="56" t="s">
        <v>1254</v>
      </c>
      <c r="Q5" s="56" t="s">
        <v>1271</v>
      </c>
      <c r="R5" s="56" t="s">
        <v>1277</v>
      </c>
      <c r="S5" s="78"/>
      <c r="T5" s="78"/>
      <c r="U5" s="56" t="s">
        <v>1257</v>
      </c>
      <c r="V5" s="56" t="s">
        <v>1278</v>
      </c>
      <c r="W5" s="56" t="s">
        <v>1266</v>
      </c>
      <c r="X5" s="56" t="s">
        <v>1279</v>
      </c>
      <c r="Y5" s="56" t="s">
        <v>212</v>
      </c>
      <c r="Z5" s="56" t="s">
        <v>115</v>
      </c>
      <c r="AA5" s="56" t="s">
        <v>1280</v>
      </c>
      <c r="AB5" s="56">
        <v>1</v>
      </c>
      <c r="AC5" s="56">
        <v>0</v>
      </c>
      <c r="AD5" s="56">
        <v>0</v>
      </c>
      <c r="AE5" s="56">
        <v>0</v>
      </c>
      <c r="AF5" s="69">
        <f>IF(W5="SOPORTE_TELEFÓNICO",'BASE LIQUIDACION'!$B$10,IF(Y5="TIPO I",'BASE LIQUIDACION'!$C$3,IF(Y5="TIPO II",'BASE LIQUIDACION'!$C$4,IF(Y5="TIPO III",'BASE LIQUIDACION'!$C$5,'BASE LIQUIDACION'!$C$7))))</f>
        <v>275728.37943999999</v>
      </c>
      <c r="AG5" s="90">
        <f>IF(W5="SOPORTE_TELEFÓNICO",'BASE LIQUIDACION'!$B$10,(AB5*AF5+AC5*'BASE LIQUIDACION'!$B$12+AD5*'BASE LIQUIDACION'!$B$11+INCIDENTES!AE5*'BASE LIQUIDACION'!$B$13))</f>
        <v>275728.37943999999</v>
      </c>
    </row>
    <row r="6" spans="1:33" s="70" customFormat="1">
      <c r="A6" s="56" t="s">
        <v>131</v>
      </c>
      <c r="B6" s="56" t="str">
        <f>VLOOKUP(A6,'CENTRO DE COSTOS'!A:D,4,FALSE)</f>
        <v>MIGUEL JULIÁN HERNÁNDEZ GUARÍN</v>
      </c>
      <c r="C6" s="56" t="str">
        <f>VLOOKUP(A6,'CENTRO DE COSTOS'!A:D,2,FALSE)</f>
        <v>0004-0008</v>
      </c>
      <c r="D6" s="56">
        <v>15755</v>
      </c>
      <c r="E6" s="56">
        <v>2808716</v>
      </c>
      <c r="F6" s="56">
        <v>50614</v>
      </c>
      <c r="G6" s="56" t="s">
        <v>1250</v>
      </c>
      <c r="H6" s="56" t="s">
        <v>133</v>
      </c>
      <c r="I6" s="56" t="s">
        <v>500</v>
      </c>
      <c r="J6" s="56" t="s">
        <v>1281</v>
      </c>
      <c r="K6" s="56" t="s">
        <v>107</v>
      </c>
      <c r="L6" s="56" t="s">
        <v>1282</v>
      </c>
      <c r="M6" s="103">
        <v>45929.53402777778</v>
      </c>
      <c r="N6" s="103">
        <v>45930.748611111107</v>
      </c>
      <c r="O6" s="56" t="s">
        <v>1253</v>
      </c>
      <c r="P6" s="56" t="s">
        <v>1254</v>
      </c>
      <c r="Q6" s="56" t="s">
        <v>1271</v>
      </c>
      <c r="R6" s="56" t="s">
        <v>1272</v>
      </c>
      <c r="S6" s="78"/>
      <c r="T6" s="78"/>
      <c r="U6" s="56" t="s">
        <v>1257</v>
      </c>
      <c r="V6" s="56" t="s">
        <v>1283</v>
      </c>
      <c r="W6" s="56" t="s">
        <v>1259</v>
      </c>
      <c r="X6" s="56">
        <v>0</v>
      </c>
      <c r="Y6" s="56" t="s">
        <v>212</v>
      </c>
      <c r="Z6" s="56" t="s">
        <v>115</v>
      </c>
      <c r="AA6" s="56" t="s">
        <v>1268</v>
      </c>
      <c r="AB6" s="56">
        <v>0</v>
      </c>
      <c r="AC6" s="56">
        <v>0</v>
      </c>
      <c r="AD6" s="56">
        <v>0</v>
      </c>
      <c r="AE6" s="56">
        <v>0</v>
      </c>
      <c r="AF6" s="69">
        <f>IF(W6="SOPORTE_TELEFÓNICO",'BASE LIQUIDACION'!$B$10,IF(Y6="TIPO I",'BASE LIQUIDACION'!$C$3,IF(Y6="TIPO II",'BASE LIQUIDACION'!$C$4,IF(Y6="TIPO III",'BASE LIQUIDACION'!$C$5,'BASE LIQUIDACION'!$C$7))))</f>
        <v>37904.65408</v>
      </c>
      <c r="AG6" s="90">
        <f>IF(W6="SOPORTE_TELEFÓNICO",'BASE LIQUIDACION'!$B$10,(AB6*AF6+AC6*'BASE LIQUIDACION'!$B$12+AD6*'BASE LIQUIDACION'!$B$11+INCIDENTES!AE6*'BASE LIQUIDACION'!$B$13))</f>
        <v>37904.65408</v>
      </c>
    </row>
    <row r="7" spans="1:33" s="70" customFormat="1">
      <c r="A7" s="56" t="s">
        <v>174</v>
      </c>
      <c r="B7" s="56" t="str">
        <f>VLOOKUP(A7,'CENTRO DE COSTOS'!A:D,4,FALSE)</f>
        <v>KEVIN ALEXIS CORZO BUSTOS</v>
      </c>
      <c r="C7" s="56" t="str">
        <f>VLOOKUP(A7,'CENTRO DE COSTOS'!A:D,2,FALSE)</f>
        <v>0004-0007</v>
      </c>
      <c r="D7" s="56">
        <v>85440</v>
      </c>
      <c r="E7" s="56">
        <v>2808162</v>
      </c>
      <c r="F7" s="56">
        <v>79156</v>
      </c>
      <c r="G7" s="56" t="s">
        <v>1250</v>
      </c>
      <c r="H7" s="56" t="s">
        <v>571</v>
      </c>
      <c r="I7" s="56" t="s">
        <v>371</v>
      </c>
      <c r="J7" s="56" t="s">
        <v>1284</v>
      </c>
      <c r="K7" s="56" t="s">
        <v>107</v>
      </c>
      <c r="L7" s="56" t="s">
        <v>1285</v>
      </c>
      <c r="M7" s="103">
        <v>45929.494444444441</v>
      </c>
      <c r="N7" s="103">
        <v>45930.473611111112</v>
      </c>
      <c r="O7" s="56" t="s">
        <v>1253</v>
      </c>
      <c r="P7" s="56" t="s">
        <v>1254</v>
      </c>
      <c r="Q7" s="56" t="s">
        <v>1286</v>
      </c>
      <c r="R7" s="56" t="s">
        <v>1287</v>
      </c>
      <c r="S7" s="78"/>
      <c r="T7" s="78"/>
      <c r="U7" s="56" t="s">
        <v>1257</v>
      </c>
      <c r="V7" s="56" t="s">
        <v>1288</v>
      </c>
      <c r="W7" s="56" t="s">
        <v>1266</v>
      </c>
      <c r="X7" s="56" t="s">
        <v>1289</v>
      </c>
      <c r="Y7" s="56" t="s">
        <v>212</v>
      </c>
      <c r="Z7" s="56" t="s">
        <v>115</v>
      </c>
      <c r="AA7" s="56" t="s">
        <v>1290</v>
      </c>
      <c r="AB7" s="56">
        <v>1</v>
      </c>
      <c r="AC7" s="56">
        <v>0</v>
      </c>
      <c r="AD7" s="56">
        <v>0</v>
      </c>
      <c r="AE7" s="56">
        <v>0</v>
      </c>
      <c r="AF7" s="69">
        <f>IF(W7="SOPORTE_TELEFÓNICO",'BASE LIQUIDACION'!$B$10,IF(Y7="TIPO I",'BASE LIQUIDACION'!$C$3,IF(Y7="TIPO II",'BASE LIQUIDACION'!$C$4,IF(Y7="TIPO III",'BASE LIQUIDACION'!$C$5,'BASE LIQUIDACION'!$C$7))))</f>
        <v>275728.37943999999</v>
      </c>
      <c r="AG7" s="90">
        <f>IF(W7="SOPORTE_TELEFÓNICO",'BASE LIQUIDACION'!$B$10,(AB7*AF7+AC7*'BASE LIQUIDACION'!$B$12+AD7*'BASE LIQUIDACION'!$B$11+INCIDENTES!AE7*'BASE LIQUIDACION'!$B$13))</f>
        <v>275728.37943999999</v>
      </c>
    </row>
    <row r="8" spans="1:33" s="70" customFormat="1">
      <c r="A8" s="56" t="s">
        <v>174</v>
      </c>
      <c r="B8" s="56" t="str">
        <f>VLOOKUP(A8,'CENTRO DE COSTOS'!A:D,4,FALSE)</f>
        <v>KEVIN ALEXIS CORZO BUSTOS</v>
      </c>
      <c r="C8" s="56" t="str">
        <f>VLOOKUP(A8,'CENTRO DE COSTOS'!A:D,2,FALSE)</f>
        <v>0004-0007</v>
      </c>
      <c r="D8" s="56">
        <v>50001</v>
      </c>
      <c r="E8" s="56">
        <v>2806560</v>
      </c>
      <c r="F8" s="56">
        <v>76214</v>
      </c>
      <c r="G8" s="56" t="s">
        <v>1250</v>
      </c>
      <c r="H8" s="56" t="s">
        <v>176</v>
      </c>
      <c r="I8" s="56" t="s">
        <v>174</v>
      </c>
      <c r="J8" s="56" t="s">
        <v>1291</v>
      </c>
      <c r="K8" s="56" t="s">
        <v>107</v>
      </c>
      <c r="L8" s="56" t="s">
        <v>1292</v>
      </c>
      <c r="M8" s="103">
        <v>45929.416666666657</v>
      </c>
      <c r="N8" s="103">
        <v>45930.359027777777</v>
      </c>
      <c r="O8" s="56" t="s">
        <v>1253</v>
      </c>
      <c r="P8" s="56" t="s">
        <v>1254</v>
      </c>
      <c r="Q8" s="56" t="s">
        <v>1271</v>
      </c>
      <c r="R8" s="56" t="s">
        <v>1272</v>
      </c>
      <c r="S8" s="78"/>
      <c r="T8" s="78"/>
      <c r="U8" s="56" t="s">
        <v>1257</v>
      </c>
      <c r="V8" s="56" t="s">
        <v>1293</v>
      </c>
      <c r="W8" s="56" t="s">
        <v>1266</v>
      </c>
      <c r="X8" s="56" t="s">
        <v>1294</v>
      </c>
      <c r="Y8" s="56" t="s">
        <v>138</v>
      </c>
      <c r="Z8" s="56" t="s">
        <v>115</v>
      </c>
      <c r="AA8" s="56" t="s">
        <v>1295</v>
      </c>
      <c r="AB8" s="56">
        <v>1</v>
      </c>
      <c r="AC8" s="56">
        <v>0</v>
      </c>
      <c r="AD8" s="56">
        <v>0</v>
      </c>
      <c r="AE8" s="56">
        <v>0</v>
      </c>
      <c r="AF8" s="69">
        <f>IF(W8="SOPORTE_TELEFÓNICO",'BASE LIQUIDACION'!$B$10,IF(Y8="TIPO I",'BASE LIQUIDACION'!$C$3,IF(Y8="TIPO II",'BASE LIQUIDACION'!$C$4,IF(Y8="TIPO III",'BASE LIQUIDACION'!$C$5,'BASE LIQUIDACION'!$C$7))))</f>
        <v>65960.473639999997</v>
      </c>
      <c r="AG8" s="90">
        <f>IF(W8="SOPORTE_TELEFÓNICO",'BASE LIQUIDACION'!$B$10,(AB8*AF8+AC8*'BASE LIQUIDACION'!$B$12+AD8*'BASE LIQUIDACION'!$B$11+INCIDENTES!AE8*'BASE LIQUIDACION'!$B$13))</f>
        <v>65960.473639999997</v>
      </c>
    </row>
    <row r="9" spans="1:33" s="70" customFormat="1">
      <c r="A9" s="56" t="s">
        <v>131</v>
      </c>
      <c r="B9" s="56" t="str">
        <f>VLOOKUP(A9,'CENTRO DE COSTOS'!A:D,4,FALSE)</f>
        <v>MIGUEL JULIÁN HERNÁNDEZ GUARÍN</v>
      </c>
      <c r="C9" s="56" t="str">
        <f>VLOOKUP(A9,'CENTRO DE COSTOS'!A:D,2,FALSE)</f>
        <v>0004-0008</v>
      </c>
      <c r="D9" s="56">
        <v>15806</v>
      </c>
      <c r="E9" s="56">
        <v>2803981</v>
      </c>
      <c r="F9" s="56">
        <v>29530</v>
      </c>
      <c r="G9" s="56" t="s">
        <v>1250</v>
      </c>
      <c r="H9" s="56" t="s">
        <v>133</v>
      </c>
      <c r="I9" s="56" t="s">
        <v>512</v>
      </c>
      <c r="J9" s="56" t="s">
        <v>1296</v>
      </c>
      <c r="K9" s="56" t="s">
        <v>107</v>
      </c>
      <c r="L9" s="56" t="s">
        <v>1297</v>
      </c>
      <c r="M9" s="103">
        <v>45928.458333333343</v>
      </c>
      <c r="N9" s="103">
        <v>45930.588194444441</v>
      </c>
      <c r="O9" s="56" t="s">
        <v>1253</v>
      </c>
      <c r="P9" s="56" t="s">
        <v>1254</v>
      </c>
      <c r="Q9" s="56" t="s">
        <v>1271</v>
      </c>
      <c r="R9" s="56" t="s">
        <v>1272</v>
      </c>
      <c r="S9" s="78"/>
      <c r="T9" s="78"/>
      <c r="U9" s="56" t="s">
        <v>1257</v>
      </c>
      <c r="V9" s="56" t="s">
        <v>1298</v>
      </c>
      <c r="W9" s="56" t="s">
        <v>1266</v>
      </c>
      <c r="X9" s="56" t="s">
        <v>1299</v>
      </c>
      <c r="Y9" s="56" t="s">
        <v>114</v>
      </c>
      <c r="Z9" s="56" t="s">
        <v>115</v>
      </c>
      <c r="AA9" s="56" t="s">
        <v>1300</v>
      </c>
      <c r="AB9" s="56">
        <v>1</v>
      </c>
      <c r="AC9" s="56">
        <v>0</v>
      </c>
      <c r="AD9" s="56">
        <v>0</v>
      </c>
      <c r="AE9" s="56">
        <v>0</v>
      </c>
      <c r="AF9" s="69">
        <f>IF(W9="SOPORTE_TELEFÓNICO",'BASE LIQUIDACION'!$B$10,IF(Y9="TIPO I",'BASE LIQUIDACION'!$C$3,IF(Y9="TIPO II",'BASE LIQUIDACION'!$C$4,IF(Y9="TIPO III",'BASE LIQUIDACION'!$C$5,'BASE LIQUIDACION'!$C$7))))</f>
        <v>163813.55812</v>
      </c>
      <c r="AG9" s="90">
        <f>IF(W9="SOPORTE_TELEFÓNICO",'BASE LIQUIDACION'!$B$10,(AB9*AF9+AC9*'BASE LIQUIDACION'!$B$12+AD9*'BASE LIQUIDACION'!$B$11+INCIDENTES!AE9*'BASE LIQUIDACION'!$B$13))</f>
        <v>163813.55812</v>
      </c>
    </row>
    <row r="10" spans="1:33" s="70" customFormat="1">
      <c r="A10" s="56" t="s">
        <v>140</v>
      </c>
      <c r="B10" s="56" t="str">
        <f>VLOOKUP(A10,'CENTRO DE COSTOS'!A:D,4,FALSE)</f>
        <v>MIGUEL JULIÁN HERNÁNDEZ GUARÍN</v>
      </c>
      <c r="C10" s="56" t="str">
        <f>VLOOKUP(A10,'CENTRO DE COSTOS'!A:D,2,FALSE)</f>
        <v>0004-0008</v>
      </c>
      <c r="D10" s="56">
        <v>68755</v>
      </c>
      <c r="E10" s="56">
        <v>2803348</v>
      </c>
      <c r="F10" s="56">
        <v>64390</v>
      </c>
      <c r="G10" s="56" t="s">
        <v>1250</v>
      </c>
      <c r="H10" s="56" t="s">
        <v>142</v>
      </c>
      <c r="I10" s="56" t="s">
        <v>1113</v>
      </c>
      <c r="J10" s="56" t="s">
        <v>1301</v>
      </c>
      <c r="K10" s="56" t="s">
        <v>107</v>
      </c>
      <c r="L10" s="56" t="s">
        <v>1302</v>
      </c>
      <c r="M10" s="103">
        <v>45927.716666666667</v>
      </c>
      <c r="N10" s="103">
        <v>45929.479861111111</v>
      </c>
      <c r="O10" s="56" t="s">
        <v>1253</v>
      </c>
      <c r="P10" s="56" t="s">
        <v>1254</v>
      </c>
      <c r="Q10" s="56" t="s">
        <v>1263</v>
      </c>
      <c r="R10" s="56" t="s">
        <v>1264</v>
      </c>
      <c r="S10" s="78"/>
      <c r="T10" s="78"/>
      <c r="U10" s="56" t="s">
        <v>1257</v>
      </c>
      <c r="V10" s="56" t="s">
        <v>1303</v>
      </c>
      <c r="W10" s="56" t="s">
        <v>1259</v>
      </c>
      <c r="X10" s="56">
        <v>0</v>
      </c>
      <c r="Y10" s="56" t="s">
        <v>212</v>
      </c>
      <c r="Z10" s="56" t="s">
        <v>115</v>
      </c>
      <c r="AA10" s="56" t="s">
        <v>1304</v>
      </c>
      <c r="AB10" s="56">
        <v>0</v>
      </c>
      <c r="AC10" s="56">
        <v>0</v>
      </c>
      <c r="AD10" s="56">
        <v>0</v>
      </c>
      <c r="AE10" s="56">
        <v>0</v>
      </c>
      <c r="AF10" s="69">
        <f>IF(W10="SOPORTE_TELEFÓNICO",'BASE LIQUIDACION'!$B$10,IF(Y10="TIPO I",'BASE LIQUIDACION'!$C$3,IF(Y10="TIPO II",'BASE LIQUIDACION'!$C$4,IF(Y10="TIPO III",'BASE LIQUIDACION'!$C$5,'BASE LIQUIDACION'!$C$7))))</f>
        <v>37904.65408</v>
      </c>
      <c r="AG10" s="90">
        <f>IF(W10="SOPORTE_TELEFÓNICO",'BASE LIQUIDACION'!$B$10,(AB10*AF10+AC10*'BASE LIQUIDACION'!$B$12+AD10*'BASE LIQUIDACION'!$B$11+INCIDENTES!AE10*'BASE LIQUIDACION'!$B$13))</f>
        <v>37904.65408</v>
      </c>
    </row>
    <row r="11" spans="1:33" s="70" customFormat="1">
      <c r="A11" s="56" t="s">
        <v>363</v>
      </c>
      <c r="B11" s="56" t="str">
        <f>VLOOKUP(A11,'CENTRO DE COSTOS'!A:D,4,FALSE)</f>
        <v>JOSE MAURICIO HERNANDEZ ROJAS</v>
      </c>
      <c r="C11" s="56" t="str">
        <f>VLOOKUP(A11,'CENTRO DE COSTOS'!A:D,2,FALSE)</f>
        <v>0004-0001</v>
      </c>
      <c r="D11" s="56">
        <v>13052</v>
      </c>
      <c r="E11" s="56">
        <v>2803201</v>
      </c>
      <c r="F11" s="56">
        <v>55393</v>
      </c>
      <c r="G11" s="56" t="s">
        <v>1250</v>
      </c>
      <c r="H11" s="56" t="s">
        <v>362</v>
      </c>
      <c r="I11" s="56" t="s">
        <v>375</v>
      </c>
      <c r="J11" s="56" t="s">
        <v>1305</v>
      </c>
      <c r="K11" s="56" t="s">
        <v>107</v>
      </c>
      <c r="L11" s="56" t="s">
        <v>1306</v>
      </c>
      <c r="M11" s="103">
        <v>45927.54791666667</v>
      </c>
      <c r="N11" s="103">
        <v>45929.530555555553</v>
      </c>
      <c r="O11" s="56" t="s">
        <v>1253</v>
      </c>
      <c r="P11" s="56" t="s">
        <v>1254</v>
      </c>
      <c r="Q11" s="56" t="s">
        <v>1255</v>
      </c>
      <c r="R11" s="56" t="s">
        <v>1256</v>
      </c>
      <c r="S11" s="78"/>
      <c r="T11" s="78"/>
      <c r="U11" s="56" t="s">
        <v>1257</v>
      </c>
      <c r="V11" s="56" t="s">
        <v>1307</v>
      </c>
      <c r="W11" s="56" t="s">
        <v>1266</v>
      </c>
      <c r="X11" s="56" t="s">
        <v>1308</v>
      </c>
      <c r="Y11" s="56" t="s">
        <v>114</v>
      </c>
      <c r="Z11" s="56" t="s">
        <v>115</v>
      </c>
      <c r="AA11" s="56" t="s">
        <v>1309</v>
      </c>
      <c r="AB11" s="56">
        <v>1</v>
      </c>
      <c r="AC11" s="56">
        <v>0</v>
      </c>
      <c r="AD11" s="56">
        <v>0</v>
      </c>
      <c r="AE11" s="56">
        <v>0</v>
      </c>
      <c r="AF11" s="69">
        <f>IF(W11="SOPORTE_TELEFÓNICO",'BASE LIQUIDACION'!$B$10,IF(Y11="TIPO I",'BASE LIQUIDACION'!$C$3,IF(Y11="TIPO II",'BASE LIQUIDACION'!$C$4,IF(Y11="TIPO III",'BASE LIQUIDACION'!$C$5,'BASE LIQUIDACION'!$C$7))))</f>
        <v>163813.55812</v>
      </c>
      <c r="AG11" s="90">
        <f>IF(W11="SOPORTE_TELEFÓNICO",'BASE LIQUIDACION'!$B$10,(AB11*AF11+AC11*'BASE LIQUIDACION'!$B$12+AD11*'BASE LIQUIDACION'!$B$11+INCIDENTES!AE11*'BASE LIQUIDACION'!$B$13))</f>
        <v>163813.55812</v>
      </c>
    </row>
    <row r="12" spans="1:33" s="70" customFormat="1">
      <c r="A12" s="56" t="s">
        <v>165</v>
      </c>
      <c r="B12" s="56" t="str">
        <f>VLOOKUP(A12,'CENTRO DE COSTOS'!A:D,4,FALSE)</f>
        <v>JUAN SEBASTIÁN RÍOS CASTRILLÓN</v>
      </c>
      <c r="C12" s="56" t="str">
        <f>VLOOKUP(A12,'CENTRO DE COSTOS'!A:D,2,FALSE)</f>
        <v>0004-0005</v>
      </c>
      <c r="D12" s="56">
        <v>5615</v>
      </c>
      <c r="E12" s="56">
        <v>2803120</v>
      </c>
      <c r="F12" s="56">
        <v>20701</v>
      </c>
      <c r="G12" s="56" t="s">
        <v>1250</v>
      </c>
      <c r="H12" s="56" t="s">
        <v>152</v>
      </c>
      <c r="I12" s="56" t="s">
        <v>221</v>
      </c>
      <c r="J12" s="56" t="s">
        <v>1310</v>
      </c>
      <c r="K12" s="56" t="s">
        <v>107</v>
      </c>
      <c r="L12" s="56" t="s">
        <v>1311</v>
      </c>
      <c r="M12" s="103">
        <v>45927.491666666669</v>
      </c>
      <c r="N12" s="103">
        <v>45929.486805555563</v>
      </c>
      <c r="O12" s="56" t="s">
        <v>1253</v>
      </c>
      <c r="P12" s="56" t="s">
        <v>1254</v>
      </c>
      <c r="Q12" s="56" t="s">
        <v>1312</v>
      </c>
      <c r="R12" s="56" t="s">
        <v>1313</v>
      </c>
      <c r="S12" s="78"/>
      <c r="T12" s="78"/>
      <c r="U12" s="56" t="s">
        <v>1257</v>
      </c>
      <c r="V12" s="56" t="s">
        <v>1314</v>
      </c>
      <c r="W12" s="56" t="s">
        <v>1259</v>
      </c>
      <c r="X12" s="56">
        <v>0</v>
      </c>
      <c r="Y12" s="56" t="s">
        <v>114</v>
      </c>
      <c r="Z12" s="56" t="s">
        <v>115</v>
      </c>
      <c r="AA12" s="56" t="s">
        <v>1315</v>
      </c>
      <c r="AB12" s="56">
        <v>0</v>
      </c>
      <c r="AC12" s="56">
        <v>0</v>
      </c>
      <c r="AD12" s="56">
        <v>0</v>
      </c>
      <c r="AE12" s="56">
        <v>0</v>
      </c>
      <c r="AF12" s="69">
        <f>IF(W12="SOPORTE_TELEFÓNICO",'BASE LIQUIDACION'!$B$10,IF(Y12="TIPO I",'BASE LIQUIDACION'!$C$3,IF(Y12="TIPO II",'BASE LIQUIDACION'!$C$4,IF(Y12="TIPO III",'BASE LIQUIDACION'!$C$5,'BASE LIQUIDACION'!$C$7))))</f>
        <v>37904.65408</v>
      </c>
      <c r="AG12" s="90">
        <f>IF(W12="SOPORTE_TELEFÓNICO",'BASE LIQUIDACION'!$B$10,(AB12*AF12+AC12*'BASE LIQUIDACION'!$B$12+AD12*'BASE LIQUIDACION'!$B$11+INCIDENTES!AE12*'BASE LIQUIDACION'!$B$13))</f>
        <v>37904.65408</v>
      </c>
    </row>
    <row r="13" spans="1:33" s="70" customFormat="1">
      <c r="A13" s="56" t="s">
        <v>242</v>
      </c>
      <c r="B13" s="56" t="str">
        <f>VLOOKUP(A13,'CENTRO DE COSTOS'!A:D,4,FALSE)</f>
        <v>JOSE MAURICIO HERNANDEZ ROJAS</v>
      </c>
      <c r="C13" s="56" t="str">
        <f>VLOOKUP(A13,'CENTRO DE COSTOS'!A:D,2,FALSE)</f>
        <v>0004-0001</v>
      </c>
      <c r="D13" s="56">
        <v>23660</v>
      </c>
      <c r="E13" s="56">
        <v>2802689</v>
      </c>
      <c r="F13" s="56">
        <v>81679</v>
      </c>
      <c r="G13" s="56" t="s">
        <v>1250</v>
      </c>
      <c r="H13" s="56" t="s">
        <v>364</v>
      </c>
      <c r="I13" s="56" t="s">
        <v>701</v>
      </c>
      <c r="J13" s="56" t="s">
        <v>1316</v>
      </c>
      <c r="K13" s="56" t="s">
        <v>107</v>
      </c>
      <c r="L13" s="56" t="s">
        <v>1317</v>
      </c>
      <c r="M13" s="103">
        <v>45927.400694444441</v>
      </c>
      <c r="N13" s="103">
        <v>45929.386805555558</v>
      </c>
      <c r="O13" s="56" t="s">
        <v>1253</v>
      </c>
      <c r="P13" s="56" t="s">
        <v>1254</v>
      </c>
      <c r="Q13" s="56" t="s">
        <v>1271</v>
      </c>
      <c r="R13" s="56" t="s">
        <v>1272</v>
      </c>
      <c r="S13" s="78"/>
      <c r="T13" s="78"/>
      <c r="U13" s="56" t="s">
        <v>1257</v>
      </c>
      <c r="V13" s="56" t="s">
        <v>1318</v>
      </c>
      <c r="W13" s="56" t="s">
        <v>1259</v>
      </c>
      <c r="X13" s="56">
        <v>0</v>
      </c>
      <c r="Y13" s="56" t="s">
        <v>114</v>
      </c>
      <c r="Z13" s="56" t="s">
        <v>115</v>
      </c>
      <c r="AA13" s="56" t="s">
        <v>1319</v>
      </c>
      <c r="AB13" s="56">
        <v>0</v>
      </c>
      <c r="AC13" s="56">
        <v>0</v>
      </c>
      <c r="AD13" s="56">
        <v>0</v>
      </c>
      <c r="AE13" s="56">
        <v>0</v>
      </c>
      <c r="AF13" s="69">
        <f>IF(W13="SOPORTE_TELEFÓNICO",'BASE LIQUIDACION'!$B$10,IF(Y13="TIPO I",'BASE LIQUIDACION'!$C$3,IF(Y13="TIPO II",'BASE LIQUIDACION'!$C$4,IF(Y13="TIPO III",'BASE LIQUIDACION'!$C$5,'BASE LIQUIDACION'!$C$7))))</f>
        <v>37904.65408</v>
      </c>
      <c r="AG13" s="90">
        <f>IF(W13="SOPORTE_TELEFÓNICO",'BASE LIQUIDACION'!$B$10,(AB13*AF13+AC13*'BASE LIQUIDACION'!$B$12+AD13*'BASE LIQUIDACION'!$B$11+INCIDENTES!AE13*'BASE LIQUIDACION'!$B$13))</f>
        <v>37904.65408</v>
      </c>
    </row>
    <row r="14" spans="1:33" s="70" customFormat="1">
      <c r="A14" s="56" t="s">
        <v>340</v>
      </c>
      <c r="B14" s="56" t="str">
        <f>VLOOKUP(A14,'CENTRO DE COSTOS'!A:D,4,FALSE)</f>
        <v>JOSE MAURICIO HERNANDEZ ROJAS</v>
      </c>
      <c r="C14" s="56" t="str">
        <f>VLOOKUP(A14,'CENTRO DE COSTOS'!A:D,2,FALSE)</f>
        <v>0004-0001</v>
      </c>
      <c r="D14" s="56">
        <v>8137</v>
      </c>
      <c r="E14" s="56">
        <v>2802873</v>
      </c>
      <c r="F14" s="56">
        <v>50862</v>
      </c>
      <c r="G14" s="56" t="s">
        <v>1250</v>
      </c>
      <c r="H14" s="56" t="s">
        <v>339</v>
      </c>
      <c r="I14" s="56" t="s">
        <v>343</v>
      </c>
      <c r="J14" s="56" t="s">
        <v>1320</v>
      </c>
      <c r="K14" s="56" t="s">
        <v>107</v>
      </c>
      <c r="L14" s="56" t="s">
        <v>1321</v>
      </c>
      <c r="M14" s="103">
        <v>45927.397916666669</v>
      </c>
      <c r="N14" s="103">
        <v>45929.384722222218</v>
      </c>
      <c r="O14" s="56" t="s">
        <v>1253</v>
      </c>
      <c r="P14" s="56" t="s">
        <v>1254</v>
      </c>
      <c r="Q14" s="56" t="s">
        <v>1271</v>
      </c>
      <c r="R14" s="56" t="s">
        <v>1272</v>
      </c>
      <c r="S14" s="78"/>
      <c r="T14" s="78"/>
      <c r="U14" s="56" t="s">
        <v>1257</v>
      </c>
      <c r="V14" s="56" t="s">
        <v>1322</v>
      </c>
      <c r="W14" s="56" t="s">
        <v>1259</v>
      </c>
      <c r="X14" s="56">
        <v>0</v>
      </c>
      <c r="Y14" s="56" t="s">
        <v>114</v>
      </c>
      <c r="Z14" s="56" t="s">
        <v>115</v>
      </c>
      <c r="AA14" s="56" t="s">
        <v>1323</v>
      </c>
      <c r="AB14" s="56">
        <v>0</v>
      </c>
      <c r="AC14" s="56">
        <v>0</v>
      </c>
      <c r="AD14" s="56">
        <v>0</v>
      </c>
      <c r="AE14" s="56">
        <v>0</v>
      </c>
      <c r="AF14" s="69">
        <f>IF(W14="SOPORTE_TELEFÓNICO",'BASE LIQUIDACION'!$B$10,IF(Y14="TIPO I",'BASE LIQUIDACION'!$C$3,IF(Y14="TIPO II",'BASE LIQUIDACION'!$C$4,IF(Y14="TIPO III",'BASE LIQUIDACION'!$C$5,'BASE LIQUIDACION'!$C$7))))</f>
        <v>37904.65408</v>
      </c>
      <c r="AG14" s="90">
        <f>IF(W14="SOPORTE_TELEFÓNICO",'BASE LIQUIDACION'!$B$10,(AB14*AF14+AC14*'BASE LIQUIDACION'!$B$12+AD14*'BASE LIQUIDACION'!$B$11+INCIDENTES!AE14*'BASE LIQUIDACION'!$B$13))</f>
        <v>37904.65408</v>
      </c>
    </row>
    <row r="15" spans="1:33" s="70" customFormat="1">
      <c r="A15" s="56" t="s">
        <v>100</v>
      </c>
      <c r="B15" s="56" t="str">
        <f>VLOOKUP(A15,'CENTRO DE COSTOS'!A:D,4,FALSE)</f>
        <v>DIEGO FERNANDO HENAO CARDONA</v>
      </c>
      <c r="C15" s="56" t="str">
        <f>VLOOKUP(A15,'CENTRO DE COSTOS'!A:D,2,FALSE)</f>
        <v>0004-0003</v>
      </c>
      <c r="D15" s="56">
        <v>52490</v>
      </c>
      <c r="E15" s="56">
        <v>2802099</v>
      </c>
      <c r="F15" s="56">
        <v>41691</v>
      </c>
      <c r="G15" s="56" t="s">
        <v>1250</v>
      </c>
      <c r="H15" s="56" t="s">
        <v>104</v>
      </c>
      <c r="I15" s="56" t="s">
        <v>962</v>
      </c>
      <c r="J15" s="56" t="s">
        <v>1324</v>
      </c>
      <c r="K15" s="56" t="s">
        <v>107</v>
      </c>
      <c r="L15" s="56" t="s">
        <v>1325</v>
      </c>
      <c r="M15" s="103">
        <v>45927.333333333343</v>
      </c>
      <c r="N15" s="103">
        <v>45930.572916666657</v>
      </c>
      <c r="O15" s="56" t="s">
        <v>1253</v>
      </c>
      <c r="P15" s="56" t="s">
        <v>1254</v>
      </c>
      <c r="Q15" s="56" t="s">
        <v>1263</v>
      </c>
      <c r="R15" s="56" t="s">
        <v>1264</v>
      </c>
      <c r="S15" s="78"/>
      <c r="T15" s="78"/>
      <c r="U15" s="56" t="s">
        <v>1257</v>
      </c>
      <c r="V15" s="56" t="s">
        <v>1326</v>
      </c>
      <c r="W15" s="56" t="s">
        <v>1259</v>
      </c>
      <c r="X15" s="56">
        <v>0</v>
      </c>
      <c r="Y15" s="56" t="s">
        <v>128</v>
      </c>
      <c r="Z15" s="56" t="s">
        <v>289</v>
      </c>
      <c r="AA15" s="56" t="s">
        <v>1260</v>
      </c>
      <c r="AB15" s="56">
        <v>0</v>
      </c>
      <c r="AC15" s="56">
        <v>0</v>
      </c>
      <c r="AD15" s="56">
        <v>0</v>
      </c>
      <c r="AE15" s="56">
        <v>0</v>
      </c>
      <c r="AF15" s="69">
        <f>IF(W15="SOPORTE_TELEFÓNICO",'BASE LIQUIDACION'!$B$10,IF(Y15="TIPO I",'BASE LIQUIDACION'!$C$3,IF(Y15="TIPO II",'BASE LIQUIDACION'!$C$4,IF(Y15="TIPO III",'BASE LIQUIDACION'!$C$5,'BASE LIQUIDACION'!$C$7))))</f>
        <v>37904.65408</v>
      </c>
      <c r="AG15" s="90">
        <f>IF(W15="SOPORTE_TELEFÓNICO",'BASE LIQUIDACION'!$B$10,(AB15*AF15+AC15*'BASE LIQUIDACION'!$B$12+AD15*'BASE LIQUIDACION'!$B$11+INCIDENTES!AE15*'BASE LIQUIDACION'!$B$13))</f>
        <v>37904.65408</v>
      </c>
    </row>
    <row r="16" spans="1:33" s="70" customFormat="1">
      <c r="A16" s="56" t="s">
        <v>556</v>
      </c>
      <c r="B16" s="56" t="str">
        <f>VLOOKUP(A16,'CENTRO DE COSTOS'!A:D,4,FALSE)</f>
        <v>DIEGO FERNANDO HENAO CARDONA</v>
      </c>
      <c r="C16" s="56" t="str">
        <f>VLOOKUP(A16,'CENTRO DE COSTOS'!A:D,2,FALSE)</f>
        <v>0004-0002</v>
      </c>
      <c r="D16" s="56">
        <v>76895</v>
      </c>
      <c r="E16" s="56">
        <v>2802027</v>
      </c>
      <c r="F16" s="56">
        <v>77269</v>
      </c>
      <c r="G16" s="56" t="s">
        <v>1250</v>
      </c>
      <c r="H16" s="56" t="s">
        <v>1189</v>
      </c>
      <c r="I16" s="56" t="s">
        <v>1223</v>
      </c>
      <c r="J16" s="56" t="s">
        <v>1327</v>
      </c>
      <c r="K16" s="56" t="s">
        <v>107</v>
      </c>
      <c r="L16" s="56" t="s">
        <v>1328</v>
      </c>
      <c r="M16" s="103">
        <v>45927.333333333343</v>
      </c>
      <c r="N16" s="103">
        <v>45929.470833333333</v>
      </c>
      <c r="O16" s="56" t="s">
        <v>1253</v>
      </c>
      <c r="P16" s="56" t="s">
        <v>1254</v>
      </c>
      <c r="Q16" s="56" t="s">
        <v>1271</v>
      </c>
      <c r="R16" s="56" t="s">
        <v>1272</v>
      </c>
      <c r="S16" s="78"/>
      <c r="T16" s="78"/>
      <c r="U16" s="56" t="s">
        <v>1257</v>
      </c>
      <c r="V16" s="56" t="s">
        <v>1329</v>
      </c>
      <c r="W16" s="56" t="s">
        <v>1259</v>
      </c>
      <c r="X16" s="56">
        <v>0</v>
      </c>
      <c r="Y16" s="56" t="s">
        <v>212</v>
      </c>
      <c r="Z16" s="56" t="s">
        <v>115</v>
      </c>
      <c r="AA16" s="56" t="s">
        <v>1330</v>
      </c>
      <c r="AB16" s="56">
        <v>0</v>
      </c>
      <c r="AC16" s="56">
        <v>0</v>
      </c>
      <c r="AD16" s="56">
        <v>0</v>
      </c>
      <c r="AE16" s="56">
        <v>0</v>
      </c>
      <c r="AF16" s="69">
        <f>IF(W16="SOPORTE_TELEFÓNICO",'BASE LIQUIDACION'!$B$10,IF(Y16="TIPO I",'BASE LIQUIDACION'!$C$3,IF(Y16="TIPO II",'BASE LIQUIDACION'!$C$4,IF(Y16="TIPO III",'BASE LIQUIDACION'!$C$5,'BASE LIQUIDACION'!$C$7))))</f>
        <v>37904.65408</v>
      </c>
      <c r="AG16" s="90">
        <f>IF(W16="SOPORTE_TELEFÓNICO",'BASE LIQUIDACION'!$B$10,(AB16*AF16+AC16*'BASE LIQUIDACION'!$B$12+AD16*'BASE LIQUIDACION'!$B$11+INCIDENTES!AE16*'BASE LIQUIDACION'!$B$13))</f>
        <v>37904.65408</v>
      </c>
    </row>
    <row r="17" spans="1:33" s="70" customFormat="1">
      <c r="A17" s="56" t="s">
        <v>340</v>
      </c>
      <c r="B17" s="56" t="str">
        <f>VLOOKUP(A17,'CENTRO DE COSTOS'!A:D,4,FALSE)</f>
        <v>JOSE MAURICIO HERNANDEZ ROJAS</v>
      </c>
      <c r="C17" s="56" t="str">
        <f>VLOOKUP(A17,'CENTRO DE COSTOS'!A:D,2,FALSE)</f>
        <v>0004-0001</v>
      </c>
      <c r="D17" s="56">
        <v>8078</v>
      </c>
      <c r="E17" s="56">
        <v>2801742</v>
      </c>
      <c r="F17" s="56">
        <v>62375</v>
      </c>
      <c r="G17" s="56" t="s">
        <v>1250</v>
      </c>
      <c r="H17" s="56" t="s">
        <v>339</v>
      </c>
      <c r="I17" s="56" t="s">
        <v>342</v>
      </c>
      <c r="J17" s="56" t="s">
        <v>1331</v>
      </c>
      <c r="K17" s="56" t="s">
        <v>107</v>
      </c>
      <c r="L17" s="56" t="s">
        <v>1332</v>
      </c>
      <c r="M17" s="103">
        <v>45926.70208333333</v>
      </c>
      <c r="N17" s="103">
        <v>45927.719444444447</v>
      </c>
      <c r="O17" s="56" t="s">
        <v>1253</v>
      </c>
      <c r="P17" s="56" t="s">
        <v>1254</v>
      </c>
      <c r="Q17" s="56" t="s">
        <v>1312</v>
      </c>
      <c r="R17" s="56" t="s">
        <v>1313</v>
      </c>
      <c r="S17" s="78"/>
      <c r="T17" s="78"/>
      <c r="U17" s="56" t="s">
        <v>1257</v>
      </c>
      <c r="V17" s="56" t="s">
        <v>1333</v>
      </c>
      <c r="W17" s="56" t="s">
        <v>1266</v>
      </c>
      <c r="X17" s="56" t="s">
        <v>1334</v>
      </c>
      <c r="Y17" s="56" t="s">
        <v>114</v>
      </c>
      <c r="Z17" s="56" t="s">
        <v>115</v>
      </c>
      <c r="AA17" s="56" t="s">
        <v>1323</v>
      </c>
      <c r="AB17" s="56">
        <v>1</v>
      </c>
      <c r="AC17" s="56">
        <v>0</v>
      </c>
      <c r="AD17" s="56">
        <v>0</v>
      </c>
      <c r="AE17" s="56">
        <v>0</v>
      </c>
      <c r="AF17" s="69">
        <f>IF(W17="SOPORTE_TELEFÓNICO",'BASE LIQUIDACION'!$B$10,IF(Y17="TIPO I",'BASE LIQUIDACION'!$C$3,IF(Y17="TIPO II",'BASE LIQUIDACION'!$C$4,IF(Y17="TIPO III",'BASE LIQUIDACION'!$C$5,'BASE LIQUIDACION'!$C$7))))</f>
        <v>163813.55812</v>
      </c>
      <c r="AG17" s="90">
        <f>IF(W17="SOPORTE_TELEFÓNICO",'BASE LIQUIDACION'!$B$10,(AB17*AF17+AC17*'BASE LIQUIDACION'!$B$12+AD17*'BASE LIQUIDACION'!$B$11+INCIDENTES!AE17*'BASE LIQUIDACION'!$B$13))</f>
        <v>163813.55812</v>
      </c>
    </row>
    <row r="18" spans="1:33" s="70" customFormat="1">
      <c r="A18" s="56" t="s">
        <v>165</v>
      </c>
      <c r="B18" s="56" t="str">
        <f>VLOOKUP(A18,'CENTRO DE COSTOS'!A:D,4,FALSE)</f>
        <v>JUAN SEBASTIÁN RÍOS CASTRILLÓN</v>
      </c>
      <c r="C18" s="56" t="str">
        <f>VLOOKUP(A18,'CENTRO DE COSTOS'!A:D,2,FALSE)</f>
        <v>0004-0005</v>
      </c>
      <c r="D18" s="56">
        <v>5001</v>
      </c>
      <c r="E18" s="56">
        <v>2801003</v>
      </c>
      <c r="F18" s="56">
        <v>70017</v>
      </c>
      <c r="G18" s="56" t="s">
        <v>1250</v>
      </c>
      <c r="H18" s="56" t="s">
        <v>152</v>
      </c>
      <c r="I18" s="56" t="s">
        <v>165</v>
      </c>
      <c r="J18" s="56" t="s">
        <v>1335</v>
      </c>
      <c r="K18" s="56" t="s">
        <v>107</v>
      </c>
      <c r="L18" s="56" t="s">
        <v>1336</v>
      </c>
      <c r="M18" s="103">
        <v>45926.620138888888</v>
      </c>
      <c r="N18" s="103">
        <v>45927.523611111108</v>
      </c>
      <c r="O18" s="56" t="s">
        <v>1253</v>
      </c>
      <c r="P18" s="56" t="s">
        <v>1254</v>
      </c>
      <c r="Q18" s="56" t="s">
        <v>1312</v>
      </c>
      <c r="R18" s="56" t="s">
        <v>1313</v>
      </c>
      <c r="S18" s="78"/>
      <c r="T18" s="78"/>
      <c r="U18" s="56" t="s">
        <v>1257</v>
      </c>
      <c r="V18" s="56" t="s">
        <v>1337</v>
      </c>
      <c r="W18" s="56" t="s">
        <v>1266</v>
      </c>
      <c r="X18" s="56" t="s">
        <v>1338</v>
      </c>
      <c r="Y18" s="56" t="s">
        <v>138</v>
      </c>
      <c r="Z18" s="56" t="s">
        <v>115</v>
      </c>
      <c r="AA18" s="56" t="s">
        <v>1315</v>
      </c>
      <c r="AB18" s="56">
        <v>1</v>
      </c>
      <c r="AC18" s="56">
        <v>0</v>
      </c>
      <c r="AD18" s="56">
        <v>0</v>
      </c>
      <c r="AE18" s="56">
        <v>0</v>
      </c>
      <c r="AF18" s="69">
        <f>IF(W18="SOPORTE_TELEFÓNICO",'BASE LIQUIDACION'!$B$10,IF(Y18="TIPO I",'BASE LIQUIDACION'!$C$3,IF(Y18="TIPO II",'BASE LIQUIDACION'!$C$4,IF(Y18="TIPO III",'BASE LIQUIDACION'!$C$5,'BASE LIQUIDACION'!$C$7))))</f>
        <v>65960.473639999997</v>
      </c>
      <c r="AG18" s="90">
        <f>IF(W18="SOPORTE_TELEFÓNICO",'BASE LIQUIDACION'!$B$10,(AB18*AF18+AC18*'BASE LIQUIDACION'!$B$12+AD18*'BASE LIQUIDACION'!$B$11+INCIDENTES!AE18*'BASE LIQUIDACION'!$B$13))</f>
        <v>65960.473639999997</v>
      </c>
    </row>
    <row r="19" spans="1:33" s="70" customFormat="1">
      <c r="A19" s="56" t="s">
        <v>117</v>
      </c>
      <c r="B19" s="56" t="str">
        <f>VLOOKUP(A19,'CENTRO DE COSTOS'!A:D,4,FALSE)</f>
        <v>KEVIN ALEXIS CORZO BUSTOS</v>
      </c>
      <c r="C19" s="56" t="str">
        <f>VLOOKUP(A19,'CENTRO DE COSTOS'!A:D,2,FALSE)</f>
        <v>0004-0007</v>
      </c>
      <c r="D19" s="56">
        <v>41551</v>
      </c>
      <c r="E19" s="56">
        <v>2800088</v>
      </c>
      <c r="F19" s="56">
        <v>80538</v>
      </c>
      <c r="G19" s="56" t="s">
        <v>1250</v>
      </c>
      <c r="H19" s="56" t="s">
        <v>830</v>
      </c>
      <c r="I19" s="56" t="s">
        <v>852</v>
      </c>
      <c r="J19" s="56" t="s">
        <v>1339</v>
      </c>
      <c r="K19" s="56" t="s">
        <v>107</v>
      </c>
      <c r="L19" s="56" t="s">
        <v>1340</v>
      </c>
      <c r="M19" s="103">
        <v>45926.539583333331</v>
      </c>
      <c r="N19" s="103">
        <v>45929.506944444453</v>
      </c>
      <c r="O19" s="56" t="s">
        <v>1253</v>
      </c>
      <c r="P19" s="56" t="s">
        <v>1341</v>
      </c>
      <c r="Q19" s="56" t="s">
        <v>1342</v>
      </c>
      <c r="R19" s="56" t="s">
        <v>1343</v>
      </c>
      <c r="S19" s="78"/>
      <c r="T19" s="78"/>
      <c r="U19" s="56" t="s">
        <v>1257</v>
      </c>
      <c r="V19" s="56" t="s">
        <v>1344</v>
      </c>
      <c r="W19" s="56" t="s">
        <v>1259</v>
      </c>
      <c r="X19" s="56">
        <v>0</v>
      </c>
      <c r="Y19" s="56" t="s">
        <v>212</v>
      </c>
      <c r="Z19" s="56" t="s">
        <v>115</v>
      </c>
      <c r="AA19" s="56" t="s">
        <v>1345</v>
      </c>
      <c r="AB19" s="56">
        <v>0</v>
      </c>
      <c r="AC19" s="56">
        <v>0</v>
      </c>
      <c r="AD19" s="56">
        <v>0</v>
      </c>
      <c r="AE19" s="56">
        <v>0</v>
      </c>
      <c r="AF19" s="69">
        <f>IF(W19="SOPORTE_TELEFÓNICO",'BASE LIQUIDACION'!$B$10,IF(Y19="TIPO I",'BASE LIQUIDACION'!$C$3,IF(Y19="TIPO II",'BASE LIQUIDACION'!$C$4,IF(Y19="TIPO III",'BASE LIQUIDACION'!$C$5,'BASE LIQUIDACION'!$C$7))))</f>
        <v>37904.65408</v>
      </c>
      <c r="AG19" s="90">
        <f>IF(W19="SOPORTE_TELEFÓNICO",'BASE LIQUIDACION'!$B$10,(AB19*AF19+AC19*'BASE LIQUIDACION'!$B$12+AD19*'BASE LIQUIDACION'!$B$11+INCIDENTES!AE19*'BASE LIQUIDACION'!$B$13))</f>
        <v>37904.65408</v>
      </c>
    </row>
    <row r="20" spans="1:33" s="70" customFormat="1">
      <c r="A20" s="56" t="s">
        <v>174</v>
      </c>
      <c r="B20" s="56" t="str">
        <f>VLOOKUP(A20,'CENTRO DE COSTOS'!A:D,4,FALSE)</f>
        <v>KEVIN ALEXIS CORZO BUSTOS</v>
      </c>
      <c r="C20" s="56" t="str">
        <f>VLOOKUP(A20,'CENTRO DE COSTOS'!A:D,2,FALSE)</f>
        <v>0004-0007</v>
      </c>
      <c r="D20" s="56">
        <v>50001</v>
      </c>
      <c r="E20" s="56">
        <v>2800046</v>
      </c>
      <c r="F20" s="56">
        <v>80632</v>
      </c>
      <c r="G20" s="56" t="s">
        <v>1250</v>
      </c>
      <c r="H20" s="56" t="s">
        <v>176</v>
      </c>
      <c r="I20" s="56" t="s">
        <v>174</v>
      </c>
      <c r="J20" s="56" t="s">
        <v>1346</v>
      </c>
      <c r="K20" s="56" t="s">
        <v>107</v>
      </c>
      <c r="L20" s="56" t="s">
        <v>1347</v>
      </c>
      <c r="M20" s="103">
        <v>45926.518055555563</v>
      </c>
      <c r="N20" s="103">
        <v>45926.736805555563</v>
      </c>
      <c r="O20" s="56" t="s">
        <v>1253</v>
      </c>
      <c r="P20" s="56" t="s">
        <v>1254</v>
      </c>
      <c r="Q20" s="56" t="s">
        <v>1348</v>
      </c>
      <c r="R20" s="56" t="s">
        <v>1277</v>
      </c>
      <c r="S20" s="78"/>
      <c r="T20" s="78"/>
      <c r="U20" s="56" t="s">
        <v>1257</v>
      </c>
      <c r="V20" s="56" t="s">
        <v>1349</v>
      </c>
      <c r="W20" s="56" t="s">
        <v>1266</v>
      </c>
      <c r="X20" s="56" t="s">
        <v>1350</v>
      </c>
      <c r="Y20" s="56" t="s">
        <v>138</v>
      </c>
      <c r="Z20" s="56" t="s">
        <v>115</v>
      </c>
      <c r="AA20" s="56" t="s">
        <v>1295</v>
      </c>
      <c r="AB20" s="56">
        <v>1</v>
      </c>
      <c r="AC20" s="56">
        <v>0</v>
      </c>
      <c r="AD20" s="56">
        <v>0</v>
      </c>
      <c r="AE20" s="56">
        <v>0</v>
      </c>
      <c r="AF20" s="69">
        <f>IF(W20="SOPORTE_TELEFÓNICO",'BASE LIQUIDACION'!$B$10,IF(Y20="TIPO I",'BASE LIQUIDACION'!$C$3,IF(Y20="TIPO II",'BASE LIQUIDACION'!$C$4,IF(Y20="TIPO III",'BASE LIQUIDACION'!$C$5,'BASE LIQUIDACION'!$C$7))))</f>
        <v>65960.473639999997</v>
      </c>
      <c r="AG20" s="90">
        <f>IF(W20="SOPORTE_TELEFÓNICO",'BASE LIQUIDACION'!$B$10,(AB20*AF20+AC20*'BASE LIQUIDACION'!$B$12+AD20*'BASE LIQUIDACION'!$B$11+INCIDENTES!AE20*'BASE LIQUIDACION'!$B$13))</f>
        <v>65960.473639999997</v>
      </c>
    </row>
    <row r="21" spans="1:33" s="70" customFormat="1">
      <c r="A21" s="56" t="s">
        <v>980</v>
      </c>
      <c r="B21" s="56" t="str">
        <f>VLOOKUP(A21,'CENTRO DE COSTOS'!A:D,4,FALSE)</f>
        <v>MIGUEL JULIÁN HERNÁNDEZ GUARÍN</v>
      </c>
      <c r="C21" s="56" t="str">
        <f>VLOOKUP(A21,'CENTRO DE COSTOS'!A:D,2,FALSE)</f>
        <v>0004-0008</v>
      </c>
      <c r="D21" s="56">
        <v>54001</v>
      </c>
      <c r="E21" s="56">
        <v>2799185</v>
      </c>
      <c r="F21" s="56">
        <v>81650</v>
      </c>
      <c r="G21" s="56" t="s">
        <v>1250</v>
      </c>
      <c r="H21" s="56" t="s">
        <v>979</v>
      </c>
      <c r="I21" s="56" t="s">
        <v>980</v>
      </c>
      <c r="J21" s="56" t="s">
        <v>1351</v>
      </c>
      <c r="K21" s="56" t="s">
        <v>107</v>
      </c>
      <c r="L21" s="56" t="s">
        <v>1352</v>
      </c>
      <c r="M21" s="103">
        <v>45926.462500000001</v>
      </c>
      <c r="N21" s="103">
        <v>45926.723611111112</v>
      </c>
      <c r="O21" s="56" t="s">
        <v>1253</v>
      </c>
      <c r="P21" s="56" t="s">
        <v>1254</v>
      </c>
      <c r="Q21" s="56" t="s">
        <v>1271</v>
      </c>
      <c r="R21" s="56" t="s">
        <v>1277</v>
      </c>
      <c r="S21" s="78"/>
      <c r="T21" s="78"/>
      <c r="U21" s="56" t="s">
        <v>1257</v>
      </c>
      <c r="V21" s="56" t="s">
        <v>1353</v>
      </c>
      <c r="W21" s="56" t="s">
        <v>1259</v>
      </c>
      <c r="X21" s="56">
        <v>0</v>
      </c>
      <c r="Y21" s="56" t="s">
        <v>138</v>
      </c>
      <c r="Z21" s="56" t="s">
        <v>115</v>
      </c>
      <c r="AA21" s="56" t="s">
        <v>1354</v>
      </c>
      <c r="AB21" s="56">
        <v>0</v>
      </c>
      <c r="AC21" s="56">
        <v>0</v>
      </c>
      <c r="AD21" s="56">
        <v>0</v>
      </c>
      <c r="AE21" s="56">
        <v>0</v>
      </c>
      <c r="AF21" s="69">
        <f>IF(W21="SOPORTE_TELEFÓNICO",'BASE LIQUIDACION'!$B$10,IF(Y21="TIPO I",'BASE LIQUIDACION'!$C$3,IF(Y21="TIPO II",'BASE LIQUIDACION'!$C$4,IF(Y21="TIPO III",'BASE LIQUIDACION'!$C$5,'BASE LIQUIDACION'!$C$7))))</f>
        <v>37904.65408</v>
      </c>
      <c r="AG21" s="90">
        <f>IF(W21="SOPORTE_TELEFÓNICO",'BASE LIQUIDACION'!$B$10,(AB21*AF21+AC21*'BASE LIQUIDACION'!$B$12+AD21*'BASE LIQUIDACION'!$B$11+INCIDENTES!AE21*'BASE LIQUIDACION'!$B$13))</f>
        <v>37904.65408</v>
      </c>
    </row>
    <row r="22" spans="1:33" s="70" customFormat="1">
      <c r="A22" s="56" t="s">
        <v>242</v>
      </c>
      <c r="B22" s="56" t="str">
        <f>VLOOKUP(A22,'CENTRO DE COSTOS'!A:D,4,FALSE)</f>
        <v>JOSE MAURICIO HERNANDEZ ROJAS</v>
      </c>
      <c r="C22" s="56" t="str">
        <f>VLOOKUP(A22,'CENTRO DE COSTOS'!A:D,2,FALSE)</f>
        <v>0004-0001</v>
      </c>
      <c r="D22" s="56">
        <v>23079</v>
      </c>
      <c r="E22" s="56">
        <v>2797827</v>
      </c>
      <c r="F22" s="56">
        <v>27499</v>
      </c>
      <c r="G22" s="56" t="s">
        <v>1250</v>
      </c>
      <c r="H22" s="56" t="s">
        <v>364</v>
      </c>
      <c r="I22" s="56" t="s">
        <v>411</v>
      </c>
      <c r="J22" s="56" t="s">
        <v>1355</v>
      </c>
      <c r="K22" s="56" t="s">
        <v>107</v>
      </c>
      <c r="L22" s="56" t="s">
        <v>1356</v>
      </c>
      <c r="M22" s="103">
        <v>45926.381944444453</v>
      </c>
      <c r="N22" s="103">
        <v>45927.557638888888</v>
      </c>
      <c r="O22" s="56" t="s">
        <v>1253</v>
      </c>
      <c r="P22" s="56" t="s">
        <v>1254</v>
      </c>
      <c r="Q22" s="56" t="s">
        <v>1357</v>
      </c>
      <c r="R22" s="56" t="s">
        <v>1358</v>
      </c>
      <c r="S22" s="78"/>
      <c r="T22" s="78"/>
      <c r="U22" s="56" t="s">
        <v>1257</v>
      </c>
      <c r="V22" s="56" t="s">
        <v>1359</v>
      </c>
      <c r="W22" s="56" t="s">
        <v>1266</v>
      </c>
      <c r="X22" s="56" t="s">
        <v>1360</v>
      </c>
      <c r="Y22" s="56" t="s">
        <v>114</v>
      </c>
      <c r="Z22" s="56" t="s">
        <v>115</v>
      </c>
      <c r="AA22" s="56" t="s">
        <v>1361</v>
      </c>
      <c r="AB22" s="56">
        <v>1</v>
      </c>
      <c r="AC22" s="56">
        <v>0</v>
      </c>
      <c r="AD22" s="56">
        <v>0</v>
      </c>
      <c r="AE22" s="56">
        <v>0</v>
      </c>
      <c r="AF22" s="69">
        <f>IF(W22="SOPORTE_TELEFÓNICO",'BASE LIQUIDACION'!$B$10,IF(Y22="TIPO I",'BASE LIQUIDACION'!$C$3,IF(Y22="TIPO II",'BASE LIQUIDACION'!$C$4,IF(Y22="TIPO III",'BASE LIQUIDACION'!$C$5,'BASE LIQUIDACION'!$C$7))))</f>
        <v>163813.55812</v>
      </c>
      <c r="AG22" s="90">
        <f>IF(W22="SOPORTE_TELEFÓNICO",'BASE LIQUIDACION'!$B$10,(AB22*AF22+AC22*'BASE LIQUIDACION'!$B$12+AD22*'BASE LIQUIDACION'!$B$11+INCIDENTES!AE22*'BASE LIQUIDACION'!$B$13))</f>
        <v>163813.55812</v>
      </c>
    </row>
    <row r="23" spans="1:33" s="70" customFormat="1">
      <c r="A23" s="56" t="s">
        <v>165</v>
      </c>
      <c r="B23" s="56" t="str">
        <f>VLOOKUP(A23,'CENTRO DE COSTOS'!A:D,4,FALSE)</f>
        <v>JUAN SEBASTIÁN RÍOS CASTRILLÓN</v>
      </c>
      <c r="C23" s="56" t="str">
        <f>VLOOKUP(A23,'CENTRO DE COSTOS'!A:D,2,FALSE)</f>
        <v>0004-0005</v>
      </c>
      <c r="D23" s="56">
        <v>5001</v>
      </c>
      <c r="E23" s="56">
        <v>2797495</v>
      </c>
      <c r="F23" s="56">
        <v>26225</v>
      </c>
      <c r="G23" s="56" t="s">
        <v>1250</v>
      </c>
      <c r="H23" s="56" t="s">
        <v>152</v>
      </c>
      <c r="I23" s="56" t="s">
        <v>165</v>
      </c>
      <c r="J23" s="56" t="s">
        <v>1362</v>
      </c>
      <c r="K23" s="56" t="s">
        <v>107</v>
      </c>
      <c r="L23" s="56" t="s">
        <v>1363</v>
      </c>
      <c r="M23" s="103">
        <v>45926.35833333333</v>
      </c>
      <c r="N23" s="103">
        <v>45926.54791666667</v>
      </c>
      <c r="O23" s="56" t="s">
        <v>1253</v>
      </c>
      <c r="P23" s="56" t="s">
        <v>1254</v>
      </c>
      <c r="Q23" s="56" t="s">
        <v>1312</v>
      </c>
      <c r="R23" s="56" t="s">
        <v>1313</v>
      </c>
      <c r="S23" s="78"/>
      <c r="T23" s="78"/>
      <c r="U23" s="56" t="s">
        <v>1257</v>
      </c>
      <c r="V23" s="56" t="s">
        <v>1364</v>
      </c>
      <c r="W23" s="56" t="s">
        <v>1266</v>
      </c>
      <c r="X23" s="56">
        <v>99991001</v>
      </c>
      <c r="Y23" s="56" t="s">
        <v>138</v>
      </c>
      <c r="Z23" s="56" t="s">
        <v>115</v>
      </c>
      <c r="AA23" s="56" t="s">
        <v>1315</v>
      </c>
      <c r="AB23" s="56">
        <v>1</v>
      </c>
      <c r="AC23" s="56">
        <v>0</v>
      </c>
      <c r="AD23" s="56">
        <v>0</v>
      </c>
      <c r="AE23" s="56">
        <v>0</v>
      </c>
      <c r="AF23" s="69">
        <f>IF(W23="SOPORTE_TELEFÓNICO",'BASE LIQUIDACION'!$B$10,IF(Y23="TIPO I",'BASE LIQUIDACION'!$C$3,IF(Y23="TIPO II",'BASE LIQUIDACION'!$C$4,IF(Y23="TIPO III",'BASE LIQUIDACION'!$C$5,'BASE LIQUIDACION'!$C$7))))</f>
        <v>65960.473639999997</v>
      </c>
      <c r="AG23" s="90">
        <f>IF(W23="SOPORTE_TELEFÓNICO",'BASE LIQUIDACION'!$B$10,(AB23*AF23+AC23*'BASE LIQUIDACION'!$B$12+AD23*'BASE LIQUIDACION'!$B$11+INCIDENTES!AE23*'BASE LIQUIDACION'!$B$13))</f>
        <v>65960.473639999997</v>
      </c>
    </row>
    <row r="24" spans="1:33" s="70" customFormat="1">
      <c r="A24" s="56" t="s">
        <v>182</v>
      </c>
      <c r="B24" s="56" t="str">
        <f>VLOOKUP(A24,'CENTRO DE COSTOS'!A:D,4,FALSE)</f>
        <v>WILLIAM ASDRUBAL ROZO ROZO</v>
      </c>
      <c r="C24" s="56" t="str">
        <f>VLOOKUP(A24,'CENTRO DE COSTOS'!A:D,2,FALSE)</f>
        <v>0004-0004</v>
      </c>
      <c r="D24" s="56">
        <v>11001</v>
      </c>
      <c r="E24" s="56">
        <v>2797427</v>
      </c>
      <c r="F24" s="56">
        <v>64118</v>
      </c>
      <c r="G24" s="56" t="s">
        <v>1250</v>
      </c>
      <c r="H24" s="56" t="s">
        <v>184</v>
      </c>
      <c r="I24" s="56" t="s">
        <v>182</v>
      </c>
      <c r="J24" s="56" t="s">
        <v>1365</v>
      </c>
      <c r="K24" s="56" t="s">
        <v>107</v>
      </c>
      <c r="L24" s="56" t="s">
        <v>1366</v>
      </c>
      <c r="M24" s="103">
        <v>45926.343055555553</v>
      </c>
      <c r="N24" s="103">
        <v>45926.686805555553</v>
      </c>
      <c r="O24" s="56" t="s">
        <v>1253</v>
      </c>
      <c r="P24" s="56" t="s">
        <v>1254</v>
      </c>
      <c r="Q24" s="56" t="s">
        <v>1255</v>
      </c>
      <c r="R24" s="56" t="s">
        <v>1367</v>
      </c>
      <c r="S24" s="78"/>
      <c r="T24" s="78"/>
      <c r="U24" s="56" t="s">
        <v>1257</v>
      </c>
      <c r="V24" s="56" t="s">
        <v>1368</v>
      </c>
      <c r="W24" s="56" t="s">
        <v>1266</v>
      </c>
      <c r="X24" s="56" t="s">
        <v>1369</v>
      </c>
      <c r="Y24" s="56" t="s">
        <v>138</v>
      </c>
      <c r="Z24" s="56" t="s">
        <v>115</v>
      </c>
      <c r="AA24" s="56" t="s">
        <v>1370</v>
      </c>
      <c r="AB24" s="56">
        <v>1</v>
      </c>
      <c r="AC24" s="56">
        <v>0</v>
      </c>
      <c r="AD24" s="56">
        <v>0</v>
      </c>
      <c r="AE24" s="56">
        <v>0</v>
      </c>
      <c r="AF24" s="69">
        <f>IF(W24="SOPORTE_TELEFÓNICO",'BASE LIQUIDACION'!$B$10,IF(Y24="TIPO I",'BASE LIQUIDACION'!$C$3,IF(Y24="TIPO II",'BASE LIQUIDACION'!$C$4,IF(Y24="TIPO III",'BASE LIQUIDACION'!$C$5,'BASE LIQUIDACION'!$C$7))))</f>
        <v>65960.473639999997</v>
      </c>
      <c r="AG24" s="90">
        <f>IF(W24="SOPORTE_TELEFÓNICO",'BASE LIQUIDACION'!$B$10,(AB24*AF24+AC24*'BASE LIQUIDACION'!$B$12+AD24*'BASE LIQUIDACION'!$B$11+INCIDENTES!AE24*'BASE LIQUIDACION'!$B$13))</f>
        <v>65960.473639999997</v>
      </c>
    </row>
    <row r="25" spans="1:33" s="70" customFormat="1">
      <c r="A25" s="56" t="s">
        <v>165</v>
      </c>
      <c r="B25" s="56" t="str">
        <f>VLOOKUP(A25,'CENTRO DE COSTOS'!A:D,4,FALSE)</f>
        <v>JUAN SEBASTIÁN RÍOS CASTRILLÓN</v>
      </c>
      <c r="C25" s="56" t="str">
        <f>VLOOKUP(A25,'CENTRO DE COSTOS'!A:D,2,FALSE)</f>
        <v>0004-0005</v>
      </c>
      <c r="D25" s="56">
        <v>5001</v>
      </c>
      <c r="E25" s="56">
        <v>2795568</v>
      </c>
      <c r="F25" s="56">
        <v>80717</v>
      </c>
      <c r="G25" s="56" t="s">
        <v>1250</v>
      </c>
      <c r="H25" s="56" t="s">
        <v>152</v>
      </c>
      <c r="I25" s="56" t="s">
        <v>165</v>
      </c>
      <c r="J25" s="56" t="s">
        <v>1371</v>
      </c>
      <c r="K25" s="56" t="s">
        <v>107</v>
      </c>
      <c r="L25" s="56" t="s">
        <v>1372</v>
      </c>
      <c r="M25" s="103">
        <v>45925.67083333333</v>
      </c>
      <c r="N25" s="103">
        <v>45926.527083333327</v>
      </c>
      <c r="O25" s="56" t="s">
        <v>1253</v>
      </c>
      <c r="P25" s="56" t="s">
        <v>1254</v>
      </c>
      <c r="Q25" s="56" t="s">
        <v>1312</v>
      </c>
      <c r="R25" s="56" t="s">
        <v>1313</v>
      </c>
      <c r="S25" s="78"/>
      <c r="T25" s="78"/>
      <c r="U25" s="56" t="s">
        <v>1257</v>
      </c>
      <c r="V25" s="56" t="s">
        <v>1373</v>
      </c>
      <c r="W25" s="56" t="s">
        <v>1259</v>
      </c>
      <c r="X25" s="56">
        <v>0</v>
      </c>
      <c r="Y25" s="56" t="s">
        <v>138</v>
      </c>
      <c r="Z25" s="56" t="s">
        <v>115</v>
      </c>
      <c r="AA25" s="56" t="s">
        <v>1315</v>
      </c>
      <c r="AB25" s="56">
        <v>0</v>
      </c>
      <c r="AC25" s="56">
        <v>0</v>
      </c>
      <c r="AD25" s="56">
        <v>0</v>
      </c>
      <c r="AE25" s="56">
        <v>0</v>
      </c>
      <c r="AF25" s="69">
        <f>IF(W25="SOPORTE_TELEFÓNICO",'BASE LIQUIDACION'!$B$10,IF(Y25="TIPO I",'BASE LIQUIDACION'!$C$3,IF(Y25="TIPO II",'BASE LIQUIDACION'!$C$4,IF(Y25="TIPO III",'BASE LIQUIDACION'!$C$5,'BASE LIQUIDACION'!$C$7))))</f>
        <v>37904.65408</v>
      </c>
      <c r="AG25" s="90">
        <f>IF(W25="SOPORTE_TELEFÓNICO",'BASE LIQUIDACION'!$B$10,(AB25*AF25+AC25*'BASE LIQUIDACION'!$B$12+AD25*'BASE LIQUIDACION'!$B$11+INCIDENTES!AE25*'BASE LIQUIDACION'!$B$13))</f>
        <v>37904.65408</v>
      </c>
    </row>
    <row r="26" spans="1:33" s="70" customFormat="1">
      <c r="A26" s="56" t="s">
        <v>539</v>
      </c>
      <c r="B26" s="56" t="str">
        <f>VLOOKUP(A26,'CENTRO DE COSTOS'!A:D,4,FALSE)</f>
        <v>KEVIN ALEXIS CORZO BUSTOS</v>
      </c>
      <c r="C26" s="56" t="str">
        <f>VLOOKUP(A26,'CENTRO DE COSTOS'!A:D,2,FALSE)</f>
        <v>0004-0007</v>
      </c>
      <c r="D26" s="56">
        <v>73001</v>
      </c>
      <c r="E26" s="56">
        <v>2795532</v>
      </c>
      <c r="F26" s="56">
        <v>80945</v>
      </c>
      <c r="G26" s="56" t="s">
        <v>1250</v>
      </c>
      <c r="H26" s="56" t="s">
        <v>1144</v>
      </c>
      <c r="I26" s="56" t="s">
        <v>539</v>
      </c>
      <c r="J26" s="56" t="s">
        <v>1374</v>
      </c>
      <c r="K26" s="56" t="s">
        <v>107</v>
      </c>
      <c r="L26" s="56" t="s">
        <v>1375</v>
      </c>
      <c r="M26" s="103">
        <v>45925.665277777778</v>
      </c>
      <c r="N26" s="103">
        <v>45926.40902777778</v>
      </c>
      <c r="O26" s="56" t="s">
        <v>1253</v>
      </c>
      <c r="P26" s="56" t="s">
        <v>1254</v>
      </c>
      <c r="Q26" s="56" t="s">
        <v>1312</v>
      </c>
      <c r="R26" s="56" t="s">
        <v>1313</v>
      </c>
      <c r="S26" s="78"/>
      <c r="T26" s="78"/>
      <c r="U26" s="56" t="s">
        <v>1257</v>
      </c>
      <c r="V26" s="56" t="s">
        <v>1376</v>
      </c>
      <c r="W26" s="56" t="s">
        <v>1266</v>
      </c>
      <c r="X26" s="56" t="s">
        <v>1377</v>
      </c>
      <c r="Y26" s="56" t="s">
        <v>138</v>
      </c>
      <c r="Z26" s="56" t="s">
        <v>115</v>
      </c>
      <c r="AA26" s="56" t="s">
        <v>1378</v>
      </c>
      <c r="AB26" s="56">
        <v>1</v>
      </c>
      <c r="AC26" s="56">
        <v>0</v>
      </c>
      <c r="AD26" s="56">
        <v>0</v>
      </c>
      <c r="AE26" s="56">
        <v>0</v>
      </c>
      <c r="AF26" s="69">
        <f>IF(W26="SOPORTE_TELEFÓNICO",'BASE LIQUIDACION'!$B$10,IF(Y26="TIPO I",'BASE LIQUIDACION'!$C$3,IF(Y26="TIPO II",'BASE LIQUIDACION'!$C$4,IF(Y26="TIPO III",'BASE LIQUIDACION'!$C$5,'BASE LIQUIDACION'!$C$7))))</f>
        <v>65960.473639999997</v>
      </c>
      <c r="AG26" s="90">
        <f>IF(W26="SOPORTE_TELEFÓNICO",'BASE LIQUIDACION'!$B$10,(AB26*AF26+AC26*'BASE LIQUIDACION'!$B$12+AD26*'BASE LIQUIDACION'!$B$11+INCIDENTES!AE26*'BASE LIQUIDACION'!$B$13))</f>
        <v>65960.473639999997</v>
      </c>
    </row>
    <row r="27" spans="1:33" s="70" customFormat="1">
      <c r="A27" s="56" t="s">
        <v>182</v>
      </c>
      <c r="B27" s="56" t="str">
        <f>VLOOKUP(A27,'CENTRO DE COSTOS'!A:D,4,FALSE)</f>
        <v>WILLIAM ASDRUBAL ROZO ROZO</v>
      </c>
      <c r="C27" s="56" t="str">
        <f>VLOOKUP(A27,'CENTRO DE COSTOS'!A:D,2,FALSE)</f>
        <v>0004-0004</v>
      </c>
      <c r="D27" s="56">
        <v>25754</v>
      </c>
      <c r="E27" s="56">
        <v>2793909</v>
      </c>
      <c r="F27" s="56">
        <v>80698</v>
      </c>
      <c r="G27" s="56" t="s">
        <v>1250</v>
      </c>
      <c r="H27" s="56" t="s">
        <v>184</v>
      </c>
      <c r="I27" s="56" t="s">
        <v>788</v>
      </c>
      <c r="J27" s="56" t="s">
        <v>1379</v>
      </c>
      <c r="K27" s="56" t="s">
        <v>107</v>
      </c>
      <c r="L27" s="56" t="s">
        <v>1380</v>
      </c>
      <c r="M27" s="103">
        <v>45925.506944444453</v>
      </c>
      <c r="N27" s="103">
        <v>45925.689583333333</v>
      </c>
      <c r="O27" s="56" t="s">
        <v>1253</v>
      </c>
      <c r="P27" s="56" t="s">
        <v>1254</v>
      </c>
      <c r="Q27" s="56" t="s">
        <v>1263</v>
      </c>
      <c r="R27" s="56" t="s">
        <v>1264</v>
      </c>
      <c r="S27" s="78"/>
      <c r="T27" s="78"/>
      <c r="U27" s="56" t="s">
        <v>1257</v>
      </c>
      <c r="V27" s="56" t="s">
        <v>1381</v>
      </c>
      <c r="W27" s="56" t="s">
        <v>1266</v>
      </c>
      <c r="X27" s="56" t="s">
        <v>1382</v>
      </c>
      <c r="Y27" s="56" t="s">
        <v>138</v>
      </c>
      <c r="Z27" s="56" t="s">
        <v>115</v>
      </c>
      <c r="AA27" s="56" t="s">
        <v>1383</v>
      </c>
      <c r="AB27" s="56">
        <v>1</v>
      </c>
      <c r="AC27" s="56">
        <v>0</v>
      </c>
      <c r="AD27" s="56">
        <v>0</v>
      </c>
      <c r="AE27" s="56">
        <v>0</v>
      </c>
      <c r="AF27" s="69">
        <f>IF(W27="SOPORTE_TELEFÓNICO",'BASE LIQUIDACION'!$B$10,IF(Y27="TIPO I",'BASE LIQUIDACION'!$C$3,IF(Y27="TIPO II",'BASE LIQUIDACION'!$C$4,IF(Y27="TIPO III",'BASE LIQUIDACION'!$C$5,'BASE LIQUIDACION'!$C$7))))</f>
        <v>65960.473639999997</v>
      </c>
      <c r="AG27" s="90">
        <f>IF(W27="SOPORTE_TELEFÓNICO",'BASE LIQUIDACION'!$B$10,(AB27*AF27+AC27*'BASE LIQUIDACION'!$B$12+AD27*'BASE LIQUIDACION'!$B$11+INCIDENTES!AE27*'BASE LIQUIDACION'!$B$13))</f>
        <v>65960.473639999997</v>
      </c>
    </row>
    <row r="28" spans="1:33" s="70" customFormat="1">
      <c r="A28" s="56" t="s">
        <v>140</v>
      </c>
      <c r="B28" s="56" t="str">
        <f>VLOOKUP(A28,'CENTRO DE COSTOS'!A:D,4,FALSE)</f>
        <v>MIGUEL JULIÁN HERNÁNDEZ GUARÍN</v>
      </c>
      <c r="C28" s="56" t="str">
        <f>VLOOKUP(A28,'CENTRO DE COSTOS'!A:D,2,FALSE)</f>
        <v>0004-0008</v>
      </c>
      <c r="D28" s="56">
        <v>81220</v>
      </c>
      <c r="E28" s="56">
        <v>2793725</v>
      </c>
      <c r="F28" s="56">
        <v>25792</v>
      </c>
      <c r="G28" s="56" t="s">
        <v>1250</v>
      </c>
      <c r="H28" s="56" t="s">
        <v>331</v>
      </c>
      <c r="I28" s="56" t="s">
        <v>333</v>
      </c>
      <c r="J28" s="56" t="s">
        <v>1384</v>
      </c>
      <c r="K28" s="56" t="s">
        <v>107</v>
      </c>
      <c r="L28" s="56" t="s">
        <v>1385</v>
      </c>
      <c r="M28" s="103">
        <v>45925.492361111108</v>
      </c>
      <c r="N28" s="103">
        <v>45927.44027777778</v>
      </c>
      <c r="O28" s="56" t="s">
        <v>1253</v>
      </c>
      <c r="P28" s="56" t="s">
        <v>1254</v>
      </c>
      <c r="Q28" s="56" t="s">
        <v>1271</v>
      </c>
      <c r="R28" s="56" t="s">
        <v>1272</v>
      </c>
      <c r="S28" s="78"/>
      <c r="T28" s="78"/>
      <c r="U28" s="56" t="s">
        <v>1257</v>
      </c>
      <c r="V28" s="56" t="s">
        <v>1386</v>
      </c>
      <c r="W28" s="56" t="s">
        <v>1259</v>
      </c>
      <c r="X28" s="56">
        <v>0</v>
      </c>
      <c r="Y28" s="56" t="s">
        <v>128</v>
      </c>
      <c r="Z28" s="56" t="s">
        <v>197</v>
      </c>
      <c r="AA28" s="56" t="s">
        <v>1387</v>
      </c>
      <c r="AB28" s="56">
        <v>0</v>
      </c>
      <c r="AC28" s="56">
        <v>0</v>
      </c>
      <c r="AD28" s="56">
        <v>0</v>
      </c>
      <c r="AE28" s="56">
        <v>0</v>
      </c>
      <c r="AF28" s="69">
        <f>IF(W28="SOPORTE_TELEFÓNICO",'BASE LIQUIDACION'!$B$10,IF(Y28="TIPO I",'BASE LIQUIDACION'!$C$3,IF(Y28="TIPO II",'BASE LIQUIDACION'!$C$4,IF(Y28="TIPO III",'BASE LIQUIDACION'!$C$5,'BASE LIQUIDACION'!$C$7))))</f>
        <v>37904.65408</v>
      </c>
      <c r="AG28" s="90">
        <f>IF(W28="SOPORTE_TELEFÓNICO",'BASE LIQUIDACION'!$B$10,(AB28*AF28+AC28*'BASE LIQUIDACION'!$B$12+AD28*'BASE LIQUIDACION'!$B$11+INCIDENTES!AE28*'BASE LIQUIDACION'!$B$13))</f>
        <v>37904.65408</v>
      </c>
    </row>
    <row r="29" spans="1:33" s="70" customFormat="1">
      <c r="A29" s="56" t="s">
        <v>589</v>
      </c>
      <c r="B29" s="56" t="str">
        <f>VLOOKUP(A29,'CENTRO DE COSTOS'!A:D,4,FALSE)</f>
        <v>DIEGO FERNANDO HENAO CARDONA</v>
      </c>
      <c r="C29" s="56" t="str">
        <f>VLOOKUP(A29,'CENTRO DE COSTOS'!A:D,2,FALSE)</f>
        <v>0004-0003</v>
      </c>
      <c r="D29" s="56">
        <v>76111</v>
      </c>
      <c r="E29" s="56">
        <v>2793720</v>
      </c>
      <c r="F29" s="56">
        <v>79848</v>
      </c>
      <c r="G29" s="56" t="s">
        <v>1250</v>
      </c>
      <c r="H29" s="56" t="s">
        <v>1189</v>
      </c>
      <c r="I29" s="56" t="s">
        <v>1206</v>
      </c>
      <c r="J29" s="56" t="s">
        <v>1388</v>
      </c>
      <c r="K29" s="56" t="s">
        <v>107</v>
      </c>
      <c r="L29" s="56" t="s">
        <v>1389</v>
      </c>
      <c r="M29" s="103">
        <v>45925.490972222222</v>
      </c>
      <c r="N29" s="103">
        <v>45926.557638888888</v>
      </c>
      <c r="O29" s="56" t="s">
        <v>1253</v>
      </c>
      <c r="P29" s="56" t="s">
        <v>1254</v>
      </c>
      <c r="Q29" s="56" t="s">
        <v>1312</v>
      </c>
      <c r="R29" s="56" t="s">
        <v>1313</v>
      </c>
      <c r="S29" s="78"/>
      <c r="T29" s="78"/>
      <c r="U29" s="56" t="s">
        <v>1257</v>
      </c>
      <c r="V29" s="56" t="s">
        <v>1390</v>
      </c>
      <c r="W29" s="56" t="s">
        <v>1266</v>
      </c>
      <c r="X29" s="56" t="s">
        <v>1391</v>
      </c>
      <c r="Y29" s="56" t="s">
        <v>114</v>
      </c>
      <c r="Z29" s="56" t="s">
        <v>115</v>
      </c>
      <c r="AA29" s="56" t="s">
        <v>1392</v>
      </c>
      <c r="AB29" s="56">
        <v>1</v>
      </c>
      <c r="AC29" s="56">
        <v>0</v>
      </c>
      <c r="AD29" s="56">
        <v>0</v>
      </c>
      <c r="AE29" s="56">
        <v>0</v>
      </c>
      <c r="AF29" s="69">
        <f>IF(W29="SOPORTE_TELEFÓNICO",'BASE LIQUIDACION'!$B$10,IF(Y29="TIPO I",'BASE LIQUIDACION'!$C$3,IF(Y29="TIPO II",'BASE LIQUIDACION'!$C$4,IF(Y29="TIPO III",'BASE LIQUIDACION'!$C$5,'BASE LIQUIDACION'!$C$7))))</f>
        <v>163813.55812</v>
      </c>
      <c r="AG29" s="90">
        <f>IF(W29="SOPORTE_TELEFÓNICO",'BASE LIQUIDACION'!$B$10,(AB29*AF29+AC29*'BASE LIQUIDACION'!$B$12+AD29*'BASE LIQUIDACION'!$B$11+INCIDENTES!AE29*'BASE LIQUIDACION'!$B$13))</f>
        <v>163813.55812</v>
      </c>
    </row>
    <row r="30" spans="1:33" s="70" customFormat="1">
      <c r="A30" s="56" t="s">
        <v>165</v>
      </c>
      <c r="B30" s="56" t="str">
        <f>VLOOKUP(A30,'CENTRO DE COSTOS'!A:D,4,FALSE)</f>
        <v>JUAN SEBASTIÁN RÍOS CASTRILLÓN</v>
      </c>
      <c r="C30" s="56" t="str">
        <f>VLOOKUP(A30,'CENTRO DE COSTOS'!A:D,2,FALSE)</f>
        <v>0004-0005</v>
      </c>
      <c r="D30" s="56">
        <v>5088</v>
      </c>
      <c r="E30" s="56">
        <v>2793492</v>
      </c>
      <c r="F30" s="56">
        <v>17101</v>
      </c>
      <c r="G30" s="56" t="s">
        <v>1250</v>
      </c>
      <c r="H30" s="56" t="s">
        <v>152</v>
      </c>
      <c r="I30" s="56" t="s">
        <v>243</v>
      </c>
      <c r="J30" s="56" t="s">
        <v>1393</v>
      </c>
      <c r="K30" s="56" t="s">
        <v>107</v>
      </c>
      <c r="L30" s="56" t="s">
        <v>1394</v>
      </c>
      <c r="M30" s="103">
        <v>45925.484027777777</v>
      </c>
      <c r="N30" s="103">
        <v>45925.72152777778</v>
      </c>
      <c r="O30" s="56" t="s">
        <v>1253</v>
      </c>
      <c r="P30" s="56" t="s">
        <v>1254</v>
      </c>
      <c r="Q30" s="56" t="s">
        <v>1255</v>
      </c>
      <c r="R30" s="56" t="s">
        <v>1395</v>
      </c>
      <c r="S30" s="78"/>
      <c r="T30" s="78"/>
      <c r="U30" s="56" t="s">
        <v>1257</v>
      </c>
      <c r="V30" s="56" t="s">
        <v>1396</v>
      </c>
      <c r="W30" s="56" t="s">
        <v>1266</v>
      </c>
      <c r="X30" s="56" t="s">
        <v>1397</v>
      </c>
      <c r="Y30" s="56" t="s">
        <v>138</v>
      </c>
      <c r="Z30" s="56" t="s">
        <v>115</v>
      </c>
      <c r="AA30" s="56" t="s">
        <v>1398</v>
      </c>
      <c r="AB30" s="56">
        <v>1</v>
      </c>
      <c r="AC30" s="56">
        <v>0</v>
      </c>
      <c r="AD30" s="56">
        <v>0</v>
      </c>
      <c r="AE30" s="56">
        <v>0</v>
      </c>
      <c r="AF30" s="69">
        <f>IF(W30="SOPORTE_TELEFÓNICO",'BASE LIQUIDACION'!$B$10,IF(Y30="TIPO I",'BASE LIQUIDACION'!$C$3,IF(Y30="TIPO II",'BASE LIQUIDACION'!$C$4,IF(Y30="TIPO III",'BASE LIQUIDACION'!$C$5,'BASE LIQUIDACION'!$C$7))))</f>
        <v>65960.473639999997</v>
      </c>
      <c r="AG30" s="90">
        <f>IF(W30="SOPORTE_TELEFÓNICO",'BASE LIQUIDACION'!$B$10,(AB30*AF30+AC30*'BASE LIQUIDACION'!$B$12+AD30*'BASE LIQUIDACION'!$B$11+INCIDENTES!AE30*'BASE LIQUIDACION'!$B$13))</f>
        <v>65960.473639999997</v>
      </c>
    </row>
    <row r="31" spans="1:33" s="70" customFormat="1">
      <c r="A31" s="56" t="s">
        <v>242</v>
      </c>
      <c r="B31" s="56" t="str">
        <f>VLOOKUP(A31,'CENTRO DE COSTOS'!A:D,4,FALSE)</f>
        <v>JOSE MAURICIO HERNANDEZ ROJAS</v>
      </c>
      <c r="C31" s="56" t="str">
        <f>VLOOKUP(A31,'CENTRO DE COSTOS'!A:D,2,FALSE)</f>
        <v>0004-0001</v>
      </c>
      <c r="D31" s="56">
        <v>5154</v>
      </c>
      <c r="E31" s="56">
        <v>2793264</v>
      </c>
      <c r="F31" s="56">
        <v>75821</v>
      </c>
      <c r="G31" s="56" t="s">
        <v>1250</v>
      </c>
      <c r="H31" s="56" t="s">
        <v>152</v>
      </c>
      <c r="I31" s="56" t="s">
        <v>255</v>
      </c>
      <c r="J31" s="56" t="s">
        <v>1399</v>
      </c>
      <c r="K31" s="56" t="s">
        <v>107</v>
      </c>
      <c r="L31" s="56" t="s">
        <v>1400</v>
      </c>
      <c r="M31" s="103">
        <v>45925.460416666669</v>
      </c>
      <c r="N31" s="103">
        <v>45927.511805555558</v>
      </c>
      <c r="O31" s="56" t="s">
        <v>1253</v>
      </c>
      <c r="P31" s="56" t="s">
        <v>1254</v>
      </c>
      <c r="Q31" s="56" t="s">
        <v>1312</v>
      </c>
      <c r="R31" s="56" t="s">
        <v>1313</v>
      </c>
      <c r="S31" s="78"/>
      <c r="T31" s="78"/>
      <c r="U31" s="56" t="s">
        <v>1257</v>
      </c>
      <c r="V31" s="56" t="s">
        <v>1401</v>
      </c>
      <c r="W31" s="56" t="s">
        <v>1259</v>
      </c>
      <c r="X31" s="56">
        <v>0</v>
      </c>
      <c r="Y31" s="56" t="s">
        <v>114</v>
      </c>
      <c r="Z31" s="56" t="s">
        <v>115</v>
      </c>
      <c r="AA31" s="56" t="s">
        <v>1402</v>
      </c>
      <c r="AB31" s="56">
        <v>0</v>
      </c>
      <c r="AC31" s="56">
        <v>0</v>
      </c>
      <c r="AD31" s="56">
        <v>0</v>
      </c>
      <c r="AE31" s="56">
        <v>0</v>
      </c>
      <c r="AF31" s="69">
        <f>IF(W31="SOPORTE_TELEFÓNICO",'BASE LIQUIDACION'!$B$10,IF(Y31="TIPO I",'BASE LIQUIDACION'!$C$3,IF(Y31="TIPO II",'BASE LIQUIDACION'!$C$4,IF(Y31="TIPO III",'BASE LIQUIDACION'!$C$5,'BASE LIQUIDACION'!$C$7))))</f>
        <v>37904.65408</v>
      </c>
      <c r="AG31" s="90">
        <f>IF(W31="SOPORTE_TELEFÓNICO",'BASE LIQUIDACION'!$B$10,(AB31*AF31+AC31*'BASE LIQUIDACION'!$B$12+AD31*'BASE LIQUIDACION'!$B$11+INCIDENTES!AE31*'BASE LIQUIDACION'!$B$13))</f>
        <v>37904.65408</v>
      </c>
    </row>
    <row r="32" spans="1:33" s="70" customFormat="1">
      <c r="A32" s="56" t="s">
        <v>100</v>
      </c>
      <c r="B32" s="56" t="str">
        <f>VLOOKUP(A32,'CENTRO DE COSTOS'!A:D,4,FALSE)</f>
        <v>DIEGO FERNANDO HENAO CARDONA</v>
      </c>
      <c r="C32" s="56" t="str">
        <f>VLOOKUP(A32,'CENTRO DE COSTOS'!A:D,2,FALSE)</f>
        <v>0004-0003</v>
      </c>
      <c r="D32" s="56">
        <v>52001</v>
      </c>
      <c r="E32" s="56">
        <v>2792068</v>
      </c>
      <c r="F32" s="56">
        <v>56707</v>
      </c>
      <c r="G32" s="56" t="s">
        <v>1250</v>
      </c>
      <c r="H32" s="56" t="s">
        <v>104</v>
      </c>
      <c r="I32" s="56" t="s">
        <v>100</v>
      </c>
      <c r="J32" s="56" t="s">
        <v>1403</v>
      </c>
      <c r="K32" s="56" t="s">
        <v>107</v>
      </c>
      <c r="L32" s="56" t="s">
        <v>1404</v>
      </c>
      <c r="M32" s="103">
        <v>45925.392361111109</v>
      </c>
      <c r="N32" s="103">
        <v>45925.710416666669</v>
      </c>
      <c r="O32" s="56" t="s">
        <v>1253</v>
      </c>
      <c r="P32" s="56" t="s">
        <v>1254</v>
      </c>
      <c r="Q32" s="56" t="s">
        <v>1312</v>
      </c>
      <c r="R32" s="56" t="s">
        <v>1313</v>
      </c>
      <c r="S32" s="78"/>
      <c r="T32" s="78"/>
      <c r="U32" s="56" t="s">
        <v>1257</v>
      </c>
      <c r="V32" s="56" t="s">
        <v>1405</v>
      </c>
      <c r="W32" s="56" t="s">
        <v>1266</v>
      </c>
      <c r="X32" s="56" t="s">
        <v>1406</v>
      </c>
      <c r="Y32" s="56" t="s">
        <v>138</v>
      </c>
      <c r="Z32" s="56" t="s">
        <v>115</v>
      </c>
      <c r="AA32" s="56" t="s">
        <v>1407</v>
      </c>
      <c r="AB32" s="56">
        <v>1</v>
      </c>
      <c r="AC32" s="56">
        <v>0</v>
      </c>
      <c r="AD32" s="56">
        <v>0</v>
      </c>
      <c r="AE32" s="56">
        <v>0</v>
      </c>
      <c r="AF32" s="69">
        <f>IF(W32="SOPORTE_TELEFÓNICO",'BASE LIQUIDACION'!$B$10,IF(Y32="TIPO I",'BASE LIQUIDACION'!$C$3,IF(Y32="TIPO II",'BASE LIQUIDACION'!$C$4,IF(Y32="TIPO III",'BASE LIQUIDACION'!$C$5,'BASE LIQUIDACION'!$C$7))))</f>
        <v>65960.473639999997</v>
      </c>
      <c r="AG32" s="90">
        <f>IF(W32="SOPORTE_TELEFÓNICO",'BASE LIQUIDACION'!$B$10,(AB32*AF32+AC32*'BASE LIQUIDACION'!$B$12+AD32*'BASE LIQUIDACION'!$B$11+INCIDENTES!AE32*'BASE LIQUIDACION'!$B$13))</f>
        <v>65960.473639999997</v>
      </c>
    </row>
    <row r="33" spans="1:33" s="70" customFormat="1">
      <c r="A33" s="56" t="s">
        <v>182</v>
      </c>
      <c r="B33" s="56" t="str">
        <f>VLOOKUP(A33,'CENTRO DE COSTOS'!A:D,4,FALSE)</f>
        <v>WILLIAM ASDRUBAL ROZO ROZO</v>
      </c>
      <c r="C33" s="56" t="str">
        <f>VLOOKUP(A33,'CENTRO DE COSTOS'!A:D,2,FALSE)</f>
        <v>0004-0004</v>
      </c>
      <c r="D33" s="56">
        <v>25817</v>
      </c>
      <c r="E33" s="56">
        <v>2791732</v>
      </c>
      <c r="F33" s="56">
        <v>53108</v>
      </c>
      <c r="G33" s="56" t="s">
        <v>1250</v>
      </c>
      <c r="H33" s="56" t="s">
        <v>184</v>
      </c>
      <c r="I33" s="56" t="s">
        <v>802</v>
      </c>
      <c r="J33" s="56" t="s">
        <v>1408</v>
      </c>
      <c r="K33" s="56" t="s">
        <v>107</v>
      </c>
      <c r="L33" s="56" t="s">
        <v>1409</v>
      </c>
      <c r="M33" s="103">
        <v>45925.36041666667</v>
      </c>
      <c r="N33" s="103">
        <v>45926.646527777782</v>
      </c>
      <c r="O33" s="56" t="s">
        <v>1253</v>
      </c>
      <c r="P33" s="56" t="s">
        <v>1254</v>
      </c>
      <c r="Q33" s="56" t="s">
        <v>1271</v>
      </c>
      <c r="R33" s="56" t="s">
        <v>1272</v>
      </c>
      <c r="S33" s="78"/>
      <c r="T33" s="78"/>
      <c r="U33" s="56" t="s">
        <v>1257</v>
      </c>
      <c r="V33" s="56" t="s">
        <v>1410</v>
      </c>
      <c r="W33" s="56" t="s">
        <v>1266</v>
      </c>
      <c r="X33" s="56" t="s">
        <v>1411</v>
      </c>
      <c r="Y33" s="56" t="s">
        <v>114</v>
      </c>
      <c r="Z33" s="56" t="s">
        <v>115</v>
      </c>
      <c r="AA33" s="56" t="s">
        <v>1383</v>
      </c>
      <c r="AB33" s="56">
        <v>1</v>
      </c>
      <c r="AC33" s="56">
        <v>0</v>
      </c>
      <c r="AD33" s="56">
        <v>0</v>
      </c>
      <c r="AE33" s="56">
        <v>0</v>
      </c>
      <c r="AF33" s="69">
        <f>IF(W33="SOPORTE_TELEFÓNICO",'BASE LIQUIDACION'!$B$10,IF(Y33="TIPO I",'BASE LIQUIDACION'!$C$3,IF(Y33="TIPO II",'BASE LIQUIDACION'!$C$4,IF(Y33="TIPO III",'BASE LIQUIDACION'!$C$5,'BASE LIQUIDACION'!$C$7))))</f>
        <v>163813.55812</v>
      </c>
      <c r="AG33" s="90">
        <f>IF(W33="SOPORTE_TELEFÓNICO",'BASE LIQUIDACION'!$B$10,(AB33*AF33+AC33*'BASE LIQUIDACION'!$B$12+AD33*'BASE LIQUIDACION'!$B$11+INCIDENTES!AE33*'BASE LIQUIDACION'!$B$13))</f>
        <v>163813.55812</v>
      </c>
    </row>
    <row r="34" spans="1:33" s="70" customFormat="1">
      <c r="A34" s="56" t="s">
        <v>100</v>
      </c>
      <c r="B34" s="56" t="str">
        <f>VLOOKUP(A34,'CENTRO DE COSTOS'!A:D,4,FALSE)</f>
        <v>DIEGO FERNANDO HENAO CARDONA</v>
      </c>
      <c r="C34" s="56" t="str">
        <f>VLOOKUP(A34,'CENTRO DE COSTOS'!A:D,2,FALSE)</f>
        <v>0004-0003</v>
      </c>
      <c r="D34" s="56">
        <v>52399</v>
      </c>
      <c r="E34" s="56">
        <v>2791721</v>
      </c>
      <c r="F34" s="56">
        <v>66057</v>
      </c>
      <c r="G34" s="56" t="s">
        <v>1250</v>
      </c>
      <c r="H34" s="56" t="s">
        <v>104</v>
      </c>
      <c r="I34" s="56" t="s">
        <v>220</v>
      </c>
      <c r="J34" s="56" t="s">
        <v>1412</v>
      </c>
      <c r="K34" s="56" t="s">
        <v>107</v>
      </c>
      <c r="L34" s="56" t="s">
        <v>1413</v>
      </c>
      <c r="M34" s="103">
        <v>45925.359027777777</v>
      </c>
      <c r="N34" s="103">
        <v>45926.645138888889</v>
      </c>
      <c r="O34" s="56" t="s">
        <v>1253</v>
      </c>
      <c r="P34" s="56" t="s">
        <v>1254</v>
      </c>
      <c r="Q34" s="56" t="s">
        <v>1312</v>
      </c>
      <c r="R34" s="56" t="s">
        <v>1313</v>
      </c>
      <c r="S34" s="78"/>
      <c r="T34" s="78"/>
      <c r="U34" s="56" t="s">
        <v>1257</v>
      </c>
      <c r="V34" s="56" t="s">
        <v>1414</v>
      </c>
      <c r="W34" s="56" t="s">
        <v>1266</v>
      </c>
      <c r="X34" s="56" t="s">
        <v>1415</v>
      </c>
      <c r="Y34" s="56" t="s">
        <v>212</v>
      </c>
      <c r="Z34" s="56" t="s">
        <v>115</v>
      </c>
      <c r="AA34" s="56" t="s">
        <v>1416</v>
      </c>
      <c r="AB34" s="56">
        <v>1</v>
      </c>
      <c r="AC34" s="56">
        <v>0</v>
      </c>
      <c r="AD34" s="56">
        <v>0</v>
      </c>
      <c r="AE34" s="56">
        <v>0</v>
      </c>
      <c r="AF34" s="69">
        <f>IF(W34="SOPORTE_TELEFÓNICO",'BASE LIQUIDACION'!$B$10,IF(Y34="TIPO I",'BASE LIQUIDACION'!$C$3,IF(Y34="TIPO II",'BASE LIQUIDACION'!$C$4,IF(Y34="TIPO III",'BASE LIQUIDACION'!$C$5,'BASE LIQUIDACION'!$C$7))))</f>
        <v>275728.37943999999</v>
      </c>
      <c r="AG34" s="90">
        <f>IF(W34="SOPORTE_TELEFÓNICO",'BASE LIQUIDACION'!$B$10,(AB34*AF34+AC34*'BASE LIQUIDACION'!$B$12+AD34*'BASE LIQUIDACION'!$B$11+INCIDENTES!AE34*'BASE LIQUIDACION'!$B$13))</f>
        <v>275728.37943999999</v>
      </c>
    </row>
    <row r="35" spans="1:33" s="70" customFormat="1">
      <c r="A35" s="56" t="s">
        <v>150</v>
      </c>
      <c r="B35" s="56" t="str">
        <f>VLOOKUP(A35,'CENTRO DE COSTOS'!A:D,4,FALSE)</f>
        <v>JUAN SEBASTIÁN RÍOS CASTRILLÓN</v>
      </c>
      <c r="C35" s="56" t="str">
        <f>VLOOKUP(A35,'CENTRO DE COSTOS'!A:D,2,FALSE)</f>
        <v>0004-0005</v>
      </c>
      <c r="D35" s="56">
        <v>5147</v>
      </c>
      <c r="E35" s="56">
        <v>2791710</v>
      </c>
      <c r="F35" s="56">
        <v>79886</v>
      </c>
      <c r="G35" s="56" t="s">
        <v>1250</v>
      </c>
      <c r="H35" s="56" t="s">
        <v>152</v>
      </c>
      <c r="I35" s="56" t="s">
        <v>253</v>
      </c>
      <c r="J35" s="56" t="s">
        <v>1417</v>
      </c>
      <c r="K35" s="56" t="s">
        <v>107</v>
      </c>
      <c r="L35" s="56" t="s">
        <v>1418</v>
      </c>
      <c r="M35" s="103">
        <v>45925.356944444437</v>
      </c>
      <c r="N35" s="103">
        <v>45929.74722222222</v>
      </c>
      <c r="O35" s="56" t="s">
        <v>1253</v>
      </c>
      <c r="P35" s="56" t="s">
        <v>1254</v>
      </c>
      <c r="Q35" s="56" t="s">
        <v>1271</v>
      </c>
      <c r="R35" s="56" t="s">
        <v>1272</v>
      </c>
      <c r="S35" s="78"/>
      <c r="T35" s="78"/>
      <c r="U35" s="56" t="s">
        <v>1257</v>
      </c>
      <c r="V35" s="56" t="s">
        <v>1419</v>
      </c>
      <c r="W35" s="56" t="s">
        <v>1266</v>
      </c>
      <c r="X35" s="56" t="s">
        <v>1420</v>
      </c>
      <c r="Y35" s="56" t="s">
        <v>138</v>
      </c>
      <c r="Z35" s="56" t="s">
        <v>115</v>
      </c>
      <c r="AA35" s="56" t="s">
        <v>158</v>
      </c>
      <c r="AB35" s="56">
        <v>1</v>
      </c>
      <c r="AC35" s="56">
        <v>0</v>
      </c>
      <c r="AD35" s="56">
        <v>0</v>
      </c>
      <c r="AE35" s="56">
        <v>0</v>
      </c>
      <c r="AF35" s="69">
        <f>IF(W35="SOPORTE_TELEFÓNICO",'BASE LIQUIDACION'!$B$10,IF(Y35="TIPO I",'BASE LIQUIDACION'!$C$3,IF(Y35="TIPO II",'BASE LIQUIDACION'!$C$4,IF(Y35="TIPO III",'BASE LIQUIDACION'!$C$5,'BASE LIQUIDACION'!$C$7))))</f>
        <v>65960.473639999997</v>
      </c>
      <c r="AG35" s="90">
        <f>IF(W35="SOPORTE_TELEFÓNICO",'BASE LIQUIDACION'!$B$10,(AB35*AF35+AC35*'BASE LIQUIDACION'!$B$12+AD35*'BASE LIQUIDACION'!$B$11+INCIDENTES!AE35*'BASE LIQUIDACION'!$B$13))</f>
        <v>65960.473639999997</v>
      </c>
    </row>
    <row r="36" spans="1:33" s="70" customFormat="1">
      <c r="A36" s="56" t="s">
        <v>165</v>
      </c>
      <c r="B36" s="56" t="str">
        <f>VLOOKUP(A36,'CENTRO DE COSTOS'!A:D,4,FALSE)</f>
        <v>JUAN SEBASTIÁN RÍOS CASTRILLÓN</v>
      </c>
      <c r="C36" s="56" t="str">
        <f>VLOOKUP(A36,'CENTRO DE COSTOS'!A:D,2,FALSE)</f>
        <v>0004-0005</v>
      </c>
      <c r="D36" s="56">
        <v>5088</v>
      </c>
      <c r="E36" s="56">
        <v>2790710</v>
      </c>
      <c r="F36" s="56">
        <v>33412</v>
      </c>
      <c r="G36" s="56" t="s">
        <v>1250</v>
      </c>
      <c r="H36" s="56" t="s">
        <v>152</v>
      </c>
      <c r="I36" s="56" t="s">
        <v>243</v>
      </c>
      <c r="J36" s="56" t="s">
        <v>1421</v>
      </c>
      <c r="K36" s="56" t="s">
        <v>107</v>
      </c>
      <c r="L36" s="56" t="s">
        <v>1422</v>
      </c>
      <c r="M36" s="103">
        <v>45925.333333333343</v>
      </c>
      <c r="N36" s="103">
        <v>45925.698611111111</v>
      </c>
      <c r="O36" s="56" t="s">
        <v>1253</v>
      </c>
      <c r="P36" s="56" t="s">
        <v>1254</v>
      </c>
      <c r="Q36" s="56" t="s">
        <v>1271</v>
      </c>
      <c r="R36" s="56" t="s">
        <v>1277</v>
      </c>
      <c r="S36" s="78"/>
      <c r="T36" s="78"/>
      <c r="U36" s="56" t="s">
        <v>1257</v>
      </c>
      <c r="V36" s="56" t="s">
        <v>1423</v>
      </c>
      <c r="W36" s="56" t="s">
        <v>1259</v>
      </c>
      <c r="X36" s="56">
        <v>0</v>
      </c>
      <c r="Y36" s="56" t="s">
        <v>138</v>
      </c>
      <c r="Z36" s="56" t="s">
        <v>115</v>
      </c>
      <c r="AA36" s="56" t="s">
        <v>1424</v>
      </c>
      <c r="AB36" s="56">
        <v>0</v>
      </c>
      <c r="AC36" s="56">
        <v>0</v>
      </c>
      <c r="AD36" s="56">
        <v>0</v>
      </c>
      <c r="AE36" s="56">
        <v>0</v>
      </c>
      <c r="AF36" s="69">
        <f>IF(W36="SOPORTE_TELEFÓNICO",'BASE LIQUIDACION'!$B$10,IF(Y36="TIPO I",'BASE LIQUIDACION'!$C$3,IF(Y36="TIPO II",'BASE LIQUIDACION'!$C$4,IF(Y36="TIPO III",'BASE LIQUIDACION'!$C$5,'BASE LIQUIDACION'!$C$7))))</f>
        <v>37904.65408</v>
      </c>
      <c r="AG36" s="90">
        <f>IF(W36="SOPORTE_TELEFÓNICO",'BASE LIQUIDACION'!$B$10,(AB36*AF36+AC36*'BASE LIQUIDACION'!$B$12+AD36*'BASE LIQUIDACION'!$B$11+INCIDENTES!AE36*'BASE LIQUIDACION'!$B$13))</f>
        <v>37904.65408</v>
      </c>
    </row>
    <row r="37" spans="1:33" s="70" customFormat="1">
      <c r="A37" s="56" t="s">
        <v>140</v>
      </c>
      <c r="B37" s="56" t="str">
        <f>VLOOKUP(A37,'CENTRO DE COSTOS'!A:D,4,FALSE)</f>
        <v>MIGUEL JULIÁN HERNÁNDEZ GUARÍN</v>
      </c>
      <c r="C37" s="56" t="str">
        <f>VLOOKUP(A37,'CENTRO DE COSTOS'!A:D,2,FALSE)</f>
        <v>0004-0008</v>
      </c>
      <c r="D37" s="56">
        <v>68755</v>
      </c>
      <c r="E37" s="56">
        <v>2790521</v>
      </c>
      <c r="F37" s="56">
        <v>78892</v>
      </c>
      <c r="G37" s="56" t="s">
        <v>1250</v>
      </c>
      <c r="H37" s="56" t="s">
        <v>142</v>
      </c>
      <c r="I37" s="56" t="s">
        <v>1113</v>
      </c>
      <c r="J37" s="56" t="s">
        <v>1425</v>
      </c>
      <c r="K37" s="56" t="s">
        <v>107</v>
      </c>
      <c r="L37" s="56" t="s">
        <v>1426</v>
      </c>
      <c r="M37" s="103">
        <v>45924.729861111111</v>
      </c>
      <c r="N37" s="103">
        <v>45925.563194444447</v>
      </c>
      <c r="O37" s="56" t="s">
        <v>1253</v>
      </c>
      <c r="P37" s="56" t="s">
        <v>1254</v>
      </c>
      <c r="Q37" s="56" t="s">
        <v>1271</v>
      </c>
      <c r="R37" s="56" t="s">
        <v>1277</v>
      </c>
      <c r="S37" s="78"/>
      <c r="T37" s="78"/>
      <c r="U37" s="56" t="s">
        <v>1257</v>
      </c>
      <c r="V37" s="56" t="s">
        <v>1427</v>
      </c>
      <c r="W37" s="56" t="s">
        <v>1259</v>
      </c>
      <c r="X37" s="56">
        <v>0</v>
      </c>
      <c r="Y37" s="56" t="s">
        <v>212</v>
      </c>
      <c r="Z37" s="56" t="s">
        <v>115</v>
      </c>
      <c r="AA37" s="56" t="s">
        <v>1428</v>
      </c>
      <c r="AB37" s="56">
        <v>0</v>
      </c>
      <c r="AC37" s="56">
        <v>0</v>
      </c>
      <c r="AD37" s="56">
        <v>0</v>
      </c>
      <c r="AE37" s="56">
        <v>0</v>
      </c>
      <c r="AF37" s="69">
        <f>IF(W37="SOPORTE_TELEFÓNICO",'BASE LIQUIDACION'!$B$10,IF(Y37="TIPO I",'BASE LIQUIDACION'!$C$3,IF(Y37="TIPO II",'BASE LIQUIDACION'!$C$4,IF(Y37="TIPO III",'BASE LIQUIDACION'!$C$5,'BASE LIQUIDACION'!$C$7))))</f>
        <v>37904.65408</v>
      </c>
      <c r="AG37" s="90">
        <f>IF(W37="SOPORTE_TELEFÓNICO",'BASE LIQUIDACION'!$B$10,(AB37*AF37+AC37*'BASE LIQUIDACION'!$B$12+AD37*'BASE LIQUIDACION'!$B$11+INCIDENTES!AE37*'BASE LIQUIDACION'!$B$13))</f>
        <v>37904.65408</v>
      </c>
    </row>
    <row r="38" spans="1:33" s="70" customFormat="1">
      <c r="A38" s="56" t="s">
        <v>117</v>
      </c>
      <c r="B38" s="56" t="str">
        <f>VLOOKUP(A38,'CENTRO DE COSTOS'!A:D,4,FALSE)</f>
        <v>KEVIN ALEXIS CORZO BUSTOS</v>
      </c>
      <c r="C38" s="56" t="str">
        <f>VLOOKUP(A38,'CENTRO DE COSTOS'!A:D,2,FALSE)</f>
        <v>0004-0007</v>
      </c>
      <c r="D38" s="56">
        <v>18001</v>
      </c>
      <c r="E38" s="56">
        <v>2789860</v>
      </c>
      <c r="F38" s="56">
        <v>37490</v>
      </c>
      <c r="G38" s="56" t="s">
        <v>1250</v>
      </c>
      <c r="H38" s="56" t="s">
        <v>120</v>
      </c>
      <c r="I38" s="56" t="s">
        <v>558</v>
      </c>
      <c r="J38" s="56" t="s">
        <v>1429</v>
      </c>
      <c r="K38" s="56" t="s">
        <v>107</v>
      </c>
      <c r="L38" s="56" t="s">
        <v>1430</v>
      </c>
      <c r="M38" s="103">
        <v>45924.676388888889</v>
      </c>
      <c r="N38" s="103">
        <v>45925.684027777781</v>
      </c>
      <c r="O38" s="56" t="s">
        <v>1253</v>
      </c>
      <c r="P38" s="56" t="s">
        <v>1254</v>
      </c>
      <c r="Q38" s="56" t="s">
        <v>1271</v>
      </c>
      <c r="R38" s="56" t="s">
        <v>1277</v>
      </c>
      <c r="S38" s="78"/>
      <c r="T38" s="78"/>
      <c r="U38" s="56" t="s">
        <v>1257</v>
      </c>
      <c r="V38" s="56" t="s">
        <v>1431</v>
      </c>
      <c r="W38" s="56" t="s">
        <v>1266</v>
      </c>
      <c r="X38" s="56" t="s">
        <v>1432</v>
      </c>
      <c r="Y38" s="56" t="s">
        <v>172</v>
      </c>
      <c r="Z38" s="56" t="s">
        <v>115</v>
      </c>
      <c r="AA38" s="56" t="s">
        <v>130</v>
      </c>
      <c r="AB38" s="56">
        <v>1</v>
      </c>
      <c r="AC38" s="56">
        <v>0</v>
      </c>
      <c r="AD38" s="56">
        <v>0</v>
      </c>
      <c r="AE38" s="56">
        <v>0</v>
      </c>
      <c r="AF38" s="69">
        <f>IF(W38="SOPORTE_TELEFÓNICO",'BASE LIQUIDACION'!$B$10,IF(Y38="TIPO I",'BASE LIQUIDACION'!$C$3,IF(Y38="TIPO II",'BASE LIQUIDACION'!$C$4,IF(Y38="TIPO III",'BASE LIQUIDACION'!$C$5,'BASE LIQUIDACION'!$C$7))))</f>
        <v>479589.73656000005</v>
      </c>
      <c r="AG38" s="90">
        <f>IF(W38="SOPORTE_TELEFÓNICO",'BASE LIQUIDACION'!$B$10,(AB38*AF38+AC38*'BASE LIQUIDACION'!$B$12+AD38*'BASE LIQUIDACION'!$B$11+INCIDENTES!AE38*'BASE LIQUIDACION'!$B$13))</f>
        <v>479589.73656000005</v>
      </c>
    </row>
    <row r="39" spans="1:33" s="70" customFormat="1">
      <c r="A39" s="56" t="s">
        <v>980</v>
      </c>
      <c r="B39" s="56" t="str">
        <f>VLOOKUP(A39,'CENTRO DE COSTOS'!A:D,4,FALSE)</f>
        <v>MIGUEL JULIÁN HERNÁNDEZ GUARÍN</v>
      </c>
      <c r="C39" s="56" t="str">
        <f>VLOOKUP(A39,'CENTRO DE COSTOS'!A:D,2,FALSE)</f>
        <v>0004-0008</v>
      </c>
      <c r="D39" s="56">
        <v>54001</v>
      </c>
      <c r="E39" s="56">
        <v>2789429</v>
      </c>
      <c r="F39" s="56">
        <v>80565</v>
      </c>
      <c r="G39" s="56" t="s">
        <v>1250</v>
      </c>
      <c r="H39" s="56" t="s">
        <v>979</v>
      </c>
      <c r="I39" s="56" t="s">
        <v>980</v>
      </c>
      <c r="J39" s="56" t="s">
        <v>1433</v>
      </c>
      <c r="K39" s="56" t="s">
        <v>107</v>
      </c>
      <c r="L39" s="56" t="s">
        <v>1434</v>
      </c>
      <c r="M39" s="103">
        <v>45924.645833333343</v>
      </c>
      <c r="N39" s="103">
        <v>45925.519444444442</v>
      </c>
      <c r="O39" s="56" t="s">
        <v>1253</v>
      </c>
      <c r="P39" s="56" t="s">
        <v>1254</v>
      </c>
      <c r="Q39" s="56" t="s">
        <v>1348</v>
      </c>
      <c r="R39" s="56" t="s">
        <v>1277</v>
      </c>
      <c r="S39" s="78"/>
      <c r="T39" s="78"/>
      <c r="U39" s="56" t="s">
        <v>1257</v>
      </c>
      <c r="V39" s="56" t="s">
        <v>1435</v>
      </c>
      <c r="W39" s="56" t="s">
        <v>1259</v>
      </c>
      <c r="X39" s="56">
        <v>0</v>
      </c>
      <c r="Y39" s="56" t="s">
        <v>138</v>
      </c>
      <c r="Z39" s="56" t="s">
        <v>115</v>
      </c>
      <c r="AA39" s="56" t="s">
        <v>1354</v>
      </c>
      <c r="AB39" s="56">
        <v>0</v>
      </c>
      <c r="AC39" s="56">
        <v>0</v>
      </c>
      <c r="AD39" s="56">
        <v>0</v>
      </c>
      <c r="AE39" s="56">
        <v>0</v>
      </c>
      <c r="AF39" s="69">
        <f>IF(W39="SOPORTE_TELEFÓNICO",'BASE LIQUIDACION'!$B$10,IF(Y39="TIPO I",'BASE LIQUIDACION'!$C$3,IF(Y39="TIPO II",'BASE LIQUIDACION'!$C$4,IF(Y39="TIPO III",'BASE LIQUIDACION'!$C$5,'BASE LIQUIDACION'!$C$7))))</f>
        <v>37904.65408</v>
      </c>
      <c r="AG39" s="90">
        <f>IF(W39="SOPORTE_TELEFÓNICO",'BASE LIQUIDACION'!$B$10,(AB39*AF39+AC39*'BASE LIQUIDACION'!$B$12+AD39*'BASE LIQUIDACION'!$B$11+INCIDENTES!AE39*'BASE LIQUIDACION'!$B$13))</f>
        <v>37904.65408</v>
      </c>
    </row>
    <row r="40" spans="1:33" s="70" customFormat="1">
      <c r="A40" s="56" t="s">
        <v>131</v>
      </c>
      <c r="B40" s="56" t="str">
        <f>VLOOKUP(A40,'CENTRO DE COSTOS'!A:D,4,FALSE)</f>
        <v>MIGUEL JULIÁN HERNÁNDEZ GUARÍN</v>
      </c>
      <c r="C40" s="56" t="str">
        <f>VLOOKUP(A40,'CENTRO DE COSTOS'!A:D,2,FALSE)</f>
        <v>0004-0008</v>
      </c>
      <c r="D40" s="56">
        <v>15367</v>
      </c>
      <c r="E40" s="56">
        <v>2789231</v>
      </c>
      <c r="F40" s="56">
        <v>80894</v>
      </c>
      <c r="G40" s="56" t="s">
        <v>1250</v>
      </c>
      <c r="H40" s="56" t="s">
        <v>133</v>
      </c>
      <c r="I40" s="56" t="s">
        <v>453</v>
      </c>
      <c r="J40" s="56" t="s">
        <v>1436</v>
      </c>
      <c r="K40" s="56" t="s">
        <v>107</v>
      </c>
      <c r="L40" s="56" t="s">
        <v>1437</v>
      </c>
      <c r="M40" s="103">
        <v>45924.631249999999</v>
      </c>
      <c r="N40" s="103">
        <v>45925.675000000003</v>
      </c>
      <c r="O40" s="56" t="s">
        <v>1253</v>
      </c>
      <c r="P40" s="56" t="s">
        <v>1341</v>
      </c>
      <c r="Q40" s="56" t="s">
        <v>1342</v>
      </c>
      <c r="R40" s="56" t="s">
        <v>1343</v>
      </c>
      <c r="S40" s="78"/>
      <c r="T40" s="78"/>
      <c r="U40" s="56" t="s">
        <v>1257</v>
      </c>
      <c r="V40" s="56" t="s">
        <v>1438</v>
      </c>
      <c r="W40" s="56" t="s">
        <v>1266</v>
      </c>
      <c r="X40" s="56" t="s">
        <v>1439</v>
      </c>
      <c r="Y40" s="56" t="s">
        <v>114</v>
      </c>
      <c r="Z40" s="56" t="s">
        <v>115</v>
      </c>
      <c r="AA40" s="56" t="s">
        <v>139</v>
      </c>
      <c r="AB40" s="56">
        <v>1</v>
      </c>
      <c r="AC40" s="56">
        <v>0</v>
      </c>
      <c r="AD40" s="56">
        <v>0</v>
      </c>
      <c r="AE40" s="56">
        <v>0</v>
      </c>
      <c r="AF40" s="69">
        <f>IF(W40="SOPORTE_TELEFÓNICO",'BASE LIQUIDACION'!$B$10,IF(Y40="TIPO I",'BASE LIQUIDACION'!$C$3,IF(Y40="TIPO II",'BASE LIQUIDACION'!$C$4,IF(Y40="TIPO III",'BASE LIQUIDACION'!$C$5,'BASE LIQUIDACION'!$C$7))))</f>
        <v>163813.55812</v>
      </c>
      <c r="AG40" s="90">
        <f>IF(W40="SOPORTE_TELEFÓNICO",'BASE LIQUIDACION'!$B$10,(AB40*AF40+AC40*'BASE LIQUIDACION'!$B$12+AD40*'BASE LIQUIDACION'!$B$11+INCIDENTES!AE40*'BASE LIQUIDACION'!$B$13))</f>
        <v>163813.55812</v>
      </c>
    </row>
    <row r="41" spans="1:33" s="70" customFormat="1">
      <c r="A41" s="56" t="s">
        <v>980</v>
      </c>
      <c r="B41" s="56" t="str">
        <f>VLOOKUP(A41,'CENTRO DE COSTOS'!A:D,4,FALSE)</f>
        <v>MIGUEL JULIÁN HERNÁNDEZ GUARÍN</v>
      </c>
      <c r="C41" s="56" t="str">
        <f>VLOOKUP(A41,'CENTRO DE COSTOS'!A:D,2,FALSE)</f>
        <v>0004-0008</v>
      </c>
      <c r="D41" s="56">
        <v>54001</v>
      </c>
      <c r="E41" s="56">
        <v>2788155</v>
      </c>
      <c r="F41" s="56">
        <v>79861</v>
      </c>
      <c r="G41" s="56" t="s">
        <v>1250</v>
      </c>
      <c r="H41" s="56" t="s">
        <v>979</v>
      </c>
      <c r="I41" s="56" t="s">
        <v>980</v>
      </c>
      <c r="J41" s="56" t="s">
        <v>1440</v>
      </c>
      <c r="K41" s="56" t="s">
        <v>107</v>
      </c>
      <c r="L41" s="56" t="s">
        <v>1441</v>
      </c>
      <c r="M41" s="103">
        <v>45924.554861111108</v>
      </c>
      <c r="N41" s="103">
        <v>45925.506249999999</v>
      </c>
      <c r="O41" s="56" t="s">
        <v>1253</v>
      </c>
      <c r="P41" s="56" t="s">
        <v>1254</v>
      </c>
      <c r="Q41" s="56" t="s">
        <v>1312</v>
      </c>
      <c r="R41" s="56" t="s">
        <v>1313</v>
      </c>
      <c r="S41" s="78"/>
      <c r="T41" s="78"/>
      <c r="U41" s="56" t="s">
        <v>1257</v>
      </c>
      <c r="V41" s="56" t="s">
        <v>1442</v>
      </c>
      <c r="W41" s="56" t="s">
        <v>1266</v>
      </c>
      <c r="X41" s="56" t="s">
        <v>1443</v>
      </c>
      <c r="Y41" s="56" t="s">
        <v>138</v>
      </c>
      <c r="Z41" s="56" t="s">
        <v>115</v>
      </c>
      <c r="AA41" s="56" t="s">
        <v>1444</v>
      </c>
      <c r="AB41" s="56">
        <v>1</v>
      </c>
      <c r="AC41" s="56">
        <v>0</v>
      </c>
      <c r="AD41" s="56">
        <v>0</v>
      </c>
      <c r="AE41" s="56">
        <v>0</v>
      </c>
      <c r="AF41" s="69">
        <f>IF(W41="SOPORTE_TELEFÓNICO",'BASE LIQUIDACION'!$B$10,IF(Y41="TIPO I",'BASE LIQUIDACION'!$C$3,IF(Y41="TIPO II",'BASE LIQUIDACION'!$C$4,IF(Y41="TIPO III",'BASE LIQUIDACION'!$C$5,'BASE LIQUIDACION'!$C$7))))</f>
        <v>65960.473639999997</v>
      </c>
      <c r="AG41" s="90">
        <f>IF(W41="SOPORTE_TELEFÓNICO",'BASE LIQUIDACION'!$B$10,(AB41*AF41+AC41*'BASE LIQUIDACION'!$B$12+AD41*'BASE LIQUIDACION'!$B$11+INCIDENTES!AE41*'BASE LIQUIDACION'!$B$13))</f>
        <v>65960.473639999997</v>
      </c>
    </row>
    <row r="42" spans="1:33" s="70" customFormat="1">
      <c r="A42" s="56" t="s">
        <v>366</v>
      </c>
      <c r="B42" s="56" t="str">
        <f>VLOOKUP(A42,'CENTRO DE COSTOS'!A:D,4,FALSE)</f>
        <v>JOSE MAURICIO HERNANDEZ ROJAS</v>
      </c>
      <c r="C42" s="56" t="str">
        <f>VLOOKUP(A42,'CENTRO DE COSTOS'!A:D,2,FALSE)</f>
        <v>0004-0001</v>
      </c>
      <c r="D42" s="56">
        <v>20570</v>
      </c>
      <c r="E42" s="56">
        <v>2787385</v>
      </c>
      <c r="F42" s="56">
        <v>70157</v>
      </c>
      <c r="G42" s="56" t="s">
        <v>1250</v>
      </c>
      <c r="H42" s="56" t="s">
        <v>627</v>
      </c>
      <c r="I42" s="56" t="s">
        <v>646</v>
      </c>
      <c r="J42" s="56" t="s">
        <v>1445</v>
      </c>
      <c r="K42" s="56" t="s">
        <v>107</v>
      </c>
      <c r="L42" s="56" t="s">
        <v>1446</v>
      </c>
      <c r="M42" s="103">
        <v>45924.472222222219</v>
      </c>
      <c r="N42" s="103">
        <v>45925.433333333327</v>
      </c>
      <c r="O42" s="56" t="s">
        <v>1253</v>
      </c>
      <c r="P42" s="56" t="s">
        <v>1254</v>
      </c>
      <c r="Q42" s="56" t="s">
        <v>1271</v>
      </c>
      <c r="R42" s="56" t="s">
        <v>1277</v>
      </c>
      <c r="S42" s="78"/>
      <c r="T42" s="78"/>
      <c r="U42" s="56" t="s">
        <v>1257</v>
      </c>
      <c r="V42" s="56" t="s">
        <v>1447</v>
      </c>
      <c r="W42" s="56" t="s">
        <v>1259</v>
      </c>
      <c r="X42" s="56">
        <v>0</v>
      </c>
      <c r="Y42" s="56" t="s">
        <v>212</v>
      </c>
      <c r="Z42" s="56" t="s">
        <v>115</v>
      </c>
      <c r="AA42" s="56" t="s">
        <v>1448</v>
      </c>
      <c r="AB42" s="56">
        <v>0</v>
      </c>
      <c r="AC42" s="56">
        <v>0</v>
      </c>
      <c r="AD42" s="56">
        <v>0</v>
      </c>
      <c r="AE42" s="56">
        <v>0</v>
      </c>
      <c r="AF42" s="69">
        <f>IF(W42="SOPORTE_TELEFÓNICO",'BASE LIQUIDACION'!$B$10,IF(Y42="TIPO I",'BASE LIQUIDACION'!$C$3,IF(Y42="TIPO II",'BASE LIQUIDACION'!$C$4,IF(Y42="TIPO III",'BASE LIQUIDACION'!$C$5,'BASE LIQUIDACION'!$C$7))))</f>
        <v>37904.65408</v>
      </c>
      <c r="AG42" s="90">
        <f>IF(W42="SOPORTE_TELEFÓNICO",'BASE LIQUIDACION'!$B$10,(AB42*AF42+AC42*'BASE LIQUIDACION'!$B$12+AD42*'BASE LIQUIDACION'!$B$11+INCIDENTES!AE42*'BASE LIQUIDACION'!$B$13))</f>
        <v>37904.65408</v>
      </c>
    </row>
    <row r="43" spans="1:33" s="70" customFormat="1">
      <c r="A43" s="56" t="s">
        <v>174</v>
      </c>
      <c r="B43" s="56" t="str">
        <f>VLOOKUP(A43,'CENTRO DE COSTOS'!A:D,4,FALSE)</f>
        <v>KEVIN ALEXIS CORZO BUSTOS</v>
      </c>
      <c r="C43" s="56" t="str">
        <f>VLOOKUP(A43,'CENTRO DE COSTOS'!A:D,2,FALSE)</f>
        <v>0004-0007</v>
      </c>
      <c r="D43" s="56">
        <v>50226</v>
      </c>
      <c r="E43" s="56">
        <v>2787115</v>
      </c>
      <c r="F43" s="56">
        <v>54150</v>
      </c>
      <c r="G43" s="56" t="s">
        <v>1250</v>
      </c>
      <c r="H43" s="56" t="s">
        <v>176</v>
      </c>
      <c r="I43" s="56" t="s">
        <v>911</v>
      </c>
      <c r="J43" s="56" t="s">
        <v>1449</v>
      </c>
      <c r="K43" s="56" t="s">
        <v>107</v>
      </c>
      <c r="L43" s="56" t="s">
        <v>1450</v>
      </c>
      <c r="M43" s="103">
        <v>45924.446527777778</v>
      </c>
      <c r="N43" s="103">
        <v>45927.393750000003</v>
      </c>
      <c r="O43" s="56" t="s">
        <v>1253</v>
      </c>
      <c r="P43" s="56" t="s">
        <v>1254</v>
      </c>
      <c r="Q43" s="56" t="s">
        <v>1271</v>
      </c>
      <c r="R43" s="56" t="s">
        <v>1277</v>
      </c>
      <c r="S43" s="78"/>
      <c r="T43" s="78"/>
      <c r="U43" s="56" t="s">
        <v>1257</v>
      </c>
      <c r="V43" s="56" t="s">
        <v>1451</v>
      </c>
      <c r="W43" s="56" t="s">
        <v>1266</v>
      </c>
      <c r="X43" s="56" t="s">
        <v>1452</v>
      </c>
      <c r="Y43" s="56" t="s">
        <v>114</v>
      </c>
      <c r="Z43" s="56" t="s">
        <v>115</v>
      </c>
      <c r="AA43" s="56" t="s">
        <v>1290</v>
      </c>
      <c r="AB43" s="56">
        <v>1</v>
      </c>
      <c r="AC43" s="56">
        <v>0</v>
      </c>
      <c r="AD43" s="56">
        <v>0</v>
      </c>
      <c r="AE43" s="56">
        <v>0</v>
      </c>
      <c r="AF43" s="69">
        <f>IF(W43="SOPORTE_TELEFÓNICO",'BASE LIQUIDACION'!$B$10,IF(Y43="TIPO I",'BASE LIQUIDACION'!$C$3,IF(Y43="TIPO II",'BASE LIQUIDACION'!$C$4,IF(Y43="TIPO III",'BASE LIQUIDACION'!$C$5,'BASE LIQUIDACION'!$C$7))))</f>
        <v>163813.55812</v>
      </c>
      <c r="AG43" s="90">
        <f>IF(W43="SOPORTE_TELEFÓNICO",'BASE LIQUIDACION'!$B$10,(AB43*AF43+AC43*'BASE LIQUIDACION'!$B$12+AD43*'BASE LIQUIDACION'!$B$11+INCIDENTES!AE43*'BASE LIQUIDACION'!$B$13))</f>
        <v>163813.55812</v>
      </c>
    </row>
    <row r="44" spans="1:33" s="70" customFormat="1">
      <c r="A44" s="56" t="s">
        <v>165</v>
      </c>
      <c r="B44" s="56" t="str">
        <f>VLOOKUP(A44,'CENTRO DE COSTOS'!A:D,4,FALSE)</f>
        <v>JUAN SEBASTIÁN RÍOS CASTRILLÓN</v>
      </c>
      <c r="C44" s="56" t="str">
        <f>VLOOKUP(A44,'CENTRO DE COSTOS'!A:D,2,FALSE)</f>
        <v>0004-0005</v>
      </c>
      <c r="D44" s="56">
        <v>5001</v>
      </c>
      <c r="E44" s="56">
        <v>2786290</v>
      </c>
      <c r="F44" s="56">
        <v>25163</v>
      </c>
      <c r="G44" s="56" t="s">
        <v>1250</v>
      </c>
      <c r="H44" s="56" t="s">
        <v>152</v>
      </c>
      <c r="I44" s="56" t="s">
        <v>165</v>
      </c>
      <c r="J44" s="56" t="s">
        <v>1453</v>
      </c>
      <c r="K44" s="56" t="s">
        <v>107</v>
      </c>
      <c r="L44" s="56" t="s">
        <v>1454</v>
      </c>
      <c r="M44" s="103">
        <v>45924.411805555559</v>
      </c>
      <c r="N44" s="103">
        <v>45924.660416666673</v>
      </c>
      <c r="O44" s="56" t="s">
        <v>1253</v>
      </c>
      <c r="P44" s="56" t="s">
        <v>1254</v>
      </c>
      <c r="Q44" s="56" t="s">
        <v>1312</v>
      </c>
      <c r="R44" s="56" t="s">
        <v>1313</v>
      </c>
      <c r="S44" s="78"/>
      <c r="T44" s="78"/>
      <c r="U44" s="56" t="s">
        <v>1257</v>
      </c>
      <c r="V44" s="56" t="s">
        <v>1455</v>
      </c>
      <c r="W44" s="56" t="s">
        <v>1266</v>
      </c>
      <c r="X44" s="56" t="s">
        <v>1456</v>
      </c>
      <c r="Y44" s="56" t="s">
        <v>138</v>
      </c>
      <c r="Z44" s="56" t="s">
        <v>115</v>
      </c>
      <c r="AA44" s="56" t="s">
        <v>1457</v>
      </c>
      <c r="AB44" s="56">
        <v>1</v>
      </c>
      <c r="AC44" s="56">
        <v>0</v>
      </c>
      <c r="AD44" s="56">
        <v>0</v>
      </c>
      <c r="AE44" s="56">
        <v>0</v>
      </c>
      <c r="AF44" s="69">
        <f>IF(W44="SOPORTE_TELEFÓNICO",'BASE LIQUIDACION'!$B$10,IF(Y44="TIPO I",'BASE LIQUIDACION'!$C$3,IF(Y44="TIPO II",'BASE LIQUIDACION'!$C$4,IF(Y44="TIPO III",'BASE LIQUIDACION'!$C$5,'BASE LIQUIDACION'!$C$7))))</f>
        <v>65960.473639999997</v>
      </c>
      <c r="AG44" s="90">
        <f>IF(W44="SOPORTE_TELEFÓNICO",'BASE LIQUIDACION'!$B$10,(AB44*AF44+AC44*'BASE LIQUIDACION'!$B$12+AD44*'BASE LIQUIDACION'!$B$11+INCIDENTES!AE44*'BASE LIQUIDACION'!$B$13))</f>
        <v>65960.473639999997</v>
      </c>
    </row>
    <row r="45" spans="1:33" s="70" customFormat="1">
      <c r="A45" s="56" t="s">
        <v>366</v>
      </c>
      <c r="B45" s="56" t="str">
        <f>VLOOKUP(A45,'CENTRO DE COSTOS'!A:D,4,FALSE)</f>
        <v>JOSE MAURICIO HERNANDEZ ROJAS</v>
      </c>
      <c r="C45" s="56" t="str">
        <f>VLOOKUP(A45,'CENTRO DE COSTOS'!A:D,2,FALSE)</f>
        <v>0004-0001</v>
      </c>
      <c r="D45" s="56">
        <v>20011</v>
      </c>
      <c r="E45" s="56">
        <v>2786424</v>
      </c>
      <c r="F45" s="56">
        <v>39373</v>
      </c>
      <c r="G45" s="56" t="s">
        <v>1250</v>
      </c>
      <c r="H45" s="56" t="s">
        <v>627</v>
      </c>
      <c r="I45" s="56" t="s">
        <v>630</v>
      </c>
      <c r="J45" s="56" t="s">
        <v>1458</v>
      </c>
      <c r="K45" s="56" t="s">
        <v>107</v>
      </c>
      <c r="L45" s="56" t="s">
        <v>1459</v>
      </c>
      <c r="M45" s="103">
        <v>45924.404166666667</v>
      </c>
      <c r="N45" s="103">
        <v>45927.552777777782</v>
      </c>
      <c r="O45" s="56" t="s">
        <v>1253</v>
      </c>
      <c r="P45" s="56" t="s">
        <v>1254</v>
      </c>
      <c r="Q45" s="56" t="s">
        <v>1271</v>
      </c>
      <c r="R45" s="56" t="s">
        <v>1277</v>
      </c>
      <c r="S45" s="78"/>
      <c r="T45" s="78"/>
      <c r="U45" s="56" t="s">
        <v>1257</v>
      </c>
      <c r="V45" s="56" t="s">
        <v>1460</v>
      </c>
      <c r="W45" s="56" t="s">
        <v>1266</v>
      </c>
      <c r="X45" s="56" t="s">
        <v>1461</v>
      </c>
      <c r="Y45" s="56" t="s">
        <v>172</v>
      </c>
      <c r="Z45" s="56" t="s">
        <v>115</v>
      </c>
      <c r="AA45" s="56" t="s">
        <v>1462</v>
      </c>
      <c r="AB45" s="56">
        <v>1</v>
      </c>
      <c r="AC45" s="56">
        <v>0</v>
      </c>
      <c r="AD45" s="56">
        <v>0</v>
      </c>
      <c r="AE45" s="56">
        <v>0</v>
      </c>
      <c r="AF45" s="69">
        <f>IF(W45="SOPORTE_TELEFÓNICO",'BASE LIQUIDACION'!$B$10,IF(Y45="TIPO I",'BASE LIQUIDACION'!$C$3,IF(Y45="TIPO II",'BASE LIQUIDACION'!$C$4,IF(Y45="TIPO III",'BASE LIQUIDACION'!$C$5,'BASE LIQUIDACION'!$C$7))))</f>
        <v>479589.73656000005</v>
      </c>
      <c r="AG45" s="90">
        <f>IF(W45="SOPORTE_TELEFÓNICO",'BASE LIQUIDACION'!$B$10,(AB45*AF45+AC45*'BASE LIQUIDACION'!$B$12+AD45*'BASE LIQUIDACION'!$B$11+INCIDENTES!AE45*'BASE LIQUIDACION'!$B$13))</f>
        <v>479589.73656000005</v>
      </c>
    </row>
    <row r="46" spans="1:33" s="70" customFormat="1">
      <c r="A46" s="56" t="s">
        <v>100</v>
      </c>
      <c r="B46" s="56" t="str">
        <f>VLOOKUP(A46,'CENTRO DE COSTOS'!A:D,4,FALSE)</f>
        <v>DIEGO FERNANDO HENAO CARDONA</v>
      </c>
      <c r="C46" s="56" t="str">
        <f>VLOOKUP(A46,'CENTRO DE COSTOS'!A:D,2,FALSE)</f>
        <v>0004-0003</v>
      </c>
      <c r="D46" s="56">
        <v>52001</v>
      </c>
      <c r="E46" s="56">
        <v>2786212</v>
      </c>
      <c r="F46" s="56">
        <v>76204</v>
      </c>
      <c r="G46" s="56" t="s">
        <v>1250</v>
      </c>
      <c r="H46" s="56" t="s">
        <v>104</v>
      </c>
      <c r="I46" s="56" t="s">
        <v>100</v>
      </c>
      <c r="J46" s="56" t="s">
        <v>1463</v>
      </c>
      <c r="K46" s="56" t="s">
        <v>107</v>
      </c>
      <c r="L46" s="56" t="s">
        <v>1464</v>
      </c>
      <c r="M46" s="103">
        <v>45924.401388888888</v>
      </c>
      <c r="N46" s="103">
        <v>45924.663194444453</v>
      </c>
      <c r="O46" s="56" t="s">
        <v>1253</v>
      </c>
      <c r="P46" s="56" t="s">
        <v>1254</v>
      </c>
      <c r="Q46" s="56" t="s">
        <v>1271</v>
      </c>
      <c r="R46" s="56" t="s">
        <v>1272</v>
      </c>
      <c r="S46" s="78"/>
      <c r="T46" s="78"/>
      <c r="U46" s="56" t="s">
        <v>1257</v>
      </c>
      <c r="V46" s="56" t="s">
        <v>1465</v>
      </c>
      <c r="W46" s="56" t="s">
        <v>1266</v>
      </c>
      <c r="X46" s="56" t="s">
        <v>1466</v>
      </c>
      <c r="Y46" s="56" t="s">
        <v>138</v>
      </c>
      <c r="Z46" s="56" t="s">
        <v>115</v>
      </c>
      <c r="AA46" s="56" t="s">
        <v>1407</v>
      </c>
      <c r="AB46" s="56">
        <v>1</v>
      </c>
      <c r="AC46" s="56">
        <v>0</v>
      </c>
      <c r="AD46" s="56">
        <v>0</v>
      </c>
      <c r="AE46" s="56">
        <v>0</v>
      </c>
      <c r="AF46" s="69">
        <f>IF(W46="SOPORTE_TELEFÓNICO",'BASE LIQUIDACION'!$B$10,IF(Y46="TIPO I",'BASE LIQUIDACION'!$C$3,IF(Y46="TIPO II",'BASE LIQUIDACION'!$C$4,IF(Y46="TIPO III",'BASE LIQUIDACION'!$C$5,'BASE LIQUIDACION'!$C$7))))</f>
        <v>65960.473639999997</v>
      </c>
      <c r="AG46" s="90">
        <f>IF(W46="SOPORTE_TELEFÓNICO",'BASE LIQUIDACION'!$B$10,(AB46*AF46+AC46*'BASE LIQUIDACION'!$B$12+AD46*'BASE LIQUIDACION'!$B$11+INCIDENTES!AE46*'BASE LIQUIDACION'!$B$13))</f>
        <v>65960.473639999997</v>
      </c>
    </row>
    <row r="47" spans="1:33" s="70" customFormat="1">
      <c r="A47" s="56" t="s">
        <v>174</v>
      </c>
      <c r="B47" s="56" t="str">
        <f>VLOOKUP(A47,'CENTRO DE COSTOS'!A:D,4,FALSE)</f>
        <v>KEVIN ALEXIS CORZO BUSTOS</v>
      </c>
      <c r="C47" s="56" t="str">
        <f>VLOOKUP(A47,'CENTRO DE COSTOS'!A:D,2,FALSE)</f>
        <v>0004-0007</v>
      </c>
      <c r="D47" s="56">
        <v>25335</v>
      </c>
      <c r="E47" s="56">
        <v>2786081</v>
      </c>
      <c r="F47" s="56">
        <v>75234</v>
      </c>
      <c r="G47" s="56" t="s">
        <v>1250</v>
      </c>
      <c r="H47" s="56" t="s">
        <v>184</v>
      </c>
      <c r="I47" s="56" t="s">
        <v>754</v>
      </c>
      <c r="J47" s="56" t="s">
        <v>1467</v>
      </c>
      <c r="K47" s="56" t="s">
        <v>107</v>
      </c>
      <c r="L47" s="56" t="s">
        <v>1468</v>
      </c>
      <c r="M47" s="103">
        <v>45924.397222222222</v>
      </c>
      <c r="N47" s="103">
        <v>45925.664583333331</v>
      </c>
      <c r="O47" s="56" t="s">
        <v>1253</v>
      </c>
      <c r="P47" s="56" t="s">
        <v>1254</v>
      </c>
      <c r="Q47" s="56" t="s">
        <v>1348</v>
      </c>
      <c r="R47" s="56" t="s">
        <v>1277</v>
      </c>
      <c r="S47" s="78"/>
      <c r="T47" s="78"/>
      <c r="U47" s="56" t="s">
        <v>1257</v>
      </c>
      <c r="V47" s="56" t="s">
        <v>1469</v>
      </c>
      <c r="W47" s="56" t="s">
        <v>1259</v>
      </c>
      <c r="X47" s="56">
        <v>0</v>
      </c>
      <c r="Y47" s="56" t="s">
        <v>114</v>
      </c>
      <c r="Z47" s="56" t="s">
        <v>115</v>
      </c>
      <c r="AA47" s="56" t="s">
        <v>1470</v>
      </c>
      <c r="AB47" s="56">
        <v>0</v>
      </c>
      <c r="AC47" s="56">
        <v>0</v>
      </c>
      <c r="AD47" s="56">
        <v>0</v>
      </c>
      <c r="AE47" s="56">
        <v>0</v>
      </c>
      <c r="AF47" s="69">
        <f>IF(W47="SOPORTE_TELEFÓNICO",'BASE LIQUIDACION'!$B$10,IF(Y47="TIPO I",'BASE LIQUIDACION'!$C$3,IF(Y47="TIPO II",'BASE LIQUIDACION'!$C$4,IF(Y47="TIPO III",'BASE LIQUIDACION'!$C$5,'BASE LIQUIDACION'!$C$7))))</f>
        <v>37904.65408</v>
      </c>
      <c r="AG47" s="90">
        <f>IF(W47="SOPORTE_TELEFÓNICO",'BASE LIQUIDACION'!$B$10,(AB47*AF47+AC47*'BASE LIQUIDACION'!$B$12+AD47*'BASE LIQUIDACION'!$B$11+INCIDENTES!AE47*'BASE LIQUIDACION'!$B$13))</f>
        <v>37904.65408</v>
      </c>
    </row>
    <row r="48" spans="1:33" s="70" customFormat="1">
      <c r="A48" s="56" t="s">
        <v>165</v>
      </c>
      <c r="B48" s="56" t="str">
        <f>VLOOKUP(A48,'CENTRO DE COSTOS'!A:D,4,FALSE)</f>
        <v>JUAN SEBASTIÁN RÍOS CASTRILLÓN</v>
      </c>
      <c r="C48" s="56" t="str">
        <f>VLOOKUP(A48,'CENTRO DE COSTOS'!A:D,2,FALSE)</f>
        <v>0004-0005</v>
      </c>
      <c r="D48" s="56">
        <v>5501</v>
      </c>
      <c r="E48" s="56">
        <v>2783837</v>
      </c>
      <c r="F48" s="56">
        <v>44521</v>
      </c>
      <c r="G48" s="56" t="s">
        <v>1250</v>
      </c>
      <c r="H48" s="56" t="s">
        <v>152</v>
      </c>
      <c r="I48" s="56" t="s">
        <v>293</v>
      </c>
      <c r="J48" s="56" t="s">
        <v>1471</v>
      </c>
      <c r="K48" s="56" t="s">
        <v>107</v>
      </c>
      <c r="L48" s="56" t="s">
        <v>1472</v>
      </c>
      <c r="M48" s="103">
        <v>45923.693749999999</v>
      </c>
      <c r="N48" s="103">
        <v>45925.657638888893</v>
      </c>
      <c r="O48" s="56" t="s">
        <v>1253</v>
      </c>
      <c r="P48" s="56" t="s">
        <v>1254</v>
      </c>
      <c r="Q48" s="56" t="s">
        <v>1271</v>
      </c>
      <c r="R48" s="56" t="s">
        <v>1272</v>
      </c>
      <c r="S48" s="78"/>
      <c r="T48" s="78"/>
      <c r="U48" s="56" t="s">
        <v>1257</v>
      </c>
      <c r="V48" s="56" t="s">
        <v>1473</v>
      </c>
      <c r="W48" s="56" t="s">
        <v>1259</v>
      </c>
      <c r="X48" s="56">
        <v>0</v>
      </c>
      <c r="Y48" s="56" t="s">
        <v>114</v>
      </c>
      <c r="Z48" s="56" t="s">
        <v>115</v>
      </c>
      <c r="AA48" s="56" t="s">
        <v>1474</v>
      </c>
      <c r="AB48" s="56">
        <v>0</v>
      </c>
      <c r="AC48" s="56">
        <v>0</v>
      </c>
      <c r="AD48" s="56">
        <v>0</v>
      </c>
      <c r="AE48" s="56">
        <v>0</v>
      </c>
      <c r="AF48" s="69">
        <f>IF(W48="SOPORTE_TELEFÓNICO",'BASE LIQUIDACION'!$B$10,IF(Y48="TIPO I",'BASE LIQUIDACION'!$C$3,IF(Y48="TIPO II",'BASE LIQUIDACION'!$C$4,IF(Y48="TIPO III",'BASE LIQUIDACION'!$C$5,'BASE LIQUIDACION'!$C$7))))</f>
        <v>37904.65408</v>
      </c>
      <c r="AG48" s="90">
        <f>IF(W48="SOPORTE_TELEFÓNICO",'BASE LIQUIDACION'!$B$10,(AB48*AF48+AC48*'BASE LIQUIDACION'!$B$12+AD48*'BASE LIQUIDACION'!$B$11+INCIDENTES!AE48*'BASE LIQUIDACION'!$B$13))</f>
        <v>37904.65408</v>
      </c>
    </row>
    <row r="49" spans="1:33" s="70" customFormat="1">
      <c r="A49" s="56" t="s">
        <v>150</v>
      </c>
      <c r="B49" s="56" t="str">
        <f>VLOOKUP(A49,'CENTRO DE COSTOS'!A:D,4,FALSE)</f>
        <v>JUAN SEBASTIÁN RÍOS CASTRILLÓN</v>
      </c>
      <c r="C49" s="56" t="str">
        <f>VLOOKUP(A49,'CENTRO DE COSTOS'!A:D,2,FALSE)</f>
        <v>0004-0005</v>
      </c>
      <c r="D49" s="56">
        <v>5837</v>
      </c>
      <c r="E49" s="56">
        <v>2782755</v>
      </c>
      <c r="F49" s="56">
        <v>81350</v>
      </c>
      <c r="G49" s="56" t="s">
        <v>1250</v>
      </c>
      <c r="H49" s="56" t="s">
        <v>152</v>
      </c>
      <c r="I49" s="56" t="s">
        <v>153</v>
      </c>
      <c r="J49" s="56" t="s">
        <v>1475</v>
      </c>
      <c r="K49" s="56" t="s">
        <v>107</v>
      </c>
      <c r="L49" s="56" t="s">
        <v>1476</v>
      </c>
      <c r="M49" s="103">
        <v>45923.636111111111</v>
      </c>
      <c r="N49" s="103">
        <v>45925.635416666657</v>
      </c>
      <c r="O49" s="56" t="s">
        <v>1253</v>
      </c>
      <c r="P49" s="56" t="s">
        <v>1254</v>
      </c>
      <c r="Q49" s="56" t="s">
        <v>1312</v>
      </c>
      <c r="R49" s="56" t="s">
        <v>1313</v>
      </c>
      <c r="S49" s="78"/>
      <c r="T49" s="78"/>
      <c r="U49" s="56" t="s">
        <v>1257</v>
      </c>
      <c r="V49" s="56" t="s">
        <v>1477</v>
      </c>
      <c r="W49" s="56" t="s">
        <v>1266</v>
      </c>
      <c r="X49" s="56">
        <v>0</v>
      </c>
      <c r="Y49" s="56" t="s">
        <v>114</v>
      </c>
      <c r="Z49" s="56" t="s">
        <v>115</v>
      </c>
      <c r="AA49" s="56" t="s">
        <v>158</v>
      </c>
      <c r="AB49" s="56">
        <v>1</v>
      </c>
      <c r="AC49" s="56">
        <v>0</v>
      </c>
      <c r="AD49" s="56">
        <v>0</v>
      </c>
      <c r="AE49" s="56">
        <v>0</v>
      </c>
      <c r="AF49" s="69">
        <f>IF(W49="SOPORTE_TELEFÓNICO",'BASE LIQUIDACION'!$B$10,IF(Y49="TIPO I",'BASE LIQUIDACION'!$C$3,IF(Y49="TIPO II",'BASE LIQUIDACION'!$C$4,IF(Y49="TIPO III",'BASE LIQUIDACION'!$C$5,'BASE LIQUIDACION'!$C$7))))</f>
        <v>163813.55812</v>
      </c>
      <c r="AG49" s="90">
        <f>IF(W49="SOPORTE_TELEFÓNICO",'BASE LIQUIDACION'!$B$10,(AB49*AF49+AC49*'BASE LIQUIDACION'!$B$12+AD49*'BASE LIQUIDACION'!$B$11+INCIDENTES!AE49*'BASE LIQUIDACION'!$B$13))</f>
        <v>163813.55812</v>
      </c>
    </row>
    <row r="50" spans="1:33" s="70" customFormat="1">
      <c r="A50" s="56" t="s">
        <v>100</v>
      </c>
      <c r="B50" s="56" t="str">
        <f>VLOOKUP(A50,'CENTRO DE COSTOS'!A:D,4,FALSE)</f>
        <v>DIEGO FERNANDO HENAO CARDONA</v>
      </c>
      <c r="C50" s="56" t="str">
        <f>VLOOKUP(A50,'CENTRO DE COSTOS'!A:D,2,FALSE)</f>
        <v>0004-0003</v>
      </c>
      <c r="D50" s="56">
        <v>52001</v>
      </c>
      <c r="E50" s="56">
        <v>2781894</v>
      </c>
      <c r="F50" s="56">
        <v>56861</v>
      </c>
      <c r="G50" s="56" t="s">
        <v>1250</v>
      </c>
      <c r="H50" s="56" t="s">
        <v>104</v>
      </c>
      <c r="I50" s="56" t="s">
        <v>100</v>
      </c>
      <c r="J50" s="56" t="s">
        <v>1478</v>
      </c>
      <c r="K50" s="56" t="s">
        <v>107</v>
      </c>
      <c r="L50" s="56" t="s">
        <v>1479</v>
      </c>
      <c r="M50" s="103">
        <v>45923.577777777777</v>
      </c>
      <c r="N50" s="103">
        <v>45924.511111111111</v>
      </c>
      <c r="O50" s="56" t="s">
        <v>1253</v>
      </c>
      <c r="P50" s="56" t="s">
        <v>1254</v>
      </c>
      <c r="Q50" s="56" t="s">
        <v>1271</v>
      </c>
      <c r="R50" s="56" t="s">
        <v>1277</v>
      </c>
      <c r="S50" s="78"/>
      <c r="T50" s="78"/>
      <c r="U50" s="56" t="s">
        <v>1257</v>
      </c>
      <c r="V50" s="56" t="s">
        <v>1480</v>
      </c>
      <c r="W50" s="56" t="s">
        <v>1266</v>
      </c>
      <c r="X50" s="56" t="s">
        <v>1481</v>
      </c>
      <c r="Y50" s="56" t="s">
        <v>138</v>
      </c>
      <c r="Z50" s="56" t="s">
        <v>115</v>
      </c>
      <c r="AA50" s="56" t="s">
        <v>1482</v>
      </c>
      <c r="AB50" s="56">
        <v>1</v>
      </c>
      <c r="AC50" s="56">
        <v>0</v>
      </c>
      <c r="AD50" s="56">
        <v>0</v>
      </c>
      <c r="AE50" s="56">
        <v>0</v>
      </c>
      <c r="AF50" s="69">
        <f>IF(W50="SOPORTE_TELEFÓNICO",'BASE LIQUIDACION'!$B$10,IF(Y50="TIPO I",'BASE LIQUIDACION'!$C$3,IF(Y50="TIPO II",'BASE LIQUIDACION'!$C$4,IF(Y50="TIPO III",'BASE LIQUIDACION'!$C$5,'BASE LIQUIDACION'!$C$7))))</f>
        <v>65960.473639999997</v>
      </c>
      <c r="AG50" s="90">
        <f>IF(W50="SOPORTE_TELEFÓNICO",'BASE LIQUIDACION'!$B$10,(AB50*AF50+AC50*'BASE LIQUIDACION'!$B$12+AD50*'BASE LIQUIDACION'!$B$11+INCIDENTES!AE50*'BASE LIQUIDACION'!$B$13))</f>
        <v>65960.473639999997</v>
      </c>
    </row>
    <row r="51" spans="1:33" s="70" customFormat="1">
      <c r="A51" s="56" t="s">
        <v>165</v>
      </c>
      <c r="B51" s="56" t="str">
        <f>VLOOKUP(A51,'CENTRO DE COSTOS'!A:D,4,FALSE)</f>
        <v>JUAN SEBASTIÁN RÍOS CASTRILLÓN</v>
      </c>
      <c r="C51" s="56" t="str">
        <f>VLOOKUP(A51,'CENTRO DE COSTOS'!A:D,2,FALSE)</f>
        <v>0004-0005</v>
      </c>
      <c r="D51" s="56">
        <v>5001</v>
      </c>
      <c r="E51" s="56">
        <v>2781349</v>
      </c>
      <c r="F51" s="56">
        <v>38424</v>
      </c>
      <c r="G51" s="56" t="s">
        <v>1250</v>
      </c>
      <c r="H51" s="56" t="s">
        <v>152</v>
      </c>
      <c r="I51" s="56" t="s">
        <v>165</v>
      </c>
      <c r="J51" s="56" t="s">
        <v>1483</v>
      </c>
      <c r="K51" s="56" t="s">
        <v>107</v>
      </c>
      <c r="L51" s="56" t="s">
        <v>1484</v>
      </c>
      <c r="M51" s="103">
        <v>45923.490972222222</v>
      </c>
      <c r="N51" s="103">
        <v>45923.634722222218</v>
      </c>
      <c r="O51" s="56" t="s">
        <v>1253</v>
      </c>
      <c r="P51" s="56" t="s">
        <v>1254</v>
      </c>
      <c r="Q51" s="56" t="s">
        <v>1312</v>
      </c>
      <c r="R51" s="56" t="s">
        <v>1313</v>
      </c>
      <c r="S51" s="78"/>
      <c r="T51" s="78"/>
      <c r="U51" s="56" t="s">
        <v>1257</v>
      </c>
      <c r="V51" s="56" t="s">
        <v>1485</v>
      </c>
      <c r="W51" s="56" t="s">
        <v>1266</v>
      </c>
      <c r="X51" s="56" t="s">
        <v>1486</v>
      </c>
      <c r="Y51" s="56" t="s">
        <v>138</v>
      </c>
      <c r="Z51" s="56" t="s">
        <v>115</v>
      </c>
      <c r="AA51" s="56" t="s">
        <v>173</v>
      </c>
      <c r="AB51" s="56">
        <v>1</v>
      </c>
      <c r="AC51" s="56">
        <v>0</v>
      </c>
      <c r="AD51" s="56">
        <v>0</v>
      </c>
      <c r="AE51" s="56">
        <v>0</v>
      </c>
      <c r="AF51" s="69">
        <f>IF(W51="SOPORTE_TELEFÓNICO",'BASE LIQUIDACION'!$B$10,IF(Y51="TIPO I",'BASE LIQUIDACION'!$C$3,IF(Y51="TIPO II",'BASE LIQUIDACION'!$C$4,IF(Y51="TIPO III",'BASE LIQUIDACION'!$C$5,'BASE LIQUIDACION'!$C$7))))</f>
        <v>65960.473639999997</v>
      </c>
      <c r="AG51" s="90">
        <f>IF(W51="SOPORTE_TELEFÓNICO",'BASE LIQUIDACION'!$B$10,(AB51*AF51+AC51*'BASE LIQUIDACION'!$B$12+AD51*'BASE LIQUIDACION'!$B$11+INCIDENTES!AE51*'BASE LIQUIDACION'!$B$13))</f>
        <v>65960.473639999997</v>
      </c>
    </row>
    <row r="52" spans="1:33" s="70" customFormat="1">
      <c r="A52" s="56" t="s">
        <v>182</v>
      </c>
      <c r="B52" s="56" t="str">
        <f>VLOOKUP(A52,'CENTRO DE COSTOS'!A:D,4,FALSE)</f>
        <v>WILLIAM ASDRUBAL ROZO ROZO</v>
      </c>
      <c r="C52" s="56" t="str">
        <f>VLOOKUP(A52,'CENTRO DE COSTOS'!A:D,2,FALSE)</f>
        <v>0004-0004</v>
      </c>
      <c r="D52" s="56">
        <v>11001</v>
      </c>
      <c r="E52" s="56">
        <v>2780601</v>
      </c>
      <c r="F52" s="56">
        <v>80771</v>
      </c>
      <c r="G52" s="56" t="s">
        <v>1250</v>
      </c>
      <c r="H52" s="56" t="s">
        <v>184</v>
      </c>
      <c r="I52" s="56" t="s">
        <v>182</v>
      </c>
      <c r="J52" s="56" t="s">
        <v>1487</v>
      </c>
      <c r="K52" s="56" t="s">
        <v>107</v>
      </c>
      <c r="L52" s="56" t="s">
        <v>1488</v>
      </c>
      <c r="M52" s="103">
        <v>45923.455555555563</v>
      </c>
      <c r="N52" s="103">
        <v>45924.409722222219</v>
      </c>
      <c r="O52" s="56" t="s">
        <v>1253</v>
      </c>
      <c r="P52" s="56" t="s">
        <v>1341</v>
      </c>
      <c r="Q52" s="56" t="s">
        <v>1342</v>
      </c>
      <c r="R52" s="56" t="s">
        <v>1343</v>
      </c>
      <c r="S52" s="78"/>
      <c r="T52" s="78"/>
      <c r="U52" s="56" t="s">
        <v>1257</v>
      </c>
      <c r="V52" s="56" t="s">
        <v>1489</v>
      </c>
      <c r="W52" s="56" t="s">
        <v>1266</v>
      </c>
      <c r="X52" s="56" t="s">
        <v>1490</v>
      </c>
      <c r="Y52" s="56" t="s">
        <v>138</v>
      </c>
      <c r="Z52" s="56" t="s">
        <v>115</v>
      </c>
      <c r="AA52" s="56" t="s">
        <v>1491</v>
      </c>
      <c r="AB52" s="56">
        <v>1</v>
      </c>
      <c r="AC52" s="56">
        <v>0</v>
      </c>
      <c r="AD52" s="56">
        <v>0</v>
      </c>
      <c r="AE52" s="56">
        <v>0</v>
      </c>
      <c r="AF52" s="69">
        <f>IF(W52="SOPORTE_TELEFÓNICO",'BASE LIQUIDACION'!$B$10,IF(Y52="TIPO I",'BASE LIQUIDACION'!$C$3,IF(Y52="TIPO II",'BASE LIQUIDACION'!$C$4,IF(Y52="TIPO III",'BASE LIQUIDACION'!$C$5,'BASE LIQUIDACION'!$C$7))))</f>
        <v>65960.473639999997</v>
      </c>
      <c r="AG52" s="90">
        <f>IF(W52="SOPORTE_TELEFÓNICO",'BASE LIQUIDACION'!$B$10,(AB52*AF52+AC52*'BASE LIQUIDACION'!$B$12+AD52*'BASE LIQUIDACION'!$B$11+INCIDENTES!AE52*'BASE LIQUIDACION'!$B$13))</f>
        <v>65960.473639999997</v>
      </c>
    </row>
    <row r="53" spans="1:33" s="70" customFormat="1">
      <c r="A53" s="56" t="s">
        <v>140</v>
      </c>
      <c r="B53" s="56" t="str">
        <f>VLOOKUP(A53,'CENTRO DE COSTOS'!A:D,4,FALSE)</f>
        <v>MIGUEL JULIÁN HERNÁNDEZ GUARÍN</v>
      </c>
      <c r="C53" s="56" t="str">
        <f>VLOOKUP(A53,'CENTRO DE COSTOS'!A:D,2,FALSE)</f>
        <v>0004-0008</v>
      </c>
      <c r="D53" s="56">
        <v>68895</v>
      </c>
      <c r="E53" s="56">
        <v>2780328</v>
      </c>
      <c r="F53" s="56">
        <v>80820</v>
      </c>
      <c r="G53" s="56" t="s">
        <v>1250</v>
      </c>
      <c r="H53" s="56" t="s">
        <v>142</v>
      </c>
      <c r="I53" s="56" t="s">
        <v>1120</v>
      </c>
      <c r="J53" s="56" t="s">
        <v>1492</v>
      </c>
      <c r="K53" s="56" t="s">
        <v>107</v>
      </c>
      <c r="L53" s="56" t="s">
        <v>1493</v>
      </c>
      <c r="M53" s="103">
        <v>45923.44027777778</v>
      </c>
      <c r="N53" s="103">
        <v>45924.727777777778</v>
      </c>
      <c r="O53" s="56" t="s">
        <v>1253</v>
      </c>
      <c r="P53" s="56" t="s">
        <v>1254</v>
      </c>
      <c r="Q53" s="56" t="s">
        <v>1271</v>
      </c>
      <c r="R53" s="56" t="s">
        <v>1277</v>
      </c>
      <c r="S53" s="78"/>
      <c r="T53" s="78"/>
      <c r="U53" s="56" t="s">
        <v>1257</v>
      </c>
      <c r="V53" s="56" t="s">
        <v>1494</v>
      </c>
      <c r="W53" s="56" t="s">
        <v>1259</v>
      </c>
      <c r="X53" s="56">
        <v>0</v>
      </c>
      <c r="Y53" s="56" t="s">
        <v>212</v>
      </c>
      <c r="Z53" s="56" t="s">
        <v>115</v>
      </c>
      <c r="AA53" s="56" t="s">
        <v>1495</v>
      </c>
      <c r="AB53" s="56">
        <v>0</v>
      </c>
      <c r="AC53" s="56">
        <v>0</v>
      </c>
      <c r="AD53" s="56">
        <v>0</v>
      </c>
      <c r="AE53" s="56">
        <v>0</v>
      </c>
      <c r="AF53" s="69">
        <f>IF(W53="SOPORTE_TELEFÓNICO",'BASE LIQUIDACION'!$B$10,IF(Y53="TIPO I",'BASE LIQUIDACION'!$C$3,IF(Y53="TIPO II",'BASE LIQUIDACION'!$C$4,IF(Y53="TIPO III",'BASE LIQUIDACION'!$C$5,'BASE LIQUIDACION'!$C$7))))</f>
        <v>37904.65408</v>
      </c>
      <c r="AG53" s="90">
        <f>IF(W53="SOPORTE_TELEFÓNICO",'BASE LIQUIDACION'!$B$10,(AB53*AF53+AC53*'BASE LIQUIDACION'!$B$12+AD53*'BASE LIQUIDACION'!$B$11+INCIDENTES!AE53*'BASE LIQUIDACION'!$B$13))</f>
        <v>37904.65408</v>
      </c>
    </row>
    <row r="54" spans="1:33" s="70" customFormat="1">
      <c r="A54" s="56" t="s">
        <v>165</v>
      </c>
      <c r="B54" s="56" t="str">
        <f>VLOOKUP(A54,'CENTRO DE COSTOS'!A:D,4,FALSE)</f>
        <v>JUAN SEBASTIÁN RÍOS CASTRILLÓN</v>
      </c>
      <c r="C54" s="56" t="str">
        <f>VLOOKUP(A54,'CENTRO DE COSTOS'!A:D,2,FALSE)</f>
        <v>0004-0005</v>
      </c>
      <c r="D54" s="56">
        <v>5001</v>
      </c>
      <c r="E54" s="56">
        <v>2777679</v>
      </c>
      <c r="F54" s="56">
        <v>31129</v>
      </c>
      <c r="G54" s="56" t="s">
        <v>1250</v>
      </c>
      <c r="H54" s="56" t="s">
        <v>152</v>
      </c>
      <c r="I54" s="56" t="s">
        <v>165</v>
      </c>
      <c r="J54" s="56" t="s">
        <v>1496</v>
      </c>
      <c r="K54" s="56" t="s">
        <v>107</v>
      </c>
      <c r="L54" s="56" t="s">
        <v>1497</v>
      </c>
      <c r="M54" s="103">
        <v>45923.333333333343</v>
      </c>
      <c r="N54" s="103">
        <v>45923.538888888892</v>
      </c>
      <c r="O54" s="56" t="s">
        <v>1253</v>
      </c>
      <c r="P54" s="56" t="s">
        <v>1254</v>
      </c>
      <c r="Q54" s="56" t="s">
        <v>1348</v>
      </c>
      <c r="R54" s="56" t="s">
        <v>1277</v>
      </c>
      <c r="S54" s="78"/>
      <c r="T54" s="78"/>
      <c r="U54" s="56" t="s">
        <v>1257</v>
      </c>
      <c r="V54" s="56" t="s">
        <v>1498</v>
      </c>
      <c r="W54" s="56" t="s">
        <v>1266</v>
      </c>
      <c r="X54" s="56" t="s">
        <v>1499</v>
      </c>
      <c r="Y54" s="56" t="s">
        <v>138</v>
      </c>
      <c r="Z54" s="56" t="s">
        <v>115</v>
      </c>
      <c r="AA54" s="56" t="s">
        <v>173</v>
      </c>
      <c r="AB54" s="56">
        <v>1</v>
      </c>
      <c r="AC54" s="56">
        <v>0</v>
      </c>
      <c r="AD54" s="56">
        <v>0</v>
      </c>
      <c r="AE54" s="56">
        <v>0</v>
      </c>
      <c r="AF54" s="69">
        <f>IF(W54="SOPORTE_TELEFÓNICO",'BASE LIQUIDACION'!$B$10,IF(Y54="TIPO I",'BASE LIQUIDACION'!$C$3,IF(Y54="TIPO II",'BASE LIQUIDACION'!$C$4,IF(Y54="TIPO III",'BASE LIQUIDACION'!$C$5,'BASE LIQUIDACION'!$C$7))))</f>
        <v>65960.473639999997</v>
      </c>
      <c r="AG54" s="90">
        <f>IF(W54="SOPORTE_TELEFÓNICO",'BASE LIQUIDACION'!$B$10,(AB54*AF54+AC54*'BASE LIQUIDACION'!$B$12+AD54*'BASE LIQUIDACION'!$B$11+INCIDENTES!AE54*'BASE LIQUIDACION'!$B$13))</f>
        <v>65960.473639999997</v>
      </c>
    </row>
    <row r="55" spans="1:33" s="70" customFormat="1">
      <c r="A55" s="56" t="s">
        <v>100</v>
      </c>
      <c r="B55" s="56" t="str">
        <f>VLOOKUP(A55,'CENTRO DE COSTOS'!A:D,4,FALSE)</f>
        <v>DIEGO FERNANDO HENAO CARDONA</v>
      </c>
      <c r="C55" s="56" t="str">
        <f>VLOOKUP(A55,'CENTRO DE COSTOS'!A:D,2,FALSE)</f>
        <v>0004-0003</v>
      </c>
      <c r="D55" s="56">
        <v>52001</v>
      </c>
      <c r="E55" s="56">
        <v>2777112</v>
      </c>
      <c r="F55" s="56">
        <v>81018</v>
      </c>
      <c r="G55" s="56" t="s">
        <v>1250</v>
      </c>
      <c r="H55" s="56" t="s">
        <v>104</v>
      </c>
      <c r="I55" s="56" t="s">
        <v>100</v>
      </c>
      <c r="J55" s="56" t="s">
        <v>1500</v>
      </c>
      <c r="K55" s="56" t="s">
        <v>107</v>
      </c>
      <c r="L55" s="56" t="s">
        <v>1501</v>
      </c>
      <c r="M55" s="103">
        <v>45922.679861111108</v>
      </c>
      <c r="N55" s="103">
        <v>45923.479861111111</v>
      </c>
      <c r="O55" s="56" t="s">
        <v>1253</v>
      </c>
      <c r="P55" s="56" t="s">
        <v>1254</v>
      </c>
      <c r="Q55" s="56" t="s">
        <v>1286</v>
      </c>
      <c r="R55" s="56" t="s">
        <v>1502</v>
      </c>
      <c r="S55" s="78"/>
      <c r="T55" s="78"/>
      <c r="U55" s="56" t="s">
        <v>1257</v>
      </c>
      <c r="V55" s="56" t="s">
        <v>1503</v>
      </c>
      <c r="W55" s="56" t="s">
        <v>1266</v>
      </c>
      <c r="X55" s="56" t="s">
        <v>1504</v>
      </c>
      <c r="Y55" s="56" t="s">
        <v>138</v>
      </c>
      <c r="Z55" s="56" t="s">
        <v>115</v>
      </c>
      <c r="AA55" s="56" t="s">
        <v>1407</v>
      </c>
      <c r="AB55" s="56">
        <v>1</v>
      </c>
      <c r="AC55" s="56">
        <v>0</v>
      </c>
      <c r="AD55" s="56">
        <v>0</v>
      </c>
      <c r="AE55" s="56">
        <v>0</v>
      </c>
      <c r="AF55" s="69">
        <f>IF(W55="SOPORTE_TELEFÓNICO",'BASE LIQUIDACION'!$B$10,IF(Y55="TIPO I",'BASE LIQUIDACION'!$C$3,IF(Y55="TIPO II",'BASE LIQUIDACION'!$C$4,IF(Y55="TIPO III",'BASE LIQUIDACION'!$C$5,'BASE LIQUIDACION'!$C$7))))</f>
        <v>65960.473639999997</v>
      </c>
      <c r="AG55" s="90">
        <f>IF(W55="SOPORTE_TELEFÓNICO",'BASE LIQUIDACION'!$B$10,(AB55*AF55+AC55*'BASE LIQUIDACION'!$B$12+AD55*'BASE LIQUIDACION'!$B$11+INCIDENTES!AE55*'BASE LIQUIDACION'!$B$13))</f>
        <v>65960.473639999997</v>
      </c>
    </row>
    <row r="56" spans="1:33" s="70" customFormat="1">
      <c r="A56" s="56" t="s">
        <v>117</v>
      </c>
      <c r="B56" s="56" t="str">
        <f>VLOOKUP(A56,'CENTRO DE COSTOS'!A:D,4,FALSE)</f>
        <v>KEVIN ALEXIS CORZO BUSTOS</v>
      </c>
      <c r="C56" s="56" t="str">
        <f>VLOOKUP(A56,'CENTRO DE COSTOS'!A:D,2,FALSE)</f>
        <v>0004-0007</v>
      </c>
      <c r="D56" s="56">
        <v>41551</v>
      </c>
      <c r="E56" s="56">
        <v>2774399</v>
      </c>
      <c r="F56" s="56">
        <v>80538</v>
      </c>
      <c r="G56" s="56" t="s">
        <v>1250</v>
      </c>
      <c r="H56" s="56" t="s">
        <v>830</v>
      </c>
      <c r="I56" s="56" t="s">
        <v>852</v>
      </c>
      <c r="J56" s="56" t="s">
        <v>1339</v>
      </c>
      <c r="K56" s="56" t="s">
        <v>107</v>
      </c>
      <c r="L56" s="56" t="s">
        <v>1505</v>
      </c>
      <c r="M56" s="103">
        <v>45922.486805555563</v>
      </c>
      <c r="N56" s="103">
        <v>45924.388888888891</v>
      </c>
      <c r="O56" s="56" t="s">
        <v>1253</v>
      </c>
      <c r="P56" s="56" t="s">
        <v>1254</v>
      </c>
      <c r="Q56" s="56" t="s">
        <v>1271</v>
      </c>
      <c r="R56" s="56" t="s">
        <v>1277</v>
      </c>
      <c r="S56" s="78"/>
      <c r="T56" s="78"/>
      <c r="U56" s="56" t="s">
        <v>1257</v>
      </c>
      <c r="V56" s="56" t="s">
        <v>1506</v>
      </c>
      <c r="W56" s="56" t="s">
        <v>1266</v>
      </c>
      <c r="X56" s="56" t="s">
        <v>1507</v>
      </c>
      <c r="Y56" s="56" t="s">
        <v>212</v>
      </c>
      <c r="Z56" s="56" t="s">
        <v>115</v>
      </c>
      <c r="AA56" s="56" t="s">
        <v>1345</v>
      </c>
      <c r="AB56" s="56">
        <v>1</v>
      </c>
      <c r="AC56" s="56">
        <v>0</v>
      </c>
      <c r="AD56" s="56">
        <v>0</v>
      </c>
      <c r="AE56" s="56">
        <v>0</v>
      </c>
      <c r="AF56" s="69">
        <f>IF(W56="SOPORTE_TELEFÓNICO",'BASE LIQUIDACION'!$B$10,IF(Y56="TIPO I",'BASE LIQUIDACION'!$C$3,IF(Y56="TIPO II",'BASE LIQUIDACION'!$C$4,IF(Y56="TIPO III",'BASE LIQUIDACION'!$C$5,'BASE LIQUIDACION'!$C$7))))</f>
        <v>275728.37943999999</v>
      </c>
      <c r="AG56" s="90">
        <f>IF(W56="SOPORTE_TELEFÓNICO",'BASE LIQUIDACION'!$B$10,(AB56*AF56+AC56*'BASE LIQUIDACION'!$B$12+AD56*'BASE LIQUIDACION'!$B$11+INCIDENTES!AE56*'BASE LIQUIDACION'!$B$13))</f>
        <v>275728.37943999999</v>
      </c>
    </row>
    <row r="57" spans="1:33" s="70" customFormat="1">
      <c r="A57" s="56" t="s">
        <v>131</v>
      </c>
      <c r="B57" s="56" t="str">
        <f>VLOOKUP(A57,'CENTRO DE COSTOS'!A:D,4,FALSE)</f>
        <v>MIGUEL JULIÁN HERNÁNDEZ GUARÍN</v>
      </c>
      <c r="C57" s="56" t="str">
        <f>VLOOKUP(A57,'CENTRO DE COSTOS'!A:D,2,FALSE)</f>
        <v>0004-0008</v>
      </c>
      <c r="D57" s="56">
        <v>15176</v>
      </c>
      <c r="E57" s="56">
        <v>2772904</v>
      </c>
      <c r="F57" s="56">
        <v>81495</v>
      </c>
      <c r="G57" s="56" t="s">
        <v>1250</v>
      </c>
      <c r="H57" s="56" t="s">
        <v>133</v>
      </c>
      <c r="I57" s="56" t="s">
        <v>426</v>
      </c>
      <c r="J57" s="56" t="s">
        <v>1508</v>
      </c>
      <c r="K57" s="56" t="s">
        <v>107</v>
      </c>
      <c r="L57" s="56" t="s">
        <v>1509</v>
      </c>
      <c r="M57" s="103">
        <v>45922.398611111108</v>
      </c>
      <c r="N57" s="103">
        <v>45922.628472222219</v>
      </c>
      <c r="O57" s="56" t="s">
        <v>1253</v>
      </c>
      <c r="P57" s="56" t="s">
        <v>1254</v>
      </c>
      <c r="Q57" s="56" t="s">
        <v>1312</v>
      </c>
      <c r="R57" s="56" t="s">
        <v>1313</v>
      </c>
      <c r="S57" s="78"/>
      <c r="T57" s="78"/>
      <c r="U57" s="56" t="s">
        <v>1257</v>
      </c>
      <c r="V57" s="56" t="s">
        <v>1510</v>
      </c>
      <c r="W57" s="56" t="s">
        <v>1266</v>
      </c>
      <c r="X57" s="56" t="s">
        <v>1511</v>
      </c>
      <c r="Y57" s="56" t="s">
        <v>212</v>
      </c>
      <c r="Z57" s="56" t="s">
        <v>115</v>
      </c>
      <c r="AA57" s="56" t="s">
        <v>1300</v>
      </c>
      <c r="AB57" s="56">
        <v>1</v>
      </c>
      <c r="AC57" s="56">
        <v>0</v>
      </c>
      <c r="AD57" s="56">
        <v>0</v>
      </c>
      <c r="AE57" s="56">
        <v>0</v>
      </c>
      <c r="AF57" s="69">
        <f>IF(W57="SOPORTE_TELEFÓNICO",'BASE LIQUIDACION'!$B$10,IF(Y57="TIPO I",'BASE LIQUIDACION'!$C$3,IF(Y57="TIPO II",'BASE LIQUIDACION'!$C$4,IF(Y57="TIPO III",'BASE LIQUIDACION'!$C$5,'BASE LIQUIDACION'!$C$7))))</f>
        <v>275728.37943999999</v>
      </c>
      <c r="AG57" s="90">
        <f>IF(W57="SOPORTE_TELEFÓNICO",'BASE LIQUIDACION'!$B$10,(AB57*AF57+AC57*'BASE LIQUIDACION'!$B$12+AD57*'BASE LIQUIDACION'!$B$11+INCIDENTES!AE57*'BASE LIQUIDACION'!$B$13))</f>
        <v>275728.37943999999</v>
      </c>
    </row>
    <row r="58" spans="1:33" s="70" customFormat="1">
      <c r="A58" s="56" t="s">
        <v>182</v>
      </c>
      <c r="B58" s="56" t="str">
        <f>VLOOKUP(A58,'CENTRO DE COSTOS'!A:D,4,FALSE)</f>
        <v>WILLIAM ASDRUBAL ROZO ROZO</v>
      </c>
      <c r="C58" s="56" t="str">
        <f>VLOOKUP(A58,'CENTRO DE COSTOS'!A:D,2,FALSE)</f>
        <v>0004-0004</v>
      </c>
      <c r="D58" s="56">
        <v>99001</v>
      </c>
      <c r="E58" s="56">
        <v>2772350</v>
      </c>
      <c r="F58" s="56">
        <v>37352</v>
      </c>
      <c r="G58" s="56" t="s">
        <v>1250</v>
      </c>
      <c r="H58" s="56" t="s">
        <v>1232</v>
      </c>
      <c r="I58" s="56" t="s">
        <v>1234</v>
      </c>
      <c r="J58" s="56" t="s">
        <v>1512</v>
      </c>
      <c r="K58" s="56" t="s">
        <v>107</v>
      </c>
      <c r="L58" s="56" t="s">
        <v>1513</v>
      </c>
      <c r="M58" s="103">
        <v>45922.382638888892</v>
      </c>
      <c r="N58" s="103">
        <v>45922.552083333343</v>
      </c>
      <c r="O58" s="56" t="s">
        <v>1253</v>
      </c>
      <c r="P58" s="56" t="s">
        <v>1254</v>
      </c>
      <c r="Q58" s="56" t="s">
        <v>1271</v>
      </c>
      <c r="R58" s="56" t="s">
        <v>1272</v>
      </c>
      <c r="S58" s="78"/>
      <c r="T58" s="78"/>
      <c r="U58" s="56" t="s">
        <v>1257</v>
      </c>
      <c r="V58" s="56" t="s">
        <v>1514</v>
      </c>
      <c r="W58" s="56" t="s">
        <v>1259</v>
      </c>
      <c r="X58" s="56">
        <v>0</v>
      </c>
      <c r="Y58" s="56" t="s">
        <v>128</v>
      </c>
      <c r="Z58" s="56" t="s">
        <v>197</v>
      </c>
      <c r="AA58" s="56" t="s">
        <v>1515</v>
      </c>
      <c r="AB58" s="56">
        <v>0</v>
      </c>
      <c r="AC58" s="56">
        <v>0</v>
      </c>
      <c r="AD58" s="56">
        <v>0</v>
      </c>
      <c r="AE58" s="56">
        <v>0</v>
      </c>
      <c r="AF58" s="69">
        <f>IF(W58="SOPORTE_TELEFÓNICO",'BASE LIQUIDACION'!$B$10,IF(Y58="TIPO I",'BASE LIQUIDACION'!$C$3,IF(Y58="TIPO II",'BASE LIQUIDACION'!$C$4,IF(Y58="TIPO III",'BASE LIQUIDACION'!$C$5,'BASE LIQUIDACION'!$C$7))))</f>
        <v>37904.65408</v>
      </c>
      <c r="AG58" s="90">
        <f>IF(W58="SOPORTE_TELEFÓNICO",'BASE LIQUIDACION'!$B$10,(AB58*AF58+AC58*'BASE LIQUIDACION'!$B$12+AD58*'BASE LIQUIDACION'!$B$11+INCIDENTES!AE58*'BASE LIQUIDACION'!$B$13))</f>
        <v>37904.65408</v>
      </c>
    </row>
    <row r="59" spans="1:33" s="70" customFormat="1" ht="15" customHeight="1">
      <c r="A59" s="56" t="s">
        <v>174</v>
      </c>
      <c r="B59" s="56" t="str">
        <f>VLOOKUP(A59,'CENTRO DE COSTOS'!A:D,4,FALSE)</f>
        <v>KEVIN ALEXIS CORZO BUSTOS</v>
      </c>
      <c r="C59" s="56" t="str">
        <f>VLOOKUP(A59,'CENTRO DE COSTOS'!A:D,2,FALSE)</f>
        <v>0004-0007</v>
      </c>
      <c r="D59" s="56">
        <v>50573</v>
      </c>
      <c r="E59" s="56">
        <v>2772221</v>
      </c>
      <c r="F59" s="56">
        <v>80563</v>
      </c>
      <c r="G59" s="56" t="s">
        <v>1250</v>
      </c>
      <c r="H59" s="56" t="s">
        <v>176</v>
      </c>
      <c r="I59" s="56" t="s">
        <v>923</v>
      </c>
      <c r="J59" s="56" t="s">
        <v>1516</v>
      </c>
      <c r="K59" s="56" t="s">
        <v>107</v>
      </c>
      <c r="L59" s="56" t="s">
        <v>1517</v>
      </c>
      <c r="M59" s="103">
        <v>45922.375694444447</v>
      </c>
      <c r="N59" s="103">
        <v>45923.424305555563</v>
      </c>
      <c r="O59" s="56" t="s">
        <v>1253</v>
      </c>
      <c r="P59" s="56" t="s">
        <v>1254</v>
      </c>
      <c r="Q59" s="56" t="s">
        <v>1263</v>
      </c>
      <c r="R59" s="56" t="s">
        <v>1264</v>
      </c>
      <c r="S59" s="78"/>
      <c r="T59" s="78"/>
      <c r="U59" s="56" t="s">
        <v>1257</v>
      </c>
      <c r="V59" s="56" t="s">
        <v>1518</v>
      </c>
      <c r="W59" s="56" t="s">
        <v>1259</v>
      </c>
      <c r="X59" s="56">
        <v>0</v>
      </c>
      <c r="Y59" s="56" t="s">
        <v>114</v>
      </c>
      <c r="Z59" s="56" t="s">
        <v>115</v>
      </c>
      <c r="AA59" s="56" t="s">
        <v>181</v>
      </c>
      <c r="AB59" s="56">
        <v>0</v>
      </c>
      <c r="AC59" s="56">
        <v>0</v>
      </c>
      <c r="AD59" s="56">
        <v>0</v>
      </c>
      <c r="AE59" s="56">
        <v>0</v>
      </c>
      <c r="AF59" s="69">
        <f>IF(W59="SOPORTE_TELEFÓNICO",'BASE LIQUIDACION'!$B$10,IF(Y59="TIPO I",'BASE LIQUIDACION'!$C$3,IF(Y59="TIPO II",'BASE LIQUIDACION'!$C$4,IF(Y59="TIPO III",'BASE LIQUIDACION'!$C$5,'BASE LIQUIDACION'!$C$7))))</f>
        <v>37904.65408</v>
      </c>
      <c r="AG59" s="90">
        <f>IF(W59="SOPORTE_TELEFÓNICO",'BASE LIQUIDACION'!$B$10,(AB59*AF59+AC59*'BASE LIQUIDACION'!$B$12+AD59*'BASE LIQUIDACION'!$B$11+INCIDENTES!AE59*'BASE LIQUIDACION'!$B$13))</f>
        <v>37904.65408</v>
      </c>
    </row>
    <row r="60" spans="1:33" s="70" customFormat="1">
      <c r="A60" s="56" t="s">
        <v>589</v>
      </c>
      <c r="B60" s="56" t="str">
        <f>VLOOKUP(A60,'CENTRO DE COSTOS'!A:D,4,FALSE)</f>
        <v>DIEGO FERNANDO HENAO CARDONA</v>
      </c>
      <c r="C60" s="56" t="str">
        <f>VLOOKUP(A60,'CENTRO DE COSTOS'!A:D,2,FALSE)</f>
        <v>0004-0003</v>
      </c>
      <c r="D60" s="56">
        <v>76001</v>
      </c>
      <c r="E60" s="56">
        <v>2772022</v>
      </c>
      <c r="F60" s="56">
        <v>20915</v>
      </c>
      <c r="G60" s="56" t="s">
        <v>1250</v>
      </c>
      <c r="H60" s="56" t="s">
        <v>1189</v>
      </c>
      <c r="I60" s="56" t="s">
        <v>589</v>
      </c>
      <c r="J60" s="56" t="s">
        <v>1519</v>
      </c>
      <c r="K60" s="56" t="s">
        <v>107</v>
      </c>
      <c r="L60" s="56" t="s">
        <v>1520</v>
      </c>
      <c r="M60" s="103">
        <v>45922.370833333327</v>
      </c>
      <c r="N60" s="103">
        <v>45923.330555555563</v>
      </c>
      <c r="O60" s="56" t="s">
        <v>1253</v>
      </c>
      <c r="P60" s="56" t="s">
        <v>1254</v>
      </c>
      <c r="Q60" s="56" t="s">
        <v>1286</v>
      </c>
      <c r="R60" s="56" t="s">
        <v>1287</v>
      </c>
      <c r="S60" s="78"/>
      <c r="T60" s="78"/>
      <c r="U60" s="56" t="s">
        <v>1257</v>
      </c>
      <c r="V60" s="56" t="s">
        <v>1521</v>
      </c>
      <c r="W60" s="56" t="s">
        <v>1259</v>
      </c>
      <c r="X60" s="56">
        <v>0</v>
      </c>
      <c r="Y60" s="56" t="s">
        <v>138</v>
      </c>
      <c r="Z60" s="56" t="s">
        <v>115</v>
      </c>
      <c r="AA60" s="56" t="s">
        <v>1260</v>
      </c>
      <c r="AB60" s="56">
        <v>0</v>
      </c>
      <c r="AC60" s="56">
        <v>0</v>
      </c>
      <c r="AD60" s="56">
        <v>0</v>
      </c>
      <c r="AE60" s="56">
        <v>0</v>
      </c>
      <c r="AF60" s="69">
        <f>IF(W60="SOPORTE_TELEFÓNICO",'BASE LIQUIDACION'!$B$10,IF(Y60="TIPO I",'BASE LIQUIDACION'!$C$3,IF(Y60="TIPO II",'BASE LIQUIDACION'!$C$4,IF(Y60="TIPO III",'BASE LIQUIDACION'!$C$5,'BASE LIQUIDACION'!$C$7))))</f>
        <v>37904.65408</v>
      </c>
      <c r="AG60" s="90">
        <f>IF(W60="SOPORTE_TELEFÓNICO",'BASE LIQUIDACION'!$B$10,(AB60*AF60+AC60*'BASE LIQUIDACION'!$B$12+AD60*'BASE LIQUIDACION'!$B$11+INCIDENTES!AE60*'BASE LIQUIDACION'!$B$13))</f>
        <v>37904.65408</v>
      </c>
    </row>
    <row r="61" spans="1:33" s="70" customFormat="1">
      <c r="A61" s="56" t="s">
        <v>174</v>
      </c>
      <c r="B61" s="56" t="str">
        <f>VLOOKUP(A61,'CENTRO DE COSTOS'!A:D,4,FALSE)</f>
        <v>KEVIN ALEXIS CORZO BUSTOS</v>
      </c>
      <c r="C61" s="56" t="str">
        <f>VLOOKUP(A61,'CENTRO DE COSTOS'!A:D,2,FALSE)</f>
        <v>0004-0007</v>
      </c>
      <c r="D61" s="56">
        <v>50223</v>
      </c>
      <c r="E61" s="56">
        <v>2771842</v>
      </c>
      <c r="F61" s="56">
        <v>80364</v>
      </c>
      <c r="G61" s="56" t="s">
        <v>1250</v>
      </c>
      <c r="H61" s="56" t="s">
        <v>176</v>
      </c>
      <c r="I61" s="56" t="s">
        <v>910</v>
      </c>
      <c r="J61" s="56" t="s">
        <v>1522</v>
      </c>
      <c r="K61" s="56" t="s">
        <v>107</v>
      </c>
      <c r="L61" s="56" t="s">
        <v>1523</v>
      </c>
      <c r="M61" s="103">
        <v>45922.36041666667</v>
      </c>
      <c r="N61" s="103">
        <v>45923.567361111112</v>
      </c>
      <c r="O61" s="56" t="s">
        <v>1253</v>
      </c>
      <c r="P61" s="56" t="s">
        <v>1254</v>
      </c>
      <c r="Q61" s="56" t="s">
        <v>1255</v>
      </c>
      <c r="R61" s="56" t="s">
        <v>1524</v>
      </c>
      <c r="S61" s="78"/>
      <c r="T61" s="78"/>
      <c r="U61" s="56" t="s">
        <v>1257</v>
      </c>
      <c r="V61" s="56" t="s">
        <v>1525</v>
      </c>
      <c r="W61" s="56" t="s">
        <v>1266</v>
      </c>
      <c r="X61" s="56" t="s">
        <v>1526</v>
      </c>
      <c r="Y61" s="56" t="s">
        <v>114</v>
      </c>
      <c r="Z61" s="56" t="s">
        <v>115</v>
      </c>
      <c r="AA61" s="56" t="s">
        <v>181</v>
      </c>
      <c r="AB61" s="56">
        <v>1</v>
      </c>
      <c r="AC61" s="56">
        <v>0</v>
      </c>
      <c r="AD61" s="56">
        <v>0</v>
      </c>
      <c r="AE61" s="56">
        <v>0</v>
      </c>
      <c r="AF61" s="69">
        <f>IF(W61="SOPORTE_TELEFÓNICO",'BASE LIQUIDACION'!$B$10,IF(Y61="TIPO I",'BASE LIQUIDACION'!$C$3,IF(Y61="TIPO II",'BASE LIQUIDACION'!$C$4,IF(Y61="TIPO III",'BASE LIQUIDACION'!$C$5,'BASE LIQUIDACION'!$C$7))))</f>
        <v>163813.55812</v>
      </c>
      <c r="AG61" s="90">
        <f>IF(W61="SOPORTE_TELEFÓNICO",'BASE LIQUIDACION'!$B$10,(AB61*AF61+AC61*'BASE LIQUIDACION'!$B$12+AD61*'BASE LIQUIDACION'!$B$11+INCIDENTES!AE61*'BASE LIQUIDACION'!$B$13))</f>
        <v>163813.55812</v>
      </c>
    </row>
    <row r="62" spans="1:33" s="70" customFormat="1">
      <c r="A62" s="56" t="s">
        <v>117</v>
      </c>
      <c r="B62" s="56" t="str">
        <f>VLOOKUP(A62,'CENTRO DE COSTOS'!A:D,4,FALSE)</f>
        <v>KEVIN ALEXIS CORZO BUSTOS</v>
      </c>
      <c r="C62" s="56" t="str">
        <f>VLOOKUP(A62,'CENTRO DE COSTOS'!A:D,2,FALSE)</f>
        <v>0004-0007</v>
      </c>
      <c r="D62" s="56">
        <v>41001</v>
      </c>
      <c r="E62" s="56">
        <v>2771670</v>
      </c>
      <c r="F62" s="56">
        <v>80614</v>
      </c>
      <c r="G62" s="56" t="s">
        <v>1250</v>
      </c>
      <c r="H62" s="56" t="s">
        <v>830</v>
      </c>
      <c r="I62" s="56" t="s">
        <v>117</v>
      </c>
      <c r="J62" s="56" t="s">
        <v>1527</v>
      </c>
      <c r="K62" s="56" t="s">
        <v>107</v>
      </c>
      <c r="L62" s="56" t="s">
        <v>1528</v>
      </c>
      <c r="M62" s="103">
        <v>45922.359027777777</v>
      </c>
      <c r="N62" s="103">
        <v>45922.644444444442</v>
      </c>
      <c r="O62" s="56" t="s">
        <v>1253</v>
      </c>
      <c r="P62" s="56" t="s">
        <v>1254</v>
      </c>
      <c r="Q62" s="56" t="s">
        <v>1286</v>
      </c>
      <c r="R62" s="56" t="s">
        <v>1287</v>
      </c>
      <c r="S62" s="78"/>
      <c r="T62" s="78"/>
      <c r="U62" s="56" t="s">
        <v>1257</v>
      </c>
      <c r="V62" s="56" t="s">
        <v>1529</v>
      </c>
      <c r="W62" s="56" t="s">
        <v>1266</v>
      </c>
      <c r="X62" s="56" t="s">
        <v>1530</v>
      </c>
      <c r="Y62" s="56" t="s">
        <v>138</v>
      </c>
      <c r="Z62" s="56" t="s">
        <v>115</v>
      </c>
      <c r="AA62" s="56" t="s">
        <v>1345</v>
      </c>
      <c r="AB62" s="56">
        <v>1</v>
      </c>
      <c r="AC62" s="56">
        <v>0</v>
      </c>
      <c r="AD62" s="56">
        <v>0</v>
      </c>
      <c r="AE62" s="56">
        <v>0</v>
      </c>
      <c r="AF62" s="69">
        <f>IF(W62="SOPORTE_TELEFÓNICO",'BASE LIQUIDACION'!$B$10,IF(Y62="TIPO I",'BASE LIQUIDACION'!$C$3,IF(Y62="TIPO II",'BASE LIQUIDACION'!$C$4,IF(Y62="TIPO III",'BASE LIQUIDACION'!$C$5,'BASE LIQUIDACION'!$C$7))))</f>
        <v>65960.473639999997</v>
      </c>
      <c r="AG62" s="90">
        <f>IF(W62="SOPORTE_TELEFÓNICO",'BASE LIQUIDACION'!$B$10,(AB62*AF62+AC62*'BASE LIQUIDACION'!$B$12+AD62*'BASE LIQUIDACION'!$B$11+INCIDENTES!AE62*'BASE LIQUIDACION'!$B$13))</f>
        <v>65960.473639999997</v>
      </c>
    </row>
    <row r="63" spans="1:33" s="70" customFormat="1">
      <c r="A63" s="56" t="s">
        <v>165</v>
      </c>
      <c r="B63" s="56" t="str">
        <f>VLOOKUP(A63,'CENTRO DE COSTOS'!A:D,4,FALSE)</f>
        <v>JUAN SEBASTIÁN RÍOS CASTRILLÓN</v>
      </c>
      <c r="C63" s="56" t="str">
        <f>VLOOKUP(A63,'CENTRO DE COSTOS'!A:D,2,FALSE)</f>
        <v>0004-0005</v>
      </c>
      <c r="D63" s="56">
        <v>5679</v>
      </c>
      <c r="E63" s="56">
        <v>2771714</v>
      </c>
      <c r="F63" s="56">
        <v>37908</v>
      </c>
      <c r="G63" s="56" t="s">
        <v>1250</v>
      </c>
      <c r="H63" s="56" t="s">
        <v>152</v>
      </c>
      <c r="I63" s="56" t="s">
        <v>227</v>
      </c>
      <c r="J63" s="56" t="s">
        <v>1531</v>
      </c>
      <c r="K63" s="56" t="s">
        <v>107</v>
      </c>
      <c r="L63" s="56" t="s">
        <v>1532</v>
      </c>
      <c r="M63" s="103">
        <v>45922.34375</v>
      </c>
      <c r="N63" s="103">
        <v>45923.423611111109</v>
      </c>
      <c r="O63" s="56" t="s">
        <v>1253</v>
      </c>
      <c r="P63" s="56" t="s">
        <v>1254</v>
      </c>
      <c r="Q63" s="56" t="s">
        <v>1255</v>
      </c>
      <c r="R63" s="56" t="s">
        <v>1395</v>
      </c>
      <c r="S63" s="78"/>
      <c r="T63" s="78"/>
      <c r="U63" s="56" t="s">
        <v>1257</v>
      </c>
      <c r="V63" s="56" t="s">
        <v>1533</v>
      </c>
      <c r="W63" s="56" t="s">
        <v>1259</v>
      </c>
      <c r="X63" s="56">
        <v>0</v>
      </c>
      <c r="Y63" s="56" t="s">
        <v>114</v>
      </c>
      <c r="Z63" s="56" t="s">
        <v>115</v>
      </c>
      <c r="AA63" s="56" t="s">
        <v>1474</v>
      </c>
      <c r="AB63" s="56">
        <v>0</v>
      </c>
      <c r="AC63" s="56">
        <v>0</v>
      </c>
      <c r="AD63" s="56">
        <v>0</v>
      </c>
      <c r="AE63" s="56">
        <v>0</v>
      </c>
      <c r="AF63" s="69">
        <f>IF(W63="SOPORTE_TELEFÓNICO",'BASE LIQUIDACION'!$B$10,IF(Y63="TIPO I",'BASE LIQUIDACION'!$C$3,IF(Y63="TIPO II",'BASE LIQUIDACION'!$C$4,IF(Y63="TIPO III",'BASE LIQUIDACION'!$C$5,'BASE LIQUIDACION'!$C$7))))</f>
        <v>37904.65408</v>
      </c>
      <c r="AG63" s="90">
        <f>IF(W63="SOPORTE_TELEFÓNICO",'BASE LIQUIDACION'!$B$10,(AB63*AF63+AC63*'BASE LIQUIDACION'!$B$12+AD63*'BASE LIQUIDACION'!$B$11+INCIDENTES!AE63*'BASE LIQUIDACION'!$B$13))</f>
        <v>37904.65408</v>
      </c>
    </row>
    <row r="64" spans="1:33" s="70" customFormat="1">
      <c r="A64" s="56" t="s">
        <v>182</v>
      </c>
      <c r="B64" s="56" t="str">
        <f>VLOOKUP(A64,'CENTRO DE COSTOS'!A:D,4,FALSE)</f>
        <v>WILLIAM ASDRUBAL ROZO ROZO</v>
      </c>
      <c r="C64" s="56" t="str">
        <f>VLOOKUP(A64,'CENTRO DE COSTOS'!A:D,2,FALSE)</f>
        <v>0004-0004</v>
      </c>
      <c r="D64" s="56">
        <v>25286</v>
      </c>
      <c r="E64" s="56">
        <v>2770696</v>
      </c>
      <c r="F64" s="56">
        <v>79847</v>
      </c>
      <c r="G64" s="56" t="s">
        <v>1250</v>
      </c>
      <c r="H64" s="56" t="s">
        <v>184</v>
      </c>
      <c r="I64" s="56" t="s">
        <v>740</v>
      </c>
      <c r="J64" s="56" t="s">
        <v>1534</v>
      </c>
      <c r="K64" s="56" t="s">
        <v>107</v>
      </c>
      <c r="L64" s="56" t="s">
        <v>1535</v>
      </c>
      <c r="M64" s="103">
        <v>45921.571527777778</v>
      </c>
      <c r="N64" s="103">
        <v>45922.65</v>
      </c>
      <c r="O64" s="56" t="s">
        <v>1253</v>
      </c>
      <c r="P64" s="56" t="s">
        <v>1254</v>
      </c>
      <c r="Q64" s="56" t="s">
        <v>1263</v>
      </c>
      <c r="R64" s="56" t="s">
        <v>1264</v>
      </c>
      <c r="S64" s="78"/>
      <c r="T64" s="78"/>
      <c r="U64" s="56" t="s">
        <v>1257</v>
      </c>
      <c r="V64" s="56" t="s">
        <v>1536</v>
      </c>
      <c r="W64" s="56" t="s">
        <v>1259</v>
      </c>
      <c r="X64" s="56">
        <v>0</v>
      </c>
      <c r="Y64" s="56" t="s">
        <v>114</v>
      </c>
      <c r="Z64" s="56" t="s">
        <v>115</v>
      </c>
      <c r="AA64" s="56" t="s">
        <v>1537</v>
      </c>
      <c r="AB64" s="56">
        <v>0</v>
      </c>
      <c r="AC64" s="56">
        <v>0</v>
      </c>
      <c r="AD64" s="56">
        <v>0</v>
      </c>
      <c r="AE64" s="56">
        <v>0</v>
      </c>
      <c r="AF64" s="69">
        <f>IF(W64="SOPORTE_TELEFÓNICO",'BASE LIQUIDACION'!$B$10,IF(Y64="TIPO I",'BASE LIQUIDACION'!$C$3,IF(Y64="TIPO II",'BASE LIQUIDACION'!$C$4,IF(Y64="TIPO III",'BASE LIQUIDACION'!$C$5,'BASE LIQUIDACION'!$C$7))))</f>
        <v>37904.65408</v>
      </c>
      <c r="AG64" s="90">
        <f>IF(W64="SOPORTE_TELEFÓNICO",'BASE LIQUIDACION'!$B$10,(AB64*AF64+AC64*'BASE LIQUIDACION'!$B$12+AD64*'BASE LIQUIDACION'!$B$11+INCIDENTES!AE64*'BASE LIQUIDACION'!$B$13))</f>
        <v>37904.65408</v>
      </c>
    </row>
    <row r="65" spans="1:33" s="70" customFormat="1">
      <c r="A65" s="56" t="s">
        <v>165</v>
      </c>
      <c r="B65" s="56" t="str">
        <f>VLOOKUP(A65,'CENTRO DE COSTOS'!A:D,4,FALSE)</f>
        <v>JUAN SEBASTIÁN RÍOS CASTRILLÓN</v>
      </c>
      <c r="C65" s="56" t="str">
        <f>VLOOKUP(A65,'CENTRO DE COSTOS'!A:D,2,FALSE)</f>
        <v>0004-0005</v>
      </c>
      <c r="D65" s="56">
        <v>5001</v>
      </c>
      <c r="E65" s="56">
        <v>2770660</v>
      </c>
      <c r="F65" s="56">
        <v>74979</v>
      </c>
      <c r="G65" s="56" t="s">
        <v>1250</v>
      </c>
      <c r="H65" s="56" t="s">
        <v>152</v>
      </c>
      <c r="I65" s="56" t="s">
        <v>165</v>
      </c>
      <c r="J65" s="56" t="s">
        <v>1538</v>
      </c>
      <c r="K65" s="56" t="s">
        <v>107</v>
      </c>
      <c r="L65" s="56" t="s">
        <v>1539</v>
      </c>
      <c r="M65" s="103">
        <v>45921.461111111108</v>
      </c>
      <c r="N65" s="103">
        <v>45922.38958333333</v>
      </c>
      <c r="O65" s="56" t="s">
        <v>1253</v>
      </c>
      <c r="P65" s="56" t="s">
        <v>1254</v>
      </c>
      <c r="Q65" s="56" t="s">
        <v>1271</v>
      </c>
      <c r="R65" s="56" t="s">
        <v>1277</v>
      </c>
      <c r="S65" s="78"/>
      <c r="T65" s="78"/>
      <c r="U65" s="56" t="s">
        <v>1257</v>
      </c>
      <c r="V65" s="56" t="s">
        <v>1540</v>
      </c>
      <c r="W65" s="56" t="s">
        <v>1259</v>
      </c>
      <c r="X65" s="56">
        <v>0</v>
      </c>
      <c r="Y65" s="56" t="s">
        <v>138</v>
      </c>
      <c r="Z65" s="56" t="s">
        <v>115</v>
      </c>
      <c r="AA65" s="56" t="s">
        <v>1315</v>
      </c>
      <c r="AB65" s="56">
        <v>0</v>
      </c>
      <c r="AC65" s="56">
        <v>0</v>
      </c>
      <c r="AD65" s="56">
        <v>0</v>
      </c>
      <c r="AE65" s="56">
        <v>0</v>
      </c>
      <c r="AF65" s="69">
        <f>IF(W65="SOPORTE_TELEFÓNICO",'BASE LIQUIDACION'!$B$10,IF(Y65="TIPO I",'BASE LIQUIDACION'!$C$3,IF(Y65="TIPO II",'BASE LIQUIDACION'!$C$4,IF(Y65="TIPO III",'BASE LIQUIDACION'!$C$5,'BASE LIQUIDACION'!$C$7))))</f>
        <v>37904.65408</v>
      </c>
      <c r="AG65" s="90">
        <f>IF(W65="SOPORTE_TELEFÓNICO",'BASE LIQUIDACION'!$B$10,(AB65*AF65+AC65*'BASE LIQUIDACION'!$B$12+AD65*'BASE LIQUIDACION'!$B$11+INCIDENTES!AE65*'BASE LIQUIDACION'!$B$13))</f>
        <v>37904.65408</v>
      </c>
    </row>
    <row r="66" spans="1:33" s="70" customFormat="1">
      <c r="A66" s="56" t="s">
        <v>340</v>
      </c>
      <c r="B66" s="56" t="str">
        <f>VLOOKUP(A66,'CENTRO DE COSTOS'!A:D,4,FALSE)</f>
        <v>JOSE MAURICIO HERNANDEZ ROJAS</v>
      </c>
      <c r="C66" s="56" t="str">
        <f>VLOOKUP(A66,'CENTRO DE COSTOS'!A:D,2,FALSE)</f>
        <v>0004-0001</v>
      </c>
      <c r="D66" s="56">
        <v>8001</v>
      </c>
      <c r="E66" s="56">
        <v>2769611</v>
      </c>
      <c r="F66" s="56">
        <v>45896</v>
      </c>
      <c r="G66" s="56" t="s">
        <v>1250</v>
      </c>
      <c r="H66" s="56" t="s">
        <v>339</v>
      </c>
      <c r="I66" s="56" t="s">
        <v>340</v>
      </c>
      <c r="J66" s="56" t="s">
        <v>1541</v>
      </c>
      <c r="K66" s="56" t="s">
        <v>107</v>
      </c>
      <c r="L66" s="56" t="s">
        <v>1542</v>
      </c>
      <c r="M66" s="103">
        <v>45920.414583333331</v>
      </c>
      <c r="N66" s="103">
        <v>45920.589583333327</v>
      </c>
      <c r="O66" s="56" t="s">
        <v>1253</v>
      </c>
      <c r="P66" s="56" t="s">
        <v>1254</v>
      </c>
      <c r="Q66" s="56" t="s">
        <v>1271</v>
      </c>
      <c r="R66" s="56" t="s">
        <v>1277</v>
      </c>
      <c r="S66" s="78"/>
      <c r="T66" s="78"/>
      <c r="U66" s="56" t="s">
        <v>1257</v>
      </c>
      <c r="V66" s="56" t="s">
        <v>1543</v>
      </c>
      <c r="W66" s="56" t="s">
        <v>1259</v>
      </c>
      <c r="X66" s="56">
        <v>0</v>
      </c>
      <c r="Y66" s="56" t="s">
        <v>138</v>
      </c>
      <c r="Z66" s="56" t="s">
        <v>115</v>
      </c>
      <c r="AA66" s="56" t="s">
        <v>1544</v>
      </c>
      <c r="AB66" s="56">
        <v>0</v>
      </c>
      <c r="AC66" s="56">
        <v>0</v>
      </c>
      <c r="AD66" s="56">
        <v>0</v>
      </c>
      <c r="AE66" s="56">
        <v>0</v>
      </c>
      <c r="AF66" s="69">
        <f>IF(W66="SOPORTE_TELEFÓNICO",'BASE LIQUIDACION'!$B$10,IF(Y66="TIPO I",'BASE LIQUIDACION'!$C$3,IF(Y66="TIPO II",'BASE LIQUIDACION'!$C$4,IF(Y66="TIPO III",'BASE LIQUIDACION'!$C$5,'BASE LIQUIDACION'!$C$7))))</f>
        <v>37904.65408</v>
      </c>
      <c r="AG66" s="90">
        <f>IF(W66="SOPORTE_TELEFÓNICO",'BASE LIQUIDACION'!$B$10,(AB66*AF66+AC66*'BASE LIQUIDACION'!$B$12+AD66*'BASE LIQUIDACION'!$B$11+INCIDENTES!AE66*'BASE LIQUIDACION'!$B$13))</f>
        <v>37904.65408</v>
      </c>
    </row>
    <row r="67" spans="1:33" s="70" customFormat="1">
      <c r="A67" s="56" t="s">
        <v>340</v>
      </c>
      <c r="B67" s="56" t="str">
        <f>VLOOKUP(A67,'CENTRO DE COSTOS'!A:D,4,FALSE)</f>
        <v>JOSE MAURICIO HERNANDEZ ROJAS</v>
      </c>
      <c r="C67" s="56" t="str">
        <f>VLOOKUP(A67,'CENTRO DE COSTOS'!A:D,2,FALSE)</f>
        <v>0004-0001</v>
      </c>
      <c r="D67" s="56">
        <v>8296</v>
      </c>
      <c r="E67" s="56">
        <v>2768866</v>
      </c>
      <c r="F67" s="56">
        <v>49496</v>
      </c>
      <c r="G67" s="56" t="s">
        <v>1250</v>
      </c>
      <c r="H67" s="56" t="s">
        <v>339</v>
      </c>
      <c r="I67" s="56" t="s">
        <v>344</v>
      </c>
      <c r="J67" s="56" t="s">
        <v>1545</v>
      </c>
      <c r="K67" s="56" t="s">
        <v>107</v>
      </c>
      <c r="L67" s="56" t="s">
        <v>1546</v>
      </c>
      <c r="M67" s="103">
        <v>45920.333333333343</v>
      </c>
      <c r="N67" s="103">
        <v>45920.574999999997</v>
      </c>
      <c r="O67" s="56" t="s">
        <v>1253</v>
      </c>
      <c r="P67" s="56" t="s">
        <v>1254</v>
      </c>
      <c r="Q67" s="56" t="s">
        <v>1271</v>
      </c>
      <c r="R67" s="56" t="s">
        <v>1277</v>
      </c>
      <c r="S67" s="78"/>
      <c r="T67" s="78"/>
      <c r="U67" s="56" t="s">
        <v>1257</v>
      </c>
      <c r="V67" s="56" t="s">
        <v>1547</v>
      </c>
      <c r="W67" s="56" t="s">
        <v>1266</v>
      </c>
      <c r="X67" s="56" t="s">
        <v>1548</v>
      </c>
      <c r="Y67" s="56" t="s">
        <v>138</v>
      </c>
      <c r="Z67" s="56" t="s">
        <v>115</v>
      </c>
      <c r="AA67" s="56" t="s">
        <v>1323</v>
      </c>
      <c r="AB67" s="56">
        <v>1</v>
      </c>
      <c r="AC67" s="56">
        <v>0</v>
      </c>
      <c r="AD67" s="56">
        <v>0</v>
      </c>
      <c r="AE67" s="56">
        <v>0</v>
      </c>
      <c r="AF67" s="69">
        <f>IF(W67="SOPORTE_TELEFÓNICO",'BASE LIQUIDACION'!$B$10,IF(Y67="TIPO I",'BASE LIQUIDACION'!$C$3,IF(Y67="TIPO II",'BASE LIQUIDACION'!$C$4,IF(Y67="TIPO III",'BASE LIQUIDACION'!$C$5,'BASE LIQUIDACION'!$C$7))))</f>
        <v>65960.473639999997</v>
      </c>
      <c r="AG67" s="90">
        <f>IF(W67="SOPORTE_TELEFÓNICO",'BASE LIQUIDACION'!$B$10,(AB67*AF67+AC67*'BASE LIQUIDACION'!$B$12+AD67*'BASE LIQUIDACION'!$B$11+INCIDENTES!AE67*'BASE LIQUIDACION'!$B$13))</f>
        <v>65960.473639999997</v>
      </c>
    </row>
    <row r="68" spans="1:33" s="70" customFormat="1">
      <c r="A68" s="56" t="s">
        <v>165</v>
      </c>
      <c r="B68" s="56" t="str">
        <f>VLOOKUP(A68,'CENTRO DE COSTOS'!A:D,4,FALSE)</f>
        <v>JUAN SEBASTIÁN RÍOS CASTRILLÓN</v>
      </c>
      <c r="C68" s="56" t="str">
        <f>VLOOKUP(A68,'CENTRO DE COSTOS'!A:D,2,FALSE)</f>
        <v>0004-0005</v>
      </c>
      <c r="D68" s="56">
        <v>5001</v>
      </c>
      <c r="E68" s="56">
        <v>2768860</v>
      </c>
      <c r="F68" s="56">
        <v>21681</v>
      </c>
      <c r="G68" s="56" t="s">
        <v>1250</v>
      </c>
      <c r="H68" s="56" t="s">
        <v>152</v>
      </c>
      <c r="I68" s="56" t="s">
        <v>165</v>
      </c>
      <c r="J68" s="56" t="s">
        <v>1549</v>
      </c>
      <c r="K68" s="56" t="s">
        <v>107</v>
      </c>
      <c r="L68" s="56" t="s">
        <v>1550</v>
      </c>
      <c r="M68" s="103">
        <v>45920.333333333343</v>
      </c>
      <c r="N68" s="103">
        <v>45920.577777777777</v>
      </c>
      <c r="O68" s="56" t="s">
        <v>1253</v>
      </c>
      <c r="P68" s="56" t="s">
        <v>1254</v>
      </c>
      <c r="Q68" s="56" t="s">
        <v>1312</v>
      </c>
      <c r="R68" s="56" t="s">
        <v>1313</v>
      </c>
      <c r="S68" s="78"/>
      <c r="T68" s="78"/>
      <c r="U68" s="56" t="s">
        <v>1257</v>
      </c>
      <c r="V68" s="56" t="s">
        <v>1551</v>
      </c>
      <c r="W68" s="56" t="s">
        <v>1266</v>
      </c>
      <c r="X68" s="56" t="s">
        <v>1552</v>
      </c>
      <c r="Y68" s="56" t="s">
        <v>138</v>
      </c>
      <c r="Z68" s="56" t="s">
        <v>115</v>
      </c>
      <c r="AA68" s="56" t="s">
        <v>1315</v>
      </c>
      <c r="AB68" s="56">
        <v>1</v>
      </c>
      <c r="AC68" s="56">
        <v>0</v>
      </c>
      <c r="AD68" s="56">
        <v>0</v>
      </c>
      <c r="AE68" s="56">
        <v>0</v>
      </c>
      <c r="AF68" s="69">
        <f>IF(W68="SOPORTE_TELEFÓNICO",'BASE LIQUIDACION'!$B$10,IF(Y68="TIPO I",'BASE LIQUIDACION'!$C$3,IF(Y68="TIPO II",'BASE LIQUIDACION'!$C$4,IF(Y68="TIPO III",'BASE LIQUIDACION'!$C$5,'BASE LIQUIDACION'!$C$7))))</f>
        <v>65960.473639999997</v>
      </c>
      <c r="AG68" s="90">
        <f>IF(W68="SOPORTE_TELEFÓNICO",'BASE LIQUIDACION'!$B$10,(AB68*AF68+AC68*'BASE LIQUIDACION'!$B$12+AD68*'BASE LIQUIDACION'!$B$11+INCIDENTES!AE68*'BASE LIQUIDACION'!$B$13))</f>
        <v>65960.473639999997</v>
      </c>
    </row>
    <row r="69" spans="1:33" s="70" customFormat="1">
      <c r="A69" s="56" t="s">
        <v>165</v>
      </c>
      <c r="B69" s="56" t="str">
        <f>VLOOKUP(A69,'CENTRO DE COSTOS'!A:D,4,FALSE)</f>
        <v>JUAN SEBASTIÁN RÍOS CASTRILLÓN</v>
      </c>
      <c r="C69" s="56" t="str">
        <f>VLOOKUP(A69,'CENTRO DE COSTOS'!A:D,2,FALSE)</f>
        <v>0004-0005</v>
      </c>
      <c r="D69" s="56">
        <v>5631</v>
      </c>
      <c r="E69" s="56">
        <v>2766731</v>
      </c>
      <c r="F69" s="56">
        <v>35686</v>
      </c>
      <c r="G69" s="56" t="s">
        <v>1250</v>
      </c>
      <c r="H69" s="56" t="s">
        <v>152</v>
      </c>
      <c r="I69" s="56" t="s">
        <v>301</v>
      </c>
      <c r="J69" s="56" t="s">
        <v>1553</v>
      </c>
      <c r="K69" s="56" t="s">
        <v>107</v>
      </c>
      <c r="L69" s="56" t="s">
        <v>1554</v>
      </c>
      <c r="M69" s="103">
        <v>45919.50277777778</v>
      </c>
      <c r="N69" s="103">
        <v>45920.552777777782</v>
      </c>
      <c r="O69" s="56" t="s">
        <v>1253</v>
      </c>
      <c r="P69" s="56" t="s">
        <v>1254</v>
      </c>
      <c r="Q69" s="56" t="s">
        <v>1357</v>
      </c>
      <c r="R69" s="56" t="s">
        <v>1358</v>
      </c>
      <c r="S69" s="78"/>
      <c r="T69" s="78"/>
      <c r="U69" s="56" t="s">
        <v>1257</v>
      </c>
      <c r="V69" s="56" t="s">
        <v>1555</v>
      </c>
      <c r="W69" s="56" t="s">
        <v>1266</v>
      </c>
      <c r="X69" s="56" t="s">
        <v>1556</v>
      </c>
      <c r="Y69" s="56" t="s">
        <v>138</v>
      </c>
      <c r="Z69" s="56" t="s">
        <v>115</v>
      </c>
      <c r="AA69" s="56" t="s">
        <v>1557</v>
      </c>
      <c r="AB69" s="56">
        <v>1</v>
      </c>
      <c r="AC69" s="56">
        <v>0</v>
      </c>
      <c r="AD69" s="56">
        <v>0</v>
      </c>
      <c r="AE69" s="56">
        <v>0</v>
      </c>
      <c r="AF69" s="69">
        <f>IF(W69="SOPORTE_TELEFÓNICO",'BASE LIQUIDACION'!$B$10,IF(Y69="TIPO I",'BASE LIQUIDACION'!$C$3,IF(Y69="TIPO II",'BASE LIQUIDACION'!$C$4,IF(Y69="TIPO III",'BASE LIQUIDACION'!$C$5,'BASE LIQUIDACION'!$C$7))))</f>
        <v>65960.473639999997</v>
      </c>
      <c r="AG69" s="90">
        <f>IF(W69="SOPORTE_TELEFÓNICO",'BASE LIQUIDACION'!$B$10,(AB69*AF69+AC69*'BASE LIQUIDACION'!$B$12+AD69*'BASE LIQUIDACION'!$B$11+INCIDENTES!AE69*'BASE LIQUIDACION'!$B$13))</f>
        <v>65960.473639999997</v>
      </c>
    </row>
    <row r="70" spans="1:33" s="70" customFormat="1">
      <c r="A70" s="56" t="s">
        <v>131</v>
      </c>
      <c r="B70" s="56" t="str">
        <f>VLOOKUP(A70,'CENTRO DE COSTOS'!A:D,4,FALSE)</f>
        <v>MIGUEL JULIÁN HERNÁNDEZ GUARÍN</v>
      </c>
      <c r="C70" s="56" t="str">
        <f>VLOOKUP(A70,'CENTRO DE COSTOS'!A:D,2,FALSE)</f>
        <v>0004-0008</v>
      </c>
      <c r="D70" s="56">
        <v>15001</v>
      </c>
      <c r="E70" s="56">
        <v>2765780</v>
      </c>
      <c r="F70" s="56">
        <v>66513</v>
      </c>
      <c r="G70" s="56" t="s">
        <v>1250</v>
      </c>
      <c r="H70" s="56" t="s">
        <v>133</v>
      </c>
      <c r="I70" s="56" t="s">
        <v>131</v>
      </c>
      <c r="J70" s="56" t="s">
        <v>1558</v>
      </c>
      <c r="K70" s="56" t="s">
        <v>107</v>
      </c>
      <c r="L70" s="56" t="s">
        <v>1559</v>
      </c>
      <c r="M70" s="103">
        <v>45919.453472222223</v>
      </c>
      <c r="N70" s="103">
        <v>45919.746527777781</v>
      </c>
      <c r="O70" s="56" t="s">
        <v>1253</v>
      </c>
      <c r="P70" s="56" t="s">
        <v>1254</v>
      </c>
      <c r="Q70" s="56" t="s">
        <v>1271</v>
      </c>
      <c r="R70" s="56" t="s">
        <v>1277</v>
      </c>
      <c r="S70" s="78"/>
      <c r="T70" s="78"/>
      <c r="U70" s="56" t="s">
        <v>1257</v>
      </c>
      <c r="V70" s="56" t="s">
        <v>1560</v>
      </c>
      <c r="W70" s="56" t="s">
        <v>1266</v>
      </c>
      <c r="X70" s="56" t="s">
        <v>1561</v>
      </c>
      <c r="Y70" s="56" t="s">
        <v>138</v>
      </c>
      <c r="Z70" s="56" t="s">
        <v>115</v>
      </c>
      <c r="AA70" s="56" t="s">
        <v>1562</v>
      </c>
      <c r="AB70" s="56">
        <v>1</v>
      </c>
      <c r="AC70" s="56">
        <v>0</v>
      </c>
      <c r="AD70" s="56">
        <v>0</v>
      </c>
      <c r="AE70" s="56">
        <v>0</v>
      </c>
      <c r="AF70" s="69">
        <f>IF(W70="SOPORTE_TELEFÓNICO",'BASE LIQUIDACION'!$B$10,IF(Y70="TIPO I",'BASE LIQUIDACION'!$C$3,IF(Y70="TIPO II",'BASE LIQUIDACION'!$C$4,IF(Y70="TIPO III",'BASE LIQUIDACION'!$C$5,'BASE LIQUIDACION'!$C$7))))</f>
        <v>65960.473639999997</v>
      </c>
      <c r="AG70" s="90">
        <f>IF(W70="SOPORTE_TELEFÓNICO",'BASE LIQUIDACION'!$B$10,(AB70*AF70+AC70*'BASE LIQUIDACION'!$B$12+AD70*'BASE LIQUIDACION'!$B$11+INCIDENTES!AE70*'BASE LIQUIDACION'!$B$13))</f>
        <v>65960.473639999997</v>
      </c>
    </row>
    <row r="71" spans="1:33" s="70" customFormat="1">
      <c r="A71" s="56" t="s">
        <v>131</v>
      </c>
      <c r="B71" s="56" t="str">
        <f>VLOOKUP(A71,'CENTRO DE COSTOS'!A:D,4,FALSE)</f>
        <v>MIGUEL JULIÁN HERNÁNDEZ GUARÍN</v>
      </c>
      <c r="C71" s="56" t="str">
        <f>VLOOKUP(A71,'CENTRO DE COSTOS'!A:D,2,FALSE)</f>
        <v>0004-0008</v>
      </c>
      <c r="D71" s="56">
        <v>15761</v>
      </c>
      <c r="E71" s="56">
        <v>2765924</v>
      </c>
      <c r="F71" s="56">
        <v>78180</v>
      </c>
      <c r="G71" s="56" t="s">
        <v>1250</v>
      </c>
      <c r="H71" s="56" t="s">
        <v>133</v>
      </c>
      <c r="I71" s="56" t="s">
        <v>502</v>
      </c>
      <c r="J71" s="56" t="s">
        <v>1563</v>
      </c>
      <c r="K71" s="56" t="s">
        <v>107</v>
      </c>
      <c r="L71" s="56" t="s">
        <v>1564</v>
      </c>
      <c r="M71" s="103">
        <v>45919.45</v>
      </c>
      <c r="N71" s="103">
        <v>45922.73541666667</v>
      </c>
      <c r="O71" s="56" t="s">
        <v>1253</v>
      </c>
      <c r="P71" s="56" t="s">
        <v>1254</v>
      </c>
      <c r="Q71" s="56" t="s">
        <v>1271</v>
      </c>
      <c r="R71" s="56" t="s">
        <v>1272</v>
      </c>
      <c r="S71" s="78"/>
      <c r="T71" s="78"/>
      <c r="U71" s="56" t="s">
        <v>1257</v>
      </c>
      <c r="V71" s="56" t="s">
        <v>1565</v>
      </c>
      <c r="W71" s="56" t="s">
        <v>1266</v>
      </c>
      <c r="X71" s="56" t="s">
        <v>1566</v>
      </c>
      <c r="Y71" s="56" t="s">
        <v>212</v>
      </c>
      <c r="Z71" s="56" t="s">
        <v>115</v>
      </c>
      <c r="AA71" s="56" t="s">
        <v>1567</v>
      </c>
      <c r="AB71" s="56">
        <v>1</v>
      </c>
      <c r="AC71" s="56">
        <v>0</v>
      </c>
      <c r="AD71" s="56">
        <v>0</v>
      </c>
      <c r="AE71" s="56">
        <v>0</v>
      </c>
      <c r="AF71" s="69">
        <f>IF(W71="SOPORTE_TELEFÓNICO",'BASE LIQUIDACION'!$B$10,IF(Y71="TIPO I",'BASE LIQUIDACION'!$C$3,IF(Y71="TIPO II",'BASE LIQUIDACION'!$C$4,IF(Y71="TIPO III",'BASE LIQUIDACION'!$C$5,'BASE LIQUIDACION'!$C$7))))</f>
        <v>275728.37943999999</v>
      </c>
      <c r="AG71" s="90">
        <f>IF(W71="SOPORTE_TELEFÓNICO",'BASE LIQUIDACION'!$B$10,(AB71*AF71+AC71*'BASE LIQUIDACION'!$B$12+AD71*'BASE LIQUIDACION'!$B$11+INCIDENTES!AE71*'BASE LIQUIDACION'!$B$13))</f>
        <v>275728.37943999999</v>
      </c>
    </row>
    <row r="72" spans="1:33" s="70" customFormat="1">
      <c r="A72" s="56" t="s">
        <v>182</v>
      </c>
      <c r="B72" s="56" t="str">
        <f>VLOOKUP(A72,'CENTRO DE COSTOS'!A:D,4,FALSE)</f>
        <v>WILLIAM ASDRUBAL ROZO ROZO</v>
      </c>
      <c r="C72" s="56" t="str">
        <f>VLOOKUP(A72,'CENTRO DE COSTOS'!A:D,2,FALSE)</f>
        <v>0004-0004</v>
      </c>
      <c r="D72" s="56">
        <v>25754</v>
      </c>
      <c r="E72" s="56">
        <v>2765005</v>
      </c>
      <c r="F72" s="56">
        <v>34350</v>
      </c>
      <c r="G72" s="56" t="s">
        <v>1250</v>
      </c>
      <c r="H72" s="56" t="s">
        <v>184</v>
      </c>
      <c r="I72" s="56" t="s">
        <v>788</v>
      </c>
      <c r="J72" s="56" t="s">
        <v>1568</v>
      </c>
      <c r="K72" s="56" t="s">
        <v>107</v>
      </c>
      <c r="L72" s="56" t="s">
        <v>1569</v>
      </c>
      <c r="M72" s="103">
        <v>45919.378472222219</v>
      </c>
      <c r="N72" s="103">
        <v>45919.726388888892</v>
      </c>
      <c r="O72" s="56" t="s">
        <v>1253</v>
      </c>
      <c r="P72" s="56" t="s">
        <v>1254</v>
      </c>
      <c r="Q72" s="56" t="s">
        <v>1263</v>
      </c>
      <c r="R72" s="56" t="s">
        <v>1264</v>
      </c>
      <c r="S72" s="78"/>
      <c r="T72" s="78"/>
      <c r="U72" s="56" t="s">
        <v>1257</v>
      </c>
      <c r="V72" s="56" t="s">
        <v>1570</v>
      </c>
      <c r="W72" s="56" t="s">
        <v>1266</v>
      </c>
      <c r="X72" s="56">
        <v>0</v>
      </c>
      <c r="Y72" s="56" t="s">
        <v>138</v>
      </c>
      <c r="Z72" s="56" t="s">
        <v>115</v>
      </c>
      <c r="AA72" s="56" t="s">
        <v>1571</v>
      </c>
      <c r="AB72" s="56">
        <v>1</v>
      </c>
      <c r="AC72" s="56">
        <v>0</v>
      </c>
      <c r="AD72" s="56">
        <v>0</v>
      </c>
      <c r="AE72" s="56">
        <v>0</v>
      </c>
      <c r="AF72" s="69">
        <f>IF(W72="SOPORTE_TELEFÓNICO",'BASE LIQUIDACION'!$B$10,IF(Y72="TIPO I",'BASE LIQUIDACION'!$C$3,IF(Y72="TIPO II",'BASE LIQUIDACION'!$C$4,IF(Y72="TIPO III",'BASE LIQUIDACION'!$C$5,'BASE LIQUIDACION'!$C$7))))</f>
        <v>65960.473639999997</v>
      </c>
      <c r="AG72" s="90">
        <f>IF(W72="SOPORTE_TELEFÓNICO",'BASE LIQUIDACION'!$B$10,(AB72*AF72+AC72*'BASE LIQUIDACION'!$B$12+AD72*'BASE LIQUIDACION'!$B$11+INCIDENTES!AE72*'BASE LIQUIDACION'!$B$13))</f>
        <v>65960.473639999997</v>
      </c>
    </row>
    <row r="73" spans="1:33" s="70" customFormat="1">
      <c r="A73" s="56" t="s">
        <v>165</v>
      </c>
      <c r="B73" s="56" t="str">
        <f>VLOOKUP(A73,'CENTRO DE COSTOS'!A:D,4,FALSE)</f>
        <v>JUAN SEBASTIÁN RÍOS CASTRILLÓN</v>
      </c>
      <c r="C73" s="56" t="str">
        <f>VLOOKUP(A73,'CENTRO DE COSTOS'!A:D,2,FALSE)</f>
        <v>0004-0005</v>
      </c>
      <c r="D73" s="56">
        <v>5001</v>
      </c>
      <c r="E73" s="56">
        <v>2764675</v>
      </c>
      <c r="F73" s="56">
        <v>69720</v>
      </c>
      <c r="G73" s="56" t="s">
        <v>1250</v>
      </c>
      <c r="H73" s="56" t="s">
        <v>152</v>
      </c>
      <c r="I73" s="56" t="s">
        <v>165</v>
      </c>
      <c r="J73" s="56" t="s">
        <v>1572</v>
      </c>
      <c r="K73" s="56" t="s">
        <v>107</v>
      </c>
      <c r="L73" s="56" t="s">
        <v>1573</v>
      </c>
      <c r="M73" s="103">
        <v>45919.370138888888</v>
      </c>
      <c r="N73" s="103">
        <v>45919.71597222222</v>
      </c>
      <c r="O73" s="56" t="s">
        <v>1253</v>
      </c>
      <c r="P73" s="56" t="s">
        <v>1254</v>
      </c>
      <c r="Q73" s="56" t="s">
        <v>1312</v>
      </c>
      <c r="R73" s="56" t="s">
        <v>1313</v>
      </c>
      <c r="S73" s="78"/>
      <c r="T73" s="78"/>
      <c r="U73" s="56" t="s">
        <v>1257</v>
      </c>
      <c r="V73" s="56" t="s">
        <v>1574</v>
      </c>
      <c r="W73" s="56" t="s">
        <v>1266</v>
      </c>
      <c r="X73" s="56" t="s">
        <v>1575</v>
      </c>
      <c r="Y73" s="56" t="s">
        <v>138</v>
      </c>
      <c r="Z73" s="56" t="s">
        <v>115</v>
      </c>
      <c r="AA73" s="56" t="s">
        <v>1315</v>
      </c>
      <c r="AB73" s="56">
        <v>1</v>
      </c>
      <c r="AC73" s="56">
        <v>0</v>
      </c>
      <c r="AD73" s="56">
        <v>0</v>
      </c>
      <c r="AE73" s="56">
        <v>0</v>
      </c>
      <c r="AF73" s="69">
        <f>IF(W73="SOPORTE_TELEFÓNICO",'BASE LIQUIDACION'!$B$10,IF(Y73="TIPO I",'BASE LIQUIDACION'!$C$3,IF(Y73="TIPO II",'BASE LIQUIDACION'!$C$4,IF(Y73="TIPO III",'BASE LIQUIDACION'!$C$5,'BASE LIQUIDACION'!$C$7))))</f>
        <v>65960.473639999997</v>
      </c>
      <c r="AG73" s="90">
        <f>IF(W73="SOPORTE_TELEFÓNICO",'BASE LIQUIDACION'!$B$10,(AB73*AF73+AC73*'BASE LIQUIDACION'!$B$12+AD73*'BASE LIQUIDACION'!$B$11+INCIDENTES!AE73*'BASE LIQUIDACION'!$B$13))</f>
        <v>65960.473639999997</v>
      </c>
    </row>
    <row r="74" spans="1:33" s="70" customFormat="1">
      <c r="A74" s="56" t="s">
        <v>980</v>
      </c>
      <c r="B74" s="56" t="str">
        <f>VLOOKUP(A74,'CENTRO DE COSTOS'!A:D,4,FALSE)</f>
        <v>MIGUEL JULIÁN HERNÁNDEZ GUARÍN</v>
      </c>
      <c r="C74" s="56" t="str">
        <f>VLOOKUP(A74,'CENTRO DE COSTOS'!A:D,2,FALSE)</f>
        <v>0004-0008</v>
      </c>
      <c r="D74" s="56">
        <v>54001</v>
      </c>
      <c r="E74" s="56">
        <v>2764373</v>
      </c>
      <c r="F74" s="56">
        <v>75391</v>
      </c>
      <c r="G74" s="56" t="s">
        <v>1250</v>
      </c>
      <c r="H74" s="56" t="s">
        <v>979</v>
      </c>
      <c r="I74" s="56" t="s">
        <v>980</v>
      </c>
      <c r="J74" s="56" t="s">
        <v>1576</v>
      </c>
      <c r="K74" s="56" t="s">
        <v>107</v>
      </c>
      <c r="L74" s="56" t="s">
        <v>1577</v>
      </c>
      <c r="M74" s="103">
        <v>45919.350694444453</v>
      </c>
      <c r="N74" s="103">
        <v>45919.713888888888</v>
      </c>
      <c r="O74" s="56" t="s">
        <v>1253</v>
      </c>
      <c r="P74" s="56" t="s">
        <v>1254</v>
      </c>
      <c r="Q74" s="56" t="s">
        <v>1271</v>
      </c>
      <c r="R74" s="56" t="s">
        <v>1272</v>
      </c>
      <c r="S74" s="78"/>
      <c r="T74" s="78"/>
      <c r="U74" s="56" t="s">
        <v>1257</v>
      </c>
      <c r="V74" s="56" t="s">
        <v>1578</v>
      </c>
      <c r="W74" s="56" t="s">
        <v>1266</v>
      </c>
      <c r="X74" s="56" t="s">
        <v>1579</v>
      </c>
      <c r="Y74" s="56" t="s">
        <v>138</v>
      </c>
      <c r="Z74" s="56" t="s">
        <v>115</v>
      </c>
      <c r="AA74" s="56" t="s">
        <v>1580</v>
      </c>
      <c r="AB74" s="56">
        <v>1</v>
      </c>
      <c r="AC74" s="56">
        <v>0</v>
      </c>
      <c r="AD74" s="56">
        <v>0</v>
      </c>
      <c r="AE74" s="56">
        <v>0</v>
      </c>
      <c r="AF74" s="69">
        <f>IF(W74="SOPORTE_TELEFÓNICO",'BASE LIQUIDACION'!$B$10,IF(Y74="TIPO I",'BASE LIQUIDACION'!$C$3,IF(Y74="TIPO II",'BASE LIQUIDACION'!$C$4,IF(Y74="TIPO III",'BASE LIQUIDACION'!$C$5,'BASE LIQUIDACION'!$C$7))))</f>
        <v>65960.473639999997</v>
      </c>
      <c r="AG74" s="90">
        <f>IF(W74="SOPORTE_TELEFÓNICO",'BASE LIQUIDACION'!$B$10,(AB74*AF74+AC74*'BASE LIQUIDACION'!$B$12+AD74*'BASE LIQUIDACION'!$B$11+INCIDENTES!AE74*'BASE LIQUIDACION'!$B$13))</f>
        <v>65960.473639999997</v>
      </c>
    </row>
    <row r="75" spans="1:33" s="70" customFormat="1">
      <c r="A75" s="56" t="s">
        <v>100</v>
      </c>
      <c r="B75" s="56" t="str">
        <f>VLOOKUP(A75,'CENTRO DE COSTOS'!A:D,4,FALSE)</f>
        <v>DIEGO FERNANDO HENAO CARDONA</v>
      </c>
      <c r="C75" s="56" t="str">
        <f>VLOOKUP(A75,'CENTRO DE COSTOS'!A:D,2,FALSE)</f>
        <v>0004-0003</v>
      </c>
      <c r="D75" s="56">
        <v>52001</v>
      </c>
      <c r="E75" s="56">
        <v>2764356</v>
      </c>
      <c r="F75" s="56">
        <v>71539</v>
      </c>
      <c r="G75" s="56" t="s">
        <v>1250</v>
      </c>
      <c r="H75" s="56" t="s">
        <v>104</v>
      </c>
      <c r="I75" s="56" t="s">
        <v>100</v>
      </c>
      <c r="J75" s="56" t="s">
        <v>1581</v>
      </c>
      <c r="K75" s="56" t="s">
        <v>107</v>
      </c>
      <c r="L75" s="56" t="s">
        <v>1582</v>
      </c>
      <c r="M75" s="103">
        <v>45919.345833333333</v>
      </c>
      <c r="N75" s="103">
        <v>45919.708333333343</v>
      </c>
      <c r="O75" s="56" t="s">
        <v>1253</v>
      </c>
      <c r="P75" s="56" t="s">
        <v>1341</v>
      </c>
      <c r="Q75" s="56" t="s">
        <v>1342</v>
      </c>
      <c r="R75" s="56" t="s">
        <v>1343</v>
      </c>
      <c r="S75" s="78"/>
      <c r="T75" s="78"/>
      <c r="U75" s="56" t="s">
        <v>1257</v>
      </c>
      <c r="V75" s="56" t="s">
        <v>1583</v>
      </c>
      <c r="W75" s="56" t="s">
        <v>1259</v>
      </c>
      <c r="X75" s="56">
        <v>0</v>
      </c>
      <c r="Y75" s="56" t="s">
        <v>138</v>
      </c>
      <c r="Z75" s="56" t="s">
        <v>115</v>
      </c>
      <c r="AA75" s="56" t="s">
        <v>1260</v>
      </c>
      <c r="AB75" s="56">
        <v>0</v>
      </c>
      <c r="AC75" s="56">
        <v>0</v>
      </c>
      <c r="AD75" s="56">
        <v>0</v>
      </c>
      <c r="AE75" s="56">
        <v>0</v>
      </c>
      <c r="AF75" s="69">
        <f>IF(W75="SOPORTE_TELEFÓNICO",'BASE LIQUIDACION'!$B$10,IF(Y75="TIPO I",'BASE LIQUIDACION'!$C$3,IF(Y75="TIPO II",'BASE LIQUIDACION'!$C$4,IF(Y75="TIPO III",'BASE LIQUIDACION'!$C$5,'BASE LIQUIDACION'!$C$7))))</f>
        <v>37904.65408</v>
      </c>
      <c r="AG75" s="90">
        <f>IF(W75="SOPORTE_TELEFÓNICO",'BASE LIQUIDACION'!$B$10,(AB75*AF75+AC75*'BASE LIQUIDACION'!$B$12+AD75*'BASE LIQUIDACION'!$B$11+INCIDENTES!AE75*'BASE LIQUIDACION'!$B$13))</f>
        <v>37904.65408</v>
      </c>
    </row>
    <row r="76" spans="1:33" s="70" customFormat="1">
      <c r="A76" s="56" t="s">
        <v>556</v>
      </c>
      <c r="B76" s="56" t="str">
        <f>VLOOKUP(A76,'CENTRO DE COSTOS'!A:D,4,FALSE)</f>
        <v>DIEGO FERNANDO HENAO CARDONA</v>
      </c>
      <c r="C76" s="56" t="str">
        <f>VLOOKUP(A76,'CENTRO DE COSTOS'!A:D,2,FALSE)</f>
        <v>0004-0002</v>
      </c>
      <c r="D76" s="56">
        <v>76147</v>
      </c>
      <c r="E76" s="56">
        <v>2764178</v>
      </c>
      <c r="F76" s="56">
        <v>59182</v>
      </c>
      <c r="G76" s="56" t="s">
        <v>1250</v>
      </c>
      <c r="H76" s="56" t="s">
        <v>1189</v>
      </c>
      <c r="I76" s="56" t="s">
        <v>1197</v>
      </c>
      <c r="J76" s="56" t="s">
        <v>1584</v>
      </c>
      <c r="K76" s="56" t="s">
        <v>107</v>
      </c>
      <c r="L76" s="56" t="s">
        <v>1585</v>
      </c>
      <c r="M76" s="103">
        <v>45919.333333333343</v>
      </c>
      <c r="N76" s="103">
        <v>45919.70416666667</v>
      </c>
      <c r="O76" s="56" t="s">
        <v>1253</v>
      </c>
      <c r="P76" s="56" t="s">
        <v>1254</v>
      </c>
      <c r="Q76" s="56" t="s">
        <v>1312</v>
      </c>
      <c r="R76" s="56" t="s">
        <v>1313</v>
      </c>
      <c r="S76" s="78"/>
      <c r="T76" s="78"/>
      <c r="U76" s="56" t="s">
        <v>1257</v>
      </c>
      <c r="V76" s="56" t="s">
        <v>1586</v>
      </c>
      <c r="W76" s="56" t="s">
        <v>1266</v>
      </c>
      <c r="X76" s="56" t="s">
        <v>1587</v>
      </c>
      <c r="Y76" s="56" t="s">
        <v>138</v>
      </c>
      <c r="Z76" s="56" t="s">
        <v>115</v>
      </c>
      <c r="AA76" s="56" t="s">
        <v>1330</v>
      </c>
      <c r="AB76" s="56">
        <v>1</v>
      </c>
      <c r="AC76" s="56">
        <v>0</v>
      </c>
      <c r="AD76" s="56">
        <v>0</v>
      </c>
      <c r="AE76" s="56">
        <v>0</v>
      </c>
      <c r="AF76" s="69">
        <f>IF(W76="SOPORTE_TELEFÓNICO",'BASE LIQUIDACION'!$B$10,IF(Y76="TIPO I",'BASE LIQUIDACION'!$C$3,IF(Y76="TIPO II",'BASE LIQUIDACION'!$C$4,IF(Y76="TIPO III",'BASE LIQUIDACION'!$C$5,'BASE LIQUIDACION'!$C$7))))</f>
        <v>65960.473639999997</v>
      </c>
      <c r="AG76" s="90">
        <f>IF(W76="SOPORTE_TELEFÓNICO",'BASE LIQUIDACION'!$B$10,(AB76*AF76+AC76*'BASE LIQUIDACION'!$B$12+AD76*'BASE LIQUIDACION'!$B$11+INCIDENTES!AE76*'BASE LIQUIDACION'!$B$13))</f>
        <v>65960.473639999997</v>
      </c>
    </row>
    <row r="77" spans="1:33" s="70" customFormat="1">
      <c r="A77" s="56" t="s">
        <v>165</v>
      </c>
      <c r="B77" s="56" t="str">
        <f>VLOOKUP(A77,'CENTRO DE COSTOS'!A:D,4,FALSE)</f>
        <v>JUAN SEBASTIÁN RÍOS CASTRILLÓN</v>
      </c>
      <c r="C77" s="56" t="str">
        <f>VLOOKUP(A77,'CENTRO DE COSTOS'!A:D,2,FALSE)</f>
        <v>0004-0005</v>
      </c>
      <c r="D77" s="56">
        <v>5001</v>
      </c>
      <c r="E77" s="56">
        <v>2763823</v>
      </c>
      <c r="F77" s="56">
        <v>34519</v>
      </c>
      <c r="G77" s="56" t="s">
        <v>1250</v>
      </c>
      <c r="H77" s="56" t="s">
        <v>152</v>
      </c>
      <c r="I77" s="56" t="s">
        <v>165</v>
      </c>
      <c r="J77" s="56" t="s">
        <v>1588</v>
      </c>
      <c r="K77" s="56" t="s">
        <v>107</v>
      </c>
      <c r="L77" s="56" t="s">
        <v>1589</v>
      </c>
      <c r="M77" s="103">
        <v>45919.333333333343</v>
      </c>
      <c r="N77" s="103">
        <v>45920.331250000003</v>
      </c>
      <c r="O77" s="56" t="s">
        <v>1253</v>
      </c>
      <c r="P77" s="56" t="s">
        <v>1254</v>
      </c>
      <c r="Q77" s="56" t="s">
        <v>1255</v>
      </c>
      <c r="R77" s="56" t="s">
        <v>1367</v>
      </c>
      <c r="S77" s="78"/>
      <c r="T77" s="78"/>
      <c r="U77" s="56" t="s">
        <v>1257</v>
      </c>
      <c r="V77" s="56" t="s">
        <v>1590</v>
      </c>
      <c r="W77" s="56" t="s">
        <v>1266</v>
      </c>
      <c r="X77" s="56" t="s">
        <v>1591</v>
      </c>
      <c r="Y77" s="56" t="s">
        <v>138</v>
      </c>
      <c r="Z77" s="56" t="s">
        <v>115</v>
      </c>
      <c r="AA77" s="56" t="s">
        <v>1592</v>
      </c>
      <c r="AB77" s="56">
        <v>1</v>
      </c>
      <c r="AC77" s="56">
        <v>0</v>
      </c>
      <c r="AD77" s="56">
        <v>0</v>
      </c>
      <c r="AE77" s="56">
        <v>0</v>
      </c>
      <c r="AF77" s="69">
        <f>IF(W77="SOPORTE_TELEFÓNICO",'BASE LIQUIDACION'!$B$10,IF(Y77="TIPO I",'BASE LIQUIDACION'!$C$3,IF(Y77="TIPO II",'BASE LIQUIDACION'!$C$4,IF(Y77="TIPO III",'BASE LIQUIDACION'!$C$5,'BASE LIQUIDACION'!$C$7))))</f>
        <v>65960.473639999997</v>
      </c>
      <c r="AG77" s="90">
        <f>IF(W77="SOPORTE_TELEFÓNICO",'BASE LIQUIDACION'!$B$10,(AB77*AF77+AC77*'BASE LIQUIDACION'!$B$12+AD77*'BASE LIQUIDACION'!$B$11+INCIDENTES!AE77*'BASE LIQUIDACION'!$B$13))</f>
        <v>65960.473639999997</v>
      </c>
    </row>
    <row r="78" spans="1:33" s="70" customFormat="1">
      <c r="A78" s="56" t="s">
        <v>980</v>
      </c>
      <c r="B78" s="56" t="str">
        <f>VLOOKUP(A78,'CENTRO DE COSTOS'!A:D,4,FALSE)</f>
        <v>MIGUEL JULIÁN HERNÁNDEZ GUARÍN</v>
      </c>
      <c r="C78" s="56" t="str">
        <f>VLOOKUP(A78,'CENTRO DE COSTOS'!A:D,2,FALSE)</f>
        <v>0004-0008</v>
      </c>
      <c r="D78" s="56">
        <v>54498</v>
      </c>
      <c r="E78" s="56">
        <v>2763489</v>
      </c>
      <c r="F78" s="56">
        <v>79112</v>
      </c>
      <c r="G78" s="56" t="s">
        <v>1250</v>
      </c>
      <c r="H78" s="56" t="s">
        <v>979</v>
      </c>
      <c r="I78" s="56" t="s">
        <v>1005</v>
      </c>
      <c r="J78" s="56" t="s">
        <v>1593</v>
      </c>
      <c r="K78" s="56" t="s">
        <v>107</v>
      </c>
      <c r="L78" s="56" t="s">
        <v>1594</v>
      </c>
      <c r="M78" s="103">
        <v>45919.333333333343</v>
      </c>
      <c r="N78" s="103">
        <v>45922.754166666673</v>
      </c>
      <c r="O78" s="56" t="s">
        <v>1253</v>
      </c>
      <c r="P78" s="56" t="s">
        <v>1254</v>
      </c>
      <c r="Q78" s="56" t="s">
        <v>1348</v>
      </c>
      <c r="R78" s="56" t="s">
        <v>1277</v>
      </c>
      <c r="S78" s="78"/>
      <c r="T78" s="78"/>
      <c r="U78" s="56" t="s">
        <v>1257</v>
      </c>
      <c r="V78" s="56" t="s">
        <v>1595</v>
      </c>
      <c r="W78" s="56" t="s">
        <v>1266</v>
      </c>
      <c r="X78" s="56" t="s">
        <v>1596</v>
      </c>
      <c r="Y78" s="56" t="s">
        <v>172</v>
      </c>
      <c r="Z78" s="56" t="s">
        <v>115</v>
      </c>
      <c r="AA78" s="56" t="s">
        <v>1580</v>
      </c>
      <c r="AB78" s="56">
        <v>1</v>
      </c>
      <c r="AC78" s="56">
        <v>0</v>
      </c>
      <c r="AD78" s="56">
        <v>0</v>
      </c>
      <c r="AE78" s="56">
        <v>0</v>
      </c>
      <c r="AF78" s="69">
        <f>IF(W78="SOPORTE_TELEFÓNICO",'BASE LIQUIDACION'!$B$10,IF(Y78="TIPO I",'BASE LIQUIDACION'!$C$3,IF(Y78="TIPO II",'BASE LIQUIDACION'!$C$4,IF(Y78="TIPO III",'BASE LIQUIDACION'!$C$5,'BASE LIQUIDACION'!$C$7))))</f>
        <v>479589.73656000005</v>
      </c>
      <c r="AG78" s="90">
        <f>IF(W78="SOPORTE_TELEFÓNICO",'BASE LIQUIDACION'!$B$10,(AB78*AF78+AC78*'BASE LIQUIDACION'!$B$12+AD78*'BASE LIQUIDACION'!$B$11+INCIDENTES!AE78*'BASE LIQUIDACION'!$B$13))</f>
        <v>479589.73656000005</v>
      </c>
    </row>
    <row r="79" spans="1:33" s="70" customFormat="1">
      <c r="A79" s="56" t="s">
        <v>366</v>
      </c>
      <c r="B79" s="56" t="str">
        <f>VLOOKUP(A79,'CENTRO DE COSTOS'!A:D,4,FALSE)</f>
        <v>JOSE MAURICIO HERNANDEZ ROJAS</v>
      </c>
      <c r="C79" s="56" t="str">
        <f>VLOOKUP(A79,'CENTRO DE COSTOS'!A:D,2,FALSE)</f>
        <v>0004-0001</v>
      </c>
      <c r="D79" s="56">
        <v>20250</v>
      </c>
      <c r="E79" s="56">
        <v>2763128</v>
      </c>
      <c r="F79" s="56">
        <v>64864</v>
      </c>
      <c r="G79" s="56" t="s">
        <v>1250</v>
      </c>
      <c r="H79" s="56" t="s">
        <v>627</v>
      </c>
      <c r="I79" s="56" t="s">
        <v>639</v>
      </c>
      <c r="J79" s="56" t="s">
        <v>1597</v>
      </c>
      <c r="K79" s="56" t="s">
        <v>107</v>
      </c>
      <c r="L79" s="56" t="s">
        <v>1598</v>
      </c>
      <c r="M79" s="103">
        <v>45918.70416666667</v>
      </c>
      <c r="N79" s="103">
        <v>45922.740277777782</v>
      </c>
      <c r="O79" s="56" t="s">
        <v>1253</v>
      </c>
      <c r="P79" s="56" t="s">
        <v>1254</v>
      </c>
      <c r="Q79" s="56" t="s">
        <v>1312</v>
      </c>
      <c r="R79" s="56" t="s">
        <v>1313</v>
      </c>
      <c r="S79" s="78"/>
      <c r="T79" s="78"/>
      <c r="U79" s="56" t="s">
        <v>1257</v>
      </c>
      <c r="V79" s="56" t="s">
        <v>1599</v>
      </c>
      <c r="W79" s="56" t="s">
        <v>1266</v>
      </c>
      <c r="X79" s="56" t="s">
        <v>1600</v>
      </c>
      <c r="Y79" s="56" t="s">
        <v>212</v>
      </c>
      <c r="Z79" s="56" t="s">
        <v>115</v>
      </c>
      <c r="AA79" s="56" t="s">
        <v>1462</v>
      </c>
      <c r="AB79" s="56">
        <v>1</v>
      </c>
      <c r="AC79" s="56">
        <v>0</v>
      </c>
      <c r="AD79" s="56">
        <v>0</v>
      </c>
      <c r="AE79" s="56">
        <v>0</v>
      </c>
      <c r="AF79" s="69">
        <f>IF(W79="SOPORTE_TELEFÓNICO",'BASE LIQUIDACION'!$B$10,IF(Y79="TIPO I",'BASE LIQUIDACION'!$C$3,IF(Y79="TIPO II",'BASE LIQUIDACION'!$C$4,IF(Y79="TIPO III",'BASE LIQUIDACION'!$C$5,'BASE LIQUIDACION'!$C$7))))</f>
        <v>275728.37943999999</v>
      </c>
      <c r="AG79" s="90">
        <f>IF(W79="SOPORTE_TELEFÓNICO",'BASE LIQUIDACION'!$B$10,(AB79*AF79+AC79*'BASE LIQUIDACION'!$B$12+AD79*'BASE LIQUIDACION'!$B$11+INCIDENTES!AE79*'BASE LIQUIDACION'!$B$13))</f>
        <v>275728.37943999999</v>
      </c>
    </row>
    <row r="80" spans="1:33" s="70" customFormat="1">
      <c r="A80" s="56" t="s">
        <v>980</v>
      </c>
      <c r="B80" s="56" t="str">
        <f>VLOOKUP(A80,'CENTRO DE COSTOS'!A:D,4,FALSE)</f>
        <v>MIGUEL JULIÁN HERNÁNDEZ GUARÍN</v>
      </c>
      <c r="C80" s="56" t="str">
        <f>VLOOKUP(A80,'CENTRO DE COSTOS'!A:D,2,FALSE)</f>
        <v>0004-0008</v>
      </c>
      <c r="D80" s="56">
        <v>54518</v>
      </c>
      <c r="E80" s="56">
        <v>2763028</v>
      </c>
      <c r="F80" s="56">
        <v>77625</v>
      </c>
      <c r="G80" s="56" t="s">
        <v>1250</v>
      </c>
      <c r="H80" s="56" t="s">
        <v>979</v>
      </c>
      <c r="I80" s="56" t="s">
        <v>1006</v>
      </c>
      <c r="J80" s="56" t="s">
        <v>1601</v>
      </c>
      <c r="K80" s="56" t="s">
        <v>107</v>
      </c>
      <c r="L80" s="56" t="s">
        <v>1602</v>
      </c>
      <c r="M80" s="103">
        <v>45918.700694444437</v>
      </c>
      <c r="N80" s="103">
        <v>45919.69027777778</v>
      </c>
      <c r="O80" s="56" t="s">
        <v>1253</v>
      </c>
      <c r="P80" s="56" t="s">
        <v>1254</v>
      </c>
      <c r="Q80" s="56" t="s">
        <v>1271</v>
      </c>
      <c r="R80" s="56" t="s">
        <v>1277</v>
      </c>
      <c r="S80" s="78"/>
      <c r="T80" s="78"/>
      <c r="U80" s="56" t="s">
        <v>1257</v>
      </c>
      <c r="V80" s="56" t="s">
        <v>1603</v>
      </c>
      <c r="W80" s="56" t="s">
        <v>1266</v>
      </c>
      <c r="X80" s="56" t="s">
        <v>1604</v>
      </c>
      <c r="Y80" s="56" t="s">
        <v>212</v>
      </c>
      <c r="Z80" s="56" t="s">
        <v>115</v>
      </c>
      <c r="AA80" s="56" t="s">
        <v>1605</v>
      </c>
      <c r="AB80" s="56">
        <v>1</v>
      </c>
      <c r="AC80" s="56">
        <v>0</v>
      </c>
      <c r="AD80" s="56">
        <v>0</v>
      </c>
      <c r="AE80" s="56">
        <v>0</v>
      </c>
      <c r="AF80" s="69">
        <f>IF(W80="SOPORTE_TELEFÓNICO",'BASE LIQUIDACION'!$B$10,IF(Y80="TIPO I",'BASE LIQUIDACION'!$C$3,IF(Y80="TIPO II",'BASE LIQUIDACION'!$C$4,IF(Y80="TIPO III",'BASE LIQUIDACION'!$C$5,'BASE LIQUIDACION'!$C$7))))</f>
        <v>275728.37943999999</v>
      </c>
      <c r="AG80" s="90">
        <f>IF(W80="SOPORTE_TELEFÓNICO",'BASE LIQUIDACION'!$B$10,(AB80*AF80+AC80*'BASE LIQUIDACION'!$B$12+AD80*'BASE LIQUIDACION'!$B$11+INCIDENTES!AE80*'BASE LIQUIDACION'!$B$13))</f>
        <v>275728.37943999999</v>
      </c>
    </row>
    <row r="81" spans="1:33" s="70" customFormat="1">
      <c r="A81" s="56" t="s">
        <v>165</v>
      </c>
      <c r="B81" s="56" t="str">
        <f>VLOOKUP(A81,'CENTRO DE COSTOS'!A:D,4,FALSE)</f>
        <v>JUAN SEBASTIÁN RÍOS CASTRILLÓN</v>
      </c>
      <c r="C81" s="56" t="str">
        <f>VLOOKUP(A81,'CENTRO DE COSTOS'!A:D,2,FALSE)</f>
        <v>0004-0005</v>
      </c>
      <c r="D81" s="56">
        <v>5001</v>
      </c>
      <c r="E81" s="56">
        <v>2761655</v>
      </c>
      <c r="F81" s="56">
        <v>31529</v>
      </c>
      <c r="G81" s="56" t="s">
        <v>1250</v>
      </c>
      <c r="H81" s="56" t="s">
        <v>152</v>
      </c>
      <c r="I81" s="56" t="s">
        <v>165</v>
      </c>
      <c r="J81" s="56" t="s">
        <v>1606</v>
      </c>
      <c r="K81" s="56" t="s">
        <v>107</v>
      </c>
      <c r="L81" s="56" t="s">
        <v>1607</v>
      </c>
      <c r="M81" s="103">
        <v>45918.602777777778</v>
      </c>
      <c r="N81" s="103">
        <v>45919.566666666673</v>
      </c>
      <c r="O81" s="56" t="s">
        <v>1253</v>
      </c>
      <c r="P81" s="56" t="s">
        <v>1254</v>
      </c>
      <c r="Q81" s="56" t="s">
        <v>1312</v>
      </c>
      <c r="R81" s="56" t="s">
        <v>1313</v>
      </c>
      <c r="S81" s="78"/>
      <c r="T81" s="78"/>
      <c r="U81" s="56" t="s">
        <v>1257</v>
      </c>
      <c r="V81" s="56" t="s">
        <v>1608</v>
      </c>
      <c r="W81" s="56" t="s">
        <v>1266</v>
      </c>
      <c r="X81" s="56" t="s">
        <v>1609</v>
      </c>
      <c r="Y81" s="56" t="s">
        <v>138</v>
      </c>
      <c r="Z81" s="56" t="s">
        <v>115</v>
      </c>
      <c r="AA81" s="56" t="s">
        <v>1315</v>
      </c>
      <c r="AB81" s="56">
        <v>1</v>
      </c>
      <c r="AC81" s="56">
        <v>0</v>
      </c>
      <c r="AD81" s="56">
        <v>0</v>
      </c>
      <c r="AE81" s="56">
        <v>0</v>
      </c>
      <c r="AF81" s="69">
        <f>IF(W81="SOPORTE_TELEFÓNICO",'BASE LIQUIDACION'!$B$10,IF(Y81="TIPO I",'BASE LIQUIDACION'!$C$3,IF(Y81="TIPO II",'BASE LIQUIDACION'!$C$4,IF(Y81="TIPO III",'BASE LIQUIDACION'!$C$5,'BASE LIQUIDACION'!$C$7))))</f>
        <v>65960.473639999997</v>
      </c>
      <c r="AG81" s="90">
        <f>IF(W81="SOPORTE_TELEFÓNICO",'BASE LIQUIDACION'!$B$10,(AB81*AF81+AC81*'BASE LIQUIDACION'!$B$12+AD81*'BASE LIQUIDACION'!$B$11+INCIDENTES!AE81*'BASE LIQUIDACION'!$B$13))</f>
        <v>65960.473639999997</v>
      </c>
    </row>
    <row r="82" spans="1:33" s="70" customFormat="1">
      <c r="A82" s="56" t="s">
        <v>589</v>
      </c>
      <c r="B82" s="56" t="str">
        <f>VLOOKUP(A82,'CENTRO DE COSTOS'!A:D,4,FALSE)</f>
        <v>DIEGO FERNANDO HENAO CARDONA</v>
      </c>
      <c r="C82" s="56" t="str">
        <f>VLOOKUP(A82,'CENTRO DE COSTOS'!A:D,2,FALSE)</f>
        <v>0004-0003</v>
      </c>
      <c r="D82" s="56">
        <v>76001</v>
      </c>
      <c r="E82" s="56">
        <v>2761524</v>
      </c>
      <c r="F82" s="56">
        <v>80586</v>
      </c>
      <c r="G82" s="56" t="s">
        <v>1250</v>
      </c>
      <c r="H82" s="56" t="s">
        <v>1189</v>
      </c>
      <c r="I82" s="56" t="s">
        <v>589</v>
      </c>
      <c r="J82" s="56" t="s">
        <v>1610</v>
      </c>
      <c r="K82" s="56" t="s">
        <v>107</v>
      </c>
      <c r="L82" s="56" t="s">
        <v>1611</v>
      </c>
      <c r="M82" s="103">
        <v>45918.563888888893</v>
      </c>
      <c r="N82" s="103">
        <v>45919.467361111107</v>
      </c>
      <c r="O82" s="56" t="s">
        <v>1253</v>
      </c>
      <c r="P82" s="56" t="s">
        <v>1254</v>
      </c>
      <c r="Q82" s="56" t="s">
        <v>1348</v>
      </c>
      <c r="R82" s="56" t="s">
        <v>1277</v>
      </c>
      <c r="S82" s="78"/>
      <c r="T82" s="78"/>
      <c r="U82" s="56" t="s">
        <v>1257</v>
      </c>
      <c r="V82" s="56" t="s">
        <v>1612</v>
      </c>
      <c r="W82" s="56" t="s">
        <v>1259</v>
      </c>
      <c r="X82" s="56">
        <v>0</v>
      </c>
      <c r="Y82" s="56" t="s">
        <v>138</v>
      </c>
      <c r="Z82" s="56" t="s">
        <v>115</v>
      </c>
      <c r="AA82" s="56" t="s">
        <v>1613</v>
      </c>
      <c r="AB82" s="56">
        <v>0</v>
      </c>
      <c r="AC82" s="56">
        <v>0</v>
      </c>
      <c r="AD82" s="56">
        <v>0</v>
      </c>
      <c r="AE82" s="56">
        <v>0</v>
      </c>
      <c r="AF82" s="69">
        <f>IF(W82="SOPORTE_TELEFÓNICO",'BASE LIQUIDACION'!$B$10,IF(Y82="TIPO I",'BASE LIQUIDACION'!$C$3,IF(Y82="TIPO II",'BASE LIQUIDACION'!$C$4,IF(Y82="TIPO III",'BASE LIQUIDACION'!$C$5,'BASE LIQUIDACION'!$C$7))))</f>
        <v>37904.65408</v>
      </c>
      <c r="AG82" s="90">
        <f>IF(W82="SOPORTE_TELEFÓNICO",'BASE LIQUIDACION'!$B$10,(AB82*AF82+AC82*'BASE LIQUIDACION'!$B$12+AD82*'BASE LIQUIDACION'!$B$11+INCIDENTES!AE82*'BASE LIQUIDACION'!$B$13))</f>
        <v>37904.65408</v>
      </c>
    </row>
    <row r="83" spans="1:33" s="70" customFormat="1">
      <c r="A83" s="56" t="s">
        <v>165</v>
      </c>
      <c r="B83" s="56" t="str">
        <f>VLOOKUP(A83,'CENTRO DE COSTOS'!A:D,4,FALSE)</f>
        <v>JUAN SEBASTIÁN RÍOS CASTRILLÓN</v>
      </c>
      <c r="C83" s="56" t="str">
        <f>VLOOKUP(A83,'CENTRO DE COSTOS'!A:D,2,FALSE)</f>
        <v>0004-0005</v>
      </c>
      <c r="D83" s="56">
        <v>5809</v>
      </c>
      <c r="E83" s="56">
        <v>2760041</v>
      </c>
      <c r="F83" s="56">
        <v>57362</v>
      </c>
      <c r="G83" s="56" t="s">
        <v>1250</v>
      </c>
      <c r="H83" s="56" t="s">
        <v>152</v>
      </c>
      <c r="I83" s="56" t="s">
        <v>320</v>
      </c>
      <c r="J83" s="56" t="s">
        <v>1614</v>
      </c>
      <c r="K83" s="56" t="s">
        <v>107</v>
      </c>
      <c r="L83" s="56" t="s">
        <v>1615</v>
      </c>
      <c r="M83" s="103">
        <v>45918.445138888892</v>
      </c>
      <c r="N83" s="103">
        <v>45919.463194444441</v>
      </c>
      <c r="O83" s="56" t="s">
        <v>1253</v>
      </c>
      <c r="P83" s="56" t="s">
        <v>1254</v>
      </c>
      <c r="Q83" s="56" t="s">
        <v>1271</v>
      </c>
      <c r="R83" s="56" t="s">
        <v>1272</v>
      </c>
      <c r="S83" s="78"/>
      <c r="T83" s="78"/>
      <c r="U83" s="56" t="s">
        <v>1257</v>
      </c>
      <c r="V83" s="56" t="s">
        <v>1616</v>
      </c>
      <c r="W83" s="56" t="s">
        <v>1266</v>
      </c>
      <c r="X83" s="56" t="s">
        <v>1617</v>
      </c>
      <c r="Y83" s="56" t="s">
        <v>114</v>
      </c>
      <c r="Z83" s="56" t="s">
        <v>115</v>
      </c>
      <c r="AA83" s="56" t="s">
        <v>1474</v>
      </c>
      <c r="AB83" s="56">
        <v>1</v>
      </c>
      <c r="AC83" s="56">
        <v>0</v>
      </c>
      <c r="AD83" s="56">
        <v>0</v>
      </c>
      <c r="AE83" s="56">
        <v>0</v>
      </c>
      <c r="AF83" s="69">
        <f>IF(W83="SOPORTE_TELEFÓNICO",'BASE LIQUIDACION'!$B$10,IF(Y83="TIPO I",'BASE LIQUIDACION'!$C$3,IF(Y83="TIPO II",'BASE LIQUIDACION'!$C$4,IF(Y83="TIPO III",'BASE LIQUIDACION'!$C$5,'BASE LIQUIDACION'!$C$7))))</f>
        <v>163813.55812</v>
      </c>
      <c r="AG83" s="90">
        <f>IF(W83="SOPORTE_TELEFÓNICO",'BASE LIQUIDACION'!$B$10,(AB83*AF83+AC83*'BASE LIQUIDACION'!$B$12+AD83*'BASE LIQUIDACION'!$B$11+INCIDENTES!AE83*'BASE LIQUIDACION'!$B$13))</f>
        <v>163813.55812</v>
      </c>
    </row>
    <row r="84" spans="1:33" s="70" customFormat="1">
      <c r="A84" s="56" t="s">
        <v>165</v>
      </c>
      <c r="B84" s="56" t="str">
        <f>VLOOKUP(A84,'CENTRO DE COSTOS'!A:D,4,FALSE)</f>
        <v>JUAN SEBASTIÁN RÍOS CASTRILLÓN</v>
      </c>
      <c r="C84" s="56" t="str">
        <f>VLOOKUP(A84,'CENTRO DE COSTOS'!A:D,2,FALSE)</f>
        <v>0004-0005</v>
      </c>
      <c r="D84" s="56">
        <v>5088</v>
      </c>
      <c r="E84" s="56">
        <v>2759288</v>
      </c>
      <c r="F84" s="56">
        <v>30086</v>
      </c>
      <c r="G84" s="56" t="s">
        <v>1250</v>
      </c>
      <c r="H84" s="56" t="s">
        <v>152</v>
      </c>
      <c r="I84" s="56" t="s">
        <v>243</v>
      </c>
      <c r="J84" s="56" t="s">
        <v>1618</v>
      </c>
      <c r="K84" s="56" t="s">
        <v>107</v>
      </c>
      <c r="L84" s="56" t="s">
        <v>1619</v>
      </c>
      <c r="M84" s="103">
        <v>45918.401388888888</v>
      </c>
      <c r="N84" s="103">
        <v>45918.663888888892</v>
      </c>
      <c r="O84" s="56" t="s">
        <v>1253</v>
      </c>
      <c r="P84" s="56" t="s">
        <v>1254</v>
      </c>
      <c r="Q84" s="56" t="s">
        <v>1348</v>
      </c>
      <c r="R84" s="56" t="s">
        <v>1277</v>
      </c>
      <c r="S84" s="78"/>
      <c r="T84" s="78"/>
      <c r="U84" s="56" t="s">
        <v>1257</v>
      </c>
      <c r="V84" s="56" t="s">
        <v>1620</v>
      </c>
      <c r="W84" s="56" t="s">
        <v>1259</v>
      </c>
      <c r="X84" s="56">
        <v>0</v>
      </c>
      <c r="Y84" s="56" t="s">
        <v>138</v>
      </c>
      <c r="Z84" s="56" t="s">
        <v>115</v>
      </c>
      <c r="AA84" s="56" t="s">
        <v>1621</v>
      </c>
      <c r="AB84" s="56">
        <v>0</v>
      </c>
      <c r="AC84" s="56">
        <v>0</v>
      </c>
      <c r="AD84" s="56">
        <v>0</v>
      </c>
      <c r="AE84" s="56">
        <v>0</v>
      </c>
      <c r="AF84" s="69">
        <f>IF(W84="SOPORTE_TELEFÓNICO",'BASE LIQUIDACION'!$B$10,IF(Y84="TIPO I",'BASE LIQUIDACION'!$C$3,IF(Y84="TIPO II",'BASE LIQUIDACION'!$C$4,IF(Y84="TIPO III",'BASE LIQUIDACION'!$C$5,'BASE LIQUIDACION'!$C$7))))</f>
        <v>37904.65408</v>
      </c>
      <c r="AG84" s="90">
        <f>IF(W84="SOPORTE_TELEFÓNICO",'BASE LIQUIDACION'!$B$10,(AB84*AF84+AC84*'BASE LIQUIDACION'!$B$12+AD84*'BASE LIQUIDACION'!$B$11+INCIDENTES!AE84*'BASE LIQUIDACION'!$B$13))</f>
        <v>37904.65408</v>
      </c>
    </row>
    <row r="85" spans="1:33" s="70" customFormat="1">
      <c r="A85" s="56" t="s">
        <v>539</v>
      </c>
      <c r="B85" s="56" t="str">
        <f>VLOOKUP(A85,'CENTRO DE COSTOS'!A:D,4,FALSE)</f>
        <v>KEVIN ALEXIS CORZO BUSTOS</v>
      </c>
      <c r="C85" s="56" t="str">
        <f>VLOOKUP(A85,'CENTRO DE COSTOS'!A:D,2,FALSE)</f>
        <v>0004-0007</v>
      </c>
      <c r="D85" s="56">
        <v>73268</v>
      </c>
      <c r="E85" s="56">
        <v>2758985</v>
      </c>
      <c r="F85" s="56">
        <v>19851</v>
      </c>
      <c r="G85" s="56" t="s">
        <v>1250</v>
      </c>
      <c r="H85" s="56" t="s">
        <v>1144</v>
      </c>
      <c r="I85" s="56" t="s">
        <v>1159</v>
      </c>
      <c r="J85" s="56" t="s">
        <v>1622</v>
      </c>
      <c r="K85" s="56" t="s">
        <v>107</v>
      </c>
      <c r="L85" s="56" t="s">
        <v>1623</v>
      </c>
      <c r="M85" s="103">
        <v>45918.382638888892</v>
      </c>
      <c r="N85" s="103">
        <v>45919.381249999999</v>
      </c>
      <c r="O85" s="56" t="s">
        <v>1253</v>
      </c>
      <c r="P85" s="56" t="s">
        <v>1254</v>
      </c>
      <c r="Q85" s="56" t="s">
        <v>1271</v>
      </c>
      <c r="R85" s="56" t="s">
        <v>1277</v>
      </c>
      <c r="S85" s="78"/>
      <c r="T85" s="78"/>
      <c r="U85" s="56" t="s">
        <v>1257</v>
      </c>
      <c r="V85" s="56" t="s">
        <v>1624</v>
      </c>
      <c r="W85" s="56" t="s">
        <v>1266</v>
      </c>
      <c r="X85" s="56" t="s">
        <v>1625</v>
      </c>
      <c r="Y85" s="56" t="s">
        <v>114</v>
      </c>
      <c r="Z85" s="56" t="s">
        <v>115</v>
      </c>
      <c r="AA85" s="56" t="s">
        <v>1626</v>
      </c>
      <c r="AB85" s="56">
        <v>1</v>
      </c>
      <c r="AC85" s="56">
        <v>0</v>
      </c>
      <c r="AD85" s="56">
        <v>0</v>
      </c>
      <c r="AE85" s="56">
        <v>0</v>
      </c>
      <c r="AF85" s="69">
        <f>IF(W85="SOPORTE_TELEFÓNICO",'BASE LIQUIDACION'!$B$10,IF(Y85="TIPO I",'BASE LIQUIDACION'!$C$3,IF(Y85="TIPO II",'BASE LIQUIDACION'!$C$4,IF(Y85="TIPO III",'BASE LIQUIDACION'!$C$5,'BASE LIQUIDACION'!$C$7))))</f>
        <v>163813.55812</v>
      </c>
      <c r="AG85" s="90">
        <f>IF(W85="SOPORTE_TELEFÓNICO",'BASE LIQUIDACION'!$B$10,(AB85*AF85+AC85*'BASE LIQUIDACION'!$B$12+AD85*'BASE LIQUIDACION'!$B$11+INCIDENTES!AE85*'BASE LIQUIDACION'!$B$13))</f>
        <v>163813.55812</v>
      </c>
    </row>
    <row r="86" spans="1:33" s="70" customFormat="1">
      <c r="A86" s="56" t="s">
        <v>165</v>
      </c>
      <c r="B86" s="56" t="str">
        <f>VLOOKUP(A86,'CENTRO DE COSTOS'!A:D,4,FALSE)</f>
        <v>JUAN SEBASTIÁN RÍOS CASTRILLÓN</v>
      </c>
      <c r="C86" s="56" t="str">
        <f>VLOOKUP(A86,'CENTRO DE COSTOS'!A:D,2,FALSE)</f>
        <v>0004-0005</v>
      </c>
      <c r="D86" s="56">
        <v>5001</v>
      </c>
      <c r="E86" s="56">
        <v>2757070</v>
      </c>
      <c r="F86" s="56">
        <v>52519</v>
      </c>
      <c r="G86" s="56" t="s">
        <v>1250</v>
      </c>
      <c r="H86" s="56" t="s">
        <v>152</v>
      </c>
      <c r="I86" s="56" t="s">
        <v>165</v>
      </c>
      <c r="J86" s="56" t="s">
        <v>1627</v>
      </c>
      <c r="K86" s="56" t="s">
        <v>107</v>
      </c>
      <c r="L86" s="56" t="s">
        <v>1628</v>
      </c>
      <c r="M86" s="103">
        <v>45917.699305555558</v>
      </c>
      <c r="N86" s="103">
        <v>45918.638194444437</v>
      </c>
      <c r="O86" s="56" t="s">
        <v>1253</v>
      </c>
      <c r="P86" s="56" t="s">
        <v>1341</v>
      </c>
      <c r="Q86" s="56" t="s">
        <v>1342</v>
      </c>
      <c r="R86" s="56" t="s">
        <v>1343</v>
      </c>
      <c r="S86" s="78"/>
      <c r="T86" s="78"/>
      <c r="U86" s="56" t="s">
        <v>1257</v>
      </c>
      <c r="V86" s="56" t="s">
        <v>1629</v>
      </c>
      <c r="W86" s="56" t="s">
        <v>1266</v>
      </c>
      <c r="X86" s="56" t="s">
        <v>1630</v>
      </c>
      <c r="Y86" s="56" t="s">
        <v>138</v>
      </c>
      <c r="Z86" s="56" t="s">
        <v>115</v>
      </c>
      <c r="AA86" s="56" t="s">
        <v>1592</v>
      </c>
      <c r="AB86" s="56">
        <v>1</v>
      </c>
      <c r="AC86" s="56">
        <v>0</v>
      </c>
      <c r="AD86" s="56">
        <v>0</v>
      </c>
      <c r="AE86" s="56">
        <v>0</v>
      </c>
      <c r="AF86" s="69">
        <f>IF(W86="SOPORTE_TELEFÓNICO",'BASE LIQUIDACION'!$B$10,IF(Y86="TIPO I",'BASE LIQUIDACION'!$C$3,IF(Y86="TIPO II",'BASE LIQUIDACION'!$C$4,IF(Y86="TIPO III",'BASE LIQUIDACION'!$C$5,'BASE LIQUIDACION'!$C$7))))</f>
        <v>65960.473639999997</v>
      </c>
      <c r="AG86" s="90">
        <f>IF(W86="SOPORTE_TELEFÓNICO",'BASE LIQUIDACION'!$B$10,(AB86*AF86+AC86*'BASE LIQUIDACION'!$B$12+AD86*'BASE LIQUIDACION'!$B$11+INCIDENTES!AE86*'BASE LIQUIDACION'!$B$13))</f>
        <v>65960.473639999997</v>
      </c>
    </row>
    <row r="87" spans="1:33" s="70" customFormat="1">
      <c r="A87" s="56" t="s">
        <v>100</v>
      </c>
      <c r="B87" s="56" t="str">
        <f>VLOOKUP(A87,'CENTRO DE COSTOS'!A:D,4,FALSE)</f>
        <v>DIEGO FERNANDO HENAO CARDONA</v>
      </c>
      <c r="C87" s="56" t="str">
        <f>VLOOKUP(A87,'CENTRO DE COSTOS'!A:D,2,FALSE)</f>
        <v>0004-0003</v>
      </c>
      <c r="D87" s="56">
        <v>52356</v>
      </c>
      <c r="E87" s="56" t="s">
        <v>1631</v>
      </c>
      <c r="F87" s="56">
        <v>25904</v>
      </c>
      <c r="G87" s="56" t="s">
        <v>1250</v>
      </c>
      <c r="H87" s="56" t="s">
        <v>104</v>
      </c>
      <c r="I87" s="56" t="s">
        <v>160</v>
      </c>
      <c r="J87" s="56" t="s">
        <v>1632</v>
      </c>
      <c r="K87" s="56" t="s">
        <v>107</v>
      </c>
      <c r="L87" s="56" t="s">
        <v>1633</v>
      </c>
      <c r="M87" s="103">
        <v>45917.635416666657</v>
      </c>
      <c r="N87" s="103">
        <v>45917.739583333343</v>
      </c>
      <c r="O87" s="56" t="s">
        <v>1253</v>
      </c>
      <c r="P87" s="56" t="s">
        <v>1254</v>
      </c>
      <c r="Q87" s="56" t="s">
        <v>1271</v>
      </c>
      <c r="R87" s="56" t="s">
        <v>1272</v>
      </c>
      <c r="S87" s="78"/>
      <c r="T87" s="78"/>
      <c r="U87" s="56" t="s">
        <v>1257</v>
      </c>
      <c r="V87" s="56" t="s">
        <v>1634</v>
      </c>
      <c r="W87" s="56" t="s">
        <v>1259</v>
      </c>
      <c r="X87" s="56">
        <v>0</v>
      </c>
      <c r="Y87" s="56" t="s">
        <v>114</v>
      </c>
      <c r="Z87" s="56" t="s">
        <v>115</v>
      </c>
      <c r="AA87" s="56" t="s">
        <v>1260</v>
      </c>
      <c r="AB87" s="56">
        <v>0</v>
      </c>
      <c r="AC87" s="56">
        <v>0</v>
      </c>
      <c r="AD87" s="56">
        <v>0</v>
      </c>
      <c r="AE87" s="56">
        <v>0</v>
      </c>
      <c r="AF87" s="69">
        <f>IF(W87="SOPORTE_TELEFÓNICO",'BASE LIQUIDACION'!$B$10,IF(Y87="TIPO I",'BASE LIQUIDACION'!$C$3,IF(Y87="TIPO II",'BASE LIQUIDACION'!$C$4,IF(Y87="TIPO III",'BASE LIQUIDACION'!$C$5,'BASE LIQUIDACION'!$C$7))))</f>
        <v>37904.65408</v>
      </c>
      <c r="AG87" s="90">
        <f>IF(W87="SOPORTE_TELEFÓNICO",'BASE LIQUIDACION'!$B$10,(AB87*AF87+AC87*'BASE LIQUIDACION'!$B$12+AD87*'BASE LIQUIDACION'!$B$11+INCIDENTES!AE87*'BASE LIQUIDACION'!$B$13))</f>
        <v>37904.65408</v>
      </c>
    </row>
    <row r="88" spans="1:33" s="70" customFormat="1">
      <c r="A88" s="56" t="s">
        <v>529</v>
      </c>
      <c r="B88" s="56" t="str">
        <f>VLOOKUP(A88,'CENTRO DE COSTOS'!A:D,4,FALSE)</f>
        <v>DIEGO FERNANDO HENAO CARDONA</v>
      </c>
      <c r="C88" s="56" t="str">
        <f>VLOOKUP(A88,'CENTRO DE COSTOS'!A:D,2,FALSE)</f>
        <v>0004-0002</v>
      </c>
      <c r="D88" s="56">
        <v>17001</v>
      </c>
      <c r="E88" s="56">
        <v>2755850</v>
      </c>
      <c r="F88" s="56">
        <v>81145</v>
      </c>
      <c r="G88" s="56" t="s">
        <v>1250</v>
      </c>
      <c r="H88" s="56" t="s">
        <v>214</v>
      </c>
      <c r="I88" s="56" t="s">
        <v>529</v>
      </c>
      <c r="J88" s="56" t="s">
        <v>1635</v>
      </c>
      <c r="K88" s="56" t="s">
        <v>107</v>
      </c>
      <c r="L88" s="56" t="s">
        <v>1636</v>
      </c>
      <c r="M88" s="103">
        <v>45917.623611111107</v>
      </c>
      <c r="N88" s="103">
        <v>45918.60833333333</v>
      </c>
      <c r="O88" s="56" t="s">
        <v>1253</v>
      </c>
      <c r="P88" s="56" t="s">
        <v>1254</v>
      </c>
      <c r="Q88" s="56" t="s">
        <v>1271</v>
      </c>
      <c r="R88" s="56" t="s">
        <v>1277</v>
      </c>
      <c r="S88" s="78"/>
      <c r="T88" s="78"/>
      <c r="U88" s="56" t="s">
        <v>1257</v>
      </c>
      <c r="V88" s="56" t="s">
        <v>1637</v>
      </c>
      <c r="W88" s="56" t="s">
        <v>1259</v>
      </c>
      <c r="X88" s="56">
        <v>0</v>
      </c>
      <c r="Y88" s="56" t="s">
        <v>138</v>
      </c>
      <c r="Z88" s="56" t="s">
        <v>115</v>
      </c>
      <c r="AA88" s="56" t="s">
        <v>1638</v>
      </c>
      <c r="AB88" s="56">
        <v>0</v>
      </c>
      <c r="AC88" s="56">
        <v>0</v>
      </c>
      <c r="AD88" s="56">
        <v>0</v>
      </c>
      <c r="AE88" s="56">
        <v>0</v>
      </c>
      <c r="AF88" s="69">
        <f>IF(W88="SOPORTE_TELEFÓNICO",'BASE LIQUIDACION'!$B$10,IF(Y88="TIPO I",'BASE LIQUIDACION'!$C$3,IF(Y88="TIPO II",'BASE LIQUIDACION'!$C$4,IF(Y88="TIPO III",'BASE LIQUIDACION'!$C$5,'BASE LIQUIDACION'!$C$7))))</f>
        <v>37904.65408</v>
      </c>
      <c r="AG88" s="90">
        <f>IF(W88="SOPORTE_TELEFÓNICO",'BASE LIQUIDACION'!$B$10,(AB88*AF88+AC88*'BASE LIQUIDACION'!$B$12+AD88*'BASE LIQUIDACION'!$B$11+INCIDENTES!AE88*'BASE LIQUIDACION'!$B$13))</f>
        <v>37904.65408</v>
      </c>
    </row>
    <row r="89" spans="1:33" s="70" customFormat="1">
      <c r="A89" s="56" t="s">
        <v>140</v>
      </c>
      <c r="B89" s="56" t="str">
        <f>VLOOKUP(A89,'CENTRO DE COSTOS'!A:D,4,FALSE)</f>
        <v>MIGUEL JULIÁN HERNÁNDEZ GUARÍN</v>
      </c>
      <c r="C89" s="56" t="str">
        <f>VLOOKUP(A89,'CENTRO DE COSTOS'!A:D,2,FALSE)</f>
        <v>0004-0008</v>
      </c>
      <c r="D89" s="56">
        <v>68001</v>
      </c>
      <c r="E89" s="56">
        <v>2755205</v>
      </c>
      <c r="F89" s="56">
        <v>47890</v>
      </c>
      <c r="G89" s="56" t="s">
        <v>1250</v>
      </c>
      <c r="H89" s="56" t="s">
        <v>142</v>
      </c>
      <c r="I89" s="56" t="s">
        <v>140</v>
      </c>
      <c r="J89" s="56" t="s">
        <v>1639</v>
      </c>
      <c r="K89" s="56" t="s">
        <v>107</v>
      </c>
      <c r="L89" s="56" t="s">
        <v>1640</v>
      </c>
      <c r="M89" s="103">
        <v>45917.561111111107</v>
      </c>
      <c r="N89" s="103">
        <v>45918.51666666667</v>
      </c>
      <c r="O89" s="56" t="s">
        <v>1253</v>
      </c>
      <c r="P89" s="56" t="s">
        <v>1254</v>
      </c>
      <c r="Q89" s="56" t="s">
        <v>1271</v>
      </c>
      <c r="R89" s="56" t="s">
        <v>1277</v>
      </c>
      <c r="S89" s="78"/>
      <c r="T89" s="78"/>
      <c r="U89" s="56" t="s">
        <v>1257</v>
      </c>
      <c r="V89" s="56" t="s">
        <v>1641</v>
      </c>
      <c r="W89" s="56" t="s">
        <v>1266</v>
      </c>
      <c r="X89" s="56" t="s">
        <v>1642</v>
      </c>
      <c r="Y89" s="56" t="s">
        <v>138</v>
      </c>
      <c r="Z89" s="56" t="s">
        <v>115</v>
      </c>
      <c r="AA89" s="56" t="s">
        <v>1643</v>
      </c>
      <c r="AB89" s="56">
        <v>1</v>
      </c>
      <c r="AC89" s="56">
        <v>0</v>
      </c>
      <c r="AD89" s="56">
        <v>0</v>
      </c>
      <c r="AE89" s="56">
        <v>0</v>
      </c>
      <c r="AF89" s="69">
        <f>IF(W89="SOPORTE_TELEFÓNICO",'BASE LIQUIDACION'!$B$10,IF(Y89="TIPO I",'BASE LIQUIDACION'!$C$3,IF(Y89="TIPO II",'BASE LIQUIDACION'!$C$4,IF(Y89="TIPO III",'BASE LIQUIDACION'!$C$5,'BASE LIQUIDACION'!$C$7))))</f>
        <v>65960.473639999997</v>
      </c>
      <c r="AG89" s="90">
        <f>IF(W89="SOPORTE_TELEFÓNICO",'BASE LIQUIDACION'!$B$10,(AB89*AF89+AC89*'BASE LIQUIDACION'!$B$12+AD89*'BASE LIQUIDACION'!$B$11+INCIDENTES!AE89*'BASE LIQUIDACION'!$B$13))</f>
        <v>65960.473639999997</v>
      </c>
    </row>
    <row r="90" spans="1:33" s="70" customFormat="1">
      <c r="A90" s="56" t="s">
        <v>165</v>
      </c>
      <c r="B90" s="56" t="str">
        <f>VLOOKUP(A90,'CENTRO DE COSTOS'!A:D,4,FALSE)</f>
        <v>JUAN SEBASTIÁN RÍOS CASTRILLÓN</v>
      </c>
      <c r="C90" s="56" t="str">
        <f>VLOOKUP(A90,'CENTRO DE COSTOS'!A:D,2,FALSE)</f>
        <v>0004-0005</v>
      </c>
      <c r="D90" s="56">
        <v>5088</v>
      </c>
      <c r="E90" s="56">
        <v>2755121</v>
      </c>
      <c r="F90" s="56">
        <v>80316</v>
      </c>
      <c r="G90" s="56" t="s">
        <v>1250</v>
      </c>
      <c r="H90" s="56" t="s">
        <v>152</v>
      </c>
      <c r="I90" s="56" t="s">
        <v>243</v>
      </c>
      <c r="J90" s="56" t="s">
        <v>1644</v>
      </c>
      <c r="K90" s="56" t="s">
        <v>107</v>
      </c>
      <c r="L90" s="56" t="s">
        <v>1645</v>
      </c>
      <c r="M90" s="103">
        <v>45917.527083333327</v>
      </c>
      <c r="N90" s="103">
        <v>45918.510416666657</v>
      </c>
      <c r="O90" s="56" t="s">
        <v>1253</v>
      </c>
      <c r="P90" s="56" t="s">
        <v>1254</v>
      </c>
      <c r="Q90" s="56" t="s">
        <v>1263</v>
      </c>
      <c r="R90" s="56" t="s">
        <v>1264</v>
      </c>
      <c r="S90" s="78"/>
      <c r="T90" s="78"/>
      <c r="U90" s="56" t="s">
        <v>1257</v>
      </c>
      <c r="V90" s="56" t="s">
        <v>1646</v>
      </c>
      <c r="W90" s="56" t="s">
        <v>1266</v>
      </c>
      <c r="X90" s="56" t="s">
        <v>1647</v>
      </c>
      <c r="Y90" s="56" t="s">
        <v>138</v>
      </c>
      <c r="Z90" s="56" t="s">
        <v>115</v>
      </c>
      <c r="AA90" s="56" t="s">
        <v>1648</v>
      </c>
      <c r="AB90" s="56">
        <v>1</v>
      </c>
      <c r="AC90" s="56">
        <v>0</v>
      </c>
      <c r="AD90" s="56">
        <v>0</v>
      </c>
      <c r="AE90" s="56">
        <v>0</v>
      </c>
      <c r="AF90" s="69">
        <f>IF(W90="SOPORTE_TELEFÓNICO",'BASE LIQUIDACION'!$B$10,IF(Y90="TIPO I",'BASE LIQUIDACION'!$C$3,IF(Y90="TIPO II",'BASE LIQUIDACION'!$C$4,IF(Y90="TIPO III",'BASE LIQUIDACION'!$C$5,'BASE LIQUIDACION'!$C$7))))</f>
        <v>65960.473639999997</v>
      </c>
      <c r="AG90" s="90">
        <f>IF(W90="SOPORTE_TELEFÓNICO",'BASE LIQUIDACION'!$B$10,(AB90*AF90+AC90*'BASE LIQUIDACION'!$B$12+AD90*'BASE LIQUIDACION'!$B$11+INCIDENTES!AE90*'BASE LIQUIDACION'!$B$13))</f>
        <v>65960.473639999997</v>
      </c>
    </row>
    <row r="91" spans="1:33" s="70" customFormat="1">
      <c r="A91" s="56" t="s">
        <v>165</v>
      </c>
      <c r="B91" s="56" t="str">
        <f>VLOOKUP(A91,'CENTRO DE COSTOS'!A:D,4,FALSE)</f>
        <v>JUAN SEBASTIÁN RÍOS CASTRILLÓN</v>
      </c>
      <c r="C91" s="56" t="str">
        <f>VLOOKUP(A91,'CENTRO DE COSTOS'!A:D,2,FALSE)</f>
        <v>0004-0005</v>
      </c>
      <c r="D91" s="56">
        <v>5607</v>
      </c>
      <c r="E91" s="56">
        <v>2754158</v>
      </c>
      <c r="F91" s="56">
        <v>36661</v>
      </c>
      <c r="G91" s="56" t="s">
        <v>1250</v>
      </c>
      <c r="H91" s="56" t="s">
        <v>152</v>
      </c>
      <c r="I91" s="56" t="s">
        <v>300</v>
      </c>
      <c r="J91" s="56" t="s">
        <v>1649</v>
      </c>
      <c r="K91" s="56" t="s">
        <v>107</v>
      </c>
      <c r="L91" s="56" t="s">
        <v>1650</v>
      </c>
      <c r="M91" s="103">
        <v>45917.459027777782</v>
      </c>
      <c r="N91" s="103">
        <v>45918.75</v>
      </c>
      <c r="O91" s="56" t="s">
        <v>1253</v>
      </c>
      <c r="P91" s="56" t="s">
        <v>1254</v>
      </c>
      <c r="Q91" s="56" t="s">
        <v>1271</v>
      </c>
      <c r="R91" s="56" t="s">
        <v>1277</v>
      </c>
      <c r="S91" s="78"/>
      <c r="T91" s="78"/>
      <c r="U91" s="56" t="s">
        <v>1257</v>
      </c>
      <c r="V91" s="56" t="s">
        <v>1651</v>
      </c>
      <c r="W91" s="56" t="s">
        <v>1266</v>
      </c>
      <c r="X91" s="56" t="s">
        <v>1652</v>
      </c>
      <c r="Y91" s="56" t="s">
        <v>114</v>
      </c>
      <c r="Z91" s="56" t="s">
        <v>115</v>
      </c>
      <c r="AA91" s="56" t="s">
        <v>173</v>
      </c>
      <c r="AB91" s="56">
        <v>1</v>
      </c>
      <c r="AC91" s="56">
        <v>0</v>
      </c>
      <c r="AD91" s="56">
        <v>0</v>
      </c>
      <c r="AE91" s="56">
        <v>0</v>
      </c>
      <c r="AF91" s="69">
        <f>IF(W91="SOPORTE_TELEFÓNICO",'BASE LIQUIDACION'!$B$10,IF(Y91="TIPO I",'BASE LIQUIDACION'!$C$3,IF(Y91="TIPO II",'BASE LIQUIDACION'!$C$4,IF(Y91="TIPO III",'BASE LIQUIDACION'!$C$5,'BASE LIQUIDACION'!$C$7))))</f>
        <v>163813.55812</v>
      </c>
      <c r="AG91" s="90">
        <f>IF(W91="SOPORTE_TELEFÓNICO",'BASE LIQUIDACION'!$B$10,(AB91*AF91+AC91*'BASE LIQUIDACION'!$B$12+AD91*'BASE LIQUIDACION'!$B$11+INCIDENTES!AE91*'BASE LIQUIDACION'!$B$13))</f>
        <v>163813.55812</v>
      </c>
    </row>
    <row r="92" spans="1:33" s="70" customFormat="1">
      <c r="A92" s="56" t="s">
        <v>174</v>
      </c>
      <c r="B92" s="56" t="str">
        <f>VLOOKUP(A92,'CENTRO DE COSTOS'!A:D,4,FALSE)</f>
        <v>KEVIN ALEXIS CORZO BUSTOS</v>
      </c>
      <c r="C92" s="56" t="str">
        <f>VLOOKUP(A92,'CENTRO DE COSTOS'!A:D,2,FALSE)</f>
        <v>0004-0007</v>
      </c>
      <c r="D92" s="56">
        <v>50318</v>
      </c>
      <c r="E92" s="56">
        <v>2753925</v>
      </c>
      <c r="F92" s="56">
        <v>78805</v>
      </c>
      <c r="G92" s="56" t="s">
        <v>1250</v>
      </c>
      <c r="H92" s="56" t="s">
        <v>176</v>
      </c>
      <c r="I92" s="56" t="s">
        <v>879</v>
      </c>
      <c r="J92" s="56" t="s">
        <v>1653</v>
      </c>
      <c r="K92" s="56" t="s">
        <v>107</v>
      </c>
      <c r="L92" s="56" t="s">
        <v>1654</v>
      </c>
      <c r="M92" s="103">
        <v>45917.444444444453</v>
      </c>
      <c r="N92" s="103">
        <v>45918.561805555553</v>
      </c>
      <c r="O92" s="56" t="s">
        <v>1253</v>
      </c>
      <c r="P92" s="56" t="s">
        <v>1254</v>
      </c>
      <c r="Q92" s="56" t="s">
        <v>1271</v>
      </c>
      <c r="R92" s="56" t="s">
        <v>1277</v>
      </c>
      <c r="S92" s="78"/>
      <c r="T92" s="78"/>
      <c r="U92" s="56" t="s">
        <v>1257</v>
      </c>
      <c r="V92" s="56" t="s">
        <v>1655</v>
      </c>
      <c r="W92" s="56" t="s">
        <v>1266</v>
      </c>
      <c r="X92" s="56" t="s">
        <v>1656</v>
      </c>
      <c r="Y92" s="56" t="s">
        <v>114</v>
      </c>
      <c r="Z92" s="56" t="s">
        <v>115</v>
      </c>
      <c r="AA92" s="56" t="s">
        <v>1470</v>
      </c>
      <c r="AB92" s="56">
        <v>1</v>
      </c>
      <c r="AC92" s="56">
        <v>0</v>
      </c>
      <c r="AD92" s="56">
        <v>0</v>
      </c>
      <c r="AE92" s="56">
        <v>0</v>
      </c>
      <c r="AF92" s="69">
        <f>IF(W92="SOPORTE_TELEFÓNICO",'BASE LIQUIDACION'!$B$10,IF(Y92="TIPO I",'BASE LIQUIDACION'!$C$3,IF(Y92="TIPO II",'BASE LIQUIDACION'!$C$4,IF(Y92="TIPO III",'BASE LIQUIDACION'!$C$5,'BASE LIQUIDACION'!$C$7))))</f>
        <v>163813.55812</v>
      </c>
      <c r="AG92" s="90">
        <f>IF(W92="SOPORTE_TELEFÓNICO",'BASE LIQUIDACION'!$B$10,(AB92*AF92+AC92*'BASE LIQUIDACION'!$B$12+AD92*'BASE LIQUIDACION'!$B$11+INCIDENTES!AE92*'BASE LIQUIDACION'!$B$13))</f>
        <v>163813.55812</v>
      </c>
    </row>
    <row r="93" spans="1:33" s="70" customFormat="1">
      <c r="A93" s="56" t="s">
        <v>174</v>
      </c>
      <c r="B93" s="56" t="str">
        <f>VLOOKUP(A93,'CENTRO DE COSTOS'!A:D,4,FALSE)</f>
        <v>KEVIN ALEXIS CORZO BUSTOS</v>
      </c>
      <c r="C93" s="56" t="str">
        <f>VLOOKUP(A93,'CENTRO DE COSTOS'!A:D,2,FALSE)</f>
        <v>0004-0007</v>
      </c>
      <c r="D93" s="56">
        <v>50313</v>
      </c>
      <c r="E93" s="56">
        <v>2753054</v>
      </c>
      <c r="F93" s="56">
        <v>80529</v>
      </c>
      <c r="G93" s="56" t="s">
        <v>1250</v>
      </c>
      <c r="H93" s="56" t="s">
        <v>176</v>
      </c>
      <c r="I93" s="56" t="s">
        <v>217</v>
      </c>
      <c r="J93" s="56" t="s">
        <v>1657</v>
      </c>
      <c r="K93" s="56" t="s">
        <v>107</v>
      </c>
      <c r="L93" s="56" t="s">
        <v>1658</v>
      </c>
      <c r="M93" s="103">
        <v>45917.398611111108</v>
      </c>
      <c r="N93" s="103">
        <v>45918.551388888889</v>
      </c>
      <c r="O93" s="56" t="s">
        <v>1253</v>
      </c>
      <c r="P93" s="56" t="s">
        <v>1254</v>
      </c>
      <c r="Q93" s="56" t="s">
        <v>1348</v>
      </c>
      <c r="R93" s="56" t="s">
        <v>1277</v>
      </c>
      <c r="S93" s="78"/>
      <c r="T93" s="78"/>
      <c r="U93" s="56" t="s">
        <v>1257</v>
      </c>
      <c r="V93" s="56" t="s">
        <v>1659</v>
      </c>
      <c r="W93" s="56" t="s">
        <v>1266</v>
      </c>
      <c r="X93" s="56" t="s">
        <v>1660</v>
      </c>
      <c r="Y93" s="56" t="s">
        <v>114</v>
      </c>
      <c r="Z93" s="56" t="s">
        <v>115</v>
      </c>
      <c r="AA93" s="56" t="s">
        <v>1470</v>
      </c>
      <c r="AB93" s="56">
        <v>1</v>
      </c>
      <c r="AC93" s="56">
        <v>0</v>
      </c>
      <c r="AD93" s="56">
        <v>0</v>
      </c>
      <c r="AE93" s="56">
        <v>0</v>
      </c>
      <c r="AF93" s="69">
        <f>IF(W93="SOPORTE_TELEFÓNICO",'BASE LIQUIDACION'!$B$10,IF(Y93="TIPO I",'BASE LIQUIDACION'!$C$3,IF(Y93="TIPO II",'BASE LIQUIDACION'!$C$4,IF(Y93="TIPO III",'BASE LIQUIDACION'!$C$5,'BASE LIQUIDACION'!$C$7))))</f>
        <v>163813.55812</v>
      </c>
      <c r="AG93" s="90">
        <f>IF(W93="SOPORTE_TELEFÓNICO",'BASE LIQUIDACION'!$B$10,(AB93*AF93+AC93*'BASE LIQUIDACION'!$B$12+AD93*'BASE LIQUIDACION'!$B$11+INCIDENTES!AE93*'BASE LIQUIDACION'!$B$13))</f>
        <v>163813.55812</v>
      </c>
    </row>
    <row r="94" spans="1:33" s="70" customFormat="1">
      <c r="A94" s="56" t="s">
        <v>980</v>
      </c>
      <c r="B94" s="56" t="str">
        <f>VLOOKUP(A94,'CENTRO DE COSTOS'!A:D,4,FALSE)</f>
        <v>MIGUEL JULIÁN HERNÁNDEZ GUARÍN</v>
      </c>
      <c r="C94" s="56" t="str">
        <f>VLOOKUP(A94,'CENTRO DE COSTOS'!A:D,2,FALSE)</f>
        <v>0004-0008</v>
      </c>
      <c r="D94" s="56">
        <v>54874</v>
      </c>
      <c r="E94" s="56">
        <v>2752889</v>
      </c>
      <c r="F94" s="56">
        <v>60354</v>
      </c>
      <c r="G94" s="56" t="s">
        <v>1250</v>
      </c>
      <c r="H94" s="56" t="s">
        <v>979</v>
      </c>
      <c r="I94" s="56" t="s">
        <v>1016</v>
      </c>
      <c r="J94" s="56" t="s">
        <v>1661</v>
      </c>
      <c r="K94" s="56" t="s">
        <v>107</v>
      </c>
      <c r="L94" s="56" t="s">
        <v>1662</v>
      </c>
      <c r="M94" s="103">
        <v>45917.397916666669</v>
      </c>
      <c r="N94" s="103">
        <v>45917.710416666669</v>
      </c>
      <c r="O94" s="56" t="s">
        <v>1253</v>
      </c>
      <c r="P94" s="56" t="s">
        <v>1254</v>
      </c>
      <c r="Q94" s="56" t="s">
        <v>1271</v>
      </c>
      <c r="R94" s="56" t="s">
        <v>1272</v>
      </c>
      <c r="S94" s="78"/>
      <c r="T94" s="78"/>
      <c r="U94" s="56" t="s">
        <v>1257</v>
      </c>
      <c r="V94" s="56" t="s">
        <v>1663</v>
      </c>
      <c r="W94" s="56" t="s">
        <v>1266</v>
      </c>
      <c r="X94" s="56" t="s">
        <v>1664</v>
      </c>
      <c r="Y94" s="56" t="s">
        <v>138</v>
      </c>
      <c r="Z94" s="56" t="s">
        <v>115</v>
      </c>
      <c r="AA94" s="56" t="s">
        <v>1444</v>
      </c>
      <c r="AB94" s="56">
        <v>1</v>
      </c>
      <c r="AC94" s="56">
        <v>0</v>
      </c>
      <c r="AD94" s="56">
        <v>0</v>
      </c>
      <c r="AE94" s="56">
        <v>0</v>
      </c>
      <c r="AF94" s="69">
        <f>IF(W94="SOPORTE_TELEFÓNICO",'BASE LIQUIDACION'!$B$10,IF(Y94="TIPO I",'BASE LIQUIDACION'!$C$3,IF(Y94="TIPO II",'BASE LIQUIDACION'!$C$4,IF(Y94="TIPO III",'BASE LIQUIDACION'!$C$5,'BASE LIQUIDACION'!$C$7))))</f>
        <v>65960.473639999997</v>
      </c>
      <c r="AG94" s="90">
        <f>IF(W94="SOPORTE_TELEFÓNICO",'BASE LIQUIDACION'!$B$10,(AB94*AF94+AC94*'BASE LIQUIDACION'!$B$12+AD94*'BASE LIQUIDACION'!$B$11+INCIDENTES!AE94*'BASE LIQUIDACION'!$B$13))</f>
        <v>65960.473639999997</v>
      </c>
    </row>
    <row r="95" spans="1:33" s="70" customFormat="1">
      <c r="A95" s="56" t="s">
        <v>117</v>
      </c>
      <c r="B95" s="56" t="str">
        <f>VLOOKUP(A95,'CENTRO DE COSTOS'!A:D,4,FALSE)</f>
        <v>KEVIN ALEXIS CORZO BUSTOS</v>
      </c>
      <c r="C95" s="56" t="str">
        <f>VLOOKUP(A95,'CENTRO DE COSTOS'!A:D,2,FALSE)</f>
        <v>0004-0007</v>
      </c>
      <c r="D95" s="56">
        <v>41001</v>
      </c>
      <c r="E95" s="56">
        <v>2752973</v>
      </c>
      <c r="F95" s="56">
        <v>74529</v>
      </c>
      <c r="G95" s="56" t="s">
        <v>1250</v>
      </c>
      <c r="H95" s="56" t="s">
        <v>830</v>
      </c>
      <c r="I95" s="56" t="s">
        <v>117</v>
      </c>
      <c r="J95" s="56" t="s">
        <v>1665</v>
      </c>
      <c r="K95" s="56" t="s">
        <v>107</v>
      </c>
      <c r="L95" s="56" t="s">
        <v>1666</v>
      </c>
      <c r="M95" s="103">
        <v>45917.397222222222</v>
      </c>
      <c r="N95" s="103">
        <v>45917.691666666673</v>
      </c>
      <c r="O95" s="56" t="s">
        <v>1253</v>
      </c>
      <c r="P95" s="56" t="s">
        <v>1254</v>
      </c>
      <c r="Q95" s="56" t="s">
        <v>1271</v>
      </c>
      <c r="R95" s="56" t="s">
        <v>1277</v>
      </c>
      <c r="S95" s="78"/>
      <c r="T95" s="78"/>
      <c r="U95" s="56" t="s">
        <v>1257</v>
      </c>
      <c r="V95" s="56" t="s">
        <v>1667</v>
      </c>
      <c r="W95" s="56" t="s">
        <v>1266</v>
      </c>
      <c r="X95" s="56" t="s">
        <v>1668</v>
      </c>
      <c r="Y95" s="56" t="s">
        <v>138</v>
      </c>
      <c r="Z95" s="56" t="s">
        <v>115</v>
      </c>
      <c r="AA95" s="56" t="s">
        <v>1345</v>
      </c>
      <c r="AB95" s="56">
        <v>1</v>
      </c>
      <c r="AC95" s="56">
        <v>0</v>
      </c>
      <c r="AD95" s="56">
        <v>0</v>
      </c>
      <c r="AE95" s="56">
        <v>0</v>
      </c>
      <c r="AF95" s="69">
        <f>IF(W95="SOPORTE_TELEFÓNICO",'BASE LIQUIDACION'!$B$10,IF(Y95="TIPO I",'BASE LIQUIDACION'!$C$3,IF(Y95="TIPO II",'BASE LIQUIDACION'!$C$4,IF(Y95="TIPO III",'BASE LIQUIDACION'!$C$5,'BASE LIQUIDACION'!$C$7))))</f>
        <v>65960.473639999997</v>
      </c>
      <c r="AG95" s="90">
        <f>IF(W95="SOPORTE_TELEFÓNICO",'BASE LIQUIDACION'!$B$10,(AB95*AF95+AC95*'BASE LIQUIDACION'!$B$12+AD95*'BASE LIQUIDACION'!$B$11+INCIDENTES!AE95*'BASE LIQUIDACION'!$B$13))</f>
        <v>65960.473639999997</v>
      </c>
    </row>
    <row r="96" spans="1:33" s="70" customFormat="1">
      <c r="A96" s="56" t="s">
        <v>165</v>
      </c>
      <c r="B96" s="56" t="str">
        <f>VLOOKUP(A96,'CENTRO DE COSTOS'!A:D,4,FALSE)</f>
        <v>JUAN SEBASTIÁN RÍOS CASTRILLÓN</v>
      </c>
      <c r="C96" s="56" t="str">
        <f>VLOOKUP(A96,'CENTRO DE COSTOS'!A:D,2,FALSE)</f>
        <v>0004-0005</v>
      </c>
      <c r="D96" s="56">
        <v>5088</v>
      </c>
      <c r="E96" s="56">
        <v>2751447</v>
      </c>
      <c r="F96" s="56">
        <v>59783</v>
      </c>
      <c r="G96" s="56" t="s">
        <v>1250</v>
      </c>
      <c r="H96" s="56" t="s">
        <v>152</v>
      </c>
      <c r="I96" s="56" t="s">
        <v>243</v>
      </c>
      <c r="J96" s="56" t="s">
        <v>1669</v>
      </c>
      <c r="K96" s="56" t="s">
        <v>107</v>
      </c>
      <c r="L96" s="56" t="s">
        <v>1670</v>
      </c>
      <c r="M96" s="103">
        <v>45917.333333333343</v>
      </c>
      <c r="N96" s="103">
        <v>45917.413888888892</v>
      </c>
      <c r="O96" s="56" t="s">
        <v>1253</v>
      </c>
      <c r="P96" s="56" t="s">
        <v>1254</v>
      </c>
      <c r="Q96" s="56" t="s">
        <v>1255</v>
      </c>
      <c r="R96" s="56" t="s">
        <v>1256</v>
      </c>
      <c r="S96" s="78"/>
      <c r="T96" s="78"/>
      <c r="U96" s="56" t="s">
        <v>1257</v>
      </c>
      <c r="V96" s="56" t="s">
        <v>1671</v>
      </c>
      <c r="W96" s="56" t="s">
        <v>1259</v>
      </c>
      <c r="X96" s="56">
        <v>0</v>
      </c>
      <c r="Y96" s="56" t="s">
        <v>138</v>
      </c>
      <c r="Z96" s="56" t="s">
        <v>115</v>
      </c>
      <c r="AA96" s="56" t="s">
        <v>1672</v>
      </c>
      <c r="AB96" s="56">
        <v>0</v>
      </c>
      <c r="AC96" s="56">
        <v>0</v>
      </c>
      <c r="AD96" s="56">
        <v>0</v>
      </c>
      <c r="AE96" s="56">
        <v>0</v>
      </c>
      <c r="AF96" s="69">
        <f>IF(W96="SOPORTE_TELEFÓNICO",'BASE LIQUIDACION'!$B$10,IF(Y96="TIPO I",'BASE LIQUIDACION'!$C$3,IF(Y96="TIPO II",'BASE LIQUIDACION'!$C$4,IF(Y96="TIPO III",'BASE LIQUIDACION'!$C$5,'BASE LIQUIDACION'!$C$7))))</f>
        <v>37904.65408</v>
      </c>
      <c r="AG96" s="90">
        <f>IF(W96="SOPORTE_TELEFÓNICO",'BASE LIQUIDACION'!$B$10,(AB96*AF96+AC96*'BASE LIQUIDACION'!$B$12+AD96*'BASE LIQUIDACION'!$B$11+INCIDENTES!AE96*'BASE LIQUIDACION'!$B$13))</f>
        <v>37904.65408</v>
      </c>
    </row>
    <row r="97" spans="1:33" s="70" customFormat="1">
      <c r="A97" s="56" t="s">
        <v>131</v>
      </c>
      <c r="B97" s="56" t="str">
        <f>VLOOKUP(A97,'CENTRO DE COSTOS'!A:D,4,FALSE)</f>
        <v>MIGUEL JULIÁN HERNÁNDEZ GUARÍN</v>
      </c>
      <c r="C97" s="56" t="str">
        <f>VLOOKUP(A97,'CENTRO DE COSTOS'!A:D,2,FALSE)</f>
        <v>0004-0008</v>
      </c>
      <c r="D97" s="56">
        <v>15759</v>
      </c>
      <c r="E97" s="56">
        <v>2751618</v>
      </c>
      <c r="F97" s="56">
        <v>76327</v>
      </c>
      <c r="G97" s="56" t="s">
        <v>1250</v>
      </c>
      <c r="H97" s="56" t="s">
        <v>133</v>
      </c>
      <c r="I97" s="56" t="s">
        <v>501</v>
      </c>
      <c r="J97" s="56" t="s">
        <v>1673</v>
      </c>
      <c r="K97" s="56" t="s">
        <v>107</v>
      </c>
      <c r="L97" s="56" t="s">
        <v>1674</v>
      </c>
      <c r="M97" s="103">
        <v>45917.333333333343</v>
      </c>
      <c r="N97" s="103">
        <v>45917.667361111111</v>
      </c>
      <c r="O97" s="56" t="s">
        <v>1253</v>
      </c>
      <c r="P97" s="56" t="s">
        <v>1254</v>
      </c>
      <c r="Q97" s="56" t="s">
        <v>1263</v>
      </c>
      <c r="R97" s="56" t="s">
        <v>1264</v>
      </c>
      <c r="S97" s="78"/>
      <c r="T97" s="78"/>
      <c r="U97" s="56" t="s">
        <v>1257</v>
      </c>
      <c r="V97" s="56" t="s">
        <v>1675</v>
      </c>
      <c r="W97" s="56" t="s">
        <v>1266</v>
      </c>
      <c r="X97" s="56" t="s">
        <v>1676</v>
      </c>
      <c r="Y97" s="56" t="s">
        <v>114</v>
      </c>
      <c r="Z97" s="56" t="s">
        <v>115</v>
      </c>
      <c r="AA97" s="56" t="s">
        <v>1268</v>
      </c>
      <c r="AB97" s="56">
        <v>1</v>
      </c>
      <c r="AC97" s="56">
        <v>0</v>
      </c>
      <c r="AD97" s="56">
        <v>0</v>
      </c>
      <c r="AE97" s="56">
        <v>0</v>
      </c>
      <c r="AF97" s="69">
        <f>IF(W97="SOPORTE_TELEFÓNICO",'BASE LIQUIDACION'!$B$10,IF(Y97="TIPO I",'BASE LIQUIDACION'!$C$3,IF(Y97="TIPO II",'BASE LIQUIDACION'!$C$4,IF(Y97="TIPO III",'BASE LIQUIDACION'!$C$5,'BASE LIQUIDACION'!$C$7))))</f>
        <v>163813.55812</v>
      </c>
      <c r="AG97" s="90">
        <f>IF(W97="SOPORTE_TELEFÓNICO",'BASE LIQUIDACION'!$B$10,(AB97*AF97+AC97*'BASE LIQUIDACION'!$B$12+AD97*'BASE LIQUIDACION'!$B$11+INCIDENTES!AE97*'BASE LIQUIDACION'!$B$13))</f>
        <v>163813.55812</v>
      </c>
    </row>
    <row r="98" spans="1:33" s="70" customFormat="1">
      <c r="A98" s="56" t="s">
        <v>556</v>
      </c>
      <c r="B98" s="56" t="str">
        <f>VLOOKUP(A98,'CENTRO DE COSTOS'!A:D,4,FALSE)</f>
        <v>DIEGO FERNANDO HENAO CARDONA</v>
      </c>
      <c r="C98" s="56" t="str">
        <f>VLOOKUP(A98,'CENTRO DE COSTOS'!A:D,2,FALSE)</f>
        <v>0004-0002</v>
      </c>
      <c r="D98" s="56">
        <v>66170</v>
      </c>
      <c r="E98" s="56">
        <v>2751369</v>
      </c>
      <c r="F98" s="56">
        <v>79238</v>
      </c>
      <c r="G98" s="56" t="s">
        <v>1250</v>
      </c>
      <c r="H98" s="56" t="s">
        <v>549</v>
      </c>
      <c r="I98" s="56" t="s">
        <v>1040</v>
      </c>
      <c r="J98" s="56" t="s">
        <v>1677</v>
      </c>
      <c r="K98" s="56" t="s">
        <v>107</v>
      </c>
      <c r="L98" s="56" t="s">
        <v>1678</v>
      </c>
      <c r="M98" s="103">
        <v>45917.333333333343</v>
      </c>
      <c r="N98" s="103">
        <v>45917.645833333343</v>
      </c>
      <c r="O98" s="56" t="s">
        <v>1253</v>
      </c>
      <c r="P98" s="56" t="s">
        <v>1254</v>
      </c>
      <c r="Q98" s="56" t="s">
        <v>1286</v>
      </c>
      <c r="R98" s="56" t="s">
        <v>1502</v>
      </c>
      <c r="S98" s="78"/>
      <c r="T98" s="78"/>
      <c r="U98" s="56" t="s">
        <v>1257</v>
      </c>
      <c r="V98" s="56" t="s">
        <v>1679</v>
      </c>
      <c r="W98" s="56" t="s">
        <v>1266</v>
      </c>
      <c r="X98" s="56" t="s">
        <v>1680</v>
      </c>
      <c r="Y98" s="56" t="s">
        <v>138</v>
      </c>
      <c r="Z98" s="56" t="s">
        <v>115</v>
      </c>
      <c r="AA98" s="56" t="s">
        <v>1681</v>
      </c>
      <c r="AB98" s="56">
        <v>1</v>
      </c>
      <c r="AC98" s="56">
        <v>0</v>
      </c>
      <c r="AD98" s="56">
        <v>0</v>
      </c>
      <c r="AE98" s="56">
        <v>0</v>
      </c>
      <c r="AF98" s="69">
        <f>IF(W98="SOPORTE_TELEFÓNICO",'BASE LIQUIDACION'!$B$10,IF(Y98="TIPO I",'BASE LIQUIDACION'!$C$3,IF(Y98="TIPO II",'BASE LIQUIDACION'!$C$4,IF(Y98="TIPO III",'BASE LIQUIDACION'!$C$5,'BASE LIQUIDACION'!$C$7))))</f>
        <v>65960.473639999997</v>
      </c>
      <c r="AG98" s="90">
        <f>IF(W98="SOPORTE_TELEFÓNICO",'BASE LIQUIDACION'!$B$10,(AB98*AF98+AC98*'BASE LIQUIDACION'!$B$12+AD98*'BASE LIQUIDACION'!$B$11+INCIDENTES!AE98*'BASE LIQUIDACION'!$B$13))</f>
        <v>65960.473639999997</v>
      </c>
    </row>
    <row r="99" spans="1:33" s="70" customFormat="1">
      <c r="A99" s="56" t="s">
        <v>131</v>
      </c>
      <c r="B99" s="56" t="str">
        <f>VLOOKUP(A99,'CENTRO DE COSTOS'!A:D,4,FALSE)</f>
        <v>MIGUEL JULIÁN HERNÁNDEZ GUARÍN</v>
      </c>
      <c r="C99" s="56" t="str">
        <f>VLOOKUP(A99,'CENTRO DE COSTOS'!A:D,2,FALSE)</f>
        <v>0004-0008</v>
      </c>
      <c r="D99" s="56">
        <v>15001</v>
      </c>
      <c r="E99" s="56">
        <v>2751367</v>
      </c>
      <c r="F99" s="56">
        <v>59681</v>
      </c>
      <c r="G99" s="56" t="s">
        <v>1250</v>
      </c>
      <c r="H99" s="56" t="s">
        <v>133</v>
      </c>
      <c r="I99" s="56" t="s">
        <v>131</v>
      </c>
      <c r="J99" s="56" t="s">
        <v>1682</v>
      </c>
      <c r="K99" s="56" t="s">
        <v>107</v>
      </c>
      <c r="L99" s="56" t="s">
        <v>1683</v>
      </c>
      <c r="M99" s="103">
        <v>45917.333333333343</v>
      </c>
      <c r="N99" s="103">
        <v>45917.660416666673</v>
      </c>
      <c r="O99" s="56" t="s">
        <v>1253</v>
      </c>
      <c r="P99" s="56" t="s">
        <v>1254</v>
      </c>
      <c r="Q99" s="56" t="s">
        <v>1271</v>
      </c>
      <c r="R99" s="56" t="s">
        <v>1277</v>
      </c>
      <c r="S99" s="78"/>
      <c r="T99" s="78"/>
      <c r="U99" s="56" t="s">
        <v>1257</v>
      </c>
      <c r="V99" s="56" t="s">
        <v>1684</v>
      </c>
      <c r="W99" s="56" t="s">
        <v>1266</v>
      </c>
      <c r="X99" s="56" t="s">
        <v>1685</v>
      </c>
      <c r="Y99" s="56" t="s">
        <v>138</v>
      </c>
      <c r="Z99" s="56" t="s">
        <v>115</v>
      </c>
      <c r="AA99" s="56" t="s">
        <v>1567</v>
      </c>
      <c r="AB99" s="56">
        <v>1</v>
      </c>
      <c r="AC99" s="56">
        <v>0</v>
      </c>
      <c r="AD99" s="56">
        <v>0</v>
      </c>
      <c r="AE99" s="56">
        <v>0</v>
      </c>
      <c r="AF99" s="69">
        <f>IF(W99="SOPORTE_TELEFÓNICO",'BASE LIQUIDACION'!$B$10,IF(Y99="TIPO I",'BASE LIQUIDACION'!$C$3,IF(Y99="TIPO II",'BASE LIQUIDACION'!$C$4,IF(Y99="TIPO III",'BASE LIQUIDACION'!$C$5,'BASE LIQUIDACION'!$C$7))))</f>
        <v>65960.473639999997</v>
      </c>
      <c r="AG99" s="90">
        <f>IF(W99="SOPORTE_TELEFÓNICO",'BASE LIQUIDACION'!$B$10,(AB99*AF99+AC99*'BASE LIQUIDACION'!$B$12+AD99*'BASE LIQUIDACION'!$B$11+INCIDENTES!AE99*'BASE LIQUIDACION'!$B$13))</f>
        <v>65960.473639999997</v>
      </c>
    </row>
    <row r="100" spans="1:33" s="70" customFormat="1">
      <c r="A100" s="56" t="s">
        <v>165</v>
      </c>
      <c r="B100" s="56" t="str">
        <f>VLOOKUP(A100,'CENTRO DE COSTOS'!A:D,4,FALSE)</f>
        <v>JUAN SEBASTIÁN RÍOS CASTRILLÓN</v>
      </c>
      <c r="C100" s="56" t="str">
        <f>VLOOKUP(A100,'CENTRO DE COSTOS'!A:D,2,FALSE)</f>
        <v>0004-0005</v>
      </c>
      <c r="D100" s="56">
        <v>5306</v>
      </c>
      <c r="E100" s="56">
        <v>2751101</v>
      </c>
      <c r="F100" s="56">
        <v>32938</v>
      </c>
      <c r="G100" s="56" t="s">
        <v>1250</v>
      </c>
      <c r="H100" s="56" t="s">
        <v>152</v>
      </c>
      <c r="I100" s="56" t="s">
        <v>271</v>
      </c>
      <c r="J100" s="56" t="s">
        <v>1686</v>
      </c>
      <c r="K100" s="56" t="s">
        <v>107</v>
      </c>
      <c r="L100" s="56" t="s">
        <v>1687</v>
      </c>
      <c r="M100" s="103">
        <v>45916.720833333333</v>
      </c>
      <c r="N100" s="103">
        <v>45918.53125</v>
      </c>
      <c r="O100" s="56" t="s">
        <v>1253</v>
      </c>
      <c r="P100" s="56" t="s">
        <v>1254</v>
      </c>
      <c r="Q100" s="56" t="s">
        <v>1271</v>
      </c>
      <c r="R100" s="56" t="s">
        <v>1277</v>
      </c>
      <c r="S100" s="78"/>
      <c r="T100" s="78"/>
      <c r="U100" s="56" t="s">
        <v>1257</v>
      </c>
      <c r="V100" s="56" t="s">
        <v>1688</v>
      </c>
      <c r="W100" s="56" t="s">
        <v>1266</v>
      </c>
      <c r="X100" s="56" t="s">
        <v>1689</v>
      </c>
      <c r="Y100" s="56" t="s">
        <v>212</v>
      </c>
      <c r="Z100" s="56" t="s">
        <v>115</v>
      </c>
      <c r="AA100" s="56" t="s">
        <v>1672</v>
      </c>
      <c r="AB100" s="56">
        <v>1</v>
      </c>
      <c r="AC100" s="56">
        <v>0</v>
      </c>
      <c r="AD100" s="56">
        <v>0</v>
      </c>
      <c r="AE100" s="56">
        <v>0</v>
      </c>
      <c r="AF100" s="69">
        <f>IF(W100="SOPORTE_TELEFÓNICO",'BASE LIQUIDACION'!$B$10,IF(Y100="TIPO I",'BASE LIQUIDACION'!$C$3,IF(Y100="TIPO II",'BASE LIQUIDACION'!$C$4,IF(Y100="TIPO III",'BASE LIQUIDACION'!$C$5,'BASE LIQUIDACION'!$C$7))))</f>
        <v>275728.37943999999</v>
      </c>
      <c r="AG100" s="90">
        <f>IF(W100="SOPORTE_TELEFÓNICO",'BASE LIQUIDACION'!$B$10,(AB100*AF100+AC100*'BASE LIQUIDACION'!$B$12+AD100*'BASE LIQUIDACION'!$B$11+INCIDENTES!AE100*'BASE LIQUIDACION'!$B$13))</f>
        <v>275728.37943999999</v>
      </c>
    </row>
    <row r="101" spans="1:33" s="70" customFormat="1">
      <c r="A101" s="56" t="s">
        <v>980</v>
      </c>
      <c r="B101" s="56" t="str">
        <f>VLOOKUP(A101,'CENTRO DE COSTOS'!A:D,4,FALSE)</f>
        <v>MIGUEL JULIÁN HERNÁNDEZ GUARÍN</v>
      </c>
      <c r="C101" s="56" t="str">
        <f>VLOOKUP(A101,'CENTRO DE COSTOS'!A:D,2,FALSE)</f>
        <v>0004-0008</v>
      </c>
      <c r="D101" s="56">
        <v>54498</v>
      </c>
      <c r="E101" s="56">
        <v>2748781</v>
      </c>
      <c r="F101" s="56">
        <v>55365</v>
      </c>
      <c r="G101" s="56" t="s">
        <v>1250</v>
      </c>
      <c r="H101" s="56" t="s">
        <v>979</v>
      </c>
      <c r="I101" s="56" t="s">
        <v>1005</v>
      </c>
      <c r="J101" s="56" t="s">
        <v>1690</v>
      </c>
      <c r="K101" s="56" t="s">
        <v>107</v>
      </c>
      <c r="L101" s="56" t="s">
        <v>1691</v>
      </c>
      <c r="M101" s="103">
        <v>45916.570833333331</v>
      </c>
      <c r="N101" s="103">
        <v>45918.476388888892</v>
      </c>
      <c r="O101" s="56" t="s">
        <v>1253</v>
      </c>
      <c r="P101" s="56" t="s">
        <v>1254</v>
      </c>
      <c r="Q101" s="56" t="s">
        <v>1271</v>
      </c>
      <c r="R101" s="56" t="s">
        <v>1277</v>
      </c>
      <c r="S101" s="78"/>
      <c r="T101" s="78"/>
      <c r="U101" s="56" t="s">
        <v>1257</v>
      </c>
      <c r="V101" s="56" t="s">
        <v>1692</v>
      </c>
      <c r="W101" s="56" t="s">
        <v>1266</v>
      </c>
      <c r="X101" s="56" t="s">
        <v>1693</v>
      </c>
      <c r="Y101" s="56" t="s">
        <v>172</v>
      </c>
      <c r="Z101" s="56" t="s">
        <v>115</v>
      </c>
      <c r="AA101" s="56" t="s">
        <v>1694</v>
      </c>
      <c r="AB101" s="56">
        <v>1</v>
      </c>
      <c r="AC101" s="56">
        <v>0</v>
      </c>
      <c r="AD101" s="56">
        <v>0</v>
      </c>
      <c r="AE101" s="56">
        <v>0</v>
      </c>
      <c r="AF101" s="69">
        <f>IF(W101="SOPORTE_TELEFÓNICO",'BASE LIQUIDACION'!$B$10,IF(Y101="TIPO I",'BASE LIQUIDACION'!$C$3,IF(Y101="TIPO II",'BASE LIQUIDACION'!$C$4,IF(Y101="TIPO III",'BASE LIQUIDACION'!$C$5,'BASE LIQUIDACION'!$C$7))))</f>
        <v>479589.73656000005</v>
      </c>
      <c r="AG101" s="90">
        <f>IF(W101="SOPORTE_TELEFÓNICO",'BASE LIQUIDACION'!$B$10,(AB101*AF101+AC101*'BASE LIQUIDACION'!$B$12+AD101*'BASE LIQUIDACION'!$B$11+INCIDENTES!AE101*'BASE LIQUIDACION'!$B$13))</f>
        <v>479589.73656000005</v>
      </c>
    </row>
    <row r="102" spans="1:33" s="70" customFormat="1">
      <c r="A102" s="56" t="s">
        <v>589</v>
      </c>
      <c r="B102" s="56" t="str">
        <f>VLOOKUP(A102,'CENTRO DE COSTOS'!A:D,4,FALSE)</f>
        <v>DIEGO FERNANDO HENAO CARDONA</v>
      </c>
      <c r="C102" s="56" t="str">
        <f>VLOOKUP(A102,'CENTRO DE COSTOS'!A:D,2,FALSE)</f>
        <v>0004-0003</v>
      </c>
      <c r="D102" s="56">
        <v>76001</v>
      </c>
      <c r="E102" s="56">
        <v>2748618</v>
      </c>
      <c r="F102" s="56">
        <v>80837</v>
      </c>
      <c r="G102" s="56" t="s">
        <v>1250</v>
      </c>
      <c r="H102" s="56" t="s">
        <v>1189</v>
      </c>
      <c r="I102" s="56" t="s">
        <v>589</v>
      </c>
      <c r="J102" s="56" t="s">
        <v>1695</v>
      </c>
      <c r="K102" s="56" t="s">
        <v>107</v>
      </c>
      <c r="L102" s="56" t="s">
        <v>1696</v>
      </c>
      <c r="M102" s="103">
        <v>45916.53125</v>
      </c>
      <c r="N102" s="103">
        <v>45916.754861111112</v>
      </c>
      <c r="O102" s="56" t="s">
        <v>1253</v>
      </c>
      <c r="P102" s="56" t="s">
        <v>1254</v>
      </c>
      <c r="Q102" s="56" t="s">
        <v>1271</v>
      </c>
      <c r="R102" s="56" t="s">
        <v>1272</v>
      </c>
      <c r="S102" s="78"/>
      <c r="T102" s="78"/>
      <c r="U102" s="56" t="s">
        <v>1257</v>
      </c>
      <c r="V102" s="56" t="s">
        <v>1697</v>
      </c>
      <c r="W102" s="56" t="s">
        <v>1259</v>
      </c>
      <c r="X102" s="56">
        <v>0</v>
      </c>
      <c r="Y102" s="56" t="s">
        <v>138</v>
      </c>
      <c r="Z102" s="56" t="s">
        <v>115</v>
      </c>
      <c r="AA102" s="56" t="s">
        <v>1698</v>
      </c>
      <c r="AB102" s="56">
        <v>0</v>
      </c>
      <c r="AC102" s="56">
        <v>0</v>
      </c>
      <c r="AD102" s="56">
        <v>0</v>
      </c>
      <c r="AE102" s="56">
        <v>0</v>
      </c>
      <c r="AF102" s="69">
        <f>IF(W102="SOPORTE_TELEFÓNICO",'BASE LIQUIDACION'!$B$10,IF(Y102="TIPO I",'BASE LIQUIDACION'!$C$3,IF(Y102="TIPO II",'BASE LIQUIDACION'!$C$4,IF(Y102="TIPO III",'BASE LIQUIDACION'!$C$5,'BASE LIQUIDACION'!$C$7))))</f>
        <v>37904.65408</v>
      </c>
      <c r="AG102" s="90">
        <f>IF(W102="SOPORTE_TELEFÓNICO",'BASE LIQUIDACION'!$B$10,(AB102*AF102+AC102*'BASE LIQUIDACION'!$B$12+AD102*'BASE LIQUIDACION'!$B$11+INCIDENTES!AE102*'BASE LIQUIDACION'!$B$13))</f>
        <v>37904.65408</v>
      </c>
    </row>
    <row r="103" spans="1:33" s="70" customFormat="1">
      <c r="A103" s="56" t="s">
        <v>182</v>
      </c>
      <c r="B103" s="56" t="str">
        <f>VLOOKUP(A103,'CENTRO DE COSTOS'!A:D,4,FALSE)</f>
        <v>WILLIAM ASDRUBAL ROZO ROZO</v>
      </c>
      <c r="C103" s="56" t="str">
        <f>VLOOKUP(A103,'CENTRO DE COSTOS'!A:D,2,FALSE)</f>
        <v>0004-0004</v>
      </c>
      <c r="D103" s="56">
        <v>11001</v>
      </c>
      <c r="E103" s="56">
        <v>2748096</v>
      </c>
      <c r="F103" s="56">
        <v>81188</v>
      </c>
      <c r="G103" s="56" t="s">
        <v>1250</v>
      </c>
      <c r="H103" s="56" t="s">
        <v>184</v>
      </c>
      <c r="I103" s="56" t="s">
        <v>182</v>
      </c>
      <c r="J103" s="56" t="s">
        <v>1699</v>
      </c>
      <c r="K103" s="56" t="s">
        <v>107</v>
      </c>
      <c r="L103" s="56" t="s">
        <v>1700</v>
      </c>
      <c r="M103" s="103">
        <v>45916.494444444441</v>
      </c>
      <c r="N103" s="103">
        <v>45917.458333333343</v>
      </c>
      <c r="O103" s="56" t="s">
        <v>1253</v>
      </c>
      <c r="P103" s="56" t="s">
        <v>1254</v>
      </c>
      <c r="Q103" s="56" t="s">
        <v>1271</v>
      </c>
      <c r="R103" s="56" t="s">
        <v>1272</v>
      </c>
      <c r="S103" s="78"/>
      <c r="T103" s="78"/>
      <c r="U103" s="56" t="s">
        <v>1257</v>
      </c>
      <c r="V103" s="56" t="s">
        <v>1701</v>
      </c>
      <c r="W103" s="56" t="s">
        <v>1266</v>
      </c>
      <c r="X103" s="56" t="s">
        <v>1702</v>
      </c>
      <c r="Y103" s="56" t="s">
        <v>138</v>
      </c>
      <c r="Z103" s="56" t="s">
        <v>115</v>
      </c>
      <c r="AA103" s="56" t="s">
        <v>1703</v>
      </c>
      <c r="AB103" s="56">
        <v>1</v>
      </c>
      <c r="AC103" s="56">
        <v>0</v>
      </c>
      <c r="AD103" s="56">
        <v>0</v>
      </c>
      <c r="AE103" s="56">
        <v>0</v>
      </c>
      <c r="AF103" s="69">
        <f>IF(W103="SOPORTE_TELEFÓNICO",'BASE LIQUIDACION'!$B$10,IF(Y103="TIPO I",'BASE LIQUIDACION'!$C$3,IF(Y103="TIPO II",'BASE LIQUIDACION'!$C$4,IF(Y103="TIPO III",'BASE LIQUIDACION'!$C$5,'BASE LIQUIDACION'!$C$7))))</f>
        <v>65960.473639999997</v>
      </c>
      <c r="AG103" s="90">
        <f>IF(W103="SOPORTE_TELEFÓNICO",'BASE LIQUIDACION'!$B$10,(AB103*AF103+AC103*'BASE LIQUIDACION'!$B$12+AD103*'BASE LIQUIDACION'!$B$11+INCIDENTES!AE103*'BASE LIQUIDACION'!$B$13))</f>
        <v>65960.473639999997</v>
      </c>
    </row>
    <row r="104" spans="1:33" s="70" customFormat="1">
      <c r="A104" s="56" t="s">
        <v>100</v>
      </c>
      <c r="B104" s="56" t="str">
        <f>VLOOKUP(A104,'CENTRO DE COSTOS'!A:D,4,FALSE)</f>
        <v>DIEGO FERNANDO HENAO CARDONA</v>
      </c>
      <c r="C104" s="56" t="str">
        <f>VLOOKUP(A104,'CENTRO DE COSTOS'!A:D,2,FALSE)</f>
        <v>0004-0003</v>
      </c>
      <c r="D104" s="56">
        <v>52399</v>
      </c>
      <c r="E104" s="56">
        <v>2747737</v>
      </c>
      <c r="F104" s="56">
        <v>80379</v>
      </c>
      <c r="G104" s="56" t="s">
        <v>1250</v>
      </c>
      <c r="H104" s="56" t="s">
        <v>104</v>
      </c>
      <c r="I104" s="56" t="s">
        <v>220</v>
      </c>
      <c r="J104" s="56" t="s">
        <v>1704</v>
      </c>
      <c r="K104" s="56" t="s">
        <v>107</v>
      </c>
      <c r="L104" s="56" t="s">
        <v>1705</v>
      </c>
      <c r="M104" s="103">
        <v>45916.462500000001</v>
      </c>
      <c r="N104" s="103">
        <v>45917.506249999999</v>
      </c>
      <c r="O104" s="56" t="s">
        <v>1253</v>
      </c>
      <c r="P104" s="56" t="s">
        <v>1254</v>
      </c>
      <c r="Q104" s="56" t="s">
        <v>1312</v>
      </c>
      <c r="R104" s="56" t="s">
        <v>1313</v>
      </c>
      <c r="S104" s="78"/>
      <c r="T104" s="78"/>
      <c r="U104" s="56" t="s">
        <v>1257</v>
      </c>
      <c r="V104" s="56" t="s">
        <v>1706</v>
      </c>
      <c r="W104" s="56" t="s">
        <v>1266</v>
      </c>
      <c r="X104" s="56" t="s">
        <v>1707</v>
      </c>
      <c r="Y104" s="56" t="s">
        <v>212</v>
      </c>
      <c r="Z104" s="56" t="s">
        <v>115</v>
      </c>
      <c r="AA104" s="56" t="s">
        <v>116</v>
      </c>
      <c r="AB104" s="56">
        <v>1</v>
      </c>
      <c r="AC104" s="56">
        <v>0</v>
      </c>
      <c r="AD104" s="56">
        <v>0</v>
      </c>
      <c r="AE104" s="56">
        <v>0</v>
      </c>
      <c r="AF104" s="69">
        <f>IF(W104="SOPORTE_TELEFÓNICO",'BASE LIQUIDACION'!$B$10,IF(Y104="TIPO I",'BASE LIQUIDACION'!$C$3,IF(Y104="TIPO II",'BASE LIQUIDACION'!$C$4,IF(Y104="TIPO III",'BASE LIQUIDACION'!$C$5,'BASE LIQUIDACION'!$C$7))))</f>
        <v>275728.37943999999</v>
      </c>
      <c r="AG104" s="90">
        <f>IF(W104="SOPORTE_TELEFÓNICO",'BASE LIQUIDACION'!$B$10,(AB104*AF104+AC104*'BASE LIQUIDACION'!$B$12+AD104*'BASE LIQUIDACION'!$B$11+INCIDENTES!AE104*'BASE LIQUIDACION'!$B$13))</f>
        <v>275728.37943999999</v>
      </c>
    </row>
    <row r="105" spans="1:33" s="70" customFormat="1">
      <c r="A105" s="56" t="s">
        <v>140</v>
      </c>
      <c r="B105" s="56" t="str">
        <f>VLOOKUP(A105,'CENTRO DE COSTOS'!A:D,4,FALSE)</f>
        <v>MIGUEL JULIÁN HERNÁNDEZ GUARÍN</v>
      </c>
      <c r="C105" s="56" t="str">
        <f>VLOOKUP(A105,'CENTRO DE COSTOS'!A:D,2,FALSE)</f>
        <v>0004-0008</v>
      </c>
      <c r="D105" s="56">
        <v>68001</v>
      </c>
      <c r="E105" s="56">
        <v>2745793</v>
      </c>
      <c r="F105" s="56">
        <v>25140</v>
      </c>
      <c r="G105" s="56" t="s">
        <v>1250</v>
      </c>
      <c r="H105" s="56" t="s">
        <v>142</v>
      </c>
      <c r="I105" s="56" t="s">
        <v>140</v>
      </c>
      <c r="J105" s="56" t="s">
        <v>1708</v>
      </c>
      <c r="K105" s="56" t="s">
        <v>107</v>
      </c>
      <c r="L105" s="56" t="s">
        <v>1709</v>
      </c>
      <c r="M105" s="103">
        <v>45916.354861111111</v>
      </c>
      <c r="N105" s="103">
        <v>45916.713888888888</v>
      </c>
      <c r="O105" s="56" t="s">
        <v>1253</v>
      </c>
      <c r="P105" s="56" t="s">
        <v>1254</v>
      </c>
      <c r="Q105" s="56" t="s">
        <v>1271</v>
      </c>
      <c r="R105" s="56" t="s">
        <v>1277</v>
      </c>
      <c r="S105" s="78"/>
      <c r="T105" s="78"/>
      <c r="U105" s="56" t="s">
        <v>1257</v>
      </c>
      <c r="V105" s="56" t="s">
        <v>1710</v>
      </c>
      <c r="W105" s="56" t="s">
        <v>1266</v>
      </c>
      <c r="X105" s="56" t="s">
        <v>1711</v>
      </c>
      <c r="Y105" s="56" t="s">
        <v>138</v>
      </c>
      <c r="Z105" s="56" t="s">
        <v>115</v>
      </c>
      <c r="AA105" s="56" t="s">
        <v>1712</v>
      </c>
      <c r="AB105" s="56">
        <v>1</v>
      </c>
      <c r="AC105" s="56">
        <v>0</v>
      </c>
      <c r="AD105" s="56">
        <v>0</v>
      </c>
      <c r="AE105" s="56">
        <v>0</v>
      </c>
      <c r="AF105" s="69">
        <f>IF(W105="SOPORTE_TELEFÓNICO",'BASE LIQUIDACION'!$B$10,IF(Y105="TIPO I",'BASE LIQUIDACION'!$C$3,IF(Y105="TIPO II",'BASE LIQUIDACION'!$C$4,IF(Y105="TIPO III",'BASE LIQUIDACION'!$C$5,'BASE LIQUIDACION'!$C$7))))</f>
        <v>65960.473639999997</v>
      </c>
      <c r="AG105" s="90">
        <f>IF(W105="SOPORTE_TELEFÓNICO",'BASE LIQUIDACION'!$B$10,(AB105*AF105+AC105*'BASE LIQUIDACION'!$B$12+AD105*'BASE LIQUIDACION'!$B$11+INCIDENTES!AE105*'BASE LIQUIDACION'!$B$13))</f>
        <v>65960.473639999997</v>
      </c>
    </row>
    <row r="106" spans="1:33" s="70" customFormat="1">
      <c r="A106" s="56" t="s">
        <v>182</v>
      </c>
      <c r="B106" s="56" t="str">
        <f>VLOOKUP(A106,'CENTRO DE COSTOS'!A:D,4,FALSE)</f>
        <v>WILLIAM ASDRUBAL ROZO ROZO</v>
      </c>
      <c r="C106" s="56" t="str">
        <f>VLOOKUP(A106,'CENTRO DE COSTOS'!A:D,2,FALSE)</f>
        <v>0004-0004</v>
      </c>
      <c r="D106" s="56">
        <v>11001</v>
      </c>
      <c r="E106" s="56">
        <v>2745936</v>
      </c>
      <c r="F106" s="56">
        <v>71496</v>
      </c>
      <c r="G106" s="56" t="s">
        <v>1250</v>
      </c>
      <c r="H106" s="56" t="s">
        <v>184</v>
      </c>
      <c r="I106" s="56" t="s">
        <v>182</v>
      </c>
      <c r="J106" s="56" t="s">
        <v>1713</v>
      </c>
      <c r="K106" s="56" t="s">
        <v>107</v>
      </c>
      <c r="L106" s="56" t="s">
        <v>1714</v>
      </c>
      <c r="M106" s="103">
        <v>45916.352777777778</v>
      </c>
      <c r="N106" s="103">
        <v>45916.711111111108</v>
      </c>
      <c r="O106" s="56" t="s">
        <v>1253</v>
      </c>
      <c r="P106" s="56" t="s">
        <v>1254</v>
      </c>
      <c r="Q106" s="56" t="s">
        <v>1263</v>
      </c>
      <c r="R106" s="56" t="s">
        <v>1264</v>
      </c>
      <c r="S106" s="78"/>
      <c r="T106" s="78"/>
      <c r="U106" s="56" t="s">
        <v>1257</v>
      </c>
      <c r="V106" s="56" t="s">
        <v>1715</v>
      </c>
      <c r="W106" s="56" t="s">
        <v>1266</v>
      </c>
      <c r="X106" s="56" t="s">
        <v>1716</v>
      </c>
      <c r="Y106" s="56" t="s">
        <v>138</v>
      </c>
      <c r="Z106" s="56" t="s">
        <v>115</v>
      </c>
      <c r="AA106" s="56" t="s">
        <v>1491</v>
      </c>
      <c r="AB106" s="56">
        <v>1</v>
      </c>
      <c r="AC106" s="56">
        <v>0</v>
      </c>
      <c r="AD106" s="56">
        <v>0</v>
      </c>
      <c r="AE106" s="56">
        <v>0</v>
      </c>
      <c r="AF106" s="69">
        <f>IF(W106="SOPORTE_TELEFÓNICO",'BASE LIQUIDACION'!$B$10,IF(Y106="TIPO I",'BASE LIQUIDACION'!$C$3,IF(Y106="TIPO II",'BASE LIQUIDACION'!$C$4,IF(Y106="TIPO III",'BASE LIQUIDACION'!$C$5,'BASE LIQUIDACION'!$C$7))))</f>
        <v>65960.473639999997</v>
      </c>
      <c r="AG106" s="90">
        <f>IF(W106="SOPORTE_TELEFÓNICO",'BASE LIQUIDACION'!$B$10,(AB106*AF106+AC106*'BASE LIQUIDACION'!$B$12+AD106*'BASE LIQUIDACION'!$B$11+INCIDENTES!AE106*'BASE LIQUIDACION'!$B$13))</f>
        <v>65960.473639999997</v>
      </c>
    </row>
    <row r="107" spans="1:33" s="70" customFormat="1">
      <c r="A107" s="56" t="s">
        <v>117</v>
      </c>
      <c r="B107" s="56" t="str">
        <f>VLOOKUP(A107,'CENTRO DE COSTOS'!A:D,4,FALSE)</f>
        <v>KEVIN ALEXIS CORZO BUSTOS</v>
      </c>
      <c r="C107" s="56" t="str">
        <f>VLOOKUP(A107,'CENTRO DE COSTOS'!A:D,2,FALSE)</f>
        <v>0004-0007</v>
      </c>
      <c r="D107" s="56">
        <v>41524</v>
      </c>
      <c r="E107" s="56">
        <v>2742563</v>
      </c>
      <c r="F107" s="56">
        <v>55154</v>
      </c>
      <c r="G107" s="56" t="s">
        <v>1250</v>
      </c>
      <c r="H107" s="56" t="s">
        <v>830</v>
      </c>
      <c r="I107" s="56" t="s">
        <v>850</v>
      </c>
      <c r="J107" s="56" t="s">
        <v>1717</v>
      </c>
      <c r="K107" s="56" t="s">
        <v>107</v>
      </c>
      <c r="L107" s="56" t="s">
        <v>1718</v>
      </c>
      <c r="M107" s="103">
        <v>45915.568749999999</v>
      </c>
      <c r="N107" s="103">
        <v>45915.71875</v>
      </c>
      <c r="O107" s="56" t="s">
        <v>1253</v>
      </c>
      <c r="P107" s="56" t="s">
        <v>1254</v>
      </c>
      <c r="Q107" s="56" t="s">
        <v>1312</v>
      </c>
      <c r="R107" s="56" t="s">
        <v>1313</v>
      </c>
      <c r="S107" s="78"/>
      <c r="T107" s="78"/>
      <c r="U107" s="56" t="s">
        <v>1257</v>
      </c>
      <c r="V107" s="56" t="s">
        <v>1719</v>
      </c>
      <c r="W107" s="56" t="s">
        <v>1266</v>
      </c>
      <c r="X107" s="56" t="s">
        <v>1720</v>
      </c>
      <c r="Y107" s="56" t="s">
        <v>138</v>
      </c>
      <c r="Z107" s="56" t="s">
        <v>115</v>
      </c>
      <c r="AA107" s="56" t="s">
        <v>1721</v>
      </c>
      <c r="AB107" s="56">
        <v>1</v>
      </c>
      <c r="AC107" s="56">
        <v>0</v>
      </c>
      <c r="AD107" s="56">
        <v>0</v>
      </c>
      <c r="AE107" s="56">
        <v>0</v>
      </c>
      <c r="AF107" s="69">
        <f>IF(W107="SOPORTE_TELEFÓNICO",'BASE LIQUIDACION'!$B$10,IF(Y107="TIPO I",'BASE LIQUIDACION'!$C$3,IF(Y107="TIPO II",'BASE LIQUIDACION'!$C$4,IF(Y107="TIPO III",'BASE LIQUIDACION'!$C$5,'BASE LIQUIDACION'!$C$7))))</f>
        <v>65960.473639999997</v>
      </c>
      <c r="AG107" s="90">
        <f>IF(W107="SOPORTE_TELEFÓNICO",'BASE LIQUIDACION'!$B$10,(AB107*AF107+AC107*'BASE LIQUIDACION'!$B$12+AD107*'BASE LIQUIDACION'!$B$11+INCIDENTES!AE107*'BASE LIQUIDACION'!$B$13))</f>
        <v>65960.473639999997</v>
      </c>
    </row>
    <row r="108" spans="1:33" s="70" customFormat="1">
      <c r="A108" s="56" t="s">
        <v>165</v>
      </c>
      <c r="B108" s="56" t="str">
        <f>VLOOKUP(A108,'CENTRO DE COSTOS'!A:D,4,FALSE)</f>
        <v>JUAN SEBASTIÁN RÍOS CASTRILLÓN</v>
      </c>
      <c r="C108" s="56" t="str">
        <f>VLOOKUP(A108,'CENTRO DE COSTOS'!A:D,2,FALSE)</f>
        <v>0004-0005</v>
      </c>
      <c r="D108" s="56">
        <v>5579</v>
      </c>
      <c r="E108" s="56">
        <v>2740774</v>
      </c>
      <c r="F108" s="56">
        <v>73705</v>
      </c>
      <c r="G108" s="56" t="s">
        <v>1250</v>
      </c>
      <c r="H108" s="56" t="s">
        <v>152</v>
      </c>
      <c r="I108" s="56" t="s">
        <v>297</v>
      </c>
      <c r="J108" s="56" t="s">
        <v>1722</v>
      </c>
      <c r="K108" s="56" t="s">
        <v>107</v>
      </c>
      <c r="L108" s="56" t="s">
        <v>1723</v>
      </c>
      <c r="M108" s="103">
        <v>45915.429861111108</v>
      </c>
      <c r="N108" s="103">
        <v>45915.744444444441</v>
      </c>
      <c r="O108" s="56" t="s">
        <v>1253</v>
      </c>
      <c r="P108" s="56" t="s">
        <v>1254</v>
      </c>
      <c r="Q108" s="56" t="s">
        <v>1271</v>
      </c>
      <c r="R108" s="56" t="s">
        <v>1272</v>
      </c>
      <c r="S108" s="78"/>
      <c r="T108" s="78"/>
      <c r="U108" s="56" t="s">
        <v>1257</v>
      </c>
      <c r="V108" s="56" t="s">
        <v>1724</v>
      </c>
      <c r="W108" s="56" t="s">
        <v>1259</v>
      </c>
      <c r="X108" s="56">
        <v>0</v>
      </c>
      <c r="Y108" s="56" t="s">
        <v>212</v>
      </c>
      <c r="Z108" s="56" t="s">
        <v>115</v>
      </c>
      <c r="AA108" s="56" t="s">
        <v>1592</v>
      </c>
      <c r="AB108" s="56">
        <v>0</v>
      </c>
      <c r="AC108" s="56">
        <v>0</v>
      </c>
      <c r="AD108" s="56">
        <v>0</v>
      </c>
      <c r="AE108" s="56">
        <v>0</v>
      </c>
      <c r="AF108" s="69">
        <f>IF(W108="SOPORTE_TELEFÓNICO",'BASE LIQUIDACION'!$B$10,IF(Y108="TIPO I",'BASE LIQUIDACION'!$C$3,IF(Y108="TIPO II",'BASE LIQUIDACION'!$C$4,IF(Y108="TIPO III",'BASE LIQUIDACION'!$C$5,'BASE LIQUIDACION'!$C$7))))</f>
        <v>37904.65408</v>
      </c>
      <c r="AG108" s="90">
        <f>IF(W108="SOPORTE_TELEFÓNICO",'BASE LIQUIDACION'!$B$10,(AB108*AF108+AC108*'BASE LIQUIDACION'!$B$12+AD108*'BASE LIQUIDACION'!$B$11+INCIDENTES!AE108*'BASE LIQUIDACION'!$B$13))</f>
        <v>37904.65408</v>
      </c>
    </row>
    <row r="109" spans="1:33" s="70" customFormat="1">
      <c r="A109" s="56" t="s">
        <v>165</v>
      </c>
      <c r="B109" s="56" t="str">
        <f>VLOOKUP(A109,'CENTRO DE COSTOS'!A:D,4,FALSE)</f>
        <v>JUAN SEBASTIÁN RÍOS CASTRILLÓN</v>
      </c>
      <c r="C109" s="56" t="str">
        <f>VLOOKUP(A109,'CENTRO DE COSTOS'!A:D,2,FALSE)</f>
        <v>0004-0005</v>
      </c>
      <c r="D109" s="56">
        <v>5579</v>
      </c>
      <c r="E109" s="56">
        <v>2739646</v>
      </c>
      <c r="F109" s="56">
        <v>78930</v>
      </c>
      <c r="G109" s="56" t="s">
        <v>1250</v>
      </c>
      <c r="H109" s="56" t="s">
        <v>152</v>
      </c>
      <c r="I109" s="56" t="s">
        <v>297</v>
      </c>
      <c r="J109" s="56" t="s">
        <v>1725</v>
      </c>
      <c r="K109" s="56" t="s">
        <v>107</v>
      </c>
      <c r="L109" s="56" t="s">
        <v>1726</v>
      </c>
      <c r="M109" s="103">
        <v>45915.374305555553</v>
      </c>
      <c r="N109" s="103">
        <v>45916.381249999999</v>
      </c>
      <c r="O109" s="56" t="s">
        <v>1253</v>
      </c>
      <c r="P109" s="56" t="s">
        <v>1254</v>
      </c>
      <c r="Q109" s="56" t="s">
        <v>1271</v>
      </c>
      <c r="R109" s="56" t="s">
        <v>1272</v>
      </c>
      <c r="S109" s="78"/>
      <c r="T109" s="78"/>
      <c r="U109" s="56" t="s">
        <v>1257</v>
      </c>
      <c r="V109" s="56" t="s">
        <v>1727</v>
      </c>
      <c r="W109" s="56" t="s">
        <v>1259</v>
      </c>
      <c r="X109" s="56">
        <v>0</v>
      </c>
      <c r="Y109" s="56" t="s">
        <v>212</v>
      </c>
      <c r="Z109" s="56" t="s">
        <v>115</v>
      </c>
      <c r="AA109" s="56" t="s">
        <v>1592</v>
      </c>
      <c r="AB109" s="56">
        <v>0</v>
      </c>
      <c r="AC109" s="56">
        <v>0</v>
      </c>
      <c r="AD109" s="56">
        <v>0</v>
      </c>
      <c r="AE109" s="56">
        <v>0</v>
      </c>
      <c r="AF109" s="69">
        <f>IF(W109="SOPORTE_TELEFÓNICO",'BASE LIQUIDACION'!$B$10,IF(Y109="TIPO I",'BASE LIQUIDACION'!$C$3,IF(Y109="TIPO II",'BASE LIQUIDACION'!$C$4,IF(Y109="TIPO III",'BASE LIQUIDACION'!$C$5,'BASE LIQUIDACION'!$C$7))))</f>
        <v>37904.65408</v>
      </c>
      <c r="AG109" s="90">
        <f>IF(W109="SOPORTE_TELEFÓNICO",'BASE LIQUIDACION'!$B$10,(AB109*AF109+AC109*'BASE LIQUIDACION'!$B$12+AD109*'BASE LIQUIDACION'!$B$11+INCIDENTES!AE109*'BASE LIQUIDACION'!$B$13))</f>
        <v>37904.65408</v>
      </c>
    </row>
    <row r="110" spans="1:33" s="70" customFormat="1">
      <c r="A110" s="56" t="s">
        <v>182</v>
      </c>
      <c r="B110" s="56" t="str">
        <f>VLOOKUP(A110,'CENTRO DE COSTOS'!A:D,4,FALSE)</f>
        <v>WILLIAM ASDRUBAL ROZO ROZO</v>
      </c>
      <c r="C110" s="56" t="str">
        <f>VLOOKUP(A110,'CENTRO DE COSTOS'!A:D,2,FALSE)</f>
        <v>0004-0004</v>
      </c>
      <c r="D110" s="56">
        <v>11001</v>
      </c>
      <c r="E110" s="56">
        <v>2739224</v>
      </c>
      <c r="F110" s="56">
        <v>61092</v>
      </c>
      <c r="G110" s="56" t="s">
        <v>1250</v>
      </c>
      <c r="H110" s="56" t="s">
        <v>184</v>
      </c>
      <c r="I110" s="56" t="s">
        <v>182</v>
      </c>
      <c r="J110" s="56" t="s">
        <v>1728</v>
      </c>
      <c r="K110" s="56" t="s">
        <v>107</v>
      </c>
      <c r="L110" s="56" t="s">
        <v>1729</v>
      </c>
      <c r="M110" s="103">
        <v>45915.345833333333</v>
      </c>
      <c r="N110" s="103">
        <v>45915.674305555563</v>
      </c>
      <c r="O110" s="56" t="s">
        <v>1253</v>
      </c>
      <c r="P110" s="56" t="s">
        <v>1254</v>
      </c>
      <c r="Q110" s="56" t="s">
        <v>1286</v>
      </c>
      <c r="R110" s="56" t="s">
        <v>1502</v>
      </c>
      <c r="S110" s="78"/>
      <c r="T110" s="78"/>
      <c r="U110" s="56" t="s">
        <v>1257</v>
      </c>
      <c r="V110" s="56" t="s">
        <v>1730</v>
      </c>
      <c r="W110" s="56" t="s">
        <v>1266</v>
      </c>
      <c r="X110" s="56" t="s">
        <v>1731</v>
      </c>
      <c r="Y110" s="56" t="s">
        <v>138</v>
      </c>
      <c r="Z110" s="56" t="s">
        <v>115</v>
      </c>
      <c r="AA110" s="56" t="s">
        <v>1491</v>
      </c>
      <c r="AB110" s="56">
        <v>1</v>
      </c>
      <c r="AC110" s="56">
        <v>0</v>
      </c>
      <c r="AD110" s="56">
        <v>0</v>
      </c>
      <c r="AE110" s="56">
        <v>0</v>
      </c>
      <c r="AF110" s="69">
        <f>IF(W110="SOPORTE_TELEFÓNICO",'BASE LIQUIDACION'!$B$10,IF(Y110="TIPO I",'BASE LIQUIDACION'!$C$3,IF(Y110="TIPO II",'BASE LIQUIDACION'!$C$4,IF(Y110="TIPO III",'BASE LIQUIDACION'!$C$5,'BASE LIQUIDACION'!$C$7))))</f>
        <v>65960.473639999997</v>
      </c>
      <c r="AG110" s="90">
        <f>IF(W110="SOPORTE_TELEFÓNICO",'BASE LIQUIDACION'!$B$10,(AB110*AF110+AC110*'BASE LIQUIDACION'!$B$12+AD110*'BASE LIQUIDACION'!$B$11+INCIDENTES!AE110*'BASE LIQUIDACION'!$B$13))</f>
        <v>65960.473639999997</v>
      </c>
    </row>
    <row r="111" spans="1:33" s="70" customFormat="1">
      <c r="A111" s="56" t="s">
        <v>556</v>
      </c>
      <c r="B111" s="56" t="str">
        <f>VLOOKUP(A111,'CENTRO DE COSTOS'!A:D,4,FALSE)</f>
        <v>DIEGO FERNANDO HENAO CARDONA</v>
      </c>
      <c r="C111" s="56" t="str">
        <f>VLOOKUP(A111,'CENTRO DE COSTOS'!A:D,2,FALSE)</f>
        <v>0004-0002</v>
      </c>
      <c r="D111" s="56">
        <v>63001</v>
      </c>
      <c r="E111" s="56">
        <v>2739079</v>
      </c>
      <c r="F111" s="56">
        <v>75677</v>
      </c>
      <c r="G111" s="56" t="s">
        <v>1250</v>
      </c>
      <c r="H111" s="56" t="s">
        <v>1028</v>
      </c>
      <c r="I111" s="56" t="s">
        <v>209</v>
      </c>
      <c r="J111" s="56" t="s">
        <v>1732</v>
      </c>
      <c r="K111" s="56" t="s">
        <v>107</v>
      </c>
      <c r="L111" s="56" t="s">
        <v>1733</v>
      </c>
      <c r="M111" s="103">
        <v>45915.345138888893</v>
      </c>
      <c r="N111" s="103">
        <v>45916.635416666657</v>
      </c>
      <c r="O111" s="56" t="s">
        <v>1253</v>
      </c>
      <c r="P111" s="56" t="s">
        <v>1254</v>
      </c>
      <c r="Q111" s="56" t="s">
        <v>1271</v>
      </c>
      <c r="R111" s="56" t="s">
        <v>1272</v>
      </c>
      <c r="S111" s="78"/>
      <c r="T111" s="78"/>
      <c r="U111" s="56" t="s">
        <v>1257</v>
      </c>
      <c r="V111" s="56" t="s">
        <v>1734</v>
      </c>
      <c r="W111" s="56" t="s">
        <v>1259</v>
      </c>
      <c r="X111" s="56">
        <v>0</v>
      </c>
      <c r="Y111" s="56" t="s">
        <v>114</v>
      </c>
      <c r="Z111" s="56" t="s">
        <v>115</v>
      </c>
      <c r="AA111" s="56" t="s">
        <v>1330</v>
      </c>
      <c r="AB111" s="56">
        <v>0</v>
      </c>
      <c r="AC111" s="56">
        <v>0</v>
      </c>
      <c r="AD111" s="56">
        <v>0</v>
      </c>
      <c r="AE111" s="56">
        <v>0</v>
      </c>
      <c r="AF111" s="69">
        <f>IF(W111="SOPORTE_TELEFÓNICO",'BASE LIQUIDACION'!$B$10,IF(Y111="TIPO I",'BASE LIQUIDACION'!$C$3,IF(Y111="TIPO II",'BASE LIQUIDACION'!$C$4,IF(Y111="TIPO III",'BASE LIQUIDACION'!$C$5,'BASE LIQUIDACION'!$C$7))))</f>
        <v>37904.65408</v>
      </c>
      <c r="AG111" s="90">
        <f>IF(W111="SOPORTE_TELEFÓNICO",'BASE LIQUIDACION'!$B$10,(AB111*AF111+AC111*'BASE LIQUIDACION'!$B$12+AD111*'BASE LIQUIDACION'!$B$11+INCIDENTES!AE111*'BASE LIQUIDACION'!$B$13))</f>
        <v>37904.65408</v>
      </c>
    </row>
    <row r="112" spans="1:33" s="70" customFormat="1">
      <c r="A112" s="56" t="s">
        <v>165</v>
      </c>
      <c r="B112" s="56" t="str">
        <f>VLOOKUP(A112,'CENTRO DE COSTOS'!A:D,4,FALSE)</f>
        <v>JUAN SEBASTIÁN RÍOS CASTRILLÓN</v>
      </c>
      <c r="C112" s="56" t="str">
        <f>VLOOKUP(A112,'CENTRO DE COSTOS'!A:D,2,FALSE)</f>
        <v>0004-0005</v>
      </c>
      <c r="D112" s="56">
        <v>5001</v>
      </c>
      <c r="E112" s="56">
        <v>2739212</v>
      </c>
      <c r="F112" s="56">
        <v>35794</v>
      </c>
      <c r="G112" s="56" t="s">
        <v>1250</v>
      </c>
      <c r="H112" s="56" t="s">
        <v>152</v>
      </c>
      <c r="I112" s="56" t="s">
        <v>165</v>
      </c>
      <c r="J112" s="56" t="s">
        <v>1735</v>
      </c>
      <c r="K112" s="56" t="s">
        <v>107</v>
      </c>
      <c r="L112" s="56" t="s">
        <v>1736</v>
      </c>
      <c r="M112" s="103">
        <v>45915.34375</v>
      </c>
      <c r="N112" s="103">
        <v>45915.595138888893</v>
      </c>
      <c r="O112" s="56" t="s">
        <v>1253</v>
      </c>
      <c r="P112" s="56" t="s">
        <v>1254</v>
      </c>
      <c r="Q112" s="56" t="s">
        <v>1271</v>
      </c>
      <c r="R112" s="56" t="s">
        <v>1277</v>
      </c>
      <c r="S112" s="78"/>
      <c r="T112" s="78"/>
      <c r="U112" s="56" t="s">
        <v>1257</v>
      </c>
      <c r="V112" s="56" t="s">
        <v>1737</v>
      </c>
      <c r="W112" s="56" t="s">
        <v>1259</v>
      </c>
      <c r="X112" s="56">
        <v>0</v>
      </c>
      <c r="Y112" s="56" t="s">
        <v>138</v>
      </c>
      <c r="Z112" s="56" t="s">
        <v>115</v>
      </c>
      <c r="AA112" s="56" t="s">
        <v>1621</v>
      </c>
      <c r="AB112" s="56">
        <v>0</v>
      </c>
      <c r="AC112" s="56">
        <v>0</v>
      </c>
      <c r="AD112" s="56">
        <v>0</v>
      </c>
      <c r="AE112" s="56">
        <v>0</v>
      </c>
      <c r="AF112" s="69">
        <f>IF(W112="SOPORTE_TELEFÓNICO",'BASE LIQUIDACION'!$B$10,IF(Y112="TIPO I",'BASE LIQUIDACION'!$C$3,IF(Y112="TIPO II",'BASE LIQUIDACION'!$C$4,IF(Y112="TIPO III",'BASE LIQUIDACION'!$C$5,'BASE LIQUIDACION'!$C$7))))</f>
        <v>37904.65408</v>
      </c>
      <c r="AG112" s="90">
        <f>IF(W112="SOPORTE_TELEFÓNICO",'BASE LIQUIDACION'!$B$10,(AB112*AF112+AC112*'BASE LIQUIDACION'!$B$12+AD112*'BASE LIQUIDACION'!$B$11+INCIDENTES!AE112*'BASE LIQUIDACION'!$B$13))</f>
        <v>37904.65408</v>
      </c>
    </row>
    <row r="113" spans="1:33" s="70" customFormat="1">
      <c r="A113" s="56" t="s">
        <v>165</v>
      </c>
      <c r="B113" s="56" t="str">
        <f>VLOOKUP(A113,'CENTRO DE COSTOS'!A:D,4,FALSE)</f>
        <v>JUAN SEBASTIÁN RÍOS CASTRILLÓN</v>
      </c>
      <c r="C113" s="56" t="str">
        <f>VLOOKUP(A113,'CENTRO DE COSTOS'!A:D,2,FALSE)</f>
        <v>0004-0005</v>
      </c>
      <c r="D113" s="56">
        <v>5001</v>
      </c>
      <c r="E113" s="56">
        <v>2738098</v>
      </c>
      <c r="F113" s="56">
        <v>60786</v>
      </c>
      <c r="G113" s="56" t="s">
        <v>1250</v>
      </c>
      <c r="H113" s="56" t="s">
        <v>152</v>
      </c>
      <c r="I113" s="56" t="s">
        <v>165</v>
      </c>
      <c r="J113" s="56" t="s">
        <v>1738</v>
      </c>
      <c r="K113" s="56" t="s">
        <v>107</v>
      </c>
      <c r="L113" s="56" t="s">
        <v>1739</v>
      </c>
      <c r="M113" s="103">
        <v>45914.470138888893</v>
      </c>
      <c r="N113" s="103">
        <v>45915.464583333327</v>
      </c>
      <c r="O113" s="56" t="s">
        <v>1253</v>
      </c>
      <c r="P113" s="56" t="s">
        <v>1254</v>
      </c>
      <c r="Q113" s="56" t="s">
        <v>1312</v>
      </c>
      <c r="R113" s="56" t="s">
        <v>1313</v>
      </c>
      <c r="S113" s="78"/>
      <c r="T113" s="78"/>
      <c r="U113" s="56" t="s">
        <v>1257</v>
      </c>
      <c r="V113" s="56" t="s">
        <v>1740</v>
      </c>
      <c r="W113" s="56" t="s">
        <v>1266</v>
      </c>
      <c r="X113" s="56" t="s">
        <v>1741</v>
      </c>
      <c r="Y113" s="56" t="s">
        <v>138</v>
      </c>
      <c r="Z113" s="56" t="s">
        <v>115</v>
      </c>
      <c r="AA113" s="56" t="s">
        <v>173</v>
      </c>
      <c r="AB113" s="56">
        <v>1</v>
      </c>
      <c r="AC113" s="56">
        <v>0</v>
      </c>
      <c r="AD113" s="56">
        <v>0</v>
      </c>
      <c r="AE113" s="56">
        <v>0</v>
      </c>
      <c r="AF113" s="69">
        <f>IF(W113="SOPORTE_TELEFÓNICO",'BASE LIQUIDACION'!$B$10,IF(Y113="TIPO I",'BASE LIQUIDACION'!$C$3,IF(Y113="TIPO II",'BASE LIQUIDACION'!$C$4,IF(Y113="TIPO III",'BASE LIQUIDACION'!$C$5,'BASE LIQUIDACION'!$C$7))))</f>
        <v>65960.473639999997</v>
      </c>
      <c r="AG113" s="90">
        <f>IF(W113="SOPORTE_TELEFÓNICO",'BASE LIQUIDACION'!$B$10,(AB113*AF113+AC113*'BASE LIQUIDACION'!$B$12+AD113*'BASE LIQUIDACION'!$B$11+INCIDENTES!AE113*'BASE LIQUIDACION'!$B$13))</f>
        <v>65960.473639999997</v>
      </c>
    </row>
    <row r="114" spans="1:33" s="70" customFormat="1">
      <c r="A114" s="56" t="s">
        <v>182</v>
      </c>
      <c r="B114" s="56" t="str">
        <f>VLOOKUP(A114,'CENTRO DE COSTOS'!A:D,4,FALSE)</f>
        <v>WILLIAM ASDRUBAL ROZO ROZO</v>
      </c>
      <c r="C114" s="56" t="str">
        <f>VLOOKUP(A114,'CENTRO DE COSTOS'!A:D,2,FALSE)</f>
        <v>0004-0004</v>
      </c>
      <c r="D114" s="56">
        <v>11001</v>
      </c>
      <c r="E114" s="56">
        <v>2737652</v>
      </c>
      <c r="F114" s="56">
        <v>76110</v>
      </c>
      <c r="G114" s="56" t="s">
        <v>1250</v>
      </c>
      <c r="H114" s="56" t="s">
        <v>184</v>
      </c>
      <c r="I114" s="56" t="s">
        <v>182</v>
      </c>
      <c r="J114" s="56" t="s">
        <v>1742</v>
      </c>
      <c r="K114" s="56" t="s">
        <v>107</v>
      </c>
      <c r="L114" s="56" t="s">
        <v>1743</v>
      </c>
      <c r="M114" s="103">
        <v>45914.333333333343</v>
      </c>
      <c r="N114" s="103">
        <v>45915.643750000003</v>
      </c>
      <c r="O114" s="56" t="s">
        <v>1253</v>
      </c>
      <c r="P114" s="56" t="s">
        <v>1341</v>
      </c>
      <c r="Q114" s="56" t="s">
        <v>1342</v>
      </c>
      <c r="R114" s="56" t="s">
        <v>1343</v>
      </c>
      <c r="S114" s="78"/>
      <c r="T114" s="78"/>
      <c r="U114" s="56" t="s">
        <v>1257</v>
      </c>
      <c r="V114" s="56" t="s">
        <v>1744</v>
      </c>
      <c r="W114" s="56" t="s">
        <v>1266</v>
      </c>
      <c r="X114" s="56" t="s">
        <v>1745</v>
      </c>
      <c r="Y114" s="56" t="s">
        <v>138</v>
      </c>
      <c r="Z114" s="56" t="s">
        <v>115</v>
      </c>
      <c r="AA114" s="56" t="s">
        <v>1746</v>
      </c>
      <c r="AB114" s="56">
        <v>1</v>
      </c>
      <c r="AC114" s="56">
        <v>0</v>
      </c>
      <c r="AD114" s="56">
        <v>0</v>
      </c>
      <c r="AE114" s="56">
        <v>0</v>
      </c>
      <c r="AF114" s="69">
        <f>IF(W114="SOPORTE_TELEFÓNICO",'BASE LIQUIDACION'!$B$10,IF(Y114="TIPO I",'BASE LIQUIDACION'!$C$3,IF(Y114="TIPO II",'BASE LIQUIDACION'!$C$4,IF(Y114="TIPO III",'BASE LIQUIDACION'!$C$5,'BASE LIQUIDACION'!$C$7))))</f>
        <v>65960.473639999997</v>
      </c>
      <c r="AG114" s="90">
        <f>IF(W114="SOPORTE_TELEFÓNICO",'BASE LIQUIDACION'!$B$10,(AB114*AF114+AC114*'BASE LIQUIDACION'!$B$12+AD114*'BASE LIQUIDACION'!$B$11+INCIDENTES!AE114*'BASE LIQUIDACION'!$B$13))</f>
        <v>65960.473639999997</v>
      </c>
    </row>
    <row r="115" spans="1:33" s="70" customFormat="1">
      <c r="A115" s="56" t="s">
        <v>165</v>
      </c>
      <c r="B115" s="56" t="str">
        <f>VLOOKUP(A115,'CENTRO DE COSTOS'!A:D,4,FALSE)</f>
        <v>JUAN SEBASTIÁN RÍOS CASTRILLÓN</v>
      </c>
      <c r="C115" s="56" t="str">
        <f>VLOOKUP(A115,'CENTRO DE COSTOS'!A:D,2,FALSE)</f>
        <v>0004-0005</v>
      </c>
      <c r="D115" s="56">
        <v>5284</v>
      </c>
      <c r="E115" s="56">
        <v>2737369</v>
      </c>
      <c r="F115" s="56">
        <v>10516</v>
      </c>
      <c r="G115" s="56" t="s">
        <v>1250</v>
      </c>
      <c r="H115" s="56" t="s">
        <v>152</v>
      </c>
      <c r="I115" s="56" t="s">
        <v>270</v>
      </c>
      <c r="J115" s="56" t="s">
        <v>1747</v>
      </c>
      <c r="K115" s="56" t="s">
        <v>107</v>
      </c>
      <c r="L115" s="56" t="s">
        <v>1748</v>
      </c>
      <c r="M115" s="103">
        <v>45913.571527777778</v>
      </c>
      <c r="N115" s="103">
        <v>45915.732638888891</v>
      </c>
      <c r="O115" s="56" t="s">
        <v>1253</v>
      </c>
      <c r="P115" s="56" t="s">
        <v>1254</v>
      </c>
      <c r="Q115" s="56" t="s">
        <v>1348</v>
      </c>
      <c r="R115" s="56" t="s">
        <v>1277</v>
      </c>
      <c r="S115" s="78"/>
      <c r="T115" s="78"/>
      <c r="U115" s="56" t="s">
        <v>1257</v>
      </c>
      <c r="V115" s="56" t="s">
        <v>1749</v>
      </c>
      <c r="W115" s="56" t="s">
        <v>1259</v>
      </c>
      <c r="X115" s="56">
        <v>0</v>
      </c>
      <c r="Y115" s="56" t="s">
        <v>172</v>
      </c>
      <c r="Z115" s="56" t="s">
        <v>115</v>
      </c>
      <c r="AA115" s="56" t="s">
        <v>1621</v>
      </c>
      <c r="AB115" s="56">
        <v>0</v>
      </c>
      <c r="AC115" s="56">
        <v>0</v>
      </c>
      <c r="AD115" s="56">
        <v>0</v>
      </c>
      <c r="AE115" s="56">
        <v>0</v>
      </c>
      <c r="AF115" s="69">
        <f>IF(W115="SOPORTE_TELEFÓNICO",'BASE LIQUIDACION'!$B$10,IF(Y115="TIPO I",'BASE LIQUIDACION'!$C$3,IF(Y115="TIPO II",'BASE LIQUIDACION'!$C$4,IF(Y115="TIPO III",'BASE LIQUIDACION'!$C$5,'BASE LIQUIDACION'!$C$7))))</f>
        <v>37904.65408</v>
      </c>
      <c r="AG115" s="90">
        <f>IF(W115="SOPORTE_TELEFÓNICO",'BASE LIQUIDACION'!$B$10,(AB115*AF115+AC115*'BASE LIQUIDACION'!$B$12+AD115*'BASE LIQUIDACION'!$B$11+INCIDENTES!AE115*'BASE LIQUIDACION'!$B$13))</f>
        <v>37904.65408</v>
      </c>
    </row>
    <row r="116" spans="1:33" s="70" customFormat="1">
      <c r="A116" s="56" t="s">
        <v>165</v>
      </c>
      <c r="B116" s="56" t="str">
        <f>VLOOKUP(A116,'CENTRO DE COSTOS'!A:D,4,FALSE)</f>
        <v>JUAN SEBASTIÁN RÍOS CASTRILLÓN</v>
      </c>
      <c r="C116" s="56" t="str">
        <f>VLOOKUP(A116,'CENTRO DE COSTOS'!A:D,2,FALSE)</f>
        <v>0004-0005</v>
      </c>
      <c r="D116" s="56">
        <v>5088</v>
      </c>
      <c r="E116" s="56">
        <v>2737436</v>
      </c>
      <c r="F116" s="56">
        <v>56687</v>
      </c>
      <c r="G116" s="56" t="s">
        <v>1250</v>
      </c>
      <c r="H116" s="56" t="s">
        <v>152</v>
      </c>
      <c r="I116" s="56" t="s">
        <v>243</v>
      </c>
      <c r="J116" s="56" t="s">
        <v>1750</v>
      </c>
      <c r="K116" s="56" t="s">
        <v>107</v>
      </c>
      <c r="L116" s="56" t="s">
        <v>1751</v>
      </c>
      <c r="M116" s="103">
        <v>45913.529861111107</v>
      </c>
      <c r="N116" s="103">
        <v>45915.52847222222</v>
      </c>
      <c r="O116" s="56" t="s">
        <v>1253</v>
      </c>
      <c r="P116" s="56" t="s">
        <v>1254</v>
      </c>
      <c r="Q116" s="56" t="s">
        <v>1271</v>
      </c>
      <c r="R116" s="56" t="s">
        <v>1277</v>
      </c>
      <c r="S116" s="78"/>
      <c r="T116" s="78"/>
      <c r="U116" s="56" t="s">
        <v>1257</v>
      </c>
      <c r="V116" s="56" t="s">
        <v>1752</v>
      </c>
      <c r="W116" s="56" t="s">
        <v>1266</v>
      </c>
      <c r="X116" s="56" t="s">
        <v>1753</v>
      </c>
      <c r="Y116" s="56" t="s">
        <v>138</v>
      </c>
      <c r="Z116" s="56" t="s">
        <v>115</v>
      </c>
      <c r="AA116" s="56" t="s">
        <v>173</v>
      </c>
      <c r="AB116" s="56">
        <v>1</v>
      </c>
      <c r="AC116" s="56">
        <v>0</v>
      </c>
      <c r="AD116" s="56">
        <v>0</v>
      </c>
      <c r="AE116" s="56">
        <v>0</v>
      </c>
      <c r="AF116" s="69">
        <f>IF(W116="SOPORTE_TELEFÓNICO",'BASE LIQUIDACION'!$B$10,IF(Y116="TIPO I",'BASE LIQUIDACION'!$C$3,IF(Y116="TIPO II",'BASE LIQUIDACION'!$C$4,IF(Y116="TIPO III",'BASE LIQUIDACION'!$C$5,'BASE LIQUIDACION'!$C$7))))</f>
        <v>65960.473639999997</v>
      </c>
      <c r="AG116" s="90">
        <f>IF(W116="SOPORTE_TELEFÓNICO",'BASE LIQUIDACION'!$B$10,(AB116*AF116+AC116*'BASE LIQUIDACION'!$B$12+AD116*'BASE LIQUIDACION'!$B$11+INCIDENTES!AE116*'BASE LIQUIDACION'!$B$13))</f>
        <v>65960.473639999997</v>
      </c>
    </row>
    <row r="117" spans="1:33" s="70" customFormat="1">
      <c r="A117" s="56" t="s">
        <v>131</v>
      </c>
      <c r="B117" s="56" t="str">
        <f>VLOOKUP(A117,'CENTRO DE COSTOS'!A:D,4,FALSE)</f>
        <v>MIGUEL JULIÁN HERNÁNDEZ GUARÍN</v>
      </c>
      <c r="C117" s="56" t="str">
        <f>VLOOKUP(A117,'CENTRO DE COSTOS'!A:D,2,FALSE)</f>
        <v>0004-0008</v>
      </c>
      <c r="D117" s="56">
        <v>15763</v>
      </c>
      <c r="E117" s="56">
        <v>2737320</v>
      </c>
      <c r="F117" s="56">
        <v>77599</v>
      </c>
      <c r="G117" s="56" t="s">
        <v>1250</v>
      </c>
      <c r="H117" s="56" t="s">
        <v>133</v>
      </c>
      <c r="I117" s="56" t="s">
        <v>505</v>
      </c>
      <c r="J117" s="56" t="s">
        <v>1754</v>
      </c>
      <c r="K117" s="56" t="s">
        <v>107</v>
      </c>
      <c r="L117" s="56" t="s">
        <v>1755</v>
      </c>
      <c r="M117" s="103">
        <v>45913.5</v>
      </c>
      <c r="N117" s="103">
        <v>45915.470138888893</v>
      </c>
      <c r="O117" s="56" t="s">
        <v>1253</v>
      </c>
      <c r="P117" s="56" t="s">
        <v>1254</v>
      </c>
      <c r="Q117" s="56" t="s">
        <v>1263</v>
      </c>
      <c r="R117" s="56" t="s">
        <v>1264</v>
      </c>
      <c r="S117" s="78"/>
      <c r="T117" s="78"/>
      <c r="U117" s="56" t="s">
        <v>1257</v>
      </c>
      <c r="V117" s="56" t="s">
        <v>1756</v>
      </c>
      <c r="W117" s="56" t="s">
        <v>1266</v>
      </c>
      <c r="X117" s="56" t="s">
        <v>1757</v>
      </c>
      <c r="Y117" s="56" t="s">
        <v>114</v>
      </c>
      <c r="Z117" s="56" t="s">
        <v>115</v>
      </c>
      <c r="AA117" s="56" t="s">
        <v>1268</v>
      </c>
      <c r="AB117" s="56">
        <v>1</v>
      </c>
      <c r="AC117" s="56">
        <v>0</v>
      </c>
      <c r="AD117" s="56">
        <v>0</v>
      </c>
      <c r="AE117" s="56">
        <v>0</v>
      </c>
      <c r="AF117" s="69">
        <f>IF(W117="SOPORTE_TELEFÓNICO",'BASE LIQUIDACION'!$B$10,IF(Y117="TIPO I",'BASE LIQUIDACION'!$C$3,IF(Y117="TIPO II",'BASE LIQUIDACION'!$C$4,IF(Y117="TIPO III",'BASE LIQUIDACION'!$C$5,'BASE LIQUIDACION'!$C$7))))</f>
        <v>163813.55812</v>
      </c>
      <c r="AG117" s="90">
        <f>IF(W117="SOPORTE_TELEFÓNICO",'BASE LIQUIDACION'!$B$10,(AB117*AF117+AC117*'BASE LIQUIDACION'!$B$12+AD117*'BASE LIQUIDACION'!$B$11+INCIDENTES!AE117*'BASE LIQUIDACION'!$B$13))</f>
        <v>163813.55812</v>
      </c>
    </row>
    <row r="118" spans="1:33" s="70" customFormat="1">
      <c r="A118" s="56" t="s">
        <v>165</v>
      </c>
      <c r="B118" s="56" t="str">
        <f>VLOOKUP(A118,'CENTRO DE COSTOS'!A:D,4,FALSE)</f>
        <v>JUAN SEBASTIÁN RÍOS CASTRILLÓN</v>
      </c>
      <c r="C118" s="56" t="str">
        <f>VLOOKUP(A118,'CENTRO DE COSTOS'!A:D,2,FALSE)</f>
        <v>0004-0005</v>
      </c>
      <c r="D118" s="56">
        <v>5001</v>
      </c>
      <c r="E118" s="56">
        <v>2736930</v>
      </c>
      <c r="F118" s="56">
        <v>38948</v>
      </c>
      <c r="G118" s="56" t="s">
        <v>1250</v>
      </c>
      <c r="H118" s="56" t="s">
        <v>152</v>
      </c>
      <c r="I118" s="56" t="s">
        <v>165</v>
      </c>
      <c r="J118" s="56" t="s">
        <v>1758</v>
      </c>
      <c r="K118" s="56" t="s">
        <v>107</v>
      </c>
      <c r="L118" s="56" t="s">
        <v>1759</v>
      </c>
      <c r="M118" s="103">
        <v>45913.383333333331</v>
      </c>
      <c r="N118" s="103">
        <v>45913.508333333331</v>
      </c>
      <c r="O118" s="56" t="s">
        <v>1253</v>
      </c>
      <c r="P118" s="56" t="s">
        <v>1254</v>
      </c>
      <c r="Q118" s="56" t="s">
        <v>1357</v>
      </c>
      <c r="R118" s="56" t="s">
        <v>1358</v>
      </c>
      <c r="S118" s="78"/>
      <c r="T118" s="78"/>
      <c r="U118" s="56" t="s">
        <v>1257</v>
      </c>
      <c r="V118" s="56" t="s">
        <v>1760</v>
      </c>
      <c r="W118" s="56" t="s">
        <v>1266</v>
      </c>
      <c r="X118" s="56" t="s">
        <v>1761</v>
      </c>
      <c r="Y118" s="56" t="s">
        <v>138</v>
      </c>
      <c r="Z118" s="56" t="s">
        <v>115</v>
      </c>
      <c r="AA118" s="56" t="s">
        <v>1592</v>
      </c>
      <c r="AB118" s="56">
        <v>1</v>
      </c>
      <c r="AC118" s="56">
        <v>0</v>
      </c>
      <c r="AD118" s="56">
        <v>0</v>
      </c>
      <c r="AE118" s="56">
        <v>0</v>
      </c>
      <c r="AF118" s="69">
        <f>IF(W118="SOPORTE_TELEFÓNICO",'BASE LIQUIDACION'!$B$10,IF(Y118="TIPO I",'BASE LIQUIDACION'!$C$3,IF(Y118="TIPO II",'BASE LIQUIDACION'!$C$4,IF(Y118="TIPO III",'BASE LIQUIDACION'!$C$5,'BASE LIQUIDACION'!$C$7))))</f>
        <v>65960.473639999997</v>
      </c>
      <c r="AG118" s="90">
        <f>IF(W118="SOPORTE_TELEFÓNICO",'BASE LIQUIDACION'!$B$10,(AB118*AF118+AC118*'BASE LIQUIDACION'!$B$12+AD118*'BASE LIQUIDACION'!$B$11+INCIDENTES!AE118*'BASE LIQUIDACION'!$B$13))</f>
        <v>65960.473639999997</v>
      </c>
    </row>
    <row r="119" spans="1:33" s="70" customFormat="1">
      <c r="A119" s="56" t="s">
        <v>539</v>
      </c>
      <c r="B119" s="56" t="str">
        <f>VLOOKUP(A119,'CENTRO DE COSTOS'!A:D,4,FALSE)</f>
        <v>KEVIN ALEXIS CORZO BUSTOS</v>
      </c>
      <c r="C119" s="56" t="str">
        <f>VLOOKUP(A119,'CENTRO DE COSTOS'!A:D,2,FALSE)</f>
        <v>0004-0007</v>
      </c>
      <c r="D119" s="56">
        <v>73268</v>
      </c>
      <c r="E119" s="56">
        <v>2737107</v>
      </c>
      <c r="F119" s="56">
        <v>68077</v>
      </c>
      <c r="G119" s="56" t="s">
        <v>1250</v>
      </c>
      <c r="H119" s="56" t="s">
        <v>1144</v>
      </c>
      <c r="I119" s="56" t="s">
        <v>1159</v>
      </c>
      <c r="J119" s="56" t="s">
        <v>1762</v>
      </c>
      <c r="K119" s="56" t="s">
        <v>107</v>
      </c>
      <c r="L119" s="56" t="s">
        <v>1763</v>
      </c>
      <c r="M119" s="103">
        <v>45913.381249999999</v>
      </c>
      <c r="N119" s="103">
        <v>45916.731944444437</v>
      </c>
      <c r="O119" s="56" t="s">
        <v>1253</v>
      </c>
      <c r="P119" s="56" t="s">
        <v>1254</v>
      </c>
      <c r="Q119" s="56" t="s">
        <v>1312</v>
      </c>
      <c r="R119" s="56" t="s">
        <v>1313</v>
      </c>
      <c r="S119" s="78"/>
      <c r="T119" s="78"/>
      <c r="U119" s="56" t="s">
        <v>1257</v>
      </c>
      <c r="V119" s="56" t="s">
        <v>1764</v>
      </c>
      <c r="W119" s="56" t="s">
        <v>1266</v>
      </c>
      <c r="X119" s="56" t="s">
        <v>1765</v>
      </c>
      <c r="Y119" s="56" t="s">
        <v>114</v>
      </c>
      <c r="Z119" s="56" t="s">
        <v>115</v>
      </c>
      <c r="AA119" s="56" t="s">
        <v>1626</v>
      </c>
      <c r="AB119" s="56">
        <v>1</v>
      </c>
      <c r="AC119" s="56">
        <v>0</v>
      </c>
      <c r="AD119" s="56">
        <v>0</v>
      </c>
      <c r="AE119" s="56">
        <v>0</v>
      </c>
      <c r="AF119" s="69">
        <f>IF(W119="SOPORTE_TELEFÓNICO",'BASE LIQUIDACION'!$B$10,IF(Y119="TIPO I",'BASE LIQUIDACION'!$C$3,IF(Y119="TIPO II",'BASE LIQUIDACION'!$C$4,IF(Y119="TIPO III",'BASE LIQUIDACION'!$C$5,'BASE LIQUIDACION'!$C$7))))</f>
        <v>163813.55812</v>
      </c>
      <c r="AG119" s="90">
        <f>IF(W119="SOPORTE_TELEFÓNICO",'BASE LIQUIDACION'!$B$10,(AB119*AF119+AC119*'BASE LIQUIDACION'!$B$12+AD119*'BASE LIQUIDACION'!$B$11+INCIDENTES!AE119*'BASE LIQUIDACION'!$B$13))</f>
        <v>163813.55812</v>
      </c>
    </row>
    <row r="120" spans="1:33" s="70" customFormat="1">
      <c r="A120" s="56" t="s">
        <v>165</v>
      </c>
      <c r="B120" s="56" t="str">
        <f>VLOOKUP(A120,'CENTRO DE COSTOS'!A:D,4,FALSE)</f>
        <v>JUAN SEBASTIÁN RÍOS CASTRILLÓN</v>
      </c>
      <c r="C120" s="56" t="str">
        <f>VLOOKUP(A120,'CENTRO DE COSTOS'!A:D,2,FALSE)</f>
        <v>0004-0005</v>
      </c>
      <c r="D120" s="56">
        <v>5001</v>
      </c>
      <c r="E120" s="56">
        <v>2736902</v>
      </c>
      <c r="F120" s="56">
        <v>32283</v>
      </c>
      <c r="G120" s="56" t="s">
        <v>1250</v>
      </c>
      <c r="H120" s="56" t="s">
        <v>152</v>
      </c>
      <c r="I120" s="56" t="s">
        <v>165</v>
      </c>
      <c r="J120" s="56" t="s">
        <v>1766</v>
      </c>
      <c r="K120" s="56" t="s">
        <v>107</v>
      </c>
      <c r="L120" s="56" t="s">
        <v>1767</v>
      </c>
      <c r="M120" s="103">
        <v>45913.352777777778</v>
      </c>
      <c r="N120" s="103">
        <v>45913.652777777781</v>
      </c>
      <c r="O120" s="56" t="s">
        <v>1253</v>
      </c>
      <c r="P120" s="56" t="s">
        <v>1254</v>
      </c>
      <c r="Q120" s="56" t="s">
        <v>1263</v>
      </c>
      <c r="R120" s="56" t="s">
        <v>1264</v>
      </c>
      <c r="S120" s="78"/>
      <c r="T120" s="78"/>
      <c r="U120" s="56" t="s">
        <v>1257</v>
      </c>
      <c r="V120" s="56" t="s">
        <v>1768</v>
      </c>
      <c r="W120" s="56" t="s">
        <v>1259</v>
      </c>
      <c r="X120" s="56">
        <v>0</v>
      </c>
      <c r="Y120" s="56" t="s">
        <v>138</v>
      </c>
      <c r="Z120" s="56" t="s">
        <v>115</v>
      </c>
      <c r="AA120" s="56" t="s">
        <v>1648</v>
      </c>
      <c r="AB120" s="56">
        <v>0</v>
      </c>
      <c r="AC120" s="56">
        <v>0</v>
      </c>
      <c r="AD120" s="56">
        <v>0</v>
      </c>
      <c r="AE120" s="56">
        <v>0</v>
      </c>
      <c r="AF120" s="69">
        <f>IF(W120="SOPORTE_TELEFÓNICO",'BASE LIQUIDACION'!$B$10,IF(Y120="TIPO I",'BASE LIQUIDACION'!$C$3,IF(Y120="TIPO II",'BASE LIQUIDACION'!$C$4,IF(Y120="TIPO III",'BASE LIQUIDACION'!$C$5,'BASE LIQUIDACION'!$C$7))))</f>
        <v>37904.65408</v>
      </c>
      <c r="AG120" s="90">
        <f>IF(W120="SOPORTE_TELEFÓNICO",'BASE LIQUIDACION'!$B$10,(AB120*AF120+AC120*'BASE LIQUIDACION'!$B$12+AD120*'BASE LIQUIDACION'!$B$11+INCIDENTES!AE120*'BASE LIQUIDACION'!$B$13))</f>
        <v>37904.65408</v>
      </c>
    </row>
    <row r="121" spans="1:33" s="70" customFormat="1">
      <c r="A121" s="56" t="s">
        <v>140</v>
      </c>
      <c r="B121" s="56" t="str">
        <f>VLOOKUP(A121,'CENTRO DE COSTOS'!A:D,4,FALSE)</f>
        <v>MIGUEL JULIÁN HERNÁNDEZ GUARÍN</v>
      </c>
      <c r="C121" s="56" t="str">
        <f>VLOOKUP(A121,'CENTRO DE COSTOS'!A:D,2,FALSE)</f>
        <v>0004-0008</v>
      </c>
      <c r="D121" s="56">
        <v>68001</v>
      </c>
      <c r="E121" s="56">
        <v>2736075</v>
      </c>
      <c r="F121" s="56">
        <v>74645</v>
      </c>
      <c r="G121" s="56" t="s">
        <v>1250</v>
      </c>
      <c r="H121" s="56" t="s">
        <v>142</v>
      </c>
      <c r="I121" s="56" t="s">
        <v>140</v>
      </c>
      <c r="J121" s="56" t="s">
        <v>1769</v>
      </c>
      <c r="K121" s="56" t="s">
        <v>107</v>
      </c>
      <c r="L121" s="56" t="s">
        <v>1770</v>
      </c>
      <c r="M121" s="103">
        <v>45913.333333333343</v>
      </c>
      <c r="N121" s="103">
        <v>45913.616666666669</v>
      </c>
      <c r="O121" s="56" t="s">
        <v>1253</v>
      </c>
      <c r="P121" s="56" t="s">
        <v>1254</v>
      </c>
      <c r="Q121" s="56" t="s">
        <v>1271</v>
      </c>
      <c r="R121" s="56" t="s">
        <v>1277</v>
      </c>
      <c r="S121" s="78"/>
      <c r="T121" s="78"/>
      <c r="U121" s="56" t="s">
        <v>1257</v>
      </c>
      <c r="V121" s="56" t="s">
        <v>1771</v>
      </c>
      <c r="W121" s="56" t="s">
        <v>1266</v>
      </c>
      <c r="X121" s="56" t="s">
        <v>1772</v>
      </c>
      <c r="Y121" s="56" t="s">
        <v>138</v>
      </c>
      <c r="Z121" s="56" t="s">
        <v>115</v>
      </c>
      <c r="AA121" s="56" t="s">
        <v>1694</v>
      </c>
      <c r="AB121" s="56">
        <v>1</v>
      </c>
      <c r="AC121" s="56">
        <v>0</v>
      </c>
      <c r="AD121" s="56">
        <v>0</v>
      </c>
      <c r="AE121" s="56">
        <v>0</v>
      </c>
      <c r="AF121" s="69">
        <f>IF(W121="SOPORTE_TELEFÓNICO",'BASE LIQUIDACION'!$B$10,IF(Y121="TIPO I",'BASE LIQUIDACION'!$C$3,IF(Y121="TIPO II",'BASE LIQUIDACION'!$C$4,IF(Y121="TIPO III",'BASE LIQUIDACION'!$C$5,'BASE LIQUIDACION'!$C$7))))</f>
        <v>65960.473639999997</v>
      </c>
      <c r="AG121" s="90">
        <f>IF(W121="SOPORTE_TELEFÓNICO",'BASE LIQUIDACION'!$B$10,(AB121*AF121+AC121*'BASE LIQUIDACION'!$B$12+AD121*'BASE LIQUIDACION'!$B$11+INCIDENTES!AE121*'BASE LIQUIDACION'!$B$13))</f>
        <v>65960.473639999997</v>
      </c>
    </row>
    <row r="122" spans="1:33" s="70" customFormat="1">
      <c r="A122" s="56" t="s">
        <v>140</v>
      </c>
      <c r="B122" s="56" t="str">
        <f>VLOOKUP(A122,'CENTRO DE COSTOS'!A:D,4,FALSE)</f>
        <v>MIGUEL JULIÁN HERNÁNDEZ GUARÍN</v>
      </c>
      <c r="C122" s="56" t="str">
        <f>VLOOKUP(A122,'CENTRO DE COSTOS'!A:D,2,FALSE)</f>
        <v>0004-0008</v>
      </c>
      <c r="D122" s="56">
        <v>68001</v>
      </c>
      <c r="E122" s="56">
        <v>2736005</v>
      </c>
      <c r="F122" s="56">
        <v>77645</v>
      </c>
      <c r="G122" s="56" t="s">
        <v>1250</v>
      </c>
      <c r="H122" s="56" t="s">
        <v>142</v>
      </c>
      <c r="I122" s="56" t="s">
        <v>140</v>
      </c>
      <c r="J122" s="56" t="s">
        <v>1773</v>
      </c>
      <c r="K122" s="56" t="s">
        <v>107</v>
      </c>
      <c r="L122" s="56" t="s">
        <v>1774</v>
      </c>
      <c r="M122" s="103">
        <v>45912.704861111109</v>
      </c>
      <c r="N122" s="103">
        <v>45913.546527777777</v>
      </c>
      <c r="O122" s="56" t="s">
        <v>1253</v>
      </c>
      <c r="P122" s="56" t="s">
        <v>1254</v>
      </c>
      <c r="Q122" s="56" t="s">
        <v>1271</v>
      </c>
      <c r="R122" s="56" t="s">
        <v>1272</v>
      </c>
      <c r="S122" s="78"/>
      <c r="T122" s="78"/>
      <c r="U122" s="56" t="s">
        <v>1257</v>
      </c>
      <c r="V122" s="56" t="s">
        <v>1775</v>
      </c>
      <c r="W122" s="56" t="s">
        <v>1266</v>
      </c>
      <c r="X122" s="56" t="s">
        <v>1776</v>
      </c>
      <c r="Y122" s="56" t="s">
        <v>138</v>
      </c>
      <c r="Z122" s="56" t="s">
        <v>115</v>
      </c>
      <c r="AA122" s="56" t="s">
        <v>1428</v>
      </c>
      <c r="AB122" s="56">
        <v>1</v>
      </c>
      <c r="AC122" s="56">
        <v>0</v>
      </c>
      <c r="AD122" s="56">
        <v>0</v>
      </c>
      <c r="AE122" s="56">
        <v>0</v>
      </c>
      <c r="AF122" s="69">
        <f>IF(W122="SOPORTE_TELEFÓNICO",'BASE LIQUIDACION'!$B$10,IF(Y122="TIPO I",'BASE LIQUIDACION'!$C$3,IF(Y122="TIPO II",'BASE LIQUIDACION'!$C$4,IF(Y122="TIPO III",'BASE LIQUIDACION'!$C$5,'BASE LIQUIDACION'!$C$7))))</f>
        <v>65960.473639999997</v>
      </c>
      <c r="AG122" s="90">
        <f>IF(W122="SOPORTE_TELEFÓNICO",'BASE LIQUIDACION'!$B$10,(AB122*AF122+AC122*'BASE LIQUIDACION'!$B$12+AD122*'BASE LIQUIDACION'!$B$11+INCIDENTES!AE122*'BASE LIQUIDACION'!$B$13))</f>
        <v>65960.473639999997</v>
      </c>
    </row>
    <row r="123" spans="1:33" s="70" customFormat="1">
      <c r="A123" s="56" t="s">
        <v>140</v>
      </c>
      <c r="B123" s="56" t="str">
        <f>VLOOKUP(A123,'CENTRO DE COSTOS'!A:D,4,FALSE)</f>
        <v>MIGUEL JULIÁN HERNÁNDEZ GUARÍN</v>
      </c>
      <c r="C123" s="56" t="str">
        <f>VLOOKUP(A123,'CENTRO DE COSTOS'!A:D,2,FALSE)</f>
        <v>0004-0008</v>
      </c>
      <c r="D123" s="56">
        <v>68001</v>
      </c>
      <c r="E123" s="56">
        <v>2735745</v>
      </c>
      <c r="F123" s="56">
        <v>74340</v>
      </c>
      <c r="G123" s="56" t="s">
        <v>1250</v>
      </c>
      <c r="H123" s="56" t="s">
        <v>142</v>
      </c>
      <c r="I123" s="56" t="s">
        <v>140</v>
      </c>
      <c r="J123" s="56" t="s">
        <v>1777</v>
      </c>
      <c r="K123" s="56" t="s">
        <v>107</v>
      </c>
      <c r="L123" s="56" t="s">
        <v>1778</v>
      </c>
      <c r="M123" s="103">
        <v>45912.681250000001</v>
      </c>
      <c r="N123" s="103">
        <v>45913.519444444442</v>
      </c>
      <c r="O123" s="56" t="s">
        <v>1253</v>
      </c>
      <c r="P123" s="56" t="s">
        <v>1254</v>
      </c>
      <c r="Q123" s="56" t="s">
        <v>1271</v>
      </c>
      <c r="R123" s="56" t="s">
        <v>1277</v>
      </c>
      <c r="S123" s="78"/>
      <c r="T123" s="78"/>
      <c r="U123" s="56" t="s">
        <v>1257</v>
      </c>
      <c r="V123" s="56" t="s">
        <v>1779</v>
      </c>
      <c r="W123" s="56" t="s">
        <v>1259</v>
      </c>
      <c r="X123" s="56">
        <v>0</v>
      </c>
      <c r="Y123" s="56" t="s">
        <v>138</v>
      </c>
      <c r="Z123" s="56" t="s">
        <v>115</v>
      </c>
      <c r="AA123" s="56" t="s">
        <v>1495</v>
      </c>
      <c r="AB123" s="56">
        <v>0</v>
      </c>
      <c r="AC123" s="56">
        <v>0</v>
      </c>
      <c r="AD123" s="56">
        <v>0</v>
      </c>
      <c r="AE123" s="56">
        <v>0</v>
      </c>
      <c r="AF123" s="69">
        <f>IF(W123="SOPORTE_TELEFÓNICO",'BASE LIQUIDACION'!$B$10,IF(Y123="TIPO I",'BASE LIQUIDACION'!$C$3,IF(Y123="TIPO II",'BASE LIQUIDACION'!$C$4,IF(Y123="TIPO III",'BASE LIQUIDACION'!$C$5,'BASE LIQUIDACION'!$C$7))))</f>
        <v>37904.65408</v>
      </c>
      <c r="AG123" s="90">
        <f>IF(W123="SOPORTE_TELEFÓNICO",'BASE LIQUIDACION'!$B$10,(AB123*AF123+AC123*'BASE LIQUIDACION'!$B$12+AD123*'BASE LIQUIDACION'!$B$11+INCIDENTES!AE123*'BASE LIQUIDACION'!$B$13))</f>
        <v>37904.65408</v>
      </c>
    </row>
    <row r="124" spans="1:33" s="70" customFormat="1">
      <c r="A124" s="56" t="s">
        <v>165</v>
      </c>
      <c r="B124" s="56" t="str">
        <f>VLOOKUP(A124,'CENTRO DE COSTOS'!A:D,4,FALSE)</f>
        <v>JUAN SEBASTIÁN RÍOS CASTRILLÓN</v>
      </c>
      <c r="C124" s="56" t="str">
        <f>VLOOKUP(A124,'CENTRO DE COSTOS'!A:D,2,FALSE)</f>
        <v>0004-0005</v>
      </c>
      <c r="D124" s="56">
        <v>5308</v>
      </c>
      <c r="E124" s="56">
        <v>2734692</v>
      </c>
      <c r="F124" s="56">
        <v>18623</v>
      </c>
      <c r="G124" s="56" t="s">
        <v>1250</v>
      </c>
      <c r="H124" s="56" t="s">
        <v>152</v>
      </c>
      <c r="I124" s="56" t="s">
        <v>272</v>
      </c>
      <c r="J124" s="56" t="s">
        <v>1780</v>
      </c>
      <c r="K124" s="56" t="s">
        <v>107</v>
      </c>
      <c r="L124" s="56" t="s">
        <v>1781</v>
      </c>
      <c r="M124" s="103">
        <v>45912.604166666657</v>
      </c>
      <c r="N124" s="103">
        <v>45913.494444444441</v>
      </c>
      <c r="O124" s="56" t="s">
        <v>1253</v>
      </c>
      <c r="P124" s="56" t="s">
        <v>1254</v>
      </c>
      <c r="Q124" s="56" t="s">
        <v>1271</v>
      </c>
      <c r="R124" s="56" t="s">
        <v>1277</v>
      </c>
      <c r="S124" s="78"/>
      <c r="T124" s="78"/>
      <c r="U124" s="56" t="s">
        <v>1257</v>
      </c>
      <c r="V124" s="56" t="s">
        <v>1782</v>
      </c>
      <c r="W124" s="56" t="s">
        <v>1266</v>
      </c>
      <c r="X124" s="56" t="s">
        <v>1783</v>
      </c>
      <c r="Y124" s="56" t="s">
        <v>138</v>
      </c>
      <c r="Z124" s="56" t="s">
        <v>115</v>
      </c>
      <c r="AA124" s="56" t="s">
        <v>1398</v>
      </c>
      <c r="AB124" s="56">
        <v>1</v>
      </c>
      <c r="AC124" s="56">
        <v>0</v>
      </c>
      <c r="AD124" s="56">
        <v>0</v>
      </c>
      <c r="AE124" s="56">
        <v>0</v>
      </c>
      <c r="AF124" s="69">
        <f>IF(W124="SOPORTE_TELEFÓNICO",'BASE LIQUIDACION'!$B$10,IF(Y124="TIPO I",'BASE LIQUIDACION'!$C$3,IF(Y124="TIPO II",'BASE LIQUIDACION'!$C$4,IF(Y124="TIPO III",'BASE LIQUIDACION'!$C$5,'BASE LIQUIDACION'!$C$7))))</f>
        <v>65960.473639999997</v>
      </c>
      <c r="AG124" s="90">
        <f>IF(W124="SOPORTE_TELEFÓNICO",'BASE LIQUIDACION'!$B$10,(AB124*AF124+AC124*'BASE LIQUIDACION'!$B$12+AD124*'BASE LIQUIDACION'!$B$11+INCIDENTES!AE124*'BASE LIQUIDACION'!$B$13))</f>
        <v>65960.473639999997</v>
      </c>
    </row>
    <row r="125" spans="1:33" s="70" customFormat="1">
      <c r="A125" s="56" t="s">
        <v>182</v>
      </c>
      <c r="B125" s="56" t="str">
        <f>VLOOKUP(A125,'CENTRO DE COSTOS'!A:D,4,FALSE)</f>
        <v>WILLIAM ASDRUBAL ROZO ROZO</v>
      </c>
      <c r="C125" s="56" t="str">
        <f>VLOOKUP(A125,'CENTRO DE COSTOS'!A:D,2,FALSE)</f>
        <v>0004-0004</v>
      </c>
      <c r="D125" s="56">
        <v>11001</v>
      </c>
      <c r="E125" s="56">
        <v>2734544</v>
      </c>
      <c r="F125" s="56">
        <v>57035</v>
      </c>
      <c r="G125" s="56" t="s">
        <v>1250</v>
      </c>
      <c r="H125" s="56" t="s">
        <v>184</v>
      </c>
      <c r="I125" s="56" t="s">
        <v>182</v>
      </c>
      <c r="J125" s="56" t="s">
        <v>1784</v>
      </c>
      <c r="K125" s="56" t="s">
        <v>107</v>
      </c>
      <c r="L125" s="56" t="s">
        <v>1785</v>
      </c>
      <c r="M125" s="103">
        <v>45912.576388888891</v>
      </c>
      <c r="N125" s="103">
        <v>45913.491666666669</v>
      </c>
      <c r="O125" s="56" t="s">
        <v>1253</v>
      </c>
      <c r="P125" s="56" t="s">
        <v>1254</v>
      </c>
      <c r="Q125" s="56" t="s">
        <v>1271</v>
      </c>
      <c r="R125" s="56" t="s">
        <v>1277</v>
      </c>
      <c r="S125" s="78"/>
      <c r="T125" s="78"/>
      <c r="U125" s="56" t="s">
        <v>1257</v>
      </c>
      <c r="V125" s="56" t="s">
        <v>1786</v>
      </c>
      <c r="W125" s="56" t="s">
        <v>1266</v>
      </c>
      <c r="X125" s="56" t="s">
        <v>1787</v>
      </c>
      <c r="Y125" s="56" t="s">
        <v>138</v>
      </c>
      <c r="Z125" s="56" t="s">
        <v>115</v>
      </c>
      <c r="AA125" s="56" t="s">
        <v>1703</v>
      </c>
      <c r="AB125" s="56">
        <v>1</v>
      </c>
      <c r="AC125" s="56">
        <v>0</v>
      </c>
      <c r="AD125" s="56">
        <v>0</v>
      </c>
      <c r="AE125" s="56">
        <v>0</v>
      </c>
      <c r="AF125" s="69">
        <f>IF(W125="SOPORTE_TELEFÓNICO",'BASE LIQUIDACION'!$B$10,IF(Y125="TIPO I",'BASE LIQUIDACION'!$C$3,IF(Y125="TIPO II",'BASE LIQUIDACION'!$C$4,IF(Y125="TIPO III",'BASE LIQUIDACION'!$C$5,'BASE LIQUIDACION'!$C$7))))</f>
        <v>65960.473639999997</v>
      </c>
      <c r="AG125" s="90">
        <f>IF(W125="SOPORTE_TELEFÓNICO",'BASE LIQUIDACION'!$B$10,(AB125*AF125+AC125*'BASE LIQUIDACION'!$B$12+AD125*'BASE LIQUIDACION'!$B$11+INCIDENTES!AE125*'BASE LIQUIDACION'!$B$13))</f>
        <v>65960.473639999997</v>
      </c>
    </row>
    <row r="126" spans="1:33" s="70" customFormat="1">
      <c r="A126" s="56" t="s">
        <v>117</v>
      </c>
      <c r="B126" s="56" t="str">
        <f>VLOOKUP(A126,'CENTRO DE COSTOS'!A:D,4,FALSE)</f>
        <v>KEVIN ALEXIS CORZO BUSTOS</v>
      </c>
      <c r="C126" s="56" t="str">
        <f>VLOOKUP(A126,'CENTRO DE COSTOS'!A:D,2,FALSE)</f>
        <v>0004-0007</v>
      </c>
      <c r="D126" s="56">
        <v>41001</v>
      </c>
      <c r="E126" s="56">
        <v>2734189</v>
      </c>
      <c r="F126" s="56">
        <v>80168</v>
      </c>
      <c r="G126" s="56" t="s">
        <v>1250</v>
      </c>
      <c r="H126" s="56" t="s">
        <v>830</v>
      </c>
      <c r="I126" s="56" t="s">
        <v>117</v>
      </c>
      <c r="J126" s="56" t="s">
        <v>1788</v>
      </c>
      <c r="K126" s="56" t="s">
        <v>107</v>
      </c>
      <c r="L126" s="56" t="s">
        <v>1789</v>
      </c>
      <c r="M126" s="103">
        <v>45912.52847222222</v>
      </c>
      <c r="N126" s="103">
        <v>45913.445138888892</v>
      </c>
      <c r="O126" s="56" t="s">
        <v>1253</v>
      </c>
      <c r="P126" s="56" t="s">
        <v>1254</v>
      </c>
      <c r="Q126" s="56" t="s">
        <v>1312</v>
      </c>
      <c r="R126" s="56" t="s">
        <v>1313</v>
      </c>
      <c r="S126" s="78"/>
      <c r="T126" s="78"/>
      <c r="U126" s="56" t="s">
        <v>1257</v>
      </c>
      <c r="V126" s="56" t="s">
        <v>1790</v>
      </c>
      <c r="W126" s="56" t="s">
        <v>1266</v>
      </c>
      <c r="X126" s="56" t="s">
        <v>1791</v>
      </c>
      <c r="Y126" s="56" t="s">
        <v>138</v>
      </c>
      <c r="Z126" s="56" t="s">
        <v>115</v>
      </c>
      <c r="AA126" s="56" t="s">
        <v>1721</v>
      </c>
      <c r="AB126" s="56">
        <v>1</v>
      </c>
      <c r="AC126" s="56">
        <v>0</v>
      </c>
      <c r="AD126" s="56">
        <v>0</v>
      </c>
      <c r="AE126" s="56">
        <v>0</v>
      </c>
      <c r="AF126" s="69">
        <f>IF(W126="SOPORTE_TELEFÓNICO",'BASE LIQUIDACION'!$B$10,IF(Y126="TIPO I",'BASE LIQUIDACION'!$C$3,IF(Y126="TIPO II",'BASE LIQUIDACION'!$C$4,IF(Y126="TIPO III",'BASE LIQUIDACION'!$C$5,'BASE LIQUIDACION'!$C$7))))</f>
        <v>65960.473639999997</v>
      </c>
      <c r="AG126" s="90">
        <f>IF(W126="SOPORTE_TELEFÓNICO",'BASE LIQUIDACION'!$B$10,(AB126*AF126+AC126*'BASE LIQUIDACION'!$B$12+AD126*'BASE LIQUIDACION'!$B$11+INCIDENTES!AE126*'BASE LIQUIDACION'!$B$13))</f>
        <v>65960.473639999997</v>
      </c>
    </row>
    <row r="127" spans="1:33" s="70" customFormat="1">
      <c r="A127" s="56" t="s">
        <v>980</v>
      </c>
      <c r="B127" s="56" t="str">
        <f>VLOOKUP(A127,'CENTRO DE COSTOS'!A:D,4,FALSE)</f>
        <v>MIGUEL JULIÁN HERNÁNDEZ GUARÍN</v>
      </c>
      <c r="C127" s="56" t="str">
        <f>VLOOKUP(A127,'CENTRO DE COSTOS'!A:D,2,FALSE)</f>
        <v>0004-0008</v>
      </c>
      <c r="D127" s="56">
        <v>54874</v>
      </c>
      <c r="E127" s="56">
        <v>2734249</v>
      </c>
      <c r="F127" s="56">
        <v>77297</v>
      </c>
      <c r="G127" s="56" t="s">
        <v>1250</v>
      </c>
      <c r="H127" s="56" t="s">
        <v>979</v>
      </c>
      <c r="I127" s="56" t="s">
        <v>1016</v>
      </c>
      <c r="J127" s="56" t="s">
        <v>1792</v>
      </c>
      <c r="K127" s="56" t="s">
        <v>107</v>
      </c>
      <c r="L127" s="56" t="s">
        <v>1793</v>
      </c>
      <c r="M127" s="103">
        <v>45912.523611111108</v>
      </c>
      <c r="N127" s="103">
        <v>45912.992361111108</v>
      </c>
      <c r="O127" s="56" t="s">
        <v>1253</v>
      </c>
      <c r="P127" s="56" t="s">
        <v>1254</v>
      </c>
      <c r="Q127" s="56" t="s">
        <v>1271</v>
      </c>
      <c r="R127" s="56" t="s">
        <v>1272</v>
      </c>
      <c r="S127" s="78"/>
      <c r="T127" s="78"/>
      <c r="U127" s="56" t="s">
        <v>1257</v>
      </c>
      <c r="V127" s="56" t="s">
        <v>1794</v>
      </c>
      <c r="W127" s="56" t="s">
        <v>1266</v>
      </c>
      <c r="X127" s="56" t="s">
        <v>1795</v>
      </c>
      <c r="Y127" s="56" t="s">
        <v>138</v>
      </c>
      <c r="Z127" s="56" t="s">
        <v>115</v>
      </c>
      <c r="AA127" s="56" t="s">
        <v>1444</v>
      </c>
      <c r="AB127" s="56">
        <v>1</v>
      </c>
      <c r="AC127" s="56">
        <v>0</v>
      </c>
      <c r="AD127" s="56">
        <v>0</v>
      </c>
      <c r="AE127" s="56">
        <v>0</v>
      </c>
      <c r="AF127" s="69">
        <f>IF(W127="SOPORTE_TELEFÓNICO",'BASE LIQUIDACION'!$B$10,IF(Y127="TIPO I",'BASE LIQUIDACION'!$C$3,IF(Y127="TIPO II",'BASE LIQUIDACION'!$C$4,IF(Y127="TIPO III",'BASE LIQUIDACION'!$C$5,'BASE LIQUIDACION'!$C$7))))</f>
        <v>65960.473639999997</v>
      </c>
      <c r="AG127" s="90">
        <f>IF(W127="SOPORTE_TELEFÓNICO",'BASE LIQUIDACION'!$B$10,(AB127*AF127+AC127*'BASE LIQUIDACION'!$B$12+AD127*'BASE LIQUIDACION'!$B$11+INCIDENTES!AE127*'BASE LIQUIDACION'!$B$13))</f>
        <v>65960.473639999997</v>
      </c>
    </row>
    <row r="128" spans="1:33" s="70" customFormat="1">
      <c r="A128" s="56" t="s">
        <v>165</v>
      </c>
      <c r="B128" s="56" t="str">
        <f>VLOOKUP(A128,'CENTRO DE COSTOS'!A:D,4,FALSE)</f>
        <v>JUAN SEBASTIÁN RÍOS CASTRILLÓN</v>
      </c>
      <c r="C128" s="56" t="str">
        <f>VLOOKUP(A128,'CENTRO DE COSTOS'!A:D,2,FALSE)</f>
        <v>0004-0005</v>
      </c>
      <c r="D128" s="56">
        <v>5360</v>
      </c>
      <c r="E128" s="56">
        <v>2734175</v>
      </c>
      <c r="F128" s="56">
        <v>32941</v>
      </c>
      <c r="G128" s="56" t="s">
        <v>1250</v>
      </c>
      <c r="H128" s="56" t="s">
        <v>152</v>
      </c>
      <c r="I128" s="56" t="s">
        <v>278</v>
      </c>
      <c r="J128" s="56" t="s">
        <v>1796</v>
      </c>
      <c r="K128" s="56" t="s">
        <v>107</v>
      </c>
      <c r="L128" s="56" t="s">
        <v>1797</v>
      </c>
      <c r="M128" s="103">
        <v>45912.522222222222</v>
      </c>
      <c r="N128" s="103">
        <v>45913.458333333343</v>
      </c>
      <c r="O128" s="56" t="s">
        <v>1253</v>
      </c>
      <c r="P128" s="56" t="s">
        <v>1341</v>
      </c>
      <c r="Q128" s="56" t="s">
        <v>1342</v>
      </c>
      <c r="R128" s="56" t="s">
        <v>1798</v>
      </c>
      <c r="S128" s="78"/>
      <c r="T128" s="78"/>
      <c r="U128" s="56" t="s">
        <v>1257</v>
      </c>
      <c r="V128" s="56" t="s">
        <v>1799</v>
      </c>
      <c r="W128" s="56" t="s">
        <v>1259</v>
      </c>
      <c r="X128" s="56">
        <v>0</v>
      </c>
      <c r="Y128" s="56" t="s">
        <v>138</v>
      </c>
      <c r="Z128" s="56" t="s">
        <v>115</v>
      </c>
      <c r="AA128" s="56" t="s">
        <v>1557</v>
      </c>
      <c r="AB128" s="56">
        <v>0</v>
      </c>
      <c r="AC128" s="56">
        <v>0</v>
      </c>
      <c r="AD128" s="56">
        <v>0</v>
      </c>
      <c r="AE128" s="56">
        <v>0</v>
      </c>
      <c r="AF128" s="69">
        <f>IF(W128="SOPORTE_TELEFÓNICO",'BASE LIQUIDACION'!$B$10,IF(Y128="TIPO I",'BASE LIQUIDACION'!$C$3,IF(Y128="TIPO II",'BASE LIQUIDACION'!$C$4,IF(Y128="TIPO III",'BASE LIQUIDACION'!$C$5,'BASE LIQUIDACION'!$C$7))))</f>
        <v>37904.65408</v>
      </c>
      <c r="AG128" s="90">
        <f>IF(W128="SOPORTE_TELEFÓNICO",'BASE LIQUIDACION'!$B$10,(AB128*AF128+AC128*'BASE LIQUIDACION'!$B$12+AD128*'BASE LIQUIDACION'!$B$11+INCIDENTES!AE128*'BASE LIQUIDACION'!$B$13))</f>
        <v>37904.65408</v>
      </c>
    </row>
    <row r="129" spans="1:33" s="70" customFormat="1">
      <c r="A129" s="56" t="s">
        <v>165</v>
      </c>
      <c r="B129" s="56" t="str">
        <f>VLOOKUP(A129,'CENTRO DE COSTOS'!A:D,4,FALSE)</f>
        <v>JUAN SEBASTIÁN RÍOS CASTRILLÓN</v>
      </c>
      <c r="C129" s="56" t="str">
        <f>VLOOKUP(A129,'CENTRO DE COSTOS'!A:D,2,FALSE)</f>
        <v>0004-0005</v>
      </c>
      <c r="D129" s="56">
        <v>5088</v>
      </c>
      <c r="E129" s="56">
        <v>2733960</v>
      </c>
      <c r="F129" s="56">
        <v>75649</v>
      </c>
      <c r="G129" s="56" t="s">
        <v>1250</v>
      </c>
      <c r="H129" s="56" t="s">
        <v>152</v>
      </c>
      <c r="I129" s="56" t="s">
        <v>243</v>
      </c>
      <c r="J129" s="56" t="s">
        <v>1800</v>
      </c>
      <c r="K129" s="56" t="s">
        <v>107</v>
      </c>
      <c r="L129" s="56" t="s">
        <v>1801</v>
      </c>
      <c r="M129" s="103">
        <v>45912.500694444447</v>
      </c>
      <c r="N129" s="103">
        <v>45912.678472222222</v>
      </c>
      <c r="O129" s="56" t="s">
        <v>1253</v>
      </c>
      <c r="P129" s="56" t="s">
        <v>1254</v>
      </c>
      <c r="Q129" s="56" t="s">
        <v>1286</v>
      </c>
      <c r="R129" s="56" t="s">
        <v>1287</v>
      </c>
      <c r="S129" s="78"/>
      <c r="T129" s="78"/>
      <c r="U129" s="56" t="s">
        <v>1257</v>
      </c>
      <c r="V129" s="56" t="s">
        <v>1802</v>
      </c>
      <c r="W129" s="56" t="s">
        <v>1266</v>
      </c>
      <c r="X129" s="56" t="s">
        <v>1803</v>
      </c>
      <c r="Y129" s="56" t="s">
        <v>138</v>
      </c>
      <c r="Z129" s="56" t="s">
        <v>115</v>
      </c>
      <c r="AA129" s="56" t="s">
        <v>1648</v>
      </c>
      <c r="AB129" s="56">
        <v>1</v>
      </c>
      <c r="AC129" s="56">
        <v>0</v>
      </c>
      <c r="AD129" s="56">
        <v>0</v>
      </c>
      <c r="AE129" s="56">
        <v>0</v>
      </c>
      <c r="AF129" s="69">
        <f>IF(W129="SOPORTE_TELEFÓNICO",'BASE LIQUIDACION'!$B$10,IF(Y129="TIPO I",'BASE LIQUIDACION'!$C$3,IF(Y129="TIPO II",'BASE LIQUIDACION'!$C$4,IF(Y129="TIPO III",'BASE LIQUIDACION'!$C$5,'BASE LIQUIDACION'!$C$7))))</f>
        <v>65960.473639999997</v>
      </c>
      <c r="AG129" s="90">
        <f>IF(W129="SOPORTE_TELEFÓNICO",'BASE LIQUIDACION'!$B$10,(AB129*AF129+AC129*'BASE LIQUIDACION'!$B$12+AD129*'BASE LIQUIDACION'!$B$11+INCIDENTES!AE129*'BASE LIQUIDACION'!$B$13))</f>
        <v>65960.473639999997</v>
      </c>
    </row>
    <row r="130" spans="1:33" s="70" customFormat="1">
      <c r="A130" s="56" t="s">
        <v>117</v>
      </c>
      <c r="B130" s="56" t="str">
        <f>VLOOKUP(A130,'CENTRO DE COSTOS'!A:D,4,FALSE)</f>
        <v>KEVIN ALEXIS CORZO BUSTOS</v>
      </c>
      <c r="C130" s="56" t="str">
        <f>VLOOKUP(A130,'CENTRO DE COSTOS'!A:D,2,FALSE)</f>
        <v>0004-0007</v>
      </c>
      <c r="D130" s="56">
        <v>41001</v>
      </c>
      <c r="E130" s="56">
        <v>2733650</v>
      </c>
      <c r="F130" s="56">
        <v>80615</v>
      </c>
      <c r="G130" s="56" t="s">
        <v>1250</v>
      </c>
      <c r="H130" s="56" t="s">
        <v>830</v>
      </c>
      <c r="I130" s="56" t="s">
        <v>117</v>
      </c>
      <c r="J130" s="56" t="s">
        <v>1804</v>
      </c>
      <c r="K130" s="56" t="s">
        <v>107</v>
      </c>
      <c r="L130" s="56" t="s">
        <v>1805</v>
      </c>
      <c r="M130" s="103">
        <v>45912.473611111112</v>
      </c>
      <c r="N130" s="103">
        <v>45913.42083333333</v>
      </c>
      <c r="O130" s="56" t="s">
        <v>1253</v>
      </c>
      <c r="P130" s="56" t="s">
        <v>1254</v>
      </c>
      <c r="Q130" s="56" t="s">
        <v>1312</v>
      </c>
      <c r="R130" s="56" t="s">
        <v>1313</v>
      </c>
      <c r="S130" s="78"/>
      <c r="T130" s="78"/>
      <c r="U130" s="56" t="s">
        <v>1257</v>
      </c>
      <c r="V130" s="56" t="s">
        <v>1806</v>
      </c>
      <c r="W130" s="56" t="s">
        <v>1266</v>
      </c>
      <c r="X130" s="56" t="s">
        <v>1807</v>
      </c>
      <c r="Y130" s="56" t="s">
        <v>138</v>
      </c>
      <c r="Z130" s="56" t="s">
        <v>115</v>
      </c>
      <c r="AA130" s="56" t="s">
        <v>1721</v>
      </c>
      <c r="AB130" s="56">
        <v>1</v>
      </c>
      <c r="AC130" s="56">
        <v>0</v>
      </c>
      <c r="AD130" s="56">
        <v>0</v>
      </c>
      <c r="AE130" s="56">
        <v>0</v>
      </c>
      <c r="AF130" s="69">
        <f>IF(W130="SOPORTE_TELEFÓNICO",'BASE LIQUIDACION'!$B$10,IF(Y130="TIPO I",'BASE LIQUIDACION'!$C$3,IF(Y130="TIPO II",'BASE LIQUIDACION'!$C$4,IF(Y130="TIPO III",'BASE LIQUIDACION'!$C$5,'BASE LIQUIDACION'!$C$7))))</f>
        <v>65960.473639999997</v>
      </c>
      <c r="AG130" s="90">
        <f>IF(W130="SOPORTE_TELEFÓNICO",'BASE LIQUIDACION'!$B$10,(AB130*AF130+AC130*'BASE LIQUIDACION'!$B$12+AD130*'BASE LIQUIDACION'!$B$11+INCIDENTES!AE130*'BASE LIQUIDACION'!$B$13))</f>
        <v>65960.473639999997</v>
      </c>
    </row>
    <row r="131" spans="1:33" s="70" customFormat="1">
      <c r="A131" s="56" t="s">
        <v>471</v>
      </c>
      <c r="B131" s="56" t="str">
        <f>VLOOKUP(A131,'CENTRO DE COSTOS'!A:D,4,FALSE)</f>
        <v>KEVIN ALEXIS CORZO BUSTOS</v>
      </c>
      <c r="C131" s="56" t="str">
        <f>VLOOKUP(A131,'CENTRO DE COSTOS'!A:D,2,FALSE)</f>
        <v>0004-0007</v>
      </c>
      <c r="D131" s="56">
        <v>85001</v>
      </c>
      <c r="E131" s="56">
        <v>2732201</v>
      </c>
      <c r="F131" s="56">
        <v>54058</v>
      </c>
      <c r="G131" s="56" t="s">
        <v>1250</v>
      </c>
      <c r="H131" s="56" t="s">
        <v>571</v>
      </c>
      <c r="I131" s="56" t="s">
        <v>471</v>
      </c>
      <c r="J131" s="56" t="s">
        <v>1808</v>
      </c>
      <c r="K131" s="56" t="s">
        <v>107</v>
      </c>
      <c r="L131" s="56" t="s">
        <v>1809</v>
      </c>
      <c r="M131" s="103">
        <v>45912.394444444442</v>
      </c>
      <c r="N131" s="103">
        <v>45912.602777777778</v>
      </c>
      <c r="O131" s="56" t="s">
        <v>1253</v>
      </c>
      <c r="P131" s="56" t="s">
        <v>1254</v>
      </c>
      <c r="Q131" s="56" t="s">
        <v>1255</v>
      </c>
      <c r="R131" s="56" t="s">
        <v>1524</v>
      </c>
      <c r="S131" s="78"/>
      <c r="T131" s="78"/>
      <c r="U131" s="56" t="s">
        <v>1257</v>
      </c>
      <c r="V131" s="56" t="s">
        <v>1810</v>
      </c>
      <c r="W131" s="56" t="s">
        <v>1259</v>
      </c>
      <c r="X131" s="56">
        <v>0</v>
      </c>
      <c r="Y131" s="56" t="s">
        <v>138</v>
      </c>
      <c r="Z131" s="56" t="s">
        <v>115</v>
      </c>
      <c r="AA131" s="56" t="s">
        <v>1811</v>
      </c>
      <c r="AB131" s="56">
        <v>0</v>
      </c>
      <c r="AC131" s="56">
        <v>0</v>
      </c>
      <c r="AD131" s="56">
        <v>0</v>
      </c>
      <c r="AE131" s="56">
        <v>0</v>
      </c>
      <c r="AF131" s="69">
        <f>IF(W131="SOPORTE_TELEFÓNICO",'BASE LIQUIDACION'!$B$10,IF(Y131="TIPO I",'BASE LIQUIDACION'!$C$3,IF(Y131="TIPO II",'BASE LIQUIDACION'!$C$4,IF(Y131="TIPO III",'BASE LIQUIDACION'!$C$5,'BASE LIQUIDACION'!$C$7))))</f>
        <v>37904.65408</v>
      </c>
      <c r="AG131" s="90">
        <f>IF(W131="SOPORTE_TELEFÓNICO",'BASE LIQUIDACION'!$B$10,(AB131*AF131+AC131*'BASE LIQUIDACION'!$B$12+AD131*'BASE LIQUIDACION'!$B$11+INCIDENTES!AE131*'BASE LIQUIDACION'!$B$13))</f>
        <v>37904.65408</v>
      </c>
    </row>
    <row r="132" spans="1:33" s="70" customFormat="1">
      <c r="A132" s="56" t="s">
        <v>140</v>
      </c>
      <c r="B132" s="56" t="str">
        <f>VLOOKUP(A132,'CENTRO DE COSTOS'!A:D,4,FALSE)</f>
        <v>MIGUEL JULIÁN HERNÁNDEZ GUARÍN</v>
      </c>
      <c r="C132" s="56" t="str">
        <f>VLOOKUP(A132,'CENTRO DE COSTOS'!A:D,2,FALSE)</f>
        <v>0004-0008</v>
      </c>
      <c r="D132" s="56">
        <v>68001</v>
      </c>
      <c r="E132" s="56">
        <v>2731972</v>
      </c>
      <c r="F132" s="56">
        <v>74340</v>
      </c>
      <c r="G132" s="56" t="s">
        <v>1250</v>
      </c>
      <c r="H132" s="56" t="s">
        <v>142</v>
      </c>
      <c r="I132" s="56" t="s">
        <v>140</v>
      </c>
      <c r="J132" s="56" t="s">
        <v>1777</v>
      </c>
      <c r="K132" s="56" t="s">
        <v>107</v>
      </c>
      <c r="L132" s="56" t="s">
        <v>1812</v>
      </c>
      <c r="M132" s="103">
        <v>45912.387499999997</v>
      </c>
      <c r="N132" s="103">
        <v>45912.626388888893</v>
      </c>
      <c r="O132" s="56" t="s">
        <v>1253</v>
      </c>
      <c r="P132" s="56" t="s">
        <v>1254</v>
      </c>
      <c r="Q132" s="56" t="s">
        <v>1271</v>
      </c>
      <c r="R132" s="56" t="s">
        <v>1272</v>
      </c>
      <c r="S132" s="78"/>
      <c r="T132" s="78"/>
      <c r="U132" s="56" t="s">
        <v>1257</v>
      </c>
      <c r="V132" s="56" t="s">
        <v>1813</v>
      </c>
      <c r="W132" s="56" t="s">
        <v>1259</v>
      </c>
      <c r="X132" s="56">
        <v>0</v>
      </c>
      <c r="Y132" s="56" t="s">
        <v>138</v>
      </c>
      <c r="Z132" s="56" t="s">
        <v>115</v>
      </c>
      <c r="AA132" s="56" t="s">
        <v>1814</v>
      </c>
      <c r="AB132" s="56">
        <v>0</v>
      </c>
      <c r="AC132" s="56">
        <v>0</v>
      </c>
      <c r="AD132" s="56">
        <v>0</v>
      </c>
      <c r="AE132" s="56">
        <v>0</v>
      </c>
      <c r="AF132" s="69">
        <f>IF(W132="SOPORTE_TELEFÓNICO",'BASE LIQUIDACION'!$B$10,IF(Y132="TIPO I",'BASE LIQUIDACION'!$C$3,IF(Y132="TIPO II",'BASE LIQUIDACION'!$C$4,IF(Y132="TIPO III",'BASE LIQUIDACION'!$C$5,'BASE LIQUIDACION'!$C$7))))</f>
        <v>37904.65408</v>
      </c>
      <c r="AG132" s="90">
        <f>IF(W132="SOPORTE_TELEFÓNICO",'BASE LIQUIDACION'!$B$10,(AB132*AF132+AC132*'BASE LIQUIDACION'!$B$12+AD132*'BASE LIQUIDACION'!$B$11+INCIDENTES!AE132*'BASE LIQUIDACION'!$B$13))</f>
        <v>37904.65408</v>
      </c>
    </row>
    <row r="133" spans="1:33" s="70" customFormat="1">
      <c r="A133" s="56" t="s">
        <v>539</v>
      </c>
      <c r="B133" s="56" t="str">
        <f>VLOOKUP(A133,'CENTRO DE COSTOS'!A:D,4,FALSE)</f>
        <v>KEVIN ALEXIS CORZO BUSTOS</v>
      </c>
      <c r="C133" s="56" t="str">
        <f>VLOOKUP(A133,'CENTRO DE COSTOS'!A:D,2,FALSE)</f>
        <v>0004-0007</v>
      </c>
      <c r="D133" s="56">
        <v>73001</v>
      </c>
      <c r="E133" s="56">
        <v>2730447</v>
      </c>
      <c r="F133" s="56">
        <v>70399</v>
      </c>
      <c r="G133" s="56" t="s">
        <v>1250</v>
      </c>
      <c r="H133" s="56" t="s">
        <v>1144</v>
      </c>
      <c r="I133" s="56" t="s">
        <v>539</v>
      </c>
      <c r="J133" s="56" t="s">
        <v>1815</v>
      </c>
      <c r="K133" s="56" t="s">
        <v>107</v>
      </c>
      <c r="L133" s="56" t="s">
        <v>1816</v>
      </c>
      <c r="M133" s="103">
        <v>45912.333333333343</v>
      </c>
      <c r="N133" s="103">
        <v>45912.618055555547</v>
      </c>
      <c r="O133" s="56" t="s">
        <v>1253</v>
      </c>
      <c r="P133" s="56" t="s">
        <v>1254</v>
      </c>
      <c r="Q133" s="56" t="s">
        <v>1255</v>
      </c>
      <c r="R133" s="56" t="s">
        <v>1395</v>
      </c>
      <c r="S133" s="78"/>
      <c r="T133" s="78"/>
      <c r="U133" s="56" t="s">
        <v>1257</v>
      </c>
      <c r="V133" s="56" t="s">
        <v>1817</v>
      </c>
      <c r="W133" s="56" t="s">
        <v>1266</v>
      </c>
      <c r="X133" s="56" t="s">
        <v>1664</v>
      </c>
      <c r="Y133" s="56" t="s">
        <v>138</v>
      </c>
      <c r="Z133" s="56" t="s">
        <v>115</v>
      </c>
      <c r="AA133" s="56" t="s">
        <v>1378</v>
      </c>
      <c r="AB133" s="56">
        <v>1</v>
      </c>
      <c r="AC133" s="56">
        <v>0</v>
      </c>
      <c r="AD133" s="56">
        <v>0</v>
      </c>
      <c r="AE133" s="56">
        <v>0</v>
      </c>
      <c r="AF133" s="69">
        <f>IF(W133="SOPORTE_TELEFÓNICO",'BASE LIQUIDACION'!$B$10,IF(Y133="TIPO I",'BASE LIQUIDACION'!$C$3,IF(Y133="TIPO II",'BASE LIQUIDACION'!$C$4,IF(Y133="TIPO III",'BASE LIQUIDACION'!$C$5,'BASE LIQUIDACION'!$C$7))))</f>
        <v>65960.473639999997</v>
      </c>
      <c r="AG133" s="90">
        <f>IF(W133="SOPORTE_TELEFÓNICO",'BASE LIQUIDACION'!$B$10,(AB133*AF133+AC133*'BASE LIQUIDACION'!$B$12+AD133*'BASE LIQUIDACION'!$B$11+INCIDENTES!AE133*'BASE LIQUIDACION'!$B$13))</f>
        <v>65960.473639999997</v>
      </c>
    </row>
    <row r="134" spans="1:33" s="70" customFormat="1">
      <c r="A134" s="56" t="s">
        <v>165</v>
      </c>
      <c r="B134" s="56" t="str">
        <f>VLOOKUP(A134,'CENTRO DE COSTOS'!A:D,4,FALSE)</f>
        <v>JUAN SEBASTIÁN RÍOS CASTRILLÓN</v>
      </c>
      <c r="C134" s="56" t="str">
        <f>VLOOKUP(A134,'CENTRO DE COSTOS'!A:D,2,FALSE)</f>
        <v>0004-0005</v>
      </c>
      <c r="D134" s="56">
        <v>5088</v>
      </c>
      <c r="E134" s="56">
        <v>2729856</v>
      </c>
      <c r="F134" s="56">
        <v>70364</v>
      </c>
      <c r="G134" s="56" t="s">
        <v>1250</v>
      </c>
      <c r="H134" s="56" t="s">
        <v>152</v>
      </c>
      <c r="I134" s="56" t="s">
        <v>243</v>
      </c>
      <c r="J134" s="56" t="s">
        <v>1818</v>
      </c>
      <c r="K134" s="56" t="s">
        <v>107</v>
      </c>
      <c r="L134" s="56" t="s">
        <v>1819</v>
      </c>
      <c r="M134" s="103">
        <v>45911.685416666667</v>
      </c>
      <c r="N134" s="103">
        <v>45912.629166666673</v>
      </c>
      <c r="O134" s="56" t="s">
        <v>1253</v>
      </c>
      <c r="P134" s="56" t="s">
        <v>1341</v>
      </c>
      <c r="Q134" s="56" t="s">
        <v>1342</v>
      </c>
      <c r="R134" s="56" t="s">
        <v>1343</v>
      </c>
      <c r="S134" s="78"/>
      <c r="T134" s="78"/>
      <c r="U134" s="56" t="s">
        <v>1257</v>
      </c>
      <c r="V134" s="56" t="s">
        <v>1820</v>
      </c>
      <c r="W134" s="56" t="s">
        <v>1266</v>
      </c>
      <c r="X134" s="56" t="s">
        <v>1821</v>
      </c>
      <c r="Y134" s="56" t="s">
        <v>138</v>
      </c>
      <c r="Z134" s="56" t="s">
        <v>115</v>
      </c>
      <c r="AA134" s="56" t="s">
        <v>1398</v>
      </c>
      <c r="AB134" s="56">
        <v>1</v>
      </c>
      <c r="AC134" s="56">
        <v>0</v>
      </c>
      <c r="AD134" s="56">
        <v>0</v>
      </c>
      <c r="AE134" s="56">
        <v>0</v>
      </c>
      <c r="AF134" s="69">
        <f>IF(W134="SOPORTE_TELEFÓNICO",'BASE LIQUIDACION'!$B$10,IF(Y134="TIPO I",'BASE LIQUIDACION'!$C$3,IF(Y134="TIPO II",'BASE LIQUIDACION'!$C$4,IF(Y134="TIPO III",'BASE LIQUIDACION'!$C$5,'BASE LIQUIDACION'!$C$7))))</f>
        <v>65960.473639999997</v>
      </c>
      <c r="AG134" s="90">
        <f>IF(W134="SOPORTE_TELEFÓNICO",'BASE LIQUIDACION'!$B$10,(AB134*AF134+AC134*'BASE LIQUIDACION'!$B$12+AD134*'BASE LIQUIDACION'!$B$11+INCIDENTES!AE134*'BASE LIQUIDACION'!$B$13))</f>
        <v>65960.473639999997</v>
      </c>
    </row>
    <row r="135" spans="1:33" s="70" customFormat="1">
      <c r="A135" s="56" t="s">
        <v>556</v>
      </c>
      <c r="B135" s="56" t="str">
        <f>VLOOKUP(A135,'CENTRO DE COSTOS'!A:D,4,FALSE)</f>
        <v>DIEGO FERNANDO HENAO CARDONA</v>
      </c>
      <c r="C135" s="56" t="str">
        <f>VLOOKUP(A135,'CENTRO DE COSTOS'!A:D,2,FALSE)</f>
        <v>0004-0002</v>
      </c>
      <c r="D135" s="56">
        <v>66001</v>
      </c>
      <c r="E135" s="56">
        <v>2727448</v>
      </c>
      <c r="F135" s="56">
        <v>62027</v>
      </c>
      <c r="G135" s="56" t="s">
        <v>1250</v>
      </c>
      <c r="H135" s="56" t="s">
        <v>549</v>
      </c>
      <c r="I135" s="56" t="s">
        <v>556</v>
      </c>
      <c r="J135" s="56" t="s">
        <v>1822</v>
      </c>
      <c r="K135" s="56" t="s">
        <v>107</v>
      </c>
      <c r="L135" s="56" t="s">
        <v>1823</v>
      </c>
      <c r="M135" s="103">
        <v>45911.463888888888</v>
      </c>
      <c r="N135" s="103">
        <v>45911.571527777778</v>
      </c>
      <c r="O135" s="56" t="s">
        <v>1253</v>
      </c>
      <c r="P135" s="56" t="s">
        <v>1254</v>
      </c>
      <c r="Q135" s="56" t="s">
        <v>1271</v>
      </c>
      <c r="R135" s="56" t="s">
        <v>1272</v>
      </c>
      <c r="S135" s="78"/>
      <c r="T135" s="78"/>
      <c r="U135" s="56" t="s">
        <v>1257</v>
      </c>
      <c r="V135" s="56" t="s">
        <v>1824</v>
      </c>
      <c r="W135" s="56" t="s">
        <v>1266</v>
      </c>
      <c r="X135" s="56" t="s">
        <v>1825</v>
      </c>
      <c r="Y135" s="56" t="s">
        <v>138</v>
      </c>
      <c r="Z135" s="56" t="s">
        <v>115</v>
      </c>
      <c r="AA135" s="56" t="s">
        <v>1681</v>
      </c>
      <c r="AB135" s="56">
        <v>1</v>
      </c>
      <c r="AC135" s="56">
        <v>0</v>
      </c>
      <c r="AD135" s="56">
        <v>0</v>
      </c>
      <c r="AE135" s="56">
        <v>0</v>
      </c>
      <c r="AF135" s="69">
        <f>IF(W135="SOPORTE_TELEFÓNICO",'BASE LIQUIDACION'!$B$10,IF(Y135="TIPO I",'BASE LIQUIDACION'!$C$3,IF(Y135="TIPO II",'BASE LIQUIDACION'!$C$4,IF(Y135="TIPO III",'BASE LIQUIDACION'!$C$5,'BASE LIQUIDACION'!$C$7))))</f>
        <v>65960.473639999997</v>
      </c>
      <c r="AG135" s="90">
        <f>IF(W135="SOPORTE_TELEFÓNICO",'BASE LIQUIDACION'!$B$10,(AB135*AF135+AC135*'BASE LIQUIDACION'!$B$12+AD135*'BASE LIQUIDACION'!$B$11+INCIDENTES!AE135*'BASE LIQUIDACION'!$B$13))</f>
        <v>65960.473639999997</v>
      </c>
    </row>
    <row r="136" spans="1:33" s="70" customFormat="1">
      <c r="A136" s="56" t="s">
        <v>131</v>
      </c>
      <c r="B136" s="56" t="str">
        <f>VLOOKUP(A136,'CENTRO DE COSTOS'!A:D,4,FALSE)</f>
        <v>MIGUEL JULIÁN HERNÁNDEZ GUARÍN</v>
      </c>
      <c r="C136" s="56" t="str">
        <f>VLOOKUP(A136,'CENTRO DE COSTOS'!A:D,2,FALSE)</f>
        <v>0004-0008</v>
      </c>
      <c r="D136" s="56">
        <v>15176</v>
      </c>
      <c r="E136" s="56">
        <v>2727055</v>
      </c>
      <c r="F136" s="56">
        <v>69859</v>
      </c>
      <c r="G136" s="56" t="s">
        <v>1250</v>
      </c>
      <c r="H136" s="56" t="s">
        <v>133</v>
      </c>
      <c r="I136" s="56" t="s">
        <v>426</v>
      </c>
      <c r="J136" s="56" t="s">
        <v>1826</v>
      </c>
      <c r="K136" s="56" t="s">
        <v>107</v>
      </c>
      <c r="L136" s="56" t="s">
        <v>1827</v>
      </c>
      <c r="M136" s="103">
        <v>45911.440972222219</v>
      </c>
      <c r="N136" s="103">
        <v>45912.534722222219</v>
      </c>
      <c r="O136" s="56" t="s">
        <v>1253</v>
      </c>
      <c r="P136" s="56" t="s">
        <v>1254</v>
      </c>
      <c r="Q136" s="56" t="s">
        <v>1271</v>
      </c>
      <c r="R136" s="56" t="s">
        <v>1272</v>
      </c>
      <c r="S136" s="78"/>
      <c r="T136" s="78"/>
      <c r="U136" s="56" t="s">
        <v>1257</v>
      </c>
      <c r="V136" s="56" t="s">
        <v>1828</v>
      </c>
      <c r="W136" s="56" t="s">
        <v>1266</v>
      </c>
      <c r="X136" s="56" t="s">
        <v>1829</v>
      </c>
      <c r="Y136" s="56" t="s">
        <v>212</v>
      </c>
      <c r="Z136" s="56" t="s">
        <v>115</v>
      </c>
      <c r="AA136" s="56" t="s">
        <v>1562</v>
      </c>
      <c r="AB136" s="56">
        <v>1</v>
      </c>
      <c r="AC136" s="56">
        <v>0</v>
      </c>
      <c r="AD136" s="56">
        <v>0</v>
      </c>
      <c r="AE136" s="56">
        <v>0</v>
      </c>
      <c r="AF136" s="69">
        <f>IF(W136="SOPORTE_TELEFÓNICO",'BASE LIQUIDACION'!$B$10,IF(Y136="TIPO I",'BASE LIQUIDACION'!$C$3,IF(Y136="TIPO II",'BASE LIQUIDACION'!$C$4,IF(Y136="TIPO III",'BASE LIQUIDACION'!$C$5,'BASE LIQUIDACION'!$C$7))))</f>
        <v>275728.37943999999</v>
      </c>
      <c r="AG136" s="90">
        <f>IF(W136="SOPORTE_TELEFÓNICO",'BASE LIQUIDACION'!$B$10,(AB136*AF136+AC136*'BASE LIQUIDACION'!$B$12+AD136*'BASE LIQUIDACION'!$B$11+INCIDENTES!AE136*'BASE LIQUIDACION'!$B$13))</f>
        <v>275728.37943999999</v>
      </c>
    </row>
    <row r="137" spans="1:33" s="70" customFormat="1">
      <c r="A137" s="56" t="s">
        <v>117</v>
      </c>
      <c r="B137" s="56" t="str">
        <f>VLOOKUP(A137,'CENTRO DE COSTOS'!A:D,4,FALSE)</f>
        <v>KEVIN ALEXIS CORZO BUSTOS</v>
      </c>
      <c r="C137" s="56" t="str">
        <f>VLOOKUP(A137,'CENTRO DE COSTOS'!A:D,2,FALSE)</f>
        <v>0004-0007</v>
      </c>
      <c r="D137" s="56">
        <v>41132</v>
      </c>
      <c r="E137" s="56">
        <v>2726794</v>
      </c>
      <c r="F137" s="56">
        <v>10939</v>
      </c>
      <c r="G137" s="56" t="s">
        <v>1250</v>
      </c>
      <c r="H137" s="56" t="s">
        <v>830</v>
      </c>
      <c r="I137" s="56" t="s">
        <v>837</v>
      </c>
      <c r="J137" s="56" t="s">
        <v>837</v>
      </c>
      <c r="K137" s="56" t="s">
        <v>107</v>
      </c>
      <c r="L137" s="56" t="s">
        <v>1830</v>
      </c>
      <c r="M137" s="103">
        <v>45911.427777777782</v>
      </c>
      <c r="N137" s="103">
        <v>45912.649305555547</v>
      </c>
      <c r="O137" s="56" t="s">
        <v>1253</v>
      </c>
      <c r="P137" s="56" t="s">
        <v>1254</v>
      </c>
      <c r="Q137" s="56" t="s">
        <v>1255</v>
      </c>
      <c r="R137" s="56" t="s">
        <v>1395</v>
      </c>
      <c r="S137" s="78"/>
      <c r="T137" s="78"/>
      <c r="U137" s="56" t="s">
        <v>1257</v>
      </c>
      <c r="V137" s="56" t="s">
        <v>1831</v>
      </c>
      <c r="W137" s="56" t="s">
        <v>1266</v>
      </c>
      <c r="X137" s="56" t="s">
        <v>1832</v>
      </c>
      <c r="Y137" s="56" t="s">
        <v>114</v>
      </c>
      <c r="Z137" s="56" t="s">
        <v>115</v>
      </c>
      <c r="AA137" s="56" t="s">
        <v>1833</v>
      </c>
      <c r="AB137" s="56">
        <v>1</v>
      </c>
      <c r="AC137" s="56">
        <v>0</v>
      </c>
      <c r="AD137" s="56">
        <v>0</v>
      </c>
      <c r="AE137" s="56">
        <v>0</v>
      </c>
      <c r="AF137" s="69">
        <f>IF(W137="SOPORTE_TELEFÓNICO",'BASE LIQUIDACION'!$B$10,IF(Y137="TIPO I",'BASE LIQUIDACION'!$C$3,IF(Y137="TIPO II",'BASE LIQUIDACION'!$C$4,IF(Y137="TIPO III",'BASE LIQUIDACION'!$C$5,'BASE LIQUIDACION'!$C$7))))</f>
        <v>163813.55812</v>
      </c>
      <c r="AG137" s="90">
        <f>IF(W137="SOPORTE_TELEFÓNICO",'BASE LIQUIDACION'!$B$10,(AB137*AF137+AC137*'BASE LIQUIDACION'!$B$12+AD137*'BASE LIQUIDACION'!$B$11+INCIDENTES!AE137*'BASE LIQUIDACION'!$B$13))</f>
        <v>163813.55812</v>
      </c>
    </row>
    <row r="138" spans="1:33" s="70" customFormat="1">
      <c r="A138" s="56" t="s">
        <v>556</v>
      </c>
      <c r="B138" s="56" t="str">
        <f>VLOOKUP(A138,'CENTRO DE COSTOS'!A:D,4,FALSE)</f>
        <v>DIEGO FERNANDO HENAO CARDONA</v>
      </c>
      <c r="C138" s="56" t="str">
        <f>VLOOKUP(A138,'CENTRO DE COSTOS'!A:D,2,FALSE)</f>
        <v>0004-0002</v>
      </c>
      <c r="D138" s="56">
        <v>66400</v>
      </c>
      <c r="E138" s="56">
        <v>2726780</v>
      </c>
      <c r="F138" s="56">
        <v>45949</v>
      </c>
      <c r="G138" s="56" t="s">
        <v>1250</v>
      </c>
      <c r="H138" s="56" t="s">
        <v>549</v>
      </c>
      <c r="I138" s="56" t="s">
        <v>1043</v>
      </c>
      <c r="J138" s="56" t="s">
        <v>1834</v>
      </c>
      <c r="K138" s="56" t="s">
        <v>107</v>
      </c>
      <c r="L138" s="56" t="s">
        <v>1835</v>
      </c>
      <c r="M138" s="103">
        <v>45911.427083333343</v>
      </c>
      <c r="N138" s="103">
        <v>45911.568749999999</v>
      </c>
      <c r="O138" s="56" t="s">
        <v>1253</v>
      </c>
      <c r="P138" s="56" t="s">
        <v>1254</v>
      </c>
      <c r="Q138" s="56" t="s">
        <v>1312</v>
      </c>
      <c r="R138" s="56" t="s">
        <v>1313</v>
      </c>
      <c r="S138" s="78"/>
      <c r="T138" s="78"/>
      <c r="U138" s="56" t="s">
        <v>1257</v>
      </c>
      <c r="V138" s="56" t="s">
        <v>1836</v>
      </c>
      <c r="W138" s="56" t="s">
        <v>1266</v>
      </c>
      <c r="X138" s="56" t="s">
        <v>1837</v>
      </c>
      <c r="Y138" s="56" t="s">
        <v>138</v>
      </c>
      <c r="Z138" s="56" t="s">
        <v>115</v>
      </c>
      <c r="AA138" s="56" t="s">
        <v>1681</v>
      </c>
      <c r="AB138" s="56">
        <v>1</v>
      </c>
      <c r="AC138" s="56">
        <v>0</v>
      </c>
      <c r="AD138" s="56">
        <v>0</v>
      </c>
      <c r="AE138" s="56">
        <v>0</v>
      </c>
      <c r="AF138" s="69">
        <f>IF(W138="SOPORTE_TELEFÓNICO",'BASE LIQUIDACION'!$B$10,IF(Y138="TIPO I",'BASE LIQUIDACION'!$C$3,IF(Y138="TIPO II",'BASE LIQUIDACION'!$C$4,IF(Y138="TIPO III",'BASE LIQUIDACION'!$C$5,'BASE LIQUIDACION'!$C$7))))</f>
        <v>65960.473639999997</v>
      </c>
      <c r="AG138" s="90">
        <f>IF(W138="SOPORTE_TELEFÓNICO",'BASE LIQUIDACION'!$B$10,(AB138*AF138+AC138*'BASE LIQUIDACION'!$B$12+AD138*'BASE LIQUIDACION'!$B$11+INCIDENTES!AE138*'BASE LIQUIDACION'!$B$13))</f>
        <v>65960.473639999997</v>
      </c>
    </row>
    <row r="139" spans="1:33" s="70" customFormat="1">
      <c r="A139" s="56" t="s">
        <v>340</v>
      </c>
      <c r="B139" s="56" t="str">
        <f>VLOOKUP(A139,'CENTRO DE COSTOS'!A:D,4,FALSE)</f>
        <v>JOSE MAURICIO HERNANDEZ ROJAS</v>
      </c>
      <c r="C139" s="56" t="str">
        <f>VLOOKUP(A139,'CENTRO DE COSTOS'!A:D,2,FALSE)</f>
        <v>0004-0001</v>
      </c>
      <c r="D139" s="56">
        <v>8433</v>
      </c>
      <c r="E139" s="56">
        <v>2726710</v>
      </c>
      <c r="F139" s="56">
        <v>80788</v>
      </c>
      <c r="G139" s="56" t="s">
        <v>1250</v>
      </c>
      <c r="H139" s="56" t="s">
        <v>339</v>
      </c>
      <c r="I139" s="56" t="s">
        <v>347</v>
      </c>
      <c r="J139" s="56" t="s">
        <v>1838</v>
      </c>
      <c r="K139" s="56" t="s">
        <v>107</v>
      </c>
      <c r="L139" s="56" t="s">
        <v>1839</v>
      </c>
      <c r="M139" s="103">
        <v>45911.411111111112</v>
      </c>
      <c r="N139" s="103">
        <v>45911.719444444447</v>
      </c>
      <c r="O139" s="56" t="s">
        <v>1253</v>
      </c>
      <c r="P139" s="56" t="s">
        <v>1254</v>
      </c>
      <c r="Q139" s="56" t="s">
        <v>1271</v>
      </c>
      <c r="R139" s="56" t="s">
        <v>1272</v>
      </c>
      <c r="S139" s="78"/>
      <c r="T139" s="78"/>
      <c r="U139" s="56" t="s">
        <v>1257</v>
      </c>
      <c r="V139" s="56" t="s">
        <v>1840</v>
      </c>
      <c r="W139" s="56" t="s">
        <v>1266</v>
      </c>
      <c r="X139" s="56" t="s">
        <v>1841</v>
      </c>
      <c r="Y139" s="56" t="s">
        <v>114</v>
      </c>
      <c r="Z139" s="56" t="s">
        <v>115</v>
      </c>
      <c r="AA139" s="56" t="s">
        <v>1544</v>
      </c>
      <c r="AB139" s="56">
        <v>1</v>
      </c>
      <c r="AC139" s="56">
        <v>0</v>
      </c>
      <c r="AD139" s="56">
        <v>0</v>
      </c>
      <c r="AE139" s="56">
        <v>0</v>
      </c>
      <c r="AF139" s="69">
        <f>IF(W139="SOPORTE_TELEFÓNICO",'BASE LIQUIDACION'!$B$10,IF(Y139="TIPO I",'BASE LIQUIDACION'!$C$3,IF(Y139="TIPO II",'BASE LIQUIDACION'!$C$4,IF(Y139="TIPO III",'BASE LIQUIDACION'!$C$5,'BASE LIQUIDACION'!$C$7))))</f>
        <v>163813.55812</v>
      </c>
      <c r="AG139" s="90">
        <f>IF(W139="SOPORTE_TELEFÓNICO",'BASE LIQUIDACION'!$B$10,(AB139*AF139+AC139*'BASE LIQUIDACION'!$B$12+AD139*'BASE LIQUIDACION'!$B$11+INCIDENTES!AE139*'BASE LIQUIDACION'!$B$13))</f>
        <v>163813.55812</v>
      </c>
    </row>
    <row r="140" spans="1:33" s="70" customFormat="1">
      <c r="A140" s="56" t="s">
        <v>100</v>
      </c>
      <c r="B140" s="56" t="str">
        <f>VLOOKUP(A140,'CENTRO DE COSTOS'!A:D,4,FALSE)</f>
        <v>DIEGO FERNANDO HENAO CARDONA</v>
      </c>
      <c r="C140" s="56" t="str">
        <f>VLOOKUP(A140,'CENTRO DE COSTOS'!A:D,2,FALSE)</f>
        <v>0004-0003</v>
      </c>
      <c r="D140" s="56">
        <v>52385</v>
      </c>
      <c r="E140" s="56">
        <v>2726177</v>
      </c>
      <c r="F140" s="56">
        <v>79214</v>
      </c>
      <c r="G140" s="56" t="s">
        <v>1250</v>
      </c>
      <c r="H140" s="56" t="s">
        <v>104</v>
      </c>
      <c r="I140" s="56" t="s">
        <v>955</v>
      </c>
      <c r="J140" s="56" t="s">
        <v>1842</v>
      </c>
      <c r="K140" s="56" t="s">
        <v>107</v>
      </c>
      <c r="L140" s="56" t="s">
        <v>1843</v>
      </c>
      <c r="M140" s="103">
        <v>45911.388194444437</v>
      </c>
      <c r="N140" s="103">
        <v>45913.631944444453</v>
      </c>
      <c r="O140" s="56" t="s">
        <v>1253</v>
      </c>
      <c r="P140" s="56" t="s">
        <v>1254</v>
      </c>
      <c r="Q140" s="56" t="s">
        <v>1271</v>
      </c>
      <c r="R140" s="56" t="s">
        <v>1272</v>
      </c>
      <c r="S140" s="78"/>
      <c r="T140" s="78"/>
      <c r="U140" s="56" t="s">
        <v>1257</v>
      </c>
      <c r="V140" s="56" t="s">
        <v>1844</v>
      </c>
      <c r="W140" s="56" t="s">
        <v>1259</v>
      </c>
      <c r="X140" s="56">
        <v>0</v>
      </c>
      <c r="Y140" s="56" t="s">
        <v>172</v>
      </c>
      <c r="Z140" s="56" t="s">
        <v>115</v>
      </c>
      <c r="AA140" s="56" t="s">
        <v>1260</v>
      </c>
      <c r="AB140" s="56">
        <v>0</v>
      </c>
      <c r="AC140" s="56">
        <v>0</v>
      </c>
      <c r="AD140" s="56">
        <v>0</v>
      </c>
      <c r="AE140" s="56">
        <v>0</v>
      </c>
      <c r="AF140" s="69">
        <f>IF(W140="SOPORTE_TELEFÓNICO",'BASE LIQUIDACION'!$B$10,IF(Y140="TIPO I",'BASE LIQUIDACION'!$C$3,IF(Y140="TIPO II",'BASE LIQUIDACION'!$C$4,IF(Y140="TIPO III",'BASE LIQUIDACION'!$C$5,'BASE LIQUIDACION'!$C$7))))</f>
        <v>37904.65408</v>
      </c>
      <c r="AG140" s="90">
        <f>IF(W140="SOPORTE_TELEFÓNICO",'BASE LIQUIDACION'!$B$10,(AB140*AF140+AC140*'BASE LIQUIDACION'!$B$12+AD140*'BASE LIQUIDACION'!$B$11+INCIDENTES!AE140*'BASE LIQUIDACION'!$B$13))</f>
        <v>37904.65408</v>
      </c>
    </row>
    <row r="141" spans="1:33" s="70" customFormat="1">
      <c r="A141" s="56" t="s">
        <v>165</v>
      </c>
      <c r="B141" s="56" t="str">
        <f>VLOOKUP(A141,'CENTRO DE COSTOS'!A:D,4,FALSE)</f>
        <v>JUAN SEBASTIÁN RÍOS CASTRILLÓN</v>
      </c>
      <c r="C141" s="56" t="str">
        <f>VLOOKUP(A141,'CENTRO DE COSTOS'!A:D,2,FALSE)</f>
        <v>0004-0005</v>
      </c>
      <c r="D141" s="56">
        <v>5001</v>
      </c>
      <c r="E141" s="56">
        <v>2723063</v>
      </c>
      <c r="F141" s="56">
        <v>80819</v>
      </c>
      <c r="G141" s="56" t="s">
        <v>1250</v>
      </c>
      <c r="H141" s="56" t="s">
        <v>152</v>
      </c>
      <c r="I141" s="56" t="s">
        <v>165</v>
      </c>
      <c r="J141" s="56" t="s">
        <v>1845</v>
      </c>
      <c r="K141" s="56" t="s">
        <v>107</v>
      </c>
      <c r="L141" s="56" t="s">
        <v>1846</v>
      </c>
      <c r="M141" s="103">
        <v>45910.618055555547</v>
      </c>
      <c r="N141" s="103">
        <v>45911.442361111112</v>
      </c>
      <c r="O141" s="56" t="s">
        <v>1253</v>
      </c>
      <c r="P141" s="56" t="s">
        <v>1254</v>
      </c>
      <c r="Q141" s="56" t="s">
        <v>1271</v>
      </c>
      <c r="R141" s="56" t="s">
        <v>1272</v>
      </c>
      <c r="S141" s="78"/>
      <c r="T141" s="78"/>
      <c r="U141" s="56" t="s">
        <v>1257</v>
      </c>
      <c r="V141" s="56" t="s">
        <v>1847</v>
      </c>
      <c r="W141" s="56" t="s">
        <v>1266</v>
      </c>
      <c r="X141" s="56" t="s">
        <v>1848</v>
      </c>
      <c r="Y141" s="56" t="s">
        <v>138</v>
      </c>
      <c r="Z141" s="56" t="s">
        <v>115</v>
      </c>
      <c r="AA141" s="56" t="s">
        <v>1398</v>
      </c>
      <c r="AB141" s="56">
        <v>1</v>
      </c>
      <c r="AC141" s="56">
        <v>0</v>
      </c>
      <c r="AD141" s="56">
        <v>0</v>
      </c>
      <c r="AE141" s="56">
        <v>0</v>
      </c>
      <c r="AF141" s="69">
        <f>IF(W141="SOPORTE_TELEFÓNICO",'BASE LIQUIDACION'!$B$10,IF(Y141="TIPO I",'BASE LIQUIDACION'!$C$3,IF(Y141="TIPO II",'BASE LIQUIDACION'!$C$4,IF(Y141="TIPO III",'BASE LIQUIDACION'!$C$5,'BASE LIQUIDACION'!$C$7))))</f>
        <v>65960.473639999997</v>
      </c>
      <c r="AG141" s="90">
        <f>IF(W141="SOPORTE_TELEFÓNICO",'BASE LIQUIDACION'!$B$10,(AB141*AF141+AC141*'BASE LIQUIDACION'!$B$12+AD141*'BASE LIQUIDACION'!$B$11+INCIDENTES!AE141*'BASE LIQUIDACION'!$B$13))</f>
        <v>65960.473639999997</v>
      </c>
    </row>
    <row r="142" spans="1:33" s="70" customFormat="1">
      <c r="A142" s="56" t="s">
        <v>165</v>
      </c>
      <c r="B142" s="56" t="str">
        <f>VLOOKUP(A142,'CENTRO DE COSTOS'!A:D,4,FALSE)</f>
        <v>JUAN SEBASTIÁN RÍOS CASTRILLÓN</v>
      </c>
      <c r="C142" s="56" t="str">
        <f>VLOOKUP(A142,'CENTRO DE COSTOS'!A:D,2,FALSE)</f>
        <v>0004-0005</v>
      </c>
      <c r="D142" s="56">
        <v>5001</v>
      </c>
      <c r="E142" s="56">
        <v>2723228</v>
      </c>
      <c r="F142" s="56">
        <v>56047</v>
      </c>
      <c r="G142" s="56" t="s">
        <v>1250</v>
      </c>
      <c r="H142" s="56" t="s">
        <v>152</v>
      </c>
      <c r="I142" s="56" t="s">
        <v>165</v>
      </c>
      <c r="J142" s="56" t="s">
        <v>1849</v>
      </c>
      <c r="K142" s="56" t="s">
        <v>107</v>
      </c>
      <c r="L142" s="56" t="s">
        <v>1850</v>
      </c>
      <c r="M142" s="103">
        <v>45910.613888888889</v>
      </c>
      <c r="N142" s="103">
        <v>45911.556944444441</v>
      </c>
      <c r="O142" s="56" t="s">
        <v>1253</v>
      </c>
      <c r="P142" s="56" t="s">
        <v>1254</v>
      </c>
      <c r="Q142" s="56" t="s">
        <v>1312</v>
      </c>
      <c r="R142" s="56" t="s">
        <v>1313</v>
      </c>
      <c r="S142" s="78"/>
      <c r="T142" s="78"/>
      <c r="U142" s="56" t="s">
        <v>1257</v>
      </c>
      <c r="V142" s="56" t="s">
        <v>1851</v>
      </c>
      <c r="W142" s="56" t="s">
        <v>1266</v>
      </c>
      <c r="X142" s="56" t="s">
        <v>1852</v>
      </c>
      <c r="Y142" s="56" t="s">
        <v>138</v>
      </c>
      <c r="Z142" s="56" t="s">
        <v>115</v>
      </c>
      <c r="AA142" s="56" t="s">
        <v>1557</v>
      </c>
      <c r="AB142" s="56">
        <v>1</v>
      </c>
      <c r="AC142" s="56">
        <v>0</v>
      </c>
      <c r="AD142" s="56">
        <v>0</v>
      </c>
      <c r="AE142" s="56">
        <v>0</v>
      </c>
      <c r="AF142" s="69">
        <f>IF(W142="SOPORTE_TELEFÓNICO",'BASE LIQUIDACION'!$B$10,IF(Y142="TIPO I",'BASE LIQUIDACION'!$C$3,IF(Y142="TIPO II",'BASE LIQUIDACION'!$C$4,IF(Y142="TIPO III",'BASE LIQUIDACION'!$C$5,'BASE LIQUIDACION'!$C$7))))</f>
        <v>65960.473639999997</v>
      </c>
      <c r="AG142" s="90">
        <f>IF(W142="SOPORTE_TELEFÓNICO",'BASE LIQUIDACION'!$B$10,(AB142*AF142+AC142*'BASE LIQUIDACION'!$B$12+AD142*'BASE LIQUIDACION'!$B$11+INCIDENTES!AE142*'BASE LIQUIDACION'!$B$13))</f>
        <v>65960.473639999997</v>
      </c>
    </row>
    <row r="143" spans="1:33" s="70" customFormat="1">
      <c r="A143" s="56" t="s">
        <v>363</v>
      </c>
      <c r="B143" s="56" t="str">
        <f>VLOOKUP(A143,'CENTRO DE COSTOS'!A:D,4,FALSE)</f>
        <v>JOSE MAURICIO HERNANDEZ ROJAS</v>
      </c>
      <c r="C143" s="56" t="str">
        <f>VLOOKUP(A143,'CENTRO DE COSTOS'!A:D,2,FALSE)</f>
        <v>0004-0001</v>
      </c>
      <c r="D143" s="56">
        <v>13836</v>
      </c>
      <c r="E143" s="56">
        <v>2722677</v>
      </c>
      <c r="F143" s="56">
        <v>25287</v>
      </c>
      <c r="G143" s="56" t="s">
        <v>1250</v>
      </c>
      <c r="H143" s="56" t="s">
        <v>362</v>
      </c>
      <c r="I143" s="56" t="s">
        <v>407</v>
      </c>
      <c r="J143" s="56" t="s">
        <v>1853</v>
      </c>
      <c r="K143" s="56" t="s">
        <v>107</v>
      </c>
      <c r="L143" s="56" t="s">
        <v>1854</v>
      </c>
      <c r="M143" s="103">
        <v>45910.570833333331</v>
      </c>
      <c r="N143" s="103">
        <v>45911.502083333333</v>
      </c>
      <c r="O143" s="56" t="s">
        <v>1253</v>
      </c>
      <c r="P143" s="56" t="s">
        <v>1254</v>
      </c>
      <c r="Q143" s="56" t="s">
        <v>1312</v>
      </c>
      <c r="R143" s="56" t="s">
        <v>1313</v>
      </c>
      <c r="S143" s="78"/>
      <c r="T143" s="78"/>
      <c r="U143" s="56" t="s">
        <v>1257</v>
      </c>
      <c r="V143" s="56" t="s">
        <v>1855</v>
      </c>
      <c r="W143" s="56" t="s">
        <v>1259</v>
      </c>
      <c r="X143" s="56">
        <v>0</v>
      </c>
      <c r="Y143" s="56" t="s">
        <v>114</v>
      </c>
      <c r="Z143" s="56" t="s">
        <v>115</v>
      </c>
      <c r="AA143" s="56" t="s">
        <v>1856</v>
      </c>
      <c r="AB143" s="56">
        <v>0</v>
      </c>
      <c r="AC143" s="56">
        <v>0</v>
      </c>
      <c r="AD143" s="56">
        <v>0</v>
      </c>
      <c r="AE143" s="56">
        <v>0</v>
      </c>
      <c r="AF143" s="69">
        <f>IF(W143="SOPORTE_TELEFÓNICO",'BASE LIQUIDACION'!$B$10,IF(Y143="TIPO I",'BASE LIQUIDACION'!$C$3,IF(Y143="TIPO II",'BASE LIQUIDACION'!$C$4,IF(Y143="TIPO III",'BASE LIQUIDACION'!$C$5,'BASE LIQUIDACION'!$C$7))))</f>
        <v>37904.65408</v>
      </c>
      <c r="AG143" s="90">
        <f>IF(W143="SOPORTE_TELEFÓNICO",'BASE LIQUIDACION'!$B$10,(AB143*AF143+AC143*'BASE LIQUIDACION'!$B$12+AD143*'BASE LIQUIDACION'!$B$11+INCIDENTES!AE143*'BASE LIQUIDACION'!$B$13))</f>
        <v>37904.65408</v>
      </c>
    </row>
    <row r="144" spans="1:33" s="70" customFormat="1">
      <c r="A144" s="56" t="s">
        <v>165</v>
      </c>
      <c r="B144" s="56" t="str">
        <f>VLOOKUP(A144,'CENTRO DE COSTOS'!A:D,4,FALSE)</f>
        <v>JUAN SEBASTIÁN RÍOS CASTRILLÓN</v>
      </c>
      <c r="C144" s="56" t="str">
        <f>VLOOKUP(A144,'CENTRO DE COSTOS'!A:D,2,FALSE)</f>
        <v>0004-0005</v>
      </c>
      <c r="D144" s="56">
        <v>5631</v>
      </c>
      <c r="E144" s="56">
        <v>2721454</v>
      </c>
      <c r="F144" s="56">
        <v>31976</v>
      </c>
      <c r="G144" s="56" t="s">
        <v>1250</v>
      </c>
      <c r="H144" s="56" t="s">
        <v>152</v>
      </c>
      <c r="I144" s="56" t="s">
        <v>301</v>
      </c>
      <c r="J144" s="56" t="s">
        <v>1857</v>
      </c>
      <c r="K144" s="56" t="s">
        <v>107</v>
      </c>
      <c r="L144" s="56" t="s">
        <v>1858</v>
      </c>
      <c r="M144" s="103">
        <v>45910.46875</v>
      </c>
      <c r="N144" s="103">
        <v>45910.606944444437</v>
      </c>
      <c r="O144" s="56" t="s">
        <v>1253</v>
      </c>
      <c r="P144" s="56" t="s">
        <v>1254</v>
      </c>
      <c r="Q144" s="56" t="s">
        <v>1312</v>
      </c>
      <c r="R144" s="56" t="s">
        <v>1313</v>
      </c>
      <c r="S144" s="78"/>
      <c r="T144" s="78"/>
      <c r="U144" s="56" t="s">
        <v>1257</v>
      </c>
      <c r="V144" s="56" t="s">
        <v>1859</v>
      </c>
      <c r="W144" s="56" t="s">
        <v>1259</v>
      </c>
      <c r="X144" s="56">
        <v>0</v>
      </c>
      <c r="Y144" s="56" t="s">
        <v>138</v>
      </c>
      <c r="Z144" s="56" t="s">
        <v>115</v>
      </c>
      <c r="AA144" s="56" t="s">
        <v>1860</v>
      </c>
      <c r="AB144" s="56">
        <v>0</v>
      </c>
      <c r="AC144" s="56">
        <v>0</v>
      </c>
      <c r="AD144" s="56">
        <v>0</v>
      </c>
      <c r="AE144" s="56">
        <v>0</v>
      </c>
      <c r="AF144" s="69">
        <f>IF(W144="SOPORTE_TELEFÓNICO",'BASE LIQUIDACION'!$B$10,IF(Y144="TIPO I",'BASE LIQUIDACION'!$C$3,IF(Y144="TIPO II",'BASE LIQUIDACION'!$C$4,IF(Y144="TIPO III",'BASE LIQUIDACION'!$C$5,'BASE LIQUIDACION'!$C$7))))</f>
        <v>37904.65408</v>
      </c>
      <c r="AG144" s="90">
        <f>IF(W144="SOPORTE_TELEFÓNICO",'BASE LIQUIDACION'!$B$10,(AB144*AF144+AC144*'BASE LIQUIDACION'!$B$12+AD144*'BASE LIQUIDACION'!$B$11+INCIDENTES!AE144*'BASE LIQUIDACION'!$B$13))</f>
        <v>37904.65408</v>
      </c>
    </row>
    <row r="145" spans="1:33" s="70" customFormat="1">
      <c r="A145" s="56" t="s">
        <v>131</v>
      </c>
      <c r="B145" s="56" t="str">
        <f>VLOOKUP(A145,'CENTRO DE COSTOS'!A:D,4,FALSE)</f>
        <v>MIGUEL JULIÁN HERNÁNDEZ GUARÍN</v>
      </c>
      <c r="C145" s="56" t="str">
        <f>VLOOKUP(A145,'CENTRO DE COSTOS'!A:D,2,FALSE)</f>
        <v>0004-0008</v>
      </c>
      <c r="D145" s="56">
        <v>15755</v>
      </c>
      <c r="E145" s="56">
        <v>2719478</v>
      </c>
      <c r="F145" s="56">
        <v>50614</v>
      </c>
      <c r="G145" s="56" t="s">
        <v>1250</v>
      </c>
      <c r="H145" s="56" t="s">
        <v>133</v>
      </c>
      <c r="I145" s="56" t="s">
        <v>500</v>
      </c>
      <c r="J145" s="56" t="s">
        <v>1281</v>
      </c>
      <c r="K145" s="56" t="s">
        <v>107</v>
      </c>
      <c r="L145" s="56" t="s">
        <v>1861</v>
      </c>
      <c r="M145" s="103">
        <v>45910.347222222219</v>
      </c>
      <c r="N145" s="103">
        <v>45911.418749999997</v>
      </c>
      <c r="O145" s="56" t="s">
        <v>1253</v>
      </c>
      <c r="P145" s="56" t="s">
        <v>1254</v>
      </c>
      <c r="Q145" s="56" t="s">
        <v>1271</v>
      </c>
      <c r="R145" s="56" t="s">
        <v>1272</v>
      </c>
      <c r="S145" s="78"/>
      <c r="T145" s="78"/>
      <c r="U145" s="56" t="s">
        <v>1257</v>
      </c>
      <c r="V145" s="56" t="s">
        <v>1862</v>
      </c>
      <c r="W145" s="56" t="s">
        <v>1259</v>
      </c>
      <c r="X145" s="56">
        <v>0</v>
      </c>
      <c r="Y145" s="56" t="s">
        <v>212</v>
      </c>
      <c r="Z145" s="56" t="s">
        <v>115</v>
      </c>
      <c r="AA145" s="56" t="s">
        <v>1268</v>
      </c>
      <c r="AB145" s="56">
        <v>0</v>
      </c>
      <c r="AC145" s="56">
        <v>0</v>
      </c>
      <c r="AD145" s="56">
        <v>0</v>
      </c>
      <c r="AE145" s="56">
        <v>0</v>
      </c>
      <c r="AF145" s="69">
        <f>IF(W145="SOPORTE_TELEFÓNICO",'BASE LIQUIDACION'!$B$10,IF(Y145="TIPO I",'BASE LIQUIDACION'!$C$3,IF(Y145="TIPO II",'BASE LIQUIDACION'!$C$4,IF(Y145="TIPO III",'BASE LIQUIDACION'!$C$5,'BASE LIQUIDACION'!$C$7))))</f>
        <v>37904.65408</v>
      </c>
      <c r="AG145" s="90">
        <f>IF(W145="SOPORTE_TELEFÓNICO",'BASE LIQUIDACION'!$B$10,(AB145*AF145+AC145*'BASE LIQUIDACION'!$B$12+AD145*'BASE LIQUIDACION'!$B$11+INCIDENTES!AE145*'BASE LIQUIDACION'!$B$13))</f>
        <v>37904.65408</v>
      </c>
    </row>
    <row r="146" spans="1:33" s="70" customFormat="1">
      <c r="A146" s="56" t="s">
        <v>165</v>
      </c>
      <c r="B146" s="56" t="str">
        <f>VLOOKUP(A146,'CENTRO DE COSTOS'!A:D,4,FALSE)</f>
        <v>JUAN SEBASTIÁN RÍOS CASTRILLÓN</v>
      </c>
      <c r="C146" s="56" t="str">
        <f>VLOOKUP(A146,'CENTRO DE COSTOS'!A:D,2,FALSE)</f>
        <v>0004-0005</v>
      </c>
      <c r="D146" s="56">
        <v>5001</v>
      </c>
      <c r="E146" s="56">
        <v>2718531</v>
      </c>
      <c r="F146" s="56">
        <v>70974</v>
      </c>
      <c r="G146" s="56" t="s">
        <v>1250</v>
      </c>
      <c r="H146" s="56" t="s">
        <v>152</v>
      </c>
      <c r="I146" s="56" t="s">
        <v>165</v>
      </c>
      <c r="J146" s="56" t="s">
        <v>1863</v>
      </c>
      <c r="K146" s="56" t="s">
        <v>107</v>
      </c>
      <c r="L146" s="56" t="s">
        <v>1864</v>
      </c>
      <c r="M146" s="103">
        <v>45910.333333333343</v>
      </c>
      <c r="N146" s="103">
        <v>45910.700694444437</v>
      </c>
      <c r="O146" s="56" t="s">
        <v>1253</v>
      </c>
      <c r="P146" s="56" t="s">
        <v>1254</v>
      </c>
      <c r="Q146" s="56" t="s">
        <v>1312</v>
      </c>
      <c r="R146" s="56" t="s">
        <v>1313</v>
      </c>
      <c r="S146" s="78"/>
      <c r="T146" s="78"/>
      <c r="U146" s="56" t="s">
        <v>1257</v>
      </c>
      <c r="V146" s="56" t="s">
        <v>1865</v>
      </c>
      <c r="W146" s="56" t="s">
        <v>1259</v>
      </c>
      <c r="X146" s="56">
        <v>0</v>
      </c>
      <c r="Y146" s="56" t="s">
        <v>138</v>
      </c>
      <c r="Z146" s="56" t="s">
        <v>115</v>
      </c>
      <c r="AA146" s="56" t="s">
        <v>1315</v>
      </c>
      <c r="AB146" s="56">
        <v>0</v>
      </c>
      <c r="AC146" s="56">
        <v>0</v>
      </c>
      <c r="AD146" s="56">
        <v>0</v>
      </c>
      <c r="AE146" s="56">
        <v>0</v>
      </c>
      <c r="AF146" s="69">
        <f>IF(W146="SOPORTE_TELEFÓNICO",'BASE LIQUIDACION'!$B$10,IF(Y146="TIPO I",'BASE LIQUIDACION'!$C$3,IF(Y146="TIPO II",'BASE LIQUIDACION'!$C$4,IF(Y146="TIPO III",'BASE LIQUIDACION'!$C$5,'BASE LIQUIDACION'!$C$7))))</f>
        <v>37904.65408</v>
      </c>
      <c r="AG146" s="90">
        <f>IF(W146="SOPORTE_TELEFÓNICO",'BASE LIQUIDACION'!$B$10,(AB146*AF146+AC146*'BASE LIQUIDACION'!$B$12+AD146*'BASE LIQUIDACION'!$B$11+INCIDENTES!AE146*'BASE LIQUIDACION'!$B$13))</f>
        <v>37904.65408</v>
      </c>
    </row>
    <row r="147" spans="1:33" s="70" customFormat="1">
      <c r="A147" s="56" t="s">
        <v>165</v>
      </c>
      <c r="B147" s="56" t="str">
        <f>VLOOKUP(A147,'CENTRO DE COSTOS'!A:D,4,FALSE)</f>
        <v>JUAN SEBASTIÁN RÍOS CASTRILLÓN</v>
      </c>
      <c r="C147" s="56" t="str">
        <f>VLOOKUP(A147,'CENTRO DE COSTOS'!A:D,2,FALSE)</f>
        <v>0004-0005</v>
      </c>
      <c r="D147" s="56">
        <v>5079</v>
      </c>
      <c r="E147" s="56">
        <v>2718363</v>
      </c>
      <c r="F147" s="56">
        <v>69236</v>
      </c>
      <c r="G147" s="56" t="s">
        <v>1250</v>
      </c>
      <c r="H147" s="56" t="s">
        <v>152</v>
      </c>
      <c r="I147" s="56" t="s">
        <v>210</v>
      </c>
      <c r="J147" s="56" t="s">
        <v>1866</v>
      </c>
      <c r="K147" s="56" t="s">
        <v>107</v>
      </c>
      <c r="L147" s="56" t="s">
        <v>1867</v>
      </c>
      <c r="M147" s="103">
        <v>45910.333333333343</v>
      </c>
      <c r="N147" s="103">
        <v>45910.416666666657</v>
      </c>
      <c r="O147" s="56" t="s">
        <v>1253</v>
      </c>
      <c r="P147" s="56" t="s">
        <v>1254</v>
      </c>
      <c r="Q147" s="56" t="s">
        <v>1312</v>
      </c>
      <c r="R147" s="56" t="s">
        <v>1313</v>
      </c>
      <c r="S147" s="78"/>
      <c r="T147" s="78"/>
      <c r="U147" s="56" t="s">
        <v>1257</v>
      </c>
      <c r="V147" s="56" t="s">
        <v>1868</v>
      </c>
      <c r="W147" s="56" t="s">
        <v>1266</v>
      </c>
      <c r="X147" s="56" t="s">
        <v>1869</v>
      </c>
      <c r="Y147" s="56" t="s">
        <v>114</v>
      </c>
      <c r="Z147" s="56" t="s">
        <v>115</v>
      </c>
      <c r="AA147" s="56" t="s">
        <v>1424</v>
      </c>
      <c r="AB147" s="56">
        <v>1</v>
      </c>
      <c r="AC147" s="56">
        <v>0</v>
      </c>
      <c r="AD147" s="56">
        <v>0</v>
      </c>
      <c r="AE147" s="56">
        <v>0</v>
      </c>
      <c r="AF147" s="69">
        <f>IF(W147="SOPORTE_TELEFÓNICO",'BASE LIQUIDACION'!$B$10,IF(Y147="TIPO I",'BASE LIQUIDACION'!$C$3,IF(Y147="TIPO II",'BASE LIQUIDACION'!$C$4,IF(Y147="TIPO III",'BASE LIQUIDACION'!$C$5,'BASE LIQUIDACION'!$C$7))))</f>
        <v>163813.55812</v>
      </c>
      <c r="AG147" s="90">
        <f>IF(W147="SOPORTE_TELEFÓNICO",'BASE LIQUIDACION'!$B$10,(AB147*AF147+AC147*'BASE LIQUIDACION'!$B$12+AD147*'BASE LIQUIDACION'!$B$11+INCIDENTES!AE147*'BASE LIQUIDACION'!$B$13))</f>
        <v>163813.55812</v>
      </c>
    </row>
    <row r="148" spans="1:33" s="70" customFormat="1">
      <c r="A148" s="56" t="s">
        <v>140</v>
      </c>
      <c r="B148" s="56" t="str">
        <f>VLOOKUP(A148,'CENTRO DE COSTOS'!A:D,4,FALSE)</f>
        <v>MIGUEL JULIÁN HERNÁNDEZ GUARÍN</v>
      </c>
      <c r="C148" s="56" t="str">
        <f>VLOOKUP(A148,'CENTRO DE COSTOS'!A:D,2,FALSE)</f>
        <v>0004-0008</v>
      </c>
      <c r="D148" s="56">
        <v>68001</v>
      </c>
      <c r="E148" s="56">
        <v>2718160</v>
      </c>
      <c r="F148" s="56">
        <v>80422</v>
      </c>
      <c r="G148" s="56" t="s">
        <v>1250</v>
      </c>
      <c r="H148" s="56" t="s">
        <v>142</v>
      </c>
      <c r="I148" s="56" t="s">
        <v>140</v>
      </c>
      <c r="J148" s="56" t="s">
        <v>1870</v>
      </c>
      <c r="K148" s="56" t="s">
        <v>107</v>
      </c>
      <c r="L148" s="56" t="s">
        <v>1871</v>
      </c>
      <c r="M148" s="103">
        <v>45909.738194444442</v>
      </c>
      <c r="N148" s="103">
        <v>45910.381944444453</v>
      </c>
      <c r="O148" s="56" t="s">
        <v>1253</v>
      </c>
      <c r="P148" s="56" t="s">
        <v>1254</v>
      </c>
      <c r="Q148" s="56" t="s">
        <v>1271</v>
      </c>
      <c r="R148" s="56" t="s">
        <v>1272</v>
      </c>
      <c r="S148" s="78"/>
      <c r="T148" s="78"/>
      <c r="U148" s="56" t="s">
        <v>1257</v>
      </c>
      <c r="V148" s="56" t="s">
        <v>1872</v>
      </c>
      <c r="W148" s="56" t="s">
        <v>1266</v>
      </c>
      <c r="X148" s="56" t="s">
        <v>1873</v>
      </c>
      <c r="Y148" s="56" t="s">
        <v>138</v>
      </c>
      <c r="Z148" s="56" t="s">
        <v>115</v>
      </c>
      <c r="AA148" s="56" t="s">
        <v>1304</v>
      </c>
      <c r="AB148" s="56">
        <v>1</v>
      </c>
      <c r="AC148" s="56">
        <v>0</v>
      </c>
      <c r="AD148" s="56">
        <v>0</v>
      </c>
      <c r="AE148" s="56">
        <v>0</v>
      </c>
      <c r="AF148" s="69">
        <f>IF(W148="SOPORTE_TELEFÓNICO",'BASE LIQUIDACION'!$B$10,IF(Y148="TIPO I",'BASE LIQUIDACION'!$C$3,IF(Y148="TIPO II",'BASE LIQUIDACION'!$C$4,IF(Y148="TIPO III",'BASE LIQUIDACION'!$C$5,'BASE LIQUIDACION'!$C$7))))</f>
        <v>65960.473639999997</v>
      </c>
      <c r="AG148" s="90">
        <f>IF(W148="SOPORTE_TELEFÓNICO",'BASE LIQUIDACION'!$B$10,(AB148*AF148+AC148*'BASE LIQUIDACION'!$B$12+AD148*'BASE LIQUIDACION'!$B$11+INCIDENTES!AE148*'BASE LIQUIDACION'!$B$13))</f>
        <v>65960.473639999997</v>
      </c>
    </row>
    <row r="149" spans="1:33" s="70" customFormat="1">
      <c r="A149" s="56" t="s">
        <v>100</v>
      </c>
      <c r="B149" s="56" t="str">
        <f>VLOOKUP(A149,'CENTRO DE COSTOS'!A:D,4,FALSE)</f>
        <v>DIEGO FERNANDO HENAO CARDONA</v>
      </c>
      <c r="C149" s="56" t="str">
        <f>VLOOKUP(A149,'CENTRO DE COSTOS'!A:D,2,FALSE)</f>
        <v>0004-0003</v>
      </c>
      <c r="D149" s="56">
        <v>52323</v>
      </c>
      <c r="E149" s="56">
        <v>2717866</v>
      </c>
      <c r="F149" s="56">
        <v>10155</v>
      </c>
      <c r="G149" s="56" t="s">
        <v>1250</v>
      </c>
      <c r="H149" s="56" t="s">
        <v>104</v>
      </c>
      <c r="I149" s="56" t="s">
        <v>950</v>
      </c>
      <c r="J149" s="56" t="s">
        <v>1874</v>
      </c>
      <c r="K149" s="56" t="s">
        <v>107</v>
      </c>
      <c r="L149" s="56" t="s">
        <v>1875</v>
      </c>
      <c r="M149" s="103">
        <v>45909.702777777777</v>
      </c>
      <c r="N149" s="103">
        <v>45910.503472222219</v>
      </c>
      <c r="O149" s="56" t="s">
        <v>1253</v>
      </c>
      <c r="P149" s="56" t="s">
        <v>1254</v>
      </c>
      <c r="Q149" s="56" t="s">
        <v>1271</v>
      </c>
      <c r="R149" s="56" t="s">
        <v>1272</v>
      </c>
      <c r="S149" s="78"/>
      <c r="T149" s="78"/>
      <c r="U149" s="56" t="s">
        <v>1257</v>
      </c>
      <c r="V149" s="56" t="s">
        <v>1876</v>
      </c>
      <c r="W149" s="56" t="s">
        <v>1259</v>
      </c>
      <c r="X149" s="56">
        <v>0</v>
      </c>
      <c r="Y149" s="56" t="s">
        <v>114</v>
      </c>
      <c r="Z149" s="56" t="s">
        <v>115</v>
      </c>
      <c r="AA149" s="56" t="s">
        <v>1260</v>
      </c>
      <c r="AB149" s="56">
        <v>0</v>
      </c>
      <c r="AC149" s="56">
        <v>0</v>
      </c>
      <c r="AD149" s="56">
        <v>0</v>
      </c>
      <c r="AE149" s="56">
        <v>0</v>
      </c>
      <c r="AF149" s="69">
        <f>IF(W149="SOPORTE_TELEFÓNICO",'BASE LIQUIDACION'!$B$10,IF(Y149="TIPO I",'BASE LIQUIDACION'!$C$3,IF(Y149="TIPO II",'BASE LIQUIDACION'!$C$4,IF(Y149="TIPO III",'BASE LIQUIDACION'!$C$5,'BASE LIQUIDACION'!$C$7))))</f>
        <v>37904.65408</v>
      </c>
      <c r="AG149" s="90">
        <f>IF(W149="SOPORTE_TELEFÓNICO",'BASE LIQUIDACION'!$B$10,(AB149*AF149+AC149*'BASE LIQUIDACION'!$B$12+AD149*'BASE LIQUIDACION'!$B$11+INCIDENTES!AE149*'BASE LIQUIDACION'!$B$13))</f>
        <v>37904.65408</v>
      </c>
    </row>
    <row r="150" spans="1:33" s="70" customFormat="1">
      <c r="A150" s="56" t="s">
        <v>182</v>
      </c>
      <c r="B150" s="56" t="str">
        <f>VLOOKUP(A150,'CENTRO DE COSTOS'!A:D,4,FALSE)</f>
        <v>WILLIAM ASDRUBAL ROZO ROZO</v>
      </c>
      <c r="C150" s="56" t="str">
        <f>VLOOKUP(A150,'CENTRO DE COSTOS'!A:D,2,FALSE)</f>
        <v>0004-0004</v>
      </c>
      <c r="D150" s="56">
        <v>11001</v>
      </c>
      <c r="E150" s="56">
        <v>2717687</v>
      </c>
      <c r="F150" s="56">
        <v>80240</v>
      </c>
      <c r="G150" s="56" t="s">
        <v>1250</v>
      </c>
      <c r="H150" s="56" t="s">
        <v>184</v>
      </c>
      <c r="I150" s="56" t="s">
        <v>182</v>
      </c>
      <c r="J150" s="56" t="s">
        <v>1877</v>
      </c>
      <c r="K150" s="56" t="s">
        <v>107</v>
      </c>
      <c r="L150" s="56" t="s">
        <v>1878</v>
      </c>
      <c r="M150" s="103">
        <v>45909.685416666667</v>
      </c>
      <c r="N150" s="103">
        <v>45910.510416666657</v>
      </c>
      <c r="O150" s="56" t="s">
        <v>1253</v>
      </c>
      <c r="P150" s="56" t="s">
        <v>1254</v>
      </c>
      <c r="Q150" s="56" t="s">
        <v>1286</v>
      </c>
      <c r="R150" s="56" t="s">
        <v>1502</v>
      </c>
      <c r="S150" s="78"/>
      <c r="T150" s="78"/>
      <c r="U150" s="56" t="s">
        <v>1257</v>
      </c>
      <c r="V150" s="56" t="s">
        <v>1879</v>
      </c>
      <c r="W150" s="56" t="s">
        <v>1266</v>
      </c>
      <c r="X150" s="56" t="s">
        <v>1880</v>
      </c>
      <c r="Y150" s="56" t="s">
        <v>138</v>
      </c>
      <c r="Z150" s="56" t="s">
        <v>115</v>
      </c>
      <c r="AA150" s="56" t="s">
        <v>1383</v>
      </c>
      <c r="AB150" s="56">
        <v>1</v>
      </c>
      <c r="AC150" s="56">
        <v>0</v>
      </c>
      <c r="AD150" s="56">
        <v>0</v>
      </c>
      <c r="AE150" s="56">
        <v>0</v>
      </c>
      <c r="AF150" s="69">
        <f>IF(W150="SOPORTE_TELEFÓNICO",'BASE LIQUIDACION'!$B$10,IF(Y150="TIPO I",'BASE LIQUIDACION'!$C$3,IF(Y150="TIPO II",'BASE LIQUIDACION'!$C$4,IF(Y150="TIPO III",'BASE LIQUIDACION'!$C$5,'BASE LIQUIDACION'!$C$7))))</f>
        <v>65960.473639999997</v>
      </c>
      <c r="AG150" s="90">
        <f>IF(W150="SOPORTE_TELEFÓNICO",'BASE LIQUIDACION'!$B$10,(AB150*AF150+AC150*'BASE LIQUIDACION'!$B$12+AD150*'BASE LIQUIDACION'!$B$11+INCIDENTES!AE150*'BASE LIQUIDACION'!$B$13))</f>
        <v>65960.473639999997</v>
      </c>
    </row>
    <row r="151" spans="1:33" s="70" customFormat="1">
      <c r="A151" s="56" t="s">
        <v>165</v>
      </c>
      <c r="B151" s="56" t="str">
        <f>VLOOKUP(A151,'CENTRO DE COSTOS'!A:D,4,FALSE)</f>
        <v>JUAN SEBASTIÁN RÍOS CASTRILLÓN</v>
      </c>
      <c r="C151" s="56" t="str">
        <f>VLOOKUP(A151,'CENTRO DE COSTOS'!A:D,2,FALSE)</f>
        <v>0004-0005</v>
      </c>
      <c r="D151" s="56">
        <v>5001</v>
      </c>
      <c r="E151" s="56">
        <v>2715992</v>
      </c>
      <c r="F151" s="56">
        <v>75145</v>
      </c>
      <c r="G151" s="56" t="s">
        <v>1250</v>
      </c>
      <c r="H151" s="56" t="s">
        <v>152</v>
      </c>
      <c r="I151" s="56" t="s">
        <v>165</v>
      </c>
      <c r="J151" s="56" t="s">
        <v>1881</v>
      </c>
      <c r="K151" s="56" t="s">
        <v>107</v>
      </c>
      <c r="L151" s="56" t="s">
        <v>1882</v>
      </c>
      <c r="M151" s="103">
        <v>45909.571527777778</v>
      </c>
      <c r="N151" s="103">
        <v>45910.569444444453</v>
      </c>
      <c r="O151" s="56" t="s">
        <v>1253</v>
      </c>
      <c r="P151" s="56" t="s">
        <v>1254</v>
      </c>
      <c r="Q151" s="56" t="s">
        <v>1271</v>
      </c>
      <c r="R151" s="56" t="s">
        <v>1277</v>
      </c>
      <c r="S151" s="78"/>
      <c r="T151" s="78"/>
      <c r="U151" s="56" t="s">
        <v>1257</v>
      </c>
      <c r="V151" s="56" t="s">
        <v>1883</v>
      </c>
      <c r="W151" s="56" t="s">
        <v>1266</v>
      </c>
      <c r="X151" s="56" t="s">
        <v>1664</v>
      </c>
      <c r="Y151" s="56" t="s">
        <v>138</v>
      </c>
      <c r="Z151" s="56" t="s">
        <v>115</v>
      </c>
      <c r="AA151" s="56" t="s">
        <v>1315</v>
      </c>
      <c r="AB151" s="56">
        <v>1</v>
      </c>
      <c r="AC151" s="56">
        <v>0</v>
      </c>
      <c r="AD151" s="56">
        <v>0</v>
      </c>
      <c r="AE151" s="56">
        <v>0</v>
      </c>
      <c r="AF151" s="69">
        <f>IF(W151="SOPORTE_TELEFÓNICO",'BASE LIQUIDACION'!$B$10,IF(Y151="TIPO I",'BASE LIQUIDACION'!$C$3,IF(Y151="TIPO II",'BASE LIQUIDACION'!$C$4,IF(Y151="TIPO III",'BASE LIQUIDACION'!$C$5,'BASE LIQUIDACION'!$C$7))))</f>
        <v>65960.473639999997</v>
      </c>
      <c r="AG151" s="90">
        <f>IF(W151="SOPORTE_TELEFÓNICO",'BASE LIQUIDACION'!$B$10,(AB151*AF151+AC151*'BASE LIQUIDACION'!$B$12+AD151*'BASE LIQUIDACION'!$B$11+INCIDENTES!AE151*'BASE LIQUIDACION'!$B$13))</f>
        <v>65960.473639999997</v>
      </c>
    </row>
    <row r="152" spans="1:33" s="70" customFormat="1">
      <c r="A152" s="56" t="s">
        <v>182</v>
      </c>
      <c r="B152" s="56" t="str">
        <f>VLOOKUP(A152,'CENTRO DE COSTOS'!A:D,4,FALSE)</f>
        <v>WILLIAM ASDRUBAL ROZO ROZO</v>
      </c>
      <c r="C152" s="56" t="str">
        <f>VLOOKUP(A152,'CENTRO DE COSTOS'!A:D,2,FALSE)</f>
        <v>0004-0004</v>
      </c>
      <c r="D152" s="56">
        <v>11001</v>
      </c>
      <c r="E152" s="56">
        <v>2715187</v>
      </c>
      <c r="F152" s="56">
        <v>80470</v>
      </c>
      <c r="G152" s="56" t="s">
        <v>1250</v>
      </c>
      <c r="H152" s="56" t="s">
        <v>184</v>
      </c>
      <c r="I152" s="56" t="s">
        <v>182</v>
      </c>
      <c r="J152" s="56" t="s">
        <v>1884</v>
      </c>
      <c r="K152" s="56" t="s">
        <v>107</v>
      </c>
      <c r="L152" s="56" t="s">
        <v>1885</v>
      </c>
      <c r="M152" s="103">
        <v>45909.484027777777</v>
      </c>
      <c r="N152" s="103">
        <v>45910.484027777777</v>
      </c>
      <c r="O152" s="56" t="s">
        <v>1253</v>
      </c>
      <c r="P152" s="56" t="s">
        <v>1254</v>
      </c>
      <c r="Q152" s="56" t="s">
        <v>1255</v>
      </c>
      <c r="R152" s="56" t="s">
        <v>1395</v>
      </c>
      <c r="S152" s="78"/>
      <c r="T152" s="78"/>
      <c r="U152" s="56" t="s">
        <v>1257</v>
      </c>
      <c r="V152" s="56" t="s">
        <v>1886</v>
      </c>
      <c r="W152" s="56" t="s">
        <v>1266</v>
      </c>
      <c r="X152" s="56" t="s">
        <v>1887</v>
      </c>
      <c r="Y152" s="56" t="s">
        <v>138</v>
      </c>
      <c r="Z152" s="56" t="s">
        <v>115</v>
      </c>
      <c r="AA152" s="56" t="s">
        <v>1888</v>
      </c>
      <c r="AB152" s="56">
        <v>1</v>
      </c>
      <c r="AC152" s="56">
        <v>0</v>
      </c>
      <c r="AD152" s="56">
        <v>0</v>
      </c>
      <c r="AE152" s="56">
        <v>0</v>
      </c>
      <c r="AF152" s="69">
        <f>IF(W152="SOPORTE_TELEFÓNICO",'BASE LIQUIDACION'!$B$10,IF(Y152="TIPO I",'BASE LIQUIDACION'!$C$3,IF(Y152="TIPO II",'BASE LIQUIDACION'!$C$4,IF(Y152="TIPO III",'BASE LIQUIDACION'!$C$5,'BASE LIQUIDACION'!$C$7))))</f>
        <v>65960.473639999997</v>
      </c>
      <c r="AG152" s="90">
        <f>IF(W152="SOPORTE_TELEFÓNICO",'BASE LIQUIDACION'!$B$10,(AB152*AF152+AC152*'BASE LIQUIDACION'!$B$12+AD152*'BASE LIQUIDACION'!$B$11+INCIDENTES!AE152*'BASE LIQUIDACION'!$B$13))</f>
        <v>65960.473639999997</v>
      </c>
    </row>
    <row r="153" spans="1:33" s="70" customFormat="1">
      <c r="A153" s="56" t="s">
        <v>165</v>
      </c>
      <c r="B153" s="56" t="str">
        <f>VLOOKUP(A153,'CENTRO DE COSTOS'!A:D,4,FALSE)</f>
        <v>JUAN SEBASTIÁN RÍOS CASTRILLÓN</v>
      </c>
      <c r="C153" s="56" t="str">
        <f>VLOOKUP(A153,'CENTRO DE COSTOS'!A:D,2,FALSE)</f>
        <v>0004-0005</v>
      </c>
      <c r="D153" s="56">
        <v>5001</v>
      </c>
      <c r="E153" s="56">
        <v>2715326</v>
      </c>
      <c r="F153" s="56">
        <v>21681</v>
      </c>
      <c r="G153" s="56" t="s">
        <v>1250</v>
      </c>
      <c r="H153" s="56" t="s">
        <v>152</v>
      </c>
      <c r="I153" s="56" t="s">
        <v>165</v>
      </c>
      <c r="J153" s="56" t="s">
        <v>1549</v>
      </c>
      <c r="K153" s="56" t="s">
        <v>107</v>
      </c>
      <c r="L153" s="56" t="s">
        <v>1889</v>
      </c>
      <c r="M153" s="103">
        <v>45909.48333333333</v>
      </c>
      <c r="N153" s="103">
        <v>45909.5625</v>
      </c>
      <c r="O153" s="56" t="s">
        <v>1253</v>
      </c>
      <c r="P153" s="56" t="s">
        <v>1341</v>
      </c>
      <c r="Q153" s="56" t="s">
        <v>1342</v>
      </c>
      <c r="R153" s="56" t="s">
        <v>1343</v>
      </c>
      <c r="S153" s="78"/>
      <c r="T153" s="78"/>
      <c r="U153" s="56" t="s">
        <v>1257</v>
      </c>
      <c r="V153" s="56" t="s">
        <v>1890</v>
      </c>
      <c r="W153" s="56" t="s">
        <v>1266</v>
      </c>
      <c r="X153" s="56" t="s">
        <v>1552</v>
      </c>
      <c r="Y153" s="56" t="s">
        <v>138</v>
      </c>
      <c r="Z153" s="56" t="s">
        <v>115</v>
      </c>
      <c r="AA153" s="56" t="s">
        <v>1891</v>
      </c>
      <c r="AB153" s="56">
        <v>1</v>
      </c>
      <c r="AC153" s="56">
        <v>0</v>
      </c>
      <c r="AD153" s="56">
        <v>0</v>
      </c>
      <c r="AE153" s="56">
        <v>0</v>
      </c>
      <c r="AF153" s="69">
        <f>IF(W153="SOPORTE_TELEFÓNICO",'BASE LIQUIDACION'!$B$10,IF(Y153="TIPO I",'BASE LIQUIDACION'!$C$3,IF(Y153="TIPO II",'BASE LIQUIDACION'!$C$4,IF(Y153="TIPO III",'BASE LIQUIDACION'!$C$5,'BASE LIQUIDACION'!$C$7))))</f>
        <v>65960.473639999997</v>
      </c>
      <c r="AG153" s="90">
        <f>IF(W153="SOPORTE_TELEFÓNICO",'BASE LIQUIDACION'!$B$10,(AB153*AF153+AC153*'BASE LIQUIDACION'!$B$12+AD153*'BASE LIQUIDACION'!$B$11+INCIDENTES!AE153*'BASE LIQUIDACION'!$B$13))</f>
        <v>65960.473639999997</v>
      </c>
    </row>
    <row r="154" spans="1:33" s="70" customFormat="1">
      <c r="A154" s="56" t="s">
        <v>165</v>
      </c>
      <c r="B154" s="56" t="str">
        <f>VLOOKUP(A154,'CENTRO DE COSTOS'!A:D,4,FALSE)</f>
        <v>JUAN SEBASTIÁN RÍOS CASTRILLÓN</v>
      </c>
      <c r="C154" s="56" t="str">
        <f>VLOOKUP(A154,'CENTRO DE COSTOS'!A:D,2,FALSE)</f>
        <v>0004-0005</v>
      </c>
      <c r="D154" s="56">
        <v>5001</v>
      </c>
      <c r="E154" s="56">
        <v>2713221</v>
      </c>
      <c r="F154" s="56">
        <v>70040</v>
      </c>
      <c r="G154" s="56" t="s">
        <v>1250</v>
      </c>
      <c r="H154" s="56" t="s">
        <v>152</v>
      </c>
      <c r="I154" s="56" t="s">
        <v>165</v>
      </c>
      <c r="J154" s="56" t="s">
        <v>1892</v>
      </c>
      <c r="K154" s="56" t="s">
        <v>107</v>
      </c>
      <c r="L154" s="56" t="s">
        <v>1893</v>
      </c>
      <c r="M154" s="103">
        <v>45909.359027777777</v>
      </c>
      <c r="N154" s="103">
        <v>45909.545138888891</v>
      </c>
      <c r="O154" s="56" t="s">
        <v>1253</v>
      </c>
      <c r="P154" s="56" t="s">
        <v>1254</v>
      </c>
      <c r="Q154" s="56" t="s">
        <v>1271</v>
      </c>
      <c r="R154" s="56" t="s">
        <v>1277</v>
      </c>
      <c r="S154" s="78"/>
      <c r="T154" s="78"/>
      <c r="U154" s="56" t="s">
        <v>1257</v>
      </c>
      <c r="V154" s="56" t="s">
        <v>1894</v>
      </c>
      <c r="W154" s="56" t="s">
        <v>1266</v>
      </c>
      <c r="X154" s="56" t="s">
        <v>1895</v>
      </c>
      <c r="Y154" s="56" t="s">
        <v>138</v>
      </c>
      <c r="Z154" s="56" t="s">
        <v>115</v>
      </c>
      <c r="AA154" s="56" t="s">
        <v>1557</v>
      </c>
      <c r="AB154" s="56">
        <v>1</v>
      </c>
      <c r="AC154" s="56">
        <v>0</v>
      </c>
      <c r="AD154" s="56">
        <v>0</v>
      </c>
      <c r="AE154" s="56">
        <v>0</v>
      </c>
      <c r="AF154" s="69">
        <f>IF(W154="SOPORTE_TELEFÓNICO",'BASE LIQUIDACION'!$B$10,IF(Y154="TIPO I",'BASE LIQUIDACION'!$C$3,IF(Y154="TIPO II",'BASE LIQUIDACION'!$C$4,IF(Y154="TIPO III",'BASE LIQUIDACION'!$C$5,'BASE LIQUIDACION'!$C$7))))</f>
        <v>65960.473639999997</v>
      </c>
      <c r="AG154" s="90">
        <f>IF(W154="SOPORTE_TELEFÓNICO",'BASE LIQUIDACION'!$B$10,(AB154*AF154+AC154*'BASE LIQUIDACION'!$B$12+AD154*'BASE LIQUIDACION'!$B$11+INCIDENTES!AE154*'BASE LIQUIDACION'!$B$13))</f>
        <v>65960.473639999997</v>
      </c>
    </row>
    <row r="155" spans="1:33" s="70" customFormat="1">
      <c r="A155" s="56" t="s">
        <v>165</v>
      </c>
      <c r="B155" s="56" t="str">
        <f>VLOOKUP(A155,'CENTRO DE COSTOS'!A:D,4,FALSE)</f>
        <v>JUAN SEBASTIÁN RÍOS CASTRILLÓN</v>
      </c>
      <c r="C155" s="56" t="str">
        <f>VLOOKUP(A155,'CENTRO DE COSTOS'!A:D,2,FALSE)</f>
        <v>0004-0005</v>
      </c>
      <c r="D155" s="56">
        <v>5266</v>
      </c>
      <c r="E155" s="56">
        <v>2712867</v>
      </c>
      <c r="F155" s="56">
        <v>39183</v>
      </c>
      <c r="G155" s="56" t="s">
        <v>1250</v>
      </c>
      <c r="H155" s="56" t="s">
        <v>152</v>
      </c>
      <c r="I155" s="56" t="s">
        <v>268</v>
      </c>
      <c r="J155" s="56" t="s">
        <v>1896</v>
      </c>
      <c r="K155" s="56" t="s">
        <v>107</v>
      </c>
      <c r="L155" s="56" t="s">
        <v>1897</v>
      </c>
      <c r="M155" s="103">
        <v>45909.350694444453</v>
      </c>
      <c r="N155" s="103">
        <v>45909.445833333331</v>
      </c>
      <c r="O155" s="56" t="s">
        <v>1253</v>
      </c>
      <c r="P155" s="56" t="s">
        <v>1254</v>
      </c>
      <c r="Q155" s="56" t="s">
        <v>1263</v>
      </c>
      <c r="R155" s="56" t="s">
        <v>1264</v>
      </c>
      <c r="S155" s="78"/>
      <c r="T155" s="78"/>
      <c r="U155" s="56" t="s">
        <v>1257</v>
      </c>
      <c r="V155" s="56" t="s">
        <v>1898</v>
      </c>
      <c r="W155" s="56" t="s">
        <v>1266</v>
      </c>
      <c r="X155" s="56" t="s">
        <v>1899</v>
      </c>
      <c r="Y155" s="56" t="s">
        <v>138</v>
      </c>
      <c r="Z155" s="56" t="s">
        <v>115</v>
      </c>
      <c r="AA155" s="56" t="s">
        <v>1557</v>
      </c>
      <c r="AB155" s="56">
        <v>1</v>
      </c>
      <c r="AC155" s="56">
        <v>0</v>
      </c>
      <c r="AD155" s="56">
        <v>0</v>
      </c>
      <c r="AE155" s="56">
        <v>0</v>
      </c>
      <c r="AF155" s="69">
        <f>IF(W155="SOPORTE_TELEFÓNICO",'BASE LIQUIDACION'!$B$10,IF(Y155="TIPO I",'BASE LIQUIDACION'!$C$3,IF(Y155="TIPO II",'BASE LIQUIDACION'!$C$4,IF(Y155="TIPO III",'BASE LIQUIDACION'!$C$5,'BASE LIQUIDACION'!$C$7))))</f>
        <v>65960.473639999997</v>
      </c>
      <c r="AG155" s="90">
        <f>IF(W155="SOPORTE_TELEFÓNICO",'BASE LIQUIDACION'!$B$10,(AB155*AF155+AC155*'BASE LIQUIDACION'!$B$12+AD155*'BASE LIQUIDACION'!$B$11+INCIDENTES!AE155*'BASE LIQUIDACION'!$B$13))</f>
        <v>65960.473639999997</v>
      </c>
    </row>
    <row r="156" spans="1:33" s="70" customFormat="1">
      <c r="A156" s="56" t="s">
        <v>242</v>
      </c>
      <c r="B156" s="56" t="str">
        <f>VLOOKUP(A156,'CENTRO DE COSTOS'!A:D,4,FALSE)</f>
        <v>JOSE MAURICIO HERNANDEZ ROJAS</v>
      </c>
      <c r="C156" s="56" t="str">
        <f>VLOOKUP(A156,'CENTRO DE COSTOS'!A:D,2,FALSE)</f>
        <v>0004-0001</v>
      </c>
      <c r="D156" s="56">
        <v>23001</v>
      </c>
      <c r="E156" s="56">
        <v>2712936</v>
      </c>
      <c r="F156" s="56">
        <v>36670</v>
      </c>
      <c r="G156" s="56" t="s">
        <v>1250</v>
      </c>
      <c r="H156" s="56" t="s">
        <v>364</v>
      </c>
      <c r="I156" s="56" t="s">
        <v>242</v>
      </c>
      <c r="J156" s="56" t="s">
        <v>1900</v>
      </c>
      <c r="K156" s="56" t="s">
        <v>107</v>
      </c>
      <c r="L156" s="56" t="s">
        <v>1901</v>
      </c>
      <c r="M156" s="103">
        <v>45909.345833333333</v>
      </c>
      <c r="N156" s="103">
        <v>45909.613888888889</v>
      </c>
      <c r="O156" s="56" t="s">
        <v>1253</v>
      </c>
      <c r="P156" s="56" t="s">
        <v>1254</v>
      </c>
      <c r="Q156" s="56" t="s">
        <v>1312</v>
      </c>
      <c r="R156" s="56" t="s">
        <v>1313</v>
      </c>
      <c r="S156" s="78"/>
      <c r="T156" s="78"/>
      <c r="U156" s="56" t="s">
        <v>1257</v>
      </c>
      <c r="V156" s="56" t="s">
        <v>1902</v>
      </c>
      <c r="W156" s="56" t="s">
        <v>1266</v>
      </c>
      <c r="X156" s="56" t="s">
        <v>1903</v>
      </c>
      <c r="Y156" s="56" t="s">
        <v>138</v>
      </c>
      <c r="Z156" s="56" t="s">
        <v>115</v>
      </c>
      <c r="AA156" s="56" t="s">
        <v>1904</v>
      </c>
      <c r="AB156" s="56">
        <v>1</v>
      </c>
      <c r="AC156" s="56">
        <v>0</v>
      </c>
      <c r="AD156" s="56">
        <v>0</v>
      </c>
      <c r="AE156" s="56">
        <v>0</v>
      </c>
      <c r="AF156" s="69">
        <f>IF(W156="SOPORTE_TELEFÓNICO",'BASE LIQUIDACION'!$B$10,IF(Y156="TIPO I",'BASE LIQUIDACION'!$C$3,IF(Y156="TIPO II",'BASE LIQUIDACION'!$C$4,IF(Y156="TIPO III",'BASE LIQUIDACION'!$C$5,'BASE LIQUIDACION'!$C$7))))</f>
        <v>65960.473639999997</v>
      </c>
      <c r="AG156" s="90">
        <f>IF(W156="SOPORTE_TELEFÓNICO",'BASE LIQUIDACION'!$B$10,(AB156*AF156+AC156*'BASE LIQUIDACION'!$B$12+AD156*'BASE LIQUIDACION'!$B$11+INCIDENTES!AE156*'BASE LIQUIDACION'!$B$13))</f>
        <v>65960.473639999997</v>
      </c>
    </row>
    <row r="157" spans="1:33" s="70" customFormat="1">
      <c r="A157" s="56" t="s">
        <v>1121</v>
      </c>
      <c r="B157" s="56" t="str">
        <f>VLOOKUP(A157,'CENTRO DE COSTOS'!A:D,4,FALSE)</f>
        <v>JOSE MAURICIO HERNANDEZ ROJAS</v>
      </c>
      <c r="C157" s="56" t="str">
        <f>VLOOKUP(A157,'CENTRO DE COSTOS'!A:D,2,FALSE)</f>
        <v>0004-0001</v>
      </c>
      <c r="D157" s="56">
        <v>70001</v>
      </c>
      <c r="E157" s="56">
        <v>2712334</v>
      </c>
      <c r="F157" s="56">
        <v>50737</v>
      </c>
      <c r="G157" s="56" t="s">
        <v>1250</v>
      </c>
      <c r="H157" s="56" t="s">
        <v>594</v>
      </c>
      <c r="I157" s="56" t="s">
        <v>1121</v>
      </c>
      <c r="J157" s="56" t="s">
        <v>1905</v>
      </c>
      <c r="K157" s="56" t="s">
        <v>107</v>
      </c>
      <c r="L157" s="56" t="s">
        <v>1906</v>
      </c>
      <c r="M157" s="103">
        <v>45909.333333333343</v>
      </c>
      <c r="N157" s="103">
        <v>45909.615972222222</v>
      </c>
      <c r="O157" s="56" t="s">
        <v>1253</v>
      </c>
      <c r="P157" s="56" t="s">
        <v>1254</v>
      </c>
      <c r="Q157" s="56" t="s">
        <v>1271</v>
      </c>
      <c r="R157" s="56" t="s">
        <v>1272</v>
      </c>
      <c r="S157" s="78"/>
      <c r="T157" s="78"/>
      <c r="U157" s="56" t="s">
        <v>1257</v>
      </c>
      <c r="V157" s="56" t="s">
        <v>1907</v>
      </c>
      <c r="W157" s="56" t="s">
        <v>1259</v>
      </c>
      <c r="X157" s="56">
        <v>0</v>
      </c>
      <c r="Y157" s="56" t="s">
        <v>138</v>
      </c>
      <c r="Z157" s="56" t="s">
        <v>115</v>
      </c>
      <c r="AA157" s="56" t="s">
        <v>1908</v>
      </c>
      <c r="AB157" s="56">
        <v>0</v>
      </c>
      <c r="AC157" s="56">
        <v>0</v>
      </c>
      <c r="AD157" s="56">
        <v>0</v>
      </c>
      <c r="AE157" s="56">
        <v>0</v>
      </c>
      <c r="AF157" s="69">
        <f>IF(W157="SOPORTE_TELEFÓNICO",'BASE LIQUIDACION'!$B$10,IF(Y157="TIPO I",'BASE LIQUIDACION'!$C$3,IF(Y157="TIPO II",'BASE LIQUIDACION'!$C$4,IF(Y157="TIPO III",'BASE LIQUIDACION'!$C$5,'BASE LIQUIDACION'!$C$7))))</f>
        <v>37904.65408</v>
      </c>
      <c r="AG157" s="90">
        <f>IF(W157="SOPORTE_TELEFÓNICO",'BASE LIQUIDACION'!$B$10,(AB157*AF157+AC157*'BASE LIQUIDACION'!$B$12+AD157*'BASE LIQUIDACION'!$B$11+INCIDENTES!AE157*'BASE LIQUIDACION'!$B$13))</f>
        <v>37904.65408</v>
      </c>
    </row>
    <row r="158" spans="1:33" s="70" customFormat="1">
      <c r="A158" s="56" t="s">
        <v>182</v>
      </c>
      <c r="B158" s="56" t="str">
        <f>VLOOKUP(A158,'CENTRO DE COSTOS'!A:D,4,FALSE)</f>
        <v>WILLIAM ASDRUBAL ROZO ROZO</v>
      </c>
      <c r="C158" s="56" t="str">
        <f>VLOOKUP(A158,'CENTRO DE COSTOS'!A:D,2,FALSE)</f>
        <v>0004-0004</v>
      </c>
      <c r="D158" s="56">
        <v>25290</v>
      </c>
      <c r="E158" s="56">
        <v>2712076</v>
      </c>
      <c r="F158" s="56">
        <v>27783</v>
      </c>
      <c r="G158" s="56" t="s">
        <v>1250</v>
      </c>
      <c r="H158" s="56" t="s">
        <v>184</v>
      </c>
      <c r="I158" s="56" t="s">
        <v>742</v>
      </c>
      <c r="J158" s="56" t="s">
        <v>1909</v>
      </c>
      <c r="K158" s="56" t="s">
        <v>107</v>
      </c>
      <c r="L158" s="56" t="s">
        <v>1910</v>
      </c>
      <c r="M158" s="103">
        <v>45909.333333333343</v>
      </c>
      <c r="N158" s="103">
        <v>45910.611805555563</v>
      </c>
      <c r="O158" s="56" t="s">
        <v>1253</v>
      </c>
      <c r="P158" s="56" t="s">
        <v>1254</v>
      </c>
      <c r="Q158" s="56" t="s">
        <v>1271</v>
      </c>
      <c r="R158" s="56" t="s">
        <v>1277</v>
      </c>
      <c r="S158" s="78"/>
      <c r="T158" s="78"/>
      <c r="U158" s="56" t="s">
        <v>1257</v>
      </c>
      <c r="V158" s="56" t="s">
        <v>1911</v>
      </c>
      <c r="W158" s="56" t="s">
        <v>1266</v>
      </c>
      <c r="X158" s="56" t="s">
        <v>1912</v>
      </c>
      <c r="Y158" s="56" t="s">
        <v>114</v>
      </c>
      <c r="Z158" s="56" t="s">
        <v>115</v>
      </c>
      <c r="AA158" s="56" t="s">
        <v>1383</v>
      </c>
      <c r="AB158" s="56">
        <v>1</v>
      </c>
      <c r="AC158" s="56">
        <v>0</v>
      </c>
      <c r="AD158" s="56">
        <v>0</v>
      </c>
      <c r="AE158" s="56">
        <v>0</v>
      </c>
      <c r="AF158" s="69">
        <f>IF(W158="SOPORTE_TELEFÓNICO",'BASE LIQUIDACION'!$B$10,IF(Y158="TIPO I",'BASE LIQUIDACION'!$C$3,IF(Y158="TIPO II",'BASE LIQUIDACION'!$C$4,IF(Y158="TIPO III",'BASE LIQUIDACION'!$C$5,'BASE LIQUIDACION'!$C$7))))</f>
        <v>163813.55812</v>
      </c>
      <c r="AG158" s="90">
        <f>IF(W158="SOPORTE_TELEFÓNICO",'BASE LIQUIDACION'!$B$10,(AB158*AF158+AC158*'BASE LIQUIDACION'!$B$12+AD158*'BASE LIQUIDACION'!$B$11+INCIDENTES!AE158*'BASE LIQUIDACION'!$B$13))</f>
        <v>163813.55812</v>
      </c>
    </row>
    <row r="159" spans="1:33" s="70" customFormat="1">
      <c r="A159" s="56" t="s">
        <v>1121</v>
      </c>
      <c r="B159" s="56" t="str">
        <f>VLOOKUP(A159,'CENTRO DE COSTOS'!A:D,4,FALSE)</f>
        <v>JOSE MAURICIO HERNANDEZ ROJAS</v>
      </c>
      <c r="C159" s="56" t="str">
        <f>VLOOKUP(A159,'CENTRO DE COSTOS'!A:D,2,FALSE)</f>
        <v>0004-0001</v>
      </c>
      <c r="D159" s="56">
        <v>70001</v>
      </c>
      <c r="E159" s="56">
        <v>2710656</v>
      </c>
      <c r="F159" s="56">
        <v>72633</v>
      </c>
      <c r="G159" s="56" t="s">
        <v>1250</v>
      </c>
      <c r="H159" s="56" t="s">
        <v>594</v>
      </c>
      <c r="I159" s="56" t="s">
        <v>1121</v>
      </c>
      <c r="J159" s="56" t="s">
        <v>1913</v>
      </c>
      <c r="K159" s="56" t="s">
        <v>107</v>
      </c>
      <c r="L159" s="56" t="s">
        <v>1914</v>
      </c>
      <c r="M159" s="103">
        <v>45908.636111111111</v>
      </c>
      <c r="N159" s="103">
        <v>45909.465277777781</v>
      </c>
      <c r="O159" s="56" t="s">
        <v>1253</v>
      </c>
      <c r="P159" s="56" t="s">
        <v>1254</v>
      </c>
      <c r="Q159" s="56" t="s">
        <v>1348</v>
      </c>
      <c r="R159" s="56" t="s">
        <v>1277</v>
      </c>
      <c r="S159" s="78"/>
      <c r="T159" s="78"/>
      <c r="U159" s="56" t="s">
        <v>1257</v>
      </c>
      <c r="V159" s="56" t="s">
        <v>1915</v>
      </c>
      <c r="W159" s="56" t="s">
        <v>1259</v>
      </c>
      <c r="X159" s="56">
        <v>0</v>
      </c>
      <c r="Y159" s="56" t="s">
        <v>138</v>
      </c>
      <c r="Z159" s="56" t="s">
        <v>115</v>
      </c>
      <c r="AA159" s="56" t="s">
        <v>1908</v>
      </c>
      <c r="AB159" s="56">
        <v>0</v>
      </c>
      <c r="AC159" s="56">
        <v>0</v>
      </c>
      <c r="AD159" s="56">
        <v>0</v>
      </c>
      <c r="AE159" s="56">
        <v>0</v>
      </c>
      <c r="AF159" s="69">
        <f>IF(W159="SOPORTE_TELEFÓNICO",'BASE LIQUIDACION'!$B$10,IF(Y159="TIPO I",'BASE LIQUIDACION'!$C$3,IF(Y159="TIPO II",'BASE LIQUIDACION'!$C$4,IF(Y159="TIPO III",'BASE LIQUIDACION'!$C$5,'BASE LIQUIDACION'!$C$7))))</f>
        <v>37904.65408</v>
      </c>
      <c r="AG159" s="90">
        <f>IF(W159="SOPORTE_TELEFÓNICO",'BASE LIQUIDACION'!$B$10,(AB159*AF159+AC159*'BASE LIQUIDACION'!$B$12+AD159*'BASE LIQUIDACION'!$B$11+INCIDENTES!AE159*'BASE LIQUIDACION'!$B$13))</f>
        <v>37904.65408</v>
      </c>
    </row>
    <row r="160" spans="1:33" s="70" customFormat="1">
      <c r="A160" s="56" t="s">
        <v>165</v>
      </c>
      <c r="B160" s="56" t="str">
        <f>VLOOKUP(A160,'CENTRO DE COSTOS'!A:D,4,FALSE)</f>
        <v>JUAN SEBASTIÁN RÍOS CASTRILLÓN</v>
      </c>
      <c r="C160" s="56" t="str">
        <f>VLOOKUP(A160,'CENTRO DE COSTOS'!A:D,2,FALSE)</f>
        <v>0004-0005</v>
      </c>
      <c r="D160" s="56">
        <v>5001</v>
      </c>
      <c r="E160" s="56">
        <v>2708770</v>
      </c>
      <c r="F160" s="56">
        <v>35151</v>
      </c>
      <c r="G160" s="56" t="s">
        <v>1250</v>
      </c>
      <c r="H160" s="56" t="s">
        <v>152</v>
      </c>
      <c r="I160" s="56" t="s">
        <v>165</v>
      </c>
      <c r="J160" s="56" t="s">
        <v>1916</v>
      </c>
      <c r="K160" s="56" t="s">
        <v>107</v>
      </c>
      <c r="L160" s="56" t="s">
        <v>1917</v>
      </c>
      <c r="M160" s="103">
        <v>45908.490277777782</v>
      </c>
      <c r="N160" s="103">
        <v>45908.601388888892</v>
      </c>
      <c r="O160" s="56" t="s">
        <v>1253</v>
      </c>
      <c r="P160" s="56" t="s">
        <v>1254</v>
      </c>
      <c r="Q160" s="56" t="s">
        <v>1255</v>
      </c>
      <c r="R160" s="56" t="s">
        <v>1395</v>
      </c>
      <c r="S160" s="78"/>
      <c r="T160" s="78"/>
      <c r="U160" s="56" t="s">
        <v>1257</v>
      </c>
      <c r="V160" s="56" t="s">
        <v>1918</v>
      </c>
      <c r="W160" s="56" t="s">
        <v>1266</v>
      </c>
      <c r="X160" s="56" t="s">
        <v>1664</v>
      </c>
      <c r="Y160" s="56" t="s">
        <v>138</v>
      </c>
      <c r="Z160" s="56" t="s">
        <v>115</v>
      </c>
      <c r="AA160" s="56" t="s">
        <v>1315</v>
      </c>
      <c r="AB160" s="56">
        <v>1</v>
      </c>
      <c r="AC160" s="56">
        <v>0</v>
      </c>
      <c r="AD160" s="56">
        <v>0</v>
      </c>
      <c r="AE160" s="56">
        <v>0</v>
      </c>
      <c r="AF160" s="69">
        <f>IF(W160="SOPORTE_TELEFÓNICO",'BASE LIQUIDACION'!$B$10,IF(Y160="TIPO I",'BASE LIQUIDACION'!$C$3,IF(Y160="TIPO II",'BASE LIQUIDACION'!$C$4,IF(Y160="TIPO III",'BASE LIQUIDACION'!$C$5,'BASE LIQUIDACION'!$C$7))))</f>
        <v>65960.473639999997</v>
      </c>
      <c r="AG160" s="90">
        <f>IF(W160="SOPORTE_TELEFÓNICO",'BASE LIQUIDACION'!$B$10,(AB160*AF160+AC160*'BASE LIQUIDACION'!$B$12+AD160*'BASE LIQUIDACION'!$B$11+INCIDENTES!AE160*'BASE LIQUIDACION'!$B$13))</f>
        <v>65960.473639999997</v>
      </c>
    </row>
    <row r="161" spans="1:33" s="70" customFormat="1">
      <c r="A161" s="56" t="s">
        <v>150</v>
      </c>
      <c r="B161" s="56" t="str">
        <f>VLOOKUP(A161,'CENTRO DE COSTOS'!A:D,4,FALSE)</f>
        <v>JUAN SEBASTIÁN RÍOS CASTRILLÓN</v>
      </c>
      <c r="C161" s="56" t="str">
        <f>VLOOKUP(A161,'CENTRO DE COSTOS'!A:D,2,FALSE)</f>
        <v>0004-0005</v>
      </c>
      <c r="D161" s="56">
        <v>5045</v>
      </c>
      <c r="E161" s="56">
        <v>2706736</v>
      </c>
      <c r="F161" s="56">
        <v>64886</v>
      </c>
      <c r="G161" s="56" t="s">
        <v>1250</v>
      </c>
      <c r="H161" s="56" t="s">
        <v>152</v>
      </c>
      <c r="I161" s="56" t="s">
        <v>150</v>
      </c>
      <c r="J161" s="56" t="s">
        <v>1919</v>
      </c>
      <c r="K161" s="56" t="s">
        <v>107</v>
      </c>
      <c r="L161" s="56" t="s">
        <v>1920</v>
      </c>
      <c r="M161" s="103">
        <v>45908.39166666667</v>
      </c>
      <c r="N161" s="103">
        <v>45908.65</v>
      </c>
      <c r="O161" s="56" t="s">
        <v>1253</v>
      </c>
      <c r="P161" s="56" t="s">
        <v>1254</v>
      </c>
      <c r="Q161" s="56" t="s">
        <v>1312</v>
      </c>
      <c r="R161" s="56" t="s">
        <v>1313</v>
      </c>
      <c r="S161" s="78"/>
      <c r="T161" s="78"/>
      <c r="U161" s="56" t="s">
        <v>1257</v>
      </c>
      <c r="V161" s="56" t="s">
        <v>1921</v>
      </c>
      <c r="W161" s="56" t="s">
        <v>1259</v>
      </c>
      <c r="X161" s="56">
        <v>0</v>
      </c>
      <c r="Y161" s="56" t="s">
        <v>138</v>
      </c>
      <c r="Z161" s="56" t="s">
        <v>115</v>
      </c>
      <c r="AA161" s="56" t="s">
        <v>1315</v>
      </c>
      <c r="AB161" s="56">
        <v>0</v>
      </c>
      <c r="AC161" s="56">
        <v>0</v>
      </c>
      <c r="AD161" s="56">
        <v>0</v>
      </c>
      <c r="AE161" s="56">
        <v>0</v>
      </c>
      <c r="AF161" s="69">
        <f>IF(W161="SOPORTE_TELEFÓNICO",'BASE LIQUIDACION'!$B$10,IF(Y161="TIPO I",'BASE LIQUIDACION'!$C$3,IF(Y161="TIPO II",'BASE LIQUIDACION'!$C$4,IF(Y161="TIPO III",'BASE LIQUIDACION'!$C$5,'BASE LIQUIDACION'!$C$7))))</f>
        <v>37904.65408</v>
      </c>
      <c r="AG161" s="90">
        <f>IF(W161="SOPORTE_TELEFÓNICO",'BASE LIQUIDACION'!$B$10,(AB161*AF161+AC161*'BASE LIQUIDACION'!$B$12+AD161*'BASE LIQUIDACION'!$B$11+INCIDENTES!AE161*'BASE LIQUIDACION'!$B$13))</f>
        <v>37904.65408</v>
      </c>
    </row>
    <row r="162" spans="1:33" s="70" customFormat="1">
      <c r="A162" s="56" t="s">
        <v>1121</v>
      </c>
      <c r="B162" s="56" t="str">
        <f>VLOOKUP(A162,'CENTRO DE COSTOS'!A:D,4,FALSE)</f>
        <v>JOSE MAURICIO HERNANDEZ ROJAS</v>
      </c>
      <c r="C162" s="56" t="str">
        <f>VLOOKUP(A162,'CENTRO DE COSTOS'!A:D,2,FALSE)</f>
        <v>0004-0001</v>
      </c>
      <c r="D162" s="56">
        <v>70670</v>
      </c>
      <c r="E162" s="56">
        <v>2705882</v>
      </c>
      <c r="F162" s="56">
        <v>24097</v>
      </c>
      <c r="G162" s="56" t="s">
        <v>1250</v>
      </c>
      <c r="H162" s="56" t="s">
        <v>594</v>
      </c>
      <c r="I162" s="56" t="s">
        <v>1136</v>
      </c>
      <c r="J162" s="56" t="s">
        <v>1922</v>
      </c>
      <c r="K162" s="56" t="s">
        <v>107</v>
      </c>
      <c r="L162" s="56" t="s">
        <v>1923</v>
      </c>
      <c r="M162" s="103">
        <v>45908.351388888892</v>
      </c>
      <c r="N162" s="103">
        <v>45908.597916666673</v>
      </c>
      <c r="O162" s="56" t="s">
        <v>1253</v>
      </c>
      <c r="P162" s="56" t="s">
        <v>1254</v>
      </c>
      <c r="Q162" s="56" t="s">
        <v>1255</v>
      </c>
      <c r="R162" s="56" t="s">
        <v>1256</v>
      </c>
      <c r="S162" s="78"/>
      <c r="T162" s="78"/>
      <c r="U162" s="56" t="s">
        <v>1257</v>
      </c>
      <c r="V162" s="56" t="s">
        <v>1924</v>
      </c>
      <c r="W162" s="56" t="s">
        <v>1266</v>
      </c>
      <c r="X162" s="56" t="s">
        <v>1925</v>
      </c>
      <c r="Y162" s="56" t="s">
        <v>114</v>
      </c>
      <c r="Z162" s="56" t="s">
        <v>115</v>
      </c>
      <c r="AA162" s="56" t="s">
        <v>1319</v>
      </c>
      <c r="AB162" s="56">
        <v>1</v>
      </c>
      <c r="AC162" s="56">
        <v>0</v>
      </c>
      <c r="AD162" s="56">
        <v>0</v>
      </c>
      <c r="AE162" s="56">
        <v>0</v>
      </c>
      <c r="AF162" s="69">
        <f>IF(W162="SOPORTE_TELEFÓNICO",'BASE LIQUIDACION'!$B$10,IF(Y162="TIPO I",'BASE LIQUIDACION'!$C$3,IF(Y162="TIPO II",'BASE LIQUIDACION'!$C$4,IF(Y162="TIPO III",'BASE LIQUIDACION'!$C$5,'BASE LIQUIDACION'!$C$7))))</f>
        <v>163813.55812</v>
      </c>
      <c r="AG162" s="90">
        <f>IF(W162="SOPORTE_TELEFÓNICO",'BASE LIQUIDACION'!$B$10,(AB162*AF162+AC162*'BASE LIQUIDACION'!$B$12+AD162*'BASE LIQUIDACION'!$B$11+INCIDENTES!AE162*'BASE LIQUIDACION'!$B$13))</f>
        <v>163813.55812</v>
      </c>
    </row>
    <row r="163" spans="1:33" s="70" customFormat="1">
      <c r="A163" s="56" t="s">
        <v>182</v>
      </c>
      <c r="B163" s="56" t="str">
        <f>VLOOKUP(A163,'CENTRO DE COSTOS'!A:D,4,FALSE)</f>
        <v>WILLIAM ASDRUBAL ROZO ROZO</v>
      </c>
      <c r="C163" s="56" t="str">
        <f>VLOOKUP(A163,'CENTRO DE COSTOS'!A:D,2,FALSE)</f>
        <v>0004-0004</v>
      </c>
      <c r="D163" s="56">
        <v>25386</v>
      </c>
      <c r="E163" s="56">
        <v>2705778</v>
      </c>
      <c r="F163" s="56">
        <v>80160</v>
      </c>
      <c r="G163" s="56" t="s">
        <v>1250</v>
      </c>
      <c r="H163" s="56" t="s">
        <v>184</v>
      </c>
      <c r="I163" s="56" t="s">
        <v>759</v>
      </c>
      <c r="J163" s="56" t="s">
        <v>1926</v>
      </c>
      <c r="K163" s="56" t="s">
        <v>107</v>
      </c>
      <c r="L163" s="56" t="s">
        <v>1927</v>
      </c>
      <c r="M163" s="103">
        <v>45908.34375</v>
      </c>
      <c r="N163" s="103">
        <v>45909.646527777782</v>
      </c>
      <c r="O163" s="56" t="s">
        <v>1253</v>
      </c>
      <c r="P163" s="56" t="s">
        <v>1254</v>
      </c>
      <c r="Q163" s="56" t="s">
        <v>1271</v>
      </c>
      <c r="R163" s="56" t="s">
        <v>1272</v>
      </c>
      <c r="S163" s="78"/>
      <c r="T163" s="78"/>
      <c r="U163" s="56" t="s">
        <v>1257</v>
      </c>
      <c r="V163" s="56" t="s">
        <v>1928</v>
      </c>
      <c r="W163" s="56" t="s">
        <v>1266</v>
      </c>
      <c r="X163" s="56" t="s">
        <v>1929</v>
      </c>
      <c r="Y163" s="56" t="s">
        <v>114</v>
      </c>
      <c r="Z163" s="56" t="s">
        <v>115</v>
      </c>
      <c r="AA163" s="56" t="s">
        <v>1571</v>
      </c>
      <c r="AB163" s="56">
        <v>1</v>
      </c>
      <c r="AC163" s="56">
        <v>0</v>
      </c>
      <c r="AD163" s="56">
        <v>0</v>
      </c>
      <c r="AE163" s="56">
        <v>0</v>
      </c>
      <c r="AF163" s="69">
        <f>IF(W163="SOPORTE_TELEFÓNICO",'BASE LIQUIDACION'!$B$10,IF(Y163="TIPO I",'BASE LIQUIDACION'!$C$3,IF(Y163="TIPO II",'BASE LIQUIDACION'!$C$4,IF(Y163="TIPO III",'BASE LIQUIDACION'!$C$5,'BASE LIQUIDACION'!$C$7))))</f>
        <v>163813.55812</v>
      </c>
      <c r="AG163" s="90">
        <f>IF(W163="SOPORTE_TELEFÓNICO",'BASE LIQUIDACION'!$B$10,(AB163*AF163+AC163*'BASE LIQUIDACION'!$B$12+AD163*'BASE LIQUIDACION'!$B$11+INCIDENTES!AE163*'BASE LIQUIDACION'!$B$13))</f>
        <v>163813.55812</v>
      </c>
    </row>
    <row r="164" spans="1:33" s="70" customFormat="1">
      <c r="A164" s="56" t="s">
        <v>242</v>
      </c>
      <c r="B164" s="56" t="str">
        <f>VLOOKUP(A164,'CENTRO DE COSTOS'!A:D,4,FALSE)</f>
        <v>JOSE MAURICIO HERNANDEZ ROJAS</v>
      </c>
      <c r="C164" s="56" t="str">
        <f>VLOOKUP(A164,'CENTRO DE COSTOS'!A:D,2,FALSE)</f>
        <v>0004-0001</v>
      </c>
      <c r="D164" s="56">
        <v>23555</v>
      </c>
      <c r="E164" s="56">
        <v>2705236</v>
      </c>
      <c r="F164" s="56">
        <v>80183</v>
      </c>
      <c r="G164" s="56" t="s">
        <v>1250</v>
      </c>
      <c r="H164" s="56" t="s">
        <v>364</v>
      </c>
      <c r="I164" s="56" t="s">
        <v>696</v>
      </c>
      <c r="J164" s="56" t="s">
        <v>1930</v>
      </c>
      <c r="K164" s="56" t="s">
        <v>107</v>
      </c>
      <c r="L164" s="56" t="s">
        <v>1931</v>
      </c>
      <c r="M164" s="103">
        <v>45907.714583333327</v>
      </c>
      <c r="N164" s="103">
        <v>45908.647916666669</v>
      </c>
      <c r="O164" s="56" t="s">
        <v>1253</v>
      </c>
      <c r="P164" s="56" t="s">
        <v>1254</v>
      </c>
      <c r="Q164" s="56" t="s">
        <v>1312</v>
      </c>
      <c r="R164" s="56" t="s">
        <v>1313</v>
      </c>
      <c r="S164" s="78"/>
      <c r="T164" s="78"/>
      <c r="U164" s="56" t="s">
        <v>1257</v>
      </c>
      <c r="V164" s="56" t="s">
        <v>1932</v>
      </c>
      <c r="W164" s="56" t="s">
        <v>1266</v>
      </c>
      <c r="X164" s="56" t="s">
        <v>1933</v>
      </c>
      <c r="Y164" s="56" t="s">
        <v>114</v>
      </c>
      <c r="Z164" s="56" t="s">
        <v>115</v>
      </c>
      <c r="AA164" s="56" t="s">
        <v>1934</v>
      </c>
      <c r="AB164" s="56">
        <v>1</v>
      </c>
      <c r="AC164" s="56">
        <v>0</v>
      </c>
      <c r="AD164" s="56">
        <v>0</v>
      </c>
      <c r="AE164" s="56">
        <v>0</v>
      </c>
      <c r="AF164" s="69">
        <f>IF(W164="SOPORTE_TELEFÓNICO",'BASE LIQUIDACION'!$B$10,IF(Y164="TIPO I",'BASE LIQUIDACION'!$C$3,IF(Y164="TIPO II",'BASE LIQUIDACION'!$C$4,IF(Y164="TIPO III",'BASE LIQUIDACION'!$C$5,'BASE LIQUIDACION'!$C$7))))</f>
        <v>163813.55812</v>
      </c>
      <c r="AG164" s="90">
        <f>IF(W164="SOPORTE_TELEFÓNICO",'BASE LIQUIDACION'!$B$10,(AB164*AF164+AC164*'BASE LIQUIDACION'!$B$12+AD164*'BASE LIQUIDACION'!$B$11+INCIDENTES!AE164*'BASE LIQUIDACION'!$B$13))</f>
        <v>163813.55812</v>
      </c>
    </row>
    <row r="165" spans="1:33" s="70" customFormat="1">
      <c r="A165" s="56" t="s">
        <v>131</v>
      </c>
      <c r="B165" s="56" t="str">
        <f>VLOOKUP(A165,'CENTRO DE COSTOS'!A:D,4,FALSE)</f>
        <v>MIGUEL JULIÁN HERNÁNDEZ GUARÍN</v>
      </c>
      <c r="C165" s="56" t="str">
        <f>VLOOKUP(A165,'CENTRO DE COSTOS'!A:D,2,FALSE)</f>
        <v>0004-0008</v>
      </c>
      <c r="D165" s="56">
        <v>15686</v>
      </c>
      <c r="E165" s="56">
        <v>2705233</v>
      </c>
      <c r="F165" s="56">
        <v>81025</v>
      </c>
      <c r="G165" s="56" t="s">
        <v>1250</v>
      </c>
      <c r="H165" s="56" t="s">
        <v>133</v>
      </c>
      <c r="I165" s="56" t="s">
        <v>494</v>
      </c>
      <c r="J165" s="56" t="s">
        <v>1935</v>
      </c>
      <c r="K165" s="56" t="s">
        <v>107</v>
      </c>
      <c r="L165" s="56" t="s">
        <v>1936</v>
      </c>
      <c r="M165" s="103">
        <v>45907.712500000001</v>
      </c>
      <c r="N165" s="103">
        <v>45908.643750000003</v>
      </c>
      <c r="O165" s="56" t="s">
        <v>1253</v>
      </c>
      <c r="P165" s="56" t="s">
        <v>1254</v>
      </c>
      <c r="Q165" s="56" t="s">
        <v>1312</v>
      </c>
      <c r="R165" s="56" t="s">
        <v>1313</v>
      </c>
      <c r="S165" s="78"/>
      <c r="T165" s="78"/>
      <c r="U165" s="56" t="s">
        <v>1257</v>
      </c>
      <c r="V165" s="56" t="s">
        <v>1937</v>
      </c>
      <c r="W165" s="56" t="s">
        <v>1259</v>
      </c>
      <c r="X165" s="56">
        <v>0</v>
      </c>
      <c r="Y165" s="56" t="s">
        <v>212</v>
      </c>
      <c r="Z165" s="56" t="s">
        <v>115</v>
      </c>
      <c r="AA165" s="56" t="s">
        <v>1300</v>
      </c>
      <c r="AB165" s="56">
        <v>0</v>
      </c>
      <c r="AC165" s="56">
        <v>0</v>
      </c>
      <c r="AD165" s="56">
        <v>0</v>
      </c>
      <c r="AE165" s="56">
        <v>0</v>
      </c>
      <c r="AF165" s="69">
        <f>IF(W165="SOPORTE_TELEFÓNICO",'BASE LIQUIDACION'!$B$10,IF(Y165="TIPO I",'BASE LIQUIDACION'!$C$3,IF(Y165="TIPO II",'BASE LIQUIDACION'!$C$4,IF(Y165="TIPO III",'BASE LIQUIDACION'!$C$5,'BASE LIQUIDACION'!$C$7))))</f>
        <v>37904.65408</v>
      </c>
      <c r="AG165" s="90">
        <f>IF(W165="SOPORTE_TELEFÓNICO",'BASE LIQUIDACION'!$B$10,(AB165*AF165+AC165*'BASE LIQUIDACION'!$B$12+AD165*'BASE LIQUIDACION'!$B$11+INCIDENTES!AE165*'BASE LIQUIDACION'!$B$13))</f>
        <v>37904.65408</v>
      </c>
    </row>
    <row r="166" spans="1:33" s="70" customFormat="1">
      <c r="A166" s="56" t="s">
        <v>150</v>
      </c>
      <c r="B166" s="56" t="str">
        <f>VLOOKUP(A166,'CENTRO DE COSTOS'!A:D,4,FALSE)</f>
        <v>JUAN SEBASTIÁN RÍOS CASTRILLÓN</v>
      </c>
      <c r="C166" s="56" t="str">
        <f>VLOOKUP(A166,'CENTRO DE COSTOS'!A:D,2,FALSE)</f>
        <v>0004-0005</v>
      </c>
      <c r="D166" s="56">
        <v>5172</v>
      </c>
      <c r="E166" s="56">
        <v>2705105</v>
      </c>
      <c r="F166" s="56">
        <v>49598</v>
      </c>
      <c r="G166" s="56" t="s">
        <v>1250</v>
      </c>
      <c r="H166" s="56" t="s">
        <v>152</v>
      </c>
      <c r="I166" s="56" t="s">
        <v>256</v>
      </c>
      <c r="J166" s="56" t="s">
        <v>1938</v>
      </c>
      <c r="K166" s="56" t="s">
        <v>107</v>
      </c>
      <c r="L166" s="56" t="s">
        <v>1939</v>
      </c>
      <c r="M166" s="103">
        <v>45907.579861111109</v>
      </c>
      <c r="N166" s="103">
        <v>45908.531944444447</v>
      </c>
      <c r="O166" s="56" t="s">
        <v>1253</v>
      </c>
      <c r="P166" s="56" t="s">
        <v>1254</v>
      </c>
      <c r="Q166" s="56" t="s">
        <v>1312</v>
      </c>
      <c r="R166" s="56" t="s">
        <v>1313</v>
      </c>
      <c r="S166" s="78"/>
      <c r="T166" s="78"/>
      <c r="U166" s="56" t="s">
        <v>1257</v>
      </c>
      <c r="V166" s="56" t="s">
        <v>1940</v>
      </c>
      <c r="W166" s="56" t="s">
        <v>1259</v>
      </c>
      <c r="X166" s="56">
        <v>0</v>
      </c>
      <c r="Y166" s="56" t="s">
        <v>114</v>
      </c>
      <c r="Z166" s="56" t="s">
        <v>115</v>
      </c>
      <c r="AA166" s="56" t="s">
        <v>158</v>
      </c>
      <c r="AB166" s="56">
        <v>0</v>
      </c>
      <c r="AC166" s="56">
        <v>0</v>
      </c>
      <c r="AD166" s="56">
        <v>0</v>
      </c>
      <c r="AE166" s="56">
        <v>0</v>
      </c>
      <c r="AF166" s="69">
        <f>IF(W166="SOPORTE_TELEFÓNICO",'BASE LIQUIDACION'!$B$10,IF(Y166="TIPO I",'BASE LIQUIDACION'!$C$3,IF(Y166="TIPO II",'BASE LIQUIDACION'!$C$4,IF(Y166="TIPO III",'BASE LIQUIDACION'!$C$5,'BASE LIQUIDACION'!$C$7))))</f>
        <v>37904.65408</v>
      </c>
      <c r="AG166" s="90">
        <f>IF(W166="SOPORTE_TELEFÓNICO",'BASE LIQUIDACION'!$B$10,(AB166*AF166+AC166*'BASE LIQUIDACION'!$B$12+AD166*'BASE LIQUIDACION'!$B$11+INCIDENTES!AE166*'BASE LIQUIDACION'!$B$13))</f>
        <v>37904.65408</v>
      </c>
    </row>
    <row r="167" spans="1:33" s="70" customFormat="1">
      <c r="A167" s="56" t="s">
        <v>165</v>
      </c>
      <c r="B167" s="56" t="str">
        <f>VLOOKUP(A167,'CENTRO DE COSTOS'!A:D,4,FALSE)</f>
        <v>JUAN SEBASTIÁN RÍOS CASTRILLÓN</v>
      </c>
      <c r="C167" s="56" t="str">
        <f>VLOOKUP(A167,'CENTRO DE COSTOS'!A:D,2,FALSE)</f>
        <v>0004-0005</v>
      </c>
      <c r="D167" s="56">
        <v>5674</v>
      </c>
      <c r="E167" s="56">
        <v>2704474</v>
      </c>
      <c r="F167" s="56">
        <v>47990</v>
      </c>
      <c r="G167" s="56" t="s">
        <v>1250</v>
      </c>
      <c r="H167" s="56" t="s">
        <v>152</v>
      </c>
      <c r="I167" s="56" t="s">
        <v>310</v>
      </c>
      <c r="J167" s="56" t="s">
        <v>1941</v>
      </c>
      <c r="K167" s="56" t="s">
        <v>107</v>
      </c>
      <c r="L167" s="56" t="s">
        <v>1942</v>
      </c>
      <c r="M167" s="103">
        <v>45906.70416666667</v>
      </c>
      <c r="N167" s="103">
        <v>45908.554861111108</v>
      </c>
      <c r="O167" s="56" t="s">
        <v>1253</v>
      </c>
      <c r="P167" s="56" t="s">
        <v>1254</v>
      </c>
      <c r="Q167" s="56" t="s">
        <v>1271</v>
      </c>
      <c r="R167" s="56" t="s">
        <v>1272</v>
      </c>
      <c r="S167" s="78"/>
      <c r="T167" s="78"/>
      <c r="U167" s="56" t="s">
        <v>1257</v>
      </c>
      <c r="V167" s="56" t="s">
        <v>1943</v>
      </c>
      <c r="W167" s="56" t="s">
        <v>1266</v>
      </c>
      <c r="X167" s="56" t="s">
        <v>1944</v>
      </c>
      <c r="Y167" s="56" t="s">
        <v>114</v>
      </c>
      <c r="Z167" s="56" t="s">
        <v>115</v>
      </c>
      <c r="AA167" s="56" t="s">
        <v>1891</v>
      </c>
      <c r="AB167" s="56">
        <v>1</v>
      </c>
      <c r="AC167" s="56">
        <v>0</v>
      </c>
      <c r="AD167" s="56">
        <v>0</v>
      </c>
      <c r="AE167" s="56">
        <v>0</v>
      </c>
      <c r="AF167" s="69">
        <f>IF(W167="SOPORTE_TELEFÓNICO",'BASE LIQUIDACION'!$B$10,IF(Y167="TIPO I",'BASE LIQUIDACION'!$C$3,IF(Y167="TIPO II",'BASE LIQUIDACION'!$C$4,IF(Y167="TIPO III",'BASE LIQUIDACION'!$C$5,'BASE LIQUIDACION'!$C$7))))</f>
        <v>163813.55812</v>
      </c>
      <c r="AG167" s="90">
        <f>IF(W167="SOPORTE_TELEFÓNICO",'BASE LIQUIDACION'!$B$10,(AB167*AF167+AC167*'BASE LIQUIDACION'!$B$12+AD167*'BASE LIQUIDACION'!$B$11+INCIDENTES!AE167*'BASE LIQUIDACION'!$B$13))</f>
        <v>163813.55812</v>
      </c>
    </row>
    <row r="168" spans="1:33" s="70" customFormat="1">
      <c r="A168" s="56" t="s">
        <v>100</v>
      </c>
      <c r="B168" s="56" t="str">
        <f>VLOOKUP(A168,'CENTRO DE COSTOS'!A:D,4,FALSE)</f>
        <v>DIEGO FERNANDO HENAO CARDONA</v>
      </c>
      <c r="C168" s="56" t="str">
        <f>VLOOKUP(A168,'CENTRO DE COSTOS'!A:D,2,FALSE)</f>
        <v>0004-0003</v>
      </c>
      <c r="D168" s="56">
        <v>52001</v>
      </c>
      <c r="E168" s="56">
        <v>2704420</v>
      </c>
      <c r="F168" s="56">
        <v>74774</v>
      </c>
      <c r="G168" s="56" t="s">
        <v>1250</v>
      </c>
      <c r="H168" s="56" t="s">
        <v>104</v>
      </c>
      <c r="I168" s="56" t="s">
        <v>100</v>
      </c>
      <c r="J168" s="56" t="s">
        <v>1945</v>
      </c>
      <c r="K168" s="56" t="s">
        <v>107</v>
      </c>
      <c r="L168" s="56" t="s">
        <v>1946</v>
      </c>
      <c r="M168" s="103">
        <v>45906.548611111109</v>
      </c>
      <c r="N168" s="103">
        <v>45908.477083333331</v>
      </c>
      <c r="O168" s="56" t="s">
        <v>1253</v>
      </c>
      <c r="P168" s="56" t="s">
        <v>1254</v>
      </c>
      <c r="Q168" s="56" t="s">
        <v>1312</v>
      </c>
      <c r="R168" s="56" t="s">
        <v>1313</v>
      </c>
      <c r="S168" s="78"/>
      <c r="T168" s="78"/>
      <c r="U168" s="56" t="s">
        <v>1257</v>
      </c>
      <c r="V168" s="56" t="s">
        <v>1947</v>
      </c>
      <c r="W168" s="56" t="s">
        <v>1266</v>
      </c>
      <c r="X168" s="56" t="s">
        <v>1948</v>
      </c>
      <c r="Y168" s="56" t="s">
        <v>138</v>
      </c>
      <c r="Z168" s="56" t="s">
        <v>115</v>
      </c>
      <c r="AA168" s="56" t="s">
        <v>1416</v>
      </c>
      <c r="AB168" s="56">
        <v>1</v>
      </c>
      <c r="AC168" s="56">
        <v>0</v>
      </c>
      <c r="AD168" s="56">
        <v>0</v>
      </c>
      <c r="AE168" s="56">
        <v>0</v>
      </c>
      <c r="AF168" s="69">
        <f>IF(W168="SOPORTE_TELEFÓNICO",'BASE LIQUIDACION'!$B$10,IF(Y168="TIPO I",'BASE LIQUIDACION'!$C$3,IF(Y168="TIPO II",'BASE LIQUIDACION'!$C$4,IF(Y168="TIPO III",'BASE LIQUIDACION'!$C$5,'BASE LIQUIDACION'!$C$7))))</f>
        <v>65960.473639999997</v>
      </c>
      <c r="AG168" s="90">
        <f>IF(W168="SOPORTE_TELEFÓNICO",'BASE LIQUIDACION'!$B$10,(AB168*AF168+AC168*'BASE LIQUIDACION'!$B$12+AD168*'BASE LIQUIDACION'!$B$11+INCIDENTES!AE168*'BASE LIQUIDACION'!$B$13))</f>
        <v>65960.473639999997</v>
      </c>
    </row>
    <row r="169" spans="1:33" s="70" customFormat="1">
      <c r="A169" s="56" t="s">
        <v>165</v>
      </c>
      <c r="B169" s="56" t="str">
        <f>VLOOKUP(A169,'CENTRO DE COSTOS'!A:D,4,FALSE)</f>
        <v>JUAN SEBASTIÁN RÍOS CASTRILLÓN</v>
      </c>
      <c r="C169" s="56" t="str">
        <f>VLOOKUP(A169,'CENTRO DE COSTOS'!A:D,2,FALSE)</f>
        <v>0004-0005</v>
      </c>
      <c r="D169" s="56">
        <v>5819</v>
      </c>
      <c r="E169" s="56">
        <v>2704083</v>
      </c>
      <c r="F169" s="56">
        <v>78282</v>
      </c>
      <c r="G169" s="56" t="s">
        <v>1250</v>
      </c>
      <c r="H169" s="56" t="s">
        <v>152</v>
      </c>
      <c r="I169" s="56" t="s">
        <v>228</v>
      </c>
      <c r="J169" s="56" t="s">
        <v>1949</v>
      </c>
      <c r="K169" s="56" t="s">
        <v>107</v>
      </c>
      <c r="L169" s="56" t="s">
        <v>1950</v>
      </c>
      <c r="M169" s="103">
        <v>45906.486805555563</v>
      </c>
      <c r="N169" s="103">
        <v>45908.405555555553</v>
      </c>
      <c r="O169" s="56" t="s">
        <v>1253</v>
      </c>
      <c r="P169" s="56" t="s">
        <v>1254</v>
      </c>
      <c r="Q169" s="56" t="s">
        <v>1263</v>
      </c>
      <c r="R169" s="56" t="s">
        <v>1264</v>
      </c>
      <c r="S169" s="78"/>
      <c r="T169" s="78"/>
      <c r="U169" s="56" t="s">
        <v>1257</v>
      </c>
      <c r="V169" s="56" t="s">
        <v>1951</v>
      </c>
      <c r="W169" s="56" t="s">
        <v>1259</v>
      </c>
      <c r="X169" s="56">
        <v>0</v>
      </c>
      <c r="Y169" s="56" t="s">
        <v>172</v>
      </c>
      <c r="Z169" s="56" t="s">
        <v>115</v>
      </c>
      <c r="AA169" s="56" t="s">
        <v>1457</v>
      </c>
      <c r="AB169" s="56">
        <v>0</v>
      </c>
      <c r="AC169" s="56">
        <v>0</v>
      </c>
      <c r="AD169" s="56">
        <v>0</v>
      </c>
      <c r="AE169" s="56">
        <v>0</v>
      </c>
      <c r="AF169" s="69">
        <f>IF(W169="SOPORTE_TELEFÓNICO",'BASE LIQUIDACION'!$B$10,IF(Y169="TIPO I",'BASE LIQUIDACION'!$C$3,IF(Y169="TIPO II",'BASE LIQUIDACION'!$C$4,IF(Y169="TIPO III",'BASE LIQUIDACION'!$C$5,'BASE LIQUIDACION'!$C$7))))</f>
        <v>37904.65408</v>
      </c>
      <c r="AG169" s="90">
        <f>IF(W169="SOPORTE_TELEFÓNICO",'BASE LIQUIDACION'!$B$10,(AB169*AF169+AC169*'BASE LIQUIDACION'!$B$12+AD169*'BASE LIQUIDACION'!$B$11+INCIDENTES!AE169*'BASE LIQUIDACION'!$B$13))</f>
        <v>37904.65408</v>
      </c>
    </row>
    <row r="170" spans="1:33" s="70" customFormat="1">
      <c r="A170" s="56" t="s">
        <v>980</v>
      </c>
      <c r="B170" s="56" t="str">
        <f>VLOOKUP(A170,'CENTRO DE COSTOS'!A:D,4,FALSE)</f>
        <v>MIGUEL JULIÁN HERNÁNDEZ GUARÍN</v>
      </c>
      <c r="C170" s="56" t="str">
        <f>VLOOKUP(A170,'CENTRO DE COSTOS'!A:D,2,FALSE)</f>
        <v>0004-0008</v>
      </c>
      <c r="D170" s="56">
        <v>54874</v>
      </c>
      <c r="E170" s="56">
        <v>2703997</v>
      </c>
      <c r="F170" s="56">
        <v>26535</v>
      </c>
      <c r="G170" s="56" t="s">
        <v>1250</v>
      </c>
      <c r="H170" s="56" t="s">
        <v>979</v>
      </c>
      <c r="I170" s="56" t="s">
        <v>1016</v>
      </c>
      <c r="J170" s="56" t="s">
        <v>1952</v>
      </c>
      <c r="K170" s="56" t="s">
        <v>107</v>
      </c>
      <c r="L170" s="56" t="s">
        <v>1953</v>
      </c>
      <c r="M170" s="103">
        <v>45906.484722222223</v>
      </c>
      <c r="N170" s="103">
        <v>45908.409722222219</v>
      </c>
      <c r="O170" s="56" t="s">
        <v>1253</v>
      </c>
      <c r="P170" s="56" t="s">
        <v>1254</v>
      </c>
      <c r="Q170" s="56" t="s">
        <v>1312</v>
      </c>
      <c r="R170" s="56" t="s">
        <v>1313</v>
      </c>
      <c r="S170" s="78"/>
      <c r="T170" s="78"/>
      <c r="U170" s="56" t="s">
        <v>1257</v>
      </c>
      <c r="V170" s="56" t="s">
        <v>1954</v>
      </c>
      <c r="W170" s="56" t="s">
        <v>1266</v>
      </c>
      <c r="X170" s="56" t="s">
        <v>1955</v>
      </c>
      <c r="Y170" s="56" t="s">
        <v>138</v>
      </c>
      <c r="Z170" s="56" t="s">
        <v>115</v>
      </c>
      <c r="AA170" s="56" t="s">
        <v>1605</v>
      </c>
      <c r="AB170" s="56">
        <v>1</v>
      </c>
      <c r="AC170" s="56">
        <v>0</v>
      </c>
      <c r="AD170" s="56">
        <v>0</v>
      </c>
      <c r="AE170" s="56">
        <v>0</v>
      </c>
      <c r="AF170" s="69">
        <f>IF(W170="SOPORTE_TELEFÓNICO",'BASE LIQUIDACION'!$B$10,IF(Y170="TIPO I",'BASE LIQUIDACION'!$C$3,IF(Y170="TIPO II",'BASE LIQUIDACION'!$C$4,IF(Y170="TIPO III",'BASE LIQUIDACION'!$C$5,'BASE LIQUIDACION'!$C$7))))</f>
        <v>65960.473639999997</v>
      </c>
      <c r="AG170" s="90">
        <f>IF(W170="SOPORTE_TELEFÓNICO",'BASE LIQUIDACION'!$B$10,(AB170*AF170+AC170*'BASE LIQUIDACION'!$B$12+AD170*'BASE LIQUIDACION'!$B$11+INCIDENTES!AE170*'BASE LIQUIDACION'!$B$13))</f>
        <v>65960.473639999997</v>
      </c>
    </row>
    <row r="171" spans="1:33" s="70" customFormat="1">
      <c r="A171" s="56" t="s">
        <v>182</v>
      </c>
      <c r="B171" s="56" t="str">
        <f>VLOOKUP(A171,'CENTRO DE COSTOS'!A:D,4,FALSE)</f>
        <v>WILLIAM ASDRUBAL ROZO ROZO</v>
      </c>
      <c r="C171" s="56" t="str">
        <f>VLOOKUP(A171,'CENTRO DE COSTOS'!A:D,2,FALSE)</f>
        <v>0004-0004</v>
      </c>
      <c r="D171" s="56">
        <v>25899</v>
      </c>
      <c r="E171" s="56">
        <v>2703875</v>
      </c>
      <c r="F171" s="56">
        <v>30640</v>
      </c>
      <c r="G171" s="56" t="s">
        <v>1250</v>
      </c>
      <c r="H171" s="56" t="s">
        <v>184</v>
      </c>
      <c r="I171" s="56" t="s">
        <v>817</v>
      </c>
      <c r="J171" s="56" t="s">
        <v>1956</v>
      </c>
      <c r="K171" s="56" t="s">
        <v>107</v>
      </c>
      <c r="L171" s="56" t="s">
        <v>1957</v>
      </c>
      <c r="M171" s="103">
        <v>45906.367361111108</v>
      </c>
      <c r="N171" s="103">
        <v>45906.541666666657</v>
      </c>
      <c r="O171" s="56" t="s">
        <v>1253</v>
      </c>
      <c r="P171" s="56" t="s">
        <v>1254</v>
      </c>
      <c r="Q171" s="56" t="s">
        <v>1255</v>
      </c>
      <c r="R171" s="56" t="s">
        <v>1256</v>
      </c>
      <c r="S171" s="78"/>
      <c r="T171" s="78"/>
      <c r="U171" s="56" t="s">
        <v>1257</v>
      </c>
      <c r="V171" s="56" t="s">
        <v>1958</v>
      </c>
      <c r="W171" s="56" t="s">
        <v>1259</v>
      </c>
      <c r="X171" s="56">
        <v>0</v>
      </c>
      <c r="Y171" s="56" t="s">
        <v>114</v>
      </c>
      <c r="Z171" s="56" t="s">
        <v>115</v>
      </c>
      <c r="AA171" s="56" t="s">
        <v>1888</v>
      </c>
      <c r="AB171" s="56">
        <v>0</v>
      </c>
      <c r="AC171" s="56">
        <v>0</v>
      </c>
      <c r="AD171" s="56">
        <v>0</v>
      </c>
      <c r="AE171" s="56">
        <v>0</v>
      </c>
      <c r="AF171" s="69">
        <f>IF(W171="SOPORTE_TELEFÓNICO",'BASE LIQUIDACION'!$B$10,IF(Y171="TIPO I",'BASE LIQUIDACION'!$C$3,IF(Y171="TIPO II",'BASE LIQUIDACION'!$C$4,IF(Y171="TIPO III",'BASE LIQUIDACION'!$C$5,'BASE LIQUIDACION'!$C$7))))</f>
        <v>37904.65408</v>
      </c>
      <c r="AG171" s="90">
        <f>IF(W171="SOPORTE_TELEFÓNICO",'BASE LIQUIDACION'!$B$10,(AB171*AF171+AC171*'BASE LIQUIDACION'!$B$12+AD171*'BASE LIQUIDACION'!$B$11+INCIDENTES!AE171*'BASE LIQUIDACION'!$B$13))</f>
        <v>37904.65408</v>
      </c>
    </row>
    <row r="172" spans="1:33" s="70" customFormat="1">
      <c r="A172" s="56" t="s">
        <v>117</v>
      </c>
      <c r="B172" s="56" t="str">
        <f>VLOOKUP(A172,'CENTRO DE COSTOS'!A:D,4,FALSE)</f>
        <v>KEVIN ALEXIS CORZO BUSTOS</v>
      </c>
      <c r="C172" s="56" t="str">
        <f>VLOOKUP(A172,'CENTRO DE COSTOS'!A:D,2,FALSE)</f>
        <v>0004-0007</v>
      </c>
      <c r="D172" s="56">
        <v>41001</v>
      </c>
      <c r="E172" s="56">
        <v>2703094</v>
      </c>
      <c r="F172" s="56">
        <v>17024</v>
      </c>
      <c r="G172" s="56" t="s">
        <v>1250</v>
      </c>
      <c r="H172" s="56" t="s">
        <v>830</v>
      </c>
      <c r="I172" s="56" t="s">
        <v>117</v>
      </c>
      <c r="J172" s="56" t="s">
        <v>1959</v>
      </c>
      <c r="K172" s="56" t="s">
        <v>107</v>
      </c>
      <c r="L172" s="56" t="s">
        <v>1960</v>
      </c>
      <c r="M172" s="103">
        <v>45906.333333333343</v>
      </c>
      <c r="N172" s="103">
        <v>45906.65347222222</v>
      </c>
      <c r="O172" s="56" t="s">
        <v>1253</v>
      </c>
      <c r="P172" s="56" t="s">
        <v>1254</v>
      </c>
      <c r="Q172" s="56" t="s">
        <v>1312</v>
      </c>
      <c r="R172" s="56" t="s">
        <v>1313</v>
      </c>
      <c r="S172" s="78"/>
      <c r="T172" s="78"/>
      <c r="U172" s="56" t="s">
        <v>1257</v>
      </c>
      <c r="V172" s="56" t="s">
        <v>1961</v>
      </c>
      <c r="W172" s="56" t="s">
        <v>1266</v>
      </c>
      <c r="X172" s="56" t="s">
        <v>1962</v>
      </c>
      <c r="Y172" s="56" t="s">
        <v>138</v>
      </c>
      <c r="Z172" s="56" t="s">
        <v>115</v>
      </c>
      <c r="AA172" s="56" t="s">
        <v>1721</v>
      </c>
      <c r="AB172" s="56">
        <v>1</v>
      </c>
      <c r="AC172" s="56">
        <v>0</v>
      </c>
      <c r="AD172" s="56">
        <v>0</v>
      </c>
      <c r="AE172" s="56">
        <v>0</v>
      </c>
      <c r="AF172" s="69">
        <f>IF(W172="SOPORTE_TELEFÓNICO",'BASE LIQUIDACION'!$B$10,IF(Y172="TIPO I",'BASE LIQUIDACION'!$C$3,IF(Y172="TIPO II",'BASE LIQUIDACION'!$C$4,IF(Y172="TIPO III",'BASE LIQUIDACION'!$C$5,'BASE LIQUIDACION'!$C$7))))</f>
        <v>65960.473639999997</v>
      </c>
      <c r="AG172" s="90">
        <f>IF(W172="SOPORTE_TELEFÓNICO",'BASE LIQUIDACION'!$B$10,(AB172*AF172+AC172*'BASE LIQUIDACION'!$B$12+AD172*'BASE LIQUIDACION'!$B$11+INCIDENTES!AE172*'BASE LIQUIDACION'!$B$13))</f>
        <v>65960.473639999997</v>
      </c>
    </row>
    <row r="173" spans="1:33" s="70" customFormat="1">
      <c r="A173" s="56" t="s">
        <v>165</v>
      </c>
      <c r="B173" s="56" t="str">
        <f>VLOOKUP(A173,'CENTRO DE COSTOS'!A:D,4,FALSE)</f>
        <v>JUAN SEBASTIÁN RÍOS CASTRILLÓN</v>
      </c>
      <c r="C173" s="56" t="str">
        <f>VLOOKUP(A173,'CENTRO DE COSTOS'!A:D,2,FALSE)</f>
        <v>0004-0005</v>
      </c>
      <c r="D173" s="56">
        <v>5541</v>
      </c>
      <c r="E173" s="56">
        <v>2701586</v>
      </c>
      <c r="F173" s="56">
        <v>27230</v>
      </c>
      <c r="G173" s="56" t="s">
        <v>1250</v>
      </c>
      <c r="H173" s="56" t="s">
        <v>152</v>
      </c>
      <c r="I173" s="56" t="s">
        <v>294</v>
      </c>
      <c r="J173" s="56" t="s">
        <v>1963</v>
      </c>
      <c r="K173" s="56" t="s">
        <v>107</v>
      </c>
      <c r="L173" s="56" t="s">
        <v>1964</v>
      </c>
      <c r="M173" s="103">
        <v>45905.591666666667</v>
      </c>
      <c r="N173" s="103">
        <v>45906.664583333331</v>
      </c>
      <c r="O173" s="56" t="s">
        <v>1253</v>
      </c>
      <c r="P173" s="56" t="s">
        <v>1254</v>
      </c>
      <c r="Q173" s="56" t="s">
        <v>1271</v>
      </c>
      <c r="R173" s="56" t="s">
        <v>1272</v>
      </c>
      <c r="S173" s="78"/>
      <c r="T173" s="78"/>
      <c r="U173" s="56" t="s">
        <v>1257</v>
      </c>
      <c r="V173" s="56" t="s">
        <v>1965</v>
      </c>
      <c r="W173" s="56" t="s">
        <v>1259</v>
      </c>
      <c r="X173" s="56">
        <v>0</v>
      </c>
      <c r="Y173" s="56" t="s">
        <v>114</v>
      </c>
      <c r="Z173" s="56" t="s">
        <v>115</v>
      </c>
      <c r="AA173" s="56" t="s">
        <v>1672</v>
      </c>
      <c r="AB173" s="56">
        <v>0</v>
      </c>
      <c r="AC173" s="56">
        <v>0</v>
      </c>
      <c r="AD173" s="56">
        <v>0</v>
      </c>
      <c r="AE173" s="56">
        <v>0</v>
      </c>
      <c r="AF173" s="69">
        <f>IF(W173="SOPORTE_TELEFÓNICO",'BASE LIQUIDACION'!$B$10,IF(Y173="TIPO I",'BASE LIQUIDACION'!$C$3,IF(Y173="TIPO II",'BASE LIQUIDACION'!$C$4,IF(Y173="TIPO III",'BASE LIQUIDACION'!$C$5,'BASE LIQUIDACION'!$C$7))))</f>
        <v>37904.65408</v>
      </c>
      <c r="AG173" s="90">
        <f>IF(W173="SOPORTE_TELEFÓNICO",'BASE LIQUIDACION'!$B$10,(AB173*AF173+AC173*'BASE LIQUIDACION'!$B$12+AD173*'BASE LIQUIDACION'!$B$11+INCIDENTES!AE173*'BASE LIQUIDACION'!$B$13))</f>
        <v>37904.65408</v>
      </c>
    </row>
    <row r="174" spans="1:33" s="70" customFormat="1">
      <c r="A174" s="56" t="s">
        <v>980</v>
      </c>
      <c r="B174" s="56" t="str">
        <f>VLOOKUP(A174,'CENTRO DE COSTOS'!A:D,4,FALSE)</f>
        <v>MIGUEL JULIÁN HERNÁNDEZ GUARÍN</v>
      </c>
      <c r="C174" s="56" t="str">
        <f>VLOOKUP(A174,'CENTRO DE COSTOS'!A:D,2,FALSE)</f>
        <v>0004-0008</v>
      </c>
      <c r="D174" s="56">
        <v>54874</v>
      </c>
      <c r="E174" s="56">
        <v>2699812</v>
      </c>
      <c r="F174" s="56">
        <v>58240</v>
      </c>
      <c r="G174" s="56" t="s">
        <v>1250</v>
      </c>
      <c r="H174" s="56" t="s">
        <v>979</v>
      </c>
      <c r="I174" s="56" t="s">
        <v>1016</v>
      </c>
      <c r="J174" s="56" t="s">
        <v>1966</v>
      </c>
      <c r="K174" s="56" t="s">
        <v>107</v>
      </c>
      <c r="L174" s="56" t="s">
        <v>1967</v>
      </c>
      <c r="M174" s="103">
        <v>45905.426388888889</v>
      </c>
      <c r="N174" s="103">
        <v>45906.397222222222</v>
      </c>
      <c r="O174" s="56" t="s">
        <v>1253</v>
      </c>
      <c r="P174" s="56" t="s">
        <v>1254</v>
      </c>
      <c r="Q174" s="56" t="s">
        <v>1271</v>
      </c>
      <c r="R174" s="56" t="s">
        <v>1277</v>
      </c>
      <c r="S174" s="78"/>
      <c r="T174" s="78"/>
      <c r="U174" s="56" t="s">
        <v>1257</v>
      </c>
      <c r="V174" s="56" t="s">
        <v>1968</v>
      </c>
      <c r="W174" s="56" t="s">
        <v>1266</v>
      </c>
      <c r="X174" s="56" t="s">
        <v>1969</v>
      </c>
      <c r="Y174" s="56" t="s">
        <v>138</v>
      </c>
      <c r="Z174" s="56" t="s">
        <v>115</v>
      </c>
      <c r="AA174" s="56" t="s">
        <v>1605</v>
      </c>
      <c r="AB174" s="56">
        <v>1</v>
      </c>
      <c r="AC174" s="56">
        <v>0</v>
      </c>
      <c r="AD174" s="56">
        <v>0</v>
      </c>
      <c r="AE174" s="56">
        <v>0</v>
      </c>
      <c r="AF174" s="69">
        <f>IF(W174="SOPORTE_TELEFÓNICO",'BASE LIQUIDACION'!$B$10,IF(Y174="TIPO I",'BASE LIQUIDACION'!$C$3,IF(Y174="TIPO II",'BASE LIQUIDACION'!$C$4,IF(Y174="TIPO III",'BASE LIQUIDACION'!$C$5,'BASE LIQUIDACION'!$C$7))))</f>
        <v>65960.473639999997</v>
      </c>
      <c r="AG174" s="90">
        <f>IF(W174="SOPORTE_TELEFÓNICO",'BASE LIQUIDACION'!$B$10,(AB174*AF174+AC174*'BASE LIQUIDACION'!$B$12+AD174*'BASE LIQUIDACION'!$B$11+INCIDENTES!AE174*'BASE LIQUIDACION'!$B$13))</f>
        <v>65960.473639999997</v>
      </c>
    </row>
    <row r="175" spans="1:33" s="70" customFormat="1">
      <c r="A175" s="56" t="s">
        <v>165</v>
      </c>
      <c r="B175" s="56" t="str">
        <f>VLOOKUP(A175,'CENTRO DE COSTOS'!A:D,4,FALSE)</f>
        <v>JUAN SEBASTIÁN RÍOS CASTRILLÓN</v>
      </c>
      <c r="C175" s="56" t="str">
        <f>VLOOKUP(A175,'CENTRO DE COSTOS'!A:D,2,FALSE)</f>
        <v>0004-0005</v>
      </c>
      <c r="D175" s="56">
        <v>5647</v>
      </c>
      <c r="E175" s="56">
        <v>2698384</v>
      </c>
      <c r="F175" s="56">
        <v>33583</v>
      </c>
      <c r="G175" s="56" t="s">
        <v>1250</v>
      </c>
      <c r="H175" s="56" t="s">
        <v>152</v>
      </c>
      <c r="I175" s="56" t="s">
        <v>303</v>
      </c>
      <c r="J175" s="56" t="s">
        <v>1970</v>
      </c>
      <c r="K175" s="56" t="s">
        <v>107</v>
      </c>
      <c r="L175" s="56" t="s">
        <v>1971</v>
      </c>
      <c r="M175" s="103">
        <v>45905.349305555559</v>
      </c>
      <c r="N175" s="103">
        <v>45907.379166666673</v>
      </c>
      <c r="O175" s="56" t="s">
        <v>1253</v>
      </c>
      <c r="P175" s="56" t="s">
        <v>1254</v>
      </c>
      <c r="Q175" s="56" t="s">
        <v>1263</v>
      </c>
      <c r="R175" s="56" t="s">
        <v>1264</v>
      </c>
      <c r="S175" s="78"/>
      <c r="T175" s="78"/>
      <c r="U175" s="56" t="s">
        <v>1257</v>
      </c>
      <c r="V175" s="56" t="s">
        <v>1972</v>
      </c>
      <c r="W175" s="56" t="s">
        <v>1259</v>
      </c>
      <c r="X175" s="56">
        <v>0</v>
      </c>
      <c r="Y175" s="56" t="s">
        <v>212</v>
      </c>
      <c r="Z175" s="56" t="s">
        <v>115</v>
      </c>
      <c r="AA175" s="56" t="s">
        <v>1457</v>
      </c>
      <c r="AB175" s="56">
        <v>0</v>
      </c>
      <c r="AC175" s="56">
        <v>0</v>
      </c>
      <c r="AD175" s="56">
        <v>0</v>
      </c>
      <c r="AE175" s="56">
        <v>0</v>
      </c>
      <c r="AF175" s="69">
        <f>IF(W175="SOPORTE_TELEFÓNICO",'BASE LIQUIDACION'!$B$10,IF(Y175="TIPO I",'BASE LIQUIDACION'!$C$3,IF(Y175="TIPO II",'BASE LIQUIDACION'!$C$4,IF(Y175="TIPO III",'BASE LIQUIDACION'!$C$5,'BASE LIQUIDACION'!$C$7))))</f>
        <v>37904.65408</v>
      </c>
      <c r="AG175" s="90">
        <f>IF(W175="SOPORTE_TELEFÓNICO",'BASE LIQUIDACION'!$B$10,(AB175*AF175+AC175*'BASE LIQUIDACION'!$B$12+AD175*'BASE LIQUIDACION'!$B$11+INCIDENTES!AE175*'BASE LIQUIDACION'!$B$13))</f>
        <v>37904.65408</v>
      </c>
    </row>
    <row r="176" spans="1:33" s="70" customFormat="1">
      <c r="A176" s="56" t="s">
        <v>242</v>
      </c>
      <c r="B176" s="56" t="str">
        <f>VLOOKUP(A176,'CENTRO DE COSTOS'!A:D,4,FALSE)</f>
        <v>JOSE MAURICIO HERNANDEZ ROJAS</v>
      </c>
      <c r="C176" s="56" t="str">
        <f>VLOOKUP(A176,'CENTRO DE COSTOS'!A:D,2,FALSE)</f>
        <v>0004-0001</v>
      </c>
      <c r="D176" s="56">
        <v>23670</v>
      </c>
      <c r="E176" s="56">
        <v>2697466</v>
      </c>
      <c r="F176" s="56">
        <v>76162</v>
      </c>
      <c r="G176" s="56" t="s">
        <v>1250</v>
      </c>
      <c r="H176" s="56" t="s">
        <v>364</v>
      </c>
      <c r="I176" s="56" t="s">
        <v>702</v>
      </c>
      <c r="J176" s="56" t="s">
        <v>1973</v>
      </c>
      <c r="K176" s="56" t="s">
        <v>107</v>
      </c>
      <c r="L176" s="56" t="s">
        <v>1974</v>
      </c>
      <c r="M176" s="103">
        <v>45904.740972222222</v>
      </c>
      <c r="N176" s="103">
        <v>45905.554166666669</v>
      </c>
      <c r="O176" s="56" t="s">
        <v>1253</v>
      </c>
      <c r="P176" s="56" t="s">
        <v>1254</v>
      </c>
      <c r="Q176" s="56" t="s">
        <v>1255</v>
      </c>
      <c r="R176" s="56" t="s">
        <v>1256</v>
      </c>
      <c r="S176" s="78"/>
      <c r="T176" s="78"/>
      <c r="U176" s="56" t="s">
        <v>1257</v>
      </c>
      <c r="V176" s="56" t="s">
        <v>1975</v>
      </c>
      <c r="W176" s="56" t="s">
        <v>1266</v>
      </c>
      <c r="X176" s="56" t="s">
        <v>1976</v>
      </c>
      <c r="Y176" s="56" t="s">
        <v>114</v>
      </c>
      <c r="Z176" s="56" t="s">
        <v>115</v>
      </c>
      <c r="AA176" s="56" t="s">
        <v>1319</v>
      </c>
      <c r="AB176" s="56">
        <v>1</v>
      </c>
      <c r="AC176" s="56">
        <v>0</v>
      </c>
      <c r="AD176" s="56">
        <v>0</v>
      </c>
      <c r="AE176" s="56">
        <v>0</v>
      </c>
      <c r="AF176" s="69">
        <f>IF(W176="SOPORTE_TELEFÓNICO",'BASE LIQUIDACION'!$B$10,IF(Y176="TIPO I",'BASE LIQUIDACION'!$C$3,IF(Y176="TIPO II",'BASE LIQUIDACION'!$C$4,IF(Y176="TIPO III",'BASE LIQUIDACION'!$C$5,'BASE LIQUIDACION'!$C$7))))</f>
        <v>163813.55812</v>
      </c>
      <c r="AG176" s="90">
        <f>IF(W176="SOPORTE_TELEFÓNICO",'BASE LIQUIDACION'!$B$10,(AB176*AF176+AC176*'BASE LIQUIDACION'!$B$12+AD176*'BASE LIQUIDACION'!$B$11+INCIDENTES!AE176*'BASE LIQUIDACION'!$B$13))</f>
        <v>163813.55812</v>
      </c>
    </row>
    <row r="177" spans="1:33" s="70" customFormat="1">
      <c r="A177" s="56" t="s">
        <v>150</v>
      </c>
      <c r="B177" s="56" t="str">
        <f>VLOOKUP(A177,'CENTRO DE COSTOS'!A:D,4,FALSE)</f>
        <v>JUAN SEBASTIÁN RÍOS CASTRILLÓN</v>
      </c>
      <c r="C177" s="56" t="str">
        <f>VLOOKUP(A177,'CENTRO DE COSTOS'!A:D,2,FALSE)</f>
        <v>0004-0005</v>
      </c>
      <c r="D177" s="56">
        <v>5172</v>
      </c>
      <c r="E177" s="56">
        <v>2693609</v>
      </c>
      <c r="F177" s="56">
        <v>38905</v>
      </c>
      <c r="G177" s="56" t="s">
        <v>1250</v>
      </c>
      <c r="H177" s="56" t="s">
        <v>152</v>
      </c>
      <c r="I177" s="56" t="s">
        <v>256</v>
      </c>
      <c r="J177" s="56" t="s">
        <v>1977</v>
      </c>
      <c r="K177" s="56" t="s">
        <v>107</v>
      </c>
      <c r="L177" s="56" t="s">
        <v>1978</v>
      </c>
      <c r="M177" s="103">
        <v>45904.411805555559</v>
      </c>
      <c r="N177" s="103">
        <v>45905.556944444441</v>
      </c>
      <c r="O177" s="56" t="s">
        <v>1253</v>
      </c>
      <c r="P177" s="56" t="s">
        <v>1254</v>
      </c>
      <c r="Q177" s="56" t="s">
        <v>1312</v>
      </c>
      <c r="R177" s="56" t="s">
        <v>1313</v>
      </c>
      <c r="S177" s="78"/>
      <c r="T177" s="78"/>
      <c r="U177" s="56" t="s">
        <v>1257</v>
      </c>
      <c r="V177" s="56" t="s">
        <v>1979</v>
      </c>
      <c r="W177" s="56" t="s">
        <v>1266</v>
      </c>
      <c r="X177" s="56" t="s">
        <v>1980</v>
      </c>
      <c r="Y177" s="56" t="s">
        <v>114</v>
      </c>
      <c r="Z177" s="56" t="s">
        <v>115</v>
      </c>
      <c r="AA177" s="56" t="s">
        <v>158</v>
      </c>
      <c r="AB177" s="56">
        <v>1</v>
      </c>
      <c r="AC177" s="56">
        <v>0</v>
      </c>
      <c r="AD177" s="56">
        <v>0</v>
      </c>
      <c r="AE177" s="56">
        <v>0</v>
      </c>
      <c r="AF177" s="69">
        <f>IF(W177="SOPORTE_TELEFÓNICO",'BASE LIQUIDACION'!$B$10,IF(Y177="TIPO I",'BASE LIQUIDACION'!$C$3,IF(Y177="TIPO II",'BASE LIQUIDACION'!$C$4,IF(Y177="TIPO III",'BASE LIQUIDACION'!$C$5,'BASE LIQUIDACION'!$C$7))))</f>
        <v>163813.55812</v>
      </c>
      <c r="AG177" s="90">
        <f>IF(W177="SOPORTE_TELEFÓNICO",'BASE LIQUIDACION'!$B$10,(AB177*AF177+AC177*'BASE LIQUIDACION'!$B$12+AD177*'BASE LIQUIDACION'!$B$11+INCIDENTES!AE177*'BASE LIQUIDACION'!$B$13))</f>
        <v>163813.55812</v>
      </c>
    </row>
    <row r="178" spans="1:33" s="70" customFormat="1">
      <c r="A178" s="56" t="s">
        <v>131</v>
      </c>
      <c r="B178" s="56" t="str">
        <f>VLOOKUP(A178,'CENTRO DE COSTOS'!A:D,4,FALSE)</f>
        <v>MIGUEL JULIÁN HERNÁNDEZ GUARÍN</v>
      </c>
      <c r="C178" s="56" t="str">
        <f>VLOOKUP(A178,'CENTRO DE COSTOS'!A:D,2,FALSE)</f>
        <v>0004-0008</v>
      </c>
      <c r="D178" s="56">
        <v>15238</v>
      </c>
      <c r="E178" s="56">
        <v>2696258</v>
      </c>
      <c r="F178" s="56">
        <v>65528</v>
      </c>
      <c r="G178" s="56" t="s">
        <v>1250</v>
      </c>
      <c r="H178" s="56" t="s">
        <v>133</v>
      </c>
      <c r="I178" s="56" t="s">
        <v>440</v>
      </c>
      <c r="J178" s="56" t="s">
        <v>1981</v>
      </c>
      <c r="K178" s="56" t="s">
        <v>107</v>
      </c>
      <c r="L178" s="56" t="s">
        <v>1982</v>
      </c>
      <c r="M178" s="103">
        <v>45904.628472222219</v>
      </c>
      <c r="N178" s="103">
        <v>45905.40347222222</v>
      </c>
      <c r="O178" s="56" t="s">
        <v>1253</v>
      </c>
      <c r="P178" s="56" t="s">
        <v>1254</v>
      </c>
      <c r="Q178" s="56" t="s">
        <v>1271</v>
      </c>
      <c r="R178" s="56" t="s">
        <v>1272</v>
      </c>
      <c r="S178" s="78"/>
      <c r="T178" s="78"/>
      <c r="U178" s="56" t="s">
        <v>1257</v>
      </c>
      <c r="V178" s="56" t="s">
        <v>1983</v>
      </c>
      <c r="W178" s="56" t="s">
        <v>1259</v>
      </c>
      <c r="X178" s="56">
        <v>0</v>
      </c>
      <c r="Y178" s="56" t="s">
        <v>114</v>
      </c>
      <c r="Z178" s="56" t="s">
        <v>115</v>
      </c>
      <c r="AA178" s="56" t="s">
        <v>1562</v>
      </c>
      <c r="AB178" s="56">
        <v>0</v>
      </c>
      <c r="AC178" s="56">
        <v>0</v>
      </c>
      <c r="AD178" s="56">
        <v>0</v>
      </c>
      <c r="AE178" s="56">
        <v>0</v>
      </c>
      <c r="AF178" s="69">
        <f>IF(W178="SOPORTE_TELEFÓNICO",'BASE LIQUIDACION'!$B$10,IF(Y178="TIPO I",'BASE LIQUIDACION'!$C$3,IF(Y178="TIPO II",'BASE LIQUIDACION'!$C$4,IF(Y178="TIPO III",'BASE LIQUIDACION'!$C$5,'BASE LIQUIDACION'!$C$7))))</f>
        <v>37904.65408</v>
      </c>
      <c r="AG178" s="90">
        <f>IF(W178="SOPORTE_TELEFÓNICO",'BASE LIQUIDACION'!$B$10,(AB178*AF178+AC178*'BASE LIQUIDACION'!$B$12+AD178*'BASE LIQUIDACION'!$B$11+INCIDENTES!AE178*'BASE LIQUIDACION'!$B$13))</f>
        <v>37904.65408</v>
      </c>
    </row>
    <row r="179" spans="1:33" s="70" customFormat="1">
      <c r="A179" s="56" t="s">
        <v>150</v>
      </c>
      <c r="B179" s="56" t="str">
        <f>VLOOKUP(A179,'CENTRO DE COSTOS'!A:D,4,FALSE)</f>
        <v>JUAN SEBASTIÁN RÍOS CASTRILLÓN</v>
      </c>
      <c r="C179" s="56" t="str">
        <f>VLOOKUP(A179,'CENTRO DE COSTOS'!A:D,2,FALSE)</f>
        <v>0004-0005</v>
      </c>
      <c r="D179" s="56">
        <v>5172</v>
      </c>
      <c r="E179" s="56">
        <v>2695654</v>
      </c>
      <c r="F179" s="56">
        <v>49047</v>
      </c>
      <c r="G179" s="56" t="s">
        <v>1250</v>
      </c>
      <c r="H179" s="56" t="s">
        <v>152</v>
      </c>
      <c r="I179" s="56" t="s">
        <v>256</v>
      </c>
      <c r="J179" s="56" t="s">
        <v>1984</v>
      </c>
      <c r="K179" s="56" t="s">
        <v>107</v>
      </c>
      <c r="L179" s="56" t="s">
        <v>1985</v>
      </c>
      <c r="M179" s="103">
        <v>45904.586111111108</v>
      </c>
      <c r="N179" s="103">
        <v>45905.619444444441</v>
      </c>
      <c r="O179" s="56" t="s">
        <v>1253</v>
      </c>
      <c r="P179" s="56" t="s">
        <v>1254</v>
      </c>
      <c r="Q179" s="56" t="s">
        <v>1255</v>
      </c>
      <c r="R179" s="56" t="s">
        <v>1524</v>
      </c>
      <c r="S179" s="78"/>
      <c r="T179" s="78"/>
      <c r="U179" s="56" t="s">
        <v>1257</v>
      </c>
      <c r="V179" s="56" t="s">
        <v>1986</v>
      </c>
      <c r="W179" s="56" t="s">
        <v>1266</v>
      </c>
      <c r="X179" s="56" t="s">
        <v>1987</v>
      </c>
      <c r="Y179" s="56" t="s">
        <v>114</v>
      </c>
      <c r="Z179" s="56" t="s">
        <v>115</v>
      </c>
      <c r="AA179" s="56" t="s">
        <v>158</v>
      </c>
      <c r="AB179" s="56">
        <v>1</v>
      </c>
      <c r="AC179" s="56">
        <v>0</v>
      </c>
      <c r="AD179" s="56">
        <v>0</v>
      </c>
      <c r="AE179" s="56">
        <v>0</v>
      </c>
      <c r="AF179" s="69">
        <f>IF(W179="SOPORTE_TELEFÓNICO",'BASE LIQUIDACION'!$B$10,IF(Y179="TIPO I",'BASE LIQUIDACION'!$C$3,IF(Y179="TIPO II",'BASE LIQUIDACION'!$C$4,IF(Y179="TIPO III",'BASE LIQUIDACION'!$C$5,'BASE LIQUIDACION'!$C$7))))</f>
        <v>163813.55812</v>
      </c>
      <c r="AG179" s="90">
        <f>IF(W179="SOPORTE_TELEFÓNICO",'BASE LIQUIDACION'!$B$10,(AB179*AF179+AC179*'BASE LIQUIDACION'!$B$12+AD179*'BASE LIQUIDACION'!$B$11+INCIDENTES!AE179*'BASE LIQUIDACION'!$B$13))</f>
        <v>163813.55812</v>
      </c>
    </row>
    <row r="180" spans="1:33" s="70" customFormat="1">
      <c r="A180" s="56" t="s">
        <v>100</v>
      </c>
      <c r="B180" s="56" t="str">
        <f>VLOOKUP(A180,'CENTRO DE COSTOS'!A:D,4,FALSE)</f>
        <v>DIEGO FERNANDO HENAO CARDONA</v>
      </c>
      <c r="C180" s="56" t="str">
        <f>VLOOKUP(A180,'CENTRO DE COSTOS'!A:D,2,FALSE)</f>
        <v>0004-0003</v>
      </c>
      <c r="D180" s="56">
        <v>52356</v>
      </c>
      <c r="E180" s="56">
        <v>2694796</v>
      </c>
      <c r="F180" s="56">
        <v>22497</v>
      </c>
      <c r="G180" s="56" t="s">
        <v>1250</v>
      </c>
      <c r="H180" s="56" t="s">
        <v>104</v>
      </c>
      <c r="I180" s="56" t="s">
        <v>160</v>
      </c>
      <c r="J180" s="56" t="s">
        <v>1988</v>
      </c>
      <c r="K180" s="56" t="s">
        <v>107</v>
      </c>
      <c r="L180" s="56" t="s">
        <v>1989</v>
      </c>
      <c r="M180" s="103">
        <v>45904.496527777781</v>
      </c>
      <c r="N180" s="103">
        <v>45905.524305555547</v>
      </c>
      <c r="O180" s="56" t="s">
        <v>1253</v>
      </c>
      <c r="P180" s="56" t="s">
        <v>1254</v>
      </c>
      <c r="Q180" s="56" t="s">
        <v>1312</v>
      </c>
      <c r="R180" s="56" t="s">
        <v>1313</v>
      </c>
      <c r="S180" s="78"/>
      <c r="T180" s="78"/>
      <c r="U180" s="56" t="s">
        <v>1257</v>
      </c>
      <c r="V180" s="56" t="s">
        <v>1990</v>
      </c>
      <c r="W180" s="56" t="s">
        <v>1266</v>
      </c>
      <c r="X180" s="56" t="s">
        <v>1991</v>
      </c>
      <c r="Y180" s="56" t="s">
        <v>114</v>
      </c>
      <c r="Z180" s="56" t="s">
        <v>115</v>
      </c>
      <c r="AA180" s="56" t="s">
        <v>1482</v>
      </c>
      <c r="AB180" s="56">
        <v>1</v>
      </c>
      <c r="AC180" s="56">
        <v>0</v>
      </c>
      <c r="AD180" s="56">
        <v>0</v>
      </c>
      <c r="AE180" s="56">
        <v>0</v>
      </c>
      <c r="AF180" s="69">
        <f>IF(W180="SOPORTE_TELEFÓNICO",'BASE LIQUIDACION'!$B$10,IF(Y180="TIPO I",'BASE LIQUIDACION'!$C$3,IF(Y180="TIPO II",'BASE LIQUIDACION'!$C$4,IF(Y180="TIPO III",'BASE LIQUIDACION'!$C$5,'BASE LIQUIDACION'!$C$7))))</f>
        <v>163813.55812</v>
      </c>
      <c r="AG180" s="90">
        <f>IF(W180="SOPORTE_TELEFÓNICO",'BASE LIQUIDACION'!$B$10,(AB180*AF180+AC180*'BASE LIQUIDACION'!$B$12+AD180*'BASE LIQUIDACION'!$B$11+INCIDENTES!AE180*'BASE LIQUIDACION'!$B$13))</f>
        <v>163813.55812</v>
      </c>
    </row>
    <row r="181" spans="1:33" s="70" customFormat="1">
      <c r="A181" s="56" t="s">
        <v>117</v>
      </c>
      <c r="B181" s="56" t="str">
        <f>VLOOKUP(A181,'CENTRO DE COSTOS'!A:D,4,FALSE)</f>
        <v>KEVIN ALEXIS CORZO BUSTOS</v>
      </c>
      <c r="C181" s="56" t="str">
        <f>VLOOKUP(A181,'CENTRO DE COSTOS'!A:D,2,FALSE)</f>
        <v>0004-0007</v>
      </c>
      <c r="D181" s="56">
        <v>18001</v>
      </c>
      <c r="E181" s="56">
        <v>2692164</v>
      </c>
      <c r="F181" s="56">
        <v>67573</v>
      </c>
      <c r="G181" s="56" t="s">
        <v>1250</v>
      </c>
      <c r="H181" s="56" t="s">
        <v>120</v>
      </c>
      <c r="I181" s="56" t="s">
        <v>558</v>
      </c>
      <c r="J181" s="56" t="s">
        <v>1992</v>
      </c>
      <c r="K181" s="56" t="s">
        <v>107</v>
      </c>
      <c r="L181" s="56" t="s">
        <v>1993</v>
      </c>
      <c r="M181" s="103">
        <v>45904.333333333343</v>
      </c>
      <c r="N181" s="103">
        <v>45908.396527777782</v>
      </c>
      <c r="O181" s="56" t="s">
        <v>1253</v>
      </c>
      <c r="P181" s="56" t="s">
        <v>1254</v>
      </c>
      <c r="Q181" s="56" t="s">
        <v>1271</v>
      </c>
      <c r="R181" s="56" t="s">
        <v>1277</v>
      </c>
      <c r="S181" s="78"/>
      <c r="T181" s="78"/>
      <c r="U181" s="56" t="s">
        <v>1257</v>
      </c>
      <c r="V181" s="56" t="s">
        <v>1994</v>
      </c>
      <c r="W181" s="56" t="s">
        <v>1266</v>
      </c>
      <c r="X181" s="56" t="s">
        <v>1995</v>
      </c>
      <c r="Y181" s="56" t="s">
        <v>172</v>
      </c>
      <c r="Z181" s="56" t="s">
        <v>115</v>
      </c>
      <c r="AA181" s="56" t="s">
        <v>130</v>
      </c>
      <c r="AB181" s="56">
        <v>1</v>
      </c>
      <c r="AC181" s="56">
        <v>0</v>
      </c>
      <c r="AD181" s="56">
        <v>0</v>
      </c>
      <c r="AE181" s="56">
        <v>0</v>
      </c>
      <c r="AF181" s="69">
        <f>IF(W181="SOPORTE_TELEFÓNICO",'BASE LIQUIDACION'!$B$10,IF(Y181="TIPO I",'BASE LIQUIDACION'!$C$3,IF(Y181="TIPO II",'BASE LIQUIDACION'!$C$4,IF(Y181="TIPO III",'BASE LIQUIDACION'!$C$5,'BASE LIQUIDACION'!$C$7))))</f>
        <v>479589.73656000005</v>
      </c>
      <c r="AG181" s="90">
        <f>IF(W181="SOPORTE_TELEFÓNICO",'BASE LIQUIDACION'!$B$10,(AB181*AF181+AC181*'BASE LIQUIDACION'!$B$12+AD181*'BASE LIQUIDACION'!$B$11+INCIDENTES!AE181*'BASE LIQUIDACION'!$B$13))</f>
        <v>479589.73656000005</v>
      </c>
    </row>
    <row r="182" spans="1:33" s="70" customFormat="1">
      <c r="A182" s="56" t="s">
        <v>100</v>
      </c>
      <c r="B182" s="56" t="str">
        <f>VLOOKUP(A182,'CENTRO DE COSTOS'!A:D,4,FALSE)</f>
        <v>DIEGO FERNANDO HENAO CARDONA</v>
      </c>
      <c r="C182" s="56" t="str">
        <f>VLOOKUP(A182,'CENTRO DE COSTOS'!A:D,2,FALSE)</f>
        <v>0004-0003</v>
      </c>
      <c r="D182" s="56">
        <v>52215</v>
      </c>
      <c r="E182" s="56">
        <v>2690916</v>
      </c>
      <c r="F182" s="56">
        <v>46136</v>
      </c>
      <c r="G182" s="56" t="s">
        <v>1250</v>
      </c>
      <c r="H182" s="56" t="s">
        <v>104</v>
      </c>
      <c r="I182" s="56" t="s">
        <v>364</v>
      </c>
      <c r="J182" s="56" t="s">
        <v>1996</v>
      </c>
      <c r="K182" s="56" t="s">
        <v>107</v>
      </c>
      <c r="L182" s="56" t="s">
        <v>1997</v>
      </c>
      <c r="M182" s="103">
        <v>45903.694444444453</v>
      </c>
      <c r="N182" s="103">
        <v>45904.696527777778</v>
      </c>
      <c r="O182" s="56" t="s">
        <v>1253</v>
      </c>
      <c r="P182" s="56" t="s">
        <v>1254</v>
      </c>
      <c r="Q182" s="56" t="s">
        <v>1263</v>
      </c>
      <c r="R182" s="56" t="s">
        <v>1264</v>
      </c>
      <c r="S182" s="78"/>
      <c r="T182" s="78"/>
      <c r="U182" s="56" t="s">
        <v>1257</v>
      </c>
      <c r="V182" s="56" t="s">
        <v>1998</v>
      </c>
      <c r="W182" s="56" t="s">
        <v>1266</v>
      </c>
      <c r="X182" s="56" t="s">
        <v>1999</v>
      </c>
      <c r="Y182" s="56" t="s">
        <v>114</v>
      </c>
      <c r="Z182" s="56" t="s">
        <v>115</v>
      </c>
      <c r="AA182" s="56" t="s">
        <v>1407</v>
      </c>
      <c r="AB182" s="56">
        <v>1</v>
      </c>
      <c r="AC182" s="56">
        <v>0</v>
      </c>
      <c r="AD182" s="56">
        <v>0</v>
      </c>
      <c r="AE182" s="56">
        <v>0</v>
      </c>
      <c r="AF182" s="69">
        <f>IF(W182="SOPORTE_TELEFÓNICO",'BASE LIQUIDACION'!$B$10,IF(Y182="TIPO I",'BASE LIQUIDACION'!$C$3,IF(Y182="TIPO II",'BASE LIQUIDACION'!$C$4,IF(Y182="TIPO III",'BASE LIQUIDACION'!$C$5,'BASE LIQUIDACION'!$C$7))))</f>
        <v>163813.55812</v>
      </c>
      <c r="AG182" s="90">
        <f>IF(W182="SOPORTE_TELEFÓNICO",'BASE LIQUIDACION'!$B$10,(AB182*AF182+AC182*'BASE LIQUIDACION'!$B$12+AD182*'BASE LIQUIDACION'!$B$11+INCIDENTES!AE182*'BASE LIQUIDACION'!$B$13))</f>
        <v>163813.55812</v>
      </c>
    </row>
    <row r="183" spans="1:33" s="70" customFormat="1">
      <c r="A183" s="56" t="s">
        <v>363</v>
      </c>
      <c r="B183" s="56" t="str">
        <f>VLOOKUP(A183,'CENTRO DE COSTOS'!A:D,4,FALSE)</f>
        <v>JOSE MAURICIO HERNANDEZ ROJAS</v>
      </c>
      <c r="C183" s="56" t="str">
        <f>VLOOKUP(A183,'CENTRO DE COSTOS'!A:D,2,FALSE)</f>
        <v>0004-0001</v>
      </c>
      <c r="D183" s="56">
        <v>13001</v>
      </c>
      <c r="E183" s="56">
        <v>2689283</v>
      </c>
      <c r="F183" s="56">
        <v>80661</v>
      </c>
      <c r="G183" s="56" t="s">
        <v>1250</v>
      </c>
      <c r="H183" s="56" t="s">
        <v>362</v>
      </c>
      <c r="I183" s="56" t="s">
        <v>363</v>
      </c>
      <c r="J183" s="56" t="s">
        <v>2000</v>
      </c>
      <c r="K183" s="56" t="s">
        <v>107</v>
      </c>
      <c r="L183" s="56" t="s">
        <v>2001</v>
      </c>
      <c r="M183" s="103">
        <v>45903.597222222219</v>
      </c>
      <c r="N183" s="103">
        <v>45904.51666666667</v>
      </c>
      <c r="O183" s="56" t="s">
        <v>1253</v>
      </c>
      <c r="P183" s="56" t="s">
        <v>1254</v>
      </c>
      <c r="Q183" s="56" t="s">
        <v>1271</v>
      </c>
      <c r="R183" s="56" t="s">
        <v>1277</v>
      </c>
      <c r="S183" s="78"/>
      <c r="T183" s="78"/>
      <c r="U183" s="56" t="s">
        <v>1257</v>
      </c>
      <c r="V183" s="56" t="s">
        <v>2002</v>
      </c>
      <c r="W183" s="56" t="s">
        <v>1266</v>
      </c>
      <c r="X183" s="56" t="s">
        <v>2003</v>
      </c>
      <c r="Y183" s="56" t="s">
        <v>138</v>
      </c>
      <c r="Z183" s="56" t="s">
        <v>115</v>
      </c>
      <c r="AA183" s="56" t="s">
        <v>2004</v>
      </c>
      <c r="AB183" s="56">
        <v>1</v>
      </c>
      <c r="AC183" s="56">
        <v>0</v>
      </c>
      <c r="AD183" s="56">
        <v>0</v>
      </c>
      <c r="AE183" s="56">
        <v>0</v>
      </c>
      <c r="AF183" s="69">
        <f>IF(W183="SOPORTE_TELEFÓNICO",'BASE LIQUIDACION'!$B$10,IF(Y183="TIPO I",'BASE LIQUIDACION'!$C$3,IF(Y183="TIPO II",'BASE LIQUIDACION'!$C$4,IF(Y183="TIPO III",'BASE LIQUIDACION'!$C$5,'BASE LIQUIDACION'!$C$7))))</f>
        <v>65960.473639999997</v>
      </c>
      <c r="AG183" s="90">
        <f>IF(W183="SOPORTE_TELEFÓNICO",'BASE LIQUIDACION'!$B$10,(AB183*AF183+AC183*'BASE LIQUIDACION'!$B$12+AD183*'BASE LIQUIDACION'!$B$11+INCIDENTES!AE183*'BASE LIQUIDACION'!$B$13))</f>
        <v>65960.473639999997</v>
      </c>
    </row>
    <row r="184" spans="1:33" s="70" customFormat="1">
      <c r="A184" s="56" t="s">
        <v>556</v>
      </c>
      <c r="B184" s="56" t="str">
        <f>VLOOKUP(A184,'CENTRO DE COSTOS'!A:D,4,FALSE)</f>
        <v>DIEGO FERNANDO HENAO CARDONA</v>
      </c>
      <c r="C184" s="56" t="str">
        <f>VLOOKUP(A184,'CENTRO DE COSTOS'!A:D,2,FALSE)</f>
        <v>0004-0002</v>
      </c>
      <c r="D184" s="56">
        <v>76622</v>
      </c>
      <c r="E184" s="56">
        <v>2686435</v>
      </c>
      <c r="F184" s="56">
        <v>29596</v>
      </c>
      <c r="G184" s="56" t="s">
        <v>1250</v>
      </c>
      <c r="H184" s="56" t="s">
        <v>1189</v>
      </c>
      <c r="I184" s="56" t="s">
        <v>1213</v>
      </c>
      <c r="J184" s="56" t="s">
        <v>2005</v>
      </c>
      <c r="K184" s="56" t="s">
        <v>107</v>
      </c>
      <c r="L184" s="56" t="s">
        <v>2006</v>
      </c>
      <c r="M184" s="103">
        <v>45903.404166666667</v>
      </c>
      <c r="N184" s="103">
        <v>45904.566666666673</v>
      </c>
      <c r="O184" s="56" t="s">
        <v>1253</v>
      </c>
      <c r="P184" s="56" t="s">
        <v>1254</v>
      </c>
      <c r="Q184" s="56" t="s">
        <v>1271</v>
      </c>
      <c r="R184" s="56" t="s">
        <v>1277</v>
      </c>
      <c r="S184" s="78"/>
      <c r="T184" s="78"/>
      <c r="U184" s="56" t="s">
        <v>1257</v>
      </c>
      <c r="V184" s="56" t="s">
        <v>2007</v>
      </c>
      <c r="W184" s="56" t="s">
        <v>1266</v>
      </c>
      <c r="X184" s="56" t="s">
        <v>2008</v>
      </c>
      <c r="Y184" s="56" t="s">
        <v>212</v>
      </c>
      <c r="Z184" s="56" t="s">
        <v>115</v>
      </c>
      <c r="AA184" s="56" t="s">
        <v>1681</v>
      </c>
      <c r="AB184" s="56">
        <v>1</v>
      </c>
      <c r="AC184" s="56">
        <v>0</v>
      </c>
      <c r="AD184" s="56">
        <v>0</v>
      </c>
      <c r="AE184" s="56">
        <v>0</v>
      </c>
      <c r="AF184" s="69">
        <f>IF(W184="SOPORTE_TELEFÓNICO",'BASE LIQUIDACION'!$B$10,IF(Y184="TIPO I",'BASE LIQUIDACION'!$C$3,IF(Y184="TIPO II",'BASE LIQUIDACION'!$C$4,IF(Y184="TIPO III",'BASE LIQUIDACION'!$C$5,'BASE LIQUIDACION'!$C$7))))</f>
        <v>275728.37943999999</v>
      </c>
      <c r="AG184" s="90">
        <f>IF(W184="SOPORTE_TELEFÓNICO",'BASE LIQUIDACION'!$B$10,(AB184*AF184+AC184*'BASE LIQUIDACION'!$B$12+AD184*'BASE LIQUIDACION'!$B$11+INCIDENTES!AE184*'BASE LIQUIDACION'!$B$13))</f>
        <v>275728.37943999999</v>
      </c>
    </row>
    <row r="185" spans="1:33">
      <c r="A185" s="56" t="s">
        <v>131</v>
      </c>
      <c r="B185" s="56" t="str">
        <f>VLOOKUP(A185,'CENTRO DE COSTOS'!A:D,4,FALSE)</f>
        <v>MIGUEL JULIÁN HERNÁNDEZ GUARÍN</v>
      </c>
      <c r="C185" s="56" t="str">
        <f>VLOOKUP(A185,'CENTRO DE COSTOS'!A:D,2,FALSE)</f>
        <v>0004-0008</v>
      </c>
      <c r="D185" s="56">
        <v>15238</v>
      </c>
      <c r="E185" s="56">
        <v>2687002</v>
      </c>
      <c r="F185" s="56">
        <v>80265</v>
      </c>
      <c r="G185" s="56" t="s">
        <v>1250</v>
      </c>
      <c r="H185" s="56" t="s">
        <v>133</v>
      </c>
      <c r="I185" s="56" t="s">
        <v>440</v>
      </c>
      <c r="J185" s="56" t="s">
        <v>2009</v>
      </c>
      <c r="K185" s="56" t="s">
        <v>107</v>
      </c>
      <c r="L185" s="56" t="s">
        <v>2010</v>
      </c>
      <c r="M185" s="103">
        <v>45903.428472222222</v>
      </c>
      <c r="N185" s="103">
        <v>45903.644444444442</v>
      </c>
      <c r="O185" s="56" t="s">
        <v>1253</v>
      </c>
      <c r="P185" s="56" t="s">
        <v>1254</v>
      </c>
      <c r="Q185" s="56" t="s">
        <v>1312</v>
      </c>
      <c r="R185" s="56" t="s">
        <v>1313</v>
      </c>
      <c r="S185" s="66"/>
      <c r="T185" s="66"/>
      <c r="U185" s="56" t="s">
        <v>1257</v>
      </c>
      <c r="V185" s="56" t="s">
        <v>2011</v>
      </c>
      <c r="W185" s="56" t="s">
        <v>1266</v>
      </c>
      <c r="X185" s="56" t="s">
        <v>2012</v>
      </c>
      <c r="Y185" s="56" t="s">
        <v>114</v>
      </c>
      <c r="Z185" s="56" t="s">
        <v>115</v>
      </c>
      <c r="AA185" s="56" t="s">
        <v>1300</v>
      </c>
      <c r="AB185" s="56">
        <v>1</v>
      </c>
      <c r="AC185" s="56">
        <v>0</v>
      </c>
      <c r="AD185" s="56">
        <v>0</v>
      </c>
      <c r="AE185" s="56">
        <v>0</v>
      </c>
      <c r="AF185" s="69">
        <f>IF(W185="SOPORTE_TELEFÓNICO",'BASE LIQUIDACION'!$B$10,IF(Y185="TIPO I",'BASE LIQUIDACION'!$C$3,IF(Y185="TIPO II",'BASE LIQUIDACION'!$C$4,IF(Y185="TIPO III",'BASE LIQUIDACION'!$C$5,'BASE LIQUIDACION'!$C$7))))</f>
        <v>163813.55812</v>
      </c>
      <c r="AG185" s="90">
        <f>IF(W185="SOPORTE_TELEFÓNICO",'BASE LIQUIDACION'!$B$10,(AB185*AF185+AC185*'BASE LIQUIDACION'!$B$12+AD185*'BASE LIQUIDACION'!$B$11+INCIDENTES!AE185*'BASE LIQUIDACION'!$B$13))</f>
        <v>163813.55812</v>
      </c>
    </row>
    <row r="186" spans="1:33">
      <c r="A186" s="56" t="s">
        <v>471</v>
      </c>
      <c r="B186" s="56" t="str">
        <f>VLOOKUP(A186,'CENTRO DE COSTOS'!A:D,4,FALSE)</f>
        <v>KEVIN ALEXIS CORZO BUSTOS</v>
      </c>
      <c r="C186" s="56" t="str">
        <f>VLOOKUP(A186,'CENTRO DE COSTOS'!A:D,2,FALSE)</f>
        <v>0004-0007</v>
      </c>
      <c r="D186" s="56">
        <v>85230</v>
      </c>
      <c r="E186" s="56">
        <v>2687018</v>
      </c>
      <c r="F186" s="56">
        <v>54326</v>
      </c>
      <c r="G186" s="56" t="s">
        <v>1250</v>
      </c>
      <c r="H186" s="56" t="s">
        <v>571</v>
      </c>
      <c r="I186" s="56" t="s">
        <v>579</v>
      </c>
      <c r="J186" s="56" t="s">
        <v>2013</v>
      </c>
      <c r="K186" s="56" t="s">
        <v>107</v>
      </c>
      <c r="L186" s="56" t="s">
        <v>2014</v>
      </c>
      <c r="M186" s="103">
        <v>45903.429861111108</v>
      </c>
      <c r="N186" s="103">
        <v>45904.56527777778</v>
      </c>
      <c r="O186" s="56" t="s">
        <v>1253</v>
      </c>
      <c r="P186" s="56" t="s">
        <v>1254</v>
      </c>
      <c r="Q186" s="56" t="s">
        <v>1271</v>
      </c>
      <c r="R186" s="56" t="s">
        <v>1272</v>
      </c>
      <c r="S186" s="66"/>
      <c r="T186" s="66"/>
      <c r="U186" s="56" t="s">
        <v>1257</v>
      </c>
      <c r="V186" s="56" t="s">
        <v>2015</v>
      </c>
      <c r="W186" s="56" t="s">
        <v>1259</v>
      </c>
      <c r="X186" s="56">
        <v>0</v>
      </c>
      <c r="Y186" s="56" t="s">
        <v>128</v>
      </c>
      <c r="Z186" s="56" t="s">
        <v>369</v>
      </c>
      <c r="AA186" s="56" t="s">
        <v>1811</v>
      </c>
      <c r="AB186" s="56">
        <v>0</v>
      </c>
      <c r="AC186" s="56">
        <v>0</v>
      </c>
      <c r="AD186" s="56">
        <v>0</v>
      </c>
      <c r="AE186" s="56">
        <v>0</v>
      </c>
      <c r="AF186" s="69">
        <f>IF(W186="SOPORTE_TELEFÓNICO",'BASE LIQUIDACION'!$B$10,IF(Y186="TIPO I",'BASE LIQUIDACION'!$C$3,IF(Y186="TIPO II",'BASE LIQUIDACION'!$C$4,IF(Y186="TIPO III",'BASE LIQUIDACION'!$C$5,'BASE LIQUIDACION'!$C$7))))</f>
        <v>37904.65408</v>
      </c>
      <c r="AG186" s="90">
        <f>IF(W186="SOPORTE_TELEFÓNICO",'BASE LIQUIDACION'!$B$10,(AB186*AF186+AC186*'BASE LIQUIDACION'!$B$12+AD186*'BASE LIQUIDACION'!$B$11+INCIDENTES!AE186*'BASE LIQUIDACION'!$B$13))</f>
        <v>37904.65408</v>
      </c>
    </row>
    <row r="187" spans="1:33">
      <c r="A187" s="56" t="s">
        <v>340</v>
      </c>
      <c r="B187" s="56" t="str">
        <f>VLOOKUP(A187,'CENTRO DE COSTOS'!A:D,4,FALSE)</f>
        <v>JOSE MAURICIO HERNANDEZ ROJAS</v>
      </c>
      <c r="C187" s="56" t="str">
        <f>VLOOKUP(A187,'CENTRO DE COSTOS'!A:D,2,FALSE)</f>
        <v>0004-0001</v>
      </c>
      <c r="D187" s="56">
        <v>8638</v>
      </c>
      <c r="E187" s="56">
        <v>2684174</v>
      </c>
      <c r="F187" s="56">
        <v>78812</v>
      </c>
      <c r="G187" s="56" t="s">
        <v>1250</v>
      </c>
      <c r="H187" s="56" t="s">
        <v>339</v>
      </c>
      <c r="I187" s="56" t="s">
        <v>222</v>
      </c>
      <c r="J187" s="56" t="s">
        <v>2016</v>
      </c>
      <c r="K187" s="56" t="s">
        <v>107</v>
      </c>
      <c r="L187" s="56" t="s">
        <v>2017</v>
      </c>
      <c r="M187" s="103">
        <v>45902.737500000003</v>
      </c>
      <c r="N187" s="103">
        <v>45904.619444444441</v>
      </c>
      <c r="O187" s="56" t="s">
        <v>1253</v>
      </c>
      <c r="P187" s="56" t="s">
        <v>1254</v>
      </c>
      <c r="Q187" s="56" t="s">
        <v>1271</v>
      </c>
      <c r="R187" s="56" t="s">
        <v>1272</v>
      </c>
      <c r="S187" s="66"/>
      <c r="T187" s="66"/>
      <c r="U187" s="56" t="s">
        <v>1257</v>
      </c>
      <c r="V187" s="56" t="s">
        <v>2018</v>
      </c>
      <c r="W187" s="56" t="s">
        <v>1266</v>
      </c>
      <c r="X187" s="56" t="s">
        <v>2019</v>
      </c>
      <c r="Y187" s="56" t="s">
        <v>114</v>
      </c>
      <c r="Z187" s="56" t="s">
        <v>115</v>
      </c>
      <c r="AA187" s="56" t="s">
        <v>1544</v>
      </c>
      <c r="AB187" s="56">
        <v>1</v>
      </c>
      <c r="AC187" s="56">
        <v>0</v>
      </c>
      <c r="AD187" s="56">
        <v>0</v>
      </c>
      <c r="AE187" s="56">
        <v>0</v>
      </c>
      <c r="AF187" s="69">
        <f>IF(W187="SOPORTE_TELEFÓNICO",'BASE LIQUIDACION'!$B$10,IF(Y187="TIPO I",'BASE LIQUIDACION'!$C$3,IF(Y187="TIPO II",'BASE LIQUIDACION'!$C$4,IF(Y187="TIPO III",'BASE LIQUIDACION'!$C$5,'BASE LIQUIDACION'!$C$7))))</f>
        <v>163813.55812</v>
      </c>
      <c r="AG187" s="90">
        <f>IF(W187="SOPORTE_TELEFÓNICO",'BASE LIQUIDACION'!$B$10,(AB187*AF187+AC187*'BASE LIQUIDACION'!$B$12+AD187*'BASE LIQUIDACION'!$B$11+INCIDENTES!AE187*'BASE LIQUIDACION'!$B$13))</f>
        <v>163813.55812</v>
      </c>
    </row>
    <row r="188" spans="1:33">
      <c r="A188" s="56" t="s">
        <v>589</v>
      </c>
      <c r="B188" s="56" t="str">
        <f>VLOOKUP(A188,'CENTRO DE COSTOS'!A:D,4,FALSE)</f>
        <v>DIEGO FERNANDO HENAO CARDONA</v>
      </c>
      <c r="C188" s="56" t="str">
        <f>VLOOKUP(A188,'CENTRO DE COSTOS'!A:D,2,FALSE)</f>
        <v>0004-0003</v>
      </c>
      <c r="D188" s="56">
        <v>76001</v>
      </c>
      <c r="E188" s="56">
        <v>2681631</v>
      </c>
      <c r="F188" s="56">
        <v>35515</v>
      </c>
      <c r="G188" s="56" t="s">
        <v>1250</v>
      </c>
      <c r="H188" s="56" t="s">
        <v>1189</v>
      </c>
      <c r="I188" s="56" t="s">
        <v>589</v>
      </c>
      <c r="J188" s="56" t="s">
        <v>2020</v>
      </c>
      <c r="K188" s="56" t="s">
        <v>107</v>
      </c>
      <c r="L188" s="56" t="s">
        <v>2021</v>
      </c>
      <c r="M188" s="103">
        <v>45902.545138888891</v>
      </c>
      <c r="N188" s="103">
        <v>45902.715277777781</v>
      </c>
      <c r="O188" s="56" t="s">
        <v>1253</v>
      </c>
      <c r="P188" s="56" t="s">
        <v>1254</v>
      </c>
      <c r="Q188" s="56" t="s">
        <v>1255</v>
      </c>
      <c r="R188" s="56" t="s">
        <v>1395</v>
      </c>
      <c r="S188" s="66"/>
      <c r="T188" s="66"/>
      <c r="U188" s="56" t="s">
        <v>1257</v>
      </c>
      <c r="V188" s="56" t="s">
        <v>2022</v>
      </c>
      <c r="W188" s="56" t="s">
        <v>1259</v>
      </c>
      <c r="X188" s="56">
        <v>0</v>
      </c>
      <c r="Y188" s="56" t="s">
        <v>138</v>
      </c>
      <c r="Z188" s="56" t="s">
        <v>115</v>
      </c>
      <c r="AA188" s="56" t="s">
        <v>1613</v>
      </c>
      <c r="AB188" s="56">
        <v>0</v>
      </c>
      <c r="AC188" s="56">
        <v>0</v>
      </c>
      <c r="AD188" s="56">
        <v>0</v>
      </c>
      <c r="AE188" s="56">
        <v>0</v>
      </c>
      <c r="AF188" s="69">
        <f>IF(W188="SOPORTE_TELEFÓNICO",'BASE LIQUIDACION'!$B$10,IF(Y188="TIPO I",'BASE LIQUIDACION'!$C$3,IF(Y188="TIPO II",'BASE LIQUIDACION'!$C$4,IF(Y188="TIPO III",'BASE LIQUIDACION'!$C$5,'BASE LIQUIDACION'!$C$7))))</f>
        <v>37904.65408</v>
      </c>
      <c r="AG188" s="90">
        <f>IF(W188="SOPORTE_TELEFÓNICO",'BASE LIQUIDACION'!$B$10,(AB188*AF188+AC188*'BASE LIQUIDACION'!$B$12+AD188*'BASE LIQUIDACION'!$B$11+INCIDENTES!AE188*'BASE LIQUIDACION'!$B$13))</f>
        <v>37904.65408</v>
      </c>
    </row>
    <row r="189" spans="1:33">
      <c r="A189" s="56" t="s">
        <v>140</v>
      </c>
      <c r="B189" s="56" t="str">
        <f>VLOOKUP(A189,'CENTRO DE COSTOS'!A:D,4,FALSE)</f>
        <v>MIGUEL JULIÁN HERNÁNDEZ GUARÍN</v>
      </c>
      <c r="C189" s="56" t="str">
        <f>VLOOKUP(A189,'CENTRO DE COSTOS'!A:D,2,FALSE)</f>
        <v>0004-0008</v>
      </c>
      <c r="D189" s="56">
        <v>68679</v>
      </c>
      <c r="E189" s="56">
        <v>2681045</v>
      </c>
      <c r="F189" s="56">
        <v>61382</v>
      </c>
      <c r="G189" s="56" t="s">
        <v>1250</v>
      </c>
      <c r="H189" s="56" t="s">
        <v>142</v>
      </c>
      <c r="I189" s="56" t="s">
        <v>1107</v>
      </c>
      <c r="J189" s="56" t="s">
        <v>2023</v>
      </c>
      <c r="K189" s="56" t="s">
        <v>107</v>
      </c>
      <c r="L189" s="56" t="s">
        <v>2024</v>
      </c>
      <c r="M189" s="103">
        <v>45902.488194444442</v>
      </c>
      <c r="N189" s="103">
        <v>45903.330555555563</v>
      </c>
      <c r="O189" s="56" t="s">
        <v>1253</v>
      </c>
      <c r="P189" s="56" t="s">
        <v>1341</v>
      </c>
      <c r="Q189" s="56" t="s">
        <v>1342</v>
      </c>
      <c r="R189" s="56" t="s">
        <v>1798</v>
      </c>
      <c r="S189" s="66"/>
      <c r="T189" s="66"/>
      <c r="U189" s="56" t="s">
        <v>1257</v>
      </c>
      <c r="V189" s="56" t="s">
        <v>2025</v>
      </c>
      <c r="W189" s="56" t="s">
        <v>1259</v>
      </c>
      <c r="X189" s="56">
        <v>0</v>
      </c>
      <c r="Y189" s="56" t="s">
        <v>114</v>
      </c>
      <c r="Z189" s="56" t="s">
        <v>115</v>
      </c>
      <c r="AA189" s="56" t="s">
        <v>1428</v>
      </c>
      <c r="AB189" s="56">
        <v>0</v>
      </c>
      <c r="AC189" s="56">
        <v>0</v>
      </c>
      <c r="AD189" s="56">
        <v>0</v>
      </c>
      <c r="AE189" s="56">
        <v>0</v>
      </c>
      <c r="AF189" s="69">
        <f>IF(W189="SOPORTE_TELEFÓNICO",'BASE LIQUIDACION'!$B$10,IF(Y189="TIPO I",'BASE LIQUIDACION'!$C$3,IF(Y189="TIPO II",'BASE LIQUIDACION'!$C$4,IF(Y189="TIPO III",'BASE LIQUIDACION'!$C$5,'BASE LIQUIDACION'!$C$7))))</f>
        <v>37904.65408</v>
      </c>
      <c r="AG189" s="90">
        <f>IF(W189="SOPORTE_TELEFÓNICO",'BASE LIQUIDACION'!$B$10,(AB189*AF189+AC189*'BASE LIQUIDACION'!$B$12+AD189*'BASE LIQUIDACION'!$B$11+INCIDENTES!AE189*'BASE LIQUIDACION'!$B$13))</f>
        <v>37904.65408</v>
      </c>
    </row>
    <row r="190" spans="1:33">
      <c r="A190" s="56" t="s">
        <v>589</v>
      </c>
      <c r="B190" s="56" t="str">
        <f>VLOOKUP(A190,'CENTRO DE COSTOS'!A:D,4,FALSE)</f>
        <v>DIEGO FERNANDO HENAO CARDONA</v>
      </c>
      <c r="C190" s="56" t="str">
        <f>VLOOKUP(A190,'CENTRO DE COSTOS'!A:D,2,FALSE)</f>
        <v>0004-0003</v>
      </c>
      <c r="D190" s="56">
        <v>76111</v>
      </c>
      <c r="E190" s="56">
        <v>2679100</v>
      </c>
      <c r="F190" s="56">
        <v>16814</v>
      </c>
      <c r="G190" s="56" t="s">
        <v>1250</v>
      </c>
      <c r="H190" s="56" t="s">
        <v>1189</v>
      </c>
      <c r="I190" s="56" t="s">
        <v>1206</v>
      </c>
      <c r="J190" s="56" t="s">
        <v>2026</v>
      </c>
      <c r="K190" s="56" t="s">
        <v>107</v>
      </c>
      <c r="L190" s="56" t="s">
        <v>2027</v>
      </c>
      <c r="M190" s="103">
        <v>45902.390277777777</v>
      </c>
      <c r="N190" s="103">
        <v>45902.50277777778</v>
      </c>
      <c r="O190" s="56" t="s">
        <v>1253</v>
      </c>
      <c r="P190" s="56" t="s">
        <v>1254</v>
      </c>
      <c r="Q190" s="56" t="s">
        <v>1312</v>
      </c>
      <c r="R190" s="56" t="s">
        <v>1313</v>
      </c>
      <c r="S190" s="66"/>
      <c r="T190" s="66"/>
      <c r="U190" s="56" t="s">
        <v>1257</v>
      </c>
      <c r="V190" s="56" t="s">
        <v>2028</v>
      </c>
      <c r="W190" s="56" t="s">
        <v>1266</v>
      </c>
      <c r="X190" s="56" t="s">
        <v>2029</v>
      </c>
      <c r="Y190" s="56" t="s">
        <v>114</v>
      </c>
      <c r="Z190" s="56" t="s">
        <v>115</v>
      </c>
      <c r="AA190" s="56" t="s">
        <v>2030</v>
      </c>
      <c r="AB190" s="56">
        <v>1</v>
      </c>
      <c r="AC190" s="56">
        <v>0</v>
      </c>
      <c r="AD190" s="56">
        <v>0</v>
      </c>
      <c r="AE190" s="56">
        <v>0</v>
      </c>
      <c r="AF190" s="69">
        <f>IF(W190="SOPORTE_TELEFÓNICO",'BASE LIQUIDACION'!$B$10,IF(Y190="TIPO I",'BASE LIQUIDACION'!$C$3,IF(Y190="TIPO II",'BASE LIQUIDACION'!$C$4,IF(Y190="TIPO III",'BASE LIQUIDACION'!$C$5,'BASE LIQUIDACION'!$C$7))))</f>
        <v>163813.55812</v>
      </c>
      <c r="AG190" s="90">
        <f>IF(W190="SOPORTE_TELEFÓNICO",'BASE LIQUIDACION'!$B$10,(AB190*AF190+AC190*'BASE LIQUIDACION'!$B$12+AD190*'BASE LIQUIDACION'!$B$11+INCIDENTES!AE190*'BASE LIQUIDACION'!$B$13))</f>
        <v>163813.55812</v>
      </c>
    </row>
    <row r="191" spans="1:33">
      <c r="A191" s="56" t="s">
        <v>165</v>
      </c>
      <c r="B191" s="56" t="str">
        <f>VLOOKUP(A191,'CENTRO DE COSTOS'!A:D,4,FALSE)</f>
        <v>JUAN SEBASTIÁN RÍOS CASTRILLÓN</v>
      </c>
      <c r="C191" s="56" t="str">
        <f>VLOOKUP(A191,'CENTRO DE COSTOS'!A:D,2,FALSE)</f>
        <v>0004-0005</v>
      </c>
      <c r="D191" s="56">
        <v>5001</v>
      </c>
      <c r="E191" s="56">
        <v>2677278</v>
      </c>
      <c r="F191" s="56">
        <v>16180</v>
      </c>
      <c r="G191" s="56" t="s">
        <v>1250</v>
      </c>
      <c r="H191" s="56" t="s">
        <v>152</v>
      </c>
      <c r="I191" s="56" t="s">
        <v>165</v>
      </c>
      <c r="J191" s="56" t="s">
        <v>2031</v>
      </c>
      <c r="K191" s="56" t="s">
        <v>107</v>
      </c>
      <c r="L191" s="56" t="s">
        <v>2032</v>
      </c>
      <c r="M191" s="103">
        <v>45902.333333333343</v>
      </c>
      <c r="N191" s="103">
        <v>45902.465277777781</v>
      </c>
      <c r="O191" s="56" t="s">
        <v>1253</v>
      </c>
      <c r="P191" s="56" t="s">
        <v>1254</v>
      </c>
      <c r="Q191" s="56" t="s">
        <v>1263</v>
      </c>
      <c r="R191" s="56" t="s">
        <v>1264</v>
      </c>
      <c r="S191" s="66"/>
      <c r="T191" s="66"/>
      <c r="U191" s="56" t="s">
        <v>1257</v>
      </c>
      <c r="V191" s="56" t="s">
        <v>2033</v>
      </c>
      <c r="W191" s="56" t="s">
        <v>1259</v>
      </c>
      <c r="X191" s="56">
        <v>0</v>
      </c>
      <c r="Y191" s="56" t="s">
        <v>138</v>
      </c>
      <c r="Z191" s="56" t="s">
        <v>115</v>
      </c>
      <c r="AA191" s="56" t="s">
        <v>1672</v>
      </c>
      <c r="AB191" s="56">
        <v>0</v>
      </c>
      <c r="AC191" s="56">
        <v>0</v>
      </c>
      <c r="AD191" s="56">
        <v>0</v>
      </c>
      <c r="AE191" s="56">
        <v>0</v>
      </c>
      <c r="AF191" s="69">
        <f>IF(W191="SOPORTE_TELEFÓNICO",'BASE LIQUIDACION'!$B$10,IF(Y191="TIPO I",'BASE LIQUIDACION'!$C$3,IF(Y191="TIPO II",'BASE LIQUIDACION'!$C$4,IF(Y191="TIPO III",'BASE LIQUIDACION'!$C$5,'BASE LIQUIDACION'!$C$7))))</f>
        <v>37904.65408</v>
      </c>
      <c r="AG191" s="90">
        <f>IF(W191="SOPORTE_TELEFÓNICO",'BASE LIQUIDACION'!$B$10,(AB191*AF191+AC191*'BASE LIQUIDACION'!$B$12+AD191*'BASE LIQUIDACION'!$B$11+INCIDENTES!AE191*'BASE LIQUIDACION'!$B$13))</f>
        <v>37904.65408</v>
      </c>
    </row>
    <row r="192" spans="1:33">
      <c r="A192" s="56" t="s">
        <v>165</v>
      </c>
      <c r="B192" s="56" t="str">
        <f>VLOOKUP(A192,'CENTRO DE COSTOS'!A:D,4,FALSE)</f>
        <v>JUAN SEBASTIÁN RÍOS CASTRILLÓN</v>
      </c>
      <c r="C192" s="56" t="str">
        <f>VLOOKUP(A192,'CENTRO DE COSTOS'!A:D,2,FALSE)</f>
        <v>0004-0005</v>
      </c>
      <c r="D192" s="56">
        <v>5001</v>
      </c>
      <c r="E192" s="56">
        <v>2677067</v>
      </c>
      <c r="F192" s="56">
        <v>80084</v>
      </c>
      <c r="G192" s="56" t="s">
        <v>1250</v>
      </c>
      <c r="H192" s="56" t="s">
        <v>152</v>
      </c>
      <c r="I192" s="56" t="s">
        <v>165</v>
      </c>
      <c r="J192" s="56" t="s">
        <v>2034</v>
      </c>
      <c r="K192" s="56" t="s">
        <v>107</v>
      </c>
      <c r="L192" s="56" t="s">
        <v>2035</v>
      </c>
      <c r="M192" s="103">
        <v>45902.333333333343</v>
      </c>
      <c r="N192" s="103">
        <v>45902.504861111112</v>
      </c>
      <c r="O192" s="56" t="s">
        <v>1253</v>
      </c>
      <c r="P192" s="56" t="s">
        <v>1254</v>
      </c>
      <c r="Q192" s="56" t="s">
        <v>1312</v>
      </c>
      <c r="R192" s="56" t="s">
        <v>1313</v>
      </c>
      <c r="S192" s="66"/>
      <c r="T192" s="66"/>
      <c r="U192" s="56" t="s">
        <v>1257</v>
      </c>
      <c r="V192" s="56" t="s">
        <v>2036</v>
      </c>
      <c r="W192" s="56" t="s">
        <v>1266</v>
      </c>
      <c r="X192" s="56" t="s">
        <v>2037</v>
      </c>
      <c r="Y192" s="56" t="s">
        <v>138</v>
      </c>
      <c r="Z192" s="56" t="s">
        <v>115</v>
      </c>
      <c r="AA192" s="56" t="s">
        <v>1457</v>
      </c>
      <c r="AB192" s="56">
        <v>1</v>
      </c>
      <c r="AC192" s="56">
        <v>0</v>
      </c>
      <c r="AD192" s="56">
        <v>0</v>
      </c>
      <c r="AE192" s="56">
        <v>0</v>
      </c>
      <c r="AF192" s="69">
        <f>IF(W192="SOPORTE_TELEFÓNICO",'BASE LIQUIDACION'!$B$10,IF(Y192="TIPO I",'BASE LIQUIDACION'!$C$3,IF(Y192="TIPO II",'BASE LIQUIDACION'!$C$4,IF(Y192="TIPO III",'BASE LIQUIDACION'!$C$5,'BASE LIQUIDACION'!$C$7))))</f>
        <v>65960.473639999997</v>
      </c>
      <c r="AG192" s="90">
        <f>IF(W192="SOPORTE_TELEFÓNICO",'BASE LIQUIDACION'!$B$10,(AB192*AF192+AC192*'BASE LIQUIDACION'!$B$12+AD192*'BASE LIQUIDACION'!$B$11+INCIDENTES!AE192*'BASE LIQUIDACION'!$B$13))</f>
        <v>65960.473639999997</v>
      </c>
    </row>
    <row r="193" spans="1:33">
      <c r="A193" s="56" t="s">
        <v>363</v>
      </c>
      <c r="B193" s="56" t="str">
        <f>VLOOKUP(A193,'CENTRO DE COSTOS'!A:D,4,FALSE)</f>
        <v>JOSE MAURICIO HERNANDEZ ROJAS</v>
      </c>
      <c r="C193" s="56" t="str">
        <f>VLOOKUP(A193,'CENTRO DE COSTOS'!A:D,2,FALSE)</f>
        <v>0004-0001</v>
      </c>
      <c r="D193" s="56">
        <v>13001</v>
      </c>
      <c r="E193" s="56">
        <v>2676817</v>
      </c>
      <c r="F193" s="56">
        <v>78073</v>
      </c>
      <c r="G193" s="56" t="s">
        <v>1250</v>
      </c>
      <c r="H193" s="56" t="s">
        <v>362</v>
      </c>
      <c r="I193" s="56" t="s">
        <v>363</v>
      </c>
      <c r="J193" s="56" t="s">
        <v>2038</v>
      </c>
      <c r="K193" s="56" t="s">
        <v>107</v>
      </c>
      <c r="L193" s="56" t="s">
        <v>2039</v>
      </c>
      <c r="M193" s="103">
        <v>45901.709722222222</v>
      </c>
      <c r="N193" s="103">
        <v>45902.629166666673</v>
      </c>
      <c r="O193" s="56" t="s">
        <v>1253</v>
      </c>
      <c r="P193" s="56" t="s">
        <v>1254</v>
      </c>
      <c r="Q193" s="56" t="s">
        <v>1357</v>
      </c>
      <c r="R193" s="56" t="s">
        <v>1358</v>
      </c>
      <c r="S193" s="66"/>
      <c r="T193" s="66"/>
      <c r="U193" s="56" t="s">
        <v>1257</v>
      </c>
      <c r="V193" s="56" t="s">
        <v>2040</v>
      </c>
      <c r="W193" s="56" t="s">
        <v>1266</v>
      </c>
      <c r="X193" s="56" t="s">
        <v>2041</v>
      </c>
      <c r="Y193" s="56" t="s">
        <v>138</v>
      </c>
      <c r="Z193" s="56" t="s">
        <v>115</v>
      </c>
      <c r="AA193" s="56" t="s">
        <v>2004</v>
      </c>
      <c r="AB193" s="56">
        <v>1</v>
      </c>
      <c r="AC193" s="56">
        <v>0</v>
      </c>
      <c r="AD193" s="56">
        <v>0</v>
      </c>
      <c r="AE193" s="56">
        <v>0</v>
      </c>
      <c r="AF193" s="69">
        <f>IF(W193="SOPORTE_TELEFÓNICO",'BASE LIQUIDACION'!$B$10,IF(Y193="TIPO I",'BASE LIQUIDACION'!$C$3,IF(Y193="TIPO II",'BASE LIQUIDACION'!$C$4,IF(Y193="TIPO III",'BASE LIQUIDACION'!$C$5,'BASE LIQUIDACION'!$C$7))))</f>
        <v>65960.473639999997</v>
      </c>
      <c r="AG193" s="90">
        <f>IF(W193="SOPORTE_TELEFÓNICO",'BASE LIQUIDACION'!$B$10,(AB193*AF193+AC193*'BASE LIQUIDACION'!$B$12+AD193*'BASE LIQUIDACION'!$B$11+INCIDENTES!AE193*'BASE LIQUIDACION'!$B$13))</f>
        <v>65960.473639999997</v>
      </c>
    </row>
    <row r="194" spans="1:33">
      <c r="A194" s="56" t="s">
        <v>165</v>
      </c>
      <c r="B194" s="56" t="str">
        <f>VLOOKUP(A194,'CENTRO DE COSTOS'!A:D,4,FALSE)</f>
        <v>JUAN SEBASTIÁN RÍOS CASTRILLÓN</v>
      </c>
      <c r="C194" s="56" t="str">
        <f>VLOOKUP(A194,'CENTRO DE COSTOS'!A:D,2,FALSE)</f>
        <v>0004-0005</v>
      </c>
      <c r="D194" s="56">
        <v>5001</v>
      </c>
      <c r="E194" s="56">
        <v>2676327</v>
      </c>
      <c r="F194" s="56">
        <v>18302</v>
      </c>
      <c r="G194" s="56" t="s">
        <v>1250</v>
      </c>
      <c r="H194" s="56" t="s">
        <v>152</v>
      </c>
      <c r="I194" s="56" t="s">
        <v>165</v>
      </c>
      <c r="J194" s="56" t="s">
        <v>2042</v>
      </c>
      <c r="K194" s="56" t="s">
        <v>107</v>
      </c>
      <c r="L194" s="56" t="s">
        <v>2043</v>
      </c>
      <c r="M194" s="103">
        <v>45901.673611111109</v>
      </c>
      <c r="N194" s="103">
        <v>45902.468055555553</v>
      </c>
      <c r="O194" s="56" t="s">
        <v>1253</v>
      </c>
      <c r="P194" s="56" t="s">
        <v>1254</v>
      </c>
      <c r="Q194" s="56" t="s">
        <v>1255</v>
      </c>
      <c r="R194" s="56" t="s">
        <v>1395</v>
      </c>
      <c r="S194" s="66"/>
      <c r="T194" s="66"/>
      <c r="U194" s="56" t="s">
        <v>1257</v>
      </c>
      <c r="V194" s="56" t="s">
        <v>2044</v>
      </c>
      <c r="W194" s="56" t="s">
        <v>1266</v>
      </c>
      <c r="X194" s="56" t="s">
        <v>2045</v>
      </c>
      <c r="Y194" s="56" t="s">
        <v>138</v>
      </c>
      <c r="Z194" s="56" t="s">
        <v>115</v>
      </c>
      <c r="AA194" s="56" t="s">
        <v>1648</v>
      </c>
      <c r="AB194" s="56">
        <v>1</v>
      </c>
      <c r="AC194" s="56">
        <v>0</v>
      </c>
      <c r="AD194" s="56">
        <v>0</v>
      </c>
      <c r="AE194" s="56">
        <v>0</v>
      </c>
      <c r="AF194" s="69">
        <f>IF(W194="SOPORTE_TELEFÓNICO",'BASE LIQUIDACION'!$B$10,IF(Y194="TIPO I",'BASE LIQUIDACION'!$C$3,IF(Y194="TIPO II",'BASE LIQUIDACION'!$C$4,IF(Y194="TIPO III",'BASE LIQUIDACION'!$C$5,'BASE LIQUIDACION'!$C$7))))</f>
        <v>65960.473639999997</v>
      </c>
      <c r="AG194" s="90">
        <f>IF(W194="SOPORTE_TELEFÓNICO",'BASE LIQUIDACION'!$B$10,(AB194*AF194+AC194*'BASE LIQUIDACION'!$B$12+AD194*'BASE LIQUIDACION'!$B$11+INCIDENTES!AE194*'BASE LIQUIDACION'!$B$13))</f>
        <v>65960.473639999997</v>
      </c>
    </row>
    <row r="195" spans="1:33">
      <c r="A195" s="56" t="s">
        <v>182</v>
      </c>
      <c r="B195" s="56" t="str">
        <f>VLOOKUP(A195,'CENTRO DE COSTOS'!A:D,4,FALSE)</f>
        <v>WILLIAM ASDRUBAL ROZO ROZO</v>
      </c>
      <c r="C195" s="56" t="str">
        <f>VLOOKUP(A195,'CENTRO DE COSTOS'!A:D,2,FALSE)</f>
        <v>0004-0004</v>
      </c>
      <c r="D195" s="56">
        <v>11001</v>
      </c>
      <c r="E195" s="56">
        <v>2676298</v>
      </c>
      <c r="F195" s="56">
        <v>78680</v>
      </c>
      <c r="G195" s="56" t="s">
        <v>1250</v>
      </c>
      <c r="H195" s="56" t="s">
        <v>184</v>
      </c>
      <c r="I195" s="56" t="s">
        <v>182</v>
      </c>
      <c r="J195" s="56" t="s">
        <v>2046</v>
      </c>
      <c r="K195" s="56" t="s">
        <v>107</v>
      </c>
      <c r="L195" s="56" t="s">
        <v>2047</v>
      </c>
      <c r="M195" s="103">
        <v>45901.683333333327</v>
      </c>
      <c r="N195" s="103">
        <v>45902.630555555559</v>
      </c>
      <c r="O195" s="56" t="s">
        <v>1253</v>
      </c>
      <c r="P195" s="56" t="s">
        <v>1254</v>
      </c>
      <c r="Q195" s="56" t="s">
        <v>1263</v>
      </c>
      <c r="R195" s="56" t="s">
        <v>1264</v>
      </c>
      <c r="S195" s="66"/>
      <c r="T195" s="66"/>
      <c r="U195" s="56" t="s">
        <v>1257</v>
      </c>
      <c r="V195" s="56" t="s">
        <v>2048</v>
      </c>
      <c r="W195" s="56" t="s">
        <v>1266</v>
      </c>
      <c r="X195" s="56" t="s">
        <v>2049</v>
      </c>
      <c r="Y195" s="56" t="s">
        <v>138</v>
      </c>
      <c r="Z195" s="56" t="s">
        <v>115</v>
      </c>
      <c r="AA195" s="56" t="s">
        <v>1537</v>
      </c>
      <c r="AB195" s="56">
        <v>1</v>
      </c>
      <c r="AC195" s="56">
        <v>0</v>
      </c>
      <c r="AD195" s="56">
        <v>0</v>
      </c>
      <c r="AE195" s="56">
        <v>0</v>
      </c>
      <c r="AF195" s="69">
        <f>IF(W195="SOPORTE_TELEFÓNICO",'BASE LIQUIDACION'!$B$10,IF(Y195="TIPO I",'BASE LIQUIDACION'!$C$3,IF(Y195="TIPO II",'BASE LIQUIDACION'!$C$4,IF(Y195="TIPO III",'BASE LIQUIDACION'!$C$5,'BASE LIQUIDACION'!$C$7))))</f>
        <v>65960.473639999997</v>
      </c>
      <c r="AG195" s="90">
        <f>IF(W195="SOPORTE_TELEFÓNICO",'BASE LIQUIDACION'!$B$10,(AB195*AF195+AC195*'BASE LIQUIDACION'!$B$12+AD195*'BASE LIQUIDACION'!$B$11+INCIDENTES!AE195*'BASE LIQUIDACION'!$B$13))</f>
        <v>65960.473639999997</v>
      </c>
    </row>
    <row r="196" spans="1:33">
      <c r="A196" s="56" t="s">
        <v>150</v>
      </c>
      <c r="B196" s="56" t="str">
        <f>VLOOKUP(A196,'CENTRO DE COSTOS'!A:D,4,FALSE)</f>
        <v>JUAN SEBASTIÁN RÍOS CASTRILLÓN</v>
      </c>
      <c r="C196" s="56" t="str">
        <f>VLOOKUP(A196,'CENTRO DE COSTOS'!A:D,2,FALSE)</f>
        <v>0004-0005</v>
      </c>
      <c r="D196" s="56">
        <v>5172</v>
      </c>
      <c r="E196" s="56">
        <v>2676549</v>
      </c>
      <c r="F196" s="56">
        <v>24683</v>
      </c>
      <c r="G196" s="56" t="s">
        <v>1250</v>
      </c>
      <c r="H196" s="56" t="s">
        <v>152</v>
      </c>
      <c r="I196" s="56" t="s">
        <v>256</v>
      </c>
      <c r="J196" s="56" t="s">
        <v>2050</v>
      </c>
      <c r="K196" s="56" t="s">
        <v>107</v>
      </c>
      <c r="L196" s="56" t="s">
        <v>2051</v>
      </c>
      <c r="M196" s="103">
        <v>45901.693055555559</v>
      </c>
      <c r="N196" s="103">
        <v>45902.482638888891</v>
      </c>
      <c r="O196" s="56" t="s">
        <v>1253</v>
      </c>
      <c r="P196" s="56" t="s">
        <v>1254</v>
      </c>
      <c r="Q196" s="56" t="s">
        <v>1312</v>
      </c>
      <c r="R196" s="56" t="s">
        <v>1313</v>
      </c>
      <c r="S196" s="66"/>
      <c r="T196" s="66"/>
      <c r="U196" s="56" t="s">
        <v>1257</v>
      </c>
      <c r="V196" s="56" t="s">
        <v>2052</v>
      </c>
      <c r="W196" s="56" t="s">
        <v>1259</v>
      </c>
      <c r="X196" s="56">
        <v>0</v>
      </c>
      <c r="Y196" s="56" t="s">
        <v>114</v>
      </c>
      <c r="Z196" s="56" t="s">
        <v>115</v>
      </c>
      <c r="AA196" s="56" t="s">
        <v>158</v>
      </c>
      <c r="AB196" s="56">
        <v>0</v>
      </c>
      <c r="AC196" s="56">
        <v>0</v>
      </c>
      <c r="AD196" s="56">
        <v>0</v>
      </c>
      <c r="AE196" s="56">
        <v>0</v>
      </c>
      <c r="AF196" s="69">
        <f>IF(W196="SOPORTE_TELEFÓNICO",'BASE LIQUIDACION'!$B$10,IF(Y196="TIPO I",'BASE LIQUIDACION'!$C$3,IF(Y196="TIPO II",'BASE LIQUIDACION'!$C$4,IF(Y196="TIPO III",'BASE LIQUIDACION'!$C$5,'BASE LIQUIDACION'!$C$7))))</f>
        <v>37904.65408</v>
      </c>
      <c r="AG196" s="90">
        <f>IF(W196="SOPORTE_TELEFÓNICO",'BASE LIQUIDACION'!$B$10,(AB196*AF196+AC196*'BASE LIQUIDACION'!$B$12+AD196*'BASE LIQUIDACION'!$B$11+INCIDENTES!AE196*'BASE LIQUIDACION'!$B$13))</f>
        <v>37904.65408</v>
      </c>
    </row>
    <row r="197" spans="1:33">
      <c r="A197" s="56" t="s">
        <v>131</v>
      </c>
      <c r="B197" s="56" t="str">
        <f>VLOOKUP(A197,'CENTRO DE COSTOS'!A:D,4,FALSE)</f>
        <v>MIGUEL JULIÁN HERNÁNDEZ GUARÍN</v>
      </c>
      <c r="C197" s="56" t="str">
        <f>VLOOKUP(A197,'CENTRO DE COSTOS'!A:D,2,FALSE)</f>
        <v>0004-0008</v>
      </c>
      <c r="D197" s="56">
        <v>15238</v>
      </c>
      <c r="E197" s="56">
        <v>2674983</v>
      </c>
      <c r="F197" s="56">
        <v>60168</v>
      </c>
      <c r="G197" s="56" t="s">
        <v>1250</v>
      </c>
      <c r="H197" s="56" t="s">
        <v>133</v>
      </c>
      <c r="I197" s="56" t="s">
        <v>440</v>
      </c>
      <c r="J197" s="56" t="s">
        <v>2053</v>
      </c>
      <c r="K197" s="56" t="s">
        <v>107</v>
      </c>
      <c r="L197" s="56" t="s">
        <v>2054</v>
      </c>
      <c r="M197" s="103">
        <v>45901.607638888891</v>
      </c>
      <c r="N197" s="103">
        <v>45902.561805555553</v>
      </c>
      <c r="O197" s="56" t="s">
        <v>1253</v>
      </c>
      <c r="P197" s="56" t="s">
        <v>1254</v>
      </c>
      <c r="Q197" s="56" t="s">
        <v>1286</v>
      </c>
      <c r="R197" s="56" t="s">
        <v>1287</v>
      </c>
      <c r="S197" s="66"/>
      <c r="T197" s="66"/>
      <c r="U197" s="56" t="s">
        <v>1257</v>
      </c>
      <c r="V197" s="56" t="s">
        <v>2055</v>
      </c>
      <c r="W197" s="56" t="s">
        <v>1266</v>
      </c>
      <c r="X197" s="56" t="s">
        <v>2056</v>
      </c>
      <c r="Y197" s="56" t="s">
        <v>114</v>
      </c>
      <c r="Z197" s="56" t="s">
        <v>115</v>
      </c>
      <c r="AA197" s="56" t="s">
        <v>1300</v>
      </c>
      <c r="AB197" s="56">
        <v>1</v>
      </c>
      <c r="AC197" s="56">
        <v>0</v>
      </c>
      <c r="AD197" s="56">
        <v>0</v>
      </c>
      <c r="AE197" s="56">
        <v>0</v>
      </c>
      <c r="AF197" s="69">
        <f>IF(W197="SOPORTE_TELEFÓNICO",'BASE LIQUIDACION'!$B$10,IF(Y197="TIPO I",'BASE LIQUIDACION'!$C$3,IF(Y197="TIPO II",'BASE LIQUIDACION'!$C$4,IF(Y197="TIPO III",'BASE LIQUIDACION'!$C$5,'BASE LIQUIDACION'!$C$7))))</f>
        <v>163813.55812</v>
      </c>
      <c r="AG197" s="90">
        <f>IF(W197="SOPORTE_TELEFÓNICO",'BASE LIQUIDACION'!$B$10,(AB197*AF197+AC197*'BASE LIQUIDACION'!$B$12+AD197*'BASE LIQUIDACION'!$B$11+INCIDENTES!AE197*'BASE LIQUIDACION'!$B$13))</f>
        <v>163813.55812</v>
      </c>
    </row>
    <row r="198" spans="1:33">
      <c r="A198" s="56" t="s">
        <v>471</v>
      </c>
      <c r="B198" s="56" t="str">
        <f>VLOOKUP(A198,'CENTRO DE COSTOS'!A:D,4,FALSE)</f>
        <v>KEVIN ALEXIS CORZO BUSTOS</v>
      </c>
      <c r="C198" s="56" t="str">
        <f>VLOOKUP(A198,'CENTRO DE COSTOS'!A:D,2,FALSE)</f>
        <v>0004-0007</v>
      </c>
      <c r="D198" s="56">
        <v>85001</v>
      </c>
      <c r="E198" s="56">
        <v>2675354</v>
      </c>
      <c r="F198" s="56">
        <v>81044</v>
      </c>
      <c r="G198" s="56" t="s">
        <v>1250</v>
      </c>
      <c r="H198" s="56" t="s">
        <v>571</v>
      </c>
      <c r="I198" s="56" t="s">
        <v>471</v>
      </c>
      <c r="J198" s="56" t="s">
        <v>2057</v>
      </c>
      <c r="K198" s="56" t="s">
        <v>107</v>
      </c>
      <c r="L198" s="56" t="s">
        <v>2058</v>
      </c>
      <c r="M198" s="103">
        <v>45901.622916666667</v>
      </c>
      <c r="N198" s="103">
        <v>45902.409722222219</v>
      </c>
      <c r="O198" s="56" t="s">
        <v>1253</v>
      </c>
      <c r="P198" s="56" t="s">
        <v>1254</v>
      </c>
      <c r="Q198" s="56" t="s">
        <v>1271</v>
      </c>
      <c r="R198" s="56" t="s">
        <v>1277</v>
      </c>
      <c r="S198" s="66"/>
      <c r="T198" s="66"/>
      <c r="U198" s="56" t="s">
        <v>1257</v>
      </c>
      <c r="V198" s="56" t="s">
        <v>2059</v>
      </c>
      <c r="W198" s="56" t="s">
        <v>1259</v>
      </c>
      <c r="X198" s="56">
        <v>0</v>
      </c>
      <c r="Y198" s="56" t="s">
        <v>138</v>
      </c>
      <c r="Z198" s="56" t="s">
        <v>115</v>
      </c>
      <c r="AA198" s="56" t="s">
        <v>1811</v>
      </c>
      <c r="AB198" s="56">
        <v>0</v>
      </c>
      <c r="AC198" s="56">
        <v>0</v>
      </c>
      <c r="AD198" s="56">
        <v>0</v>
      </c>
      <c r="AE198" s="56">
        <v>0</v>
      </c>
      <c r="AF198" s="69">
        <f>IF(W198="SOPORTE_TELEFÓNICO",'BASE LIQUIDACION'!$B$10,IF(Y198="TIPO I",'BASE LIQUIDACION'!$C$3,IF(Y198="TIPO II",'BASE LIQUIDACION'!$C$4,IF(Y198="TIPO III",'BASE LIQUIDACION'!$C$5,'BASE LIQUIDACION'!$C$7))))</f>
        <v>37904.65408</v>
      </c>
      <c r="AG198" s="90">
        <f>IF(W198="SOPORTE_TELEFÓNICO",'BASE LIQUIDACION'!$B$10,(AB198*AF198+AC198*'BASE LIQUIDACION'!$B$12+AD198*'BASE LIQUIDACION'!$B$11+INCIDENTES!AE198*'BASE LIQUIDACION'!$B$13))</f>
        <v>37904.65408</v>
      </c>
    </row>
    <row r="199" spans="1:33">
      <c r="A199" s="56" t="s">
        <v>165</v>
      </c>
      <c r="B199" s="56" t="str">
        <f>VLOOKUP(A199,'CENTRO DE COSTOS'!A:D,4,FALSE)</f>
        <v>JUAN SEBASTIÁN RÍOS CASTRILLÓN</v>
      </c>
      <c r="C199" s="56" t="str">
        <f>VLOOKUP(A199,'CENTRO DE COSTOS'!A:D,2,FALSE)</f>
        <v>0004-0005</v>
      </c>
      <c r="D199" s="56">
        <v>5001</v>
      </c>
      <c r="E199" s="56">
        <v>2671434</v>
      </c>
      <c r="F199" s="56">
        <v>25711</v>
      </c>
      <c r="G199" s="56" t="s">
        <v>1250</v>
      </c>
      <c r="H199" s="56" t="s">
        <v>152</v>
      </c>
      <c r="I199" s="56" t="s">
        <v>165</v>
      </c>
      <c r="J199" s="56" t="s">
        <v>2060</v>
      </c>
      <c r="K199" s="56" t="s">
        <v>107</v>
      </c>
      <c r="L199" s="56" t="s">
        <v>2061</v>
      </c>
      <c r="M199" s="103">
        <v>45901.40347222222</v>
      </c>
      <c r="N199" s="103">
        <v>45901.628472222219</v>
      </c>
      <c r="O199" s="56" t="s">
        <v>1253</v>
      </c>
      <c r="P199" s="56" t="s">
        <v>1254</v>
      </c>
      <c r="Q199" s="56" t="s">
        <v>1357</v>
      </c>
      <c r="R199" s="56" t="s">
        <v>1358</v>
      </c>
      <c r="S199" s="66"/>
      <c r="T199" s="66"/>
      <c r="U199" s="56" t="s">
        <v>1257</v>
      </c>
      <c r="V199" s="56" t="s">
        <v>2062</v>
      </c>
      <c r="W199" s="56" t="s">
        <v>1266</v>
      </c>
      <c r="X199" s="56" t="s">
        <v>2063</v>
      </c>
      <c r="Y199" s="56" t="s">
        <v>138</v>
      </c>
      <c r="Z199" s="56" t="s">
        <v>115</v>
      </c>
      <c r="AA199" s="56" t="s">
        <v>1592</v>
      </c>
      <c r="AB199" s="56">
        <v>1</v>
      </c>
      <c r="AC199" s="56">
        <v>0</v>
      </c>
      <c r="AD199" s="56">
        <v>0</v>
      </c>
      <c r="AE199" s="56">
        <v>0</v>
      </c>
      <c r="AF199" s="69">
        <f>IF(W199="SOPORTE_TELEFÓNICO",'BASE LIQUIDACION'!$B$10,IF(Y199="TIPO I",'BASE LIQUIDACION'!$C$3,IF(Y199="TIPO II",'BASE LIQUIDACION'!$C$4,IF(Y199="TIPO III",'BASE LIQUIDACION'!$C$5,'BASE LIQUIDACION'!$C$7))))</f>
        <v>65960.473639999997</v>
      </c>
      <c r="AG199" s="90">
        <f>IF(W199="SOPORTE_TELEFÓNICO",'BASE LIQUIDACION'!$B$10,(AB199*AF199+AC199*'BASE LIQUIDACION'!$B$12+AD199*'BASE LIQUIDACION'!$B$11+INCIDENTES!AE199*'BASE LIQUIDACION'!$B$13))</f>
        <v>65960.473639999997</v>
      </c>
    </row>
    <row r="200" spans="1:33">
      <c r="A200" s="56" t="s">
        <v>539</v>
      </c>
      <c r="B200" s="56" t="str">
        <f>VLOOKUP(A200,'CENTRO DE COSTOS'!A:D,4,FALSE)</f>
        <v>KEVIN ALEXIS CORZO BUSTOS</v>
      </c>
      <c r="C200" s="56" t="str">
        <f>VLOOKUP(A200,'CENTRO DE COSTOS'!A:D,2,FALSE)</f>
        <v>0004-0007</v>
      </c>
      <c r="D200" s="56">
        <v>73001</v>
      </c>
      <c r="E200" s="56">
        <v>2671981</v>
      </c>
      <c r="F200" s="56">
        <v>77766</v>
      </c>
      <c r="G200" s="56" t="s">
        <v>1250</v>
      </c>
      <c r="H200" s="56" t="s">
        <v>1144</v>
      </c>
      <c r="I200" s="56" t="s">
        <v>539</v>
      </c>
      <c r="J200" s="56" t="s">
        <v>2064</v>
      </c>
      <c r="K200" s="56" t="s">
        <v>107</v>
      </c>
      <c r="L200" s="56" t="s">
        <v>2065</v>
      </c>
      <c r="M200" s="103">
        <v>45901.425000000003</v>
      </c>
      <c r="N200" s="103">
        <v>45902.386805555558</v>
      </c>
      <c r="O200" s="56" t="s">
        <v>1253</v>
      </c>
      <c r="P200" s="56" t="s">
        <v>1254</v>
      </c>
      <c r="Q200" s="56" t="s">
        <v>1271</v>
      </c>
      <c r="R200" s="56" t="s">
        <v>1277</v>
      </c>
      <c r="S200" s="66"/>
      <c r="T200" s="66"/>
      <c r="U200" s="56" t="s">
        <v>1257</v>
      </c>
      <c r="V200" s="56" t="s">
        <v>2066</v>
      </c>
      <c r="W200" s="56" t="s">
        <v>1266</v>
      </c>
      <c r="X200" s="56" t="s">
        <v>1664</v>
      </c>
      <c r="Y200" s="56" t="s">
        <v>138</v>
      </c>
      <c r="Z200" s="56" t="s">
        <v>115</v>
      </c>
      <c r="AA200" s="56" t="s">
        <v>2067</v>
      </c>
      <c r="AB200" s="56">
        <v>1</v>
      </c>
      <c r="AC200" s="56">
        <v>0</v>
      </c>
      <c r="AD200" s="56">
        <v>0</v>
      </c>
      <c r="AE200" s="56">
        <v>0</v>
      </c>
      <c r="AF200" s="69">
        <f>IF(W200="SOPORTE_TELEFÓNICO",'BASE LIQUIDACION'!$B$10,IF(Y200="TIPO I",'BASE LIQUIDACION'!$C$3,IF(Y200="TIPO II",'BASE LIQUIDACION'!$C$4,IF(Y200="TIPO III",'BASE LIQUIDACION'!$C$5,'BASE LIQUIDACION'!$C$7))))</f>
        <v>65960.473639999997</v>
      </c>
      <c r="AG200" s="90">
        <f>IF(W200="SOPORTE_TELEFÓNICO",'BASE LIQUIDACION'!$B$10,(AB200*AF200+AC200*'BASE LIQUIDACION'!$B$12+AD200*'BASE LIQUIDACION'!$B$11+INCIDENTES!AE200*'BASE LIQUIDACION'!$B$13))</f>
        <v>65960.473639999997</v>
      </c>
    </row>
    <row r="201" spans="1:33">
      <c r="A201" s="56" t="s">
        <v>182</v>
      </c>
      <c r="B201" s="56" t="str">
        <f>VLOOKUP(A201,'CENTRO DE COSTOS'!A:D,4,FALSE)</f>
        <v>WILLIAM ASDRUBAL ROZO ROZO</v>
      </c>
      <c r="C201" s="56" t="str">
        <f>VLOOKUP(A201,'CENTRO DE COSTOS'!A:D,2,FALSE)</f>
        <v>0004-0004</v>
      </c>
      <c r="D201" s="56">
        <v>25326</v>
      </c>
      <c r="E201" s="56">
        <v>2670989</v>
      </c>
      <c r="F201" s="56">
        <v>29809</v>
      </c>
      <c r="G201" s="56" t="s">
        <v>1250</v>
      </c>
      <c r="H201" s="56" t="s">
        <v>184</v>
      </c>
      <c r="I201" s="56" t="s">
        <v>752</v>
      </c>
      <c r="J201" s="56" t="s">
        <v>2068</v>
      </c>
      <c r="K201" s="56" t="s">
        <v>107</v>
      </c>
      <c r="L201" s="56" t="s">
        <v>2069</v>
      </c>
      <c r="M201" s="103">
        <v>45901.388888888891</v>
      </c>
      <c r="N201" s="103">
        <v>45902.560416666667</v>
      </c>
      <c r="O201" s="56" t="s">
        <v>1253</v>
      </c>
      <c r="P201" s="56" t="s">
        <v>1254</v>
      </c>
      <c r="Q201" s="56" t="s">
        <v>1312</v>
      </c>
      <c r="R201" s="56" t="s">
        <v>1313</v>
      </c>
      <c r="S201" s="66"/>
      <c r="T201" s="66"/>
      <c r="U201" s="56" t="s">
        <v>1257</v>
      </c>
      <c r="V201" s="56" t="s">
        <v>2070</v>
      </c>
      <c r="W201" s="56" t="s">
        <v>1266</v>
      </c>
      <c r="X201" s="56" t="s">
        <v>2071</v>
      </c>
      <c r="Y201" s="56" t="s">
        <v>114</v>
      </c>
      <c r="Z201" s="56" t="s">
        <v>115</v>
      </c>
      <c r="AA201" s="56" t="s">
        <v>1888</v>
      </c>
      <c r="AB201" s="56">
        <v>1</v>
      </c>
      <c r="AC201" s="56">
        <v>0</v>
      </c>
      <c r="AD201" s="56">
        <v>0</v>
      </c>
      <c r="AE201" s="56">
        <v>0</v>
      </c>
      <c r="AF201" s="69">
        <f>IF(W201="SOPORTE_TELEFÓNICO",'BASE LIQUIDACION'!$B$10,IF(Y201="TIPO I",'BASE LIQUIDACION'!$C$3,IF(Y201="TIPO II",'BASE LIQUIDACION'!$C$4,IF(Y201="TIPO III",'BASE LIQUIDACION'!$C$5,'BASE LIQUIDACION'!$C$7))))</f>
        <v>163813.55812</v>
      </c>
      <c r="AG201" s="90">
        <f>IF(W201="SOPORTE_TELEFÓNICO",'BASE LIQUIDACION'!$B$10,(AB201*AF201+AC201*'BASE LIQUIDACION'!$B$12+AD201*'BASE LIQUIDACION'!$B$11+INCIDENTES!AE201*'BASE LIQUIDACION'!$B$13))</f>
        <v>163813.55812</v>
      </c>
    </row>
    <row r="202" spans="1:33">
      <c r="A202" s="56" t="s">
        <v>589</v>
      </c>
      <c r="B202" s="56" t="str">
        <f>VLOOKUP(A202,'CENTRO DE COSTOS'!A:D,4,FALSE)</f>
        <v>DIEGO FERNANDO HENAO CARDONA</v>
      </c>
      <c r="C202" s="56" t="str">
        <f>VLOOKUP(A202,'CENTRO DE COSTOS'!A:D,2,FALSE)</f>
        <v>0004-0003</v>
      </c>
      <c r="D202" s="56">
        <v>76001</v>
      </c>
      <c r="E202" s="56">
        <v>2670804</v>
      </c>
      <c r="F202" s="56">
        <v>70111</v>
      </c>
      <c r="G202" s="56" t="s">
        <v>1250</v>
      </c>
      <c r="H202" s="56" t="s">
        <v>1189</v>
      </c>
      <c r="I202" s="56" t="s">
        <v>589</v>
      </c>
      <c r="J202" s="56" t="s">
        <v>2072</v>
      </c>
      <c r="K202" s="56" t="s">
        <v>107</v>
      </c>
      <c r="L202" s="56" t="s">
        <v>2073</v>
      </c>
      <c r="M202" s="103">
        <v>45901.373611111107</v>
      </c>
      <c r="N202" s="103">
        <v>45901.517361111109</v>
      </c>
      <c r="O202" s="56" t="s">
        <v>1253</v>
      </c>
      <c r="P202" s="56" t="s">
        <v>1254</v>
      </c>
      <c r="Q202" s="56" t="s">
        <v>1271</v>
      </c>
      <c r="R202" s="56" t="s">
        <v>1277</v>
      </c>
      <c r="S202" s="66"/>
      <c r="T202" s="66"/>
      <c r="U202" s="56" t="s">
        <v>1257</v>
      </c>
      <c r="V202" s="56" t="s">
        <v>2074</v>
      </c>
      <c r="W202" s="56" t="s">
        <v>1259</v>
      </c>
      <c r="X202" s="56">
        <v>0</v>
      </c>
      <c r="Y202" s="56" t="s">
        <v>138</v>
      </c>
      <c r="Z202" s="56" t="s">
        <v>115</v>
      </c>
      <c r="AA202" s="56" t="s">
        <v>2030</v>
      </c>
      <c r="AB202" s="56">
        <v>0</v>
      </c>
      <c r="AC202" s="56">
        <v>0</v>
      </c>
      <c r="AD202" s="56">
        <v>0</v>
      </c>
      <c r="AE202" s="56">
        <v>0</v>
      </c>
      <c r="AF202" s="69">
        <f>IF(W202="SOPORTE_TELEFÓNICO",'BASE LIQUIDACION'!$B$10,IF(Y202="TIPO I",'BASE LIQUIDACION'!$C$3,IF(Y202="TIPO II",'BASE LIQUIDACION'!$C$4,IF(Y202="TIPO III",'BASE LIQUIDACION'!$C$5,'BASE LIQUIDACION'!$C$7))))</f>
        <v>37904.65408</v>
      </c>
      <c r="AG202" s="90">
        <f>IF(W202="SOPORTE_TELEFÓNICO",'BASE LIQUIDACION'!$B$10,(AB202*AF202+AC202*'BASE LIQUIDACION'!$B$12+AD202*'BASE LIQUIDACION'!$B$11+INCIDENTES!AE202*'BASE LIQUIDACION'!$B$13))</f>
        <v>37904.65408</v>
      </c>
    </row>
    <row r="203" spans="1:33">
      <c r="A203" s="56" t="s">
        <v>140</v>
      </c>
      <c r="B203" s="56" t="str">
        <f>VLOOKUP(A203,'CENTRO DE COSTOS'!A:D,4,FALSE)</f>
        <v>MIGUEL JULIÁN HERNÁNDEZ GUARÍN</v>
      </c>
      <c r="C203" s="56" t="str">
        <f>VLOOKUP(A203,'CENTRO DE COSTOS'!A:D,2,FALSE)</f>
        <v>0004-0008</v>
      </c>
      <c r="D203" s="56">
        <v>68307</v>
      </c>
      <c r="E203" s="56">
        <v>2670415</v>
      </c>
      <c r="F203" s="56">
        <v>26929</v>
      </c>
      <c r="G203" s="56" t="s">
        <v>1250</v>
      </c>
      <c r="H203" s="56" t="s">
        <v>142</v>
      </c>
      <c r="I203" s="56" t="s">
        <v>143</v>
      </c>
      <c r="J203" s="56" t="s">
        <v>2075</v>
      </c>
      <c r="K203" s="56" t="s">
        <v>107</v>
      </c>
      <c r="L203" s="56" t="s">
        <v>2076</v>
      </c>
      <c r="M203" s="103">
        <v>45901.356249999997</v>
      </c>
      <c r="N203" s="103">
        <v>45901.602777777778</v>
      </c>
      <c r="O203" s="56" t="s">
        <v>1253</v>
      </c>
      <c r="P203" s="56" t="s">
        <v>1254</v>
      </c>
      <c r="Q203" s="56" t="s">
        <v>1271</v>
      </c>
      <c r="R203" s="56" t="s">
        <v>1277</v>
      </c>
      <c r="S203" s="66"/>
      <c r="T203" s="66"/>
      <c r="U203" s="56" t="s">
        <v>1257</v>
      </c>
      <c r="V203" s="56" t="s">
        <v>2077</v>
      </c>
      <c r="W203" s="56" t="s">
        <v>1259</v>
      </c>
      <c r="X203" s="56">
        <v>0</v>
      </c>
      <c r="Y203" s="56" t="s">
        <v>138</v>
      </c>
      <c r="Z203" s="56" t="s">
        <v>115</v>
      </c>
      <c r="AA203" s="56" t="s">
        <v>149</v>
      </c>
      <c r="AB203" s="56">
        <v>0</v>
      </c>
      <c r="AC203" s="56">
        <v>0</v>
      </c>
      <c r="AD203" s="56">
        <v>0</v>
      </c>
      <c r="AE203" s="56">
        <v>0</v>
      </c>
      <c r="AF203" s="69">
        <f>IF(W203="SOPORTE_TELEFÓNICO",'BASE LIQUIDACION'!$B$10,IF(Y203="TIPO I",'BASE LIQUIDACION'!$C$3,IF(Y203="TIPO II",'BASE LIQUIDACION'!$C$4,IF(Y203="TIPO III",'BASE LIQUIDACION'!$C$5,'BASE LIQUIDACION'!$C$7))))</f>
        <v>37904.65408</v>
      </c>
      <c r="AG203" s="90">
        <f>IF(W203="SOPORTE_TELEFÓNICO",'BASE LIQUIDACION'!$B$10,(AB203*AF203+AC203*'BASE LIQUIDACION'!$B$12+AD203*'BASE LIQUIDACION'!$B$11+INCIDENTES!AE203*'BASE LIQUIDACION'!$B$13))</f>
        <v>37904.65408</v>
      </c>
    </row>
    <row r="204" spans="1:33">
      <c r="A204" s="56" t="s">
        <v>363</v>
      </c>
      <c r="B204" s="56" t="str">
        <f>VLOOKUP(A204,'CENTRO DE COSTOS'!A:D,4,FALSE)</f>
        <v>JOSE MAURICIO HERNANDEZ ROJAS</v>
      </c>
      <c r="C204" s="56" t="str">
        <f>VLOOKUP(A204,'CENTRO DE COSTOS'!A:D,2,FALSE)</f>
        <v>0004-0001</v>
      </c>
      <c r="D204" s="56">
        <v>13052</v>
      </c>
      <c r="E204" s="56">
        <v>2670529</v>
      </c>
      <c r="F204" s="56">
        <v>79876</v>
      </c>
      <c r="G204" s="56" t="s">
        <v>1250</v>
      </c>
      <c r="H204" s="56" t="s">
        <v>362</v>
      </c>
      <c r="I204" s="56" t="s">
        <v>375</v>
      </c>
      <c r="J204" s="56" t="s">
        <v>2078</v>
      </c>
      <c r="K204" s="56" t="s">
        <v>107</v>
      </c>
      <c r="L204" s="56" t="s">
        <v>2079</v>
      </c>
      <c r="M204" s="103">
        <v>45901.364583333343</v>
      </c>
      <c r="N204" s="103">
        <v>45902.408333333333</v>
      </c>
      <c r="O204" s="56" t="s">
        <v>1253</v>
      </c>
      <c r="P204" s="56" t="s">
        <v>1254</v>
      </c>
      <c r="Q204" s="56" t="s">
        <v>1348</v>
      </c>
      <c r="R204" s="56" t="s">
        <v>1277</v>
      </c>
      <c r="S204" s="66"/>
      <c r="T204" s="66"/>
      <c r="U204" s="56" t="s">
        <v>1257</v>
      </c>
      <c r="V204" s="56" t="s">
        <v>2080</v>
      </c>
      <c r="W204" s="56" t="s">
        <v>1259</v>
      </c>
      <c r="X204" s="56">
        <v>0</v>
      </c>
      <c r="Y204" s="56" t="s">
        <v>114</v>
      </c>
      <c r="Z204" s="56" t="s">
        <v>115</v>
      </c>
      <c r="AA204" s="56" t="s">
        <v>1309</v>
      </c>
      <c r="AB204" s="56">
        <v>0</v>
      </c>
      <c r="AC204" s="56">
        <v>0</v>
      </c>
      <c r="AD204" s="56">
        <v>0</v>
      </c>
      <c r="AE204" s="56">
        <v>0</v>
      </c>
      <c r="AF204" s="69">
        <f>IF(W204="SOPORTE_TELEFÓNICO",'BASE LIQUIDACION'!$B$10,IF(Y204="TIPO I",'BASE LIQUIDACION'!$C$3,IF(Y204="TIPO II",'BASE LIQUIDACION'!$C$4,IF(Y204="TIPO III",'BASE LIQUIDACION'!$C$5,'BASE LIQUIDACION'!$C$7))))</f>
        <v>37904.65408</v>
      </c>
      <c r="AG204" s="90">
        <f>IF(W204="SOPORTE_TELEFÓNICO",'BASE LIQUIDACION'!$B$10,(AB204*AF204+AC204*'BASE LIQUIDACION'!$B$12+AD204*'BASE LIQUIDACION'!$B$11+INCIDENTES!AE204*'BASE LIQUIDACION'!$B$13))</f>
        <v>37904.65408</v>
      </c>
    </row>
    <row r="205" spans="1:33">
      <c r="A205" s="56" t="s">
        <v>165</v>
      </c>
      <c r="B205" s="56" t="str">
        <f>VLOOKUP(A205,'CENTRO DE COSTOS'!A:D,4,FALSE)</f>
        <v>JUAN SEBASTIÁN RÍOS CASTRILLÓN</v>
      </c>
      <c r="C205" s="56" t="str">
        <f>VLOOKUP(A205,'CENTRO DE COSTOS'!A:D,2,FALSE)</f>
        <v>0004-0005</v>
      </c>
      <c r="D205" s="56">
        <v>5148</v>
      </c>
      <c r="E205" s="56">
        <v>2668709</v>
      </c>
      <c r="F205" s="56">
        <v>62238</v>
      </c>
      <c r="G205" s="56" t="s">
        <v>1250</v>
      </c>
      <c r="H205" s="56" t="s">
        <v>152</v>
      </c>
      <c r="I205" s="56" t="s">
        <v>265</v>
      </c>
      <c r="J205" s="56" t="s">
        <v>2081</v>
      </c>
      <c r="K205" s="56" t="s">
        <v>107</v>
      </c>
      <c r="L205" s="56" t="s">
        <v>2082</v>
      </c>
      <c r="M205" s="103">
        <v>45899.669444444437</v>
      </c>
      <c r="N205" s="103">
        <v>45901.561805555553</v>
      </c>
      <c r="O205" s="56" t="s">
        <v>1253</v>
      </c>
      <c r="P205" s="56" t="s">
        <v>1254</v>
      </c>
      <c r="Q205" s="56" t="s">
        <v>1357</v>
      </c>
      <c r="R205" s="56" t="s">
        <v>1358</v>
      </c>
      <c r="S205" s="66"/>
      <c r="T205" s="66"/>
      <c r="U205" s="56" t="s">
        <v>1257</v>
      </c>
      <c r="V205" s="56" t="s">
        <v>2083</v>
      </c>
      <c r="W205" s="56" t="s">
        <v>1266</v>
      </c>
      <c r="X205" s="56" t="s">
        <v>2084</v>
      </c>
      <c r="Y205" s="56" t="s">
        <v>114</v>
      </c>
      <c r="Z205" s="56" t="s">
        <v>115</v>
      </c>
      <c r="AA205" s="56" t="s">
        <v>1557</v>
      </c>
      <c r="AB205" s="56">
        <v>1</v>
      </c>
      <c r="AC205" s="56">
        <v>0</v>
      </c>
      <c r="AD205" s="56">
        <v>0</v>
      </c>
      <c r="AE205" s="56">
        <v>0</v>
      </c>
      <c r="AF205" s="69">
        <f>IF(W205="SOPORTE_TELEFÓNICO",'BASE LIQUIDACION'!$B$10,IF(Y205="TIPO I",'BASE LIQUIDACION'!$C$3,IF(Y205="TIPO II",'BASE LIQUIDACION'!$C$4,IF(Y205="TIPO III",'BASE LIQUIDACION'!$C$5,'BASE LIQUIDACION'!$C$7))))</f>
        <v>163813.55812</v>
      </c>
      <c r="AG205" s="90">
        <f>IF(W205="SOPORTE_TELEFÓNICO",'BASE LIQUIDACION'!$B$10,(AB205*AF205+AC205*'BASE LIQUIDACION'!$B$12+AD205*'BASE LIQUIDACION'!$B$11+INCIDENTES!AE205*'BASE LIQUIDACION'!$B$13))</f>
        <v>163813.55812</v>
      </c>
    </row>
    <row r="206" spans="1:33">
      <c r="A206" s="56" t="s">
        <v>529</v>
      </c>
      <c r="B206" s="56" t="str">
        <f>VLOOKUP(A206,'CENTRO DE COSTOS'!A:D,4,FALSE)</f>
        <v>DIEGO FERNANDO HENAO CARDONA</v>
      </c>
      <c r="C206" s="56" t="str">
        <f>VLOOKUP(A206,'CENTRO DE COSTOS'!A:D,2,FALSE)</f>
        <v>0004-0002</v>
      </c>
      <c r="D206" s="56">
        <v>17174</v>
      </c>
      <c r="E206" s="56">
        <v>2668458</v>
      </c>
      <c r="F206" s="56">
        <v>81128</v>
      </c>
      <c r="G206" s="56" t="s">
        <v>1250</v>
      </c>
      <c r="H206" s="56" t="s">
        <v>214</v>
      </c>
      <c r="I206" s="56" t="s">
        <v>536</v>
      </c>
      <c r="J206" s="56" t="s">
        <v>2085</v>
      </c>
      <c r="K206" s="56" t="s">
        <v>107</v>
      </c>
      <c r="L206" s="56" t="s">
        <v>2086</v>
      </c>
      <c r="M206" s="103">
        <v>45899.53125</v>
      </c>
      <c r="N206" s="103">
        <v>45901.505555555559</v>
      </c>
      <c r="O206" s="56" t="s">
        <v>1253</v>
      </c>
      <c r="P206" s="56" t="s">
        <v>1254</v>
      </c>
      <c r="Q206" s="56" t="s">
        <v>1348</v>
      </c>
      <c r="R206" s="56" t="s">
        <v>1277</v>
      </c>
      <c r="S206" s="66"/>
      <c r="T206" s="66"/>
      <c r="U206" s="56" t="s">
        <v>1257</v>
      </c>
      <c r="V206" s="56" t="s">
        <v>2087</v>
      </c>
      <c r="W206" s="56" t="s">
        <v>1266</v>
      </c>
      <c r="X206" s="56" t="s">
        <v>2088</v>
      </c>
      <c r="Y206" s="56" t="s">
        <v>114</v>
      </c>
      <c r="Z206" s="56" t="s">
        <v>115</v>
      </c>
      <c r="AA206" s="56" t="s">
        <v>1638</v>
      </c>
      <c r="AB206" s="56">
        <v>1</v>
      </c>
      <c r="AC206" s="56">
        <v>0</v>
      </c>
      <c r="AD206" s="56">
        <v>0</v>
      </c>
      <c r="AE206" s="56">
        <v>0</v>
      </c>
      <c r="AF206" s="69">
        <f>IF(W206="SOPORTE_TELEFÓNICO",'BASE LIQUIDACION'!$B$10,IF(Y206="TIPO I",'BASE LIQUIDACION'!$C$3,IF(Y206="TIPO II",'BASE LIQUIDACION'!$C$4,IF(Y206="TIPO III",'BASE LIQUIDACION'!$C$5,'BASE LIQUIDACION'!$C$7))))</f>
        <v>163813.55812</v>
      </c>
      <c r="AG206" s="90">
        <f>IF(W206="SOPORTE_TELEFÓNICO",'BASE LIQUIDACION'!$B$10,(AB206*AF206+AC206*'BASE LIQUIDACION'!$B$12+AD206*'BASE LIQUIDACION'!$B$11+INCIDENTES!AE206*'BASE LIQUIDACION'!$B$13))</f>
        <v>163813.55812</v>
      </c>
    </row>
    <row r="207" spans="1:33">
      <c r="A207" s="56" t="s">
        <v>340</v>
      </c>
      <c r="B207" s="56" t="str">
        <f>VLOOKUP(A207,'CENTRO DE COSTOS'!A:D,4,FALSE)</f>
        <v>JOSE MAURICIO HERNANDEZ ROJAS</v>
      </c>
      <c r="C207" s="56" t="str">
        <f>VLOOKUP(A207,'CENTRO DE COSTOS'!A:D,2,FALSE)</f>
        <v>0004-0001</v>
      </c>
      <c r="D207" s="56">
        <v>8372</v>
      </c>
      <c r="E207" s="56">
        <v>2668267</v>
      </c>
      <c r="F207" s="56">
        <v>78958</v>
      </c>
      <c r="G207" s="56" t="s">
        <v>1250</v>
      </c>
      <c r="H207" s="56" t="s">
        <v>339</v>
      </c>
      <c r="I207" s="56" t="s">
        <v>345</v>
      </c>
      <c r="J207" s="56" t="s">
        <v>2089</v>
      </c>
      <c r="K207" s="56" t="s">
        <v>107</v>
      </c>
      <c r="L207" s="56" t="s">
        <v>2090</v>
      </c>
      <c r="M207" s="103">
        <v>45899.531944444447</v>
      </c>
      <c r="N207" s="103">
        <v>45901.48541666667</v>
      </c>
      <c r="O207" s="56" t="s">
        <v>1253</v>
      </c>
      <c r="P207" s="56" t="s">
        <v>1254</v>
      </c>
      <c r="Q207" s="56" t="s">
        <v>1312</v>
      </c>
      <c r="R207" s="56" t="s">
        <v>1313</v>
      </c>
      <c r="S207" s="66"/>
      <c r="T207" s="66"/>
      <c r="U207" s="56" t="s">
        <v>1257</v>
      </c>
      <c r="V207" s="56" t="s">
        <v>2091</v>
      </c>
      <c r="W207" s="56" t="s">
        <v>1266</v>
      </c>
      <c r="X207" s="56" t="s">
        <v>2092</v>
      </c>
      <c r="Y207" s="56" t="s">
        <v>114</v>
      </c>
      <c r="Z207" s="56" t="s">
        <v>115</v>
      </c>
      <c r="AA207" s="56" t="s">
        <v>2093</v>
      </c>
      <c r="AB207" s="56">
        <v>1</v>
      </c>
      <c r="AC207" s="56">
        <v>0</v>
      </c>
      <c r="AD207" s="56">
        <v>0</v>
      </c>
      <c r="AE207" s="56">
        <v>0</v>
      </c>
      <c r="AF207" s="69">
        <f>IF(W207="SOPORTE_TELEFÓNICO",'BASE LIQUIDACION'!$B$10,IF(Y207="TIPO I",'BASE LIQUIDACION'!$C$3,IF(Y207="TIPO II",'BASE LIQUIDACION'!$C$4,IF(Y207="TIPO III",'BASE LIQUIDACION'!$C$5,'BASE LIQUIDACION'!$C$7))))</f>
        <v>163813.55812</v>
      </c>
      <c r="AG207" s="90">
        <f>IF(W207="SOPORTE_TELEFÓNICO",'BASE LIQUIDACION'!$B$10,(AB207*AF207+AC207*'BASE LIQUIDACION'!$B$12+AD207*'BASE LIQUIDACION'!$B$11+INCIDENTES!AE207*'BASE LIQUIDACION'!$B$13))</f>
        <v>163813.55812</v>
      </c>
    </row>
    <row r="208" spans="1:33">
      <c r="A208" s="56" t="s">
        <v>117</v>
      </c>
      <c r="B208" s="56" t="str">
        <f>VLOOKUP(A208,'CENTRO DE COSTOS'!A:D,4,FALSE)</f>
        <v>KEVIN ALEXIS CORZO BUSTOS</v>
      </c>
      <c r="C208" s="56" t="str">
        <f>VLOOKUP(A208,'CENTRO DE COSTOS'!A:D,2,FALSE)</f>
        <v>0004-0007</v>
      </c>
      <c r="D208" s="56">
        <v>41001</v>
      </c>
      <c r="E208" s="56">
        <v>2668098</v>
      </c>
      <c r="F208" s="56">
        <v>81170</v>
      </c>
      <c r="G208" s="56" t="s">
        <v>1250</v>
      </c>
      <c r="H208" s="56" t="s">
        <v>830</v>
      </c>
      <c r="I208" s="56" t="s">
        <v>117</v>
      </c>
      <c r="J208" s="56" t="s">
        <v>2094</v>
      </c>
      <c r="K208" s="56" t="s">
        <v>107</v>
      </c>
      <c r="L208" s="56" t="s">
        <v>2095</v>
      </c>
      <c r="M208" s="103">
        <v>45899.465277777781</v>
      </c>
      <c r="N208" s="103">
        <v>45901.525694444441</v>
      </c>
      <c r="O208" s="56" t="s">
        <v>1253</v>
      </c>
      <c r="P208" s="56" t="s">
        <v>1254</v>
      </c>
      <c r="Q208" s="56" t="s">
        <v>1312</v>
      </c>
      <c r="R208" s="56" t="s">
        <v>1313</v>
      </c>
      <c r="S208" s="66"/>
      <c r="T208" s="66"/>
      <c r="U208" s="56" t="s">
        <v>1257</v>
      </c>
      <c r="V208" s="56" t="s">
        <v>2096</v>
      </c>
      <c r="W208" s="56" t="s">
        <v>1266</v>
      </c>
      <c r="X208" s="56" t="s">
        <v>2097</v>
      </c>
      <c r="Y208" s="56" t="s">
        <v>138</v>
      </c>
      <c r="Z208" s="56" t="s">
        <v>115</v>
      </c>
      <c r="AA208" s="56" t="s">
        <v>1721</v>
      </c>
      <c r="AB208" s="56">
        <v>1</v>
      </c>
      <c r="AC208" s="56">
        <v>0</v>
      </c>
      <c r="AD208" s="56">
        <v>0</v>
      </c>
      <c r="AE208" s="56">
        <v>0</v>
      </c>
      <c r="AF208" s="69">
        <f>IF(W208="SOPORTE_TELEFÓNICO",'BASE LIQUIDACION'!$B$10,IF(Y208="TIPO I",'BASE LIQUIDACION'!$C$3,IF(Y208="TIPO II",'BASE LIQUIDACION'!$C$4,IF(Y208="TIPO III",'BASE LIQUIDACION'!$C$5,'BASE LIQUIDACION'!$C$7))))</f>
        <v>65960.473639999997</v>
      </c>
      <c r="AG208" s="90">
        <f>IF(W208="SOPORTE_TELEFÓNICO",'BASE LIQUIDACION'!$B$10,(AB208*AF208+AC208*'BASE LIQUIDACION'!$B$12+AD208*'BASE LIQUIDACION'!$B$11+INCIDENTES!AE208*'BASE LIQUIDACION'!$B$13))</f>
        <v>65960.473639999997</v>
      </c>
    </row>
    <row r="209" spans="1:33">
      <c r="A209" s="56" t="s">
        <v>589</v>
      </c>
      <c r="B209" s="56" t="str">
        <f>VLOOKUP(A209,'CENTRO DE COSTOS'!A:D,4,FALSE)</f>
        <v>DIEGO FERNANDO HENAO CARDONA</v>
      </c>
      <c r="C209" s="56" t="str">
        <f>VLOOKUP(A209,'CENTRO DE COSTOS'!A:D,2,FALSE)</f>
        <v>0004-0003</v>
      </c>
      <c r="D209" s="56">
        <v>76126</v>
      </c>
      <c r="E209" s="56">
        <v>2665925</v>
      </c>
      <c r="F209" s="56">
        <v>45910</v>
      </c>
      <c r="G209" s="56" t="s">
        <v>1250</v>
      </c>
      <c r="H209" s="56" t="s">
        <v>1189</v>
      </c>
      <c r="I209" s="56" t="s">
        <v>1196</v>
      </c>
      <c r="J209" s="56" t="s">
        <v>2098</v>
      </c>
      <c r="K209" s="56" t="s">
        <v>107</v>
      </c>
      <c r="L209" s="56" t="s">
        <v>2099</v>
      </c>
      <c r="M209" s="103">
        <v>45898.619444444441</v>
      </c>
      <c r="N209" s="103">
        <v>45901.634722222218</v>
      </c>
      <c r="O209" s="56" t="s">
        <v>1253</v>
      </c>
      <c r="P209" s="56" t="s">
        <v>1254</v>
      </c>
      <c r="Q209" s="56" t="s">
        <v>1271</v>
      </c>
      <c r="R209" s="56" t="s">
        <v>1272</v>
      </c>
      <c r="S209" s="66"/>
      <c r="T209" s="66"/>
      <c r="U209" s="56" t="s">
        <v>1257</v>
      </c>
      <c r="V209" s="56" t="s">
        <v>2100</v>
      </c>
      <c r="W209" s="56" t="s">
        <v>1266</v>
      </c>
      <c r="X209" s="56" t="s">
        <v>2101</v>
      </c>
      <c r="Y209" s="56" t="s">
        <v>114</v>
      </c>
      <c r="Z209" s="56" t="s">
        <v>115</v>
      </c>
      <c r="AA209" s="56" t="s">
        <v>1698</v>
      </c>
      <c r="AB209" s="56">
        <v>1</v>
      </c>
      <c r="AC209" s="56">
        <v>0</v>
      </c>
      <c r="AD209" s="56">
        <v>0</v>
      </c>
      <c r="AE209" s="56">
        <v>0</v>
      </c>
      <c r="AF209" s="69">
        <f>IF(W209="SOPORTE_TELEFÓNICO",'BASE LIQUIDACION'!$B$10,IF(Y209="TIPO I",'BASE LIQUIDACION'!$C$3,IF(Y209="TIPO II",'BASE LIQUIDACION'!$C$4,IF(Y209="TIPO III",'BASE LIQUIDACION'!$C$5,'BASE LIQUIDACION'!$C$7))))</f>
        <v>163813.55812</v>
      </c>
      <c r="AG209" s="90">
        <f>IF(W209="SOPORTE_TELEFÓNICO",'BASE LIQUIDACION'!$B$10,(AB209*AF209+AC209*'BASE LIQUIDACION'!$B$12+AD209*'BASE LIQUIDACION'!$B$11+INCIDENTES!AE209*'BASE LIQUIDACION'!$B$13))</f>
        <v>163813.55812</v>
      </c>
    </row>
    <row r="210" spans="1:33">
      <c r="A210" s="56" t="s">
        <v>165</v>
      </c>
      <c r="B210" s="56" t="str">
        <f>VLOOKUP(A210,'CENTRO DE COSTOS'!A:D,4,FALSE)</f>
        <v>JUAN SEBASTIÁN RÍOS CASTRILLÓN</v>
      </c>
      <c r="C210" s="56" t="str">
        <f>VLOOKUP(A210,'CENTRO DE COSTOS'!A:D,2,FALSE)</f>
        <v>0004-0005</v>
      </c>
      <c r="D210" s="56">
        <v>5120</v>
      </c>
      <c r="E210" s="56">
        <v>2664288</v>
      </c>
      <c r="F210" s="56">
        <v>71084</v>
      </c>
      <c r="G210" s="56" t="s">
        <v>1250</v>
      </c>
      <c r="H210" s="56" t="s">
        <v>152</v>
      </c>
      <c r="I210" s="56" t="s">
        <v>247</v>
      </c>
      <c r="J210" s="56" t="s">
        <v>2102</v>
      </c>
      <c r="K210" s="56" t="s">
        <v>107</v>
      </c>
      <c r="L210" s="56" t="s">
        <v>2103</v>
      </c>
      <c r="M210" s="103">
        <v>45898.477777777778</v>
      </c>
      <c r="N210" s="103">
        <v>45901.638194444437</v>
      </c>
      <c r="O210" s="56" t="s">
        <v>1253</v>
      </c>
      <c r="P210" s="56" t="s">
        <v>1254</v>
      </c>
      <c r="Q210" s="56" t="s">
        <v>1271</v>
      </c>
      <c r="R210" s="56" t="s">
        <v>1277</v>
      </c>
      <c r="S210" s="66"/>
      <c r="T210" s="66"/>
      <c r="U210" s="56" t="s">
        <v>1257</v>
      </c>
      <c r="V210" s="56" t="s">
        <v>2104</v>
      </c>
      <c r="W210" s="56" t="s">
        <v>1259</v>
      </c>
      <c r="X210" s="56">
        <v>0</v>
      </c>
      <c r="Y210" s="56" t="s">
        <v>172</v>
      </c>
      <c r="Z210" s="56" t="s">
        <v>115</v>
      </c>
      <c r="AA210" s="56" t="s">
        <v>1860</v>
      </c>
      <c r="AB210" s="56">
        <v>0</v>
      </c>
      <c r="AC210" s="56">
        <v>0</v>
      </c>
      <c r="AD210" s="56">
        <v>0</v>
      </c>
      <c r="AE210" s="56">
        <v>0</v>
      </c>
      <c r="AF210" s="69">
        <f>IF(W210="SOPORTE_TELEFÓNICO",'BASE LIQUIDACION'!$B$10,IF(Y210="TIPO I",'BASE LIQUIDACION'!$C$3,IF(Y210="TIPO II",'BASE LIQUIDACION'!$C$4,IF(Y210="TIPO III",'BASE LIQUIDACION'!$C$5,'BASE LIQUIDACION'!$C$7))))</f>
        <v>37904.65408</v>
      </c>
      <c r="AG210" s="90">
        <f>IF(W210="SOPORTE_TELEFÓNICO",'BASE LIQUIDACION'!$B$10,(AB210*AF210+AC210*'BASE LIQUIDACION'!$B$12+AD210*'BASE LIQUIDACION'!$B$11+INCIDENTES!AE210*'BASE LIQUIDACION'!$B$13))</f>
        <v>37904.65408</v>
      </c>
    </row>
    <row r="211" spans="1:33">
      <c r="A211" s="56" t="s">
        <v>100</v>
      </c>
      <c r="B211" s="56" t="str">
        <f>VLOOKUP(A211,'CENTRO DE COSTOS'!A:D,4,FALSE)</f>
        <v>DIEGO FERNANDO HENAO CARDONA</v>
      </c>
      <c r="C211" s="56" t="str">
        <f>VLOOKUP(A211,'CENTRO DE COSTOS'!A:D,2,FALSE)</f>
        <v>0004-0003</v>
      </c>
      <c r="D211" s="56">
        <v>86865</v>
      </c>
      <c r="E211" s="56">
        <v>2662204</v>
      </c>
      <c r="F211" s="56">
        <v>50666</v>
      </c>
      <c r="G211" s="56" t="s">
        <v>1250</v>
      </c>
      <c r="H211" s="56" t="s">
        <v>1017</v>
      </c>
      <c r="I211" s="56" t="s">
        <v>1026</v>
      </c>
      <c r="J211" s="56" t="s">
        <v>2105</v>
      </c>
      <c r="K211" s="56" t="s">
        <v>107</v>
      </c>
      <c r="L211" s="56" t="s">
        <v>2106</v>
      </c>
      <c r="M211" s="103">
        <v>45898.341666666667</v>
      </c>
      <c r="N211" s="103">
        <v>45903.375</v>
      </c>
      <c r="O211" s="56" t="s">
        <v>1253</v>
      </c>
      <c r="P211" s="56" t="s">
        <v>1254</v>
      </c>
      <c r="Q211" s="56" t="s">
        <v>1263</v>
      </c>
      <c r="R211" s="56" t="s">
        <v>1264</v>
      </c>
      <c r="S211" s="66"/>
      <c r="T211" s="66"/>
      <c r="U211" s="56" t="s">
        <v>1257</v>
      </c>
      <c r="V211" s="56" t="s">
        <v>2107</v>
      </c>
      <c r="W211" s="56" t="s">
        <v>1259</v>
      </c>
      <c r="X211" s="56">
        <v>0</v>
      </c>
      <c r="Y211" s="56" t="s">
        <v>172</v>
      </c>
      <c r="Z211" s="56" t="s">
        <v>115</v>
      </c>
      <c r="AA211" s="56" t="s">
        <v>1416</v>
      </c>
      <c r="AB211" s="56">
        <v>0</v>
      </c>
      <c r="AC211" s="56">
        <v>0</v>
      </c>
      <c r="AD211" s="56">
        <v>0</v>
      </c>
      <c r="AE211" s="56">
        <v>0</v>
      </c>
      <c r="AF211" s="69">
        <f>IF(W211="SOPORTE_TELEFÓNICO",'BASE LIQUIDACION'!$B$10,IF(Y211="TIPO I",'BASE LIQUIDACION'!$C$3,IF(Y211="TIPO II",'BASE LIQUIDACION'!$C$4,IF(Y211="TIPO III",'BASE LIQUIDACION'!$C$5,'BASE LIQUIDACION'!$C$7))))</f>
        <v>37904.65408</v>
      </c>
      <c r="AG211" s="90">
        <f>IF(W211="SOPORTE_TELEFÓNICO",'BASE LIQUIDACION'!$B$10,(AB211*AF211+AC211*'BASE LIQUIDACION'!$B$12+AD211*'BASE LIQUIDACION'!$B$11+INCIDENTES!AE211*'BASE LIQUIDACION'!$B$13))</f>
        <v>37904.65408</v>
      </c>
    </row>
    <row r="212" spans="1:33">
      <c r="AG212" s="73">
        <f>SUM(AG2:AG211)</f>
        <v>20457073.923520003</v>
      </c>
    </row>
  </sheetData>
  <protectedRanges>
    <protectedRange algorithmName="SHA-512" hashValue="CbntCM56YWgXHu4+OOrTghpH39pBZb4D6eBjK7U1usiFrpeJYUrWINoAXH/F78Kbl2TTiZ0gVzAwB/pZlIomZg==" saltValue="Rtsq70621ICfRzd7gOQdgg==" spinCount="100000" sqref="V2" name="Rango2_5_1"/>
    <protectedRange algorithmName="SHA-512" hashValue="CbntCM56YWgXHu4+OOrTghpH39pBZb4D6eBjK7U1usiFrpeJYUrWINoAXH/F78Kbl2TTiZ0gVzAwB/pZlIomZg==" saltValue="Rtsq70621ICfRzd7gOQdgg==" spinCount="100000" sqref="V3" name="Rango2_5_1_1"/>
    <protectedRange algorithmName="SHA-512" hashValue="CbntCM56YWgXHu4+OOrTghpH39pBZb4D6eBjK7U1usiFrpeJYUrWINoAXH/F78Kbl2TTiZ0gVzAwB/pZlIomZg==" saltValue="Rtsq70621ICfRzd7gOQdgg==" spinCount="100000" sqref="V4" name="Rango2_5_1_2"/>
    <protectedRange algorithmName="SHA-512" hashValue="CbntCM56YWgXHu4+OOrTghpH39pBZb4D6eBjK7U1usiFrpeJYUrWINoAXH/F78Kbl2TTiZ0gVzAwB/pZlIomZg==" saltValue="Rtsq70621ICfRzd7gOQdgg==" spinCount="100000" sqref="V5" name="Rango2_5_1_3"/>
    <protectedRange algorithmName="SHA-512" hashValue="CbntCM56YWgXHu4+OOrTghpH39pBZb4D6eBjK7U1usiFrpeJYUrWINoAXH/F78Kbl2TTiZ0gVzAwB/pZlIomZg==" saltValue="Rtsq70621ICfRzd7gOQdgg==" spinCount="100000" sqref="V6" name="Rango2_5_1_1_1"/>
    <protectedRange algorithmName="SHA-512" hashValue="CbntCM56YWgXHu4+OOrTghpH39pBZb4D6eBjK7U1usiFrpeJYUrWINoAXH/F78Kbl2TTiZ0gVzAwB/pZlIomZg==" saltValue="Rtsq70621ICfRzd7gOQdgg==" spinCount="100000" sqref="V7:V8" name="Rango2_5_1_1_2"/>
    <protectedRange algorithmName="SHA-512" hashValue="CbntCM56YWgXHu4+OOrTghpH39pBZb4D6eBjK7U1usiFrpeJYUrWINoAXH/F78Kbl2TTiZ0gVzAwB/pZlIomZg==" saltValue="Rtsq70621ICfRzd7gOQdgg==" spinCount="100000" sqref="V9" name="Rango2_5_1_1_4"/>
    <protectedRange algorithmName="SHA-512" hashValue="CbntCM56YWgXHu4+OOrTghpH39pBZb4D6eBjK7U1usiFrpeJYUrWINoAXH/F78Kbl2TTiZ0gVzAwB/pZlIomZg==" saltValue="Rtsq70621ICfRzd7gOQdgg==" spinCount="100000" sqref="V10:V11" name="Rango2_5_1_1_5"/>
    <protectedRange algorithmName="SHA-512" hashValue="CbntCM56YWgXHu4+OOrTghpH39pBZb4D6eBjK7U1usiFrpeJYUrWINoAXH/F78Kbl2TTiZ0gVzAwB/pZlIomZg==" saltValue="Rtsq70621ICfRzd7gOQdgg==" spinCount="100000" sqref="V12:V14" name="Rango2_5_1_1_6"/>
    <protectedRange algorithmName="SHA-512" hashValue="CbntCM56YWgXHu4+OOrTghpH39pBZb4D6eBjK7U1usiFrpeJYUrWINoAXH/F78Kbl2TTiZ0gVzAwB/pZlIomZg==" saltValue="Rtsq70621ICfRzd7gOQdgg==" spinCount="100000" sqref="V15" name="Rango2_5_1_1_7"/>
    <protectedRange algorithmName="SHA-512" hashValue="CbntCM56YWgXHu4+OOrTghpH39pBZb4D6eBjK7U1usiFrpeJYUrWINoAXH/F78Kbl2TTiZ0gVzAwB/pZlIomZg==" saltValue="Rtsq70621ICfRzd7gOQdgg==" spinCount="100000" sqref="V16" name="Rango2_5_1_1_8"/>
    <protectedRange algorithmName="SHA-512" hashValue="CbntCM56YWgXHu4+OOrTghpH39pBZb4D6eBjK7U1usiFrpeJYUrWINoAXH/F78Kbl2TTiZ0gVzAwB/pZlIomZg==" saltValue="Rtsq70621ICfRzd7gOQdgg==" spinCount="100000" sqref="V33" name="Rango2_5_1_3_1"/>
    <protectedRange algorithmName="SHA-512" hashValue="CbntCM56YWgXHu4+OOrTghpH39pBZb4D6eBjK7U1usiFrpeJYUrWINoAXH/F78Kbl2TTiZ0gVzAwB/pZlIomZg==" saltValue="Rtsq70621ICfRzd7gOQdgg==" spinCount="100000" sqref="V34" name="Rango2_5_1_3_2"/>
    <protectedRange algorithmName="SHA-512" hashValue="CbntCM56YWgXHu4+OOrTghpH39pBZb4D6eBjK7U1usiFrpeJYUrWINoAXH/F78Kbl2TTiZ0gVzAwB/pZlIomZg==" saltValue="Rtsq70621ICfRzd7gOQdgg==" spinCount="100000" sqref="V35:V36" name="Rango2_5_1_3_3"/>
    <protectedRange algorithmName="SHA-512" hashValue="CbntCM56YWgXHu4+OOrTghpH39pBZb4D6eBjK7U1usiFrpeJYUrWINoAXH/F78Kbl2TTiZ0gVzAwB/pZlIomZg==" saltValue="Rtsq70621ICfRzd7gOQdgg==" spinCount="100000" sqref="V37" name="Rango2_5_1_5"/>
    <protectedRange algorithmName="SHA-512" hashValue="CbntCM56YWgXHu4+OOrTghpH39pBZb4D6eBjK7U1usiFrpeJYUrWINoAXH/F78Kbl2TTiZ0gVzAwB/pZlIomZg==" saltValue="Rtsq70621ICfRzd7gOQdgg==" spinCount="100000" sqref="V38" name="Rango2_5_1_5_1"/>
    <protectedRange algorithmName="SHA-512" hashValue="CbntCM56YWgXHu4+OOrTghpH39pBZb4D6eBjK7U1usiFrpeJYUrWINoAXH/F78Kbl2TTiZ0gVzAwB/pZlIomZg==" saltValue="Rtsq70621ICfRzd7gOQdgg==" spinCount="100000" sqref="V39:V40" name="Rango2_5_1_5_2"/>
    <protectedRange algorithmName="SHA-512" hashValue="CbntCM56YWgXHu4+OOrTghpH39pBZb4D6eBjK7U1usiFrpeJYUrWINoAXH/F78Kbl2TTiZ0gVzAwB/pZlIomZg==" saltValue="Rtsq70621ICfRzd7gOQdgg==" spinCount="100000" sqref="V41" name="Rango2_5_1_5_3"/>
    <protectedRange algorithmName="SHA-512" hashValue="CbntCM56YWgXHu4+OOrTghpH39pBZb4D6eBjK7U1usiFrpeJYUrWINoAXH/F78Kbl2TTiZ0gVzAwB/pZlIomZg==" saltValue="Rtsq70621ICfRzd7gOQdgg==" spinCount="100000" sqref="V42:V43" name="Rango2_5_1_5_4"/>
    <protectedRange algorithmName="SHA-512" hashValue="CbntCM56YWgXHu4+OOrTghpH39pBZb4D6eBjK7U1usiFrpeJYUrWINoAXH/F78Kbl2TTiZ0gVzAwB/pZlIomZg==" saltValue="Rtsq70621ICfRzd7gOQdgg==" spinCount="100000" sqref="V44" name="Rango2_5_1_5_5"/>
    <protectedRange algorithmName="SHA-512" hashValue="CbntCM56YWgXHu4+OOrTghpH39pBZb4D6eBjK7U1usiFrpeJYUrWINoAXH/F78Kbl2TTiZ0gVzAwB/pZlIomZg==" saltValue="Rtsq70621ICfRzd7gOQdgg==" spinCount="100000" sqref="V45" name="Rango2_5_1_5_6"/>
    <protectedRange algorithmName="SHA-512" hashValue="CbntCM56YWgXHu4+OOrTghpH39pBZb4D6eBjK7U1usiFrpeJYUrWINoAXH/F78Kbl2TTiZ0gVzAwB/pZlIomZg==" saltValue="Rtsq70621ICfRzd7gOQdgg==" spinCount="100000" sqref="V46" name="Rango2_5_1_5_7"/>
    <protectedRange algorithmName="SHA-512" hashValue="CbntCM56YWgXHu4+OOrTghpH39pBZb4D6eBjK7U1usiFrpeJYUrWINoAXH/F78Kbl2TTiZ0gVzAwB/pZlIomZg==" saltValue="Rtsq70621ICfRzd7gOQdgg==" spinCount="100000" sqref="V47" name="Rango2_5_1_5_8"/>
    <protectedRange algorithmName="SHA-512" hashValue="CbntCM56YWgXHu4+OOrTghpH39pBZb4D6eBjK7U1usiFrpeJYUrWINoAXH/F78Kbl2TTiZ0gVzAwB/pZlIomZg==" saltValue="Rtsq70621ICfRzd7gOQdgg==" spinCount="100000" sqref="V48" name="Rango2_5_1_5_9"/>
    <protectedRange algorithmName="SHA-512" hashValue="CbntCM56YWgXHu4+OOrTghpH39pBZb4D6eBjK7U1usiFrpeJYUrWINoAXH/F78Kbl2TTiZ0gVzAwB/pZlIomZg==" saltValue="Rtsq70621ICfRzd7gOQdgg==" spinCount="100000" sqref="V49" name="Rango2_5_1_6"/>
    <protectedRange algorithmName="SHA-512" hashValue="CbntCM56YWgXHu4+OOrTghpH39pBZb4D6eBjK7U1usiFrpeJYUrWINoAXH/F78Kbl2TTiZ0gVzAwB/pZlIomZg==" saltValue="Rtsq70621ICfRzd7gOQdgg==" spinCount="100000" sqref="V50" name="Rango2_5_1_6_1"/>
    <protectedRange algorithmName="SHA-512" hashValue="CbntCM56YWgXHu4+OOrTghpH39pBZb4D6eBjK7U1usiFrpeJYUrWINoAXH/F78Kbl2TTiZ0gVzAwB/pZlIomZg==" saltValue="Rtsq70621ICfRzd7gOQdgg==" spinCount="100000" sqref="V51" name="Rango2_5_1_6_2"/>
    <protectedRange algorithmName="SHA-512" hashValue="CbntCM56YWgXHu4+OOrTghpH39pBZb4D6eBjK7U1usiFrpeJYUrWINoAXH/F78Kbl2TTiZ0gVzAwB/pZlIomZg==" saltValue="Rtsq70621ICfRzd7gOQdgg==" spinCount="100000" sqref="V52" name="Rango2_5_1_6_3"/>
    <protectedRange algorithmName="SHA-512" hashValue="CbntCM56YWgXHu4+OOrTghpH39pBZb4D6eBjK7U1usiFrpeJYUrWINoAXH/F78Kbl2TTiZ0gVzAwB/pZlIomZg==" saltValue="Rtsq70621ICfRzd7gOQdgg==" spinCount="100000" sqref="V53" name="Rango2_5_1_7"/>
    <protectedRange algorithmName="SHA-512" hashValue="CbntCM56YWgXHu4+OOrTghpH39pBZb4D6eBjK7U1usiFrpeJYUrWINoAXH/F78Kbl2TTiZ0gVzAwB/pZlIomZg==" saltValue="Rtsq70621ICfRzd7gOQdgg==" spinCount="100000" sqref="V54:V55" name="Rango2_5_1_7_1"/>
    <protectedRange algorithmName="SHA-512" hashValue="CbntCM56YWgXHu4+OOrTghpH39pBZb4D6eBjK7U1usiFrpeJYUrWINoAXH/F78Kbl2TTiZ0gVzAwB/pZlIomZg==" saltValue="Rtsq70621ICfRzd7gOQdgg==" spinCount="100000" sqref="V56" name="Rango2_5_1_7_2"/>
    <protectedRange algorithmName="SHA-512" hashValue="CbntCM56YWgXHu4+OOrTghpH39pBZb4D6eBjK7U1usiFrpeJYUrWINoAXH/F78Kbl2TTiZ0gVzAwB/pZlIomZg==" saltValue="Rtsq70621ICfRzd7gOQdgg==" spinCount="100000" sqref="V57" name="Rango2_5_1_7_3"/>
    <protectedRange algorithmName="SHA-512" hashValue="CbntCM56YWgXHu4+OOrTghpH39pBZb4D6eBjK7U1usiFrpeJYUrWINoAXH/F78Kbl2TTiZ0gVzAwB/pZlIomZg==" saltValue="Rtsq70621ICfRzd7gOQdgg==" spinCount="100000" sqref="V58" name="Rango2_5_1_7_4"/>
    <protectedRange algorithmName="SHA-512" hashValue="CbntCM56YWgXHu4+OOrTghpH39pBZb4D6eBjK7U1usiFrpeJYUrWINoAXH/F78Kbl2TTiZ0gVzAwB/pZlIomZg==" saltValue="Rtsq70621ICfRzd7gOQdgg==" spinCount="100000" sqref="V59" name="Rango2_5_1_7_5"/>
    <protectedRange algorithmName="SHA-512" hashValue="CbntCM56YWgXHu4+OOrTghpH39pBZb4D6eBjK7U1usiFrpeJYUrWINoAXH/F78Kbl2TTiZ0gVzAwB/pZlIomZg==" saltValue="Rtsq70621ICfRzd7gOQdgg==" spinCount="100000" sqref="V60" name="Rango2_5_1_7_6"/>
    <protectedRange algorithmName="SHA-512" hashValue="CbntCM56YWgXHu4+OOrTghpH39pBZb4D6eBjK7U1usiFrpeJYUrWINoAXH/F78Kbl2TTiZ0gVzAwB/pZlIomZg==" saltValue="Rtsq70621ICfRzd7gOQdgg==" spinCount="100000" sqref="V61" name="Rango2_5_1_7_7"/>
    <protectedRange algorithmName="SHA-512" hashValue="CbntCM56YWgXHu4+OOrTghpH39pBZb4D6eBjK7U1usiFrpeJYUrWINoAXH/F78Kbl2TTiZ0gVzAwB/pZlIomZg==" saltValue="Rtsq70621ICfRzd7gOQdgg==" spinCount="100000" sqref="V62" name="Rango2_5_1_7_8"/>
    <protectedRange algorithmName="SHA-512" hashValue="CbntCM56YWgXHu4+OOrTghpH39pBZb4D6eBjK7U1usiFrpeJYUrWINoAXH/F78Kbl2TTiZ0gVzAwB/pZlIomZg==" saltValue="Rtsq70621ICfRzd7gOQdgg==" spinCount="100000" sqref="V63" name="Rango2_5_1_7_9"/>
    <protectedRange algorithmName="SHA-512" hashValue="CbntCM56YWgXHu4+OOrTghpH39pBZb4D6eBjK7U1usiFrpeJYUrWINoAXH/F78Kbl2TTiZ0gVzAwB/pZlIomZg==" saltValue="Rtsq70621ICfRzd7gOQdgg==" spinCount="100000" sqref="V64:V65" name="Rango2_5_1_8"/>
    <protectedRange algorithmName="SHA-512" hashValue="CbntCM56YWgXHu4+OOrTghpH39pBZb4D6eBjK7U1usiFrpeJYUrWINoAXH/F78Kbl2TTiZ0gVzAwB/pZlIomZg==" saltValue="Rtsq70621ICfRzd7gOQdgg==" spinCount="100000" sqref="V66:V67" name="Rango2_5_1_8_1"/>
    <protectedRange algorithmName="SHA-512" hashValue="CbntCM56YWgXHu4+OOrTghpH39pBZb4D6eBjK7U1usiFrpeJYUrWINoAXH/F78Kbl2TTiZ0gVzAwB/pZlIomZg==" saltValue="Rtsq70621ICfRzd7gOQdgg==" spinCount="100000" sqref="V68" name="Rango2_5_1_8_2"/>
    <protectedRange algorithmName="SHA-512" hashValue="CbntCM56YWgXHu4+OOrTghpH39pBZb4D6eBjK7U1usiFrpeJYUrWINoAXH/F78Kbl2TTiZ0gVzAwB/pZlIomZg==" saltValue="Rtsq70621ICfRzd7gOQdgg==" spinCount="100000" sqref="V69:V70" name="Rango2_5_1_8_3"/>
    <protectedRange algorithmName="SHA-512" hashValue="CbntCM56YWgXHu4+OOrTghpH39pBZb4D6eBjK7U1usiFrpeJYUrWINoAXH/F78Kbl2TTiZ0gVzAwB/pZlIomZg==" saltValue="Rtsq70621ICfRzd7gOQdgg==" spinCount="100000" sqref="V71" name="Rango2_5_1_8_4"/>
    <protectedRange algorithmName="SHA-512" hashValue="CbntCM56YWgXHu4+OOrTghpH39pBZb4D6eBjK7U1usiFrpeJYUrWINoAXH/F78Kbl2TTiZ0gVzAwB/pZlIomZg==" saltValue="Rtsq70621ICfRzd7gOQdgg==" spinCount="100000" sqref="V72" name="Rango2_5_1_9"/>
    <protectedRange algorithmName="SHA-512" hashValue="CbntCM56YWgXHu4+OOrTghpH39pBZb4D6eBjK7U1usiFrpeJYUrWINoAXH/F78Kbl2TTiZ0gVzAwB/pZlIomZg==" saltValue="Rtsq70621ICfRzd7gOQdgg==" spinCount="100000" sqref="V73" name="Rango2_5_1_9_1"/>
    <protectedRange algorithmName="SHA-512" hashValue="CbntCM56YWgXHu4+OOrTghpH39pBZb4D6eBjK7U1usiFrpeJYUrWINoAXH/F78Kbl2TTiZ0gVzAwB/pZlIomZg==" saltValue="Rtsq70621ICfRzd7gOQdgg==" spinCount="100000" sqref="V74" name="Rango2_5_1_9_2"/>
    <protectedRange algorithmName="SHA-512" hashValue="CbntCM56YWgXHu4+OOrTghpH39pBZb4D6eBjK7U1usiFrpeJYUrWINoAXH/F78Kbl2TTiZ0gVzAwB/pZlIomZg==" saltValue="Rtsq70621ICfRzd7gOQdgg==" spinCount="100000" sqref="V75" name="Rango2_5_1_9_3"/>
    <protectedRange algorithmName="SHA-512" hashValue="CbntCM56YWgXHu4+OOrTghpH39pBZb4D6eBjK7U1usiFrpeJYUrWINoAXH/F78Kbl2TTiZ0gVzAwB/pZlIomZg==" saltValue="Rtsq70621ICfRzd7gOQdgg==" spinCount="100000" sqref="V76" name="Rango2_5_1_9_4"/>
    <protectedRange algorithmName="SHA-512" hashValue="CbntCM56YWgXHu4+OOrTghpH39pBZb4D6eBjK7U1usiFrpeJYUrWINoAXH/F78Kbl2TTiZ0gVzAwB/pZlIomZg==" saltValue="Rtsq70621ICfRzd7gOQdgg==" spinCount="100000" sqref="V77" name="Rango2_5_1_9_5"/>
    <protectedRange algorithmName="SHA-512" hashValue="CbntCM56YWgXHu4+OOrTghpH39pBZb4D6eBjK7U1usiFrpeJYUrWINoAXH/F78Kbl2TTiZ0gVzAwB/pZlIomZg==" saltValue="Rtsq70621ICfRzd7gOQdgg==" spinCount="100000" sqref="V78" name="Rango2_5_1_9_6"/>
    <protectedRange algorithmName="SHA-512" hashValue="CbntCM56YWgXHu4+OOrTghpH39pBZb4D6eBjK7U1usiFrpeJYUrWINoAXH/F78Kbl2TTiZ0gVzAwB/pZlIomZg==" saltValue="Rtsq70621ICfRzd7gOQdgg==" spinCount="100000" sqref="V79" name="Rango2_5_1_9_7"/>
    <protectedRange algorithmName="SHA-512" hashValue="CbntCM56YWgXHu4+OOrTghpH39pBZb4D6eBjK7U1usiFrpeJYUrWINoAXH/F78Kbl2TTiZ0gVzAwB/pZlIomZg==" saltValue="Rtsq70621ICfRzd7gOQdgg==" spinCount="100000" sqref="V80" name="Rango2_5_1_9_8"/>
    <protectedRange algorithmName="SHA-512" hashValue="CbntCM56YWgXHu4+OOrTghpH39pBZb4D6eBjK7U1usiFrpeJYUrWINoAXH/F78Kbl2TTiZ0gVzAwB/pZlIomZg==" saltValue="Rtsq70621ICfRzd7gOQdgg==" spinCount="100000" sqref="V81:V82" name="Rango2_5_1_9_9"/>
    <protectedRange algorithmName="SHA-512" hashValue="CbntCM56YWgXHu4+OOrTghpH39pBZb4D6eBjK7U1usiFrpeJYUrWINoAXH/F78Kbl2TTiZ0gVzAwB/pZlIomZg==" saltValue="Rtsq70621ICfRzd7gOQdgg==" spinCount="100000" sqref="V83" name="Rango2_5_1_9_10"/>
    <protectedRange algorithmName="SHA-512" hashValue="CbntCM56YWgXHu4+OOrTghpH39pBZb4D6eBjK7U1usiFrpeJYUrWINoAXH/F78Kbl2TTiZ0gVzAwB/pZlIomZg==" saltValue="Rtsq70621ICfRzd7gOQdgg==" spinCount="100000" sqref="V84" name="Rango2_5_1_9_11"/>
    <protectedRange algorithmName="SHA-512" hashValue="CbntCM56YWgXHu4+OOrTghpH39pBZb4D6eBjK7U1usiFrpeJYUrWINoAXH/F78Kbl2TTiZ0gVzAwB/pZlIomZg==" saltValue="Rtsq70621ICfRzd7gOQdgg==" spinCount="100000" sqref="V93" name="Rango2_5_1_11"/>
    <protectedRange algorithmName="SHA-512" hashValue="CbntCM56YWgXHu4+OOrTghpH39pBZb4D6eBjK7U1usiFrpeJYUrWINoAXH/F78Kbl2TTiZ0gVzAwB/pZlIomZg==" saltValue="Rtsq70621ICfRzd7gOQdgg==" spinCount="100000" sqref="V129:V130" name="Rango2_5_1_12"/>
    <protectedRange algorithmName="SHA-512" hashValue="CbntCM56YWgXHu4+OOrTghpH39pBZb4D6eBjK7U1usiFrpeJYUrWINoAXH/F78Kbl2TTiZ0gVzAwB/pZlIomZg==" saltValue="Rtsq70621ICfRzd7gOQdgg==" spinCount="100000" sqref="V131" name="Rango2_5_1_12_1"/>
    <protectedRange algorithmName="SHA-512" hashValue="CbntCM56YWgXHu4+OOrTghpH39pBZb4D6eBjK7U1usiFrpeJYUrWINoAXH/F78Kbl2TTiZ0gVzAwB/pZlIomZg==" saltValue="Rtsq70621ICfRzd7gOQdgg==" spinCount="100000" sqref="V132" name="Rango2_5_1_12_2"/>
    <protectedRange algorithmName="SHA-512" hashValue="CbntCM56YWgXHu4+OOrTghpH39pBZb4D6eBjK7U1usiFrpeJYUrWINoAXH/F78Kbl2TTiZ0gVzAwB/pZlIomZg==" saltValue="Rtsq70621ICfRzd7gOQdgg==" spinCount="100000" sqref="V133" name="Rango2_5_1_12_3"/>
    <protectedRange algorithmName="SHA-512" hashValue="CbntCM56YWgXHu4+OOrTghpH39pBZb4D6eBjK7U1usiFrpeJYUrWINoAXH/F78Kbl2TTiZ0gVzAwB/pZlIomZg==" saltValue="Rtsq70621ICfRzd7gOQdgg==" spinCount="100000" sqref="V134" name="Rango2_5_1_12_4"/>
    <protectedRange algorithmName="SHA-512" hashValue="CbntCM56YWgXHu4+OOrTghpH39pBZb4D6eBjK7U1usiFrpeJYUrWINoAXH/F78Kbl2TTiZ0gVzAwB/pZlIomZg==" saltValue="Rtsq70621ICfRzd7gOQdgg==" spinCount="100000" sqref="V135" name="Rango2_5_1_12_5"/>
    <protectedRange algorithmName="SHA-512" hashValue="CbntCM56YWgXHu4+OOrTghpH39pBZb4D6eBjK7U1usiFrpeJYUrWINoAXH/F78Kbl2TTiZ0gVzAwB/pZlIomZg==" saltValue="Rtsq70621ICfRzd7gOQdgg==" spinCount="100000" sqref="V136" name="Rango2_5_1_13"/>
    <protectedRange algorithmName="SHA-512" hashValue="CbntCM56YWgXHu4+OOrTghpH39pBZb4D6eBjK7U1usiFrpeJYUrWINoAXH/F78Kbl2TTiZ0gVzAwB/pZlIomZg==" saltValue="Rtsq70621ICfRzd7gOQdgg==" spinCount="100000" sqref="V137" name="Rango2_5_1_14"/>
  </protectedRanges>
  <autoFilter ref="A1:AG211" xr:uid="{00000000-0001-0000-0300-000000000000}"/>
  <conditionalFormatting sqref="E2:E16">
    <cfRule type="duplicateValues" dxfId="92" priority="79"/>
    <cfRule type="duplicateValues" dxfId="91" priority="80"/>
    <cfRule type="duplicateValues" dxfId="90" priority="81"/>
  </conditionalFormatting>
  <conditionalFormatting sqref="E2:E145">
    <cfRule type="duplicateValues" dxfId="89" priority="88"/>
  </conditionalFormatting>
  <conditionalFormatting sqref="E2:E146">
    <cfRule type="duplicateValues" dxfId="88" priority="87"/>
  </conditionalFormatting>
  <conditionalFormatting sqref="E2:E165">
    <cfRule type="duplicateValues" dxfId="87" priority="86"/>
  </conditionalFormatting>
  <conditionalFormatting sqref="E2:E171">
    <cfRule type="duplicateValues" dxfId="86" priority="85"/>
  </conditionalFormatting>
  <conditionalFormatting sqref="E2:E183">
    <cfRule type="duplicateValues" dxfId="85" priority="84"/>
  </conditionalFormatting>
  <conditionalFormatting sqref="E2:E184">
    <cfRule type="duplicateValues" dxfId="84" priority="82"/>
    <cfRule type="duplicateValues" dxfId="83" priority="83"/>
  </conditionalFormatting>
  <conditionalFormatting sqref="E17:E25">
    <cfRule type="duplicateValues" dxfId="82" priority="76"/>
    <cfRule type="duplicateValues" dxfId="81" priority="77"/>
    <cfRule type="duplicateValues" dxfId="80" priority="78"/>
  </conditionalFormatting>
  <conditionalFormatting sqref="E26:E31">
    <cfRule type="duplicateValues" dxfId="79" priority="73"/>
    <cfRule type="duplicateValues" dxfId="78" priority="74"/>
    <cfRule type="duplicateValues" dxfId="77" priority="75"/>
  </conditionalFormatting>
  <conditionalFormatting sqref="E32:E59">
    <cfRule type="duplicateValues" dxfId="76" priority="70"/>
    <cfRule type="duplicateValues" dxfId="75" priority="71"/>
    <cfRule type="duplicateValues" dxfId="74" priority="72"/>
  </conditionalFormatting>
  <conditionalFormatting sqref="E60:E64">
    <cfRule type="duplicateValues" dxfId="73" priority="67"/>
    <cfRule type="duplicateValues" dxfId="72" priority="68"/>
    <cfRule type="duplicateValues" dxfId="71" priority="69"/>
  </conditionalFormatting>
  <conditionalFormatting sqref="E65:E72">
    <cfRule type="duplicateValues" dxfId="70" priority="64"/>
    <cfRule type="duplicateValues" dxfId="69" priority="65"/>
    <cfRule type="duplicateValues" dxfId="68" priority="66"/>
  </conditionalFormatting>
  <conditionalFormatting sqref="E73:E79">
    <cfRule type="duplicateValues" dxfId="67" priority="61"/>
    <cfRule type="duplicateValues" dxfId="66" priority="62"/>
    <cfRule type="duplicateValues" dxfId="65" priority="63"/>
  </conditionalFormatting>
  <conditionalFormatting sqref="E80:E89">
    <cfRule type="duplicateValues" dxfId="64" priority="58"/>
    <cfRule type="duplicateValues" dxfId="63" priority="59"/>
    <cfRule type="duplicateValues" dxfId="62" priority="60"/>
  </conditionalFormatting>
  <conditionalFormatting sqref="E90:E98">
    <cfRule type="duplicateValues" dxfId="61" priority="55"/>
    <cfRule type="duplicateValues" dxfId="60" priority="56"/>
    <cfRule type="duplicateValues" dxfId="59" priority="57"/>
  </conditionalFormatting>
  <conditionalFormatting sqref="E99:E106">
    <cfRule type="duplicateValues" dxfId="58" priority="52"/>
    <cfRule type="duplicateValues" dxfId="57" priority="53"/>
    <cfRule type="duplicateValues" dxfId="56" priority="54"/>
  </conditionalFormatting>
  <conditionalFormatting sqref="E107:E109">
    <cfRule type="duplicateValues" dxfId="55" priority="49"/>
    <cfRule type="duplicateValues" dxfId="54" priority="50"/>
    <cfRule type="duplicateValues" dxfId="53" priority="51"/>
  </conditionalFormatting>
  <conditionalFormatting sqref="E110:E123">
    <cfRule type="duplicateValues" dxfId="52" priority="46"/>
    <cfRule type="duplicateValues" dxfId="51" priority="47"/>
    <cfRule type="duplicateValues" dxfId="50" priority="48"/>
  </conditionalFormatting>
  <conditionalFormatting sqref="E124:E137">
    <cfRule type="duplicateValues" dxfId="49" priority="43"/>
    <cfRule type="duplicateValues" dxfId="48" priority="44"/>
    <cfRule type="duplicateValues" dxfId="47" priority="45"/>
  </conditionalFormatting>
  <conditionalFormatting sqref="E138:E145">
    <cfRule type="duplicateValues" dxfId="46" priority="40"/>
    <cfRule type="duplicateValues" dxfId="45" priority="41"/>
    <cfRule type="duplicateValues" dxfId="44" priority="42"/>
  </conditionalFormatting>
  <conditionalFormatting sqref="E146">
    <cfRule type="duplicateValues" dxfId="43" priority="33"/>
    <cfRule type="duplicateValues" dxfId="42" priority="34"/>
    <cfRule type="duplicateValues" dxfId="41" priority="35"/>
    <cfRule type="duplicateValues" dxfId="40" priority="36"/>
  </conditionalFormatting>
  <conditionalFormatting sqref="E147:E157">
    <cfRule type="duplicateValues" dxfId="39" priority="37"/>
    <cfRule type="duplicateValues" dxfId="38" priority="38"/>
    <cfRule type="duplicateValues" dxfId="37" priority="39"/>
  </conditionalFormatting>
  <conditionalFormatting sqref="E158:E165">
    <cfRule type="duplicateValues" dxfId="36" priority="30"/>
    <cfRule type="duplicateValues" dxfId="35" priority="31"/>
    <cfRule type="duplicateValues" dxfId="34" priority="32"/>
  </conditionalFormatting>
  <conditionalFormatting sqref="E166:E171">
    <cfRule type="duplicateValues" dxfId="33" priority="27"/>
    <cfRule type="duplicateValues" dxfId="32" priority="28"/>
    <cfRule type="duplicateValues" dxfId="31" priority="29"/>
  </conditionalFormatting>
  <conditionalFormatting sqref="E172:E183">
    <cfRule type="duplicateValues" dxfId="30" priority="24"/>
    <cfRule type="duplicateValues" dxfId="29" priority="25"/>
    <cfRule type="duplicateValues" dxfId="28" priority="26"/>
  </conditionalFormatting>
  <conditionalFormatting sqref="E184">
    <cfRule type="duplicateValues" dxfId="27" priority="21"/>
    <cfRule type="duplicateValues" dxfId="26" priority="22"/>
    <cfRule type="duplicateValues" dxfId="25" priority="23"/>
  </conditionalFormatting>
  <conditionalFormatting sqref="F185:F1048576">
    <cfRule type="duplicateValues" dxfId="24" priority="1080"/>
    <cfRule type="duplicateValues" dxfId="23" priority="1081"/>
  </conditionalFormatting>
  <conditionalFormatting sqref="L2:L16">
    <cfRule type="duplicateValues" dxfId="22" priority="20"/>
  </conditionalFormatting>
  <conditionalFormatting sqref="L17:L25">
    <cfRule type="duplicateValues" dxfId="21" priority="19"/>
  </conditionalFormatting>
  <conditionalFormatting sqref="L26:L31">
    <cfRule type="duplicateValues" dxfId="20" priority="18"/>
  </conditionalFormatting>
  <conditionalFormatting sqref="L32:L59">
    <cfRule type="duplicateValues" dxfId="19" priority="17"/>
  </conditionalFormatting>
  <conditionalFormatting sqref="L60:L64">
    <cfRule type="duplicateValues" dxfId="18" priority="16"/>
  </conditionalFormatting>
  <conditionalFormatting sqref="L65:L72">
    <cfRule type="duplicateValues" dxfId="17" priority="15"/>
  </conditionalFormatting>
  <conditionalFormatting sqref="L73:L79">
    <cfRule type="duplicateValues" dxfId="16" priority="14"/>
  </conditionalFormatting>
  <conditionalFormatting sqref="L80:L89">
    <cfRule type="duplicateValues" dxfId="15" priority="13"/>
  </conditionalFormatting>
  <conditionalFormatting sqref="L90:L98">
    <cfRule type="duplicateValues" dxfId="14" priority="12"/>
  </conditionalFormatting>
  <conditionalFormatting sqref="L99:L106">
    <cfRule type="duplicateValues" dxfId="13" priority="11"/>
  </conditionalFormatting>
  <conditionalFormatting sqref="L107:L109">
    <cfRule type="duplicateValues" dxfId="12" priority="10"/>
  </conditionalFormatting>
  <conditionalFormatting sqref="L110:L123">
    <cfRule type="duplicateValues" dxfId="11" priority="9"/>
  </conditionalFormatting>
  <conditionalFormatting sqref="L124:L137">
    <cfRule type="duplicateValues" dxfId="10" priority="8"/>
  </conditionalFormatting>
  <conditionalFormatting sqref="L138:L145">
    <cfRule type="duplicateValues" dxfId="9" priority="7"/>
  </conditionalFormatting>
  <conditionalFormatting sqref="L146">
    <cfRule type="duplicateValues" dxfId="8" priority="5"/>
  </conditionalFormatting>
  <conditionalFormatting sqref="L147:L157">
    <cfRule type="duplicateValues" dxfId="7" priority="6"/>
  </conditionalFormatting>
  <conditionalFormatting sqref="L158:L165">
    <cfRule type="duplicateValues" dxfId="6" priority="4"/>
  </conditionalFormatting>
  <conditionalFormatting sqref="L166:L171">
    <cfRule type="duplicateValues" dxfId="5" priority="3"/>
  </conditionalFormatting>
  <conditionalFormatting sqref="L172:L183">
    <cfRule type="duplicateValues" dxfId="4" priority="2"/>
  </conditionalFormatting>
  <conditionalFormatting sqref="L184">
    <cfRule type="duplicateValues" dxfId="3" priority="1"/>
  </conditionalFormatting>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I14"/>
  <sheetViews>
    <sheetView topLeftCell="O1" workbookViewId="0">
      <selection activeCell="AC1" sqref="AC1"/>
    </sheetView>
  </sheetViews>
  <sheetFormatPr baseColWidth="10" defaultColWidth="11.42578125" defaultRowHeight="12.75"/>
  <cols>
    <col min="1" max="1" width="15.42578125" style="71" bestFit="1" customWidth="1"/>
    <col min="2" max="2" width="20.85546875" style="71" customWidth="1"/>
    <col min="3" max="3" width="13.7109375" style="71" customWidth="1"/>
    <col min="4" max="4" width="13.140625" style="71" customWidth="1"/>
    <col min="5" max="5" width="11.7109375" style="71" bestFit="1" customWidth="1"/>
    <col min="6" max="6" width="14.7109375" style="71" bestFit="1" customWidth="1"/>
    <col min="7" max="7" width="12.7109375" style="71" customWidth="1"/>
    <col min="8" max="8" width="14.42578125" style="71" customWidth="1"/>
    <col min="9" max="12" width="11.42578125" style="71"/>
    <col min="13" max="13" width="15.28515625" style="71" bestFit="1" customWidth="1"/>
    <col min="14" max="14" width="17.7109375" style="71" customWidth="1"/>
    <col min="15" max="15" width="11.42578125" style="71"/>
    <col min="16" max="16" width="12.7109375" style="71" customWidth="1"/>
    <col min="17" max="17" width="16.85546875" style="71" bestFit="1" customWidth="1"/>
    <col min="18" max="19" width="11.42578125" style="71"/>
    <col min="20" max="20" width="12.7109375" style="71" bestFit="1" customWidth="1"/>
    <col min="21" max="21" width="12.7109375" style="71" customWidth="1"/>
    <col min="22" max="23" width="11.42578125" style="71"/>
    <col min="24" max="24" width="11.7109375" style="71" bestFit="1" customWidth="1"/>
    <col min="25" max="27" width="11.42578125" style="71"/>
    <col min="28" max="32" width="11.7109375" style="71" bestFit="1" customWidth="1"/>
    <col min="33" max="33" width="12.28515625" style="71" bestFit="1" customWidth="1"/>
    <col min="34" max="16384" width="11.42578125" style="71"/>
  </cols>
  <sheetData>
    <row r="1" spans="1:35" s="94" customFormat="1" ht="63.75">
      <c r="A1" s="91" t="s">
        <v>71</v>
      </c>
      <c r="B1" s="91" t="s">
        <v>43</v>
      </c>
      <c r="C1" s="91" t="s">
        <v>44</v>
      </c>
      <c r="D1" s="91" t="s">
        <v>72</v>
      </c>
      <c r="E1" s="91" t="s">
        <v>73</v>
      </c>
      <c r="F1" s="91" t="s">
        <v>74</v>
      </c>
      <c r="G1" s="57" t="s">
        <v>75</v>
      </c>
      <c r="H1" s="91" t="s">
        <v>77</v>
      </c>
      <c r="I1" s="91" t="s">
        <v>78</v>
      </c>
      <c r="J1" s="91" t="s">
        <v>79</v>
      </c>
      <c r="K1" s="91" t="s">
        <v>80</v>
      </c>
      <c r="L1" s="91" t="s">
        <v>81</v>
      </c>
      <c r="M1" s="91" t="s">
        <v>2108</v>
      </c>
      <c r="N1" s="91" t="s">
        <v>2109</v>
      </c>
      <c r="O1" s="88" t="s">
        <v>1240</v>
      </c>
      <c r="P1" s="91" t="s">
        <v>2110</v>
      </c>
      <c r="Q1" s="91" t="s">
        <v>2111</v>
      </c>
      <c r="R1" s="58" t="s">
        <v>84</v>
      </c>
      <c r="S1" s="58" t="s">
        <v>85</v>
      </c>
      <c r="T1" s="59" t="s">
        <v>86</v>
      </c>
      <c r="U1" s="91" t="s">
        <v>2112</v>
      </c>
      <c r="V1" s="91" t="s">
        <v>1244</v>
      </c>
      <c r="W1" s="91" t="s">
        <v>88</v>
      </c>
      <c r="X1" s="91" t="s">
        <v>2113</v>
      </c>
      <c r="Y1" s="91" t="s">
        <v>90</v>
      </c>
      <c r="Z1" s="91" t="s">
        <v>91</v>
      </c>
      <c r="AA1" s="59" t="s">
        <v>92</v>
      </c>
      <c r="AB1" s="91" t="s">
        <v>1246</v>
      </c>
      <c r="AC1" s="91" t="s">
        <v>95</v>
      </c>
      <c r="AD1" s="91" t="s">
        <v>1247</v>
      </c>
      <c r="AE1" s="91" t="s">
        <v>2114</v>
      </c>
      <c r="AF1" s="91" t="s">
        <v>2115</v>
      </c>
      <c r="AG1" s="91" t="s">
        <v>9</v>
      </c>
    </row>
    <row r="2" spans="1:35" s="70" customFormat="1">
      <c r="A2" s="56" t="s">
        <v>471</v>
      </c>
      <c r="B2" s="66" t="str">
        <f>VLOOKUP(A2,'CENTRO DE COSTOS'!A:D,4,FALSE)</f>
        <v>KEVIN ALEXIS CORZO BUSTOS</v>
      </c>
      <c r="C2" s="61" t="str">
        <f>VLOOKUP(A2,'CENTRO DE COSTOS'!A:D,2,FALSE)</f>
        <v>0004-0007</v>
      </c>
      <c r="D2" s="61">
        <v>85001</v>
      </c>
      <c r="E2" s="56">
        <v>14097142</v>
      </c>
      <c r="F2" s="56">
        <v>62204</v>
      </c>
      <c r="G2" s="56" t="s">
        <v>2116</v>
      </c>
      <c r="H2" s="56" t="s">
        <v>571</v>
      </c>
      <c r="I2" s="56" t="s">
        <v>471</v>
      </c>
      <c r="J2" s="56" t="s">
        <v>2117</v>
      </c>
      <c r="K2" s="56" t="s">
        <v>107</v>
      </c>
      <c r="L2" s="56" t="s">
        <v>2118</v>
      </c>
      <c r="M2" s="103">
        <v>45923.333333333343</v>
      </c>
      <c r="N2" s="103">
        <v>45929.722222222219</v>
      </c>
      <c r="O2" s="61"/>
      <c r="P2" s="56" t="s">
        <v>2119</v>
      </c>
      <c r="Q2" s="56" t="s">
        <v>2120</v>
      </c>
      <c r="R2" s="56" t="s">
        <v>2121</v>
      </c>
      <c r="S2" s="56" t="s">
        <v>2121</v>
      </c>
      <c r="T2" s="56" t="s">
        <v>2122</v>
      </c>
      <c r="U2" s="56" t="s">
        <v>2123</v>
      </c>
      <c r="V2" s="56" t="s">
        <v>2124</v>
      </c>
      <c r="W2" s="56" t="s">
        <v>1266</v>
      </c>
      <c r="X2" s="56">
        <v>0</v>
      </c>
      <c r="Y2" s="66" t="str">
        <f>VLOOKUP(D2,TIPOLOGIAS!A:F,6,0)</f>
        <v>TIPO I</v>
      </c>
      <c r="Z2" s="66" t="str">
        <f>VLOOKUP(D2,TIPOLOGIAS!A:F,5,0)</f>
        <v>TERRESTRE</v>
      </c>
      <c r="AA2" s="56" t="s">
        <v>1295</v>
      </c>
      <c r="AB2" s="56">
        <v>1</v>
      </c>
      <c r="AC2" s="56">
        <v>0</v>
      </c>
      <c r="AD2" s="61">
        <v>0</v>
      </c>
      <c r="AE2" s="61">
        <v>0</v>
      </c>
      <c r="AF2" s="67">
        <f>IF(W2="SOPORTE_TELEFÓNICO",'BASE LIQUIDACION'!$B$10,IF(Y2="TIPO I",'BASE LIQUIDACION'!$C$3,IF(Y2="TIPO II",'BASE LIQUIDACION'!$C$4,IF(Y2="TIPO III",'BASE LIQUIDACION'!$C$5,'BASE LIQUIDACION'!$C$7))))</f>
        <v>65960.473639999997</v>
      </c>
      <c r="AG2" s="68">
        <f>IF(W2="SOPORTE_TELEFÓNICO",'BASE LIQUIDACION'!$B$10,(AB2*AF2+AC2*'BASE LIQUIDACION'!$B$13+AD2*'BASE LIQUIDACION'!$B$12+AE2*'BASE LIQUIDACION'!$B$11))</f>
        <v>65960.473639999997</v>
      </c>
    </row>
    <row r="3" spans="1:35">
      <c r="A3" s="56" t="s">
        <v>150</v>
      </c>
      <c r="B3" s="66" t="str">
        <f>VLOOKUP(A3,'CENTRO DE COSTOS'!A:D,4,FALSE)</f>
        <v>JUAN SEBASTIÁN RÍOS CASTRILLÓN</v>
      </c>
      <c r="C3" s="61" t="str">
        <f>VLOOKUP(A3,'CENTRO DE COSTOS'!A:D,2,FALSE)</f>
        <v>0004-0005</v>
      </c>
      <c r="D3" s="61">
        <v>5837</v>
      </c>
      <c r="E3" s="56">
        <v>14066377</v>
      </c>
      <c r="F3" s="56">
        <v>39220</v>
      </c>
      <c r="G3" s="56" t="s">
        <v>2116</v>
      </c>
      <c r="H3" s="56" t="s">
        <v>152</v>
      </c>
      <c r="I3" s="56" t="s">
        <v>153</v>
      </c>
      <c r="J3" s="56" t="s">
        <v>2125</v>
      </c>
      <c r="K3" s="56" t="s">
        <v>107</v>
      </c>
      <c r="L3" s="56" t="s">
        <v>2126</v>
      </c>
      <c r="M3" s="103">
        <v>45923.333333333343</v>
      </c>
      <c r="N3" s="103">
        <v>45929.559027777781</v>
      </c>
      <c r="O3" s="61"/>
      <c r="P3" s="56" t="s">
        <v>2119</v>
      </c>
      <c r="Q3" s="56" t="s">
        <v>2120</v>
      </c>
      <c r="R3" s="56" t="s">
        <v>2121</v>
      </c>
      <c r="S3" s="56" t="s">
        <v>2121</v>
      </c>
      <c r="T3" s="56" t="s">
        <v>2122</v>
      </c>
      <c r="U3" s="56" t="s">
        <v>2127</v>
      </c>
      <c r="V3" s="56" t="s">
        <v>2128</v>
      </c>
      <c r="W3" s="56" t="s">
        <v>1266</v>
      </c>
      <c r="X3" s="56">
        <v>0</v>
      </c>
      <c r="Y3" s="66" t="str">
        <f>VLOOKUP(D3,TIPOLOGIAS!A:F,6,0)</f>
        <v>TIPO II</v>
      </c>
      <c r="Z3" s="66" t="str">
        <f>VLOOKUP(D3,TIPOLOGIAS!A:F,5,0)</f>
        <v>TERRESTRE</v>
      </c>
      <c r="AA3" s="56" t="s">
        <v>158</v>
      </c>
      <c r="AB3" s="56">
        <v>1</v>
      </c>
      <c r="AC3" s="56">
        <v>0</v>
      </c>
      <c r="AD3" s="61">
        <v>0</v>
      </c>
      <c r="AE3" s="61">
        <v>0</v>
      </c>
      <c r="AF3" s="67">
        <f>IF(W3="SOPORTE_TELEFÓNICO",'BASE LIQUIDACION'!$B$10,IF(Y3="TIPO I",'BASE LIQUIDACION'!$C$3,IF(Y3="TIPO II",'BASE LIQUIDACION'!$C$4,IF(Y3="TIPO III",'BASE LIQUIDACION'!$C$5,'BASE LIQUIDACION'!$C$7))))</f>
        <v>163813.55812</v>
      </c>
      <c r="AG3" s="68">
        <f>IF(W3="SOPORTE_TELEFÓNICO",'BASE LIQUIDACION'!$B$10,(AB3*AF3+AC3*'BASE LIQUIDACION'!$B$13+AD3*'BASE LIQUIDACION'!$B$12+AE3*'BASE LIQUIDACION'!$B$11))</f>
        <v>163813.55812</v>
      </c>
      <c r="AH3" s="70"/>
      <c r="AI3" s="70"/>
    </row>
    <row r="4" spans="1:35">
      <c r="A4" s="56" t="s">
        <v>117</v>
      </c>
      <c r="B4" s="66" t="str">
        <f>VLOOKUP(A4,'CENTRO DE COSTOS'!A:D,4,FALSE)</f>
        <v>KEVIN ALEXIS CORZO BUSTOS</v>
      </c>
      <c r="C4" s="61" t="str">
        <f>VLOOKUP(A4,'CENTRO DE COSTOS'!A:D,2,FALSE)</f>
        <v>0004-0007</v>
      </c>
      <c r="D4" s="61">
        <v>41001</v>
      </c>
      <c r="E4" s="56">
        <v>14028037</v>
      </c>
      <c r="F4" s="56">
        <v>80793</v>
      </c>
      <c r="G4" s="56" t="s">
        <v>2116</v>
      </c>
      <c r="H4" s="56" t="s">
        <v>830</v>
      </c>
      <c r="I4" s="56" t="s">
        <v>117</v>
      </c>
      <c r="J4" s="56" t="s">
        <v>2129</v>
      </c>
      <c r="K4" s="56" t="s">
        <v>107</v>
      </c>
      <c r="L4" s="56" t="s">
        <v>2130</v>
      </c>
      <c r="M4" s="103">
        <v>45917.719444444447</v>
      </c>
      <c r="N4" s="103">
        <v>45918.645138888889</v>
      </c>
      <c r="O4" s="61"/>
      <c r="P4" s="56" t="s">
        <v>2119</v>
      </c>
      <c r="Q4" s="56" t="s">
        <v>2120</v>
      </c>
      <c r="R4" s="56" t="s">
        <v>109</v>
      </c>
      <c r="S4" s="56" t="s">
        <v>109</v>
      </c>
      <c r="T4" s="56" t="s">
        <v>2122</v>
      </c>
      <c r="U4" s="56" t="s">
        <v>2131</v>
      </c>
      <c r="V4" s="56" t="s">
        <v>2132</v>
      </c>
      <c r="W4" s="56" t="s">
        <v>1266</v>
      </c>
      <c r="X4" s="56">
        <v>0</v>
      </c>
      <c r="Y4" s="66" t="str">
        <f>VLOOKUP(D4,TIPOLOGIAS!A:F,6,0)</f>
        <v>TIPO I</v>
      </c>
      <c r="Z4" s="66" t="str">
        <f>VLOOKUP(D4,TIPOLOGIAS!A:F,5,0)</f>
        <v>TERRESTRE</v>
      </c>
      <c r="AA4" s="56" t="s">
        <v>1345</v>
      </c>
      <c r="AB4" s="56">
        <v>1</v>
      </c>
      <c r="AC4" s="56">
        <v>0</v>
      </c>
      <c r="AD4" s="61">
        <v>0</v>
      </c>
      <c r="AE4" s="61">
        <v>0</v>
      </c>
      <c r="AF4" s="67">
        <f>IF(W4="SOPORTE_TELEFÓNICO",'BASE LIQUIDACION'!$B$10,IF(Y4="TIPO I",'BASE LIQUIDACION'!$C$3,IF(Y4="TIPO II",'BASE LIQUIDACION'!$C$4,IF(Y4="TIPO III",'BASE LIQUIDACION'!$C$5,'BASE LIQUIDACION'!$C$7))))</f>
        <v>65960.473639999997</v>
      </c>
      <c r="AG4" s="68">
        <f>IF(W4="SOPORTE_TELEFÓNICO",'BASE LIQUIDACION'!$B$10,(AB4*AF4+AC4*'BASE LIQUIDACION'!$B$13+AD4*'BASE LIQUIDACION'!$B$12+AE4*'BASE LIQUIDACION'!$B$11))</f>
        <v>65960.473639999997</v>
      </c>
      <c r="AH4" s="70"/>
      <c r="AI4" s="70"/>
    </row>
    <row r="5" spans="1:35">
      <c r="A5" s="56" t="s">
        <v>117</v>
      </c>
      <c r="B5" s="66" t="str">
        <f>VLOOKUP(A5,'CENTRO DE COSTOS'!A:D,4,FALSE)</f>
        <v>KEVIN ALEXIS CORZO BUSTOS</v>
      </c>
      <c r="C5" s="61" t="str">
        <f>VLOOKUP(A5,'CENTRO DE COSTOS'!A:D,2,FALSE)</f>
        <v>0004-0007</v>
      </c>
      <c r="D5" s="61">
        <v>41396</v>
      </c>
      <c r="E5" s="56">
        <v>14055543</v>
      </c>
      <c r="F5" s="56">
        <v>68222</v>
      </c>
      <c r="G5" s="56" t="s">
        <v>2116</v>
      </c>
      <c r="H5" s="56" t="s">
        <v>830</v>
      </c>
      <c r="I5" s="56" t="s">
        <v>846</v>
      </c>
      <c r="J5" s="56" t="s">
        <v>2133</v>
      </c>
      <c r="K5" s="56" t="s">
        <v>107</v>
      </c>
      <c r="L5" s="56" t="s">
        <v>2134</v>
      </c>
      <c r="M5" s="103">
        <v>45915.515972222223</v>
      </c>
      <c r="N5" s="103">
        <v>45918.55972222222</v>
      </c>
      <c r="O5" s="61"/>
      <c r="P5" s="56" t="s">
        <v>2119</v>
      </c>
      <c r="Q5" s="56" t="s">
        <v>2120</v>
      </c>
      <c r="R5" s="56" t="s">
        <v>124</v>
      </c>
      <c r="S5" s="56" t="s">
        <v>125</v>
      </c>
      <c r="T5" s="56" t="s">
        <v>2122</v>
      </c>
      <c r="U5" s="56" t="s">
        <v>2135</v>
      </c>
      <c r="V5" s="56" t="s">
        <v>2136</v>
      </c>
      <c r="W5" s="56" t="s">
        <v>1266</v>
      </c>
      <c r="X5" s="56">
        <v>0</v>
      </c>
      <c r="Y5" s="66" t="str">
        <f>VLOOKUP(D5,TIPOLOGIAS!A:F,6,0)</f>
        <v>TIPO III</v>
      </c>
      <c r="Z5" s="66" t="str">
        <f>VLOOKUP(D5,TIPOLOGIAS!A:F,5,0)</f>
        <v>TERRESTRE</v>
      </c>
      <c r="AA5" s="56" t="s">
        <v>1721</v>
      </c>
      <c r="AB5" s="56">
        <v>1</v>
      </c>
      <c r="AC5" s="56">
        <v>0</v>
      </c>
      <c r="AD5" s="61">
        <v>0</v>
      </c>
      <c r="AE5" s="61">
        <v>0</v>
      </c>
      <c r="AF5" s="67">
        <f>IF(W5="SOPORTE_TELEFÓNICO",'BASE LIQUIDACION'!$B$10,IF(Y5="TIPO I",'BASE LIQUIDACION'!$C$3,IF(Y5="TIPO II",'BASE LIQUIDACION'!$C$4,IF(Y5="TIPO III",'BASE LIQUIDACION'!$C$5,'BASE LIQUIDACION'!$C$7))))</f>
        <v>275728.37943999999</v>
      </c>
      <c r="AG5" s="68">
        <f>IF(W5="SOPORTE_TELEFÓNICO",'BASE LIQUIDACION'!$B$10,(AB5*AF5+AC5*'BASE LIQUIDACION'!$B$13+AD5*'BASE LIQUIDACION'!$B$12+AE5*'BASE LIQUIDACION'!$B$11))</f>
        <v>275728.37943999999</v>
      </c>
      <c r="AH5" s="70"/>
      <c r="AI5" s="70"/>
    </row>
    <row r="6" spans="1:35">
      <c r="A6" s="56" t="s">
        <v>1121</v>
      </c>
      <c r="B6" s="66" t="str">
        <f>VLOOKUP(A6,'CENTRO DE COSTOS'!A:D,4,FALSE)</f>
        <v>JOSE MAURICIO HERNANDEZ ROJAS</v>
      </c>
      <c r="C6" s="61" t="str">
        <f>VLOOKUP(A6,'CENTRO DE COSTOS'!A:D,2,FALSE)</f>
        <v>0004-0001</v>
      </c>
      <c r="D6" s="61">
        <v>70001</v>
      </c>
      <c r="E6" s="56">
        <v>13981662</v>
      </c>
      <c r="F6" s="56">
        <v>77578</v>
      </c>
      <c r="G6" s="56" t="s">
        <v>2116</v>
      </c>
      <c r="H6" s="56" t="s">
        <v>594</v>
      </c>
      <c r="I6" s="56" t="s">
        <v>1121</v>
      </c>
      <c r="J6" s="56" t="s">
        <v>2137</v>
      </c>
      <c r="K6" s="56" t="s">
        <v>107</v>
      </c>
      <c r="L6" s="56" t="s">
        <v>2138</v>
      </c>
      <c r="M6" s="103">
        <v>45910.716666666667</v>
      </c>
      <c r="N6" s="103">
        <v>45917.685416666667</v>
      </c>
      <c r="O6" s="61"/>
      <c r="P6" s="56" t="s">
        <v>2119</v>
      </c>
      <c r="Q6" s="56" t="s">
        <v>2120</v>
      </c>
      <c r="R6" s="56" t="s">
        <v>2121</v>
      </c>
      <c r="S6" s="56" t="s">
        <v>2121</v>
      </c>
      <c r="T6" s="56" t="s">
        <v>2122</v>
      </c>
      <c r="U6" s="56" t="s">
        <v>2123</v>
      </c>
      <c r="V6" s="56" t="s">
        <v>2139</v>
      </c>
      <c r="W6" s="56" t="s">
        <v>1266</v>
      </c>
      <c r="X6" s="56">
        <v>0</v>
      </c>
      <c r="Y6" s="66" t="str">
        <f>VLOOKUP(D6,TIPOLOGIAS!A:F,6,0)</f>
        <v>TIPO I</v>
      </c>
      <c r="Z6" s="66" t="str">
        <f>VLOOKUP(D6,TIPOLOGIAS!A:F,5,0)</f>
        <v>TERRESTRE</v>
      </c>
      <c r="AA6" s="56" t="s">
        <v>1319</v>
      </c>
      <c r="AB6" s="56">
        <v>1</v>
      </c>
      <c r="AC6" s="56">
        <v>0</v>
      </c>
      <c r="AD6" s="61">
        <v>0</v>
      </c>
      <c r="AE6" s="61">
        <v>0</v>
      </c>
      <c r="AF6" s="67">
        <f>IF(W6="SOPORTE_TELEFÓNICO",'BASE LIQUIDACION'!$B$10,IF(Y6="TIPO I",'BASE LIQUIDACION'!$C$3,IF(Y6="TIPO II",'BASE LIQUIDACION'!$C$4,IF(Y6="TIPO III",'BASE LIQUIDACION'!$C$5,'BASE LIQUIDACION'!$C$7))))</f>
        <v>65960.473639999997</v>
      </c>
      <c r="AG6" s="68">
        <f>IF(W6="SOPORTE_TELEFÓNICO",'BASE LIQUIDACION'!$B$10,(AB6*AF6+AC6*'BASE LIQUIDACION'!$B$13+AD6*'BASE LIQUIDACION'!$B$12+AE6*'BASE LIQUIDACION'!$B$11))</f>
        <v>65960.473639999997</v>
      </c>
      <c r="AH6" s="70"/>
      <c r="AI6" s="70"/>
    </row>
    <row r="7" spans="1:35">
      <c r="A7" s="56" t="s">
        <v>182</v>
      </c>
      <c r="B7" s="66" t="str">
        <f>VLOOKUP(A7,'CENTRO DE COSTOS'!A:D,4,FALSE)</f>
        <v>WILLIAM ASDRUBAL ROZO ROZO</v>
      </c>
      <c r="C7" s="61" t="str">
        <f>VLOOKUP(A7,'CENTRO DE COSTOS'!A:D,2,FALSE)</f>
        <v>0004-0004</v>
      </c>
      <c r="D7" s="61">
        <v>11001</v>
      </c>
      <c r="E7" s="56">
        <v>13984507</v>
      </c>
      <c r="F7" s="56">
        <v>32053</v>
      </c>
      <c r="G7" s="56" t="s">
        <v>2116</v>
      </c>
      <c r="H7" s="56" t="s">
        <v>184</v>
      </c>
      <c r="I7" s="56" t="s">
        <v>182</v>
      </c>
      <c r="J7" s="56" t="s">
        <v>2140</v>
      </c>
      <c r="K7" s="56" t="s">
        <v>107</v>
      </c>
      <c r="L7" s="56" t="s">
        <v>2141</v>
      </c>
      <c r="M7" s="103">
        <v>45910.716666666667</v>
      </c>
      <c r="N7" s="103">
        <v>45913.518055555563</v>
      </c>
      <c r="O7" s="61"/>
      <c r="P7" s="56" t="s">
        <v>2119</v>
      </c>
      <c r="Q7" s="56" t="s">
        <v>2120</v>
      </c>
      <c r="R7" s="56" t="s">
        <v>2121</v>
      </c>
      <c r="S7" s="56" t="s">
        <v>2121</v>
      </c>
      <c r="T7" s="56" t="s">
        <v>2122</v>
      </c>
      <c r="U7" s="56" t="s">
        <v>2142</v>
      </c>
      <c r="V7" s="56" t="s">
        <v>2143</v>
      </c>
      <c r="W7" s="56" t="s">
        <v>1266</v>
      </c>
      <c r="X7" s="56">
        <v>0</v>
      </c>
      <c r="Y7" s="66" t="str">
        <f>VLOOKUP(D7,TIPOLOGIAS!A:F,6,0)</f>
        <v>TIPO I</v>
      </c>
      <c r="Z7" s="66" t="str">
        <f>VLOOKUP(D7,TIPOLOGIAS!A:F,5,0)</f>
        <v>TERRESTRE</v>
      </c>
      <c r="AA7" s="56" t="s">
        <v>1383</v>
      </c>
      <c r="AB7" s="56">
        <v>1</v>
      </c>
      <c r="AC7" s="56">
        <v>0</v>
      </c>
      <c r="AD7" s="61">
        <v>0</v>
      </c>
      <c r="AE7" s="61">
        <v>0</v>
      </c>
      <c r="AF7" s="67">
        <f>IF(W7="SOPORTE_TELEFÓNICO",'BASE LIQUIDACION'!$B$10,IF(Y7="TIPO I",'BASE LIQUIDACION'!$C$3,IF(Y7="TIPO II",'BASE LIQUIDACION'!$C$4,IF(Y7="TIPO III",'BASE LIQUIDACION'!$C$5,'BASE LIQUIDACION'!$C$7))))</f>
        <v>65960.473639999997</v>
      </c>
      <c r="AG7" s="68">
        <f>IF(W7="SOPORTE_TELEFÓNICO",'BASE LIQUIDACION'!$B$10,(AB7*AF7+AC7*'BASE LIQUIDACION'!$B$13+AD7*'BASE LIQUIDACION'!$B$12+AE7*'BASE LIQUIDACION'!$B$11))</f>
        <v>65960.473639999997</v>
      </c>
      <c r="AH7" s="70"/>
      <c r="AI7" s="70"/>
    </row>
    <row r="8" spans="1:35">
      <c r="A8" s="56" t="s">
        <v>165</v>
      </c>
      <c r="B8" s="66" t="str">
        <f>VLOOKUP(A8,'CENTRO DE COSTOS'!A:D,4,FALSE)</f>
        <v>JUAN SEBASTIÁN RÍOS CASTRILLÓN</v>
      </c>
      <c r="C8" s="61" t="str">
        <f>VLOOKUP(A8,'CENTRO DE COSTOS'!A:D,2,FALSE)</f>
        <v>0004-0005</v>
      </c>
      <c r="D8" s="61">
        <v>5001</v>
      </c>
      <c r="E8" s="56">
        <v>14011980</v>
      </c>
      <c r="F8" s="56">
        <v>76177</v>
      </c>
      <c r="G8" s="56" t="s">
        <v>2116</v>
      </c>
      <c r="H8" s="56" t="s">
        <v>152</v>
      </c>
      <c r="I8" s="56" t="s">
        <v>165</v>
      </c>
      <c r="J8" s="56" t="s">
        <v>2144</v>
      </c>
      <c r="K8" s="56" t="s">
        <v>107</v>
      </c>
      <c r="L8" s="56" t="s">
        <v>2145</v>
      </c>
      <c r="M8" s="103">
        <v>45909.390972222223</v>
      </c>
      <c r="N8" s="103">
        <v>45910.595833333333</v>
      </c>
      <c r="O8" s="61"/>
      <c r="P8" s="56" t="s">
        <v>2119</v>
      </c>
      <c r="Q8" s="56" t="s">
        <v>2120</v>
      </c>
      <c r="R8" s="56" t="s">
        <v>124</v>
      </c>
      <c r="S8" s="56" t="s">
        <v>146</v>
      </c>
      <c r="T8" s="56" t="s">
        <v>2122</v>
      </c>
      <c r="U8" s="56" t="s">
        <v>2127</v>
      </c>
      <c r="V8" s="56" t="s">
        <v>2146</v>
      </c>
      <c r="W8" s="56" t="s">
        <v>1266</v>
      </c>
      <c r="X8" s="56">
        <v>0</v>
      </c>
      <c r="Y8" s="66" t="str">
        <f>VLOOKUP(D8,TIPOLOGIAS!A:F,6,0)</f>
        <v>TIPO I</v>
      </c>
      <c r="Z8" s="66" t="str">
        <f>VLOOKUP(D8,TIPOLOGIAS!A:F,5,0)</f>
        <v>TERRESTRE</v>
      </c>
      <c r="AA8" s="56" t="s">
        <v>1457</v>
      </c>
      <c r="AB8" s="56">
        <v>1</v>
      </c>
      <c r="AC8" s="56">
        <v>0</v>
      </c>
      <c r="AD8" s="61">
        <v>0</v>
      </c>
      <c r="AE8" s="61">
        <v>0</v>
      </c>
      <c r="AF8" s="67">
        <f>IF(W8="SOPORTE_TELEFÓNICO",'BASE LIQUIDACION'!$B$10,IF(Y8="TIPO I",'BASE LIQUIDACION'!$C$3,IF(Y8="TIPO II",'BASE LIQUIDACION'!$C$4,IF(Y8="TIPO III",'BASE LIQUIDACION'!$C$5,'BASE LIQUIDACION'!$C$7))))</f>
        <v>65960.473639999997</v>
      </c>
      <c r="AG8" s="68">
        <f>IF(W8="SOPORTE_TELEFÓNICO",'BASE LIQUIDACION'!$B$10,(AB8*AF8+AC8*'BASE LIQUIDACION'!$B$13+AD8*'BASE LIQUIDACION'!$B$12+AE8*'BASE LIQUIDACION'!$B$11))</f>
        <v>65960.473639999997</v>
      </c>
      <c r="AH8" s="70"/>
      <c r="AI8" s="70"/>
    </row>
    <row r="9" spans="1:35">
      <c r="A9" s="56" t="s">
        <v>140</v>
      </c>
      <c r="B9" s="66" t="str">
        <f>VLOOKUP(A9,'CENTRO DE COSTOS'!A:D,4,FALSE)</f>
        <v>MIGUEL JULIÁN HERNÁNDEZ GUARÍN</v>
      </c>
      <c r="C9" s="61" t="str">
        <f>VLOOKUP(A9,'CENTRO DE COSTOS'!A:D,2,FALSE)</f>
        <v>0004-0008</v>
      </c>
      <c r="D9" s="61">
        <v>13688</v>
      </c>
      <c r="E9" s="56">
        <v>14012829</v>
      </c>
      <c r="F9" s="56">
        <v>73893</v>
      </c>
      <c r="G9" s="56" t="s">
        <v>2116</v>
      </c>
      <c r="H9" s="56" t="s">
        <v>362</v>
      </c>
      <c r="I9" s="56" t="s">
        <v>402</v>
      </c>
      <c r="J9" s="56" t="s">
        <v>2147</v>
      </c>
      <c r="K9" s="56" t="s">
        <v>107</v>
      </c>
      <c r="L9" s="56" t="s">
        <v>2148</v>
      </c>
      <c r="M9" s="103">
        <v>45909.390972222223</v>
      </c>
      <c r="N9" s="103">
        <v>45912.520833333343</v>
      </c>
      <c r="O9" s="61"/>
      <c r="P9" s="56" t="s">
        <v>2119</v>
      </c>
      <c r="Q9" s="56" t="s">
        <v>2120</v>
      </c>
      <c r="R9" s="56" t="s">
        <v>124</v>
      </c>
      <c r="S9" s="56" t="s">
        <v>125</v>
      </c>
      <c r="T9" s="56" t="s">
        <v>2122</v>
      </c>
      <c r="U9" s="56" t="s">
        <v>2123</v>
      </c>
      <c r="V9" s="56" t="s">
        <v>2149</v>
      </c>
      <c r="W9" s="56" t="s">
        <v>1266</v>
      </c>
      <c r="X9" s="56">
        <v>0</v>
      </c>
      <c r="Y9" s="66" t="str">
        <f>VLOOKUP(D9,TIPOLOGIAS!A:F,6,0)</f>
        <v>TIPO IV ESPECIAL</v>
      </c>
      <c r="Z9" s="66" t="str">
        <f>VLOOKUP(D9,TIPOLOGIAS!A:F,5,0)</f>
        <v>TERRESTRE/FLUVIAL</v>
      </c>
      <c r="AA9" s="56" t="s">
        <v>1387</v>
      </c>
      <c r="AB9" s="56">
        <v>1</v>
      </c>
      <c r="AC9" s="56">
        <v>0</v>
      </c>
      <c r="AD9" s="61">
        <v>0</v>
      </c>
      <c r="AE9" s="61">
        <v>0</v>
      </c>
      <c r="AF9" s="67">
        <f>IF(W9="SOPORTE_TELEFÓNICO",'BASE LIQUIDACION'!$B$10,IF(Y9="TIPO I",'BASE LIQUIDACION'!$C$3,IF(Y9="TIPO II",'BASE LIQUIDACION'!$C$4,IF(Y9="TIPO III",'BASE LIQUIDACION'!$C$5,'BASE LIQUIDACION'!$C$7))))</f>
        <v>479589.73656000005</v>
      </c>
      <c r="AG9" s="68">
        <f>IF(W9="SOPORTE_TELEFÓNICO",'BASE LIQUIDACION'!$B$10,(AB9*AF9+AC9*'BASE LIQUIDACION'!$B$13+AD9*'BASE LIQUIDACION'!$B$12+AE9*'BASE LIQUIDACION'!$B$11))</f>
        <v>479589.73656000005</v>
      </c>
      <c r="AH9" s="70"/>
      <c r="AI9" s="70"/>
    </row>
    <row r="10" spans="1:35">
      <c r="A10" s="56" t="s">
        <v>471</v>
      </c>
      <c r="B10" s="66" t="str">
        <f>VLOOKUP(A10,'CENTRO DE COSTOS'!A:D,4,FALSE)</f>
        <v>KEVIN ALEXIS CORZO BUSTOS</v>
      </c>
      <c r="C10" s="61" t="str">
        <f>VLOOKUP(A10,'CENTRO DE COSTOS'!A:D,2,FALSE)</f>
        <v>0004-0007</v>
      </c>
      <c r="D10" s="61">
        <v>85001</v>
      </c>
      <c r="E10" s="56">
        <v>14012940</v>
      </c>
      <c r="F10" s="56">
        <v>73661</v>
      </c>
      <c r="G10" s="56" t="s">
        <v>2116</v>
      </c>
      <c r="H10" s="56" t="s">
        <v>571</v>
      </c>
      <c r="I10" s="56" t="s">
        <v>471</v>
      </c>
      <c r="J10" s="56" t="s">
        <v>2150</v>
      </c>
      <c r="K10" s="56" t="s">
        <v>107</v>
      </c>
      <c r="L10" s="56" t="s">
        <v>2151</v>
      </c>
      <c r="M10" s="103">
        <v>45909.390972222223</v>
      </c>
      <c r="N10" s="103">
        <v>45909.678472222222</v>
      </c>
      <c r="O10" s="56"/>
      <c r="P10" s="56" t="s">
        <v>2119</v>
      </c>
      <c r="Q10" s="56" t="s">
        <v>2120</v>
      </c>
      <c r="R10" s="56" t="s">
        <v>124</v>
      </c>
      <c r="S10" s="56" t="s">
        <v>125</v>
      </c>
      <c r="T10" s="56" t="s">
        <v>2152</v>
      </c>
      <c r="U10" s="56" t="s">
        <v>2153</v>
      </c>
      <c r="V10" s="56" t="s">
        <v>2154</v>
      </c>
      <c r="W10" s="56" t="s">
        <v>1259</v>
      </c>
      <c r="X10" s="56">
        <v>0</v>
      </c>
      <c r="Y10" s="66" t="str">
        <f>VLOOKUP(D10,TIPOLOGIAS!A:F,6,0)</f>
        <v>TIPO I</v>
      </c>
      <c r="Z10" s="66" t="str">
        <f>VLOOKUP(D10,TIPOLOGIAS!A:F,5,0)</f>
        <v>TERRESTRE</v>
      </c>
      <c r="AA10" s="56" t="s">
        <v>1811</v>
      </c>
      <c r="AB10" s="56">
        <v>0</v>
      </c>
      <c r="AC10" s="56">
        <v>0</v>
      </c>
      <c r="AD10" s="61">
        <v>0</v>
      </c>
      <c r="AE10" s="61">
        <v>0</v>
      </c>
      <c r="AF10" s="67">
        <f>IF(W10="SOPORTE_TELEFÓNICO",'BASE LIQUIDACION'!$B$10,IF(Y10="TIPO I",'BASE LIQUIDACION'!$C$3,IF(Y10="TIPO II",'BASE LIQUIDACION'!$C$4,IF(Y10="TIPO III",'BASE LIQUIDACION'!$C$5,'BASE LIQUIDACION'!$C$7))))</f>
        <v>37904.65408</v>
      </c>
      <c r="AG10" s="68">
        <f>IF(W10="SOPORTE_TELEFÓNICO",'BASE LIQUIDACION'!$B$10,(AB10*AF10+AC10*'BASE LIQUIDACION'!$B$13+AD10*'BASE LIQUIDACION'!$B$12+AE10*'BASE LIQUIDACION'!$B$11))</f>
        <v>37904.65408</v>
      </c>
      <c r="AH10" s="70"/>
      <c r="AI10" s="70"/>
    </row>
    <row r="11" spans="1:35">
      <c r="A11" s="56" t="s">
        <v>165</v>
      </c>
      <c r="B11" s="66" t="str">
        <f>VLOOKUP(A11,'CENTRO DE COSTOS'!A:D,4,FALSE)</f>
        <v>JUAN SEBASTIÁN RÍOS CASTRILLÓN</v>
      </c>
      <c r="C11" s="61" t="str">
        <f>VLOOKUP(A11,'CENTRO DE COSTOS'!A:D,2,FALSE)</f>
        <v>0004-0005</v>
      </c>
      <c r="D11" s="61">
        <v>5001</v>
      </c>
      <c r="E11" s="56">
        <v>13963693</v>
      </c>
      <c r="F11" s="56">
        <v>51338</v>
      </c>
      <c r="G11" s="56" t="s">
        <v>2116</v>
      </c>
      <c r="H11" s="56" t="s">
        <v>152</v>
      </c>
      <c r="I11" s="56" t="s">
        <v>165</v>
      </c>
      <c r="J11" s="56" t="s">
        <v>2155</v>
      </c>
      <c r="K11" s="56" t="s">
        <v>107</v>
      </c>
      <c r="L11" s="56" t="s">
        <v>2156</v>
      </c>
      <c r="M11" s="103">
        <v>45901.454861111109</v>
      </c>
      <c r="N11" s="103">
        <v>45903.497916666667</v>
      </c>
      <c r="O11" s="56"/>
      <c r="P11" s="56" t="s">
        <v>2119</v>
      </c>
      <c r="Q11" s="56" t="s">
        <v>2120</v>
      </c>
      <c r="R11" s="56" t="s">
        <v>124</v>
      </c>
      <c r="S11" s="56" t="s">
        <v>146</v>
      </c>
      <c r="T11" s="56" t="s">
        <v>2122</v>
      </c>
      <c r="U11" s="56" t="s">
        <v>2157</v>
      </c>
      <c r="V11" s="56" t="s">
        <v>2158</v>
      </c>
      <c r="W11" s="56" t="s">
        <v>1266</v>
      </c>
      <c r="X11" s="56">
        <v>0</v>
      </c>
      <c r="Y11" s="66" t="str">
        <f>VLOOKUP(D11,TIPOLOGIAS!A:F,6,0)</f>
        <v>TIPO I</v>
      </c>
      <c r="Z11" s="66" t="str">
        <f>VLOOKUP(D11,TIPOLOGIAS!A:F,5,0)</f>
        <v>TERRESTRE</v>
      </c>
      <c r="AA11" s="56" t="s">
        <v>1457</v>
      </c>
      <c r="AB11" s="56">
        <v>1</v>
      </c>
      <c r="AC11" s="56">
        <v>0</v>
      </c>
      <c r="AD11" s="61">
        <v>0</v>
      </c>
      <c r="AE11" s="61">
        <v>0</v>
      </c>
      <c r="AF11" s="67">
        <f>IF(W11="SOPORTE_TELEFÓNICO",'BASE LIQUIDACION'!$B$10,IF(Y11="TIPO I",'BASE LIQUIDACION'!$C$3,IF(Y11="TIPO II",'BASE LIQUIDACION'!$C$4,IF(Y11="TIPO III",'BASE LIQUIDACION'!$C$5,'BASE LIQUIDACION'!$C$7))))</f>
        <v>65960.473639999997</v>
      </c>
      <c r="AG11" s="68">
        <f>IF(W11="SOPORTE_TELEFÓNICO",'BASE LIQUIDACION'!$B$10,(AB11*AF11+AC11*'BASE LIQUIDACION'!$B$13+AD11*'BASE LIQUIDACION'!$B$12+AE11*'BASE LIQUIDACION'!$B$11))</f>
        <v>65960.473639999997</v>
      </c>
      <c r="AH11" s="70"/>
      <c r="AI11" s="70"/>
    </row>
    <row r="12" spans="1:35">
      <c r="A12" s="56" t="s">
        <v>182</v>
      </c>
      <c r="B12" s="66" t="str">
        <f>VLOOKUP(A12,'CENTRO DE COSTOS'!A:D,4,FALSE)</f>
        <v>WILLIAM ASDRUBAL ROZO ROZO</v>
      </c>
      <c r="C12" s="61" t="str">
        <f>VLOOKUP(A12,'CENTRO DE COSTOS'!A:D,2,FALSE)</f>
        <v>0004-0004</v>
      </c>
      <c r="D12" s="61">
        <v>11001</v>
      </c>
      <c r="E12" s="56">
        <v>13963793</v>
      </c>
      <c r="F12" s="56">
        <v>78672</v>
      </c>
      <c r="G12" s="56" t="s">
        <v>2116</v>
      </c>
      <c r="H12" s="56" t="s">
        <v>184</v>
      </c>
      <c r="I12" s="56" t="s">
        <v>182</v>
      </c>
      <c r="J12" s="56" t="s">
        <v>2159</v>
      </c>
      <c r="K12" s="56" t="s">
        <v>107</v>
      </c>
      <c r="L12" s="56" t="s">
        <v>2160</v>
      </c>
      <c r="M12" s="103">
        <v>45901.454861111109</v>
      </c>
      <c r="N12" s="103">
        <v>45902.660416666673</v>
      </c>
      <c r="O12" s="56"/>
      <c r="P12" s="56" t="s">
        <v>2119</v>
      </c>
      <c r="Q12" s="56" t="s">
        <v>2120</v>
      </c>
      <c r="R12" s="56" t="s">
        <v>124</v>
      </c>
      <c r="S12" s="56" t="s">
        <v>146</v>
      </c>
      <c r="T12" s="56" t="s">
        <v>2122</v>
      </c>
      <c r="U12" s="56" t="s">
        <v>2123</v>
      </c>
      <c r="V12" s="56" t="s">
        <v>2161</v>
      </c>
      <c r="W12" s="56" t="s">
        <v>1266</v>
      </c>
      <c r="X12" s="56">
        <v>0</v>
      </c>
      <c r="Y12" s="66" t="str">
        <f>VLOOKUP(D12,TIPOLOGIAS!A:F,6,0)</f>
        <v>TIPO I</v>
      </c>
      <c r="Z12" s="66" t="str">
        <f>VLOOKUP(D12,TIPOLOGIAS!A:F,5,0)</f>
        <v>TERRESTRE</v>
      </c>
      <c r="AA12" s="56" t="s">
        <v>1703</v>
      </c>
      <c r="AB12" s="56">
        <v>1</v>
      </c>
      <c r="AC12" s="56">
        <v>0</v>
      </c>
      <c r="AD12" s="61">
        <v>0</v>
      </c>
      <c r="AE12" s="61">
        <v>0</v>
      </c>
      <c r="AF12" s="67">
        <f>IF(W12="SOPORTE_TELEFÓNICO",'BASE LIQUIDACION'!$B$10,IF(Y12="TIPO I",'BASE LIQUIDACION'!$C$3,IF(Y12="TIPO II",'BASE LIQUIDACION'!$C$4,IF(Y12="TIPO III",'BASE LIQUIDACION'!$C$5,'BASE LIQUIDACION'!$C$7))))</f>
        <v>65960.473639999997</v>
      </c>
      <c r="AG12" s="68">
        <f>IF(W12="SOPORTE_TELEFÓNICO",'BASE LIQUIDACION'!$B$10,(AB12*AF12+AC12*'BASE LIQUIDACION'!$B$13+AD12*'BASE LIQUIDACION'!$B$12+AE12*'BASE LIQUIDACION'!$B$11))</f>
        <v>65960.473639999997</v>
      </c>
      <c r="AH12" s="70"/>
      <c r="AI12" s="70"/>
    </row>
    <row r="13" spans="1:35">
      <c r="A13" s="56" t="s">
        <v>589</v>
      </c>
      <c r="B13" s="66" t="str">
        <f>VLOOKUP(A13,'CENTRO DE COSTOS'!A:D,4,FALSE)</f>
        <v>DIEGO FERNANDO HENAO CARDONA</v>
      </c>
      <c r="C13" s="61" t="str">
        <f>VLOOKUP(A13,'CENTRO DE COSTOS'!A:D,2,FALSE)</f>
        <v>0004-0003</v>
      </c>
      <c r="D13" s="61">
        <v>76001</v>
      </c>
      <c r="E13" s="56">
        <v>13967173</v>
      </c>
      <c r="F13" s="56">
        <v>44824</v>
      </c>
      <c r="G13" s="56" t="s">
        <v>2116</v>
      </c>
      <c r="H13" s="56" t="s">
        <v>1189</v>
      </c>
      <c r="I13" s="56" t="s">
        <v>589</v>
      </c>
      <c r="J13" s="56" t="s">
        <v>2162</v>
      </c>
      <c r="K13" s="56" t="s">
        <v>107</v>
      </c>
      <c r="L13" s="56" t="s">
        <v>2163</v>
      </c>
      <c r="M13" s="103">
        <v>45901.454861111109</v>
      </c>
      <c r="N13" s="103">
        <v>45902.550694444442</v>
      </c>
      <c r="O13" s="56"/>
      <c r="P13" s="56" t="s">
        <v>2119</v>
      </c>
      <c r="Q13" s="56" t="s">
        <v>2120</v>
      </c>
      <c r="R13" s="56" t="s">
        <v>124</v>
      </c>
      <c r="S13" s="56" t="s">
        <v>125</v>
      </c>
      <c r="T13" s="56" t="s">
        <v>2122</v>
      </c>
      <c r="U13" s="56" t="s">
        <v>2142</v>
      </c>
      <c r="V13" s="56" t="s">
        <v>2164</v>
      </c>
      <c r="W13" s="56" t="s">
        <v>1266</v>
      </c>
      <c r="X13" s="56">
        <v>0</v>
      </c>
      <c r="Y13" s="66" t="str">
        <f>VLOOKUP(D13,TIPOLOGIAS!A:F,6,0)</f>
        <v>TIPO I</v>
      </c>
      <c r="Z13" s="66" t="str">
        <f>VLOOKUP(D13,TIPOLOGIAS!A:F,5,0)</f>
        <v>TERRESTRE</v>
      </c>
      <c r="AA13" s="56" t="s">
        <v>2165</v>
      </c>
      <c r="AB13" s="56">
        <v>1</v>
      </c>
      <c r="AC13" s="56">
        <v>0</v>
      </c>
      <c r="AD13" s="61">
        <v>0</v>
      </c>
      <c r="AE13" s="61">
        <v>0</v>
      </c>
      <c r="AF13" s="67">
        <f>IF(W13="SOPORTE_TELEFÓNICO",'BASE LIQUIDACION'!$B$10,IF(Y13="TIPO I",'BASE LIQUIDACION'!$C$3,IF(Y13="TIPO II",'BASE LIQUIDACION'!$C$4,IF(Y13="TIPO III",'BASE LIQUIDACION'!$C$5,'BASE LIQUIDACION'!$C$7))))</f>
        <v>65960.473639999997</v>
      </c>
      <c r="AG13" s="68">
        <f>IF(W13="SOPORTE_TELEFÓNICO",'BASE LIQUIDACION'!$B$10,(AB13*AF13+AC13*'BASE LIQUIDACION'!$B$13+AD13*'BASE LIQUIDACION'!$B$12+AE13*'BASE LIQUIDACION'!$B$11))</f>
        <v>65960.473639999997</v>
      </c>
      <c r="AH13" s="70"/>
      <c r="AI13" s="70"/>
    </row>
    <row r="14" spans="1:35">
      <c r="AG14" s="93">
        <f>SUM(AG2:AG13)</f>
        <v>1484720.11732</v>
      </c>
      <c r="AH14" s="70"/>
      <c r="AI14" s="70"/>
    </row>
  </sheetData>
  <conditionalFormatting sqref="E2:E9">
    <cfRule type="duplicateValues" dxfId="2" priority="1114"/>
    <cfRule type="duplicateValues" dxfId="1" priority="1115"/>
    <cfRule type="duplicateValues" dxfId="0" priority="1116"/>
  </conditionalFormatting>
  <dataValidations count="1">
    <dataValidation type="list" allowBlank="1" showInputMessage="1" showErrorMessage="1" sqref="U2 Q2" xr:uid="{BAF00D13-8563-4176-A3BC-AD1FFAE7B604}">
      <formula1>INDIRECT(P2)</formula1>
    </dataValidation>
  </dataValidation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07EC8A-9E29-4BF4-A0D7-5C2D955FB8B2}">
  <dimension ref="A1:D23"/>
  <sheetViews>
    <sheetView workbookViewId="0">
      <selection activeCell="A2" sqref="A2:D23"/>
    </sheetView>
  </sheetViews>
  <sheetFormatPr baseColWidth="10" defaultColWidth="11.42578125" defaultRowHeight="15"/>
  <cols>
    <col min="1" max="1" width="15.28515625" style="21" bestFit="1" customWidth="1"/>
    <col min="2" max="2" width="18.28515625" style="21" bestFit="1" customWidth="1"/>
    <col min="3" max="4" width="30.28515625" style="21" bestFit="1" customWidth="1"/>
    <col min="5" max="16384" width="11.42578125" style="21"/>
  </cols>
  <sheetData>
    <row r="1" spans="1:4">
      <c r="A1" s="20" t="s">
        <v>78</v>
      </c>
      <c r="B1" s="20" t="s">
        <v>2166</v>
      </c>
      <c r="C1" s="20" t="s">
        <v>2167</v>
      </c>
      <c r="D1" s="20" t="s">
        <v>43</v>
      </c>
    </row>
    <row r="2" spans="1:4">
      <c r="A2" s="40" t="s">
        <v>150</v>
      </c>
      <c r="B2" s="41" t="s">
        <v>53</v>
      </c>
      <c r="C2" s="41" t="s">
        <v>57</v>
      </c>
      <c r="D2" s="41" t="s">
        <v>52</v>
      </c>
    </row>
    <row r="3" spans="1:4">
      <c r="A3" s="42" t="s">
        <v>340</v>
      </c>
      <c r="B3" s="43" t="s">
        <v>69</v>
      </c>
      <c r="C3" s="43" t="s">
        <v>51</v>
      </c>
      <c r="D3" s="43" t="s">
        <v>68</v>
      </c>
    </row>
    <row r="4" spans="1:4">
      <c r="A4" s="42" t="s">
        <v>182</v>
      </c>
      <c r="B4" s="43" t="s">
        <v>62</v>
      </c>
      <c r="C4" s="43" t="s">
        <v>48</v>
      </c>
      <c r="D4" s="43" t="s">
        <v>61</v>
      </c>
    </row>
    <row r="5" spans="1:4">
      <c r="A5" s="42" t="s">
        <v>140</v>
      </c>
      <c r="B5" s="43" t="s">
        <v>59</v>
      </c>
      <c r="C5" s="43" t="s">
        <v>63</v>
      </c>
      <c r="D5" s="43" t="s">
        <v>58</v>
      </c>
    </row>
    <row r="6" spans="1:4">
      <c r="A6" s="42" t="s">
        <v>589</v>
      </c>
      <c r="B6" s="43" t="s">
        <v>50</v>
      </c>
      <c r="C6" s="43" t="s">
        <v>65</v>
      </c>
      <c r="D6" s="43" t="s">
        <v>49</v>
      </c>
    </row>
    <row r="7" spans="1:4">
      <c r="A7" s="42" t="s">
        <v>363</v>
      </c>
      <c r="B7" s="43" t="s">
        <v>69</v>
      </c>
      <c r="C7" s="43" t="s">
        <v>51</v>
      </c>
      <c r="D7" s="43" t="s">
        <v>68</v>
      </c>
    </row>
    <row r="8" spans="1:4">
      <c r="A8" s="42" t="s">
        <v>980</v>
      </c>
      <c r="B8" s="43" t="s">
        <v>59</v>
      </c>
      <c r="C8" s="43" t="s">
        <v>63</v>
      </c>
      <c r="D8" s="43" t="s">
        <v>58</v>
      </c>
    </row>
    <row r="9" spans="1:4">
      <c r="A9" s="42" t="s">
        <v>558</v>
      </c>
      <c r="B9" s="43" t="s">
        <v>56</v>
      </c>
      <c r="C9" s="43" t="s">
        <v>60</v>
      </c>
      <c r="D9" s="43" t="s">
        <v>55</v>
      </c>
    </row>
    <row r="10" spans="1:4">
      <c r="A10" s="42" t="s">
        <v>539</v>
      </c>
      <c r="B10" s="43" t="s">
        <v>56</v>
      </c>
      <c r="C10" s="43" t="s">
        <v>60</v>
      </c>
      <c r="D10" s="43" t="s">
        <v>55</v>
      </c>
    </row>
    <row r="11" spans="1:4">
      <c r="A11" s="42" t="s">
        <v>529</v>
      </c>
      <c r="B11" s="43" t="s">
        <v>67</v>
      </c>
      <c r="C11" s="43" t="s">
        <v>54</v>
      </c>
      <c r="D11" s="43" t="s">
        <v>49</v>
      </c>
    </row>
    <row r="12" spans="1:4">
      <c r="A12" s="42" t="s">
        <v>165</v>
      </c>
      <c r="B12" s="43" t="s">
        <v>53</v>
      </c>
      <c r="C12" s="43" t="s">
        <v>57</v>
      </c>
      <c r="D12" s="43" t="s">
        <v>52</v>
      </c>
    </row>
    <row r="13" spans="1:4">
      <c r="A13" s="42" t="s">
        <v>242</v>
      </c>
      <c r="B13" s="43" t="s">
        <v>69</v>
      </c>
      <c r="C13" s="43" t="s">
        <v>51</v>
      </c>
      <c r="D13" s="43" t="s">
        <v>68</v>
      </c>
    </row>
    <row r="14" spans="1:4">
      <c r="A14" s="42" t="s">
        <v>117</v>
      </c>
      <c r="B14" s="43" t="s">
        <v>56</v>
      </c>
      <c r="C14" s="43" t="s">
        <v>60</v>
      </c>
      <c r="D14" s="43" t="s">
        <v>55</v>
      </c>
    </row>
    <row r="15" spans="1:4">
      <c r="A15" s="42" t="s">
        <v>100</v>
      </c>
      <c r="B15" s="43" t="s">
        <v>50</v>
      </c>
      <c r="C15" s="43" t="s">
        <v>65</v>
      </c>
      <c r="D15" s="43" t="s">
        <v>49</v>
      </c>
    </row>
    <row r="16" spans="1:4">
      <c r="A16" s="42" t="s">
        <v>556</v>
      </c>
      <c r="B16" s="43" t="s">
        <v>67</v>
      </c>
      <c r="C16" s="43" t="s">
        <v>54</v>
      </c>
      <c r="D16" s="43" t="s">
        <v>49</v>
      </c>
    </row>
    <row r="17" spans="1:4">
      <c r="A17" s="42" t="s">
        <v>613</v>
      </c>
      <c r="B17" s="43" t="s">
        <v>50</v>
      </c>
      <c r="C17" s="43" t="s">
        <v>65</v>
      </c>
      <c r="D17" s="43" t="s">
        <v>49</v>
      </c>
    </row>
    <row r="18" spans="1:4">
      <c r="A18" s="42" t="s">
        <v>865</v>
      </c>
      <c r="B18" s="43" t="s">
        <v>69</v>
      </c>
      <c r="C18" s="43" t="s">
        <v>51</v>
      </c>
      <c r="D18" s="43" t="s">
        <v>68</v>
      </c>
    </row>
    <row r="19" spans="1:4">
      <c r="A19" s="42" t="s">
        <v>1121</v>
      </c>
      <c r="B19" s="43" t="s">
        <v>69</v>
      </c>
      <c r="C19" s="43" t="s">
        <v>51</v>
      </c>
      <c r="D19" s="43" t="s">
        <v>68</v>
      </c>
    </row>
    <row r="20" spans="1:4">
      <c r="A20" s="42" t="s">
        <v>131</v>
      </c>
      <c r="B20" s="43" t="s">
        <v>59</v>
      </c>
      <c r="C20" s="43" t="s">
        <v>63</v>
      </c>
      <c r="D20" s="43" t="s">
        <v>58</v>
      </c>
    </row>
    <row r="21" spans="1:4">
      <c r="A21" s="42" t="s">
        <v>366</v>
      </c>
      <c r="B21" s="43" t="s">
        <v>69</v>
      </c>
      <c r="C21" s="43" t="s">
        <v>51</v>
      </c>
      <c r="D21" s="43" t="s">
        <v>68</v>
      </c>
    </row>
    <row r="22" spans="1:4">
      <c r="A22" s="42" t="s">
        <v>174</v>
      </c>
      <c r="B22" s="43" t="s">
        <v>56</v>
      </c>
      <c r="C22" s="43" t="s">
        <v>60</v>
      </c>
      <c r="D22" s="43" t="s">
        <v>55</v>
      </c>
    </row>
    <row r="23" spans="1:4">
      <c r="A23" s="42" t="s">
        <v>471</v>
      </c>
      <c r="B23" s="43" t="s">
        <v>56</v>
      </c>
      <c r="C23" s="43" t="s">
        <v>60</v>
      </c>
      <c r="D23" s="43" t="s">
        <v>55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0A8736163078B46BA45051ACB50C0B2" ma:contentTypeVersion="16" ma:contentTypeDescription="Create a new document." ma:contentTypeScope="" ma:versionID="1af35ee29490cb16462bfe4830e440c0">
  <xsd:schema xmlns:xsd="http://www.w3.org/2001/XMLSchema" xmlns:xs="http://www.w3.org/2001/XMLSchema" xmlns:p="http://schemas.microsoft.com/office/2006/metadata/properties" xmlns:ns2="d3b0c89e-4cf9-4131-8f93-e930e748987a" xmlns:ns3="45c089de-fbcb-4273-99e1-da05513ea3d0" targetNamespace="http://schemas.microsoft.com/office/2006/metadata/properties" ma:root="true" ma:fieldsID="41995a57b18272937ca9dd89fffb3d1b" ns2:_="" ns3:_="">
    <xsd:import namespace="d3b0c89e-4cf9-4131-8f93-e930e748987a"/>
    <xsd:import namespace="45c089de-fbcb-4273-99e1-da05513ea3d0"/>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ObjectDetectorVersions"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lcf76f155ced4ddcb4097134ff3c332f" minOccurs="0"/>
                <xsd:element ref="ns2:TaxCatchAll" minOccurs="0"/>
                <xsd:element ref="ns3:MediaServiceOCR" minOccurs="0"/>
                <xsd:element ref="ns3:MediaServiceLocation"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3b0c89e-4cf9-4131-8f93-e930e748987a"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9d38b487-a1f2-45e9-84a0-a3fee2a9ffc3}" ma:internalName="TaxCatchAll" ma:showField="CatchAllData" ma:web="d3b0c89e-4cf9-4131-8f93-e930e748987a">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5c089de-fbcb-4273-99e1-da05513ea3d0"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3abf594f-9ee9-426f-ac24-f859484e1227"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5c089de-fbcb-4273-99e1-da05513ea3d0">
      <Terms xmlns="http://schemas.microsoft.com/office/infopath/2007/PartnerControls"/>
    </lcf76f155ced4ddcb4097134ff3c332f>
    <TaxCatchAll xmlns="d3b0c89e-4cf9-4131-8f93-e930e748987a" xsi:nil="true"/>
  </documentManagement>
</p:properties>
</file>

<file path=customXml/itemProps1.xml><?xml version="1.0" encoding="utf-8"?>
<ds:datastoreItem xmlns:ds="http://schemas.openxmlformats.org/officeDocument/2006/customXml" ds:itemID="{11B9DF70-142A-4942-BF56-8725B125536A}">
  <ds:schemaRefs>
    <ds:schemaRef ds:uri="http://schemas.microsoft.com/sharepoint/v3/contenttype/forms"/>
  </ds:schemaRefs>
</ds:datastoreItem>
</file>

<file path=customXml/itemProps2.xml><?xml version="1.0" encoding="utf-8"?>
<ds:datastoreItem xmlns:ds="http://schemas.openxmlformats.org/officeDocument/2006/customXml" ds:itemID="{CCBE2948-4411-45D2-984E-840BBFED8C8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3b0c89e-4cf9-4131-8f93-e930e748987a"/>
    <ds:schemaRef ds:uri="45c089de-fbcb-4273-99e1-da05513ea3d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D18F971-F33C-4527-A37B-7E3C0C33E2F6}">
  <ds:schemaRefs>
    <ds:schemaRef ds:uri="http://schemas.microsoft.com/office/2006/metadata/properties"/>
    <ds:schemaRef ds:uri="http://schemas.microsoft.com/office/infopath/2007/PartnerControls"/>
    <ds:schemaRef ds:uri="45c089de-fbcb-4273-99e1-da05513ea3d0"/>
    <ds:schemaRef ds:uri="d3b0c89e-4cf9-4131-8f93-e930e748987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RESUMEN</vt:lpstr>
      <vt:lpstr>Tablas dinámicas</vt:lpstr>
      <vt:lpstr>BASE LIQUIDACION</vt:lpstr>
      <vt:lpstr>ADECUACIONES</vt:lpstr>
      <vt:lpstr>TIPOLOGIAS</vt:lpstr>
      <vt:lpstr>INCIDENTES</vt:lpstr>
      <vt:lpstr>OC</vt:lpstr>
      <vt:lpstr>CENTRO DE COSTOS</vt:lpstr>
    </vt:vector>
  </TitlesOfParts>
  <Manager/>
  <Company>SURAMERICANA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Suramericana</dc:creator>
  <cp:keywords/>
  <dc:description/>
  <cp:lastModifiedBy>Luz Nedy Molina Torrado</cp:lastModifiedBy>
  <cp:revision/>
  <dcterms:created xsi:type="dcterms:W3CDTF">2010-11-30T07:07:28Z</dcterms:created>
  <dcterms:modified xsi:type="dcterms:W3CDTF">2025-10-11T19:05:45Z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0x010100C0A8736163078B46BA45051ACB50C0B2</vt:lpwstr>
  </property>
  <property fmtid="{D5CDD505-2E9C-101B-9397-08002B2CF9AE}" pid="3" name="MediaServiceImageTags">
    <vt:lpwstr/>
  </property>
</Properties>
</file>